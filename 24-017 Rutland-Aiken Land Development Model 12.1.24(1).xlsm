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Dell-1\Downloads\"/>
    </mc:Choice>
  </mc:AlternateContent>
  <xr:revisionPtr revIDLastSave="0" documentId="13_ncr:1_{CB6BA456-7441-4664-9E9C-85BBBA028038}" xr6:coauthVersionLast="47" xr6:coauthVersionMax="47" xr10:uidLastSave="{00000000-0000-0000-0000-000000000000}"/>
  <bookViews>
    <workbookView xWindow="-110" yWindow="-110" windowWidth="19420" windowHeight="10300" firstSheet="1" activeTab="3" xr2:uid="{03F19B0A-7633-4B2D-8B1F-7FB21E4A090E}"/>
  </bookViews>
  <sheets>
    <sheet name="Version" sheetId="8" r:id="rId1"/>
    <sheet name="Summary" sheetId="3" r:id="rId2"/>
    <sheet name="Underwriting" sheetId="1" r:id="rId3"/>
    <sheet name="Waterfall" sheetId="10" r:id="rId4"/>
    <sheet name="Sheet1" sheetId="9" r:id="rId5"/>
  </sheets>
  <definedNames>
    <definedName name="_xleta.IRR" hidden="1" xlm="1">#NAME?</definedName>
    <definedName name="Carry_Cost_Range">OFFSET(Summary!$J$90,0,0,1,Summary!$H$85)</definedName>
    <definedName name="Debt?">Underwriting!$F$130</definedName>
    <definedName name="Debt_LTC_Actual">Underwriting!$D$126</definedName>
    <definedName name="Debt_LTC_Input">Underwriting!$D$62</definedName>
    <definedName name="Debt_LTC_Target">Underwriting!$E$126</definedName>
    <definedName name="Equity_Total">Underwriting!$L$57</definedName>
    <definedName name="Funding_Order">Underwriting!$F$67</definedName>
    <definedName name="Hard_Horz_Range">OFFSET(Summary!$J$87,0,0,1,Summary!$H$85)</definedName>
    <definedName name="Hard_Vert_Range">OFFSET(Summary!$J$88,0,0,1,Summary!$H$85)</definedName>
    <definedName name="Items_Hard_Horizontal_Costs">Underwriting!$GS$20</definedName>
    <definedName name="Items_Hard_Vertical_Costs">Underwriting!$GS$28</definedName>
    <definedName name="Items_Land_Costs">Underwriting!$GS$13</definedName>
    <definedName name="Items_Soft_Costs">Underwriting!$GS$36</definedName>
    <definedName name="Items_Unit_Types">Underwriting!$GT$78</definedName>
    <definedName name="Land_Cost_Range">OFFSET(Summary!$J$86,0,0,1,Summary!$H$85)</definedName>
    <definedName name="Land_Type_Plur">Summary!$O$9</definedName>
    <definedName name="Land_Type_Sing">Summary!$N$9</definedName>
    <definedName name="LTC_PP_Actual">Underwriting!$D$127</definedName>
    <definedName name="LTC_PP_Independent">Underwriting!$C$127</definedName>
    <definedName name="LTC_PP_Target">Underwriting!$E$127</definedName>
    <definedName name="Model_Type">Summary!$F$10</definedName>
    <definedName name="Months_Range">OFFSET(Summary!$J$85,0,0,1,Summary!$H$85)</definedName>
    <definedName name="Nav_Inv_Desc">Underwriting!$B$5:$L$5</definedName>
    <definedName name="Nav_Returns">Underwriting!$B$94:$L$107</definedName>
    <definedName name="Nav_Sales">Underwriting!$B$76:$L$93</definedName>
    <definedName name="Nav_Sources">Underwriting!$B$55:$L$75</definedName>
    <definedName name="Nav_Uses">Underwriting!$B$12:$L$54</definedName>
    <definedName name="Nav_Waterfall">Underwriting!$B$109:$L$124</definedName>
    <definedName name="Net_Lot_Sales_Range">OFFSET(Summary!$J$93,0,0,1,Summary!$H$85)</definedName>
    <definedName name="_xlnm.Print_Area" localSheetId="1">Summary!$A$1:$Q$69</definedName>
    <definedName name="Recalc?">Underwriting!$F$128</definedName>
    <definedName name="Rel_Hard_Horizontal_Costs">Underwriting!$A$27</definedName>
    <definedName name="Rel_Hard_Vertical_Costs">Underwriting!$A$35</definedName>
    <definedName name="Rel_Land_Costs">Underwriting!$A$19</definedName>
    <definedName name="Rel_Soft_Costs">Underwriting!$A$44</definedName>
    <definedName name="Rel_Unit_Sales">Underwriting!$A$90</definedName>
    <definedName name="Soft_Cost_Range">OFFSET(Summary!$J$89,0,0,1,Summary!$H$85)</definedName>
    <definedName name="Start_Date">Summary!$O$7</definedName>
    <definedName name="Total_Uses">Underwriting!$L$53</definedName>
    <definedName name="Unit_Type">Summary!$P$9</definedName>
  </definedNames>
  <calcPr calcId="191028" iterateCount="25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0" i="10" l="1"/>
  <c r="K25" i="10"/>
  <c r="B27" i="10"/>
  <c r="B26" i="10"/>
  <c r="B25" i="10"/>
  <c r="K24" i="10"/>
  <c r="I22" i="10"/>
  <c r="I21" i="10"/>
  <c r="J20" i="10"/>
  <c r="J19" i="10"/>
  <c r="I20" i="10"/>
  <c r="I19" i="10"/>
  <c r="I18" i="10"/>
  <c r="B22" i="10"/>
  <c r="B21" i="10"/>
  <c r="B20" i="10"/>
  <c r="B19" i="10"/>
  <c r="B18" i="10"/>
  <c r="L41" i="1"/>
  <c r="L89" i="1"/>
  <c r="G9" i="9"/>
  <c r="H8" i="9"/>
  <c r="H89" i="1"/>
  <c r="EB88" i="1"/>
  <c r="EA88" i="1"/>
  <c r="DZ88" i="1"/>
  <c r="CO88" i="1"/>
  <c r="CC88" i="1"/>
  <c r="CB88" i="1"/>
  <c r="BX88" i="1"/>
  <c r="AS88" i="1"/>
  <c r="AG88" i="1"/>
  <c r="AF88" i="1"/>
  <c r="AB88" i="1"/>
  <c r="L88" i="1"/>
  <c r="GQ88" i="1" s="1"/>
  <c r="H88" i="1"/>
  <c r="L87" i="1"/>
  <c r="L86" i="1"/>
  <c r="L85" i="1"/>
  <c r="J7" i="9"/>
  <c r="J6" i="9"/>
  <c r="G8" i="9"/>
  <c r="H7" i="9"/>
  <c r="G7" i="9"/>
  <c r="G6" i="9"/>
  <c r="L84" i="1"/>
  <c r="L83" i="1"/>
  <c r="L82" i="1"/>
  <c r="L80" i="1"/>
  <c r="L81" i="1"/>
  <c r="L79" i="1"/>
  <c r="EO88" i="1" l="1"/>
  <c r="AT88" i="1"/>
  <c r="CP88" i="1"/>
  <c r="EP88" i="1"/>
  <c r="AU88" i="1"/>
  <c r="CQ88" i="1"/>
  <c r="EQ88" i="1"/>
  <c r="AV88" i="1"/>
  <c r="CR88" i="1"/>
  <c r="FI88" i="1"/>
  <c r="BH88" i="1"/>
  <c r="DE88" i="1"/>
  <c r="FJ88" i="1"/>
  <c r="BI88" i="1"/>
  <c r="DF88" i="1"/>
  <c r="FK88" i="1"/>
  <c r="J88" i="1"/>
  <c r="BJ88" i="1"/>
  <c r="DG88" i="1"/>
  <c r="FX88" i="1"/>
  <c r="BK88" i="1"/>
  <c r="DL88" i="1"/>
  <c r="FY88" i="1"/>
  <c r="AA88" i="1"/>
  <c r="BW88" i="1"/>
  <c r="DY88" i="1"/>
  <c r="FZ88" i="1"/>
  <c r="AW88" i="1"/>
  <c r="CD88" i="1"/>
  <c r="EC88" i="1"/>
  <c r="FM88" i="1"/>
  <c r="AI88" i="1"/>
  <c r="BP88" i="1"/>
  <c r="DN88" i="1"/>
  <c r="EX88" i="1"/>
  <c r="GG88" i="1"/>
  <c r="AJ88" i="1"/>
  <c r="CF88" i="1"/>
  <c r="EE88" i="1"/>
  <c r="FO88" i="1"/>
  <c r="AK88" i="1"/>
  <c r="CG88" i="1"/>
  <c r="EZ88" i="1"/>
  <c r="BD88" i="1"/>
  <c r="GL88" i="1"/>
  <c r="EV88" i="1"/>
  <c r="FL88" i="1"/>
  <c r="GA88" i="1"/>
  <c r="AH88" i="1"/>
  <c r="BL88" i="1"/>
  <c r="CS88" i="1"/>
  <c r="DM88" i="1"/>
  <c r="EW88" i="1"/>
  <c r="GF88" i="1"/>
  <c r="T88" i="1"/>
  <c r="AX88" i="1"/>
  <c r="CE88" i="1"/>
  <c r="CT88" i="1"/>
  <c r="ED88" i="1"/>
  <c r="FN88" i="1"/>
  <c r="U88" i="1"/>
  <c r="AY88" i="1"/>
  <c r="BQ88" i="1"/>
  <c r="CU88" i="1"/>
  <c r="DO88" i="1"/>
  <c r="EY88" i="1"/>
  <c r="GH88" i="1"/>
  <c r="V88" i="1"/>
  <c r="AZ88" i="1"/>
  <c r="BR88" i="1"/>
  <c r="CZ88" i="1"/>
  <c r="DP88" i="1"/>
  <c r="EJ88" i="1"/>
  <c r="FP88" i="1"/>
  <c r="GI88" i="1"/>
  <c r="W88" i="1"/>
  <c r="AL88" i="1"/>
  <c r="BS88" i="1"/>
  <c r="CH88" i="1"/>
  <c r="DA88" i="1"/>
  <c r="DQ88" i="1"/>
  <c r="EK88" i="1"/>
  <c r="FA88" i="1"/>
  <c r="FT88" i="1"/>
  <c r="GJ88" i="1"/>
  <c r="X88" i="1"/>
  <c r="AM88" i="1"/>
  <c r="BE88" i="1"/>
  <c r="BT88" i="1"/>
  <c r="CI88" i="1"/>
  <c r="DB88" i="1"/>
  <c r="DR88" i="1"/>
  <c r="EL88" i="1"/>
  <c r="FB88" i="1"/>
  <c r="FU88" i="1"/>
  <c r="GK88" i="1"/>
  <c r="Y88" i="1"/>
  <c r="AN88" i="1"/>
  <c r="BF88" i="1"/>
  <c r="BU88" i="1"/>
  <c r="CJ88" i="1"/>
  <c r="DC88" i="1"/>
  <c r="DS88" i="1"/>
  <c r="EM88" i="1"/>
  <c r="FC88" i="1"/>
  <c r="FV88" i="1"/>
  <c r="Z88" i="1"/>
  <c r="AR88" i="1"/>
  <c r="BG88" i="1"/>
  <c r="BV88" i="1"/>
  <c r="CN88" i="1"/>
  <c r="DD88" i="1"/>
  <c r="DX88" i="1"/>
  <c r="EN88" i="1"/>
  <c r="FH88" i="1"/>
  <c r="FW88" i="1"/>
  <c r="GM88" i="1"/>
  <c r="DH88" i="1"/>
  <c r="EF88" i="1"/>
  <c r="FD88" i="1"/>
  <c r="GN88" i="1"/>
  <c r="K88" i="1"/>
  <c r="AC88" i="1"/>
  <c r="AO88" i="1"/>
  <c r="BA88" i="1"/>
  <c r="BM88" i="1"/>
  <c r="BY88" i="1"/>
  <c r="CK88" i="1"/>
  <c r="CW88" i="1"/>
  <c r="DI88" i="1"/>
  <c r="DU88" i="1"/>
  <c r="EG88" i="1"/>
  <c r="ES88" i="1"/>
  <c r="FE88" i="1"/>
  <c r="FQ88" i="1"/>
  <c r="GC88" i="1"/>
  <c r="GO88" i="1"/>
  <c r="AD88" i="1"/>
  <c r="AP88" i="1"/>
  <c r="BB88" i="1"/>
  <c r="BN88" i="1"/>
  <c r="BZ88" i="1"/>
  <c r="CL88" i="1"/>
  <c r="CX88" i="1"/>
  <c r="DJ88" i="1"/>
  <c r="DV88" i="1"/>
  <c r="EH88" i="1"/>
  <c r="ET88" i="1"/>
  <c r="FF88" i="1"/>
  <c r="FR88" i="1"/>
  <c r="GD88" i="1"/>
  <c r="GP88" i="1"/>
  <c r="CV88" i="1"/>
  <c r="DT88" i="1"/>
  <c r="ER88" i="1"/>
  <c r="GB88" i="1"/>
  <c r="AE88" i="1"/>
  <c r="AQ88" i="1"/>
  <c r="BC88" i="1"/>
  <c r="BO88" i="1"/>
  <c r="CA88" i="1"/>
  <c r="CM88" i="1"/>
  <c r="CY88" i="1"/>
  <c r="DK88" i="1"/>
  <c r="DW88" i="1"/>
  <c r="EI88" i="1"/>
  <c r="EU88" i="1"/>
  <c r="FG88" i="1"/>
  <c r="FS88" i="1"/>
  <c r="GE88" i="1"/>
  <c r="S88" i="1" l="1"/>
  <c r="K89" i="1"/>
  <c r="J89" i="1"/>
  <c r="T89" i="1"/>
  <c r="E112" i="1" l="1"/>
  <c r="D2" i="9" l="1"/>
  <c r="D5" i="9"/>
  <c r="C5" i="9"/>
  <c r="C2" i="9"/>
  <c r="J85" i="1" l="1"/>
  <c r="J84" i="1"/>
  <c r="H83" i="1"/>
  <c r="H84" i="1"/>
  <c r="H85" i="1"/>
  <c r="H86" i="1"/>
  <c r="K86" i="1" s="1"/>
  <c r="H87" i="1"/>
  <c r="K87" i="1" s="1"/>
  <c r="H82" i="1"/>
  <c r="H81" i="1"/>
  <c r="H80" i="1"/>
  <c r="H79" i="1"/>
  <c r="T87" i="1"/>
  <c r="T86" i="1"/>
  <c r="J86" i="1"/>
  <c r="T85" i="1"/>
  <c r="T84" i="1"/>
  <c r="J83" i="1"/>
  <c r="L7" i="1"/>
  <c r="L11" i="1" s="1"/>
  <c r="K14" i="1"/>
  <c r="K78" i="1"/>
  <c r="H78" i="1"/>
  <c r="H11" i="1"/>
  <c r="H7" i="1"/>
  <c r="H6" i="1"/>
  <c r="L17" i="1"/>
  <c r="K84" i="1" l="1"/>
  <c r="J87" i="1"/>
  <c r="K85" i="1"/>
  <c r="K83" i="1"/>
  <c r="T83" i="1"/>
  <c r="O3" i="8"/>
  <c r="GZ4" i="1"/>
  <c r="B70" i="1"/>
  <c r="B69" i="1"/>
  <c r="NG59" i="1"/>
  <c r="NF59" i="1"/>
  <c r="MA59" i="1"/>
  <c r="KT59" i="1"/>
  <c r="II59" i="1"/>
  <c r="NW59" i="1"/>
  <c r="NV59" i="1"/>
  <c r="NU59" i="1"/>
  <c r="NT59" i="1"/>
  <c r="NS59" i="1"/>
  <c r="NR59" i="1"/>
  <c r="NQ59" i="1"/>
  <c r="NP59" i="1"/>
  <c r="NO59" i="1"/>
  <c r="NN59" i="1"/>
  <c r="NM59" i="1"/>
  <c r="NL59" i="1"/>
  <c r="NK59" i="1"/>
  <c r="NJ59" i="1"/>
  <c r="NI59" i="1"/>
  <c r="NH59" i="1"/>
  <c r="NE59" i="1"/>
  <c r="ND59" i="1"/>
  <c r="NC59" i="1"/>
  <c r="NB59" i="1"/>
  <c r="NA59" i="1"/>
  <c r="MZ59" i="1"/>
  <c r="MY59" i="1"/>
  <c r="MX59" i="1"/>
  <c r="MW59" i="1"/>
  <c r="MV59" i="1"/>
  <c r="MU59" i="1"/>
  <c r="MT59" i="1"/>
  <c r="MS59" i="1"/>
  <c r="MR59" i="1"/>
  <c r="MQ59" i="1"/>
  <c r="MP59" i="1"/>
  <c r="MO59" i="1"/>
  <c r="MN59" i="1"/>
  <c r="MM59" i="1"/>
  <c r="ML59" i="1"/>
  <c r="MK59" i="1"/>
  <c r="MJ59" i="1"/>
  <c r="MI59" i="1"/>
  <c r="MH59" i="1"/>
  <c r="MG59" i="1"/>
  <c r="MF59" i="1"/>
  <c r="ME59" i="1"/>
  <c r="MD59" i="1"/>
  <c r="MC59" i="1"/>
  <c r="MB59" i="1"/>
  <c r="LZ59" i="1"/>
  <c r="LY59" i="1"/>
  <c r="LX59" i="1"/>
  <c r="LW59" i="1"/>
  <c r="LV59" i="1"/>
  <c r="LU59" i="1"/>
  <c r="LT59" i="1"/>
  <c r="LS59" i="1"/>
  <c r="LR59" i="1"/>
  <c r="LQ59" i="1"/>
  <c r="LP59" i="1"/>
  <c r="LO59" i="1"/>
  <c r="LN59" i="1"/>
  <c r="LM59" i="1"/>
  <c r="LL59" i="1"/>
  <c r="LK59" i="1"/>
  <c r="LJ59" i="1"/>
  <c r="LI59" i="1"/>
  <c r="LH59" i="1"/>
  <c r="LG59" i="1"/>
  <c r="LF59" i="1"/>
  <c r="LE59" i="1"/>
  <c r="LD59" i="1"/>
  <c r="LC59" i="1"/>
  <c r="LB59" i="1"/>
  <c r="LA59" i="1"/>
  <c r="KZ59" i="1"/>
  <c r="KY59" i="1"/>
  <c r="KX59" i="1"/>
  <c r="KW59" i="1"/>
  <c r="KV59" i="1"/>
  <c r="KU59" i="1"/>
  <c r="KS59" i="1"/>
  <c r="KR59" i="1"/>
  <c r="KQ59" i="1"/>
  <c r="KP59" i="1"/>
  <c r="KO59" i="1"/>
  <c r="KN59" i="1"/>
  <c r="KM59" i="1"/>
  <c r="KL59" i="1"/>
  <c r="KK59" i="1"/>
  <c r="KJ59" i="1"/>
  <c r="KI59" i="1"/>
  <c r="KH59" i="1"/>
  <c r="KG59" i="1"/>
  <c r="KF59" i="1"/>
  <c r="KE59" i="1"/>
  <c r="KD59" i="1"/>
  <c r="KC59" i="1"/>
  <c r="KB59" i="1"/>
  <c r="KA59" i="1"/>
  <c r="JZ59" i="1"/>
  <c r="JY59" i="1"/>
  <c r="JX59" i="1"/>
  <c r="JW59" i="1"/>
  <c r="JV59" i="1"/>
  <c r="JU59" i="1"/>
  <c r="JT59" i="1"/>
  <c r="JS59" i="1"/>
  <c r="JR59" i="1"/>
  <c r="JQ59" i="1"/>
  <c r="JP59" i="1"/>
  <c r="JO59" i="1"/>
  <c r="JN59" i="1"/>
  <c r="JM59" i="1"/>
  <c r="JL59" i="1"/>
  <c r="JK59" i="1"/>
  <c r="JJ59" i="1"/>
  <c r="JI59" i="1"/>
  <c r="JH59" i="1"/>
  <c r="JG59" i="1"/>
  <c r="JF59" i="1"/>
  <c r="JE59" i="1"/>
  <c r="JD59" i="1"/>
  <c r="JC59" i="1"/>
  <c r="JB59" i="1"/>
  <c r="JA59" i="1"/>
  <c r="IZ59" i="1"/>
  <c r="IY59" i="1"/>
  <c r="IX59" i="1"/>
  <c r="IW59" i="1"/>
  <c r="IV59" i="1"/>
  <c r="IU59" i="1"/>
  <c r="IT59" i="1"/>
  <c r="IS59" i="1"/>
  <c r="IR59" i="1"/>
  <c r="IQ59" i="1"/>
  <c r="IP59" i="1"/>
  <c r="IO59" i="1"/>
  <c r="IN59" i="1"/>
  <c r="IM59" i="1"/>
  <c r="IL59" i="1"/>
  <c r="IK59" i="1"/>
  <c r="IJ59" i="1"/>
  <c r="IH59" i="1"/>
  <c r="IG59" i="1"/>
  <c r="IF59" i="1"/>
  <c r="IE59" i="1"/>
  <c r="ID59" i="1"/>
  <c r="IC59" i="1"/>
  <c r="IB59" i="1"/>
  <c r="IA59" i="1"/>
  <c r="HZ59" i="1"/>
  <c r="HY59" i="1"/>
  <c r="HX59" i="1"/>
  <c r="HW59" i="1"/>
  <c r="HV59" i="1"/>
  <c r="HU59" i="1"/>
  <c r="HT59" i="1"/>
  <c r="HS59" i="1"/>
  <c r="HR59" i="1"/>
  <c r="HQ59" i="1"/>
  <c r="HP59" i="1"/>
  <c r="HO59" i="1"/>
  <c r="HN59" i="1"/>
  <c r="HM59" i="1"/>
  <c r="HL59" i="1"/>
  <c r="HK59" i="1"/>
  <c r="HJ59" i="1"/>
  <c r="HI59" i="1"/>
  <c r="HH59" i="1"/>
  <c r="HG59" i="1"/>
  <c r="HF59" i="1"/>
  <c r="HE59" i="1"/>
  <c r="HD59" i="1"/>
  <c r="HC59" i="1"/>
  <c r="HB59" i="1"/>
  <c r="HA59" i="1"/>
  <c r="GZ59" i="1"/>
  <c r="GW59" i="1"/>
  <c r="GW58" i="1"/>
  <c r="GU56" i="1"/>
  <c r="GU55" i="1"/>
  <c r="GS56" i="1"/>
  <c r="GS55" i="1"/>
  <c r="K61" i="1" a="1"/>
  <c r="K61" i="1" s="1"/>
  <c r="NW58" i="1"/>
  <c r="NV58" i="1"/>
  <c r="NU58" i="1"/>
  <c r="NT58" i="1"/>
  <c r="NS58" i="1"/>
  <c r="NR58" i="1"/>
  <c r="NQ58" i="1"/>
  <c r="NP58" i="1"/>
  <c r="NO58" i="1"/>
  <c r="NN58" i="1"/>
  <c r="NM58" i="1"/>
  <c r="NL58" i="1"/>
  <c r="NK58" i="1"/>
  <c r="NJ58" i="1"/>
  <c r="NI58" i="1"/>
  <c r="NH58" i="1"/>
  <c r="NG58" i="1"/>
  <c r="NF58" i="1"/>
  <c r="NE58" i="1"/>
  <c r="ND58" i="1"/>
  <c r="NC58" i="1"/>
  <c r="NB58" i="1"/>
  <c r="NA58" i="1"/>
  <c r="MZ58" i="1"/>
  <c r="MY58" i="1"/>
  <c r="MX58" i="1"/>
  <c r="MW58" i="1"/>
  <c r="MV58" i="1"/>
  <c r="MU58" i="1"/>
  <c r="MT58" i="1"/>
  <c r="MS58" i="1"/>
  <c r="MR58" i="1"/>
  <c r="MQ58" i="1"/>
  <c r="MP58" i="1"/>
  <c r="MO58" i="1"/>
  <c r="MN58" i="1"/>
  <c r="MM58" i="1"/>
  <c r="ML58" i="1"/>
  <c r="MK58" i="1"/>
  <c r="MJ58" i="1"/>
  <c r="MI58" i="1"/>
  <c r="MH58" i="1"/>
  <c r="MG58" i="1"/>
  <c r="MF58" i="1"/>
  <c r="ME58" i="1"/>
  <c r="MD58" i="1"/>
  <c r="MC58" i="1"/>
  <c r="MB58" i="1"/>
  <c r="MA58" i="1"/>
  <c r="LZ58" i="1"/>
  <c r="LY58" i="1"/>
  <c r="LX58" i="1"/>
  <c r="LW58" i="1"/>
  <c r="LV58" i="1"/>
  <c r="LU58" i="1"/>
  <c r="LT58" i="1"/>
  <c r="LS58" i="1"/>
  <c r="LR58" i="1"/>
  <c r="LQ58" i="1"/>
  <c r="LP58" i="1"/>
  <c r="LO58" i="1"/>
  <c r="LN58" i="1"/>
  <c r="LM58" i="1"/>
  <c r="LL58" i="1"/>
  <c r="LK58" i="1"/>
  <c r="LJ58" i="1"/>
  <c r="LI58" i="1"/>
  <c r="LH58" i="1"/>
  <c r="LG58" i="1"/>
  <c r="LF58" i="1"/>
  <c r="LE58" i="1"/>
  <c r="LD58" i="1"/>
  <c r="LC58" i="1"/>
  <c r="LB58" i="1"/>
  <c r="LA58" i="1"/>
  <c r="KZ58" i="1"/>
  <c r="KY58" i="1"/>
  <c r="KX58" i="1"/>
  <c r="KW58" i="1"/>
  <c r="KV58" i="1"/>
  <c r="KU58" i="1"/>
  <c r="KT58" i="1"/>
  <c r="KS58" i="1"/>
  <c r="KR58" i="1"/>
  <c r="KQ58" i="1"/>
  <c r="KP58" i="1"/>
  <c r="KO58" i="1"/>
  <c r="KN58" i="1"/>
  <c r="KM58" i="1"/>
  <c r="KL58" i="1"/>
  <c r="KK58" i="1"/>
  <c r="KJ58" i="1"/>
  <c r="KI58" i="1"/>
  <c r="KH58" i="1"/>
  <c r="KG58" i="1"/>
  <c r="KF58" i="1"/>
  <c r="KE58" i="1"/>
  <c r="KD58" i="1"/>
  <c r="KC58" i="1"/>
  <c r="KB58" i="1"/>
  <c r="KA58" i="1"/>
  <c r="JZ58" i="1"/>
  <c r="JY58" i="1"/>
  <c r="JX58" i="1"/>
  <c r="JW58" i="1"/>
  <c r="JV58" i="1"/>
  <c r="JU58" i="1"/>
  <c r="JT58" i="1"/>
  <c r="JS58" i="1"/>
  <c r="JR58" i="1"/>
  <c r="JQ58" i="1"/>
  <c r="JP58" i="1"/>
  <c r="JO58" i="1"/>
  <c r="JN58" i="1"/>
  <c r="JM58" i="1"/>
  <c r="JL58" i="1"/>
  <c r="JK58" i="1"/>
  <c r="JJ58" i="1"/>
  <c r="JI58" i="1"/>
  <c r="JH58" i="1"/>
  <c r="JG58" i="1"/>
  <c r="JF58" i="1"/>
  <c r="JE58" i="1"/>
  <c r="JD58" i="1"/>
  <c r="JC58" i="1"/>
  <c r="JB58" i="1"/>
  <c r="JA58" i="1"/>
  <c r="IZ58" i="1"/>
  <c r="IY58" i="1"/>
  <c r="IX58" i="1"/>
  <c r="IW58" i="1"/>
  <c r="IV58" i="1"/>
  <c r="IU58" i="1"/>
  <c r="IT58" i="1"/>
  <c r="IS58" i="1"/>
  <c r="IR58" i="1"/>
  <c r="IQ58" i="1"/>
  <c r="IP58" i="1"/>
  <c r="IO58" i="1"/>
  <c r="IN58" i="1"/>
  <c r="IM58" i="1"/>
  <c r="IL58" i="1"/>
  <c r="IK58" i="1"/>
  <c r="IJ58" i="1"/>
  <c r="II58" i="1"/>
  <c r="IH58" i="1"/>
  <c r="IG58" i="1"/>
  <c r="IF58" i="1"/>
  <c r="IE58" i="1"/>
  <c r="ID58" i="1"/>
  <c r="IC58" i="1"/>
  <c r="IB58" i="1"/>
  <c r="IA58" i="1"/>
  <c r="HZ58" i="1"/>
  <c r="HY58" i="1"/>
  <c r="HX58" i="1"/>
  <c r="HW58" i="1"/>
  <c r="HV58" i="1"/>
  <c r="HU58" i="1"/>
  <c r="HT58" i="1"/>
  <c r="HS58" i="1"/>
  <c r="HR58" i="1"/>
  <c r="HQ58" i="1"/>
  <c r="HP58" i="1"/>
  <c r="HO58" i="1"/>
  <c r="HN58" i="1"/>
  <c r="HM58" i="1"/>
  <c r="HL58" i="1"/>
  <c r="HK58" i="1"/>
  <c r="HJ58" i="1"/>
  <c r="HI58" i="1"/>
  <c r="HH58" i="1"/>
  <c r="HG58" i="1"/>
  <c r="HF58" i="1"/>
  <c r="HE58" i="1"/>
  <c r="HD58" i="1"/>
  <c r="HC58" i="1"/>
  <c r="HB58" i="1"/>
  <c r="HA58" i="1"/>
  <c r="GZ58" i="1"/>
  <c r="B23" i="3"/>
  <c r="B22" i="3"/>
  <c r="B2" i="1"/>
  <c r="P5" i="3" s="1"/>
  <c r="F6" i="1"/>
  <c r="B101" i="3"/>
  <c r="B100" i="3"/>
  <c r="B99" i="3"/>
  <c r="B98" i="3"/>
  <c r="B97" i="3"/>
  <c r="U78" i="1"/>
  <c r="V78" i="1" s="1"/>
  <c r="W78" i="1" s="1"/>
  <c r="X78" i="1" s="1"/>
  <c r="Y78" i="1" s="1"/>
  <c r="Z78" i="1" s="1"/>
  <c r="AA78" i="1" s="1"/>
  <c r="AB78" i="1" s="1"/>
  <c r="AC78" i="1" s="1"/>
  <c r="AD78" i="1" s="1"/>
  <c r="AE78" i="1" s="1"/>
  <c r="AF78" i="1" s="1"/>
  <c r="AG78" i="1" s="1"/>
  <c r="AH78" i="1" s="1"/>
  <c r="AI78" i="1" s="1"/>
  <c r="AJ78" i="1" s="1"/>
  <c r="AK78" i="1" s="1"/>
  <c r="AL78" i="1" s="1"/>
  <c r="AM78" i="1" s="1"/>
  <c r="AN78" i="1" s="1"/>
  <c r="AO78" i="1" s="1"/>
  <c r="AP78" i="1" s="1"/>
  <c r="AQ78" i="1" s="1"/>
  <c r="AR78" i="1" s="1"/>
  <c r="AS78" i="1" s="1"/>
  <c r="AT78" i="1" s="1"/>
  <c r="AU78" i="1" s="1"/>
  <c r="AV78" i="1" s="1"/>
  <c r="AW78" i="1" s="1"/>
  <c r="AX78" i="1" s="1"/>
  <c r="AY78" i="1" s="1"/>
  <c r="AZ78" i="1" s="1"/>
  <c r="BA78" i="1" s="1"/>
  <c r="BB78" i="1" s="1"/>
  <c r="BC78" i="1" s="1"/>
  <c r="BD78" i="1" s="1"/>
  <c r="BE78" i="1" s="1"/>
  <c r="BF78" i="1" s="1"/>
  <c r="BG78" i="1" s="1"/>
  <c r="BH78" i="1" s="1"/>
  <c r="BI78" i="1" s="1"/>
  <c r="BJ78" i="1" s="1"/>
  <c r="BK78" i="1" s="1"/>
  <c r="BL78" i="1" s="1"/>
  <c r="BM78" i="1" s="1"/>
  <c r="BN78" i="1" s="1"/>
  <c r="BO78" i="1" s="1"/>
  <c r="BP78" i="1" s="1"/>
  <c r="BQ78" i="1" s="1"/>
  <c r="BR78" i="1" s="1"/>
  <c r="BS78" i="1" s="1"/>
  <c r="BT78" i="1" s="1"/>
  <c r="BU78" i="1" s="1"/>
  <c r="BV78" i="1" s="1"/>
  <c r="BW78" i="1" s="1"/>
  <c r="BX78" i="1" s="1"/>
  <c r="BY78" i="1" s="1"/>
  <c r="BZ78" i="1" s="1"/>
  <c r="CA78" i="1" s="1"/>
  <c r="CB78" i="1" s="1"/>
  <c r="CC78" i="1" s="1"/>
  <c r="CD78" i="1" s="1"/>
  <c r="CE78" i="1" s="1"/>
  <c r="CF78" i="1" s="1"/>
  <c r="CG78" i="1" s="1"/>
  <c r="CH78" i="1" s="1"/>
  <c r="CI78" i="1" s="1"/>
  <c r="CJ78" i="1" s="1"/>
  <c r="CK78" i="1" s="1"/>
  <c r="CL78" i="1" s="1"/>
  <c r="CM78" i="1" s="1"/>
  <c r="CN78" i="1" s="1"/>
  <c r="CO78" i="1" s="1"/>
  <c r="CP78" i="1" s="1"/>
  <c r="CQ78" i="1" s="1"/>
  <c r="CR78" i="1" s="1"/>
  <c r="CS78" i="1" s="1"/>
  <c r="CT78" i="1" s="1"/>
  <c r="CU78" i="1" s="1"/>
  <c r="CV78" i="1" s="1"/>
  <c r="CW78" i="1" s="1"/>
  <c r="CX78" i="1" s="1"/>
  <c r="CY78" i="1" s="1"/>
  <c r="CZ78" i="1" s="1"/>
  <c r="DA78" i="1" s="1"/>
  <c r="DB78" i="1" s="1"/>
  <c r="DC78" i="1" s="1"/>
  <c r="DD78" i="1" s="1"/>
  <c r="DE78" i="1" s="1"/>
  <c r="DF78" i="1" s="1"/>
  <c r="DG78" i="1" s="1"/>
  <c r="DH78" i="1" s="1"/>
  <c r="DI78" i="1" s="1"/>
  <c r="DJ78" i="1" s="1"/>
  <c r="DK78" i="1" s="1"/>
  <c r="DL78" i="1" s="1"/>
  <c r="DM78" i="1" s="1"/>
  <c r="DN78" i="1" s="1"/>
  <c r="DO78" i="1" s="1"/>
  <c r="DP78" i="1" s="1"/>
  <c r="DQ78" i="1" s="1"/>
  <c r="DR78" i="1" s="1"/>
  <c r="DS78" i="1" s="1"/>
  <c r="DT78" i="1" s="1"/>
  <c r="DU78" i="1" s="1"/>
  <c r="DV78" i="1" s="1"/>
  <c r="DW78" i="1" s="1"/>
  <c r="DX78" i="1" s="1"/>
  <c r="DY78" i="1" s="1"/>
  <c r="DZ78" i="1" s="1"/>
  <c r="EA78" i="1" s="1"/>
  <c r="EB78" i="1" s="1"/>
  <c r="EC78" i="1" s="1"/>
  <c r="ED78" i="1" s="1"/>
  <c r="EE78" i="1" s="1"/>
  <c r="EF78" i="1" s="1"/>
  <c r="EG78" i="1" s="1"/>
  <c r="EH78" i="1" s="1"/>
  <c r="EI78" i="1" s="1"/>
  <c r="EJ78" i="1" s="1"/>
  <c r="EK78" i="1" s="1"/>
  <c r="EL78" i="1" s="1"/>
  <c r="EM78" i="1" s="1"/>
  <c r="EN78" i="1" s="1"/>
  <c r="EO78" i="1" s="1"/>
  <c r="EP78" i="1" s="1"/>
  <c r="EQ78" i="1" s="1"/>
  <c r="ER78" i="1" s="1"/>
  <c r="ES78" i="1" s="1"/>
  <c r="ET78" i="1" s="1"/>
  <c r="EU78" i="1" s="1"/>
  <c r="EV78" i="1" s="1"/>
  <c r="EW78" i="1" s="1"/>
  <c r="EX78" i="1" s="1"/>
  <c r="EY78" i="1" s="1"/>
  <c r="EZ78" i="1" s="1"/>
  <c r="FA78" i="1" s="1"/>
  <c r="FB78" i="1" s="1"/>
  <c r="FC78" i="1" s="1"/>
  <c r="FD78" i="1" s="1"/>
  <c r="FE78" i="1" s="1"/>
  <c r="FF78" i="1" s="1"/>
  <c r="FG78" i="1" s="1"/>
  <c r="FH78" i="1" s="1"/>
  <c r="FI78" i="1" s="1"/>
  <c r="FJ78" i="1" s="1"/>
  <c r="FK78" i="1" s="1"/>
  <c r="FL78" i="1" s="1"/>
  <c r="FM78" i="1" s="1"/>
  <c r="FN78" i="1" s="1"/>
  <c r="FO78" i="1" s="1"/>
  <c r="FP78" i="1" s="1"/>
  <c r="FQ78" i="1" s="1"/>
  <c r="FR78" i="1" s="1"/>
  <c r="FS78" i="1" s="1"/>
  <c r="FT78" i="1" s="1"/>
  <c r="FU78" i="1" s="1"/>
  <c r="FV78" i="1" s="1"/>
  <c r="FW78" i="1" s="1"/>
  <c r="FX78" i="1" s="1"/>
  <c r="FY78" i="1" s="1"/>
  <c r="FZ78" i="1" s="1"/>
  <c r="GA78" i="1" s="1"/>
  <c r="GB78" i="1" s="1"/>
  <c r="GC78" i="1" s="1"/>
  <c r="GD78" i="1" s="1"/>
  <c r="GE78" i="1" s="1"/>
  <c r="GF78" i="1" s="1"/>
  <c r="GG78" i="1" s="1"/>
  <c r="GH78" i="1" s="1"/>
  <c r="GI78" i="1" s="1"/>
  <c r="GJ78" i="1" s="1"/>
  <c r="GK78" i="1" s="1"/>
  <c r="GL78" i="1" s="1"/>
  <c r="GM78" i="1" s="1"/>
  <c r="GN78" i="1" s="1"/>
  <c r="GO78" i="1" s="1"/>
  <c r="GP78" i="1" s="1"/>
  <c r="GQ78" i="1" s="1"/>
  <c r="GV42" i="1"/>
  <c r="GU42" i="1"/>
  <c r="GT42" i="1"/>
  <c r="GS42" i="1"/>
  <c r="H42" i="1"/>
  <c r="GW42" i="1" s="1"/>
  <c r="GX42" i="1" s="1"/>
  <c r="GZ42" i="1" l="1"/>
  <c r="T42" i="1" l="1"/>
  <c r="GV33" i="1"/>
  <c r="GU33" i="1"/>
  <c r="GS33" i="1"/>
  <c r="H33" i="1"/>
  <c r="GW33" i="1" s="1"/>
  <c r="GV25" i="1"/>
  <c r="GU25" i="1"/>
  <c r="GT25" i="1"/>
  <c r="GS25" i="1"/>
  <c r="H25" i="1"/>
  <c r="GW25" i="1" s="1"/>
  <c r="GX25" i="1" s="1"/>
  <c r="GV32" i="1"/>
  <c r="GU32" i="1"/>
  <c r="GS32" i="1"/>
  <c r="H32" i="1"/>
  <c r="GW32" i="1" s="1"/>
  <c r="GX32" i="1" s="1"/>
  <c r="GV24" i="1"/>
  <c r="GU24" i="1"/>
  <c r="GS24" i="1"/>
  <c r="H24" i="1"/>
  <c r="GW24" i="1" s="1"/>
  <c r="GX24" i="1" s="1"/>
  <c r="F10" i="1"/>
  <c r="F9" i="1"/>
  <c r="F8" i="1"/>
  <c r="F7" i="1"/>
  <c r="GX33" i="1" l="1"/>
  <c r="GZ25" i="1"/>
  <c r="T25" i="1" l="1"/>
  <c r="B35" i="3"/>
  <c r="B14" i="3"/>
  <c r="L2" i="1"/>
  <c r="B3" i="3"/>
  <c r="B4" i="1" s="1"/>
  <c r="GZ105" i="1" l="1"/>
  <c r="GZ106" i="1" s="1"/>
  <c r="HA102" i="1"/>
  <c r="HB102" i="1" s="1"/>
  <c r="HC102" i="1" s="1"/>
  <c r="HD102" i="1" s="1"/>
  <c r="HE102" i="1" s="1"/>
  <c r="HF102" i="1" s="1"/>
  <c r="HG102" i="1" s="1"/>
  <c r="HH102" i="1" s="1"/>
  <c r="HI102" i="1" s="1"/>
  <c r="HJ102" i="1" s="1"/>
  <c r="HK102" i="1" s="1"/>
  <c r="HL102" i="1" s="1"/>
  <c r="HM102" i="1" s="1"/>
  <c r="HN102" i="1" s="1"/>
  <c r="HO102" i="1" s="1"/>
  <c r="HP102" i="1" s="1"/>
  <c r="HQ102" i="1" s="1"/>
  <c r="HR102" i="1" s="1"/>
  <c r="HS102" i="1" s="1"/>
  <c r="HT102" i="1" s="1"/>
  <c r="HU102" i="1" s="1"/>
  <c r="HV102" i="1" s="1"/>
  <c r="HW102" i="1" s="1"/>
  <c r="HX102" i="1" s="1"/>
  <c r="HY102" i="1" s="1"/>
  <c r="HZ102" i="1" s="1"/>
  <c r="IA102" i="1" s="1"/>
  <c r="IB102" i="1" s="1"/>
  <c r="IC102" i="1" s="1"/>
  <c r="ID102" i="1" s="1"/>
  <c r="IE102" i="1" s="1"/>
  <c r="IF102" i="1" s="1"/>
  <c r="IG102" i="1" s="1"/>
  <c r="IH102" i="1" s="1"/>
  <c r="II102" i="1" s="1"/>
  <c r="IJ102" i="1" s="1"/>
  <c r="IK102" i="1" s="1"/>
  <c r="IL102" i="1" s="1"/>
  <c r="IM102" i="1" s="1"/>
  <c r="IN102" i="1" s="1"/>
  <c r="IO102" i="1" s="1"/>
  <c r="IP102" i="1" s="1"/>
  <c r="IQ102" i="1" s="1"/>
  <c r="IR102" i="1" s="1"/>
  <c r="IS102" i="1" s="1"/>
  <c r="IT102" i="1" s="1"/>
  <c r="IU102" i="1" s="1"/>
  <c r="IV102" i="1" s="1"/>
  <c r="IW102" i="1" s="1"/>
  <c r="IX102" i="1" s="1"/>
  <c r="IY102" i="1" s="1"/>
  <c r="IZ102" i="1" s="1"/>
  <c r="JA102" i="1" s="1"/>
  <c r="JB102" i="1" s="1"/>
  <c r="JC102" i="1" s="1"/>
  <c r="JD102" i="1" s="1"/>
  <c r="JE102" i="1" s="1"/>
  <c r="JF102" i="1" s="1"/>
  <c r="JG102" i="1" s="1"/>
  <c r="JH102" i="1" s="1"/>
  <c r="JI102" i="1" s="1"/>
  <c r="JJ102" i="1" s="1"/>
  <c r="JK102" i="1" s="1"/>
  <c r="JL102" i="1" s="1"/>
  <c r="JM102" i="1" s="1"/>
  <c r="JN102" i="1" s="1"/>
  <c r="JO102" i="1" s="1"/>
  <c r="JP102" i="1" s="1"/>
  <c r="JQ102" i="1" s="1"/>
  <c r="JR102" i="1" s="1"/>
  <c r="JS102" i="1" s="1"/>
  <c r="JT102" i="1" s="1"/>
  <c r="JU102" i="1" s="1"/>
  <c r="JV102" i="1" s="1"/>
  <c r="JW102" i="1" s="1"/>
  <c r="JX102" i="1" s="1"/>
  <c r="JY102" i="1" s="1"/>
  <c r="JZ102" i="1" s="1"/>
  <c r="KA102" i="1" s="1"/>
  <c r="KB102" i="1" s="1"/>
  <c r="KC102" i="1" s="1"/>
  <c r="KD102" i="1" s="1"/>
  <c r="KE102" i="1" s="1"/>
  <c r="KF102" i="1" s="1"/>
  <c r="KG102" i="1" s="1"/>
  <c r="KH102" i="1" s="1"/>
  <c r="KI102" i="1" s="1"/>
  <c r="KJ102" i="1" s="1"/>
  <c r="KK102" i="1" s="1"/>
  <c r="KL102" i="1" s="1"/>
  <c r="KM102" i="1" s="1"/>
  <c r="KN102" i="1" s="1"/>
  <c r="KO102" i="1" s="1"/>
  <c r="KP102" i="1" s="1"/>
  <c r="KQ102" i="1" s="1"/>
  <c r="KR102" i="1" s="1"/>
  <c r="KS102" i="1" s="1"/>
  <c r="KT102" i="1" s="1"/>
  <c r="KU102" i="1" s="1"/>
  <c r="KV102" i="1" s="1"/>
  <c r="KW102" i="1" s="1"/>
  <c r="KX102" i="1" s="1"/>
  <c r="KY102" i="1" s="1"/>
  <c r="KZ102" i="1" s="1"/>
  <c r="LA102" i="1" s="1"/>
  <c r="LB102" i="1" s="1"/>
  <c r="LC102" i="1" s="1"/>
  <c r="LD102" i="1" s="1"/>
  <c r="LE102" i="1" s="1"/>
  <c r="LF102" i="1" s="1"/>
  <c r="LG102" i="1" s="1"/>
  <c r="LH102" i="1" s="1"/>
  <c r="LI102" i="1" s="1"/>
  <c r="LJ102" i="1" s="1"/>
  <c r="LK102" i="1" s="1"/>
  <c r="LL102" i="1" s="1"/>
  <c r="LM102" i="1" s="1"/>
  <c r="LN102" i="1" s="1"/>
  <c r="LO102" i="1" s="1"/>
  <c r="LP102" i="1" s="1"/>
  <c r="LQ102" i="1" s="1"/>
  <c r="LR102" i="1" s="1"/>
  <c r="LS102" i="1" s="1"/>
  <c r="LT102" i="1" s="1"/>
  <c r="LU102" i="1" s="1"/>
  <c r="LV102" i="1" s="1"/>
  <c r="LW102" i="1" s="1"/>
  <c r="LX102" i="1" s="1"/>
  <c r="LY102" i="1" s="1"/>
  <c r="LZ102" i="1" s="1"/>
  <c r="MA102" i="1" s="1"/>
  <c r="MB102" i="1" s="1"/>
  <c r="MC102" i="1" s="1"/>
  <c r="MD102" i="1" s="1"/>
  <c r="ME102" i="1" s="1"/>
  <c r="MF102" i="1" s="1"/>
  <c r="MG102" i="1" s="1"/>
  <c r="MH102" i="1" s="1"/>
  <c r="MI102" i="1" s="1"/>
  <c r="MJ102" i="1" s="1"/>
  <c r="MK102" i="1" s="1"/>
  <c r="ML102" i="1" s="1"/>
  <c r="MM102" i="1" s="1"/>
  <c r="MN102" i="1" s="1"/>
  <c r="MO102" i="1" s="1"/>
  <c r="MP102" i="1" s="1"/>
  <c r="MQ102" i="1" s="1"/>
  <c r="MR102" i="1" s="1"/>
  <c r="MS102" i="1" s="1"/>
  <c r="MT102" i="1" s="1"/>
  <c r="MU102" i="1" s="1"/>
  <c r="MV102" i="1" s="1"/>
  <c r="MW102" i="1" s="1"/>
  <c r="MX102" i="1" s="1"/>
  <c r="MY102" i="1" s="1"/>
  <c r="MZ102" i="1" s="1"/>
  <c r="NA102" i="1" s="1"/>
  <c r="NB102" i="1" s="1"/>
  <c r="NC102" i="1" s="1"/>
  <c r="ND102" i="1" s="1"/>
  <c r="NE102" i="1" s="1"/>
  <c r="NF102" i="1" s="1"/>
  <c r="NG102" i="1" s="1"/>
  <c r="NH102" i="1" s="1"/>
  <c r="NI102" i="1" s="1"/>
  <c r="NJ102" i="1" s="1"/>
  <c r="NK102" i="1" s="1"/>
  <c r="NL102" i="1" s="1"/>
  <c r="NM102" i="1" s="1"/>
  <c r="NN102" i="1" s="1"/>
  <c r="NO102" i="1" s="1"/>
  <c r="NP102" i="1" s="1"/>
  <c r="NQ102" i="1" s="1"/>
  <c r="NR102" i="1" s="1"/>
  <c r="NS102" i="1" s="1"/>
  <c r="NT102" i="1" s="1"/>
  <c r="NU102" i="1" s="1"/>
  <c r="NV102" i="1" s="1"/>
  <c r="NW102" i="1" s="1"/>
  <c r="GS118" i="1"/>
  <c r="GS102" i="1"/>
  <c r="B122" i="1"/>
  <c r="B121" i="1"/>
  <c r="U110" i="1"/>
  <c r="V110" i="1" s="1"/>
  <c r="W110" i="1" s="1"/>
  <c r="X110" i="1" s="1"/>
  <c r="Y110" i="1" s="1"/>
  <c r="Z110" i="1" s="1"/>
  <c r="AA110" i="1" s="1"/>
  <c r="AB110" i="1" s="1"/>
  <c r="AC110" i="1" s="1"/>
  <c r="AD110" i="1" s="1"/>
  <c r="AE110" i="1" s="1"/>
  <c r="AF110" i="1" s="1"/>
  <c r="AG110" i="1" s="1"/>
  <c r="AH110" i="1" s="1"/>
  <c r="AI110" i="1" s="1"/>
  <c r="AJ110" i="1" s="1"/>
  <c r="AK110" i="1" s="1"/>
  <c r="AL110" i="1" s="1"/>
  <c r="AM110" i="1" s="1"/>
  <c r="AN110" i="1" s="1"/>
  <c r="AO110" i="1" s="1"/>
  <c r="AP110" i="1" s="1"/>
  <c r="AQ110" i="1" s="1"/>
  <c r="AR110" i="1" s="1"/>
  <c r="AS110" i="1" s="1"/>
  <c r="AT110" i="1" s="1"/>
  <c r="AU110" i="1" s="1"/>
  <c r="AV110" i="1" s="1"/>
  <c r="AW110" i="1" s="1"/>
  <c r="AX110" i="1" s="1"/>
  <c r="AY110" i="1" s="1"/>
  <c r="AZ110" i="1" s="1"/>
  <c r="BA110" i="1" s="1"/>
  <c r="BB110" i="1" s="1"/>
  <c r="BC110" i="1" s="1"/>
  <c r="BD110" i="1" s="1"/>
  <c r="BE110" i="1" s="1"/>
  <c r="BF110" i="1" s="1"/>
  <c r="BG110" i="1" s="1"/>
  <c r="BH110" i="1" s="1"/>
  <c r="BI110" i="1" s="1"/>
  <c r="BJ110" i="1" s="1"/>
  <c r="BK110" i="1" s="1"/>
  <c r="BL110" i="1" s="1"/>
  <c r="BM110" i="1" s="1"/>
  <c r="BN110" i="1" s="1"/>
  <c r="BO110" i="1" s="1"/>
  <c r="BP110" i="1" s="1"/>
  <c r="BQ110" i="1" s="1"/>
  <c r="BR110" i="1" s="1"/>
  <c r="BS110" i="1" s="1"/>
  <c r="BT110" i="1" s="1"/>
  <c r="BU110" i="1" s="1"/>
  <c r="BV110" i="1" s="1"/>
  <c r="BW110" i="1" s="1"/>
  <c r="BX110" i="1" s="1"/>
  <c r="BY110" i="1" s="1"/>
  <c r="BZ110" i="1" s="1"/>
  <c r="CA110" i="1" s="1"/>
  <c r="CB110" i="1" s="1"/>
  <c r="CC110" i="1" s="1"/>
  <c r="CD110" i="1" s="1"/>
  <c r="CE110" i="1" s="1"/>
  <c r="CF110" i="1" s="1"/>
  <c r="CG110" i="1" s="1"/>
  <c r="CH110" i="1" s="1"/>
  <c r="CI110" i="1" s="1"/>
  <c r="CJ110" i="1" s="1"/>
  <c r="CK110" i="1" s="1"/>
  <c r="CL110" i="1" s="1"/>
  <c r="CM110" i="1" s="1"/>
  <c r="CN110" i="1" s="1"/>
  <c r="CO110" i="1" s="1"/>
  <c r="CP110" i="1" s="1"/>
  <c r="CQ110" i="1" s="1"/>
  <c r="CR110" i="1" s="1"/>
  <c r="CS110" i="1" s="1"/>
  <c r="CT110" i="1" s="1"/>
  <c r="CU110" i="1" s="1"/>
  <c r="CV110" i="1" s="1"/>
  <c r="CW110" i="1" s="1"/>
  <c r="CX110" i="1" s="1"/>
  <c r="CY110" i="1" s="1"/>
  <c r="CZ110" i="1" s="1"/>
  <c r="DA110" i="1" s="1"/>
  <c r="DB110" i="1" s="1"/>
  <c r="DC110" i="1" s="1"/>
  <c r="DD110" i="1" s="1"/>
  <c r="DE110" i="1" s="1"/>
  <c r="DF110" i="1" s="1"/>
  <c r="DG110" i="1" s="1"/>
  <c r="DH110" i="1" s="1"/>
  <c r="DI110" i="1" s="1"/>
  <c r="DJ110" i="1" s="1"/>
  <c r="DK110" i="1" s="1"/>
  <c r="DL110" i="1" s="1"/>
  <c r="DM110" i="1" s="1"/>
  <c r="DN110" i="1" s="1"/>
  <c r="DO110" i="1" s="1"/>
  <c r="DP110" i="1" s="1"/>
  <c r="DQ110" i="1" s="1"/>
  <c r="DR110" i="1" s="1"/>
  <c r="DS110" i="1" s="1"/>
  <c r="DT110" i="1" s="1"/>
  <c r="DU110" i="1" s="1"/>
  <c r="DV110" i="1" s="1"/>
  <c r="DW110" i="1" s="1"/>
  <c r="DX110" i="1" s="1"/>
  <c r="DY110" i="1" s="1"/>
  <c r="DZ110" i="1" s="1"/>
  <c r="EA110" i="1" s="1"/>
  <c r="EB110" i="1" s="1"/>
  <c r="EC110" i="1" s="1"/>
  <c r="ED110" i="1" s="1"/>
  <c r="EE110" i="1" s="1"/>
  <c r="EF110" i="1" s="1"/>
  <c r="EG110" i="1" s="1"/>
  <c r="EH110" i="1" s="1"/>
  <c r="EI110" i="1" s="1"/>
  <c r="EJ110" i="1" s="1"/>
  <c r="EK110" i="1" s="1"/>
  <c r="EL110" i="1" s="1"/>
  <c r="EM110" i="1" s="1"/>
  <c r="EN110" i="1" s="1"/>
  <c r="EO110" i="1" s="1"/>
  <c r="EP110" i="1" s="1"/>
  <c r="EQ110" i="1" s="1"/>
  <c r="ER110" i="1" s="1"/>
  <c r="ES110" i="1" s="1"/>
  <c r="ET110" i="1" s="1"/>
  <c r="EU110" i="1" s="1"/>
  <c r="EV110" i="1" s="1"/>
  <c r="EW110" i="1" s="1"/>
  <c r="EX110" i="1" s="1"/>
  <c r="EY110" i="1" s="1"/>
  <c r="EZ110" i="1" s="1"/>
  <c r="FA110" i="1" s="1"/>
  <c r="FB110" i="1" s="1"/>
  <c r="FC110" i="1" s="1"/>
  <c r="FD110" i="1" s="1"/>
  <c r="FE110" i="1" s="1"/>
  <c r="FF110" i="1" s="1"/>
  <c r="FG110" i="1" s="1"/>
  <c r="FH110" i="1" s="1"/>
  <c r="FI110" i="1" s="1"/>
  <c r="FJ110" i="1" s="1"/>
  <c r="FK110" i="1" s="1"/>
  <c r="FL110" i="1" s="1"/>
  <c r="FM110" i="1" s="1"/>
  <c r="FN110" i="1" s="1"/>
  <c r="FO110" i="1" s="1"/>
  <c r="FP110" i="1" s="1"/>
  <c r="FQ110" i="1" s="1"/>
  <c r="FR110" i="1" s="1"/>
  <c r="FS110" i="1" s="1"/>
  <c r="FT110" i="1" s="1"/>
  <c r="FU110" i="1" s="1"/>
  <c r="FV110" i="1" s="1"/>
  <c r="FW110" i="1" s="1"/>
  <c r="FX110" i="1" s="1"/>
  <c r="FY110" i="1" s="1"/>
  <c r="FZ110" i="1" s="1"/>
  <c r="GA110" i="1" s="1"/>
  <c r="GB110" i="1" s="1"/>
  <c r="GC110" i="1" s="1"/>
  <c r="GD110" i="1" s="1"/>
  <c r="GE110" i="1" s="1"/>
  <c r="GF110" i="1" s="1"/>
  <c r="GG110" i="1" s="1"/>
  <c r="GH110" i="1" s="1"/>
  <c r="GI110" i="1" s="1"/>
  <c r="GJ110" i="1" s="1"/>
  <c r="GK110" i="1" s="1"/>
  <c r="GL110" i="1" s="1"/>
  <c r="GM110" i="1" s="1"/>
  <c r="GN110" i="1" s="1"/>
  <c r="GO110" i="1" s="1"/>
  <c r="GP110" i="1" s="1"/>
  <c r="GQ110" i="1" s="1"/>
  <c r="U101" i="1"/>
  <c r="V101" i="1" s="1"/>
  <c r="W101" i="1" s="1"/>
  <c r="X101" i="1" s="1"/>
  <c r="Y101" i="1" s="1"/>
  <c r="Z101" i="1" s="1"/>
  <c r="AA101" i="1" s="1"/>
  <c r="AB101" i="1" s="1"/>
  <c r="AC101" i="1" s="1"/>
  <c r="AD101" i="1" s="1"/>
  <c r="AE101" i="1" s="1"/>
  <c r="AF101" i="1" s="1"/>
  <c r="AG101" i="1" s="1"/>
  <c r="AH101" i="1" s="1"/>
  <c r="AI101" i="1" s="1"/>
  <c r="AJ101" i="1" s="1"/>
  <c r="AK101" i="1" s="1"/>
  <c r="AL101" i="1" s="1"/>
  <c r="AM101" i="1" s="1"/>
  <c r="AN101" i="1" s="1"/>
  <c r="AO101" i="1" s="1"/>
  <c r="AP101" i="1" s="1"/>
  <c r="AQ101" i="1" s="1"/>
  <c r="AR101" i="1" s="1"/>
  <c r="AS101" i="1" s="1"/>
  <c r="AT101" i="1" s="1"/>
  <c r="AU101" i="1" s="1"/>
  <c r="AV101" i="1" s="1"/>
  <c r="AW101" i="1" s="1"/>
  <c r="AX101" i="1" s="1"/>
  <c r="AY101" i="1" s="1"/>
  <c r="AZ101" i="1" s="1"/>
  <c r="BA101" i="1" s="1"/>
  <c r="BB101" i="1" s="1"/>
  <c r="BC101" i="1" s="1"/>
  <c r="BD101" i="1" s="1"/>
  <c r="BE101" i="1" s="1"/>
  <c r="BF101" i="1" s="1"/>
  <c r="BG101" i="1" s="1"/>
  <c r="BH101" i="1" s="1"/>
  <c r="BI101" i="1" s="1"/>
  <c r="BJ101" i="1" s="1"/>
  <c r="BK101" i="1" s="1"/>
  <c r="BL101" i="1" s="1"/>
  <c r="BM101" i="1" s="1"/>
  <c r="BN101" i="1" s="1"/>
  <c r="BO101" i="1" s="1"/>
  <c r="BP101" i="1" s="1"/>
  <c r="BQ101" i="1" s="1"/>
  <c r="BR101" i="1" s="1"/>
  <c r="BS101" i="1" s="1"/>
  <c r="BT101" i="1" s="1"/>
  <c r="BU101" i="1" s="1"/>
  <c r="BV101" i="1" s="1"/>
  <c r="BW101" i="1" s="1"/>
  <c r="BX101" i="1" s="1"/>
  <c r="BY101" i="1" s="1"/>
  <c r="BZ101" i="1" s="1"/>
  <c r="CA101" i="1" s="1"/>
  <c r="CB101" i="1" s="1"/>
  <c r="CC101" i="1" s="1"/>
  <c r="CD101" i="1" s="1"/>
  <c r="CE101" i="1" s="1"/>
  <c r="CF101" i="1" s="1"/>
  <c r="CG101" i="1" s="1"/>
  <c r="CH101" i="1" s="1"/>
  <c r="CI101" i="1" s="1"/>
  <c r="CJ101" i="1" s="1"/>
  <c r="CK101" i="1" s="1"/>
  <c r="CL101" i="1" s="1"/>
  <c r="CM101" i="1" s="1"/>
  <c r="CN101" i="1" s="1"/>
  <c r="CO101" i="1" s="1"/>
  <c r="CP101" i="1" s="1"/>
  <c r="CQ101" i="1" s="1"/>
  <c r="CR101" i="1" s="1"/>
  <c r="CS101" i="1" s="1"/>
  <c r="CT101" i="1" s="1"/>
  <c r="CU101" i="1" s="1"/>
  <c r="CV101" i="1" s="1"/>
  <c r="CW101" i="1" s="1"/>
  <c r="CX101" i="1" s="1"/>
  <c r="CY101" i="1" s="1"/>
  <c r="CZ101" i="1" s="1"/>
  <c r="DA101" i="1" s="1"/>
  <c r="DB101" i="1" s="1"/>
  <c r="DC101" i="1" s="1"/>
  <c r="DD101" i="1" s="1"/>
  <c r="DE101" i="1" s="1"/>
  <c r="DF101" i="1" s="1"/>
  <c r="DG101" i="1" s="1"/>
  <c r="DH101" i="1" s="1"/>
  <c r="DI101" i="1" s="1"/>
  <c r="DJ101" i="1" s="1"/>
  <c r="DK101" i="1" s="1"/>
  <c r="DL101" i="1" s="1"/>
  <c r="DM101" i="1" s="1"/>
  <c r="DN101" i="1" s="1"/>
  <c r="DO101" i="1" s="1"/>
  <c r="DP101" i="1" s="1"/>
  <c r="DQ101" i="1" s="1"/>
  <c r="DR101" i="1" s="1"/>
  <c r="DS101" i="1" s="1"/>
  <c r="DT101" i="1" s="1"/>
  <c r="DU101" i="1" s="1"/>
  <c r="DV101" i="1" s="1"/>
  <c r="DW101" i="1" s="1"/>
  <c r="DX101" i="1" s="1"/>
  <c r="DY101" i="1" s="1"/>
  <c r="DZ101" i="1" s="1"/>
  <c r="EA101" i="1" s="1"/>
  <c r="EB101" i="1" s="1"/>
  <c r="EC101" i="1" s="1"/>
  <c r="ED101" i="1" s="1"/>
  <c r="EE101" i="1" s="1"/>
  <c r="EF101" i="1" s="1"/>
  <c r="EG101" i="1" s="1"/>
  <c r="EH101" i="1" s="1"/>
  <c r="EI101" i="1" s="1"/>
  <c r="EJ101" i="1" s="1"/>
  <c r="EK101" i="1" s="1"/>
  <c r="EL101" i="1" s="1"/>
  <c r="EM101" i="1" s="1"/>
  <c r="EN101" i="1" s="1"/>
  <c r="EO101" i="1" s="1"/>
  <c r="EP101" i="1" s="1"/>
  <c r="EQ101" i="1" s="1"/>
  <c r="ER101" i="1" s="1"/>
  <c r="ES101" i="1" s="1"/>
  <c r="ET101" i="1" s="1"/>
  <c r="EU101" i="1" s="1"/>
  <c r="EV101" i="1" s="1"/>
  <c r="EW101" i="1" s="1"/>
  <c r="EX101" i="1" s="1"/>
  <c r="EY101" i="1" s="1"/>
  <c r="EZ101" i="1" s="1"/>
  <c r="FA101" i="1" s="1"/>
  <c r="FB101" i="1" s="1"/>
  <c r="FC101" i="1" s="1"/>
  <c r="FD101" i="1" s="1"/>
  <c r="FE101" i="1" s="1"/>
  <c r="FF101" i="1" s="1"/>
  <c r="FG101" i="1" s="1"/>
  <c r="FH101" i="1" s="1"/>
  <c r="FI101" i="1" s="1"/>
  <c r="FJ101" i="1" s="1"/>
  <c r="FK101" i="1" s="1"/>
  <c r="FL101" i="1" s="1"/>
  <c r="FM101" i="1" s="1"/>
  <c r="FN101" i="1" s="1"/>
  <c r="FO101" i="1" s="1"/>
  <c r="FP101" i="1" s="1"/>
  <c r="FQ101" i="1" s="1"/>
  <c r="FR101" i="1" s="1"/>
  <c r="FS101" i="1" s="1"/>
  <c r="FT101" i="1" s="1"/>
  <c r="FU101" i="1" s="1"/>
  <c r="FV101" i="1" s="1"/>
  <c r="FW101" i="1" s="1"/>
  <c r="FX101" i="1" s="1"/>
  <c r="FY101" i="1" s="1"/>
  <c r="FZ101" i="1" s="1"/>
  <c r="GA101" i="1" s="1"/>
  <c r="GB101" i="1" s="1"/>
  <c r="GC101" i="1" s="1"/>
  <c r="GD101" i="1" s="1"/>
  <c r="GE101" i="1" s="1"/>
  <c r="GF101" i="1" s="1"/>
  <c r="GG101" i="1" s="1"/>
  <c r="GH101" i="1" s="1"/>
  <c r="GI101" i="1" s="1"/>
  <c r="GJ101" i="1" s="1"/>
  <c r="GK101" i="1" s="1"/>
  <c r="GL101" i="1" s="1"/>
  <c r="GM101" i="1" s="1"/>
  <c r="GN101" i="1" s="1"/>
  <c r="GO101" i="1" s="1"/>
  <c r="GP101" i="1" s="1"/>
  <c r="GQ101" i="1" s="1"/>
  <c r="U95" i="1"/>
  <c r="V95" i="1" s="1"/>
  <c r="W95" i="1" s="1"/>
  <c r="X95" i="1" s="1"/>
  <c r="Y95" i="1" s="1"/>
  <c r="Z95" i="1" s="1"/>
  <c r="AA95" i="1" s="1"/>
  <c r="AB95" i="1" s="1"/>
  <c r="AC95" i="1" s="1"/>
  <c r="AD95" i="1" s="1"/>
  <c r="AE95" i="1" s="1"/>
  <c r="AF95" i="1" s="1"/>
  <c r="AG95" i="1" s="1"/>
  <c r="AH95" i="1" s="1"/>
  <c r="AI95" i="1" s="1"/>
  <c r="AJ95" i="1" s="1"/>
  <c r="AK95" i="1" s="1"/>
  <c r="AL95" i="1" s="1"/>
  <c r="AM95" i="1" s="1"/>
  <c r="AN95" i="1" s="1"/>
  <c r="AO95" i="1" s="1"/>
  <c r="AP95" i="1" s="1"/>
  <c r="AQ95" i="1" s="1"/>
  <c r="AR95" i="1" s="1"/>
  <c r="AS95" i="1" s="1"/>
  <c r="AT95" i="1" s="1"/>
  <c r="AU95" i="1" s="1"/>
  <c r="AV95" i="1" s="1"/>
  <c r="AW95" i="1" s="1"/>
  <c r="AX95" i="1" s="1"/>
  <c r="AY95" i="1" s="1"/>
  <c r="AZ95" i="1" s="1"/>
  <c r="BA95" i="1" s="1"/>
  <c r="BB95" i="1" s="1"/>
  <c r="BC95" i="1" s="1"/>
  <c r="BD95" i="1" s="1"/>
  <c r="BE95" i="1" s="1"/>
  <c r="BF95" i="1" s="1"/>
  <c r="BG95" i="1" s="1"/>
  <c r="BH95" i="1" s="1"/>
  <c r="BI95" i="1" s="1"/>
  <c r="BJ95" i="1" s="1"/>
  <c r="BK95" i="1" s="1"/>
  <c r="BL95" i="1" s="1"/>
  <c r="BM95" i="1" s="1"/>
  <c r="BN95" i="1" s="1"/>
  <c r="BO95" i="1" s="1"/>
  <c r="BP95" i="1" s="1"/>
  <c r="BQ95" i="1" s="1"/>
  <c r="BR95" i="1" s="1"/>
  <c r="BS95" i="1" s="1"/>
  <c r="BT95" i="1" s="1"/>
  <c r="BU95" i="1" s="1"/>
  <c r="BV95" i="1" s="1"/>
  <c r="BW95" i="1" s="1"/>
  <c r="BX95" i="1" s="1"/>
  <c r="BY95" i="1" s="1"/>
  <c r="BZ95" i="1" s="1"/>
  <c r="CA95" i="1" s="1"/>
  <c r="CB95" i="1" s="1"/>
  <c r="CC95" i="1" s="1"/>
  <c r="CD95" i="1" s="1"/>
  <c r="CE95" i="1" s="1"/>
  <c r="CF95" i="1" s="1"/>
  <c r="CG95" i="1" s="1"/>
  <c r="CH95" i="1" s="1"/>
  <c r="CI95" i="1" s="1"/>
  <c r="CJ95" i="1" s="1"/>
  <c r="CK95" i="1" s="1"/>
  <c r="CL95" i="1" s="1"/>
  <c r="CM95" i="1" s="1"/>
  <c r="CN95" i="1" s="1"/>
  <c r="CO95" i="1" s="1"/>
  <c r="CP95" i="1" s="1"/>
  <c r="CQ95" i="1" s="1"/>
  <c r="CR95" i="1" s="1"/>
  <c r="CS95" i="1" s="1"/>
  <c r="CT95" i="1" s="1"/>
  <c r="CU95" i="1" s="1"/>
  <c r="CV95" i="1" s="1"/>
  <c r="CW95" i="1" s="1"/>
  <c r="CX95" i="1" s="1"/>
  <c r="CY95" i="1" s="1"/>
  <c r="CZ95" i="1" s="1"/>
  <c r="DA95" i="1" s="1"/>
  <c r="DB95" i="1" s="1"/>
  <c r="DC95" i="1" s="1"/>
  <c r="DD95" i="1" s="1"/>
  <c r="DE95" i="1" s="1"/>
  <c r="DF95" i="1" s="1"/>
  <c r="DG95" i="1" s="1"/>
  <c r="DH95" i="1" s="1"/>
  <c r="DI95" i="1" s="1"/>
  <c r="DJ95" i="1" s="1"/>
  <c r="DK95" i="1" s="1"/>
  <c r="DL95" i="1" s="1"/>
  <c r="DM95" i="1" s="1"/>
  <c r="DN95" i="1" s="1"/>
  <c r="DO95" i="1" s="1"/>
  <c r="DP95" i="1" s="1"/>
  <c r="DQ95" i="1" s="1"/>
  <c r="DR95" i="1" s="1"/>
  <c r="DS95" i="1" s="1"/>
  <c r="DT95" i="1" s="1"/>
  <c r="DU95" i="1" s="1"/>
  <c r="DV95" i="1" s="1"/>
  <c r="DW95" i="1" s="1"/>
  <c r="DX95" i="1" s="1"/>
  <c r="DY95" i="1" s="1"/>
  <c r="DZ95" i="1" s="1"/>
  <c r="EA95" i="1" s="1"/>
  <c r="EB95" i="1" s="1"/>
  <c r="EC95" i="1" s="1"/>
  <c r="ED95" i="1" s="1"/>
  <c r="EE95" i="1" s="1"/>
  <c r="EF95" i="1" s="1"/>
  <c r="EG95" i="1" s="1"/>
  <c r="EH95" i="1" s="1"/>
  <c r="EI95" i="1" s="1"/>
  <c r="EJ95" i="1" s="1"/>
  <c r="EK95" i="1" s="1"/>
  <c r="EL95" i="1" s="1"/>
  <c r="EM95" i="1" s="1"/>
  <c r="EN95" i="1" s="1"/>
  <c r="EO95" i="1" s="1"/>
  <c r="EP95" i="1" s="1"/>
  <c r="EQ95" i="1" s="1"/>
  <c r="ER95" i="1" s="1"/>
  <c r="ES95" i="1" s="1"/>
  <c r="ET95" i="1" s="1"/>
  <c r="EU95" i="1" s="1"/>
  <c r="EV95" i="1" s="1"/>
  <c r="EW95" i="1" s="1"/>
  <c r="EX95" i="1" s="1"/>
  <c r="EY95" i="1" s="1"/>
  <c r="EZ95" i="1" s="1"/>
  <c r="FA95" i="1" s="1"/>
  <c r="FB95" i="1" s="1"/>
  <c r="FC95" i="1" s="1"/>
  <c r="FD95" i="1" s="1"/>
  <c r="FE95" i="1" s="1"/>
  <c r="FF95" i="1" s="1"/>
  <c r="FG95" i="1" s="1"/>
  <c r="FH95" i="1" s="1"/>
  <c r="FI95" i="1" s="1"/>
  <c r="FJ95" i="1" s="1"/>
  <c r="FK95" i="1" s="1"/>
  <c r="FL95" i="1" s="1"/>
  <c r="FM95" i="1" s="1"/>
  <c r="FN95" i="1" s="1"/>
  <c r="FO95" i="1" s="1"/>
  <c r="FP95" i="1" s="1"/>
  <c r="FQ95" i="1" s="1"/>
  <c r="FR95" i="1" s="1"/>
  <c r="FS95" i="1" s="1"/>
  <c r="FT95" i="1" s="1"/>
  <c r="FU95" i="1" s="1"/>
  <c r="FV95" i="1" s="1"/>
  <c r="FW95" i="1" s="1"/>
  <c r="FX95" i="1" s="1"/>
  <c r="FY95" i="1" s="1"/>
  <c r="FZ95" i="1" s="1"/>
  <c r="GA95" i="1" s="1"/>
  <c r="GB95" i="1" s="1"/>
  <c r="GC95" i="1" s="1"/>
  <c r="GD95" i="1" s="1"/>
  <c r="GE95" i="1" s="1"/>
  <c r="GF95" i="1" s="1"/>
  <c r="GG95" i="1" s="1"/>
  <c r="GH95" i="1" s="1"/>
  <c r="GI95" i="1" s="1"/>
  <c r="GJ95" i="1" s="1"/>
  <c r="GK95" i="1" s="1"/>
  <c r="GL95" i="1" s="1"/>
  <c r="GM95" i="1" s="1"/>
  <c r="GN95" i="1" s="1"/>
  <c r="GO95" i="1" s="1"/>
  <c r="GP95" i="1" s="1"/>
  <c r="GQ95" i="1" s="1"/>
  <c r="E117" i="1"/>
  <c r="F117" i="1" s="1"/>
  <c r="F116" i="1"/>
  <c r="E113" i="1"/>
  <c r="B102" i="1"/>
  <c r="B96" i="1"/>
  <c r="T82" i="1"/>
  <c r="T80" i="1"/>
  <c r="T79" i="1"/>
  <c r="T81" i="1"/>
  <c r="D90" i="1"/>
  <c r="E90" i="1"/>
  <c r="HA63" i="1"/>
  <c r="HB63" i="1" s="1"/>
  <c r="HC63" i="1" s="1"/>
  <c r="HD63" i="1" s="1"/>
  <c r="HE63" i="1" s="1"/>
  <c r="HF63" i="1" s="1"/>
  <c r="HG63" i="1" s="1"/>
  <c r="HH63" i="1" s="1"/>
  <c r="HI63" i="1" s="1"/>
  <c r="HJ63" i="1" s="1"/>
  <c r="HK63" i="1" s="1"/>
  <c r="HL63" i="1" s="1"/>
  <c r="HM63" i="1" s="1"/>
  <c r="HN63" i="1" s="1"/>
  <c r="HO63" i="1" s="1"/>
  <c r="HP63" i="1" s="1"/>
  <c r="HQ63" i="1" s="1"/>
  <c r="HR63" i="1" s="1"/>
  <c r="HS63" i="1" s="1"/>
  <c r="HT63" i="1" s="1"/>
  <c r="HU63" i="1" s="1"/>
  <c r="HV63" i="1" s="1"/>
  <c r="HW63" i="1" s="1"/>
  <c r="HX63" i="1" s="1"/>
  <c r="HY63" i="1" s="1"/>
  <c r="HZ63" i="1" s="1"/>
  <c r="IA63" i="1" s="1"/>
  <c r="IB63" i="1" s="1"/>
  <c r="IC63" i="1" s="1"/>
  <c r="ID63" i="1" s="1"/>
  <c r="IE63" i="1" s="1"/>
  <c r="IF63" i="1" s="1"/>
  <c r="IG63" i="1" s="1"/>
  <c r="IH63" i="1" s="1"/>
  <c r="II63" i="1" s="1"/>
  <c r="IJ63" i="1" s="1"/>
  <c r="IK63" i="1" s="1"/>
  <c r="IL63" i="1" s="1"/>
  <c r="IM63" i="1" s="1"/>
  <c r="IN63" i="1" s="1"/>
  <c r="IO63" i="1" s="1"/>
  <c r="IP63" i="1" s="1"/>
  <c r="IQ63" i="1" s="1"/>
  <c r="IR63" i="1" s="1"/>
  <c r="IS63" i="1" s="1"/>
  <c r="IT63" i="1" s="1"/>
  <c r="IU63" i="1" s="1"/>
  <c r="IV63" i="1" s="1"/>
  <c r="IW63" i="1" s="1"/>
  <c r="IX63" i="1" s="1"/>
  <c r="IY63" i="1" s="1"/>
  <c r="IZ63" i="1" s="1"/>
  <c r="JA63" i="1" s="1"/>
  <c r="JB63" i="1" s="1"/>
  <c r="JC63" i="1" s="1"/>
  <c r="JD63" i="1" s="1"/>
  <c r="JE63" i="1" s="1"/>
  <c r="JF63" i="1" s="1"/>
  <c r="JG63" i="1" s="1"/>
  <c r="JH63" i="1" s="1"/>
  <c r="JI63" i="1" s="1"/>
  <c r="JJ63" i="1" s="1"/>
  <c r="JK63" i="1" s="1"/>
  <c r="JL63" i="1" s="1"/>
  <c r="JM63" i="1" s="1"/>
  <c r="JN63" i="1" s="1"/>
  <c r="JO63" i="1" s="1"/>
  <c r="JP63" i="1" s="1"/>
  <c r="JQ63" i="1" s="1"/>
  <c r="JR63" i="1" s="1"/>
  <c r="JS63" i="1" s="1"/>
  <c r="JT63" i="1" s="1"/>
  <c r="JU63" i="1" s="1"/>
  <c r="JV63" i="1" s="1"/>
  <c r="JW63" i="1" s="1"/>
  <c r="JX63" i="1" s="1"/>
  <c r="JY63" i="1" s="1"/>
  <c r="JZ63" i="1" s="1"/>
  <c r="KA63" i="1" s="1"/>
  <c r="KB63" i="1" s="1"/>
  <c r="KC63" i="1" s="1"/>
  <c r="KD63" i="1" s="1"/>
  <c r="KE63" i="1" s="1"/>
  <c r="KF63" i="1" s="1"/>
  <c r="KG63" i="1" s="1"/>
  <c r="KH63" i="1" s="1"/>
  <c r="KI63" i="1" s="1"/>
  <c r="KJ63" i="1" s="1"/>
  <c r="KK63" i="1" s="1"/>
  <c r="KL63" i="1" s="1"/>
  <c r="KM63" i="1" s="1"/>
  <c r="KN63" i="1" s="1"/>
  <c r="KO63" i="1" s="1"/>
  <c r="KP63" i="1" s="1"/>
  <c r="KQ63" i="1" s="1"/>
  <c r="KR63" i="1" s="1"/>
  <c r="KS63" i="1" s="1"/>
  <c r="KT63" i="1" s="1"/>
  <c r="KU63" i="1" s="1"/>
  <c r="KV63" i="1" s="1"/>
  <c r="KW63" i="1" s="1"/>
  <c r="KX63" i="1" s="1"/>
  <c r="KY63" i="1" s="1"/>
  <c r="KZ63" i="1" s="1"/>
  <c r="LA63" i="1" s="1"/>
  <c r="LB63" i="1" s="1"/>
  <c r="LC63" i="1" s="1"/>
  <c r="LD63" i="1" s="1"/>
  <c r="LE63" i="1" s="1"/>
  <c r="LF63" i="1" s="1"/>
  <c r="LG63" i="1" s="1"/>
  <c r="LH63" i="1" s="1"/>
  <c r="LI63" i="1" s="1"/>
  <c r="LJ63" i="1" s="1"/>
  <c r="LK63" i="1" s="1"/>
  <c r="LL63" i="1" s="1"/>
  <c r="LM63" i="1" s="1"/>
  <c r="LN63" i="1" s="1"/>
  <c r="LO63" i="1" s="1"/>
  <c r="LP63" i="1" s="1"/>
  <c r="LQ63" i="1" s="1"/>
  <c r="LR63" i="1" s="1"/>
  <c r="LS63" i="1" s="1"/>
  <c r="LT63" i="1" s="1"/>
  <c r="LU63" i="1" s="1"/>
  <c r="LV63" i="1" s="1"/>
  <c r="LW63" i="1" s="1"/>
  <c r="LX63" i="1" s="1"/>
  <c r="LY63" i="1" s="1"/>
  <c r="LZ63" i="1" s="1"/>
  <c r="MA63" i="1" s="1"/>
  <c r="MB63" i="1" s="1"/>
  <c r="MC63" i="1" s="1"/>
  <c r="MD63" i="1" s="1"/>
  <c r="ME63" i="1" s="1"/>
  <c r="MF63" i="1" s="1"/>
  <c r="MG63" i="1" s="1"/>
  <c r="MH63" i="1" s="1"/>
  <c r="MI63" i="1" s="1"/>
  <c r="MJ63" i="1" s="1"/>
  <c r="MK63" i="1" s="1"/>
  <c r="ML63" i="1" s="1"/>
  <c r="MM63" i="1" s="1"/>
  <c r="MN63" i="1" s="1"/>
  <c r="MO63" i="1" s="1"/>
  <c r="MP63" i="1" s="1"/>
  <c r="MQ63" i="1" s="1"/>
  <c r="MR63" i="1" s="1"/>
  <c r="MS63" i="1" s="1"/>
  <c r="MT63" i="1" s="1"/>
  <c r="MU63" i="1" s="1"/>
  <c r="MV63" i="1" s="1"/>
  <c r="MW63" i="1" s="1"/>
  <c r="MX63" i="1" s="1"/>
  <c r="MY63" i="1" s="1"/>
  <c r="MZ63" i="1" s="1"/>
  <c r="NA63" i="1" s="1"/>
  <c r="NB63" i="1" s="1"/>
  <c r="NC63" i="1" s="1"/>
  <c r="ND63" i="1" s="1"/>
  <c r="NE63" i="1" s="1"/>
  <c r="NF63" i="1" s="1"/>
  <c r="NG63" i="1" s="1"/>
  <c r="NH63" i="1" s="1"/>
  <c r="NI63" i="1" s="1"/>
  <c r="NJ63" i="1" s="1"/>
  <c r="NK63" i="1" s="1"/>
  <c r="NL63" i="1" s="1"/>
  <c r="NM63" i="1" s="1"/>
  <c r="NN63" i="1" s="1"/>
  <c r="NO63" i="1" s="1"/>
  <c r="NP63" i="1" s="1"/>
  <c r="NQ63" i="1" s="1"/>
  <c r="NR63" i="1" s="1"/>
  <c r="NS63" i="1" s="1"/>
  <c r="NT63" i="1" s="1"/>
  <c r="NU63" i="1" s="1"/>
  <c r="NV63" i="1" s="1"/>
  <c r="NW63" i="1" s="1"/>
  <c r="HA46" i="1"/>
  <c r="HB46" i="1" s="1"/>
  <c r="HC46" i="1" s="1"/>
  <c r="HD46" i="1" s="1"/>
  <c r="HE46" i="1" s="1"/>
  <c r="HF46" i="1" s="1"/>
  <c r="HG46" i="1" s="1"/>
  <c r="HH46" i="1" s="1"/>
  <c r="HI46" i="1" s="1"/>
  <c r="HJ46" i="1" s="1"/>
  <c r="HK46" i="1" s="1"/>
  <c r="HL46" i="1" s="1"/>
  <c r="HM46" i="1" s="1"/>
  <c r="HN46" i="1" s="1"/>
  <c r="HO46" i="1" s="1"/>
  <c r="HP46" i="1" s="1"/>
  <c r="HQ46" i="1" s="1"/>
  <c r="HR46" i="1" s="1"/>
  <c r="HS46" i="1" s="1"/>
  <c r="HT46" i="1" s="1"/>
  <c r="HU46" i="1" s="1"/>
  <c r="HV46" i="1" s="1"/>
  <c r="HW46" i="1" s="1"/>
  <c r="HX46" i="1" s="1"/>
  <c r="HY46" i="1" s="1"/>
  <c r="HZ46" i="1" s="1"/>
  <c r="IA46" i="1" s="1"/>
  <c r="IB46" i="1" s="1"/>
  <c r="IC46" i="1" s="1"/>
  <c r="ID46" i="1" s="1"/>
  <c r="IE46" i="1" s="1"/>
  <c r="IF46" i="1" s="1"/>
  <c r="IG46" i="1" s="1"/>
  <c r="IH46" i="1" s="1"/>
  <c r="II46" i="1" s="1"/>
  <c r="IJ46" i="1" s="1"/>
  <c r="IK46" i="1" s="1"/>
  <c r="IL46" i="1" s="1"/>
  <c r="IM46" i="1" s="1"/>
  <c r="IN46" i="1" s="1"/>
  <c r="IO46" i="1" s="1"/>
  <c r="IP46" i="1" s="1"/>
  <c r="IQ46" i="1" s="1"/>
  <c r="IR46" i="1" s="1"/>
  <c r="IS46" i="1" s="1"/>
  <c r="IT46" i="1" s="1"/>
  <c r="IU46" i="1" s="1"/>
  <c r="IV46" i="1" s="1"/>
  <c r="IW46" i="1" s="1"/>
  <c r="IX46" i="1" s="1"/>
  <c r="IY46" i="1" s="1"/>
  <c r="IZ46" i="1" s="1"/>
  <c r="JA46" i="1" s="1"/>
  <c r="JB46" i="1" s="1"/>
  <c r="JC46" i="1" s="1"/>
  <c r="JD46" i="1" s="1"/>
  <c r="JE46" i="1" s="1"/>
  <c r="JF46" i="1" s="1"/>
  <c r="JG46" i="1" s="1"/>
  <c r="JH46" i="1" s="1"/>
  <c r="JI46" i="1" s="1"/>
  <c r="JJ46" i="1" s="1"/>
  <c r="JK46" i="1" s="1"/>
  <c r="JL46" i="1" s="1"/>
  <c r="JM46" i="1" s="1"/>
  <c r="JN46" i="1" s="1"/>
  <c r="JO46" i="1" s="1"/>
  <c r="JP46" i="1" s="1"/>
  <c r="JQ46" i="1" s="1"/>
  <c r="JR46" i="1" s="1"/>
  <c r="JS46" i="1" s="1"/>
  <c r="JT46" i="1" s="1"/>
  <c r="JU46" i="1" s="1"/>
  <c r="JV46" i="1" s="1"/>
  <c r="JW46" i="1" s="1"/>
  <c r="JX46" i="1" s="1"/>
  <c r="JY46" i="1" s="1"/>
  <c r="JZ46" i="1" s="1"/>
  <c r="KA46" i="1" s="1"/>
  <c r="KB46" i="1" s="1"/>
  <c r="KC46" i="1" s="1"/>
  <c r="KD46" i="1" s="1"/>
  <c r="KE46" i="1" s="1"/>
  <c r="KF46" i="1" s="1"/>
  <c r="KG46" i="1" s="1"/>
  <c r="KH46" i="1" s="1"/>
  <c r="KI46" i="1" s="1"/>
  <c r="KJ46" i="1" s="1"/>
  <c r="KK46" i="1" s="1"/>
  <c r="KL46" i="1" s="1"/>
  <c r="KM46" i="1" s="1"/>
  <c r="KN46" i="1" s="1"/>
  <c r="KO46" i="1" s="1"/>
  <c r="KP46" i="1" s="1"/>
  <c r="KQ46" i="1" s="1"/>
  <c r="KR46" i="1" s="1"/>
  <c r="KS46" i="1" s="1"/>
  <c r="KT46" i="1" s="1"/>
  <c r="KU46" i="1" s="1"/>
  <c r="KV46" i="1" s="1"/>
  <c r="KW46" i="1" s="1"/>
  <c r="KX46" i="1" s="1"/>
  <c r="KY46" i="1" s="1"/>
  <c r="KZ46" i="1" s="1"/>
  <c r="LA46" i="1" s="1"/>
  <c r="LB46" i="1" s="1"/>
  <c r="LC46" i="1" s="1"/>
  <c r="LD46" i="1" s="1"/>
  <c r="LE46" i="1" s="1"/>
  <c r="LF46" i="1" s="1"/>
  <c r="LG46" i="1" s="1"/>
  <c r="LH46" i="1" s="1"/>
  <c r="LI46" i="1" s="1"/>
  <c r="LJ46" i="1" s="1"/>
  <c r="LK46" i="1" s="1"/>
  <c r="LL46" i="1" s="1"/>
  <c r="LM46" i="1" s="1"/>
  <c r="LN46" i="1" s="1"/>
  <c r="LO46" i="1" s="1"/>
  <c r="LP46" i="1" s="1"/>
  <c r="LQ46" i="1" s="1"/>
  <c r="LR46" i="1" s="1"/>
  <c r="LS46" i="1" s="1"/>
  <c r="LT46" i="1" s="1"/>
  <c r="LU46" i="1" s="1"/>
  <c r="LV46" i="1" s="1"/>
  <c r="LW46" i="1" s="1"/>
  <c r="LX46" i="1" s="1"/>
  <c r="LY46" i="1" s="1"/>
  <c r="LZ46" i="1" s="1"/>
  <c r="MA46" i="1" s="1"/>
  <c r="MB46" i="1" s="1"/>
  <c r="MC46" i="1" s="1"/>
  <c r="MD46" i="1" s="1"/>
  <c r="ME46" i="1" s="1"/>
  <c r="MF46" i="1" s="1"/>
  <c r="MG46" i="1" s="1"/>
  <c r="MH46" i="1" s="1"/>
  <c r="MI46" i="1" s="1"/>
  <c r="MJ46" i="1" s="1"/>
  <c r="MK46" i="1" s="1"/>
  <c r="ML46" i="1" s="1"/>
  <c r="MM46" i="1" s="1"/>
  <c r="MN46" i="1" s="1"/>
  <c r="MO46" i="1" s="1"/>
  <c r="MP46" i="1" s="1"/>
  <c r="MQ46" i="1" s="1"/>
  <c r="MR46" i="1" s="1"/>
  <c r="MS46" i="1" s="1"/>
  <c r="MT46" i="1" s="1"/>
  <c r="MU46" i="1" s="1"/>
  <c r="MV46" i="1" s="1"/>
  <c r="MW46" i="1" s="1"/>
  <c r="MX46" i="1" s="1"/>
  <c r="MY46" i="1" s="1"/>
  <c r="MZ46" i="1" s="1"/>
  <c r="NA46" i="1" s="1"/>
  <c r="NB46" i="1" s="1"/>
  <c r="NC46" i="1" s="1"/>
  <c r="ND46" i="1" s="1"/>
  <c r="NE46" i="1" s="1"/>
  <c r="NF46" i="1" s="1"/>
  <c r="NG46" i="1" s="1"/>
  <c r="NH46" i="1" s="1"/>
  <c r="NI46" i="1" s="1"/>
  <c r="NJ46" i="1" s="1"/>
  <c r="NK46" i="1" s="1"/>
  <c r="NL46" i="1" s="1"/>
  <c r="NM46" i="1" s="1"/>
  <c r="NN46" i="1" s="1"/>
  <c r="NO46" i="1" s="1"/>
  <c r="NP46" i="1" s="1"/>
  <c r="NQ46" i="1" s="1"/>
  <c r="NR46" i="1" s="1"/>
  <c r="NS46" i="1" s="1"/>
  <c r="NT46" i="1" s="1"/>
  <c r="NU46" i="1" s="1"/>
  <c r="NV46" i="1" s="1"/>
  <c r="NW46" i="1" s="1"/>
  <c r="U66" i="1"/>
  <c r="V66" i="1" s="1"/>
  <c r="W66" i="1" s="1"/>
  <c r="X66" i="1" s="1"/>
  <c r="Y66" i="1" s="1"/>
  <c r="Z66" i="1" s="1"/>
  <c r="AA66" i="1" s="1"/>
  <c r="AB66" i="1" s="1"/>
  <c r="AC66" i="1" s="1"/>
  <c r="AD66" i="1" s="1"/>
  <c r="AE66" i="1" s="1"/>
  <c r="AF66" i="1" s="1"/>
  <c r="AG66" i="1" s="1"/>
  <c r="AH66" i="1" s="1"/>
  <c r="AI66" i="1" s="1"/>
  <c r="AJ66" i="1" s="1"/>
  <c r="AK66" i="1" s="1"/>
  <c r="AL66" i="1" s="1"/>
  <c r="AM66" i="1" s="1"/>
  <c r="AN66" i="1" s="1"/>
  <c r="AO66" i="1" s="1"/>
  <c r="AP66" i="1" s="1"/>
  <c r="AQ66" i="1" s="1"/>
  <c r="AR66" i="1" s="1"/>
  <c r="AS66" i="1" s="1"/>
  <c r="AT66" i="1" s="1"/>
  <c r="AU66" i="1" s="1"/>
  <c r="AV66" i="1" s="1"/>
  <c r="AW66" i="1" s="1"/>
  <c r="AX66" i="1" s="1"/>
  <c r="AY66" i="1" s="1"/>
  <c r="AZ66" i="1" s="1"/>
  <c r="BA66" i="1" s="1"/>
  <c r="BB66" i="1" s="1"/>
  <c r="BC66" i="1" s="1"/>
  <c r="BD66" i="1" s="1"/>
  <c r="BE66" i="1" s="1"/>
  <c r="BF66" i="1" s="1"/>
  <c r="BG66" i="1" s="1"/>
  <c r="BH66" i="1" s="1"/>
  <c r="BI66" i="1" s="1"/>
  <c r="BJ66" i="1" s="1"/>
  <c r="BK66" i="1" s="1"/>
  <c r="BL66" i="1" s="1"/>
  <c r="BM66" i="1" s="1"/>
  <c r="BN66" i="1" s="1"/>
  <c r="BO66" i="1" s="1"/>
  <c r="BP66" i="1" s="1"/>
  <c r="BQ66" i="1" s="1"/>
  <c r="BR66" i="1" s="1"/>
  <c r="BS66" i="1" s="1"/>
  <c r="BT66" i="1" s="1"/>
  <c r="BU66" i="1" s="1"/>
  <c r="BV66" i="1" s="1"/>
  <c r="BW66" i="1" s="1"/>
  <c r="BX66" i="1" s="1"/>
  <c r="BY66" i="1" s="1"/>
  <c r="BZ66" i="1" s="1"/>
  <c r="CA66" i="1" s="1"/>
  <c r="CB66" i="1" s="1"/>
  <c r="CC66" i="1" s="1"/>
  <c r="CD66" i="1" s="1"/>
  <c r="CE66" i="1" s="1"/>
  <c r="CF66" i="1" s="1"/>
  <c r="CG66" i="1" s="1"/>
  <c r="CH66" i="1" s="1"/>
  <c r="CI66" i="1" s="1"/>
  <c r="CJ66" i="1" s="1"/>
  <c r="CK66" i="1" s="1"/>
  <c r="CL66" i="1" s="1"/>
  <c r="CM66" i="1" s="1"/>
  <c r="CN66" i="1" s="1"/>
  <c r="CO66" i="1" s="1"/>
  <c r="CP66" i="1" s="1"/>
  <c r="CQ66" i="1" s="1"/>
  <c r="CR66" i="1" s="1"/>
  <c r="CS66" i="1" s="1"/>
  <c r="CT66" i="1" s="1"/>
  <c r="CU66" i="1" s="1"/>
  <c r="CV66" i="1" s="1"/>
  <c r="CW66" i="1" s="1"/>
  <c r="CX66" i="1" s="1"/>
  <c r="CY66" i="1" s="1"/>
  <c r="CZ66" i="1" s="1"/>
  <c r="DA66" i="1" s="1"/>
  <c r="DB66" i="1" s="1"/>
  <c r="DC66" i="1" s="1"/>
  <c r="DD66" i="1" s="1"/>
  <c r="DE66" i="1" s="1"/>
  <c r="DF66" i="1" s="1"/>
  <c r="DG66" i="1" s="1"/>
  <c r="DH66" i="1" s="1"/>
  <c r="DI66" i="1" s="1"/>
  <c r="DJ66" i="1" s="1"/>
  <c r="DK66" i="1" s="1"/>
  <c r="DL66" i="1" s="1"/>
  <c r="DM66" i="1" s="1"/>
  <c r="DN66" i="1" s="1"/>
  <c r="DO66" i="1" s="1"/>
  <c r="DP66" i="1" s="1"/>
  <c r="DQ66" i="1" s="1"/>
  <c r="DR66" i="1" s="1"/>
  <c r="DS66" i="1" s="1"/>
  <c r="DT66" i="1" s="1"/>
  <c r="DU66" i="1" s="1"/>
  <c r="DV66" i="1" s="1"/>
  <c r="DW66" i="1" s="1"/>
  <c r="DX66" i="1" s="1"/>
  <c r="DY66" i="1" s="1"/>
  <c r="DZ66" i="1" s="1"/>
  <c r="EA66" i="1" s="1"/>
  <c r="EB66" i="1" s="1"/>
  <c r="EC66" i="1" s="1"/>
  <c r="ED66" i="1" s="1"/>
  <c r="EE66" i="1" s="1"/>
  <c r="EF66" i="1" s="1"/>
  <c r="EG66" i="1" s="1"/>
  <c r="EH66" i="1" s="1"/>
  <c r="EI66" i="1" s="1"/>
  <c r="EJ66" i="1" s="1"/>
  <c r="EK66" i="1" s="1"/>
  <c r="EL66" i="1" s="1"/>
  <c r="EM66" i="1" s="1"/>
  <c r="EN66" i="1" s="1"/>
  <c r="EO66" i="1" s="1"/>
  <c r="EP66" i="1" s="1"/>
  <c r="EQ66" i="1" s="1"/>
  <c r="ER66" i="1" s="1"/>
  <c r="ES66" i="1" s="1"/>
  <c r="ET66" i="1" s="1"/>
  <c r="EU66" i="1" s="1"/>
  <c r="EV66" i="1" s="1"/>
  <c r="EW66" i="1" s="1"/>
  <c r="EX66" i="1" s="1"/>
  <c r="EY66" i="1" s="1"/>
  <c r="EZ66" i="1" s="1"/>
  <c r="FA66" i="1" s="1"/>
  <c r="FB66" i="1" s="1"/>
  <c r="FC66" i="1" s="1"/>
  <c r="FD66" i="1" s="1"/>
  <c r="FE66" i="1" s="1"/>
  <c r="FF66" i="1" s="1"/>
  <c r="FG66" i="1" s="1"/>
  <c r="FH66" i="1" s="1"/>
  <c r="FI66" i="1" s="1"/>
  <c r="FJ66" i="1" s="1"/>
  <c r="FK66" i="1" s="1"/>
  <c r="FL66" i="1" s="1"/>
  <c r="FM66" i="1" s="1"/>
  <c r="FN66" i="1" s="1"/>
  <c r="FO66" i="1" s="1"/>
  <c r="FP66" i="1" s="1"/>
  <c r="FQ66" i="1" s="1"/>
  <c r="FR66" i="1" s="1"/>
  <c r="FS66" i="1" s="1"/>
  <c r="FT66" i="1" s="1"/>
  <c r="FU66" i="1" s="1"/>
  <c r="FV66" i="1" s="1"/>
  <c r="FW66" i="1" s="1"/>
  <c r="FX66" i="1" s="1"/>
  <c r="FY66" i="1" s="1"/>
  <c r="FZ66" i="1" s="1"/>
  <c r="GA66" i="1" s="1"/>
  <c r="GB66" i="1" s="1"/>
  <c r="GC66" i="1" s="1"/>
  <c r="GD66" i="1" s="1"/>
  <c r="GE66" i="1" s="1"/>
  <c r="GF66" i="1" s="1"/>
  <c r="GG66" i="1" s="1"/>
  <c r="GH66" i="1" s="1"/>
  <c r="GI66" i="1" s="1"/>
  <c r="GJ66" i="1" s="1"/>
  <c r="GK66" i="1" s="1"/>
  <c r="GL66" i="1" s="1"/>
  <c r="GM66" i="1" s="1"/>
  <c r="GN66" i="1" s="1"/>
  <c r="GO66" i="1" s="1"/>
  <c r="GP66" i="1" s="1"/>
  <c r="GQ66" i="1" s="1"/>
  <c r="GV41" i="1"/>
  <c r="GU41" i="1"/>
  <c r="GS41" i="1"/>
  <c r="H41" i="1"/>
  <c r="GW41" i="1" s="1"/>
  <c r="GX41" i="1" s="1"/>
  <c r="GV40" i="1"/>
  <c r="GU40" i="1"/>
  <c r="GT40" i="1"/>
  <c r="GS40" i="1"/>
  <c r="H40" i="1"/>
  <c r="GW40" i="1" s="1"/>
  <c r="L32" i="1" l="1"/>
  <c r="L33" i="1" s="1"/>
  <c r="L8" i="1"/>
  <c r="J42" i="1" s="1"/>
  <c r="L38" i="1"/>
  <c r="J80" i="1"/>
  <c r="K80" i="1"/>
  <c r="K82" i="1"/>
  <c r="J82" i="1"/>
  <c r="J81" i="1"/>
  <c r="K81" i="1"/>
  <c r="J79" i="1"/>
  <c r="K79" i="1"/>
  <c r="F90" i="1"/>
  <c r="L10" i="1" s="1"/>
  <c r="L90" i="1"/>
  <c r="H34" i="3" s="1"/>
  <c r="GX40" i="1"/>
  <c r="GZ40" i="1" s="1"/>
  <c r="L22" i="1" l="1"/>
  <c r="L24" i="1"/>
  <c r="H15" i="3"/>
  <c r="J25" i="1"/>
  <c r="J40" i="1"/>
  <c r="J32" i="1"/>
  <c r="GT32" i="1"/>
  <c r="GZ32" i="1" s="1"/>
  <c r="T32" i="1" s="1"/>
  <c r="GT78" i="1"/>
  <c r="J85" i="3"/>
  <c r="O10" i="3"/>
  <c r="H19" i="3" s="1"/>
  <c r="L91" i="1"/>
  <c r="H35" i="3" s="1"/>
  <c r="J90" i="1"/>
  <c r="T40" i="1"/>
  <c r="GT33" i="1" l="1"/>
  <c r="GZ33" i="1" s="1"/>
  <c r="T33" i="1" s="1"/>
  <c r="J33" i="1"/>
  <c r="GT24" i="1"/>
  <c r="GZ24" i="1" s="1"/>
  <c r="T24" i="1" s="1"/>
  <c r="J24" i="1"/>
  <c r="L92" i="1"/>
  <c r="H36" i="3" s="1"/>
  <c r="J91" i="1"/>
  <c r="H50" i="1"/>
  <c r="B51" i="1"/>
  <c r="I90" i="3" s="1"/>
  <c r="J92" i="1" l="1"/>
  <c r="T90" i="1"/>
  <c r="P4" i="3"/>
  <c r="T3" i="1"/>
  <c r="GZ3" i="1" s="1"/>
  <c r="U4" i="1"/>
  <c r="F27" i="1"/>
  <c r="E27" i="1"/>
  <c r="B27" i="1"/>
  <c r="GV26" i="1"/>
  <c r="GU26" i="1"/>
  <c r="GT26" i="1"/>
  <c r="GS26" i="1"/>
  <c r="J26" i="1"/>
  <c r="H26" i="1"/>
  <c r="GW26" i="1" s="1"/>
  <c r="GX26" i="1" s="1"/>
  <c r="GV23" i="1"/>
  <c r="GU23" i="1"/>
  <c r="GT23" i="1"/>
  <c r="GS23" i="1"/>
  <c r="J23" i="1"/>
  <c r="H23" i="1"/>
  <c r="GW23" i="1" s="1"/>
  <c r="GV22" i="1"/>
  <c r="GU22" i="1"/>
  <c r="GT22" i="1"/>
  <c r="GS22" i="1"/>
  <c r="J22" i="1"/>
  <c r="H22" i="1"/>
  <c r="GW22" i="1" s="1"/>
  <c r="HA21" i="1"/>
  <c r="HB21" i="1" s="1"/>
  <c r="HC21" i="1" s="1"/>
  <c r="HD21" i="1" s="1"/>
  <c r="HE21" i="1" s="1"/>
  <c r="HF21" i="1" s="1"/>
  <c r="HG21" i="1" s="1"/>
  <c r="HH21" i="1" s="1"/>
  <c r="HI21" i="1" s="1"/>
  <c r="HJ21" i="1" s="1"/>
  <c r="HK21" i="1" s="1"/>
  <c r="HL21" i="1" s="1"/>
  <c r="HM21" i="1" s="1"/>
  <c r="HN21" i="1" s="1"/>
  <c r="HO21" i="1" s="1"/>
  <c r="HP21" i="1" s="1"/>
  <c r="HQ21" i="1" s="1"/>
  <c r="HR21" i="1" s="1"/>
  <c r="HS21" i="1" s="1"/>
  <c r="HT21" i="1" s="1"/>
  <c r="HU21" i="1" s="1"/>
  <c r="HV21" i="1" s="1"/>
  <c r="HW21" i="1" s="1"/>
  <c r="HX21" i="1" s="1"/>
  <c r="HY21" i="1" s="1"/>
  <c r="HZ21" i="1" s="1"/>
  <c r="IA21" i="1" s="1"/>
  <c r="IB21" i="1" s="1"/>
  <c r="IC21" i="1" s="1"/>
  <c r="ID21" i="1" s="1"/>
  <c r="IE21" i="1" s="1"/>
  <c r="IF21" i="1" s="1"/>
  <c r="IG21" i="1" s="1"/>
  <c r="IH21" i="1" s="1"/>
  <c r="II21" i="1" s="1"/>
  <c r="IJ21" i="1" s="1"/>
  <c r="IK21" i="1" s="1"/>
  <c r="IL21" i="1" s="1"/>
  <c r="IM21" i="1" s="1"/>
  <c r="IN21" i="1" s="1"/>
  <c r="IO21" i="1" s="1"/>
  <c r="IP21" i="1" s="1"/>
  <c r="IQ21" i="1" s="1"/>
  <c r="IR21" i="1" s="1"/>
  <c r="IS21" i="1" s="1"/>
  <c r="IT21" i="1" s="1"/>
  <c r="IU21" i="1" s="1"/>
  <c r="IV21" i="1" s="1"/>
  <c r="IW21" i="1" s="1"/>
  <c r="IX21" i="1" s="1"/>
  <c r="IY21" i="1" s="1"/>
  <c r="IZ21" i="1" s="1"/>
  <c r="JA21" i="1" s="1"/>
  <c r="JB21" i="1" s="1"/>
  <c r="JC21" i="1" s="1"/>
  <c r="JD21" i="1" s="1"/>
  <c r="JE21" i="1" s="1"/>
  <c r="JF21" i="1" s="1"/>
  <c r="JG21" i="1" s="1"/>
  <c r="JH21" i="1" s="1"/>
  <c r="JI21" i="1" s="1"/>
  <c r="JJ21" i="1" s="1"/>
  <c r="JK21" i="1" s="1"/>
  <c r="JL21" i="1" s="1"/>
  <c r="JM21" i="1" s="1"/>
  <c r="JN21" i="1" s="1"/>
  <c r="JO21" i="1" s="1"/>
  <c r="JP21" i="1" s="1"/>
  <c r="JQ21" i="1" s="1"/>
  <c r="JR21" i="1" s="1"/>
  <c r="JS21" i="1" s="1"/>
  <c r="JT21" i="1" s="1"/>
  <c r="JU21" i="1" s="1"/>
  <c r="JV21" i="1" s="1"/>
  <c r="JW21" i="1" s="1"/>
  <c r="JX21" i="1" s="1"/>
  <c r="JY21" i="1" s="1"/>
  <c r="JZ21" i="1" s="1"/>
  <c r="KA21" i="1" s="1"/>
  <c r="KB21" i="1" s="1"/>
  <c r="KC21" i="1" s="1"/>
  <c r="KD21" i="1" s="1"/>
  <c r="KE21" i="1" s="1"/>
  <c r="KF21" i="1" s="1"/>
  <c r="KG21" i="1" s="1"/>
  <c r="KH21" i="1" s="1"/>
  <c r="KI21" i="1" s="1"/>
  <c r="KJ21" i="1" s="1"/>
  <c r="KK21" i="1" s="1"/>
  <c r="KL21" i="1" s="1"/>
  <c r="KM21" i="1" s="1"/>
  <c r="KN21" i="1" s="1"/>
  <c r="KO21" i="1" s="1"/>
  <c r="KP21" i="1" s="1"/>
  <c r="KQ21" i="1" s="1"/>
  <c r="KR21" i="1" s="1"/>
  <c r="KS21" i="1" s="1"/>
  <c r="KT21" i="1" s="1"/>
  <c r="KU21" i="1" s="1"/>
  <c r="KV21" i="1" s="1"/>
  <c r="KW21" i="1" s="1"/>
  <c r="KX21" i="1" s="1"/>
  <c r="KY21" i="1" s="1"/>
  <c r="KZ21" i="1" s="1"/>
  <c r="LA21" i="1" s="1"/>
  <c r="LB21" i="1" s="1"/>
  <c r="LC21" i="1" s="1"/>
  <c r="LD21" i="1" s="1"/>
  <c r="LE21" i="1" s="1"/>
  <c r="LF21" i="1" s="1"/>
  <c r="LG21" i="1" s="1"/>
  <c r="LH21" i="1" s="1"/>
  <c r="LI21" i="1" s="1"/>
  <c r="LJ21" i="1" s="1"/>
  <c r="LK21" i="1" s="1"/>
  <c r="LL21" i="1" s="1"/>
  <c r="LM21" i="1" s="1"/>
  <c r="LN21" i="1" s="1"/>
  <c r="LO21" i="1" s="1"/>
  <c r="LP21" i="1" s="1"/>
  <c r="LQ21" i="1" s="1"/>
  <c r="LR21" i="1" s="1"/>
  <c r="LS21" i="1" s="1"/>
  <c r="LT21" i="1" s="1"/>
  <c r="LU21" i="1" s="1"/>
  <c r="LV21" i="1" s="1"/>
  <c r="LW21" i="1" s="1"/>
  <c r="LX21" i="1" s="1"/>
  <c r="LY21" i="1" s="1"/>
  <c r="LZ21" i="1" s="1"/>
  <c r="MA21" i="1" s="1"/>
  <c r="MB21" i="1" s="1"/>
  <c r="MC21" i="1" s="1"/>
  <c r="MD21" i="1" s="1"/>
  <c r="ME21" i="1" s="1"/>
  <c r="MF21" i="1" s="1"/>
  <c r="MG21" i="1" s="1"/>
  <c r="MH21" i="1" s="1"/>
  <c r="MI21" i="1" s="1"/>
  <c r="MJ21" i="1" s="1"/>
  <c r="MK21" i="1" s="1"/>
  <c r="ML21" i="1" s="1"/>
  <c r="MM21" i="1" s="1"/>
  <c r="MN21" i="1" s="1"/>
  <c r="MO21" i="1" s="1"/>
  <c r="MP21" i="1" s="1"/>
  <c r="MQ21" i="1" s="1"/>
  <c r="MR21" i="1" s="1"/>
  <c r="MS21" i="1" s="1"/>
  <c r="MT21" i="1" s="1"/>
  <c r="MU21" i="1" s="1"/>
  <c r="MV21" i="1" s="1"/>
  <c r="MW21" i="1" s="1"/>
  <c r="MX21" i="1" s="1"/>
  <c r="MY21" i="1" s="1"/>
  <c r="MZ21" i="1" s="1"/>
  <c r="NA21" i="1" s="1"/>
  <c r="NB21" i="1" s="1"/>
  <c r="NC21" i="1" s="1"/>
  <c r="ND21" i="1" s="1"/>
  <c r="NE21" i="1" s="1"/>
  <c r="NF21" i="1" s="1"/>
  <c r="NG21" i="1" s="1"/>
  <c r="NH21" i="1" s="1"/>
  <c r="NI21" i="1" s="1"/>
  <c r="NJ21" i="1" s="1"/>
  <c r="NK21" i="1" s="1"/>
  <c r="NL21" i="1" s="1"/>
  <c r="NM21" i="1" s="1"/>
  <c r="NN21" i="1" s="1"/>
  <c r="NO21" i="1" s="1"/>
  <c r="NP21" i="1" s="1"/>
  <c r="NQ21" i="1" s="1"/>
  <c r="NR21" i="1" s="1"/>
  <c r="NS21" i="1" s="1"/>
  <c r="NT21" i="1" s="1"/>
  <c r="NU21" i="1" s="1"/>
  <c r="NV21" i="1" s="1"/>
  <c r="NW21" i="1" s="1"/>
  <c r="GV21" i="1"/>
  <c r="GU21" i="1"/>
  <c r="GS21" i="1"/>
  <c r="F35" i="1"/>
  <c r="E35" i="1"/>
  <c r="B35" i="1"/>
  <c r="GV34" i="1"/>
  <c r="GU34" i="1"/>
  <c r="GT34" i="1"/>
  <c r="GS34" i="1"/>
  <c r="J34" i="1"/>
  <c r="H34" i="1"/>
  <c r="GW34" i="1" s="1"/>
  <c r="GX34" i="1" s="1"/>
  <c r="GV31" i="1"/>
  <c r="GU31" i="1"/>
  <c r="GT31" i="1"/>
  <c r="GS31" i="1"/>
  <c r="J31" i="1"/>
  <c r="H31" i="1"/>
  <c r="GW31" i="1" s="1"/>
  <c r="GX31" i="1" s="1"/>
  <c r="GV30" i="1"/>
  <c r="GU30" i="1"/>
  <c r="GT30" i="1"/>
  <c r="GS30" i="1"/>
  <c r="J30" i="1"/>
  <c r="H30" i="1"/>
  <c r="GW30" i="1" s="1"/>
  <c r="HA29" i="1"/>
  <c r="HB29" i="1" s="1"/>
  <c r="HC29" i="1" s="1"/>
  <c r="HD29" i="1" s="1"/>
  <c r="HE29" i="1" s="1"/>
  <c r="HF29" i="1" s="1"/>
  <c r="HG29" i="1" s="1"/>
  <c r="HH29" i="1" s="1"/>
  <c r="HI29" i="1" s="1"/>
  <c r="HJ29" i="1" s="1"/>
  <c r="HK29" i="1" s="1"/>
  <c r="HL29" i="1" s="1"/>
  <c r="HM29" i="1" s="1"/>
  <c r="HN29" i="1" s="1"/>
  <c r="HO29" i="1" s="1"/>
  <c r="HP29" i="1" s="1"/>
  <c r="HQ29" i="1" s="1"/>
  <c r="HR29" i="1" s="1"/>
  <c r="HS29" i="1" s="1"/>
  <c r="HT29" i="1" s="1"/>
  <c r="HU29" i="1" s="1"/>
  <c r="HV29" i="1" s="1"/>
  <c r="HW29" i="1" s="1"/>
  <c r="HX29" i="1" s="1"/>
  <c r="HY29" i="1" s="1"/>
  <c r="HZ29" i="1" s="1"/>
  <c r="IA29" i="1" s="1"/>
  <c r="IB29" i="1" s="1"/>
  <c r="IC29" i="1" s="1"/>
  <c r="ID29" i="1" s="1"/>
  <c r="IE29" i="1" s="1"/>
  <c r="IF29" i="1" s="1"/>
  <c r="IG29" i="1" s="1"/>
  <c r="IH29" i="1" s="1"/>
  <c r="II29" i="1" s="1"/>
  <c r="IJ29" i="1" s="1"/>
  <c r="IK29" i="1" s="1"/>
  <c r="IL29" i="1" s="1"/>
  <c r="IM29" i="1" s="1"/>
  <c r="IN29" i="1" s="1"/>
  <c r="IO29" i="1" s="1"/>
  <c r="IP29" i="1" s="1"/>
  <c r="IQ29" i="1" s="1"/>
  <c r="IR29" i="1" s="1"/>
  <c r="IS29" i="1" s="1"/>
  <c r="IT29" i="1" s="1"/>
  <c r="IU29" i="1" s="1"/>
  <c r="IV29" i="1" s="1"/>
  <c r="IW29" i="1" s="1"/>
  <c r="IX29" i="1" s="1"/>
  <c r="IY29" i="1" s="1"/>
  <c r="IZ29" i="1" s="1"/>
  <c r="JA29" i="1" s="1"/>
  <c r="JB29" i="1" s="1"/>
  <c r="JC29" i="1" s="1"/>
  <c r="JD29" i="1" s="1"/>
  <c r="JE29" i="1" s="1"/>
  <c r="JF29" i="1" s="1"/>
  <c r="JG29" i="1" s="1"/>
  <c r="JH29" i="1" s="1"/>
  <c r="JI29" i="1" s="1"/>
  <c r="JJ29" i="1" s="1"/>
  <c r="JK29" i="1" s="1"/>
  <c r="JL29" i="1" s="1"/>
  <c r="JM29" i="1" s="1"/>
  <c r="JN29" i="1" s="1"/>
  <c r="JO29" i="1" s="1"/>
  <c r="JP29" i="1" s="1"/>
  <c r="JQ29" i="1" s="1"/>
  <c r="JR29" i="1" s="1"/>
  <c r="JS29" i="1" s="1"/>
  <c r="JT29" i="1" s="1"/>
  <c r="JU29" i="1" s="1"/>
  <c r="JV29" i="1" s="1"/>
  <c r="JW29" i="1" s="1"/>
  <c r="JX29" i="1" s="1"/>
  <c r="JY29" i="1" s="1"/>
  <c r="JZ29" i="1" s="1"/>
  <c r="KA29" i="1" s="1"/>
  <c r="KB29" i="1" s="1"/>
  <c r="KC29" i="1" s="1"/>
  <c r="KD29" i="1" s="1"/>
  <c r="KE29" i="1" s="1"/>
  <c r="KF29" i="1" s="1"/>
  <c r="KG29" i="1" s="1"/>
  <c r="KH29" i="1" s="1"/>
  <c r="KI29" i="1" s="1"/>
  <c r="KJ29" i="1" s="1"/>
  <c r="KK29" i="1" s="1"/>
  <c r="KL29" i="1" s="1"/>
  <c r="KM29" i="1" s="1"/>
  <c r="KN29" i="1" s="1"/>
  <c r="KO29" i="1" s="1"/>
  <c r="KP29" i="1" s="1"/>
  <c r="KQ29" i="1" s="1"/>
  <c r="KR29" i="1" s="1"/>
  <c r="KS29" i="1" s="1"/>
  <c r="KT29" i="1" s="1"/>
  <c r="KU29" i="1" s="1"/>
  <c r="KV29" i="1" s="1"/>
  <c r="KW29" i="1" s="1"/>
  <c r="KX29" i="1" s="1"/>
  <c r="KY29" i="1" s="1"/>
  <c r="KZ29" i="1" s="1"/>
  <c r="LA29" i="1" s="1"/>
  <c r="LB29" i="1" s="1"/>
  <c r="LC29" i="1" s="1"/>
  <c r="LD29" i="1" s="1"/>
  <c r="LE29" i="1" s="1"/>
  <c r="LF29" i="1" s="1"/>
  <c r="LG29" i="1" s="1"/>
  <c r="LH29" i="1" s="1"/>
  <c r="LI29" i="1" s="1"/>
  <c r="LJ29" i="1" s="1"/>
  <c r="LK29" i="1" s="1"/>
  <c r="LL29" i="1" s="1"/>
  <c r="LM29" i="1" s="1"/>
  <c r="LN29" i="1" s="1"/>
  <c r="LO29" i="1" s="1"/>
  <c r="LP29" i="1" s="1"/>
  <c r="LQ29" i="1" s="1"/>
  <c r="LR29" i="1" s="1"/>
  <c r="LS29" i="1" s="1"/>
  <c r="LT29" i="1" s="1"/>
  <c r="LU29" i="1" s="1"/>
  <c r="LV29" i="1" s="1"/>
  <c r="LW29" i="1" s="1"/>
  <c r="LX29" i="1" s="1"/>
  <c r="LY29" i="1" s="1"/>
  <c r="LZ29" i="1" s="1"/>
  <c r="MA29" i="1" s="1"/>
  <c r="MB29" i="1" s="1"/>
  <c r="MC29" i="1" s="1"/>
  <c r="MD29" i="1" s="1"/>
  <c r="ME29" i="1" s="1"/>
  <c r="MF29" i="1" s="1"/>
  <c r="MG29" i="1" s="1"/>
  <c r="MH29" i="1" s="1"/>
  <c r="MI29" i="1" s="1"/>
  <c r="MJ29" i="1" s="1"/>
  <c r="MK29" i="1" s="1"/>
  <c r="ML29" i="1" s="1"/>
  <c r="MM29" i="1" s="1"/>
  <c r="MN29" i="1" s="1"/>
  <c r="MO29" i="1" s="1"/>
  <c r="MP29" i="1" s="1"/>
  <c r="MQ29" i="1" s="1"/>
  <c r="MR29" i="1" s="1"/>
  <c r="MS29" i="1" s="1"/>
  <c r="MT29" i="1" s="1"/>
  <c r="MU29" i="1" s="1"/>
  <c r="MV29" i="1" s="1"/>
  <c r="MW29" i="1" s="1"/>
  <c r="MX29" i="1" s="1"/>
  <c r="MY29" i="1" s="1"/>
  <c r="MZ29" i="1" s="1"/>
  <c r="NA29" i="1" s="1"/>
  <c r="NB29" i="1" s="1"/>
  <c r="NC29" i="1" s="1"/>
  <c r="ND29" i="1" s="1"/>
  <c r="NE29" i="1" s="1"/>
  <c r="NF29" i="1" s="1"/>
  <c r="NG29" i="1" s="1"/>
  <c r="NH29" i="1" s="1"/>
  <c r="NI29" i="1" s="1"/>
  <c r="NJ29" i="1" s="1"/>
  <c r="NK29" i="1" s="1"/>
  <c r="NL29" i="1" s="1"/>
  <c r="NM29" i="1" s="1"/>
  <c r="NN29" i="1" s="1"/>
  <c r="NO29" i="1" s="1"/>
  <c r="NP29" i="1" s="1"/>
  <c r="NQ29" i="1" s="1"/>
  <c r="NR29" i="1" s="1"/>
  <c r="NS29" i="1" s="1"/>
  <c r="NT29" i="1" s="1"/>
  <c r="NU29" i="1" s="1"/>
  <c r="NV29" i="1" s="1"/>
  <c r="NW29" i="1" s="1"/>
  <c r="GV29" i="1"/>
  <c r="GU29" i="1"/>
  <c r="GS29" i="1"/>
  <c r="F44" i="1"/>
  <c r="E44" i="1"/>
  <c r="B44" i="1"/>
  <c r="GV43" i="1"/>
  <c r="GU43" i="1"/>
  <c r="GS43" i="1"/>
  <c r="H43" i="1"/>
  <c r="GW43" i="1" s="1"/>
  <c r="GX43" i="1" s="1"/>
  <c r="GV39" i="1"/>
  <c r="GU39" i="1"/>
  <c r="GT39" i="1"/>
  <c r="GS39" i="1"/>
  <c r="J39" i="1"/>
  <c r="H39" i="1"/>
  <c r="GW39" i="1" s="1"/>
  <c r="GV38" i="1"/>
  <c r="GU38" i="1"/>
  <c r="GS38" i="1"/>
  <c r="H38" i="1"/>
  <c r="GW38" i="1" s="1"/>
  <c r="HA37" i="1"/>
  <c r="HB37" i="1" s="1"/>
  <c r="HC37" i="1" s="1"/>
  <c r="HD37" i="1" s="1"/>
  <c r="HE37" i="1" s="1"/>
  <c r="HF37" i="1" s="1"/>
  <c r="HG37" i="1" s="1"/>
  <c r="HH37" i="1" s="1"/>
  <c r="HI37" i="1" s="1"/>
  <c r="HJ37" i="1" s="1"/>
  <c r="HK37" i="1" s="1"/>
  <c r="HL37" i="1" s="1"/>
  <c r="HM37" i="1" s="1"/>
  <c r="HN37" i="1" s="1"/>
  <c r="HO37" i="1" s="1"/>
  <c r="HP37" i="1" s="1"/>
  <c r="HQ37" i="1" s="1"/>
  <c r="HR37" i="1" s="1"/>
  <c r="HS37" i="1" s="1"/>
  <c r="HT37" i="1" s="1"/>
  <c r="HU37" i="1" s="1"/>
  <c r="HV37" i="1" s="1"/>
  <c r="HW37" i="1" s="1"/>
  <c r="HX37" i="1" s="1"/>
  <c r="HY37" i="1" s="1"/>
  <c r="HZ37" i="1" s="1"/>
  <c r="IA37" i="1" s="1"/>
  <c r="IB37" i="1" s="1"/>
  <c r="IC37" i="1" s="1"/>
  <c r="ID37" i="1" s="1"/>
  <c r="IE37" i="1" s="1"/>
  <c r="IF37" i="1" s="1"/>
  <c r="IG37" i="1" s="1"/>
  <c r="IH37" i="1" s="1"/>
  <c r="II37" i="1" s="1"/>
  <c r="IJ37" i="1" s="1"/>
  <c r="IK37" i="1" s="1"/>
  <c r="IL37" i="1" s="1"/>
  <c r="IM37" i="1" s="1"/>
  <c r="IN37" i="1" s="1"/>
  <c r="IO37" i="1" s="1"/>
  <c r="IP37" i="1" s="1"/>
  <c r="IQ37" i="1" s="1"/>
  <c r="IR37" i="1" s="1"/>
  <c r="IS37" i="1" s="1"/>
  <c r="IT37" i="1" s="1"/>
  <c r="IU37" i="1" s="1"/>
  <c r="IV37" i="1" s="1"/>
  <c r="IW37" i="1" s="1"/>
  <c r="IX37" i="1" s="1"/>
  <c r="IY37" i="1" s="1"/>
  <c r="IZ37" i="1" s="1"/>
  <c r="JA37" i="1" s="1"/>
  <c r="JB37" i="1" s="1"/>
  <c r="JC37" i="1" s="1"/>
  <c r="JD37" i="1" s="1"/>
  <c r="JE37" i="1" s="1"/>
  <c r="JF37" i="1" s="1"/>
  <c r="JG37" i="1" s="1"/>
  <c r="JH37" i="1" s="1"/>
  <c r="JI37" i="1" s="1"/>
  <c r="JJ37" i="1" s="1"/>
  <c r="JK37" i="1" s="1"/>
  <c r="JL37" i="1" s="1"/>
  <c r="JM37" i="1" s="1"/>
  <c r="JN37" i="1" s="1"/>
  <c r="JO37" i="1" s="1"/>
  <c r="JP37" i="1" s="1"/>
  <c r="JQ37" i="1" s="1"/>
  <c r="JR37" i="1" s="1"/>
  <c r="JS37" i="1" s="1"/>
  <c r="JT37" i="1" s="1"/>
  <c r="JU37" i="1" s="1"/>
  <c r="JV37" i="1" s="1"/>
  <c r="JW37" i="1" s="1"/>
  <c r="JX37" i="1" s="1"/>
  <c r="JY37" i="1" s="1"/>
  <c r="JZ37" i="1" s="1"/>
  <c r="KA37" i="1" s="1"/>
  <c r="KB37" i="1" s="1"/>
  <c r="KC37" i="1" s="1"/>
  <c r="KD37" i="1" s="1"/>
  <c r="KE37" i="1" s="1"/>
  <c r="KF37" i="1" s="1"/>
  <c r="KG37" i="1" s="1"/>
  <c r="KH37" i="1" s="1"/>
  <c r="KI37" i="1" s="1"/>
  <c r="KJ37" i="1" s="1"/>
  <c r="KK37" i="1" s="1"/>
  <c r="KL37" i="1" s="1"/>
  <c r="KM37" i="1" s="1"/>
  <c r="KN37" i="1" s="1"/>
  <c r="KO37" i="1" s="1"/>
  <c r="KP37" i="1" s="1"/>
  <c r="KQ37" i="1" s="1"/>
  <c r="KR37" i="1" s="1"/>
  <c r="KS37" i="1" s="1"/>
  <c r="KT37" i="1" s="1"/>
  <c r="KU37" i="1" s="1"/>
  <c r="KV37" i="1" s="1"/>
  <c r="KW37" i="1" s="1"/>
  <c r="KX37" i="1" s="1"/>
  <c r="KY37" i="1" s="1"/>
  <c r="KZ37" i="1" s="1"/>
  <c r="LA37" i="1" s="1"/>
  <c r="LB37" i="1" s="1"/>
  <c r="LC37" i="1" s="1"/>
  <c r="LD37" i="1" s="1"/>
  <c r="LE37" i="1" s="1"/>
  <c r="LF37" i="1" s="1"/>
  <c r="LG37" i="1" s="1"/>
  <c r="LH37" i="1" s="1"/>
  <c r="LI37" i="1" s="1"/>
  <c r="LJ37" i="1" s="1"/>
  <c r="LK37" i="1" s="1"/>
  <c r="LL37" i="1" s="1"/>
  <c r="LM37" i="1" s="1"/>
  <c r="LN37" i="1" s="1"/>
  <c r="LO37" i="1" s="1"/>
  <c r="LP37" i="1" s="1"/>
  <c r="LQ37" i="1" s="1"/>
  <c r="LR37" i="1" s="1"/>
  <c r="LS37" i="1" s="1"/>
  <c r="LT37" i="1" s="1"/>
  <c r="LU37" i="1" s="1"/>
  <c r="LV37" i="1" s="1"/>
  <c r="LW37" i="1" s="1"/>
  <c r="LX37" i="1" s="1"/>
  <c r="LY37" i="1" s="1"/>
  <c r="LZ37" i="1" s="1"/>
  <c r="MA37" i="1" s="1"/>
  <c r="MB37" i="1" s="1"/>
  <c r="MC37" i="1" s="1"/>
  <c r="MD37" i="1" s="1"/>
  <c r="ME37" i="1" s="1"/>
  <c r="MF37" i="1" s="1"/>
  <c r="MG37" i="1" s="1"/>
  <c r="MH37" i="1" s="1"/>
  <c r="MI37" i="1" s="1"/>
  <c r="MJ37" i="1" s="1"/>
  <c r="MK37" i="1" s="1"/>
  <c r="ML37" i="1" s="1"/>
  <c r="MM37" i="1" s="1"/>
  <c r="MN37" i="1" s="1"/>
  <c r="MO37" i="1" s="1"/>
  <c r="MP37" i="1" s="1"/>
  <c r="MQ37" i="1" s="1"/>
  <c r="MR37" i="1" s="1"/>
  <c r="MS37" i="1" s="1"/>
  <c r="MT37" i="1" s="1"/>
  <c r="MU37" i="1" s="1"/>
  <c r="MV37" i="1" s="1"/>
  <c r="MW37" i="1" s="1"/>
  <c r="MX37" i="1" s="1"/>
  <c r="MY37" i="1" s="1"/>
  <c r="MZ37" i="1" s="1"/>
  <c r="NA37" i="1" s="1"/>
  <c r="NB37" i="1" s="1"/>
  <c r="NC37" i="1" s="1"/>
  <c r="ND37" i="1" s="1"/>
  <c r="NE37" i="1" s="1"/>
  <c r="NF37" i="1" s="1"/>
  <c r="NG37" i="1" s="1"/>
  <c r="NH37" i="1" s="1"/>
  <c r="NI37" i="1" s="1"/>
  <c r="NJ37" i="1" s="1"/>
  <c r="NK37" i="1" s="1"/>
  <c r="NL37" i="1" s="1"/>
  <c r="NM37" i="1" s="1"/>
  <c r="NN37" i="1" s="1"/>
  <c r="NO37" i="1" s="1"/>
  <c r="NP37" i="1" s="1"/>
  <c r="NQ37" i="1" s="1"/>
  <c r="NR37" i="1" s="1"/>
  <c r="NS37" i="1" s="1"/>
  <c r="NT37" i="1" s="1"/>
  <c r="NU37" i="1" s="1"/>
  <c r="NV37" i="1" s="1"/>
  <c r="NW37" i="1" s="1"/>
  <c r="GV37" i="1"/>
  <c r="GU37" i="1"/>
  <c r="GS37" i="1"/>
  <c r="GT18" i="1"/>
  <c r="GT16" i="1"/>
  <c r="GT15" i="1"/>
  <c r="H18" i="1"/>
  <c r="GW18" i="1" s="1"/>
  <c r="GX18" i="1" s="1"/>
  <c r="H17" i="1"/>
  <c r="GW17" i="1" s="1"/>
  <c r="GX17" i="1" s="1"/>
  <c r="H16" i="1"/>
  <c r="GW16" i="1" s="1"/>
  <c r="GX16" i="1" s="1"/>
  <c r="H15" i="1"/>
  <c r="GW15" i="1" s="1"/>
  <c r="GX15" i="1" s="1"/>
  <c r="L85" i="3" l="1"/>
  <c r="HA4" i="1"/>
  <c r="GS28" i="1"/>
  <c r="GS36" i="1"/>
  <c r="GS20" i="1"/>
  <c r="GS44" i="1"/>
  <c r="I89" i="3"/>
  <c r="GS35" i="1"/>
  <c r="I88" i="3"/>
  <c r="GS27" i="1"/>
  <c r="I87" i="3"/>
  <c r="T91" i="1"/>
  <c r="H35" i="1"/>
  <c r="V4" i="1"/>
  <c r="U3" i="1"/>
  <c r="HA3" i="1" s="1"/>
  <c r="H27" i="1"/>
  <c r="H44" i="1"/>
  <c r="J35" i="1"/>
  <c r="GX22" i="1"/>
  <c r="L27" i="1"/>
  <c r="GT27" i="1"/>
  <c r="J27" i="1"/>
  <c r="GX23" i="1"/>
  <c r="GZ23" i="1" s="1"/>
  <c r="GZ26" i="1"/>
  <c r="GX30" i="1"/>
  <c r="GZ30" i="1" s="1"/>
  <c r="GZ31" i="1"/>
  <c r="L35" i="1"/>
  <c r="E99" i="3" s="1"/>
  <c r="GZ34" i="1"/>
  <c r="GX39" i="1"/>
  <c r="GX38" i="1"/>
  <c r="GT41" i="1" l="1"/>
  <c r="GZ41" i="1" s="1"/>
  <c r="T41" i="1" s="1"/>
  <c r="M85" i="3"/>
  <c r="HB4" i="1"/>
  <c r="H23" i="3"/>
  <c r="E98" i="3"/>
  <c r="H29" i="3"/>
  <c r="T92" i="1"/>
  <c r="J93" i="3" s="1"/>
  <c r="GT38" i="1"/>
  <c r="GZ38" i="1" s="1"/>
  <c r="T38" i="1" s="1"/>
  <c r="GZ22" i="1"/>
  <c r="W4" i="1"/>
  <c r="V3" i="1"/>
  <c r="HB3" i="1" s="1"/>
  <c r="T23" i="1"/>
  <c r="T26" i="1"/>
  <c r="T31" i="1"/>
  <c r="T34" i="1"/>
  <c r="GT35" i="1"/>
  <c r="T30" i="1"/>
  <c r="GZ39" i="1"/>
  <c r="J41" i="1" l="1"/>
  <c r="N85" i="3"/>
  <c r="HC4" i="1"/>
  <c r="T97" i="1"/>
  <c r="T104" i="1"/>
  <c r="GZ65" i="1"/>
  <c r="GZ27" i="1"/>
  <c r="GT43" i="1"/>
  <c r="GZ43" i="1" s="1"/>
  <c r="T43" i="1" s="1"/>
  <c r="J38" i="1"/>
  <c r="T22" i="1"/>
  <c r="T27" i="1" s="1"/>
  <c r="J87" i="3" s="1"/>
  <c r="GZ35" i="1"/>
  <c r="X4" i="1"/>
  <c r="W3" i="1"/>
  <c r="HC3" i="1" s="1"/>
  <c r="T35" i="1"/>
  <c r="J88" i="3" s="1"/>
  <c r="T39" i="1"/>
  <c r="O85" i="3" l="1"/>
  <c r="HD4" i="1"/>
  <c r="L44" i="1"/>
  <c r="J43" i="1"/>
  <c r="J44" i="1" s="1"/>
  <c r="GT44" i="1"/>
  <c r="Y4" i="1"/>
  <c r="X3" i="1"/>
  <c r="HD3" i="1" s="1"/>
  <c r="P85" i="3" l="1"/>
  <c r="HE4" i="1"/>
  <c r="H30" i="3"/>
  <c r="H24" i="3"/>
  <c r="E100" i="3"/>
  <c r="T44" i="1"/>
  <c r="J89" i="3" s="1"/>
  <c r="GZ44" i="1"/>
  <c r="Z4" i="1"/>
  <c r="Y3" i="1"/>
  <c r="HE3" i="1" s="1"/>
  <c r="O7" i="3"/>
  <c r="T2" i="1" s="1"/>
  <c r="GZ2" i="1" s="1"/>
  <c r="GV18" i="1"/>
  <c r="GU18" i="1"/>
  <c r="GV17" i="1"/>
  <c r="GU17" i="1"/>
  <c r="GV16" i="1"/>
  <c r="GU16" i="1"/>
  <c r="GV15" i="1"/>
  <c r="GU15" i="1"/>
  <c r="GV14" i="1"/>
  <c r="GU14" i="1"/>
  <c r="GS18" i="1"/>
  <c r="GS17" i="1"/>
  <c r="GS16" i="1"/>
  <c r="GS15" i="1"/>
  <c r="GS14" i="1"/>
  <c r="HA14" i="1"/>
  <c r="F19" i="1"/>
  <c r="F46" i="1" s="1"/>
  <c r="H18" i="3" s="1"/>
  <c r="E19" i="1"/>
  <c r="J18" i="1"/>
  <c r="J16" i="1"/>
  <c r="J15" i="1"/>
  <c r="U14" i="1"/>
  <c r="U89" i="1" s="1"/>
  <c r="P8" i="3"/>
  <c r="O8" i="3"/>
  <c r="J61" i="1" s="1"/>
  <c r="B19" i="1"/>
  <c r="P9" i="3"/>
  <c r="N9" i="3"/>
  <c r="O9" i="3" s="1"/>
  <c r="L4" i="1"/>
  <c r="P3" i="3"/>
  <c r="HA42" i="1" l="1"/>
  <c r="U42" i="1" s="1"/>
  <c r="U86" i="1"/>
  <c r="U87" i="1"/>
  <c r="U84" i="1"/>
  <c r="U85" i="1"/>
  <c r="U83" i="1"/>
  <c r="Q85" i="3"/>
  <c r="HF4" i="1"/>
  <c r="U80" i="1"/>
  <c r="U82" i="1"/>
  <c r="U79" i="1"/>
  <c r="U81" i="1"/>
  <c r="B92" i="1"/>
  <c r="I93" i="3" s="1"/>
  <c r="J78" i="1"/>
  <c r="B78" i="1"/>
  <c r="B15" i="3"/>
  <c r="D78" i="1"/>
  <c r="GS13" i="1"/>
  <c r="HA25" i="1"/>
  <c r="HA32" i="1"/>
  <c r="HA24" i="1"/>
  <c r="HA33" i="1"/>
  <c r="GS19" i="1"/>
  <c r="I86" i="3"/>
  <c r="B13" i="3"/>
  <c r="U2" i="1"/>
  <c r="HA2" i="1" s="1"/>
  <c r="GZ101" i="1"/>
  <c r="K48" i="1" a="1"/>
  <c r="K48" i="1" s="1"/>
  <c r="K110" i="1" a="1"/>
  <c r="K110" i="1" s="1"/>
  <c r="K101" i="1" a="1"/>
  <c r="K101" i="1" s="1"/>
  <c r="K95" i="1" a="1"/>
  <c r="K95" i="1" s="1"/>
  <c r="K56" i="1" a="1"/>
  <c r="K56" i="1" s="1"/>
  <c r="J101" i="1"/>
  <c r="B90" i="1"/>
  <c r="B34" i="3" s="1"/>
  <c r="J95" i="1"/>
  <c r="J110" i="1"/>
  <c r="J48" i="1"/>
  <c r="J56" i="1"/>
  <c r="B77" i="1"/>
  <c r="H8" i="1"/>
  <c r="GS65" i="1"/>
  <c r="GZ18" i="1"/>
  <c r="T18" i="1" s="1"/>
  <c r="HA41" i="1"/>
  <c r="HA40" i="1"/>
  <c r="V14" i="1"/>
  <c r="V89" i="1" s="1"/>
  <c r="AA4" i="1"/>
  <c r="Z3" i="1"/>
  <c r="HF3" i="1" s="1"/>
  <c r="H19" i="1"/>
  <c r="E46" i="1"/>
  <c r="H17" i="3" s="1"/>
  <c r="HA26" i="1"/>
  <c r="HA22" i="1"/>
  <c r="HA31" i="1"/>
  <c r="HA34" i="1"/>
  <c r="HA30" i="1"/>
  <c r="HA43" i="1"/>
  <c r="HA23" i="1"/>
  <c r="HA38" i="1"/>
  <c r="HA39" i="1"/>
  <c r="J14" i="1"/>
  <c r="HB14" i="1"/>
  <c r="HA16" i="1"/>
  <c r="U16" i="1" s="1"/>
  <c r="HA18" i="1"/>
  <c r="U18" i="1" s="1"/>
  <c r="HA15" i="1"/>
  <c r="GZ15" i="1"/>
  <c r="L19" i="1"/>
  <c r="GT17" i="1"/>
  <c r="GZ17" i="1" s="1"/>
  <c r="T17" i="1" s="1"/>
  <c r="GZ16" i="1"/>
  <c r="J17" i="1"/>
  <c r="J19" i="1" s="1"/>
  <c r="HB42" i="1" l="1"/>
  <c r="V42" i="1" s="1"/>
  <c r="V86" i="1"/>
  <c r="V87" i="1"/>
  <c r="V84" i="1"/>
  <c r="V85" i="1"/>
  <c r="V83" i="1"/>
  <c r="R85" i="3"/>
  <c r="HG4" i="1"/>
  <c r="H22" i="3"/>
  <c r="E97" i="3"/>
  <c r="V80" i="1"/>
  <c r="V82" i="1"/>
  <c r="V81" i="1"/>
  <c r="V79" i="1"/>
  <c r="B36" i="3"/>
  <c r="B104" i="1"/>
  <c r="B97" i="1"/>
  <c r="HB24" i="1"/>
  <c r="V24" i="1" s="1"/>
  <c r="HB32" i="1"/>
  <c r="V32" i="1" s="1"/>
  <c r="HB25" i="1"/>
  <c r="V25" i="1" s="1"/>
  <c r="HB33" i="1"/>
  <c r="V33" i="1" s="1"/>
  <c r="U25" i="1"/>
  <c r="U33" i="1"/>
  <c r="U24" i="1"/>
  <c r="U32" i="1"/>
  <c r="L46" i="1"/>
  <c r="J46" i="1" s="1"/>
  <c r="H28" i="3"/>
  <c r="V2" i="1"/>
  <c r="HB2" i="1" s="1"/>
  <c r="HA101" i="1"/>
  <c r="U90" i="1"/>
  <c r="U40" i="1"/>
  <c r="HB41" i="1"/>
  <c r="V41" i="1" s="1"/>
  <c r="HB40" i="1"/>
  <c r="V40" i="1" s="1"/>
  <c r="U41" i="1"/>
  <c r="U43" i="1"/>
  <c r="U30" i="1"/>
  <c r="HA35" i="1"/>
  <c r="U34" i="1"/>
  <c r="AB4" i="1"/>
  <c r="AA3" i="1"/>
  <c r="HG3" i="1" s="1"/>
  <c r="U39" i="1"/>
  <c r="U31" i="1"/>
  <c r="HA44" i="1"/>
  <c r="U38" i="1"/>
  <c r="U22" i="1"/>
  <c r="HA27" i="1"/>
  <c r="W14" i="1"/>
  <c r="W89" i="1" s="1"/>
  <c r="U23" i="1"/>
  <c r="U26" i="1"/>
  <c r="H46" i="1"/>
  <c r="HB22" i="1"/>
  <c r="HB23" i="1"/>
  <c r="V23" i="1" s="1"/>
  <c r="HB26" i="1"/>
  <c r="V26" i="1" s="1"/>
  <c r="HB34" i="1"/>
  <c r="V34" i="1" s="1"/>
  <c r="HB43" i="1"/>
  <c r="V43" i="1" s="1"/>
  <c r="HB31" i="1"/>
  <c r="V31" i="1" s="1"/>
  <c r="HB30" i="1"/>
  <c r="HB38" i="1"/>
  <c r="HB39" i="1"/>
  <c r="V39" i="1" s="1"/>
  <c r="HA17" i="1"/>
  <c r="U17" i="1" s="1"/>
  <c r="U15" i="1"/>
  <c r="HC14" i="1"/>
  <c r="HB16" i="1"/>
  <c r="V16" i="1" s="1"/>
  <c r="HB18" i="1"/>
  <c r="V18" i="1" s="1"/>
  <c r="HB15" i="1"/>
  <c r="HB17" i="1"/>
  <c r="V17" i="1" s="1"/>
  <c r="T15" i="1"/>
  <c r="GZ19" i="1"/>
  <c r="T16" i="1"/>
  <c r="GT19" i="1"/>
  <c r="HC42" i="1" l="1"/>
  <c r="W42" i="1" s="1"/>
  <c r="W86" i="1"/>
  <c r="W87" i="1"/>
  <c r="W84" i="1"/>
  <c r="W85" i="1"/>
  <c r="W83" i="1"/>
  <c r="S85" i="3"/>
  <c r="HH4" i="1"/>
  <c r="W79" i="1"/>
  <c r="W81" i="1"/>
  <c r="W82" i="1"/>
  <c r="W80" i="1"/>
  <c r="HC25" i="1"/>
  <c r="HC32" i="1"/>
  <c r="HC24" i="1"/>
  <c r="HC33" i="1"/>
  <c r="W2" i="1"/>
  <c r="HC2" i="1" s="1"/>
  <c r="HB101" i="1"/>
  <c r="U91" i="1"/>
  <c r="V90" i="1"/>
  <c r="HC41" i="1"/>
  <c r="HC40" i="1"/>
  <c r="W40" i="1" s="1"/>
  <c r="AC4" i="1"/>
  <c r="AB3" i="1"/>
  <c r="HH3" i="1" s="1"/>
  <c r="HC22" i="1"/>
  <c r="HC26" i="1"/>
  <c r="W26" i="1" s="1"/>
  <c r="HC30" i="1"/>
  <c r="HC31" i="1"/>
  <c r="W31" i="1" s="1"/>
  <c r="HC39" i="1"/>
  <c r="W39" i="1" s="1"/>
  <c r="HC23" i="1"/>
  <c r="HC34" i="1"/>
  <c r="W34" i="1" s="1"/>
  <c r="HC43" i="1"/>
  <c r="W43" i="1" s="1"/>
  <c r="HC38" i="1"/>
  <c r="V30" i="1"/>
  <c r="V35" i="1" s="1"/>
  <c r="M88" i="3" s="1"/>
  <c r="HB35" i="1"/>
  <c r="V22" i="1"/>
  <c r="V27" i="1" s="1"/>
  <c r="M87" i="3" s="1"/>
  <c r="HB27" i="1"/>
  <c r="X14" i="1"/>
  <c r="X89" i="1" s="1"/>
  <c r="U35" i="1"/>
  <c r="L88" i="3" s="1"/>
  <c r="V38" i="1"/>
  <c r="V44" i="1" s="1"/>
  <c r="M89" i="3" s="1"/>
  <c r="HB44" i="1"/>
  <c r="U27" i="1"/>
  <c r="L87" i="3" s="1"/>
  <c r="U44" i="1"/>
  <c r="L89" i="3" s="1"/>
  <c r="HA19" i="1"/>
  <c r="U19" i="1"/>
  <c r="L86" i="3" s="1"/>
  <c r="V15" i="1"/>
  <c r="V19" i="1" s="1"/>
  <c r="M86" i="3" s="1"/>
  <c r="HB19" i="1"/>
  <c r="HD14" i="1"/>
  <c r="HC18" i="1"/>
  <c r="HC17" i="1"/>
  <c r="W17" i="1" s="1"/>
  <c r="HC16" i="1"/>
  <c r="HC15" i="1"/>
  <c r="T19" i="1"/>
  <c r="J86" i="3" s="1"/>
  <c r="HD42" i="1" l="1"/>
  <c r="X42" i="1" s="1"/>
  <c r="X86" i="1"/>
  <c r="X87" i="1"/>
  <c r="X84" i="1"/>
  <c r="X85" i="1"/>
  <c r="X83" i="1"/>
  <c r="T85" i="3"/>
  <c r="HI4" i="1"/>
  <c r="X79" i="1"/>
  <c r="X80" i="1"/>
  <c r="X81" i="1"/>
  <c r="X82" i="1"/>
  <c r="W24" i="1"/>
  <c r="W33" i="1"/>
  <c r="W32" i="1"/>
  <c r="HD25" i="1"/>
  <c r="X25" i="1" s="1"/>
  <c r="HD32" i="1"/>
  <c r="X32" i="1" s="1"/>
  <c r="HD24" i="1"/>
  <c r="X24" i="1" s="1"/>
  <c r="HD33" i="1"/>
  <c r="X33" i="1" s="1"/>
  <c r="W25" i="1"/>
  <c r="T46" i="1"/>
  <c r="T96" i="1" s="1"/>
  <c r="T98" i="1" s="1"/>
  <c r="X2" i="1"/>
  <c r="HD2" i="1" s="1"/>
  <c r="HC101" i="1"/>
  <c r="U92" i="1"/>
  <c r="V91" i="1"/>
  <c r="V92" i="1" s="1"/>
  <c r="W90" i="1"/>
  <c r="HD40" i="1"/>
  <c r="X40" i="1" s="1"/>
  <c r="HD41" i="1"/>
  <c r="X41" i="1" s="1"/>
  <c r="W41" i="1"/>
  <c r="HD26" i="1"/>
  <c r="X26" i="1" s="1"/>
  <c r="HD23" i="1"/>
  <c r="X23" i="1" s="1"/>
  <c r="HD31" i="1"/>
  <c r="X31" i="1" s="1"/>
  <c r="HD34" i="1"/>
  <c r="HD22" i="1"/>
  <c r="HD38" i="1"/>
  <c r="HD43" i="1"/>
  <c r="HD30" i="1"/>
  <c r="HD39" i="1"/>
  <c r="W38" i="1"/>
  <c r="HC44" i="1"/>
  <c r="W30" i="1"/>
  <c r="HC35" i="1"/>
  <c r="U46" i="1"/>
  <c r="U96" i="1" s="1"/>
  <c r="V46" i="1"/>
  <c r="V96" i="1" s="1"/>
  <c r="HC27" i="1"/>
  <c r="W22" i="1"/>
  <c r="Y14" i="1"/>
  <c r="Y89" i="1" s="1"/>
  <c r="W23" i="1"/>
  <c r="AD4" i="1"/>
  <c r="AC3" i="1"/>
  <c r="HI3" i="1" s="1"/>
  <c r="HE14" i="1"/>
  <c r="HD18" i="1"/>
  <c r="X18" i="1" s="1"/>
  <c r="HD16" i="1"/>
  <c r="X16" i="1" s="1"/>
  <c r="HD17" i="1"/>
  <c r="X17" i="1" s="1"/>
  <c r="HD15" i="1"/>
  <c r="HC19" i="1"/>
  <c r="W15" i="1"/>
  <c r="W16" i="1"/>
  <c r="W18" i="1"/>
  <c r="HE42" i="1" l="1"/>
  <c r="Y86" i="1"/>
  <c r="Y87" i="1"/>
  <c r="Y84" i="1"/>
  <c r="Y85" i="1"/>
  <c r="Y83" i="1"/>
  <c r="U85" i="3"/>
  <c r="HJ4" i="1"/>
  <c r="Y79" i="1"/>
  <c r="Y81" i="1"/>
  <c r="Y80" i="1"/>
  <c r="Y82" i="1"/>
  <c r="Y42" i="1"/>
  <c r="HE25" i="1"/>
  <c r="Y25" i="1" s="1"/>
  <c r="HE33" i="1"/>
  <c r="Y33" i="1" s="1"/>
  <c r="HE32" i="1"/>
  <c r="HE24" i="1"/>
  <c r="Y24" i="1" s="1"/>
  <c r="GZ47" i="1"/>
  <c r="V104" i="1"/>
  <c r="M93" i="3"/>
  <c r="U104" i="1"/>
  <c r="L93" i="3"/>
  <c r="Y2" i="1"/>
  <c r="HE2" i="1" s="1"/>
  <c r="HD101" i="1"/>
  <c r="HB65" i="1"/>
  <c r="V97" i="1"/>
  <c r="HA65" i="1"/>
  <c r="U97" i="1"/>
  <c r="W91" i="1"/>
  <c r="W92" i="1" s="1"/>
  <c r="X90" i="1"/>
  <c r="HE41" i="1"/>
  <c r="HE40" i="1"/>
  <c r="Y40" i="1" s="1"/>
  <c r="HB47" i="1"/>
  <c r="HA47" i="1"/>
  <c r="W35" i="1"/>
  <c r="N88" i="3" s="1"/>
  <c r="HD27" i="1"/>
  <c r="X22" i="1"/>
  <c r="X34" i="1"/>
  <c r="X39" i="1"/>
  <c r="AE4" i="1"/>
  <c r="AD3" i="1"/>
  <c r="HJ3" i="1" s="1"/>
  <c r="HD35" i="1"/>
  <c r="X30" i="1"/>
  <c r="Z14" i="1"/>
  <c r="Z89" i="1" s="1"/>
  <c r="HE26" i="1"/>
  <c r="HE38" i="1"/>
  <c r="HE31" i="1"/>
  <c r="Y31" i="1" s="1"/>
  <c r="HE34" i="1"/>
  <c r="Y34" i="1" s="1"/>
  <c r="HE30" i="1"/>
  <c r="HE43" i="1"/>
  <c r="Y43" i="1" s="1"/>
  <c r="HE23" i="1"/>
  <c r="HE22" i="1"/>
  <c r="HE39" i="1"/>
  <c r="Y39" i="1" s="1"/>
  <c r="W44" i="1"/>
  <c r="N89" i="3" s="1"/>
  <c r="X43" i="1"/>
  <c r="W27" i="1"/>
  <c r="N87" i="3" s="1"/>
  <c r="X38" i="1"/>
  <c r="HD44" i="1"/>
  <c r="W19" i="1"/>
  <c r="N86" i="3" s="1"/>
  <c r="HF14" i="1"/>
  <c r="HE18" i="1"/>
  <c r="Y18" i="1" s="1"/>
  <c r="HE17" i="1"/>
  <c r="HE15" i="1"/>
  <c r="HE16" i="1"/>
  <c r="Y16" i="1" s="1"/>
  <c r="X15" i="1"/>
  <c r="X19" i="1" s="1"/>
  <c r="O86" i="3" s="1"/>
  <c r="HD19" i="1"/>
  <c r="HF42" i="1" l="1"/>
  <c r="Z42" i="1" s="1"/>
  <c r="Z86" i="1"/>
  <c r="Z87" i="1"/>
  <c r="Z84" i="1"/>
  <c r="Z85" i="1"/>
  <c r="Z83" i="1"/>
  <c r="V85" i="3"/>
  <c r="HK4" i="1"/>
  <c r="Z79" i="1"/>
  <c r="Z81" i="1"/>
  <c r="Z80" i="1"/>
  <c r="Z82" i="1"/>
  <c r="HF24" i="1"/>
  <c r="Z24" i="1" s="1"/>
  <c r="HF25" i="1"/>
  <c r="HF32" i="1"/>
  <c r="Z32" i="1" s="1"/>
  <c r="HF33" i="1"/>
  <c r="Y32" i="1"/>
  <c r="W104" i="1"/>
  <c r="N93" i="3"/>
  <c r="HE101" i="1"/>
  <c r="Z2" i="1"/>
  <c r="HF2" i="1" s="1"/>
  <c r="U98" i="1"/>
  <c r="V98" i="1"/>
  <c r="HC65" i="1"/>
  <c r="W97" i="1"/>
  <c r="X91" i="1"/>
  <c r="X92" i="1" s="1"/>
  <c r="Y90" i="1"/>
  <c r="HF41" i="1"/>
  <c r="Z41" i="1" s="1"/>
  <c r="HF40" i="1"/>
  <c r="Y41" i="1"/>
  <c r="X44" i="1"/>
  <c r="O89" i="3" s="1"/>
  <c r="HE27" i="1"/>
  <c r="Y22" i="1"/>
  <c r="Y38" i="1"/>
  <c r="HE44" i="1"/>
  <c r="Y26" i="1"/>
  <c r="Y23" i="1"/>
  <c r="AF4" i="1"/>
  <c r="AE3" i="1"/>
  <c r="HK3" i="1" s="1"/>
  <c r="X27" i="1"/>
  <c r="O87" i="3" s="1"/>
  <c r="W46" i="1"/>
  <c r="HF34" i="1"/>
  <c r="Z34" i="1" s="1"/>
  <c r="HF22" i="1"/>
  <c r="HF26" i="1"/>
  <c r="Z26" i="1" s="1"/>
  <c r="HF31" i="1"/>
  <c r="Z31" i="1" s="1"/>
  <c r="HF38" i="1"/>
  <c r="HF43" i="1"/>
  <c r="HF23" i="1"/>
  <c r="Z23" i="1" s="1"/>
  <c r="HF30" i="1"/>
  <c r="HF39" i="1"/>
  <c r="Z39" i="1" s="1"/>
  <c r="HE35" i="1"/>
  <c r="Y30" i="1"/>
  <c r="X35" i="1"/>
  <c r="O88" i="3" s="1"/>
  <c r="AA14" i="1"/>
  <c r="AA89" i="1" s="1"/>
  <c r="Y17" i="1"/>
  <c r="HG14" i="1"/>
  <c r="HF18" i="1"/>
  <c r="Z18" i="1" s="1"/>
  <c r="HF15" i="1"/>
  <c r="HF17" i="1"/>
  <c r="Z17" i="1" s="1"/>
  <c r="HF16" i="1"/>
  <c r="Z16" i="1" s="1"/>
  <c r="HE19" i="1"/>
  <c r="Y15" i="1"/>
  <c r="HG42" i="1" l="1"/>
  <c r="AA42" i="1" s="1"/>
  <c r="AA86" i="1"/>
  <c r="AA87" i="1"/>
  <c r="AA84" i="1"/>
  <c r="AA85" i="1"/>
  <c r="AA83" i="1"/>
  <c r="W85" i="3"/>
  <c r="HL4" i="1"/>
  <c r="AA80" i="1"/>
  <c r="AA82" i="1"/>
  <c r="AA79" i="1"/>
  <c r="AA81" i="1"/>
  <c r="Y35" i="1"/>
  <c r="P88" i="3" s="1"/>
  <c r="Z33" i="1"/>
  <c r="Z25" i="1"/>
  <c r="HG25" i="1"/>
  <c r="AA25" i="1" s="1"/>
  <c r="HG24" i="1"/>
  <c r="HG32" i="1"/>
  <c r="HG33" i="1"/>
  <c r="AA33" i="1" s="1"/>
  <c r="X104" i="1"/>
  <c r="O93" i="3"/>
  <c r="HF101" i="1"/>
  <c r="AA2" i="1"/>
  <c r="HG2" i="1" s="1"/>
  <c r="HD65" i="1"/>
  <c r="X97" i="1"/>
  <c r="HC47" i="1"/>
  <c r="W96" i="1"/>
  <c r="Y91" i="1"/>
  <c r="Y92" i="1" s="1"/>
  <c r="Z90" i="1"/>
  <c r="Y44" i="1"/>
  <c r="P89" i="3" s="1"/>
  <c r="HG41" i="1"/>
  <c r="HG40" i="1"/>
  <c r="AA40" i="1" s="1"/>
  <c r="Z40" i="1"/>
  <c r="Y19" i="1"/>
  <c r="P86" i="3" s="1"/>
  <c r="AG4" i="1"/>
  <c r="AF3" i="1"/>
  <c r="HL3" i="1" s="1"/>
  <c r="HG22" i="1"/>
  <c r="HG31" i="1"/>
  <c r="AA31" i="1" s="1"/>
  <c r="HG34" i="1"/>
  <c r="HG38" i="1"/>
  <c r="HG43" i="1"/>
  <c r="AA43" i="1" s="1"/>
  <c r="HG26" i="1"/>
  <c r="AA26" i="1" s="1"/>
  <c r="HG30" i="1"/>
  <c r="HG39" i="1"/>
  <c r="AA39" i="1" s="1"/>
  <c r="HG23" i="1"/>
  <c r="AA23" i="1" s="1"/>
  <c r="HF44" i="1"/>
  <c r="Z38" i="1"/>
  <c r="Z43" i="1"/>
  <c r="AB14" i="1"/>
  <c r="AB89" i="1" s="1"/>
  <c r="X46" i="1"/>
  <c r="X96" i="1" s="1"/>
  <c r="Y27" i="1"/>
  <c r="P87" i="3" s="1"/>
  <c r="HF35" i="1"/>
  <c r="Z30" i="1"/>
  <c r="HF27" i="1"/>
  <c r="Z22" i="1"/>
  <c r="HH14" i="1"/>
  <c r="HG17" i="1"/>
  <c r="AA17" i="1" s="1"/>
  <c r="HG18" i="1"/>
  <c r="AA18" i="1" s="1"/>
  <c r="HG15" i="1"/>
  <c r="HG16" i="1"/>
  <c r="AA16" i="1" s="1"/>
  <c r="Z15" i="1"/>
  <c r="HF19" i="1"/>
  <c r="HH42" i="1" l="1"/>
  <c r="AB42" i="1" s="1"/>
  <c r="AB86" i="1"/>
  <c r="AB87" i="1"/>
  <c r="AB84" i="1"/>
  <c r="AB85" i="1"/>
  <c r="AB83" i="1"/>
  <c r="X85" i="3"/>
  <c r="HM4" i="1"/>
  <c r="AB79" i="1"/>
  <c r="AB80" i="1"/>
  <c r="AB81" i="1"/>
  <c r="AB82" i="1"/>
  <c r="AA24" i="1"/>
  <c r="HH25" i="1"/>
  <c r="HH33" i="1"/>
  <c r="AB33" i="1" s="1"/>
  <c r="HH24" i="1"/>
  <c r="AB24" i="1" s="1"/>
  <c r="HH32" i="1"/>
  <c r="AB32" i="1" s="1"/>
  <c r="AA32" i="1"/>
  <c r="Y104" i="1"/>
  <c r="P93" i="3"/>
  <c r="HG101" i="1"/>
  <c r="AB2" i="1"/>
  <c r="HH2" i="1" s="1"/>
  <c r="X98" i="1"/>
  <c r="W98" i="1"/>
  <c r="HE65" i="1"/>
  <c r="Y97" i="1"/>
  <c r="Z91" i="1"/>
  <c r="Z92" i="1" s="1"/>
  <c r="AA90" i="1"/>
  <c r="Y46" i="1"/>
  <c r="HH40" i="1"/>
  <c r="AB40" i="1" s="1"/>
  <c r="HH41" i="1"/>
  <c r="AB41" i="1" s="1"/>
  <c r="AA41" i="1"/>
  <c r="HD47" i="1"/>
  <c r="Z27" i="1"/>
  <c r="Q87" i="3" s="1"/>
  <c r="Z44" i="1"/>
  <c r="Q89" i="3" s="1"/>
  <c r="AC14" i="1"/>
  <c r="AC89" i="1" s="1"/>
  <c r="HG35" i="1"/>
  <c r="AA30" i="1"/>
  <c r="AA22" i="1"/>
  <c r="HG27" i="1"/>
  <c r="HH26" i="1"/>
  <c r="AB26" i="1" s="1"/>
  <c r="HH34" i="1"/>
  <c r="AB34" i="1" s="1"/>
  <c r="HH43" i="1"/>
  <c r="AB43" i="1" s="1"/>
  <c r="HH31" i="1"/>
  <c r="AB31" i="1" s="1"/>
  <c r="HH38" i="1"/>
  <c r="HH22" i="1"/>
  <c r="HH23" i="1"/>
  <c r="AB23" i="1" s="1"/>
  <c r="HH30" i="1"/>
  <c r="HH39" i="1"/>
  <c r="AB39" i="1" s="1"/>
  <c r="AH4" i="1"/>
  <c r="AG3" i="1"/>
  <c r="HM3" i="1" s="1"/>
  <c r="AA38" i="1"/>
  <c r="HG44" i="1"/>
  <c r="AA34" i="1"/>
  <c r="Z35" i="1"/>
  <c r="Q88" i="3" s="1"/>
  <c r="Z19" i="1"/>
  <c r="Q86" i="3" s="1"/>
  <c r="HI14" i="1"/>
  <c r="HH17" i="1"/>
  <c r="AB17" i="1" s="1"/>
  <c r="HH18" i="1"/>
  <c r="AB18" i="1" s="1"/>
  <c r="HH15" i="1"/>
  <c r="HH16" i="1"/>
  <c r="AB16" i="1" s="1"/>
  <c r="AA15" i="1"/>
  <c r="AA19" i="1" s="1"/>
  <c r="R86" i="3" s="1"/>
  <c r="HG19" i="1"/>
  <c r="HI42" i="1" l="1"/>
  <c r="AC42" i="1" s="1"/>
  <c r="AC86" i="1"/>
  <c r="AC87" i="1"/>
  <c r="AC84" i="1"/>
  <c r="AC85" i="1"/>
  <c r="AC83" i="1"/>
  <c r="Y85" i="3"/>
  <c r="HN4" i="1"/>
  <c r="AC80" i="1"/>
  <c r="AC82" i="1"/>
  <c r="AC79" i="1"/>
  <c r="AC81" i="1"/>
  <c r="AA44" i="1"/>
  <c r="R89" i="3" s="1"/>
  <c r="AA27" i="1"/>
  <c r="R87" i="3" s="1"/>
  <c r="AB25" i="1"/>
  <c r="HI25" i="1"/>
  <c r="AC25" i="1" s="1"/>
  <c r="HI32" i="1"/>
  <c r="AC32" i="1" s="1"/>
  <c r="HI24" i="1"/>
  <c r="AC24" i="1" s="1"/>
  <c r="HI33" i="1"/>
  <c r="AC33" i="1" s="1"/>
  <c r="Z104" i="1"/>
  <c r="Q93" i="3"/>
  <c r="HH101" i="1"/>
  <c r="AC2" i="1"/>
  <c r="HI2" i="1" s="1"/>
  <c r="HE47" i="1"/>
  <c r="Y96" i="1"/>
  <c r="HF65" i="1"/>
  <c r="Z97" i="1"/>
  <c r="AA91" i="1"/>
  <c r="AA92" i="1" s="1"/>
  <c r="AB90" i="1"/>
  <c r="HI40" i="1"/>
  <c r="AC40" i="1" s="1"/>
  <c r="HI41" i="1"/>
  <c r="Z46" i="1"/>
  <c r="AA35" i="1"/>
  <c r="HH44" i="1"/>
  <c r="AB38" i="1"/>
  <c r="AB44" i="1" s="1"/>
  <c r="S89" i="3" s="1"/>
  <c r="HH35" i="1"/>
  <c r="AB30" i="1"/>
  <c r="AI4" i="1"/>
  <c r="AH3" i="1"/>
  <c r="HN3" i="1" s="1"/>
  <c r="HI23" i="1"/>
  <c r="AC23" i="1" s="1"/>
  <c r="HI26" i="1"/>
  <c r="AC26" i="1" s="1"/>
  <c r="HI31" i="1"/>
  <c r="AC31" i="1" s="1"/>
  <c r="HI30" i="1"/>
  <c r="HI43" i="1"/>
  <c r="AC43" i="1" s="1"/>
  <c r="HI34" i="1"/>
  <c r="AC34" i="1" s="1"/>
  <c r="HI22" i="1"/>
  <c r="HI38" i="1"/>
  <c r="HI39" i="1"/>
  <c r="AC39" i="1" s="1"/>
  <c r="HH27" i="1"/>
  <c r="AB22" i="1"/>
  <c r="AD14" i="1"/>
  <c r="AD89" i="1" s="1"/>
  <c r="AB15" i="1"/>
  <c r="AB19" i="1" s="1"/>
  <c r="S86" i="3" s="1"/>
  <c r="HH19" i="1"/>
  <c r="HJ14" i="1"/>
  <c r="HI17" i="1"/>
  <c r="AC17" i="1" s="1"/>
  <c r="HI16" i="1"/>
  <c r="AC16" i="1" s="1"/>
  <c r="HI18" i="1"/>
  <c r="AC18" i="1" s="1"/>
  <c r="HI15" i="1"/>
  <c r="HJ42" i="1" l="1"/>
  <c r="AD42" i="1" s="1"/>
  <c r="AD86" i="1"/>
  <c r="AD87" i="1"/>
  <c r="AD84" i="1"/>
  <c r="AD85" i="1"/>
  <c r="AD83" i="1"/>
  <c r="Z85" i="3"/>
  <c r="HO4" i="1"/>
  <c r="AD80" i="1"/>
  <c r="AD82" i="1"/>
  <c r="AD79" i="1"/>
  <c r="AD81" i="1"/>
  <c r="HJ32" i="1"/>
  <c r="AD32" i="1" s="1"/>
  <c r="HJ24" i="1"/>
  <c r="AD24" i="1" s="1"/>
  <c r="HJ33" i="1"/>
  <c r="AD33" i="1" s="1"/>
  <c r="HJ25" i="1"/>
  <c r="AD25" i="1" s="1"/>
  <c r="AA46" i="1"/>
  <c r="AA96" i="1" s="1"/>
  <c r="R88" i="3"/>
  <c r="AA104" i="1"/>
  <c r="R93" i="3"/>
  <c r="HI101" i="1"/>
  <c r="AD2" i="1"/>
  <c r="HJ2" i="1" s="1"/>
  <c r="HF47" i="1"/>
  <c r="Z96" i="1"/>
  <c r="Z98" i="1" s="1"/>
  <c r="Y98" i="1"/>
  <c r="HG65" i="1"/>
  <c r="AA97" i="1"/>
  <c r="AB91" i="1"/>
  <c r="AB92" i="1" s="1"/>
  <c r="AC90" i="1"/>
  <c r="HJ40" i="1"/>
  <c r="AD40" i="1" s="1"/>
  <c r="HJ41" i="1"/>
  <c r="AD41" i="1" s="1"/>
  <c r="AC41" i="1"/>
  <c r="AE14" i="1"/>
  <c r="AE89" i="1" s="1"/>
  <c r="AJ4" i="1"/>
  <c r="AI3" i="1"/>
  <c r="HO3" i="1" s="1"/>
  <c r="HI27" i="1"/>
  <c r="AC22" i="1"/>
  <c r="AC27" i="1" s="1"/>
  <c r="T87" i="3" s="1"/>
  <c r="AB27" i="1"/>
  <c r="S87" i="3" s="1"/>
  <c r="HI44" i="1"/>
  <c r="AC38" i="1"/>
  <c r="AB35" i="1"/>
  <c r="S88" i="3" s="1"/>
  <c r="HJ26" i="1"/>
  <c r="AD26" i="1" s="1"/>
  <c r="HJ31" i="1"/>
  <c r="AD31" i="1" s="1"/>
  <c r="HJ43" i="1"/>
  <c r="AD43" i="1" s="1"/>
  <c r="HJ23" i="1"/>
  <c r="AD23" i="1" s="1"/>
  <c r="HJ34" i="1"/>
  <c r="AD34" i="1" s="1"/>
  <c r="HJ22" i="1"/>
  <c r="HJ30" i="1"/>
  <c r="HJ39" i="1"/>
  <c r="AD39" i="1" s="1"/>
  <c r="HJ38" i="1"/>
  <c r="AC30" i="1"/>
  <c r="AC35" i="1" s="1"/>
  <c r="T88" i="3" s="1"/>
  <c r="HI35" i="1"/>
  <c r="HI19" i="1"/>
  <c r="AC15" i="1"/>
  <c r="AC19" i="1" s="1"/>
  <c r="T86" i="3" s="1"/>
  <c r="HK14" i="1"/>
  <c r="HJ16" i="1"/>
  <c r="AD16" i="1" s="1"/>
  <c r="HJ17" i="1"/>
  <c r="AD17" i="1" s="1"/>
  <c r="HJ15" i="1"/>
  <c r="HJ18" i="1"/>
  <c r="AD18" i="1" s="1"/>
  <c r="HK42" i="1" l="1"/>
  <c r="AE42" i="1" s="1"/>
  <c r="AE86" i="1"/>
  <c r="AE87" i="1"/>
  <c r="AE84" i="1"/>
  <c r="AE85" i="1"/>
  <c r="AE83" i="1"/>
  <c r="AA85" i="3"/>
  <c r="HP4" i="1"/>
  <c r="AE79" i="1"/>
  <c r="AE81" i="1"/>
  <c r="AE82" i="1"/>
  <c r="AE80" i="1"/>
  <c r="HK32" i="1"/>
  <c r="AE32" i="1" s="1"/>
  <c r="HK25" i="1"/>
  <c r="AE25" i="1" s="1"/>
  <c r="HK24" i="1"/>
  <c r="AE24" i="1" s="1"/>
  <c r="HK33" i="1"/>
  <c r="AE33" i="1" s="1"/>
  <c r="HG47" i="1"/>
  <c r="AB104" i="1"/>
  <c r="S93" i="3"/>
  <c r="AE2" i="1"/>
  <c r="HK2" i="1" s="1"/>
  <c r="HJ101" i="1"/>
  <c r="AA98" i="1"/>
  <c r="HH65" i="1"/>
  <c r="AB97" i="1"/>
  <c r="AC91" i="1"/>
  <c r="AC92" i="1" s="1"/>
  <c r="AD90" i="1"/>
  <c r="AC44" i="1"/>
  <c r="HK41" i="1"/>
  <c r="AE41" i="1" s="1"/>
  <c r="HK40" i="1"/>
  <c r="AE40" i="1" s="1"/>
  <c r="AB46" i="1"/>
  <c r="AB96" i="1" s="1"/>
  <c r="AD30" i="1"/>
  <c r="AD35" i="1" s="1"/>
  <c r="U88" i="3" s="1"/>
  <c r="HJ35" i="1"/>
  <c r="HK26" i="1"/>
  <c r="AE26" i="1" s="1"/>
  <c r="HK23" i="1"/>
  <c r="AE23" i="1" s="1"/>
  <c r="HK22" i="1"/>
  <c r="HK34" i="1"/>
  <c r="AE34" i="1" s="1"/>
  <c r="HK31" i="1"/>
  <c r="AE31" i="1" s="1"/>
  <c r="HK30" i="1"/>
  <c r="HK43" i="1"/>
  <c r="AE43" i="1" s="1"/>
  <c r="HK39" i="1"/>
  <c r="AE39" i="1" s="1"/>
  <c r="HK38" i="1"/>
  <c r="HJ27" i="1"/>
  <c r="AD22" i="1"/>
  <c r="AD27" i="1" s="1"/>
  <c r="U87" i="3" s="1"/>
  <c r="HJ44" i="1"/>
  <c r="AD38" i="1"/>
  <c r="AD44" i="1" s="1"/>
  <c r="U89" i="3" s="1"/>
  <c r="AK4" i="1"/>
  <c r="AJ3" i="1"/>
  <c r="HP3" i="1" s="1"/>
  <c r="AF14" i="1"/>
  <c r="AF89" i="1" s="1"/>
  <c r="HL14" i="1"/>
  <c r="HK18" i="1"/>
  <c r="AE18" i="1" s="1"/>
  <c r="HK17" i="1"/>
  <c r="AE17" i="1" s="1"/>
  <c r="HK15" i="1"/>
  <c r="HK16" i="1"/>
  <c r="AE16" i="1" s="1"/>
  <c r="HJ19" i="1"/>
  <c r="AD15" i="1"/>
  <c r="AD19" i="1" s="1"/>
  <c r="U86" i="3" s="1"/>
  <c r="HL42" i="1" l="1"/>
  <c r="AF42" i="1" s="1"/>
  <c r="AF86" i="1"/>
  <c r="AF87" i="1"/>
  <c r="AF84" i="1"/>
  <c r="AF85" i="1"/>
  <c r="AF83" i="1"/>
  <c r="AB85" i="3"/>
  <c r="HQ4" i="1"/>
  <c r="AF81" i="1"/>
  <c r="AF82" i="1"/>
  <c r="AF79" i="1"/>
  <c r="AF80" i="1"/>
  <c r="HL25" i="1"/>
  <c r="AF25" i="1" s="1"/>
  <c r="HL32" i="1"/>
  <c r="AF32" i="1" s="1"/>
  <c r="HL24" i="1"/>
  <c r="AF24" i="1" s="1"/>
  <c r="HL33" i="1"/>
  <c r="AF33" i="1" s="1"/>
  <c r="AC46" i="1"/>
  <c r="AC96" i="1" s="1"/>
  <c r="T89" i="3"/>
  <c r="AC104" i="1"/>
  <c r="T93" i="3"/>
  <c r="AF2" i="1"/>
  <c r="HL2" i="1" s="1"/>
  <c r="HK101" i="1"/>
  <c r="AB98" i="1"/>
  <c r="HI65" i="1"/>
  <c r="AC97" i="1"/>
  <c r="AD91" i="1"/>
  <c r="AD92" i="1" s="1"/>
  <c r="AE90" i="1"/>
  <c r="HL40" i="1"/>
  <c r="AF40" i="1" s="1"/>
  <c r="HL41" i="1"/>
  <c r="AF41" i="1" s="1"/>
  <c r="HH47" i="1"/>
  <c r="AD46" i="1"/>
  <c r="AD96" i="1" s="1"/>
  <c r="AL4" i="1"/>
  <c r="AK3" i="1"/>
  <c r="HQ3" i="1" s="1"/>
  <c r="HL22" i="1"/>
  <c r="HL23" i="1"/>
  <c r="AF23" i="1" s="1"/>
  <c r="HL31" i="1"/>
  <c r="AF31" i="1" s="1"/>
  <c r="HL34" i="1"/>
  <c r="AF34" i="1" s="1"/>
  <c r="HL43" i="1"/>
  <c r="AF43" i="1" s="1"/>
  <c r="HL26" i="1"/>
  <c r="AF26" i="1" s="1"/>
  <c r="HL30" i="1"/>
  <c r="HL39" i="1"/>
  <c r="AF39" i="1" s="1"/>
  <c r="HL38" i="1"/>
  <c r="HK35" i="1"/>
  <c r="AE30" i="1"/>
  <c r="AE35" i="1" s="1"/>
  <c r="V88" i="3" s="1"/>
  <c r="AG14" i="1"/>
  <c r="AG89" i="1" s="1"/>
  <c r="HK44" i="1"/>
  <c r="AE38" i="1"/>
  <c r="AE44" i="1" s="1"/>
  <c r="V89" i="3" s="1"/>
  <c r="HK27" i="1"/>
  <c r="AE22" i="1"/>
  <c r="AE27" i="1" s="1"/>
  <c r="V87" i="3" s="1"/>
  <c r="HK19" i="1"/>
  <c r="AE15" i="1"/>
  <c r="AE19" i="1" s="1"/>
  <c r="V86" i="3" s="1"/>
  <c r="HM14" i="1"/>
  <c r="HL17" i="1"/>
  <c r="AF17" i="1" s="1"/>
  <c r="HL16" i="1"/>
  <c r="AF16" i="1" s="1"/>
  <c r="HL18" i="1"/>
  <c r="AF18" i="1" s="1"/>
  <c r="HL15" i="1"/>
  <c r="HM42" i="1" l="1"/>
  <c r="AG42" i="1" s="1"/>
  <c r="AG86" i="1"/>
  <c r="AG87" i="1"/>
  <c r="AG84" i="1"/>
  <c r="AG85" i="1"/>
  <c r="AG83" i="1"/>
  <c r="AC85" i="3"/>
  <c r="HR4" i="1"/>
  <c r="AG79" i="1"/>
  <c r="AG81" i="1"/>
  <c r="AG80" i="1"/>
  <c r="AG82" i="1"/>
  <c r="HM32" i="1"/>
  <c r="AG32" i="1" s="1"/>
  <c r="HM25" i="1"/>
  <c r="AG25" i="1" s="1"/>
  <c r="HM24" i="1"/>
  <c r="AG24" i="1" s="1"/>
  <c r="HM33" i="1"/>
  <c r="AG33" i="1" s="1"/>
  <c r="HI47" i="1"/>
  <c r="AD104" i="1"/>
  <c r="U93" i="3"/>
  <c r="AG2" i="1"/>
  <c r="HM2" i="1" s="1"/>
  <c r="HL101" i="1"/>
  <c r="AC98" i="1"/>
  <c r="HJ65" i="1"/>
  <c r="AD97" i="1"/>
  <c r="AE91" i="1"/>
  <c r="AE92" i="1" s="1"/>
  <c r="AF90" i="1"/>
  <c r="HM41" i="1"/>
  <c r="AG41" i="1" s="1"/>
  <c r="HM40" i="1"/>
  <c r="AG40" i="1" s="1"/>
  <c r="HJ47" i="1"/>
  <c r="AE46" i="1"/>
  <c r="HL44" i="1"/>
  <c r="AF38" i="1"/>
  <c r="AF44" i="1" s="1"/>
  <c r="W89" i="3" s="1"/>
  <c r="HM22" i="1"/>
  <c r="HM23" i="1"/>
  <c r="AG23" i="1" s="1"/>
  <c r="HM31" i="1"/>
  <c r="AG31" i="1" s="1"/>
  <c r="HM26" i="1"/>
  <c r="AG26" i="1" s="1"/>
  <c r="HM34" i="1"/>
  <c r="AG34" i="1" s="1"/>
  <c r="HM30" i="1"/>
  <c r="HM43" i="1"/>
  <c r="AG43" i="1" s="1"/>
  <c r="HM38" i="1"/>
  <c r="HM39" i="1"/>
  <c r="AG39" i="1" s="1"/>
  <c r="AF30" i="1"/>
  <c r="AF35" i="1" s="1"/>
  <c r="W88" i="3" s="1"/>
  <c r="HL35" i="1"/>
  <c r="HL27" i="1"/>
  <c r="AF22" i="1"/>
  <c r="AF27" i="1" s="1"/>
  <c r="W87" i="3" s="1"/>
  <c r="AH14" i="1"/>
  <c r="AH89" i="1" s="1"/>
  <c r="AM4" i="1"/>
  <c r="AL3" i="1"/>
  <c r="HR3" i="1" s="1"/>
  <c r="HN14" i="1"/>
  <c r="HM18" i="1"/>
  <c r="AG18" i="1" s="1"/>
  <c r="HM16" i="1"/>
  <c r="AG16" i="1" s="1"/>
  <c r="HM15" i="1"/>
  <c r="HM17" i="1"/>
  <c r="AG17" i="1" s="1"/>
  <c r="AF15" i="1"/>
  <c r="AF19" i="1" s="1"/>
  <c r="W86" i="3" s="1"/>
  <c r="HL19" i="1"/>
  <c r="HN42" i="1" l="1"/>
  <c r="AH42" i="1" s="1"/>
  <c r="AH86" i="1"/>
  <c r="AH87" i="1"/>
  <c r="AH84" i="1"/>
  <c r="AH85" i="1"/>
  <c r="AH83" i="1"/>
  <c r="AD85" i="3"/>
  <c r="HS4" i="1"/>
  <c r="AH79" i="1"/>
  <c r="AH81" i="1"/>
  <c r="AH82" i="1"/>
  <c r="AH80" i="1"/>
  <c r="HN24" i="1"/>
  <c r="AH24" i="1" s="1"/>
  <c r="HN32" i="1"/>
  <c r="AH32" i="1" s="1"/>
  <c r="HN25" i="1"/>
  <c r="AH25" i="1" s="1"/>
  <c r="HN33" i="1"/>
  <c r="AH33" i="1" s="1"/>
  <c r="AE104" i="1"/>
  <c r="V93" i="3"/>
  <c r="AH2" i="1"/>
  <c r="HN2" i="1" s="1"/>
  <c r="HM101" i="1"/>
  <c r="AD98" i="1"/>
  <c r="HK65" i="1"/>
  <c r="AE97" i="1"/>
  <c r="HK47" i="1"/>
  <c r="AE96" i="1"/>
  <c r="AF91" i="1"/>
  <c r="AF92" i="1" s="1"/>
  <c r="AG90" i="1"/>
  <c r="HN40" i="1"/>
  <c r="AH40" i="1" s="1"/>
  <c r="HN41" i="1"/>
  <c r="AH41" i="1" s="1"/>
  <c r="HM27" i="1"/>
  <c r="AG22" i="1"/>
  <c r="AG27" i="1" s="1"/>
  <c r="X87" i="3" s="1"/>
  <c r="AN4" i="1"/>
  <c r="AM3" i="1"/>
  <c r="HS3" i="1" s="1"/>
  <c r="AF46" i="1"/>
  <c r="AF96" i="1" s="1"/>
  <c r="AG38" i="1"/>
  <c r="AG44" i="1" s="1"/>
  <c r="X89" i="3" s="1"/>
  <c r="HM44" i="1"/>
  <c r="HN26" i="1"/>
  <c r="AH26" i="1" s="1"/>
  <c r="HN23" i="1"/>
  <c r="AH23" i="1" s="1"/>
  <c r="HN34" i="1"/>
  <c r="AH34" i="1" s="1"/>
  <c r="HN31" i="1"/>
  <c r="AH31" i="1" s="1"/>
  <c r="HN43" i="1"/>
  <c r="AH43" i="1" s="1"/>
  <c r="HN22" i="1"/>
  <c r="HN38" i="1"/>
  <c r="HN39" i="1"/>
  <c r="AH39" i="1" s="1"/>
  <c r="HN30" i="1"/>
  <c r="AG30" i="1"/>
  <c r="AG35" i="1" s="1"/>
  <c r="X88" i="3" s="1"/>
  <c r="HM35" i="1"/>
  <c r="AI14" i="1"/>
  <c r="AI89" i="1" s="1"/>
  <c r="AG15" i="1"/>
  <c r="AG19" i="1" s="1"/>
  <c r="X86" i="3" s="1"/>
  <c r="HM19" i="1"/>
  <c r="HO14" i="1"/>
  <c r="HN15" i="1"/>
  <c r="HN18" i="1"/>
  <c r="AH18" i="1" s="1"/>
  <c r="HN16" i="1"/>
  <c r="AH16" i="1" s="1"/>
  <c r="HN17" i="1"/>
  <c r="AH17" i="1" s="1"/>
  <c r="HO42" i="1" l="1"/>
  <c r="AI42" i="1" s="1"/>
  <c r="AI86" i="1"/>
  <c r="AI87" i="1"/>
  <c r="AI84" i="1"/>
  <c r="AI85" i="1"/>
  <c r="AI83" i="1"/>
  <c r="AE85" i="3"/>
  <c r="HT4" i="1"/>
  <c r="AI80" i="1"/>
  <c r="AI82" i="1"/>
  <c r="AI79" i="1"/>
  <c r="AI81" i="1"/>
  <c r="HO25" i="1"/>
  <c r="AI25" i="1" s="1"/>
  <c r="HO33" i="1"/>
  <c r="AI33" i="1" s="1"/>
  <c r="HO24" i="1"/>
  <c r="AI24" i="1" s="1"/>
  <c r="HO32" i="1"/>
  <c r="AI32" i="1" s="1"/>
  <c r="AF104" i="1"/>
  <c r="W93" i="3"/>
  <c r="AI2" i="1"/>
  <c r="HO2" i="1" s="1"/>
  <c r="HN101" i="1"/>
  <c r="AE98" i="1"/>
  <c r="HL65" i="1"/>
  <c r="AF97" i="1"/>
  <c r="AG91" i="1"/>
  <c r="AG92" i="1" s="1"/>
  <c r="AH90" i="1"/>
  <c r="HO40" i="1"/>
  <c r="AI40" i="1" s="1"/>
  <c r="HO41" i="1"/>
  <c r="AI41" i="1" s="1"/>
  <c r="HL47" i="1"/>
  <c r="AG46" i="1"/>
  <c r="AG96" i="1" s="1"/>
  <c r="AJ14" i="1"/>
  <c r="AJ89" i="1" s="1"/>
  <c r="AH22" i="1"/>
  <c r="AH27" i="1" s="1"/>
  <c r="Y87" i="3" s="1"/>
  <c r="HN27" i="1"/>
  <c r="HN44" i="1"/>
  <c r="AH38" i="1"/>
  <c r="AH44" i="1" s="1"/>
  <c r="Y89" i="3" s="1"/>
  <c r="AH30" i="1"/>
  <c r="AH35" i="1" s="1"/>
  <c r="Y88" i="3" s="1"/>
  <c r="HN35" i="1"/>
  <c r="AO4" i="1"/>
  <c r="AN3" i="1"/>
  <c r="HT3" i="1" s="1"/>
  <c r="HO34" i="1"/>
  <c r="AI34" i="1" s="1"/>
  <c r="HO26" i="1"/>
  <c r="AI26" i="1" s="1"/>
  <c r="HO31" i="1"/>
  <c r="AI31" i="1" s="1"/>
  <c r="HO38" i="1"/>
  <c r="HO43" i="1"/>
  <c r="AI43" i="1" s="1"/>
  <c r="HO23" i="1"/>
  <c r="AI23" i="1" s="1"/>
  <c r="HO30" i="1"/>
  <c r="HO22" i="1"/>
  <c r="HO39" i="1"/>
  <c r="AI39" i="1" s="1"/>
  <c r="AH15" i="1"/>
  <c r="AH19" i="1" s="1"/>
  <c r="Y86" i="3" s="1"/>
  <c r="HN19" i="1"/>
  <c r="HP14" i="1"/>
  <c r="HO17" i="1"/>
  <c r="AI17" i="1" s="1"/>
  <c r="HO18" i="1"/>
  <c r="AI18" i="1" s="1"/>
  <c r="HO16" i="1"/>
  <c r="AI16" i="1" s="1"/>
  <c r="HO15" i="1"/>
  <c r="HP42" i="1" l="1"/>
  <c r="AJ42" i="1" s="1"/>
  <c r="AJ86" i="1"/>
  <c r="AJ87" i="1"/>
  <c r="AJ84" i="1"/>
  <c r="AJ85" i="1"/>
  <c r="AJ83" i="1"/>
  <c r="AF85" i="3"/>
  <c r="HU4" i="1"/>
  <c r="AJ80" i="1"/>
  <c r="AJ81" i="1"/>
  <c r="AJ82" i="1"/>
  <c r="AJ79" i="1"/>
  <c r="HP25" i="1"/>
  <c r="AJ25" i="1" s="1"/>
  <c r="HP24" i="1"/>
  <c r="AJ24" i="1" s="1"/>
  <c r="HP32" i="1"/>
  <c r="AJ32" i="1" s="1"/>
  <c r="HP33" i="1"/>
  <c r="AJ33" i="1" s="1"/>
  <c r="AG104" i="1"/>
  <c r="X93" i="3"/>
  <c r="HO101" i="1"/>
  <c r="AJ2" i="1"/>
  <c r="HP2" i="1" s="1"/>
  <c r="AF98" i="1"/>
  <c r="HM65" i="1"/>
  <c r="AG97" i="1"/>
  <c r="AG98" i="1" s="1"/>
  <c r="AH91" i="1"/>
  <c r="AH92" i="1" s="1"/>
  <c r="AI90" i="1"/>
  <c r="HP40" i="1"/>
  <c r="AJ40" i="1" s="1"/>
  <c r="HP41" i="1"/>
  <c r="AJ41" i="1" s="1"/>
  <c r="HM47" i="1"/>
  <c r="AH46" i="1"/>
  <c r="AH96" i="1" s="1"/>
  <c r="HO27" i="1"/>
  <c r="AI22" i="1"/>
  <c r="AI27" i="1" s="1"/>
  <c r="Z87" i="3" s="1"/>
  <c r="HO35" i="1"/>
  <c r="AI30" i="1"/>
  <c r="AI35" i="1" s="1"/>
  <c r="Z88" i="3" s="1"/>
  <c r="AP4" i="1"/>
  <c r="AO3" i="1"/>
  <c r="HU3" i="1" s="1"/>
  <c r="HP26" i="1"/>
  <c r="AJ26" i="1" s="1"/>
  <c r="HP22" i="1"/>
  <c r="HP34" i="1"/>
  <c r="AJ34" i="1" s="1"/>
  <c r="HP31" i="1"/>
  <c r="AJ31" i="1" s="1"/>
  <c r="HP30" i="1"/>
  <c r="HP43" i="1"/>
  <c r="AJ43" i="1" s="1"/>
  <c r="HP23" i="1"/>
  <c r="AJ23" i="1" s="1"/>
  <c r="HP38" i="1"/>
  <c r="HP39" i="1"/>
  <c r="AJ39" i="1" s="1"/>
  <c r="AI38" i="1"/>
  <c r="AI44" i="1" s="1"/>
  <c r="Z89" i="3" s="1"/>
  <c r="HO44" i="1"/>
  <c r="AK14" i="1"/>
  <c r="AK89" i="1" s="1"/>
  <c r="HQ14" i="1"/>
  <c r="HP18" i="1"/>
  <c r="AJ18" i="1" s="1"/>
  <c r="HP15" i="1"/>
  <c r="HP17" i="1"/>
  <c r="AJ17" i="1" s="1"/>
  <c r="HP16" i="1"/>
  <c r="AJ16" i="1" s="1"/>
  <c r="AI15" i="1"/>
  <c r="AI19" i="1" s="1"/>
  <c r="Z86" i="3" s="1"/>
  <c r="HO19" i="1"/>
  <c r="HQ42" i="1" l="1"/>
  <c r="AK42" i="1" s="1"/>
  <c r="AK86" i="1"/>
  <c r="AK87" i="1"/>
  <c r="AK84" i="1"/>
  <c r="AK85" i="1"/>
  <c r="AK83" i="1"/>
  <c r="AG85" i="3"/>
  <c r="HV4" i="1"/>
  <c r="AK80" i="1"/>
  <c r="AK82" i="1"/>
  <c r="AK79" i="1"/>
  <c r="AK81" i="1"/>
  <c r="HQ32" i="1"/>
  <c r="AK32" i="1" s="1"/>
  <c r="HQ25" i="1"/>
  <c r="AK25" i="1" s="1"/>
  <c r="HQ24" i="1"/>
  <c r="AK24" i="1" s="1"/>
  <c r="HQ33" i="1"/>
  <c r="AK33" i="1" s="1"/>
  <c r="AH104" i="1"/>
  <c r="Y93" i="3"/>
  <c r="HP101" i="1"/>
  <c r="AK2" i="1"/>
  <c r="HQ2" i="1" s="1"/>
  <c r="HN65" i="1"/>
  <c r="AH97" i="1"/>
  <c r="AH98" i="1" s="1"/>
  <c r="AI91" i="1"/>
  <c r="AI92" i="1" s="1"/>
  <c r="AJ90" i="1"/>
  <c r="HQ41" i="1"/>
  <c r="AK41" i="1" s="1"/>
  <c r="HQ40" i="1"/>
  <c r="AK40" i="1" s="1"/>
  <c r="HN47" i="1"/>
  <c r="AI46" i="1"/>
  <c r="AI96" i="1" s="1"/>
  <c r="AL14" i="1"/>
  <c r="AL89" i="1" s="1"/>
  <c r="AJ30" i="1"/>
  <c r="AJ35" i="1" s="1"/>
  <c r="AA88" i="3" s="1"/>
  <c r="HP35" i="1"/>
  <c r="HQ22" i="1"/>
  <c r="HQ26" i="1"/>
  <c r="AK26" i="1" s="1"/>
  <c r="HQ34" i="1"/>
  <c r="AK34" i="1" s="1"/>
  <c r="HQ31" i="1"/>
  <c r="AK31" i="1" s="1"/>
  <c r="HQ43" i="1"/>
  <c r="AK43" i="1" s="1"/>
  <c r="HQ30" i="1"/>
  <c r="HQ38" i="1"/>
  <c r="HQ39" i="1"/>
  <c r="AK39" i="1" s="1"/>
  <c r="HQ23" i="1"/>
  <c r="AK23" i="1" s="1"/>
  <c r="AJ38" i="1"/>
  <c r="AJ44" i="1" s="1"/>
  <c r="AA89" i="3" s="1"/>
  <c r="HP44" i="1"/>
  <c r="AJ22" i="1"/>
  <c r="AJ27" i="1" s="1"/>
  <c r="AA87" i="3" s="1"/>
  <c r="HP27" i="1"/>
  <c r="AQ4" i="1"/>
  <c r="AP3" i="1"/>
  <c r="HV3" i="1" s="1"/>
  <c r="AJ15" i="1"/>
  <c r="AJ19" i="1" s="1"/>
  <c r="AA86" i="3" s="1"/>
  <c r="HP19" i="1"/>
  <c r="HR14" i="1"/>
  <c r="HQ18" i="1"/>
  <c r="AK18" i="1" s="1"/>
  <c r="HQ16" i="1"/>
  <c r="AK16" i="1" s="1"/>
  <c r="HQ17" i="1"/>
  <c r="AK17" i="1" s="1"/>
  <c r="HQ15" i="1"/>
  <c r="HR42" i="1" l="1"/>
  <c r="AL42" i="1" s="1"/>
  <c r="AL86" i="1"/>
  <c r="AL87" i="1"/>
  <c r="AL84" i="1"/>
  <c r="AL85" i="1"/>
  <c r="AL83" i="1"/>
  <c r="AH85" i="3"/>
  <c r="HW4" i="1"/>
  <c r="AL80" i="1"/>
  <c r="AL82" i="1"/>
  <c r="AL79" i="1"/>
  <c r="AL81" i="1"/>
  <c r="HR32" i="1"/>
  <c r="AL32" i="1" s="1"/>
  <c r="HR25" i="1"/>
  <c r="AL25" i="1" s="1"/>
  <c r="HR33" i="1"/>
  <c r="AL33" i="1" s="1"/>
  <c r="HR24" i="1"/>
  <c r="AL24" i="1" s="1"/>
  <c r="AI104" i="1"/>
  <c r="Z93" i="3"/>
  <c r="HQ101" i="1"/>
  <c r="AL2" i="1"/>
  <c r="HR2" i="1" s="1"/>
  <c r="HO65" i="1"/>
  <c r="AI97" i="1"/>
  <c r="AJ91" i="1"/>
  <c r="AJ92" i="1" s="1"/>
  <c r="AK90" i="1"/>
  <c r="HR41" i="1"/>
  <c r="AL41" i="1" s="1"/>
  <c r="HR40" i="1"/>
  <c r="AL40" i="1" s="1"/>
  <c r="HO47" i="1"/>
  <c r="AR4" i="1"/>
  <c r="AQ3" i="1"/>
  <c r="HW3" i="1" s="1"/>
  <c r="AK22" i="1"/>
  <c r="AK27" i="1" s="1"/>
  <c r="AB87" i="3" s="1"/>
  <c r="HQ27" i="1"/>
  <c r="AK38" i="1"/>
  <c r="AK44" i="1" s="1"/>
  <c r="AB89" i="3" s="1"/>
  <c r="HQ44" i="1"/>
  <c r="AK30" i="1"/>
  <c r="AK35" i="1" s="1"/>
  <c r="AB88" i="3" s="1"/>
  <c r="HQ35" i="1"/>
  <c r="HR31" i="1"/>
  <c r="AL31" i="1" s="1"/>
  <c r="HR22" i="1"/>
  <c r="HR23" i="1"/>
  <c r="AL23" i="1" s="1"/>
  <c r="HR34" i="1"/>
  <c r="AL34" i="1" s="1"/>
  <c r="HR26" i="1"/>
  <c r="AL26" i="1" s="1"/>
  <c r="HR43" i="1"/>
  <c r="AL43" i="1" s="1"/>
  <c r="HR30" i="1"/>
  <c r="HR38" i="1"/>
  <c r="HR39" i="1"/>
  <c r="AL39" i="1" s="1"/>
  <c r="AJ46" i="1"/>
  <c r="AJ96" i="1" s="1"/>
  <c r="AM14" i="1"/>
  <c r="AM89" i="1" s="1"/>
  <c r="HS14" i="1"/>
  <c r="HR18" i="1"/>
  <c r="AL18" i="1" s="1"/>
  <c r="HR16" i="1"/>
  <c r="AL16" i="1" s="1"/>
  <c r="HR17" i="1"/>
  <c r="AL17" i="1" s="1"/>
  <c r="HR15" i="1"/>
  <c r="HQ19" i="1"/>
  <c r="AK15" i="1"/>
  <c r="AK19" i="1" s="1"/>
  <c r="AB86" i="3" s="1"/>
  <c r="HS42" i="1" l="1"/>
  <c r="AM42" i="1" s="1"/>
  <c r="AM86" i="1"/>
  <c r="AM87" i="1"/>
  <c r="AM84" i="1"/>
  <c r="AM85" i="1"/>
  <c r="AM83" i="1"/>
  <c r="AI85" i="3"/>
  <c r="HX4" i="1"/>
  <c r="AM79" i="1"/>
  <c r="AM81" i="1"/>
  <c r="AM80" i="1"/>
  <c r="AM82" i="1"/>
  <c r="HS32" i="1"/>
  <c r="AM32" i="1" s="1"/>
  <c r="HS24" i="1"/>
  <c r="AM24" i="1" s="1"/>
  <c r="HS25" i="1"/>
  <c r="AM25" i="1" s="1"/>
  <c r="HS33" i="1"/>
  <c r="AM33" i="1" s="1"/>
  <c r="AJ104" i="1"/>
  <c r="AA93" i="3"/>
  <c r="HR101" i="1"/>
  <c r="AM2" i="1"/>
  <c r="HS2" i="1" s="1"/>
  <c r="AI98" i="1"/>
  <c r="HP65" i="1"/>
  <c r="AJ97" i="1"/>
  <c r="AK91" i="1"/>
  <c r="AK92" i="1" s="1"/>
  <c r="AL90" i="1"/>
  <c r="HS41" i="1"/>
  <c r="AM41" i="1" s="1"/>
  <c r="HS40" i="1"/>
  <c r="AM40" i="1" s="1"/>
  <c r="HP47" i="1"/>
  <c r="HR35" i="1"/>
  <c r="AL30" i="1"/>
  <c r="AL35" i="1" s="1"/>
  <c r="AC88" i="3" s="1"/>
  <c r="AN14" i="1"/>
  <c r="AN89" i="1" s="1"/>
  <c r="AK46" i="1"/>
  <c r="AK96" i="1" s="1"/>
  <c r="AL38" i="1"/>
  <c r="AL44" i="1" s="1"/>
  <c r="AC89" i="3" s="1"/>
  <c r="HR44" i="1"/>
  <c r="HR27" i="1"/>
  <c r="AL22" i="1"/>
  <c r="AL27" i="1" s="1"/>
  <c r="AC87" i="3" s="1"/>
  <c r="HS26" i="1"/>
  <c r="AM26" i="1" s="1"/>
  <c r="HS31" i="1"/>
  <c r="AM31" i="1" s="1"/>
  <c r="HS22" i="1"/>
  <c r="HS30" i="1"/>
  <c r="HS23" i="1"/>
  <c r="AM23" i="1" s="1"/>
  <c r="HS34" i="1"/>
  <c r="AM34" i="1" s="1"/>
  <c r="HS43" i="1"/>
  <c r="AM43" i="1" s="1"/>
  <c r="HS39" i="1"/>
  <c r="AM39" i="1" s="1"/>
  <c r="HS38" i="1"/>
  <c r="AS4" i="1"/>
  <c r="AR3" i="1"/>
  <c r="HX3" i="1" s="1"/>
  <c r="AL15" i="1"/>
  <c r="AL19" i="1" s="1"/>
  <c r="AC86" i="3" s="1"/>
  <c r="HR19" i="1"/>
  <c r="HT14" i="1"/>
  <c r="HS18" i="1"/>
  <c r="AM18" i="1" s="1"/>
  <c r="HS17" i="1"/>
  <c r="AM17" i="1" s="1"/>
  <c r="HS15" i="1"/>
  <c r="HS16" i="1"/>
  <c r="AM16" i="1" s="1"/>
  <c r="HT42" i="1" l="1"/>
  <c r="AN42" i="1" s="1"/>
  <c r="AN86" i="1"/>
  <c r="AN87" i="1"/>
  <c r="AN84" i="1"/>
  <c r="AN85" i="1"/>
  <c r="AN83" i="1"/>
  <c r="AJ85" i="3"/>
  <c r="HY4" i="1"/>
  <c r="AN79" i="1"/>
  <c r="AN80" i="1"/>
  <c r="AN81" i="1"/>
  <c r="AN82" i="1"/>
  <c r="HT25" i="1"/>
  <c r="AN25" i="1" s="1"/>
  <c r="HT24" i="1"/>
  <c r="AN24" i="1" s="1"/>
  <c r="HT32" i="1"/>
  <c r="AN32" i="1" s="1"/>
  <c r="HT33" i="1"/>
  <c r="AN33" i="1" s="1"/>
  <c r="AK104" i="1"/>
  <c r="AB93" i="3"/>
  <c r="HS101" i="1"/>
  <c r="AN2" i="1"/>
  <c r="HT2" i="1" s="1"/>
  <c r="AJ98" i="1"/>
  <c r="HQ65" i="1"/>
  <c r="AK97" i="1"/>
  <c r="AL91" i="1"/>
  <c r="AL92" i="1" s="1"/>
  <c r="AM90" i="1"/>
  <c r="HT40" i="1"/>
  <c r="AN40" i="1" s="1"/>
  <c r="HT41" i="1"/>
  <c r="AN41" i="1" s="1"/>
  <c r="HQ47" i="1"/>
  <c r="AL46" i="1"/>
  <c r="AL96" i="1" s="1"/>
  <c r="HS44" i="1"/>
  <c r="AM38" i="1"/>
  <c r="AM44" i="1" s="1"/>
  <c r="AD89" i="3" s="1"/>
  <c r="HS27" i="1"/>
  <c r="AM22" i="1"/>
  <c r="AM27" i="1" s="1"/>
  <c r="AD87" i="3" s="1"/>
  <c r="AM30" i="1"/>
  <c r="AM35" i="1" s="1"/>
  <c r="AD88" i="3" s="1"/>
  <c r="HS35" i="1"/>
  <c r="AT4" i="1"/>
  <c r="AS3" i="1"/>
  <c r="HY3" i="1" s="1"/>
  <c r="HT22" i="1"/>
  <c r="HT23" i="1"/>
  <c r="AN23" i="1" s="1"/>
  <c r="HT26" i="1"/>
  <c r="AN26" i="1" s="1"/>
  <c r="HT30" i="1"/>
  <c r="HT31" i="1"/>
  <c r="AN31" i="1" s="1"/>
  <c r="HT34" i="1"/>
  <c r="AN34" i="1" s="1"/>
  <c r="HT43" i="1"/>
  <c r="AN43" i="1" s="1"/>
  <c r="HT39" i="1"/>
  <c r="AN39" i="1" s="1"/>
  <c r="HT38" i="1"/>
  <c r="AO14" i="1"/>
  <c r="AO89" i="1" s="1"/>
  <c r="HU14" i="1"/>
  <c r="HT17" i="1"/>
  <c r="AN17" i="1" s="1"/>
  <c r="HT16" i="1"/>
  <c r="AN16" i="1" s="1"/>
  <c r="HT15" i="1"/>
  <c r="HT18" i="1"/>
  <c r="AN18" i="1" s="1"/>
  <c r="HS19" i="1"/>
  <c r="AM15" i="1"/>
  <c r="AM19" i="1" s="1"/>
  <c r="AD86" i="3" s="1"/>
  <c r="HU42" i="1" l="1"/>
  <c r="AO86" i="1"/>
  <c r="AO87" i="1"/>
  <c r="AO84" i="1"/>
  <c r="AO85" i="1"/>
  <c r="AO83" i="1"/>
  <c r="AK85" i="3"/>
  <c r="HZ4" i="1"/>
  <c r="AO79" i="1"/>
  <c r="AO81" i="1"/>
  <c r="AO80" i="1"/>
  <c r="AO82" i="1"/>
  <c r="AO42" i="1"/>
  <c r="HU25" i="1"/>
  <c r="AO25" i="1" s="1"/>
  <c r="HU32" i="1"/>
  <c r="AO32" i="1" s="1"/>
  <c r="HU24" i="1"/>
  <c r="AO24" i="1" s="1"/>
  <c r="HU33" i="1"/>
  <c r="AO33" i="1" s="1"/>
  <c r="AL104" i="1"/>
  <c r="AC93" i="3"/>
  <c r="AO2" i="1"/>
  <c r="HU2" i="1" s="1"/>
  <c r="HT101" i="1"/>
  <c r="AK98" i="1"/>
  <c r="HR65" i="1"/>
  <c r="AL97" i="1"/>
  <c r="AL98" i="1" s="1"/>
  <c r="AM91" i="1"/>
  <c r="AM92" i="1" s="1"/>
  <c r="AN90" i="1"/>
  <c r="HU40" i="1"/>
  <c r="AO40" i="1" s="1"/>
  <c r="HU41" i="1"/>
  <c r="AO41" i="1" s="1"/>
  <c r="HR47" i="1"/>
  <c r="AU4" i="1"/>
  <c r="AT3" i="1"/>
  <c r="HZ3" i="1" s="1"/>
  <c r="HT44" i="1"/>
  <c r="AN38" i="1"/>
  <c r="AN44" i="1" s="1"/>
  <c r="AE89" i="3" s="1"/>
  <c r="AN30" i="1"/>
  <c r="AN35" i="1" s="1"/>
  <c r="AE88" i="3" s="1"/>
  <c r="HT35" i="1"/>
  <c r="HT27" i="1"/>
  <c r="AN22" i="1"/>
  <c r="AN27" i="1" s="1"/>
  <c r="AE87" i="3" s="1"/>
  <c r="AM46" i="1"/>
  <c r="AM96" i="1" s="1"/>
  <c r="AP14" i="1"/>
  <c r="AP89" i="1" s="1"/>
  <c r="HU22" i="1"/>
  <c r="HU26" i="1"/>
  <c r="AO26" i="1" s="1"/>
  <c r="HU30" i="1"/>
  <c r="HU34" i="1"/>
  <c r="AO34" i="1" s="1"/>
  <c r="HU31" i="1"/>
  <c r="AO31" i="1" s="1"/>
  <c r="HU43" i="1"/>
  <c r="AO43" i="1" s="1"/>
  <c r="HU23" i="1"/>
  <c r="AO23" i="1" s="1"/>
  <c r="HU38" i="1"/>
  <c r="HU39" i="1"/>
  <c r="AO39" i="1" s="1"/>
  <c r="AN15" i="1"/>
  <c r="AN19" i="1" s="1"/>
  <c r="AE86" i="3" s="1"/>
  <c r="HT19" i="1"/>
  <c r="HV14" i="1"/>
  <c r="HU18" i="1"/>
  <c r="AO18" i="1" s="1"/>
  <c r="HU17" i="1"/>
  <c r="AO17" i="1" s="1"/>
  <c r="HU15" i="1"/>
  <c r="HU16" i="1"/>
  <c r="AO16" i="1" s="1"/>
  <c r="HV42" i="1" l="1"/>
  <c r="AP42" i="1" s="1"/>
  <c r="AP86" i="1"/>
  <c r="AP87" i="1"/>
  <c r="AP84" i="1"/>
  <c r="AP85" i="1"/>
  <c r="AP83" i="1"/>
  <c r="AL85" i="3"/>
  <c r="IA4" i="1"/>
  <c r="AP79" i="1"/>
  <c r="AP81" i="1"/>
  <c r="AP82" i="1"/>
  <c r="AP80" i="1"/>
  <c r="HV25" i="1"/>
  <c r="AP25" i="1" s="1"/>
  <c r="HV24" i="1"/>
  <c r="AP24" i="1" s="1"/>
  <c r="HV32" i="1"/>
  <c r="AP32" i="1" s="1"/>
  <c r="HV33" i="1"/>
  <c r="AP33" i="1" s="1"/>
  <c r="AM104" i="1"/>
  <c r="AD93" i="3"/>
  <c r="AP2" i="1"/>
  <c r="HV2" i="1" s="1"/>
  <c r="HU101" i="1"/>
  <c r="HS65" i="1"/>
  <c r="AM97" i="1"/>
  <c r="AM98" i="1" s="1"/>
  <c r="AN91" i="1"/>
  <c r="AN92" i="1" s="1"/>
  <c r="AO90" i="1"/>
  <c r="HV41" i="1"/>
  <c r="AP41" i="1" s="1"/>
  <c r="HV40" i="1"/>
  <c r="AP40" i="1" s="1"/>
  <c r="HS47" i="1"/>
  <c r="AO30" i="1"/>
  <c r="AO35" i="1" s="1"/>
  <c r="AF88" i="3" s="1"/>
  <c r="HU35" i="1"/>
  <c r="AO22" i="1"/>
  <c r="AO27" i="1" s="1"/>
  <c r="AF87" i="3" s="1"/>
  <c r="HU27" i="1"/>
  <c r="AO38" i="1"/>
  <c r="AO44" i="1" s="1"/>
  <c r="AF89" i="3" s="1"/>
  <c r="HU44" i="1"/>
  <c r="AN46" i="1"/>
  <c r="AN96" i="1" s="1"/>
  <c r="HV34" i="1"/>
  <c r="AP34" i="1" s="1"/>
  <c r="HV22" i="1"/>
  <c r="HV31" i="1"/>
  <c r="AP31" i="1" s="1"/>
  <c r="HV26" i="1"/>
  <c r="AP26" i="1" s="1"/>
  <c r="HV38" i="1"/>
  <c r="HV43" i="1"/>
  <c r="AP43" i="1" s="1"/>
  <c r="HV23" i="1"/>
  <c r="AP23" i="1" s="1"/>
  <c r="HV39" i="1"/>
  <c r="AP39" i="1" s="1"/>
  <c r="HV30" i="1"/>
  <c r="AQ14" i="1"/>
  <c r="AQ89" i="1" s="1"/>
  <c r="AV4" i="1"/>
  <c r="AU3" i="1"/>
  <c r="IA3" i="1" s="1"/>
  <c r="HW14" i="1"/>
  <c r="HV15" i="1"/>
  <c r="HV18" i="1"/>
  <c r="AP18" i="1" s="1"/>
  <c r="HV17" i="1"/>
  <c r="AP17" i="1" s="1"/>
  <c r="HV16" i="1"/>
  <c r="AP16" i="1" s="1"/>
  <c r="HU19" i="1"/>
  <c r="AO15" i="1"/>
  <c r="AO19" i="1" s="1"/>
  <c r="AF86" i="3" s="1"/>
  <c r="HW42" i="1" l="1"/>
  <c r="AQ42" i="1" s="1"/>
  <c r="AQ86" i="1"/>
  <c r="AQ87" i="1"/>
  <c r="AQ84" i="1"/>
  <c r="AQ85" i="1"/>
  <c r="AQ83" i="1"/>
  <c r="AM85" i="3"/>
  <c r="IB4" i="1"/>
  <c r="AQ80" i="1"/>
  <c r="AQ82" i="1"/>
  <c r="AQ79" i="1"/>
  <c r="AQ81" i="1"/>
  <c r="HW24" i="1"/>
  <c r="AQ24" i="1" s="1"/>
  <c r="HW25" i="1"/>
  <c r="AQ25" i="1" s="1"/>
  <c r="HW32" i="1"/>
  <c r="AQ32" i="1" s="1"/>
  <c r="HW33" i="1"/>
  <c r="AQ33" i="1" s="1"/>
  <c r="AN104" i="1"/>
  <c r="AE93" i="3"/>
  <c r="AQ2" i="1"/>
  <c r="HW2" i="1" s="1"/>
  <c r="HV101" i="1"/>
  <c r="HT65" i="1"/>
  <c r="AN97" i="1"/>
  <c r="AO91" i="1"/>
  <c r="AO92" i="1" s="1"/>
  <c r="AP90" i="1"/>
  <c r="HW41" i="1"/>
  <c r="AQ41" i="1" s="1"/>
  <c r="HW40" i="1"/>
  <c r="AQ40" i="1" s="1"/>
  <c r="HT47" i="1"/>
  <c r="AP38" i="1"/>
  <c r="AP44" i="1" s="1"/>
  <c r="AG89" i="3" s="1"/>
  <c r="HV44" i="1"/>
  <c r="AR14" i="1"/>
  <c r="AR89" i="1" s="1"/>
  <c r="AO46" i="1"/>
  <c r="AO96" i="1" s="1"/>
  <c r="AW4" i="1"/>
  <c r="AV3" i="1"/>
  <c r="IB3" i="1" s="1"/>
  <c r="HV35" i="1"/>
  <c r="AP30" i="1"/>
  <c r="AP35" i="1" s="1"/>
  <c r="AG88" i="3" s="1"/>
  <c r="HW26" i="1"/>
  <c r="AQ26" i="1" s="1"/>
  <c r="HW34" i="1"/>
  <c r="AQ34" i="1" s="1"/>
  <c r="HW31" i="1"/>
  <c r="AQ31" i="1" s="1"/>
  <c r="HW43" i="1"/>
  <c r="AQ43" i="1" s="1"/>
  <c r="HW22" i="1"/>
  <c r="HW38" i="1"/>
  <c r="HW23" i="1"/>
  <c r="AQ23" i="1" s="1"/>
  <c r="HW30" i="1"/>
  <c r="HW39" i="1"/>
  <c r="AQ39" i="1" s="1"/>
  <c r="HV27" i="1"/>
  <c r="AP22" i="1"/>
  <c r="AP27" i="1" s="1"/>
  <c r="AG87" i="3" s="1"/>
  <c r="AP15" i="1"/>
  <c r="AP19" i="1" s="1"/>
  <c r="AG86" i="3" s="1"/>
  <c r="HV19" i="1"/>
  <c r="HX14" i="1"/>
  <c r="HW17" i="1"/>
  <c r="AQ17" i="1" s="1"/>
  <c r="HW18" i="1"/>
  <c r="AQ18" i="1" s="1"/>
  <c r="HW16" i="1"/>
  <c r="AQ16" i="1" s="1"/>
  <c r="HW15" i="1"/>
  <c r="HX42" i="1" l="1"/>
  <c r="AR42" i="1" s="1"/>
  <c r="AR86" i="1"/>
  <c r="AR87" i="1"/>
  <c r="AR84" i="1"/>
  <c r="AR85" i="1"/>
  <c r="AR83" i="1"/>
  <c r="AN85" i="3"/>
  <c r="IC4" i="1"/>
  <c r="AR82" i="1"/>
  <c r="AR80" i="1"/>
  <c r="AR81" i="1"/>
  <c r="AR79" i="1"/>
  <c r="HX33" i="1"/>
  <c r="AR33" i="1" s="1"/>
  <c r="HX32" i="1"/>
  <c r="AR32" i="1" s="1"/>
  <c r="HX24" i="1"/>
  <c r="AR24" i="1" s="1"/>
  <c r="HX25" i="1"/>
  <c r="AR25" i="1" s="1"/>
  <c r="AO104" i="1"/>
  <c r="AF93" i="3"/>
  <c r="HW101" i="1"/>
  <c r="AR2" i="1"/>
  <c r="HX2" i="1" s="1"/>
  <c r="AN98" i="1"/>
  <c r="HU65" i="1"/>
  <c r="AO97" i="1"/>
  <c r="AP91" i="1"/>
  <c r="AP92" i="1" s="1"/>
  <c r="AQ90" i="1"/>
  <c r="HX40" i="1"/>
  <c r="AR40" i="1" s="1"/>
  <c r="HX41" i="1"/>
  <c r="AR41" i="1" s="1"/>
  <c r="HU47" i="1"/>
  <c r="AX4" i="1"/>
  <c r="AW3" i="1"/>
  <c r="IC3" i="1" s="1"/>
  <c r="HX26" i="1"/>
  <c r="AR26" i="1" s="1"/>
  <c r="HX31" i="1"/>
  <c r="AR31" i="1" s="1"/>
  <c r="HX23" i="1"/>
  <c r="AR23" i="1" s="1"/>
  <c r="HX38" i="1"/>
  <c r="HX43" i="1"/>
  <c r="AR43" i="1" s="1"/>
  <c r="HX34" i="1"/>
  <c r="AR34" i="1" s="1"/>
  <c r="HX30" i="1"/>
  <c r="HX22" i="1"/>
  <c r="HX39" i="1"/>
  <c r="AR39" i="1" s="1"/>
  <c r="AS14" i="1"/>
  <c r="AS89" i="1" s="1"/>
  <c r="AQ38" i="1"/>
  <c r="AQ44" i="1" s="1"/>
  <c r="AH89" i="3" s="1"/>
  <c r="HW44" i="1"/>
  <c r="HW27" i="1"/>
  <c r="AQ22" i="1"/>
  <c r="AQ27" i="1" s="1"/>
  <c r="AH87" i="3" s="1"/>
  <c r="AP46" i="1"/>
  <c r="AP96" i="1" s="1"/>
  <c r="AQ30" i="1"/>
  <c r="AQ35" i="1" s="1"/>
  <c r="AH88" i="3" s="1"/>
  <c r="HW35" i="1"/>
  <c r="HY14" i="1"/>
  <c r="HX16" i="1"/>
  <c r="AR16" i="1" s="1"/>
  <c r="HX18" i="1"/>
  <c r="AR18" i="1" s="1"/>
  <c r="HX17" i="1"/>
  <c r="AR17" i="1" s="1"/>
  <c r="HX15" i="1"/>
  <c r="AQ15" i="1"/>
  <c r="AQ19" i="1" s="1"/>
  <c r="AH86" i="3" s="1"/>
  <c r="HW19" i="1"/>
  <c r="HY42" i="1" l="1"/>
  <c r="AS42" i="1" s="1"/>
  <c r="AS86" i="1"/>
  <c r="AS87" i="1"/>
  <c r="AS84" i="1"/>
  <c r="AS85" i="1"/>
  <c r="AS83" i="1"/>
  <c r="AO85" i="3"/>
  <c r="ID4" i="1"/>
  <c r="AS80" i="1"/>
  <c r="AS82" i="1"/>
  <c r="AS81" i="1"/>
  <c r="AS79" i="1"/>
  <c r="HY32" i="1"/>
  <c r="AS32" i="1" s="1"/>
  <c r="HY24" i="1"/>
  <c r="AS24" i="1" s="1"/>
  <c r="HY25" i="1"/>
  <c r="AS25" i="1" s="1"/>
  <c r="HY33" i="1"/>
  <c r="AS33" i="1" s="1"/>
  <c r="AP104" i="1"/>
  <c r="AG93" i="3"/>
  <c r="AS2" i="1"/>
  <c r="HY2" i="1" s="1"/>
  <c r="HX101" i="1"/>
  <c r="AO98" i="1"/>
  <c r="HV65" i="1"/>
  <c r="AP97" i="1"/>
  <c r="AQ91" i="1"/>
  <c r="AQ92" i="1" s="1"/>
  <c r="AR90" i="1"/>
  <c r="HY41" i="1"/>
  <c r="AS41" i="1" s="1"/>
  <c r="HY40" i="1"/>
  <c r="AS40" i="1" s="1"/>
  <c r="HV47" i="1"/>
  <c r="AT14" i="1"/>
  <c r="AT89" i="1" s="1"/>
  <c r="HX27" i="1"/>
  <c r="AR22" i="1"/>
  <c r="AR27" i="1" s="1"/>
  <c r="AI87" i="3" s="1"/>
  <c r="HX35" i="1"/>
  <c r="AR30" i="1"/>
  <c r="AR35" i="1" s="1"/>
  <c r="AI88" i="3" s="1"/>
  <c r="AR38" i="1"/>
  <c r="AR44" i="1" s="1"/>
  <c r="AI89" i="3" s="1"/>
  <c r="HX44" i="1"/>
  <c r="AQ46" i="1"/>
  <c r="AQ96" i="1" s="1"/>
  <c r="HY26" i="1"/>
  <c r="AS26" i="1" s="1"/>
  <c r="HY31" i="1"/>
  <c r="AS31" i="1" s="1"/>
  <c r="HY23" i="1"/>
  <c r="AS23" i="1" s="1"/>
  <c r="HY34" i="1"/>
  <c r="AS34" i="1" s="1"/>
  <c r="HY30" i="1"/>
  <c r="HY43" i="1"/>
  <c r="AS43" i="1" s="1"/>
  <c r="HY22" i="1"/>
  <c r="HY39" i="1"/>
  <c r="AS39" i="1" s="1"/>
  <c r="HY38" i="1"/>
  <c r="AY4" i="1"/>
  <c r="AX3" i="1"/>
  <c r="ID3" i="1" s="1"/>
  <c r="AR15" i="1"/>
  <c r="AR19" i="1" s="1"/>
  <c r="AI86" i="3" s="1"/>
  <c r="HX19" i="1"/>
  <c r="HZ14" i="1"/>
  <c r="HY17" i="1"/>
  <c r="AS17" i="1" s="1"/>
  <c r="HY16" i="1"/>
  <c r="AS16" i="1" s="1"/>
  <c r="HY18" i="1"/>
  <c r="AS18" i="1" s="1"/>
  <c r="HY15" i="1"/>
  <c r="HZ42" i="1" l="1"/>
  <c r="AT86" i="1"/>
  <c r="AT87" i="1"/>
  <c r="AT84" i="1"/>
  <c r="AT85" i="1"/>
  <c r="AT83" i="1"/>
  <c r="AP85" i="3"/>
  <c r="IE4" i="1"/>
  <c r="AT80" i="1"/>
  <c r="AT82" i="1"/>
  <c r="AT79" i="1"/>
  <c r="AT81" i="1"/>
  <c r="AT42" i="1"/>
  <c r="HZ25" i="1"/>
  <c r="AT25" i="1" s="1"/>
  <c r="HZ32" i="1"/>
  <c r="AT32" i="1" s="1"/>
  <c r="HZ24" i="1"/>
  <c r="AT24" i="1" s="1"/>
  <c r="HZ33" i="1"/>
  <c r="AT33" i="1" s="1"/>
  <c r="AQ104" i="1"/>
  <c r="AH93" i="3"/>
  <c r="HY101" i="1"/>
  <c r="AT2" i="1"/>
  <c r="HZ2" i="1" s="1"/>
  <c r="AP98" i="1"/>
  <c r="HW65" i="1"/>
  <c r="AQ97" i="1"/>
  <c r="AR91" i="1"/>
  <c r="AR92" i="1" s="1"/>
  <c r="AS90" i="1"/>
  <c r="HZ41" i="1"/>
  <c r="AT41" i="1" s="1"/>
  <c r="HZ40" i="1"/>
  <c r="AT40" i="1" s="1"/>
  <c r="HW47" i="1"/>
  <c r="AR46" i="1"/>
  <c r="AR96" i="1" s="1"/>
  <c r="AZ4" i="1"/>
  <c r="AY3" i="1"/>
  <c r="IE3" i="1" s="1"/>
  <c r="AS38" i="1"/>
  <c r="AS44" i="1" s="1"/>
  <c r="AJ89" i="3" s="1"/>
  <c r="HY44" i="1"/>
  <c r="AS22" i="1"/>
  <c r="AS27" i="1" s="1"/>
  <c r="AJ87" i="3" s="1"/>
  <c r="HY27" i="1"/>
  <c r="AS30" i="1"/>
  <c r="AS35" i="1" s="1"/>
  <c r="AJ88" i="3" s="1"/>
  <c r="HY35" i="1"/>
  <c r="HZ26" i="1"/>
  <c r="AT26" i="1" s="1"/>
  <c r="HZ23" i="1"/>
  <c r="AT23" i="1" s="1"/>
  <c r="HZ31" i="1"/>
  <c r="AT31" i="1" s="1"/>
  <c r="HZ38" i="1"/>
  <c r="HZ34" i="1"/>
  <c r="AT34" i="1" s="1"/>
  <c r="HZ43" i="1"/>
  <c r="AT43" i="1" s="1"/>
  <c r="HZ30" i="1"/>
  <c r="HZ22" i="1"/>
  <c r="HZ39" i="1"/>
  <c r="AT39" i="1" s="1"/>
  <c r="AU14" i="1"/>
  <c r="AU89" i="1" s="1"/>
  <c r="IA14" i="1"/>
  <c r="HZ16" i="1"/>
  <c r="AT16" i="1" s="1"/>
  <c r="HZ17" i="1"/>
  <c r="AT17" i="1" s="1"/>
  <c r="HZ18" i="1"/>
  <c r="AT18" i="1" s="1"/>
  <c r="HZ15" i="1"/>
  <c r="AS15" i="1"/>
  <c r="AS19" i="1" s="1"/>
  <c r="AJ86" i="3" s="1"/>
  <c r="HY19" i="1"/>
  <c r="IA42" i="1" l="1"/>
  <c r="AU86" i="1"/>
  <c r="AU87" i="1"/>
  <c r="AU84" i="1"/>
  <c r="AU85" i="1"/>
  <c r="AU83" i="1"/>
  <c r="AR104" i="1"/>
  <c r="AI93" i="3"/>
  <c r="AQ85" i="3"/>
  <c r="IF4" i="1"/>
  <c r="AU79" i="1"/>
  <c r="AU81" i="1"/>
  <c r="AU80" i="1"/>
  <c r="AU82" i="1"/>
  <c r="AU42" i="1"/>
  <c r="IA24" i="1"/>
  <c r="AU24" i="1" s="1"/>
  <c r="IA32" i="1"/>
  <c r="AU32" i="1" s="1"/>
  <c r="IA25" i="1"/>
  <c r="AU25" i="1" s="1"/>
  <c r="IA33" i="1"/>
  <c r="AU33" i="1" s="1"/>
  <c r="HZ101" i="1"/>
  <c r="AU2" i="1"/>
  <c r="IA2" i="1" s="1"/>
  <c r="AQ98" i="1"/>
  <c r="HX65" i="1"/>
  <c r="AR97" i="1"/>
  <c r="AS91" i="1"/>
  <c r="AS92" i="1" s="1"/>
  <c r="AT90" i="1"/>
  <c r="IA40" i="1"/>
  <c r="AU40" i="1" s="1"/>
  <c r="IA41" i="1"/>
  <c r="AU41" i="1" s="1"/>
  <c r="HX47" i="1"/>
  <c r="HZ44" i="1"/>
  <c r="AT38" i="1"/>
  <c r="AT44" i="1" s="1"/>
  <c r="AK89" i="3" s="1"/>
  <c r="AV14" i="1"/>
  <c r="AV89" i="1" s="1"/>
  <c r="AS46" i="1"/>
  <c r="AS96" i="1" s="1"/>
  <c r="HZ27" i="1"/>
  <c r="AT22" i="1"/>
  <c r="AT27" i="1" s="1"/>
  <c r="AK87" i="3" s="1"/>
  <c r="IA22" i="1"/>
  <c r="IA23" i="1"/>
  <c r="AU23" i="1" s="1"/>
  <c r="IA34" i="1"/>
  <c r="AU34" i="1" s="1"/>
  <c r="IA26" i="1"/>
  <c r="AU26" i="1" s="1"/>
  <c r="IA43" i="1"/>
  <c r="AU43" i="1" s="1"/>
  <c r="IA30" i="1"/>
  <c r="IA31" i="1"/>
  <c r="AU31" i="1" s="1"/>
  <c r="IA39" i="1"/>
  <c r="AU39" i="1" s="1"/>
  <c r="IA38" i="1"/>
  <c r="AT30" i="1"/>
  <c r="AT35" i="1" s="1"/>
  <c r="AK88" i="3" s="1"/>
  <c r="HZ35" i="1"/>
  <c r="BA4" i="1"/>
  <c r="AZ3" i="1"/>
  <c r="IF3" i="1" s="1"/>
  <c r="AT15" i="1"/>
  <c r="AT19" i="1" s="1"/>
  <c r="AK86" i="3" s="1"/>
  <c r="HZ19" i="1"/>
  <c r="IB14" i="1"/>
  <c r="IA18" i="1"/>
  <c r="AU18" i="1" s="1"/>
  <c r="IA17" i="1"/>
  <c r="AU17" i="1" s="1"/>
  <c r="IA16" i="1"/>
  <c r="AU16" i="1" s="1"/>
  <c r="IA15" i="1"/>
  <c r="IB42" i="1" l="1"/>
  <c r="AV86" i="1"/>
  <c r="AV87" i="1"/>
  <c r="AV84" i="1"/>
  <c r="AV85" i="1"/>
  <c r="AV83" i="1"/>
  <c r="AS104" i="1"/>
  <c r="AJ93" i="3"/>
  <c r="AR85" i="3"/>
  <c r="IG4" i="1"/>
  <c r="AV81" i="1"/>
  <c r="AV82" i="1"/>
  <c r="AV80" i="1"/>
  <c r="AV79" i="1"/>
  <c r="AV42" i="1"/>
  <c r="IB24" i="1"/>
  <c r="AV24" i="1" s="1"/>
  <c r="IB25" i="1"/>
  <c r="AV25" i="1" s="1"/>
  <c r="IB32" i="1"/>
  <c r="AV32" i="1" s="1"/>
  <c r="IB33" i="1"/>
  <c r="AV33" i="1" s="1"/>
  <c r="IA101" i="1"/>
  <c r="AV2" i="1"/>
  <c r="IB2" i="1" s="1"/>
  <c r="AR98" i="1"/>
  <c r="HY65" i="1"/>
  <c r="AS97" i="1"/>
  <c r="AT91" i="1"/>
  <c r="AT92" i="1" s="1"/>
  <c r="AU90" i="1"/>
  <c r="IB41" i="1"/>
  <c r="AV41" i="1" s="1"/>
  <c r="IB40" i="1"/>
  <c r="AV40" i="1" s="1"/>
  <c r="HY47" i="1"/>
  <c r="BB4" i="1"/>
  <c r="BA3" i="1"/>
  <c r="IG3" i="1" s="1"/>
  <c r="IA44" i="1"/>
  <c r="AU38" i="1"/>
  <c r="AU44" i="1" s="1"/>
  <c r="AL89" i="3" s="1"/>
  <c r="AU30" i="1"/>
  <c r="AU35" i="1" s="1"/>
  <c r="AL88" i="3" s="1"/>
  <c r="IA35" i="1"/>
  <c r="IB22" i="1"/>
  <c r="IB23" i="1"/>
  <c r="AV23" i="1" s="1"/>
  <c r="IB31" i="1"/>
  <c r="AV31" i="1" s="1"/>
  <c r="IB43" i="1"/>
  <c r="AV43" i="1" s="1"/>
  <c r="IB30" i="1"/>
  <c r="IB34" i="1"/>
  <c r="AV34" i="1" s="1"/>
  <c r="IB26" i="1"/>
  <c r="AV26" i="1" s="1"/>
  <c r="IB39" i="1"/>
  <c r="AV39" i="1" s="1"/>
  <c r="IB38" i="1"/>
  <c r="IA27" i="1"/>
  <c r="AU22" i="1"/>
  <c r="AU27" i="1" s="1"/>
  <c r="AL87" i="3" s="1"/>
  <c r="AT46" i="1"/>
  <c r="AT96" i="1" s="1"/>
  <c r="AW14" i="1"/>
  <c r="AW89" i="1" s="1"/>
  <c r="AU15" i="1"/>
  <c r="AU19" i="1" s="1"/>
  <c r="AL86" i="3" s="1"/>
  <c r="IA19" i="1"/>
  <c r="IC14" i="1"/>
  <c r="IB18" i="1"/>
  <c r="AV18" i="1" s="1"/>
  <c r="IB16" i="1"/>
  <c r="AV16" i="1" s="1"/>
  <c r="IB15" i="1"/>
  <c r="IB17" i="1"/>
  <c r="AV17" i="1" s="1"/>
  <c r="IC42" i="1" l="1"/>
  <c r="AW86" i="1"/>
  <c r="AW87" i="1"/>
  <c r="AW84" i="1"/>
  <c r="AW85" i="1"/>
  <c r="AW83" i="1"/>
  <c r="AT104" i="1"/>
  <c r="AK93" i="3"/>
  <c r="AS85" i="3"/>
  <c r="IH4" i="1"/>
  <c r="AW79" i="1"/>
  <c r="AW81" i="1"/>
  <c r="AW80" i="1"/>
  <c r="AW82" i="1"/>
  <c r="AW42" i="1"/>
  <c r="IC25" i="1"/>
  <c r="AW25" i="1" s="1"/>
  <c r="IC32" i="1"/>
  <c r="AW32" i="1" s="1"/>
  <c r="IC24" i="1"/>
  <c r="AW24" i="1" s="1"/>
  <c r="IC33" i="1"/>
  <c r="AW33" i="1" s="1"/>
  <c r="AW2" i="1"/>
  <c r="IC2" i="1" s="1"/>
  <c r="IB101" i="1"/>
  <c r="AS98" i="1"/>
  <c r="HZ65" i="1"/>
  <c r="AT97" i="1"/>
  <c r="AU91" i="1"/>
  <c r="AU92" i="1" s="1"/>
  <c r="AV90" i="1"/>
  <c r="IC41" i="1"/>
  <c r="AW41" i="1" s="1"/>
  <c r="IC40" i="1"/>
  <c r="AW40" i="1" s="1"/>
  <c r="HZ47" i="1"/>
  <c r="IB27" i="1"/>
  <c r="AV22" i="1"/>
  <c r="AV27" i="1" s="1"/>
  <c r="AM87" i="3" s="1"/>
  <c r="AV30" i="1"/>
  <c r="AV35" i="1" s="1"/>
  <c r="AM88" i="3" s="1"/>
  <c r="IB35" i="1"/>
  <c r="AU46" i="1"/>
  <c r="AU96" i="1" s="1"/>
  <c r="IB44" i="1"/>
  <c r="AV38" i="1"/>
  <c r="AV44" i="1" s="1"/>
  <c r="AM89" i="3" s="1"/>
  <c r="AX14" i="1"/>
  <c r="AX89" i="1" s="1"/>
  <c r="IC30" i="1"/>
  <c r="IC22" i="1"/>
  <c r="IC31" i="1"/>
  <c r="AW31" i="1" s="1"/>
  <c r="IC26" i="1"/>
  <c r="AW26" i="1" s="1"/>
  <c r="IC34" i="1"/>
  <c r="AW34" i="1" s="1"/>
  <c r="IC43" i="1"/>
  <c r="AW43" i="1" s="1"/>
  <c r="IC23" i="1"/>
  <c r="AW23" i="1" s="1"/>
  <c r="IC38" i="1"/>
  <c r="IC39" i="1"/>
  <c r="AW39" i="1" s="1"/>
  <c r="BC4" i="1"/>
  <c r="BB3" i="1"/>
  <c r="IH3" i="1" s="1"/>
  <c r="ID14" i="1"/>
  <c r="IC18" i="1"/>
  <c r="AW18" i="1" s="1"/>
  <c r="IC17" i="1"/>
  <c r="AW17" i="1" s="1"/>
  <c r="IC16" i="1"/>
  <c r="AW16" i="1" s="1"/>
  <c r="IC15" i="1"/>
  <c r="AV15" i="1"/>
  <c r="AV19" i="1" s="1"/>
  <c r="AM86" i="3" s="1"/>
  <c r="IB19" i="1"/>
  <c r="ID42" i="1" l="1"/>
  <c r="AX86" i="1"/>
  <c r="AX87" i="1"/>
  <c r="AX84" i="1"/>
  <c r="AX85" i="1"/>
  <c r="AX83" i="1"/>
  <c r="AU104" i="1"/>
  <c r="AL93" i="3"/>
  <c r="AT85" i="3"/>
  <c r="II4" i="1"/>
  <c r="AX79" i="1"/>
  <c r="AX81" i="1"/>
  <c r="AX80" i="1"/>
  <c r="AX82" i="1"/>
  <c r="AX42" i="1"/>
  <c r="ID32" i="1"/>
  <c r="AX32" i="1" s="1"/>
  <c r="ID25" i="1"/>
  <c r="AX25" i="1" s="1"/>
  <c r="ID33" i="1"/>
  <c r="AX33" i="1" s="1"/>
  <c r="ID24" i="1"/>
  <c r="AX24" i="1" s="1"/>
  <c r="IC101" i="1"/>
  <c r="AX2" i="1"/>
  <c r="ID2" i="1" s="1"/>
  <c r="AT98" i="1"/>
  <c r="IA65" i="1"/>
  <c r="AU97" i="1"/>
  <c r="AV91" i="1"/>
  <c r="AV92" i="1" s="1"/>
  <c r="AW90" i="1"/>
  <c r="ID40" i="1"/>
  <c r="AX40" i="1" s="1"/>
  <c r="ID41" i="1"/>
  <c r="AX41" i="1" s="1"/>
  <c r="IA47" i="1"/>
  <c r="AV46" i="1"/>
  <c r="AV96" i="1" s="1"/>
  <c r="AW30" i="1"/>
  <c r="AW35" i="1" s="1"/>
  <c r="AN88" i="3" s="1"/>
  <c r="IC35" i="1"/>
  <c r="IC44" i="1"/>
  <c r="AW38" i="1"/>
  <c r="AW44" i="1" s="1"/>
  <c r="AN89" i="3" s="1"/>
  <c r="BD4" i="1"/>
  <c r="BC3" i="1"/>
  <c r="II3" i="1" s="1"/>
  <c r="AW22" i="1"/>
  <c r="AW27" i="1" s="1"/>
  <c r="AN87" i="3" s="1"/>
  <c r="IC27" i="1"/>
  <c r="ID26" i="1"/>
  <c r="AX26" i="1" s="1"/>
  <c r="ID30" i="1"/>
  <c r="ID31" i="1"/>
  <c r="AX31" i="1" s="1"/>
  <c r="ID34" i="1"/>
  <c r="AX34" i="1" s="1"/>
  <c r="ID43" i="1"/>
  <c r="AX43" i="1" s="1"/>
  <c r="ID22" i="1"/>
  <c r="ID38" i="1"/>
  <c r="ID39" i="1"/>
  <c r="AX39" i="1" s="1"/>
  <c r="ID23" i="1"/>
  <c r="AX23" i="1" s="1"/>
  <c r="AY14" i="1"/>
  <c r="AY89" i="1" s="1"/>
  <c r="AW15" i="1"/>
  <c r="AW19" i="1" s="1"/>
  <c r="AN86" i="3" s="1"/>
  <c r="IC19" i="1"/>
  <c r="IE14" i="1"/>
  <c r="ID15" i="1"/>
  <c r="ID18" i="1"/>
  <c r="AX18" i="1" s="1"/>
  <c r="ID17" i="1"/>
  <c r="AX17" i="1" s="1"/>
  <c r="ID16" i="1"/>
  <c r="AX16" i="1" s="1"/>
  <c r="IE42" i="1" l="1"/>
  <c r="AY86" i="1"/>
  <c r="AY87" i="1"/>
  <c r="AY84" i="1"/>
  <c r="AY85" i="1"/>
  <c r="AY83" i="1"/>
  <c r="AV104" i="1"/>
  <c r="AM93" i="3"/>
  <c r="AU85" i="3"/>
  <c r="IJ4" i="1"/>
  <c r="AY80" i="1"/>
  <c r="AY82" i="1"/>
  <c r="AY79" i="1"/>
  <c r="AY81" i="1"/>
  <c r="AY42" i="1"/>
  <c r="IE32" i="1"/>
  <c r="AY32" i="1" s="1"/>
  <c r="IE33" i="1"/>
  <c r="AY33" i="1" s="1"/>
  <c r="IE25" i="1"/>
  <c r="AY25" i="1" s="1"/>
  <c r="IE24" i="1"/>
  <c r="AY24" i="1" s="1"/>
  <c r="AY2" i="1"/>
  <c r="IE2" i="1" s="1"/>
  <c r="ID101" i="1"/>
  <c r="AU98" i="1"/>
  <c r="IB65" i="1"/>
  <c r="AV97" i="1"/>
  <c r="AV98" i="1" s="1"/>
  <c r="AW91" i="1"/>
  <c r="AW92" i="1" s="1"/>
  <c r="AX90" i="1"/>
  <c r="IE40" i="1"/>
  <c r="AY40" i="1" s="1"/>
  <c r="IE41" i="1"/>
  <c r="AY41" i="1" s="1"/>
  <c r="IB47" i="1"/>
  <c r="AW46" i="1"/>
  <c r="AW96" i="1" s="1"/>
  <c r="AZ14" i="1"/>
  <c r="AZ89" i="1" s="1"/>
  <c r="BE4" i="1"/>
  <c r="BD3" i="1"/>
  <c r="IJ3" i="1" s="1"/>
  <c r="AX38" i="1"/>
  <c r="AX44" i="1" s="1"/>
  <c r="AO89" i="3" s="1"/>
  <c r="ID44" i="1"/>
  <c r="ID27" i="1"/>
  <c r="AX22" i="1"/>
  <c r="AX27" i="1" s="1"/>
  <c r="AO87" i="3" s="1"/>
  <c r="AX30" i="1"/>
  <c r="AX35" i="1" s="1"/>
  <c r="AO88" i="3" s="1"/>
  <c r="ID35" i="1"/>
  <c r="IE34" i="1"/>
  <c r="AY34" i="1" s="1"/>
  <c r="IE26" i="1"/>
  <c r="AY26" i="1" s="1"/>
  <c r="IE31" i="1"/>
  <c r="AY31" i="1" s="1"/>
  <c r="IE43" i="1"/>
  <c r="AY43" i="1" s="1"/>
  <c r="IE22" i="1"/>
  <c r="IE23" i="1"/>
  <c r="AY23" i="1" s="1"/>
  <c r="IE39" i="1"/>
  <c r="AY39" i="1" s="1"/>
  <c r="IE38" i="1"/>
  <c r="IE30" i="1"/>
  <c r="AX15" i="1"/>
  <c r="AX19" i="1" s="1"/>
  <c r="AO86" i="3" s="1"/>
  <c r="ID19" i="1"/>
  <c r="IF14" i="1"/>
  <c r="IE17" i="1"/>
  <c r="AY17" i="1" s="1"/>
  <c r="IE18" i="1"/>
  <c r="AY18" i="1" s="1"/>
  <c r="IE16" i="1"/>
  <c r="AY16" i="1" s="1"/>
  <c r="IE15" i="1"/>
  <c r="IF42" i="1" l="1"/>
  <c r="AZ86" i="1"/>
  <c r="AZ87" i="1"/>
  <c r="AZ84" i="1"/>
  <c r="AZ85" i="1"/>
  <c r="AZ83" i="1"/>
  <c r="AW104" i="1"/>
  <c r="AN93" i="3"/>
  <c r="AV85" i="3"/>
  <c r="IK4" i="1"/>
  <c r="AZ79" i="1"/>
  <c r="AZ80" i="1"/>
  <c r="AZ81" i="1"/>
  <c r="AZ82" i="1"/>
  <c r="AZ42" i="1"/>
  <c r="IF24" i="1"/>
  <c r="AZ24" i="1" s="1"/>
  <c r="IF25" i="1"/>
  <c r="AZ25" i="1" s="1"/>
  <c r="IF32" i="1"/>
  <c r="AZ32" i="1" s="1"/>
  <c r="IF33" i="1"/>
  <c r="AZ33" i="1" s="1"/>
  <c r="IE101" i="1"/>
  <c r="AZ2" i="1"/>
  <c r="IF2" i="1" s="1"/>
  <c r="IC65" i="1"/>
  <c r="AW97" i="1"/>
  <c r="AX91" i="1"/>
  <c r="AX92" i="1" s="1"/>
  <c r="AY90" i="1"/>
  <c r="IF40" i="1"/>
  <c r="AZ40" i="1" s="1"/>
  <c r="IF41" i="1"/>
  <c r="AZ41" i="1" s="1"/>
  <c r="IC47" i="1"/>
  <c r="AX46" i="1"/>
  <c r="AX96" i="1" s="1"/>
  <c r="AY30" i="1"/>
  <c r="AY35" i="1" s="1"/>
  <c r="AP88" i="3" s="1"/>
  <c r="IE35" i="1"/>
  <c r="BF4" i="1"/>
  <c r="BE3" i="1"/>
  <c r="IK3" i="1" s="1"/>
  <c r="AY38" i="1"/>
  <c r="AY44" i="1" s="1"/>
  <c r="AP89" i="3" s="1"/>
  <c r="IE44" i="1"/>
  <c r="IE27" i="1"/>
  <c r="AY22" i="1"/>
  <c r="AY27" i="1" s="1"/>
  <c r="AP87" i="3" s="1"/>
  <c r="IF22" i="1"/>
  <c r="IF26" i="1"/>
  <c r="AZ26" i="1" s="1"/>
  <c r="IF31" i="1"/>
  <c r="AZ31" i="1" s="1"/>
  <c r="IF43" i="1"/>
  <c r="AZ43" i="1" s="1"/>
  <c r="IF30" i="1"/>
  <c r="IF34" i="1"/>
  <c r="AZ34" i="1" s="1"/>
  <c r="IF23" i="1"/>
  <c r="AZ23" i="1" s="1"/>
  <c r="IF39" i="1"/>
  <c r="AZ39" i="1" s="1"/>
  <c r="IF38" i="1"/>
  <c r="BA14" i="1"/>
  <c r="BA89" i="1" s="1"/>
  <c r="AY15" i="1"/>
  <c r="AY19" i="1" s="1"/>
  <c r="AP86" i="3" s="1"/>
  <c r="IE19" i="1"/>
  <c r="IG14" i="1"/>
  <c r="IF18" i="1"/>
  <c r="AZ18" i="1" s="1"/>
  <c r="IF17" i="1"/>
  <c r="AZ17" i="1" s="1"/>
  <c r="IF16" i="1"/>
  <c r="AZ16" i="1" s="1"/>
  <c r="IF15" i="1"/>
  <c r="IG42" i="1" l="1"/>
  <c r="BA86" i="1"/>
  <c r="BA87" i="1"/>
  <c r="BA84" i="1"/>
  <c r="BA85" i="1"/>
  <c r="BA83" i="1"/>
  <c r="AX104" i="1"/>
  <c r="AO93" i="3"/>
  <c r="AW85" i="3"/>
  <c r="IL4" i="1"/>
  <c r="BA80" i="1"/>
  <c r="BA82" i="1"/>
  <c r="BA79" i="1"/>
  <c r="BA81" i="1"/>
  <c r="BA42" i="1"/>
  <c r="IG24" i="1"/>
  <c r="BA24" i="1" s="1"/>
  <c r="IG32" i="1"/>
  <c r="BA32" i="1" s="1"/>
  <c r="IG25" i="1"/>
  <c r="BA25" i="1" s="1"/>
  <c r="IG33" i="1"/>
  <c r="BA33" i="1" s="1"/>
  <c r="BA2" i="1"/>
  <c r="IG2" i="1" s="1"/>
  <c r="IF101" i="1"/>
  <c r="AW98" i="1"/>
  <c r="ID65" i="1"/>
  <c r="AX97" i="1"/>
  <c r="AX98" i="1" s="1"/>
  <c r="AY91" i="1"/>
  <c r="AY92" i="1" s="1"/>
  <c r="AZ90" i="1"/>
  <c r="IG41" i="1"/>
  <c r="BA41" i="1" s="1"/>
  <c r="IG40" i="1"/>
  <c r="BA40" i="1" s="1"/>
  <c r="ID47" i="1"/>
  <c r="AY46" i="1"/>
  <c r="AY96" i="1" s="1"/>
  <c r="AZ30" i="1"/>
  <c r="AZ35" i="1" s="1"/>
  <c r="AQ88" i="3" s="1"/>
  <c r="IF35" i="1"/>
  <c r="BG4" i="1"/>
  <c r="BF3" i="1"/>
  <c r="IL3" i="1" s="1"/>
  <c r="AZ38" i="1"/>
  <c r="AZ44" i="1" s="1"/>
  <c r="AQ89" i="3" s="1"/>
  <c r="IF44" i="1"/>
  <c r="IG26" i="1"/>
  <c r="BA26" i="1" s="1"/>
  <c r="IG23" i="1"/>
  <c r="BA23" i="1" s="1"/>
  <c r="IG31" i="1"/>
  <c r="BA31" i="1" s="1"/>
  <c r="IG34" i="1"/>
  <c r="BA34" i="1" s="1"/>
  <c r="IG38" i="1"/>
  <c r="IG30" i="1"/>
  <c r="IG43" i="1"/>
  <c r="BA43" i="1" s="1"/>
  <c r="IG22" i="1"/>
  <c r="IG39" i="1"/>
  <c r="BA39" i="1" s="1"/>
  <c r="AZ22" i="1"/>
  <c r="AZ27" i="1" s="1"/>
  <c r="AQ87" i="3" s="1"/>
  <c r="IF27" i="1"/>
  <c r="BB14" i="1"/>
  <c r="BB89" i="1" s="1"/>
  <c r="AZ15" i="1"/>
  <c r="AZ19" i="1" s="1"/>
  <c r="AQ86" i="3" s="1"/>
  <c r="IF19" i="1"/>
  <c r="IH14" i="1"/>
  <c r="IG17" i="1"/>
  <c r="BA17" i="1" s="1"/>
  <c r="IG16" i="1"/>
  <c r="BA16" i="1" s="1"/>
  <c r="IG18" i="1"/>
  <c r="BA18" i="1" s="1"/>
  <c r="IG15" i="1"/>
  <c r="IH42" i="1" l="1"/>
  <c r="BB86" i="1"/>
  <c r="BB87" i="1"/>
  <c r="BB84" i="1"/>
  <c r="BB85" i="1"/>
  <c r="BB83" i="1"/>
  <c r="AY104" i="1"/>
  <c r="AP93" i="3"/>
  <c r="AX85" i="3"/>
  <c r="IM4" i="1"/>
  <c r="BB80" i="1"/>
  <c r="BB82" i="1"/>
  <c r="BB79" i="1"/>
  <c r="BB81" i="1"/>
  <c r="BB42" i="1"/>
  <c r="IH24" i="1"/>
  <c r="BB24" i="1" s="1"/>
  <c r="IH25" i="1"/>
  <c r="BB25" i="1" s="1"/>
  <c r="IH32" i="1"/>
  <c r="BB32" i="1" s="1"/>
  <c r="IH33" i="1"/>
  <c r="BB33" i="1" s="1"/>
  <c r="IG101" i="1"/>
  <c r="BB2" i="1"/>
  <c r="IH2" i="1" s="1"/>
  <c r="IE65" i="1"/>
  <c r="AY97" i="1"/>
  <c r="AZ91" i="1"/>
  <c r="AZ92" i="1" s="1"/>
  <c r="BA90" i="1"/>
  <c r="IH41" i="1"/>
  <c r="BB41" i="1" s="1"/>
  <c r="IH40" i="1"/>
  <c r="BB40" i="1" s="1"/>
  <c r="IE47" i="1"/>
  <c r="AZ46" i="1"/>
  <c r="AZ96" i="1" s="1"/>
  <c r="BA38" i="1"/>
  <c r="BA44" i="1" s="1"/>
  <c r="AR89" i="3" s="1"/>
  <c r="IG44" i="1"/>
  <c r="BH4" i="1"/>
  <c r="BG3" i="1"/>
  <c r="IM3" i="1" s="1"/>
  <c r="IH23" i="1"/>
  <c r="BB23" i="1" s="1"/>
  <c r="IH26" i="1"/>
  <c r="BB26" i="1" s="1"/>
  <c r="IH31" i="1"/>
  <c r="BB31" i="1" s="1"/>
  <c r="IH22" i="1"/>
  <c r="IH34" i="1"/>
  <c r="BB34" i="1" s="1"/>
  <c r="IH43" i="1"/>
  <c r="BB43" i="1" s="1"/>
  <c r="IH39" i="1"/>
  <c r="BB39" i="1" s="1"/>
  <c r="IH30" i="1"/>
  <c r="IH38" i="1"/>
  <c r="BA30" i="1"/>
  <c r="BA35" i="1" s="1"/>
  <c r="AR88" i="3" s="1"/>
  <c r="IG35" i="1"/>
  <c r="IG27" i="1"/>
  <c r="BA22" i="1"/>
  <c r="BA27" i="1" s="1"/>
  <c r="AR87" i="3" s="1"/>
  <c r="BC14" i="1"/>
  <c r="BC89" i="1" s="1"/>
  <c r="II14" i="1"/>
  <c r="IH16" i="1"/>
  <c r="BB16" i="1" s="1"/>
  <c r="IH18" i="1"/>
  <c r="BB18" i="1" s="1"/>
  <c r="IH17" i="1"/>
  <c r="BB17" i="1" s="1"/>
  <c r="IH15" i="1"/>
  <c r="IG19" i="1"/>
  <c r="BA15" i="1"/>
  <c r="BA19" i="1" s="1"/>
  <c r="AR86" i="3" s="1"/>
  <c r="II42" i="1" l="1"/>
  <c r="BC86" i="1"/>
  <c r="BC87" i="1"/>
  <c r="BC84" i="1"/>
  <c r="BC85" i="1"/>
  <c r="BC83" i="1"/>
  <c r="AZ104" i="1"/>
  <c r="AQ93" i="3"/>
  <c r="AY85" i="3"/>
  <c r="IN4" i="1"/>
  <c r="BC79" i="1"/>
  <c r="BC81" i="1"/>
  <c r="BC80" i="1"/>
  <c r="BC82" i="1"/>
  <c r="BC42" i="1"/>
  <c r="II32" i="1"/>
  <c r="BC32" i="1" s="1"/>
  <c r="II25" i="1"/>
  <c r="BC25" i="1" s="1"/>
  <c r="II24" i="1"/>
  <c r="BC24" i="1" s="1"/>
  <c r="II33" i="1"/>
  <c r="BC33" i="1" s="1"/>
  <c r="BC2" i="1"/>
  <c r="II2" i="1" s="1"/>
  <c r="IH101" i="1"/>
  <c r="AY98" i="1"/>
  <c r="IF65" i="1"/>
  <c r="AZ97" i="1"/>
  <c r="BA91" i="1"/>
  <c r="BA92" i="1" s="1"/>
  <c r="BB90" i="1"/>
  <c r="II40" i="1"/>
  <c r="BC40" i="1" s="1"/>
  <c r="II41" i="1"/>
  <c r="BC41" i="1" s="1"/>
  <c r="IF47" i="1"/>
  <c r="BB30" i="1"/>
  <c r="BB35" i="1" s="1"/>
  <c r="AS88" i="3" s="1"/>
  <c r="IH35" i="1"/>
  <c r="BI4" i="1"/>
  <c r="BH3" i="1"/>
  <c r="IN3" i="1" s="1"/>
  <c r="BD14" i="1"/>
  <c r="BD89" i="1" s="1"/>
  <c r="BA46" i="1"/>
  <c r="BA96" i="1" s="1"/>
  <c r="II22" i="1"/>
  <c r="II26" i="1"/>
  <c r="BC26" i="1" s="1"/>
  <c r="II30" i="1"/>
  <c r="II34" i="1"/>
  <c r="BC34" i="1" s="1"/>
  <c r="II38" i="1"/>
  <c r="II43" i="1"/>
  <c r="BC43" i="1" s="1"/>
  <c r="II39" i="1"/>
  <c r="BC39" i="1" s="1"/>
  <c r="II23" i="1"/>
  <c r="BC23" i="1" s="1"/>
  <c r="II31" i="1"/>
  <c r="BC31" i="1" s="1"/>
  <c r="IH44" i="1"/>
  <c r="BB38" i="1"/>
  <c r="BB44" i="1" s="1"/>
  <c r="AS89" i="3" s="1"/>
  <c r="IH27" i="1"/>
  <c r="BB22" i="1"/>
  <c r="BB27" i="1" s="1"/>
  <c r="AS87" i="3" s="1"/>
  <c r="IH19" i="1"/>
  <c r="BB15" i="1"/>
  <c r="BB19" i="1" s="1"/>
  <c r="AS86" i="3" s="1"/>
  <c r="IJ14" i="1"/>
  <c r="II18" i="1"/>
  <c r="BC18" i="1" s="1"/>
  <c r="II17" i="1"/>
  <c r="BC17" i="1" s="1"/>
  <c r="II15" i="1"/>
  <c r="II16" i="1"/>
  <c r="BC16" i="1" s="1"/>
  <c r="IJ42" i="1" l="1"/>
  <c r="BD86" i="1"/>
  <c r="BD87" i="1"/>
  <c r="BD84" i="1"/>
  <c r="BD85" i="1"/>
  <c r="BD83" i="1"/>
  <c r="BA104" i="1"/>
  <c r="AR93" i="3"/>
  <c r="AZ85" i="3"/>
  <c r="IO4" i="1"/>
  <c r="BD79" i="1"/>
  <c r="BD80" i="1"/>
  <c r="BD81" i="1"/>
  <c r="BD82" i="1"/>
  <c r="BD42" i="1"/>
  <c r="IJ24" i="1"/>
  <c r="BD24" i="1" s="1"/>
  <c r="IJ25" i="1"/>
  <c r="BD25" i="1" s="1"/>
  <c r="IJ33" i="1"/>
  <c r="BD33" i="1" s="1"/>
  <c r="IJ32" i="1"/>
  <c r="BD32" i="1" s="1"/>
  <c r="II101" i="1"/>
  <c r="BD2" i="1"/>
  <c r="IJ2" i="1" s="1"/>
  <c r="AZ98" i="1"/>
  <c r="IG65" i="1"/>
  <c r="BA97" i="1"/>
  <c r="BB91" i="1"/>
  <c r="BB92" i="1" s="1"/>
  <c r="BC90" i="1"/>
  <c r="IJ41" i="1"/>
  <c r="BD41" i="1" s="1"/>
  <c r="IJ40" i="1"/>
  <c r="BD40" i="1" s="1"/>
  <c r="IG47" i="1"/>
  <c r="BB46" i="1"/>
  <c r="BB96" i="1" s="1"/>
  <c r="II44" i="1"/>
  <c r="BC38" i="1"/>
  <c r="BC44" i="1" s="1"/>
  <c r="AT89" i="3" s="1"/>
  <c r="BC30" i="1"/>
  <c r="BC35" i="1" s="1"/>
  <c r="AT88" i="3" s="1"/>
  <c r="II35" i="1"/>
  <c r="BE14" i="1"/>
  <c r="BE89" i="1" s="1"/>
  <c r="BJ4" i="1"/>
  <c r="BI3" i="1"/>
  <c r="IO3" i="1" s="1"/>
  <c r="IJ26" i="1"/>
  <c r="BD26" i="1" s="1"/>
  <c r="IJ30" i="1"/>
  <c r="IJ22" i="1"/>
  <c r="IJ23" i="1"/>
  <c r="BD23" i="1" s="1"/>
  <c r="IJ31" i="1"/>
  <c r="BD31" i="1" s="1"/>
  <c r="IJ43" i="1"/>
  <c r="BD43" i="1" s="1"/>
  <c r="IJ34" i="1"/>
  <c r="BD34" i="1" s="1"/>
  <c r="IJ39" i="1"/>
  <c r="BD39" i="1" s="1"/>
  <c r="IJ38" i="1"/>
  <c r="II27" i="1"/>
  <c r="BC22" i="1"/>
  <c r="BC27" i="1" s="1"/>
  <c r="AT87" i="3" s="1"/>
  <c r="II19" i="1"/>
  <c r="BC15" i="1"/>
  <c r="BC19" i="1" s="1"/>
  <c r="AT86" i="3" s="1"/>
  <c r="IK14" i="1"/>
  <c r="IJ17" i="1"/>
  <c r="BD17" i="1" s="1"/>
  <c r="IJ16" i="1"/>
  <c r="BD16" i="1" s="1"/>
  <c r="IJ15" i="1"/>
  <c r="IJ18" i="1"/>
  <c r="BD18" i="1" s="1"/>
  <c r="IK42" i="1" l="1"/>
  <c r="BE86" i="1"/>
  <c r="BE87" i="1"/>
  <c r="BE84" i="1"/>
  <c r="BE85" i="1"/>
  <c r="BE83" i="1"/>
  <c r="BB104" i="1"/>
  <c r="AS93" i="3"/>
  <c r="BA85" i="3"/>
  <c r="IP4" i="1"/>
  <c r="BE79" i="1"/>
  <c r="BE81" i="1"/>
  <c r="BE82" i="1"/>
  <c r="BE80" i="1"/>
  <c r="BE42" i="1"/>
  <c r="IK25" i="1"/>
  <c r="BE25" i="1" s="1"/>
  <c r="IK24" i="1"/>
  <c r="BE24" i="1" s="1"/>
  <c r="IK32" i="1"/>
  <c r="BE32" i="1" s="1"/>
  <c r="IK33" i="1"/>
  <c r="BE33" i="1" s="1"/>
  <c r="BE2" i="1"/>
  <c r="IK2" i="1" s="1"/>
  <c r="IJ101" i="1"/>
  <c r="BA98" i="1"/>
  <c r="IH65" i="1"/>
  <c r="BB97" i="1"/>
  <c r="BB98" i="1" s="1"/>
  <c r="BC91" i="1"/>
  <c r="BC92" i="1" s="1"/>
  <c r="BD90" i="1"/>
  <c r="IK41" i="1"/>
  <c r="BE41" i="1" s="1"/>
  <c r="IK40" i="1"/>
  <c r="BE40" i="1" s="1"/>
  <c r="IH47" i="1"/>
  <c r="BD38" i="1"/>
  <c r="BD44" i="1" s="1"/>
  <c r="AU89" i="3" s="1"/>
  <c r="IJ44" i="1"/>
  <c r="IJ27" i="1"/>
  <c r="BD22" i="1"/>
  <c r="BD27" i="1" s="1"/>
  <c r="AU87" i="3" s="1"/>
  <c r="BF14" i="1"/>
  <c r="BF89" i="1" s="1"/>
  <c r="BK4" i="1"/>
  <c r="BJ3" i="1"/>
  <c r="IP3" i="1" s="1"/>
  <c r="BD30" i="1"/>
  <c r="BD35" i="1" s="1"/>
  <c r="AU88" i="3" s="1"/>
  <c r="IJ35" i="1"/>
  <c r="BC46" i="1"/>
  <c r="BC96" i="1" s="1"/>
  <c r="IK31" i="1"/>
  <c r="BE31" i="1" s="1"/>
  <c r="IK23" i="1"/>
  <c r="BE23" i="1" s="1"/>
  <c r="IK22" i="1"/>
  <c r="IK26" i="1"/>
  <c r="BE26" i="1" s="1"/>
  <c r="IK30" i="1"/>
  <c r="IK34" i="1"/>
  <c r="BE34" i="1" s="1"/>
  <c r="IK38" i="1"/>
  <c r="IK43" i="1"/>
  <c r="BE43" i="1" s="1"/>
  <c r="IK39" i="1"/>
  <c r="BE39" i="1" s="1"/>
  <c r="BD15" i="1"/>
  <c r="BD19" i="1" s="1"/>
  <c r="AU86" i="3" s="1"/>
  <c r="IJ19" i="1"/>
  <c r="IL14" i="1"/>
  <c r="IK18" i="1"/>
  <c r="BE18" i="1" s="1"/>
  <c r="IK15" i="1"/>
  <c r="IK16" i="1"/>
  <c r="BE16" i="1" s="1"/>
  <c r="IK17" i="1"/>
  <c r="BE17" i="1" s="1"/>
  <c r="IL42" i="1" l="1"/>
  <c r="BF42" i="1" s="1"/>
  <c r="BF86" i="1"/>
  <c r="BF87" i="1"/>
  <c r="BF84" i="1"/>
  <c r="BF85" i="1"/>
  <c r="BF83" i="1"/>
  <c r="BC104" i="1"/>
  <c r="AT93" i="3"/>
  <c r="BB85" i="3"/>
  <c r="IQ4" i="1"/>
  <c r="BF79" i="1"/>
  <c r="BF81" i="1"/>
  <c r="BF80" i="1"/>
  <c r="BF82" i="1"/>
  <c r="IL25" i="1"/>
  <c r="BF25" i="1" s="1"/>
  <c r="IL33" i="1"/>
  <c r="BF33" i="1" s="1"/>
  <c r="IL24" i="1"/>
  <c r="BF24" i="1" s="1"/>
  <c r="IL32" i="1"/>
  <c r="BF32" i="1" s="1"/>
  <c r="IK101" i="1"/>
  <c r="BF2" i="1"/>
  <c r="IL2" i="1" s="1"/>
  <c r="II65" i="1"/>
  <c r="BC97" i="1"/>
  <c r="BD91" i="1"/>
  <c r="BD92" i="1" s="1"/>
  <c r="BE90" i="1"/>
  <c r="IL40" i="1"/>
  <c r="BF40" i="1" s="1"/>
  <c r="IL41" i="1"/>
  <c r="BF41" i="1" s="1"/>
  <c r="II47" i="1"/>
  <c r="IL26" i="1"/>
  <c r="BF26" i="1" s="1"/>
  <c r="IL23" i="1"/>
  <c r="BF23" i="1" s="1"/>
  <c r="IL30" i="1"/>
  <c r="IL31" i="1"/>
  <c r="BF31" i="1" s="1"/>
  <c r="IL22" i="1"/>
  <c r="IL34" i="1"/>
  <c r="BF34" i="1" s="1"/>
  <c r="IL43" i="1"/>
  <c r="BF43" i="1" s="1"/>
  <c r="IL39" i="1"/>
  <c r="BF39" i="1" s="1"/>
  <c r="IL38" i="1"/>
  <c r="BE30" i="1"/>
  <c r="BE35" i="1" s="1"/>
  <c r="AV88" i="3" s="1"/>
  <c r="IK35" i="1"/>
  <c r="BG14" i="1"/>
  <c r="BG89" i="1" s="1"/>
  <c r="IK27" i="1"/>
  <c r="BE22" i="1"/>
  <c r="BE27" i="1" s="1"/>
  <c r="AV87" i="3" s="1"/>
  <c r="BD46" i="1"/>
  <c r="BD96" i="1" s="1"/>
  <c r="BE38" i="1"/>
  <c r="BE44" i="1" s="1"/>
  <c r="AV89" i="3" s="1"/>
  <c r="IK44" i="1"/>
  <c r="BL4" i="1"/>
  <c r="BK3" i="1"/>
  <c r="IQ3" i="1" s="1"/>
  <c r="BE15" i="1"/>
  <c r="BE19" i="1" s="1"/>
  <c r="AV86" i="3" s="1"/>
  <c r="IK19" i="1"/>
  <c r="IM14" i="1"/>
  <c r="IL15" i="1"/>
  <c r="IL16" i="1"/>
  <c r="BF16" i="1" s="1"/>
  <c r="IL18" i="1"/>
  <c r="BF18" i="1" s="1"/>
  <c r="IL17" i="1"/>
  <c r="BF17" i="1" s="1"/>
  <c r="IM42" i="1" l="1"/>
  <c r="BG86" i="1"/>
  <c r="BG87" i="1"/>
  <c r="BG84" i="1"/>
  <c r="BG85" i="1"/>
  <c r="BG83" i="1"/>
  <c r="BD104" i="1"/>
  <c r="AU93" i="3"/>
  <c r="BC85" i="3"/>
  <c r="IR4" i="1"/>
  <c r="BG80" i="1"/>
  <c r="BG82" i="1"/>
  <c r="BG81" i="1"/>
  <c r="BG79" i="1"/>
  <c r="BG42" i="1"/>
  <c r="IM25" i="1"/>
  <c r="BG25" i="1" s="1"/>
  <c r="IM32" i="1"/>
  <c r="BG32" i="1" s="1"/>
  <c r="IM33" i="1"/>
  <c r="BG33" i="1" s="1"/>
  <c r="IM24" i="1"/>
  <c r="BG24" i="1" s="1"/>
  <c r="BG2" i="1"/>
  <c r="IM2" i="1" s="1"/>
  <c r="IL101" i="1"/>
  <c r="BC98" i="1"/>
  <c r="IJ65" i="1"/>
  <c r="BD97" i="1"/>
  <c r="BE91" i="1"/>
  <c r="BE92" i="1" s="1"/>
  <c r="BF90" i="1"/>
  <c r="IM41" i="1"/>
  <c r="BG41" i="1" s="1"/>
  <c r="IM40" i="1"/>
  <c r="BG40" i="1" s="1"/>
  <c r="IJ47" i="1"/>
  <c r="BE46" i="1"/>
  <c r="BE96" i="1" s="1"/>
  <c r="IL27" i="1"/>
  <c r="BF22" i="1"/>
  <c r="BF27" i="1" s="1"/>
  <c r="AW87" i="3" s="1"/>
  <c r="BF38" i="1"/>
  <c r="BF44" i="1" s="1"/>
  <c r="AW89" i="3" s="1"/>
  <c r="IL44" i="1"/>
  <c r="BH14" i="1"/>
  <c r="BH89" i="1" s="1"/>
  <c r="IM26" i="1"/>
  <c r="BG26" i="1" s="1"/>
  <c r="IM23" i="1"/>
  <c r="BG23" i="1" s="1"/>
  <c r="IM34" i="1"/>
  <c r="BG34" i="1" s="1"/>
  <c r="IM31" i="1"/>
  <c r="BG31" i="1" s="1"/>
  <c r="IM43" i="1"/>
  <c r="BG43" i="1" s="1"/>
  <c r="IM22" i="1"/>
  <c r="IM38" i="1"/>
  <c r="IM30" i="1"/>
  <c r="IM39" i="1"/>
  <c r="BG39" i="1" s="1"/>
  <c r="BF30" i="1"/>
  <c r="BF35" i="1" s="1"/>
  <c r="AW88" i="3" s="1"/>
  <c r="IL35" i="1"/>
  <c r="BM4" i="1"/>
  <c r="BL3" i="1"/>
  <c r="IR3" i="1" s="1"/>
  <c r="BF15" i="1"/>
  <c r="BF19" i="1" s="1"/>
  <c r="AW86" i="3" s="1"/>
  <c r="IL19" i="1"/>
  <c r="IN14" i="1"/>
  <c r="IM17" i="1"/>
  <c r="BG17" i="1" s="1"/>
  <c r="IM18" i="1"/>
  <c r="BG18" i="1" s="1"/>
  <c r="IM15" i="1"/>
  <c r="IM16" i="1"/>
  <c r="BG16" i="1" s="1"/>
  <c r="IN42" i="1" l="1"/>
  <c r="BH42" i="1" s="1"/>
  <c r="BH86" i="1"/>
  <c r="BH87" i="1"/>
  <c r="BH84" i="1"/>
  <c r="BH85" i="1"/>
  <c r="BH83" i="1"/>
  <c r="BE104" i="1"/>
  <c r="AV93" i="3"/>
  <c r="BD85" i="3"/>
  <c r="IS4" i="1"/>
  <c r="BH79" i="1"/>
  <c r="BH82" i="1"/>
  <c r="BH80" i="1"/>
  <c r="BH81" i="1"/>
  <c r="IN33" i="1"/>
  <c r="BH33" i="1" s="1"/>
  <c r="IN32" i="1"/>
  <c r="BH32" i="1" s="1"/>
  <c r="IN25" i="1"/>
  <c r="BH25" i="1" s="1"/>
  <c r="IN24" i="1"/>
  <c r="BH24" i="1" s="1"/>
  <c r="IM101" i="1"/>
  <c r="BH2" i="1"/>
  <c r="IN2" i="1" s="1"/>
  <c r="BD98" i="1"/>
  <c r="IK65" i="1"/>
  <c r="BE97" i="1"/>
  <c r="BE98" i="1" s="1"/>
  <c r="BF91" i="1"/>
  <c r="BF92" i="1" s="1"/>
  <c r="BG90" i="1"/>
  <c r="IN40" i="1"/>
  <c r="BH40" i="1" s="1"/>
  <c r="IN41" i="1"/>
  <c r="BH41" i="1" s="1"/>
  <c r="IK47" i="1"/>
  <c r="IM27" i="1"/>
  <c r="BG22" i="1"/>
  <c r="BG27" i="1" s="1"/>
  <c r="AX87" i="3" s="1"/>
  <c r="BI14" i="1"/>
  <c r="BI89" i="1" s="1"/>
  <c r="BN4" i="1"/>
  <c r="BM3" i="1"/>
  <c r="IS3" i="1" s="1"/>
  <c r="BG30" i="1"/>
  <c r="BG35" i="1" s="1"/>
  <c r="AX88" i="3" s="1"/>
  <c r="IM35" i="1"/>
  <c r="BF46" i="1"/>
  <c r="BF96" i="1" s="1"/>
  <c r="IN26" i="1"/>
  <c r="BH26" i="1" s="1"/>
  <c r="IN31" i="1"/>
  <c r="BH31" i="1" s="1"/>
  <c r="IN38" i="1"/>
  <c r="IN43" i="1"/>
  <c r="BH43" i="1" s="1"/>
  <c r="IN30" i="1"/>
  <c r="IN34" i="1"/>
  <c r="BH34" i="1" s="1"/>
  <c r="IN23" i="1"/>
  <c r="BH23" i="1" s="1"/>
  <c r="IN39" i="1"/>
  <c r="BH39" i="1" s="1"/>
  <c r="IN22" i="1"/>
  <c r="IM44" i="1"/>
  <c r="BG38" i="1"/>
  <c r="BG44" i="1" s="1"/>
  <c r="AX89" i="3" s="1"/>
  <c r="BG15" i="1"/>
  <c r="BG19" i="1" s="1"/>
  <c r="AX86" i="3" s="1"/>
  <c r="IM19" i="1"/>
  <c r="IO14" i="1"/>
  <c r="IN16" i="1"/>
  <c r="BH16" i="1" s="1"/>
  <c r="IN18" i="1"/>
  <c r="BH18" i="1" s="1"/>
  <c r="IN17" i="1"/>
  <c r="BH17" i="1" s="1"/>
  <c r="IN15" i="1"/>
  <c r="IO42" i="1" l="1"/>
  <c r="BI86" i="1"/>
  <c r="BI87" i="1"/>
  <c r="BI84" i="1"/>
  <c r="BI85" i="1"/>
  <c r="BI83" i="1"/>
  <c r="BF104" i="1"/>
  <c r="AW93" i="3"/>
  <c r="BE85" i="3"/>
  <c r="IT4" i="1"/>
  <c r="BI80" i="1"/>
  <c r="BI82" i="1"/>
  <c r="BI81" i="1"/>
  <c r="BI79" i="1"/>
  <c r="BI42" i="1"/>
  <c r="IO24" i="1"/>
  <c r="BI24" i="1" s="1"/>
  <c r="IO25" i="1"/>
  <c r="BI25" i="1" s="1"/>
  <c r="IO32" i="1"/>
  <c r="BI32" i="1" s="1"/>
  <c r="IO33" i="1"/>
  <c r="BI33" i="1" s="1"/>
  <c r="BI2" i="1"/>
  <c r="IO2" i="1" s="1"/>
  <c r="IN101" i="1"/>
  <c r="IL65" i="1"/>
  <c r="BF97" i="1"/>
  <c r="BG91" i="1"/>
  <c r="BG92" i="1" s="1"/>
  <c r="BH90" i="1"/>
  <c r="IO41" i="1"/>
  <c r="BI41" i="1" s="1"/>
  <c r="IO40" i="1"/>
  <c r="BI40" i="1" s="1"/>
  <c r="IL47" i="1"/>
  <c r="BO4" i="1"/>
  <c r="BN3" i="1"/>
  <c r="IT3" i="1" s="1"/>
  <c r="BJ14" i="1"/>
  <c r="BJ89" i="1" s="1"/>
  <c r="BH38" i="1"/>
  <c r="BH44" i="1" s="1"/>
  <c r="AY89" i="3" s="1"/>
  <c r="IN44" i="1"/>
  <c r="IO22" i="1"/>
  <c r="IO30" i="1"/>
  <c r="IO26" i="1"/>
  <c r="BI26" i="1" s="1"/>
  <c r="IO31" i="1"/>
  <c r="BI31" i="1" s="1"/>
  <c r="IO34" i="1"/>
  <c r="BI34" i="1" s="1"/>
  <c r="IO38" i="1"/>
  <c r="IO43" i="1"/>
  <c r="BI43" i="1" s="1"/>
  <c r="IO23" i="1"/>
  <c r="BI23" i="1" s="1"/>
  <c r="IO39" i="1"/>
  <c r="BI39" i="1" s="1"/>
  <c r="BH30" i="1"/>
  <c r="BH35" i="1" s="1"/>
  <c r="AY88" i="3" s="1"/>
  <c r="IN35" i="1"/>
  <c r="IN27" i="1"/>
  <c r="BH22" i="1"/>
  <c r="BH27" i="1" s="1"/>
  <c r="AY87" i="3" s="1"/>
  <c r="BG46" i="1"/>
  <c r="BG96" i="1" s="1"/>
  <c r="BH15" i="1"/>
  <c r="BH19" i="1" s="1"/>
  <c r="AY86" i="3" s="1"/>
  <c r="IN19" i="1"/>
  <c r="IP14" i="1"/>
  <c r="IO17" i="1"/>
  <c r="BI17" i="1" s="1"/>
  <c r="IO16" i="1"/>
  <c r="BI16" i="1" s="1"/>
  <c r="IO18" i="1"/>
  <c r="BI18" i="1" s="1"/>
  <c r="IO15" i="1"/>
  <c r="IP42" i="1" l="1"/>
  <c r="BJ42" i="1" s="1"/>
  <c r="BJ86" i="1"/>
  <c r="BJ87" i="1"/>
  <c r="BJ84" i="1"/>
  <c r="BJ85" i="1"/>
  <c r="BJ83" i="1"/>
  <c r="BG104" i="1"/>
  <c r="AX93" i="3"/>
  <c r="BF85" i="3"/>
  <c r="IU4" i="1"/>
  <c r="BJ80" i="1"/>
  <c r="BJ82" i="1"/>
  <c r="BJ79" i="1"/>
  <c r="BJ81" i="1"/>
  <c r="IP25" i="1"/>
  <c r="BJ25" i="1" s="1"/>
  <c r="IP24" i="1"/>
  <c r="BJ24" i="1" s="1"/>
  <c r="IP32" i="1"/>
  <c r="BJ32" i="1" s="1"/>
  <c r="IP33" i="1"/>
  <c r="BJ33" i="1" s="1"/>
  <c r="IO101" i="1"/>
  <c r="BJ2" i="1"/>
  <c r="IP2" i="1" s="1"/>
  <c r="BF98" i="1"/>
  <c r="IM65" i="1"/>
  <c r="BG97" i="1"/>
  <c r="BH91" i="1"/>
  <c r="BH92" i="1" s="1"/>
  <c r="BI90" i="1"/>
  <c r="IP41" i="1"/>
  <c r="BJ41" i="1" s="1"/>
  <c r="IP40" i="1"/>
  <c r="BJ40" i="1" s="1"/>
  <c r="IM47" i="1"/>
  <c r="BK14" i="1"/>
  <c r="BK89" i="1" s="1"/>
  <c r="IO35" i="1"/>
  <c r="BI30" i="1"/>
  <c r="BI35" i="1" s="1"/>
  <c r="AZ88" i="3" s="1"/>
  <c r="BH46" i="1"/>
  <c r="BH96" i="1" s="1"/>
  <c r="BI38" i="1"/>
  <c r="BI44" i="1" s="1"/>
  <c r="AZ89" i="3" s="1"/>
  <c r="IO44" i="1"/>
  <c r="IP26" i="1"/>
  <c r="BJ26" i="1" s="1"/>
  <c r="IP23" i="1"/>
  <c r="BJ23" i="1" s="1"/>
  <c r="IP31" i="1"/>
  <c r="BJ31" i="1" s="1"/>
  <c r="IP34" i="1"/>
  <c r="BJ34" i="1" s="1"/>
  <c r="IP43" i="1"/>
  <c r="BJ43" i="1" s="1"/>
  <c r="IP22" i="1"/>
  <c r="IP30" i="1"/>
  <c r="IP39" i="1"/>
  <c r="BJ39" i="1" s="1"/>
  <c r="IP38" i="1"/>
  <c r="BI22" i="1"/>
  <c r="BI27" i="1" s="1"/>
  <c r="AZ87" i="3" s="1"/>
  <c r="IO27" i="1"/>
  <c r="BP4" i="1"/>
  <c r="BO3" i="1"/>
  <c r="IU3" i="1" s="1"/>
  <c r="IQ14" i="1"/>
  <c r="IP16" i="1"/>
  <c r="BJ16" i="1" s="1"/>
  <c r="IP18" i="1"/>
  <c r="BJ18" i="1" s="1"/>
  <c r="IP17" i="1"/>
  <c r="BJ17" i="1" s="1"/>
  <c r="IP15" i="1"/>
  <c r="BI15" i="1"/>
  <c r="BI19" i="1" s="1"/>
  <c r="AZ86" i="3" s="1"/>
  <c r="IO19" i="1"/>
  <c r="IQ42" i="1" l="1"/>
  <c r="BK86" i="1"/>
  <c r="BK87" i="1"/>
  <c r="BK84" i="1"/>
  <c r="BK85" i="1"/>
  <c r="BK83" i="1"/>
  <c r="BH104" i="1"/>
  <c r="AY93" i="3"/>
  <c r="BG85" i="3"/>
  <c r="IV4" i="1"/>
  <c r="BK79" i="1"/>
  <c r="BK81" i="1"/>
  <c r="BK80" i="1"/>
  <c r="BK82" i="1"/>
  <c r="BK42" i="1"/>
  <c r="IQ25" i="1"/>
  <c r="BK25" i="1" s="1"/>
  <c r="IQ24" i="1"/>
  <c r="BK24" i="1" s="1"/>
  <c r="IQ32" i="1"/>
  <c r="BK32" i="1" s="1"/>
  <c r="IQ33" i="1"/>
  <c r="BK33" i="1" s="1"/>
  <c r="BK2" i="1"/>
  <c r="IQ2" i="1" s="1"/>
  <c r="IP101" i="1"/>
  <c r="BG98" i="1"/>
  <c r="IN65" i="1"/>
  <c r="BH97" i="1"/>
  <c r="BI91" i="1"/>
  <c r="BI92" i="1" s="1"/>
  <c r="BJ90" i="1"/>
  <c r="IQ40" i="1"/>
  <c r="BK40" i="1" s="1"/>
  <c r="IQ41" i="1"/>
  <c r="BK41" i="1" s="1"/>
  <c r="IN47" i="1"/>
  <c r="BI46" i="1"/>
  <c r="BI96" i="1" s="1"/>
  <c r="IP35" i="1"/>
  <c r="BJ30" i="1"/>
  <c r="BJ35" i="1" s="1"/>
  <c r="BA88" i="3" s="1"/>
  <c r="IP44" i="1"/>
  <c r="BJ38" i="1"/>
  <c r="BJ44" i="1" s="1"/>
  <c r="BA89" i="3" s="1"/>
  <c r="IQ23" i="1"/>
  <c r="BK23" i="1" s="1"/>
  <c r="IQ22" i="1"/>
  <c r="IQ26" i="1"/>
  <c r="BK26" i="1" s="1"/>
  <c r="IQ30" i="1"/>
  <c r="IQ31" i="1"/>
  <c r="BK31" i="1" s="1"/>
  <c r="IQ43" i="1"/>
  <c r="BK43" i="1" s="1"/>
  <c r="IQ34" i="1"/>
  <c r="BK34" i="1" s="1"/>
  <c r="IQ39" i="1"/>
  <c r="BK39" i="1" s="1"/>
  <c r="IQ38" i="1"/>
  <c r="BQ4" i="1"/>
  <c r="BP3" i="1"/>
  <c r="IV3" i="1" s="1"/>
  <c r="IP27" i="1"/>
  <c r="BJ22" i="1"/>
  <c r="BJ27" i="1" s="1"/>
  <c r="BA87" i="3" s="1"/>
  <c r="BL14" i="1"/>
  <c r="BL89" i="1" s="1"/>
  <c r="IR14" i="1"/>
  <c r="IQ18" i="1"/>
  <c r="BK18" i="1" s="1"/>
  <c r="IQ17" i="1"/>
  <c r="BK17" i="1" s="1"/>
  <c r="IQ16" i="1"/>
  <c r="BK16" i="1" s="1"/>
  <c r="IQ15" i="1"/>
  <c r="BJ15" i="1"/>
  <c r="BJ19" i="1" s="1"/>
  <c r="BA86" i="3" s="1"/>
  <c r="IP19" i="1"/>
  <c r="IR42" i="1" l="1"/>
  <c r="BL86" i="1"/>
  <c r="BL87" i="1"/>
  <c r="BL84" i="1"/>
  <c r="BL85" i="1"/>
  <c r="BL83" i="1"/>
  <c r="BI104" i="1"/>
  <c r="AZ93" i="3"/>
  <c r="BH85" i="3"/>
  <c r="IW4" i="1"/>
  <c r="BL79" i="1"/>
  <c r="BL80" i="1"/>
  <c r="BL81" i="1"/>
  <c r="BL82" i="1"/>
  <c r="BL42" i="1"/>
  <c r="IR24" i="1"/>
  <c r="BL24" i="1" s="1"/>
  <c r="IR25" i="1"/>
  <c r="BL25" i="1" s="1"/>
  <c r="IR32" i="1"/>
  <c r="BL32" i="1" s="1"/>
  <c r="IR33" i="1"/>
  <c r="BL33" i="1" s="1"/>
  <c r="IQ101" i="1"/>
  <c r="BL2" i="1"/>
  <c r="IR2" i="1" s="1"/>
  <c r="BH98" i="1"/>
  <c r="IO65" i="1"/>
  <c r="BI97" i="1"/>
  <c r="BI98" i="1" s="1"/>
  <c r="BJ91" i="1"/>
  <c r="BJ92" i="1" s="1"/>
  <c r="BK90" i="1"/>
  <c r="IR41" i="1"/>
  <c r="BL41" i="1" s="1"/>
  <c r="IR40" i="1"/>
  <c r="BL40" i="1" s="1"/>
  <c r="IO47" i="1"/>
  <c r="BJ46" i="1"/>
  <c r="BJ96" i="1" s="1"/>
  <c r="BM14" i="1"/>
  <c r="BM89" i="1" s="1"/>
  <c r="BK30" i="1"/>
  <c r="BK35" i="1" s="1"/>
  <c r="BB88" i="3" s="1"/>
  <c r="IQ35" i="1"/>
  <c r="IQ27" i="1"/>
  <c r="BK22" i="1"/>
  <c r="BK27" i="1" s="1"/>
  <c r="BB87" i="3" s="1"/>
  <c r="BR4" i="1"/>
  <c r="BQ3" i="1"/>
  <c r="IW3" i="1" s="1"/>
  <c r="IR34" i="1"/>
  <c r="BL34" i="1" s="1"/>
  <c r="IR30" i="1"/>
  <c r="IR26" i="1"/>
  <c r="BL26" i="1" s="1"/>
  <c r="IR22" i="1"/>
  <c r="IR23" i="1"/>
  <c r="BL23" i="1" s="1"/>
  <c r="IR31" i="1"/>
  <c r="BL31" i="1" s="1"/>
  <c r="IR43" i="1"/>
  <c r="BL43" i="1" s="1"/>
  <c r="IR39" i="1"/>
  <c r="BL39" i="1" s="1"/>
  <c r="IR38" i="1"/>
  <c r="IQ44" i="1"/>
  <c r="BK38" i="1"/>
  <c r="BK44" i="1" s="1"/>
  <c r="BB89" i="3" s="1"/>
  <c r="IQ19" i="1"/>
  <c r="BK15" i="1"/>
  <c r="BK19" i="1" s="1"/>
  <c r="BB86" i="3" s="1"/>
  <c r="IS14" i="1"/>
  <c r="IR18" i="1"/>
  <c r="BL18" i="1" s="1"/>
  <c r="IR17" i="1"/>
  <c r="BL17" i="1" s="1"/>
  <c r="IR16" i="1"/>
  <c r="BL16" i="1" s="1"/>
  <c r="IR15" i="1"/>
  <c r="IS42" i="1" l="1"/>
  <c r="BM86" i="1"/>
  <c r="BM87" i="1"/>
  <c r="BM84" i="1"/>
  <c r="BM85" i="1"/>
  <c r="BM83" i="1"/>
  <c r="BJ104" i="1"/>
  <c r="BA93" i="3"/>
  <c r="BI85" i="3"/>
  <c r="IX4" i="1"/>
  <c r="BM79" i="1"/>
  <c r="BM81" i="1"/>
  <c r="BM80" i="1"/>
  <c r="BM82" i="1"/>
  <c r="BM42" i="1"/>
  <c r="IS24" i="1"/>
  <c r="BM24" i="1" s="1"/>
  <c r="IS25" i="1"/>
  <c r="BM25" i="1" s="1"/>
  <c r="IS32" i="1"/>
  <c r="BM32" i="1" s="1"/>
  <c r="IS33" i="1"/>
  <c r="BM33" i="1" s="1"/>
  <c r="BM2" i="1"/>
  <c r="IS2" i="1" s="1"/>
  <c r="IR101" i="1"/>
  <c r="IP65" i="1"/>
  <c r="BJ97" i="1"/>
  <c r="BJ98" i="1" s="1"/>
  <c r="BK91" i="1"/>
  <c r="BK92" i="1" s="1"/>
  <c r="BL90" i="1"/>
  <c r="IS40" i="1"/>
  <c r="BM40" i="1" s="1"/>
  <c r="IS41" i="1"/>
  <c r="BM41" i="1" s="1"/>
  <c r="IP47" i="1"/>
  <c r="BK46" i="1"/>
  <c r="BK96" i="1" s="1"/>
  <c r="IR35" i="1"/>
  <c r="BL30" i="1"/>
  <c r="BL35" i="1" s="1"/>
  <c r="BC88" i="3" s="1"/>
  <c r="IR27" i="1"/>
  <c r="BL22" i="1"/>
  <c r="BL27" i="1" s="1"/>
  <c r="BC87" i="3" s="1"/>
  <c r="BS4" i="1"/>
  <c r="BR3" i="1"/>
  <c r="IX3" i="1" s="1"/>
  <c r="BN14" i="1"/>
  <c r="BN89" i="1" s="1"/>
  <c r="BL38" i="1"/>
  <c r="BL44" i="1" s="1"/>
  <c r="BC89" i="3" s="1"/>
  <c r="IR44" i="1"/>
  <c r="IS22" i="1"/>
  <c r="IS31" i="1"/>
  <c r="BM31" i="1" s="1"/>
  <c r="IS30" i="1"/>
  <c r="IS34" i="1"/>
  <c r="BM34" i="1" s="1"/>
  <c r="IS26" i="1"/>
  <c r="BM26" i="1" s="1"/>
  <c r="IS43" i="1"/>
  <c r="BM43" i="1" s="1"/>
  <c r="IS23" i="1"/>
  <c r="BM23" i="1" s="1"/>
  <c r="IS39" i="1"/>
  <c r="BM39" i="1" s="1"/>
  <c r="IS38" i="1"/>
  <c r="BL15" i="1"/>
  <c r="BL19" i="1" s="1"/>
  <c r="BC86" i="3" s="1"/>
  <c r="IR19" i="1"/>
  <c r="IT14" i="1"/>
  <c r="IS18" i="1"/>
  <c r="BM18" i="1" s="1"/>
  <c r="IS17" i="1"/>
  <c r="BM17" i="1" s="1"/>
  <c r="IS15" i="1"/>
  <c r="IS16" i="1"/>
  <c r="BM16" i="1" s="1"/>
  <c r="IT42" i="1" l="1"/>
  <c r="BN86" i="1"/>
  <c r="BN87" i="1"/>
  <c r="BN84" i="1"/>
  <c r="BN85" i="1"/>
  <c r="BN83" i="1"/>
  <c r="BK104" i="1"/>
  <c r="BB93" i="3"/>
  <c r="BJ85" i="3"/>
  <c r="IY4" i="1"/>
  <c r="BN79" i="1"/>
  <c r="BN81" i="1"/>
  <c r="BN80" i="1"/>
  <c r="BN82" i="1"/>
  <c r="BN42" i="1"/>
  <c r="IT25" i="1"/>
  <c r="BN25" i="1" s="1"/>
  <c r="IT24" i="1"/>
  <c r="BN24" i="1" s="1"/>
  <c r="IT32" i="1"/>
  <c r="BN32" i="1" s="1"/>
  <c r="IT33" i="1"/>
  <c r="BN33" i="1" s="1"/>
  <c r="IS101" i="1"/>
  <c r="BN2" i="1"/>
  <c r="IT2" i="1" s="1"/>
  <c r="IQ65" i="1"/>
  <c r="BK97" i="1"/>
  <c r="BK98" i="1" s="1"/>
  <c r="BL91" i="1"/>
  <c r="BL92" i="1" s="1"/>
  <c r="BM90" i="1"/>
  <c r="IT40" i="1"/>
  <c r="BN40" i="1" s="1"/>
  <c r="IT41" i="1"/>
  <c r="BN41" i="1" s="1"/>
  <c r="IQ47" i="1"/>
  <c r="BM38" i="1"/>
  <c r="BM44" i="1" s="1"/>
  <c r="BD89" i="3" s="1"/>
  <c r="IS44" i="1"/>
  <c r="IS35" i="1"/>
  <c r="BM30" i="1"/>
  <c r="BM35" i="1" s="1"/>
  <c r="BD88" i="3" s="1"/>
  <c r="IT30" i="1"/>
  <c r="IT31" i="1"/>
  <c r="BN31" i="1" s="1"/>
  <c r="IT34" i="1"/>
  <c r="BN34" i="1" s="1"/>
  <c r="IT26" i="1"/>
  <c r="BN26" i="1" s="1"/>
  <c r="IT43" i="1"/>
  <c r="BN43" i="1" s="1"/>
  <c r="IT22" i="1"/>
  <c r="IT23" i="1"/>
  <c r="BN23" i="1" s="1"/>
  <c r="IT39" i="1"/>
  <c r="BN39" i="1" s="1"/>
  <c r="IT38" i="1"/>
  <c r="BL46" i="1"/>
  <c r="BL96" i="1" s="1"/>
  <c r="BO14" i="1"/>
  <c r="BO89" i="1" s="1"/>
  <c r="BT4" i="1"/>
  <c r="BS3" i="1"/>
  <c r="IY3" i="1" s="1"/>
  <c r="BM22" i="1"/>
  <c r="BM27" i="1" s="1"/>
  <c r="BD87" i="3" s="1"/>
  <c r="IS27" i="1"/>
  <c r="IU14" i="1"/>
  <c r="IT15" i="1"/>
  <c r="IT18" i="1"/>
  <c r="BN18" i="1" s="1"/>
  <c r="IT17" i="1"/>
  <c r="BN17" i="1" s="1"/>
  <c r="IT16" i="1"/>
  <c r="BN16" i="1" s="1"/>
  <c r="IS19" i="1"/>
  <c r="BM15" i="1"/>
  <c r="BM19" i="1" s="1"/>
  <c r="BD86" i="3" s="1"/>
  <c r="IU42" i="1" l="1"/>
  <c r="BO42" i="1" s="1"/>
  <c r="BO86" i="1"/>
  <c r="BO87" i="1"/>
  <c r="BO84" i="1"/>
  <c r="BO85" i="1"/>
  <c r="BO83" i="1"/>
  <c r="BL104" i="1"/>
  <c r="BC93" i="3"/>
  <c r="BK85" i="3"/>
  <c r="IZ4" i="1"/>
  <c r="BO80" i="1"/>
  <c r="BO82" i="1"/>
  <c r="BO79" i="1"/>
  <c r="BO81" i="1"/>
  <c r="IU32" i="1"/>
  <c r="BO32" i="1" s="1"/>
  <c r="IU24" i="1"/>
  <c r="BO24" i="1" s="1"/>
  <c r="IU25" i="1"/>
  <c r="BO25" i="1" s="1"/>
  <c r="IU33" i="1"/>
  <c r="BO33" i="1" s="1"/>
  <c r="BO2" i="1"/>
  <c r="IU2" i="1" s="1"/>
  <c r="IT101" i="1"/>
  <c r="IR65" i="1"/>
  <c r="BL97" i="1"/>
  <c r="BL98" i="1" s="1"/>
  <c r="BM91" i="1"/>
  <c r="BM92" i="1" s="1"/>
  <c r="BN90" i="1"/>
  <c r="IU40" i="1"/>
  <c r="BO40" i="1" s="1"/>
  <c r="IU41" i="1"/>
  <c r="BO41" i="1" s="1"/>
  <c r="IR47" i="1"/>
  <c r="IT35" i="1"/>
  <c r="BN30" i="1"/>
  <c r="BN35" i="1" s="1"/>
  <c r="BE88" i="3" s="1"/>
  <c r="BN22" i="1"/>
  <c r="BN27" i="1" s="1"/>
  <c r="BE87" i="3" s="1"/>
  <c r="IT27" i="1"/>
  <c r="IT44" i="1"/>
  <c r="BN38" i="1"/>
  <c r="BN44" i="1" s="1"/>
  <c r="BE89" i="3" s="1"/>
  <c r="BU4" i="1"/>
  <c r="BT3" i="1"/>
  <c r="IZ3" i="1" s="1"/>
  <c r="IU31" i="1"/>
  <c r="BO31" i="1" s="1"/>
  <c r="IU22" i="1"/>
  <c r="IU26" i="1"/>
  <c r="BO26" i="1" s="1"/>
  <c r="IU23" i="1"/>
  <c r="BO23" i="1" s="1"/>
  <c r="IU30" i="1"/>
  <c r="IU34" i="1"/>
  <c r="BO34" i="1" s="1"/>
  <c r="IU38" i="1"/>
  <c r="IU43" i="1"/>
  <c r="BO43" i="1" s="1"/>
  <c r="IU39" i="1"/>
  <c r="BO39" i="1" s="1"/>
  <c r="BP14" i="1"/>
  <c r="BP89" i="1" s="1"/>
  <c r="BM46" i="1"/>
  <c r="BM96" i="1" s="1"/>
  <c r="BN15" i="1"/>
  <c r="BN19" i="1" s="1"/>
  <c r="BE86" i="3" s="1"/>
  <c r="IT19" i="1"/>
  <c r="IV14" i="1"/>
  <c r="IU17" i="1"/>
  <c r="BO17" i="1" s="1"/>
  <c r="IU18" i="1"/>
  <c r="BO18" i="1" s="1"/>
  <c r="IU15" i="1"/>
  <c r="IU16" i="1"/>
  <c r="BO16" i="1" s="1"/>
  <c r="IV42" i="1" l="1"/>
  <c r="BP86" i="1"/>
  <c r="BP87" i="1"/>
  <c r="BP84" i="1"/>
  <c r="BP85" i="1"/>
  <c r="BP83" i="1"/>
  <c r="BM104" i="1"/>
  <c r="BD93" i="3"/>
  <c r="BL85" i="3"/>
  <c r="JA4" i="1"/>
  <c r="BP79" i="1"/>
  <c r="BP82" i="1"/>
  <c r="BP80" i="1"/>
  <c r="BP81" i="1"/>
  <c r="BP42" i="1"/>
  <c r="IV32" i="1"/>
  <c r="BP32" i="1" s="1"/>
  <c r="IV24" i="1"/>
  <c r="BP24" i="1" s="1"/>
  <c r="IV25" i="1"/>
  <c r="BP25" i="1" s="1"/>
  <c r="IV33" i="1"/>
  <c r="BP33" i="1" s="1"/>
  <c r="IU101" i="1"/>
  <c r="BP2" i="1"/>
  <c r="IV2" i="1" s="1"/>
  <c r="IS65" i="1"/>
  <c r="BM97" i="1"/>
  <c r="BN91" i="1"/>
  <c r="BN92" i="1" s="1"/>
  <c r="BO90" i="1"/>
  <c r="IV41" i="1"/>
  <c r="BP41" i="1" s="1"/>
  <c r="IV40" i="1"/>
  <c r="BP40" i="1" s="1"/>
  <c r="IS47" i="1"/>
  <c r="BN46" i="1"/>
  <c r="BN96" i="1" s="1"/>
  <c r="BQ14" i="1"/>
  <c r="BQ89" i="1" s="1"/>
  <c r="BV4" i="1"/>
  <c r="BU3" i="1"/>
  <c r="JA3" i="1" s="1"/>
  <c r="BO22" i="1"/>
  <c r="BO27" i="1" s="1"/>
  <c r="BF87" i="3" s="1"/>
  <c r="IU27" i="1"/>
  <c r="IV22" i="1"/>
  <c r="IV31" i="1"/>
  <c r="BP31" i="1" s="1"/>
  <c r="IV34" i="1"/>
  <c r="BP34" i="1" s="1"/>
  <c r="IV43" i="1"/>
  <c r="BP43" i="1" s="1"/>
  <c r="IV26" i="1"/>
  <c r="BP26" i="1" s="1"/>
  <c r="IV30" i="1"/>
  <c r="IV38" i="1"/>
  <c r="IV39" i="1"/>
  <c r="BP39" i="1" s="1"/>
  <c r="IV23" i="1"/>
  <c r="BP23" i="1" s="1"/>
  <c r="IU35" i="1"/>
  <c r="BO30" i="1"/>
  <c r="BO35" i="1" s="1"/>
  <c r="BF88" i="3" s="1"/>
  <c r="BO38" i="1"/>
  <c r="BO44" i="1" s="1"/>
  <c r="BF89" i="3" s="1"/>
  <c r="IU44" i="1"/>
  <c r="IW14" i="1"/>
  <c r="IV16" i="1"/>
  <c r="BP16" i="1" s="1"/>
  <c r="IV18" i="1"/>
  <c r="BP18" i="1" s="1"/>
  <c r="IV17" i="1"/>
  <c r="BP17" i="1" s="1"/>
  <c r="IV15" i="1"/>
  <c r="BO15" i="1"/>
  <c r="BO19" i="1" s="1"/>
  <c r="BF86" i="3" s="1"/>
  <c r="IU19" i="1"/>
  <c r="IW42" i="1" l="1"/>
  <c r="BQ86" i="1"/>
  <c r="BQ87" i="1"/>
  <c r="BQ84" i="1"/>
  <c r="BQ85" i="1"/>
  <c r="BQ83" i="1"/>
  <c r="BN104" i="1"/>
  <c r="BE93" i="3"/>
  <c r="BM85" i="3"/>
  <c r="JB4" i="1"/>
  <c r="BQ80" i="1"/>
  <c r="BQ82" i="1"/>
  <c r="BQ81" i="1"/>
  <c r="BQ79" i="1"/>
  <c r="BQ42" i="1"/>
  <c r="IW33" i="1"/>
  <c r="BQ33" i="1" s="1"/>
  <c r="IW25" i="1"/>
  <c r="BQ25" i="1" s="1"/>
  <c r="IW32" i="1"/>
  <c r="BQ32" i="1" s="1"/>
  <c r="IW24" i="1"/>
  <c r="BQ24" i="1" s="1"/>
  <c r="BQ2" i="1"/>
  <c r="IW2" i="1" s="1"/>
  <c r="IV101" i="1"/>
  <c r="BM98" i="1"/>
  <c r="IT65" i="1"/>
  <c r="BN97" i="1"/>
  <c r="BN98" i="1" s="1"/>
  <c r="BO91" i="1"/>
  <c r="BO92" i="1" s="1"/>
  <c r="BP90" i="1"/>
  <c r="IW40" i="1"/>
  <c r="BQ40" i="1" s="1"/>
  <c r="IW41" i="1"/>
  <c r="BQ41" i="1" s="1"/>
  <c r="IT47" i="1"/>
  <c r="BO46" i="1"/>
  <c r="BO96" i="1" s="1"/>
  <c r="IV35" i="1"/>
  <c r="BP30" i="1"/>
  <c r="BP35" i="1" s="1"/>
  <c r="BG88" i="3" s="1"/>
  <c r="BW4" i="1"/>
  <c r="BV3" i="1"/>
  <c r="JB3" i="1" s="1"/>
  <c r="IW26" i="1"/>
  <c r="BQ26" i="1" s="1"/>
  <c r="IW30" i="1"/>
  <c r="IW31" i="1"/>
  <c r="BQ31" i="1" s="1"/>
  <c r="IW23" i="1"/>
  <c r="BQ23" i="1" s="1"/>
  <c r="IW38" i="1"/>
  <c r="IW34" i="1"/>
  <c r="BQ34" i="1" s="1"/>
  <c r="IW43" i="1"/>
  <c r="BQ43" i="1" s="1"/>
  <c r="IW39" i="1"/>
  <c r="BQ39" i="1" s="1"/>
  <c r="IW22" i="1"/>
  <c r="BP38" i="1"/>
  <c r="BP44" i="1" s="1"/>
  <c r="BG89" i="3" s="1"/>
  <c r="IV44" i="1"/>
  <c r="BP22" i="1"/>
  <c r="BP27" i="1" s="1"/>
  <c r="BG87" i="3" s="1"/>
  <c r="IV27" i="1"/>
  <c r="BR14" i="1"/>
  <c r="BR89" i="1" s="1"/>
  <c r="BP15" i="1"/>
  <c r="BP19" i="1" s="1"/>
  <c r="BG86" i="3" s="1"/>
  <c r="IV19" i="1"/>
  <c r="IX14" i="1"/>
  <c r="IW17" i="1"/>
  <c r="BQ17" i="1" s="1"/>
  <c r="IW16" i="1"/>
  <c r="BQ16" i="1" s="1"/>
  <c r="IW18" i="1"/>
  <c r="BQ18" i="1" s="1"/>
  <c r="IW15" i="1"/>
  <c r="IX42" i="1" l="1"/>
  <c r="BR86" i="1"/>
  <c r="BR87" i="1"/>
  <c r="BR84" i="1"/>
  <c r="BR85" i="1"/>
  <c r="BR83" i="1"/>
  <c r="BO104" i="1"/>
  <c r="BF93" i="3"/>
  <c r="BN85" i="3"/>
  <c r="JC4" i="1"/>
  <c r="BR80" i="1"/>
  <c r="BR82" i="1"/>
  <c r="BR81" i="1"/>
  <c r="BR79" i="1"/>
  <c r="BR42" i="1"/>
  <c r="IX25" i="1"/>
  <c r="BR25" i="1" s="1"/>
  <c r="IX32" i="1"/>
  <c r="BR32" i="1" s="1"/>
  <c r="IX24" i="1"/>
  <c r="BR24" i="1" s="1"/>
  <c r="IX33" i="1"/>
  <c r="BR33" i="1" s="1"/>
  <c r="IW101" i="1"/>
  <c r="BR2" i="1"/>
  <c r="IX2" i="1" s="1"/>
  <c r="IU65" i="1"/>
  <c r="BO97" i="1"/>
  <c r="BP91" i="1"/>
  <c r="BP92" i="1" s="1"/>
  <c r="BQ90" i="1"/>
  <c r="IX41" i="1"/>
  <c r="BR41" i="1" s="1"/>
  <c r="IX40" i="1"/>
  <c r="BR40" i="1" s="1"/>
  <c r="IU47" i="1"/>
  <c r="IX23" i="1"/>
  <c r="BR23" i="1" s="1"/>
  <c r="IX22" i="1"/>
  <c r="IX30" i="1"/>
  <c r="IX31" i="1"/>
  <c r="BR31" i="1" s="1"/>
  <c r="IX34" i="1"/>
  <c r="BR34" i="1" s="1"/>
  <c r="IX38" i="1"/>
  <c r="IX43" i="1"/>
  <c r="BR43" i="1" s="1"/>
  <c r="IX26" i="1"/>
  <c r="BR26" i="1" s="1"/>
  <c r="IX39" i="1"/>
  <c r="BR39" i="1" s="1"/>
  <c r="BQ38" i="1"/>
  <c r="BQ44" i="1" s="1"/>
  <c r="BH89" i="3" s="1"/>
  <c r="IW44" i="1"/>
  <c r="BX4" i="1"/>
  <c r="BW3" i="1"/>
  <c r="JC3" i="1" s="1"/>
  <c r="BP46" i="1"/>
  <c r="BP96" i="1" s="1"/>
  <c r="BQ30" i="1"/>
  <c r="BQ35" i="1" s="1"/>
  <c r="BH88" i="3" s="1"/>
  <c r="IW35" i="1"/>
  <c r="BS14" i="1"/>
  <c r="BS89" i="1" s="1"/>
  <c r="IW27" i="1"/>
  <c r="BQ22" i="1"/>
  <c r="BQ27" i="1" s="1"/>
  <c r="BH87" i="3" s="1"/>
  <c r="IY14" i="1"/>
  <c r="IX16" i="1"/>
  <c r="BR16" i="1" s="1"/>
  <c r="IX18" i="1"/>
  <c r="BR18" i="1" s="1"/>
  <c r="IX17" i="1"/>
  <c r="BR17" i="1" s="1"/>
  <c r="IX15" i="1"/>
  <c r="IW19" i="1"/>
  <c r="BQ15" i="1"/>
  <c r="BQ19" i="1" s="1"/>
  <c r="BH86" i="3" s="1"/>
  <c r="IY42" i="1" l="1"/>
  <c r="BS86" i="1"/>
  <c r="BS87" i="1"/>
  <c r="BS84" i="1"/>
  <c r="BS85" i="1"/>
  <c r="BS83" i="1"/>
  <c r="BP104" i="1"/>
  <c r="BG93" i="3"/>
  <c r="BO85" i="3"/>
  <c r="JD4" i="1"/>
  <c r="BS79" i="1"/>
  <c r="BS81" i="1"/>
  <c r="BS82" i="1"/>
  <c r="BS80" i="1"/>
  <c r="BS42" i="1"/>
  <c r="IY25" i="1"/>
  <c r="BS25" i="1" s="1"/>
  <c r="IY24" i="1"/>
  <c r="BS24" i="1" s="1"/>
  <c r="IY32" i="1"/>
  <c r="BS32" i="1" s="1"/>
  <c r="IY33" i="1"/>
  <c r="BS33" i="1" s="1"/>
  <c r="BS2" i="1"/>
  <c r="IY2" i="1" s="1"/>
  <c r="IX101" i="1"/>
  <c r="BO98" i="1"/>
  <c r="IV65" i="1"/>
  <c r="BP97" i="1"/>
  <c r="BQ91" i="1"/>
  <c r="BQ92" i="1" s="1"/>
  <c r="BR90" i="1"/>
  <c r="IY41" i="1"/>
  <c r="BS41" i="1" s="1"/>
  <c r="IY40" i="1"/>
  <c r="BS40" i="1" s="1"/>
  <c r="IV47" i="1"/>
  <c r="BR38" i="1"/>
  <c r="BR44" i="1" s="1"/>
  <c r="BI89" i="3" s="1"/>
  <c r="IX44" i="1"/>
  <c r="BR30" i="1"/>
  <c r="BR35" i="1" s="1"/>
  <c r="BI88" i="3" s="1"/>
  <c r="IX35" i="1"/>
  <c r="IX27" i="1"/>
  <c r="BR22" i="1"/>
  <c r="BR27" i="1" s="1"/>
  <c r="BI87" i="3" s="1"/>
  <c r="BY4" i="1"/>
  <c r="BX3" i="1"/>
  <c r="JD3" i="1" s="1"/>
  <c r="BT14" i="1"/>
  <c r="BT89" i="1" s="1"/>
  <c r="IY26" i="1"/>
  <c r="BS26" i="1" s="1"/>
  <c r="IY23" i="1"/>
  <c r="BS23" i="1" s="1"/>
  <c r="IY22" i="1"/>
  <c r="IY30" i="1"/>
  <c r="IY31" i="1"/>
  <c r="BS31" i="1" s="1"/>
  <c r="IY34" i="1"/>
  <c r="BS34" i="1" s="1"/>
  <c r="IY43" i="1"/>
  <c r="BS43" i="1" s="1"/>
  <c r="IY39" i="1"/>
  <c r="BS39" i="1" s="1"/>
  <c r="IY38" i="1"/>
  <c r="BQ46" i="1"/>
  <c r="BQ96" i="1" s="1"/>
  <c r="BR15" i="1"/>
  <c r="BR19" i="1" s="1"/>
  <c r="BI86" i="3" s="1"/>
  <c r="IX19" i="1"/>
  <c r="IZ14" i="1"/>
  <c r="IY18" i="1"/>
  <c r="BS18" i="1" s="1"/>
  <c r="IY17" i="1"/>
  <c r="BS17" i="1" s="1"/>
  <c r="IY16" i="1"/>
  <c r="BS16" i="1" s="1"/>
  <c r="IY15" i="1"/>
  <c r="IZ42" i="1" l="1"/>
  <c r="BT86" i="1"/>
  <c r="BT87" i="1"/>
  <c r="BT84" i="1"/>
  <c r="BT85" i="1"/>
  <c r="BT83" i="1"/>
  <c r="BQ104" i="1"/>
  <c r="BH93" i="3"/>
  <c r="BP85" i="3"/>
  <c r="JE4" i="1"/>
  <c r="BT79" i="1"/>
  <c r="BT80" i="1"/>
  <c r="BT81" i="1"/>
  <c r="BT82" i="1"/>
  <c r="BT42" i="1"/>
  <c r="IZ24" i="1"/>
  <c r="BT24" i="1" s="1"/>
  <c r="IZ32" i="1"/>
  <c r="BT32" i="1" s="1"/>
  <c r="IZ25" i="1"/>
  <c r="BT25" i="1" s="1"/>
  <c r="IZ33" i="1"/>
  <c r="BT33" i="1" s="1"/>
  <c r="IY101" i="1"/>
  <c r="BT2" i="1"/>
  <c r="IZ2" i="1" s="1"/>
  <c r="BP98" i="1"/>
  <c r="IW65" i="1"/>
  <c r="BQ97" i="1"/>
  <c r="BR91" i="1"/>
  <c r="BR92" i="1" s="1"/>
  <c r="BS90" i="1"/>
  <c r="IZ41" i="1"/>
  <c r="BT41" i="1" s="1"/>
  <c r="IZ40" i="1"/>
  <c r="BT40" i="1" s="1"/>
  <c r="IW47" i="1"/>
  <c r="BS38" i="1"/>
  <c r="BS44" i="1" s="1"/>
  <c r="BJ89" i="3" s="1"/>
  <c r="IY44" i="1"/>
  <c r="IZ26" i="1"/>
  <c r="BT26" i="1" s="1"/>
  <c r="IZ30" i="1"/>
  <c r="IZ34" i="1"/>
  <c r="BT34" i="1" s="1"/>
  <c r="IZ23" i="1"/>
  <c r="BT23" i="1" s="1"/>
  <c r="IZ31" i="1"/>
  <c r="BT31" i="1" s="1"/>
  <c r="IZ38" i="1"/>
  <c r="IZ22" i="1"/>
  <c r="IZ39" i="1"/>
  <c r="BT39" i="1" s="1"/>
  <c r="IZ43" i="1"/>
  <c r="BT43" i="1" s="1"/>
  <c r="BS30" i="1"/>
  <c r="BS35" i="1" s="1"/>
  <c r="BJ88" i="3" s="1"/>
  <c r="IY35" i="1"/>
  <c r="IY27" i="1"/>
  <c r="BS22" i="1"/>
  <c r="BS27" i="1" s="1"/>
  <c r="BJ87" i="3" s="1"/>
  <c r="BZ4" i="1"/>
  <c r="BY3" i="1"/>
  <c r="JE3" i="1" s="1"/>
  <c r="BU14" i="1"/>
  <c r="BU89" i="1" s="1"/>
  <c r="BR46" i="1"/>
  <c r="BR96" i="1" s="1"/>
  <c r="JA14" i="1"/>
  <c r="IZ16" i="1"/>
  <c r="BT16" i="1" s="1"/>
  <c r="IZ17" i="1"/>
  <c r="BT17" i="1" s="1"/>
  <c r="IZ18" i="1"/>
  <c r="BT18" i="1" s="1"/>
  <c r="IZ15" i="1"/>
  <c r="IY19" i="1"/>
  <c r="BS15" i="1"/>
  <c r="BS19" i="1" s="1"/>
  <c r="BJ86" i="3" s="1"/>
  <c r="JA42" i="1" l="1"/>
  <c r="BU42" i="1" s="1"/>
  <c r="BU86" i="1"/>
  <c r="BU87" i="1"/>
  <c r="BU84" i="1"/>
  <c r="BU85" i="1"/>
  <c r="BU83" i="1"/>
  <c r="BR104" i="1"/>
  <c r="BI93" i="3"/>
  <c r="BQ85" i="3"/>
  <c r="JF4" i="1"/>
  <c r="BU79" i="1"/>
  <c r="BU81" i="1"/>
  <c r="BU82" i="1"/>
  <c r="BU80" i="1"/>
  <c r="JA24" i="1"/>
  <c r="BU24" i="1" s="1"/>
  <c r="JA25" i="1"/>
  <c r="BU25" i="1" s="1"/>
  <c r="JA32" i="1"/>
  <c r="BU32" i="1" s="1"/>
  <c r="JA33" i="1"/>
  <c r="BU33" i="1" s="1"/>
  <c r="BU2" i="1"/>
  <c r="JA2" i="1" s="1"/>
  <c r="IZ101" i="1"/>
  <c r="BQ98" i="1"/>
  <c r="IX65" i="1"/>
  <c r="BR97" i="1"/>
  <c r="BS91" i="1"/>
  <c r="BS92" i="1" s="1"/>
  <c r="BT90" i="1"/>
  <c r="JA41" i="1"/>
  <c r="BU41" i="1" s="1"/>
  <c r="JA40" i="1"/>
  <c r="BU40" i="1" s="1"/>
  <c r="IX47" i="1"/>
  <c r="BV14" i="1"/>
  <c r="BV89" i="1" s="1"/>
  <c r="BT30" i="1"/>
  <c r="BT35" i="1" s="1"/>
  <c r="BK88" i="3" s="1"/>
  <c r="IZ35" i="1"/>
  <c r="CA4" i="1"/>
  <c r="BZ3" i="1"/>
  <c r="JF3" i="1" s="1"/>
  <c r="IZ27" i="1"/>
  <c r="BT22" i="1"/>
  <c r="BT27" i="1" s="1"/>
  <c r="BK87" i="3" s="1"/>
  <c r="JA26" i="1"/>
  <c r="BU26" i="1" s="1"/>
  <c r="JA31" i="1"/>
  <c r="BU31" i="1" s="1"/>
  <c r="JA23" i="1"/>
  <c r="BU23" i="1" s="1"/>
  <c r="JA43" i="1"/>
  <c r="BU43" i="1" s="1"/>
  <c r="JA30" i="1"/>
  <c r="JA34" i="1"/>
  <c r="BU34" i="1" s="1"/>
  <c r="JA22" i="1"/>
  <c r="JA39" i="1"/>
  <c r="BU39" i="1" s="1"/>
  <c r="JA38" i="1"/>
  <c r="IZ44" i="1"/>
  <c r="BT38" i="1"/>
  <c r="BT44" i="1" s="1"/>
  <c r="BK89" i="3" s="1"/>
  <c r="BS46" i="1"/>
  <c r="BS96" i="1" s="1"/>
  <c r="BT15" i="1"/>
  <c r="BT19" i="1" s="1"/>
  <c r="BK86" i="3" s="1"/>
  <c r="IZ19" i="1"/>
  <c r="JB14" i="1"/>
  <c r="JA18" i="1"/>
  <c r="BU18" i="1" s="1"/>
  <c r="JA17" i="1"/>
  <c r="BU17" i="1" s="1"/>
  <c r="JA16" i="1"/>
  <c r="BU16" i="1" s="1"/>
  <c r="JA15" i="1"/>
  <c r="JB42" i="1" l="1"/>
  <c r="BV86" i="1"/>
  <c r="BV87" i="1"/>
  <c r="BV84" i="1"/>
  <c r="BV85" i="1"/>
  <c r="BV83" i="1"/>
  <c r="BS104" i="1"/>
  <c r="BJ93" i="3"/>
  <c r="BR85" i="3"/>
  <c r="JG4" i="1"/>
  <c r="BV79" i="1"/>
  <c r="BV81" i="1"/>
  <c r="BV80" i="1"/>
  <c r="BV82" i="1"/>
  <c r="BV42" i="1"/>
  <c r="JB24" i="1"/>
  <c r="BV24" i="1" s="1"/>
  <c r="JB32" i="1"/>
  <c r="BV32" i="1" s="1"/>
  <c r="JB25" i="1"/>
  <c r="BV25" i="1" s="1"/>
  <c r="JB33" i="1"/>
  <c r="BV33" i="1" s="1"/>
  <c r="JA101" i="1"/>
  <c r="BV2" i="1"/>
  <c r="JB2" i="1" s="1"/>
  <c r="BR98" i="1"/>
  <c r="IY65" i="1"/>
  <c r="BS97" i="1"/>
  <c r="BT91" i="1"/>
  <c r="BT92" i="1" s="1"/>
  <c r="BU90" i="1"/>
  <c r="JB41" i="1"/>
  <c r="BV41" i="1" s="1"/>
  <c r="JB40" i="1"/>
  <c r="BV40" i="1" s="1"/>
  <c r="IY47" i="1"/>
  <c r="BT46" i="1"/>
  <c r="BT96" i="1" s="1"/>
  <c r="JA35" i="1"/>
  <c r="BU30" i="1"/>
  <c r="BU35" i="1" s="1"/>
  <c r="BL88" i="3" s="1"/>
  <c r="CB4" i="1"/>
  <c r="CA3" i="1"/>
  <c r="JG3" i="1" s="1"/>
  <c r="JB30" i="1"/>
  <c r="JB22" i="1"/>
  <c r="JB26" i="1"/>
  <c r="BV26" i="1" s="1"/>
  <c r="JB43" i="1"/>
  <c r="BV43" i="1" s="1"/>
  <c r="JB34" i="1"/>
  <c r="BV34" i="1" s="1"/>
  <c r="JB31" i="1"/>
  <c r="BV31" i="1" s="1"/>
  <c r="JB38" i="1"/>
  <c r="JB39" i="1"/>
  <c r="BV39" i="1" s="1"/>
  <c r="JB23" i="1"/>
  <c r="BV23" i="1" s="1"/>
  <c r="JA27" i="1"/>
  <c r="BU22" i="1"/>
  <c r="BU27" i="1" s="1"/>
  <c r="BL87" i="3" s="1"/>
  <c r="JA44" i="1"/>
  <c r="BU38" i="1"/>
  <c r="BU44" i="1" s="1"/>
  <c r="BL89" i="3" s="1"/>
  <c r="BW14" i="1"/>
  <c r="BW89" i="1" s="1"/>
  <c r="JA19" i="1"/>
  <c r="BU15" i="1"/>
  <c r="BU19" i="1" s="1"/>
  <c r="BL86" i="3" s="1"/>
  <c r="JC14" i="1"/>
  <c r="JB15" i="1"/>
  <c r="JB18" i="1"/>
  <c r="BV18" i="1" s="1"/>
  <c r="JB17" i="1"/>
  <c r="BV17" i="1" s="1"/>
  <c r="JB16" i="1"/>
  <c r="BV16" i="1" s="1"/>
  <c r="JC42" i="1" l="1"/>
  <c r="BW86" i="1"/>
  <c r="BW87" i="1"/>
  <c r="BW84" i="1"/>
  <c r="BW85" i="1"/>
  <c r="BW83" i="1"/>
  <c r="BT104" i="1"/>
  <c r="BK93" i="3"/>
  <c r="BS85" i="3"/>
  <c r="JH4" i="1"/>
  <c r="BW80" i="1"/>
  <c r="BW82" i="1"/>
  <c r="BW81" i="1"/>
  <c r="BW79" i="1"/>
  <c r="BW42" i="1"/>
  <c r="JC25" i="1"/>
  <c r="BW25" i="1" s="1"/>
  <c r="JC32" i="1"/>
  <c r="BW32" i="1" s="1"/>
  <c r="JC24" i="1"/>
  <c r="BW24" i="1" s="1"/>
  <c r="JC33" i="1"/>
  <c r="BW33" i="1" s="1"/>
  <c r="BW2" i="1"/>
  <c r="JC2" i="1" s="1"/>
  <c r="JB101" i="1"/>
  <c r="BS98" i="1"/>
  <c r="IZ65" i="1"/>
  <c r="BT97" i="1"/>
  <c r="BT98" i="1" s="1"/>
  <c r="BU91" i="1"/>
  <c r="BU92" i="1" s="1"/>
  <c r="BV90" i="1"/>
  <c r="JC41" i="1"/>
  <c r="BW41" i="1" s="1"/>
  <c r="JC40" i="1"/>
  <c r="BW40" i="1" s="1"/>
  <c r="IZ47" i="1"/>
  <c r="BU46" i="1"/>
  <c r="BU96" i="1" s="1"/>
  <c r="BV38" i="1"/>
  <c r="BV44" i="1" s="1"/>
  <c r="BM89" i="3" s="1"/>
  <c r="JB44" i="1"/>
  <c r="BV22" i="1"/>
  <c r="BV27" i="1" s="1"/>
  <c r="BM87" i="3" s="1"/>
  <c r="JB27" i="1"/>
  <c r="JB35" i="1"/>
  <c r="BV30" i="1"/>
  <c r="BV35" i="1" s="1"/>
  <c r="BM88" i="3" s="1"/>
  <c r="JC26" i="1"/>
  <c r="BW26" i="1" s="1"/>
  <c r="JC22" i="1"/>
  <c r="JC34" i="1"/>
  <c r="BW34" i="1" s="1"/>
  <c r="JC31" i="1"/>
  <c r="BW31" i="1" s="1"/>
  <c r="JC30" i="1"/>
  <c r="JC43" i="1"/>
  <c r="BW43" i="1" s="1"/>
  <c r="JC38" i="1"/>
  <c r="JC23" i="1"/>
  <c r="BW23" i="1" s="1"/>
  <c r="JC39" i="1"/>
  <c r="BW39" i="1" s="1"/>
  <c r="CC4" i="1"/>
  <c r="CB3" i="1"/>
  <c r="JH3" i="1" s="1"/>
  <c r="BX14" i="1"/>
  <c r="BX89" i="1" s="1"/>
  <c r="BV15" i="1"/>
  <c r="BV19" i="1" s="1"/>
  <c r="BM86" i="3" s="1"/>
  <c r="JB19" i="1"/>
  <c r="JD14" i="1"/>
  <c r="JC17" i="1"/>
  <c r="BW17" i="1" s="1"/>
  <c r="JC18" i="1"/>
  <c r="BW18" i="1" s="1"/>
  <c r="JC16" i="1"/>
  <c r="BW16" i="1" s="1"/>
  <c r="JC15" i="1"/>
  <c r="JD42" i="1" l="1"/>
  <c r="BX86" i="1"/>
  <c r="BX87" i="1"/>
  <c r="BX84" i="1"/>
  <c r="BX85" i="1"/>
  <c r="BX83" i="1"/>
  <c r="BU104" i="1"/>
  <c r="BL93" i="3"/>
  <c r="BT85" i="3"/>
  <c r="JI4" i="1"/>
  <c r="BX79" i="1"/>
  <c r="BX80" i="1"/>
  <c r="BX81" i="1"/>
  <c r="BX82" i="1"/>
  <c r="BX42" i="1"/>
  <c r="JD24" i="1"/>
  <c r="BX24" i="1" s="1"/>
  <c r="JD32" i="1"/>
  <c r="BX32" i="1" s="1"/>
  <c r="JD25" i="1"/>
  <c r="BX25" i="1" s="1"/>
  <c r="JD33" i="1"/>
  <c r="BX33" i="1" s="1"/>
  <c r="JC101" i="1"/>
  <c r="BX2" i="1"/>
  <c r="JD2" i="1" s="1"/>
  <c r="JA65" i="1"/>
  <c r="BU97" i="1"/>
  <c r="BU98" i="1" s="1"/>
  <c r="BV91" i="1"/>
  <c r="BV92" i="1" s="1"/>
  <c r="BW90" i="1"/>
  <c r="JD41" i="1"/>
  <c r="BX41" i="1" s="1"/>
  <c r="JD40" i="1"/>
  <c r="BX40" i="1" s="1"/>
  <c r="JA47" i="1"/>
  <c r="BW38" i="1"/>
  <c r="BW44" i="1" s="1"/>
  <c r="BN89" i="3" s="1"/>
  <c r="JC44" i="1"/>
  <c r="JC35" i="1"/>
  <c r="BW30" i="1"/>
  <c r="BW35" i="1" s="1"/>
  <c r="BN88" i="3" s="1"/>
  <c r="CD4" i="1"/>
  <c r="CC3" i="1"/>
  <c r="JI3" i="1" s="1"/>
  <c r="JD26" i="1"/>
  <c r="BX26" i="1" s="1"/>
  <c r="JD31" i="1"/>
  <c r="BX31" i="1" s="1"/>
  <c r="JD34" i="1"/>
  <c r="BX34" i="1" s="1"/>
  <c r="JD43" i="1"/>
  <c r="BX43" i="1" s="1"/>
  <c r="JD23" i="1"/>
  <c r="BX23" i="1" s="1"/>
  <c r="JD22" i="1"/>
  <c r="JD38" i="1"/>
  <c r="JD39" i="1"/>
  <c r="BX39" i="1" s="1"/>
  <c r="JD30" i="1"/>
  <c r="BY14" i="1"/>
  <c r="BY89" i="1" s="1"/>
  <c r="BV46" i="1"/>
  <c r="BV96" i="1" s="1"/>
  <c r="BW22" i="1"/>
  <c r="BW27" i="1" s="1"/>
  <c r="BN87" i="3" s="1"/>
  <c r="JC27" i="1"/>
  <c r="JE14" i="1"/>
  <c r="JD18" i="1"/>
  <c r="BX18" i="1" s="1"/>
  <c r="JD17" i="1"/>
  <c r="BX17" i="1" s="1"/>
  <c r="JD16" i="1"/>
  <c r="BX16" i="1" s="1"/>
  <c r="JD15" i="1"/>
  <c r="BW15" i="1"/>
  <c r="BW19" i="1" s="1"/>
  <c r="BN86" i="3" s="1"/>
  <c r="JC19" i="1"/>
  <c r="JE42" i="1" l="1"/>
  <c r="BY86" i="1"/>
  <c r="BY87" i="1"/>
  <c r="BY84" i="1"/>
  <c r="BY85" i="1"/>
  <c r="BY83" i="1"/>
  <c r="BV104" i="1"/>
  <c r="BM93" i="3"/>
  <c r="BU85" i="3"/>
  <c r="JJ4" i="1"/>
  <c r="BY80" i="1"/>
  <c r="BY82" i="1"/>
  <c r="BY79" i="1"/>
  <c r="BY81" i="1"/>
  <c r="BY42" i="1"/>
  <c r="JE25" i="1"/>
  <c r="BY25" i="1" s="1"/>
  <c r="JE24" i="1"/>
  <c r="BY24" i="1" s="1"/>
  <c r="JE32" i="1"/>
  <c r="BY32" i="1" s="1"/>
  <c r="JE33" i="1"/>
  <c r="BY33" i="1" s="1"/>
  <c r="BY2" i="1"/>
  <c r="JE2" i="1" s="1"/>
  <c r="JD101" i="1"/>
  <c r="JB65" i="1"/>
  <c r="BV97" i="1"/>
  <c r="BW91" i="1"/>
  <c r="BW92" i="1" s="1"/>
  <c r="BX90" i="1"/>
  <c r="JE40" i="1"/>
  <c r="BY40" i="1" s="1"/>
  <c r="JE41" i="1"/>
  <c r="BY41" i="1" s="1"/>
  <c r="JB47" i="1"/>
  <c r="CE4" i="1"/>
  <c r="CD3" i="1"/>
  <c r="JJ3" i="1" s="1"/>
  <c r="JD44" i="1"/>
  <c r="BX38" i="1"/>
  <c r="BX44" i="1" s="1"/>
  <c r="BO89" i="3" s="1"/>
  <c r="BZ14" i="1"/>
  <c r="BZ89" i="1" s="1"/>
  <c r="JE31" i="1"/>
  <c r="BY31" i="1" s="1"/>
  <c r="JE34" i="1"/>
  <c r="BY34" i="1" s="1"/>
  <c r="JE30" i="1"/>
  <c r="JE26" i="1"/>
  <c r="BY26" i="1" s="1"/>
  <c r="JE43" i="1"/>
  <c r="BY43" i="1" s="1"/>
  <c r="JE23" i="1"/>
  <c r="BY23" i="1" s="1"/>
  <c r="JE22" i="1"/>
  <c r="JE38" i="1"/>
  <c r="JE39" i="1"/>
  <c r="BY39" i="1" s="1"/>
  <c r="BX30" i="1"/>
  <c r="BX35" i="1" s="1"/>
  <c r="BO88" i="3" s="1"/>
  <c r="JD35" i="1"/>
  <c r="JD27" i="1"/>
  <c r="BX22" i="1"/>
  <c r="BX27" i="1" s="1"/>
  <c r="BO87" i="3" s="1"/>
  <c r="BW46" i="1"/>
  <c r="BW96" i="1" s="1"/>
  <c r="BX15" i="1"/>
  <c r="BX19" i="1" s="1"/>
  <c r="BO86" i="3" s="1"/>
  <c r="JD19" i="1"/>
  <c r="JF14" i="1"/>
  <c r="JE17" i="1"/>
  <c r="BY17" i="1" s="1"/>
  <c r="JE18" i="1"/>
  <c r="BY18" i="1" s="1"/>
  <c r="JE16" i="1"/>
  <c r="BY16" i="1" s="1"/>
  <c r="JE15" i="1"/>
  <c r="JF42" i="1" l="1"/>
  <c r="BZ42" i="1" s="1"/>
  <c r="BZ86" i="1"/>
  <c r="BZ87" i="1"/>
  <c r="BZ84" i="1"/>
  <c r="BZ85" i="1"/>
  <c r="BZ83" i="1"/>
  <c r="BW104" i="1"/>
  <c r="BN93" i="3"/>
  <c r="BV85" i="3"/>
  <c r="JK4" i="1"/>
  <c r="BZ80" i="1"/>
  <c r="BZ82" i="1"/>
  <c r="BZ79" i="1"/>
  <c r="BZ81" i="1"/>
  <c r="JF33" i="1"/>
  <c r="BZ33" i="1" s="1"/>
  <c r="JF25" i="1"/>
  <c r="BZ25" i="1" s="1"/>
  <c r="JF32" i="1"/>
  <c r="BZ32" i="1" s="1"/>
  <c r="JF24" i="1"/>
  <c r="BZ24" i="1" s="1"/>
  <c r="JE101" i="1"/>
  <c r="BZ2" i="1"/>
  <c r="JF2" i="1" s="1"/>
  <c r="BV98" i="1"/>
  <c r="JC65" i="1"/>
  <c r="BW97" i="1"/>
  <c r="BX91" i="1"/>
  <c r="BX92" i="1" s="1"/>
  <c r="BY90" i="1"/>
  <c r="JF41" i="1"/>
  <c r="BZ41" i="1" s="1"/>
  <c r="JF40" i="1"/>
  <c r="BZ40" i="1" s="1"/>
  <c r="JC47" i="1"/>
  <c r="JE27" i="1"/>
  <c r="BY22" i="1"/>
  <c r="BY27" i="1" s="1"/>
  <c r="BP87" i="3" s="1"/>
  <c r="CA14" i="1"/>
  <c r="CA89" i="1" s="1"/>
  <c r="BX46" i="1"/>
  <c r="BX96" i="1" s="1"/>
  <c r="JF31" i="1"/>
  <c r="BZ31" i="1" s="1"/>
  <c r="JF30" i="1"/>
  <c r="JF26" i="1"/>
  <c r="BZ26" i="1" s="1"/>
  <c r="JF23" i="1"/>
  <c r="BZ23" i="1" s="1"/>
  <c r="JF22" i="1"/>
  <c r="JF34" i="1"/>
  <c r="BZ34" i="1" s="1"/>
  <c r="JF38" i="1"/>
  <c r="JF43" i="1"/>
  <c r="BZ43" i="1" s="1"/>
  <c r="JF39" i="1"/>
  <c r="BZ39" i="1" s="1"/>
  <c r="BY38" i="1"/>
  <c r="BY44" i="1" s="1"/>
  <c r="BP89" i="3" s="1"/>
  <c r="JE44" i="1"/>
  <c r="BY30" i="1"/>
  <c r="BY35" i="1" s="1"/>
  <c r="BP88" i="3" s="1"/>
  <c r="JE35" i="1"/>
  <c r="CF4" i="1"/>
  <c r="CE3" i="1"/>
  <c r="JK3" i="1" s="1"/>
  <c r="JG14" i="1"/>
  <c r="JF17" i="1"/>
  <c r="BZ17" i="1" s="1"/>
  <c r="JF16" i="1"/>
  <c r="BZ16" i="1" s="1"/>
  <c r="JF18" i="1"/>
  <c r="BZ18" i="1" s="1"/>
  <c r="JF15" i="1"/>
  <c r="JE19" i="1"/>
  <c r="BY15" i="1"/>
  <c r="BY19" i="1" s="1"/>
  <c r="BP86" i="3" s="1"/>
  <c r="JG42" i="1" l="1"/>
  <c r="CA86" i="1"/>
  <c r="CA87" i="1"/>
  <c r="CA84" i="1"/>
  <c r="CA85" i="1"/>
  <c r="CA83" i="1"/>
  <c r="BX104" i="1"/>
  <c r="BO93" i="3"/>
  <c r="BW85" i="3"/>
  <c r="JL4" i="1"/>
  <c r="CA79" i="1"/>
  <c r="CA81" i="1"/>
  <c r="CA80" i="1"/>
  <c r="CA82" i="1"/>
  <c r="CA42" i="1"/>
  <c r="JG25" i="1"/>
  <c r="CA25" i="1" s="1"/>
  <c r="JG32" i="1"/>
  <c r="CA32" i="1" s="1"/>
  <c r="JG24" i="1"/>
  <c r="CA24" i="1" s="1"/>
  <c r="JG33" i="1"/>
  <c r="CA33" i="1" s="1"/>
  <c r="CA2" i="1"/>
  <c r="JG2" i="1" s="1"/>
  <c r="JF101" i="1"/>
  <c r="BW98" i="1"/>
  <c r="JD65" i="1"/>
  <c r="BX97" i="1"/>
  <c r="BY91" i="1"/>
  <c r="BY92" i="1" s="1"/>
  <c r="BZ90" i="1"/>
  <c r="JG41" i="1"/>
  <c r="CA41" i="1" s="1"/>
  <c r="JG40" i="1"/>
  <c r="CA40" i="1" s="1"/>
  <c r="JD47" i="1"/>
  <c r="JF35" i="1"/>
  <c r="BZ30" i="1"/>
  <c r="BZ35" i="1" s="1"/>
  <c r="BQ88" i="3" s="1"/>
  <c r="CG4" i="1"/>
  <c r="CF3" i="1"/>
  <c r="JL3" i="1" s="1"/>
  <c r="JF44" i="1"/>
  <c r="BZ38" i="1"/>
  <c r="BZ44" i="1" s="1"/>
  <c r="BQ89" i="3" s="1"/>
  <c r="JF27" i="1"/>
  <c r="BZ22" i="1"/>
  <c r="BZ27" i="1" s="1"/>
  <c r="BQ87" i="3" s="1"/>
  <c r="BY46" i="1"/>
  <c r="BY96" i="1" s="1"/>
  <c r="CB14" i="1"/>
  <c r="CB89" i="1" s="1"/>
  <c r="JG23" i="1"/>
  <c r="CA23" i="1" s="1"/>
  <c r="JG22" i="1"/>
  <c r="JG31" i="1"/>
  <c r="CA31" i="1" s="1"/>
  <c r="JG30" i="1"/>
  <c r="JG26" i="1"/>
  <c r="CA26" i="1" s="1"/>
  <c r="JG43" i="1"/>
  <c r="CA43" i="1" s="1"/>
  <c r="JG34" i="1"/>
  <c r="CA34" i="1" s="1"/>
  <c r="JG39" i="1"/>
  <c r="CA39" i="1" s="1"/>
  <c r="JG38" i="1"/>
  <c r="JF19" i="1"/>
  <c r="BZ15" i="1"/>
  <c r="BZ19" i="1" s="1"/>
  <c r="BQ86" i="3" s="1"/>
  <c r="JH14" i="1"/>
  <c r="JG18" i="1"/>
  <c r="CA18" i="1" s="1"/>
  <c r="JG17" i="1"/>
  <c r="CA17" i="1" s="1"/>
  <c r="JG16" i="1"/>
  <c r="CA16" i="1" s="1"/>
  <c r="JG15" i="1"/>
  <c r="JH42" i="1" l="1"/>
  <c r="CB42" i="1" s="1"/>
  <c r="CB86" i="1"/>
  <c r="CB87" i="1"/>
  <c r="CB84" i="1"/>
  <c r="CB85" i="1"/>
  <c r="CB83" i="1"/>
  <c r="BY104" i="1"/>
  <c r="BP93" i="3"/>
  <c r="BX85" i="3"/>
  <c r="JM4" i="1"/>
  <c r="CB79" i="1"/>
  <c r="CB80" i="1"/>
  <c r="CB81" i="1"/>
  <c r="CB82" i="1"/>
  <c r="JH32" i="1"/>
  <c r="CB32" i="1" s="1"/>
  <c r="JH24" i="1"/>
  <c r="CB24" i="1" s="1"/>
  <c r="JH33" i="1"/>
  <c r="CB33" i="1" s="1"/>
  <c r="JH25" i="1"/>
  <c r="CB25" i="1" s="1"/>
  <c r="JG101" i="1"/>
  <c r="CB2" i="1"/>
  <c r="JH2" i="1" s="1"/>
  <c r="BX98" i="1"/>
  <c r="JE65" i="1"/>
  <c r="BY97" i="1"/>
  <c r="BY98" i="1" s="1"/>
  <c r="BZ91" i="1"/>
  <c r="BZ92" i="1" s="1"/>
  <c r="CA90" i="1"/>
  <c r="JH40" i="1"/>
  <c r="CB40" i="1" s="1"/>
  <c r="JH41" i="1"/>
  <c r="CB41" i="1" s="1"/>
  <c r="JE47" i="1"/>
  <c r="BZ46" i="1"/>
  <c r="BZ96" i="1" s="1"/>
  <c r="JG35" i="1"/>
  <c r="CA30" i="1"/>
  <c r="CA35" i="1" s="1"/>
  <c r="BR88" i="3" s="1"/>
  <c r="CC14" i="1"/>
  <c r="CC89" i="1" s="1"/>
  <c r="CH4" i="1"/>
  <c r="CG3" i="1"/>
  <c r="JM3" i="1" s="1"/>
  <c r="JH34" i="1"/>
  <c r="CB34" i="1" s="1"/>
  <c r="JH30" i="1"/>
  <c r="JH22" i="1"/>
  <c r="JH23" i="1"/>
  <c r="CB23" i="1" s="1"/>
  <c r="JH38" i="1"/>
  <c r="JH31" i="1"/>
  <c r="CB31" i="1" s="1"/>
  <c r="JH26" i="1"/>
  <c r="CB26" i="1" s="1"/>
  <c r="JH39" i="1"/>
  <c r="CB39" i="1" s="1"/>
  <c r="JH43" i="1"/>
  <c r="CB43" i="1" s="1"/>
  <c r="JG44" i="1"/>
  <c r="CA38" i="1"/>
  <c r="CA44" i="1" s="1"/>
  <c r="BR89" i="3" s="1"/>
  <c r="CA22" i="1"/>
  <c r="CA27" i="1" s="1"/>
  <c r="BR87" i="3" s="1"/>
  <c r="JG27" i="1"/>
  <c r="JI14" i="1"/>
  <c r="JH18" i="1"/>
  <c r="CB18" i="1" s="1"/>
  <c r="JH16" i="1"/>
  <c r="CB16" i="1" s="1"/>
  <c r="JH17" i="1"/>
  <c r="CB17" i="1" s="1"/>
  <c r="JH15" i="1"/>
  <c r="JG19" i="1"/>
  <c r="CA15" i="1"/>
  <c r="CA19" i="1" s="1"/>
  <c r="BR86" i="3" s="1"/>
  <c r="JI42" i="1" l="1"/>
  <c r="CC42" i="1" s="1"/>
  <c r="CC86" i="1"/>
  <c r="CC87" i="1"/>
  <c r="CC84" i="1"/>
  <c r="CC85" i="1"/>
  <c r="CC83" i="1"/>
  <c r="BZ104" i="1"/>
  <c r="BQ93" i="3"/>
  <c r="BY85" i="3"/>
  <c r="JN4" i="1"/>
  <c r="CC79" i="1"/>
  <c r="CC81" i="1"/>
  <c r="CC80" i="1"/>
  <c r="CC82" i="1"/>
  <c r="JI25" i="1"/>
  <c r="CC25" i="1" s="1"/>
  <c r="JI24" i="1"/>
  <c r="CC24" i="1" s="1"/>
  <c r="JI33" i="1"/>
  <c r="CC33" i="1" s="1"/>
  <c r="JI32" i="1"/>
  <c r="CC32" i="1" s="1"/>
  <c r="JH101" i="1"/>
  <c r="CC2" i="1"/>
  <c r="JI2" i="1" s="1"/>
  <c r="JF65" i="1"/>
  <c r="BZ97" i="1"/>
  <c r="BZ98" i="1" s="1"/>
  <c r="CA91" i="1"/>
  <c r="CA92" i="1" s="1"/>
  <c r="CB90" i="1"/>
  <c r="JI40" i="1"/>
  <c r="CC40" i="1" s="1"/>
  <c r="JI41" i="1"/>
  <c r="CC41" i="1" s="1"/>
  <c r="JF47" i="1"/>
  <c r="CA46" i="1"/>
  <c r="CA96" i="1" s="1"/>
  <c r="CI4" i="1"/>
  <c r="CH3" i="1"/>
  <c r="JN3" i="1" s="1"/>
  <c r="CB38" i="1"/>
  <c r="CB44" i="1" s="1"/>
  <c r="BS89" i="3" s="1"/>
  <c r="JH44" i="1"/>
  <c r="JH27" i="1"/>
  <c r="CB22" i="1"/>
  <c r="CB27" i="1" s="1"/>
  <c r="BS87" i="3" s="1"/>
  <c r="CD14" i="1"/>
  <c r="CD89" i="1" s="1"/>
  <c r="JH35" i="1"/>
  <c r="CB30" i="1"/>
  <c r="CB35" i="1" s="1"/>
  <c r="BS88" i="3" s="1"/>
  <c r="JI23" i="1"/>
  <c r="CC23" i="1" s="1"/>
  <c r="JI26" i="1"/>
  <c r="CC26" i="1" s="1"/>
  <c r="JI31" i="1"/>
  <c r="CC31" i="1" s="1"/>
  <c r="JI30" i="1"/>
  <c r="JI43" i="1"/>
  <c r="CC43" i="1" s="1"/>
  <c r="JI34" i="1"/>
  <c r="CC34" i="1" s="1"/>
  <c r="JI22" i="1"/>
  <c r="JI39" i="1"/>
  <c r="CC39" i="1" s="1"/>
  <c r="JI38" i="1"/>
  <c r="CB15" i="1"/>
  <c r="CB19" i="1" s="1"/>
  <c r="BS86" i="3" s="1"/>
  <c r="JH19" i="1"/>
  <c r="JJ14" i="1"/>
  <c r="JI18" i="1"/>
  <c r="CC18" i="1" s="1"/>
  <c r="JI15" i="1"/>
  <c r="JI17" i="1"/>
  <c r="CC17" i="1" s="1"/>
  <c r="JI16" i="1"/>
  <c r="CC16" i="1" s="1"/>
  <c r="JJ42" i="1" l="1"/>
  <c r="CD42" i="1" s="1"/>
  <c r="CD86" i="1"/>
  <c r="CD87" i="1"/>
  <c r="CD84" i="1"/>
  <c r="CD85" i="1"/>
  <c r="CD83" i="1"/>
  <c r="CA104" i="1"/>
  <c r="BR93" i="3"/>
  <c r="BZ85" i="3"/>
  <c r="JO4" i="1"/>
  <c r="CD79" i="1"/>
  <c r="CD81" i="1"/>
  <c r="CD82" i="1"/>
  <c r="CD80" i="1"/>
  <c r="JJ24" i="1"/>
  <c r="CD24" i="1" s="1"/>
  <c r="JJ25" i="1"/>
  <c r="CD25" i="1" s="1"/>
  <c r="JJ32" i="1"/>
  <c r="CD32" i="1" s="1"/>
  <c r="JJ33" i="1"/>
  <c r="CD33" i="1" s="1"/>
  <c r="JI101" i="1"/>
  <c r="CD2" i="1"/>
  <c r="JJ2" i="1" s="1"/>
  <c r="JG65" i="1"/>
  <c r="CA97" i="1"/>
  <c r="CA98" i="1" s="1"/>
  <c r="CB91" i="1"/>
  <c r="CB92" i="1" s="1"/>
  <c r="CC90" i="1"/>
  <c r="JJ41" i="1"/>
  <c r="CD41" i="1" s="1"/>
  <c r="JJ40" i="1"/>
  <c r="CD40" i="1" s="1"/>
  <c r="JG47" i="1"/>
  <c r="CE14" i="1"/>
  <c r="CE89" i="1" s="1"/>
  <c r="CB46" i="1"/>
  <c r="CB96" i="1" s="1"/>
  <c r="JJ22" i="1"/>
  <c r="JJ30" i="1"/>
  <c r="JJ34" i="1"/>
  <c r="CD34" i="1" s="1"/>
  <c r="JJ26" i="1"/>
  <c r="CD26" i="1" s="1"/>
  <c r="JJ38" i="1"/>
  <c r="JJ31" i="1"/>
  <c r="CD31" i="1" s="1"/>
  <c r="JJ43" i="1"/>
  <c r="CD43" i="1" s="1"/>
  <c r="JJ23" i="1"/>
  <c r="CD23" i="1" s="1"/>
  <c r="JJ39" i="1"/>
  <c r="CD39" i="1" s="1"/>
  <c r="CC30" i="1"/>
  <c r="CC35" i="1" s="1"/>
  <c r="BT88" i="3" s="1"/>
  <c r="JI35" i="1"/>
  <c r="JI44" i="1"/>
  <c r="CC38" i="1"/>
  <c r="CC44" i="1" s="1"/>
  <c r="BT89" i="3" s="1"/>
  <c r="CC22" i="1"/>
  <c r="CC27" i="1" s="1"/>
  <c r="BT87" i="3" s="1"/>
  <c r="JI27" i="1"/>
  <c r="CJ4" i="1"/>
  <c r="CI3" i="1"/>
  <c r="JO3" i="1" s="1"/>
  <c r="CC15" i="1"/>
  <c r="CC19" i="1" s="1"/>
  <c r="BT86" i="3" s="1"/>
  <c r="JI19" i="1"/>
  <c r="JK14" i="1"/>
  <c r="JJ15" i="1"/>
  <c r="JJ16" i="1"/>
  <c r="CD16" i="1" s="1"/>
  <c r="JJ18" i="1"/>
  <c r="CD18" i="1" s="1"/>
  <c r="JJ17" i="1"/>
  <c r="CD17" i="1" s="1"/>
  <c r="JK42" i="1" l="1"/>
  <c r="CE42" i="1" s="1"/>
  <c r="CE86" i="1"/>
  <c r="CE87" i="1"/>
  <c r="CE84" i="1"/>
  <c r="CE85" i="1"/>
  <c r="CE83" i="1"/>
  <c r="CB104" i="1"/>
  <c r="BS93" i="3"/>
  <c r="CA85" i="3"/>
  <c r="JP4" i="1"/>
  <c r="CE80" i="1"/>
  <c r="CE82" i="1"/>
  <c r="CE81" i="1"/>
  <c r="CE79" i="1"/>
  <c r="JK32" i="1"/>
  <c r="CE32" i="1" s="1"/>
  <c r="JK24" i="1"/>
  <c r="CE24" i="1" s="1"/>
  <c r="JK25" i="1"/>
  <c r="CE25" i="1" s="1"/>
  <c r="JK33" i="1"/>
  <c r="CE33" i="1" s="1"/>
  <c r="CE2" i="1"/>
  <c r="JK2" i="1" s="1"/>
  <c r="JJ101" i="1"/>
  <c r="JH65" i="1"/>
  <c r="CB97" i="1"/>
  <c r="CC91" i="1"/>
  <c r="CC92" i="1" s="1"/>
  <c r="CD90" i="1"/>
  <c r="JK41" i="1"/>
  <c r="CE41" i="1" s="1"/>
  <c r="JK40" i="1"/>
  <c r="CE40" i="1" s="1"/>
  <c r="JH47" i="1"/>
  <c r="JJ35" i="1"/>
  <c r="CD30" i="1"/>
  <c r="CD35" i="1" s="1"/>
  <c r="BU88" i="3" s="1"/>
  <c r="JJ27" i="1"/>
  <c r="CD22" i="1"/>
  <c r="CD27" i="1" s="1"/>
  <c r="BU87" i="3" s="1"/>
  <c r="CK4" i="1"/>
  <c r="CJ3" i="1"/>
  <c r="JP3" i="1" s="1"/>
  <c r="JK30" i="1"/>
  <c r="JK22" i="1"/>
  <c r="JK31" i="1"/>
  <c r="CE31" i="1" s="1"/>
  <c r="JK26" i="1"/>
  <c r="CE26" i="1" s="1"/>
  <c r="JK43" i="1"/>
  <c r="CE43" i="1" s="1"/>
  <c r="JK34" i="1"/>
  <c r="CE34" i="1" s="1"/>
  <c r="JK23" i="1"/>
  <c r="CE23" i="1" s="1"/>
  <c r="JK38" i="1"/>
  <c r="JK39" i="1"/>
  <c r="CE39" i="1" s="1"/>
  <c r="CC46" i="1"/>
  <c r="CC96" i="1" s="1"/>
  <c r="JJ44" i="1"/>
  <c r="CD38" i="1"/>
  <c r="CD44" i="1" s="1"/>
  <c r="BU89" i="3" s="1"/>
  <c r="CF14" i="1"/>
  <c r="CF89" i="1" s="1"/>
  <c r="CD15" i="1"/>
  <c r="CD19" i="1" s="1"/>
  <c r="BU86" i="3" s="1"/>
  <c r="JJ19" i="1"/>
  <c r="JL14" i="1"/>
  <c r="JK17" i="1"/>
  <c r="CE17" i="1" s="1"/>
  <c r="JK18" i="1"/>
  <c r="CE18" i="1" s="1"/>
  <c r="JK15" i="1"/>
  <c r="JK16" i="1"/>
  <c r="CE16" i="1" s="1"/>
  <c r="JL42" i="1" l="1"/>
  <c r="CF42" i="1" s="1"/>
  <c r="CF86" i="1"/>
  <c r="CF87" i="1"/>
  <c r="CF84" i="1"/>
  <c r="CF85" i="1"/>
  <c r="CF83" i="1"/>
  <c r="CC104" i="1"/>
  <c r="BT93" i="3"/>
  <c r="CB85" i="3"/>
  <c r="JQ4" i="1"/>
  <c r="CF80" i="1"/>
  <c r="CF81" i="1"/>
  <c r="CF79" i="1"/>
  <c r="CF82" i="1"/>
  <c r="JL25" i="1"/>
  <c r="CF25" i="1" s="1"/>
  <c r="JL24" i="1"/>
  <c r="CF24" i="1" s="1"/>
  <c r="JL32" i="1"/>
  <c r="CF32" i="1" s="1"/>
  <c r="JL33" i="1"/>
  <c r="CF33" i="1" s="1"/>
  <c r="JK101" i="1"/>
  <c r="CF2" i="1"/>
  <c r="JL2" i="1" s="1"/>
  <c r="CB98" i="1"/>
  <c r="JI65" i="1"/>
  <c r="CC97" i="1"/>
  <c r="CD91" i="1"/>
  <c r="CD92" i="1" s="1"/>
  <c r="CE90" i="1"/>
  <c r="JL41" i="1"/>
  <c r="CF41" i="1" s="1"/>
  <c r="JL40" i="1"/>
  <c r="CF40" i="1" s="1"/>
  <c r="JI47" i="1"/>
  <c r="CG14" i="1"/>
  <c r="CG89" i="1" s="1"/>
  <c r="JK35" i="1"/>
  <c r="CE30" i="1"/>
  <c r="CE35" i="1" s="1"/>
  <c r="BV88" i="3" s="1"/>
  <c r="CL4" i="1"/>
  <c r="CK3" i="1"/>
  <c r="JQ3" i="1" s="1"/>
  <c r="CE38" i="1"/>
  <c r="CE44" i="1" s="1"/>
  <c r="BV89" i="3" s="1"/>
  <c r="JK44" i="1"/>
  <c r="CD46" i="1"/>
  <c r="CD96" i="1" s="1"/>
  <c r="JL23" i="1"/>
  <c r="CF23" i="1" s="1"/>
  <c r="JL34" i="1"/>
  <c r="CF34" i="1" s="1"/>
  <c r="JL43" i="1"/>
  <c r="CF43" i="1" s="1"/>
  <c r="JL31" i="1"/>
  <c r="CF31" i="1" s="1"/>
  <c r="JL26" i="1"/>
  <c r="CF26" i="1" s="1"/>
  <c r="JL22" i="1"/>
  <c r="JL30" i="1"/>
  <c r="JL38" i="1"/>
  <c r="JL39" i="1"/>
  <c r="CF39" i="1" s="1"/>
  <c r="CE22" i="1"/>
  <c r="CE27" i="1" s="1"/>
  <c r="BV87" i="3" s="1"/>
  <c r="JK27" i="1"/>
  <c r="JM14" i="1"/>
  <c r="JL16" i="1"/>
  <c r="CF16" i="1" s="1"/>
  <c r="JL15" i="1"/>
  <c r="JL18" i="1"/>
  <c r="CF18" i="1" s="1"/>
  <c r="JL17" i="1"/>
  <c r="CF17" i="1" s="1"/>
  <c r="CE15" i="1"/>
  <c r="CE19" i="1" s="1"/>
  <c r="BV86" i="3" s="1"/>
  <c r="JK19" i="1"/>
  <c r="JM42" i="1" l="1"/>
  <c r="CG42" i="1" s="1"/>
  <c r="CG86" i="1"/>
  <c r="CG87" i="1"/>
  <c r="CG84" i="1"/>
  <c r="CG85" i="1"/>
  <c r="CG83" i="1"/>
  <c r="CD104" i="1"/>
  <c r="BU93" i="3"/>
  <c r="CC85" i="3"/>
  <c r="JR4" i="1"/>
  <c r="CG80" i="1"/>
  <c r="CG82" i="1"/>
  <c r="CG79" i="1"/>
  <c r="CG81" i="1"/>
  <c r="JM25" i="1"/>
  <c r="CG25" i="1" s="1"/>
  <c r="JM32" i="1"/>
  <c r="CG32" i="1" s="1"/>
  <c r="JM24" i="1"/>
  <c r="CG24" i="1" s="1"/>
  <c r="JM33" i="1"/>
  <c r="CG33" i="1" s="1"/>
  <c r="CG2" i="1"/>
  <c r="JM2" i="1" s="1"/>
  <c r="JL101" i="1"/>
  <c r="CC98" i="1"/>
  <c r="JJ65" i="1"/>
  <c r="CD97" i="1"/>
  <c r="CD98" i="1" s="1"/>
  <c r="CE91" i="1"/>
  <c r="CE92" i="1" s="1"/>
  <c r="CF90" i="1"/>
  <c r="JM40" i="1"/>
  <c r="CG40" i="1" s="1"/>
  <c r="JM41" i="1"/>
  <c r="CG41" i="1" s="1"/>
  <c r="JJ47" i="1"/>
  <c r="CM4" i="1"/>
  <c r="CL3" i="1"/>
  <c r="JR3" i="1" s="1"/>
  <c r="CF38" i="1"/>
  <c r="CF44" i="1" s="1"/>
  <c r="BW89" i="3" s="1"/>
  <c r="JL44" i="1"/>
  <c r="JL35" i="1"/>
  <c r="CF30" i="1"/>
  <c r="CF35" i="1" s="1"/>
  <c r="BW88" i="3" s="1"/>
  <c r="CF22" i="1"/>
  <c r="CF27" i="1" s="1"/>
  <c r="BW87" i="3" s="1"/>
  <c r="JL27" i="1"/>
  <c r="JM22" i="1"/>
  <c r="JM26" i="1"/>
  <c r="CG26" i="1" s="1"/>
  <c r="JM30" i="1"/>
  <c r="JM31" i="1"/>
  <c r="CG31" i="1" s="1"/>
  <c r="JM43" i="1"/>
  <c r="CG43" i="1" s="1"/>
  <c r="JM34" i="1"/>
  <c r="CG34" i="1" s="1"/>
  <c r="JM38" i="1"/>
  <c r="JM39" i="1"/>
  <c r="CG39" i="1" s="1"/>
  <c r="JM23" i="1"/>
  <c r="CG23" i="1" s="1"/>
  <c r="CH14" i="1"/>
  <c r="CH89" i="1" s="1"/>
  <c r="CE46" i="1"/>
  <c r="CE96" i="1" s="1"/>
  <c r="CF15" i="1"/>
  <c r="CF19" i="1" s="1"/>
  <c r="BW86" i="3" s="1"/>
  <c r="JL19" i="1"/>
  <c r="JN14" i="1"/>
  <c r="JM17" i="1"/>
  <c r="CG17" i="1" s="1"/>
  <c r="JM16" i="1"/>
  <c r="CG16" i="1" s="1"/>
  <c r="JM15" i="1"/>
  <c r="JM18" i="1"/>
  <c r="CG18" i="1" s="1"/>
  <c r="JN42" i="1" l="1"/>
  <c r="CH86" i="1"/>
  <c r="CH87" i="1"/>
  <c r="CH84" i="1"/>
  <c r="CH85" i="1"/>
  <c r="CH83" i="1"/>
  <c r="CE104" i="1"/>
  <c r="BV93" i="3"/>
  <c r="CD85" i="3"/>
  <c r="JS4" i="1"/>
  <c r="CH80" i="1"/>
  <c r="CH82" i="1"/>
  <c r="CH81" i="1"/>
  <c r="CH79" i="1"/>
  <c r="CH42" i="1"/>
  <c r="JN24" i="1"/>
  <c r="CH24" i="1" s="1"/>
  <c r="JN25" i="1"/>
  <c r="CH25" i="1" s="1"/>
  <c r="JN32" i="1"/>
  <c r="CH32" i="1" s="1"/>
  <c r="JN33" i="1"/>
  <c r="CH33" i="1" s="1"/>
  <c r="CH2" i="1"/>
  <c r="JN2" i="1" s="1"/>
  <c r="JM101" i="1"/>
  <c r="JK65" i="1"/>
  <c r="CE97" i="1"/>
  <c r="CF91" i="1"/>
  <c r="CF92" i="1" s="1"/>
  <c r="CG90" i="1"/>
  <c r="JN40" i="1"/>
  <c r="CH40" i="1" s="1"/>
  <c r="JN41" i="1"/>
  <c r="CH41" i="1" s="1"/>
  <c r="JK47" i="1"/>
  <c r="CG30" i="1"/>
  <c r="CG35" i="1" s="1"/>
  <c r="BX88" i="3" s="1"/>
  <c r="JM35" i="1"/>
  <c r="JN22" i="1"/>
  <c r="JN23" i="1"/>
  <c r="CH23" i="1" s="1"/>
  <c r="JN30" i="1"/>
  <c r="JN34" i="1"/>
  <c r="CH34" i="1" s="1"/>
  <c r="JN31" i="1"/>
  <c r="CH31" i="1" s="1"/>
  <c r="JN43" i="1"/>
  <c r="CH43" i="1" s="1"/>
  <c r="JN26" i="1"/>
  <c r="CH26" i="1" s="1"/>
  <c r="JN39" i="1"/>
  <c r="CH39" i="1" s="1"/>
  <c r="JN38" i="1"/>
  <c r="CF46" i="1"/>
  <c r="CF96" i="1" s="1"/>
  <c r="CI14" i="1"/>
  <c r="CI89" i="1" s="1"/>
  <c r="JM27" i="1"/>
  <c r="CG22" i="1"/>
  <c r="CG27" i="1" s="1"/>
  <c r="BX87" i="3" s="1"/>
  <c r="CG38" i="1"/>
  <c r="CG44" i="1" s="1"/>
  <c r="BX89" i="3" s="1"/>
  <c r="JM44" i="1"/>
  <c r="CN4" i="1"/>
  <c r="CM3" i="1"/>
  <c r="JS3" i="1" s="1"/>
  <c r="CG15" i="1"/>
  <c r="CG19" i="1" s="1"/>
  <c r="BX86" i="3" s="1"/>
  <c r="JM19" i="1"/>
  <c r="JO14" i="1"/>
  <c r="JN16" i="1"/>
  <c r="CH16" i="1" s="1"/>
  <c r="JN18" i="1"/>
  <c r="CH18" i="1" s="1"/>
  <c r="JN15" i="1"/>
  <c r="JN17" i="1"/>
  <c r="CH17" i="1" s="1"/>
  <c r="JO42" i="1" l="1"/>
  <c r="CI86" i="1"/>
  <c r="CI87" i="1"/>
  <c r="CI84" i="1"/>
  <c r="CI85" i="1"/>
  <c r="CI83" i="1"/>
  <c r="CF104" i="1"/>
  <c r="BW93" i="3"/>
  <c r="CE85" i="3"/>
  <c r="JT4" i="1"/>
  <c r="CI79" i="1"/>
  <c r="CI81" i="1"/>
  <c r="CI82" i="1"/>
  <c r="CI80" i="1"/>
  <c r="CI42" i="1"/>
  <c r="JO25" i="1"/>
  <c r="CI25" i="1" s="1"/>
  <c r="JO32" i="1"/>
  <c r="CI32" i="1" s="1"/>
  <c r="JO24" i="1"/>
  <c r="CI24" i="1" s="1"/>
  <c r="JO33" i="1"/>
  <c r="CI33" i="1" s="1"/>
  <c r="CI2" i="1"/>
  <c r="JO2" i="1" s="1"/>
  <c r="JN101" i="1"/>
  <c r="CE98" i="1"/>
  <c r="JL65" i="1"/>
  <c r="CF97" i="1"/>
  <c r="CG91" i="1"/>
  <c r="CG92" i="1" s="1"/>
  <c r="CH90" i="1"/>
  <c r="JO41" i="1"/>
  <c r="CI41" i="1" s="1"/>
  <c r="JO40" i="1"/>
  <c r="CI40" i="1" s="1"/>
  <c r="JL47" i="1"/>
  <c r="CG46" i="1"/>
  <c r="CG96" i="1" s="1"/>
  <c r="CH38" i="1"/>
  <c r="CH44" i="1" s="1"/>
  <c r="BY89" i="3" s="1"/>
  <c r="JN44" i="1"/>
  <c r="JN35" i="1"/>
  <c r="CH30" i="1"/>
  <c r="CH35" i="1" s="1"/>
  <c r="BY88" i="3" s="1"/>
  <c r="JO26" i="1"/>
  <c r="CI26" i="1" s="1"/>
  <c r="JO23" i="1"/>
  <c r="CI23" i="1" s="1"/>
  <c r="JO31" i="1"/>
  <c r="CI31" i="1" s="1"/>
  <c r="JO22" i="1"/>
  <c r="JO30" i="1"/>
  <c r="JO34" i="1"/>
  <c r="CI34" i="1" s="1"/>
  <c r="JO39" i="1"/>
  <c r="CI39" i="1" s="1"/>
  <c r="JO43" i="1"/>
  <c r="CI43" i="1" s="1"/>
  <c r="JO38" i="1"/>
  <c r="JN27" i="1"/>
  <c r="CH22" i="1"/>
  <c r="CH27" i="1" s="1"/>
  <c r="BY87" i="3" s="1"/>
  <c r="CO4" i="1"/>
  <c r="CN3" i="1"/>
  <c r="JT3" i="1" s="1"/>
  <c r="CJ14" i="1"/>
  <c r="CJ89" i="1" s="1"/>
  <c r="JP14" i="1"/>
  <c r="JO18" i="1"/>
  <c r="CI18" i="1" s="1"/>
  <c r="JO17" i="1"/>
  <c r="CI17" i="1" s="1"/>
  <c r="JO15" i="1"/>
  <c r="JO16" i="1"/>
  <c r="CI16" i="1" s="1"/>
  <c r="JN19" i="1"/>
  <c r="CH15" i="1"/>
  <c r="CH19" i="1" s="1"/>
  <c r="BY86" i="3" s="1"/>
  <c r="JP42" i="1" l="1"/>
  <c r="CJ86" i="1"/>
  <c r="CJ87" i="1"/>
  <c r="CJ84" i="1"/>
  <c r="CJ85" i="1"/>
  <c r="CJ83" i="1"/>
  <c r="CG104" i="1"/>
  <c r="BX93" i="3"/>
  <c r="CF85" i="3"/>
  <c r="JU4" i="1"/>
  <c r="CJ79" i="1"/>
  <c r="CJ80" i="1"/>
  <c r="CJ81" i="1"/>
  <c r="CJ82" i="1"/>
  <c r="CJ42" i="1"/>
  <c r="JP25" i="1"/>
  <c r="CJ25" i="1" s="1"/>
  <c r="JP32" i="1"/>
  <c r="CJ32" i="1" s="1"/>
  <c r="JP24" i="1"/>
  <c r="CJ24" i="1" s="1"/>
  <c r="JP33" i="1"/>
  <c r="CJ33" i="1" s="1"/>
  <c r="JO101" i="1"/>
  <c r="CJ2" i="1"/>
  <c r="JP2" i="1" s="1"/>
  <c r="CF98" i="1"/>
  <c r="JM65" i="1"/>
  <c r="CG97" i="1"/>
  <c r="CG98" i="1" s="1"/>
  <c r="CH91" i="1"/>
  <c r="CH92" i="1" s="1"/>
  <c r="CI90" i="1"/>
  <c r="JP40" i="1"/>
  <c r="CJ40" i="1" s="1"/>
  <c r="JP41" i="1"/>
  <c r="CJ41" i="1" s="1"/>
  <c r="JM47" i="1"/>
  <c r="CI22" i="1"/>
  <c r="CI27" i="1" s="1"/>
  <c r="BZ87" i="3" s="1"/>
  <c r="JO27" i="1"/>
  <c r="CP4" i="1"/>
  <c r="CO3" i="1"/>
  <c r="JU3" i="1" s="1"/>
  <c r="JO44" i="1"/>
  <c r="CI38" i="1"/>
  <c r="CI44" i="1" s="1"/>
  <c r="BZ89" i="3" s="1"/>
  <c r="CK14" i="1"/>
  <c r="CK89" i="1" s="1"/>
  <c r="JP26" i="1"/>
  <c r="CJ26" i="1" s="1"/>
  <c r="JP34" i="1"/>
  <c r="CJ34" i="1" s="1"/>
  <c r="JP31" i="1"/>
  <c r="CJ31" i="1" s="1"/>
  <c r="JP23" i="1"/>
  <c r="CJ23" i="1" s="1"/>
  <c r="JP39" i="1"/>
  <c r="CJ39" i="1" s="1"/>
  <c r="JP22" i="1"/>
  <c r="JP43" i="1"/>
  <c r="CJ43" i="1" s="1"/>
  <c r="JP30" i="1"/>
  <c r="JP38" i="1"/>
  <c r="JO35" i="1"/>
  <c r="CI30" i="1"/>
  <c r="CI35" i="1" s="1"/>
  <c r="BZ88" i="3" s="1"/>
  <c r="CH46" i="1"/>
  <c r="CH96" i="1" s="1"/>
  <c r="JO19" i="1"/>
  <c r="CI15" i="1"/>
  <c r="CI19" i="1" s="1"/>
  <c r="BZ86" i="3" s="1"/>
  <c r="JQ14" i="1"/>
  <c r="JP18" i="1"/>
  <c r="CJ18" i="1" s="1"/>
  <c r="JP17" i="1"/>
  <c r="CJ17" i="1" s="1"/>
  <c r="JP16" i="1"/>
  <c r="CJ16" i="1" s="1"/>
  <c r="JP15" i="1"/>
  <c r="JQ42" i="1" l="1"/>
  <c r="CK42" i="1" s="1"/>
  <c r="CK86" i="1"/>
  <c r="CK87" i="1"/>
  <c r="CK84" i="1"/>
  <c r="CK85" i="1"/>
  <c r="CK83" i="1"/>
  <c r="CH104" i="1"/>
  <c r="BY93" i="3"/>
  <c r="CG85" i="3"/>
  <c r="JV4" i="1"/>
  <c r="CK79" i="1"/>
  <c r="CK81" i="1"/>
  <c r="CK80" i="1"/>
  <c r="CK82" i="1"/>
  <c r="JQ33" i="1"/>
  <c r="CK33" i="1" s="1"/>
  <c r="JQ32" i="1"/>
  <c r="CK32" i="1" s="1"/>
  <c r="JQ24" i="1"/>
  <c r="CK24" i="1" s="1"/>
  <c r="JQ25" i="1"/>
  <c r="CK25" i="1" s="1"/>
  <c r="CK2" i="1"/>
  <c r="JQ2" i="1" s="1"/>
  <c r="JP101" i="1"/>
  <c r="JN65" i="1"/>
  <c r="CH97" i="1"/>
  <c r="CI91" i="1"/>
  <c r="CI92" i="1" s="1"/>
  <c r="CJ90" i="1"/>
  <c r="JQ40" i="1"/>
  <c r="CK40" i="1" s="1"/>
  <c r="JQ41" i="1"/>
  <c r="CK41" i="1" s="1"/>
  <c r="JN47" i="1"/>
  <c r="CJ38" i="1"/>
  <c r="CJ44" i="1" s="1"/>
  <c r="CA89" i="3" s="1"/>
  <c r="JP44" i="1"/>
  <c r="JP35" i="1"/>
  <c r="CJ30" i="1"/>
  <c r="CJ35" i="1" s="1"/>
  <c r="CA88" i="3" s="1"/>
  <c r="CQ4" i="1"/>
  <c r="CP3" i="1"/>
  <c r="JV3" i="1" s="1"/>
  <c r="CI46" i="1"/>
  <c r="CI96" i="1" s="1"/>
  <c r="CL14" i="1"/>
  <c r="CL89" i="1" s="1"/>
  <c r="JQ26" i="1"/>
  <c r="CK26" i="1" s="1"/>
  <c r="JQ23" i="1"/>
  <c r="CK23" i="1" s="1"/>
  <c r="JQ22" i="1"/>
  <c r="JQ30" i="1"/>
  <c r="JQ34" i="1"/>
  <c r="CK34" i="1" s="1"/>
  <c r="JQ43" i="1"/>
  <c r="CK43" i="1" s="1"/>
  <c r="JQ31" i="1"/>
  <c r="CK31" i="1" s="1"/>
  <c r="JQ38" i="1"/>
  <c r="JQ39" i="1"/>
  <c r="CK39" i="1" s="1"/>
  <c r="CJ22" i="1"/>
  <c r="CJ27" i="1" s="1"/>
  <c r="CA87" i="3" s="1"/>
  <c r="JP27" i="1"/>
  <c r="JR14" i="1"/>
  <c r="JQ18" i="1"/>
  <c r="CK18" i="1" s="1"/>
  <c r="JQ17" i="1"/>
  <c r="CK17" i="1" s="1"/>
  <c r="JQ15" i="1"/>
  <c r="JQ16" i="1"/>
  <c r="CK16" i="1" s="1"/>
  <c r="JP19" i="1"/>
  <c r="CJ15" i="1"/>
  <c r="CJ19" i="1" s="1"/>
  <c r="CA86" i="3" s="1"/>
  <c r="JR42" i="1" l="1"/>
  <c r="CL42" i="1" s="1"/>
  <c r="CL86" i="1"/>
  <c r="CL87" i="1"/>
  <c r="CL84" i="1"/>
  <c r="CL85" i="1"/>
  <c r="CL83" i="1"/>
  <c r="CI104" i="1"/>
  <c r="BZ93" i="3"/>
  <c r="CH85" i="3"/>
  <c r="JW4" i="1"/>
  <c r="CL79" i="1"/>
  <c r="CL81" i="1"/>
  <c r="CL80" i="1"/>
  <c r="CL82" i="1"/>
  <c r="JR32" i="1"/>
  <c r="CL32" i="1" s="1"/>
  <c r="JR24" i="1"/>
  <c r="CL24" i="1" s="1"/>
  <c r="JR25" i="1"/>
  <c r="CL25" i="1" s="1"/>
  <c r="JR33" i="1"/>
  <c r="CL33" i="1" s="1"/>
  <c r="JQ101" i="1"/>
  <c r="CL2" i="1"/>
  <c r="JR2" i="1" s="1"/>
  <c r="CH98" i="1"/>
  <c r="JO65" i="1"/>
  <c r="CI97" i="1"/>
  <c r="CJ91" i="1"/>
  <c r="CJ92" i="1" s="1"/>
  <c r="CK90" i="1"/>
  <c r="JR41" i="1"/>
  <c r="CL41" i="1" s="1"/>
  <c r="JR40" i="1"/>
  <c r="CL40" i="1" s="1"/>
  <c r="JO47" i="1"/>
  <c r="CK30" i="1"/>
  <c r="CK35" i="1" s="1"/>
  <c r="CB88" i="3" s="1"/>
  <c r="JQ35" i="1"/>
  <c r="JQ44" i="1"/>
  <c r="CK38" i="1"/>
  <c r="CK44" i="1" s="1"/>
  <c r="CB89" i="3" s="1"/>
  <c r="CK22" i="1"/>
  <c r="CK27" i="1" s="1"/>
  <c r="CB87" i="3" s="1"/>
  <c r="JQ27" i="1"/>
  <c r="CR4" i="1"/>
  <c r="CQ3" i="1"/>
  <c r="JW3" i="1" s="1"/>
  <c r="JR26" i="1"/>
  <c r="CL26" i="1" s="1"/>
  <c r="JR30" i="1"/>
  <c r="JR22" i="1"/>
  <c r="JR31" i="1"/>
  <c r="CL31" i="1" s="1"/>
  <c r="JR34" i="1"/>
  <c r="CL34" i="1" s="1"/>
  <c r="JR43" i="1"/>
  <c r="CL43" i="1" s="1"/>
  <c r="JR39" i="1"/>
  <c r="CL39" i="1" s="1"/>
  <c r="JR38" i="1"/>
  <c r="JR23" i="1"/>
  <c r="CL23" i="1" s="1"/>
  <c r="CM14" i="1"/>
  <c r="CM89" i="1" s="1"/>
  <c r="CJ46" i="1"/>
  <c r="CJ96" i="1" s="1"/>
  <c r="JQ19" i="1"/>
  <c r="CK15" i="1"/>
  <c r="CK19" i="1" s="1"/>
  <c r="CB86" i="3" s="1"/>
  <c r="JS14" i="1"/>
  <c r="JR18" i="1"/>
  <c r="CL18" i="1" s="1"/>
  <c r="JR17" i="1"/>
  <c r="CL17" i="1" s="1"/>
  <c r="JR15" i="1"/>
  <c r="JR16" i="1"/>
  <c r="CL16" i="1" s="1"/>
  <c r="JS42" i="1" l="1"/>
  <c r="CM42" i="1" s="1"/>
  <c r="CM86" i="1"/>
  <c r="CM87" i="1"/>
  <c r="CM84" i="1"/>
  <c r="CM85" i="1"/>
  <c r="CM83" i="1"/>
  <c r="CJ104" i="1"/>
  <c r="CA93" i="3"/>
  <c r="CI85" i="3"/>
  <c r="JX4" i="1"/>
  <c r="CM80" i="1"/>
  <c r="CM82" i="1"/>
  <c r="CM79" i="1"/>
  <c r="CM81" i="1"/>
  <c r="JS25" i="1"/>
  <c r="CM25" i="1" s="1"/>
  <c r="JS24" i="1"/>
  <c r="CM24" i="1" s="1"/>
  <c r="JS32" i="1"/>
  <c r="CM32" i="1" s="1"/>
  <c r="JS33" i="1"/>
  <c r="CM33" i="1" s="1"/>
  <c r="JR101" i="1"/>
  <c r="CM2" i="1"/>
  <c r="JS2" i="1" s="1"/>
  <c r="CI98" i="1"/>
  <c r="JP65" i="1"/>
  <c r="CJ97" i="1"/>
  <c r="CK91" i="1"/>
  <c r="CK92" i="1" s="1"/>
  <c r="CL90" i="1"/>
  <c r="JS41" i="1"/>
  <c r="CM41" i="1" s="1"/>
  <c r="JS40" i="1"/>
  <c r="CM40" i="1" s="1"/>
  <c r="JP47" i="1"/>
  <c r="CS4" i="1"/>
  <c r="CR3" i="1"/>
  <c r="JX3" i="1" s="1"/>
  <c r="JR27" i="1"/>
  <c r="CL22" i="1"/>
  <c r="CL27" i="1" s="1"/>
  <c r="CC87" i="3" s="1"/>
  <c r="CK46" i="1"/>
  <c r="CK96" i="1" s="1"/>
  <c r="CN14" i="1"/>
  <c r="CN89" i="1" s="1"/>
  <c r="JS31" i="1"/>
  <c r="CM31" i="1" s="1"/>
  <c r="JS30" i="1"/>
  <c r="JS26" i="1"/>
  <c r="CM26" i="1" s="1"/>
  <c r="JS34" i="1"/>
  <c r="CM34" i="1" s="1"/>
  <c r="JS43" i="1"/>
  <c r="CM43" i="1" s="1"/>
  <c r="JS39" i="1"/>
  <c r="CM39" i="1" s="1"/>
  <c r="JS23" i="1"/>
  <c r="CM23" i="1" s="1"/>
  <c r="JS22" i="1"/>
  <c r="JS38" i="1"/>
  <c r="JR44" i="1"/>
  <c r="CL38" i="1"/>
  <c r="CL44" i="1" s="1"/>
  <c r="CC89" i="3" s="1"/>
  <c r="CL30" i="1"/>
  <c r="CL35" i="1" s="1"/>
  <c r="CC88" i="3" s="1"/>
  <c r="JR35" i="1"/>
  <c r="JT14" i="1"/>
  <c r="JS17" i="1"/>
  <c r="CM17" i="1" s="1"/>
  <c r="JS18" i="1"/>
  <c r="CM18" i="1" s="1"/>
  <c r="JS16" i="1"/>
  <c r="CM16" i="1" s="1"/>
  <c r="JS15" i="1"/>
  <c r="CL15" i="1"/>
  <c r="CL19" i="1" s="1"/>
  <c r="CC86" i="3" s="1"/>
  <c r="JR19" i="1"/>
  <c r="JT42" i="1" l="1"/>
  <c r="CN42" i="1" s="1"/>
  <c r="CN86" i="1"/>
  <c r="CN87" i="1"/>
  <c r="CN84" i="1"/>
  <c r="CN85" i="1"/>
  <c r="CN83" i="1"/>
  <c r="CK104" i="1"/>
  <c r="CB93" i="3"/>
  <c r="CJ85" i="3"/>
  <c r="JY4" i="1"/>
  <c r="CN79" i="1"/>
  <c r="CN80" i="1"/>
  <c r="CN81" i="1"/>
  <c r="CN82" i="1"/>
  <c r="JT25" i="1"/>
  <c r="CN25" i="1" s="1"/>
  <c r="JT33" i="1"/>
  <c r="CN33" i="1" s="1"/>
  <c r="JT32" i="1"/>
  <c r="CN32" i="1" s="1"/>
  <c r="JT24" i="1"/>
  <c r="CN24" i="1" s="1"/>
  <c r="JS101" i="1"/>
  <c r="CN2" i="1"/>
  <c r="JT2" i="1" s="1"/>
  <c r="CJ98" i="1"/>
  <c r="JQ65" i="1"/>
  <c r="CK97" i="1"/>
  <c r="CL91" i="1"/>
  <c r="CL92" i="1" s="1"/>
  <c r="CM90" i="1"/>
  <c r="JT41" i="1"/>
  <c r="CN41" i="1" s="1"/>
  <c r="JT40" i="1"/>
  <c r="CN40" i="1" s="1"/>
  <c r="JQ47" i="1"/>
  <c r="CL46" i="1"/>
  <c r="CL96" i="1" s="1"/>
  <c r="JS44" i="1"/>
  <c r="CM38" i="1"/>
  <c r="CM44" i="1" s="1"/>
  <c r="CD89" i="3" s="1"/>
  <c r="JS27" i="1"/>
  <c r="CM22" i="1"/>
  <c r="CM27" i="1" s="1"/>
  <c r="CD87" i="3" s="1"/>
  <c r="CO14" i="1"/>
  <c r="CO89" i="1" s="1"/>
  <c r="JS35" i="1"/>
  <c r="CM30" i="1"/>
  <c r="CM35" i="1" s="1"/>
  <c r="CD88" i="3" s="1"/>
  <c r="JT22" i="1"/>
  <c r="JT26" i="1"/>
  <c r="CN26" i="1" s="1"/>
  <c r="JT30" i="1"/>
  <c r="JT34" i="1"/>
  <c r="CN34" i="1" s="1"/>
  <c r="JT43" i="1"/>
  <c r="CN43" i="1" s="1"/>
  <c r="JT31" i="1"/>
  <c r="CN31" i="1" s="1"/>
  <c r="JT23" i="1"/>
  <c r="CN23" i="1" s="1"/>
  <c r="JT38" i="1"/>
  <c r="JT39" i="1"/>
  <c r="CN39" i="1" s="1"/>
  <c r="CT4" i="1"/>
  <c r="CS3" i="1"/>
  <c r="JY3" i="1" s="1"/>
  <c r="CM15" i="1"/>
  <c r="CM19" i="1" s="1"/>
  <c r="CD86" i="3" s="1"/>
  <c r="JS19" i="1"/>
  <c r="JU14" i="1"/>
  <c r="JT16" i="1"/>
  <c r="CN16" i="1" s="1"/>
  <c r="JT15" i="1"/>
  <c r="JT18" i="1"/>
  <c r="CN18" i="1" s="1"/>
  <c r="JT17" i="1"/>
  <c r="CN17" i="1" s="1"/>
  <c r="JU42" i="1" l="1"/>
  <c r="CO42" i="1" s="1"/>
  <c r="CO86" i="1"/>
  <c r="CO87" i="1"/>
  <c r="CO84" i="1"/>
  <c r="CO85" i="1"/>
  <c r="CO83" i="1"/>
  <c r="CL104" i="1"/>
  <c r="CC93" i="3"/>
  <c r="CK85" i="3"/>
  <c r="JZ4" i="1"/>
  <c r="CO80" i="1"/>
  <c r="CO82" i="1"/>
  <c r="CO79" i="1"/>
  <c r="CO81" i="1"/>
  <c r="JU25" i="1"/>
  <c r="CO25" i="1" s="1"/>
  <c r="JU24" i="1"/>
  <c r="CO24" i="1" s="1"/>
  <c r="JU32" i="1"/>
  <c r="CO32" i="1" s="1"/>
  <c r="JU33" i="1"/>
  <c r="CO33" i="1" s="1"/>
  <c r="CO2" i="1"/>
  <c r="JU2" i="1" s="1"/>
  <c r="JT101" i="1"/>
  <c r="CK98" i="1"/>
  <c r="JR65" i="1"/>
  <c r="CL97" i="1"/>
  <c r="CL98" i="1" s="1"/>
  <c r="CM91" i="1"/>
  <c r="CM92" i="1" s="1"/>
  <c r="CN90" i="1"/>
  <c r="JU40" i="1"/>
  <c r="CO40" i="1" s="1"/>
  <c r="JU41" i="1"/>
  <c r="CO41" i="1" s="1"/>
  <c r="JR47" i="1"/>
  <c r="JT35" i="1"/>
  <c r="CN30" i="1"/>
  <c r="CN35" i="1" s="1"/>
  <c r="CE88" i="3" s="1"/>
  <c r="CP14" i="1"/>
  <c r="CP89" i="1" s="1"/>
  <c r="CU4" i="1"/>
  <c r="CT3" i="1"/>
  <c r="JZ3" i="1" s="1"/>
  <c r="CN38" i="1"/>
  <c r="CN44" i="1" s="1"/>
  <c r="CE89" i="3" s="1"/>
  <c r="JT44" i="1"/>
  <c r="CN22" i="1"/>
  <c r="CN27" i="1" s="1"/>
  <c r="CE87" i="3" s="1"/>
  <c r="JT27" i="1"/>
  <c r="CM46" i="1"/>
  <c r="CM96" i="1" s="1"/>
  <c r="JU31" i="1"/>
  <c r="CO31" i="1" s="1"/>
  <c r="JU22" i="1"/>
  <c r="JU34" i="1"/>
  <c r="CO34" i="1" s="1"/>
  <c r="JU30" i="1"/>
  <c r="JU26" i="1"/>
  <c r="CO26" i="1" s="1"/>
  <c r="JU43" i="1"/>
  <c r="CO43" i="1" s="1"/>
  <c r="JU23" i="1"/>
  <c r="CO23" i="1" s="1"/>
  <c r="JU39" i="1"/>
  <c r="CO39" i="1" s="1"/>
  <c r="JU38" i="1"/>
  <c r="CN15" i="1"/>
  <c r="CN19" i="1" s="1"/>
  <c r="CE86" i="3" s="1"/>
  <c r="JT19" i="1"/>
  <c r="JV14" i="1"/>
  <c r="JU17" i="1"/>
  <c r="CO17" i="1" s="1"/>
  <c r="JU16" i="1"/>
  <c r="CO16" i="1" s="1"/>
  <c r="JU18" i="1"/>
  <c r="CO18" i="1" s="1"/>
  <c r="JU15" i="1"/>
  <c r="JV42" i="1" l="1"/>
  <c r="CP42" i="1" s="1"/>
  <c r="CP86" i="1"/>
  <c r="CP87" i="1"/>
  <c r="CP84" i="1"/>
  <c r="CP85" i="1"/>
  <c r="CP83" i="1"/>
  <c r="CM104" i="1"/>
  <c r="CD93" i="3"/>
  <c r="CL85" i="3"/>
  <c r="KA4" i="1"/>
  <c r="CP80" i="1"/>
  <c r="CP82" i="1"/>
  <c r="CP79" i="1"/>
  <c r="CP81" i="1"/>
  <c r="JV33" i="1"/>
  <c r="CP33" i="1" s="1"/>
  <c r="JV32" i="1"/>
  <c r="CP32" i="1" s="1"/>
  <c r="JV25" i="1"/>
  <c r="CP25" i="1" s="1"/>
  <c r="JV24" i="1"/>
  <c r="CP24" i="1" s="1"/>
  <c r="JU101" i="1"/>
  <c r="CP2" i="1"/>
  <c r="JV2" i="1" s="1"/>
  <c r="JS65" i="1"/>
  <c r="CM97" i="1"/>
  <c r="CN91" i="1"/>
  <c r="CN92" i="1" s="1"/>
  <c r="CO90" i="1"/>
  <c r="JV41" i="1"/>
  <c r="CP41" i="1" s="1"/>
  <c r="JV40" i="1"/>
  <c r="CP40" i="1" s="1"/>
  <c r="JS47" i="1"/>
  <c r="JU27" i="1"/>
  <c r="CO22" i="1"/>
  <c r="CO27" i="1" s="1"/>
  <c r="CF87" i="3" s="1"/>
  <c r="JV26" i="1"/>
  <c r="CP26" i="1" s="1"/>
  <c r="JV23" i="1"/>
  <c r="CP23" i="1" s="1"/>
  <c r="JV31" i="1"/>
  <c r="CP31" i="1" s="1"/>
  <c r="JV34" i="1"/>
  <c r="CP34" i="1" s="1"/>
  <c r="JV43" i="1"/>
  <c r="CP43" i="1" s="1"/>
  <c r="JV22" i="1"/>
  <c r="JV30" i="1"/>
  <c r="JV39" i="1"/>
  <c r="CP39" i="1" s="1"/>
  <c r="JV38" i="1"/>
  <c r="CQ14" i="1"/>
  <c r="CQ89" i="1" s="1"/>
  <c r="CV4" i="1"/>
  <c r="CU3" i="1"/>
  <c r="KA3" i="1" s="1"/>
  <c r="JU44" i="1"/>
  <c r="CO38" i="1"/>
  <c r="CO44" i="1" s="1"/>
  <c r="CF89" i="3" s="1"/>
  <c r="JU35" i="1"/>
  <c r="CO30" i="1"/>
  <c r="CO35" i="1" s="1"/>
  <c r="CF88" i="3" s="1"/>
  <c r="CN46" i="1"/>
  <c r="CN96" i="1" s="1"/>
  <c r="CO15" i="1"/>
  <c r="CO19" i="1" s="1"/>
  <c r="CF86" i="3" s="1"/>
  <c r="JU19" i="1"/>
  <c r="JW14" i="1"/>
  <c r="JV16" i="1"/>
  <c r="CP16" i="1" s="1"/>
  <c r="JV17" i="1"/>
  <c r="CP17" i="1" s="1"/>
  <c r="JV18" i="1"/>
  <c r="CP18" i="1" s="1"/>
  <c r="JV15" i="1"/>
  <c r="JW42" i="1" l="1"/>
  <c r="CQ42" i="1" s="1"/>
  <c r="CQ86" i="1"/>
  <c r="CQ87" i="1"/>
  <c r="CQ84" i="1"/>
  <c r="CQ85" i="1"/>
  <c r="CQ83" i="1"/>
  <c r="CN104" i="1"/>
  <c r="CE93" i="3"/>
  <c r="CM85" i="3"/>
  <c r="KB4" i="1"/>
  <c r="CQ79" i="1"/>
  <c r="CQ81" i="1"/>
  <c r="CQ82" i="1"/>
  <c r="CQ80" i="1"/>
  <c r="JW24" i="1"/>
  <c r="CQ24" i="1" s="1"/>
  <c r="JW25" i="1"/>
  <c r="CQ25" i="1" s="1"/>
  <c r="JW32" i="1"/>
  <c r="CQ32" i="1" s="1"/>
  <c r="JW33" i="1"/>
  <c r="CQ33" i="1" s="1"/>
  <c r="JV101" i="1"/>
  <c r="CQ2" i="1"/>
  <c r="JW2" i="1" s="1"/>
  <c r="CM98" i="1"/>
  <c r="JT65" i="1"/>
  <c r="CN97" i="1"/>
  <c r="CN98" i="1" s="1"/>
  <c r="CO91" i="1"/>
  <c r="CO92" i="1" s="1"/>
  <c r="CP90" i="1"/>
  <c r="JW41" i="1"/>
  <c r="CQ41" i="1" s="1"/>
  <c r="JW40" i="1"/>
  <c r="CQ40" i="1" s="1"/>
  <c r="JT47" i="1"/>
  <c r="JV44" i="1"/>
  <c r="CP38" i="1"/>
  <c r="CP44" i="1" s="1"/>
  <c r="CG89" i="3" s="1"/>
  <c r="CO46" i="1"/>
  <c r="CO96" i="1" s="1"/>
  <c r="JV35" i="1"/>
  <c r="CP30" i="1"/>
  <c r="CP35" i="1" s="1"/>
  <c r="CG88" i="3" s="1"/>
  <c r="CW4" i="1"/>
  <c r="CV3" i="1"/>
  <c r="KB3" i="1" s="1"/>
  <c r="CR14" i="1"/>
  <c r="CR89" i="1" s="1"/>
  <c r="JW31" i="1"/>
  <c r="CQ31" i="1" s="1"/>
  <c r="JW23" i="1"/>
  <c r="CQ23" i="1" s="1"/>
  <c r="JW22" i="1"/>
  <c r="JW34" i="1"/>
  <c r="CQ34" i="1" s="1"/>
  <c r="JW26" i="1"/>
  <c r="CQ26" i="1" s="1"/>
  <c r="JW30" i="1"/>
  <c r="JW39" i="1"/>
  <c r="CQ39" i="1" s="1"/>
  <c r="JW43" i="1"/>
  <c r="CQ43" i="1" s="1"/>
  <c r="JW38" i="1"/>
  <c r="JV27" i="1"/>
  <c r="CP22" i="1"/>
  <c r="CP27" i="1" s="1"/>
  <c r="CG87" i="3" s="1"/>
  <c r="JX14" i="1"/>
  <c r="JW18" i="1"/>
  <c r="CQ18" i="1" s="1"/>
  <c r="JW17" i="1"/>
  <c r="CQ17" i="1" s="1"/>
  <c r="JW16" i="1"/>
  <c r="CQ16" i="1" s="1"/>
  <c r="JW15" i="1"/>
  <c r="JV19" i="1"/>
  <c r="CP15" i="1"/>
  <c r="CP19" i="1" s="1"/>
  <c r="CG86" i="3" s="1"/>
  <c r="JX42" i="1" l="1"/>
  <c r="CR86" i="1"/>
  <c r="CR87" i="1"/>
  <c r="CR84" i="1"/>
  <c r="CR85" i="1"/>
  <c r="CR83" i="1"/>
  <c r="CO104" i="1"/>
  <c r="CF93" i="3"/>
  <c r="CN85" i="3"/>
  <c r="KC4" i="1"/>
  <c r="CR81" i="1"/>
  <c r="CR82" i="1"/>
  <c r="CR79" i="1"/>
  <c r="CR80" i="1"/>
  <c r="CR42" i="1"/>
  <c r="JX25" i="1"/>
  <c r="CR25" i="1" s="1"/>
  <c r="JX32" i="1"/>
  <c r="CR32" i="1" s="1"/>
  <c r="JX24" i="1"/>
  <c r="CR24" i="1" s="1"/>
  <c r="JX33" i="1"/>
  <c r="CR33" i="1" s="1"/>
  <c r="JW101" i="1"/>
  <c r="CR2" i="1"/>
  <c r="JX2" i="1" s="1"/>
  <c r="JU65" i="1"/>
  <c r="CO97" i="1"/>
  <c r="CP91" i="1"/>
  <c r="CP92" i="1" s="1"/>
  <c r="CQ90" i="1"/>
  <c r="JX41" i="1"/>
  <c r="CR41" i="1" s="1"/>
  <c r="JX40" i="1"/>
  <c r="CR40" i="1" s="1"/>
  <c r="JU47" i="1"/>
  <c r="JW44" i="1"/>
  <c r="CQ38" i="1"/>
  <c r="CQ44" i="1" s="1"/>
  <c r="CH89" i="3" s="1"/>
  <c r="CX4" i="1"/>
  <c r="CW3" i="1"/>
  <c r="KC3" i="1" s="1"/>
  <c r="JW27" i="1"/>
  <c r="CQ22" i="1"/>
  <c r="CQ27" i="1" s="1"/>
  <c r="CH87" i="3" s="1"/>
  <c r="JX34" i="1"/>
  <c r="CR34" i="1" s="1"/>
  <c r="JX22" i="1"/>
  <c r="JX23" i="1"/>
  <c r="CR23" i="1" s="1"/>
  <c r="JX31" i="1"/>
  <c r="CR31" i="1" s="1"/>
  <c r="JX26" i="1"/>
  <c r="CR26" i="1" s="1"/>
  <c r="JX43" i="1"/>
  <c r="CR43" i="1" s="1"/>
  <c r="JX38" i="1"/>
  <c r="JX30" i="1"/>
  <c r="JX39" i="1"/>
  <c r="CR39" i="1" s="1"/>
  <c r="CQ30" i="1"/>
  <c r="CQ35" i="1" s="1"/>
  <c r="CH88" i="3" s="1"/>
  <c r="JW35" i="1"/>
  <c r="CP46" i="1"/>
  <c r="CP96" i="1" s="1"/>
  <c r="CS14" i="1"/>
  <c r="CS89" i="1" s="1"/>
  <c r="CQ15" i="1"/>
  <c r="CQ19" i="1" s="1"/>
  <c r="CH86" i="3" s="1"/>
  <c r="JW19" i="1"/>
  <c r="JY14" i="1"/>
  <c r="JX16" i="1"/>
  <c r="CR16" i="1" s="1"/>
  <c r="JX18" i="1"/>
  <c r="CR18" i="1" s="1"/>
  <c r="JX15" i="1"/>
  <c r="JX17" i="1"/>
  <c r="CR17" i="1" s="1"/>
  <c r="JY42" i="1" l="1"/>
  <c r="CS42" i="1" s="1"/>
  <c r="CS86" i="1"/>
  <c r="CS87" i="1"/>
  <c r="CS84" i="1"/>
  <c r="CS85" i="1"/>
  <c r="CS83" i="1"/>
  <c r="CP104" i="1"/>
  <c r="CG93" i="3"/>
  <c r="CO85" i="3"/>
  <c r="KD4" i="1"/>
  <c r="CS79" i="1"/>
  <c r="CS81" i="1"/>
  <c r="CS80" i="1"/>
  <c r="CS82" i="1"/>
  <c r="JY32" i="1"/>
  <c r="CS32" i="1" s="1"/>
  <c r="JY24" i="1"/>
  <c r="CS24" i="1" s="1"/>
  <c r="JY25" i="1"/>
  <c r="CS25" i="1" s="1"/>
  <c r="JY33" i="1"/>
  <c r="CS33" i="1" s="1"/>
  <c r="CS2" i="1"/>
  <c r="JY2" i="1" s="1"/>
  <c r="JX101" i="1"/>
  <c r="CO98" i="1"/>
  <c r="JV65" i="1"/>
  <c r="CP97" i="1"/>
  <c r="CQ91" i="1"/>
  <c r="CQ92" i="1" s="1"/>
  <c r="CR90" i="1"/>
  <c r="JY41" i="1"/>
  <c r="CS41" i="1" s="1"/>
  <c r="JY40" i="1"/>
  <c r="CS40" i="1" s="1"/>
  <c r="JV47" i="1"/>
  <c r="CR38" i="1"/>
  <c r="CR44" i="1" s="1"/>
  <c r="CI89" i="3" s="1"/>
  <c r="JX44" i="1"/>
  <c r="JX35" i="1"/>
  <c r="CR30" i="1"/>
  <c r="CR35" i="1" s="1"/>
  <c r="CI88" i="3" s="1"/>
  <c r="CT14" i="1"/>
  <c r="CT89" i="1" s="1"/>
  <c r="JY22" i="1"/>
  <c r="JY23" i="1"/>
  <c r="CS23" i="1" s="1"/>
  <c r="JY38" i="1"/>
  <c r="JY26" i="1"/>
  <c r="CS26" i="1" s="1"/>
  <c r="JY31" i="1"/>
  <c r="CS31" i="1" s="1"/>
  <c r="JY30" i="1"/>
  <c r="JY34" i="1"/>
  <c r="CS34" i="1" s="1"/>
  <c r="JY43" i="1"/>
  <c r="CS43" i="1" s="1"/>
  <c r="JY39" i="1"/>
  <c r="CS39" i="1" s="1"/>
  <c r="CY4" i="1"/>
  <c r="CX3" i="1"/>
  <c r="KD3" i="1" s="1"/>
  <c r="CQ46" i="1"/>
  <c r="CQ96" i="1" s="1"/>
  <c r="JX27" i="1"/>
  <c r="CR22" i="1"/>
  <c r="CR27" i="1" s="1"/>
  <c r="CI87" i="3" s="1"/>
  <c r="JZ14" i="1"/>
  <c r="JY18" i="1"/>
  <c r="CS18" i="1" s="1"/>
  <c r="JY15" i="1"/>
  <c r="JY17" i="1"/>
  <c r="CS17" i="1" s="1"/>
  <c r="JY16" i="1"/>
  <c r="CS16" i="1" s="1"/>
  <c r="JX19" i="1"/>
  <c r="CR15" i="1"/>
  <c r="CR19" i="1" s="1"/>
  <c r="CI86" i="3" s="1"/>
  <c r="JZ42" i="1" l="1"/>
  <c r="CT86" i="1"/>
  <c r="CT87" i="1"/>
  <c r="CT84" i="1"/>
  <c r="CT85" i="1"/>
  <c r="CT83" i="1"/>
  <c r="CQ104" i="1"/>
  <c r="CH93" i="3"/>
  <c r="CP85" i="3"/>
  <c r="KE4" i="1"/>
  <c r="CT79" i="1"/>
  <c r="CT81" i="1"/>
  <c r="CT82" i="1"/>
  <c r="CT80" i="1"/>
  <c r="CT42" i="1"/>
  <c r="JZ32" i="1"/>
  <c r="CT32" i="1" s="1"/>
  <c r="JZ25" i="1"/>
  <c r="CT25" i="1" s="1"/>
  <c r="JZ24" i="1"/>
  <c r="CT24" i="1" s="1"/>
  <c r="JZ33" i="1"/>
  <c r="CT33" i="1" s="1"/>
  <c r="JY101" i="1"/>
  <c r="CT2" i="1"/>
  <c r="JZ2" i="1" s="1"/>
  <c r="CP98" i="1"/>
  <c r="JW65" i="1"/>
  <c r="CQ97" i="1"/>
  <c r="CR91" i="1"/>
  <c r="CR92" i="1" s="1"/>
  <c r="CS90" i="1"/>
  <c r="JZ41" i="1"/>
  <c r="CT41" i="1" s="1"/>
  <c r="JZ40" i="1"/>
  <c r="CT40" i="1" s="1"/>
  <c r="JW47" i="1"/>
  <c r="CS30" i="1"/>
  <c r="CS35" i="1" s="1"/>
  <c r="CJ88" i="3" s="1"/>
  <c r="JY35" i="1"/>
  <c r="CU14" i="1"/>
  <c r="CU89" i="1" s="1"/>
  <c r="CZ4" i="1"/>
  <c r="CY3" i="1"/>
  <c r="KE3" i="1" s="1"/>
  <c r="CS38" i="1"/>
  <c r="CS44" i="1" s="1"/>
  <c r="CJ89" i="3" s="1"/>
  <c r="JY44" i="1"/>
  <c r="JZ26" i="1"/>
  <c r="CT26" i="1" s="1"/>
  <c r="JZ23" i="1"/>
  <c r="CT23" i="1" s="1"/>
  <c r="JZ22" i="1"/>
  <c r="JZ31" i="1"/>
  <c r="CT31" i="1" s="1"/>
  <c r="JZ30" i="1"/>
  <c r="JZ43" i="1"/>
  <c r="CT43" i="1" s="1"/>
  <c r="JZ34" i="1"/>
  <c r="CT34" i="1" s="1"/>
  <c r="JZ38" i="1"/>
  <c r="JZ39" i="1"/>
  <c r="CT39" i="1" s="1"/>
  <c r="JY27" i="1"/>
  <c r="CS22" i="1"/>
  <c r="CS27" i="1" s="1"/>
  <c r="CJ87" i="3" s="1"/>
  <c r="CR46" i="1"/>
  <c r="CR96" i="1" s="1"/>
  <c r="CS15" i="1"/>
  <c r="CS19" i="1" s="1"/>
  <c r="CJ86" i="3" s="1"/>
  <c r="JY19" i="1"/>
  <c r="KA14" i="1"/>
  <c r="JZ15" i="1"/>
  <c r="JZ18" i="1"/>
  <c r="CT18" i="1" s="1"/>
  <c r="JZ17" i="1"/>
  <c r="CT17" i="1" s="1"/>
  <c r="JZ16" i="1"/>
  <c r="CT16" i="1" s="1"/>
  <c r="KA42" i="1" l="1"/>
  <c r="CU86" i="1"/>
  <c r="CU87" i="1"/>
  <c r="CU84" i="1"/>
  <c r="CU85" i="1"/>
  <c r="CU83" i="1"/>
  <c r="CR104" i="1"/>
  <c r="CI93" i="3"/>
  <c r="CQ85" i="3"/>
  <c r="KF4" i="1"/>
  <c r="CU80" i="1"/>
  <c r="CU82" i="1"/>
  <c r="CU79" i="1"/>
  <c r="CU81" i="1"/>
  <c r="CU42" i="1"/>
  <c r="KA25" i="1"/>
  <c r="CU25" i="1" s="1"/>
  <c r="KA24" i="1"/>
  <c r="CU24" i="1" s="1"/>
  <c r="KA33" i="1"/>
  <c r="CU33" i="1" s="1"/>
  <c r="KA32" i="1"/>
  <c r="CU32" i="1" s="1"/>
  <c r="JZ101" i="1"/>
  <c r="CU2" i="1"/>
  <c r="KA2" i="1" s="1"/>
  <c r="CQ98" i="1"/>
  <c r="JX65" i="1"/>
  <c r="CR97" i="1"/>
  <c r="CS91" i="1"/>
  <c r="CS92" i="1" s="1"/>
  <c r="CT90" i="1"/>
  <c r="KA41" i="1"/>
  <c r="CU41" i="1" s="1"/>
  <c r="KA40" i="1"/>
  <c r="CU40" i="1" s="1"/>
  <c r="JX47" i="1"/>
  <c r="JZ27" i="1"/>
  <c r="CT22" i="1"/>
  <c r="CT27" i="1" s="1"/>
  <c r="CK87" i="3" s="1"/>
  <c r="CT38" i="1"/>
  <c r="CT44" i="1" s="1"/>
  <c r="CK89" i="3" s="1"/>
  <c r="JZ44" i="1"/>
  <c r="CV14" i="1"/>
  <c r="CV89" i="1" s="1"/>
  <c r="DA4" i="1"/>
  <c r="CZ3" i="1"/>
  <c r="KF3" i="1" s="1"/>
  <c r="CT30" i="1"/>
  <c r="CT35" i="1" s="1"/>
  <c r="CK88" i="3" s="1"/>
  <c r="JZ35" i="1"/>
  <c r="KA26" i="1"/>
  <c r="CU26" i="1" s="1"/>
  <c r="KA34" i="1"/>
  <c r="CU34" i="1" s="1"/>
  <c r="KA22" i="1"/>
  <c r="KA30" i="1"/>
  <c r="KA31" i="1"/>
  <c r="CU31" i="1" s="1"/>
  <c r="KA43" i="1"/>
  <c r="CU43" i="1" s="1"/>
  <c r="KA38" i="1"/>
  <c r="KA23" i="1"/>
  <c r="CU23" i="1" s="1"/>
  <c r="KA39" i="1"/>
  <c r="CU39" i="1" s="1"/>
  <c r="CS46" i="1"/>
  <c r="CS96" i="1" s="1"/>
  <c r="CT15" i="1"/>
  <c r="CT19" i="1" s="1"/>
  <c r="CK86" i="3" s="1"/>
  <c r="JZ19" i="1"/>
  <c r="KB14" i="1"/>
  <c r="KA17" i="1"/>
  <c r="CU17" i="1" s="1"/>
  <c r="KA18" i="1"/>
  <c r="CU18" i="1" s="1"/>
  <c r="KA15" i="1"/>
  <c r="KA16" i="1"/>
  <c r="CU16" i="1" s="1"/>
  <c r="KB42" i="1" l="1"/>
  <c r="CV42" i="1" s="1"/>
  <c r="CV86" i="1"/>
  <c r="CV87" i="1"/>
  <c r="CV84" i="1"/>
  <c r="CV85" i="1"/>
  <c r="CV83" i="1"/>
  <c r="CS104" i="1"/>
  <c r="CJ93" i="3"/>
  <c r="CR85" i="3"/>
  <c r="KG4" i="1"/>
  <c r="CV80" i="1"/>
  <c r="CV81" i="1"/>
  <c r="CV82" i="1"/>
  <c r="CV79" i="1"/>
  <c r="KB25" i="1"/>
  <c r="CV25" i="1" s="1"/>
  <c r="KB24" i="1"/>
  <c r="CV24" i="1" s="1"/>
  <c r="KB32" i="1"/>
  <c r="CV32" i="1" s="1"/>
  <c r="KB33" i="1"/>
  <c r="CV33" i="1" s="1"/>
  <c r="KA101" i="1"/>
  <c r="CV2" i="1"/>
  <c r="KB2" i="1" s="1"/>
  <c r="CR98" i="1"/>
  <c r="JY65" i="1"/>
  <c r="CS97" i="1"/>
  <c r="CT91" i="1"/>
  <c r="CT92" i="1" s="1"/>
  <c r="CU90" i="1"/>
  <c r="KB40" i="1"/>
  <c r="CV40" i="1" s="1"/>
  <c r="KB41" i="1"/>
  <c r="CV41" i="1" s="1"/>
  <c r="JY47" i="1"/>
  <c r="DB4" i="1"/>
  <c r="DA3" i="1"/>
  <c r="KG3" i="1" s="1"/>
  <c r="KA27" i="1"/>
  <c r="CU22" i="1"/>
  <c r="CU27" i="1" s="1"/>
  <c r="CL87" i="3" s="1"/>
  <c r="KA44" i="1"/>
  <c r="CU38" i="1"/>
  <c r="CU44" i="1" s="1"/>
  <c r="CL89" i="3" s="1"/>
  <c r="CW14" i="1"/>
  <c r="CW89" i="1" s="1"/>
  <c r="KA35" i="1"/>
  <c r="CU30" i="1"/>
  <c r="CU35" i="1" s="1"/>
  <c r="CL88" i="3" s="1"/>
  <c r="CT46" i="1"/>
  <c r="CT96" i="1" s="1"/>
  <c r="KB30" i="1"/>
  <c r="KB26" i="1"/>
  <c r="CV26" i="1" s="1"/>
  <c r="KB22" i="1"/>
  <c r="KB34" i="1"/>
  <c r="CV34" i="1" s="1"/>
  <c r="KB23" i="1"/>
  <c r="CV23" i="1" s="1"/>
  <c r="KB43" i="1"/>
  <c r="CV43" i="1" s="1"/>
  <c r="KB31" i="1"/>
  <c r="CV31" i="1" s="1"/>
  <c r="KB38" i="1"/>
  <c r="KB39" i="1"/>
  <c r="CV39" i="1" s="1"/>
  <c r="CU15" i="1"/>
  <c r="CU19" i="1" s="1"/>
  <c r="CL86" i="3" s="1"/>
  <c r="KA19" i="1"/>
  <c r="KC14" i="1"/>
  <c r="KB18" i="1"/>
  <c r="CV18" i="1" s="1"/>
  <c r="KB17" i="1"/>
  <c r="CV17" i="1" s="1"/>
  <c r="KB16" i="1"/>
  <c r="CV16" i="1" s="1"/>
  <c r="KB15" i="1"/>
  <c r="KC42" i="1" l="1"/>
  <c r="CW42" i="1" s="1"/>
  <c r="CW86" i="1"/>
  <c r="CW87" i="1"/>
  <c r="CW84" i="1"/>
  <c r="CW85" i="1"/>
  <c r="CW83" i="1"/>
  <c r="CT104" i="1"/>
  <c r="CK93" i="3"/>
  <c r="CS85" i="3"/>
  <c r="KH4" i="1"/>
  <c r="CW80" i="1"/>
  <c r="CW82" i="1"/>
  <c r="CW79" i="1"/>
  <c r="CW81" i="1"/>
  <c r="KC32" i="1"/>
  <c r="CW32" i="1" s="1"/>
  <c r="KC24" i="1"/>
  <c r="CW24" i="1" s="1"/>
  <c r="KC25" i="1"/>
  <c r="CW25" i="1" s="1"/>
  <c r="KC33" i="1"/>
  <c r="CW33" i="1" s="1"/>
  <c r="CW2" i="1"/>
  <c r="KC2" i="1" s="1"/>
  <c r="KB101" i="1"/>
  <c r="CS98" i="1"/>
  <c r="JZ65" i="1"/>
  <c r="CT97" i="1"/>
  <c r="CU91" i="1"/>
  <c r="CU92" i="1" s="1"/>
  <c r="CV90" i="1"/>
  <c r="KC41" i="1"/>
  <c r="CW41" i="1" s="1"/>
  <c r="KC40" i="1"/>
  <c r="CW40" i="1" s="1"/>
  <c r="JZ47" i="1"/>
  <c r="CU46" i="1"/>
  <c r="CU96" i="1" s="1"/>
  <c r="CV38" i="1"/>
  <c r="CV44" i="1" s="1"/>
  <c r="CM89" i="3" s="1"/>
  <c r="KB44" i="1"/>
  <c r="KC26" i="1"/>
  <c r="CW26" i="1" s="1"/>
  <c r="KC22" i="1"/>
  <c r="KC31" i="1"/>
  <c r="CW31" i="1" s="1"/>
  <c r="KC34" i="1"/>
  <c r="CW34" i="1" s="1"/>
  <c r="KC43" i="1"/>
  <c r="CW43" i="1" s="1"/>
  <c r="KC30" i="1"/>
  <c r="KC23" i="1"/>
  <c r="CW23" i="1" s="1"/>
  <c r="KC38" i="1"/>
  <c r="KC39" i="1"/>
  <c r="CW39" i="1" s="1"/>
  <c r="KB35" i="1"/>
  <c r="CV30" i="1"/>
  <c r="CV35" i="1" s="1"/>
  <c r="CM88" i="3" s="1"/>
  <c r="DC4" i="1"/>
  <c r="DB3" i="1"/>
  <c r="KH3" i="1" s="1"/>
  <c r="KB27" i="1"/>
  <c r="CV22" i="1"/>
  <c r="CV27" i="1" s="1"/>
  <c r="CM87" i="3" s="1"/>
  <c r="CX14" i="1"/>
  <c r="CX89" i="1" s="1"/>
  <c r="KD14" i="1"/>
  <c r="KC17" i="1"/>
  <c r="CW17" i="1" s="1"/>
  <c r="KC18" i="1"/>
  <c r="CW18" i="1" s="1"/>
  <c r="KC16" i="1"/>
  <c r="CW16" i="1" s="1"/>
  <c r="KC15" i="1"/>
  <c r="CV15" i="1"/>
  <c r="CV19" i="1" s="1"/>
  <c r="CM86" i="3" s="1"/>
  <c r="KB19" i="1"/>
  <c r="KD42" i="1" l="1"/>
  <c r="CX86" i="1"/>
  <c r="CX87" i="1"/>
  <c r="CX84" i="1"/>
  <c r="CX85" i="1"/>
  <c r="CX83" i="1"/>
  <c r="CU104" i="1"/>
  <c r="CL93" i="3"/>
  <c r="CT85" i="3"/>
  <c r="KI4" i="1"/>
  <c r="CX80" i="1"/>
  <c r="CX82" i="1"/>
  <c r="CX79" i="1"/>
  <c r="CX81" i="1"/>
  <c r="CX42" i="1"/>
  <c r="KD33" i="1"/>
  <c r="CX33" i="1" s="1"/>
  <c r="KD32" i="1"/>
  <c r="CX32" i="1" s="1"/>
  <c r="KD24" i="1"/>
  <c r="CX24" i="1" s="1"/>
  <c r="KD25" i="1"/>
  <c r="CX25" i="1" s="1"/>
  <c r="KC101" i="1"/>
  <c r="CX2" i="1"/>
  <c r="KD2" i="1" s="1"/>
  <c r="CT98" i="1"/>
  <c r="KA65" i="1"/>
  <c r="CU97" i="1"/>
  <c r="CV91" i="1"/>
  <c r="CV92" i="1" s="1"/>
  <c r="CW90" i="1"/>
  <c r="KD40" i="1"/>
  <c r="CX40" i="1" s="1"/>
  <c r="KD41" i="1"/>
  <c r="CX41" i="1" s="1"/>
  <c r="KA47" i="1"/>
  <c r="CY14" i="1"/>
  <c r="CY89" i="1" s="1"/>
  <c r="CW38" i="1"/>
  <c r="CW44" i="1" s="1"/>
  <c r="CN89" i="3" s="1"/>
  <c r="KC44" i="1"/>
  <c r="CW22" i="1"/>
  <c r="CW27" i="1" s="1"/>
  <c r="CN87" i="3" s="1"/>
  <c r="KC27" i="1"/>
  <c r="KC35" i="1"/>
  <c r="CW30" i="1"/>
  <c r="CW35" i="1" s="1"/>
  <c r="CN88" i="3" s="1"/>
  <c r="KD22" i="1"/>
  <c r="KD30" i="1"/>
  <c r="KD23" i="1"/>
  <c r="CX23" i="1" s="1"/>
  <c r="KD34" i="1"/>
  <c r="CX34" i="1" s="1"/>
  <c r="KD31" i="1"/>
  <c r="CX31" i="1" s="1"/>
  <c r="KD26" i="1"/>
  <c r="CX26" i="1" s="1"/>
  <c r="KD43" i="1"/>
  <c r="CX43" i="1" s="1"/>
  <c r="KD38" i="1"/>
  <c r="KD39" i="1"/>
  <c r="CX39" i="1" s="1"/>
  <c r="DD4" i="1"/>
  <c r="DC3" i="1"/>
  <c r="KI3" i="1" s="1"/>
  <c r="CV46" i="1"/>
  <c r="CV96" i="1" s="1"/>
  <c r="KC19" i="1"/>
  <c r="CW15" i="1"/>
  <c r="CW19" i="1" s="1"/>
  <c r="CN86" i="3" s="1"/>
  <c r="KE14" i="1"/>
  <c r="KD18" i="1"/>
  <c r="CX18" i="1" s="1"/>
  <c r="KD16" i="1"/>
  <c r="CX16" i="1" s="1"/>
  <c r="KD17" i="1"/>
  <c r="CX17" i="1" s="1"/>
  <c r="KD15" i="1"/>
  <c r="KE42" i="1" l="1"/>
  <c r="CY86" i="1"/>
  <c r="CY87" i="1"/>
  <c r="CY84" i="1"/>
  <c r="CY85" i="1"/>
  <c r="CY83" i="1"/>
  <c r="CV104" i="1"/>
  <c r="CM93" i="3"/>
  <c r="CU85" i="3"/>
  <c r="KJ4" i="1"/>
  <c r="CY79" i="1"/>
  <c r="CY81" i="1"/>
  <c r="CY80" i="1"/>
  <c r="CY82" i="1"/>
  <c r="CY42" i="1"/>
  <c r="KE32" i="1"/>
  <c r="CY32" i="1" s="1"/>
  <c r="KE24" i="1"/>
  <c r="CY24" i="1" s="1"/>
  <c r="KE25" i="1"/>
  <c r="CY25" i="1" s="1"/>
  <c r="KE33" i="1"/>
  <c r="CY33" i="1" s="1"/>
  <c r="KD101" i="1"/>
  <c r="CY2" i="1"/>
  <c r="KE2" i="1" s="1"/>
  <c r="CU98" i="1"/>
  <c r="KB65" i="1"/>
  <c r="CV97" i="1"/>
  <c r="CW91" i="1"/>
  <c r="CW92" i="1" s="1"/>
  <c r="CX90" i="1"/>
  <c r="KE41" i="1"/>
  <c r="CY41" i="1" s="1"/>
  <c r="KE40" i="1"/>
  <c r="CY40" i="1" s="1"/>
  <c r="KB47" i="1"/>
  <c r="DE4" i="1"/>
  <c r="DD3" i="1"/>
  <c r="KJ3" i="1" s="1"/>
  <c r="KD27" i="1"/>
  <c r="CX22" i="1"/>
  <c r="CX27" i="1" s="1"/>
  <c r="CO87" i="3" s="1"/>
  <c r="KE26" i="1"/>
  <c r="CY26" i="1" s="1"/>
  <c r="KE31" i="1"/>
  <c r="CY31" i="1" s="1"/>
  <c r="KE23" i="1"/>
  <c r="CY23" i="1" s="1"/>
  <c r="KE22" i="1"/>
  <c r="KE34" i="1"/>
  <c r="CY34" i="1" s="1"/>
  <c r="KE38" i="1"/>
  <c r="KE43" i="1"/>
  <c r="CY43" i="1" s="1"/>
  <c r="KE30" i="1"/>
  <c r="KE39" i="1"/>
  <c r="CY39" i="1" s="1"/>
  <c r="CW46" i="1"/>
  <c r="CW96" i="1" s="1"/>
  <c r="KD35" i="1"/>
  <c r="CX30" i="1"/>
  <c r="CX35" i="1" s="1"/>
  <c r="CO88" i="3" s="1"/>
  <c r="CX38" i="1"/>
  <c r="CX44" i="1" s="1"/>
  <c r="CO89" i="3" s="1"/>
  <c r="KD44" i="1"/>
  <c r="CZ14" i="1"/>
  <c r="CZ89" i="1" s="1"/>
  <c r="KF14" i="1"/>
  <c r="KE18" i="1"/>
  <c r="CY18" i="1" s="1"/>
  <c r="KE17" i="1"/>
  <c r="CY17" i="1" s="1"/>
  <c r="KE16" i="1"/>
  <c r="CY16" i="1" s="1"/>
  <c r="KE15" i="1"/>
  <c r="KD19" i="1"/>
  <c r="CX15" i="1"/>
  <c r="CX19" i="1" s="1"/>
  <c r="CO86" i="3" s="1"/>
  <c r="KF42" i="1" l="1"/>
  <c r="CZ86" i="1"/>
  <c r="CZ87" i="1"/>
  <c r="CZ84" i="1"/>
  <c r="CZ85" i="1"/>
  <c r="CZ83" i="1"/>
  <c r="CW104" i="1"/>
  <c r="CN93" i="3"/>
  <c r="CV85" i="3"/>
  <c r="KK4" i="1"/>
  <c r="CZ79" i="1"/>
  <c r="CZ80" i="1"/>
  <c r="CZ81" i="1"/>
  <c r="CZ82" i="1"/>
  <c r="CZ42" i="1"/>
  <c r="KF25" i="1"/>
  <c r="CZ25" i="1" s="1"/>
  <c r="KF24" i="1"/>
  <c r="CZ24" i="1" s="1"/>
  <c r="KF32" i="1"/>
  <c r="CZ32" i="1" s="1"/>
  <c r="KF33" i="1"/>
  <c r="CZ33" i="1" s="1"/>
  <c r="CZ2" i="1"/>
  <c r="KF2" i="1" s="1"/>
  <c r="KE101" i="1"/>
  <c r="CV98" i="1"/>
  <c r="KC65" i="1"/>
  <c r="CW97" i="1"/>
  <c r="CW98" i="1" s="1"/>
  <c r="CX91" i="1"/>
  <c r="CX92" i="1" s="1"/>
  <c r="CY90" i="1"/>
  <c r="KF40" i="1"/>
  <c r="CZ40" i="1" s="1"/>
  <c r="KF41" i="1"/>
  <c r="CZ41" i="1" s="1"/>
  <c r="KC47" i="1"/>
  <c r="KE35" i="1"/>
  <c r="CY30" i="1"/>
  <c r="CY35" i="1" s="1"/>
  <c r="CP88" i="3" s="1"/>
  <c r="CX46" i="1"/>
  <c r="CX96" i="1" s="1"/>
  <c r="CY38" i="1"/>
  <c r="CY44" i="1" s="1"/>
  <c r="CP89" i="3" s="1"/>
  <c r="KE44" i="1"/>
  <c r="KF34" i="1"/>
  <c r="CZ34" i="1" s="1"/>
  <c r="KF22" i="1"/>
  <c r="KF23" i="1"/>
  <c r="CZ23" i="1" s="1"/>
  <c r="KF26" i="1"/>
  <c r="CZ26" i="1" s="1"/>
  <c r="KF30" i="1"/>
  <c r="KF31" i="1"/>
  <c r="CZ31" i="1" s="1"/>
  <c r="KF43" i="1"/>
  <c r="CZ43" i="1" s="1"/>
  <c r="KF39" i="1"/>
  <c r="CZ39" i="1" s="1"/>
  <c r="KF38" i="1"/>
  <c r="CY22" i="1"/>
  <c r="CY27" i="1" s="1"/>
  <c r="CP87" i="3" s="1"/>
  <c r="KE27" i="1"/>
  <c r="DA14" i="1"/>
  <c r="DA89" i="1" s="1"/>
  <c r="DF4" i="1"/>
  <c r="DE3" i="1"/>
  <c r="KK3" i="1" s="1"/>
  <c r="KE19" i="1"/>
  <c r="CY15" i="1"/>
  <c r="CY19" i="1" s="1"/>
  <c r="CP86" i="3" s="1"/>
  <c r="KG14" i="1"/>
  <c r="KF17" i="1"/>
  <c r="CZ17" i="1" s="1"/>
  <c r="KF16" i="1"/>
  <c r="CZ16" i="1" s="1"/>
  <c r="KF18" i="1"/>
  <c r="CZ18" i="1" s="1"/>
  <c r="KF15" i="1"/>
  <c r="KG42" i="1" l="1"/>
  <c r="DA42" i="1" s="1"/>
  <c r="DA86" i="1"/>
  <c r="DA87" i="1"/>
  <c r="DA84" i="1"/>
  <c r="DA85" i="1"/>
  <c r="DA83" i="1"/>
  <c r="CX104" i="1"/>
  <c r="CO93" i="3"/>
  <c r="CW85" i="3"/>
  <c r="KL4" i="1"/>
  <c r="DA79" i="1"/>
  <c r="DA81" i="1"/>
  <c r="DA80" i="1"/>
  <c r="DA82" i="1"/>
  <c r="KG25" i="1"/>
  <c r="DA25" i="1" s="1"/>
  <c r="KG32" i="1"/>
  <c r="DA32" i="1" s="1"/>
  <c r="KG24" i="1"/>
  <c r="DA24" i="1" s="1"/>
  <c r="KG33" i="1"/>
  <c r="DA33" i="1" s="1"/>
  <c r="DA2" i="1"/>
  <c r="KG2" i="1" s="1"/>
  <c r="KF101" i="1"/>
  <c r="KD65" i="1"/>
  <c r="CX97" i="1"/>
  <c r="CY91" i="1"/>
  <c r="CY92" i="1" s="1"/>
  <c r="CZ90" i="1"/>
  <c r="KG41" i="1"/>
  <c r="DA41" i="1" s="1"/>
  <c r="KG40" i="1"/>
  <c r="DA40" i="1" s="1"/>
  <c r="KD47" i="1"/>
  <c r="CY46" i="1"/>
  <c r="CY96" i="1" s="1"/>
  <c r="DG4" i="1"/>
  <c r="DF3" i="1"/>
  <c r="KL3" i="1" s="1"/>
  <c r="KF35" i="1"/>
  <c r="CZ30" i="1"/>
  <c r="CZ35" i="1" s="1"/>
  <c r="CQ88" i="3" s="1"/>
  <c r="CZ22" i="1"/>
  <c r="CZ27" i="1" s="1"/>
  <c r="CQ87" i="3" s="1"/>
  <c r="KF27" i="1"/>
  <c r="KG31" i="1"/>
  <c r="DA31" i="1" s="1"/>
  <c r="KG26" i="1"/>
  <c r="DA26" i="1" s="1"/>
  <c r="KG30" i="1"/>
  <c r="KG34" i="1"/>
  <c r="DA34" i="1" s="1"/>
  <c r="KG43" i="1"/>
  <c r="DA43" i="1" s="1"/>
  <c r="KG23" i="1"/>
  <c r="DA23" i="1" s="1"/>
  <c r="KG22" i="1"/>
  <c r="KG38" i="1"/>
  <c r="KG39" i="1"/>
  <c r="DA39" i="1" s="1"/>
  <c r="DB14" i="1"/>
  <c r="DB89" i="1" s="1"/>
  <c r="KF44" i="1"/>
  <c r="CZ38" i="1"/>
  <c r="CZ44" i="1" s="1"/>
  <c r="CQ89" i="3" s="1"/>
  <c r="KH14" i="1"/>
  <c r="KG18" i="1"/>
  <c r="DA18" i="1" s="1"/>
  <c r="KG15" i="1"/>
  <c r="KG17" i="1"/>
  <c r="DA17" i="1" s="1"/>
  <c r="KG16" i="1"/>
  <c r="DA16" i="1" s="1"/>
  <c r="KF19" i="1"/>
  <c r="CZ15" i="1"/>
  <c r="CZ19" i="1" s="1"/>
  <c r="CQ86" i="3" s="1"/>
  <c r="KH42" i="1" l="1"/>
  <c r="DB42" i="1" s="1"/>
  <c r="DB86" i="1"/>
  <c r="DB87" i="1"/>
  <c r="DB84" i="1"/>
  <c r="DB85" i="1"/>
  <c r="DB83" i="1"/>
  <c r="CY104" i="1"/>
  <c r="CP93" i="3"/>
  <c r="CX85" i="3"/>
  <c r="KM4" i="1"/>
  <c r="DB79" i="1"/>
  <c r="DB81" i="1"/>
  <c r="DB82" i="1"/>
  <c r="DB80" i="1"/>
  <c r="KH32" i="1"/>
  <c r="DB32" i="1" s="1"/>
  <c r="KH25" i="1"/>
  <c r="DB25" i="1" s="1"/>
  <c r="KH24" i="1"/>
  <c r="DB24" i="1" s="1"/>
  <c r="KH33" i="1"/>
  <c r="DB33" i="1" s="1"/>
  <c r="KG101" i="1"/>
  <c r="DB2" i="1"/>
  <c r="KH2" i="1" s="1"/>
  <c r="CX98" i="1"/>
  <c r="KE65" i="1"/>
  <c r="CY97" i="1"/>
  <c r="CY98" i="1" s="1"/>
  <c r="CZ91" i="1"/>
  <c r="CZ92" i="1" s="1"/>
  <c r="DA90" i="1"/>
  <c r="KH40" i="1"/>
  <c r="DB40" i="1" s="1"/>
  <c r="KH41" i="1"/>
  <c r="DB41" i="1" s="1"/>
  <c r="KE47" i="1"/>
  <c r="CZ46" i="1"/>
  <c r="CZ96" i="1" s="1"/>
  <c r="DA30" i="1"/>
  <c r="DA35" i="1" s="1"/>
  <c r="CR88" i="3" s="1"/>
  <c r="KG35" i="1"/>
  <c r="KG27" i="1"/>
  <c r="DA22" i="1"/>
  <c r="DA27" i="1" s="1"/>
  <c r="CR87" i="3" s="1"/>
  <c r="DC14" i="1"/>
  <c r="DC89" i="1" s="1"/>
  <c r="KH26" i="1"/>
  <c r="DB26" i="1" s="1"/>
  <c r="KH22" i="1"/>
  <c r="KH31" i="1"/>
  <c r="DB31" i="1" s="1"/>
  <c r="KH34" i="1"/>
  <c r="DB34" i="1" s="1"/>
  <c r="KH38" i="1"/>
  <c r="KH30" i="1"/>
  <c r="KH43" i="1"/>
  <c r="DB43" i="1" s="1"/>
  <c r="KH23" i="1"/>
  <c r="DB23" i="1" s="1"/>
  <c r="KH39" i="1"/>
  <c r="DB39" i="1" s="1"/>
  <c r="KG44" i="1"/>
  <c r="DA38" i="1"/>
  <c r="DA44" i="1" s="1"/>
  <c r="CR89" i="3" s="1"/>
  <c r="DH4" i="1"/>
  <c r="DG3" i="1"/>
  <c r="KM3" i="1" s="1"/>
  <c r="DA15" i="1"/>
  <c r="DA19" i="1" s="1"/>
  <c r="CR86" i="3" s="1"/>
  <c r="KG19" i="1"/>
  <c r="KI14" i="1"/>
  <c r="KH15" i="1"/>
  <c r="KH18" i="1"/>
  <c r="DB18" i="1" s="1"/>
  <c r="KH17" i="1"/>
  <c r="DB17" i="1" s="1"/>
  <c r="KH16" i="1"/>
  <c r="DB16" i="1" s="1"/>
  <c r="KI42" i="1" l="1"/>
  <c r="DC42" i="1" s="1"/>
  <c r="DC86" i="1"/>
  <c r="DC87" i="1"/>
  <c r="DC84" i="1"/>
  <c r="DC85" i="1"/>
  <c r="DC83" i="1"/>
  <c r="CZ104" i="1"/>
  <c r="CQ93" i="3"/>
  <c r="CY85" i="3"/>
  <c r="KN4" i="1"/>
  <c r="DC80" i="1"/>
  <c r="DC82" i="1"/>
  <c r="DC79" i="1"/>
  <c r="DC81" i="1"/>
  <c r="KI24" i="1"/>
  <c r="DC24" i="1" s="1"/>
  <c r="KI25" i="1"/>
  <c r="DC25" i="1" s="1"/>
  <c r="KI32" i="1"/>
  <c r="DC32" i="1" s="1"/>
  <c r="KI33" i="1"/>
  <c r="DC33" i="1" s="1"/>
  <c r="DC2" i="1"/>
  <c r="KI2" i="1" s="1"/>
  <c r="KH101" i="1"/>
  <c r="KF65" i="1"/>
  <c r="CZ97" i="1"/>
  <c r="CZ98" i="1" s="1"/>
  <c r="DA91" i="1"/>
  <c r="DA92" i="1" s="1"/>
  <c r="DB90" i="1"/>
  <c r="KI41" i="1"/>
  <c r="DC41" i="1" s="1"/>
  <c r="KI40" i="1"/>
  <c r="DC40" i="1" s="1"/>
  <c r="KF47" i="1"/>
  <c r="DA46" i="1"/>
  <c r="DA96" i="1" s="1"/>
  <c r="DB30" i="1"/>
  <c r="DB35" i="1" s="1"/>
  <c r="CS88" i="3" s="1"/>
  <c r="KH35" i="1"/>
  <c r="DD14" i="1"/>
  <c r="DD89" i="1" s="1"/>
  <c r="DB38" i="1"/>
  <c r="DB44" i="1" s="1"/>
  <c r="CS89" i="3" s="1"/>
  <c r="KH44" i="1"/>
  <c r="KI26" i="1"/>
  <c r="DC26" i="1" s="1"/>
  <c r="KI22" i="1"/>
  <c r="KI23" i="1"/>
  <c r="DC23" i="1" s="1"/>
  <c r="KI30" i="1"/>
  <c r="KI38" i="1"/>
  <c r="KI31" i="1"/>
  <c r="DC31" i="1" s="1"/>
  <c r="KI34" i="1"/>
  <c r="DC34" i="1" s="1"/>
  <c r="KI43" i="1"/>
  <c r="DC43" i="1" s="1"/>
  <c r="KI39" i="1"/>
  <c r="DC39" i="1" s="1"/>
  <c r="KH27" i="1"/>
  <c r="DB22" i="1"/>
  <c r="DB27" i="1" s="1"/>
  <c r="CS87" i="3" s="1"/>
  <c r="DI4" i="1"/>
  <c r="DH3" i="1"/>
  <c r="KN3" i="1" s="1"/>
  <c r="DB15" i="1"/>
  <c r="DB19" i="1" s="1"/>
  <c r="CS86" i="3" s="1"/>
  <c r="KH19" i="1"/>
  <c r="KJ14" i="1"/>
  <c r="KI17" i="1"/>
  <c r="DC17" i="1" s="1"/>
  <c r="KI18" i="1"/>
  <c r="DC18" i="1" s="1"/>
  <c r="KI16" i="1"/>
  <c r="DC16" i="1" s="1"/>
  <c r="KI15" i="1"/>
  <c r="KJ42" i="1" l="1"/>
  <c r="DD42" i="1" s="1"/>
  <c r="DD86" i="1"/>
  <c r="DD87" i="1"/>
  <c r="DD84" i="1"/>
  <c r="DD85" i="1"/>
  <c r="DD83" i="1"/>
  <c r="DA104" i="1"/>
  <c r="CR93" i="3"/>
  <c r="CZ85" i="3"/>
  <c r="KO4" i="1"/>
  <c r="DD82" i="1"/>
  <c r="DD81" i="1"/>
  <c r="DD79" i="1"/>
  <c r="DD80" i="1"/>
  <c r="KJ32" i="1"/>
  <c r="DD32" i="1" s="1"/>
  <c r="KJ24" i="1"/>
  <c r="DD24" i="1" s="1"/>
  <c r="KJ25" i="1"/>
  <c r="DD25" i="1" s="1"/>
  <c r="KJ33" i="1"/>
  <c r="DD33" i="1" s="1"/>
  <c r="DD2" i="1"/>
  <c r="KJ2" i="1" s="1"/>
  <c r="KI101" i="1"/>
  <c r="KG65" i="1"/>
  <c r="DA97" i="1"/>
  <c r="DA98" i="1" s="1"/>
  <c r="DB91" i="1"/>
  <c r="DB92" i="1" s="1"/>
  <c r="DC90" i="1"/>
  <c r="KJ40" i="1"/>
  <c r="DD40" i="1" s="1"/>
  <c r="KJ41" i="1"/>
  <c r="DD41" i="1" s="1"/>
  <c r="KG47" i="1"/>
  <c r="DC38" i="1"/>
  <c r="DC44" i="1" s="1"/>
  <c r="CT89" i="3" s="1"/>
  <c r="KI44" i="1"/>
  <c r="KI35" i="1"/>
  <c r="DC30" i="1"/>
  <c r="DC35" i="1" s="1"/>
  <c r="CT88" i="3" s="1"/>
  <c r="DJ4" i="1"/>
  <c r="DI3" i="1"/>
  <c r="KO3" i="1" s="1"/>
  <c r="DE14" i="1"/>
  <c r="DE89" i="1" s="1"/>
  <c r="DB46" i="1"/>
  <c r="DB96" i="1" s="1"/>
  <c r="KJ22" i="1"/>
  <c r="KJ26" i="1"/>
  <c r="DD26" i="1" s="1"/>
  <c r="KJ23" i="1"/>
  <c r="DD23" i="1" s="1"/>
  <c r="KJ30" i="1"/>
  <c r="KJ31" i="1"/>
  <c r="DD31" i="1" s="1"/>
  <c r="KJ34" i="1"/>
  <c r="DD34" i="1" s="1"/>
  <c r="KJ43" i="1"/>
  <c r="DD43" i="1" s="1"/>
  <c r="KJ38" i="1"/>
  <c r="KJ39" i="1"/>
  <c r="DD39" i="1" s="1"/>
  <c r="DC22" i="1"/>
  <c r="DC27" i="1" s="1"/>
  <c r="CT87" i="3" s="1"/>
  <c r="KI27" i="1"/>
  <c r="KK14" i="1"/>
  <c r="KJ16" i="1"/>
  <c r="DD16" i="1" s="1"/>
  <c r="KJ15" i="1"/>
  <c r="KJ18" i="1"/>
  <c r="DD18" i="1" s="1"/>
  <c r="KJ17" i="1"/>
  <c r="DD17" i="1" s="1"/>
  <c r="DC15" i="1"/>
  <c r="DC19" i="1" s="1"/>
  <c r="CT86" i="3" s="1"/>
  <c r="KI19" i="1"/>
  <c r="KK42" i="1" l="1"/>
  <c r="DE42" i="1" s="1"/>
  <c r="DE86" i="1"/>
  <c r="DE87" i="1"/>
  <c r="DE84" i="1"/>
  <c r="DE85" i="1"/>
  <c r="DE83" i="1"/>
  <c r="DB104" i="1"/>
  <c r="CS93" i="3"/>
  <c r="DA85" i="3"/>
  <c r="KP4" i="1"/>
  <c r="DE80" i="1"/>
  <c r="DE82" i="1"/>
  <c r="DE81" i="1"/>
  <c r="DE79" i="1"/>
  <c r="KK33" i="1"/>
  <c r="DE33" i="1" s="1"/>
  <c r="KK32" i="1"/>
  <c r="DE32" i="1" s="1"/>
  <c r="KK24" i="1"/>
  <c r="DE24" i="1" s="1"/>
  <c r="KK25" i="1"/>
  <c r="DE25" i="1" s="1"/>
  <c r="KJ101" i="1"/>
  <c r="DE2" i="1"/>
  <c r="KK2" i="1" s="1"/>
  <c r="KH65" i="1"/>
  <c r="DB97" i="1"/>
  <c r="DC91" i="1"/>
  <c r="DC92" i="1" s="1"/>
  <c r="DD90" i="1"/>
  <c r="KK41" i="1"/>
  <c r="DE41" i="1" s="1"/>
  <c r="KK40" i="1"/>
  <c r="DE40" i="1" s="1"/>
  <c r="KH47" i="1"/>
  <c r="DD30" i="1"/>
  <c r="DD35" i="1" s="1"/>
  <c r="CU88" i="3" s="1"/>
  <c r="KJ35" i="1"/>
  <c r="KJ44" i="1"/>
  <c r="DD38" i="1"/>
  <c r="DD44" i="1" s="1"/>
  <c r="CU89" i="3" s="1"/>
  <c r="DK4" i="1"/>
  <c r="DJ3" i="1"/>
  <c r="KP3" i="1" s="1"/>
  <c r="DF14" i="1"/>
  <c r="DF89" i="1" s="1"/>
  <c r="KK26" i="1"/>
  <c r="DE26" i="1" s="1"/>
  <c r="KK23" i="1"/>
  <c r="DE23" i="1" s="1"/>
  <c r="KK31" i="1"/>
  <c r="DE31" i="1" s="1"/>
  <c r="KK30" i="1"/>
  <c r="KK38" i="1"/>
  <c r="KK34" i="1"/>
  <c r="DE34" i="1" s="1"/>
  <c r="KK43" i="1"/>
  <c r="DE43" i="1" s="1"/>
  <c r="KK22" i="1"/>
  <c r="KK39" i="1"/>
  <c r="DE39" i="1" s="1"/>
  <c r="KJ27" i="1"/>
  <c r="DD22" i="1"/>
  <c r="DD27" i="1" s="1"/>
  <c r="CU87" i="3" s="1"/>
  <c r="DC46" i="1"/>
  <c r="DC96" i="1" s="1"/>
  <c r="DD15" i="1"/>
  <c r="DD19" i="1" s="1"/>
  <c r="CU86" i="3" s="1"/>
  <c r="KJ19" i="1"/>
  <c r="KL14" i="1"/>
  <c r="KK17" i="1"/>
  <c r="DE17" i="1" s="1"/>
  <c r="KK16" i="1"/>
  <c r="DE16" i="1" s="1"/>
  <c r="KK15" i="1"/>
  <c r="KK18" i="1"/>
  <c r="DE18" i="1" s="1"/>
  <c r="KL42" i="1" l="1"/>
  <c r="DF86" i="1"/>
  <c r="DF87" i="1"/>
  <c r="DF84" i="1"/>
  <c r="DF85" i="1"/>
  <c r="DF83" i="1"/>
  <c r="DC104" i="1"/>
  <c r="CT93" i="3"/>
  <c r="DB85" i="3"/>
  <c r="KQ4" i="1"/>
  <c r="DF80" i="1"/>
  <c r="DF82" i="1"/>
  <c r="DF79" i="1"/>
  <c r="DF81" i="1"/>
  <c r="DF42" i="1"/>
  <c r="KL25" i="1"/>
  <c r="DF25" i="1" s="1"/>
  <c r="KL24" i="1"/>
  <c r="DF24" i="1" s="1"/>
  <c r="KL32" i="1"/>
  <c r="DF32" i="1" s="1"/>
  <c r="KL33" i="1"/>
  <c r="DF33" i="1" s="1"/>
  <c r="KK101" i="1"/>
  <c r="DF2" i="1"/>
  <c r="KL2" i="1" s="1"/>
  <c r="DB98" i="1"/>
  <c r="KI65" i="1"/>
  <c r="DC97" i="1"/>
  <c r="DD91" i="1"/>
  <c r="DD92" i="1" s="1"/>
  <c r="DE90" i="1"/>
  <c r="KL41" i="1"/>
  <c r="DF41" i="1" s="1"/>
  <c r="KL40" i="1"/>
  <c r="DF40" i="1" s="1"/>
  <c r="KI47" i="1"/>
  <c r="DL4" i="1"/>
  <c r="DK3" i="1"/>
  <c r="KQ3" i="1" s="1"/>
  <c r="KK44" i="1"/>
  <c r="DE38" i="1"/>
  <c r="DE44" i="1" s="1"/>
  <c r="CV89" i="3" s="1"/>
  <c r="KL30" i="1"/>
  <c r="KL26" i="1"/>
  <c r="DF26" i="1" s="1"/>
  <c r="KL23" i="1"/>
  <c r="DF23" i="1" s="1"/>
  <c r="KL31" i="1"/>
  <c r="DF31" i="1" s="1"/>
  <c r="KL34" i="1"/>
  <c r="DF34" i="1" s="1"/>
  <c r="KL43" i="1"/>
  <c r="DF43" i="1" s="1"/>
  <c r="KL22" i="1"/>
  <c r="KL38" i="1"/>
  <c r="KL39" i="1"/>
  <c r="DF39" i="1" s="1"/>
  <c r="DD46" i="1"/>
  <c r="DD96" i="1" s="1"/>
  <c r="KK27" i="1"/>
  <c r="DE22" i="1"/>
  <c r="DE27" i="1" s="1"/>
  <c r="CV87" i="3" s="1"/>
  <c r="KK35" i="1"/>
  <c r="DE30" i="1"/>
  <c r="DE35" i="1" s="1"/>
  <c r="CV88" i="3" s="1"/>
  <c r="DG14" i="1"/>
  <c r="DG89" i="1" s="1"/>
  <c r="KM14" i="1"/>
  <c r="KL16" i="1"/>
  <c r="DF16" i="1" s="1"/>
  <c r="KL18" i="1"/>
  <c r="DF18" i="1" s="1"/>
  <c r="KL15" i="1"/>
  <c r="KL17" i="1"/>
  <c r="DF17" i="1" s="1"/>
  <c r="DE15" i="1"/>
  <c r="DE19" i="1" s="1"/>
  <c r="CV86" i="3" s="1"/>
  <c r="KK19" i="1"/>
  <c r="KM42" i="1" l="1"/>
  <c r="DG42" i="1" s="1"/>
  <c r="DG86" i="1"/>
  <c r="DG87" i="1"/>
  <c r="DG84" i="1"/>
  <c r="DG85" i="1"/>
  <c r="DG83" i="1"/>
  <c r="DD104" i="1"/>
  <c r="CU93" i="3"/>
  <c r="DC85" i="3"/>
  <c r="KR4" i="1"/>
  <c r="DG79" i="1"/>
  <c r="DG81" i="1"/>
  <c r="DG80" i="1"/>
  <c r="DG82" i="1"/>
  <c r="KM24" i="1"/>
  <c r="DG24" i="1" s="1"/>
  <c r="KM32" i="1"/>
  <c r="DG32" i="1" s="1"/>
  <c r="KM25" i="1"/>
  <c r="DG25" i="1" s="1"/>
  <c r="KM33" i="1"/>
  <c r="DG33" i="1" s="1"/>
  <c r="DG2" i="1"/>
  <c r="KM2" i="1" s="1"/>
  <c r="KL101" i="1"/>
  <c r="DC98" i="1"/>
  <c r="KJ65" i="1"/>
  <c r="DD97" i="1"/>
  <c r="DE91" i="1"/>
  <c r="DE92" i="1" s="1"/>
  <c r="DF90" i="1"/>
  <c r="KM41" i="1"/>
  <c r="DG41" i="1" s="1"/>
  <c r="KM40" i="1"/>
  <c r="DG40" i="1" s="1"/>
  <c r="KJ47" i="1"/>
  <c r="DH14" i="1"/>
  <c r="DH89" i="1" s="1"/>
  <c r="DF38" i="1"/>
  <c r="DF44" i="1" s="1"/>
  <c r="CW89" i="3" s="1"/>
  <c r="KL44" i="1"/>
  <c r="KL27" i="1"/>
  <c r="DF22" i="1"/>
  <c r="DF27" i="1" s="1"/>
  <c r="CW87" i="3" s="1"/>
  <c r="DF30" i="1"/>
  <c r="DF35" i="1" s="1"/>
  <c r="CW88" i="3" s="1"/>
  <c r="KL35" i="1"/>
  <c r="KM22" i="1"/>
  <c r="KM26" i="1"/>
  <c r="DG26" i="1" s="1"/>
  <c r="KM23" i="1"/>
  <c r="DG23" i="1" s="1"/>
  <c r="KM34" i="1"/>
  <c r="DG34" i="1" s="1"/>
  <c r="KM31" i="1"/>
  <c r="DG31" i="1" s="1"/>
  <c r="KM38" i="1"/>
  <c r="KM43" i="1"/>
  <c r="DG43" i="1" s="1"/>
  <c r="KM30" i="1"/>
  <c r="KM39" i="1"/>
  <c r="DG39" i="1" s="1"/>
  <c r="DE46" i="1"/>
  <c r="DE96" i="1" s="1"/>
  <c r="DM4" i="1"/>
  <c r="DL3" i="1"/>
  <c r="KR3" i="1" s="1"/>
  <c r="KL19" i="1"/>
  <c r="DF15" i="1"/>
  <c r="DF19" i="1" s="1"/>
  <c r="CW86" i="3" s="1"/>
  <c r="KN14" i="1"/>
  <c r="KM18" i="1"/>
  <c r="DG18" i="1" s="1"/>
  <c r="KM17" i="1"/>
  <c r="DG17" i="1" s="1"/>
  <c r="KM16" i="1"/>
  <c r="DG16" i="1" s="1"/>
  <c r="KM15" i="1"/>
  <c r="KN42" i="1" l="1"/>
  <c r="DH86" i="1"/>
  <c r="DH87" i="1"/>
  <c r="DH84" i="1"/>
  <c r="DH85" i="1"/>
  <c r="DH83" i="1"/>
  <c r="DE104" i="1"/>
  <c r="CV93" i="3"/>
  <c r="DD85" i="3"/>
  <c r="KS4" i="1"/>
  <c r="DH81" i="1"/>
  <c r="DH82" i="1"/>
  <c r="DH80" i="1"/>
  <c r="DH79" i="1"/>
  <c r="DH42" i="1"/>
  <c r="KN24" i="1"/>
  <c r="DH24" i="1" s="1"/>
  <c r="KN25" i="1"/>
  <c r="DH25" i="1" s="1"/>
  <c r="KN32" i="1"/>
  <c r="DH32" i="1" s="1"/>
  <c r="KN33" i="1"/>
  <c r="DH33" i="1" s="1"/>
  <c r="KM101" i="1"/>
  <c r="DH2" i="1"/>
  <c r="KN2" i="1" s="1"/>
  <c r="DD98" i="1"/>
  <c r="KK65" i="1"/>
  <c r="DE97" i="1"/>
  <c r="DF91" i="1"/>
  <c r="DF92" i="1" s="1"/>
  <c r="DG90" i="1"/>
  <c r="KN41" i="1"/>
  <c r="DH41" i="1" s="1"/>
  <c r="KN40" i="1"/>
  <c r="DH40" i="1" s="1"/>
  <c r="KK47" i="1"/>
  <c r="DN4" i="1"/>
  <c r="DM3" i="1"/>
  <c r="KS3" i="1" s="1"/>
  <c r="DF46" i="1"/>
  <c r="DF96" i="1" s="1"/>
  <c r="DG22" i="1"/>
  <c r="DG27" i="1" s="1"/>
  <c r="CX87" i="3" s="1"/>
  <c r="KM27" i="1"/>
  <c r="KM44" i="1"/>
  <c r="DG38" i="1"/>
  <c r="DG44" i="1" s="1"/>
  <c r="CX89" i="3" s="1"/>
  <c r="KN22" i="1"/>
  <c r="KN23" i="1"/>
  <c r="DH23" i="1" s="1"/>
  <c r="KN34" i="1"/>
  <c r="DH34" i="1" s="1"/>
  <c r="KN26" i="1"/>
  <c r="DH26" i="1" s="1"/>
  <c r="KN43" i="1"/>
  <c r="DH43" i="1" s="1"/>
  <c r="KN39" i="1"/>
  <c r="DH39" i="1" s="1"/>
  <c r="KN38" i="1"/>
  <c r="KN31" i="1"/>
  <c r="DH31" i="1" s="1"/>
  <c r="KN30" i="1"/>
  <c r="KM35" i="1"/>
  <c r="DG30" i="1"/>
  <c r="DG35" i="1" s="1"/>
  <c r="CX88" i="3" s="1"/>
  <c r="DI14" i="1"/>
  <c r="DI89" i="1" s="1"/>
  <c r="KM19" i="1"/>
  <c r="DG15" i="1"/>
  <c r="DG19" i="1" s="1"/>
  <c r="CX86" i="3" s="1"/>
  <c r="KO14" i="1"/>
  <c r="KN18" i="1"/>
  <c r="DH18" i="1" s="1"/>
  <c r="KN16" i="1"/>
  <c r="DH16" i="1" s="1"/>
  <c r="KN15" i="1"/>
  <c r="KN17" i="1"/>
  <c r="DH17" i="1" s="1"/>
  <c r="KO42" i="1" l="1"/>
  <c r="DI86" i="1"/>
  <c r="DI87" i="1"/>
  <c r="DI84" i="1"/>
  <c r="DI85" i="1"/>
  <c r="DI83" i="1"/>
  <c r="DF104" i="1"/>
  <c r="CW93" i="3"/>
  <c r="DE85" i="3"/>
  <c r="KT4" i="1"/>
  <c r="DI79" i="1"/>
  <c r="DI81" i="1"/>
  <c r="DI80" i="1"/>
  <c r="DI82" i="1"/>
  <c r="DI42" i="1"/>
  <c r="KO25" i="1"/>
  <c r="DI25" i="1" s="1"/>
  <c r="KO32" i="1"/>
  <c r="DI32" i="1" s="1"/>
  <c r="KO24" i="1"/>
  <c r="DI24" i="1" s="1"/>
  <c r="KO33" i="1"/>
  <c r="DI33" i="1" s="1"/>
  <c r="KN101" i="1"/>
  <c r="DI2" i="1"/>
  <c r="KO2" i="1" s="1"/>
  <c r="DE98" i="1"/>
  <c r="KL65" i="1"/>
  <c r="DF97" i="1"/>
  <c r="DG91" i="1"/>
  <c r="DG92" i="1" s="1"/>
  <c r="DH90" i="1"/>
  <c r="KO41" i="1"/>
  <c r="DI41" i="1" s="1"/>
  <c r="KO40" i="1"/>
  <c r="DI40" i="1" s="1"/>
  <c r="KL47" i="1"/>
  <c r="DG46" i="1"/>
  <c r="DG96" i="1" s="1"/>
  <c r="DJ14" i="1"/>
  <c r="DJ89" i="1" s="1"/>
  <c r="KN44" i="1"/>
  <c r="DH38" i="1"/>
  <c r="DH44" i="1" s="1"/>
  <c r="CY89" i="3" s="1"/>
  <c r="KO26" i="1"/>
  <c r="DI26" i="1" s="1"/>
  <c r="KO34" i="1"/>
  <c r="DI34" i="1" s="1"/>
  <c r="KO30" i="1"/>
  <c r="KO43" i="1"/>
  <c r="DI43" i="1" s="1"/>
  <c r="KO31" i="1"/>
  <c r="DI31" i="1" s="1"/>
  <c r="KO22" i="1"/>
  <c r="KO23" i="1"/>
  <c r="DI23" i="1" s="1"/>
  <c r="KO39" i="1"/>
  <c r="DI39" i="1" s="1"/>
  <c r="KO38" i="1"/>
  <c r="DH30" i="1"/>
  <c r="DH35" i="1" s="1"/>
  <c r="CY88" i="3" s="1"/>
  <c r="KN35" i="1"/>
  <c r="DH22" i="1"/>
  <c r="DH27" i="1" s="1"/>
  <c r="CY87" i="3" s="1"/>
  <c r="KN27" i="1"/>
  <c r="DO4" i="1"/>
  <c r="DN3" i="1"/>
  <c r="KT3" i="1" s="1"/>
  <c r="KP14" i="1"/>
  <c r="KO18" i="1"/>
  <c r="DI18" i="1" s="1"/>
  <c r="KO15" i="1"/>
  <c r="KO17" i="1"/>
  <c r="DI17" i="1" s="1"/>
  <c r="KO16" i="1"/>
  <c r="DI16" i="1" s="1"/>
  <c r="KN19" i="1"/>
  <c r="DH15" i="1"/>
  <c r="DH19" i="1" s="1"/>
  <c r="CY86" i="3" s="1"/>
  <c r="KP42" i="1" l="1"/>
  <c r="DJ86" i="1"/>
  <c r="DJ87" i="1"/>
  <c r="DJ84" i="1"/>
  <c r="DJ85" i="1"/>
  <c r="DJ83" i="1"/>
  <c r="DG104" i="1"/>
  <c r="CX93" i="3"/>
  <c r="DF85" i="3"/>
  <c r="KU4" i="1"/>
  <c r="DJ79" i="1"/>
  <c r="DJ81" i="1"/>
  <c r="DJ80" i="1"/>
  <c r="DJ82" i="1"/>
  <c r="DJ42" i="1"/>
  <c r="KP33" i="1"/>
  <c r="DJ33" i="1" s="1"/>
  <c r="KP25" i="1"/>
  <c r="DJ25" i="1" s="1"/>
  <c r="KP32" i="1"/>
  <c r="DJ32" i="1" s="1"/>
  <c r="KP24" i="1"/>
  <c r="DJ24" i="1" s="1"/>
  <c r="DJ2" i="1"/>
  <c r="KP2" i="1" s="1"/>
  <c r="KO101" i="1"/>
  <c r="DF98" i="1"/>
  <c r="KM65" i="1"/>
  <c r="DG97" i="1"/>
  <c r="DH91" i="1"/>
  <c r="DH92" i="1" s="1"/>
  <c r="DI90" i="1"/>
  <c r="KP41" i="1"/>
  <c r="DJ41" i="1" s="1"/>
  <c r="KP40" i="1"/>
  <c r="DJ40" i="1" s="1"/>
  <c r="KM47" i="1"/>
  <c r="DP4" i="1"/>
  <c r="DO3" i="1"/>
  <c r="KU3" i="1" s="1"/>
  <c r="DH46" i="1"/>
  <c r="DH96" i="1" s="1"/>
  <c r="KO35" i="1"/>
  <c r="DI30" i="1"/>
  <c r="DI35" i="1" s="1"/>
  <c r="CZ88" i="3" s="1"/>
  <c r="KO27" i="1"/>
  <c r="DI22" i="1"/>
  <c r="DI27" i="1" s="1"/>
  <c r="CZ87" i="3" s="1"/>
  <c r="DI38" i="1"/>
  <c r="DI44" i="1" s="1"/>
  <c r="CZ89" i="3" s="1"/>
  <c r="KO44" i="1"/>
  <c r="KP26" i="1"/>
  <c r="DJ26" i="1" s="1"/>
  <c r="KP22" i="1"/>
  <c r="KP23" i="1"/>
  <c r="DJ23" i="1" s="1"/>
  <c r="KP31" i="1"/>
  <c r="DJ31" i="1" s="1"/>
  <c r="KP43" i="1"/>
  <c r="DJ43" i="1" s="1"/>
  <c r="KP34" i="1"/>
  <c r="DJ34" i="1" s="1"/>
  <c r="KP38" i="1"/>
  <c r="KP30" i="1"/>
  <c r="KP39" i="1"/>
  <c r="DJ39" i="1" s="1"/>
  <c r="DK14" i="1"/>
  <c r="DK89" i="1" s="1"/>
  <c r="DI15" i="1"/>
  <c r="DI19" i="1" s="1"/>
  <c r="CZ86" i="3" s="1"/>
  <c r="KO19" i="1"/>
  <c r="KQ14" i="1"/>
  <c r="KP15" i="1"/>
  <c r="KP18" i="1"/>
  <c r="DJ18" i="1" s="1"/>
  <c r="KP17" i="1"/>
  <c r="DJ17" i="1" s="1"/>
  <c r="KP16" i="1"/>
  <c r="DJ16" i="1" s="1"/>
  <c r="KQ42" i="1" l="1"/>
  <c r="DK86" i="1"/>
  <c r="DK87" i="1"/>
  <c r="DK84" i="1"/>
  <c r="DK85" i="1"/>
  <c r="DK83" i="1"/>
  <c r="DH104" i="1"/>
  <c r="CY93" i="3"/>
  <c r="DG85" i="3"/>
  <c r="KV4" i="1"/>
  <c r="DK80" i="1"/>
  <c r="DK82" i="1"/>
  <c r="DK79" i="1"/>
  <c r="DK81" i="1"/>
  <c r="DK42" i="1"/>
  <c r="KQ32" i="1"/>
  <c r="DK32" i="1" s="1"/>
  <c r="KQ25" i="1"/>
  <c r="DK25" i="1" s="1"/>
  <c r="KQ24" i="1"/>
  <c r="DK24" i="1" s="1"/>
  <c r="KQ33" i="1"/>
  <c r="DK33" i="1" s="1"/>
  <c r="DK2" i="1"/>
  <c r="KQ2" i="1" s="1"/>
  <c r="KP101" i="1"/>
  <c r="DG98" i="1"/>
  <c r="KN65" i="1"/>
  <c r="DH97" i="1"/>
  <c r="DI91" i="1"/>
  <c r="DI92" i="1" s="1"/>
  <c r="DJ90" i="1"/>
  <c r="KQ41" i="1"/>
  <c r="DK41" i="1" s="1"/>
  <c r="KQ40" i="1"/>
  <c r="DK40" i="1" s="1"/>
  <c r="KN47" i="1"/>
  <c r="DJ30" i="1"/>
  <c r="DJ35" i="1" s="1"/>
  <c r="DA88" i="3" s="1"/>
  <c r="KP35" i="1"/>
  <c r="KP27" i="1"/>
  <c r="DJ22" i="1"/>
  <c r="DJ27" i="1" s="1"/>
  <c r="DA87" i="3" s="1"/>
  <c r="DL14" i="1"/>
  <c r="DL89" i="1" s="1"/>
  <c r="DJ38" i="1"/>
  <c r="DJ44" i="1" s="1"/>
  <c r="DA89" i="3" s="1"/>
  <c r="KP44" i="1"/>
  <c r="KQ26" i="1"/>
  <c r="DK26" i="1" s="1"/>
  <c r="KQ30" i="1"/>
  <c r="KQ31" i="1"/>
  <c r="DK31" i="1" s="1"/>
  <c r="KQ34" i="1"/>
  <c r="DK34" i="1" s="1"/>
  <c r="KQ43" i="1"/>
  <c r="DK43" i="1" s="1"/>
  <c r="KQ23" i="1"/>
  <c r="DK23" i="1" s="1"/>
  <c r="KQ22" i="1"/>
  <c r="KQ38" i="1"/>
  <c r="KQ39" i="1"/>
  <c r="DK39" i="1" s="1"/>
  <c r="DI46" i="1"/>
  <c r="DI96" i="1" s="1"/>
  <c r="DQ4" i="1"/>
  <c r="DP3" i="1"/>
  <c r="KV3" i="1" s="1"/>
  <c r="DJ15" i="1"/>
  <c r="DJ19" i="1" s="1"/>
  <c r="DA86" i="3" s="1"/>
  <c r="KP19" i="1"/>
  <c r="KR14" i="1"/>
  <c r="KQ17" i="1"/>
  <c r="DK17" i="1" s="1"/>
  <c r="KQ18" i="1"/>
  <c r="DK18" i="1" s="1"/>
  <c r="KQ15" i="1"/>
  <c r="KQ16" i="1"/>
  <c r="DK16" i="1" s="1"/>
  <c r="KR42" i="1" l="1"/>
  <c r="DL86" i="1"/>
  <c r="DL87" i="1"/>
  <c r="DL84" i="1"/>
  <c r="DL85" i="1"/>
  <c r="DL83" i="1"/>
  <c r="DI104" i="1"/>
  <c r="CZ93" i="3"/>
  <c r="DH85" i="3"/>
  <c r="KW4" i="1"/>
  <c r="DL79" i="1"/>
  <c r="DL80" i="1"/>
  <c r="DL81" i="1"/>
  <c r="DL82" i="1"/>
  <c r="DL42" i="1"/>
  <c r="KR24" i="1"/>
  <c r="DL24" i="1" s="1"/>
  <c r="KR32" i="1"/>
  <c r="DL32" i="1" s="1"/>
  <c r="KR25" i="1"/>
  <c r="DL25" i="1" s="1"/>
  <c r="KR33" i="1"/>
  <c r="DL33" i="1" s="1"/>
  <c r="KQ101" i="1"/>
  <c r="DL2" i="1"/>
  <c r="KR2" i="1" s="1"/>
  <c r="DH98" i="1"/>
  <c r="KO65" i="1"/>
  <c r="DI97" i="1"/>
  <c r="DJ91" i="1"/>
  <c r="DJ92" i="1" s="1"/>
  <c r="DK90" i="1"/>
  <c r="KR40" i="1"/>
  <c r="DL40" i="1" s="1"/>
  <c r="KR41" i="1"/>
  <c r="DL41" i="1" s="1"/>
  <c r="KO47" i="1"/>
  <c r="DJ46" i="1"/>
  <c r="DJ96" i="1" s="1"/>
  <c r="DR4" i="1"/>
  <c r="DQ3" i="1"/>
  <c r="KW3" i="1" s="1"/>
  <c r="KQ44" i="1"/>
  <c r="DK38" i="1"/>
  <c r="DK44" i="1" s="1"/>
  <c r="DB89" i="3" s="1"/>
  <c r="KQ35" i="1"/>
  <c r="DK30" i="1"/>
  <c r="DK35" i="1" s="1"/>
  <c r="DB88" i="3" s="1"/>
  <c r="DM14" i="1"/>
  <c r="DM89" i="1" s="1"/>
  <c r="KR31" i="1"/>
  <c r="DL31" i="1" s="1"/>
  <c r="KR34" i="1"/>
  <c r="DL34" i="1" s="1"/>
  <c r="KR26" i="1"/>
  <c r="DL26" i="1" s="1"/>
  <c r="KR43" i="1"/>
  <c r="DL43" i="1" s="1"/>
  <c r="KR22" i="1"/>
  <c r="KR23" i="1"/>
  <c r="DL23" i="1" s="1"/>
  <c r="KR30" i="1"/>
  <c r="KR39" i="1"/>
  <c r="DL39" i="1" s="1"/>
  <c r="KR38" i="1"/>
  <c r="KQ27" i="1"/>
  <c r="DK22" i="1"/>
  <c r="DK27" i="1" s="1"/>
  <c r="DB87" i="3" s="1"/>
  <c r="DK15" i="1"/>
  <c r="DK19" i="1" s="1"/>
  <c r="DB86" i="3" s="1"/>
  <c r="KQ19" i="1"/>
  <c r="KS14" i="1"/>
  <c r="KR18" i="1"/>
  <c r="DL18" i="1" s="1"/>
  <c r="KR17" i="1"/>
  <c r="DL17" i="1" s="1"/>
  <c r="KR16" i="1"/>
  <c r="DL16" i="1" s="1"/>
  <c r="KR15" i="1"/>
  <c r="KS42" i="1" l="1"/>
  <c r="DM86" i="1"/>
  <c r="DM87" i="1"/>
  <c r="DM84" i="1"/>
  <c r="DM85" i="1"/>
  <c r="DM83" i="1"/>
  <c r="DJ104" i="1"/>
  <c r="DA93" i="3"/>
  <c r="DI85" i="3"/>
  <c r="KX4" i="1"/>
  <c r="DM80" i="1"/>
  <c r="DM82" i="1"/>
  <c r="DM79" i="1"/>
  <c r="DM81" i="1"/>
  <c r="DM42" i="1"/>
  <c r="KS24" i="1"/>
  <c r="DM24" i="1" s="1"/>
  <c r="KS32" i="1"/>
  <c r="DM32" i="1" s="1"/>
  <c r="KS25" i="1"/>
  <c r="DM25" i="1" s="1"/>
  <c r="KS33" i="1"/>
  <c r="DM33" i="1" s="1"/>
  <c r="DM2" i="1"/>
  <c r="KS2" i="1" s="1"/>
  <c r="KR101" i="1"/>
  <c r="DI98" i="1"/>
  <c r="KP65" i="1"/>
  <c r="DJ97" i="1"/>
  <c r="DJ98" i="1" s="1"/>
  <c r="DK91" i="1"/>
  <c r="DK92" i="1" s="1"/>
  <c r="DL90" i="1"/>
  <c r="KS41" i="1"/>
  <c r="DM41" i="1" s="1"/>
  <c r="KS40" i="1"/>
  <c r="DM40" i="1" s="1"/>
  <c r="KP47" i="1"/>
  <c r="KR44" i="1"/>
  <c r="DL38" i="1"/>
  <c r="DL44" i="1" s="1"/>
  <c r="DC89" i="3" s="1"/>
  <c r="DN14" i="1"/>
  <c r="DN89" i="1" s="1"/>
  <c r="DK46" i="1"/>
  <c r="DK96" i="1" s="1"/>
  <c r="KS31" i="1"/>
  <c r="DM31" i="1" s="1"/>
  <c r="KS22" i="1"/>
  <c r="KS26" i="1"/>
  <c r="DM26" i="1" s="1"/>
  <c r="KS23" i="1"/>
  <c r="DM23" i="1" s="1"/>
  <c r="KS30" i="1"/>
  <c r="KS43" i="1"/>
  <c r="DM43" i="1" s="1"/>
  <c r="KS34" i="1"/>
  <c r="DM34" i="1" s="1"/>
  <c r="KS38" i="1"/>
  <c r="KS39" i="1"/>
  <c r="DM39" i="1" s="1"/>
  <c r="KR35" i="1"/>
  <c r="DL30" i="1"/>
  <c r="DL35" i="1" s="1"/>
  <c r="DC88" i="3" s="1"/>
  <c r="KR27" i="1"/>
  <c r="DL22" i="1"/>
  <c r="DL27" i="1" s="1"/>
  <c r="DC87" i="3" s="1"/>
  <c r="DS4" i="1"/>
  <c r="DR3" i="1"/>
  <c r="KX3" i="1" s="1"/>
  <c r="KT14" i="1"/>
  <c r="KS17" i="1"/>
  <c r="DM17" i="1" s="1"/>
  <c r="KS16" i="1"/>
  <c r="DM16" i="1" s="1"/>
  <c r="KS15" i="1"/>
  <c r="KS18" i="1"/>
  <c r="DM18" i="1" s="1"/>
  <c r="DL15" i="1"/>
  <c r="DL19" i="1" s="1"/>
  <c r="DC86" i="3" s="1"/>
  <c r="KR19" i="1"/>
  <c r="KT42" i="1" l="1"/>
  <c r="DN86" i="1"/>
  <c r="DN87" i="1"/>
  <c r="DN84" i="1"/>
  <c r="DN85" i="1"/>
  <c r="DN83" i="1"/>
  <c r="DK104" i="1"/>
  <c r="DB93" i="3"/>
  <c r="DJ85" i="3"/>
  <c r="KY4" i="1"/>
  <c r="DN80" i="1"/>
  <c r="DN82" i="1"/>
  <c r="DN79" i="1"/>
  <c r="DN81" i="1"/>
  <c r="DN42" i="1"/>
  <c r="KT25" i="1"/>
  <c r="DN25" i="1" s="1"/>
  <c r="KT32" i="1"/>
  <c r="DN32" i="1" s="1"/>
  <c r="KT24" i="1"/>
  <c r="DN24" i="1" s="1"/>
  <c r="KT33" i="1"/>
  <c r="DN33" i="1" s="1"/>
  <c r="DN2" i="1"/>
  <c r="KT2" i="1" s="1"/>
  <c r="KS101" i="1"/>
  <c r="KQ65" i="1"/>
  <c r="DK97" i="1"/>
  <c r="DL91" i="1"/>
  <c r="DL92" i="1" s="1"/>
  <c r="DM90" i="1"/>
  <c r="KT41" i="1"/>
  <c r="DN41" i="1" s="1"/>
  <c r="KT40" i="1"/>
  <c r="DN40" i="1" s="1"/>
  <c r="KQ47" i="1"/>
  <c r="KS35" i="1"/>
  <c r="DM30" i="1"/>
  <c r="DM35" i="1" s="1"/>
  <c r="DD88" i="3" s="1"/>
  <c r="KS44" i="1"/>
  <c r="DM38" i="1"/>
  <c r="DM44" i="1" s="1"/>
  <c r="DD89" i="3" s="1"/>
  <c r="DO14" i="1"/>
  <c r="DO89" i="1" s="1"/>
  <c r="DT4" i="1"/>
  <c r="DS3" i="1"/>
  <c r="KY3" i="1" s="1"/>
  <c r="KS27" i="1"/>
  <c r="DM22" i="1"/>
  <c r="DM27" i="1" s="1"/>
  <c r="DD87" i="3" s="1"/>
  <c r="KT23" i="1"/>
  <c r="DN23" i="1" s="1"/>
  <c r="KT26" i="1"/>
  <c r="DN26" i="1" s="1"/>
  <c r="KT22" i="1"/>
  <c r="KT31" i="1"/>
  <c r="DN31" i="1" s="1"/>
  <c r="KT30" i="1"/>
  <c r="KT34" i="1"/>
  <c r="DN34" i="1" s="1"/>
  <c r="KT43" i="1"/>
  <c r="DN43" i="1" s="1"/>
  <c r="KT39" i="1"/>
  <c r="DN39" i="1" s="1"/>
  <c r="KT38" i="1"/>
  <c r="DL46" i="1"/>
  <c r="DL96" i="1" s="1"/>
  <c r="KU14" i="1"/>
  <c r="KT16" i="1"/>
  <c r="DN16" i="1" s="1"/>
  <c r="KT18" i="1"/>
  <c r="DN18" i="1" s="1"/>
  <c r="KT15" i="1"/>
  <c r="KT17" i="1"/>
  <c r="DN17" i="1" s="1"/>
  <c r="DM15" i="1"/>
  <c r="DM19" i="1" s="1"/>
  <c r="DD86" i="3" s="1"/>
  <c r="KS19" i="1"/>
  <c r="KU42" i="1" l="1"/>
  <c r="DO86" i="1"/>
  <c r="DO87" i="1"/>
  <c r="DO84" i="1"/>
  <c r="DO85" i="1"/>
  <c r="DO83" i="1"/>
  <c r="DL104" i="1"/>
  <c r="DC93" i="3"/>
  <c r="DK85" i="3"/>
  <c r="DK87" i="3" s="1"/>
  <c r="KZ4" i="1"/>
  <c r="DO79" i="1"/>
  <c r="DO81" i="1"/>
  <c r="DO80" i="1"/>
  <c r="DO82" i="1"/>
  <c r="DO42" i="1"/>
  <c r="KU33" i="1"/>
  <c r="DO33" i="1" s="1"/>
  <c r="KU32" i="1"/>
  <c r="DO32" i="1" s="1"/>
  <c r="KU25" i="1"/>
  <c r="DO25" i="1" s="1"/>
  <c r="KU24" i="1"/>
  <c r="DO24" i="1" s="1"/>
  <c r="KT101" i="1"/>
  <c r="DO2" i="1"/>
  <c r="KU2" i="1" s="1"/>
  <c r="DK98" i="1"/>
  <c r="KR65" i="1"/>
  <c r="DL97" i="1"/>
  <c r="DM91" i="1"/>
  <c r="DM92" i="1" s="1"/>
  <c r="DN90" i="1"/>
  <c r="KU41" i="1"/>
  <c r="DO41" i="1" s="1"/>
  <c r="KU40" i="1"/>
  <c r="DO40" i="1" s="1"/>
  <c r="KR47" i="1"/>
  <c r="DP14" i="1"/>
  <c r="DP89" i="1" s="1"/>
  <c r="DU4" i="1"/>
  <c r="DT3" i="1"/>
  <c r="KZ3" i="1" s="1"/>
  <c r="KT27" i="1"/>
  <c r="DN22" i="1"/>
  <c r="DN27" i="1" s="1"/>
  <c r="DE87" i="3" s="1"/>
  <c r="KU22" i="1"/>
  <c r="KU26" i="1"/>
  <c r="DO26" i="1" s="1"/>
  <c r="KU31" i="1"/>
  <c r="DO31" i="1" s="1"/>
  <c r="KU30" i="1"/>
  <c r="KU23" i="1"/>
  <c r="DO23" i="1" s="1"/>
  <c r="KU34" i="1"/>
  <c r="DO34" i="1" s="1"/>
  <c r="KU43" i="1"/>
  <c r="DO43" i="1" s="1"/>
  <c r="KU39" i="1"/>
  <c r="DO39" i="1" s="1"/>
  <c r="KU38" i="1"/>
  <c r="KT44" i="1"/>
  <c r="DN38" i="1"/>
  <c r="DN44" i="1" s="1"/>
  <c r="DE89" i="3" s="1"/>
  <c r="DM46" i="1"/>
  <c r="DM96" i="1" s="1"/>
  <c r="DN30" i="1"/>
  <c r="DN35" i="1" s="1"/>
  <c r="DE88" i="3" s="1"/>
  <c r="KT35" i="1"/>
  <c r="KT19" i="1"/>
  <c r="DN15" i="1"/>
  <c r="DN19" i="1" s="1"/>
  <c r="DE86" i="3" s="1"/>
  <c r="KV14" i="1"/>
  <c r="KU18" i="1"/>
  <c r="DO18" i="1" s="1"/>
  <c r="KU17" i="1"/>
  <c r="DO17" i="1" s="1"/>
  <c r="KU16" i="1"/>
  <c r="DO16" i="1" s="1"/>
  <c r="KU15" i="1"/>
  <c r="KV42" i="1" l="1"/>
  <c r="DP86" i="1"/>
  <c r="DP87" i="1"/>
  <c r="DP84" i="1"/>
  <c r="DP85" i="1"/>
  <c r="DP83" i="1"/>
  <c r="DK89" i="3"/>
  <c r="DK86" i="3"/>
  <c r="DK88" i="3"/>
  <c r="DM104" i="1"/>
  <c r="DD93" i="3"/>
  <c r="DL85" i="3"/>
  <c r="DL88" i="3" s="1"/>
  <c r="LA4" i="1"/>
  <c r="DP80" i="1"/>
  <c r="DP81" i="1"/>
  <c r="DP82" i="1"/>
  <c r="DP79" i="1"/>
  <c r="DP42" i="1"/>
  <c r="KV33" i="1"/>
  <c r="DP33" i="1" s="1"/>
  <c r="KV24" i="1"/>
  <c r="DP24" i="1" s="1"/>
  <c r="KV25" i="1"/>
  <c r="DP25" i="1" s="1"/>
  <c r="KV32" i="1"/>
  <c r="DP32" i="1" s="1"/>
  <c r="KU101" i="1"/>
  <c r="DP2" i="1"/>
  <c r="KV2" i="1" s="1"/>
  <c r="DL98" i="1"/>
  <c r="KS65" i="1"/>
  <c r="DM97" i="1"/>
  <c r="DN91" i="1"/>
  <c r="DN92" i="1" s="1"/>
  <c r="DO90" i="1"/>
  <c r="KV41" i="1"/>
  <c r="DP41" i="1" s="1"/>
  <c r="KV40" i="1"/>
  <c r="DP40" i="1" s="1"/>
  <c r="KS47" i="1"/>
  <c r="DN46" i="1"/>
  <c r="DN96" i="1" s="1"/>
  <c r="DO30" i="1"/>
  <c r="DO35" i="1" s="1"/>
  <c r="DF88" i="3" s="1"/>
  <c r="KU35" i="1"/>
  <c r="KV26" i="1"/>
  <c r="DP26" i="1" s="1"/>
  <c r="KV22" i="1"/>
  <c r="KV23" i="1"/>
  <c r="DP23" i="1" s="1"/>
  <c r="KV43" i="1"/>
  <c r="DP43" i="1" s="1"/>
  <c r="KV39" i="1"/>
  <c r="DP39" i="1" s="1"/>
  <c r="KV34" i="1"/>
  <c r="DP34" i="1" s="1"/>
  <c r="KV31" i="1"/>
  <c r="DP31" i="1" s="1"/>
  <c r="KV38" i="1"/>
  <c r="KV30" i="1"/>
  <c r="KU44" i="1"/>
  <c r="DO38" i="1"/>
  <c r="DO44" i="1" s="1"/>
  <c r="DF89" i="3" s="1"/>
  <c r="DV4" i="1"/>
  <c r="DU3" i="1"/>
  <c r="LA3" i="1" s="1"/>
  <c r="KU27" i="1"/>
  <c r="DO22" i="1"/>
  <c r="DO27" i="1" s="1"/>
  <c r="DF87" i="3" s="1"/>
  <c r="DQ14" i="1"/>
  <c r="DQ89" i="1" s="1"/>
  <c r="KW14" i="1"/>
  <c r="KV17" i="1"/>
  <c r="DP17" i="1" s="1"/>
  <c r="KV16" i="1"/>
  <c r="DP16" i="1" s="1"/>
  <c r="KV15" i="1"/>
  <c r="KV18" i="1"/>
  <c r="DP18" i="1" s="1"/>
  <c r="KU19" i="1"/>
  <c r="DO15" i="1"/>
  <c r="DO19" i="1" s="1"/>
  <c r="DF86" i="3" s="1"/>
  <c r="KW42" i="1" l="1"/>
  <c r="DQ42" i="1" s="1"/>
  <c r="DQ86" i="1"/>
  <c r="DQ87" i="1"/>
  <c r="DQ84" i="1"/>
  <c r="DQ85" i="1"/>
  <c r="DQ83" i="1"/>
  <c r="DL87" i="3"/>
  <c r="DL86" i="3"/>
  <c r="DL89" i="3"/>
  <c r="DN104" i="1"/>
  <c r="DE93" i="3"/>
  <c r="DM85" i="3"/>
  <c r="DM86" i="3" s="1"/>
  <c r="LB4" i="1"/>
  <c r="DQ79" i="1"/>
  <c r="DQ81" i="1"/>
  <c r="DQ82" i="1"/>
  <c r="DQ80" i="1"/>
  <c r="KW25" i="1"/>
  <c r="DQ25" i="1" s="1"/>
  <c r="KW24" i="1"/>
  <c r="DQ24" i="1" s="1"/>
  <c r="KW32" i="1"/>
  <c r="DQ32" i="1" s="1"/>
  <c r="KW33" i="1"/>
  <c r="DQ33" i="1" s="1"/>
  <c r="KV101" i="1"/>
  <c r="DQ2" i="1"/>
  <c r="KW2" i="1" s="1"/>
  <c r="DM98" i="1"/>
  <c r="KT65" i="1"/>
  <c r="DN97" i="1"/>
  <c r="DO91" i="1"/>
  <c r="DO92" i="1" s="1"/>
  <c r="DP90" i="1"/>
  <c r="KW41" i="1"/>
  <c r="DQ41" i="1" s="1"/>
  <c r="KW40" i="1"/>
  <c r="DQ40" i="1" s="1"/>
  <c r="KT47" i="1"/>
  <c r="KW31" i="1"/>
  <c r="DQ31" i="1" s="1"/>
  <c r="KW26" i="1"/>
  <c r="DQ26" i="1" s="1"/>
  <c r="KW23" i="1"/>
  <c r="DQ23" i="1" s="1"/>
  <c r="KW30" i="1"/>
  <c r="KW34" i="1"/>
  <c r="DQ34" i="1" s="1"/>
  <c r="KW43" i="1"/>
  <c r="DQ43" i="1" s="1"/>
  <c r="KW39" i="1"/>
  <c r="DQ39" i="1" s="1"/>
  <c r="KW38" i="1"/>
  <c r="KW22" i="1"/>
  <c r="DW4" i="1"/>
  <c r="DV3" i="1"/>
  <c r="LB3" i="1" s="1"/>
  <c r="DR14" i="1"/>
  <c r="DR89" i="1" s="1"/>
  <c r="KV35" i="1"/>
  <c r="DP30" i="1"/>
  <c r="DP35" i="1" s="1"/>
  <c r="DG88" i="3" s="1"/>
  <c r="KV44" i="1"/>
  <c r="DP38" i="1"/>
  <c r="DP44" i="1" s="1"/>
  <c r="DG89" i="3" s="1"/>
  <c r="KV27" i="1"/>
  <c r="DP22" i="1"/>
  <c r="DP27" i="1" s="1"/>
  <c r="DG87" i="3" s="1"/>
  <c r="DO46" i="1"/>
  <c r="DO96" i="1" s="1"/>
  <c r="KV19" i="1"/>
  <c r="DP15" i="1"/>
  <c r="DP19" i="1" s="1"/>
  <c r="DG86" i="3" s="1"/>
  <c r="KX14" i="1"/>
  <c r="KW18" i="1"/>
  <c r="DQ18" i="1" s="1"/>
  <c r="KW15" i="1"/>
  <c r="KW17" i="1"/>
  <c r="DQ17" i="1" s="1"/>
  <c r="KW16" i="1"/>
  <c r="DQ16" i="1" s="1"/>
  <c r="KX42" i="1" l="1"/>
  <c r="DR42" i="1" s="1"/>
  <c r="DR86" i="1"/>
  <c r="DR87" i="1"/>
  <c r="DR84" i="1"/>
  <c r="DR85" i="1"/>
  <c r="DR83" i="1"/>
  <c r="DM89" i="3"/>
  <c r="DM87" i="3"/>
  <c r="DM88" i="3"/>
  <c r="DO104" i="1"/>
  <c r="DF93" i="3"/>
  <c r="DN85" i="3"/>
  <c r="DN88" i="3" s="1"/>
  <c r="LC4" i="1"/>
  <c r="DR79" i="1"/>
  <c r="DR81" i="1"/>
  <c r="DR80" i="1"/>
  <c r="DR82" i="1"/>
  <c r="KX33" i="1"/>
  <c r="DR33" i="1" s="1"/>
  <c r="KX25" i="1"/>
  <c r="DR25" i="1" s="1"/>
  <c r="KX24" i="1"/>
  <c r="DR24" i="1" s="1"/>
  <c r="KX32" i="1"/>
  <c r="DR32" i="1" s="1"/>
  <c r="KW101" i="1"/>
  <c r="DR2" i="1"/>
  <c r="KX2" i="1" s="1"/>
  <c r="DN98" i="1"/>
  <c r="KU65" i="1"/>
  <c r="DO97" i="1"/>
  <c r="DP91" i="1"/>
  <c r="DP92" i="1" s="1"/>
  <c r="DQ90" i="1"/>
  <c r="KX41" i="1"/>
  <c r="DR41" i="1" s="1"/>
  <c r="KX40" i="1"/>
  <c r="DR40" i="1" s="1"/>
  <c r="KU47" i="1"/>
  <c r="KX34" i="1"/>
  <c r="DR34" i="1" s="1"/>
  <c r="KX23" i="1"/>
  <c r="DR23" i="1" s="1"/>
  <c r="KX26" i="1"/>
  <c r="DR26" i="1" s="1"/>
  <c r="KX31" i="1"/>
  <c r="DR31" i="1" s="1"/>
  <c r="KX43" i="1"/>
  <c r="DR43" i="1" s="1"/>
  <c r="KX38" i="1"/>
  <c r="KX39" i="1"/>
  <c r="DR39" i="1" s="1"/>
  <c r="KX22" i="1"/>
  <c r="KX30" i="1"/>
  <c r="DS14" i="1"/>
  <c r="DS89" i="1" s="1"/>
  <c r="DP46" i="1"/>
  <c r="DP96" i="1" s="1"/>
  <c r="DQ22" i="1"/>
  <c r="DQ27" i="1" s="1"/>
  <c r="DH87" i="3" s="1"/>
  <c r="KW27" i="1"/>
  <c r="DX4" i="1"/>
  <c r="DW3" i="1"/>
  <c r="LC3" i="1" s="1"/>
  <c r="DQ30" i="1"/>
  <c r="DQ35" i="1" s="1"/>
  <c r="DH88" i="3" s="1"/>
  <c r="KW35" i="1"/>
  <c r="KW44" i="1"/>
  <c r="DQ38" i="1"/>
  <c r="DQ44" i="1" s="1"/>
  <c r="DH89" i="3" s="1"/>
  <c r="DQ15" i="1"/>
  <c r="DQ19" i="1" s="1"/>
  <c r="DH86" i="3" s="1"/>
  <c r="KW19" i="1"/>
  <c r="KY14" i="1"/>
  <c r="KX15" i="1"/>
  <c r="KX17" i="1"/>
  <c r="DR17" i="1" s="1"/>
  <c r="KX16" i="1"/>
  <c r="DR16" i="1" s="1"/>
  <c r="KX18" i="1"/>
  <c r="DR18" i="1" s="1"/>
  <c r="KY42" i="1" l="1"/>
  <c r="DS42" i="1" s="1"/>
  <c r="DS86" i="1"/>
  <c r="DS87" i="1"/>
  <c r="DS84" i="1"/>
  <c r="DS85" i="1"/>
  <c r="DS83" i="1"/>
  <c r="DN89" i="3"/>
  <c r="DN86" i="3"/>
  <c r="DP104" i="1"/>
  <c r="DG93" i="3"/>
  <c r="DN87" i="3"/>
  <c r="DO85" i="3"/>
  <c r="LD4" i="1"/>
  <c r="DS80" i="1"/>
  <c r="DS82" i="1"/>
  <c r="DS81" i="1"/>
  <c r="DS79" i="1"/>
  <c r="KY32" i="1"/>
  <c r="DS32" i="1" s="1"/>
  <c r="KY25" i="1"/>
  <c r="DS25" i="1" s="1"/>
  <c r="KY33" i="1"/>
  <c r="DS33" i="1" s="1"/>
  <c r="KY24" i="1"/>
  <c r="DS24" i="1" s="1"/>
  <c r="KX101" i="1"/>
  <c r="DS2" i="1"/>
  <c r="KY2" i="1" s="1"/>
  <c r="DO98" i="1"/>
  <c r="KV65" i="1"/>
  <c r="DP97" i="1"/>
  <c r="DQ91" i="1"/>
  <c r="DQ92" i="1" s="1"/>
  <c r="DR90" i="1"/>
  <c r="KY41" i="1"/>
  <c r="DS41" i="1" s="1"/>
  <c r="KY40" i="1"/>
  <c r="DS40" i="1" s="1"/>
  <c r="KV47" i="1"/>
  <c r="DQ46" i="1"/>
  <c r="DQ96" i="1" s="1"/>
  <c r="KY26" i="1"/>
  <c r="DS26" i="1" s="1"/>
  <c r="KY30" i="1"/>
  <c r="KY22" i="1"/>
  <c r="KY31" i="1"/>
  <c r="DS31" i="1" s="1"/>
  <c r="KY43" i="1"/>
  <c r="DS43" i="1" s="1"/>
  <c r="KY34" i="1"/>
  <c r="DS34" i="1" s="1"/>
  <c r="KY38" i="1"/>
  <c r="KY23" i="1"/>
  <c r="DS23" i="1" s="1"/>
  <c r="KY39" i="1"/>
  <c r="DS39" i="1" s="1"/>
  <c r="DT14" i="1"/>
  <c r="DT89" i="1" s="1"/>
  <c r="KX35" i="1"/>
  <c r="DR30" i="1"/>
  <c r="DR35" i="1" s="1"/>
  <c r="DI88" i="3" s="1"/>
  <c r="KX27" i="1"/>
  <c r="DR22" i="1"/>
  <c r="DR27" i="1" s="1"/>
  <c r="DI87" i="3" s="1"/>
  <c r="DY4" i="1"/>
  <c r="DX3" i="1"/>
  <c r="LD3" i="1" s="1"/>
  <c r="KX44" i="1"/>
  <c r="DR38" i="1"/>
  <c r="DR44" i="1" s="1"/>
  <c r="DI89" i="3" s="1"/>
  <c r="DR15" i="1"/>
  <c r="DR19" i="1" s="1"/>
  <c r="DI86" i="3" s="1"/>
  <c r="KX19" i="1"/>
  <c r="KZ14" i="1"/>
  <c r="KY17" i="1"/>
  <c r="DS17" i="1" s="1"/>
  <c r="KY18" i="1"/>
  <c r="DS18" i="1" s="1"/>
  <c r="KY15" i="1"/>
  <c r="KY16" i="1"/>
  <c r="DS16" i="1" s="1"/>
  <c r="KZ42" i="1" l="1"/>
  <c r="DT86" i="1"/>
  <c r="DT87" i="1"/>
  <c r="DT84" i="1"/>
  <c r="DT85" i="1"/>
  <c r="DT83" i="1"/>
  <c r="DO88" i="3"/>
  <c r="DO87" i="3"/>
  <c r="DO89" i="3"/>
  <c r="DO86" i="3"/>
  <c r="DQ104" i="1"/>
  <c r="DH93" i="3"/>
  <c r="DP85" i="3"/>
  <c r="DP88" i="3" s="1"/>
  <c r="LE4" i="1"/>
  <c r="DT79" i="1"/>
  <c r="DT82" i="1"/>
  <c r="DT80" i="1"/>
  <c r="DT81" i="1"/>
  <c r="DT42" i="1"/>
  <c r="KZ33" i="1"/>
  <c r="DT33" i="1" s="1"/>
  <c r="KZ32" i="1"/>
  <c r="DT32" i="1" s="1"/>
  <c r="KZ25" i="1"/>
  <c r="DT25" i="1" s="1"/>
  <c r="KZ24" i="1"/>
  <c r="DT24" i="1" s="1"/>
  <c r="DT2" i="1"/>
  <c r="KZ2" i="1" s="1"/>
  <c r="KY101" i="1"/>
  <c r="DP98" i="1"/>
  <c r="KW65" i="1"/>
  <c r="DQ97" i="1"/>
  <c r="DR91" i="1"/>
  <c r="DR92" i="1" s="1"/>
  <c r="DS90" i="1"/>
  <c r="KZ41" i="1"/>
  <c r="DT41" i="1" s="1"/>
  <c r="KZ40" i="1"/>
  <c r="DT40" i="1" s="1"/>
  <c r="KW47" i="1"/>
  <c r="DR46" i="1"/>
  <c r="DR96" i="1" s="1"/>
  <c r="DU14" i="1"/>
  <c r="DU89" i="1" s="1"/>
  <c r="DZ4" i="1"/>
  <c r="DY3" i="1"/>
  <c r="LE3" i="1" s="1"/>
  <c r="DS22" i="1"/>
  <c r="DS27" i="1" s="1"/>
  <c r="DJ87" i="3" s="1"/>
  <c r="KY27" i="1"/>
  <c r="KZ30" i="1"/>
  <c r="KZ26" i="1"/>
  <c r="DT26" i="1" s="1"/>
  <c r="KZ31" i="1"/>
  <c r="DT31" i="1" s="1"/>
  <c r="KZ22" i="1"/>
  <c r="KZ43" i="1"/>
  <c r="DT43" i="1" s="1"/>
  <c r="KZ34" i="1"/>
  <c r="DT34" i="1" s="1"/>
  <c r="KZ23" i="1"/>
  <c r="DT23" i="1" s="1"/>
  <c r="KZ38" i="1"/>
  <c r="KZ39" i="1"/>
  <c r="DT39" i="1" s="1"/>
  <c r="KY35" i="1"/>
  <c r="DS30" i="1"/>
  <c r="DS35" i="1" s="1"/>
  <c r="DJ88" i="3" s="1"/>
  <c r="DS38" i="1"/>
  <c r="DS44" i="1" s="1"/>
  <c r="DJ89" i="3" s="1"/>
  <c r="KY44" i="1"/>
  <c r="DS15" i="1"/>
  <c r="DS19" i="1" s="1"/>
  <c r="DJ86" i="3" s="1"/>
  <c r="KY19" i="1"/>
  <c r="LA14" i="1"/>
  <c r="KZ16" i="1"/>
  <c r="DT16" i="1" s="1"/>
  <c r="KZ18" i="1"/>
  <c r="DT18" i="1" s="1"/>
  <c r="KZ15" i="1"/>
  <c r="KZ17" i="1"/>
  <c r="DT17" i="1" s="1"/>
  <c r="LA42" i="1" l="1"/>
  <c r="DU42" i="1" s="1"/>
  <c r="DU86" i="1"/>
  <c r="DU87" i="1"/>
  <c r="DU84" i="1"/>
  <c r="DU85" i="1"/>
  <c r="DU83" i="1"/>
  <c r="DP86" i="3"/>
  <c r="DP89" i="3"/>
  <c r="DR104" i="1"/>
  <c r="DI93" i="3"/>
  <c r="DP87" i="3"/>
  <c r="DQ85" i="3"/>
  <c r="DQ89" i="3" s="1"/>
  <c r="LF4" i="1"/>
  <c r="DU80" i="1"/>
  <c r="DU82" i="1"/>
  <c r="DU81" i="1"/>
  <c r="DU79" i="1"/>
  <c r="LA24" i="1"/>
  <c r="DU24" i="1" s="1"/>
  <c r="LA33" i="1"/>
  <c r="DU33" i="1" s="1"/>
  <c r="LA25" i="1"/>
  <c r="DU25" i="1" s="1"/>
  <c r="LA32" i="1"/>
  <c r="DU32" i="1" s="1"/>
  <c r="DU2" i="1"/>
  <c r="LA2" i="1" s="1"/>
  <c r="KZ101" i="1"/>
  <c r="DQ98" i="1"/>
  <c r="KX65" i="1"/>
  <c r="DR97" i="1"/>
  <c r="DS91" i="1"/>
  <c r="DS92" i="1" s="1"/>
  <c r="DT90" i="1"/>
  <c r="LA41" i="1"/>
  <c r="DU41" i="1" s="1"/>
  <c r="LA40" i="1"/>
  <c r="DU40" i="1" s="1"/>
  <c r="KX47" i="1"/>
  <c r="DS46" i="1"/>
  <c r="DS96" i="1" s="1"/>
  <c r="DT22" i="1"/>
  <c r="DT27" i="1" s="1"/>
  <c r="KZ27" i="1"/>
  <c r="EA4" i="1"/>
  <c r="DZ3" i="1"/>
  <c r="LF3" i="1" s="1"/>
  <c r="LA30" i="1"/>
  <c r="LA31" i="1"/>
  <c r="DU31" i="1" s="1"/>
  <c r="LA26" i="1"/>
  <c r="DU26" i="1" s="1"/>
  <c r="LA23" i="1"/>
  <c r="DU23" i="1" s="1"/>
  <c r="LA43" i="1"/>
  <c r="DU43" i="1" s="1"/>
  <c r="LA34" i="1"/>
  <c r="DU34" i="1" s="1"/>
  <c r="LA22" i="1"/>
  <c r="LA38" i="1"/>
  <c r="LA39" i="1"/>
  <c r="DU39" i="1" s="1"/>
  <c r="DT38" i="1"/>
  <c r="DT44" i="1" s="1"/>
  <c r="KZ44" i="1"/>
  <c r="DT30" i="1"/>
  <c r="DT35" i="1" s="1"/>
  <c r="KZ35" i="1"/>
  <c r="DV14" i="1"/>
  <c r="DV89" i="1" s="1"/>
  <c r="DT15" i="1"/>
  <c r="DT19" i="1" s="1"/>
  <c r="KZ19" i="1"/>
  <c r="LB14" i="1"/>
  <c r="LA17" i="1"/>
  <c r="DU17" i="1" s="1"/>
  <c r="LA16" i="1"/>
  <c r="DU16" i="1" s="1"/>
  <c r="LA18" i="1"/>
  <c r="DU18" i="1" s="1"/>
  <c r="LA15" i="1"/>
  <c r="LB42" i="1" l="1"/>
  <c r="DV42" i="1" s="1"/>
  <c r="DV86" i="1"/>
  <c r="DV87" i="1"/>
  <c r="DV84" i="1"/>
  <c r="DV85" i="1"/>
  <c r="DV83" i="1"/>
  <c r="DQ86" i="3"/>
  <c r="DQ87" i="3"/>
  <c r="DS104" i="1"/>
  <c r="DJ93" i="3"/>
  <c r="DQ88" i="3"/>
  <c r="DR85" i="3"/>
  <c r="DR89" i="3" s="1"/>
  <c r="LG4" i="1"/>
  <c r="DV80" i="1"/>
  <c r="DV82" i="1"/>
  <c r="DV79" i="1"/>
  <c r="DV81" i="1"/>
  <c r="LB25" i="1"/>
  <c r="DV25" i="1" s="1"/>
  <c r="LB24" i="1"/>
  <c r="DV24" i="1" s="1"/>
  <c r="LB32" i="1"/>
  <c r="DV32" i="1" s="1"/>
  <c r="LB33" i="1"/>
  <c r="DV33" i="1" s="1"/>
  <c r="DV2" i="1"/>
  <c r="LB2" i="1" s="1"/>
  <c r="LA101" i="1"/>
  <c r="DR98" i="1"/>
  <c r="KY65" i="1"/>
  <c r="DS97" i="1"/>
  <c r="DT91" i="1"/>
  <c r="DT92" i="1" s="1"/>
  <c r="DU90" i="1"/>
  <c r="LB40" i="1"/>
  <c r="DV40" i="1" s="1"/>
  <c r="LB41" i="1"/>
  <c r="DV41" i="1" s="1"/>
  <c r="KY47" i="1"/>
  <c r="DW14" i="1"/>
  <c r="DW89" i="1" s="1"/>
  <c r="DU38" i="1"/>
  <c r="DU44" i="1" s="1"/>
  <c r="LA44" i="1"/>
  <c r="LA27" i="1"/>
  <c r="DU22" i="1"/>
  <c r="DU27" i="1" s="1"/>
  <c r="DU30" i="1"/>
  <c r="DU35" i="1" s="1"/>
  <c r="LA35" i="1"/>
  <c r="DT46" i="1"/>
  <c r="DT96" i="1" s="1"/>
  <c r="LB26" i="1"/>
  <c r="DV26" i="1" s="1"/>
  <c r="LB23" i="1"/>
  <c r="DV23" i="1" s="1"/>
  <c r="LB30" i="1"/>
  <c r="LB43" i="1"/>
  <c r="DV43" i="1" s="1"/>
  <c r="LB31" i="1"/>
  <c r="DV31" i="1" s="1"/>
  <c r="LB34" i="1"/>
  <c r="DV34" i="1" s="1"/>
  <c r="LB22" i="1"/>
  <c r="LB38" i="1"/>
  <c r="LB39" i="1"/>
  <c r="DV39" i="1" s="1"/>
  <c r="EB4" i="1"/>
  <c r="EA3" i="1"/>
  <c r="LG3" i="1" s="1"/>
  <c r="DU15" i="1"/>
  <c r="DU19" i="1" s="1"/>
  <c r="LA19" i="1"/>
  <c r="LC14" i="1"/>
  <c r="LB16" i="1"/>
  <c r="DV16" i="1" s="1"/>
  <c r="LB18" i="1"/>
  <c r="DV18" i="1" s="1"/>
  <c r="LB17" i="1"/>
  <c r="DV17" i="1" s="1"/>
  <c r="LB15" i="1"/>
  <c r="LC42" i="1" l="1"/>
  <c r="DW42" i="1" s="1"/>
  <c r="DW86" i="1"/>
  <c r="DW87" i="1"/>
  <c r="DW84" i="1"/>
  <c r="DW85" i="1"/>
  <c r="DW83" i="1"/>
  <c r="DT104" i="1"/>
  <c r="DK93" i="3"/>
  <c r="DR87" i="3"/>
  <c r="DR86" i="3"/>
  <c r="DR88" i="3"/>
  <c r="DS85" i="3"/>
  <c r="LH4" i="1"/>
  <c r="DW79" i="1"/>
  <c r="DW81" i="1"/>
  <c r="DW80" i="1"/>
  <c r="DW82" i="1"/>
  <c r="LC25" i="1"/>
  <c r="DW25" i="1" s="1"/>
  <c r="LC24" i="1"/>
  <c r="DW24" i="1" s="1"/>
  <c r="LC32" i="1"/>
  <c r="DW32" i="1" s="1"/>
  <c r="LC33" i="1"/>
  <c r="DW33" i="1" s="1"/>
  <c r="DW2" i="1"/>
  <c r="LC2" i="1" s="1"/>
  <c r="LB101" i="1"/>
  <c r="DS98" i="1"/>
  <c r="KZ65" i="1"/>
  <c r="DT97" i="1"/>
  <c r="DU91" i="1"/>
  <c r="DU92" i="1" s="1"/>
  <c r="DV90" i="1"/>
  <c r="LC40" i="1"/>
  <c r="DW40" i="1" s="1"/>
  <c r="LC41" i="1"/>
  <c r="DW41" i="1" s="1"/>
  <c r="KZ47" i="1"/>
  <c r="DU46" i="1"/>
  <c r="DU96" i="1" s="1"/>
  <c r="LC23" i="1"/>
  <c r="DW23" i="1" s="1"/>
  <c r="LC31" i="1"/>
  <c r="DW31" i="1" s="1"/>
  <c r="LC26" i="1"/>
  <c r="DW26" i="1" s="1"/>
  <c r="LC22" i="1"/>
  <c r="LC30" i="1"/>
  <c r="LC38" i="1"/>
  <c r="LC43" i="1"/>
  <c r="DW43" i="1" s="1"/>
  <c r="LC34" i="1"/>
  <c r="DW34" i="1" s="1"/>
  <c r="LC39" i="1"/>
  <c r="DW39" i="1" s="1"/>
  <c r="LB44" i="1"/>
  <c r="DV38" i="1"/>
  <c r="DV44" i="1" s="1"/>
  <c r="LB27" i="1"/>
  <c r="DV22" i="1"/>
  <c r="DV27" i="1" s="1"/>
  <c r="DX14" i="1"/>
  <c r="DX89" i="1" s="1"/>
  <c r="EC4" i="1"/>
  <c r="EB3" i="1"/>
  <c r="LH3" i="1" s="1"/>
  <c r="DV30" i="1"/>
  <c r="DV35" i="1" s="1"/>
  <c r="LB35" i="1"/>
  <c r="LD14" i="1"/>
  <c r="LC18" i="1"/>
  <c r="DW18" i="1" s="1"/>
  <c r="LC17" i="1"/>
  <c r="DW17" i="1" s="1"/>
  <c r="LC16" i="1"/>
  <c r="DW16" i="1" s="1"/>
  <c r="LC15" i="1"/>
  <c r="LB19" i="1"/>
  <c r="DV15" i="1"/>
  <c r="DV19" i="1" s="1"/>
  <c r="LD42" i="1" l="1"/>
  <c r="DX42" i="1" s="1"/>
  <c r="DX86" i="1"/>
  <c r="DX87" i="1"/>
  <c r="DX84" i="1"/>
  <c r="DX85" i="1"/>
  <c r="DX83" i="1"/>
  <c r="DU104" i="1"/>
  <c r="DL93" i="3"/>
  <c r="DS89" i="3"/>
  <c r="DS87" i="3"/>
  <c r="DS88" i="3"/>
  <c r="DS86" i="3"/>
  <c r="DT85" i="3"/>
  <c r="DT89" i="3" s="1"/>
  <c r="LI4" i="1"/>
  <c r="DX79" i="1"/>
  <c r="DX80" i="1"/>
  <c r="DX81" i="1"/>
  <c r="DX82" i="1"/>
  <c r="LD24" i="1"/>
  <c r="DX24" i="1" s="1"/>
  <c r="LD32" i="1"/>
  <c r="DX32" i="1" s="1"/>
  <c r="LD25" i="1"/>
  <c r="DX25" i="1" s="1"/>
  <c r="LD33" i="1"/>
  <c r="DX33" i="1" s="1"/>
  <c r="DX2" i="1"/>
  <c r="LD2" i="1" s="1"/>
  <c r="LC101" i="1"/>
  <c r="DT98" i="1"/>
  <c r="LA65" i="1"/>
  <c r="DU97" i="1"/>
  <c r="DV91" i="1"/>
  <c r="DV92" i="1" s="1"/>
  <c r="DW90" i="1"/>
  <c r="LD41" i="1"/>
  <c r="DX41" i="1" s="1"/>
  <c r="LD40" i="1"/>
  <c r="DX40" i="1" s="1"/>
  <c r="LA47" i="1"/>
  <c r="DW38" i="1"/>
  <c r="DW44" i="1" s="1"/>
  <c r="LC44" i="1"/>
  <c r="DW30" i="1"/>
  <c r="DW35" i="1" s="1"/>
  <c r="LC35" i="1"/>
  <c r="DV46" i="1"/>
  <c r="DV96" i="1" s="1"/>
  <c r="ED4" i="1"/>
  <c r="EC3" i="1"/>
  <c r="LI3" i="1" s="1"/>
  <c r="DW22" i="1"/>
  <c r="DW27" i="1" s="1"/>
  <c r="LC27" i="1"/>
  <c r="LD26" i="1"/>
  <c r="DX26" i="1" s="1"/>
  <c r="LD22" i="1"/>
  <c r="LD23" i="1"/>
  <c r="DX23" i="1" s="1"/>
  <c r="LD34" i="1"/>
  <c r="DX34" i="1" s="1"/>
  <c r="LD31" i="1"/>
  <c r="DX31" i="1" s="1"/>
  <c r="LD43" i="1"/>
  <c r="DX43" i="1" s="1"/>
  <c r="LD30" i="1"/>
  <c r="LD39" i="1"/>
  <c r="DX39" i="1" s="1"/>
  <c r="LD38" i="1"/>
  <c r="DY14" i="1"/>
  <c r="DY89" i="1" s="1"/>
  <c r="LC19" i="1"/>
  <c r="DW15" i="1"/>
  <c r="DW19" i="1" s="1"/>
  <c r="LE14" i="1"/>
  <c r="LD18" i="1"/>
  <c r="DX18" i="1" s="1"/>
  <c r="LD17" i="1"/>
  <c r="DX17" i="1" s="1"/>
  <c r="LD16" i="1"/>
  <c r="DX16" i="1" s="1"/>
  <c r="LD15" i="1"/>
  <c r="LE42" i="1" l="1"/>
  <c r="DY86" i="1"/>
  <c r="DY87" i="1"/>
  <c r="DY84" i="1"/>
  <c r="DY85" i="1"/>
  <c r="DY83" i="1"/>
  <c r="DV104" i="1"/>
  <c r="DM93" i="3"/>
  <c r="DT87" i="3"/>
  <c r="DT86" i="3"/>
  <c r="DT91" i="3"/>
  <c r="DT90" i="3"/>
  <c r="DT93" i="3"/>
  <c r="DT88" i="3"/>
  <c r="DU85" i="3"/>
  <c r="DU90" i="3" s="1"/>
  <c r="LJ4" i="1"/>
  <c r="DY79" i="1"/>
  <c r="DY81" i="1"/>
  <c r="DY80" i="1"/>
  <c r="DY82" i="1"/>
  <c r="DY42" i="1"/>
  <c r="LE33" i="1"/>
  <c r="DY33" i="1" s="1"/>
  <c r="LE24" i="1"/>
  <c r="DY24" i="1" s="1"/>
  <c r="LE25" i="1"/>
  <c r="DY25" i="1" s="1"/>
  <c r="LE32" i="1"/>
  <c r="DY32" i="1" s="1"/>
  <c r="LD101" i="1"/>
  <c r="DY2" i="1"/>
  <c r="LE2" i="1" s="1"/>
  <c r="DU98" i="1"/>
  <c r="LB65" i="1"/>
  <c r="DV97" i="1"/>
  <c r="DW91" i="1"/>
  <c r="DW92" i="1" s="1"/>
  <c r="DX90" i="1"/>
  <c r="LE40" i="1"/>
  <c r="DY40" i="1" s="1"/>
  <c r="LE41" i="1"/>
  <c r="DY41" i="1" s="1"/>
  <c r="LB47" i="1"/>
  <c r="DZ14" i="1"/>
  <c r="DZ89" i="1" s="1"/>
  <c r="DX30" i="1"/>
  <c r="DX35" i="1" s="1"/>
  <c r="LD35" i="1"/>
  <c r="LD27" i="1"/>
  <c r="DX22" i="1"/>
  <c r="DX27" i="1" s="1"/>
  <c r="LE31" i="1"/>
  <c r="DY31" i="1" s="1"/>
  <c r="LE26" i="1"/>
  <c r="DY26" i="1" s="1"/>
  <c r="LE30" i="1"/>
  <c r="LE34" i="1"/>
  <c r="DY34" i="1" s="1"/>
  <c r="LE43" i="1"/>
  <c r="DY43" i="1" s="1"/>
  <c r="LE22" i="1"/>
  <c r="LE39" i="1"/>
  <c r="DY39" i="1" s="1"/>
  <c r="LE38" i="1"/>
  <c r="LE23" i="1"/>
  <c r="DY23" i="1" s="1"/>
  <c r="LD44" i="1"/>
  <c r="DX38" i="1"/>
  <c r="DX44" i="1" s="1"/>
  <c r="EE4" i="1"/>
  <c r="ED3" i="1"/>
  <c r="LJ3" i="1" s="1"/>
  <c r="DW46" i="1"/>
  <c r="DW96" i="1" s="1"/>
  <c r="LD19" i="1"/>
  <c r="DX15" i="1"/>
  <c r="DX19" i="1" s="1"/>
  <c r="LF14" i="1"/>
  <c r="LE18" i="1"/>
  <c r="DY18" i="1" s="1"/>
  <c r="LE17" i="1"/>
  <c r="DY17" i="1" s="1"/>
  <c r="LE15" i="1"/>
  <c r="LE16" i="1"/>
  <c r="DY16" i="1" s="1"/>
  <c r="LF42" i="1" l="1"/>
  <c r="DZ86" i="1"/>
  <c r="DZ87" i="1"/>
  <c r="DZ84" i="1"/>
  <c r="DZ85" i="1"/>
  <c r="DZ83" i="1"/>
  <c r="DW104" i="1"/>
  <c r="DN93" i="3"/>
  <c r="DU87" i="3"/>
  <c r="DU88" i="3"/>
  <c r="DU93" i="3"/>
  <c r="DU86" i="3"/>
  <c r="DU89" i="3"/>
  <c r="DU91" i="3"/>
  <c r="DV85" i="3"/>
  <c r="DV87" i="3" s="1"/>
  <c r="LK4" i="1"/>
  <c r="DZ79" i="1"/>
  <c r="DZ81" i="1"/>
  <c r="DZ80" i="1"/>
  <c r="DZ82" i="1"/>
  <c r="DZ42" i="1"/>
  <c r="LF25" i="1"/>
  <c r="DZ25" i="1" s="1"/>
  <c r="LF24" i="1"/>
  <c r="DZ24" i="1" s="1"/>
  <c r="LF32" i="1"/>
  <c r="DZ32" i="1" s="1"/>
  <c r="LF33" i="1"/>
  <c r="DZ33" i="1" s="1"/>
  <c r="LE101" i="1"/>
  <c r="DZ2" i="1"/>
  <c r="LF2" i="1" s="1"/>
  <c r="DV98" i="1"/>
  <c r="LC65" i="1"/>
  <c r="DW97" i="1"/>
  <c r="DX91" i="1"/>
  <c r="DX92" i="1" s="1"/>
  <c r="DY90" i="1"/>
  <c r="LF41" i="1"/>
  <c r="DZ41" i="1" s="1"/>
  <c r="LF40" i="1"/>
  <c r="DZ40" i="1" s="1"/>
  <c r="LC47" i="1"/>
  <c r="DX46" i="1"/>
  <c r="DX96" i="1" s="1"/>
  <c r="DY22" i="1"/>
  <c r="DY27" i="1" s="1"/>
  <c r="LE27" i="1"/>
  <c r="EF4" i="1"/>
  <c r="EE3" i="1"/>
  <c r="LK3" i="1" s="1"/>
  <c r="LF26" i="1"/>
  <c r="DZ26" i="1" s="1"/>
  <c r="LF30" i="1"/>
  <c r="LF31" i="1"/>
  <c r="DZ31" i="1" s="1"/>
  <c r="LF34" i="1"/>
  <c r="DZ34" i="1" s="1"/>
  <c r="LF43" i="1"/>
  <c r="DZ43" i="1" s="1"/>
  <c r="LF22" i="1"/>
  <c r="LF23" i="1"/>
  <c r="DZ23" i="1" s="1"/>
  <c r="LF39" i="1"/>
  <c r="DZ39" i="1" s="1"/>
  <c r="LF38" i="1"/>
  <c r="DY30" i="1"/>
  <c r="DY35" i="1" s="1"/>
  <c r="LE35" i="1"/>
  <c r="LE44" i="1"/>
  <c r="DY38" i="1"/>
  <c r="DY44" i="1" s="1"/>
  <c r="EA14" i="1"/>
  <c r="EA89" i="1" s="1"/>
  <c r="DY15" i="1"/>
  <c r="DY19" i="1" s="1"/>
  <c r="LE19" i="1"/>
  <c r="LG14" i="1"/>
  <c r="LF15" i="1"/>
  <c r="LF17" i="1"/>
  <c r="DZ17" i="1" s="1"/>
  <c r="LF18" i="1"/>
  <c r="DZ18" i="1" s="1"/>
  <c r="LF16" i="1"/>
  <c r="DZ16" i="1" s="1"/>
  <c r="LG42" i="1" l="1"/>
  <c r="EA86" i="1"/>
  <c r="EA87" i="1"/>
  <c r="EA84" i="1"/>
  <c r="EA85" i="1"/>
  <c r="EA83" i="1"/>
  <c r="DX104" i="1"/>
  <c r="DO93" i="3"/>
  <c r="DV86" i="3"/>
  <c r="DV88" i="3"/>
  <c r="DV93" i="3"/>
  <c r="DV91" i="3"/>
  <c r="DV89" i="3"/>
  <c r="DV90" i="3"/>
  <c r="DW85" i="3"/>
  <c r="DW90" i="3" s="1"/>
  <c r="LL4" i="1"/>
  <c r="EA80" i="1"/>
  <c r="EA82" i="1"/>
  <c r="EA79" i="1"/>
  <c r="EA81" i="1"/>
  <c r="EA42" i="1"/>
  <c r="LG32" i="1"/>
  <c r="EA32" i="1" s="1"/>
  <c r="LG24" i="1"/>
  <c r="EA24" i="1" s="1"/>
  <c r="LG25" i="1"/>
  <c r="EA25" i="1" s="1"/>
  <c r="LG33" i="1"/>
  <c r="EA33" i="1" s="1"/>
  <c r="LF101" i="1"/>
  <c r="EA2" i="1"/>
  <c r="LG2" i="1" s="1"/>
  <c r="DW98" i="1"/>
  <c r="LD65" i="1"/>
  <c r="DX97" i="1"/>
  <c r="DX98" i="1" s="1"/>
  <c r="DY91" i="1"/>
  <c r="DY92" i="1" s="1"/>
  <c r="DZ90" i="1"/>
  <c r="LG40" i="1"/>
  <c r="EA40" i="1" s="1"/>
  <c r="LG41" i="1"/>
  <c r="EA41" i="1" s="1"/>
  <c r="LD47" i="1"/>
  <c r="LF35" i="1"/>
  <c r="DZ30" i="1"/>
  <c r="DZ35" i="1" s="1"/>
  <c r="DY46" i="1"/>
  <c r="DY96" i="1" s="1"/>
  <c r="LF27" i="1"/>
  <c r="DZ22" i="1"/>
  <c r="DZ27" i="1" s="1"/>
  <c r="EB14" i="1"/>
  <c r="EB89" i="1" s="1"/>
  <c r="LG34" i="1"/>
  <c r="EA34" i="1" s="1"/>
  <c r="LG31" i="1"/>
  <c r="EA31" i="1" s="1"/>
  <c r="LG26" i="1"/>
  <c r="EA26" i="1" s="1"/>
  <c r="LG23" i="1"/>
  <c r="EA23" i="1" s="1"/>
  <c r="LG30" i="1"/>
  <c r="LG43" i="1"/>
  <c r="EA43" i="1" s="1"/>
  <c r="LG22" i="1"/>
  <c r="LG38" i="1"/>
  <c r="LG39" i="1"/>
  <c r="EA39" i="1" s="1"/>
  <c r="EG4" i="1"/>
  <c r="EF3" i="1"/>
  <c r="LL3" i="1" s="1"/>
  <c r="LF44" i="1"/>
  <c r="DZ38" i="1"/>
  <c r="DZ44" i="1" s="1"/>
  <c r="DZ15" i="1"/>
  <c r="DZ19" i="1" s="1"/>
  <c r="LF19" i="1"/>
  <c r="LH14" i="1"/>
  <c r="LG17" i="1"/>
  <c r="EA17" i="1" s="1"/>
  <c r="LG18" i="1"/>
  <c r="EA18" i="1" s="1"/>
  <c r="LG16" i="1"/>
  <c r="EA16" i="1" s="1"/>
  <c r="LG15" i="1"/>
  <c r="LH42" i="1" l="1"/>
  <c r="EB86" i="1"/>
  <c r="EB87" i="1"/>
  <c r="EB84" i="1"/>
  <c r="EB85" i="1"/>
  <c r="EB83" i="1"/>
  <c r="DY104" i="1"/>
  <c r="DP93" i="3"/>
  <c r="DW86" i="3"/>
  <c r="DW91" i="3"/>
  <c r="DW88" i="3"/>
  <c r="DW89" i="3"/>
  <c r="DW93" i="3"/>
  <c r="DW87" i="3"/>
  <c r="DX85" i="3"/>
  <c r="DX91" i="3" s="1"/>
  <c r="LM4" i="1"/>
  <c r="EB79" i="1"/>
  <c r="EB82" i="1"/>
  <c r="EB80" i="1"/>
  <c r="EB81" i="1"/>
  <c r="EB42" i="1"/>
  <c r="LH24" i="1"/>
  <c r="EB24" i="1" s="1"/>
  <c r="LH32" i="1"/>
  <c r="EB32" i="1" s="1"/>
  <c r="LH25" i="1"/>
  <c r="EB25" i="1" s="1"/>
  <c r="LH33" i="1"/>
  <c r="EB33" i="1" s="1"/>
  <c r="LG101" i="1"/>
  <c r="EB2" i="1"/>
  <c r="LH2" i="1" s="1"/>
  <c r="LE65" i="1"/>
  <c r="DY97" i="1"/>
  <c r="DZ91" i="1"/>
  <c r="DZ92" i="1" s="1"/>
  <c r="EA90" i="1"/>
  <c r="LH41" i="1"/>
  <c r="EB41" i="1" s="1"/>
  <c r="LH40" i="1"/>
  <c r="EB40" i="1" s="1"/>
  <c r="LE47" i="1"/>
  <c r="EH4" i="1"/>
  <c r="EG3" i="1"/>
  <c r="LM3" i="1" s="1"/>
  <c r="LG44" i="1"/>
  <c r="EA38" i="1"/>
  <c r="EA44" i="1" s="1"/>
  <c r="LG27" i="1"/>
  <c r="EA22" i="1"/>
  <c r="EA27" i="1" s="1"/>
  <c r="LG35" i="1"/>
  <c r="EA30" i="1"/>
  <c r="EA35" i="1" s="1"/>
  <c r="EC14" i="1"/>
  <c r="EC89" i="1" s="1"/>
  <c r="LH22" i="1"/>
  <c r="LH23" i="1"/>
  <c r="EB23" i="1" s="1"/>
  <c r="LH31" i="1"/>
  <c r="EB31" i="1" s="1"/>
  <c r="LH26" i="1"/>
  <c r="EB26" i="1" s="1"/>
  <c r="LH30" i="1"/>
  <c r="LH43" i="1"/>
  <c r="EB43" i="1" s="1"/>
  <c r="LH34" i="1"/>
  <c r="EB34" i="1" s="1"/>
  <c r="LH38" i="1"/>
  <c r="LH39" i="1"/>
  <c r="EB39" i="1" s="1"/>
  <c r="DZ46" i="1"/>
  <c r="DZ96" i="1" s="1"/>
  <c r="EA15" i="1"/>
  <c r="EA19" i="1" s="1"/>
  <c r="LG19" i="1"/>
  <c r="LI14" i="1"/>
  <c r="LH16" i="1"/>
  <c r="EB16" i="1" s="1"/>
  <c r="LH18" i="1"/>
  <c r="EB18" i="1" s="1"/>
  <c r="LH17" i="1"/>
  <c r="EB17" i="1" s="1"/>
  <c r="LH15" i="1"/>
  <c r="LI42" i="1" l="1"/>
  <c r="EC86" i="1"/>
  <c r="EC87" i="1"/>
  <c r="EC84" i="1"/>
  <c r="EC85" i="1"/>
  <c r="EC83" i="1"/>
  <c r="DZ104" i="1"/>
  <c r="DQ93" i="3"/>
  <c r="DX90" i="3"/>
  <c r="DX86" i="3"/>
  <c r="DX88" i="3"/>
  <c r="DX87" i="3"/>
  <c r="DX89" i="3"/>
  <c r="DX93" i="3"/>
  <c r="DY85" i="3"/>
  <c r="DY88" i="3" s="1"/>
  <c r="LN4" i="1"/>
  <c r="EC80" i="1"/>
  <c r="EC82" i="1"/>
  <c r="EC81" i="1"/>
  <c r="EC79" i="1"/>
  <c r="EC42" i="1"/>
  <c r="LI25" i="1"/>
  <c r="EC25" i="1" s="1"/>
  <c r="LI33" i="1"/>
  <c r="EC33" i="1" s="1"/>
  <c r="LI32" i="1"/>
  <c r="EC32" i="1" s="1"/>
  <c r="LI24" i="1"/>
  <c r="EC24" i="1" s="1"/>
  <c r="LH101" i="1"/>
  <c r="EC2" i="1"/>
  <c r="LI2" i="1" s="1"/>
  <c r="DY98" i="1"/>
  <c r="LF65" i="1"/>
  <c r="DZ97" i="1"/>
  <c r="EA91" i="1"/>
  <c r="EA92" i="1" s="1"/>
  <c r="EB90" i="1"/>
  <c r="LI41" i="1"/>
  <c r="EC41" i="1" s="1"/>
  <c r="LI40" i="1"/>
  <c r="EC40" i="1" s="1"/>
  <c r="LF47" i="1"/>
  <c r="LH44" i="1"/>
  <c r="EB38" i="1"/>
  <c r="EB44" i="1" s="1"/>
  <c r="LH27" i="1"/>
  <c r="EB22" i="1"/>
  <c r="EB27" i="1" s="1"/>
  <c r="EA46" i="1"/>
  <c r="EA96" i="1" s="1"/>
  <c r="LI23" i="1"/>
  <c r="EC23" i="1" s="1"/>
  <c r="LI26" i="1"/>
  <c r="EC26" i="1" s="1"/>
  <c r="LI30" i="1"/>
  <c r="LI43" i="1"/>
  <c r="EC43" i="1" s="1"/>
  <c r="LI38" i="1"/>
  <c r="LI31" i="1"/>
  <c r="EC31" i="1" s="1"/>
  <c r="LI34" i="1"/>
  <c r="EC34" i="1" s="1"/>
  <c r="LI22" i="1"/>
  <c r="LI39" i="1"/>
  <c r="EC39" i="1" s="1"/>
  <c r="EB30" i="1"/>
  <c r="EB35" i="1" s="1"/>
  <c r="LH35" i="1"/>
  <c r="ED14" i="1"/>
  <c r="ED89" i="1" s="1"/>
  <c r="EI4" i="1"/>
  <c r="EH3" i="1"/>
  <c r="LN3" i="1" s="1"/>
  <c r="EB15" i="1"/>
  <c r="EB19" i="1" s="1"/>
  <c r="LH19" i="1"/>
  <c r="LJ14" i="1"/>
  <c r="LI17" i="1"/>
  <c r="EC17" i="1" s="1"/>
  <c r="LI16" i="1"/>
  <c r="EC16" i="1" s="1"/>
  <c r="LI15" i="1"/>
  <c r="LI18" i="1"/>
  <c r="EC18" i="1" s="1"/>
  <c r="LJ42" i="1" l="1"/>
  <c r="ED86" i="1"/>
  <c r="ED87" i="1"/>
  <c r="ED84" i="1"/>
  <c r="ED85" i="1"/>
  <c r="ED83" i="1"/>
  <c r="EA104" i="1"/>
  <c r="DR93" i="3"/>
  <c r="DY91" i="3"/>
  <c r="DY90" i="3"/>
  <c r="DY86" i="3"/>
  <c r="DY89" i="3"/>
  <c r="DY93" i="3"/>
  <c r="DY87" i="3"/>
  <c r="DZ85" i="3"/>
  <c r="DZ93" i="3" s="1"/>
  <c r="LO4" i="1"/>
  <c r="ED80" i="1"/>
  <c r="ED82" i="1"/>
  <c r="ED81" i="1"/>
  <c r="ED79" i="1"/>
  <c r="ED42" i="1"/>
  <c r="LJ25" i="1"/>
  <c r="ED25" i="1" s="1"/>
  <c r="LJ32" i="1"/>
  <c r="ED32" i="1" s="1"/>
  <c r="LJ24" i="1"/>
  <c r="ED24" i="1" s="1"/>
  <c r="LJ33" i="1"/>
  <c r="ED33" i="1" s="1"/>
  <c r="ED2" i="1"/>
  <c r="LJ2" i="1" s="1"/>
  <c r="LI101" i="1"/>
  <c r="DZ98" i="1"/>
  <c r="LG65" i="1"/>
  <c r="EA97" i="1"/>
  <c r="EB91" i="1"/>
  <c r="EB92" i="1" s="1"/>
  <c r="EC90" i="1"/>
  <c r="LJ41" i="1"/>
  <c r="ED41" i="1" s="1"/>
  <c r="LJ40" i="1"/>
  <c r="ED40" i="1" s="1"/>
  <c r="LG47" i="1"/>
  <c r="LI27" i="1"/>
  <c r="EC22" i="1"/>
  <c r="EC27" i="1" s="1"/>
  <c r="EJ4" i="1"/>
  <c r="EI3" i="1"/>
  <c r="LO3" i="1" s="1"/>
  <c r="EE14" i="1"/>
  <c r="EE89" i="1" s="1"/>
  <c r="LI44" i="1"/>
  <c r="EC38" i="1"/>
  <c r="EC44" i="1" s="1"/>
  <c r="EB46" i="1"/>
  <c r="EB96" i="1" s="1"/>
  <c r="EC30" i="1"/>
  <c r="EC35" i="1" s="1"/>
  <c r="LI35" i="1"/>
  <c r="LJ31" i="1"/>
  <c r="ED31" i="1" s="1"/>
  <c r="LJ23" i="1"/>
  <c r="ED23" i="1" s="1"/>
  <c r="LJ30" i="1"/>
  <c r="LJ22" i="1"/>
  <c r="LJ26" i="1"/>
  <c r="ED26" i="1" s="1"/>
  <c r="LJ34" i="1"/>
  <c r="ED34" i="1" s="1"/>
  <c r="LJ43" i="1"/>
  <c r="ED43" i="1" s="1"/>
  <c r="LJ38" i="1"/>
  <c r="LJ39" i="1"/>
  <c r="ED39" i="1" s="1"/>
  <c r="EC15" i="1"/>
  <c r="EC19" i="1" s="1"/>
  <c r="LI19" i="1"/>
  <c r="LK14" i="1"/>
  <c r="LJ16" i="1"/>
  <c r="ED16" i="1" s="1"/>
  <c r="LJ18" i="1"/>
  <c r="ED18" i="1" s="1"/>
  <c r="LJ15" i="1"/>
  <c r="LJ17" i="1"/>
  <c r="ED17" i="1" s="1"/>
  <c r="LK42" i="1" l="1"/>
  <c r="EE86" i="1"/>
  <c r="EE87" i="1"/>
  <c r="EE84" i="1"/>
  <c r="EE85" i="1"/>
  <c r="EE83" i="1"/>
  <c r="EB104" i="1"/>
  <c r="DS93" i="3"/>
  <c r="DZ91" i="3"/>
  <c r="DZ86" i="3"/>
  <c r="DZ89" i="3"/>
  <c r="DZ90" i="3"/>
  <c r="DZ87" i="3"/>
  <c r="DZ88" i="3"/>
  <c r="EA85" i="3"/>
  <c r="EA87" i="3" s="1"/>
  <c r="LP4" i="1"/>
  <c r="EE79" i="1"/>
  <c r="EE81" i="1"/>
  <c r="EE82" i="1"/>
  <c r="EE80" i="1"/>
  <c r="EE42" i="1"/>
  <c r="LK25" i="1"/>
  <c r="EE25" i="1" s="1"/>
  <c r="LK32" i="1"/>
  <c r="EE32" i="1" s="1"/>
  <c r="LK24" i="1"/>
  <c r="EE24" i="1" s="1"/>
  <c r="LK33" i="1"/>
  <c r="EE33" i="1" s="1"/>
  <c r="EE2" i="1"/>
  <c r="LK2" i="1" s="1"/>
  <c r="LJ101" i="1"/>
  <c r="EA98" i="1"/>
  <c r="LH65" i="1"/>
  <c r="EB97" i="1"/>
  <c r="EC91" i="1"/>
  <c r="EC92" i="1" s="1"/>
  <c r="EC104" i="1" s="1"/>
  <c r="ED90" i="1"/>
  <c r="LK41" i="1"/>
  <c r="EE41" i="1" s="1"/>
  <c r="LK40" i="1"/>
  <c r="EE40" i="1" s="1"/>
  <c r="LH47" i="1"/>
  <c r="EF14" i="1"/>
  <c r="EF89" i="1" s="1"/>
  <c r="LJ44" i="1"/>
  <c r="ED38" i="1"/>
  <c r="ED44" i="1" s="1"/>
  <c r="LK23" i="1"/>
  <c r="EE23" i="1" s="1"/>
  <c r="LK22" i="1"/>
  <c r="LK31" i="1"/>
  <c r="EE31" i="1" s="1"/>
  <c r="LK30" i="1"/>
  <c r="LK38" i="1"/>
  <c r="LK34" i="1"/>
  <c r="EE34" i="1" s="1"/>
  <c r="LK26" i="1"/>
  <c r="EE26" i="1" s="1"/>
  <c r="LK43" i="1"/>
  <c r="EE43" i="1" s="1"/>
  <c r="LK39" i="1"/>
  <c r="EE39" i="1" s="1"/>
  <c r="EK4" i="1"/>
  <c r="EJ3" i="1"/>
  <c r="LP3" i="1" s="1"/>
  <c r="EC46" i="1"/>
  <c r="EC96" i="1" s="1"/>
  <c r="ED30" i="1"/>
  <c r="ED35" i="1" s="1"/>
  <c r="LJ35" i="1"/>
  <c r="LJ27" i="1"/>
  <c r="ED22" i="1"/>
  <c r="ED27" i="1" s="1"/>
  <c r="LJ19" i="1"/>
  <c r="ED15" i="1"/>
  <c r="ED19" i="1" s="1"/>
  <c r="LL14" i="1"/>
  <c r="LK18" i="1"/>
  <c r="EE18" i="1" s="1"/>
  <c r="LK17" i="1"/>
  <c r="EE17" i="1" s="1"/>
  <c r="LK15" i="1"/>
  <c r="LK16" i="1"/>
  <c r="EE16" i="1" s="1"/>
  <c r="LL42" i="1" l="1"/>
  <c r="EF42" i="1" s="1"/>
  <c r="EF86" i="1"/>
  <c r="EF87" i="1"/>
  <c r="EF84" i="1"/>
  <c r="EF85" i="1"/>
  <c r="EF83" i="1"/>
  <c r="EA90" i="3"/>
  <c r="EA88" i="3"/>
  <c r="EA89" i="3"/>
  <c r="EA93" i="3"/>
  <c r="EA86" i="3"/>
  <c r="EA91" i="3"/>
  <c r="EB85" i="3"/>
  <c r="EB90" i="3" s="1"/>
  <c r="LQ4" i="1"/>
  <c r="EF79" i="1"/>
  <c r="EF80" i="1"/>
  <c r="EF81" i="1"/>
  <c r="EF82" i="1"/>
  <c r="LL33" i="1"/>
  <c r="EF33" i="1" s="1"/>
  <c r="LL32" i="1"/>
  <c r="EF32" i="1" s="1"/>
  <c r="LL24" i="1"/>
  <c r="EF24" i="1" s="1"/>
  <c r="LL25" i="1"/>
  <c r="EF25" i="1" s="1"/>
  <c r="EF2" i="1"/>
  <c r="LL2" i="1" s="1"/>
  <c r="LK101" i="1"/>
  <c r="EB98" i="1"/>
  <c r="LI65" i="1"/>
  <c r="EC97" i="1"/>
  <c r="ED91" i="1"/>
  <c r="ED92" i="1" s="1"/>
  <c r="ED104" i="1" s="1"/>
  <c r="EE90" i="1"/>
  <c r="LL41" i="1"/>
  <c r="EF41" i="1" s="1"/>
  <c r="LL40" i="1"/>
  <c r="EF40" i="1" s="1"/>
  <c r="LI47" i="1"/>
  <c r="ED46" i="1"/>
  <c r="ED96" i="1" s="1"/>
  <c r="LK27" i="1"/>
  <c r="EE22" i="1"/>
  <c r="EE27" i="1" s="1"/>
  <c r="LL26" i="1"/>
  <c r="EF26" i="1" s="1"/>
  <c r="LL22" i="1"/>
  <c r="LL31" i="1"/>
  <c r="EF31" i="1" s="1"/>
  <c r="LL23" i="1"/>
  <c r="EF23" i="1" s="1"/>
  <c r="LL34" i="1"/>
  <c r="EF34" i="1" s="1"/>
  <c r="LL39" i="1"/>
  <c r="EF39" i="1" s="1"/>
  <c r="LL43" i="1"/>
  <c r="EF43" i="1" s="1"/>
  <c r="LL38" i="1"/>
  <c r="LL30" i="1"/>
  <c r="EL4" i="1"/>
  <c r="EK3" i="1"/>
  <c r="LQ3" i="1" s="1"/>
  <c r="EE38" i="1"/>
  <c r="EE44" i="1" s="1"/>
  <c r="LK44" i="1"/>
  <c r="EE30" i="1"/>
  <c r="EE35" i="1" s="1"/>
  <c r="LK35" i="1"/>
  <c r="EG14" i="1"/>
  <c r="EG89" i="1" s="1"/>
  <c r="LK19" i="1"/>
  <c r="EE15" i="1"/>
  <c r="EE19" i="1" s="1"/>
  <c r="LM14" i="1"/>
  <c r="LL18" i="1"/>
  <c r="EF18" i="1" s="1"/>
  <c r="LL16" i="1"/>
  <c r="EF16" i="1" s="1"/>
  <c r="LL15" i="1"/>
  <c r="LL17" i="1"/>
  <c r="EF17" i="1" s="1"/>
  <c r="LM42" i="1" l="1"/>
  <c r="EG86" i="1"/>
  <c r="EG87" i="1"/>
  <c r="EG84" i="1"/>
  <c r="EG85" i="1"/>
  <c r="EG83" i="1"/>
  <c r="EB86" i="3"/>
  <c r="EB91" i="3"/>
  <c r="EB87" i="3"/>
  <c r="EB88" i="3"/>
  <c r="EB93" i="3"/>
  <c r="EB89" i="3"/>
  <c r="EC85" i="3"/>
  <c r="EC88" i="3" s="1"/>
  <c r="LR4" i="1"/>
  <c r="EG79" i="1"/>
  <c r="EG81" i="1"/>
  <c r="EG82" i="1"/>
  <c r="EG80" i="1"/>
  <c r="EG42" i="1"/>
  <c r="LM24" i="1"/>
  <c r="EG24" i="1" s="1"/>
  <c r="LM25" i="1"/>
  <c r="EG25" i="1" s="1"/>
  <c r="LM32" i="1"/>
  <c r="EG32" i="1" s="1"/>
  <c r="LM33" i="1"/>
  <c r="EG33" i="1" s="1"/>
  <c r="EG2" i="1"/>
  <c r="LM2" i="1" s="1"/>
  <c r="LL101" i="1"/>
  <c r="EC98" i="1"/>
  <c r="LJ65" i="1"/>
  <c r="ED97" i="1"/>
  <c r="EE91" i="1"/>
  <c r="EE92" i="1" s="1"/>
  <c r="EE104" i="1" s="1"/>
  <c r="EF90" i="1"/>
  <c r="LM40" i="1"/>
  <c r="EG40" i="1" s="1"/>
  <c r="LM41" i="1"/>
  <c r="EG41" i="1" s="1"/>
  <c r="LJ47" i="1"/>
  <c r="EH14" i="1"/>
  <c r="EH89" i="1" s="1"/>
  <c r="LL27" i="1"/>
  <c r="EF22" i="1"/>
  <c r="EF27" i="1" s="1"/>
  <c r="LL35" i="1"/>
  <c r="EF30" i="1"/>
  <c r="EF35" i="1" s="1"/>
  <c r="LM26" i="1"/>
  <c r="EG26" i="1" s="1"/>
  <c r="LM23" i="1"/>
  <c r="EG23" i="1" s="1"/>
  <c r="LM31" i="1"/>
  <c r="EG31" i="1" s="1"/>
  <c r="LM43" i="1"/>
  <c r="EG43" i="1" s="1"/>
  <c r="LM34" i="1"/>
  <c r="EG34" i="1" s="1"/>
  <c r="LM30" i="1"/>
  <c r="LM22" i="1"/>
  <c r="LM39" i="1"/>
  <c r="EG39" i="1" s="1"/>
  <c r="LM38" i="1"/>
  <c r="LL44" i="1"/>
  <c r="EF38" i="1"/>
  <c r="EF44" i="1" s="1"/>
  <c r="EE46" i="1"/>
  <c r="EE96" i="1" s="1"/>
  <c r="EM4" i="1"/>
  <c r="EL3" i="1"/>
  <c r="LR3" i="1" s="1"/>
  <c r="LL19" i="1"/>
  <c r="EF15" i="1"/>
  <c r="EF19" i="1" s="1"/>
  <c r="LN14" i="1"/>
  <c r="LM18" i="1"/>
  <c r="EG18" i="1" s="1"/>
  <c r="LM15" i="1"/>
  <c r="LM16" i="1"/>
  <c r="EG16" i="1" s="1"/>
  <c r="LM17" i="1"/>
  <c r="EG17" i="1" s="1"/>
  <c r="LN42" i="1" l="1"/>
  <c r="EH86" i="1"/>
  <c r="EH87" i="1"/>
  <c r="EH84" i="1"/>
  <c r="EH85" i="1"/>
  <c r="EH83" i="1"/>
  <c r="EC86" i="3"/>
  <c r="EC91" i="3"/>
  <c r="EC90" i="3"/>
  <c r="EC87" i="3"/>
  <c r="EC89" i="3"/>
  <c r="EC93" i="3"/>
  <c r="ED85" i="3"/>
  <c r="ED89" i="3" s="1"/>
  <c r="LS4" i="1"/>
  <c r="EH79" i="1"/>
  <c r="EH81" i="1"/>
  <c r="EH80" i="1"/>
  <c r="EH82" i="1"/>
  <c r="EH42" i="1"/>
  <c r="LN32" i="1"/>
  <c r="EH32" i="1" s="1"/>
  <c r="LN24" i="1"/>
  <c r="EH24" i="1" s="1"/>
  <c r="LN25" i="1"/>
  <c r="EH25" i="1" s="1"/>
  <c r="LN33" i="1"/>
  <c r="EH33" i="1" s="1"/>
  <c r="LM101" i="1"/>
  <c r="EH2" i="1"/>
  <c r="LN2" i="1" s="1"/>
  <c r="ED98" i="1"/>
  <c r="LK65" i="1"/>
  <c r="EE97" i="1"/>
  <c r="EF91" i="1"/>
  <c r="EF92" i="1" s="1"/>
  <c r="EF104" i="1" s="1"/>
  <c r="EG90" i="1"/>
  <c r="LN41" i="1"/>
  <c r="EH41" i="1" s="1"/>
  <c r="LN40" i="1"/>
  <c r="EH40" i="1" s="1"/>
  <c r="LK47" i="1"/>
  <c r="EF46" i="1"/>
  <c r="EF96" i="1" s="1"/>
  <c r="EG30" i="1"/>
  <c r="EG35" i="1" s="1"/>
  <c r="LM35" i="1"/>
  <c r="EN4" i="1"/>
  <c r="EM3" i="1"/>
  <c r="LS3" i="1" s="1"/>
  <c r="LN26" i="1"/>
  <c r="EH26" i="1" s="1"/>
  <c r="LN22" i="1"/>
  <c r="LN31" i="1"/>
  <c r="EH31" i="1" s="1"/>
  <c r="LN34" i="1"/>
  <c r="EH34" i="1" s="1"/>
  <c r="LN43" i="1"/>
  <c r="EH43" i="1" s="1"/>
  <c r="LN23" i="1"/>
  <c r="EH23" i="1" s="1"/>
  <c r="LN30" i="1"/>
  <c r="LN38" i="1"/>
  <c r="LN39" i="1"/>
  <c r="EH39" i="1" s="1"/>
  <c r="LM44" i="1"/>
  <c r="EG38" i="1"/>
  <c r="EG44" i="1" s="1"/>
  <c r="EI14" i="1"/>
  <c r="EI89" i="1" s="1"/>
  <c r="LM27" i="1"/>
  <c r="EG22" i="1"/>
  <c r="EG27" i="1" s="1"/>
  <c r="EG15" i="1"/>
  <c r="EG19" i="1" s="1"/>
  <c r="LM19" i="1"/>
  <c r="LO14" i="1"/>
  <c r="LN15" i="1"/>
  <c r="LN18" i="1"/>
  <c r="EH18" i="1" s="1"/>
  <c r="LN17" i="1"/>
  <c r="EH17" i="1" s="1"/>
  <c r="LN16" i="1"/>
  <c r="EH16" i="1" s="1"/>
  <c r="LO42" i="1" l="1"/>
  <c r="EI86" i="1"/>
  <c r="EI87" i="1"/>
  <c r="EI84" i="1"/>
  <c r="EI85" i="1"/>
  <c r="EI83" i="1"/>
  <c r="ED91" i="3"/>
  <c r="ED88" i="3"/>
  <c r="ED86" i="3"/>
  <c r="ED87" i="3"/>
  <c r="ED90" i="3"/>
  <c r="ED93" i="3"/>
  <c r="EE85" i="3"/>
  <c r="EE90" i="3" s="1"/>
  <c r="LT4" i="1"/>
  <c r="EI80" i="1"/>
  <c r="EI82" i="1"/>
  <c r="EI81" i="1"/>
  <c r="EI79" i="1"/>
  <c r="EI42" i="1"/>
  <c r="LO32" i="1"/>
  <c r="EI32" i="1" s="1"/>
  <c r="LO24" i="1"/>
  <c r="EI24" i="1" s="1"/>
  <c r="LO25" i="1"/>
  <c r="EI25" i="1" s="1"/>
  <c r="LO33" i="1"/>
  <c r="EI33" i="1" s="1"/>
  <c r="LN101" i="1"/>
  <c r="EI2" i="1"/>
  <c r="LO2" i="1" s="1"/>
  <c r="EE98" i="1"/>
  <c r="LL65" i="1"/>
  <c r="EF97" i="1"/>
  <c r="EF98" i="1" s="1"/>
  <c r="EG91" i="1"/>
  <c r="EG92" i="1" s="1"/>
  <c r="EG104" i="1" s="1"/>
  <c r="EH90" i="1"/>
  <c r="LO40" i="1"/>
  <c r="EI40" i="1" s="1"/>
  <c r="LO41" i="1"/>
  <c r="EI41" i="1" s="1"/>
  <c r="LL47" i="1"/>
  <c r="EH22" i="1"/>
  <c r="EH27" i="1" s="1"/>
  <c r="LN27" i="1"/>
  <c r="EJ14" i="1"/>
  <c r="EJ89" i="1" s="1"/>
  <c r="EO4" i="1"/>
  <c r="EN3" i="1"/>
  <c r="LT3" i="1" s="1"/>
  <c r="EH38" i="1"/>
  <c r="EH44" i="1" s="1"/>
  <c r="LN44" i="1"/>
  <c r="LO23" i="1"/>
  <c r="EI23" i="1" s="1"/>
  <c r="LO22" i="1"/>
  <c r="LO30" i="1"/>
  <c r="LO26" i="1"/>
  <c r="EI26" i="1" s="1"/>
  <c r="LO43" i="1"/>
  <c r="EI43" i="1" s="1"/>
  <c r="LO34" i="1"/>
  <c r="EI34" i="1" s="1"/>
  <c r="LO31" i="1"/>
  <c r="EI31" i="1" s="1"/>
  <c r="LO39" i="1"/>
  <c r="EI39" i="1" s="1"/>
  <c r="LO38" i="1"/>
  <c r="EG46" i="1"/>
  <c r="EG96" i="1" s="1"/>
  <c r="LN35" i="1"/>
  <c r="EH30" i="1"/>
  <c r="EH35" i="1" s="1"/>
  <c r="LP14" i="1"/>
  <c r="LO17" i="1"/>
  <c r="EI17" i="1" s="1"/>
  <c r="LO18" i="1"/>
  <c r="EI18" i="1" s="1"/>
  <c r="LO15" i="1"/>
  <c r="LO16" i="1"/>
  <c r="EI16" i="1" s="1"/>
  <c r="EH15" i="1"/>
  <c r="EH19" i="1" s="1"/>
  <c r="LN19" i="1"/>
  <c r="LP42" i="1" l="1"/>
  <c r="EJ86" i="1"/>
  <c r="EJ87" i="1"/>
  <c r="EJ84" i="1"/>
  <c r="EJ85" i="1"/>
  <c r="EJ83" i="1"/>
  <c r="EE88" i="3"/>
  <c r="EE86" i="3"/>
  <c r="EE89" i="3"/>
  <c r="EE93" i="3"/>
  <c r="EE91" i="3"/>
  <c r="EE87" i="3"/>
  <c r="EF85" i="3"/>
  <c r="EF87" i="3" s="1"/>
  <c r="LU4" i="1"/>
  <c r="EJ79" i="1"/>
  <c r="EJ80" i="1"/>
  <c r="EJ81" i="1"/>
  <c r="EJ82" i="1"/>
  <c r="EJ42" i="1"/>
  <c r="LP33" i="1"/>
  <c r="EJ33" i="1" s="1"/>
  <c r="LP24" i="1"/>
  <c r="EJ24" i="1" s="1"/>
  <c r="LP25" i="1"/>
  <c r="EJ25" i="1" s="1"/>
  <c r="LP32" i="1"/>
  <c r="EJ32" i="1" s="1"/>
  <c r="EJ2" i="1"/>
  <c r="LP2" i="1" s="1"/>
  <c r="LO101" i="1"/>
  <c r="LM65" i="1"/>
  <c r="EG97" i="1"/>
  <c r="EH91" i="1"/>
  <c r="EH92" i="1" s="1"/>
  <c r="EH104" i="1" s="1"/>
  <c r="EI90" i="1"/>
  <c r="LP41" i="1"/>
  <c r="EJ41" i="1" s="1"/>
  <c r="LP40" i="1"/>
  <c r="EJ40" i="1" s="1"/>
  <c r="LM47" i="1"/>
  <c r="EI30" i="1"/>
  <c r="EI35" i="1" s="1"/>
  <c r="LO35" i="1"/>
  <c r="LO27" i="1"/>
  <c r="EI22" i="1"/>
  <c r="EI27" i="1" s="1"/>
  <c r="LO44" i="1"/>
  <c r="EI38" i="1"/>
  <c r="EI44" i="1" s="1"/>
  <c r="EP4" i="1"/>
  <c r="EO3" i="1"/>
  <c r="LU3" i="1" s="1"/>
  <c r="EK14" i="1"/>
  <c r="EK89" i="1" s="1"/>
  <c r="EH46" i="1"/>
  <c r="EH96" i="1" s="1"/>
  <c r="LP26" i="1"/>
  <c r="EJ26" i="1" s="1"/>
  <c r="LP34" i="1"/>
  <c r="EJ34" i="1" s="1"/>
  <c r="LP30" i="1"/>
  <c r="LP31" i="1"/>
  <c r="EJ31" i="1" s="1"/>
  <c r="LP43" i="1"/>
  <c r="EJ43" i="1" s="1"/>
  <c r="LP23" i="1"/>
  <c r="EJ23" i="1" s="1"/>
  <c r="LP39" i="1"/>
  <c r="EJ39" i="1" s="1"/>
  <c r="LP22" i="1"/>
  <c r="LP38" i="1"/>
  <c r="EI15" i="1"/>
  <c r="EI19" i="1" s="1"/>
  <c r="LO19" i="1"/>
  <c r="LQ14" i="1"/>
  <c r="LP18" i="1"/>
  <c r="EJ18" i="1" s="1"/>
  <c r="LP17" i="1"/>
  <c r="EJ17" i="1" s="1"/>
  <c r="LP16" i="1"/>
  <c r="EJ16" i="1" s="1"/>
  <c r="LP15" i="1"/>
  <c r="LQ42" i="1" l="1"/>
  <c r="EK86" i="1"/>
  <c r="EK87" i="1"/>
  <c r="EK84" i="1"/>
  <c r="EK85" i="1"/>
  <c r="EK83" i="1"/>
  <c r="EF91" i="3"/>
  <c r="EF88" i="3"/>
  <c r="EF86" i="3"/>
  <c r="EF90" i="3"/>
  <c r="EF89" i="3"/>
  <c r="EF93" i="3"/>
  <c r="EG85" i="3"/>
  <c r="EG86" i="3" s="1"/>
  <c r="LV4" i="1"/>
  <c r="EK80" i="1"/>
  <c r="EK82" i="1"/>
  <c r="EK79" i="1"/>
  <c r="EK81" i="1"/>
  <c r="EK42" i="1"/>
  <c r="LQ25" i="1"/>
  <c r="EK25" i="1" s="1"/>
  <c r="LQ32" i="1"/>
  <c r="EK32" i="1" s="1"/>
  <c r="LQ24" i="1"/>
  <c r="EK24" i="1" s="1"/>
  <c r="LQ33" i="1"/>
  <c r="EK33" i="1" s="1"/>
  <c r="EK2" i="1"/>
  <c r="LQ2" i="1" s="1"/>
  <c r="LP101" i="1"/>
  <c r="EG98" i="1"/>
  <c r="LN65" i="1"/>
  <c r="EH97" i="1"/>
  <c r="EI91" i="1"/>
  <c r="EI92" i="1" s="1"/>
  <c r="EI104" i="1" s="1"/>
  <c r="EJ90" i="1"/>
  <c r="LQ40" i="1"/>
  <c r="EK40" i="1" s="1"/>
  <c r="LQ41" i="1"/>
  <c r="EK41" i="1" s="1"/>
  <c r="LN47" i="1"/>
  <c r="EI46" i="1"/>
  <c r="EI96" i="1" s="1"/>
  <c r="EJ38" i="1"/>
  <c r="EJ44" i="1" s="1"/>
  <c r="LP44" i="1"/>
  <c r="EQ4" i="1"/>
  <c r="EP3" i="1"/>
  <c r="LV3" i="1" s="1"/>
  <c r="LQ34" i="1"/>
  <c r="EK34" i="1" s="1"/>
  <c r="LQ30" i="1"/>
  <c r="LQ26" i="1"/>
  <c r="EK26" i="1" s="1"/>
  <c r="LQ31" i="1"/>
  <c r="EK31" i="1" s="1"/>
  <c r="LQ43" i="1"/>
  <c r="EK43" i="1" s="1"/>
  <c r="LQ23" i="1"/>
  <c r="EK23" i="1" s="1"/>
  <c r="LQ38" i="1"/>
  <c r="LQ22" i="1"/>
  <c r="LQ39" i="1"/>
  <c r="EK39" i="1" s="1"/>
  <c r="EL14" i="1"/>
  <c r="EL89" i="1" s="1"/>
  <c r="EJ22" i="1"/>
  <c r="EJ27" i="1" s="1"/>
  <c r="LP27" i="1"/>
  <c r="EJ30" i="1"/>
  <c r="EJ35" i="1" s="1"/>
  <c r="LP35" i="1"/>
  <c r="LR14" i="1"/>
  <c r="LQ17" i="1"/>
  <c r="EK17" i="1" s="1"/>
  <c r="LQ18" i="1"/>
  <c r="EK18" i="1" s="1"/>
  <c r="LQ16" i="1"/>
  <c r="EK16" i="1" s="1"/>
  <c r="LQ15" i="1"/>
  <c r="EJ15" i="1"/>
  <c r="EJ19" i="1" s="1"/>
  <c r="LP19" i="1"/>
  <c r="LR42" i="1" l="1"/>
  <c r="EL42" i="1" s="1"/>
  <c r="EL86" i="1"/>
  <c r="EL87" i="1"/>
  <c r="EL84" i="1"/>
  <c r="EL85" i="1"/>
  <c r="EL83" i="1"/>
  <c r="EG89" i="3"/>
  <c r="EG91" i="3"/>
  <c r="EG87" i="3"/>
  <c r="EG88" i="3"/>
  <c r="EG93" i="3"/>
  <c r="EG90" i="3"/>
  <c r="EH85" i="3"/>
  <c r="EH86" i="3" s="1"/>
  <c r="LW4" i="1"/>
  <c r="EL80" i="1"/>
  <c r="EL82" i="1"/>
  <c r="EL79" i="1"/>
  <c r="EL81" i="1"/>
  <c r="LR24" i="1"/>
  <c r="EL24" i="1" s="1"/>
  <c r="LR33" i="1"/>
  <c r="EL33" i="1" s="1"/>
  <c r="LR25" i="1"/>
  <c r="EL25" i="1" s="1"/>
  <c r="LR32" i="1"/>
  <c r="EL32" i="1" s="1"/>
  <c r="LQ101" i="1"/>
  <c r="EL2" i="1"/>
  <c r="LR2" i="1" s="1"/>
  <c r="EH98" i="1"/>
  <c r="LO65" i="1"/>
  <c r="EI97" i="1"/>
  <c r="EJ91" i="1"/>
  <c r="EJ92" i="1" s="1"/>
  <c r="EJ104" i="1" s="1"/>
  <c r="EK90" i="1"/>
  <c r="LR40" i="1"/>
  <c r="EL40" i="1" s="1"/>
  <c r="LR41" i="1"/>
  <c r="EL41" i="1" s="1"/>
  <c r="LO47" i="1"/>
  <c r="EK30" i="1"/>
  <c r="EK35" i="1" s="1"/>
  <c r="LQ35" i="1"/>
  <c r="ER4" i="1"/>
  <c r="EQ3" i="1"/>
  <c r="LW3" i="1" s="1"/>
  <c r="EK38" i="1"/>
  <c r="EK44" i="1" s="1"/>
  <c r="LQ44" i="1"/>
  <c r="EM14" i="1"/>
  <c r="EM89" i="1" s="1"/>
  <c r="EJ46" i="1"/>
  <c r="EJ96" i="1" s="1"/>
  <c r="LQ27" i="1"/>
  <c r="EK22" i="1"/>
  <c r="EK27" i="1" s="1"/>
  <c r="LR22" i="1"/>
  <c r="LR26" i="1"/>
  <c r="EL26" i="1" s="1"/>
  <c r="LR30" i="1"/>
  <c r="LR23" i="1"/>
  <c r="EL23" i="1" s="1"/>
  <c r="LR31" i="1"/>
  <c r="EL31" i="1" s="1"/>
  <c r="LR34" i="1"/>
  <c r="EL34" i="1" s="1"/>
  <c r="LR43" i="1"/>
  <c r="EL43" i="1" s="1"/>
  <c r="LR39" i="1"/>
  <c r="EL39" i="1" s="1"/>
  <c r="LR38" i="1"/>
  <c r="EK15" i="1"/>
  <c r="EK19" i="1" s="1"/>
  <c r="LQ19" i="1"/>
  <c r="LS14" i="1"/>
  <c r="LR17" i="1"/>
  <c r="EL17" i="1" s="1"/>
  <c r="LR16" i="1"/>
  <c r="EL16" i="1" s="1"/>
  <c r="LR15" i="1"/>
  <c r="LR18" i="1"/>
  <c r="EL18" i="1" s="1"/>
  <c r="LS42" i="1" l="1"/>
  <c r="EM86" i="1"/>
  <c r="EM87" i="1"/>
  <c r="EM84" i="1"/>
  <c r="EM85" i="1"/>
  <c r="EM83" i="1"/>
  <c r="EH88" i="3"/>
  <c r="EH90" i="3"/>
  <c r="EH87" i="3"/>
  <c r="EH89" i="3"/>
  <c r="EH91" i="3"/>
  <c r="EH93" i="3"/>
  <c r="EI85" i="3"/>
  <c r="EI89" i="3" s="1"/>
  <c r="LX4" i="1"/>
  <c r="EM79" i="1"/>
  <c r="EM81" i="1"/>
  <c r="EM80" i="1"/>
  <c r="EM82" i="1"/>
  <c r="EM42" i="1"/>
  <c r="LS33" i="1"/>
  <c r="EM33" i="1" s="1"/>
  <c r="LS25" i="1"/>
  <c r="EM25" i="1" s="1"/>
  <c r="LS24" i="1"/>
  <c r="EM24" i="1" s="1"/>
  <c r="LS32" i="1"/>
  <c r="EM32" i="1" s="1"/>
  <c r="LR101" i="1"/>
  <c r="EM2" i="1"/>
  <c r="LS2" i="1" s="1"/>
  <c r="EI98" i="1"/>
  <c r="LP65" i="1"/>
  <c r="EJ97" i="1"/>
  <c r="EK91" i="1"/>
  <c r="EK92" i="1" s="1"/>
  <c r="EK104" i="1" s="1"/>
  <c r="EL90" i="1"/>
  <c r="LS41" i="1"/>
  <c r="EM41" i="1" s="1"/>
  <c r="LS40" i="1"/>
  <c r="EM40" i="1" s="1"/>
  <c r="LP47" i="1"/>
  <c r="LR27" i="1"/>
  <c r="EL22" i="1"/>
  <c r="EL27" i="1" s="1"/>
  <c r="EK46" i="1"/>
  <c r="EK96" i="1" s="1"/>
  <c r="EN14" i="1"/>
  <c r="EN89" i="1" s="1"/>
  <c r="LS26" i="1"/>
  <c r="EM26" i="1" s="1"/>
  <c r="LS23" i="1"/>
  <c r="EM23" i="1" s="1"/>
  <c r="LS22" i="1"/>
  <c r="LS31" i="1"/>
  <c r="EM31" i="1" s="1"/>
  <c r="LS30" i="1"/>
  <c r="LS39" i="1"/>
  <c r="EM39" i="1" s="1"/>
  <c r="LS43" i="1"/>
  <c r="EM43" i="1" s="1"/>
  <c r="LS34" i="1"/>
  <c r="EM34" i="1" s="1"/>
  <c r="LS38" i="1"/>
  <c r="ES4" i="1"/>
  <c r="ER3" i="1"/>
  <c r="LX3" i="1" s="1"/>
  <c r="EL38" i="1"/>
  <c r="EL44" i="1" s="1"/>
  <c r="LR44" i="1"/>
  <c r="EL30" i="1"/>
  <c r="EL35" i="1" s="1"/>
  <c r="LR35" i="1"/>
  <c r="LT14" i="1"/>
  <c r="LS18" i="1"/>
  <c r="EM18" i="1" s="1"/>
  <c r="LS17" i="1"/>
  <c r="EM17" i="1" s="1"/>
  <c r="LS16" i="1"/>
  <c r="EM16" i="1" s="1"/>
  <c r="LS15" i="1"/>
  <c r="LR19" i="1"/>
  <c r="EL15" i="1"/>
  <c r="EL19" i="1" s="1"/>
  <c r="LT42" i="1" l="1"/>
  <c r="EN86" i="1"/>
  <c r="EN87" i="1"/>
  <c r="EN84" i="1"/>
  <c r="EN85" i="1"/>
  <c r="EN83" i="1"/>
  <c r="EI87" i="3"/>
  <c r="EI91" i="3"/>
  <c r="EI90" i="3"/>
  <c r="EI88" i="3"/>
  <c r="EI93" i="3"/>
  <c r="EI86" i="3"/>
  <c r="EJ85" i="3"/>
  <c r="EJ87" i="3" s="1"/>
  <c r="LY4" i="1"/>
  <c r="EN79" i="1"/>
  <c r="EN80" i="1"/>
  <c r="EN81" i="1"/>
  <c r="EN82" i="1"/>
  <c r="EN42" i="1"/>
  <c r="LT32" i="1"/>
  <c r="EN32" i="1" s="1"/>
  <c r="LT24" i="1"/>
  <c r="EN24" i="1" s="1"/>
  <c r="LT25" i="1"/>
  <c r="EN25" i="1" s="1"/>
  <c r="LT33" i="1"/>
  <c r="EN33" i="1" s="1"/>
  <c r="EN2" i="1"/>
  <c r="LT2" i="1" s="1"/>
  <c r="LS101" i="1"/>
  <c r="EJ98" i="1"/>
  <c r="LQ65" i="1"/>
  <c r="EK97" i="1"/>
  <c r="EL91" i="1"/>
  <c r="EL92" i="1" s="1"/>
  <c r="EL104" i="1" s="1"/>
  <c r="EM90" i="1"/>
  <c r="LT40" i="1"/>
  <c r="EN40" i="1" s="1"/>
  <c r="LT41" i="1"/>
  <c r="EN41" i="1" s="1"/>
  <c r="LQ47" i="1"/>
  <c r="EL46" i="1"/>
  <c r="EL96" i="1" s="1"/>
  <c r="LS35" i="1"/>
  <c r="EM30" i="1"/>
  <c r="EM35" i="1" s="1"/>
  <c r="EM38" i="1"/>
  <c r="EM44" i="1" s="1"/>
  <c r="LS44" i="1"/>
  <c r="EO14" i="1"/>
  <c r="EO89" i="1" s="1"/>
  <c r="LS27" i="1"/>
  <c r="EM22" i="1"/>
  <c r="EM27" i="1" s="1"/>
  <c r="ET4" i="1"/>
  <c r="ES3" i="1"/>
  <c r="LY3" i="1" s="1"/>
  <c r="LT22" i="1"/>
  <c r="LT23" i="1"/>
  <c r="EN23" i="1" s="1"/>
  <c r="LT30" i="1"/>
  <c r="LT26" i="1"/>
  <c r="EN26" i="1" s="1"/>
  <c r="LT31" i="1"/>
  <c r="EN31" i="1" s="1"/>
  <c r="LT34" i="1"/>
  <c r="EN34" i="1" s="1"/>
  <c r="LT38" i="1"/>
  <c r="LT43" i="1"/>
  <c r="EN43" i="1" s="1"/>
  <c r="LT39" i="1"/>
  <c r="EN39" i="1" s="1"/>
  <c r="LS19" i="1"/>
  <c r="EM15" i="1"/>
  <c r="EM19" i="1" s="1"/>
  <c r="LU14" i="1"/>
  <c r="LT18" i="1"/>
  <c r="EN18" i="1" s="1"/>
  <c r="LT16" i="1"/>
  <c r="EN16" i="1" s="1"/>
  <c r="LT17" i="1"/>
  <c r="EN17" i="1" s="1"/>
  <c r="LT15" i="1"/>
  <c r="LU42" i="1" l="1"/>
  <c r="EO86" i="1"/>
  <c r="EO87" i="1"/>
  <c r="EO84" i="1"/>
  <c r="EO85" i="1"/>
  <c r="EO83" i="1"/>
  <c r="EJ86" i="3"/>
  <c r="EJ91" i="3"/>
  <c r="EJ93" i="3"/>
  <c r="EJ90" i="3"/>
  <c r="EJ89" i="3"/>
  <c r="EJ88" i="3"/>
  <c r="EK85" i="3"/>
  <c r="EK88" i="3" s="1"/>
  <c r="LZ4" i="1"/>
  <c r="EO79" i="1"/>
  <c r="EO81" i="1"/>
  <c r="EO82" i="1"/>
  <c r="EO80" i="1"/>
  <c r="EO42" i="1"/>
  <c r="LU33" i="1"/>
  <c r="EO33" i="1" s="1"/>
  <c r="LU32" i="1"/>
  <c r="EO32" i="1" s="1"/>
  <c r="LU25" i="1"/>
  <c r="EO25" i="1" s="1"/>
  <c r="LU24" i="1"/>
  <c r="EO24" i="1" s="1"/>
  <c r="LT101" i="1"/>
  <c r="EO2" i="1"/>
  <c r="LU2" i="1" s="1"/>
  <c r="EK98" i="1"/>
  <c r="LR65" i="1"/>
  <c r="EL97" i="1"/>
  <c r="EL98" i="1" s="1"/>
  <c r="EM91" i="1"/>
  <c r="EM92" i="1" s="1"/>
  <c r="EM104" i="1" s="1"/>
  <c r="EN90" i="1"/>
  <c r="LU40" i="1"/>
  <c r="EO40" i="1" s="1"/>
  <c r="LU41" i="1"/>
  <c r="EO41" i="1" s="1"/>
  <c r="LR47" i="1"/>
  <c r="EN22" i="1"/>
  <c r="EN27" i="1" s="1"/>
  <c r="LT27" i="1"/>
  <c r="EM46" i="1"/>
  <c r="EM96" i="1" s="1"/>
  <c r="EP14" i="1"/>
  <c r="EP89" i="1" s="1"/>
  <c r="LU26" i="1"/>
  <c r="EO26" i="1" s="1"/>
  <c r="LU22" i="1"/>
  <c r="LU38" i="1"/>
  <c r="LU34" i="1"/>
  <c r="EO34" i="1" s="1"/>
  <c r="LU30" i="1"/>
  <c r="LU31" i="1"/>
  <c r="EO31" i="1" s="1"/>
  <c r="LU43" i="1"/>
  <c r="EO43" i="1" s="1"/>
  <c r="LU23" i="1"/>
  <c r="EO23" i="1" s="1"/>
  <c r="LU39" i="1"/>
  <c r="EO39" i="1" s="1"/>
  <c r="EN30" i="1"/>
  <c r="EN35" i="1" s="1"/>
  <c r="LT35" i="1"/>
  <c r="EN38" i="1"/>
  <c r="EN44" i="1" s="1"/>
  <c r="LT44" i="1"/>
  <c r="EU4" i="1"/>
  <c r="ET3" i="1"/>
  <c r="LZ3" i="1" s="1"/>
  <c r="LV14" i="1"/>
  <c r="LU18" i="1"/>
  <c r="EO18" i="1" s="1"/>
  <c r="LU15" i="1"/>
  <c r="LU17" i="1"/>
  <c r="EO17" i="1" s="1"/>
  <c r="LU16" i="1"/>
  <c r="EO16" i="1" s="1"/>
  <c r="EN15" i="1"/>
  <c r="EN19" i="1" s="1"/>
  <c r="LT19" i="1"/>
  <c r="LV42" i="1" l="1"/>
  <c r="EP42" i="1" s="1"/>
  <c r="EP86" i="1"/>
  <c r="EP87" i="1"/>
  <c r="EP84" i="1"/>
  <c r="EP85" i="1"/>
  <c r="EP83" i="1"/>
  <c r="EK87" i="3"/>
  <c r="EK86" i="3"/>
  <c r="EK91" i="3"/>
  <c r="EK93" i="3"/>
  <c r="EK90" i="3"/>
  <c r="EK89" i="3"/>
  <c r="EL85" i="3"/>
  <c r="EL88" i="3" s="1"/>
  <c r="MA4" i="1"/>
  <c r="EP79" i="1"/>
  <c r="EP81" i="1"/>
  <c r="EP82" i="1"/>
  <c r="EP80" i="1"/>
  <c r="LV25" i="1"/>
  <c r="EP25" i="1" s="1"/>
  <c r="LV32" i="1"/>
  <c r="EP32" i="1" s="1"/>
  <c r="LV24" i="1"/>
  <c r="EP24" i="1" s="1"/>
  <c r="LV33" i="1"/>
  <c r="EP33" i="1" s="1"/>
  <c r="EP2" i="1"/>
  <c r="LV2" i="1" s="1"/>
  <c r="LU101" i="1"/>
  <c r="LS65" i="1"/>
  <c r="EM97" i="1"/>
  <c r="EN91" i="1"/>
  <c r="EN92" i="1" s="1"/>
  <c r="EN104" i="1" s="1"/>
  <c r="EO90" i="1"/>
  <c r="LV41" i="1"/>
  <c r="EP41" i="1" s="1"/>
  <c r="LV40" i="1"/>
  <c r="EP40" i="1" s="1"/>
  <c r="LS47" i="1"/>
  <c r="EN46" i="1"/>
  <c r="EN96" i="1" s="1"/>
  <c r="LU35" i="1"/>
  <c r="EO30" i="1"/>
  <c r="EO35" i="1" s="1"/>
  <c r="EQ14" i="1"/>
  <c r="EQ89" i="1" s="1"/>
  <c r="EV4" i="1"/>
  <c r="EU3" i="1"/>
  <c r="MA3" i="1" s="1"/>
  <c r="EO38" i="1"/>
  <c r="EO44" i="1" s="1"/>
  <c r="LU44" i="1"/>
  <c r="LV34" i="1"/>
  <c r="EP34" i="1" s="1"/>
  <c r="LV26" i="1"/>
  <c r="EP26" i="1" s="1"/>
  <c r="LV43" i="1"/>
  <c r="EP43" i="1" s="1"/>
  <c r="LV31" i="1"/>
  <c r="EP31" i="1" s="1"/>
  <c r="LV22" i="1"/>
  <c r="LV38" i="1"/>
  <c r="LV39" i="1"/>
  <c r="EP39" i="1" s="1"/>
  <c r="LV30" i="1"/>
  <c r="LV23" i="1"/>
  <c r="EP23" i="1" s="1"/>
  <c r="EO22" i="1"/>
  <c r="EO27" i="1" s="1"/>
  <c r="LU27" i="1"/>
  <c r="EO15" i="1"/>
  <c r="EO19" i="1" s="1"/>
  <c r="LU19" i="1"/>
  <c r="LW14" i="1"/>
  <c r="LV15" i="1"/>
  <c r="LV17" i="1"/>
  <c r="EP17" i="1" s="1"/>
  <c r="LV18" i="1"/>
  <c r="EP18" i="1" s="1"/>
  <c r="LV16" i="1"/>
  <c r="EP16" i="1" s="1"/>
  <c r="LW42" i="1" l="1"/>
  <c r="EQ42" i="1" s="1"/>
  <c r="EQ86" i="1"/>
  <c r="EQ87" i="1"/>
  <c r="EQ84" i="1"/>
  <c r="EQ85" i="1"/>
  <c r="EQ83" i="1"/>
  <c r="EL91" i="3"/>
  <c r="EL86" i="3"/>
  <c r="EL93" i="3"/>
  <c r="EL90" i="3"/>
  <c r="EL87" i="3"/>
  <c r="EL89" i="3"/>
  <c r="EM85" i="3"/>
  <c r="EM87" i="3" s="1"/>
  <c r="MB4" i="1"/>
  <c r="EQ80" i="1"/>
  <c r="EQ82" i="1"/>
  <c r="EQ81" i="1"/>
  <c r="EQ79" i="1"/>
  <c r="LW25" i="1"/>
  <c r="EQ25" i="1" s="1"/>
  <c r="LW24" i="1"/>
  <c r="EQ24" i="1" s="1"/>
  <c r="LW32" i="1"/>
  <c r="EQ32" i="1" s="1"/>
  <c r="LW33" i="1"/>
  <c r="EQ33" i="1" s="1"/>
  <c r="EQ2" i="1"/>
  <c r="LW2" i="1" s="1"/>
  <c r="LV101" i="1"/>
  <c r="EM98" i="1"/>
  <c r="LT65" i="1"/>
  <c r="EN97" i="1"/>
  <c r="EO91" i="1"/>
  <c r="EO92" i="1" s="1"/>
  <c r="EO104" i="1" s="1"/>
  <c r="EP90" i="1"/>
  <c r="LW40" i="1"/>
  <c r="EQ40" i="1" s="1"/>
  <c r="LW41" i="1"/>
  <c r="EQ41" i="1" s="1"/>
  <c r="LT47" i="1"/>
  <c r="LV35" i="1"/>
  <c r="EP30" i="1"/>
  <c r="EP35" i="1" s="1"/>
  <c r="EW4" i="1"/>
  <c r="EV3" i="1"/>
  <c r="MB3" i="1" s="1"/>
  <c r="ER14" i="1"/>
  <c r="ER89" i="1" s="1"/>
  <c r="EP38" i="1"/>
  <c r="EP44" i="1" s="1"/>
  <c r="LV44" i="1"/>
  <c r="LV27" i="1"/>
  <c r="EP22" i="1"/>
  <c r="EP27" i="1" s="1"/>
  <c r="EO46" i="1"/>
  <c r="EO96" i="1" s="1"/>
  <c r="LW26" i="1"/>
  <c r="EQ26" i="1" s="1"/>
  <c r="LW23" i="1"/>
  <c r="EQ23" i="1" s="1"/>
  <c r="LW31" i="1"/>
  <c r="EQ31" i="1" s="1"/>
  <c r="LW43" i="1"/>
  <c r="EQ43" i="1" s="1"/>
  <c r="LW34" i="1"/>
  <c r="EQ34" i="1" s="1"/>
  <c r="LW22" i="1"/>
  <c r="LW39" i="1"/>
  <c r="EQ39" i="1" s="1"/>
  <c r="LW30" i="1"/>
  <c r="LW38" i="1"/>
  <c r="LX14" i="1"/>
  <c r="LW17" i="1"/>
  <c r="EQ17" i="1" s="1"/>
  <c r="LW18" i="1"/>
  <c r="EQ18" i="1" s="1"/>
  <c r="LW16" i="1"/>
  <c r="EQ16" i="1" s="1"/>
  <c r="LW15" i="1"/>
  <c r="EP15" i="1"/>
  <c r="EP19" i="1" s="1"/>
  <c r="LV19" i="1"/>
  <c r="LX42" i="1" l="1"/>
  <c r="ER86" i="1"/>
  <c r="ER87" i="1"/>
  <c r="ER84" i="1"/>
  <c r="ER85" i="1"/>
  <c r="ER83" i="1"/>
  <c r="EM86" i="3"/>
  <c r="EM91" i="3"/>
  <c r="EM93" i="3"/>
  <c r="EM89" i="3"/>
  <c r="EM90" i="3"/>
  <c r="EM88" i="3"/>
  <c r="EN85" i="3"/>
  <c r="EN93" i="3" s="1"/>
  <c r="MC4" i="1"/>
  <c r="ER80" i="1"/>
  <c r="ER81" i="1"/>
  <c r="ER82" i="1"/>
  <c r="ER79" i="1"/>
  <c r="ER42" i="1"/>
  <c r="LX33" i="1"/>
  <c r="ER33" i="1" s="1"/>
  <c r="LX24" i="1"/>
  <c r="ER24" i="1" s="1"/>
  <c r="LX25" i="1"/>
  <c r="ER25" i="1" s="1"/>
  <c r="LX32" i="1"/>
  <c r="ER32" i="1" s="1"/>
  <c r="ER2" i="1"/>
  <c r="LX2" i="1" s="1"/>
  <c r="LW101" i="1"/>
  <c r="EN98" i="1"/>
  <c r="LU65" i="1"/>
  <c r="EO97" i="1"/>
  <c r="EP91" i="1"/>
  <c r="EP92" i="1" s="1"/>
  <c r="EP104" i="1" s="1"/>
  <c r="EQ90" i="1"/>
  <c r="LX41" i="1"/>
  <c r="ER41" i="1" s="1"/>
  <c r="LX40" i="1"/>
  <c r="ER40" i="1" s="1"/>
  <c r="LU47" i="1"/>
  <c r="EQ38" i="1"/>
  <c r="EQ44" i="1" s="1"/>
  <c r="LW44" i="1"/>
  <c r="LW27" i="1"/>
  <c r="EQ22" i="1"/>
  <c r="EQ27" i="1" s="1"/>
  <c r="EX4" i="1"/>
  <c r="EW3" i="1"/>
  <c r="MC3" i="1" s="1"/>
  <c r="ES14" i="1"/>
  <c r="ES89" i="1" s="1"/>
  <c r="LX30" i="1"/>
  <c r="LX31" i="1"/>
  <c r="ER31" i="1" s="1"/>
  <c r="LX26" i="1"/>
  <c r="ER26" i="1" s="1"/>
  <c r="LX23" i="1"/>
  <c r="ER23" i="1" s="1"/>
  <c r="LX43" i="1"/>
  <c r="ER43" i="1" s="1"/>
  <c r="LX34" i="1"/>
  <c r="ER34" i="1" s="1"/>
  <c r="LX39" i="1"/>
  <c r="ER39" i="1" s="1"/>
  <c r="LX22" i="1"/>
  <c r="LX38" i="1"/>
  <c r="LW35" i="1"/>
  <c r="EQ30" i="1"/>
  <c r="EQ35" i="1" s="1"/>
  <c r="EP46" i="1"/>
  <c r="EP96" i="1" s="1"/>
  <c r="EQ15" i="1"/>
  <c r="EQ19" i="1" s="1"/>
  <c r="LW19" i="1"/>
  <c r="LY14" i="1"/>
  <c r="LX16" i="1"/>
  <c r="ER16" i="1" s="1"/>
  <c r="LX15" i="1"/>
  <c r="LX17" i="1"/>
  <c r="ER17" i="1" s="1"/>
  <c r="LX18" i="1"/>
  <c r="ER18" i="1" s="1"/>
  <c r="LY42" i="1" l="1"/>
  <c r="ES42" i="1" s="1"/>
  <c r="ES86" i="1"/>
  <c r="ES87" i="1"/>
  <c r="ES84" i="1"/>
  <c r="ES85" i="1"/>
  <c r="ES83" i="1"/>
  <c r="EN88" i="3"/>
  <c r="EN86" i="3"/>
  <c r="EN90" i="3"/>
  <c r="EN91" i="3"/>
  <c r="EN87" i="3"/>
  <c r="EN89" i="3"/>
  <c r="EO85" i="3"/>
  <c r="EO86" i="3" s="1"/>
  <c r="MD4" i="1"/>
  <c r="ES80" i="1"/>
  <c r="ES79" i="1"/>
  <c r="ES82" i="1"/>
  <c r="ES81" i="1"/>
  <c r="LY25" i="1"/>
  <c r="ES25" i="1" s="1"/>
  <c r="LY24" i="1"/>
  <c r="ES24" i="1" s="1"/>
  <c r="LY32" i="1"/>
  <c r="ES32" i="1" s="1"/>
  <c r="LY33" i="1"/>
  <c r="ES33" i="1" s="1"/>
  <c r="ES2" i="1"/>
  <c r="LY2" i="1" s="1"/>
  <c r="LX101" i="1"/>
  <c r="EO98" i="1"/>
  <c r="LV65" i="1"/>
  <c r="EP97" i="1"/>
  <c r="EQ91" i="1"/>
  <c r="EQ92" i="1" s="1"/>
  <c r="EQ104" i="1" s="1"/>
  <c r="ER90" i="1"/>
  <c r="LY40" i="1"/>
  <c r="ES40" i="1" s="1"/>
  <c r="LY41" i="1"/>
  <c r="ES41" i="1" s="1"/>
  <c r="LV47" i="1"/>
  <c r="ET14" i="1"/>
  <c r="ET89" i="1" s="1"/>
  <c r="LY26" i="1"/>
  <c r="ES26" i="1" s="1"/>
  <c r="LY31" i="1"/>
  <c r="ES31" i="1" s="1"/>
  <c r="LY30" i="1"/>
  <c r="LY34" i="1"/>
  <c r="ES34" i="1" s="1"/>
  <c r="LY43" i="1"/>
  <c r="ES43" i="1" s="1"/>
  <c r="LY39" i="1"/>
  <c r="ES39" i="1" s="1"/>
  <c r="LY23" i="1"/>
  <c r="ES23" i="1" s="1"/>
  <c r="LY22" i="1"/>
  <c r="LY38" i="1"/>
  <c r="LX27" i="1"/>
  <c r="ER22" i="1"/>
  <c r="ER27" i="1" s="1"/>
  <c r="LX44" i="1"/>
  <c r="ER38" i="1"/>
  <c r="ER44" i="1" s="1"/>
  <c r="EY4" i="1"/>
  <c r="EX3" i="1"/>
  <c r="MD3" i="1" s="1"/>
  <c r="ER30" i="1"/>
  <c r="ER35" i="1" s="1"/>
  <c r="LX35" i="1"/>
  <c r="EQ46" i="1"/>
  <c r="EQ96" i="1" s="1"/>
  <c r="ER15" i="1"/>
  <c r="ER19" i="1" s="1"/>
  <c r="LX19" i="1"/>
  <c r="LZ14" i="1"/>
  <c r="LY17" i="1"/>
  <c r="ES17" i="1" s="1"/>
  <c r="LY16" i="1"/>
  <c r="ES16" i="1" s="1"/>
  <c r="LY18" i="1"/>
  <c r="ES18" i="1" s="1"/>
  <c r="LY15" i="1"/>
  <c r="LZ42" i="1" l="1"/>
  <c r="ET42" i="1" s="1"/>
  <c r="ET86" i="1"/>
  <c r="ET87" i="1"/>
  <c r="ET84" i="1"/>
  <c r="ET85" i="1"/>
  <c r="ET83" i="1"/>
  <c r="EO91" i="3"/>
  <c r="EO88" i="3"/>
  <c r="EO87" i="3"/>
  <c r="EO89" i="3"/>
  <c r="EO93" i="3"/>
  <c r="EO90" i="3"/>
  <c r="EP85" i="3"/>
  <c r="EP90" i="3" s="1"/>
  <c r="ME4" i="1"/>
  <c r="ET80" i="1"/>
  <c r="ET82" i="1"/>
  <c r="ET81" i="1"/>
  <c r="ET79" i="1"/>
  <c r="LZ24" i="1"/>
  <c r="ET24" i="1" s="1"/>
  <c r="LZ25" i="1"/>
  <c r="ET25" i="1" s="1"/>
  <c r="LZ32" i="1"/>
  <c r="ET32" i="1" s="1"/>
  <c r="LZ33" i="1"/>
  <c r="ET33" i="1" s="1"/>
  <c r="ET2" i="1"/>
  <c r="LZ2" i="1" s="1"/>
  <c r="LY101" i="1"/>
  <c r="EP98" i="1"/>
  <c r="LW65" i="1"/>
  <c r="EQ97" i="1"/>
  <c r="ER91" i="1"/>
  <c r="ER92" i="1" s="1"/>
  <c r="ER104" i="1" s="1"/>
  <c r="ES90" i="1"/>
  <c r="LZ41" i="1"/>
  <c r="ET41" i="1" s="1"/>
  <c r="LZ40" i="1"/>
  <c r="ET40" i="1" s="1"/>
  <c r="LW47" i="1"/>
  <c r="ER46" i="1"/>
  <c r="ER96" i="1" s="1"/>
  <c r="LY27" i="1"/>
  <c r="ES22" i="1"/>
  <c r="ES27" i="1" s="1"/>
  <c r="LY44" i="1"/>
  <c r="ES38" i="1"/>
  <c r="ES44" i="1" s="1"/>
  <c r="LY35" i="1"/>
  <c r="ES30" i="1"/>
  <c r="ES35" i="1" s="1"/>
  <c r="LZ23" i="1"/>
  <c r="ET23" i="1" s="1"/>
  <c r="LZ30" i="1"/>
  <c r="LZ34" i="1"/>
  <c r="ET34" i="1" s="1"/>
  <c r="LZ31" i="1"/>
  <c r="ET31" i="1" s="1"/>
  <c r="LZ26" i="1"/>
  <c r="ET26" i="1" s="1"/>
  <c r="LZ22" i="1"/>
  <c r="LZ43" i="1"/>
  <c r="ET43" i="1" s="1"/>
  <c r="LZ38" i="1"/>
  <c r="LZ39" i="1"/>
  <c r="ET39" i="1" s="1"/>
  <c r="EZ4" i="1"/>
  <c r="EY3" i="1"/>
  <c r="ME3" i="1" s="1"/>
  <c r="EU14" i="1"/>
  <c r="EU89" i="1" s="1"/>
  <c r="ES15" i="1"/>
  <c r="ES19" i="1" s="1"/>
  <c r="LY19" i="1"/>
  <c r="MA14" i="1"/>
  <c r="LZ16" i="1"/>
  <c r="ET16" i="1" s="1"/>
  <c r="LZ18" i="1"/>
  <c r="ET18" i="1" s="1"/>
  <c r="LZ17" i="1"/>
  <c r="ET17" i="1" s="1"/>
  <c r="LZ15" i="1"/>
  <c r="MA42" i="1" l="1"/>
  <c r="EU86" i="1"/>
  <c r="EU87" i="1"/>
  <c r="EU84" i="1"/>
  <c r="EU85" i="1"/>
  <c r="EU83" i="1"/>
  <c r="EP91" i="3"/>
  <c r="EP88" i="3"/>
  <c r="EP86" i="3"/>
  <c r="EP93" i="3"/>
  <c r="EP89" i="3"/>
  <c r="EP87" i="3"/>
  <c r="EQ85" i="3"/>
  <c r="EQ89" i="3" s="1"/>
  <c r="MF4" i="1"/>
  <c r="EU79" i="1"/>
  <c r="EU81" i="1"/>
  <c r="EU82" i="1"/>
  <c r="EU80" i="1"/>
  <c r="EU42" i="1"/>
  <c r="MA25" i="1"/>
  <c r="EU25" i="1" s="1"/>
  <c r="MA24" i="1"/>
  <c r="EU24" i="1" s="1"/>
  <c r="MA32" i="1"/>
  <c r="EU32" i="1" s="1"/>
  <c r="MA33" i="1"/>
  <c r="EU33" i="1" s="1"/>
  <c r="EU2" i="1"/>
  <c r="MA2" i="1" s="1"/>
  <c r="LZ101" i="1"/>
  <c r="EQ98" i="1"/>
  <c r="LX65" i="1"/>
  <c r="ER97" i="1"/>
  <c r="ES91" i="1"/>
  <c r="ES92" i="1" s="1"/>
  <c r="ES104" i="1" s="1"/>
  <c r="ET90" i="1"/>
  <c r="MA41" i="1"/>
  <c r="EU41" i="1" s="1"/>
  <c r="MA40" i="1"/>
  <c r="EU40" i="1" s="1"/>
  <c r="LX47" i="1"/>
  <c r="FA4" i="1"/>
  <c r="EZ3" i="1"/>
  <c r="MF3" i="1" s="1"/>
  <c r="ES46" i="1"/>
  <c r="ES96" i="1" s="1"/>
  <c r="EV14" i="1"/>
  <c r="EV89" i="1" s="1"/>
  <c r="LZ27" i="1"/>
  <c r="ET22" i="1"/>
  <c r="ET27" i="1" s="1"/>
  <c r="MA23" i="1"/>
  <c r="EU23" i="1" s="1"/>
  <c r="MA22" i="1"/>
  <c r="MA31" i="1"/>
  <c r="EU31" i="1" s="1"/>
  <c r="MA26" i="1"/>
  <c r="EU26" i="1" s="1"/>
  <c r="MA38" i="1"/>
  <c r="MA30" i="1"/>
  <c r="MA34" i="1"/>
  <c r="EU34" i="1" s="1"/>
  <c r="MA43" i="1"/>
  <c r="EU43" i="1" s="1"/>
  <c r="MA39" i="1"/>
  <c r="EU39" i="1" s="1"/>
  <c r="ET38" i="1"/>
  <c r="ET44" i="1" s="1"/>
  <c r="LZ44" i="1"/>
  <c r="ET30" i="1"/>
  <c r="ET35" i="1" s="1"/>
  <c r="LZ35" i="1"/>
  <c r="MB14" i="1"/>
  <c r="MA18" i="1"/>
  <c r="EU18" i="1" s="1"/>
  <c r="MA17" i="1"/>
  <c r="EU17" i="1" s="1"/>
  <c r="MA15" i="1"/>
  <c r="MA16" i="1"/>
  <c r="EU16" i="1" s="1"/>
  <c r="LZ19" i="1"/>
  <c r="ET15" i="1"/>
  <c r="ET19" i="1" s="1"/>
  <c r="MB42" i="1" l="1"/>
  <c r="EV42" i="1" s="1"/>
  <c r="EV86" i="1"/>
  <c r="EV87" i="1"/>
  <c r="EV84" i="1"/>
  <c r="EV85" i="1"/>
  <c r="EV83" i="1"/>
  <c r="EQ88" i="3"/>
  <c r="EQ87" i="3"/>
  <c r="EQ90" i="3"/>
  <c r="EQ93" i="3"/>
  <c r="EQ86" i="3"/>
  <c r="EQ91" i="3"/>
  <c r="ER85" i="3"/>
  <c r="ER89" i="3" s="1"/>
  <c r="MG4" i="1"/>
  <c r="EV79" i="1"/>
  <c r="EV80" i="1"/>
  <c r="EV81" i="1"/>
  <c r="EV82" i="1"/>
  <c r="MB25" i="1"/>
  <c r="EV25" i="1" s="1"/>
  <c r="MB32" i="1"/>
  <c r="EV32" i="1" s="1"/>
  <c r="MB24" i="1"/>
  <c r="EV24" i="1" s="1"/>
  <c r="MB33" i="1"/>
  <c r="EV33" i="1" s="1"/>
  <c r="MA101" i="1"/>
  <c r="EV2" i="1"/>
  <c r="MB2" i="1" s="1"/>
  <c r="ER98" i="1"/>
  <c r="LY65" i="1"/>
  <c r="ES97" i="1"/>
  <c r="ET91" i="1"/>
  <c r="ET92" i="1" s="1"/>
  <c r="ET104" i="1" s="1"/>
  <c r="EU90" i="1"/>
  <c r="MB40" i="1"/>
  <c r="EV40" i="1" s="1"/>
  <c r="MB41" i="1"/>
  <c r="EV41" i="1" s="1"/>
  <c r="LY47" i="1"/>
  <c r="MA44" i="1"/>
  <c r="EU38" i="1"/>
  <c r="EU44" i="1" s="1"/>
  <c r="ET46" i="1"/>
  <c r="ET96" i="1" s="1"/>
  <c r="EW14" i="1"/>
  <c r="EW89" i="1" s="1"/>
  <c r="EU22" i="1"/>
  <c r="EU27" i="1" s="1"/>
  <c r="MA27" i="1"/>
  <c r="FB4" i="1"/>
  <c r="FA3" i="1"/>
  <c r="MG3" i="1" s="1"/>
  <c r="EU30" i="1"/>
  <c r="EU35" i="1" s="1"/>
  <c r="MA35" i="1"/>
  <c r="MB26" i="1"/>
  <c r="EV26" i="1" s="1"/>
  <c r="MB30" i="1"/>
  <c r="MB22" i="1"/>
  <c r="MB31" i="1"/>
  <c r="EV31" i="1" s="1"/>
  <c r="MB39" i="1"/>
  <c r="EV39" i="1" s="1"/>
  <c r="MB23" i="1"/>
  <c r="EV23" i="1" s="1"/>
  <c r="MB43" i="1"/>
  <c r="EV43" i="1" s="1"/>
  <c r="MB38" i="1"/>
  <c r="MB34" i="1"/>
  <c r="EV34" i="1" s="1"/>
  <c r="MA19" i="1"/>
  <c r="EU15" i="1"/>
  <c r="EU19" i="1" s="1"/>
  <c r="MC14" i="1"/>
  <c r="MB18" i="1"/>
  <c r="EV18" i="1" s="1"/>
  <c r="MB17" i="1"/>
  <c r="EV17" i="1" s="1"/>
  <c r="MB16" i="1"/>
  <c r="EV16" i="1" s="1"/>
  <c r="MB15" i="1"/>
  <c r="MC42" i="1" l="1"/>
  <c r="EW42" i="1" s="1"/>
  <c r="EW86" i="1"/>
  <c r="EW87" i="1"/>
  <c r="EW84" i="1"/>
  <c r="EW85" i="1"/>
  <c r="EW83" i="1"/>
  <c r="ER87" i="3"/>
  <c r="ER90" i="3"/>
  <c r="ER86" i="3"/>
  <c r="ER91" i="3"/>
  <c r="ER93" i="3"/>
  <c r="ER88" i="3"/>
  <c r="ES85" i="3"/>
  <c r="ES93" i="3" s="1"/>
  <c r="MH4" i="1"/>
  <c r="EW79" i="1"/>
  <c r="EW81" i="1"/>
  <c r="EW80" i="1"/>
  <c r="EW82" i="1"/>
  <c r="MC33" i="1"/>
  <c r="EW33" i="1" s="1"/>
  <c r="MC24" i="1"/>
  <c r="EW24" i="1" s="1"/>
  <c r="MC32" i="1"/>
  <c r="EW32" i="1" s="1"/>
  <c r="MC25" i="1"/>
  <c r="EW25" i="1" s="1"/>
  <c r="EW2" i="1"/>
  <c r="MC2" i="1" s="1"/>
  <c r="MB101" i="1"/>
  <c r="ES98" i="1"/>
  <c r="LZ65" i="1"/>
  <c r="ET97" i="1"/>
  <c r="EU91" i="1"/>
  <c r="EU92" i="1" s="1"/>
  <c r="EU104" i="1" s="1"/>
  <c r="EV90" i="1"/>
  <c r="MC41" i="1"/>
  <c r="EW41" i="1" s="1"/>
  <c r="MC40" i="1"/>
  <c r="EW40" i="1" s="1"/>
  <c r="LZ47" i="1"/>
  <c r="EV30" i="1"/>
  <c r="EV35" i="1" s="1"/>
  <c r="MB35" i="1"/>
  <c r="MB44" i="1"/>
  <c r="EV38" i="1"/>
  <c r="EV44" i="1" s="1"/>
  <c r="EX14" i="1"/>
  <c r="EX89" i="1" s="1"/>
  <c r="FC4" i="1"/>
  <c r="FB3" i="1"/>
  <c r="MH3" i="1" s="1"/>
  <c r="EU46" i="1"/>
  <c r="EU96" i="1" s="1"/>
  <c r="EV22" i="1"/>
  <c r="EV27" i="1" s="1"/>
  <c r="MB27" i="1"/>
  <c r="MC26" i="1"/>
  <c r="EW26" i="1" s="1"/>
  <c r="MC23" i="1"/>
  <c r="EW23" i="1" s="1"/>
  <c r="MC22" i="1"/>
  <c r="MC34" i="1"/>
  <c r="EW34" i="1" s="1"/>
  <c r="MC38" i="1"/>
  <c r="MC31" i="1"/>
  <c r="EW31" i="1" s="1"/>
  <c r="MC30" i="1"/>
  <c r="MC43" i="1"/>
  <c r="EW43" i="1" s="1"/>
  <c r="MC39" i="1"/>
  <c r="EW39" i="1" s="1"/>
  <c r="MD14" i="1"/>
  <c r="MC18" i="1"/>
  <c r="EW18" i="1" s="1"/>
  <c r="MC17" i="1"/>
  <c r="EW17" i="1" s="1"/>
  <c r="MC15" i="1"/>
  <c r="MC16" i="1"/>
  <c r="EW16" i="1" s="1"/>
  <c r="EV15" i="1"/>
  <c r="EV19" i="1" s="1"/>
  <c r="MB19" i="1"/>
  <c r="MD42" i="1" l="1"/>
  <c r="EX86" i="1"/>
  <c r="EX87" i="1"/>
  <c r="EX84" i="1"/>
  <c r="EX85" i="1"/>
  <c r="EX83" i="1"/>
  <c r="ES89" i="3"/>
  <c r="ES86" i="3"/>
  <c r="ES91" i="3"/>
  <c r="ES87" i="3"/>
  <c r="ES90" i="3"/>
  <c r="ES88" i="3"/>
  <c r="ET85" i="3"/>
  <c r="ET87" i="3" s="1"/>
  <c r="MI4" i="1"/>
  <c r="EX79" i="1"/>
  <c r="EX81" i="1"/>
  <c r="EX80" i="1"/>
  <c r="EX82" i="1"/>
  <c r="EX42" i="1"/>
  <c r="MD24" i="1"/>
  <c r="EX24" i="1" s="1"/>
  <c r="MD32" i="1"/>
  <c r="EX32" i="1" s="1"/>
  <c r="MD25" i="1"/>
  <c r="EX25" i="1" s="1"/>
  <c r="MD33" i="1"/>
  <c r="EX33" i="1" s="1"/>
  <c r="MC101" i="1"/>
  <c r="EX2" i="1"/>
  <c r="MD2" i="1" s="1"/>
  <c r="ET98" i="1"/>
  <c r="MA65" i="1"/>
  <c r="EU97" i="1"/>
  <c r="EU98" i="1" s="1"/>
  <c r="EV91" i="1"/>
  <c r="EV92" i="1" s="1"/>
  <c r="EV104" i="1" s="1"/>
  <c r="EW90" i="1"/>
  <c r="MD40" i="1"/>
  <c r="EX40" i="1" s="1"/>
  <c r="MD41" i="1"/>
  <c r="EX41" i="1" s="1"/>
  <c r="MA47" i="1"/>
  <c r="EW22" i="1"/>
  <c r="EW27" i="1" s="1"/>
  <c r="MC27" i="1"/>
  <c r="EY14" i="1"/>
  <c r="EY89" i="1" s="1"/>
  <c r="EV46" i="1"/>
  <c r="EV96" i="1" s="1"/>
  <c r="MD34" i="1"/>
  <c r="EX34" i="1" s="1"/>
  <c r="MD22" i="1"/>
  <c r="MD26" i="1"/>
  <c r="EX26" i="1" s="1"/>
  <c r="MD38" i="1"/>
  <c r="MD31" i="1"/>
  <c r="EX31" i="1" s="1"/>
  <c r="MD43" i="1"/>
  <c r="EX43" i="1" s="1"/>
  <c r="MD23" i="1"/>
  <c r="EX23" i="1" s="1"/>
  <c r="MD30" i="1"/>
  <c r="MD39" i="1"/>
  <c r="EX39" i="1" s="1"/>
  <c r="EW38" i="1"/>
  <c r="EW44" i="1" s="1"/>
  <c r="MC44" i="1"/>
  <c r="EW30" i="1"/>
  <c r="EW35" i="1" s="1"/>
  <c r="MC35" i="1"/>
  <c r="FD4" i="1"/>
  <c r="FC3" i="1"/>
  <c r="MI3" i="1" s="1"/>
  <c r="EW15" i="1"/>
  <c r="EW19" i="1" s="1"/>
  <c r="MC19" i="1"/>
  <c r="ME14" i="1"/>
  <c r="MD18" i="1"/>
  <c r="EX18" i="1" s="1"/>
  <c r="MD17" i="1"/>
  <c r="EX17" i="1" s="1"/>
  <c r="MD15" i="1"/>
  <c r="MD16" i="1"/>
  <c r="EX16" i="1" s="1"/>
  <c r="ME42" i="1" l="1"/>
  <c r="EY42" i="1" s="1"/>
  <c r="EY86" i="1"/>
  <c r="EY87" i="1"/>
  <c r="EY84" i="1"/>
  <c r="EY85" i="1"/>
  <c r="EY83" i="1"/>
  <c r="ET91" i="3"/>
  <c r="ET86" i="3"/>
  <c r="ET93" i="3"/>
  <c r="ET89" i="3"/>
  <c r="ET90" i="3"/>
  <c r="ET88" i="3"/>
  <c r="EU85" i="3"/>
  <c r="EU93" i="3" s="1"/>
  <c r="MJ4" i="1"/>
  <c r="EY80" i="1"/>
  <c r="EY82" i="1"/>
  <c r="EY79" i="1"/>
  <c r="EY81" i="1"/>
  <c r="ME25" i="1"/>
  <c r="EY25" i="1" s="1"/>
  <c r="ME24" i="1"/>
  <c r="EY24" i="1" s="1"/>
  <c r="ME32" i="1"/>
  <c r="EY32" i="1" s="1"/>
  <c r="ME33" i="1"/>
  <c r="EY33" i="1" s="1"/>
  <c r="EY2" i="1"/>
  <c r="ME2" i="1" s="1"/>
  <c r="MD101" i="1"/>
  <c r="MB65" i="1"/>
  <c r="EV97" i="1"/>
  <c r="EW91" i="1"/>
  <c r="EW92" i="1" s="1"/>
  <c r="EW104" i="1" s="1"/>
  <c r="EX90" i="1"/>
  <c r="ME41" i="1"/>
  <c r="EY41" i="1" s="1"/>
  <c r="ME40" i="1"/>
  <c r="EY40" i="1" s="1"/>
  <c r="MB47" i="1"/>
  <c r="ME30" i="1"/>
  <c r="ME26" i="1"/>
  <c r="EY26" i="1" s="1"/>
  <c r="ME34" i="1"/>
  <c r="EY34" i="1" s="1"/>
  <c r="ME43" i="1"/>
  <c r="EY43" i="1" s="1"/>
  <c r="ME31" i="1"/>
  <c r="EY31" i="1" s="1"/>
  <c r="ME23" i="1"/>
  <c r="EY23" i="1" s="1"/>
  <c r="ME22" i="1"/>
  <c r="ME39" i="1"/>
  <c r="EY39" i="1" s="1"/>
  <c r="ME38" i="1"/>
  <c r="FE4" i="1"/>
  <c r="FD3" i="1"/>
  <c r="MJ3" i="1" s="1"/>
  <c r="EX38" i="1"/>
  <c r="EX44" i="1" s="1"/>
  <c r="MD44" i="1"/>
  <c r="EZ14" i="1"/>
  <c r="EZ89" i="1" s="1"/>
  <c r="MD35" i="1"/>
  <c r="EX30" i="1"/>
  <c r="EX35" i="1" s="1"/>
  <c r="EW46" i="1"/>
  <c r="EW96" i="1" s="1"/>
  <c r="MD27" i="1"/>
  <c r="EX22" i="1"/>
  <c r="EX27" i="1" s="1"/>
  <c r="MF14" i="1"/>
  <c r="ME17" i="1"/>
  <c r="EY17" i="1" s="1"/>
  <c r="ME18" i="1"/>
  <c r="EY18" i="1" s="1"/>
  <c r="ME16" i="1"/>
  <c r="EY16" i="1" s="1"/>
  <c r="ME15" i="1"/>
  <c r="EX15" i="1"/>
  <c r="EX19" i="1" s="1"/>
  <c r="MD19" i="1"/>
  <c r="MF42" i="1" l="1"/>
  <c r="EZ86" i="1"/>
  <c r="EZ87" i="1"/>
  <c r="EZ84" i="1"/>
  <c r="EZ85" i="1"/>
  <c r="EZ83" i="1"/>
  <c r="EU91" i="3"/>
  <c r="EU87" i="3"/>
  <c r="EU90" i="3"/>
  <c r="EU86" i="3"/>
  <c r="EU89" i="3"/>
  <c r="EU88" i="3"/>
  <c r="EV85" i="3"/>
  <c r="EV89" i="3" s="1"/>
  <c r="MK4" i="1"/>
  <c r="EZ79" i="1"/>
  <c r="EZ80" i="1"/>
  <c r="EZ81" i="1"/>
  <c r="EZ82" i="1"/>
  <c r="EZ42" i="1"/>
  <c r="MF25" i="1"/>
  <c r="EZ25" i="1" s="1"/>
  <c r="MF32" i="1"/>
  <c r="EZ32" i="1" s="1"/>
  <c r="MF24" i="1"/>
  <c r="EZ24" i="1" s="1"/>
  <c r="MF33" i="1"/>
  <c r="EZ33" i="1" s="1"/>
  <c r="ME101" i="1"/>
  <c r="EZ2" i="1"/>
  <c r="MF2" i="1" s="1"/>
  <c r="EV98" i="1"/>
  <c r="MC65" i="1"/>
  <c r="EW97" i="1"/>
  <c r="EY90" i="1"/>
  <c r="EY91" i="1" s="1"/>
  <c r="EY92" i="1" s="1"/>
  <c r="EY104" i="1" s="1"/>
  <c r="EX91" i="1"/>
  <c r="EX92" i="1" s="1"/>
  <c r="EX104" i="1" s="1"/>
  <c r="MF41" i="1"/>
  <c r="EZ41" i="1" s="1"/>
  <c r="MF40" i="1"/>
  <c r="EZ40" i="1" s="1"/>
  <c r="MC47" i="1"/>
  <c r="EX46" i="1"/>
  <c r="EX96" i="1" s="1"/>
  <c r="FF4" i="1"/>
  <c r="FE3" i="1"/>
  <c r="MK3" i="1" s="1"/>
  <c r="EY30" i="1"/>
  <c r="EY35" i="1" s="1"/>
  <c r="ME35" i="1"/>
  <c r="MF26" i="1"/>
  <c r="EZ26" i="1" s="1"/>
  <c r="MF31" i="1"/>
  <c r="EZ31" i="1" s="1"/>
  <c r="MF23" i="1"/>
  <c r="EZ23" i="1" s="1"/>
  <c r="MF22" i="1"/>
  <c r="MF34" i="1"/>
  <c r="EZ34" i="1" s="1"/>
  <c r="MF43" i="1"/>
  <c r="EZ43" i="1" s="1"/>
  <c r="MF38" i="1"/>
  <c r="MF30" i="1"/>
  <c r="MF39" i="1"/>
  <c r="EZ39" i="1" s="1"/>
  <c r="FA14" i="1"/>
  <c r="FA89" i="1" s="1"/>
  <c r="ME27" i="1"/>
  <c r="EY22" i="1"/>
  <c r="EY27" i="1" s="1"/>
  <c r="ME44" i="1"/>
  <c r="EY38" i="1"/>
  <c r="EY44" i="1" s="1"/>
  <c r="EY15" i="1"/>
  <c r="EY19" i="1" s="1"/>
  <c r="ME19" i="1"/>
  <c r="MG14" i="1"/>
  <c r="MF16" i="1"/>
  <c r="EZ16" i="1" s="1"/>
  <c r="MF15" i="1"/>
  <c r="MF17" i="1"/>
  <c r="EZ17" i="1" s="1"/>
  <c r="MF18" i="1"/>
  <c r="EZ18" i="1" s="1"/>
  <c r="MG42" i="1" l="1"/>
  <c r="FA86" i="1"/>
  <c r="FA87" i="1"/>
  <c r="FA84" i="1"/>
  <c r="FA85" i="1"/>
  <c r="FA83" i="1"/>
  <c r="EV90" i="3"/>
  <c r="EV93" i="3"/>
  <c r="EV91" i="3"/>
  <c r="EV88" i="3"/>
  <c r="EV86" i="3"/>
  <c r="EV87" i="3"/>
  <c r="EW85" i="3"/>
  <c r="EW86" i="3" s="1"/>
  <c r="ML4" i="1"/>
  <c r="FA80" i="1"/>
  <c r="FA82" i="1"/>
  <c r="FA79" i="1"/>
  <c r="FA81" i="1"/>
  <c r="FA42" i="1"/>
  <c r="MG25" i="1"/>
  <c r="FA25" i="1" s="1"/>
  <c r="MG32" i="1"/>
  <c r="FA32" i="1" s="1"/>
  <c r="MG24" i="1"/>
  <c r="FA24" i="1" s="1"/>
  <c r="MG33" i="1"/>
  <c r="FA33" i="1" s="1"/>
  <c r="FA2" i="1"/>
  <c r="MG2" i="1" s="1"/>
  <c r="MF101" i="1"/>
  <c r="EW98" i="1"/>
  <c r="ME65" i="1"/>
  <c r="EY97" i="1"/>
  <c r="MD65" i="1"/>
  <c r="EX97" i="1"/>
  <c r="EX98" i="1" s="1"/>
  <c r="EZ90" i="1"/>
  <c r="MG40" i="1"/>
  <c r="FA40" i="1" s="1"/>
  <c r="MG41" i="1"/>
  <c r="FA41" i="1" s="1"/>
  <c r="MD47" i="1"/>
  <c r="EY46" i="1"/>
  <c r="EY96" i="1" s="1"/>
  <c r="EZ30" i="1"/>
  <c r="EZ35" i="1" s="1"/>
  <c r="MF35" i="1"/>
  <c r="EZ38" i="1"/>
  <c r="EZ44" i="1" s="1"/>
  <c r="MF44" i="1"/>
  <c r="MG31" i="1"/>
  <c r="FA31" i="1" s="1"/>
  <c r="MG22" i="1"/>
  <c r="MG23" i="1"/>
  <c r="FA23" i="1" s="1"/>
  <c r="MG26" i="1"/>
  <c r="FA26" i="1" s="1"/>
  <c r="MG34" i="1"/>
  <c r="FA34" i="1" s="1"/>
  <c r="MG30" i="1"/>
  <c r="MG43" i="1"/>
  <c r="FA43" i="1" s="1"/>
  <c r="MG39" i="1"/>
  <c r="FA39" i="1" s="1"/>
  <c r="MG38" i="1"/>
  <c r="FB14" i="1"/>
  <c r="FB89" i="1" s="1"/>
  <c r="MF27" i="1"/>
  <c r="EZ22" i="1"/>
  <c r="EZ27" i="1" s="1"/>
  <c r="FG4" i="1"/>
  <c r="FF3" i="1"/>
  <c r="ML3" i="1" s="1"/>
  <c r="EZ15" i="1"/>
  <c r="EZ19" i="1" s="1"/>
  <c r="MF19" i="1"/>
  <c r="MH14" i="1"/>
  <c r="MG17" i="1"/>
  <c r="FA17" i="1" s="1"/>
  <c r="MG16" i="1"/>
  <c r="FA16" i="1" s="1"/>
  <c r="MG18" i="1"/>
  <c r="FA18" i="1" s="1"/>
  <c r="MG15" i="1"/>
  <c r="MH42" i="1" l="1"/>
  <c r="FB42" i="1" s="1"/>
  <c r="FB86" i="1"/>
  <c r="FB87" i="1"/>
  <c r="FB84" i="1"/>
  <c r="FB85" i="1"/>
  <c r="FB83" i="1"/>
  <c r="EW87" i="3"/>
  <c r="EW90" i="3"/>
  <c r="EW88" i="3"/>
  <c r="EW89" i="3"/>
  <c r="EW93" i="3"/>
  <c r="EW91" i="3"/>
  <c r="EX85" i="3"/>
  <c r="EX91" i="3" s="1"/>
  <c r="MM4" i="1"/>
  <c r="FB80" i="1"/>
  <c r="FB82" i="1"/>
  <c r="FB79" i="1"/>
  <c r="FB81" i="1"/>
  <c r="MH32" i="1"/>
  <c r="FB32" i="1" s="1"/>
  <c r="MH33" i="1"/>
  <c r="FB33" i="1" s="1"/>
  <c r="MH25" i="1"/>
  <c r="FB25" i="1" s="1"/>
  <c r="MH24" i="1"/>
  <c r="FB24" i="1" s="1"/>
  <c r="FB2" i="1"/>
  <c r="MH2" i="1" s="1"/>
  <c r="MG101" i="1"/>
  <c r="EY98" i="1"/>
  <c r="EZ91" i="1"/>
  <c r="EZ92" i="1" s="1"/>
  <c r="EZ104" i="1" s="1"/>
  <c r="FA90" i="1"/>
  <c r="MH40" i="1"/>
  <c r="FB40" i="1" s="1"/>
  <c r="MH41" i="1"/>
  <c r="FB41" i="1" s="1"/>
  <c r="ME47" i="1"/>
  <c r="MG27" i="1"/>
  <c r="FA22" i="1"/>
  <c r="FA27" i="1" s="1"/>
  <c r="FA38" i="1"/>
  <c r="FA44" i="1" s="1"/>
  <c r="MG44" i="1"/>
  <c r="FH4" i="1"/>
  <c r="FG3" i="1"/>
  <c r="MM3" i="1" s="1"/>
  <c r="MH26" i="1"/>
  <c r="FB26" i="1" s="1"/>
  <c r="MH30" i="1"/>
  <c r="MH43" i="1"/>
  <c r="FB43" i="1" s="1"/>
  <c r="MH31" i="1"/>
  <c r="FB31" i="1" s="1"/>
  <c r="MH39" i="1"/>
  <c r="FB39" i="1" s="1"/>
  <c r="MH23" i="1"/>
  <c r="FB23" i="1" s="1"/>
  <c r="MH34" i="1"/>
  <c r="FB34" i="1" s="1"/>
  <c r="MH22" i="1"/>
  <c r="MH38" i="1"/>
  <c r="EZ46" i="1"/>
  <c r="EZ96" i="1" s="1"/>
  <c r="FC14" i="1"/>
  <c r="FC89" i="1" s="1"/>
  <c r="MG35" i="1"/>
  <c r="FA30" i="1"/>
  <c r="FA35" i="1" s="1"/>
  <c r="MI14" i="1"/>
  <c r="MH16" i="1"/>
  <c r="FB16" i="1" s="1"/>
  <c r="MH17" i="1"/>
  <c r="FB17" i="1" s="1"/>
  <c r="MH18" i="1"/>
  <c r="FB18" i="1" s="1"/>
  <c r="MH15" i="1"/>
  <c r="FA15" i="1"/>
  <c r="FA19" i="1" s="1"/>
  <c r="MG19" i="1"/>
  <c r="MI42" i="1" l="1"/>
  <c r="FC42" i="1" s="1"/>
  <c r="FC86" i="1"/>
  <c r="FC87" i="1"/>
  <c r="FC84" i="1"/>
  <c r="FC85" i="1"/>
  <c r="FC83" i="1"/>
  <c r="EX87" i="3"/>
  <c r="EX89" i="3"/>
  <c r="EX86" i="3"/>
  <c r="EX88" i="3"/>
  <c r="EX90" i="3"/>
  <c r="EX93" i="3"/>
  <c r="EY85" i="3"/>
  <c r="EY90" i="3" s="1"/>
  <c r="MN4" i="1"/>
  <c r="FC79" i="1"/>
  <c r="FC81" i="1"/>
  <c r="FC82" i="1"/>
  <c r="FC80" i="1"/>
  <c r="MI33" i="1"/>
  <c r="FC33" i="1" s="1"/>
  <c r="MI24" i="1"/>
  <c r="FC24" i="1" s="1"/>
  <c r="MI25" i="1"/>
  <c r="FC25" i="1" s="1"/>
  <c r="MI32" i="1"/>
  <c r="FC32" i="1" s="1"/>
  <c r="FC2" i="1"/>
  <c r="MI2" i="1" s="1"/>
  <c r="MH101" i="1"/>
  <c r="MF65" i="1"/>
  <c r="EZ97" i="1"/>
  <c r="FA91" i="1"/>
  <c r="FA92" i="1" s="1"/>
  <c r="FA104" i="1" s="1"/>
  <c r="FB90" i="1"/>
  <c r="MI41" i="1"/>
  <c r="FC41" i="1" s="1"/>
  <c r="MI40" i="1"/>
  <c r="FC40" i="1" s="1"/>
  <c r="MF47" i="1"/>
  <c r="FI4" i="1"/>
  <c r="FH3" i="1"/>
  <c r="MN3" i="1" s="1"/>
  <c r="FA46" i="1"/>
  <c r="FA96" i="1" s="1"/>
  <c r="FD14" i="1"/>
  <c r="FD89" i="1" s="1"/>
  <c r="MI31" i="1"/>
  <c r="FC31" i="1" s="1"/>
  <c r="MI23" i="1"/>
  <c r="FC23" i="1" s="1"/>
  <c r="MI22" i="1"/>
  <c r="MI34" i="1"/>
  <c r="FC34" i="1" s="1"/>
  <c r="MI26" i="1"/>
  <c r="FC26" i="1" s="1"/>
  <c r="MI30" i="1"/>
  <c r="MI39" i="1"/>
  <c r="FC39" i="1" s="1"/>
  <c r="MI43" i="1"/>
  <c r="FC43" i="1" s="1"/>
  <c r="MI38" i="1"/>
  <c r="MH44" i="1"/>
  <c r="FB38" i="1"/>
  <c r="FB44" i="1" s="1"/>
  <c r="FB30" i="1"/>
  <c r="FB35" i="1" s="1"/>
  <c r="MH35" i="1"/>
  <c r="MH27" i="1"/>
  <c r="FB22" i="1"/>
  <c r="FB27" i="1" s="1"/>
  <c r="MH19" i="1"/>
  <c r="FB15" i="1"/>
  <c r="FB19" i="1" s="1"/>
  <c r="MJ14" i="1"/>
  <c r="MI18" i="1"/>
  <c r="FC18" i="1" s="1"/>
  <c r="MI17" i="1"/>
  <c r="FC17" i="1" s="1"/>
  <c r="MI16" i="1"/>
  <c r="FC16" i="1" s="1"/>
  <c r="MI15" i="1"/>
  <c r="MJ42" i="1" l="1"/>
  <c r="FD42" i="1" s="1"/>
  <c r="FD86" i="1"/>
  <c r="FD87" i="1"/>
  <c r="FD84" i="1"/>
  <c r="FD85" i="1"/>
  <c r="FD83" i="1"/>
  <c r="EY86" i="3"/>
  <c r="EY87" i="3"/>
  <c r="EY91" i="3"/>
  <c r="EY89" i="3"/>
  <c r="EY88" i="3"/>
  <c r="EY93" i="3"/>
  <c r="EZ85" i="3"/>
  <c r="EZ90" i="3" s="1"/>
  <c r="MO4" i="1"/>
  <c r="FD81" i="1"/>
  <c r="FD82" i="1"/>
  <c r="FD79" i="1"/>
  <c r="FD80" i="1"/>
  <c r="MJ25" i="1"/>
  <c r="FD25" i="1" s="1"/>
  <c r="MJ32" i="1"/>
  <c r="FD32" i="1" s="1"/>
  <c r="MJ24" i="1"/>
  <c r="FD24" i="1" s="1"/>
  <c r="MJ33" i="1"/>
  <c r="FD33" i="1" s="1"/>
  <c r="FD2" i="1"/>
  <c r="MJ2" i="1" s="1"/>
  <c r="MI101" i="1"/>
  <c r="EZ98" i="1"/>
  <c r="MG65" i="1"/>
  <c r="FA97" i="1"/>
  <c r="FB91" i="1"/>
  <c r="FB92" i="1" s="1"/>
  <c r="FB104" i="1" s="1"/>
  <c r="FC90" i="1"/>
  <c r="MJ40" i="1"/>
  <c r="FD40" i="1" s="1"/>
  <c r="MJ41" i="1"/>
  <c r="FD41" i="1" s="1"/>
  <c r="MG47" i="1"/>
  <c r="FC30" i="1"/>
  <c r="FC35" i="1" s="1"/>
  <c r="MI35" i="1"/>
  <c r="FE14" i="1"/>
  <c r="FE89" i="1" s="1"/>
  <c r="MI44" i="1"/>
  <c r="FC38" i="1"/>
  <c r="FC44" i="1" s="1"/>
  <c r="MI27" i="1"/>
  <c r="FC22" i="1"/>
  <c r="FC27" i="1" s="1"/>
  <c r="FB46" i="1"/>
  <c r="FB96" i="1" s="1"/>
  <c r="MJ22" i="1"/>
  <c r="MJ23" i="1"/>
  <c r="FD23" i="1" s="1"/>
  <c r="MJ26" i="1"/>
  <c r="FD26" i="1" s="1"/>
  <c r="MJ30" i="1"/>
  <c r="MJ31" i="1"/>
  <c r="FD31" i="1" s="1"/>
  <c r="MJ34" i="1"/>
  <c r="FD34" i="1" s="1"/>
  <c r="MJ43" i="1"/>
  <c r="FD43" i="1" s="1"/>
  <c r="MJ38" i="1"/>
  <c r="MJ39" i="1"/>
  <c r="FD39" i="1" s="1"/>
  <c r="FJ4" i="1"/>
  <c r="FI3" i="1"/>
  <c r="MO3" i="1" s="1"/>
  <c r="MK14" i="1"/>
  <c r="MJ16" i="1"/>
  <c r="FD16" i="1" s="1"/>
  <c r="MJ18" i="1"/>
  <c r="FD18" i="1" s="1"/>
  <c r="MJ15" i="1"/>
  <c r="MJ17" i="1"/>
  <c r="FD17" i="1" s="1"/>
  <c r="MI19" i="1"/>
  <c r="FC15" i="1"/>
  <c r="FC19" i="1" s="1"/>
  <c r="MK42" i="1" l="1"/>
  <c r="FE42" i="1" s="1"/>
  <c r="FE86" i="1"/>
  <c r="FE87" i="1"/>
  <c r="FE84" i="1"/>
  <c r="FE85" i="1"/>
  <c r="FE83" i="1"/>
  <c r="EZ89" i="3"/>
  <c r="EZ91" i="3"/>
  <c r="EZ93" i="3"/>
  <c r="EZ88" i="3"/>
  <c r="EZ86" i="3"/>
  <c r="EZ87" i="3"/>
  <c r="FA85" i="3"/>
  <c r="FA89" i="3" s="1"/>
  <c r="MP4" i="1"/>
  <c r="FE79" i="1"/>
  <c r="FE81" i="1"/>
  <c r="FE80" i="1"/>
  <c r="FE82" i="1"/>
  <c r="MK32" i="1"/>
  <c r="FE32" i="1" s="1"/>
  <c r="MK24" i="1"/>
  <c r="FE24" i="1" s="1"/>
  <c r="MK25" i="1"/>
  <c r="FE25" i="1" s="1"/>
  <c r="MK33" i="1"/>
  <c r="FE33" i="1" s="1"/>
  <c r="FE2" i="1"/>
  <c r="MK2" i="1" s="1"/>
  <c r="MJ101" i="1"/>
  <c r="FA98" i="1"/>
  <c r="MH65" i="1"/>
  <c r="FB97" i="1"/>
  <c r="FB98" i="1" s="1"/>
  <c r="FC91" i="1"/>
  <c r="FC92" i="1" s="1"/>
  <c r="FC104" i="1" s="1"/>
  <c r="FD90" i="1"/>
  <c r="MK41" i="1"/>
  <c r="FE41" i="1" s="1"/>
  <c r="MK40" i="1"/>
  <c r="FE40" i="1" s="1"/>
  <c r="MH47" i="1"/>
  <c r="FK4" i="1"/>
  <c r="FJ3" i="1"/>
  <c r="MP3" i="1" s="1"/>
  <c r="FD38" i="1"/>
  <c r="FD44" i="1" s="1"/>
  <c r="MJ44" i="1"/>
  <c r="MJ27" i="1"/>
  <c r="FD22" i="1"/>
  <c r="FD27" i="1" s="1"/>
  <c r="FD30" i="1"/>
  <c r="FD35" i="1" s="1"/>
  <c r="MJ35" i="1"/>
  <c r="FF14" i="1"/>
  <c r="FF89" i="1" s="1"/>
  <c r="FC46" i="1"/>
  <c r="FC96" i="1" s="1"/>
  <c r="MK23" i="1"/>
  <c r="FE23" i="1" s="1"/>
  <c r="MK26" i="1"/>
  <c r="FE26" i="1" s="1"/>
  <c r="MK31" i="1"/>
  <c r="FE31" i="1" s="1"/>
  <c r="MK22" i="1"/>
  <c r="MK34" i="1"/>
  <c r="FE34" i="1" s="1"/>
  <c r="MK30" i="1"/>
  <c r="MK43" i="1"/>
  <c r="FE43" i="1" s="1"/>
  <c r="MK39" i="1"/>
  <c r="FE39" i="1" s="1"/>
  <c r="MK38" i="1"/>
  <c r="FD15" i="1"/>
  <c r="FD19" i="1" s="1"/>
  <c r="MJ19" i="1"/>
  <c r="ML14" i="1"/>
  <c r="MK18" i="1"/>
  <c r="FE18" i="1" s="1"/>
  <c r="MK15" i="1"/>
  <c r="MK17" i="1"/>
  <c r="FE17" i="1" s="1"/>
  <c r="MK16" i="1"/>
  <c r="FE16" i="1" s="1"/>
  <c r="ML42" i="1" l="1"/>
  <c r="FF86" i="1"/>
  <c r="FF87" i="1"/>
  <c r="FF84" i="1"/>
  <c r="FF85" i="1"/>
  <c r="FF83" i="1"/>
  <c r="FA88" i="3"/>
  <c r="FA93" i="3"/>
  <c r="FA86" i="3"/>
  <c r="FA91" i="3"/>
  <c r="FA87" i="3"/>
  <c r="FA90" i="3"/>
  <c r="FB85" i="3"/>
  <c r="FB87" i="3" s="1"/>
  <c r="MQ4" i="1"/>
  <c r="FF79" i="1"/>
  <c r="FF81" i="1"/>
  <c r="FF82" i="1"/>
  <c r="FF80" i="1"/>
  <c r="FF42" i="1"/>
  <c r="ML25" i="1"/>
  <c r="FF25" i="1" s="1"/>
  <c r="ML32" i="1"/>
  <c r="FF32" i="1" s="1"/>
  <c r="ML24" i="1"/>
  <c r="FF24" i="1" s="1"/>
  <c r="ML33" i="1"/>
  <c r="FF33" i="1" s="1"/>
  <c r="FF2" i="1"/>
  <c r="ML2" i="1" s="1"/>
  <c r="MK101" i="1"/>
  <c r="MI65" i="1"/>
  <c r="FC97" i="1"/>
  <c r="FD91" i="1"/>
  <c r="FD92" i="1" s="1"/>
  <c r="FD104" i="1" s="1"/>
  <c r="FE90" i="1"/>
  <c r="ML41" i="1"/>
  <c r="FF41" i="1" s="1"/>
  <c r="ML40" i="1"/>
  <c r="FF40" i="1" s="1"/>
  <c r="MI47" i="1"/>
  <c r="FE30" i="1"/>
  <c r="FE35" i="1" s="1"/>
  <c r="MK35" i="1"/>
  <c r="FD46" i="1"/>
  <c r="FD96" i="1" s="1"/>
  <c r="ML26" i="1"/>
  <c r="FF26" i="1" s="1"/>
  <c r="ML23" i="1"/>
  <c r="FF23" i="1" s="1"/>
  <c r="ML31" i="1"/>
  <c r="FF31" i="1" s="1"/>
  <c r="ML34" i="1"/>
  <c r="FF34" i="1" s="1"/>
  <c r="ML43" i="1"/>
  <c r="FF43" i="1" s="1"/>
  <c r="ML22" i="1"/>
  <c r="ML30" i="1"/>
  <c r="ML38" i="1"/>
  <c r="ML39" i="1"/>
  <c r="FF39" i="1" s="1"/>
  <c r="MK27" i="1"/>
  <c r="FE22" i="1"/>
  <c r="FE27" i="1" s="1"/>
  <c r="FG14" i="1"/>
  <c r="FG89" i="1" s="1"/>
  <c r="FE38" i="1"/>
  <c r="FE44" i="1" s="1"/>
  <c r="MK44" i="1"/>
  <c r="FL4" i="1"/>
  <c r="FK3" i="1"/>
  <c r="MQ3" i="1" s="1"/>
  <c r="FE15" i="1"/>
  <c r="FE19" i="1" s="1"/>
  <c r="MK19" i="1"/>
  <c r="MM14" i="1"/>
  <c r="ML15" i="1"/>
  <c r="ML18" i="1"/>
  <c r="FF18" i="1" s="1"/>
  <c r="ML17" i="1"/>
  <c r="FF17" i="1" s="1"/>
  <c r="ML16" i="1"/>
  <c r="FF16" i="1" s="1"/>
  <c r="MM42" i="1" l="1"/>
  <c r="FG42" i="1" s="1"/>
  <c r="FG86" i="1"/>
  <c r="FG87" i="1"/>
  <c r="FG84" i="1"/>
  <c r="FG85" i="1"/>
  <c r="FG83" i="1"/>
  <c r="FB89" i="3"/>
  <c r="FB90" i="3"/>
  <c r="FB93" i="3"/>
  <c r="FB88" i="3"/>
  <c r="FB86" i="3"/>
  <c r="FB91" i="3"/>
  <c r="FC85" i="3"/>
  <c r="FC91" i="3" s="1"/>
  <c r="MR4" i="1"/>
  <c r="FG80" i="1"/>
  <c r="FG79" i="1"/>
  <c r="FG82" i="1"/>
  <c r="FG81" i="1"/>
  <c r="MM33" i="1"/>
  <c r="FG33" i="1" s="1"/>
  <c r="MM25" i="1"/>
  <c r="FG25" i="1" s="1"/>
  <c r="MM24" i="1"/>
  <c r="FG24" i="1" s="1"/>
  <c r="MM32" i="1"/>
  <c r="FG32" i="1" s="1"/>
  <c r="FG2" i="1"/>
  <c r="MM2" i="1" s="1"/>
  <c r="ML101" i="1"/>
  <c r="FC98" i="1"/>
  <c r="MJ65" i="1"/>
  <c r="FD97" i="1"/>
  <c r="FE91" i="1"/>
  <c r="FE92" i="1" s="1"/>
  <c r="FE104" i="1" s="1"/>
  <c r="FF90" i="1"/>
  <c r="MM41" i="1"/>
  <c r="FG41" i="1" s="1"/>
  <c r="MM40" i="1"/>
  <c r="FG40" i="1" s="1"/>
  <c r="MJ47" i="1"/>
  <c r="FE46" i="1"/>
  <c r="FE96" i="1" s="1"/>
  <c r="ML27" i="1"/>
  <c r="FF22" i="1"/>
  <c r="FF27" i="1" s="1"/>
  <c r="FM4" i="1"/>
  <c r="FL3" i="1"/>
  <c r="MR3" i="1" s="1"/>
  <c r="MM26" i="1"/>
  <c r="FG26" i="1" s="1"/>
  <c r="MM34" i="1"/>
  <c r="FG34" i="1" s="1"/>
  <c r="MM31" i="1"/>
  <c r="FG31" i="1" s="1"/>
  <c r="MM22" i="1"/>
  <c r="MM38" i="1"/>
  <c r="MM43" i="1"/>
  <c r="FG43" i="1" s="1"/>
  <c r="MM23" i="1"/>
  <c r="FG23" i="1" s="1"/>
  <c r="MM30" i="1"/>
  <c r="MM39" i="1"/>
  <c r="FG39" i="1" s="1"/>
  <c r="ML44" i="1"/>
  <c r="FF38" i="1"/>
  <c r="FF44" i="1" s="1"/>
  <c r="ML35" i="1"/>
  <c r="FF30" i="1"/>
  <c r="FF35" i="1" s="1"/>
  <c r="FH14" i="1"/>
  <c r="FH89" i="1" s="1"/>
  <c r="FF15" i="1"/>
  <c r="FF19" i="1" s="1"/>
  <c r="ML19" i="1"/>
  <c r="MN14" i="1"/>
  <c r="MM17" i="1"/>
  <c r="FG17" i="1" s="1"/>
  <c r="MM18" i="1"/>
  <c r="FG18" i="1" s="1"/>
  <c r="MM15" i="1"/>
  <c r="MM16" i="1"/>
  <c r="FG16" i="1" s="1"/>
  <c r="MN42" i="1" l="1"/>
  <c r="FH86" i="1"/>
  <c r="FH87" i="1"/>
  <c r="FH84" i="1"/>
  <c r="FH85" i="1"/>
  <c r="FH83" i="1"/>
  <c r="FC86" i="3"/>
  <c r="FC88" i="3"/>
  <c r="FC89" i="3"/>
  <c r="FC90" i="3"/>
  <c r="FC93" i="3"/>
  <c r="FC87" i="3"/>
  <c r="FD85" i="3"/>
  <c r="FD87" i="3" s="1"/>
  <c r="MS4" i="1"/>
  <c r="FH80" i="1"/>
  <c r="FH81" i="1"/>
  <c r="FH82" i="1"/>
  <c r="FH79" i="1"/>
  <c r="FH42" i="1"/>
  <c r="MN25" i="1"/>
  <c r="FH25" i="1" s="1"/>
  <c r="MN24" i="1"/>
  <c r="FH24" i="1" s="1"/>
  <c r="MN32" i="1"/>
  <c r="FH32" i="1" s="1"/>
  <c r="MN33" i="1"/>
  <c r="FH33" i="1" s="1"/>
  <c r="MM101" i="1"/>
  <c r="FH2" i="1"/>
  <c r="MN2" i="1" s="1"/>
  <c r="FD98" i="1"/>
  <c r="MK65" i="1"/>
  <c r="FE97" i="1"/>
  <c r="FE98" i="1" s="1"/>
  <c r="FF91" i="1"/>
  <c r="FF92" i="1" s="1"/>
  <c r="FF104" i="1" s="1"/>
  <c r="FG90" i="1"/>
  <c r="MN40" i="1"/>
  <c r="FH40" i="1" s="1"/>
  <c r="MN41" i="1"/>
  <c r="FH41" i="1" s="1"/>
  <c r="MK47" i="1"/>
  <c r="FF46" i="1"/>
  <c r="FF96" i="1" s="1"/>
  <c r="FI14" i="1"/>
  <c r="FI89" i="1" s="1"/>
  <c r="MM35" i="1"/>
  <c r="FG30" i="1"/>
  <c r="FG35" i="1" s="1"/>
  <c r="MN26" i="1"/>
  <c r="FH26" i="1" s="1"/>
  <c r="MN31" i="1"/>
  <c r="FH31" i="1" s="1"/>
  <c r="MN23" i="1"/>
  <c r="FH23" i="1" s="1"/>
  <c r="MN34" i="1"/>
  <c r="FH34" i="1" s="1"/>
  <c r="MN38" i="1"/>
  <c r="MN43" i="1"/>
  <c r="FH43" i="1" s="1"/>
  <c r="MN22" i="1"/>
  <c r="MN30" i="1"/>
  <c r="MN39" i="1"/>
  <c r="FH39" i="1" s="1"/>
  <c r="MM44" i="1"/>
  <c r="FG38" i="1"/>
  <c r="FG44" i="1" s="1"/>
  <c r="FN4" i="1"/>
  <c r="FM3" i="1"/>
  <c r="MS3" i="1" s="1"/>
  <c r="FG22" i="1"/>
  <c r="FG27" i="1" s="1"/>
  <c r="MM27" i="1"/>
  <c r="FG15" i="1"/>
  <c r="FG19" i="1" s="1"/>
  <c r="MM19" i="1"/>
  <c r="MO14" i="1"/>
  <c r="MN18" i="1"/>
  <c r="FH18" i="1" s="1"/>
  <c r="MN17" i="1"/>
  <c r="FH17" i="1" s="1"/>
  <c r="MN16" i="1"/>
  <c r="FH16" i="1" s="1"/>
  <c r="MN15" i="1"/>
  <c r="MO42" i="1" l="1"/>
  <c r="FI42" i="1" s="1"/>
  <c r="FI86" i="1"/>
  <c r="FI87" i="1"/>
  <c r="FI84" i="1"/>
  <c r="FI85" i="1"/>
  <c r="FI83" i="1"/>
  <c r="FD93" i="3"/>
  <c r="FD90" i="3"/>
  <c r="FD91" i="3"/>
  <c r="FD88" i="3"/>
  <c r="FD89" i="3"/>
  <c r="FD86" i="3"/>
  <c r="FE85" i="3"/>
  <c r="FE89" i="3" s="1"/>
  <c r="MT4" i="1"/>
  <c r="FI80" i="1"/>
  <c r="FI79" i="1"/>
  <c r="FI81" i="1"/>
  <c r="FI82" i="1"/>
  <c r="MO32" i="1"/>
  <c r="FI32" i="1" s="1"/>
  <c r="MO25" i="1"/>
  <c r="FI25" i="1" s="1"/>
  <c r="MO24" i="1"/>
  <c r="FI24" i="1" s="1"/>
  <c r="MO33" i="1"/>
  <c r="FI33" i="1" s="1"/>
  <c r="FI2" i="1"/>
  <c r="MO2" i="1" s="1"/>
  <c r="MN101" i="1"/>
  <c r="ML65" i="1"/>
  <c r="FF97" i="1"/>
  <c r="FF98" i="1" s="1"/>
  <c r="FG91" i="1"/>
  <c r="FG92" i="1" s="1"/>
  <c r="FG104" i="1" s="1"/>
  <c r="FH90" i="1"/>
  <c r="MO41" i="1"/>
  <c r="FI41" i="1" s="1"/>
  <c r="MO40" i="1"/>
  <c r="FI40" i="1" s="1"/>
  <c r="ML47" i="1"/>
  <c r="MN35" i="1"/>
  <c r="FH30" i="1"/>
  <c r="FH35" i="1" s="1"/>
  <c r="MN27" i="1"/>
  <c r="FH22" i="1"/>
  <c r="FH27" i="1" s="1"/>
  <c r="FH38" i="1"/>
  <c r="FH44" i="1" s="1"/>
  <c r="MN44" i="1"/>
  <c r="FO4" i="1"/>
  <c r="FN3" i="1"/>
  <c r="MT3" i="1" s="1"/>
  <c r="FG46" i="1"/>
  <c r="FG96" i="1" s="1"/>
  <c r="MO26" i="1"/>
  <c r="FI26" i="1" s="1"/>
  <c r="MO31" i="1"/>
  <c r="FI31" i="1" s="1"/>
  <c r="MO34" i="1"/>
  <c r="FI34" i="1" s="1"/>
  <c r="MO30" i="1"/>
  <c r="MO43" i="1"/>
  <c r="FI43" i="1" s="1"/>
  <c r="MO38" i="1"/>
  <c r="MO23" i="1"/>
  <c r="FI23" i="1" s="1"/>
  <c r="MO22" i="1"/>
  <c r="MO39" i="1"/>
  <c r="FI39" i="1" s="1"/>
  <c r="FJ14" i="1"/>
  <c r="FJ89" i="1" s="1"/>
  <c r="MP14" i="1"/>
  <c r="MO17" i="1"/>
  <c r="FI17" i="1" s="1"/>
  <c r="MO18" i="1"/>
  <c r="FI18" i="1" s="1"/>
  <c r="MO16" i="1"/>
  <c r="FI16" i="1" s="1"/>
  <c r="MO15" i="1"/>
  <c r="FH15" i="1"/>
  <c r="FH19" i="1" s="1"/>
  <c r="MN19" i="1"/>
  <c r="MP42" i="1" l="1"/>
  <c r="FJ86" i="1"/>
  <c r="FJ87" i="1"/>
  <c r="FJ84" i="1"/>
  <c r="FJ85" i="1"/>
  <c r="FJ83" i="1"/>
  <c r="FE91" i="3"/>
  <c r="FE93" i="3"/>
  <c r="FE88" i="3"/>
  <c r="FE87" i="3"/>
  <c r="FE86" i="3"/>
  <c r="FE90" i="3"/>
  <c r="FF85" i="3"/>
  <c r="FF89" i="3" s="1"/>
  <c r="MU4" i="1"/>
  <c r="FJ80" i="1"/>
  <c r="FJ82" i="1"/>
  <c r="FJ79" i="1"/>
  <c r="FJ81" i="1"/>
  <c r="FJ42" i="1"/>
  <c r="MP32" i="1"/>
  <c r="FJ32" i="1" s="1"/>
  <c r="MP24" i="1"/>
  <c r="FJ24" i="1" s="1"/>
  <c r="MP25" i="1"/>
  <c r="FJ25" i="1" s="1"/>
  <c r="MP33" i="1"/>
  <c r="FJ33" i="1" s="1"/>
  <c r="FJ2" i="1"/>
  <c r="MP2" i="1" s="1"/>
  <c r="MO101" i="1"/>
  <c r="MM65" i="1"/>
  <c r="FG97" i="1"/>
  <c r="FH91" i="1"/>
  <c r="FH92" i="1" s="1"/>
  <c r="FH104" i="1" s="1"/>
  <c r="FI90" i="1"/>
  <c r="MP41" i="1"/>
  <c r="FJ41" i="1" s="1"/>
  <c r="MP40" i="1"/>
  <c r="FJ40" i="1" s="1"/>
  <c r="MM47" i="1"/>
  <c r="FP4" i="1"/>
  <c r="FO3" i="1"/>
  <c r="MU3" i="1" s="1"/>
  <c r="FI30" i="1"/>
  <c r="FI35" i="1" s="1"/>
  <c r="MO35" i="1"/>
  <c r="FH46" i="1"/>
  <c r="FH96" i="1" s="1"/>
  <c r="FK14" i="1"/>
  <c r="FK89" i="1" s="1"/>
  <c r="MP22" i="1"/>
  <c r="MP23" i="1"/>
  <c r="FJ23" i="1" s="1"/>
  <c r="MP26" i="1"/>
  <c r="FJ26" i="1" s="1"/>
  <c r="MP30" i="1"/>
  <c r="MP34" i="1"/>
  <c r="FJ34" i="1" s="1"/>
  <c r="MP31" i="1"/>
  <c r="FJ31" i="1" s="1"/>
  <c r="MP43" i="1"/>
  <c r="FJ43" i="1" s="1"/>
  <c r="MP38" i="1"/>
  <c r="MP39" i="1"/>
  <c r="FJ39" i="1" s="1"/>
  <c r="MO27" i="1"/>
  <c r="FI22" i="1"/>
  <c r="FI27" i="1" s="1"/>
  <c r="MO44" i="1"/>
  <c r="FI38" i="1"/>
  <c r="FI44" i="1" s="1"/>
  <c r="FI15" i="1"/>
  <c r="FI19" i="1" s="1"/>
  <c r="MO19" i="1"/>
  <c r="MQ14" i="1"/>
  <c r="MP18" i="1"/>
  <c r="FJ18" i="1" s="1"/>
  <c r="MP16" i="1"/>
  <c r="FJ16" i="1" s="1"/>
  <c r="MP17" i="1"/>
  <c r="FJ17" i="1" s="1"/>
  <c r="MP15" i="1"/>
  <c r="MQ42" i="1" l="1"/>
  <c r="FK86" i="1"/>
  <c r="FK87" i="1"/>
  <c r="FK84" i="1"/>
  <c r="FK85" i="1"/>
  <c r="FK83" i="1"/>
  <c r="FF91" i="3"/>
  <c r="FF86" i="3"/>
  <c r="FF87" i="3"/>
  <c r="FF88" i="3"/>
  <c r="FF90" i="3"/>
  <c r="FF93" i="3"/>
  <c r="FG85" i="3"/>
  <c r="FG88" i="3" s="1"/>
  <c r="MV4" i="1"/>
  <c r="FK79" i="1"/>
  <c r="FK81" i="1"/>
  <c r="FK80" i="1"/>
  <c r="FK82" i="1"/>
  <c r="FK42" i="1"/>
  <c r="MQ32" i="1"/>
  <c r="FK32" i="1" s="1"/>
  <c r="MQ24" i="1"/>
  <c r="FK24" i="1" s="1"/>
  <c r="MQ33" i="1"/>
  <c r="FK33" i="1" s="1"/>
  <c r="MQ25" i="1"/>
  <c r="FK25" i="1" s="1"/>
  <c r="MP101" i="1"/>
  <c r="FK2" i="1"/>
  <c r="MQ2" i="1" s="1"/>
  <c r="FG98" i="1"/>
  <c r="MN65" i="1"/>
  <c r="FH97" i="1"/>
  <c r="FI91" i="1"/>
  <c r="FI92" i="1" s="1"/>
  <c r="FI104" i="1" s="1"/>
  <c r="FJ90" i="1"/>
  <c r="MQ41" i="1"/>
  <c r="FK41" i="1" s="1"/>
  <c r="MQ40" i="1"/>
  <c r="FK40" i="1" s="1"/>
  <c r="MN47" i="1"/>
  <c r="FI46" i="1"/>
  <c r="FI96" i="1" s="1"/>
  <c r="FL14" i="1"/>
  <c r="FL89" i="1" s="1"/>
  <c r="FJ30" i="1"/>
  <c r="FJ35" i="1" s="1"/>
  <c r="MP35" i="1"/>
  <c r="MQ26" i="1"/>
  <c r="FK26" i="1" s="1"/>
  <c r="MQ23" i="1"/>
  <c r="FK23" i="1" s="1"/>
  <c r="MQ22" i="1"/>
  <c r="MQ30" i="1"/>
  <c r="MQ31" i="1"/>
  <c r="FK31" i="1" s="1"/>
  <c r="MQ39" i="1"/>
  <c r="FK39" i="1" s="1"/>
  <c r="MQ43" i="1"/>
  <c r="FK43" i="1" s="1"/>
  <c r="MQ34" i="1"/>
  <c r="FK34" i="1" s="1"/>
  <c r="MQ38" i="1"/>
  <c r="MP44" i="1"/>
  <c r="FJ38" i="1"/>
  <c r="FJ44" i="1" s="1"/>
  <c r="MP27" i="1"/>
  <c r="FJ22" i="1"/>
  <c r="FJ27" i="1" s="1"/>
  <c r="FQ4" i="1"/>
  <c r="FP3" i="1"/>
  <c r="MV3" i="1" s="1"/>
  <c r="MR14" i="1"/>
  <c r="MQ18" i="1"/>
  <c r="FK18" i="1" s="1"/>
  <c r="MQ17" i="1"/>
  <c r="FK17" i="1" s="1"/>
  <c r="MQ15" i="1"/>
  <c r="MQ16" i="1"/>
  <c r="FK16" i="1" s="1"/>
  <c r="MP19" i="1"/>
  <c r="FJ15" i="1"/>
  <c r="FJ19" i="1" s="1"/>
  <c r="MR42" i="1" l="1"/>
  <c r="FL42" i="1" s="1"/>
  <c r="FL86" i="1"/>
  <c r="FL87" i="1"/>
  <c r="FL84" i="1"/>
  <c r="FL85" i="1"/>
  <c r="FL83" i="1"/>
  <c r="FG86" i="3"/>
  <c r="FG91" i="3"/>
  <c r="FG87" i="3"/>
  <c r="FG90" i="3"/>
  <c r="FG93" i="3"/>
  <c r="FG89" i="3"/>
  <c r="FH85" i="3"/>
  <c r="FH90" i="3" s="1"/>
  <c r="MW4" i="1"/>
  <c r="FL82" i="1"/>
  <c r="FL79" i="1"/>
  <c r="FL80" i="1"/>
  <c r="FL81" i="1"/>
  <c r="MR25" i="1"/>
  <c r="FL25" i="1" s="1"/>
  <c r="MR24" i="1"/>
  <c r="FL24" i="1" s="1"/>
  <c r="MR32" i="1"/>
  <c r="FL32" i="1" s="1"/>
  <c r="MR33" i="1"/>
  <c r="FL33" i="1" s="1"/>
  <c r="FL2" i="1"/>
  <c r="MR2" i="1" s="1"/>
  <c r="MQ101" i="1"/>
  <c r="FH98" i="1"/>
  <c r="MO65" i="1"/>
  <c r="FI97" i="1"/>
  <c r="FI98" i="1" s="1"/>
  <c r="FJ91" i="1"/>
  <c r="FJ92" i="1" s="1"/>
  <c r="FJ104" i="1" s="1"/>
  <c r="FK90" i="1"/>
  <c r="MR40" i="1"/>
  <c r="FL40" i="1" s="1"/>
  <c r="MR41" i="1"/>
  <c r="FL41" i="1" s="1"/>
  <c r="MO47" i="1"/>
  <c r="FR4" i="1"/>
  <c r="FQ3" i="1"/>
  <c r="MW3" i="1" s="1"/>
  <c r="FK30" i="1"/>
  <c r="FK35" i="1" s="1"/>
  <c r="MQ35" i="1"/>
  <c r="FJ46" i="1"/>
  <c r="FJ96" i="1" s="1"/>
  <c r="FK38" i="1"/>
  <c r="FK44" i="1" s="1"/>
  <c r="MQ44" i="1"/>
  <c r="MQ27" i="1"/>
  <c r="FK22" i="1"/>
  <c r="FK27" i="1" s="1"/>
  <c r="MR22" i="1"/>
  <c r="MR23" i="1"/>
  <c r="FL23" i="1" s="1"/>
  <c r="MR26" i="1"/>
  <c r="FL26" i="1" s="1"/>
  <c r="MR31" i="1"/>
  <c r="FL31" i="1" s="1"/>
  <c r="MR34" i="1"/>
  <c r="FL34" i="1" s="1"/>
  <c r="MR30" i="1"/>
  <c r="MR43" i="1"/>
  <c r="FL43" i="1" s="1"/>
  <c r="MR39" i="1"/>
  <c r="FL39" i="1" s="1"/>
  <c r="MR38" i="1"/>
  <c r="FM14" i="1"/>
  <c r="FM89" i="1" s="1"/>
  <c r="MQ19" i="1"/>
  <c r="FK15" i="1"/>
  <c r="FK19" i="1" s="1"/>
  <c r="MS14" i="1"/>
  <c r="MR17" i="1"/>
  <c r="FL17" i="1" s="1"/>
  <c r="MR16" i="1"/>
  <c r="FL16" i="1" s="1"/>
  <c r="MR18" i="1"/>
  <c r="FL18" i="1" s="1"/>
  <c r="MR15" i="1"/>
  <c r="MS42" i="1" l="1"/>
  <c r="FM42" i="1" s="1"/>
  <c r="FM86" i="1"/>
  <c r="FM87" i="1"/>
  <c r="FM84" i="1"/>
  <c r="FM85" i="1"/>
  <c r="FM83" i="1"/>
  <c r="FH87" i="3"/>
  <c r="FH86" i="3"/>
  <c r="FH88" i="3"/>
  <c r="FH91" i="3"/>
  <c r="FH89" i="3"/>
  <c r="FH93" i="3"/>
  <c r="FI85" i="3"/>
  <c r="FI86" i="3" s="1"/>
  <c r="MX4" i="1"/>
  <c r="FM79" i="1"/>
  <c r="FM81" i="1"/>
  <c r="FM82" i="1"/>
  <c r="FM80" i="1"/>
  <c r="MS25" i="1"/>
  <c r="FM25" i="1" s="1"/>
  <c r="MS32" i="1"/>
  <c r="FM32" i="1" s="1"/>
  <c r="MS24" i="1"/>
  <c r="FM24" i="1" s="1"/>
  <c r="MS33" i="1"/>
  <c r="FM33" i="1" s="1"/>
  <c r="FM2" i="1"/>
  <c r="MS2" i="1" s="1"/>
  <c r="MR101" i="1"/>
  <c r="MP65" i="1"/>
  <c r="FJ97" i="1"/>
  <c r="FK91" i="1"/>
  <c r="FK92" i="1" s="1"/>
  <c r="FK104" i="1" s="1"/>
  <c r="FL90" i="1"/>
  <c r="MS40" i="1"/>
  <c r="FM40" i="1" s="1"/>
  <c r="MS41" i="1"/>
  <c r="FM41" i="1" s="1"/>
  <c r="MP47" i="1"/>
  <c r="FK46" i="1"/>
  <c r="FK96" i="1" s="1"/>
  <c r="MR35" i="1"/>
  <c r="FL30" i="1"/>
  <c r="FL35" i="1" s="1"/>
  <c r="FN14" i="1"/>
  <c r="FN89" i="1" s="1"/>
  <c r="MR44" i="1"/>
  <c r="FL38" i="1"/>
  <c r="FL44" i="1" s="1"/>
  <c r="MS31" i="1"/>
  <c r="FM31" i="1" s="1"/>
  <c r="MS26" i="1"/>
  <c r="FM26" i="1" s="1"/>
  <c r="MS30" i="1"/>
  <c r="MS34" i="1"/>
  <c r="FM34" i="1" s="1"/>
  <c r="MS43" i="1"/>
  <c r="FM43" i="1" s="1"/>
  <c r="MS23" i="1"/>
  <c r="FM23" i="1" s="1"/>
  <c r="MS38" i="1"/>
  <c r="MS22" i="1"/>
  <c r="MS39" i="1"/>
  <c r="FM39" i="1" s="1"/>
  <c r="MR27" i="1"/>
  <c r="FL22" i="1"/>
  <c r="FL27" i="1" s="1"/>
  <c r="FS4" i="1"/>
  <c r="FR3" i="1"/>
  <c r="MX3" i="1" s="1"/>
  <c r="MT14" i="1"/>
  <c r="MS18" i="1"/>
  <c r="FM18" i="1" s="1"/>
  <c r="MS15" i="1"/>
  <c r="MS16" i="1"/>
  <c r="FM16" i="1" s="1"/>
  <c r="MS17" i="1"/>
  <c r="FM17" i="1" s="1"/>
  <c r="FL15" i="1"/>
  <c r="FL19" i="1" s="1"/>
  <c r="MR19" i="1"/>
  <c r="MT42" i="1" l="1"/>
  <c r="FN42" i="1" s="1"/>
  <c r="FN86" i="1"/>
  <c r="FN87" i="1"/>
  <c r="FN84" i="1"/>
  <c r="FN85" i="1"/>
  <c r="FN83" i="1"/>
  <c r="FI89" i="3"/>
  <c r="FI91" i="3"/>
  <c r="FI87" i="3"/>
  <c r="FI88" i="3"/>
  <c r="FI90" i="3"/>
  <c r="FI93" i="3"/>
  <c r="FJ85" i="3"/>
  <c r="FJ88" i="3" s="1"/>
  <c r="MY4" i="1"/>
  <c r="FN79" i="1"/>
  <c r="FN81" i="1"/>
  <c r="FN82" i="1"/>
  <c r="FN80" i="1"/>
  <c r="MT32" i="1"/>
  <c r="FN32" i="1" s="1"/>
  <c r="MT25" i="1"/>
  <c r="FN25" i="1" s="1"/>
  <c r="MT24" i="1"/>
  <c r="FN24" i="1" s="1"/>
  <c r="MT33" i="1"/>
  <c r="FN33" i="1" s="1"/>
  <c r="FN2" i="1"/>
  <c r="MT2" i="1" s="1"/>
  <c r="MS101" i="1"/>
  <c r="FJ98" i="1"/>
  <c r="MQ65" i="1"/>
  <c r="FK97" i="1"/>
  <c r="FK98" i="1" s="1"/>
  <c r="FL91" i="1"/>
  <c r="FL92" i="1" s="1"/>
  <c r="FL104" i="1" s="1"/>
  <c r="FM90" i="1"/>
  <c r="MT41" i="1"/>
  <c r="FN41" i="1" s="1"/>
  <c r="MT40" i="1"/>
  <c r="FN40" i="1" s="1"/>
  <c r="MQ47" i="1"/>
  <c r="FT4" i="1"/>
  <c r="FS3" i="1"/>
  <c r="MY3" i="1" s="1"/>
  <c r="FL46" i="1"/>
  <c r="FL96" i="1" s="1"/>
  <c r="MS35" i="1"/>
  <c r="FM30" i="1"/>
  <c r="FM35" i="1" s="1"/>
  <c r="FO14" i="1"/>
  <c r="FO89" i="1" s="1"/>
  <c r="FM22" i="1"/>
  <c r="FM27" i="1" s="1"/>
  <c r="MS27" i="1"/>
  <c r="MT34" i="1"/>
  <c r="FN34" i="1" s="1"/>
  <c r="MT22" i="1"/>
  <c r="MT23" i="1"/>
  <c r="FN23" i="1" s="1"/>
  <c r="MT26" i="1"/>
  <c r="FN26" i="1" s="1"/>
  <c r="MT31" i="1"/>
  <c r="FN31" i="1" s="1"/>
  <c r="MT30" i="1"/>
  <c r="MT38" i="1"/>
  <c r="MT39" i="1"/>
  <c r="FN39" i="1" s="1"/>
  <c r="MT43" i="1"/>
  <c r="FN43" i="1" s="1"/>
  <c r="MS44" i="1"/>
  <c r="FM38" i="1"/>
  <c r="FM44" i="1" s="1"/>
  <c r="FM15" i="1"/>
  <c r="FM19" i="1" s="1"/>
  <c r="MS19" i="1"/>
  <c r="MU14" i="1"/>
  <c r="MT15" i="1"/>
  <c r="MT18" i="1"/>
  <c r="FN18" i="1" s="1"/>
  <c r="MT17" i="1"/>
  <c r="FN17" i="1" s="1"/>
  <c r="MT16" i="1"/>
  <c r="FN16" i="1" s="1"/>
  <c r="MU42" i="1" l="1"/>
  <c r="FO86" i="1"/>
  <c r="FO87" i="1"/>
  <c r="FO84" i="1"/>
  <c r="FO85" i="1"/>
  <c r="FO83" i="1"/>
  <c r="FJ87" i="3"/>
  <c r="FJ93" i="3"/>
  <c r="FJ86" i="3"/>
  <c r="FJ91" i="3"/>
  <c r="FJ90" i="3"/>
  <c r="FJ89" i="3"/>
  <c r="FK85" i="3"/>
  <c r="FK87" i="3" s="1"/>
  <c r="MZ4" i="1"/>
  <c r="FO80" i="1"/>
  <c r="FO79" i="1"/>
  <c r="FO82" i="1"/>
  <c r="FO81" i="1"/>
  <c r="FO42" i="1"/>
  <c r="MU24" i="1"/>
  <c r="FO24" i="1" s="1"/>
  <c r="MU25" i="1"/>
  <c r="FO25" i="1" s="1"/>
  <c r="MU32" i="1"/>
  <c r="FO32" i="1" s="1"/>
  <c r="MU33" i="1"/>
  <c r="FO33" i="1" s="1"/>
  <c r="FO2" i="1"/>
  <c r="MU2" i="1" s="1"/>
  <c r="MT101" i="1"/>
  <c r="MR65" i="1"/>
  <c r="FL97" i="1"/>
  <c r="FM91" i="1"/>
  <c r="FM92" i="1" s="1"/>
  <c r="FM104" i="1" s="1"/>
  <c r="FN90" i="1"/>
  <c r="MU40" i="1"/>
  <c r="FO40" i="1" s="1"/>
  <c r="MU41" i="1"/>
  <c r="FO41" i="1" s="1"/>
  <c r="MR47" i="1"/>
  <c r="FP14" i="1"/>
  <c r="FP89" i="1" s="1"/>
  <c r="MT27" i="1"/>
  <c r="FN22" i="1"/>
  <c r="FN27" i="1" s="1"/>
  <c r="MU22" i="1"/>
  <c r="MU26" i="1"/>
  <c r="FO26" i="1" s="1"/>
  <c r="MU30" i="1"/>
  <c r="MU31" i="1"/>
  <c r="FO31" i="1" s="1"/>
  <c r="MU38" i="1"/>
  <c r="MU43" i="1"/>
  <c r="FO43" i="1" s="1"/>
  <c r="MU34" i="1"/>
  <c r="FO34" i="1" s="1"/>
  <c r="MU23" i="1"/>
  <c r="FO23" i="1" s="1"/>
  <c r="MU39" i="1"/>
  <c r="FO39" i="1" s="1"/>
  <c r="FN38" i="1"/>
  <c r="FN44" i="1" s="1"/>
  <c r="MT44" i="1"/>
  <c r="FM46" i="1"/>
  <c r="FM96" i="1" s="1"/>
  <c r="FN30" i="1"/>
  <c r="FN35" i="1" s="1"/>
  <c r="MT35" i="1"/>
  <c r="FU4" i="1"/>
  <c r="FT3" i="1"/>
  <c r="MZ3" i="1" s="1"/>
  <c r="FN15" i="1"/>
  <c r="FN19" i="1" s="1"/>
  <c r="MT19" i="1"/>
  <c r="MV14" i="1"/>
  <c r="MU17" i="1"/>
  <c r="FO17" i="1" s="1"/>
  <c r="MU18" i="1"/>
  <c r="FO18" i="1" s="1"/>
  <c r="MU16" i="1"/>
  <c r="FO16" i="1" s="1"/>
  <c r="MU15" i="1"/>
  <c r="MV42" i="1" l="1"/>
  <c r="FP42" i="1" s="1"/>
  <c r="FP86" i="1"/>
  <c r="FP87" i="1"/>
  <c r="FP84" i="1"/>
  <c r="FP85" i="1"/>
  <c r="FP83" i="1"/>
  <c r="FK93" i="3"/>
  <c r="FK88" i="3"/>
  <c r="FK89" i="3"/>
  <c r="FK91" i="3"/>
  <c r="FK90" i="3"/>
  <c r="FK86" i="3"/>
  <c r="FL85" i="3"/>
  <c r="FL88" i="3" s="1"/>
  <c r="NA4" i="1"/>
  <c r="FP81" i="1"/>
  <c r="FP79" i="1"/>
  <c r="FP82" i="1"/>
  <c r="FP80" i="1"/>
  <c r="MV32" i="1"/>
  <c r="FP32" i="1" s="1"/>
  <c r="MV24" i="1"/>
  <c r="FP24" i="1" s="1"/>
  <c r="MV25" i="1"/>
  <c r="FP25" i="1" s="1"/>
  <c r="MV33" i="1"/>
  <c r="FP33" i="1" s="1"/>
  <c r="FP2" i="1"/>
  <c r="MV2" i="1" s="1"/>
  <c r="MU101" i="1"/>
  <c r="FL98" i="1"/>
  <c r="MS65" i="1"/>
  <c r="FM97" i="1"/>
  <c r="FN91" i="1"/>
  <c r="FN92" i="1" s="1"/>
  <c r="FN104" i="1" s="1"/>
  <c r="FO90" i="1"/>
  <c r="MV40" i="1"/>
  <c r="FP40" i="1" s="1"/>
  <c r="MV41" i="1"/>
  <c r="FP41" i="1" s="1"/>
  <c r="MS47" i="1"/>
  <c r="FO22" i="1"/>
  <c r="FO27" i="1" s="1"/>
  <c r="MU27" i="1"/>
  <c r="MU44" i="1"/>
  <c r="FO38" i="1"/>
  <c r="FO44" i="1" s="1"/>
  <c r="MV26" i="1"/>
  <c r="FP26" i="1" s="1"/>
  <c r="MV31" i="1"/>
  <c r="FP31" i="1" s="1"/>
  <c r="MV30" i="1"/>
  <c r="MV23" i="1"/>
  <c r="FP23" i="1" s="1"/>
  <c r="MV34" i="1"/>
  <c r="FP34" i="1" s="1"/>
  <c r="MV43" i="1"/>
  <c r="FP43" i="1" s="1"/>
  <c r="MV22" i="1"/>
  <c r="MV39" i="1"/>
  <c r="FP39" i="1" s="1"/>
  <c r="MV38" i="1"/>
  <c r="FV4" i="1"/>
  <c r="FU3" i="1"/>
  <c r="NA3" i="1" s="1"/>
  <c r="FN46" i="1"/>
  <c r="FN96" i="1" s="1"/>
  <c r="FO30" i="1"/>
  <c r="FO35" i="1" s="1"/>
  <c r="MU35" i="1"/>
  <c r="FQ14" i="1"/>
  <c r="FQ89" i="1" s="1"/>
  <c r="MW14" i="1"/>
  <c r="MV16" i="1"/>
  <c r="FP16" i="1" s="1"/>
  <c r="MV15" i="1"/>
  <c r="MV18" i="1"/>
  <c r="FP18" i="1" s="1"/>
  <c r="MV17" i="1"/>
  <c r="FP17" i="1" s="1"/>
  <c r="FO15" i="1"/>
  <c r="FO19" i="1" s="1"/>
  <c r="MU19" i="1"/>
  <c r="MW42" i="1" l="1"/>
  <c r="FQ86" i="1"/>
  <c r="FQ87" i="1"/>
  <c r="FQ84" i="1"/>
  <c r="FQ85" i="1"/>
  <c r="FQ83" i="1"/>
  <c r="FL86" i="3"/>
  <c r="FL87" i="3"/>
  <c r="FL93" i="3"/>
  <c r="FL91" i="3"/>
  <c r="FL90" i="3"/>
  <c r="FL89" i="3"/>
  <c r="FM85" i="3"/>
  <c r="FM91" i="3" s="1"/>
  <c r="NB4" i="1"/>
  <c r="FQ80" i="1"/>
  <c r="FQ81" i="1"/>
  <c r="FQ79" i="1"/>
  <c r="FQ82" i="1"/>
  <c r="FQ42" i="1"/>
  <c r="MW33" i="1"/>
  <c r="FQ33" i="1" s="1"/>
  <c r="MW32" i="1"/>
  <c r="FQ32" i="1" s="1"/>
  <c r="MW24" i="1"/>
  <c r="FQ24" i="1" s="1"/>
  <c r="MW25" i="1"/>
  <c r="FQ25" i="1" s="1"/>
  <c r="FQ2" i="1"/>
  <c r="MW2" i="1" s="1"/>
  <c r="MV101" i="1"/>
  <c r="FM98" i="1"/>
  <c r="MT65" i="1"/>
  <c r="FN97" i="1"/>
  <c r="FO91" i="1"/>
  <c r="FO92" i="1" s="1"/>
  <c r="FO104" i="1" s="1"/>
  <c r="FP90" i="1"/>
  <c r="MW40" i="1"/>
  <c r="FQ40" i="1" s="1"/>
  <c r="MW41" i="1"/>
  <c r="FQ41" i="1" s="1"/>
  <c r="MT47" i="1"/>
  <c r="FR14" i="1"/>
  <c r="FR89" i="1" s="1"/>
  <c r="FP38" i="1"/>
  <c r="FP44" i="1" s="1"/>
  <c r="MV44" i="1"/>
  <c r="MV35" i="1"/>
  <c r="FP30" i="1"/>
  <c r="FP35" i="1" s="1"/>
  <c r="MV27" i="1"/>
  <c r="FP22" i="1"/>
  <c r="FP27" i="1" s="1"/>
  <c r="FO46" i="1"/>
  <c r="FO96" i="1" s="1"/>
  <c r="MW26" i="1"/>
  <c r="FQ26" i="1" s="1"/>
  <c r="MW23" i="1"/>
  <c r="FQ23" i="1" s="1"/>
  <c r="MW30" i="1"/>
  <c r="MW34" i="1"/>
  <c r="FQ34" i="1" s="1"/>
  <c r="MW31" i="1"/>
  <c r="FQ31" i="1" s="1"/>
  <c r="MW43" i="1"/>
  <c r="FQ43" i="1" s="1"/>
  <c r="MW38" i="1"/>
  <c r="MW22" i="1"/>
  <c r="MW39" i="1"/>
  <c r="FQ39" i="1" s="1"/>
  <c r="FW4" i="1"/>
  <c r="FV3" i="1"/>
  <c r="NB3" i="1" s="1"/>
  <c r="FP15" i="1"/>
  <c r="FP19" i="1" s="1"/>
  <c r="MV19" i="1"/>
  <c r="MX14" i="1"/>
  <c r="MW17" i="1"/>
  <c r="FQ17" i="1" s="1"/>
  <c r="MW16" i="1"/>
  <c r="FQ16" i="1" s="1"/>
  <c r="MW15" i="1"/>
  <c r="MW18" i="1"/>
  <c r="FQ18" i="1" s="1"/>
  <c r="MX42" i="1" l="1"/>
  <c r="FR42" i="1" s="1"/>
  <c r="FR86" i="1"/>
  <c r="FR87" i="1"/>
  <c r="FR84" i="1"/>
  <c r="FR85" i="1"/>
  <c r="FR83" i="1"/>
  <c r="FM88" i="3"/>
  <c r="FM86" i="3"/>
  <c r="FM89" i="3"/>
  <c r="FM90" i="3"/>
  <c r="FM93" i="3"/>
  <c r="FM87" i="3"/>
  <c r="FN85" i="3"/>
  <c r="FN88" i="3" s="1"/>
  <c r="NC4" i="1"/>
  <c r="FR80" i="1"/>
  <c r="FR79" i="1"/>
  <c r="FR82" i="1"/>
  <c r="FR81" i="1"/>
  <c r="MX25" i="1"/>
  <c r="FR25" i="1" s="1"/>
  <c r="MX32" i="1"/>
  <c r="FR32" i="1" s="1"/>
  <c r="MX24" i="1"/>
  <c r="FR24" i="1" s="1"/>
  <c r="MX33" i="1"/>
  <c r="FR33" i="1" s="1"/>
  <c r="MW101" i="1"/>
  <c r="FR2" i="1"/>
  <c r="MX2" i="1" s="1"/>
  <c r="FN98" i="1"/>
  <c r="MU65" i="1"/>
  <c r="FO97" i="1"/>
  <c r="FP91" i="1"/>
  <c r="FP92" i="1" s="1"/>
  <c r="FP104" i="1" s="1"/>
  <c r="FQ90" i="1"/>
  <c r="MX41" i="1"/>
  <c r="FR41" i="1" s="1"/>
  <c r="MX40" i="1"/>
  <c r="FR40" i="1" s="1"/>
  <c r="MU47" i="1"/>
  <c r="FQ30" i="1"/>
  <c r="FQ35" i="1" s="1"/>
  <c r="MW35" i="1"/>
  <c r="MW27" i="1"/>
  <c r="FQ22" i="1"/>
  <c r="FQ27" i="1" s="1"/>
  <c r="FP46" i="1"/>
  <c r="FP96" i="1" s="1"/>
  <c r="MX26" i="1"/>
  <c r="FR26" i="1" s="1"/>
  <c r="MX30" i="1"/>
  <c r="MX34" i="1"/>
  <c r="FR34" i="1" s="1"/>
  <c r="MX43" i="1"/>
  <c r="FR43" i="1" s="1"/>
  <c r="MX23" i="1"/>
  <c r="FR23" i="1" s="1"/>
  <c r="MX31" i="1"/>
  <c r="FR31" i="1" s="1"/>
  <c r="MX22" i="1"/>
  <c r="MX39" i="1"/>
  <c r="FR39" i="1" s="1"/>
  <c r="MX38" i="1"/>
  <c r="FS14" i="1"/>
  <c r="FS89" i="1" s="1"/>
  <c r="FX4" i="1"/>
  <c r="FW3" i="1"/>
  <c r="NC3" i="1" s="1"/>
  <c r="MW44" i="1"/>
  <c r="FQ38" i="1"/>
  <c r="FQ44" i="1" s="1"/>
  <c r="MY14" i="1"/>
  <c r="MX16" i="1"/>
  <c r="FR16" i="1" s="1"/>
  <c r="MX18" i="1"/>
  <c r="FR18" i="1" s="1"/>
  <c r="MX17" i="1"/>
  <c r="FR17" i="1" s="1"/>
  <c r="MX15" i="1"/>
  <c r="FQ15" i="1"/>
  <c r="FQ19" i="1" s="1"/>
  <c r="MW19" i="1"/>
  <c r="MY42" i="1" l="1"/>
  <c r="FS42" i="1" s="1"/>
  <c r="FS86" i="1"/>
  <c r="FS87" i="1"/>
  <c r="FS84" i="1"/>
  <c r="FS85" i="1"/>
  <c r="FS83" i="1"/>
  <c r="FN86" i="3"/>
  <c r="FN91" i="3"/>
  <c r="FN90" i="3"/>
  <c r="FN89" i="3"/>
  <c r="FN87" i="3"/>
  <c r="FN93" i="3"/>
  <c r="FO85" i="3"/>
  <c r="FO86" i="3" s="1"/>
  <c r="ND4" i="1"/>
  <c r="FS79" i="1"/>
  <c r="FS81" i="1"/>
  <c r="FS80" i="1"/>
  <c r="FS82" i="1"/>
  <c r="MY24" i="1"/>
  <c r="FS24" i="1" s="1"/>
  <c r="MY32" i="1"/>
  <c r="FS32" i="1" s="1"/>
  <c r="MY25" i="1"/>
  <c r="FS25" i="1" s="1"/>
  <c r="MY33" i="1"/>
  <c r="FS33" i="1" s="1"/>
  <c r="FS2" i="1"/>
  <c r="MY2" i="1" s="1"/>
  <c r="MX101" i="1"/>
  <c r="FO98" i="1"/>
  <c r="MV65" i="1"/>
  <c r="FP97" i="1"/>
  <c r="FQ91" i="1"/>
  <c r="FQ92" i="1" s="1"/>
  <c r="FQ104" i="1" s="1"/>
  <c r="FR90" i="1"/>
  <c r="MY41" i="1"/>
  <c r="FS41" i="1" s="1"/>
  <c r="MY40" i="1"/>
  <c r="FS40" i="1" s="1"/>
  <c r="MV47" i="1"/>
  <c r="FQ46" i="1"/>
  <c r="FQ96" i="1" s="1"/>
  <c r="FY4" i="1"/>
  <c r="FX3" i="1"/>
  <c r="ND3" i="1" s="1"/>
  <c r="MX44" i="1"/>
  <c r="FR38" i="1"/>
  <c r="FR44" i="1" s="1"/>
  <c r="FR30" i="1"/>
  <c r="FR35" i="1" s="1"/>
  <c r="MX35" i="1"/>
  <c r="FR22" i="1"/>
  <c r="FR27" i="1" s="1"/>
  <c r="MX27" i="1"/>
  <c r="MY22" i="1"/>
  <c r="MY23" i="1"/>
  <c r="FS23" i="1" s="1"/>
  <c r="MY31" i="1"/>
  <c r="FS31" i="1" s="1"/>
  <c r="MY26" i="1"/>
  <c r="FS26" i="1" s="1"/>
  <c r="MY34" i="1"/>
  <c r="FS34" i="1" s="1"/>
  <c r="MY30" i="1"/>
  <c r="MY43" i="1"/>
  <c r="FS43" i="1" s="1"/>
  <c r="MY39" i="1"/>
  <c r="FS39" i="1" s="1"/>
  <c r="MY38" i="1"/>
  <c r="FT14" i="1"/>
  <c r="FT89" i="1" s="1"/>
  <c r="MX19" i="1"/>
  <c r="FR15" i="1"/>
  <c r="FR19" i="1" s="1"/>
  <c r="MZ14" i="1"/>
  <c r="MY18" i="1"/>
  <c r="FS18" i="1" s="1"/>
  <c r="MY17" i="1"/>
  <c r="FS17" i="1" s="1"/>
  <c r="MY16" i="1"/>
  <c r="FS16" i="1" s="1"/>
  <c r="MY15" i="1"/>
  <c r="MZ42" i="1" l="1"/>
  <c r="FT42" i="1" s="1"/>
  <c r="FT86" i="1"/>
  <c r="FT87" i="1"/>
  <c r="FT84" i="1"/>
  <c r="FT85" i="1"/>
  <c r="FT83" i="1"/>
  <c r="FO90" i="3"/>
  <c r="FO89" i="3"/>
  <c r="FO88" i="3"/>
  <c r="FO91" i="3"/>
  <c r="FO93" i="3"/>
  <c r="FO87" i="3"/>
  <c r="FP85" i="3"/>
  <c r="FP88" i="3" s="1"/>
  <c r="NE4" i="1"/>
  <c r="FT81" i="1"/>
  <c r="FT82" i="1"/>
  <c r="FT79" i="1"/>
  <c r="FT80" i="1"/>
  <c r="MZ24" i="1"/>
  <c r="FT24" i="1" s="1"/>
  <c r="MZ25" i="1"/>
  <c r="FT25" i="1" s="1"/>
  <c r="MZ33" i="1"/>
  <c r="FT33" i="1" s="1"/>
  <c r="MZ32" i="1"/>
  <c r="FT32" i="1" s="1"/>
  <c r="FT2" i="1"/>
  <c r="MZ2" i="1" s="1"/>
  <c r="MY101" i="1"/>
  <c r="FP98" i="1"/>
  <c r="MW65" i="1"/>
  <c r="FQ97" i="1"/>
  <c r="FQ98" i="1" s="1"/>
  <c r="FR91" i="1"/>
  <c r="FR92" i="1" s="1"/>
  <c r="FR104" i="1" s="1"/>
  <c r="FS90" i="1"/>
  <c r="MZ40" i="1"/>
  <c r="FT40" i="1" s="1"/>
  <c r="MZ41" i="1"/>
  <c r="FT41" i="1" s="1"/>
  <c r="MW47" i="1"/>
  <c r="FZ4" i="1"/>
  <c r="FY3" i="1"/>
  <c r="NE3" i="1" s="1"/>
  <c r="FS30" i="1"/>
  <c r="FS35" i="1" s="1"/>
  <c r="MY35" i="1"/>
  <c r="FU14" i="1"/>
  <c r="FU89" i="1" s="1"/>
  <c r="MY44" i="1"/>
  <c r="FS38" i="1"/>
  <c r="FS44" i="1" s="1"/>
  <c r="FR46" i="1"/>
  <c r="FR96" i="1" s="1"/>
  <c r="MY27" i="1"/>
  <c r="FS22" i="1"/>
  <c r="FS27" i="1" s="1"/>
  <c r="MZ34" i="1"/>
  <c r="FT34" i="1" s="1"/>
  <c r="MZ22" i="1"/>
  <c r="MZ23" i="1"/>
  <c r="FT23" i="1" s="1"/>
  <c r="MZ26" i="1"/>
  <c r="FT26" i="1" s="1"/>
  <c r="MZ30" i="1"/>
  <c r="MZ43" i="1"/>
  <c r="FT43" i="1" s="1"/>
  <c r="MZ31" i="1"/>
  <c r="FT31" i="1" s="1"/>
  <c r="MZ39" i="1"/>
  <c r="FT39" i="1" s="1"/>
  <c r="MZ38" i="1"/>
  <c r="NA14" i="1"/>
  <c r="MZ18" i="1"/>
  <c r="FT18" i="1" s="1"/>
  <c r="MZ16" i="1"/>
  <c r="FT16" i="1" s="1"/>
  <c r="MZ15" i="1"/>
  <c r="MZ17" i="1"/>
  <c r="FT17" i="1" s="1"/>
  <c r="MY19" i="1"/>
  <c r="FS15" i="1"/>
  <c r="FS19" i="1" s="1"/>
  <c r="NA42" i="1" l="1"/>
  <c r="FU86" i="1"/>
  <c r="FU87" i="1"/>
  <c r="FU84" i="1"/>
  <c r="FU85" i="1"/>
  <c r="FU83" i="1"/>
  <c r="FP90" i="3"/>
  <c r="FP86" i="3"/>
  <c r="FP91" i="3"/>
  <c r="FP93" i="3"/>
  <c r="FP87" i="3"/>
  <c r="FP89" i="3"/>
  <c r="FQ85" i="3"/>
  <c r="FQ90" i="3" s="1"/>
  <c r="NF4" i="1"/>
  <c r="FU79" i="1"/>
  <c r="FU81" i="1"/>
  <c r="FU80" i="1"/>
  <c r="FU82" i="1"/>
  <c r="FU42" i="1"/>
  <c r="NA25" i="1"/>
  <c r="FU25" i="1" s="1"/>
  <c r="NA32" i="1"/>
  <c r="FU32" i="1" s="1"/>
  <c r="NA24" i="1"/>
  <c r="FU24" i="1" s="1"/>
  <c r="NA33" i="1"/>
  <c r="FU33" i="1" s="1"/>
  <c r="MZ101" i="1"/>
  <c r="FU2" i="1"/>
  <c r="NA2" i="1" s="1"/>
  <c r="MX65" i="1"/>
  <c r="FR97" i="1"/>
  <c r="FR98" i="1" s="1"/>
  <c r="FS91" i="1"/>
  <c r="FS92" i="1" s="1"/>
  <c r="FS104" i="1" s="1"/>
  <c r="FT90" i="1"/>
  <c r="NA41" i="1"/>
  <c r="FU41" i="1" s="1"/>
  <c r="NA40" i="1"/>
  <c r="FU40" i="1" s="1"/>
  <c r="MX47" i="1"/>
  <c r="GA4" i="1"/>
  <c r="FZ3" i="1"/>
  <c r="NF3" i="1" s="1"/>
  <c r="MZ27" i="1"/>
  <c r="FT22" i="1"/>
  <c r="FT27" i="1" s="1"/>
  <c r="FV14" i="1"/>
  <c r="FV89" i="1" s="1"/>
  <c r="MZ44" i="1"/>
  <c r="FT38" i="1"/>
  <c r="FT44" i="1" s="1"/>
  <c r="NA26" i="1"/>
  <c r="FU26" i="1" s="1"/>
  <c r="NA31" i="1"/>
  <c r="FU31" i="1" s="1"/>
  <c r="NA30" i="1"/>
  <c r="NA38" i="1"/>
  <c r="NA43" i="1"/>
  <c r="FU43" i="1" s="1"/>
  <c r="NA34" i="1"/>
  <c r="FU34" i="1" s="1"/>
  <c r="NA22" i="1"/>
  <c r="NA23" i="1"/>
  <c r="FU23" i="1" s="1"/>
  <c r="NA39" i="1"/>
  <c r="FU39" i="1" s="1"/>
  <c r="FT30" i="1"/>
  <c r="FT35" i="1" s="1"/>
  <c r="MZ35" i="1"/>
  <c r="FS46" i="1"/>
  <c r="FS96" i="1" s="1"/>
  <c r="FT15" i="1"/>
  <c r="FT19" i="1" s="1"/>
  <c r="MZ19" i="1"/>
  <c r="NB14" i="1"/>
  <c r="NA18" i="1"/>
  <c r="FU18" i="1" s="1"/>
  <c r="NA15" i="1"/>
  <c r="NA17" i="1"/>
  <c r="FU17" i="1" s="1"/>
  <c r="NA16" i="1"/>
  <c r="FU16" i="1" s="1"/>
  <c r="NB42" i="1" l="1"/>
  <c r="FV42" i="1" s="1"/>
  <c r="FV86" i="1"/>
  <c r="FV87" i="1"/>
  <c r="FV84" i="1"/>
  <c r="FV85" i="1"/>
  <c r="FV83" i="1"/>
  <c r="FQ86" i="3"/>
  <c r="FQ87" i="3"/>
  <c r="FQ93" i="3"/>
  <c r="FQ89" i="3"/>
  <c r="FQ88" i="3"/>
  <c r="FQ91" i="3"/>
  <c r="FR85" i="3"/>
  <c r="FR91" i="3" s="1"/>
  <c r="NG4" i="1"/>
  <c r="FV79" i="1"/>
  <c r="FV81" i="1"/>
  <c r="FV80" i="1"/>
  <c r="FV82" i="1"/>
  <c r="NB33" i="1"/>
  <c r="FV33" i="1" s="1"/>
  <c r="NB24" i="1"/>
  <c r="FV24" i="1" s="1"/>
  <c r="NB25" i="1"/>
  <c r="FV25" i="1" s="1"/>
  <c r="NB32" i="1"/>
  <c r="FV32" i="1" s="1"/>
  <c r="FV2" i="1"/>
  <c r="NB2" i="1" s="1"/>
  <c r="NA101" i="1"/>
  <c r="MY65" i="1"/>
  <c r="FS97" i="1"/>
  <c r="FT91" i="1"/>
  <c r="FT92" i="1" s="1"/>
  <c r="FT104" i="1" s="1"/>
  <c r="FU90" i="1"/>
  <c r="NB40" i="1"/>
  <c r="FV40" i="1" s="1"/>
  <c r="NB41" i="1"/>
  <c r="FV41" i="1" s="1"/>
  <c r="MY47" i="1"/>
  <c r="FU38" i="1"/>
  <c r="FU44" i="1" s="1"/>
  <c r="NA44" i="1"/>
  <c r="FW14" i="1"/>
  <c r="FW89" i="1" s="1"/>
  <c r="NA35" i="1"/>
  <c r="FU30" i="1"/>
  <c r="FU35" i="1" s="1"/>
  <c r="NB26" i="1"/>
  <c r="FV26" i="1" s="1"/>
  <c r="NB30" i="1"/>
  <c r="NB34" i="1"/>
  <c r="FV34" i="1" s="1"/>
  <c r="NB23" i="1"/>
  <c r="FV23" i="1" s="1"/>
  <c r="NB31" i="1"/>
  <c r="FV31" i="1" s="1"/>
  <c r="NB22" i="1"/>
  <c r="NB43" i="1"/>
  <c r="FV43" i="1" s="1"/>
  <c r="NB39" i="1"/>
  <c r="FV39" i="1" s="1"/>
  <c r="NB38" i="1"/>
  <c r="NA27" i="1"/>
  <c r="FU22" i="1"/>
  <c r="FU27" i="1" s="1"/>
  <c r="FT46" i="1"/>
  <c r="FT96" i="1" s="1"/>
  <c r="GB4" i="1"/>
  <c r="GA3" i="1"/>
  <c r="NG3" i="1" s="1"/>
  <c r="FU15" i="1"/>
  <c r="FU19" i="1" s="1"/>
  <c r="NA19" i="1"/>
  <c r="NC14" i="1"/>
  <c r="NB15" i="1"/>
  <c r="NB18" i="1"/>
  <c r="FV18" i="1" s="1"/>
  <c r="NB17" i="1"/>
  <c r="FV17" i="1" s="1"/>
  <c r="NB16" i="1"/>
  <c r="FV16" i="1" s="1"/>
  <c r="NC42" i="1" l="1"/>
  <c r="FW86" i="1"/>
  <c r="FW87" i="1"/>
  <c r="FW84" i="1"/>
  <c r="FW85" i="1"/>
  <c r="FW83" i="1"/>
  <c r="FR88" i="3"/>
  <c r="FR86" i="3"/>
  <c r="FR87" i="3"/>
  <c r="FR89" i="3"/>
  <c r="FR90" i="3"/>
  <c r="FR93" i="3"/>
  <c r="FS85" i="3"/>
  <c r="FS93" i="3" s="1"/>
  <c r="NH4" i="1"/>
  <c r="FW80" i="1"/>
  <c r="FW79" i="1"/>
  <c r="FW81" i="1"/>
  <c r="FW82" i="1"/>
  <c r="FW42" i="1"/>
  <c r="NC33" i="1"/>
  <c r="FW33" i="1" s="1"/>
  <c r="NC32" i="1"/>
  <c r="FW32" i="1" s="1"/>
  <c r="NC25" i="1"/>
  <c r="FW25" i="1" s="1"/>
  <c r="NC24" i="1"/>
  <c r="FW24" i="1" s="1"/>
  <c r="FW2" i="1"/>
  <c r="NC2" i="1" s="1"/>
  <c r="NB101" i="1"/>
  <c r="FS98" i="1"/>
  <c r="MZ65" i="1"/>
  <c r="FT97" i="1"/>
  <c r="FU91" i="1"/>
  <c r="FU92" i="1" s="1"/>
  <c r="FU104" i="1" s="1"/>
  <c r="FV90" i="1"/>
  <c r="NC41" i="1"/>
  <c r="FW41" i="1" s="1"/>
  <c r="NC40" i="1"/>
  <c r="FW40" i="1" s="1"/>
  <c r="MZ47" i="1"/>
  <c r="GC4" i="1"/>
  <c r="GB3" i="1"/>
  <c r="NH3" i="1" s="1"/>
  <c r="NB27" i="1"/>
  <c r="FV22" i="1"/>
  <c r="FV27" i="1" s="1"/>
  <c r="FV38" i="1"/>
  <c r="FV44" i="1" s="1"/>
  <c r="NB44" i="1"/>
  <c r="FX14" i="1"/>
  <c r="FX89" i="1" s="1"/>
  <c r="NC26" i="1"/>
  <c r="FW26" i="1" s="1"/>
  <c r="NC31" i="1"/>
  <c r="FW31" i="1" s="1"/>
  <c r="NC34" i="1"/>
  <c r="FW34" i="1" s="1"/>
  <c r="NC43" i="1"/>
  <c r="FW43" i="1" s="1"/>
  <c r="NC22" i="1"/>
  <c r="NC38" i="1"/>
  <c r="NC39" i="1"/>
  <c r="FW39" i="1" s="1"/>
  <c r="NC23" i="1"/>
  <c r="FW23" i="1" s="1"/>
  <c r="NC30" i="1"/>
  <c r="FV30" i="1"/>
  <c r="FV35" i="1" s="1"/>
  <c r="NB35" i="1"/>
  <c r="FU46" i="1"/>
  <c r="FU96" i="1" s="1"/>
  <c r="FV15" i="1"/>
  <c r="FV19" i="1" s="1"/>
  <c r="NB19" i="1"/>
  <c r="ND14" i="1"/>
  <c r="NC17" i="1"/>
  <c r="FW17" i="1" s="1"/>
  <c r="NC18" i="1"/>
  <c r="FW18" i="1" s="1"/>
  <c r="NC16" i="1"/>
  <c r="FW16" i="1" s="1"/>
  <c r="NC15" i="1"/>
  <c r="ND42" i="1" l="1"/>
  <c r="FX86" i="1"/>
  <c r="FX87" i="1"/>
  <c r="FX84" i="1"/>
  <c r="FX85" i="1"/>
  <c r="FX83" i="1"/>
  <c r="FS86" i="3"/>
  <c r="FS91" i="3"/>
  <c r="FS87" i="3"/>
  <c r="FS89" i="3"/>
  <c r="FS90" i="3"/>
  <c r="FS88" i="3"/>
  <c r="FT85" i="3"/>
  <c r="FT93" i="3" s="1"/>
  <c r="NI4" i="1"/>
  <c r="FX79" i="1"/>
  <c r="FX80" i="1"/>
  <c r="FX81" i="1"/>
  <c r="FX82" i="1"/>
  <c r="FX42" i="1"/>
  <c r="ND24" i="1"/>
  <c r="FX24" i="1" s="1"/>
  <c r="ND32" i="1"/>
  <c r="FX32" i="1" s="1"/>
  <c r="ND25" i="1"/>
  <c r="FX25" i="1" s="1"/>
  <c r="ND33" i="1"/>
  <c r="FX33" i="1" s="1"/>
  <c r="FX2" i="1"/>
  <c r="ND2" i="1" s="1"/>
  <c r="NC101" i="1"/>
  <c r="FT98" i="1"/>
  <c r="NA65" i="1"/>
  <c r="FU97" i="1"/>
  <c r="FV91" i="1"/>
  <c r="FV92" i="1" s="1"/>
  <c r="FV104" i="1" s="1"/>
  <c r="FW90" i="1"/>
  <c r="ND40" i="1"/>
  <c r="FX40" i="1" s="1"/>
  <c r="ND41" i="1"/>
  <c r="FX41" i="1" s="1"/>
  <c r="NA47" i="1"/>
  <c r="FY14" i="1"/>
  <c r="FY89" i="1" s="1"/>
  <c r="NC35" i="1"/>
  <c r="FW30" i="1"/>
  <c r="FW35" i="1" s="1"/>
  <c r="FV46" i="1"/>
  <c r="FV96" i="1" s="1"/>
  <c r="NC27" i="1"/>
  <c r="FW22" i="1"/>
  <c r="FW27" i="1" s="1"/>
  <c r="GD4" i="1"/>
  <c r="GC3" i="1"/>
  <c r="NI3" i="1" s="1"/>
  <c r="ND30" i="1"/>
  <c r="ND31" i="1"/>
  <c r="FX31" i="1" s="1"/>
  <c r="ND26" i="1"/>
  <c r="FX26" i="1" s="1"/>
  <c r="ND34" i="1"/>
  <c r="FX34" i="1" s="1"/>
  <c r="ND43" i="1"/>
  <c r="FX43" i="1" s="1"/>
  <c r="ND22" i="1"/>
  <c r="ND23" i="1"/>
  <c r="FX23" i="1" s="1"/>
  <c r="ND39" i="1"/>
  <c r="FX39" i="1" s="1"/>
  <c r="ND38" i="1"/>
  <c r="NC44" i="1"/>
  <c r="FW38" i="1"/>
  <c r="FW44" i="1" s="1"/>
  <c r="FW15" i="1"/>
  <c r="FW19" i="1" s="1"/>
  <c r="NC19" i="1"/>
  <c r="NE14" i="1"/>
  <c r="ND18" i="1"/>
  <c r="FX18" i="1" s="1"/>
  <c r="ND17" i="1"/>
  <c r="FX17" i="1" s="1"/>
  <c r="ND16" i="1"/>
  <c r="FX16" i="1" s="1"/>
  <c r="ND15" i="1"/>
  <c r="NE42" i="1" l="1"/>
  <c r="FY42" i="1" s="1"/>
  <c r="FY86" i="1"/>
  <c r="FY87" i="1"/>
  <c r="FY84" i="1"/>
  <c r="FY85" i="1"/>
  <c r="FY83" i="1"/>
  <c r="FT88" i="3"/>
  <c r="FT86" i="3"/>
  <c r="FT91" i="3"/>
  <c r="FT90" i="3"/>
  <c r="FT87" i="3"/>
  <c r="FT89" i="3"/>
  <c r="FU85" i="3"/>
  <c r="FU90" i="3" s="1"/>
  <c r="NJ4" i="1"/>
  <c r="FY80" i="1"/>
  <c r="FY79" i="1"/>
  <c r="FY81" i="1"/>
  <c r="FY82" i="1"/>
  <c r="NE24" i="1"/>
  <c r="FY24" i="1" s="1"/>
  <c r="NE32" i="1"/>
  <c r="FY32" i="1" s="1"/>
  <c r="NE25" i="1"/>
  <c r="FY25" i="1" s="1"/>
  <c r="NE33" i="1"/>
  <c r="FY33" i="1" s="1"/>
  <c r="FY2" i="1"/>
  <c r="NE2" i="1" s="1"/>
  <c r="ND101" i="1"/>
  <c r="FU98" i="1"/>
  <c r="NB65" i="1"/>
  <c r="FV97" i="1"/>
  <c r="FW91" i="1"/>
  <c r="FW92" i="1" s="1"/>
  <c r="FW104" i="1" s="1"/>
  <c r="FX90" i="1"/>
  <c r="NE40" i="1"/>
  <c r="FY40" i="1" s="1"/>
  <c r="NE41" i="1"/>
  <c r="FY41" i="1" s="1"/>
  <c r="NB47" i="1"/>
  <c r="ND44" i="1"/>
  <c r="FX38" i="1"/>
  <c r="FX44" i="1" s="1"/>
  <c r="NE26" i="1"/>
  <c r="FY26" i="1" s="1"/>
  <c r="NE30" i="1"/>
  <c r="NE34" i="1"/>
  <c r="FY34" i="1" s="1"/>
  <c r="NE31" i="1"/>
  <c r="FY31" i="1" s="1"/>
  <c r="NE39" i="1"/>
  <c r="FY39" i="1" s="1"/>
  <c r="NE43" i="1"/>
  <c r="FY43" i="1" s="1"/>
  <c r="NE22" i="1"/>
  <c r="NE23" i="1"/>
  <c r="FY23" i="1" s="1"/>
  <c r="NE38" i="1"/>
  <c r="ND27" i="1"/>
  <c r="FX22" i="1"/>
  <c r="FX27" i="1" s="1"/>
  <c r="ND35" i="1"/>
  <c r="FX30" i="1"/>
  <c r="FX35" i="1" s="1"/>
  <c r="FW46" i="1"/>
  <c r="FW96" i="1" s="1"/>
  <c r="GE4" i="1"/>
  <c r="GD3" i="1"/>
  <c r="NJ3" i="1" s="1"/>
  <c r="FZ14" i="1"/>
  <c r="FZ89" i="1" s="1"/>
  <c r="NF14" i="1"/>
  <c r="NE17" i="1"/>
  <c r="FY17" i="1" s="1"/>
  <c r="NE16" i="1"/>
  <c r="FY16" i="1" s="1"/>
  <c r="NE18" i="1"/>
  <c r="FY18" i="1" s="1"/>
  <c r="NE15" i="1"/>
  <c r="FX15" i="1"/>
  <c r="FX19" i="1" s="1"/>
  <c r="ND19" i="1"/>
  <c r="NF42" i="1" l="1"/>
  <c r="FZ42" i="1" s="1"/>
  <c r="FZ86" i="1"/>
  <c r="FZ87" i="1"/>
  <c r="FZ84" i="1"/>
  <c r="FZ85" i="1"/>
  <c r="FZ83" i="1"/>
  <c r="FU91" i="3"/>
  <c r="FU86" i="3"/>
  <c r="FU88" i="3"/>
  <c r="FU93" i="3"/>
  <c r="FU89" i="3"/>
  <c r="FU87" i="3"/>
  <c r="FV85" i="3"/>
  <c r="FV86" i="3" s="1"/>
  <c r="NK4" i="1"/>
  <c r="FZ80" i="1"/>
  <c r="FZ82" i="1"/>
  <c r="FZ79" i="1"/>
  <c r="FZ81" i="1"/>
  <c r="NF25" i="1"/>
  <c r="FZ25" i="1" s="1"/>
  <c r="NF32" i="1"/>
  <c r="FZ32" i="1" s="1"/>
  <c r="NF24" i="1"/>
  <c r="FZ24" i="1" s="1"/>
  <c r="NF33" i="1"/>
  <c r="FZ33" i="1" s="1"/>
  <c r="FZ2" i="1"/>
  <c r="NF2" i="1" s="1"/>
  <c r="NE101" i="1"/>
  <c r="FV98" i="1"/>
  <c r="NC65" i="1"/>
  <c r="FW97" i="1"/>
  <c r="FY90" i="1"/>
  <c r="FY91" i="1" s="1"/>
  <c r="FY92" i="1" s="1"/>
  <c r="FY104" i="1" s="1"/>
  <c r="FX91" i="1"/>
  <c r="FX92" i="1" s="1"/>
  <c r="FX104" i="1" s="1"/>
  <c r="NF41" i="1"/>
  <c r="FZ41" i="1" s="1"/>
  <c r="NF40" i="1"/>
  <c r="FZ40" i="1" s="1"/>
  <c r="NC47" i="1"/>
  <c r="GF4" i="1"/>
  <c r="GE3" i="1"/>
  <c r="NK3" i="1" s="1"/>
  <c r="GA14" i="1"/>
  <c r="GA89" i="1" s="1"/>
  <c r="NE44" i="1"/>
  <c r="FY38" i="1"/>
  <c r="FY44" i="1" s="1"/>
  <c r="FY22" i="1"/>
  <c r="FY27" i="1" s="1"/>
  <c r="NE27" i="1"/>
  <c r="FY30" i="1"/>
  <c r="FY35" i="1" s="1"/>
  <c r="NE35" i="1"/>
  <c r="NF23" i="1"/>
  <c r="FZ23" i="1" s="1"/>
  <c r="NF26" i="1"/>
  <c r="FZ26" i="1" s="1"/>
  <c r="NF31" i="1"/>
  <c r="FZ31" i="1" s="1"/>
  <c r="NF30" i="1"/>
  <c r="NF34" i="1"/>
  <c r="FZ34" i="1" s="1"/>
  <c r="NF22" i="1"/>
  <c r="NF38" i="1"/>
  <c r="NF43" i="1"/>
  <c r="FZ43" i="1" s="1"/>
  <c r="NF39" i="1"/>
  <c r="FZ39" i="1" s="1"/>
  <c r="FX46" i="1"/>
  <c r="FX96" i="1" s="1"/>
  <c r="FY15" i="1"/>
  <c r="FY19" i="1" s="1"/>
  <c r="NE19" i="1"/>
  <c r="NG14" i="1"/>
  <c r="NF16" i="1"/>
  <c r="FZ16" i="1" s="1"/>
  <c r="NF18" i="1"/>
  <c r="FZ18" i="1" s="1"/>
  <c r="NF17" i="1"/>
  <c r="FZ17" i="1" s="1"/>
  <c r="NF15" i="1"/>
  <c r="NG42" i="1" l="1"/>
  <c r="GA42" i="1" s="1"/>
  <c r="GA86" i="1"/>
  <c r="GA87" i="1"/>
  <c r="GA84" i="1"/>
  <c r="GA85" i="1"/>
  <c r="GA83" i="1"/>
  <c r="FV87" i="3"/>
  <c r="FV93" i="3"/>
  <c r="FV90" i="3"/>
  <c r="FV91" i="3"/>
  <c r="FV88" i="3"/>
  <c r="FV89" i="3"/>
  <c r="FW85" i="3"/>
  <c r="FW88" i="3" s="1"/>
  <c r="NL4" i="1"/>
  <c r="GA79" i="1"/>
  <c r="GA81" i="1"/>
  <c r="GA80" i="1"/>
  <c r="GA82" i="1"/>
  <c r="NG32" i="1"/>
  <c r="GA32" i="1" s="1"/>
  <c r="NG25" i="1"/>
  <c r="GA25" i="1" s="1"/>
  <c r="NG24" i="1"/>
  <c r="GA24" i="1" s="1"/>
  <c r="NG33" i="1"/>
  <c r="GA33" i="1" s="1"/>
  <c r="GA2" i="1"/>
  <c r="NG2" i="1" s="1"/>
  <c r="NF101" i="1"/>
  <c r="FW98" i="1"/>
  <c r="NE65" i="1"/>
  <c r="FY97" i="1"/>
  <c r="ND65" i="1"/>
  <c r="FX97" i="1"/>
  <c r="FZ90" i="1"/>
  <c r="FZ91" i="1" s="1"/>
  <c r="FZ92" i="1" s="1"/>
  <c r="FZ104" i="1" s="1"/>
  <c r="NG40" i="1"/>
  <c r="GA40" i="1" s="1"/>
  <c r="NG41" i="1"/>
  <c r="GA41" i="1" s="1"/>
  <c r="ND47" i="1"/>
  <c r="FZ30" i="1"/>
  <c r="FZ35" i="1" s="1"/>
  <c r="NF35" i="1"/>
  <c r="FY46" i="1"/>
  <c r="FY96" i="1" s="1"/>
  <c r="NG22" i="1"/>
  <c r="NG26" i="1"/>
  <c r="GA26" i="1" s="1"/>
  <c r="NG30" i="1"/>
  <c r="NG34" i="1"/>
  <c r="GA34" i="1" s="1"/>
  <c r="NG31" i="1"/>
  <c r="GA31" i="1" s="1"/>
  <c r="NG43" i="1"/>
  <c r="GA43" i="1" s="1"/>
  <c r="NG23" i="1"/>
  <c r="GA23" i="1" s="1"/>
  <c r="NG39" i="1"/>
  <c r="GA39" i="1" s="1"/>
  <c r="NG38" i="1"/>
  <c r="FZ38" i="1"/>
  <c r="FZ44" i="1" s="1"/>
  <c r="NF44" i="1"/>
  <c r="GB14" i="1"/>
  <c r="GB89" i="1" s="1"/>
  <c r="NF27" i="1"/>
  <c r="FZ22" i="1"/>
  <c r="FZ27" i="1" s="1"/>
  <c r="GG4" i="1"/>
  <c r="GF3" i="1"/>
  <c r="NL3" i="1" s="1"/>
  <c r="NF19" i="1"/>
  <c r="FZ15" i="1"/>
  <c r="FZ19" i="1" s="1"/>
  <c r="NH14" i="1"/>
  <c r="NG18" i="1"/>
  <c r="GA18" i="1" s="1"/>
  <c r="NG17" i="1"/>
  <c r="GA17" i="1" s="1"/>
  <c r="NG15" i="1"/>
  <c r="NG16" i="1"/>
  <c r="GA16" i="1" s="1"/>
  <c r="NH42" i="1" l="1"/>
  <c r="GB86" i="1"/>
  <c r="GB87" i="1"/>
  <c r="GB84" i="1"/>
  <c r="GB85" i="1"/>
  <c r="GB83" i="1"/>
  <c r="FW86" i="3"/>
  <c r="FW89" i="3"/>
  <c r="FW87" i="3"/>
  <c r="FW91" i="3"/>
  <c r="FW90" i="3"/>
  <c r="FW93" i="3"/>
  <c r="FX85" i="3"/>
  <c r="FX87" i="3" s="1"/>
  <c r="NM4" i="1"/>
  <c r="GB82" i="1"/>
  <c r="GB80" i="1"/>
  <c r="GB81" i="1"/>
  <c r="GB79" i="1"/>
  <c r="GB42" i="1"/>
  <c r="NH24" i="1"/>
  <c r="GB24" i="1" s="1"/>
  <c r="NH25" i="1"/>
  <c r="GB25" i="1" s="1"/>
  <c r="NH32" i="1"/>
  <c r="GB32" i="1" s="1"/>
  <c r="NH33" i="1"/>
  <c r="GB33" i="1" s="1"/>
  <c r="FY98" i="1"/>
  <c r="GB2" i="1"/>
  <c r="NH2" i="1" s="1"/>
  <c r="NG101" i="1"/>
  <c r="FX98" i="1"/>
  <c r="NF65" i="1"/>
  <c r="FZ97" i="1"/>
  <c r="GA90" i="1"/>
  <c r="NH41" i="1"/>
  <c r="GB41" i="1" s="1"/>
  <c r="NH40" i="1"/>
  <c r="GB40" i="1" s="1"/>
  <c r="NE47" i="1"/>
  <c r="GH4" i="1"/>
  <c r="GG3" i="1"/>
  <c r="NM3" i="1" s="1"/>
  <c r="NG27" i="1"/>
  <c r="GA22" i="1"/>
  <c r="GA27" i="1" s="1"/>
  <c r="NH31" i="1"/>
  <c r="GB31" i="1" s="1"/>
  <c r="NH22" i="1"/>
  <c r="NH26" i="1"/>
  <c r="GB26" i="1" s="1"/>
  <c r="NH34" i="1"/>
  <c r="GB34" i="1" s="1"/>
  <c r="NH43" i="1"/>
  <c r="GB43" i="1" s="1"/>
  <c r="NH30" i="1"/>
  <c r="NH23" i="1"/>
  <c r="GB23" i="1" s="1"/>
  <c r="NH39" i="1"/>
  <c r="GB39" i="1" s="1"/>
  <c r="NH38" i="1"/>
  <c r="GA38" i="1"/>
  <c r="GA44" i="1" s="1"/>
  <c r="NG44" i="1"/>
  <c r="GC14" i="1"/>
  <c r="GC89" i="1" s="1"/>
  <c r="NG35" i="1"/>
  <c r="GA30" i="1"/>
  <c r="GA35" i="1" s="1"/>
  <c r="FZ46" i="1"/>
  <c r="FZ96" i="1" s="1"/>
  <c r="NI14" i="1"/>
  <c r="NH17" i="1"/>
  <c r="GB17" i="1" s="1"/>
  <c r="NH16" i="1"/>
  <c r="GB16" i="1" s="1"/>
  <c r="NH15" i="1"/>
  <c r="NH18" i="1"/>
  <c r="GB18" i="1" s="1"/>
  <c r="NG19" i="1"/>
  <c r="GA15" i="1"/>
  <c r="GA19" i="1" s="1"/>
  <c r="NI42" i="1" l="1"/>
  <c r="GC86" i="1"/>
  <c r="GC87" i="1"/>
  <c r="GC84" i="1"/>
  <c r="GC85" i="1"/>
  <c r="GC83" i="1"/>
  <c r="FX86" i="3"/>
  <c r="FX91" i="3"/>
  <c r="FX88" i="3"/>
  <c r="FX89" i="3"/>
  <c r="FX90" i="3"/>
  <c r="FX93" i="3"/>
  <c r="FY85" i="3"/>
  <c r="FY90" i="3" s="1"/>
  <c r="NN4" i="1"/>
  <c r="GC79" i="1"/>
  <c r="GC81" i="1"/>
  <c r="GC82" i="1"/>
  <c r="GC80" i="1"/>
  <c r="GC42" i="1"/>
  <c r="NI25" i="1"/>
  <c r="GC25" i="1" s="1"/>
  <c r="NI24" i="1"/>
  <c r="GC24" i="1" s="1"/>
  <c r="NI32" i="1"/>
  <c r="GC32" i="1" s="1"/>
  <c r="NI33" i="1"/>
  <c r="GC33" i="1" s="1"/>
  <c r="GC2" i="1"/>
  <c r="NI2" i="1" s="1"/>
  <c r="NH101" i="1"/>
  <c r="FZ98" i="1"/>
  <c r="GA91" i="1"/>
  <c r="GA92" i="1" s="1"/>
  <c r="GA104" i="1" s="1"/>
  <c r="GB90" i="1"/>
  <c r="NI40" i="1"/>
  <c r="GC40" i="1" s="1"/>
  <c r="NI41" i="1"/>
  <c r="GC41" i="1" s="1"/>
  <c r="NF47" i="1"/>
  <c r="GB38" i="1"/>
  <c r="GB44" i="1" s="1"/>
  <c r="NH44" i="1"/>
  <c r="NH27" i="1"/>
  <c r="GB22" i="1"/>
  <c r="GB27" i="1" s="1"/>
  <c r="GD14" i="1"/>
  <c r="GD89" i="1" s="1"/>
  <c r="NH35" i="1"/>
  <c r="GB30" i="1"/>
  <c r="GB35" i="1" s="1"/>
  <c r="NI22" i="1"/>
  <c r="NI26" i="1"/>
  <c r="GC26" i="1" s="1"/>
  <c r="NI30" i="1"/>
  <c r="NI34" i="1"/>
  <c r="GC34" i="1" s="1"/>
  <c r="NI31" i="1"/>
  <c r="GC31" i="1" s="1"/>
  <c r="NI43" i="1"/>
  <c r="GC43" i="1" s="1"/>
  <c r="NI23" i="1"/>
  <c r="GC23" i="1" s="1"/>
  <c r="NI39" i="1"/>
  <c r="GC39" i="1" s="1"/>
  <c r="NI38" i="1"/>
  <c r="GA46" i="1"/>
  <c r="GA96" i="1" s="1"/>
  <c r="GI4" i="1"/>
  <c r="GH3" i="1"/>
  <c r="NN3" i="1" s="1"/>
  <c r="GB15" i="1"/>
  <c r="GB19" i="1" s="1"/>
  <c r="NH19" i="1"/>
  <c r="NJ14" i="1"/>
  <c r="NI18" i="1"/>
  <c r="GC18" i="1" s="1"/>
  <c r="NI15" i="1"/>
  <c r="NI16" i="1"/>
  <c r="GC16" i="1" s="1"/>
  <c r="NI17" i="1"/>
  <c r="GC17" i="1" s="1"/>
  <c r="NJ42" i="1" l="1"/>
  <c r="GD42" i="1" s="1"/>
  <c r="GD86" i="1"/>
  <c r="GD87" i="1"/>
  <c r="GD84" i="1"/>
  <c r="GD85" i="1"/>
  <c r="GD83" i="1"/>
  <c r="FY87" i="3"/>
  <c r="FY91" i="3"/>
  <c r="FY89" i="3"/>
  <c r="FY86" i="3"/>
  <c r="FY88" i="3"/>
  <c r="FY93" i="3"/>
  <c r="FZ85" i="3"/>
  <c r="FZ93" i="3" s="1"/>
  <c r="NO4" i="1"/>
  <c r="GD79" i="1"/>
  <c r="GD81" i="1"/>
  <c r="GD80" i="1"/>
  <c r="GD82" i="1"/>
  <c r="NJ33" i="1"/>
  <c r="GD33" i="1" s="1"/>
  <c r="NJ25" i="1"/>
  <c r="GD25" i="1" s="1"/>
  <c r="NJ32" i="1"/>
  <c r="GD32" i="1" s="1"/>
  <c r="NJ24" i="1"/>
  <c r="GD24" i="1" s="1"/>
  <c r="GD2" i="1"/>
  <c r="NJ2" i="1" s="1"/>
  <c r="NI101" i="1"/>
  <c r="NG65" i="1"/>
  <c r="GA97" i="1"/>
  <c r="GA98" i="1" s="1"/>
  <c r="GB91" i="1"/>
  <c r="GB92" i="1" s="1"/>
  <c r="GB104" i="1" s="1"/>
  <c r="GC90" i="1"/>
  <c r="NJ40" i="1"/>
  <c r="GD40" i="1" s="1"/>
  <c r="NJ41" i="1"/>
  <c r="GD41" i="1" s="1"/>
  <c r="NG47" i="1"/>
  <c r="GJ4" i="1"/>
  <c r="GI3" i="1"/>
  <c r="NO3" i="1" s="1"/>
  <c r="GC38" i="1"/>
  <c r="GC44" i="1" s="1"/>
  <c r="NI44" i="1"/>
  <c r="NI35" i="1"/>
  <c r="GC30" i="1"/>
  <c r="GC35" i="1" s="1"/>
  <c r="GE14" i="1"/>
  <c r="GE89" i="1" s="1"/>
  <c r="GC22" i="1"/>
  <c r="GC27" i="1" s="1"/>
  <c r="NI27" i="1"/>
  <c r="NJ26" i="1"/>
  <c r="GD26" i="1" s="1"/>
  <c r="NJ34" i="1"/>
  <c r="GD34" i="1" s="1"/>
  <c r="NJ30" i="1"/>
  <c r="NJ22" i="1"/>
  <c r="NJ31" i="1"/>
  <c r="GD31" i="1" s="1"/>
  <c r="NJ38" i="1"/>
  <c r="NJ43" i="1"/>
  <c r="GD43" i="1" s="1"/>
  <c r="NJ23" i="1"/>
  <c r="GD23" i="1" s="1"/>
  <c r="NJ39" i="1"/>
  <c r="GD39" i="1" s="1"/>
  <c r="GB46" i="1"/>
  <c r="GB96" i="1" s="1"/>
  <c r="GC15" i="1"/>
  <c r="GC19" i="1" s="1"/>
  <c r="NI19" i="1"/>
  <c r="NK14" i="1"/>
  <c r="NJ15" i="1"/>
  <c r="NJ16" i="1"/>
  <c r="GD16" i="1" s="1"/>
  <c r="NJ18" i="1"/>
  <c r="GD18" i="1" s="1"/>
  <c r="NJ17" i="1"/>
  <c r="GD17" i="1" s="1"/>
  <c r="NK42" i="1" l="1"/>
  <c r="GE86" i="1"/>
  <c r="GE87" i="1"/>
  <c r="GE84" i="1"/>
  <c r="GE85" i="1"/>
  <c r="GE83" i="1"/>
  <c r="FZ86" i="3"/>
  <c r="FZ91" i="3"/>
  <c r="FZ88" i="3"/>
  <c r="FZ87" i="3"/>
  <c r="FZ89" i="3"/>
  <c r="FZ90" i="3"/>
  <c r="GA85" i="3"/>
  <c r="GA91" i="3" s="1"/>
  <c r="NP4" i="1"/>
  <c r="GE80" i="1"/>
  <c r="GE81" i="1"/>
  <c r="GE82" i="1"/>
  <c r="GE79" i="1"/>
  <c r="GE42" i="1"/>
  <c r="NK33" i="1"/>
  <c r="GE33" i="1" s="1"/>
  <c r="NK32" i="1"/>
  <c r="GE32" i="1" s="1"/>
  <c r="NK25" i="1"/>
  <c r="GE25" i="1" s="1"/>
  <c r="NK24" i="1"/>
  <c r="GE24" i="1" s="1"/>
  <c r="GE2" i="1"/>
  <c r="NK2" i="1" s="1"/>
  <c r="NJ101" i="1"/>
  <c r="NH65" i="1"/>
  <c r="GB97" i="1"/>
  <c r="GC91" i="1"/>
  <c r="GC92" i="1" s="1"/>
  <c r="GC104" i="1" s="1"/>
  <c r="GD90" i="1"/>
  <c r="NK40" i="1"/>
  <c r="GE40" i="1" s="1"/>
  <c r="NK41" i="1"/>
  <c r="GE41" i="1" s="1"/>
  <c r="NH47" i="1"/>
  <c r="GD38" i="1"/>
  <c r="GD44" i="1" s="1"/>
  <c r="NJ44" i="1"/>
  <c r="GC46" i="1"/>
  <c r="GC96" i="1" s="1"/>
  <c r="GF14" i="1"/>
  <c r="GF89" i="1" s="1"/>
  <c r="NJ35" i="1"/>
  <c r="GD30" i="1"/>
  <c r="GD35" i="1" s="1"/>
  <c r="NK34" i="1"/>
  <c r="GE34" i="1" s="1"/>
  <c r="NK23" i="1"/>
  <c r="GE23" i="1" s="1"/>
  <c r="NK26" i="1"/>
  <c r="GE26" i="1" s="1"/>
  <c r="NK31" i="1"/>
  <c r="GE31" i="1" s="1"/>
  <c r="NK43" i="1"/>
  <c r="GE43" i="1" s="1"/>
  <c r="NK22" i="1"/>
  <c r="NK39" i="1"/>
  <c r="GE39" i="1" s="1"/>
  <c r="NK38" i="1"/>
  <c r="NK30" i="1"/>
  <c r="GK4" i="1"/>
  <c r="GJ3" i="1"/>
  <c r="NP3" i="1" s="1"/>
  <c r="GD22" i="1"/>
  <c r="GD27" i="1" s="1"/>
  <c r="NJ27" i="1"/>
  <c r="GD15" i="1"/>
  <c r="GD19" i="1" s="1"/>
  <c r="NJ19" i="1"/>
  <c r="NL14" i="1"/>
  <c r="NK17" i="1"/>
  <c r="GE17" i="1" s="1"/>
  <c r="NK18" i="1"/>
  <c r="GE18" i="1" s="1"/>
  <c r="NK15" i="1"/>
  <c r="NK16" i="1"/>
  <c r="GE16" i="1" s="1"/>
  <c r="NL42" i="1" l="1"/>
  <c r="GF42" i="1" s="1"/>
  <c r="GF86" i="1"/>
  <c r="GF87" i="1"/>
  <c r="GF84" i="1"/>
  <c r="GF85" i="1"/>
  <c r="GF83" i="1"/>
  <c r="GA87" i="3"/>
  <c r="GA93" i="3"/>
  <c r="GA89" i="3"/>
  <c r="GA88" i="3"/>
  <c r="GA86" i="3"/>
  <c r="GA90" i="3"/>
  <c r="GB85" i="3"/>
  <c r="GB90" i="3" s="1"/>
  <c r="NQ4" i="1"/>
  <c r="GF79" i="1"/>
  <c r="GF80" i="1"/>
  <c r="GF82" i="1"/>
  <c r="GF81" i="1"/>
  <c r="NL32" i="1"/>
  <c r="GF32" i="1" s="1"/>
  <c r="NL24" i="1"/>
  <c r="GF24" i="1" s="1"/>
  <c r="NL25" i="1"/>
  <c r="GF25" i="1" s="1"/>
  <c r="NL33" i="1"/>
  <c r="GF33" i="1" s="1"/>
  <c r="NK101" i="1"/>
  <c r="GF2" i="1"/>
  <c r="NL2" i="1" s="1"/>
  <c r="GB98" i="1"/>
  <c r="NI65" i="1"/>
  <c r="GC97" i="1"/>
  <c r="GD91" i="1"/>
  <c r="GD92" i="1" s="1"/>
  <c r="GD104" i="1" s="1"/>
  <c r="GE90" i="1"/>
  <c r="NL40" i="1"/>
  <c r="GF40" i="1" s="1"/>
  <c r="NL41" i="1"/>
  <c r="GF41" i="1" s="1"/>
  <c r="NI47" i="1"/>
  <c r="GL4" i="1"/>
  <c r="GK3" i="1"/>
  <c r="NQ3" i="1" s="1"/>
  <c r="NL31" i="1"/>
  <c r="GF31" i="1" s="1"/>
  <c r="NL26" i="1"/>
  <c r="GF26" i="1" s="1"/>
  <c r="NL30" i="1"/>
  <c r="NL34" i="1"/>
  <c r="GF34" i="1" s="1"/>
  <c r="NL22" i="1"/>
  <c r="NL38" i="1"/>
  <c r="NL43" i="1"/>
  <c r="GF43" i="1" s="1"/>
  <c r="NL23" i="1"/>
  <c r="GF23" i="1" s="1"/>
  <c r="NL39" i="1"/>
  <c r="GF39" i="1" s="1"/>
  <c r="NK35" i="1"/>
  <c r="GE30" i="1"/>
  <c r="GE35" i="1" s="1"/>
  <c r="GG14" i="1"/>
  <c r="GG89" i="1" s="1"/>
  <c r="NK27" i="1"/>
  <c r="GE22" i="1"/>
  <c r="GE27" i="1" s="1"/>
  <c r="NK44" i="1"/>
  <c r="GE38" i="1"/>
  <c r="GE44" i="1" s="1"/>
  <c r="GD46" i="1"/>
  <c r="GD96" i="1" s="1"/>
  <c r="GE15" i="1"/>
  <c r="GE19" i="1" s="1"/>
  <c r="NK19" i="1"/>
  <c r="NM14" i="1"/>
  <c r="NL16" i="1"/>
  <c r="GF16" i="1" s="1"/>
  <c r="NL18" i="1"/>
  <c r="GF18" i="1" s="1"/>
  <c r="NL15" i="1"/>
  <c r="NL17" i="1"/>
  <c r="GF17" i="1" s="1"/>
  <c r="NM42" i="1" l="1"/>
  <c r="GG86" i="1"/>
  <c r="GG87" i="1"/>
  <c r="GG84" i="1"/>
  <c r="GG85" i="1"/>
  <c r="GG83" i="1"/>
  <c r="GB91" i="3"/>
  <c r="GB86" i="3"/>
  <c r="GB87" i="3"/>
  <c r="GB88" i="3"/>
  <c r="GB89" i="3"/>
  <c r="GB93" i="3"/>
  <c r="GC85" i="3"/>
  <c r="GC87" i="3" s="1"/>
  <c r="NR4" i="1"/>
  <c r="GG80" i="1"/>
  <c r="GG81" i="1"/>
  <c r="GG79" i="1"/>
  <c r="GG82" i="1"/>
  <c r="GG42" i="1"/>
  <c r="NM24" i="1"/>
  <c r="GG24" i="1" s="1"/>
  <c r="NM33" i="1"/>
  <c r="GG33" i="1" s="1"/>
  <c r="NM32" i="1"/>
  <c r="GG32" i="1" s="1"/>
  <c r="NM25" i="1"/>
  <c r="GG25" i="1" s="1"/>
  <c r="GG2" i="1"/>
  <c r="NM2" i="1" s="1"/>
  <c r="NL101" i="1"/>
  <c r="GC98" i="1"/>
  <c r="NJ65" i="1"/>
  <c r="GD97" i="1"/>
  <c r="GE91" i="1"/>
  <c r="GE92" i="1" s="1"/>
  <c r="GE104" i="1" s="1"/>
  <c r="GF90" i="1"/>
  <c r="NM41" i="1"/>
  <c r="GG41" i="1" s="1"/>
  <c r="NM40" i="1"/>
  <c r="GG40" i="1" s="1"/>
  <c r="NJ47" i="1"/>
  <c r="GE46" i="1"/>
  <c r="GE96" i="1" s="1"/>
  <c r="NL35" i="1"/>
  <c r="GF30" i="1"/>
  <c r="GF35" i="1" s="1"/>
  <c r="NM31" i="1"/>
  <c r="GG31" i="1" s="1"/>
  <c r="NM30" i="1"/>
  <c r="NM38" i="1"/>
  <c r="NM23" i="1"/>
  <c r="GG23" i="1" s="1"/>
  <c r="NM26" i="1"/>
  <c r="GG26" i="1" s="1"/>
  <c r="NM34" i="1"/>
  <c r="GG34" i="1" s="1"/>
  <c r="NM43" i="1"/>
  <c r="GG43" i="1" s="1"/>
  <c r="NM22" i="1"/>
  <c r="NM39" i="1"/>
  <c r="GG39" i="1" s="1"/>
  <c r="GH14" i="1"/>
  <c r="GH89" i="1" s="1"/>
  <c r="GF38" i="1"/>
  <c r="GF44" i="1" s="1"/>
  <c r="NL44" i="1"/>
  <c r="GF22" i="1"/>
  <c r="GF27" i="1" s="1"/>
  <c r="NL27" i="1"/>
  <c r="GM4" i="1"/>
  <c r="GL3" i="1"/>
  <c r="NR3" i="1" s="1"/>
  <c r="NN14" i="1"/>
  <c r="NM17" i="1"/>
  <c r="GG17" i="1" s="1"/>
  <c r="NM16" i="1"/>
  <c r="GG16" i="1" s="1"/>
  <c r="NM18" i="1"/>
  <c r="GG18" i="1" s="1"/>
  <c r="NM15" i="1"/>
  <c r="GF15" i="1"/>
  <c r="GF19" i="1" s="1"/>
  <c r="NL19" i="1"/>
  <c r="NN42" i="1" l="1"/>
  <c r="GH42" i="1" s="1"/>
  <c r="GH86" i="1"/>
  <c r="GH87" i="1"/>
  <c r="GH84" i="1"/>
  <c r="GH85" i="1"/>
  <c r="GH83" i="1"/>
  <c r="GC89" i="3"/>
  <c r="GC93" i="3"/>
  <c r="GC88" i="3"/>
  <c r="GC86" i="3"/>
  <c r="GC90" i="3"/>
  <c r="GC91" i="3"/>
  <c r="GD85" i="3"/>
  <c r="GD89" i="3" s="1"/>
  <c r="NS4" i="1"/>
  <c r="GH80" i="1"/>
  <c r="GH82" i="1"/>
  <c r="GH79" i="1"/>
  <c r="GH81" i="1"/>
  <c r="NN25" i="1"/>
  <c r="GH25" i="1" s="1"/>
  <c r="NN24" i="1"/>
  <c r="GH24" i="1" s="1"/>
  <c r="NN32" i="1"/>
  <c r="GH32" i="1" s="1"/>
  <c r="NN33" i="1"/>
  <c r="GH33" i="1" s="1"/>
  <c r="GH2" i="1"/>
  <c r="NN2" i="1" s="1"/>
  <c r="NM101" i="1"/>
  <c r="GD98" i="1"/>
  <c r="NK65" i="1"/>
  <c r="GE97" i="1"/>
  <c r="GF91" i="1"/>
  <c r="GF92" i="1" s="1"/>
  <c r="GF104" i="1" s="1"/>
  <c r="GG90" i="1"/>
  <c r="NN40" i="1"/>
  <c r="GH40" i="1" s="1"/>
  <c r="NN41" i="1"/>
  <c r="GH41" i="1" s="1"/>
  <c r="NK47" i="1"/>
  <c r="GN4" i="1"/>
  <c r="GM3" i="1"/>
  <c r="NS3" i="1" s="1"/>
  <c r="GG38" i="1"/>
  <c r="GG44" i="1" s="1"/>
  <c r="NM44" i="1"/>
  <c r="GG30" i="1"/>
  <c r="GG35" i="1" s="1"/>
  <c r="NM35" i="1"/>
  <c r="GI14" i="1"/>
  <c r="GI89" i="1" s="1"/>
  <c r="NM27" i="1"/>
  <c r="GG22" i="1"/>
  <c r="GG27" i="1" s="1"/>
  <c r="GF46" i="1"/>
  <c r="GF96" i="1" s="1"/>
  <c r="NN26" i="1"/>
  <c r="GH26" i="1" s="1"/>
  <c r="NN23" i="1"/>
  <c r="GH23" i="1" s="1"/>
  <c r="NN31" i="1"/>
  <c r="GH31" i="1" s="1"/>
  <c r="NN39" i="1"/>
  <c r="GH39" i="1" s="1"/>
  <c r="NN34" i="1"/>
  <c r="GH34" i="1" s="1"/>
  <c r="NN43" i="1"/>
  <c r="GH43" i="1" s="1"/>
  <c r="NN22" i="1"/>
  <c r="NN30" i="1"/>
  <c r="NN38" i="1"/>
  <c r="GG15" i="1"/>
  <c r="GG19" i="1" s="1"/>
  <c r="NM19" i="1"/>
  <c r="NO14" i="1"/>
  <c r="NN16" i="1"/>
  <c r="GH16" i="1" s="1"/>
  <c r="NN18" i="1"/>
  <c r="GH18" i="1" s="1"/>
  <c r="NN17" i="1"/>
  <c r="GH17" i="1" s="1"/>
  <c r="NN15" i="1"/>
  <c r="NO42" i="1" l="1"/>
  <c r="GI42" i="1" s="1"/>
  <c r="GI86" i="1"/>
  <c r="GI87" i="1"/>
  <c r="GI84" i="1"/>
  <c r="GI85" i="1"/>
  <c r="GI83" i="1"/>
  <c r="GD86" i="3"/>
  <c r="GD91" i="3"/>
  <c r="GD93" i="3"/>
  <c r="GD87" i="3"/>
  <c r="GD88" i="3"/>
  <c r="GD90" i="3"/>
  <c r="GE85" i="3"/>
  <c r="GE90" i="3" s="1"/>
  <c r="NT4" i="1"/>
  <c r="GI79" i="1"/>
  <c r="GI81" i="1"/>
  <c r="GI80" i="1"/>
  <c r="GI82" i="1"/>
  <c r="NO25" i="1"/>
  <c r="GI25" i="1" s="1"/>
  <c r="NO32" i="1"/>
  <c r="GI32" i="1" s="1"/>
  <c r="NO24" i="1"/>
  <c r="GI24" i="1" s="1"/>
  <c r="NO33" i="1"/>
  <c r="GI33" i="1" s="1"/>
  <c r="GI2" i="1"/>
  <c r="NO2" i="1" s="1"/>
  <c r="NN101" i="1"/>
  <c r="GE98" i="1"/>
  <c r="NL65" i="1"/>
  <c r="GF97" i="1"/>
  <c r="GG91" i="1"/>
  <c r="GG92" i="1" s="1"/>
  <c r="GG104" i="1" s="1"/>
  <c r="GH90" i="1"/>
  <c r="NO40" i="1"/>
  <c r="GI40" i="1" s="1"/>
  <c r="NO41" i="1"/>
  <c r="GI41" i="1" s="1"/>
  <c r="NL47" i="1"/>
  <c r="GJ14" i="1"/>
  <c r="GJ89" i="1" s="1"/>
  <c r="NN27" i="1"/>
  <c r="GH22" i="1"/>
  <c r="GH27" i="1" s="1"/>
  <c r="NO23" i="1"/>
  <c r="GI23" i="1" s="1"/>
  <c r="NO22" i="1"/>
  <c r="NO26" i="1"/>
  <c r="GI26" i="1" s="1"/>
  <c r="NO30" i="1"/>
  <c r="NO31" i="1"/>
  <c r="GI31" i="1" s="1"/>
  <c r="NO39" i="1"/>
  <c r="GI39" i="1" s="1"/>
  <c r="NO43" i="1"/>
  <c r="GI43" i="1" s="1"/>
  <c r="NO34" i="1"/>
  <c r="GI34" i="1" s="1"/>
  <c r="NO38" i="1"/>
  <c r="GH30" i="1"/>
  <c r="GH35" i="1" s="1"/>
  <c r="NN35" i="1"/>
  <c r="GG46" i="1"/>
  <c r="GG96" i="1" s="1"/>
  <c r="NN44" i="1"/>
  <c r="GH38" i="1"/>
  <c r="GH44" i="1" s="1"/>
  <c r="GO4" i="1"/>
  <c r="GN3" i="1"/>
  <c r="NT3" i="1" s="1"/>
  <c r="NP14" i="1"/>
  <c r="NO18" i="1"/>
  <c r="GI18" i="1" s="1"/>
  <c r="NO17" i="1"/>
  <c r="GI17" i="1" s="1"/>
  <c r="NO16" i="1"/>
  <c r="GI16" i="1" s="1"/>
  <c r="NO15" i="1"/>
  <c r="NN19" i="1"/>
  <c r="GH15" i="1"/>
  <c r="GH19" i="1" s="1"/>
  <c r="NP42" i="1" l="1"/>
  <c r="GJ42" i="1" s="1"/>
  <c r="GJ86" i="1"/>
  <c r="GJ87" i="1"/>
  <c r="GJ84" i="1"/>
  <c r="GJ85" i="1"/>
  <c r="GJ83" i="1"/>
  <c r="GE86" i="3"/>
  <c r="GE89" i="3"/>
  <c r="GE88" i="3"/>
  <c r="GE93" i="3"/>
  <c r="GE87" i="3"/>
  <c r="GE91" i="3"/>
  <c r="GF85" i="3"/>
  <c r="GF89" i="3" s="1"/>
  <c r="NU4" i="1"/>
  <c r="GJ82" i="1"/>
  <c r="GJ79" i="1"/>
  <c r="GJ80" i="1"/>
  <c r="GJ81" i="1"/>
  <c r="NP24" i="1"/>
  <c r="GJ24" i="1" s="1"/>
  <c r="NP32" i="1"/>
  <c r="GJ32" i="1" s="1"/>
  <c r="NP25" i="1"/>
  <c r="GJ25" i="1" s="1"/>
  <c r="NP33" i="1"/>
  <c r="GJ33" i="1" s="1"/>
  <c r="GJ2" i="1"/>
  <c r="NP2" i="1" s="1"/>
  <c r="NO101" i="1"/>
  <c r="GF98" i="1"/>
  <c r="NM65" i="1"/>
  <c r="GG97" i="1"/>
  <c r="GH91" i="1"/>
  <c r="GH92" i="1" s="1"/>
  <c r="GH104" i="1" s="1"/>
  <c r="GI90" i="1"/>
  <c r="NP41" i="1"/>
  <c r="GJ41" i="1" s="1"/>
  <c r="NP40" i="1"/>
  <c r="GJ40" i="1" s="1"/>
  <c r="NM47" i="1"/>
  <c r="NO27" i="1"/>
  <c r="GI22" i="1"/>
  <c r="GI27" i="1" s="1"/>
  <c r="GI38" i="1"/>
  <c r="GI44" i="1" s="1"/>
  <c r="NO44" i="1"/>
  <c r="NP26" i="1"/>
  <c r="GJ26" i="1" s="1"/>
  <c r="NP22" i="1"/>
  <c r="NP30" i="1"/>
  <c r="NP31" i="1"/>
  <c r="GJ31" i="1" s="1"/>
  <c r="NP34" i="1"/>
  <c r="GJ34" i="1" s="1"/>
  <c r="NP43" i="1"/>
  <c r="GJ43" i="1" s="1"/>
  <c r="NP23" i="1"/>
  <c r="GJ23" i="1" s="1"/>
  <c r="NP39" i="1"/>
  <c r="GJ39" i="1" s="1"/>
  <c r="NP38" i="1"/>
  <c r="GI30" i="1"/>
  <c r="GI35" i="1" s="1"/>
  <c r="NO35" i="1"/>
  <c r="GP4" i="1"/>
  <c r="GO3" i="1"/>
  <c r="NU3" i="1" s="1"/>
  <c r="GH46" i="1"/>
  <c r="GH96" i="1" s="1"/>
  <c r="GK14" i="1"/>
  <c r="GK89" i="1" s="1"/>
  <c r="NO19" i="1"/>
  <c r="GI15" i="1"/>
  <c r="GI19" i="1" s="1"/>
  <c r="NQ14" i="1"/>
  <c r="NP18" i="1"/>
  <c r="GJ18" i="1" s="1"/>
  <c r="NP17" i="1"/>
  <c r="GJ17" i="1" s="1"/>
  <c r="NP16" i="1"/>
  <c r="GJ16" i="1" s="1"/>
  <c r="NP15" i="1"/>
  <c r="NQ42" i="1" l="1"/>
  <c r="GK86" i="1"/>
  <c r="GK87" i="1"/>
  <c r="GK84" i="1"/>
  <c r="GK85" i="1"/>
  <c r="GK83" i="1"/>
  <c r="GF86" i="3"/>
  <c r="GF91" i="3"/>
  <c r="GF93" i="3"/>
  <c r="GF87" i="3"/>
  <c r="GF90" i="3"/>
  <c r="GF88" i="3"/>
  <c r="GG85" i="3"/>
  <c r="GG89" i="3" s="1"/>
  <c r="NV4" i="1"/>
  <c r="GK79" i="1"/>
  <c r="GK81" i="1"/>
  <c r="GK82" i="1"/>
  <c r="GK80" i="1"/>
  <c r="GK42" i="1"/>
  <c r="NQ24" i="1"/>
  <c r="GK24" i="1" s="1"/>
  <c r="NQ25" i="1"/>
  <c r="GK25" i="1" s="1"/>
  <c r="NQ32" i="1"/>
  <c r="GK32" i="1" s="1"/>
  <c r="NQ33" i="1"/>
  <c r="GK33" i="1" s="1"/>
  <c r="GK2" i="1"/>
  <c r="NQ2" i="1" s="1"/>
  <c r="NP101" i="1"/>
  <c r="GG98" i="1"/>
  <c r="NN65" i="1"/>
  <c r="GH97" i="1"/>
  <c r="GI91" i="1"/>
  <c r="GI92" i="1" s="1"/>
  <c r="GI104" i="1" s="1"/>
  <c r="GJ90" i="1"/>
  <c r="NQ40" i="1"/>
  <c r="GK40" i="1" s="1"/>
  <c r="NQ41" i="1"/>
  <c r="GK41" i="1" s="1"/>
  <c r="NN47" i="1"/>
  <c r="GJ22" i="1"/>
  <c r="GJ27" i="1" s="1"/>
  <c r="NP27" i="1"/>
  <c r="NQ22" i="1"/>
  <c r="NQ34" i="1"/>
  <c r="GK34" i="1" s="1"/>
  <c r="NQ30" i="1"/>
  <c r="NQ39" i="1"/>
  <c r="GK39" i="1" s="1"/>
  <c r="NQ43" i="1"/>
  <c r="GK43" i="1" s="1"/>
  <c r="NQ31" i="1"/>
  <c r="GK31" i="1" s="1"/>
  <c r="NQ26" i="1"/>
  <c r="GK26" i="1" s="1"/>
  <c r="NQ23" i="1"/>
  <c r="GK23" i="1" s="1"/>
  <c r="NQ38" i="1"/>
  <c r="GQ4" i="1"/>
  <c r="NW4" i="1" s="1"/>
  <c r="GP3" i="1"/>
  <c r="NV3" i="1" s="1"/>
  <c r="GI46" i="1"/>
  <c r="GI96" i="1" s="1"/>
  <c r="GJ30" i="1"/>
  <c r="GJ35" i="1" s="1"/>
  <c r="NP35" i="1"/>
  <c r="GL14" i="1"/>
  <c r="GL89" i="1" s="1"/>
  <c r="NP44" i="1"/>
  <c r="GJ38" i="1"/>
  <c r="GJ44" i="1" s="1"/>
  <c r="NR14" i="1"/>
  <c r="NQ18" i="1"/>
  <c r="GK18" i="1" s="1"/>
  <c r="NQ17" i="1"/>
  <c r="GK17" i="1" s="1"/>
  <c r="NQ15" i="1"/>
  <c r="NQ16" i="1"/>
  <c r="GK16" i="1" s="1"/>
  <c r="GJ15" i="1"/>
  <c r="GJ19" i="1" s="1"/>
  <c r="NP19" i="1"/>
  <c r="NR42" i="1" l="1"/>
  <c r="GL86" i="1"/>
  <c r="GL87" i="1"/>
  <c r="GL84" i="1"/>
  <c r="GL85" i="1"/>
  <c r="GL83" i="1"/>
  <c r="GG88" i="3"/>
  <c r="GG87" i="3"/>
  <c r="GG93" i="3"/>
  <c r="GG86" i="3"/>
  <c r="GG91" i="3"/>
  <c r="GG90" i="3"/>
  <c r="GL79" i="1"/>
  <c r="GL81" i="1"/>
  <c r="GL82" i="1"/>
  <c r="GL80" i="1"/>
  <c r="GL42" i="1"/>
  <c r="NR25" i="1"/>
  <c r="GL25" i="1" s="1"/>
  <c r="NR24" i="1"/>
  <c r="GL24" i="1" s="1"/>
  <c r="NR32" i="1"/>
  <c r="GL32" i="1" s="1"/>
  <c r="NR33" i="1"/>
  <c r="GL33" i="1" s="1"/>
  <c r="GQ3" i="1"/>
  <c r="NW3" i="1" s="1"/>
  <c r="GH85" i="3"/>
  <c r="GL2" i="1"/>
  <c r="NR2" i="1" s="1"/>
  <c r="NQ101" i="1"/>
  <c r="GH98" i="1"/>
  <c r="NO65" i="1"/>
  <c r="GI97" i="1"/>
  <c r="GI98" i="1" s="1"/>
  <c r="GJ91" i="1"/>
  <c r="GJ92" i="1" s="1"/>
  <c r="GJ104" i="1" s="1"/>
  <c r="GK90" i="1"/>
  <c r="NR41" i="1"/>
  <c r="GL41" i="1" s="1"/>
  <c r="NR40" i="1"/>
  <c r="GL40" i="1" s="1"/>
  <c r="NO47" i="1"/>
  <c r="GK38" i="1"/>
  <c r="GK44" i="1" s="1"/>
  <c r="NQ44" i="1"/>
  <c r="GM14" i="1"/>
  <c r="GM89" i="1" s="1"/>
  <c r="GK30" i="1"/>
  <c r="GK35" i="1" s="1"/>
  <c r="NQ35" i="1"/>
  <c r="GK22" i="1"/>
  <c r="GK27" i="1" s="1"/>
  <c r="NQ27" i="1"/>
  <c r="NR30" i="1"/>
  <c r="NR34" i="1"/>
  <c r="GL34" i="1" s="1"/>
  <c r="NR31" i="1"/>
  <c r="GL31" i="1" s="1"/>
  <c r="NR26" i="1"/>
  <c r="GL26" i="1" s="1"/>
  <c r="NR43" i="1"/>
  <c r="GL43" i="1" s="1"/>
  <c r="NR22" i="1"/>
  <c r="NR23" i="1"/>
  <c r="GL23" i="1" s="1"/>
  <c r="NR38" i="1"/>
  <c r="NR39" i="1"/>
  <c r="GL39" i="1" s="1"/>
  <c r="GJ46" i="1"/>
  <c r="GJ96" i="1" s="1"/>
  <c r="GK15" i="1"/>
  <c r="GK19" i="1" s="1"/>
  <c r="NQ19" i="1"/>
  <c r="NS14" i="1"/>
  <c r="NR15" i="1"/>
  <c r="NR18" i="1"/>
  <c r="GL18" i="1" s="1"/>
  <c r="NR17" i="1"/>
  <c r="GL17" i="1" s="1"/>
  <c r="NR16" i="1"/>
  <c r="GL16" i="1" s="1"/>
  <c r="NS42" i="1" l="1"/>
  <c r="GM86" i="1"/>
  <c r="GM87" i="1"/>
  <c r="GM84" i="1"/>
  <c r="GM85" i="1"/>
  <c r="GM83" i="1"/>
  <c r="GM80" i="1"/>
  <c r="GM79" i="1"/>
  <c r="GM81" i="1"/>
  <c r="GM82" i="1"/>
  <c r="GM42" i="1"/>
  <c r="NS32" i="1"/>
  <c r="GM32" i="1" s="1"/>
  <c r="NS25" i="1"/>
  <c r="GM25" i="1" s="1"/>
  <c r="NS24" i="1"/>
  <c r="GM24" i="1" s="1"/>
  <c r="NS33" i="1"/>
  <c r="GM33" i="1" s="1"/>
  <c r="GH93" i="3"/>
  <c r="GH90" i="3"/>
  <c r="GH87" i="3"/>
  <c r="GH89" i="3"/>
  <c r="GH86" i="3"/>
  <c r="GH91" i="3"/>
  <c r="GH88" i="3"/>
  <c r="H85" i="3"/>
  <c r="GM2" i="1"/>
  <c r="NS2" i="1" s="1"/>
  <c r="NR101" i="1"/>
  <c r="NP65" i="1"/>
  <c r="GJ97" i="1"/>
  <c r="GK91" i="1"/>
  <c r="GK92" i="1" s="1"/>
  <c r="GK104" i="1" s="1"/>
  <c r="GL90" i="1"/>
  <c r="NS40" i="1"/>
  <c r="GM40" i="1" s="1"/>
  <c r="NS41" i="1"/>
  <c r="GM41" i="1" s="1"/>
  <c r="NP47" i="1"/>
  <c r="GL38" i="1"/>
  <c r="GL44" i="1" s="1"/>
  <c r="NR44" i="1"/>
  <c r="NR35" i="1"/>
  <c r="GL30" i="1"/>
  <c r="GL35" i="1" s="1"/>
  <c r="GN14" i="1"/>
  <c r="GN89" i="1" s="1"/>
  <c r="NS34" i="1"/>
  <c r="GM34" i="1" s="1"/>
  <c r="NS23" i="1"/>
  <c r="GM23" i="1" s="1"/>
  <c r="NS26" i="1"/>
  <c r="GM26" i="1" s="1"/>
  <c r="NS22" i="1"/>
  <c r="NS31" i="1"/>
  <c r="GM31" i="1" s="1"/>
  <c r="NS43" i="1"/>
  <c r="GM43" i="1" s="1"/>
  <c r="NS30" i="1"/>
  <c r="NS39" i="1"/>
  <c r="GM39" i="1" s="1"/>
  <c r="NS38" i="1"/>
  <c r="NR27" i="1"/>
  <c r="GL22" i="1"/>
  <c r="GL27" i="1" s="1"/>
  <c r="GK46" i="1"/>
  <c r="GK96" i="1" s="1"/>
  <c r="GL15" i="1"/>
  <c r="GL19" i="1" s="1"/>
  <c r="NR19" i="1"/>
  <c r="NT14" i="1"/>
  <c r="NS17" i="1"/>
  <c r="GM17" i="1" s="1"/>
  <c r="NS18" i="1"/>
  <c r="GM18" i="1" s="1"/>
  <c r="NS15" i="1"/>
  <c r="NS16" i="1"/>
  <c r="GM16" i="1" s="1"/>
  <c r="NT42" i="1" l="1"/>
  <c r="GN42" i="1" s="1"/>
  <c r="GN86" i="1"/>
  <c r="GN87" i="1"/>
  <c r="GN84" i="1"/>
  <c r="GN85" i="1"/>
  <c r="GN83" i="1"/>
  <c r="GN79" i="1"/>
  <c r="GN80" i="1"/>
  <c r="GN81" i="1"/>
  <c r="GN82" i="1"/>
  <c r="NT24" i="1"/>
  <c r="GN24" i="1" s="1"/>
  <c r="NT32" i="1"/>
  <c r="GN32" i="1" s="1"/>
  <c r="NT33" i="1"/>
  <c r="GN33" i="1" s="1"/>
  <c r="NT25" i="1"/>
  <c r="GN25" i="1" s="1"/>
  <c r="GN2" i="1"/>
  <c r="NT2" i="1" s="1"/>
  <c r="NS101" i="1"/>
  <c r="GJ98" i="1"/>
  <c r="NQ65" i="1"/>
  <c r="GK97" i="1"/>
  <c r="GL91" i="1"/>
  <c r="GL92" i="1" s="1"/>
  <c r="GL104" i="1" s="1"/>
  <c r="GM90" i="1"/>
  <c r="NT41" i="1"/>
  <c r="GN41" i="1" s="1"/>
  <c r="NT40" i="1"/>
  <c r="GN40" i="1" s="1"/>
  <c r="NQ47" i="1"/>
  <c r="GO14" i="1"/>
  <c r="GO89" i="1" s="1"/>
  <c r="GM38" i="1"/>
  <c r="GM44" i="1" s="1"/>
  <c r="NS44" i="1"/>
  <c r="NS27" i="1"/>
  <c r="GM22" i="1"/>
  <c r="GM27" i="1" s="1"/>
  <c r="NT26" i="1"/>
  <c r="GN26" i="1" s="1"/>
  <c r="NT31" i="1"/>
  <c r="GN31" i="1" s="1"/>
  <c r="NT34" i="1"/>
  <c r="GN34" i="1" s="1"/>
  <c r="NT43" i="1"/>
  <c r="GN43" i="1" s="1"/>
  <c r="NT30" i="1"/>
  <c r="NT22" i="1"/>
  <c r="NT23" i="1"/>
  <c r="GN23" i="1" s="1"/>
  <c r="NT39" i="1"/>
  <c r="GN39" i="1" s="1"/>
  <c r="NT38" i="1"/>
  <c r="GM30" i="1"/>
  <c r="GM35" i="1" s="1"/>
  <c r="NS35" i="1"/>
  <c r="GL46" i="1"/>
  <c r="GL96" i="1" s="1"/>
  <c r="GM15" i="1"/>
  <c r="GM19" i="1" s="1"/>
  <c r="NS19" i="1"/>
  <c r="NU14" i="1"/>
  <c r="NT16" i="1"/>
  <c r="GN16" i="1" s="1"/>
  <c r="NT18" i="1"/>
  <c r="GN18" i="1" s="1"/>
  <c r="NT17" i="1"/>
  <c r="GN17" i="1" s="1"/>
  <c r="NT15" i="1"/>
  <c r="NU42" i="1" l="1"/>
  <c r="GO42" i="1" s="1"/>
  <c r="GO86" i="1"/>
  <c r="GO87" i="1"/>
  <c r="GO84" i="1"/>
  <c r="GO85" i="1"/>
  <c r="GO83" i="1"/>
  <c r="GO80" i="1"/>
  <c r="GO79" i="1"/>
  <c r="GO81" i="1"/>
  <c r="GO82" i="1"/>
  <c r="NU25" i="1"/>
  <c r="GO25" i="1" s="1"/>
  <c r="NU33" i="1"/>
  <c r="GO33" i="1" s="1"/>
  <c r="NU32" i="1"/>
  <c r="GO32" i="1" s="1"/>
  <c r="NU24" i="1"/>
  <c r="GO24" i="1" s="1"/>
  <c r="GO2" i="1"/>
  <c r="NU2" i="1" s="1"/>
  <c r="NT101" i="1"/>
  <c r="GK98" i="1"/>
  <c r="NR65" i="1"/>
  <c r="GL97" i="1"/>
  <c r="GM91" i="1"/>
  <c r="GM92" i="1" s="1"/>
  <c r="GM104" i="1" s="1"/>
  <c r="GN90" i="1"/>
  <c r="NU40" i="1"/>
  <c r="GO40" i="1" s="1"/>
  <c r="NU41" i="1"/>
  <c r="GO41" i="1" s="1"/>
  <c r="NR47" i="1"/>
  <c r="NT35" i="1"/>
  <c r="GN30" i="1"/>
  <c r="GN35" i="1" s="1"/>
  <c r="GM46" i="1"/>
  <c r="GM96" i="1" s="1"/>
  <c r="NT44" i="1"/>
  <c r="GN38" i="1"/>
  <c r="GN44" i="1" s="1"/>
  <c r="GP14" i="1"/>
  <c r="GP89" i="1" s="1"/>
  <c r="NU22" i="1"/>
  <c r="NU26" i="1"/>
  <c r="GO26" i="1" s="1"/>
  <c r="NU23" i="1"/>
  <c r="GO23" i="1" s="1"/>
  <c r="NU31" i="1"/>
  <c r="GO31" i="1" s="1"/>
  <c r="NU34" i="1"/>
  <c r="GO34" i="1" s="1"/>
  <c r="NU43" i="1"/>
  <c r="GO43" i="1" s="1"/>
  <c r="NU38" i="1"/>
  <c r="NU30" i="1"/>
  <c r="NU39" i="1"/>
  <c r="GO39" i="1" s="1"/>
  <c r="NT27" i="1"/>
  <c r="GN22" i="1"/>
  <c r="GN27" i="1" s="1"/>
  <c r="GN15" i="1"/>
  <c r="GN19" i="1" s="1"/>
  <c r="NT19" i="1"/>
  <c r="NV14" i="1"/>
  <c r="NU17" i="1"/>
  <c r="GO17" i="1" s="1"/>
  <c r="NU16" i="1"/>
  <c r="GO16" i="1" s="1"/>
  <c r="NU18" i="1"/>
  <c r="GO18" i="1" s="1"/>
  <c r="NU15" i="1"/>
  <c r="NV42" i="1" l="1"/>
  <c r="GP42" i="1" s="1"/>
  <c r="GP86" i="1"/>
  <c r="GP87" i="1"/>
  <c r="GP84" i="1"/>
  <c r="GP85" i="1"/>
  <c r="GP83" i="1"/>
  <c r="GP80" i="1"/>
  <c r="GP81" i="1"/>
  <c r="GP82" i="1"/>
  <c r="GP79" i="1"/>
  <c r="NV25" i="1"/>
  <c r="GP25" i="1" s="1"/>
  <c r="NV32" i="1"/>
  <c r="GP32" i="1" s="1"/>
  <c r="NV24" i="1"/>
  <c r="GP24" i="1" s="1"/>
  <c r="NV33" i="1"/>
  <c r="GP33" i="1" s="1"/>
  <c r="GP2" i="1"/>
  <c r="NV2" i="1" s="1"/>
  <c r="NU101" i="1"/>
  <c r="GL98" i="1"/>
  <c r="NS65" i="1"/>
  <c r="GM97" i="1"/>
  <c r="GN91" i="1"/>
  <c r="GN92" i="1" s="1"/>
  <c r="GN104" i="1" s="1"/>
  <c r="GO90" i="1"/>
  <c r="NV41" i="1"/>
  <c r="GP41" i="1" s="1"/>
  <c r="NV40" i="1"/>
  <c r="GP40" i="1" s="1"/>
  <c r="NS47" i="1"/>
  <c r="GQ14" i="1"/>
  <c r="GQ89" i="1" s="1"/>
  <c r="S89" i="1" s="1"/>
  <c r="GN46" i="1"/>
  <c r="GN96" i="1" s="1"/>
  <c r="NU35" i="1"/>
  <c r="GO30" i="1"/>
  <c r="GO35" i="1" s="1"/>
  <c r="NV22" i="1"/>
  <c r="NV31" i="1"/>
  <c r="GP31" i="1" s="1"/>
  <c r="NV23" i="1"/>
  <c r="GP23" i="1" s="1"/>
  <c r="NV26" i="1"/>
  <c r="GP26" i="1" s="1"/>
  <c r="NV34" i="1"/>
  <c r="GP34" i="1" s="1"/>
  <c r="NV43" i="1"/>
  <c r="GP43" i="1" s="1"/>
  <c r="NV38" i="1"/>
  <c r="NV30" i="1"/>
  <c r="NV39" i="1"/>
  <c r="GP39" i="1" s="1"/>
  <c r="NU27" i="1"/>
  <c r="GO22" i="1"/>
  <c r="GO27" i="1" s="1"/>
  <c r="GO38" i="1"/>
  <c r="GO44" i="1" s="1"/>
  <c r="NU44" i="1"/>
  <c r="NW14" i="1"/>
  <c r="NV16" i="1"/>
  <c r="GP16" i="1" s="1"/>
  <c r="NV18" i="1"/>
  <c r="GP18" i="1" s="1"/>
  <c r="NV17" i="1"/>
  <c r="GP17" i="1" s="1"/>
  <c r="NV15" i="1"/>
  <c r="GO15" i="1"/>
  <c r="GO19" i="1" s="1"/>
  <c r="NU19" i="1"/>
  <c r="NW42" i="1" l="1"/>
  <c r="GY42" i="1" s="1"/>
  <c r="GQ86" i="1"/>
  <c r="S86" i="1" s="1"/>
  <c r="GQ87" i="1"/>
  <c r="S87" i="1" s="1"/>
  <c r="GQ84" i="1"/>
  <c r="S84" i="1" s="1"/>
  <c r="GQ85" i="1"/>
  <c r="S85" i="1" s="1"/>
  <c r="GQ83" i="1"/>
  <c r="S83" i="1" s="1"/>
  <c r="GQ79" i="1"/>
  <c r="GQ81" i="1"/>
  <c r="S81" i="1" s="1"/>
  <c r="GQ80" i="1"/>
  <c r="S80" i="1" s="1"/>
  <c r="GQ82" i="1"/>
  <c r="S82" i="1" s="1"/>
  <c r="NW32" i="1"/>
  <c r="NW24" i="1"/>
  <c r="NW25" i="1"/>
  <c r="NW33" i="1"/>
  <c r="NV101" i="1"/>
  <c r="GQ2" i="1"/>
  <c r="NW2" i="1" s="1"/>
  <c r="GM98" i="1"/>
  <c r="NT65" i="1"/>
  <c r="GN97" i="1"/>
  <c r="GO91" i="1"/>
  <c r="GO92" i="1" s="1"/>
  <c r="GO104" i="1" s="1"/>
  <c r="GP90" i="1"/>
  <c r="NW40" i="1"/>
  <c r="NW41" i="1"/>
  <c r="NT47" i="1"/>
  <c r="GP38" i="1"/>
  <c r="GP44" i="1" s="1"/>
  <c r="NV44" i="1"/>
  <c r="NV27" i="1"/>
  <c r="GP22" i="1"/>
  <c r="GP27" i="1" s="1"/>
  <c r="NW23" i="1"/>
  <c r="NW22" i="1"/>
  <c r="NW26" i="1"/>
  <c r="NW31" i="1"/>
  <c r="NW30" i="1"/>
  <c r="NW34" i="1"/>
  <c r="NW43" i="1"/>
  <c r="NW39" i="1"/>
  <c r="NW38" i="1"/>
  <c r="NV35" i="1"/>
  <c r="GP30" i="1"/>
  <c r="GP35" i="1" s="1"/>
  <c r="GO46" i="1"/>
  <c r="GO96" i="1" s="1"/>
  <c r="NV19" i="1"/>
  <c r="GP15" i="1"/>
  <c r="GP19" i="1" s="1"/>
  <c r="NW18" i="1"/>
  <c r="NW16" i="1"/>
  <c r="NW17" i="1"/>
  <c r="NW15" i="1"/>
  <c r="GQ42" i="1" l="1"/>
  <c r="S42" i="1" s="1"/>
  <c r="GQ33" i="1"/>
  <c r="S33" i="1" s="1"/>
  <c r="GY33" i="1"/>
  <c r="GQ25" i="1"/>
  <c r="S25" i="1" s="1"/>
  <c r="GY25" i="1"/>
  <c r="GQ24" i="1"/>
  <c r="S24" i="1" s="1"/>
  <c r="GY24" i="1"/>
  <c r="GQ32" i="1"/>
  <c r="S32" i="1" s="1"/>
  <c r="GY32" i="1"/>
  <c r="NW101" i="1"/>
  <c r="K10" i="1" a="1"/>
  <c r="K10" i="1" s="1"/>
  <c r="P10" i="3" s="1"/>
  <c r="GN98" i="1"/>
  <c r="NU65" i="1"/>
  <c r="GO97" i="1"/>
  <c r="GP91" i="1"/>
  <c r="GP92" i="1" s="1"/>
  <c r="GP104" i="1" s="1"/>
  <c r="GQ90" i="1"/>
  <c r="GQ91" i="1" s="1"/>
  <c r="S79" i="1"/>
  <c r="GQ41" i="1"/>
  <c r="S41" i="1" s="1"/>
  <c r="GY41" i="1"/>
  <c r="GQ40" i="1"/>
  <c r="S40" i="1" s="1"/>
  <c r="GY40" i="1"/>
  <c r="NU47" i="1"/>
  <c r="GQ39" i="1"/>
  <c r="S39" i="1" s="1"/>
  <c r="GY39" i="1"/>
  <c r="NW27" i="1"/>
  <c r="GY27" i="1" s="1"/>
  <c r="GQ22" i="1"/>
  <c r="GY22" i="1"/>
  <c r="GQ23" i="1"/>
  <c r="S23" i="1" s="1"/>
  <c r="GY23" i="1"/>
  <c r="GQ26" i="1"/>
  <c r="S26" i="1" s="1"/>
  <c r="GY26" i="1"/>
  <c r="GQ43" i="1"/>
  <c r="S43" i="1" s="1"/>
  <c r="GY43" i="1"/>
  <c r="GQ34" i="1"/>
  <c r="S34" i="1" s="1"/>
  <c r="GY34" i="1"/>
  <c r="NW35" i="1"/>
  <c r="GY35" i="1" s="1"/>
  <c r="GQ30" i="1"/>
  <c r="GY30" i="1"/>
  <c r="GQ38" i="1"/>
  <c r="NW44" i="1"/>
  <c r="GY44" i="1" s="1"/>
  <c r="GY38" i="1"/>
  <c r="GQ31" i="1"/>
  <c r="S31" i="1" s="1"/>
  <c r="GY31" i="1"/>
  <c r="GP46" i="1"/>
  <c r="GP96" i="1" s="1"/>
  <c r="NW19" i="1"/>
  <c r="GY19" i="1" s="1"/>
  <c r="GQ15" i="1"/>
  <c r="GY15" i="1"/>
  <c r="GQ17" i="1"/>
  <c r="S17" i="1" s="1"/>
  <c r="GY17" i="1"/>
  <c r="GQ16" i="1"/>
  <c r="S16" i="1" s="1"/>
  <c r="GY16" i="1"/>
  <c r="GQ18" i="1"/>
  <c r="S18" i="1" s="1"/>
  <c r="GY18" i="1"/>
  <c r="GO98" i="1" l="1"/>
  <c r="NV65" i="1"/>
  <c r="GP97" i="1"/>
  <c r="GP98" i="1" s="1"/>
  <c r="GQ92" i="1"/>
  <c r="S91" i="1"/>
  <c r="S90" i="1"/>
  <c r="NV47" i="1"/>
  <c r="GQ44" i="1"/>
  <c r="S38" i="1"/>
  <c r="GQ35" i="1"/>
  <c r="S35" i="1" s="1"/>
  <c r="S30" i="1"/>
  <c r="GQ27" i="1"/>
  <c r="S27" i="1" s="1"/>
  <c r="S22" i="1"/>
  <c r="GQ19" i="1"/>
  <c r="S19" i="1" s="1"/>
  <c r="S15" i="1"/>
  <c r="GQ97" i="1" l="1"/>
  <c r="L97" i="1" s="1"/>
  <c r="J97" i="1" s="1"/>
  <c r="GQ104" i="1"/>
  <c r="S92" i="1"/>
  <c r="S97" i="1" s="1"/>
  <c r="NW65" i="1"/>
  <c r="GY65" i="1" s="1"/>
  <c r="GQ46" i="1"/>
  <c r="S44" i="1"/>
  <c r="L104" i="1" l="1"/>
  <c r="S104" i="1" s="1"/>
  <c r="NW47" i="1"/>
  <c r="GX47" i="1" s="1"/>
  <c r="GQ96" i="1"/>
  <c r="S46" i="1"/>
  <c r="J104" i="1" l="1"/>
  <c r="GQ98" i="1"/>
  <c r="F98" i="1" s="1"/>
  <c r="P29" i="3" s="1"/>
  <c r="L96" i="1"/>
  <c r="S96" i="1" l="1"/>
  <c r="J96" i="1"/>
  <c r="E98" i="1"/>
  <c r="P30" i="3" s="1"/>
  <c r="L98" i="1"/>
  <c r="P31" i="3" l="1"/>
  <c r="L100" i="1"/>
  <c r="P32" i="3" s="1"/>
  <c r="S98" i="1"/>
  <c r="J98" i="1"/>
  <c r="H90" i="1" l="1"/>
  <c r="H91" i="1" s="1"/>
  <c r="K42" i="1" l="1"/>
  <c r="L6" i="1"/>
  <c r="H13" i="3" s="1"/>
  <c r="H14" i="3"/>
  <c r="K24" i="1"/>
  <c r="K32" i="1"/>
  <c r="K25" i="1"/>
  <c r="K33" i="1"/>
  <c r="K104" i="1"/>
  <c r="K97" i="1"/>
  <c r="K96" i="1"/>
  <c r="K98" i="1"/>
  <c r="K90" i="1"/>
  <c r="K91" i="1"/>
  <c r="K92" i="1"/>
  <c r="K40" i="1"/>
  <c r="K30" i="1"/>
  <c r="K15" i="1"/>
  <c r="K18" i="1"/>
  <c r="K26" i="1"/>
  <c r="K46" i="1"/>
  <c r="K41" i="1"/>
  <c r="K23" i="1"/>
  <c r="K31" i="1"/>
  <c r="K39" i="1"/>
  <c r="K22" i="1"/>
  <c r="K38" i="1"/>
  <c r="K17" i="1"/>
  <c r="K34" i="1"/>
  <c r="K43" i="1"/>
  <c r="K16" i="1"/>
  <c r="K27" i="1" l="1"/>
  <c r="K19" i="1"/>
  <c r="K35" i="1"/>
  <c r="K44" i="1"/>
  <c r="D64" i="1" l="1"/>
  <c r="GV55" i="1" l="1"/>
  <c r="GV56" i="1" s="1"/>
  <c r="F130" i="1"/>
  <c r="E126" i="1"/>
  <c r="L111" i="1" l="1"/>
  <c r="L112" i="1"/>
  <c r="E23" i="3" s="1"/>
  <c r="J57" i="1"/>
  <c r="K57" i="1"/>
  <c r="E127" i="1"/>
  <c r="GY64" i="1"/>
  <c r="K112" i="1" l="1"/>
  <c r="O38" i="3"/>
  <c r="J112" i="1"/>
  <c r="L113" i="1"/>
  <c r="K113" i="1" s="1"/>
  <c r="N38" i="3"/>
  <c r="E22" i="3"/>
  <c r="K111" i="1"/>
  <c r="J111" i="1"/>
  <c r="P38" i="3" l="1"/>
  <c r="J113" i="1"/>
  <c r="BR90" i="3" l="1"/>
  <c r="BR91" i="3" s="1"/>
  <c r="DS91" i="3"/>
  <c r="DS90" i="3"/>
  <c r="DR91" i="3"/>
  <c r="DR90" i="3"/>
  <c r="DQ91" i="3"/>
  <c r="DQ90" i="3"/>
  <c r="DP91" i="3"/>
  <c r="DP90" i="3"/>
  <c r="DO91" i="3"/>
  <c r="DO90" i="3"/>
  <c r="DN91" i="3"/>
  <c r="DN90" i="3"/>
  <c r="DM91" i="3"/>
  <c r="DM90" i="3"/>
  <c r="DL91" i="3"/>
  <c r="DL90" i="3"/>
  <c r="DK91" i="3"/>
  <c r="DK90" i="3"/>
  <c r="DJ91" i="3"/>
  <c r="DJ90" i="3"/>
  <c r="DI91" i="3"/>
  <c r="DI90" i="3"/>
  <c r="DH91" i="3"/>
  <c r="DH90" i="3"/>
  <c r="DG91" i="3"/>
  <c r="DG90" i="3"/>
  <c r="DF91" i="3"/>
  <c r="DF90" i="3"/>
  <c r="DE91" i="3"/>
  <c r="DE90" i="3"/>
  <c r="DD91" i="3"/>
  <c r="DD90" i="3"/>
  <c r="DC91" i="3"/>
  <c r="DC90" i="3"/>
  <c r="DB91" i="3"/>
  <c r="DB90" i="3"/>
  <c r="DA91" i="3"/>
  <c r="DA90" i="3"/>
  <c r="CZ91" i="3"/>
  <c r="CZ90" i="3"/>
  <c r="CY91" i="3"/>
  <c r="CY90" i="3"/>
  <c r="CX91" i="3"/>
  <c r="CX90" i="3"/>
  <c r="CW91" i="3"/>
  <c r="CW90" i="3"/>
  <c r="CV91" i="3"/>
  <c r="CV90" i="3"/>
  <c r="CU91" i="3"/>
  <c r="CU90" i="3"/>
  <c r="CT91" i="3"/>
  <c r="CT90" i="3"/>
  <c r="CS91" i="3"/>
  <c r="CS90" i="3"/>
  <c r="CR91" i="3"/>
  <c r="CR90" i="3"/>
  <c r="CQ91" i="3"/>
  <c r="CQ90" i="3"/>
  <c r="CP91" i="3"/>
  <c r="CP90" i="3"/>
  <c r="CO91" i="3"/>
  <c r="CO90" i="3"/>
  <c r="CN91" i="3"/>
  <c r="CN90" i="3"/>
  <c r="CM91" i="3"/>
  <c r="CM90" i="3"/>
  <c r="CL91" i="3"/>
  <c r="CL90" i="3"/>
  <c r="CK91" i="3"/>
  <c r="CK90" i="3"/>
  <c r="CJ91" i="3"/>
  <c r="CJ90" i="3"/>
  <c r="CI91" i="3"/>
  <c r="CI90" i="3"/>
  <c r="CH91" i="3"/>
  <c r="CH90" i="3"/>
  <c r="CG91" i="3"/>
  <c r="CG90" i="3"/>
  <c r="CF91" i="3"/>
  <c r="CF90" i="3"/>
  <c r="CE91" i="3"/>
  <c r="CE90" i="3"/>
  <c r="CD91" i="3"/>
  <c r="CD90" i="3"/>
  <c r="CC91" i="3"/>
  <c r="CC90" i="3"/>
  <c r="CB91" i="3"/>
  <c r="CB90" i="3"/>
  <c r="CA91" i="3"/>
  <c r="CA90" i="3"/>
  <c r="BZ91" i="3"/>
  <c r="BZ90" i="3"/>
  <c r="BY91" i="3"/>
  <c r="BY90" i="3"/>
  <c r="BX91" i="3"/>
  <c r="BX90" i="3"/>
  <c r="BW91" i="3"/>
  <c r="BW90" i="3"/>
  <c r="BV91" i="3"/>
  <c r="BV90" i="3"/>
  <c r="BU91" i="3"/>
  <c r="BU90" i="3"/>
  <c r="BT91" i="3"/>
  <c r="BT90" i="3"/>
  <c r="BS91" i="3"/>
  <c r="BS90" i="3"/>
  <c r="BQ91" i="3"/>
  <c r="BQ90" i="3"/>
  <c r="BP91" i="3"/>
  <c r="BP90" i="3"/>
  <c r="BO91" i="3"/>
  <c r="BO90" i="3"/>
  <c r="BN91" i="3"/>
  <c r="BN90" i="3"/>
  <c r="BM91" i="3"/>
  <c r="BM90" i="3"/>
  <c r="BL91" i="3"/>
  <c r="BL90" i="3"/>
  <c r="BK91" i="3"/>
  <c r="BK90" i="3"/>
  <c r="BJ91" i="3"/>
  <c r="BJ90" i="3"/>
  <c r="BI91" i="3"/>
  <c r="BI90" i="3"/>
  <c r="BH91" i="3"/>
  <c r="BH90" i="3"/>
  <c r="J50" i="1"/>
  <c r="K50" i="1"/>
  <c r="U50" i="1"/>
  <c r="V50" i="1"/>
  <c r="W50" i="1"/>
  <c r="Y50" i="1"/>
  <c r="X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U50" i="1"/>
  <c r="CV50" i="1"/>
  <c r="CW50" i="1"/>
  <c r="CX50" i="1"/>
  <c r="CY50" i="1"/>
  <c r="CZ50" i="1"/>
  <c r="DA50" i="1"/>
  <c r="DB50" i="1"/>
  <c r="DC50" i="1"/>
  <c r="DD50" i="1"/>
  <c r="DE50" i="1"/>
  <c r="DF50" i="1"/>
  <c r="DG50" i="1"/>
  <c r="DH50" i="1"/>
  <c r="DI50" i="1"/>
  <c r="DJ50" i="1"/>
  <c r="DK50" i="1"/>
  <c r="DL50" i="1"/>
  <c r="DM50" i="1"/>
  <c r="DN50" i="1"/>
  <c r="DO50" i="1"/>
  <c r="DP50" i="1"/>
  <c r="DQ50" i="1"/>
  <c r="DR50" i="1"/>
  <c r="DS50" i="1"/>
  <c r="DT50" i="1"/>
  <c r="DU50" i="1"/>
  <c r="DV50" i="1"/>
  <c r="DW50" i="1"/>
  <c r="DX50" i="1"/>
  <c r="DY50" i="1"/>
  <c r="DZ50" i="1"/>
  <c r="EA50" i="1"/>
  <c r="EB50" i="1"/>
  <c r="EC50" i="1"/>
  <c r="ED50" i="1"/>
  <c r="EE50" i="1"/>
  <c r="EF50" i="1"/>
  <c r="EG50" i="1"/>
  <c r="EH50" i="1"/>
  <c r="EI50" i="1"/>
  <c r="EJ50" i="1"/>
  <c r="EK50" i="1"/>
  <c r="EL50" i="1"/>
  <c r="EM50" i="1"/>
  <c r="EN50" i="1"/>
  <c r="EO50" i="1"/>
  <c r="EP50" i="1"/>
  <c r="EQ50" i="1"/>
  <c r="ER50" i="1"/>
  <c r="ES50" i="1"/>
  <c r="ET50" i="1"/>
  <c r="EU50" i="1"/>
  <c r="EV50" i="1"/>
  <c r="EW50" i="1"/>
  <c r="EX50" i="1"/>
  <c r="EY50" i="1"/>
  <c r="EZ50" i="1"/>
  <c r="FA50" i="1"/>
  <c r="FB50" i="1"/>
  <c r="FC50" i="1"/>
  <c r="FD50" i="1"/>
  <c r="FE50" i="1"/>
  <c r="FF50" i="1"/>
  <c r="FG50" i="1"/>
  <c r="FH50" i="1"/>
  <c r="FI50" i="1"/>
  <c r="FJ50" i="1"/>
  <c r="FK50" i="1"/>
  <c r="FL50" i="1"/>
  <c r="FM50" i="1"/>
  <c r="FN50" i="1"/>
  <c r="FO50" i="1"/>
  <c r="FP50" i="1"/>
  <c r="FQ50" i="1"/>
  <c r="FR50" i="1"/>
  <c r="FS50" i="1"/>
  <c r="FT50" i="1"/>
  <c r="FU50" i="1"/>
  <c r="FV50" i="1"/>
  <c r="FW50" i="1"/>
  <c r="FX50" i="1"/>
  <c r="FY50" i="1"/>
  <c r="FZ50" i="1"/>
  <c r="GA50" i="1"/>
  <c r="GB50" i="1"/>
  <c r="GC50" i="1"/>
  <c r="GD50" i="1"/>
  <c r="GE50" i="1"/>
  <c r="GF50" i="1"/>
  <c r="GG50" i="1"/>
  <c r="GH50" i="1"/>
  <c r="GI50" i="1"/>
  <c r="GJ50" i="1"/>
  <c r="GK50" i="1"/>
  <c r="GL50" i="1"/>
  <c r="GM50" i="1"/>
  <c r="GN50" i="1"/>
  <c r="GO50" i="1"/>
  <c r="GP50" i="1"/>
  <c r="GQ50" i="1"/>
  <c r="T50" i="1"/>
  <c r="GZ51" i="1"/>
  <c r="T67" i="1" s="1"/>
  <c r="T111" i="1" s="1"/>
  <c r="GZ113" i="1" s="1"/>
  <c r="GZ64" i="1" l="1"/>
  <c r="S50" i="1"/>
  <c r="T112" i="1"/>
  <c r="GZ107" i="1" l="1"/>
  <c r="T113" i="1"/>
  <c r="HA51" i="1"/>
  <c r="HA64" i="1" s="1"/>
  <c r="HB51" i="1" l="1"/>
  <c r="U67" i="1"/>
  <c r="U112" i="1" l="1"/>
  <c r="U111" i="1"/>
  <c r="V67" i="1"/>
  <c r="HB64" i="1"/>
  <c r="HC51" i="1" l="1"/>
  <c r="V112" i="1"/>
  <c r="HB107" i="1" s="1"/>
  <c r="V111" i="1"/>
  <c r="HA113" i="1"/>
  <c r="U113" i="1"/>
  <c r="HA107" i="1"/>
  <c r="V113" i="1" l="1"/>
  <c r="HB113" i="1"/>
  <c r="W67" i="1"/>
  <c r="HC64" i="1"/>
  <c r="W112" i="1" l="1"/>
  <c r="W111" i="1"/>
  <c r="HD51" i="1"/>
  <c r="HD64" i="1" s="1"/>
  <c r="HE51" i="1" l="1"/>
  <c r="HE64" i="1" s="1"/>
  <c r="X67" i="1"/>
  <c r="W113" i="1"/>
  <c r="HC113" i="1"/>
  <c r="HC107" i="1"/>
  <c r="HF51" i="1" l="1"/>
  <c r="X112" i="1"/>
  <c r="X111" i="1"/>
  <c r="Y67" i="1"/>
  <c r="HD107" i="1" l="1"/>
  <c r="Y111" i="1"/>
  <c r="Y112" i="1"/>
  <c r="HE107" i="1" s="1"/>
  <c r="Z67" i="1"/>
  <c r="HD113" i="1"/>
  <c r="X113" i="1"/>
  <c r="HF64" i="1"/>
  <c r="Y113" i="1" l="1"/>
  <c r="HE113" i="1"/>
  <c r="Z112" i="1"/>
  <c r="HF107" i="1" s="1"/>
  <c r="Z111" i="1"/>
  <c r="HG51" i="1"/>
  <c r="HG64" i="1" s="1"/>
  <c r="HH51" i="1" l="1"/>
  <c r="AA67" i="1"/>
  <c r="Z113" i="1"/>
  <c r="HF113" i="1"/>
  <c r="AA111" i="1" l="1"/>
  <c r="AA112" i="1"/>
  <c r="HG107" i="1" s="1"/>
  <c r="AB67" i="1"/>
  <c r="HH64" i="1"/>
  <c r="HI51" i="1" l="1"/>
  <c r="AB111" i="1"/>
  <c r="AB112" i="1"/>
  <c r="HH107" i="1" s="1"/>
  <c r="AA113" i="1"/>
  <c r="HG113" i="1"/>
  <c r="AB113" i="1" l="1"/>
  <c r="HH113" i="1"/>
  <c r="AC67" i="1"/>
  <c r="HI64" i="1"/>
  <c r="HJ51" i="1" l="1"/>
  <c r="HJ64" i="1" s="1"/>
  <c r="AC111" i="1"/>
  <c r="AC112" i="1"/>
  <c r="HI107" i="1" s="1"/>
  <c r="HK51" i="1" l="1"/>
  <c r="HK64" i="1" s="1"/>
  <c r="HI113" i="1"/>
  <c r="AC113" i="1"/>
  <c r="AD67" i="1"/>
  <c r="HL51" i="1" l="1"/>
  <c r="AD111" i="1"/>
  <c r="AD112" i="1"/>
  <c r="HJ107" i="1" s="1"/>
  <c r="AE67" i="1"/>
  <c r="AE112" i="1" l="1"/>
  <c r="HK107" i="1" s="1"/>
  <c r="AE111" i="1"/>
  <c r="AD113" i="1"/>
  <c r="HJ113" i="1"/>
  <c r="AF67" i="1"/>
  <c r="HL64" i="1"/>
  <c r="HM51" i="1" l="1"/>
  <c r="AF111" i="1"/>
  <c r="AF112" i="1"/>
  <c r="HL107" i="1" s="1"/>
  <c r="AE113" i="1"/>
  <c r="HK113" i="1"/>
  <c r="AF113" i="1" l="1"/>
  <c r="HL113" i="1"/>
  <c r="AG67" i="1"/>
  <c r="HM64" i="1"/>
  <c r="HN51" i="1" l="1"/>
  <c r="AG111" i="1"/>
  <c r="AG112" i="1"/>
  <c r="HM107" i="1" s="1"/>
  <c r="AG113" i="1" l="1"/>
  <c r="HM113" i="1"/>
  <c r="AH67" i="1"/>
  <c r="HN64" i="1"/>
  <c r="HO51" i="1" l="1"/>
  <c r="AH111" i="1"/>
  <c r="AH112" i="1"/>
  <c r="HN107" i="1" s="1"/>
  <c r="AH113" i="1" l="1"/>
  <c r="HN113" i="1"/>
  <c r="AI67" i="1"/>
  <c r="HO64" i="1"/>
  <c r="HP51" i="1" l="1"/>
  <c r="AI112" i="1"/>
  <c r="HO107" i="1" s="1"/>
  <c r="AI111" i="1"/>
  <c r="AI113" i="1" l="1"/>
  <c r="HO113" i="1"/>
  <c r="AJ67" i="1"/>
  <c r="HP64" i="1"/>
  <c r="HQ51" i="1" l="1"/>
  <c r="HQ64" i="1" s="1"/>
  <c r="AJ112" i="1"/>
  <c r="HP107" i="1" s="1"/>
  <c r="AJ111" i="1"/>
  <c r="AJ113" i="1" l="1"/>
  <c r="HP113" i="1"/>
  <c r="HR51" i="1"/>
  <c r="AK67" i="1"/>
  <c r="AK112" i="1" l="1"/>
  <c r="HQ107" i="1" s="1"/>
  <c r="AK111" i="1"/>
  <c r="AL67" i="1"/>
  <c r="HR64" i="1"/>
  <c r="HS51" i="1" l="1"/>
  <c r="AL112" i="1"/>
  <c r="HR107" i="1" s="1"/>
  <c r="AL111" i="1"/>
  <c r="HQ113" i="1"/>
  <c r="AK113" i="1"/>
  <c r="HR113" i="1" l="1"/>
  <c r="AL113" i="1"/>
  <c r="AM67" i="1"/>
  <c r="HS64" i="1"/>
  <c r="HT51" i="1" l="1"/>
  <c r="AM111" i="1"/>
  <c r="AM112" i="1"/>
  <c r="HS107" i="1" s="1"/>
  <c r="AM113" i="1" l="1"/>
  <c r="HS113" i="1"/>
  <c r="AN67" i="1"/>
  <c r="HT64" i="1"/>
  <c r="HU51" i="1" l="1"/>
  <c r="AN112" i="1"/>
  <c r="HT107" i="1" s="1"/>
  <c r="AN111" i="1"/>
  <c r="AN113" i="1" l="1"/>
  <c r="HT113" i="1"/>
  <c r="AO67" i="1"/>
  <c r="HU64" i="1"/>
  <c r="HV51" i="1" l="1"/>
  <c r="AO111" i="1"/>
  <c r="AO112" i="1"/>
  <c r="HU107" i="1" s="1"/>
  <c r="AO113" i="1" l="1"/>
  <c r="HU113" i="1"/>
  <c r="AP67" i="1"/>
  <c r="HV64" i="1"/>
  <c r="HW51" i="1" l="1"/>
  <c r="AP112" i="1"/>
  <c r="HV107" i="1" s="1"/>
  <c r="AP111" i="1"/>
  <c r="AP113" i="1" l="1"/>
  <c r="HV113" i="1"/>
  <c r="AQ67" i="1"/>
  <c r="HW64" i="1"/>
  <c r="HX51" i="1" l="1"/>
  <c r="AQ112" i="1"/>
  <c r="HW107" i="1" s="1"/>
  <c r="AQ111" i="1"/>
  <c r="AQ113" i="1" l="1"/>
  <c r="HW113" i="1"/>
  <c r="AR67" i="1"/>
  <c r="HX64" i="1"/>
  <c r="HY51" i="1" l="1"/>
  <c r="AR111" i="1"/>
  <c r="AR112" i="1"/>
  <c r="HX107" i="1" s="1"/>
  <c r="AR113" i="1" l="1"/>
  <c r="HX113" i="1"/>
  <c r="AS67" i="1"/>
  <c r="HY64" i="1"/>
  <c r="HZ51" i="1" l="1"/>
  <c r="AS111" i="1"/>
  <c r="AS112" i="1"/>
  <c r="HY107" i="1" s="1"/>
  <c r="HY113" i="1" l="1"/>
  <c r="AS113" i="1"/>
  <c r="AT67" i="1"/>
  <c r="HZ64" i="1"/>
  <c r="IA51" i="1" l="1"/>
  <c r="AT111" i="1"/>
  <c r="AT112" i="1"/>
  <c r="HZ107" i="1" s="1"/>
  <c r="AT113" i="1" l="1"/>
  <c r="HZ113" i="1"/>
  <c r="AU67" i="1"/>
  <c r="IA64" i="1"/>
  <c r="IB51" i="1" l="1"/>
  <c r="AU112" i="1"/>
  <c r="IA107" i="1" s="1"/>
  <c r="AU111" i="1"/>
  <c r="AU113" i="1" l="1"/>
  <c r="IA113" i="1"/>
  <c r="AV67" i="1"/>
  <c r="IB64" i="1"/>
  <c r="AV111" i="1" l="1"/>
  <c r="AV112" i="1"/>
  <c r="IB107" i="1" s="1"/>
  <c r="IC51" i="1"/>
  <c r="AW67" i="1" l="1"/>
  <c r="IC64" i="1"/>
  <c r="AV113" i="1"/>
  <c r="IB113" i="1"/>
  <c r="ID51" i="1" l="1"/>
  <c r="AW111" i="1"/>
  <c r="AW112" i="1"/>
  <c r="IC107" i="1" s="1"/>
  <c r="IC113" i="1" l="1"/>
  <c r="AW113" i="1"/>
  <c r="AX67" i="1"/>
  <c r="ID64" i="1"/>
  <c r="IE51" i="1" l="1"/>
  <c r="AX112" i="1"/>
  <c r="ID107" i="1" s="1"/>
  <c r="AX111" i="1"/>
  <c r="AX113" i="1" l="1"/>
  <c r="ID113" i="1"/>
  <c r="AY67" i="1"/>
  <c r="IE64" i="1"/>
  <c r="IF51" i="1" l="1"/>
  <c r="AY111" i="1"/>
  <c r="AY112" i="1"/>
  <c r="IE107" i="1" s="1"/>
  <c r="AY113" i="1" l="1"/>
  <c r="IE113" i="1"/>
  <c r="AZ67" i="1"/>
  <c r="IF64" i="1"/>
  <c r="IG51" i="1" l="1"/>
  <c r="AZ111" i="1"/>
  <c r="AZ112" i="1"/>
  <c r="IF107" i="1" s="1"/>
  <c r="AZ113" i="1" l="1"/>
  <c r="IF113" i="1"/>
  <c r="BA67" i="1"/>
  <c r="IG64" i="1"/>
  <c r="IH51" i="1" l="1"/>
  <c r="BA111" i="1"/>
  <c r="BA112" i="1"/>
  <c r="IG107" i="1" s="1"/>
  <c r="BA113" i="1" l="1"/>
  <c r="IG113" i="1"/>
  <c r="BB67" i="1"/>
  <c r="IH64" i="1"/>
  <c r="BB112" i="1" l="1"/>
  <c r="IH107" i="1" s="1"/>
  <c r="BB111" i="1"/>
  <c r="II51" i="1"/>
  <c r="BC67" i="1" l="1"/>
  <c r="II64" i="1"/>
  <c r="BB113" i="1"/>
  <c r="IH113" i="1"/>
  <c r="IJ51" i="1" l="1"/>
  <c r="BC111" i="1"/>
  <c r="BC112" i="1"/>
  <c r="II107" i="1" s="1"/>
  <c r="BC113" i="1" l="1"/>
  <c r="II113" i="1"/>
  <c r="BD67" i="1"/>
  <c r="IJ64" i="1"/>
  <c r="IK51" i="1" l="1"/>
  <c r="BD111" i="1"/>
  <c r="BD112" i="1"/>
  <c r="IJ107" i="1" s="1"/>
  <c r="BD113" i="1" l="1"/>
  <c r="IJ113" i="1"/>
  <c r="BE67" i="1"/>
  <c r="IK64" i="1"/>
  <c r="IL51" i="1" l="1"/>
  <c r="BE111" i="1"/>
  <c r="BE112" i="1"/>
  <c r="IK107" i="1" s="1"/>
  <c r="BE113" i="1" l="1"/>
  <c r="IK113" i="1"/>
  <c r="BF67" i="1"/>
  <c r="IL64" i="1"/>
  <c r="BF111" i="1" l="1"/>
  <c r="BF112" i="1"/>
  <c r="IL107" i="1" s="1"/>
  <c r="IM51" i="1"/>
  <c r="BG67" i="1" l="1"/>
  <c r="IM64" i="1"/>
  <c r="BF113" i="1"/>
  <c r="IL113" i="1"/>
  <c r="IN51" i="1" l="1"/>
  <c r="BG112" i="1"/>
  <c r="IM107" i="1" s="1"/>
  <c r="BG111" i="1"/>
  <c r="BG113" i="1" l="1"/>
  <c r="IM113" i="1"/>
  <c r="BH67" i="1"/>
  <c r="IN64" i="1"/>
  <c r="IO51" i="1" l="1"/>
  <c r="BH112" i="1"/>
  <c r="IN107" i="1" s="1"/>
  <c r="BH111" i="1"/>
  <c r="BH113" i="1" l="1"/>
  <c r="IN113" i="1"/>
  <c r="BI67" i="1"/>
  <c r="IO64" i="1"/>
  <c r="IP51" i="1" l="1"/>
  <c r="BI111" i="1"/>
  <c r="BI112" i="1"/>
  <c r="IO107" i="1" s="1"/>
  <c r="BI113" i="1" l="1"/>
  <c r="IO113" i="1"/>
  <c r="BJ67" i="1"/>
  <c r="IP64" i="1"/>
  <c r="IQ51" i="1" l="1"/>
  <c r="BJ111" i="1"/>
  <c r="BJ112" i="1"/>
  <c r="IP107" i="1" s="1"/>
  <c r="BJ113" i="1" l="1"/>
  <c r="IP113" i="1"/>
  <c r="BK67" i="1"/>
  <c r="IQ64" i="1"/>
  <c r="BK112" i="1" l="1"/>
  <c r="IQ107" i="1" s="1"/>
  <c r="BK111" i="1"/>
  <c r="IR51" i="1"/>
  <c r="BL67" i="1" l="1"/>
  <c r="IR64" i="1"/>
  <c r="BK113" i="1"/>
  <c r="IQ113" i="1"/>
  <c r="IS51" i="1" l="1"/>
  <c r="BL112" i="1"/>
  <c r="IR107" i="1" s="1"/>
  <c r="BL111" i="1"/>
  <c r="BL113" i="1" l="1"/>
  <c r="IR113" i="1"/>
  <c r="BM67" i="1"/>
  <c r="IS64" i="1"/>
  <c r="IT51" i="1" l="1"/>
  <c r="IT64" i="1" s="1"/>
  <c r="BM111" i="1"/>
  <c r="BM112" i="1"/>
  <c r="IS107" i="1" s="1"/>
  <c r="BM113" i="1" l="1"/>
  <c r="IS113" i="1"/>
  <c r="IU51" i="1"/>
  <c r="BN67" i="1"/>
  <c r="BN111" i="1" l="1"/>
  <c r="BN112" i="1"/>
  <c r="IT107" i="1" s="1"/>
  <c r="BO67" i="1"/>
  <c r="IU64" i="1"/>
  <c r="IV51" i="1" l="1"/>
  <c r="BO111" i="1"/>
  <c r="BO112" i="1"/>
  <c r="IU107" i="1" s="1"/>
  <c r="BN113" i="1"/>
  <c r="IT113" i="1"/>
  <c r="BO113" i="1" l="1"/>
  <c r="IU113" i="1"/>
  <c r="BP67" i="1"/>
  <c r="IV64" i="1"/>
  <c r="IW51" i="1" l="1"/>
  <c r="BP111" i="1"/>
  <c r="BP112" i="1"/>
  <c r="IV107" i="1" s="1"/>
  <c r="BP113" i="1" l="1"/>
  <c r="IV113" i="1"/>
  <c r="BQ67" i="1"/>
  <c r="IW64" i="1"/>
  <c r="IX51" i="1" l="1"/>
  <c r="BQ111" i="1"/>
  <c r="BQ112" i="1"/>
  <c r="IW107" i="1" s="1"/>
  <c r="BQ113" i="1" l="1"/>
  <c r="IW113" i="1"/>
  <c r="BR67" i="1"/>
  <c r="IX64" i="1"/>
  <c r="IY51" i="1" l="1"/>
  <c r="BR111" i="1"/>
  <c r="BR112" i="1"/>
  <c r="IX107" i="1" s="1"/>
  <c r="BR113" i="1" l="1"/>
  <c r="IX113" i="1"/>
  <c r="BS67" i="1"/>
  <c r="IY64" i="1"/>
  <c r="BS111" i="1" l="1"/>
  <c r="BS112" i="1"/>
  <c r="IY107" i="1" s="1"/>
  <c r="IZ51" i="1"/>
  <c r="BT67" i="1" l="1"/>
  <c r="IZ64" i="1"/>
  <c r="BS113" i="1"/>
  <c r="IY113" i="1"/>
  <c r="JA51" i="1" l="1"/>
  <c r="BT112" i="1"/>
  <c r="IZ107" i="1" s="1"/>
  <c r="BT111" i="1"/>
  <c r="BT113" i="1" l="1"/>
  <c r="IZ113" i="1"/>
  <c r="BU67" i="1"/>
  <c r="JA64" i="1"/>
  <c r="JB51" i="1" l="1"/>
  <c r="BU112" i="1"/>
  <c r="JA107" i="1" s="1"/>
  <c r="BU111" i="1"/>
  <c r="BU113" i="1" l="1"/>
  <c r="JA113" i="1"/>
  <c r="BV67" i="1"/>
  <c r="JB64" i="1"/>
  <c r="BV111" i="1" l="1"/>
  <c r="BV112" i="1"/>
  <c r="JB107" i="1" s="1"/>
  <c r="JC51" i="1"/>
  <c r="BW67" i="1" l="1"/>
  <c r="JC64" i="1"/>
  <c r="BV113" i="1"/>
  <c r="JB113" i="1"/>
  <c r="JD51" i="1" l="1"/>
  <c r="JD64" i="1" s="1"/>
  <c r="BW111" i="1"/>
  <c r="BW112" i="1"/>
  <c r="JC107" i="1" s="1"/>
  <c r="BW113" i="1" l="1"/>
  <c r="JC113" i="1"/>
  <c r="JE51" i="1"/>
  <c r="BX67" i="1"/>
  <c r="BX111" i="1" l="1"/>
  <c r="BX112" i="1"/>
  <c r="JD107" i="1" s="1"/>
  <c r="BY67" i="1"/>
  <c r="JE64" i="1"/>
  <c r="JF51" i="1" l="1"/>
  <c r="BY112" i="1"/>
  <c r="JE107" i="1" s="1"/>
  <c r="BY111" i="1"/>
  <c r="JD113" i="1"/>
  <c r="BX113" i="1"/>
  <c r="BY113" i="1" l="1"/>
  <c r="JE113" i="1"/>
  <c r="BZ67" i="1"/>
  <c r="JF64" i="1"/>
  <c r="BZ112" i="1" l="1"/>
  <c r="JF107" i="1" s="1"/>
  <c r="BZ111" i="1"/>
  <c r="JG51" i="1"/>
  <c r="CA67" i="1" l="1"/>
  <c r="JG64" i="1"/>
  <c r="BZ113" i="1"/>
  <c r="JF113" i="1"/>
  <c r="JH51" i="1" l="1"/>
  <c r="CA111" i="1"/>
  <c r="CA112" i="1"/>
  <c r="JG107" i="1" s="1"/>
  <c r="CA113" i="1" l="1"/>
  <c r="JG113" i="1"/>
  <c r="CB67" i="1"/>
  <c r="JH64" i="1"/>
  <c r="JI51" i="1" l="1"/>
  <c r="CB111" i="1"/>
  <c r="CB112" i="1"/>
  <c r="JH107" i="1" s="1"/>
  <c r="CB113" i="1" l="1"/>
  <c r="JH113" i="1"/>
  <c r="CC67" i="1"/>
  <c r="JI64" i="1"/>
  <c r="JJ51" i="1" l="1"/>
  <c r="CC112" i="1"/>
  <c r="JI107" i="1" s="1"/>
  <c r="CC111" i="1"/>
  <c r="CC113" i="1" l="1"/>
  <c r="JI113" i="1"/>
  <c r="CD67" i="1"/>
  <c r="JJ64" i="1"/>
  <c r="JK51" i="1" l="1"/>
  <c r="CD111" i="1"/>
  <c r="CD112" i="1"/>
  <c r="JJ107" i="1" s="1"/>
  <c r="CD113" i="1" l="1"/>
  <c r="JJ113" i="1"/>
  <c r="CE67" i="1"/>
  <c r="JK64" i="1"/>
  <c r="JL51" i="1" l="1"/>
  <c r="CE111" i="1"/>
  <c r="CE112" i="1"/>
  <c r="JK107" i="1" s="1"/>
  <c r="CE113" i="1" l="1"/>
  <c r="JK113" i="1"/>
  <c r="CF67" i="1"/>
  <c r="JL64" i="1"/>
  <c r="JM51" i="1" l="1"/>
  <c r="CF112" i="1"/>
  <c r="JL107" i="1" s="1"/>
  <c r="CF111" i="1"/>
  <c r="CF113" i="1" l="1"/>
  <c r="JL113" i="1"/>
  <c r="CG67" i="1"/>
  <c r="JM64" i="1"/>
  <c r="JN51" i="1" l="1"/>
  <c r="CG111" i="1"/>
  <c r="CG112" i="1"/>
  <c r="JM107" i="1" s="1"/>
  <c r="CG113" i="1" l="1"/>
  <c r="JM113" i="1"/>
  <c r="CH67" i="1"/>
  <c r="JN64" i="1"/>
  <c r="CH112" i="1" l="1"/>
  <c r="JN107" i="1" s="1"/>
  <c r="CH111" i="1"/>
  <c r="JO51" i="1"/>
  <c r="CI67" i="1" l="1"/>
  <c r="JO64" i="1"/>
  <c r="CH113" i="1"/>
  <c r="JN113" i="1"/>
  <c r="JP51" i="1" l="1"/>
  <c r="CI111" i="1"/>
  <c r="CI112" i="1"/>
  <c r="JO107" i="1" s="1"/>
  <c r="CI113" i="1" l="1"/>
  <c r="JO113" i="1"/>
  <c r="CJ67" i="1"/>
  <c r="JP64" i="1"/>
  <c r="JQ51" i="1" l="1"/>
  <c r="CJ112" i="1"/>
  <c r="JP107" i="1" s="1"/>
  <c r="CJ111" i="1"/>
  <c r="CJ113" i="1" l="1"/>
  <c r="JP113" i="1"/>
  <c r="CK67" i="1"/>
  <c r="JQ64" i="1"/>
  <c r="JR51" i="1" l="1"/>
  <c r="CK111" i="1"/>
  <c r="CK112" i="1"/>
  <c r="JQ107" i="1" s="1"/>
  <c r="CK113" i="1" l="1"/>
  <c r="JQ113" i="1"/>
  <c r="CL67" i="1"/>
  <c r="JR64" i="1"/>
  <c r="JS51" i="1" l="1"/>
  <c r="CL112" i="1"/>
  <c r="JR107" i="1" s="1"/>
  <c r="CL111" i="1"/>
  <c r="CL113" i="1" l="1"/>
  <c r="JR113" i="1"/>
  <c r="CM67" i="1"/>
  <c r="JS64" i="1"/>
  <c r="JT51" i="1" l="1"/>
  <c r="CM112" i="1"/>
  <c r="JS107" i="1" s="1"/>
  <c r="CM111" i="1"/>
  <c r="CM113" i="1" l="1"/>
  <c r="JS113" i="1"/>
  <c r="CN67" i="1"/>
  <c r="JT64" i="1"/>
  <c r="JU51" i="1" l="1"/>
  <c r="CN112" i="1"/>
  <c r="JT107" i="1" s="1"/>
  <c r="CN111" i="1"/>
  <c r="CN113" i="1" l="1"/>
  <c r="JT113" i="1"/>
  <c r="CO67" i="1"/>
  <c r="JU64" i="1"/>
  <c r="JV51" i="1" l="1"/>
  <c r="CO111" i="1"/>
  <c r="CO112" i="1"/>
  <c r="JU107" i="1" s="1"/>
  <c r="CO113" i="1" l="1"/>
  <c r="JU113" i="1"/>
  <c r="CP67" i="1"/>
  <c r="JV64" i="1"/>
  <c r="JW51" i="1" l="1"/>
  <c r="CP111" i="1"/>
  <c r="CP112" i="1"/>
  <c r="JV107" i="1" s="1"/>
  <c r="CP113" i="1" l="1"/>
  <c r="JV113" i="1"/>
  <c r="CQ67" i="1"/>
  <c r="JW64" i="1"/>
  <c r="JX51" i="1" l="1"/>
  <c r="CQ112" i="1"/>
  <c r="JW107" i="1" s="1"/>
  <c r="CQ111" i="1"/>
  <c r="CQ113" i="1" l="1"/>
  <c r="JW113" i="1"/>
  <c r="CR67" i="1"/>
  <c r="JX64" i="1"/>
  <c r="JY51" i="1" l="1"/>
  <c r="CR111" i="1"/>
  <c r="CR112" i="1"/>
  <c r="JX107" i="1" s="1"/>
  <c r="CR113" i="1" l="1"/>
  <c r="JX113" i="1"/>
  <c r="CS67" i="1"/>
  <c r="JY64" i="1"/>
  <c r="JZ51" i="1" l="1"/>
  <c r="CS112" i="1"/>
  <c r="JY107" i="1" s="1"/>
  <c r="CS111" i="1"/>
  <c r="CS113" i="1" l="1"/>
  <c r="JY113" i="1"/>
  <c r="CT67" i="1"/>
  <c r="JZ64" i="1"/>
  <c r="KA51" i="1" l="1"/>
  <c r="CT112" i="1"/>
  <c r="JZ107" i="1" s="1"/>
  <c r="CT111" i="1"/>
  <c r="CT113" i="1" l="1"/>
  <c r="JZ113" i="1"/>
  <c r="CU67" i="1"/>
  <c r="KA64" i="1"/>
  <c r="KB51" i="1" l="1"/>
  <c r="CU111" i="1"/>
  <c r="CU112" i="1"/>
  <c r="KA107" i="1" s="1"/>
  <c r="CU113" i="1" l="1"/>
  <c r="KA113" i="1"/>
  <c r="CV67" i="1"/>
  <c r="KB64" i="1"/>
  <c r="KC51" i="1" l="1"/>
  <c r="CV112" i="1"/>
  <c r="KB107" i="1" s="1"/>
  <c r="CV111" i="1"/>
  <c r="CV113" i="1" l="1"/>
  <c r="KB113" i="1"/>
  <c r="CW67" i="1"/>
  <c r="KC64" i="1"/>
  <c r="KD51" i="1" l="1"/>
  <c r="CW111" i="1"/>
  <c r="CW112" i="1"/>
  <c r="KC107" i="1" s="1"/>
  <c r="CW113" i="1" l="1"/>
  <c r="KC113" i="1"/>
  <c r="CX67" i="1"/>
  <c r="KD64" i="1"/>
  <c r="KE51" i="1" l="1"/>
  <c r="CX112" i="1"/>
  <c r="KD107" i="1" s="1"/>
  <c r="CX111" i="1"/>
  <c r="CX113" i="1" l="1"/>
  <c r="KD113" i="1"/>
  <c r="CY67" i="1"/>
  <c r="KE64" i="1"/>
  <c r="CY112" i="1" l="1"/>
  <c r="KE107" i="1" s="1"/>
  <c r="CY111" i="1"/>
  <c r="KF51" i="1"/>
  <c r="CZ67" i="1" l="1"/>
  <c r="KF64" i="1"/>
  <c r="CY113" i="1"/>
  <c r="KE113" i="1"/>
  <c r="KG51" i="1" l="1"/>
  <c r="CZ111" i="1"/>
  <c r="CZ112" i="1"/>
  <c r="KF107" i="1" s="1"/>
  <c r="CZ113" i="1" l="1"/>
  <c r="KF113" i="1"/>
  <c r="DA67" i="1"/>
  <c r="KG64" i="1"/>
  <c r="KH51" i="1" l="1"/>
  <c r="DA111" i="1"/>
  <c r="DA112" i="1"/>
  <c r="KG107" i="1" s="1"/>
  <c r="DA113" i="1" l="1"/>
  <c r="KG113" i="1"/>
  <c r="DB67" i="1"/>
  <c r="KH64" i="1"/>
  <c r="DB111" i="1" l="1"/>
  <c r="DB112" i="1"/>
  <c r="KH107" i="1" s="1"/>
  <c r="KI51" i="1"/>
  <c r="DC67" i="1" l="1"/>
  <c r="KI64" i="1"/>
  <c r="DB113" i="1"/>
  <c r="KH113" i="1"/>
  <c r="KJ51" i="1" l="1"/>
  <c r="DC112" i="1"/>
  <c r="KI107" i="1" s="1"/>
  <c r="DC111" i="1"/>
  <c r="DC113" i="1" l="1"/>
  <c r="KI113" i="1"/>
  <c r="DD67" i="1"/>
  <c r="KJ64" i="1"/>
  <c r="DD111" i="1" l="1"/>
  <c r="DD112" i="1"/>
  <c r="KJ107" i="1" s="1"/>
  <c r="KK51" i="1"/>
  <c r="DE67" i="1" l="1"/>
  <c r="KK64" i="1"/>
  <c r="DD113" i="1"/>
  <c r="KJ113" i="1"/>
  <c r="KL51" i="1" l="1"/>
  <c r="DE112" i="1"/>
  <c r="KK107" i="1" s="1"/>
  <c r="DE111" i="1"/>
  <c r="DE113" i="1" l="1"/>
  <c r="KK113" i="1"/>
  <c r="DF67" i="1"/>
  <c r="KL64" i="1"/>
  <c r="KM51" i="1" l="1"/>
  <c r="DF111" i="1"/>
  <c r="DF112" i="1"/>
  <c r="KL107" i="1" s="1"/>
  <c r="KL113" i="1" l="1"/>
  <c r="DF113" i="1"/>
  <c r="DG67" i="1"/>
  <c r="KM64" i="1"/>
  <c r="KN51" i="1" l="1"/>
  <c r="DG111" i="1"/>
  <c r="DG112" i="1"/>
  <c r="KM107" i="1" s="1"/>
  <c r="DG113" i="1" l="1"/>
  <c r="KM113" i="1"/>
  <c r="DH67" i="1"/>
  <c r="KN64" i="1"/>
  <c r="KO51" i="1" l="1"/>
  <c r="DH112" i="1"/>
  <c r="KN107" i="1" s="1"/>
  <c r="DH111" i="1"/>
  <c r="DH113" i="1" l="1"/>
  <c r="KN113" i="1"/>
  <c r="DI67" i="1"/>
  <c r="KO64" i="1"/>
  <c r="KP51" i="1" l="1"/>
  <c r="DI112" i="1"/>
  <c r="KO107" i="1" s="1"/>
  <c r="DI111" i="1"/>
  <c r="DI113" i="1" l="1"/>
  <c r="KO113" i="1"/>
  <c r="DJ67" i="1"/>
  <c r="KP64" i="1"/>
  <c r="KQ51" i="1" l="1"/>
  <c r="DJ111" i="1"/>
  <c r="DJ112" i="1"/>
  <c r="KP107" i="1" s="1"/>
  <c r="DJ113" i="1" l="1"/>
  <c r="KP113" i="1"/>
  <c r="DK67" i="1"/>
  <c r="KQ64" i="1"/>
  <c r="KR51" i="1" l="1"/>
  <c r="DK111" i="1"/>
  <c r="DK112" i="1"/>
  <c r="KQ107" i="1" s="1"/>
  <c r="DK113" i="1" l="1"/>
  <c r="KQ113" i="1"/>
  <c r="DL67" i="1"/>
  <c r="KR64" i="1"/>
  <c r="KS51" i="1" l="1"/>
  <c r="DL111" i="1"/>
  <c r="DL112" i="1"/>
  <c r="KR107" i="1" s="1"/>
  <c r="DL113" i="1" l="1"/>
  <c r="KR113" i="1"/>
  <c r="DM67" i="1"/>
  <c r="KS64" i="1"/>
  <c r="KT51" i="1" l="1"/>
  <c r="DM112" i="1"/>
  <c r="KS107" i="1" s="1"/>
  <c r="DM111" i="1"/>
  <c r="DM113" i="1" l="1"/>
  <c r="KS113" i="1"/>
  <c r="DN67" i="1"/>
  <c r="KT64" i="1"/>
  <c r="KU51" i="1" l="1"/>
  <c r="DN111" i="1"/>
  <c r="DN112" i="1"/>
  <c r="KT107" i="1" s="1"/>
  <c r="DN113" i="1" l="1"/>
  <c r="KT113" i="1"/>
  <c r="DO67" i="1"/>
  <c r="KU64" i="1"/>
  <c r="DO112" i="1" l="1"/>
  <c r="KU107" i="1" s="1"/>
  <c r="DO111" i="1"/>
  <c r="KV51" i="1"/>
  <c r="DP67" i="1" l="1"/>
  <c r="KV64" i="1"/>
  <c r="DO113" i="1"/>
  <c r="KU113" i="1"/>
  <c r="KW51" i="1" l="1"/>
  <c r="DP112" i="1"/>
  <c r="KV107" i="1" s="1"/>
  <c r="DP111" i="1"/>
  <c r="DP113" i="1" l="1"/>
  <c r="KV113" i="1"/>
  <c r="DQ67" i="1"/>
  <c r="KW64" i="1"/>
  <c r="KX51" i="1" l="1"/>
  <c r="DQ111" i="1"/>
  <c r="DQ112" i="1"/>
  <c r="KW107" i="1" s="1"/>
  <c r="DQ113" i="1" l="1"/>
  <c r="KW113" i="1"/>
  <c r="DR67" i="1"/>
  <c r="KX64" i="1"/>
  <c r="KY51" i="1" l="1"/>
  <c r="DR111" i="1"/>
  <c r="DR112" i="1"/>
  <c r="KX107" i="1" s="1"/>
  <c r="DR113" i="1" l="1"/>
  <c r="KX113" i="1"/>
  <c r="DS67" i="1"/>
  <c r="KY64" i="1"/>
  <c r="KZ51" i="1" l="1"/>
  <c r="DS112" i="1"/>
  <c r="KY107" i="1" s="1"/>
  <c r="DS111" i="1"/>
  <c r="DS113" i="1" l="1"/>
  <c r="KY113" i="1"/>
  <c r="DT67" i="1"/>
  <c r="KZ64" i="1"/>
  <c r="DT112" i="1" l="1"/>
  <c r="KZ107" i="1" s="1"/>
  <c r="DT111" i="1"/>
  <c r="LA51" i="1"/>
  <c r="DU67" i="1" l="1"/>
  <c r="LA64" i="1"/>
  <c r="DT113" i="1"/>
  <c r="KZ113" i="1"/>
  <c r="LB51" i="1" l="1"/>
  <c r="DU112" i="1"/>
  <c r="LA107" i="1" s="1"/>
  <c r="DU111" i="1"/>
  <c r="DU113" i="1" l="1"/>
  <c r="LA113" i="1"/>
  <c r="DV67" i="1"/>
  <c r="LB64" i="1"/>
  <c r="LC51" i="1" l="1"/>
  <c r="DV112" i="1"/>
  <c r="LB107" i="1" s="1"/>
  <c r="DV111" i="1"/>
  <c r="DV113" i="1" l="1"/>
  <c r="LB113" i="1"/>
  <c r="DW67" i="1"/>
  <c r="LC64" i="1"/>
  <c r="LD51" i="1" l="1"/>
  <c r="DW112" i="1"/>
  <c r="LC107" i="1" s="1"/>
  <c r="DW111" i="1"/>
  <c r="DW113" i="1" l="1"/>
  <c r="LC113" i="1"/>
  <c r="DX67" i="1"/>
  <c r="LD64" i="1"/>
  <c r="LE51" i="1" l="1"/>
  <c r="DX111" i="1"/>
  <c r="DX112" i="1"/>
  <c r="LD107" i="1" s="1"/>
  <c r="DX113" i="1" l="1"/>
  <c r="LD113" i="1"/>
  <c r="DY67" i="1"/>
  <c r="LE64" i="1"/>
  <c r="LF51" i="1" l="1"/>
  <c r="DY112" i="1"/>
  <c r="LE107" i="1" s="1"/>
  <c r="DY111" i="1"/>
  <c r="DY113" i="1" l="1"/>
  <c r="LE113" i="1"/>
  <c r="DZ67" i="1"/>
  <c r="LF64" i="1"/>
  <c r="DZ111" i="1" l="1"/>
  <c r="DZ112" i="1"/>
  <c r="LF107" i="1" s="1"/>
  <c r="LG51" i="1"/>
  <c r="EA67" i="1" l="1"/>
  <c r="LG64" i="1"/>
  <c r="DZ113" i="1"/>
  <c r="LF113" i="1"/>
  <c r="LH51" i="1" l="1"/>
  <c r="EA112" i="1"/>
  <c r="LG107" i="1" s="1"/>
  <c r="EA111" i="1"/>
  <c r="EA113" i="1" l="1"/>
  <c r="LG113" i="1"/>
  <c r="EB67" i="1"/>
  <c r="LH64" i="1"/>
  <c r="LI51" i="1" l="1"/>
  <c r="EB112" i="1"/>
  <c r="LH107" i="1" s="1"/>
  <c r="EB111" i="1"/>
  <c r="EB113" i="1" l="1"/>
  <c r="LH113" i="1"/>
  <c r="EC67" i="1"/>
  <c r="LI64" i="1"/>
  <c r="EC111" i="1" l="1"/>
  <c r="EC112" i="1"/>
  <c r="LI107" i="1" s="1"/>
  <c r="LJ51" i="1"/>
  <c r="ED67" i="1" l="1"/>
  <c r="LJ64" i="1"/>
  <c r="EC113" i="1"/>
  <c r="LI113" i="1"/>
  <c r="LK51" i="1" l="1"/>
  <c r="LK64" i="1" s="1"/>
  <c r="ED111" i="1"/>
  <c r="ED112" i="1"/>
  <c r="LJ107" i="1" s="1"/>
  <c r="LL51" i="1" l="1"/>
  <c r="ED113" i="1"/>
  <c r="LJ113" i="1"/>
  <c r="EE67" i="1"/>
  <c r="EE111" i="1" l="1"/>
  <c r="EE112" i="1"/>
  <c r="LK107" i="1" s="1"/>
  <c r="EF67" i="1"/>
  <c r="LL64" i="1"/>
  <c r="EF112" i="1" l="1"/>
  <c r="LL107" i="1" s="1"/>
  <c r="EF111" i="1"/>
  <c r="LM51" i="1"/>
  <c r="EE113" i="1"/>
  <c r="LK113" i="1"/>
  <c r="EG67" i="1" l="1"/>
  <c r="LM64" i="1"/>
  <c r="EF113" i="1"/>
  <c r="LL113" i="1"/>
  <c r="LN51" i="1" l="1"/>
  <c r="EG112" i="1"/>
  <c r="LM107" i="1" s="1"/>
  <c r="EG111" i="1"/>
  <c r="EG113" i="1" l="1"/>
  <c r="LM113" i="1"/>
  <c r="EH67" i="1"/>
  <c r="LN64" i="1"/>
  <c r="LO51" i="1" l="1"/>
  <c r="EH112" i="1"/>
  <c r="LN107" i="1" s="1"/>
  <c r="EH111" i="1"/>
  <c r="EH113" i="1" l="1"/>
  <c r="LN113" i="1"/>
  <c r="EI67" i="1"/>
  <c r="LO64" i="1"/>
  <c r="LP51" i="1" l="1"/>
  <c r="EI112" i="1"/>
  <c r="LO107" i="1" s="1"/>
  <c r="EI111" i="1"/>
  <c r="EI113" i="1" l="1"/>
  <c r="LO113" i="1"/>
  <c r="EJ67" i="1"/>
  <c r="LP64" i="1"/>
  <c r="LQ51" i="1" l="1"/>
  <c r="EJ111" i="1"/>
  <c r="EJ112" i="1"/>
  <c r="LP107" i="1" s="1"/>
  <c r="EJ113" i="1" l="1"/>
  <c r="LP113" i="1"/>
  <c r="EK67" i="1"/>
  <c r="LQ64" i="1"/>
  <c r="EK112" i="1" l="1"/>
  <c r="LQ107" i="1" s="1"/>
  <c r="EK111" i="1"/>
  <c r="LR51" i="1"/>
  <c r="EL67" i="1" l="1"/>
  <c r="LR64" i="1"/>
  <c r="EK113" i="1"/>
  <c r="LQ113" i="1"/>
  <c r="LS51" i="1" l="1"/>
  <c r="LS64" i="1" s="1"/>
  <c r="EL112" i="1"/>
  <c r="LR107" i="1" s="1"/>
  <c r="EL111" i="1"/>
  <c r="LT51" i="1" l="1"/>
  <c r="EL113" i="1"/>
  <c r="LR113" i="1"/>
  <c r="EM67" i="1"/>
  <c r="EM111" i="1" l="1"/>
  <c r="EM112" i="1"/>
  <c r="LS107" i="1" s="1"/>
  <c r="EN67" i="1"/>
  <c r="LT64" i="1"/>
  <c r="LU51" i="1" l="1"/>
  <c r="EN112" i="1"/>
  <c r="LT107" i="1" s="1"/>
  <c r="EN111" i="1"/>
  <c r="EM113" i="1"/>
  <c r="LS113" i="1"/>
  <c r="EN113" i="1" l="1"/>
  <c r="LT113" i="1"/>
  <c r="EO67" i="1"/>
  <c r="LU64" i="1"/>
  <c r="LV51" i="1" l="1"/>
  <c r="EO112" i="1"/>
  <c r="LU107" i="1" s="1"/>
  <c r="EO111" i="1"/>
  <c r="EO113" i="1" l="1"/>
  <c r="LU113" i="1"/>
  <c r="EP67" i="1"/>
  <c r="LV64" i="1"/>
  <c r="LW51" i="1" l="1"/>
  <c r="EP111" i="1"/>
  <c r="EP112" i="1"/>
  <c r="LV107" i="1" s="1"/>
  <c r="EP113" i="1" l="1"/>
  <c r="LV113" i="1"/>
  <c r="EQ67" i="1"/>
  <c r="LW64" i="1"/>
  <c r="LX51" i="1" l="1"/>
  <c r="EQ112" i="1"/>
  <c r="LW107" i="1" s="1"/>
  <c r="EQ111" i="1"/>
  <c r="EQ113" i="1" l="1"/>
  <c r="LW113" i="1"/>
  <c r="ER67" i="1"/>
  <c r="LX64" i="1"/>
  <c r="LY51" i="1" l="1"/>
  <c r="ER111" i="1"/>
  <c r="ER112" i="1"/>
  <c r="LX107" i="1" s="1"/>
  <c r="ER113" i="1" l="1"/>
  <c r="LX113" i="1"/>
  <c r="ES67" i="1"/>
  <c r="LY64" i="1"/>
  <c r="LZ51" i="1" l="1"/>
  <c r="ES111" i="1"/>
  <c r="ES112" i="1"/>
  <c r="LY107" i="1" s="1"/>
  <c r="ES113" i="1" l="1"/>
  <c r="LY113" i="1"/>
  <c r="ET67" i="1"/>
  <c r="LZ64" i="1"/>
  <c r="MA51" i="1" l="1"/>
  <c r="ET111" i="1"/>
  <c r="ET112" i="1"/>
  <c r="LZ107" i="1" s="1"/>
  <c r="ET113" i="1" l="1"/>
  <c r="LZ113" i="1"/>
  <c r="EU67" i="1"/>
  <c r="MA64" i="1"/>
  <c r="MB51" i="1" l="1"/>
  <c r="EU111" i="1"/>
  <c r="EU112" i="1"/>
  <c r="MA107" i="1" s="1"/>
  <c r="EU113" i="1" l="1"/>
  <c r="MA113" i="1"/>
  <c r="EV67" i="1"/>
  <c r="MB64" i="1"/>
  <c r="MC51" i="1" l="1"/>
  <c r="EV112" i="1"/>
  <c r="MB107" i="1" s="1"/>
  <c r="EV111" i="1"/>
  <c r="EV113" i="1" l="1"/>
  <c r="MB113" i="1"/>
  <c r="EW67" i="1"/>
  <c r="MC64" i="1"/>
  <c r="MD51" i="1" l="1"/>
  <c r="EW112" i="1"/>
  <c r="MC107" i="1" s="1"/>
  <c r="EW111" i="1"/>
  <c r="EW113" i="1" l="1"/>
  <c r="MC113" i="1"/>
  <c r="EX67" i="1"/>
  <c r="MD64" i="1"/>
  <c r="ME51" i="1" l="1"/>
  <c r="EX112" i="1"/>
  <c r="MD107" i="1" s="1"/>
  <c r="EX111" i="1"/>
  <c r="EX113" i="1" l="1"/>
  <c r="MD113" i="1"/>
  <c r="EY67" i="1"/>
  <c r="ME64" i="1"/>
  <c r="EY112" i="1" l="1"/>
  <c r="ME107" i="1" s="1"/>
  <c r="EY111" i="1"/>
  <c r="MF51" i="1"/>
  <c r="EZ67" i="1" l="1"/>
  <c r="MF64" i="1"/>
  <c r="EY113" i="1"/>
  <c r="ME113" i="1"/>
  <c r="MG51" i="1" l="1"/>
  <c r="EZ111" i="1"/>
  <c r="EZ112" i="1"/>
  <c r="MF107" i="1" s="1"/>
  <c r="EZ113" i="1" l="1"/>
  <c r="MF113" i="1"/>
  <c r="FA67" i="1"/>
  <c r="MG64" i="1"/>
  <c r="MH51" i="1" l="1"/>
  <c r="FA112" i="1"/>
  <c r="MG107" i="1" s="1"/>
  <c r="FA111" i="1"/>
  <c r="FA113" i="1" l="1"/>
  <c r="MG113" i="1"/>
  <c r="FB67" i="1"/>
  <c r="MH64" i="1"/>
  <c r="FB111" i="1" l="1"/>
  <c r="FB112" i="1"/>
  <c r="MH107" i="1" s="1"/>
  <c r="MI51" i="1"/>
  <c r="FC67" i="1" l="1"/>
  <c r="MI64" i="1"/>
  <c r="FB113" i="1"/>
  <c r="MH113" i="1"/>
  <c r="MJ51" i="1" l="1"/>
  <c r="FC112" i="1"/>
  <c r="MI107" i="1" s="1"/>
  <c r="FC111" i="1"/>
  <c r="FC113" i="1" l="1"/>
  <c r="MI113" i="1"/>
  <c r="FD67" i="1"/>
  <c r="MJ64" i="1"/>
  <c r="MK51" i="1" l="1"/>
  <c r="FD111" i="1"/>
  <c r="FD112" i="1"/>
  <c r="MJ107" i="1" s="1"/>
  <c r="FD113" i="1" l="1"/>
  <c r="MJ113" i="1"/>
  <c r="FE67" i="1"/>
  <c r="MK64" i="1"/>
  <c r="ML51" i="1" l="1"/>
  <c r="FE111" i="1"/>
  <c r="FE112" i="1"/>
  <c r="MK107" i="1" s="1"/>
  <c r="FE113" i="1" l="1"/>
  <c r="MK113" i="1"/>
  <c r="FF67" i="1"/>
  <c r="ML64" i="1"/>
  <c r="FF112" i="1" l="1"/>
  <c r="ML107" i="1" s="1"/>
  <c r="FF111" i="1"/>
  <c r="MM51" i="1"/>
  <c r="FG67" i="1" l="1"/>
  <c r="MM64" i="1"/>
  <c r="FF113" i="1"/>
  <c r="ML113" i="1"/>
  <c r="MN51" i="1" l="1"/>
  <c r="FG111" i="1"/>
  <c r="FG112" i="1"/>
  <c r="MM107" i="1" s="1"/>
  <c r="FG113" i="1" l="1"/>
  <c r="MM113" i="1"/>
  <c r="FH67" i="1"/>
  <c r="MN64" i="1"/>
  <c r="FH112" i="1" l="1"/>
  <c r="MN107" i="1" s="1"/>
  <c r="FH111" i="1"/>
  <c r="MO51" i="1"/>
  <c r="FI67" i="1" l="1"/>
  <c r="MO64" i="1"/>
  <c r="FH113" i="1"/>
  <c r="MN113" i="1"/>
  <c r="MP51" i="1" l="1"/>
  <c r="FI111" i="1"/>
  <c r="FI112" i="1"/>
  <c r="MO107" i="1" s="1"/>
  <c r="FI113" i="1" l="1"/>
  <c r="MO113" i="1"/>
  <c r="FJ67" i="1"/>
  <c r="MP64" i="1"/>
  <c r="MQ51" i="1" l="1"/>
  <c r="FJ112" i="1"/>
  <c r="MP107" i="1" s="1"/>
  <c r="FJ111" i="1"/>
  <c r="FJ113" i="1" l="1"/>
  <c r="MP113" i="1"/>
  <c r="FK67" i="1"/>
  <c r="MQ64" i="1"/>
  <c r="FK111" i="1" l="1"/>
  <c r="FK112" i="1"/>
  <c r="MQ107" i="1" s="1"/>
  <c r="MR51" i="1"/>
  <c r="FL67" i="1" l="1"/>
  <c r="MR64" i="1"/>
  <c r="FK113" i="1"/>
  <c r="MQ113" i="1"/>
  <c r="MS51" i="1" l="1"/>
  <c r="FL111" i="1"/>
  <c r="FL112" i="1"/>
  <c r="MR107" i="1" s="1"/>
  <c r="FL113" i="1" l="1"/>
  <c r="MR113" i="1"/>
  <c r="FM67" i="1"/>
  <c r="MS64" i="1"/>
  <c r="MT51" i="1" l="1"/>
  <c r="FM112" i="1"/>
  <c r="MS107" i="1" s="1"/>
  <c r="FM111" i="1"/>
  <c r="FM113" i="1" l="1"/>
  <c r="MS113" i="1"/>
  <c r="FN67" i="1"/>
  <c r="MT64" i="1"/>
  <c r="MU51" i="1" l="1"/>
  <c r="FN112" i="1"/>
  <c r="MT107" i="1" s="1"/>
  <c r="FN111" i="1"/>
  <c r="FO67" i="1" l="1"/>
  <c r="FN113" i="1"/>
  <c r="MT113" i="1"/>
  <c r="MU64" i="1"/>
  <c r="MV51" i="1" l="1"/>
  <c r="FO112" i="1"/>
  <c r="MU107" i="1" s="1"/>
  <c r="FO111" i="1"/>
  <c r="FO113" i="1" l="1"/>
  <c r="MU113" i="1"/>
  <c r="FP67" i="1"/>
  <c r="MV64" i="1"/>
  <c r="MW51" i="1" l="1"/>
  <c r="FP111" i="1"/>
  <c r="FP112" i="1"/>
  <c r="MV107" i="1" s="1"/>
  <c r="FP113" i="1" l="1"/>
  <c r="MV113" i="1"/>
  <c r="FQ67" i="1"/>
  <c r="MW64" i="1"/>
  <c r="FQ112" i="1" l="1"/>
  <c r="MW107" i="1" s="1"/>
  <c r="FQ111" i="1"/>
  <c r="MX51" i="1"/>
  <c r="FR67" i="1" l="1"/>
  <c r="MX64" i="1"/>
  <c r="FQ113" i="1"/>
  <c r="MW113" i="1"/>
  <c r="MY51" i="1" l="1"/>
  <c r="FR112" i="1"/>
  <c r="MX107" i="1" s="1"/>
  <c r="FR111" i="1"/>
  <c r="FR113" i="1" l="1"/>
  <c r="MX113" i="1"/>
  <c r="FS67" i="1"/>
  <c r="MY64" i="1"/>
  <c r="MZ51" i="1" l="1"/>
  <c r="FS111" i="1"/>
  <c r="FS112" i="1"/>
  <c r="MY107" i="1" s="1"/>
  <c r="FS113" i="1" l="1"/>
  <c r="MY113" i="1"/>
  <c r="FT67" i="1"/>
  <c r="MZ64" i="1"/>
  <c r="NA51" i="1" l="1"/>
  <c r="FT111" i="1"/>
  <c r="FT112" i="1"/>
  <c r="MZ107" i="1" s="1"/>
  <c r="FT113" i="1" l="1"/>
  <c r="MZ113" i="1"/>
  <c r="FU67" i="1"/>
  <c r="NA64" i="1"/>
  <c r="NB51" i="1" l="1"/>
  <c r="FU111" i="1"/>
  <c r="FU112" i="1"/>
  <c r="NA107" i="1" s="1"/>
  <c r="FU113" i="1" l="1"/>
  <c r="NA113" i="1"/>
  <c r="FV67" i="1"/>
  <c r="NB64" i="1"/>
  <c r="NC51" i="1" l="1"/>
  <c r="FV112" i="1"/>
  <c r="NB107" i="1" s="1"/>
  <c r="FV111" i="1"/>
  <c r="FV113" i="1" l="1"/>
  <c r="NB113" i="1"/>
  <c r="FW67" i="1"/>
  <c r="NC64" i="1"/>
  <c r="FW111" i="1" l="1"/>
  <c r="FW112" i="1"/>
  <c r="NC107" i="1" s="1"/>
  <c r="ND51" i="1"/>
  <c r="FX67" i="1" l="1"/>
  <c r="ND64" i="1"/>
  <c r="FW113" i="1"/>
  <c r="NC113" i="1"/>
  <c r="NE51" i="1" l="1"/>
  <c r="FX112" i="1"/>
  <c r="ND107" i="1" s="1"/>
  <c r="FX111" i="1"/>
  <c r="ND113" i="1" l="1"/>
  <c r="FX113" i="1"/>
  <c r="FY67" i="1"/>
  <c r="NE64" i="1"/>
  <c r="NF51" i="1" l="1"/>
  <c r="FY111" i="1"/>
  <c r="FY112" i="1"/>
  <c r="NE107" i="1" s="1"/>
  <c r="FY113" i="1" l="1"/>
  <c r="NE113" i="1"/>
  <c r="FZ67" i="1"/>
  <c r="NF64" i="1"/>
  <c r="FZ111" i="1" l="1"/>
  <c r="FZ112" i="1"/>
  <c r="NF107" i="1" s="1"/>
  <c r="NG51" i="1"/>
  <c r="GA67" i="1" l="1"/>
  <c r="NG64" i="1"/>
  <c r="FZ113" i="1"/>
  <c r="NF113" i="1"/>
  <c r="NH51" i="1" l="1"/>
  <c r="GA112" i="1"/>
  <c r="NG107" i="1" s="1"/>
  <c r="GA111" i="1"/>
  <c r="GA113" i="1" l="1"/>
  <c r="NG113" i="1"/>
  <c r="GB67" i="1"/>
  <c r="NH64" i="1"/>
  <c r="NI51" i="1" l="1"/>
  <c r="GB111" i="1"/>
  <c r="GB112" i="1"/>
  <c r="NH107" i="1" s="1"/>
  <c r="GB113" i="1" l="1"/>
  <c r="NH113" i="1"/>
  <c r="GC67" i="1"/>
  <c r="NI64" i="1"/>
  <c r="GC112" i="1" l="1"/>
  <c r="NI107" i="1" s="1"/>
  <c r="GC111" i="1"/>
  <c r="NJ51" i="1"/>
  <c r="GD67" i="1" l="1"/>
  <c r="NJ64" i="1"/>
  <c r="GC113" i="1"/>
  <c r="NI113" i="1"/>
  <c r="NK51" i="1" l="1"/>
  <c r="GD112" i="1"/>
  <c r="NJ107" i="1" s="1"/>
  <c r="GD111" i="1"/>
  <c r="GD113" i="1" l="1"/>
  <c r="NJ113" i="1"/>
  <c r="GE67" i="1"/>
  <c r="NK64" i="1"/>
  <c r="GE111" i="1" l="1"/>
  <c r="GE112" i="1"/>
  <c r="NK107" i="1" s="1"/>
  <c r="NL51" i="1"/>
  <c r="GF67" i="1" l="1"/>
  <c r="NL64" i="1"/>
  <c r="GE113" i="1"/>
  <c r="NK113" i="1"/>
  <c r="NM51" i="1" l="1"/>
  <c r="GF112" i="1"/>
  <c r="NL107" i="1" s="1"/>
  <c r="GF111" i="1"/>
  <c r="GF113" i="1" l="1"/>
  <c r="NL113" i="1"/>
  <c r="GG67" i="1"/>
  <c r="NM64" i="1"/>
  <c r="NN51" i="1" l="1"/>
  <c r="GG111" i="1"/>
  <c r="GG112" i="1"/>
  <c r="NM107" i="1" s="1"/>
  <c r="NM113" i="1" l="1"/>
  <c r="GG113" i="1"/>
  <c r="GH67" i="1"/>
  <c r="NN64" i="1"/>
  <c r="GH112" i="1" l="1"/>
  <c r="NN107" i="1" s="1"/>
  <c r="GH111" i="1"/>
  <c r="NO51" i="1"/>
  <c r="GI67" i="1" l="1"/>
  <c r="NO64" i="1"/>
  <c r="GH113" i="1"/>
  <c r="NN113" i="1"/>
  <c r="NP51" i="1" l="1"/>
  <c r="GI111" i="1"/>
  <c r="GI112" i="1"/>
  <c r="NO107" i="1" s="1"/>
  <c r="GI113" i="1" l="1"/>
  <c r="NO113" i="1"/>
  <c r="GJ67" i="1"/>
  <c r="NP64" i="1"/>
  <c r="GJ111" i="1" l="1"/>
  <c r="GJ112" i="1"/>
  <c r="NP107" i="1" s="1"/>
  <c r="NQ51" i="1"/>
  <c r="GK67" i="1" l="1"/>
  <c r="NQ64" i="1"/>
  <c r="GJ113" i="1"/>
  <c r="NP113" i="1"/>
  <c r="NR51" i="1" l="1"/>
  <c r="GK111" i="1"/>
  <c r="GK112" i="1"/>
  <c r="NQ107" i="1" s="1"/>
  <c r="GK113" i="1" l="1"/>
  <c r="NQ113" i="1"/>
  <c r="GL67" i="1"/>
  <c r="NR64" i="1"/>
  <c r="NS51" i="1" l="1"/>
  <c r="GL112" i="1"/>
  <c r="NR107" i="1" s="1"/>
  <c r="GL111" i="1"/>
  <c r="GL113" i="1" l="1"/>
  <c r="NR113" i="1"/>
  <c r="GM67" i="1"/>
  <c r="NS64" i="1"/>
  <c r="GM112" i="1" l="1"/>
  <c r="NS107" i="1" s="1"/>
  <c r="GM111" i="1"/>
  <c r="NT51" i="1"/>
  <c r="GN67" i="1" l="1"/>
  <c r="NT64" i="1"/>
  <c r="GM113" i="1"/>
  <c r="NS113" i="1"/>
  <c r="NU51" i="1" l="1"/>
  <c r="GN111" i="1"/>
  <c r="GN112" i="1"/>
  <c r="NT107" i="1" s="1"/>
  <c r="GN113" i="1" l="1"/>
  <c r="NT113" i="1"/>
  <c r="GO67" i="1"/>
  <c r="NU64" i="1"/>
  <c r="NV51" i="1" l="1"/>
  <c r="GO112" i="1"/>
  <c r="NU107" i="1" s="1"/>
  <c r="GO111" i="1"/>
  <c r="GO113" i="1" l="1"/>
  <c r="NU113" i="1"/>
  <c r="GP67" i="1"/>
  <c r="NV64" i="1"/>
  <c r="GP111" i="1" l="1"/>
  <c r="GP112" i="1"/>
  <c r="NV107" i="1" s="1"/>
  <c r="NW51" i="1"/>
  <c r="GQ67" i="1" l="1"/>
  <c r="GX51" i="1"/>
  <c r="NW64" i="1"/>
  <c r="GP113" i="1"/>
  <c r="NV113" i="1"/>
  <c r="GY66" i="1" l="1"/>
  <c r="GQ111" i="1"/>
  <c r="GQ112" i="1"/>
  <c r="L67" i="1"/>
  <c r="NW107" i="1" l="1"/>
  <c r="S112" i="1"/>
  <c r="K67" i="1"/>
  <c r="D127" i="1"/>
  <c r="F127" i="1" s="1"/>
  <c r="S67" i="1"/>
  <c r="J67" i="1"/>
  <c r="GQ113" i="1"/>
  <c r="S113" i="1" s="1"/>
  <c r="NW113" i="1"/>
  <c r="S111" i="1"/>
  <c r="GZ52" i="1"/>
  <c r="GZ67" i="1"/>
  <c r="GZ66" i="1" l="1"/>
  <c r="GX113" i="1"/>
  <c r="GZ68" i="1"/>
  <c r="GZ69" i="1" s="1"/>
  <c r="GX107" i="1"/>
  <c r="HA52" i="1" l="1"/>
  <c r="HA67" i="1"/>
  <c r="HA68" i="1" s="1"/>
  <c r="HA69" i="1" l="1"/>
  <c r="HA66" i="1"/>
  <c r="HB67" i="1" l="1"/>
  <c r="HB68" i="1" s="1"/>
  <c r="HB69" i="1" s="1"/>
  <c r="HB52" i="1"/>
  <c r="HB66" i="1" l="1"/>
  <c r="HC52" i="1" l="1"/>
  <c r="HC67" i="1"/>
  <c r="HC68" i="1" l="1"/>
  <c r="HC69" i="1" s="1"/>
  <c r="HC66" i="1"/>
  <c r="HD67" i="1" l="1"/>
  <c r="HD68" i="1" s="1"/>
  <c r="HD52" i="1"/>
  <c r="HD69" i="1" l="1"/>
  <c r="HD66" i="1"/>
  <c r="HE52" i="1" l="1"/>
  <c r="HE67" i="1"/>
  <c r="HE68" i="1" s="1"/>
  <c r="HE69" i="1" s="1"/>
  <c r="HE66" i="1" l="1"/>
  <c r="HF52" i="1" l="1"/>
  <c r="HF67" i="1"/>
  <c r="HF68" i="1" l="1"/>
  <c r="HF69" i="1" s="1"/>
  <c r="HF66" i="1"/>
  <c r="HG67" i="1" l="1"/>
  <c r="HG68" i="1" s="1"/>
  <c r="HG69" i="1" s="1"/>
  <c r="HG52" i="1"/>
  <c r="HG66" i="1" l="1"/>
  <c r="HH52" i="1" l="1"/>
  <c r="HH67" i="1"/>
  <c r="HH68" i="1" l="1"/>
  <c r="HH69" i="1" s="1"/>
  <c r="HH66" i="1"/>
  <c r="HI52" i="1" l="1"/>
  <c r="HI67" i="1"/>
  <c r="HI68" i="1" s="1"/>
  <c r="HI69" i="1" s="1"/>
  <c r="HI66" i="1" l="1"/>
  <c r="HJ67" i="1" l="1"/>
  <c r="HJ52" i="1"/>
  <c r="HJ68" i="1" l="1"/>
  <c r="HJ66" i="1"/>
  <c r="HK67" i="1" l="1"/>
  <c r="HK52" i="1"/>
  <c r="HJ69" i="1"/>
  <c r="HK68" i="1" l="1"/>
  <c r="HK69" i="1" s="1"/>
  <c r="HK66" i="1"/>
  <c r="HL52" i="1" l="1"/>
  <c r="HL67" i="1"/>
  <c r="HL68" i="1" s="1"/>
  <c r="HL69" i="1" l="1"/>
  <c r="HL66" i="1"/>
  <c r="HM52" i="1" l="1"/>
  <c r="HM67" i="1"/>
  <c r="HM68" i="1" s="1"/>
  <c r="HM69" i="1" s="1"/>
  <c r="HM66" i="1" l="1"/>
  <c r="HN52" i="1" l="1"/>
  <c r="HN67" i="1"/>
  <c r="HN68" i="1" l="1"/>
  <c r="HN69" i="1" s="1"/>
  <c r="HN66" i="1"/>
  <c r="HO52" i="1" l="1"/>
  <c r="HO67" i="1"/>
  <c r="HO68" i="1" s="1"/>
  <c r="HO69" i="1" s="1"/>
  <c r="HO66" i="1" l="1"/>
  <c r="HP67" i="1" l="1"/>
  <c r="HP52" i="1"/>
  <c r="HP68" i="1" l="1"/>
  <c r="HP69" i="1" s="1"/>
  <c r="HP66" i="1"/>
  <c r="HQ67" i="1" l="1"/>
  <c r="HQ68" i="1" s="1"/>
  <c r="HQ69" i="1" s="1"/>
  <c r="HQ52" i="1"/>
  <c r="HQ66" i="1" l="1"/>
  <c r="HR67" i="1" l="1"/>
  <c r="HR52" i="1"/>
  <c r="HR68" i="1" l="1"/>
  <c r="HR66" i="1"/>
  <c r="HS67" i="1" l="1"/>
  <c r="HS52" i="1"/>
  <c r="HR69" i="1"/>
  <c r="HS68" i="1" l="1"/>
  <c r="HS69" i="1" s="1"/>
  <c r="HS66" i="1"/>
  <c r="HT67" i="1" l="1"/>
  <c r="HT68" i="1" s="1"/>
  <c r="HT69" i="1" s="1"/>
  <c r="HT52" i="1"/>
  <c r="HT66" i="1" l="1"/>
  <c r="HU52" i="1" l="1"/>
  <c r="HU67" i="1"/>
  <c r="HU68" i="1" l="1"/>
  <c r="HU69" i="1" s="1"/>
  <c r="HU66" i="1"/>
  <c r="HV52" i="1" l="1"/>
  <c r="HV67" i="1"/>
  <c r="HV68" i="1" s="1"/>
  <c r="HV69" i="1" l="1"/>
  <c r="HV66" i="1"/>
  <c r="HW67" i="1" l="1"/>
  <c r="HW68" i="1" s="1"/>
  <c r="HW52" i="1"/>
  <c r="HW69" i="1" l="1"/>
  <c r="HW66" i="1"/>
  <c r="HX67" i="1" l="1"/>
  <c r="HX68" i="1" s="1"/>
  <c r="HX69" i="1" s="1"/>
  <c r="HX52" i="1"/>
  <c r="HX66" i="1" l="1"/>
  <c r="HY52" i="1" l="1"/>
  <c r="HY67" i="1"/>
  <c r="HY68" i="1" l="1"/>
  <c r="HY69" i="1" s="1"/>
  <c r="HY66" i="1"/>
  <c r="HZ52" i="1" l="1"/>
  <c r="HZ67" i="1"/>
  <c r="HZ68" i="1" s="1"/>
  <c r="HZ69" i="1" l="1"/>
  <c r="HZ66" i="1"/>
  <c r="IA52" i="1" l="1"/>
  <c r="IA67" i="1"/>
  <c r="IA68" i="1" s="1"/>
  <c r="IA69" i="1" s="1"/>
  <c r="IA66" i="1" l="1"/>
  <c r="IB52" i="1" l="1"/>
  <c r="IB67" i="1"/>
  <c r="IB68" i="1" l="1"/>
  <c r="IB69" i="1" s="1"/>
  <c r="IB66" i="1"/>
  <c r="IC67" i="1" l="1"/>
  <c r="IC68" i="1" s="1"/>
  <c r="IC69" i="1" s="1"/>
  <c r="IC52" i="1"/>
  <c r="IC66" i="1" l="1"/>
  <c r="ID52" i="1" l="1"/>
  <c r="ID67" i="1"/>
  <c r="ID68" i="1" l="1"/>
  <c r="ID69" i="1" s="1"/>
  <c r="ID66" i="1"/>
  <c r="IE52" i="1" l="1"/>
  <c r="IE67" i="1"/>
  <c r="IE68" i="1" s="1"/>
  <c r="IE69" i="1" s="1"/>
  <c r="IE66" i="1" l="1"/>
  <c r="IF67" i="1" l="1"/>
  <c r="IF52" i="1"/>
  <c r="IF68" i="1" l="1"/>
  <c r="IF69" i="1" s="1"/>
  <c r="IF66" i="1"/>
  <c r="IG52" i="1" l="1"/>
  <c r="IG67" i="1"/>
  <c r="IG68" i="1" l="1"/>
  <c r="IG69" i="1" s="1"/>
  <c r="IG66" i="1"/>
  <c r="IH67" i="1" l="1"/>
  <c r="IH52" i="1"/>
  <c r="IH68" i="1" l="1"/>
  <c r="IH69" i="1" s="1"/>
  <c r="IH66" i="1"/>
  <c r="II52" i="1" l="1"/>
  <c r="II67" i="1"/>
  <c r="II68" i="1" s="1"/>
  <c r="II66" i="1" l="1"/>
  <c r="II69" i="1"/>
  <c r="IJ52" i="1" l="1"/>
  <c r="IJ67" i="1"/>
  <c r="IJ68" i="1" s="1"/>
  <c r="IJ69" i="1" l="1"/>
  <c r="IJ66" i="1"/>
  <c r="IK52" i="1" l="1"/>
  <c r="IK67" i="1"/>
  <c r="IK68" i="1" s="1"/>
  <c r="IK69" i="1" l="1"/>
  <c r="IK66" i="1"/>
  <c r="IL67" i="1" l="1"/>
  <c r="IL52" i="1"/>
  <c r="IL68" i="1" l="1"/>
  <c r="IL69" i="1" s="1"/>
  <c r="IL66" i="1"/>
  <c r="IM52" i="1" l="1"/>
  <c r="IM67" i="1"/>
  <c r="IM68" i="1" s="1"/>
  <c r="IM66" i="1" l="1"/>
  <c r="IM69" i="1"/>
  <c r="IN67" i="1" l="1"/>
  <c r="IN68" i="1" s="1"/>
  <c r="IN69" i="1" s="1"/>
  <c r="IN52" i="1"/>
  <c r="IN66" i="1" l="1"/>
  <c r="IO52" i="1" l="1"/>
  <c r="IO67" i="1"/>
  <c r="IO68" i="1" l="1"/>
  <c r="IO69" i="1" s="1"/>
  <c r="IO66" i="1"/>
  <c r="IP52" i="1" l="1"/>
  <c r="IP67" i="1"/>
  <c r="IP68" i="1" s="1"/>
  <c r="IP69" i="1" l="1"/>
  <c r="IP66" i="1"/>
  <c r="IQ52" i="1" l="1"/>
  <c r="IQ67" i="1"/>
  <c r="IQ68" i="1" s="1"/>
  <c r="IQ69" i="1" s="1"/>
  <c r="IQ66" i="1" l="1"/>
  <c r="IR67" i="1" l="1"/>
  <c r="IR52" i="1"/>
  <c r="IR68" i="1" l="1"/>
  <c r="IR69" i="1" s="1"/>
  <c r="IR66" i="1"/>
  <c r="IS52" i="1" l="1"/>
  <c r="IS67" i="1"/>
  <c r="IS66" i="1" l="1"/>
  <c r="IS68" i="1"/>
  <c r="IT52" i="1" l="1"/>
  <c r="IT67" i="1"/>
  <c r="IS69" i="1"/>
  <c r="IT68" i="1" l="1"/>
  <c r="IT69" i="1" s="1"/>
  <c r="IT66" i="1"/>
  <c r="IU52" i="1" l="1"/>
  <c r="IU67" i="1"/>
  <c r="IU68" i="1" s="1"/>
  <c r="IU69" i="1" l="1"/>
  <c r="IU66" i="1"/>
  <c r="IV52" i="1" l="1"/>
  <c r="IV67" i="1"/>
  <c r="IV68" i="1" s="1"/>
  <c r="IV69" i="1" l="1"/>
  <c r="IV66" i="1"/>
  <c r="IW67" i="1" l="1"/>
  <c r="IW68" i="1" s="1"/>
  <c r="IW52" i="1"/>
  <c r="IW69" i="1" l="1"/>
  <c r="IW66" i="1"/>
  <c r="IX52" i="1" l="1"/>
  <c r="IX67" i="1"/>
  <c r="IX68" i="1" s="1"/>
  <c r="IX69" i="1" s="1"/>
  <c r="IX66" i="1" l="1"/>
  <c r="IY52" i="1" l="1"/>
  <c r="IY67" i="1"/>
  <c r="IY68" i="1" l="1"/>
  <c r="IY69" i="1" s="1"/>
  <c r="IY66" i="1"/>
  <c r="IZ67" i="1" l="1"/>
  <c r="IZ68" i="1" s="1"/>
  <c r="IZ69" i="1" s="1"/>
  <c r="IZ52" i="1"/>
  <c r="IZ66" i="1" l="1"/>
  <c r="JA52" i="1" l="1"/>
  <c r="JA67" i="1"/>
  <c r="JA68" i="1" l="1"/>
  <c r="JA69" i="1" s="1"/>
  <c r="JA66" i="1"/>
  <c r="JB52" i="1" l="1"/>
  <c r="JB67" i="1"/>
  <c r="JB68" i="1" s="1"/>
  <c r="JB69" i="1" s="1"/>
  <c r="JB66" i="1" l="1"/>
  <c r="JC52" i="1" l="1"/>
  <c r="JC67" i="1"/>
  <c r="JC68" i="1" l="1"/>
  <c r="JC69" i="1" s="1"/>
  <c r="JC66" i="1"/>
  <c r="JD67" i="1" l="1"/>
  <c r="JD68" i="1" s="1"/>
  <c r="JD69" i="1" s="1"/>
  <c r="JD52" i="1"/>
  <c r="JD66" i="1" l="1"/>
  <c r="JE52" i="1" l="1"/>
  <c r="JE67" i="1"/>
  <c r="JE68" i="1" l="1"/>
  <c r="JE66" i="1"/>
  <c r="JF67" i="1" l="1"/>
  <c r="JF52" i="1"/>
  <c r="JE69" i="1"/>
  <c r="JF68" i="1" l="1"/>
  <c r="JF69" i="1" s="1"/>
  <c r="JF66" i="1"/>
  <c r="JG52" i="1" l="1"/>
  <c r="JG67" i="1"/>
  <c r="JG68" i="1" s="1"/>
  <c r="JG66" i="1" l="1"/>
  <c r="JG69" i="1"/>
  <c r="JH52" i="1" l="1"/>
  <c r="JH66" i="1" s="1"/>
  <c r="JH67" i="1"/>
  <c r="JH68" i="1" s="1"/>
  <c r="JI67" i="1" l="1"/>
  <c r="JI52" i="1"/>
  <c r="JI66" i="1" s="1"/>
  <c r="JH69" i="1"/>
  <c r="JJ67" i="1" l="1"/>
  <c r="JJ52" i="1"/>
  <c r="JI68" i="1"/>
  <c r="JI69" i="1" l="1"/>
  <c r="JJ66" i="1"/>
  <c r="JK52" i="1" l="1"/>
  <c r="JK67" i="1"/>
  <c r="JJ68" i="1"/>
  <c r="JJ69" i="1" s="1"/>
  <c r="JK68" i="1" l="1"/>
  <c r="JK69" i="1" s="1"/>
  <c r="JK66" i="1"/>
  <c r="JL67" i="1" l="1"/>
  <c r="JL68" i="1" s="1"/>
  <c r="JL69" i="1" s="1"/>
  <c r="JL52" i="1"/>
  <c r="JL66" i="1" l="1"/>
  <c r="JM52" i="1" l="1"/>
  <c r="JM67" i="1"/>
  <c r="JM68" i="1" l="1"/>
  <c r="JM69" i="1" s="1"/>
  <c r="JM66" i="1"/>
  <c r="JN52" i="1" l="1"/>
  <c r="JN67" i="1"/>
  <c r="JN68" i="1" s="1"/>
  <c r="JN69" i="1" s="1"/>
  <c r="JN66" i="1" l="1"/>
  <c r="JO67" i="1" l="1"/>
  <c r="JO52" i="1"/>
  <c r="JO68" i="1" l="1"/>
  <c r="JO66" i="1"/>
  <c r="JP52" i="1" l="1"/>
  <c r="JP67" i="1"/>
  <c r="JO69" i="1"/>
  <c r="JP68" i="1" l="1"/>
  <c r="JP69" i="1" s="1"/>
  <c r="JP66" i="1"/>
  <c r="JQ67" i="1" l="1"/>
  <c r="JQ68" i="1" s="1"/>
  <c r="JQ52" i="1"/>
  <c r="JQ66" i="1" l="1"/>
  <c r="JQ69" i="1"/>
  <c r="JR52" i="1" l="1"/>
  <c r="JR67" i="1"/>
  <c r="JR68" i="1" s="1"/>
  <c r="JR69" i="1" l="1"/>
  <c r="JR66" i="1"/>
  <c r="JS52" i="1" l="1"/>
  <c r="JS67" i="1"/>
  <c r="JS68" i="1" s="1"/>
  <c r="JS69" i="1" s="1"/>
  <c r="JS66" i="1" l="1"/>
  <c r="JT52" i="1" l="1"/>
  <c r="JT67" i="1"/>
  <c r="JT68" i="1" l="1"/>
  <c r="JT69" i="1" s="1"/>
  <c r="JT66" i="1"/>
  <c r="JU52" i="1" l="1"/>
  <c r="JU67" i="1"/>
  <c r="JU68" i="1" s="1"/>
  <c r="JU69" i="1" l="1"/>
  <c r="JU66" i="1"/>
  <c r="JV52" i="1" l="1"/>
  <c r="JV67" i="1"/>
  <c r="JV68" i="1" s="1"/>
  <c r="JV69" i="1" l="1"/>
  <c r="JV66" i="1"/>
  <c r="JW52" i="1" l="1"/>
  <c r="JW67" i="1"/>
  <c r="JW68" i="1" s="1"/>
  <c r="JW69" i="1" s="1"/>
  <c r="JW66" i="1" l="1"/>
  <c r="JX52" i="1" l="1"/>
  <c r="JX67" i="1"/>
  <c r="JX68" i="1" l="1"/>
  <c r="JX69" i="1" s="1"/>
  <c r="JX66" i="1"/>
  <c r="JY52" i="1" l="1"/>
  <c r="JY66" i="1" s="1"/>
  <c r="JY67" i="1"/>
  <c r="JY68" i="1" s="1"/>
  <c r="JZ52" i="1" l="1"/>
  <c r="JZ67" i="1"/>
  <c r="JY69" i="1"/>
  <c r="JZ68" i="1" l="1"/>
  <c r="JZ69" i="1" s="1"/>
  <c r="JZ66" i="1"/>
  <c r="KA67" i="1" l="1"/>
  <c r="KA68" i="1" s="1"/>
  <c r="KA69" i="1" s="1"/>
  <c r="KA52" i="1"/>
  <c r="KA66" i="1" l="1"/>
  <c r="KB67" i="1" l="1"/>
  <c r="KB52" i="1"/>
  <c r="KB68" i="1" l="1"/>
  <c r="KB69" i="1" s="1"/>
  <c r="KB66" i="1"/>
  <c r="KC52" i="1" l="1"/>
  <c r="KC67" i="1"/>
  <c r="KC68" i="1" s="1"/>
  <c r="KC69" i="1" l="1"/>
  <c r="KC66" i="1"/>
  <c r="KD52" i="1" l="1"/>
  <c r="KD67" i="1"/>
  <c r="KD68" i="1" s="1"/>
  <c r="KD69" i="1" l="1"/>
  <c r="KD66" i="1"/>
  <c r="KE52" i="1" l="1"/>
  <c r="KE67" i="1"/>
  <c r="KE68" i="1" s="1"/>
  <c r="KE69" i="1" l="1"/>
  <c r="KE66" i="1"/>
  <c r="KF67" i="1" l="1"/>
  <c r="KF68" i="1" s="1"/>
  <c r="KF69" i="1" s="1"/>
  <c r="KF52" i="1"/>
  <c r="KF66" i="1" l="1"/>
  <c r="KG67" i="1" l="1"/>
  <c r="KG52" i="1"/>
  <c r="KG68" i="1" l="1"/>
  <c r="KG69" i="1" s="1"/>
  <c r="KG66" i="1"/>
  <c r="KH67" i="1" l="1"/>
  <c r="KH68" i="1" s="1"/>
  <c r="KH52" i="1"/>
  <c r="KH66" i="1" l="1"/>
  <c r="KH69" i="1"/>
  <c r="KI52" i="1" l="1"/>
  <c r="KI67" i="1"/>
  <c r="KI68" i="1" s="1"/>
  <c r="KI66" i="1" l="1"/>
  <c r="KI69" i="1"/>
  <c r="KJ52" i="1" l="1"/>
  <c r="KJ67" i="1"/>
  <c r="KJ66" i="1" l="1"/>
  <c r="KJ68" i="1"/>
  <c r="KK52" i="1" l="1"/>
  <c r="KK67" i="1"/>
  <c r="KJ69" i="1"/>
  <c r="KK68" i="1" l="1"/>
  <c r="KK69" i="1" s="1"/>
  <c r="KK66" i="1"/>
  <c r="KL52" i="1" l="1"/>
  <c r="KL67" i="1"/>
  <c r="KL68" i="1" s="1"/>
  <c r="KL69" i="1" l="1"/>
  <c r="KL66" i="1"/>
  <c r="KM67" i="1" l="1"/>
  <c r="KM68" i="1" s="1"/>
  <c r="KM69" i="1" s="1"/>
  <c r="KM52" i="1"/>
  <c r="KM66" i="1" l="1"/>
  <c r="KN52" i="1" l="1"/>
  <c r="KN67" i="1"/>
  <c r="KN68" i="1" l="1"/>
  <c r="KN69" i="1" s="1"/>
  <c r="KN66" i="1"/>
  <c r="KO52" i="1" l="1"/>
  <c r="KO67" i="1"/>
  <c r="KO68" i="1" s="1"/>
  <c r="KO69" i="1" l="1"/>
  <c r="KO66" i="1"/>
  <c r="KP52" i="1" l="1"/>
  <c r="KP67" i="1"/>
  <c r="KP68" i="1" s="1"/>
  <c r="KP69" i="1" s="1"/>
  <c r="KP66" i="1" l="1"/>
  <c r="KQ52" i="1" l="1"/>
  <c r="KQ67" i="1"/>
  <c r="KQ68" i="1" l="1"/>
  <c r="KQ69" i="1" s="1"/>
  <c r="KQ66" i="1"/>
  <c r="KR67" i="1" l="1"/>
  <c r="KR68" i="1" s="1"/>
  <c r="KR69" i="1" s="1"/>
  <c r="KR52" i="1"/>
  <c r="KR66" i="1" l="1"/>
  <c r="KS52" i="1" l="1"/>
  <c r="KS67" i="1"/>
  <c r="KS68" i="1" l="1"/>
  <c r="KS66" i="1"/>
  <c r="KT52" i="1" l="1"/>
  <c r="KT67" i="1"/>
  <c r="KS69" i="1"/>
  <c r="KT68" i="1" l="1"/>
  <c r="KT69" i="1" s="1"/>
  <c r="KT66" i="1"/>
  <c r="KU52" i="1" l="1"/>
  <c r="KU67" i="1"/>
  <c r="KU68" i="1" s="1"/>
  <c r="KU66" i="1" l="1"/>
  <c r="KU69" i="1"/>
  <c r="KV52" i="1" l="1"/>
  <c r="KV67" i="1"/>
  <c r="KV66" i="1" l="1"/>
  <c r="KV68" i="1"/>
  <c r="KW67" i="1" l="1"/>
  <c r="KW52" i="1"/>
  <c r="KV69" i="1"/>
  <c r="KW68" i="1" l="1"/>
  <c r="KW69" i="1" s="1"/>
  <c r="KW66" i="1"/>
  <c r="KX52" i="1" l="1"/>
  <c r="KX67" i="1"/>
  <c r="KX68" i="1" s="1"/>
  <c r="KX69" i="1" s="1"/>
  <c r="KX66" i="1" l="1"/>
  <c r="KY52" i="1" l="1"/>
  <c r="KY67" i="1"/>
  <c r="KY68" i="1" l="1"/>
  <c r="KY69" i="1" s="1"/>
  <c r="KY66" i="1"/>
  <c r="KZ67" i="1" l="1"/>
  <c r="KZ68" i="1" s="1"/>
  <c r="KZ69" i="1" s="1"/>
  <c r="KZ52" i="1"/>
  <c r="KZ66" i="1" l="1"/>
  <c r="LA52" i="1" l="1"/>
  <c r="LA67" i="1"/>
  <c r="LA68" i="1" l="1"/>
  <c r="LA69" i="1" s="1"/>
  <c r="LA66" i="1"/>
  <c r="LB52" i="1" l="1"/>
  <c r="LB67" i="1"/>
  <c r="LB68" i="1" s="1"/>
  <c r="LB66" i="1" l="1"/>
  <c r="LB69" i="1"/>
  <c r="LC52" i="1" l="1"/>
  <c r="LC67" i="1"/>
  <c r="LC68" i="1" s="1"/>
  <c r="LC66" i="1" l="1"/>
  <c r="LC69" i="1"/>
  <c r="LD52" i="1" l="1"/>
  <c r="LD67" i="1"/>
  <c r="LD68" i="1" s="1"/>
  <c r="LD66" i="1" l="1"/>
  <c r="LD69" i="1"/>
  <c r="LE52" i="1" l="1"/>
  <c r="LE67" i="1"/>
  <c r="LE68" i="1" s="1"/>
  <c r="LE66" i="1" l="1"/>
  <c r="LE69" i="1"/>
  <c r="LF67" i="1" l="1"/>
  <c r="LF52" i="1"/>
  <c r="LF66" i="1" l="1"/>
  <c r="LF68" i="1"/>
  <c r="LG67" i="1" l="1"/>
  <c r="LG52" i="1"/>
  <c r="LF69" i="1"/>
  <c r="LG68" i="1" l="1"/>
  <c r="LG69" i="1" s="1"/>
  <c r="LG66" i="1"/>
  <c r="LH52" i="1" l="1"/>
  <c r="LH67" i="1"/>
  <c r="LH68" i="1" s="1"/>
  <c r="LH66" i="1" l="1"/>
  <c r="LH69" i="1"/>
  <c r="LI67" i="1" l="1"/>
  <c r="LI68" i="1" s="1"/>
  <c r="LI52" i="1"/>
  <c r="LI66" i="1" l="1"/>
  <c r="LI69" i="1"/>
  <c r="LJ52" i="1" l="1"/>
  <c r="LJ67" i="1"/>
  <c r="LJ68" i="1" s="1"/>
  <c r="LJ66" i="1" l="1"/>
  <c r="LJ69" i="1"/>
  <c r="LK67" i="1" l="1"/>
  <c r="LK68" i="1" s="1"/>
  <c r="LK52" i="1"/>
  <c r="LK66" i="1" l="1"/>
  <c r="LK69" i="1"/>
  <c r="LL67" i="1" l="1"/>
  <c r="LL68" i="1" s="1"/>
  <c r="LL52" i="1"/>
  <c r="LL66" i="1" l="1"/>
  <c r="LL69" i="1"/>
  <c r="LM52" i="1" l="1"/>
  <c r="LM67" i="1"/>
  <c r="LM68" i="1" s="1"/>
  <c r="LM66" i="1" l="1"/>
  <c r="LM69" i="1"/>
  <c r="LN52" i="1" l="1"/>
  <c r="LN67" i="1"/>
  <c r="LN68" i="1" s="1"/>
  <c r="LN66" i="1" l="1"/>
  <c r="LN69" i="1"/>
  <c r="LO52" i="1" l="1"/>
  <c r="LO67" i="1"/>
  <c r="LO68" i="1" s="1"/>
  <c r="LO66" i="1" l="1"/>
  <c r="LO69" i="1"/>
  <c r="LP52" i="1" l="1"/>
  <c r="LP67" i="1"/>
  <c r="LP68" i="1" s="1"/>
  <c r="LP66" i="1" l="1"/>
  <c r="LP69" i="1"/>
  <c r="LQ52" i="1" l="1"/>
  <c r="LQ67" i="1"/>
  <c r="LQ68" i="1" s="1"/>
  <c r="LQ69" i="1" l="1"/>
  <c r="LQ66" i="1"/>
  <c r="LR67" i="1" l="1"/>
  <c r="LR68" i="1" s="1"/>
  <c r="LR69" i="1" s="1"/>
  <c r="LR52" i="1"/>
  <c r="LR66" i="1" l="1"/>
  <c r="LS67" i="1" l="1"/>
  <c r="LS52" i="1"/>
  <c r="LS68" i="1" l="1"/>
  <c r="LS66" i="1"/>
  <c r="LT67" i="1" l="1"/>
  <c r="LT52" i="1"/>
  <c r="LS69" i="1"/>
  <c r="LT68" i="1" l="1"/>
  <c r="LT66" i="1"/>
  <c r="LU67" i="1" l="1"/>
  <c r="LU52" i="1"/>
  <c r="LT69" i="1"/>
  <c r="LU68" i="1" l="1"/>
  <c r="LU69" i="1" s="1"/>
  <c r="LU66" i="1"/>
  <c r="LV52" i="1" l="1"/>
  <c r="LV67" i="1"/>
  <c r="LV68" i="1" l="1"/>
  <c r="LV66" i="1"/>
  <c r="LW67" i="1" l="1"/>
  <c r="LW52" i="1"/>
  <c r="LV69" i="1"/>
  <c r="LW68" i="1" l="1"/>
  <c r="LW69" i="1" s="1"/>
  <c r="LW66" i="1"/>
  <c r="LX52" i="1" l="1"/>
  <c r="LX67" i="1"/>
  <c r="LX68" i="1" s="1"/>
  <c r="LX69" i="1" s="1"/>
  <c r="LX66" i="1" l="1"/>
  <c r="LY52" i="1" l="1"/>
  <c r="LY67" i="1"/>
  <c r="LY68" i="1" l="1"/>
  <c r="LY69" i="1" s="1"/>
  <c r="LY66" i="1"/>
  <c r="LZ52" i="1" l="1"/>
  <c r="LZ67" i="1"/>
  <c r="LZ68" i="1" l="1"/>
  <c r="LZ66" i="1"/>
  <c r="MA52" i="1" l="1"/>
  <c r="MA67" i="1"/>
  <c r="LZ69" i="1"/>
  <c r="MA68" i="1" l="1"/>
  <c r="MA69" i="1" s="1"/>
  <c r="MA66" i="1"/>
  <c r="MB67" i="1" l="1"/>
  <c r="MB68" i="1" s="1"/>
  <c r="MB52" i="1"/>
  <c r="MB69" i="1" l="1"/>
  <c r="MB66" i="1"/>
  <c r="MC52" i="1" l="1"/>
  <c r="MC67" i="1"/>
  <c r="MC68" i="1" s="1"/>
  <c r="MC66" i="1" l="1"/>
  <c r="MC69" i="1"/>
  <c r="MD52" i="1" l="1"/>
  <c r="MD67" i="1"/>
  <c r="MD66" i="1" l="1"/>
  <c r="MD68" i="1"/>
  <c r="ME52" i="1" l="1"/>
  <c r="ME67" i="1"/>
  <c r="MD69" i="1"/>
  <c r="ME68" i="1" l="1"/>
  <c r="ME69" i="1" s="1"/>
  <c r="ME66" i="1"/>
  <c r="MF67" i="1" l="1"/>
  <c r="MF52" i="1"/>
  <c r="MF68" i="1" l="1"/>
  <c r="MF66" i="1"/>
  <c r="MG67" i="1" l="1"/>
  <c r="MG52" i="1"/>
  <c r="MF69" i="1"/>
  <c r="MG68" i="1" l="1"/>
  <c r="MG66" i="1"/>
  <c r="MH52" i="1" l="1"/>
  <c r="MH67" i="1"/>
  <c r="MG69" i="1"/>
  <c r="MH68" i="1" l="1"/>
  <c r="MH66" i="1"/>
  <c r="MI52" i="1" l="1"/>
  <c r="MI67" i="1"/>
  <c r="MH69" i="1"/>
  <c r="MI68" i="1" l="1"/>
  <c r="MI66" i="1"/>
  <c r="MJ52" i="1" l="1"/>
  <c r="MJ67" i="1"/>
  <c r="MI69" i="1"/>
  <c r="MJ68" i="1" l="1"/>
  <c r="MJ69" i="1" s="1"/>
  <c r="MJ66" i="1"/>
  <c r="MK52" i="1" l="1"/>
  <c r="MK67" i="1"/>
  <c r="MK68" i="1" s="1"/>
  <c r="MK69" i="1" s="1"/>
  <c r="MK66" i="1" l="1"/>
  <c r="ML67" i="1" l="1"/>
  <c r="ML52" i="1"/>
  <c r="ML68" i="1" l="1"/>
  <c r="ML69" i="1" s="1"/>
  <c r="ML66" i="1"/>
  <c r="MM52" i="1" l="1"/>
  <c r="MM67" i="1"/>
  <c r="MM68" i="1" s="1"/>
  <c r="MM69" i="1" s="1"/>
  <c r="MM66" i="1" l="1"/>
  <c r="MN52" i="1" l="1"/>
  <c r="MN67" i="1"/>
  <c r="MN68" i="1" l="1"/>
  <c r="MN69" i="1" s="1"/>
  <c r="MN66" i="1"/>
  <c r="MO52" i="1" l="1"/>
  <c r="MO67" i="1"/>
  <c r="MO68" i="1" s="1"/>
  <c r="MO69" i="1" s="1"/>
  <c r="MO66" i="1" l="1"/>
  <c r="MP52" i="1" l="1"/>
  <c r="MP67" i="1"/>
  <c r="MP68" i="1" l="1"/>
  <c r="MP69" i="1" s="1"/>
  <c r="MP66" i="1"/>
  <c r="MQ52" i="1" l="1"/>
  <c r="MQ67" i="1"/>
  <c r="MQ68" i="1" s="1"/>
  <c r="MQ69" i="1" s="1"/>
  <c r="MQ66" i="1" l="1"/>
  <c r="MR52" i="1" l="1"/>
  <c r="MR67" i="1"/>
  <c r="MR68" i="1" l="1"/>
  <c r="MR69" i="1" s="1"/>
  <c r="MR66" i="1"/>
  <c r="MS52" i="1" l="1"/>
  <c r="MS67" i="1"/>
  <c r="MS68" i="1" s="1"/>
  <c r="MS69" i="1" s="1"/>
  <c r="MS66" i="1" l="1"/>
  <c r="MT67" i="1" l="1"/>
  <c r="MT52" i="1"/>
  <c r="MT68" i="1" l="1"/>
  <c r="MT66" i="1"/>
  <c r="MU52" i="1" l="1"/>
  <c r="MU67" i="1"/>
  <c r="MT69" i="1"/>
  <c r="MU68" i="1" l="1"/>
  <c r="MU66" i="1"/>
  <c r="MV52" i="1" l="1"/>
  <c r="MV67" i="1"/>
  <c r="MU69" i="1"/>
  <c r="MV68" i="1" l="1"/>
  <c r="MV69" i="1" s="1"/>
  <c r="MV66" i="1"/>
  <c r="MW67" i="1" l="1"/>
  <c r="MW68" i="1" s="1"/>
  <c r="MW52" i="1"/>
  <c r="MW69" i="1" l="1"/>
  <c r="MW66" i="1"/>
  <c r="MX52" i="1" l="1"/>
  <c r="MX67" i="1"/>
  <c r="MX68" i="1" s="1"/>
  <c r="MX69" i="1" s="1"/>
  <c r="MX66" i="1" l="1"/>
  <c r="MY52" i="1" l="1"/>
  <c r="MY67" i="1"/>
  <c r="MY68" i="1" l="1"/>
  <c r="MY66" i="1"/>
  <c r="MZ67" i="1" l="1"/>
  <c r="MZ52" i="1"/>
  <c r="MY69" i="1"/>
  <c r="MZ68" i="1" l="1"/>
  <c r="MZ69" i="1" s="1"/>
  <c r="MZ66" i="1"/>
  <c r="NA52" i="1" l="1"/>
  <c r="NA67" i="1"/>
  <c r="NA68" i="1" s="1"/>
  <c r="NA69" i="1" s="1"/>
  <c r="NA66" i="1" l="1"/>
  <c r="NB52" i="1" l="1"/>
  <c r="NB67" i="1"/>
  <c r="NB68" i="1" l="1"/>
  <c r="NB69" i="1" s="1"/>
  <c r="NB66" i="1"/>
  <c r="NC52" i="1" l="1"/>
  <c r="NC67" i="1"/>
  <c r="NC68" i="1" s="1"/>
  <c r="NC69" i="1" l="1"/>
  <c r="NC66" i="1"/>
  <c r="ND52" i="1" l="1"/>
  <c r="ND66" i="1" s="1"/>
  <c r="ND67" i="1"/>
  <c r="ND68" i="1" s="1"/>
  <c r="NE52" i="1" l="1"/>
  <c r="NE67" i="1"/>
  <c r="ND69" i="1"/>
  <c r="NE68" i="1" l="1"/>
  <c r="NE69" i="1" s="1"/>
  <c r="NE66" i="1"/>
  <c r="NF67" i="1" l="1"/>
  <c r="NF52" i="1"/>
  <c r="NF68" i="1" l="1"/>
  <c r="NF69" i="1" s="1"/>
  <c r="NF66" i="1"/>
  <c r="NG67" i="1" l="1"/>
  <c r="NG52" i="1"/>
  <c r="NG68" i="1" l="1"/>
  <c r="NG69" i="1" s="1"/>
  <c r="NG66" i="1"/>
  <c r="NH67" i="1" l="1"/>
  <c r="NH68" i="1" s="1"/>
  <c r="NH52" i="1"/>
  <c r="NH66" i="1" l="1"/>
  <c r="NH69" i="1"/>
  <c r="NI67" i="1" l="1"/>
  <c r="NI68" i="1" s="1"/>
  <c r="NI52" i="1"/>
  <c r="NI66" i="1" l="1"/>
  <c r="NI69" i="1"/>
  <c r="NJ52" i="1" l="1"/>
  <c r="NJ66" i="1" s="1"/>
  <c r="NJ67" i="1"/>
  <c r="NJ68" i="1" s="1"/>
  <c r="NK52" i="1" l="1"/>
  <c r="NK67" i="1"/>
  <c r="NJ69" i="1"/>
  <c r="NK68" i="1" l="1"/>
  <c r="NK66" i="1"/>
  <c r="NL52" i="1" l="1"/>
  <c r="NL67" i="1"/>
  <c r="NK69" i="1"/>
  <c r="NL68" i="1" l="1"/>
  <c r="NL69" i="1" s="1"/>
  <c r="NL66" i="1"/>
  <c r="NM52" i="1" l="1"/>
  <c r="NM67" i="1"/>
  <c r="NM68" i="1" s="1"/>
  <c r="NM69" i="1" l="1"/>
  <c r="NM66" i="1"/>
  <c r="NN67" i="1" l="1"/>
  <c r="NN52" i="1"/>
  <c r="NN68" i="1"/>
  <c r="NN69" i="1" s="1"/>
  <c r="NN66" i="1" l="1"/>
  <c r="NO52" i="1" l="1"/>
  <c r="NO67" i="1"/>
  <c r="NO68" i="1" l="1"/>
  <c r="NO66" i="1"/>
  <c r="NP67" i="1" l="1"/>
  <c r="NP52" i="1"/>
  <c r="NO69" i="1"/>
  <c r="NP68" i="1" l="1"/>
  <c r="NP69" i="1" s="1"/>
  <c r="NP66" i="1"/>
  <c r="NQ52" i="1" l="1"/>
  <c r="NQ67" i="1"/>
  <c r="NQ68" i="1" s="1"/>
  <c r="NQ69" i="1" s="1"/>
  <c r="NQ66" i="1" l="1"/>
  <c r="NR52" i="1" l="1"/>
  <c r="NR67" i="1"/>
  <c r="NR68" i="1" l="1"/>
  <c r="NR66" i="1"/>
  <c r="NS52" i="1" l="1"/>
  <c r="NS67" i="1"/>
  <c r="NR69" i="1"/>
  <c r="NS68" i="1" l="1"/>
  <c r="NS69" i="1" s="1"/>
  <c r="NS66" i="1"/>
  <c r="NT52" i="1" l="1"/>
  <c r="NT67" i="1"/>
  <c r="NT68" i="1" s="1"/>
  <c r="NT66" i="1" l="1"/>
  <c r="NT69" i="1"/>
  <c r="NU52" i="1" l="1"/>
  <c r="NU66" i="1" s="1"/>
  <c r="NU67" i="1"/>
  <c r="NU68" i="1" s="1"/>
  <c r="NV52" i="1" l="1"/>
  <c r="NV66" i="1" s="1"/>
  <c r="NV67" i="1"/>
  <c r="NU69" i="1"/>
  <c r="NW52" i="1" l="1"/>
  <c r="NW67" i="1"/>
  <c r="NV68" i="1"/>
  <c r="NV69" i="1" s="1"/>
  <c r="NW68" i="1" l="1"/>
  <c r="NW69" i="1" s="1"/>
  <c r="GX52" i="1"/>
  <c r="NW66" i="1"/>
  <c r="GX56" i="1" l="1"/>
  <c r="GX55" i="1"/>
  <c r="GX57" i="1" l="1"/>
  <c r="GZ55" i="1"/>
  <c r="HA55" i="1" s="1"/>
  <c r="HB55" i="1" s="1"/>
  <c r="HC55" i="1" l="1"/>
  <c r="HD55" i="1" s="1"/>
  <c r="V69" i="1"/>
  <c r="HB56" i="1"/>
  <c r="V70" i="1" s="1"/>
  <c r="U69" i="1"/>
  <c r="HA56" i="1"/>
  <c r="U70" i="1" s="1"/>
  <c r="T69" i="1"/>
  <c r="GZ56" i="1"/>
  <c r="HC56" i="1" l="1"/>
  <c r="W70" i="1" s="1"/>
  <c r="W69" i="1"/>
  <c r="HD56" i="1"/>
  <c r="X70" i="1" s="1"/>
  <c r="X69" i="1"/>
  <c r="HA57" i="1"/>
  <c r="HA60" i="1" s="1"/>
  <c r="HE55" i="1"/>
  <c r="T70" i="1"/>
  <c r="HB57" i="1"/>
  <c r="HB60" i="1" s="1"/>
  <c r="GZ57" i="1"/>
  <c r="HD57" i="1" l="1"/>
  <c r="HD60" i="1" s="1"/>
  <c r="HC57" i="1"/>
  <c r="HC60" i="1" s="1"/>
  <c r="Y69" i="1"/>
  <c r="HE56" i="1"/>
  <c r="Y70" i="1" s="1"/>
  <c r="HF55" i="1"/>
  <c r="GZ60" i="1"/>
  <c r="HF56" i="1" l="1"/>
  <c r="Z69" i="1"/>
  <c r="HG55" i="1"/>
  <c r="HE57" i="1"/>
  <c r="HE60" i="1" s="1"/>
  <c r="GZ53" i="1"/>
  <c r="AA69" i="1" l="1"/>
  <c r="HG56" i="1"/>
  <c r="HH55" i="1"/>
  <c r="Z70" i="1"/>
  <c r="HF57" i="1"/>
  <c r="HF60" i="1" s="1"/>
  <c r="GZ73" i="1"/>
  <c r="T71" i="1"/>
  <c r="T49" i="1"/>
  <c r="T51" i="1" s="1"/>
  <c r="GZ54" i="1"/>
  <c r="AA70" i="1" l="1"/>
  <c r="HG57" i="1"/>
  <c r="HG60" i="1" s="1"/>
  <c r="AB69" i="1"/>
  <c r="HH56" i="1"/>
  <c r="HI55" i="1"/>
  <c r="HJ55" i="1" s="1"/>
  <c r="GZ74" i="1"/>
  <c r="T105" i="1" s="1"/>
  <c r="J90" i="3"/>
  <c r="J91" i="3" s="1"/>
  <c r="GZ48" i="1"/>
  <c r="T53" i="1"/>
  <c r="T72" i="1"/>
  <c r="AD69" i="1" l="1"/>
  <c r="HJ56" i="1"/>
  <c r="AD70" i="1" s="1"/>
  <c r="HK55" i="1"/>
  <c r="HI56" i="1"/>
  <c r="AC70" i="1" s="1"/>
  <c r="AC69" i="1"/>
  <c r="AB70" i="1"/>
  <c r="HH57" i="1"/>
  <c r="HH60" i="1" s="1"/>
  <c r="HJ57" i="1"/>
  <c r="HJ60" i="1" s="1"/>
  <c r="GZ75" i="1"/>
  <c r="T103" i="1"/>
  <c r="T74" i="1"/>
  <c r="GZ103" i="1"/>
  <c r="T102" i="1"/>
  <c r="GZ49" i="1"/>
  <c r="HI57" i="1" l="1"/>
  <c r="HI60" i="1" s="1"/>
  <c r="HL55" i="1"/>
  <c r="HM55" i="1" s="1"/>
  <c r="HK56" i="1"/>
  <c r="AE69" i="1"/>
  <c r="T106" i="1"/>
  <c r="GZ109" i="1"/>
  <c r="T75" i="1"/>
  <c r="HA53" i="1"/>
  <c r="T64" i="1"/>
  <c r="AE70" i="1" l="1"/>
  <c r="HK57" i="1"/>
  <c r="HK60" i="1" s="1"/>
  <c r="AG69" i="1"/>
  <c r="HM56" i="1"/>
  <c r="AF69" i="1"/>
  <c r="HL56" i="1"/>
  <c r="AF70" i="1" s="1"/>
  <c r="HN55" i="1"/>
  <c r="U49" i="1"/>
  <c r="U51" i="1" s="1"/>
  <c r="HA73" i="1"/>
  <c r="U71" i="1"/>
  <c r="HA54" i="1"/>
  <c r="HA62" i="1"/>
  <c r="GZ114" i="1"/>
  <c r="T116" i="1" s="1"/>
  <c r="GZ111" i="1"/>
  <c r="GZ110" i="1"/>
  <c r="HA105" i="1" s="1"/>
  <c r="HL57" i="1" l="1"/>
  <c r="HL60" i="1" s="1"/>
  <c r="AH69" i="1"/>
  <c r="HO55" i="1"/>
  <c r="HP55" i="1" s="1"/>
  <c r="AJ69" i="1" s="1"/>
  <c r="HN56" i="1"/>
  <c r="AG70" i="1"/>
  <c r="HM57" i="1"/>
  <c r="HM60" i="1" s="1"/>
  <c r="U72" i="1"/>
  <c r="HA74" i="1"/>
  <c r="U105" i="1" s="1"/>
  <c r="HA48" i="1"/>
  <c r="L90" i="3"/>
  <c r="L91" i="3" s="1"/>
  <c r="U53" i="1"/>
  <c r="HA106" i="1"/>
  <c r="GZ116" i="1"/>
  <c r="HQ55" i="1" l="1"/>
  <c r="HR55" i="1" s="1"/>
  <c r="HP56" i="1"/>
  <c r="AJ70" i="1" s="1"/>
  <c r="AH70" i="1"/>
  <c r="HN57" i="1"/>
  <c r="HN60" i="1" s="1"/>
  <c r="AI69" i="1"/>
  <c r="HO56" i="1"/>
  <c r="HA75" i="1"/>
  <c r="HB53" i="1" s="1"/>
  <c r="U74" i="1"/>
  <c r="U103" i="1"/>
  <c r="GZ120" i="1"/>
  <c r="GZ119" i="1"/>
  <c r="U102" i="1"/>
  <c r="HA49" i="1"/>
  <c r="HA103" i="1"/>
  <c r="HQ56" i="1" l="1"/>
  <c r="AK70" i="1" s="1"/>
  <c r="AK69" i="1"/>
  <c r="HP57" i="1"/>
  <c r="HP60" i="1" s="1"/>
  <c r="U64" i="1"/>
  <c r="AI70" i="1"/>
  <c r="HO57" i="1"/>
  <c r="HO60" i="1" s="1"/>
  <c r="U106" i="1"/>
  <c r="AL69" i="1"/>
  <c r="HR56" i="1"/>
  <c r="AL70" i="1" s="1"/>
  <c r="HS55" i="1"/>
  <c r="HA109" i="1"/>
  <c r="HQ57" i="1"/>
  <c r="HQ60" i="1" s="1"/>
  <c r="U75" i="1"/>
  <c r="T117" i="1"/>
  <c r="T122" i="1"/>
  <c r="T121" i="1"/>
  <c r="HB73" i="1"/>
  <c r="V71" i="1"/>
  <c r="V49" i="1"/>
  <c r="V51" i="1" s="1"/>
  <c r="HB54" i="1"/>
  <c r="HB62" i="1"/>
  <c r="V53" i="1" l="1"/>
  <c r="M90" i="3"/>
  <c r="M91" i="3" s="1"/>
  <c r="HB48" i="1"/>
  <c r="AM69" i="1"/>
  <c r="HS56" i="1"/>
  <c r="AM70" i="1" s="1"/>
  <c r="HT55" i="1"/>
  <c r="HB74" i="1"/>
  <c r="V105" i="1" s="1"/>
  <c r="T118" i="1"/>
  <c r="T123" i="1"/>
  <c r="HR57" i="1"/>
  <c r="HR60" i="1" s="1"/>
  <c r="HA114" i="1"/>
  <c r="U116" i="1" s="1"/>
  <c r="HA111" i="1"/>
  <c r="HA110" i="1"/>
  <c r="HB105" i="1" s="1"/>
  <c r="V72" i="1"/>
  <c r="HA116" i="1" l="1"/>
  <c r="HB103" i="1"/>
  <c r="HB75" i="1"/>
  <c r="V103" i="1"/>
  <c r="V74" i="1"/>
  <c r="HS57" i="1"/>
  <c r="HS60" i="1" s="1"/>
  <c r="HB106" i="1"/>
  <c r="AN69" i="1"/>
  <c r="HT56" i="1"/>
  <c r="AN70" i="1" s="1"/>
  <c r="HU55" i="1"/>
  <c r="V102" i="1"/>
  <c r="HB49" i="1"/>
  <c r="HT57" i="1" l="1"/>
  <c r="HT60" i="1" s="1"/>
  <c r="HC53" i="1"/>
  <c r="V64" i="1"/>
  <c r="HB109" i="1"/>
  <c r="HA119" i="1"/>
  <c r="HA120" i="1"/>
  <c r="V75" i="1"/>
  <c r="V106" i="1"/>
  <c r="AO69" i="1"/>
  <c r="HU56" i="1"/>
  <c r="AO70" i="1" s="1"/>
  <c r="HV55" i="1"/>
  <c r="AP69" i="1" l="1"/>
  <c r="HV56" i="1"/>
  <c r="AP70" i="1" s="1"/>
  <c r="HW55" i="1"/>
  <c r="HU57" i="1"/>
  <c r="HU60" i="1" s="1"/>
  <c r="HC73" i="1"/>
  <c r="W49" i="1"/>
  <c r="W51" i="1" s="1"/>
  <c r="W71" i="1"/>
  <c r="HC54" i="1"/>
  <c r="HC62" i="1"/>
  <c r="U117" i="1"/>
  <c r="U122" i="1"/>
  <c r="HB114" i="1"/>
  <c r="V116" i="1" s="1"/>
  <c r="HB111" i="1"/>
  <c r="U121" i="1"/>
  <c r="HB110" i="1"/>
  <c r="HC105" i="1" s="1"/>
  <c r="W72" i="1" l="1"/>
  <c r="N90" i="3"/>
  <c r="N91" i="3" s="1"/>
  <c r="W53" i="1"/>
  <c r="HC48" i="1"/>
  <c r="U123" i="1"/>
  <c r="HC74" i="1"/>
  <c r="W105" i="1" s="1"/>
  <c r="AQ69" i="1"/>
  <c r="HW56" i="1"/>
  <c r="AQ70" i="1" s="1"/>
  <c r="HX55" i="1"/>
  <c r="U118" i="1"/>
  <c r="HV57" i="1"/>
  <c r="HV60" i="1" s="1"/>
  <c r="HC106" i="1"/>
  <c r="HB116" i="1"/>
  <c r="HC75" i="1" l="1"/>
  <c r="HD53" i="1" s="1"/>
  <c r="W74" i="1"/>
  <c r="W103" i="1"/>
  <c r="HW57" i="1"/>
  <c r="HW60" i="1" s="1"/>
  <c r="HB119" i="1"/>
  <c r="HB120" i="1"/>
  <c r="HC49" i="1"/>
  <c r="W102" i="1"/>
  <c r="AR69" i="1"/>
  <c r="HX56" i="1"/>
  <c r="AR70" i="1" s="1"/>
  <c r="HY55" i="1"/>
  <c r="HC103" i="1"/>
  <c r="W64" i="1" l="1"/>
  <c r="AS69" i="1"/>
  <c r="HY56" i="1"/>
  <c r="AS70" i="1" s="1"/>
  <c r="HZ55" i="1"/>
  <c r="HX57" i="1"/>
  <c r="HX60" i="1" s="1"/>
  <c r="V121" i="1"/>
  <c r="X71" i="1"/>
  <c r="X49" i="1"/>
  <c r="X51" i="1" s="1"/>
  <c r="HD73" i="1"/>
  <c r="HD54" i="1"/>
  <c r="HD62" i="1"/>
  <c r="HC109" i="1"/>
  <c r="W106" i="1"/>
  <c r="W75" i="1"/>
  <c r="V117" i="1"/>
  <c r="V122" i="1"/>
  <c r="V118" i="1" l="1"/>
  <c r="V123" i="1"/>
  <c r="AT69" i="1"/>
  <c r="HZ56" i="1"/>
  <c r="AT70" i="1" s="1"/>
  <c r="IA55" i="1"/>
  <c r="HD48" i="1"/>
  <c r="O90" i="3"/>
  <c r="O91" i="3" s="1"/>
  <c r="X53" i="1"/>
  <c r="HD74" i="1"/>
  <c r="X105" i="1" s="1"/>
  <c r="HY57" i="1"/>
  <c r="HY60" i="1" s="1"/>
  <c r="X72" i="1"/>
  <c r="HC114" i="1"/>
  <c r="HC111" i="1"/>
  <c r="HC110" i="1"/>
  <c r="HD105" i="1" s="1"/>
  <c r="X103" i="1" l="1"/>
  <c r="X74" i="1"/>
  <c r="HC116" i="1"/>
  <c r="HZ57" i="1"/>
  <c r="HZ60" i="1" s="1"/>
  <c r="HD103" i="1"/>
  <c r="HD75" i="1"/>
  <c r="HD106" i="1"/>
  <c r="HD49" i="1"/>
  <c r="X102" i="1"/>
  <c r="W116" i="1"/>
  <c r="AU69" i="1"/>
  <c r="IA56" i="1"/>
  <c r="AU70" i="1" s="1"/>
  <c r="IB55" i="1"/>
  <c r="IA57" i="1" l="1"/>
  <c r="IA60" i="1" s="1"/>
  <c r="HC119" i="1"/>
  <c r="HC120" i="1"/>
  <c r="X106" i="1"/>
  <c r="X75" i="1"/>
  <c r="X64" i="1"/>
  <c r="HE53" i="1"/>
  <c r="AV69" i="1"/>
  <c r="IB56" i="1"/>
  <c r="AV70" i="1" s="1"/>
  <c r="IC55" i="1"/>
  <c r="HD109" i="1"/>
  <c r="HD114" i="1" l="1"/>
  <c r="HD111" i="1"/>
  <c r="HD110" i="1"/>
  <c r="HE105" i="1" s="1"/>
  <c r="HD116" i="1"/>
  <c r="AW69" i="1"/>
  <c r="IC56" i="1"/>
  <c r="AW70" i="1" s="1"/>
  <c r="ID55" i="1"/>
  <c r="W117" i="1"/>
  <c r="W122" i="1"/>
  <c r="W121" i="1"/>
  <c r="IB57" i="1"/>
  <c r="IB60" i="1" s="1"/>
  <c r="Y71" i="1"/>
  <c r="Y72" i="1" s="1"/>
  <c r="Y49" i="1"/>
  <c r="Y51" i="1" s="1"/>
  <c r="HE73" i="1"/>
  <c r="HE54" i="1"/>
  <c r="HE62" i="1"/>
  <c r="HE48" i="1" l="1"/>
  <c r="P90" i="3"/>
  <c r="P91" i="3" s="1"/>
  <c r="Y53" i="1"/>
  <c r="Y103" i="1"/>
  <c r="Y74" i="1"/>
  <c r="Y75" i="1" s="1"/>
  <c r="AX69" i="1"/>
  <c r="ID56" i="1"/>
  <c r="AX70" i="1" s="1"/>
  <c r="IE55" i="1"/>
  <c r="HD120" i="1"/>
  <c r="HD119" i="1"/>
  <c r="HE74" i="1"/>
  <c r="Y105" i="1" s="1"/>
  <c r="HE103" i="1" s="1"/>
  <c r="HE106" i="1"/>
  <c r="W118" i="1"/>
  <c r="IC57" i="1"/>
  <c r="IC60" i="1" s="1"/>
  <c r="W123" i="1"/>
  <c r="X116" i="1"/>
  <c r="HE75" i="1" l="1"/>
  <c r="Y64" i="1" s="1"/>
  <c r="X117" i="1"/>
  <c r="X118" i="1" s="1"/>
  <c r="X122" i="1"/>
  <c r="AY69" i="1"/>
  <c r="IE56" i="1"/>
  <c r="AY70" i="1" s="1"/>
  <c r="IF55" i="1"/>
  <c r="ID57" i="1"/>
  <c r="ID60" i="1" s="1"/>
  <c r="HE49" i="1"/>
  <c r="Y102" i="1"/>
  <c r="Y106" i="1" s="1"/>
  <c r="X121" i="1"/>
  <c r="HE109" i="1"/>
  <c r="HF53" i="1" l="1"/>
  <c r="AZ69" i="1"/>
  <c r="IF56" i="1"/>
  <c r="AZ70" i="1" s="1"/>
  <c r="IG55" i="1"/>
  <c r="Z49" i="1"/>
  <c r="Z51" i="1" s="1"/>
  <c r="Z71" i="1"/>
  <c r="Z72" i="1" s="1"/>
  <c r="HF73" i="1"/>
  <c r="HF54" i="1"/>
  <c r="HF62" i="1"/>
  <c r="IE57" i="1"/>
  <c r="IE60" i="1" s="1"/>
  <c r="X123" i="1"/>
  <c r="HE114" i="1"/>
  <c r="Y116" i="1" s="1"/>
  <c r="HE111" i="1"/>
  <c r="HE110" i="1"/>
  <c r="HF105" i="1" s="1"/>
  <c r="HF74" i="1" l="1"/>
  <c r="Z105" i="1" s="1"/>
  <c r="HF103" i="1" s="1"/>
  <c r="HE116" i="1"/>
  <c r="Z103" i="1"/>
  <c r="Z74" i="1"/>
  <c r="HF48" i="1"/>
  <c r="Q90" i="3"/>
  <c r="Q91" i="3" s="1"/>
  <c r="Z53" i="1"/>
  <c r="BA69" i="1"/>
  <c r="IG56" i="1"/>
  <c r="BA70" i="1" s="1"/>
  <c r="IH55" i="1"/>
  <c r="HF106" i="1"/>
  <c r="IF57" i="1"/>
  <c r="IF60" i="1" s="1"/>
  <c r="IG57" i="1" l="1"/>
  <c r="IG60" i="1" s="1"/>
  <c r="HF49" i="1"/>
  <c r="Z102" i="1"/>
  <c r="Z106" i="1" s="1"/>
  <c r="Z75" i="1"/>
  <c r="BB69" i="1"/>
  <c r="IH56" i="1"/>
  <c r="BB70" i="1" s="1"/>
  <c r="II55" i="1"/>
  <c r="HE119" i="1"/>
  <c r="HE120" i="1"/>
  <c r="Y121" i="1" s="1"/>
  <c r="HF109" i="1"/>
  <c r="HF75" i="1"/>
  <c r="IH57" i="1" l="1"/>
  <c r="IH60" i="1" s="1"/>
  <c r="BC69" i="1"/>
  <c r="II56" i="1"/>
  <c r="BC70" i="1" s="1"/>
  <c r="IJ55" i="1"/>
  <c r="Y117" i="1"/>
  <c r="Y118" i="1" s="1"/>
  <c r="Y122" i="1"/>
  <c r="Y123" i="1" s="1"/>
  <c r="HG53" i="1"/>
  <c r="Z64" i="1"/>
  <c r="HF114" i="1"/>
  <c r="HF111" i="1"/>
  <c r="HF110" i="1"/>
  <c r="HG105" i="1" s="1"/>
  <c r="AA49" i="1" l="1"/>
  <c r="AA51" i="1" s="1"/>
  <c r="AA71" i="1"/>
  <c r="AA72" i="1" s="1"/>
  <c r="HG73" i="1"/>
  <c r="HG54" i="1"/>
  <c r="HG62" i="1"/>
  <c r="HG106" i="1"/>
  <c r="BD69" i="1"/>
  <c r="IJ56" i="1"/>
  <c r="BD70" i="1" s="1"/>
  <c r="IK55" i="1"/>
  <c r="HF116" i="1"/>
  <c r="II57" i="1"/>
  <c r="II60" i="1" s="1"/>
  <c r="Z116" i="1"/>
  <c r="IJ57" i="1" l="1"/>
  <c r="IJ60" i="1" s="1"/>
  <c r="HG74" i="1"/>
  <c r="AA105" i="1" s="1"/>
  <c r="HG103" i="1" s="1"/>
  <c r="AA103" i="1"/>
  <c r="AA74" i="1"/>
  <c r="HF119" i="1"/>
  <c r="HF120" i="1"/>
  <c r="Z121" i="1" s="1"/>
  <c r="BE69" i="1"/>
  <c r="IK56" i="1"/>
  <c r="BE70" i="1" s="1"/>
  <c r="IL55" i="1"/>
  <c r="HG48" i="1"/>
  <c r="R90" i="3"/>
  <c r="R91" i="3" s="1"/>
  <c r="AA53" i="1"/>
  <c r="AA75" i="1" l="1"/>
  <c r="HG75" i="1"/>
  <c r="AA64" i="1" s="1"/>
  <c r="AA102" i="1"/>
  <c r="AA106" i="1" s="1"/>
  <c r="HG49" i="1"/>
  <c r="IK57" i="1"/>
  <c r="IK60" i="1" s="1"/>
  <c r="Z117" i="1"/>
  <c r="Z118" i="1" s="1"/>
  <c r="Z122" i="1"/>
  <c r="Z123" i="1" s="1"/>
  <c r="HG109" i="1"/>
  <c r="BF69" i="1"/>
  <c r="IL56" i="1"/>
  <c r="BF70" i="1" s="1"/>
  <c r="IM55" i="1"/>
  <c r="HH53" i="1" l="1"/>
  <c r="HH73" i="1" s="1"/>
  <c r="HG114" i="1"/>
  <c r="HG116" i="1" s="1"/>
  <c r="HG111" i="1"/>
  <c r="HG110" i="1"/>
  <c r="HH105" i="1" s="1"/>
  <c r="IL57" i="1"/>
  <c r="IL60" i="1" s="1"/>
  <c r="BG69" i="1"/>
  <c r="IM56" i="1"/>
  <c r="BG70" i="1" s="1"/>
  <c r="IN55" i="1"/>
  <c r="HH54" i="1" l="1"/>
  <c r="AB71" i="1"/>
  <c r="AB72" i="1" s="1"/>
  <c r="HH62" i="1"/>
  <c r="AB49" i="1"/>
  <c r="AB51" i="1" s="1"/>
  <c r="AB53" i="1" s="1"/>
  <c r="AB74" i="1"/>
  <c r="AB103" i="1"/>
  <c r="HH106" i="1"/>
  <c r="BH69" i="1"/>
  <c r="IN56" i="1"/>
  <c r="BH70" i="1" s="1"/>
  <c r="IO55" i="1"/>
  <c r="HG119" i="1"/>
  <c r="HG120" i="1"/>
  <c r="AA121" i="1" s="1"/>
  <c r="IM57" i="1"/>
  <c r="IM60" i="1" s="1"/>
  <c r="HH74" i="1"/>
  <c r="AB105" i="1" s="1"/>
  <c r="HH103" i="1" s="1"/>
  <c r="AA116" i="1"/>
  <c r="S90" i="3" l="1"/>
  <c r="S91" i="3" s="1"/>
  <c r="HH48" i="1"/>
  <c r="AA117" i="1"/>
  <c r="AA118" i="1" s="1"/>
  <c r="AA122" i="1"/>
  <c r="AA123" i="1" s="1"/>
  <c r="HH49" i="1"/>
  <c r="AB102" i="1"/>
  <c r="AB106" i="1" s="1"/>
  <c r="BI69" i="1"/>
  <c r="IO56" i="1"/>
  <c r="BI70" i="1" s="1"/>
  <c r="IP55" i="1"/>
  <c r="HH109" i="1"/>
  <c r="IN57" i="1"/>
  <c r="IN60" i="1" s="1"/>
  <c r="HH75" i="1"/>
  <c r="AB75" i="1"/>
  <c r="HH114" i="1" l="1"/>
  <c r="HH116" i="1" s="1"/>
  <c r="HH111" i="1"/>
  <c r="HH110" i="1"/>
  <c r="HI105" i="1" s="1"/>
  <c r="BJ69" i="1"/>
  <c r="IP56" i="1"/>
  <c r="BJ70" i="1" s="1"/>
  <c r="IQ55" i="1"/>
  <c r="IO57" i="1"/>
  <c r="IO60" i="1" s="1"/>
  <c r="AB64" i="1"/>
  <c r="HI53" i="1"/>
  <c r="HH119" i="1" l="1"/>
  <c r="HH120" i="1"/>
  <c r="AB121" i="1" s="1"/>
  <c r="BK69" i="1"/>
  <c r="IQ56" i="1"/>
  <c r="BK70" i="1" s="1"/>
  <c r="IR55" i="1"/>
  <c r="IP57" i="1"/>
  <c r="IP60" i="1" s="1"/>
  <c r="HI106" i="1"/>
  <c r="HI73" i="1"/>
  <c r="AC49" i="1"/>
  <c r="AC51" i="1" s="1"/>
  <c r="AC71" i="1"/>
  <c r="AC72" i="1" s="1"/>
  <c r="HI54" i="1"/>
  <c r="HI62" i="1"/>
  <c r="AB116" i="1"/>
  <c r="HI74" i="1" l="1"/>
  <c r="AC105" i="1" s="1"/>
  <c r="HI103" i="1" s="1"/>
  <c r="IQ57" i="1"/>
  <c r="IQ60" i="1" s="1"/>
  <c r="AB117" i="1"/>
  <c r="AB118" i="1" s="1"/>
  <c r="AB122" i="1"/>
  <c r="AB123" i="1" s="1"/>
  <c r="BL69" i="1"/>
  <c r="IR56" i="1"/>
  <c r="BL70" i="1" s="1"/>
  <c r="IS55" i="1"/>
  <c r="AC103" i="1"/>
  <c r="AC74" i="1"/>
  <c r="AC53" i="1"/>
  <c r="HI48" i="1"/>
  <c r="T90" i="3"/>
  <c r="T91" i="3" s="1"/>
  <c r="HI49" i="1" l="1"/>
  <c r="AC102" i="1"/>
  <c r="AC106" i="1" s="1"/>
  <c r="IR57" i="1"/>
  <c r="IR60" i="1" s="1"/>
  <c r="HI109" i="1"/>
  <c r="BM69" i="1"/>
  <c r="IS56" i="1"/>
  <c r="BM70" i="1" s="1"/>
  <c r="IT55" i="1"/>
  <c r="AC75" i="1"/>
  <c r="HI75" i="1"/>
  <c r="HJ53" i="1" l="1"/>
  <c r="AC64" i="1"/>
  <c r="BN69" i="1"/>
  <c r="IT56" i="1"/>
  <c r="BN70" i="1" s="1"/>
  <c r="IU55" i="1"/>
  <c r="IS57" i="1"/>
  <c r="IS60" i="1" s="1"/>
  <c r="HI114" i="1"/>
  <c r="HI111" i="1"/>
  <c r="HI110" i="1"/>
  <c r="HJ105" i="1" s="1"/>
  <c r="HI116" i="1" l="1"/>
  <c r="AC116" i="1"/>
  <c r="IT57" i="1"/>
  <c r="IT60" i="1" s="1"/>
  <c r="AD71" i="1"/>
  <c r="AD72" i="1" s="1"/>
  <c r="HJ73" i="1"/>
  <c r="AD49" i="1"/>
  <c r="AD51" i="1" s="1"/>
  <c r="HJ54" i="1"/>
  <c r="HJ62" i="1"/>
  <c r="BO69" i="1"/>
  <c r="IU56" i="1"/>
  <c r="BO70" i="1" s="1"/>
  <c r="IV55" i="1"/>
  <c r="HJ106" i="1"/>
  <c r="IU57" i="1" l="1"/>
  <c r="IU60" i="1" s="1"/>
  <c r="HJ74" i="1"/>
  <c r="AD105" i="1" s="1"/>
  <c r="HJ103" i="1" s="1"/>
  <c r="AD103" i="1"/>
  <c r="AD74" i="1"/>
  <c r="HI120" i="1"/>
  <c r="AC121" i="1" s="1"/>
  <c r="HI119" i="1"/>
  <c r="AD53" i="1"/>
  <c r="HJ48" i="1"/>
  <c r="U90" i="3"/>
  <c r="U91" i="3" s="1"/>
  <c r="BP69" i="1"/>
  <c r="IV56" i="1"/>
  <c r="BP70" i="1" s="1"/>
  <c r="IW55" i="1"/>
  <c r="AD102" i="1" l="1"/>
  <c r="AD106" i="1" s="1"/>
  <c r="HJ49" i="1"/>
  <c r="AC117" i="1"/>
  <c r="AC118" i="1" s="1"/>
  <c r="AC122" i="1"/>
  <c r="AC123" i="1" s="1"/>
  <c r="IV57" i="1"/>
  <c r="IV60" i="1" s="1"/>
  <c r="HJ109" i="1"/>
  <c r="AD75" i="1"/>
  <c r="BQ69" i="1"/>
  <c r="IW56" i="1"/>
  <c r="BQ70" i="1" s="1"/>
  <c r="IX55" i="1"/>
  <c r="HJ75" i="1"/>
  <c r="IW57" i="1" l="1"/>
  <c r="IW60" i="1" s="1"/>
  <c r="HJ114" i="1"/>
  <c r="AD116" i="1" s="1"/>
  <c r="HJ111" i="1"/>
  <c r="HJ110" i="1"/>
  <c r="HK105" i="1" s="1"/>
  <c r="BR69" i="1"/>
  <c r="IX56" i="1"/>
  <c r="BR70" i="1" s="1"/>
  <c r="IY55" i="1"/>
  <c r="HK53" i="1"/>
  <c r="AD64" i="1"/>
  <c r="BS69" i="1" l="1"/>
  <c r="IY56" i="1"/>
  <c r="BS70" i="1" s="1"/>
  <c r="IZ55" i="1"/>
  <c r="IX57" i="1"/>
  <c r="IX60" i="1" s="1"/>
  <c r="HK106" i="1"/>
  <c r="HK73" i="1"/>
  <c r="AE49" i="1"/>
  <c r="AE51" i="1" s="1"/>
  <c r="AE71" i="1"/>
  <c r="AE72" i="1" s="1"/>
  <c r="HK54" i="1"/>
  <c r="HK62" i="1"/>
  <c r="HJ116" i="1"/>
  <c r="AE53" i="1" l="1"/>
  <c r="V90" i="3"/>
  <c r="V91" i="3" s="1"/>
  <c r="HK48" i="1"/>
  <c r="BT69" i="1"/>
  <c r="IZ56" i="1"/>
  <c r="BT70" i="1" s="1"/>
  <c r="JA55" i="1"/>
  <c r="IY57" i="1"/>
  <c r="IY60" i="1" s="1"/>
  <c r="HK74" i="1"/>
  <c r="AE105" i="1" s="1"/>
  <c r="HK103" i="1" s="1"/>
  <c r="HJ119" i="1"/>
  <c r="HJ120" i="1"/>
  <c r="AD121" i="1" s="1"/>
  <c r="AE74" i="1"/>
  <c r="AE103" i="1"/>
  <c r="AE75" i="1" l="1"/>
  <c r="AD117" i="1"/>
  <c r="AD118" i="1" s="1"/>
  <c r="AD122" i="1"/>
  <c r="AD123" i="1" s="1"/>
  <c r="HK75" i="1"/>
  <c r="HK109" i="1"/>
  <c r="AE102" i="1"/>
  <c r="AE106" i="1" s="1"/>
  <c r="HK49" i="1"/>
  <c r="BU69" i="1"/>
  <c r="JA56" i="1"/>
  <c r="BU70" i="1" s="1"/>
  <c r="JB55" i="1"/>
  <c r="IZ57" i="1"/>
  <c r="IZ60" i="1" s="1"/>
  <c r="JA57" i="1" l="1"/>
  <c r="JA60" i="1" s="1"/>
  <c r="HK114" i="1"/>
  <c r="HK116" i="1" s="1"/>
  <c r="HK111" i="1"/>
  <c r="HK110" i="1"/>
  <c r="HL105" i="1" s="1"/>
  <c r="BV69" i="1"/>
  <c r="JB56" i="1"/>
  <c r="BV70" i="1" s="1"/>
  <c r="JC55" i="1"/>
  <c r="AE64" i="1"/>
  <c r="HL53" i="1"/>
  <c r="JB57" i="1" l="1"/>
  <c r="JB60" i="1" s="1"/>
  <c r="BW69" i="1"/>
  <c r="JC56" i="1"/>
  <c r="BW70" i="1" s="1"/>
  <c r="JD55" i="1"/>
  <c r="HK120" i="1"/>
  <c r="HK119" i="1"/>
  <c r="HL106" i="1"/>
  <c r="AE121" i="1"/>
  <c r="AF49" i="1"/>
  <c r="AF51" i="1" s="1"/>
  <c r="AF71" i="1"/>
  <c r="AF72" i="1" s="1"/>
  <c r="HL73" i="1"/>
  <c r="HL54" i="1"/>
  <c r="HL62" i="1"/>
  <c r="AE116" i="1"/>
  <c r="AE117" i="1" l="1"/>
  <c r="AE122" i="1"/>
  <c r="AE123" i="1" s="1"/>
  <c r="HL74" i="1"/>
  <c r="AF105" i="1" s="1"/>
  <c r="HL103" i="1" s="1"/>
  <c r="JC57" i="1"/>
  <c r="JC60" i="1" s="1"/>
  <c r="AE118" i="1"/>
  <c r="BX69" i="1"/>
  <c r="JD56" i="1"/>
  <c r="BX70" i="1" s="1"/>
  <c r="JE55" i="1"/>
  <c r="AF103" i="1"/>
  <c r="AF74" i="1"/>
  <c r="AF53" i="1"/>
  <c r="W90" i="3"/>
  <c r="W91" i="3" s="1"/>
  <c r="HL48" i="1"/>
  <c r="BY69" i="1" l="1"/>
  <c r="JE56" i="1"/>
  <c r="BY70" i="1" s="1"/>
  <c r="JF55" i="1"/>
  <c r="HL109" i="1"/>
  <c r="JD57" i="1"/>
  <c r="JD60" i="1" s="1"/>
  <c r="HL75" i="1"/>
  <c r="HL49" i="1"/>
  <c r="AF102" i="1"/>
  <c r="AF106" i="1" s="1"/>
  <c r="AF75" i="1"/>
  <c r="AF64" i="1" l="1"/>
  <c r="HM53" i="1"/>
  <c r="HL114" i="1"/>
  <c r="HL111" i="1"/>
  <c r="HL110" i="1"/>
  <c r="HM105" i="1" s="1"/>
  <c r="BZ69" i="1"/>
  <c r="JF56" i="1"/>
  <c r="BZ70" i="1" s="1"/>
  <c r="JG55" i="1"/>
  <c r="JE57" i="1"/>
  <c r="JE60" i="1" s="1"/>
  <c r="JF57" i="1" l="1"/>
  <c r="JF60" i="1" s="1"/>
  <c r="HM106" i="1"/>
  <c r="HL116" i="1"/>
  <c r="AF116" i="1"/>
  <c r="AG71" i="1"/>
  <c r="AG72" i="1" s="1"/>
  <c r="HM73" i="1"/>
  <c r="AG49" i="1"/>
  <c r="AG51" i="1" s="1"/>
  <c r="HM54" i="1"/>
  <c r="HM62" i="1"/>
  <c r="CA69" i="1"/>
  <c r="JG56" i="1"/>
  <c r="CA70" i="1" s="1"/>
  <c r="JH55" i="1"/>
  <c r="HM74" i="1" l="1"/>
  <c r="AG105" i="1" s="1"/>
  <c r="HM103" i="1" s="1"/>
  <c r="HM48" i="1"/>
  <c r="X90" i="3"/>
  <c r="X91" i="3" s="1"/>
  <c r="AG53" i="1"/>
  <c r="AG74" i="1"/>
  <c r="AG75" i="1" s="1"/>
  <c r="AG103" i="1"/>
  <c r="HL119" i="1"/>
  <c r="HL120" i="1"/>
  <c r="AF121" i="1" s="1"/>
  <c r="JG57" i="1"/>
  <c r="JG60" i="1" s="1"/>
  <c r="CB69" i="1"/>
  <c r="JH56" i="1"/>
  <c r="CB70" i="1" s="1"/>
  <c r="JI55" i="1"/>
  <c r="AF117" i="1" l="1"/>
  <c r="AF118" i="1" s="1"/>
  <c r="AF122" i="1"/>
  <c r="AF123" i="1" s="1"/>
  <c r="HM49" i="1"/>
  <c r="AG102" i="1"/>
  <c r="AG106" i="1" s="1"/>
  <c r="HM109" i="1"/>
  <c r="CC69" i="1"/>
  <c r="JI56" i="1"/>
  <c r="CC70" i="1" s="1"/>
  <c r="JJ55" i="1"/>
  <c r="JH57" i="1"/>
  <c r="JH60" i="1" s="1"/>
  <c r="HM75" i="1"/>
  <c r="CD69" i="1" l="1"/>
  <c r="JJ56" i="1"/>
  <c r="CD70" i="1" s="1"/>
  <c r="JK55" i="1"/>
  <c r="JI57" i="1"/>
  <c r="JI60" i="1" s="1"/>
  <c r="AG64" i="1"/>
  <c r="HN53" i="1"/>
  <c r="HM114" i="1"/>
  <c r="AG116" i="1" s="1"/>
  <c r="HM111" i="1"/>
  <c r="HM110" i="1"/>
  <c r="HN105" i="1" s="1"/>
  <c r="CE69" i="1" l="1"/>
  <c r="JK56" i="1"/>
  <c r="CE70" i="1" s="1"/>
  <c r="JL55" i="1"/>
  <c r="HN106" i="1"/>
  <c r="AH49" i="1"/>
  <c r="AH51" i="1" s="1"/>
  <c r="HN73" i="1"/>
  <c r="AH71" i="1"/>
  <c r="AH72" i="1" s="1"/>
  <c r="HN54" i="1"/>
  <c r="HN62" i="1"/>
  <c r="JJ57" i="1"/>
  <c r="JJ60" i="1" s="1"/>
  <c r="HM116" i="1"/>
  <c r="AH103" i="1" l="1"/>
  <c r="AH74" i="1"/>
  <c r="HN74" i="1"/>
  <c r="AH105" i="1" s="1"/>
  <c r="HN103" i="1" s="1"/>
  <c r="HM120" i="1"/>
  <c r="AG121" i="1" s="1"/>
  <c r="HM119" i="1"/>
  <c r="HN48" i="1"/>
  <c r="Y90" i="3"/>
  <c r="Y91" i="3" s="1"/>
  <c r="AH53" i="1"/>
  <c r="CF69" i="1"/>
  <c r="JL56" i="1"/>
  <c r="CF70" i="1" s="1"/>
  <c r="JM55" i="1"/>
  <c r="JK57" i="1"/>
  <c r="JK60" i="1" s="1"/>
  <c r="JL57" i="1" l="1"/>
  <c r="JL60" i="1" s="1"/>
  <c r="AH102" i="1"/>
  <c r="AH106" i="1" s="1"/>
  <c r="HN49" i="1"/>
  <c r="AG117" i="1"/>
  <c r="AG118" i="1" s="1"/>
  <c r="AG122" i="1"/>
  <c r="AG123" i="1" s="1"/>
  <c r="CG69" i="1"/>
  <c r="JM56" i="1"/>
  <c r="CG70" i="1" s="1"/>
  <c r="JN55" i="1"/>
  <c r="HN109" i="1"/>
  <c r="HN75" i="1"/>
  <c r="AH75" i="1"/>
  <c r="CH69" i="1" l="1"/>
  <c r="JN56" i="1"/>
  <c r="CH70" i="1" s="1"/>
  <c r="JO55" i="1"/>
  <c r="HN114" i="1"/>
  <c r="HN111" i="1"/>
  <c r="HN110" i="1"/>
  <c r="HO105" i="1" s="1"/>
  <c r="HN116" i="1"/>
  <c r="JM57" i="1"/>
  <c r="JM60" i="1" s="1"/>
  <c r="AH64" i="1"/>
  <c r="HO53" i="1"/>
  <c r="HN119" i="1" l="1"/>
  <c r="HN120" i="1"/>
  <c r="AH121" i="1" s="1"/>
  <c r="CI69" i="1"/>
  <c r="JO56" i="1"/>
  <c r="CI70" i="1" s="1"/>
  <c r="JP55" i="1"/>
  <c r="HO106" i="1"/>
  <c r="AH116" i="1"/>
  <c r="HO73" i="1"/>
  <c r="AI71" i="1"/>
  <c r="AI72" i="1" s="1"/>
  <c r="AI49" i="1"/>
  <c r="AI51" i="1" s="1"/>
  <c r="HO54" i="1"/>
  <c r="HO62" i="1"/>
  <c r="JN57" i="1"/>
  <c r="JN60" i="1" s="1"/>
  <c r="AI103" i="1" l="1"/>
  <c r="AI74" i="1"/>
  <c r="HO74" i="1"/>
  <c r="AI105" i="1" s="1"/>
  <c r="HO103" i="1" s="1"/>
  <c r="CJ69" i="1"/>
  <c r="JP56" i="1"/>
  <c r="CJ70" i="1" s="1"/>
  <c r="JQ55" i="1"/>
  <c r="AH117" i="1"/>
  <c r="AH118" i="1" s="1"/>
  <c r="AH122" i="1"/>
  <c r="AH123" i="1" s="1"/>
  <c r="JO57" i="1"/>
  <c r="JO60" i="1" s="1"/>
  <c r="HO48" i="1"/>
  <c r="Z90" i="3"/>
  <c r="Z91" i="3" s="1"/>
  <c r="AI53" i="1"/>
  <c r="JP57" i="1" l="1"/>
  <c r="JP60" i="1" s="1"/>
  <c r="HO49" i="1"/>
  <c r="AI102" i="1"/>
  <c r="AI106" i="1" s="1"/>
  <c r="CK69" i="1"/>
  <c r="JQ56" i="1"/>
  <c r="CK70" i="1" s="1"/>
  <c r="JR55" i="1"/>
  <c r="HO109" i="1"/>
  <c r="HO75" i="1"/>
  <c r="AI75" i="1"/>
  <c r="AI64" i="1" l="1"/>
  <c r="HP53" i="1"/>
  <c r="HO114" i="1"/>
  <c r="HO111" i="1"/>
  <c r="HO110" i="1"/>
  <c r="HP105" i="1" s="1"/>
  <c r="HO116" i="1"/>
  <c r="CL69" i="1"/>
  <c r="JR56" i="1"/>
  <c r="CL70" i="1" s="1"/>
  <c r="JS55" i="1"/>
  <c r="JQ57" i="1"/>
  <c r="JQ60" i="1" s="1"/>
  <c r="JR57" i="1" l="1"/>
  <c r="JR60" i="1" s="1"/>
  <c r="HP106" i="1"/>
  <c r="HO120" i="1"/>
  <c r="AI121" i="1" s="1"/>
  <c r="HO119" i="1"/>
  <c r="AI116" i="1"/>
  <c r="AJ71" i="1"/>
  <c r="AJ72" i="1" s="1"/>
  <c r="HP73" i="1"/>
  <c r="AJ49" i="1"/>
  <c r="AJ51" i="1" s="1"/>
  <c r="HP54" i="1"/>
  <c r="HP62" i="1"/>
  <c r="CM69" i="1"/>
  <c r="JS56" i="1"/>
  <c r="CM70" i="1" s="1"/>
  <c r="JT55" i="1"/>
  <c r="AA90" i="3" l="1"/>
  <c r="AA91" i="3" s="1"/>
  <c r="AJ53" i="1"/>
  <c r="HP48" i="1"/>
  <c r="HP74" i="1"/>
  <c r="AJ105" i="1" s="1"/>
  <c r="HP103" i="1" s="1"/>
  <c r="AJ103" i="1"/>
  <c r="AJ74" i="1"/>
  <c r="AI117" i="1"/>
  <c r="AI118" i="1" s="1"/>
  <c r="AI122" i="1"/>
  <c r="AI123" i="1" s="1"/>
  <c r="CN69" i="1"/>
  <c r="JT56" i="1"/>
  <c r="CN70" i="1" s="1"/>
  <c r="JU55" i="1"/>
  <c r="JS57" i="1"/>
  <c r="JS60" i="1" s="1"/>
  <c r="AJ75" i="1" l="1"/>
  <c r="JT57" i="1"/>
  <c r="JT60" i="1" s="1"/>
  <c r="HP75" i="1"/>
  <c r="CO69" i="1"/>
  <c r="JU56" i="1"/>
  <c r="CO70" i="1" s="1"/>
  <c r="JV55" i="1"/>
  <c r="AJ102" i="1"/>
  <c r="AJ106" i="1" s="1"/>
  <c r="HP49" i="1"/>
  <c r="HP109" i="1"/>
  <c r="HP114" i="1" l="1"/>
  <c r="HP111" i="1"/>
  <c r="HP110" i="1"/>
  <c r="HQ105" i="1" s="1"/>
  <c r="CP69" i="1"/>
  <c r="JV56" i="1"/>
  <c r="CP70" i="1" s="1"/>
  <c r="JW55" i="1"/>
  <c r="JU57" i="1"/>
  <c r="JU60" i="1" s="1"/>
  <c r="AJ64" i="1"/>
  <c r="HQ53" i="1"/>
  <c r="JV57" i="1" l="1"/>
  <c r="JV60" i="1" s="1"/>
  <c r="CQ69" i="1"/>
  <c r="JW56" i="1"/>
  <c r="CQ70" i="1" s="1"/>
  <c r="JX55" i="1"/>
  <c r="HQ106" i="1"/>
  <c r="AK71" i="1"/>
  <c r="AK72" i="1" s="1"/>
  <c r="HQ73" i="1"/>
  <c r="AK49" i="1"/>
  <c r="AK51" i="1" s="1"/>
  <c r="HQ54" i="1"/>
  <c r="HQ62" i="1"/>
  <c r="AJ116" i="1"/>
  <c r="HP116" i="1"/>
  <c r="HQ74" i="1" l="1"/>
  <c r="AK105" i="1" s="1"/>
  <c r="HQ103" i="1" s="1"/>
  <c r="AB90" i="3"/>
  <c r="AB91" i="3" s="1"/>
  <c r="HQ48" i="1"/>
  <c r="AK53" i="1"/>
  <c r="AK103" i="1"/>
  <c r="AK74" i="1"/>
  <c r="HP120" i="1"/>
  <c r="AJ121" i="1" s="1"/>
  <c r="HP119" i="1"/>
  <c r="CR69" i="1"/>
  <c r="JX56" i="1"/>
  <c r="CR70" i="1" s="1"/>
  <c r="JY55" i="1"/>
  <c r="JW57" i="1"/>
  <c r="JW60" i="1" s="1"/>
  <c r="AK75" i="1" l="1"/>
  <c r="JX57" i="1"/>
  <c r="JX60" i="1" s="1"/>
  <c r="HQ49" i="1"/>
  <c r="AK102" i="1"/>
  <c r="AK106" i="1" s="1"/>
  <c r="CS69" i="1"/>
  <c r="JY56" i="1"/>
  <c r="CS70" i="1" s="1"/>
  <c r="JZ55" i="1"/>
  <c r="AJ117" i="1"/>
  <c r="AJ118" i="1" s="1"/>
  <c r="AJ122" i="1"/>
  <c r="AJ123" i="1" s="1"/>
  <c r="HQ109" i="1"/>
  <c r="HQ75" i="1"/>
  <c r="HR53" i="1" l="1"/>
  <c r="AK64" i="1"/>
  <c r="HQ114" i="1"/>
  <c r="AK116" i="1" s="1"/>
  <c r="HQ111" i="1"/>
  <c r="HQ110" i="1"/>
  <c r="HR105" i="1" s="1"/>
  <c r="HQ116" i="1"/>
  <c r="CT69" i="1"/>
  <c r="JZ56" i="1"/>
  <c r="CT70" i="1" s="1"/>
  <c r="KA55" i="1"/>
  <c r="JY57" i="1"/>
  <c r="JY60" i="1" s="1"/>
  <c r="JZ57" i="1" l="1"/>
  <c r="JZ60" i="1" s="1"/>
  <c r="HR106" i="1"/>
  <c r="HQ119" i="1"/>
  <c r="HQ120" i="1"/>
  <c r="AK121" i="1" s="1"/>
  <c r="CU69" i="1"/>
  <c r="KA56" i="1"/>
  <c r="CU70" i="1" s="1"/>
  <c r="KB55" i="1"/>
  <c r="AL71" i="1"/>
  <c r="AL72" i="1" s="1"/>
  <c r="HR73" i="1"/>
  <c r="AL49" i="1"/>
  <c r="AL51" i="1" s="1"/>
  <c r="HR54" i="1"/>
  <c r="HR62" i="1"/>
  <c r="AL103" i="1" l="1"/>
  <c r="AL74" i="1"/>
  <c r="KA57" i="1"/>
  <c r="KA60" i="1" s="1"/>
  <c r="CV69" i="1"/>
  <c r="KB56" i="1"/>
  <c r="CV70" i="1" s="1"/>
  <c r="KC55" i="1"/>
  <c r="AK117" i="1"/>
  <c r="AK118" i="1" s="1"/>
  <c r="AK122" i="1"/>
  <c r="AK123" i="1" s="1"/>
  <c r="HR48" i="1"/>
  <c r="AC90" i="3"/>
  <c r="AC91" i="3" s="1"/>
  <c r="AL53" i="1"/>
  <c r="HR74" i="1"/>
  <c r="AL105" i="1" s="1"/>
  <c r="HR103" i="1" s="1"/>
  <c r="KB57" i="1" l="1"/>
  <c r="KB60" i="1" s="1"/>
  <c r="CW69" i="1"/>
  <c r="KC56" i="1"/>
  <c r="CW70" i="1" s="1"/>
  <c r="KD55" i="1"/>
  <c r="HR109" i="1"/>
  <c r="HR75" i="1"/>
  <c r="HR49" i="1"/>
  <c r="AL102" i="1"/>
  <c r="AL106" i="1" s="1"/>
  <c r="AL75" i="1"/>
  <c r="AL64" i="1" l="1"/>
  <c r="HS53" i="1"/>
  <c r="HR114" i="1"/>
  <c r="AL116" i="1" s="1"/>
  <c r="HR111" i="1"/>
  <c r="HR110" i="1"/>
  <c r="HS105" i="1" s="1"/>
  <c r="HR116" i="1"/>
  <c r="CX69" i="1"/>
  <c r="KD56" i="1"/>
  <c r="CX70" i="1" s="1"/>
  <c r="KE55" i="1"/>
  <c r="KC57" i="1"/>
  <c r="KC60" i="1" s="1"/>
  <c r="KD57" i="1" l="1"/>
  <c r="KD60" i="1" s="1"/>
  <c r="HS106" i="1"/>
  <c r="HR119" i="1"/>
  <c r="HR120" i="1"/>
  <c r="AL121" i="1" s="1"/>
  <c r="CY69" i="1"/>
  <c r="KE56" i="1"/>
  <c r="CY70" i="1" s="1"/>
  <c r="KF55" i="1"/>
  <c r="HS73" i="1"/>
  <c r="AM49" i="1"/>
  <c r="AM51" i="1" s="1"/>
  <c r="AM71" i="1"/>
  <c r="AM72" i="1" s="1"/>
  <c r="HS54" i="1"/>
  <c r="HS62" i="1"/>
  <c r="HS74" i="1" l="1"/>
  <c r="AM105" i="1" s="1"/>
  <c r="HS103" i="1" s="1"/>
  <c r="CZ69" i="1"/>
  <c r="KF56" i="1"/>
  <c r="CZ70" i="1" s="1"/>
  <c r="KG55" i="1"/>
  <c r="KE57" i="1"/>
  <c r="KE60" i="1" s="1"/>
  <c r="AL117" i="1"/>
  <c r="AL118" i="1" s="1"/>
  <c r="AL122" i="1"/>
  <c r="AL123" i="1" s="1"/>
  <c r="AM103" i="1"/>
  <c r="AM74" i="1"/>
  <c r="AD90" i="3"/>
  <c r="AD91" i="3" s="1"/>
  <c r="HS48" i="1"/>
  <c r="AM53" i="1"/>
  <c r="KF57" i="1" l="1"/>
  <c r="KF60" i="1" s="1"/>
  <c r="HS109" i="1"/>
  <c r="DA69" i="1"/>
  <c r="KG56" i="1"/>
  <c r="DA70" i="1" s="1"/>
  <c r="KH55" i="1"/>
  <c r="AM102" i="1"/>
  <c r="AM106" i="1" s="1"/>
  <c r="HS49" i="1"/>
  <c r="AM75" i="1"/>
  <c r="HS75" i="1"/>
  <c r="HT53" i="1" l="1"/>
  <c r="AM64" i="1"/>
  <c r="DB69" i="1"/>
  <c r="KH56" i="1"/>
  <c r="DB70" i="1" s="1"/>
  <c r="KI55" i="1"/>
  <c r="KG57" i="1"/>
  <c r="KG60" i="1" s="1"/>
  <c r="HS114" i="1"/>
  <c r="AM116" i="1" s="1"/>
  <c r="HS111" i="1"/>
  <c r="HS110" i="1"/>
  <c r="HT105" i="1" s="1"/>
  <c r="DC69" i="1" l="1"/>
  <c r="KI56" i="1"/>
  <c r="DC70" i="1" s="1"/>
  <c r="KJ55" i="1"/>
  <c r="KH57" i="1"/>
  <c r="KH60" i="1" s="1"/>
  <c r="HT106" i="1"/>
  <c r="AN49" i="1"/>
  <c r="AN51" i="1" s="1"/>
  <c r="HT73" i="1"/>
  <c r="AN71" i="1"/>
  <c r="AN72" i="1" s="1"/>
  <c r="HT54" i="1"/>
  <c r="HT62" i="1"/>
  <c r="HS116" i="1"/>
  <c r="HS119" i="1" l="1"/>
  <c r="HS120" i="1"/>
  <c r="AM121" i="1" s="1"/>
  <c r="AN103" i="1"/>
  <c r="AN74" i="1"/>
  <c r="AE90" i="3"/>
  <c r="AE91" i="3" s="1"/>
  <c r="AN53" i="1"/>
  <c r="HT48" i="1"/>
  <c r="DD69" i="1"/>
  <c r="KJ56" i="1"/>
  <c r="DD70" i="1" s="1"/>
  <c r="KK55" i="1"/>
  <c r="KI57" i="1"/>
  <c r="KI60" i="1" s="1"/>
  <c r="HT74" i="1"/>
  <c r="AN105" i="1" s="1"/>
  <c r="HT103" i="1" s="1"/>
  <c r="AN75" i="1" l="1"/>
  <c r="HT75" i="1"/>
  <c r="AM117" i="1"/>
  <c r="AM118" i="1" s="1"/>
  <c r="AM122" i="1"/>
  <c r="AM123" i="1" s="1"/>
  <c r="DE69" i="1"/>
  <c r="KK56" i="1"/>
  <c r="DE70" i="1" s="1"/>
  <c r="KL55" i="1"/>
  <c r="KJ57" i="1"/>
  <c r="KJ60" i="1" s="1"/>
  <c r="HT49" i="1"/>
  <c r="AN102" i="1"/>
  <c r="AN106" i="1" s="1"/>
  <c r="HT109" i="1"/>
  <c r="DF69" i="1" l="1"/>
  <c r="KL56" i="1"/>
  <c r="DF70" i="1" s="1"/>
  <c r="KM55" i="1"/>
  <c r="KK57" i="1"/>
  <c r="KK60" i="1" s="1"/>
  <c r="HT114" i="1"/>
  <c r="HT111" i="1"/>
  <c r="HT110" i="1"/>
  <c r="HU105" i="1" s="1"/>
  <c r="HU53" i="1"/>
  <c r="AN64" i="1"/>
  <c r="HU106" i="1" l="1"/>
  <c r="HT116" i="1"/>
  <c r="AN116" i="1"/>
  <c r="DG69" i="1"/>
  <c r="KM56" i="1"/>
  <c r="DG70" i="1" s="1"/>
  <c r="KN55" i="1"/>
  <c r="AO49" i="1"/>
  <c r="AO51" i="1" s="1"/>
  <c r="HU73" i="1"/>
  <c r="AO71" i="1"/>
  <c r="AO72" i="1" s="1"/>
  <c r="HU54" i="1"/>
  <c r="HU62" i="1"/>
  <c r="KL57" i="1"/>
  <c r="KL60" i="1" s="1"/>
  <c r="AO53" i="1" l="1"/>
  <c r="AF90" i="3"/>
  <c r="AF91" i="3" s="1"/>
  <c r="HU48" i="1"/>
  <c r="HU74" i="1"/>
  <c r="AO105" i="1" s="1"/>
  <c r="HU103" i="1" s="1"/>
  <c r="DH69" i="1"/>
  <c r="KN56" i="1"/>
  <c r="DH70" i="1" s="1"/>
  <c r="KO55" i="1"/>
  <c r="KM57" i="1"/>
  <c r="KM60" i="1" s="1"/>
  <c r="HT119" i="1"/>
  <c r="HT120" i="1"/>
  <c r="AN121" i="1" s="1"/>
  <c r="AO103" i="1"/>
  <c r="AO74" i="1"/>
  <c r="AO75" i="1" s="1"/>
  <c r="HU109" i="1" l="1"/>
  <c r="HU75" i="1"/>
  <c r="DI69" i="1"/>
  <c r="KO56" i="1"/>
  <c r="DI70" i="1" s="1"/>
  <c r="KP55" i="1"/>
  <c r="KN57" i="1"/>
  <c r="KN60" i="1" s="1"/>
  <c r="AN117" i="1"/>
  <c r="AN118" i="1" s="1"/>
  <c r="AN122" i="1"/>
  <c r="AN123" i="1" s="1"/>
  <c r="HU49" i="1"/>
  <c r="AO102" i="1"/>
  <c r="AO106" i="1" s="1"/>
  <c r="DJ69" i="1" l="1"/>
  <c r="KP56" i="1"/>
  <c r="DJ70" i="1" s="1"/>
  <c r="KQ55" i="1"/>
  <c r="KO57" i="1"/>
  <c r="KO60" i="1" s="1"/>
  <c r="HV53" i="1"/>
  <c r="AO64" i="1"/>
  <c r="HU114" i="1"/>
  <c r="AO116" i="1" s="1"/>
  <c r="HU111" i="1"/>
  <c r="HU110" i="1"/>
  <c r="HV105" i="1" s="1"/>
  <c r="AP49" i="1" l="1"/>
  <c r="AP51" i="1" s="1"/>
  <c r="AP71" i="1"/>
  <c r="AP72" i="1" s="1"/>
  <c r="HV73" i="1"/>
  <c r="HV54" i="1"/>
  <c r="HV62" i="1"/>
  <c r="HU116" i="1"/>
  <c r="DK69" i="1"/>
  <c r="KQ56" i="1"/>
  <c r="DK70" i="1" s="1"/>
  <c r="KR55" i="1"/>
  <c r="HV106" i="1"/>
  <c r="KP57" i="1"/>
  <c r="KP60" i="1" s="1"/>
  <c r="KQ57" i="1" l="1"/>
  <c r="KQ60" i="1" s="1"/>
  <c r="HU119" i="1"/>
  <c r="HU120" i="1"/>
  <c r="AO121" i="1" s="1"/>
  <c r="DL69" i="1"/>
  <c r="KR56" i="1"/>
  <c r="DL70" i="1" s="1"/>
  <c r="KS55" i="1"/>
  <c r="AP53" i="1"/>
  <c r="HV48" i="1"/>
  <c r="AG90" i="3"/>
  <c r="AG91" i="3" s="1"/>
  <c r="HV74" i="1"/>
  <c r="AP105" i="1" s="1"/>
  <c r="HV103" i="1" s="1"/>
  <c r="AP74" i="1"/>
  <c r="AP103" i="1"/>
  <c r="HV109" i="1" l="1"/>
  <c r="AP102" i="1"/>
  <c r="AP106" i="1" s="1"/>
  <c r="HV49" i="1"/>
  <c r="HV75" i="1"/>
  <c r="DM69" i="1"/>
  <c r="KS56" i="1"/>
  <c r="DM70" i="1" s="1"/>
  <c r="KT55" i="1"/>
  <c r="KR57" i="1"/>
  <c r="KR60" i="1" s="1"/>
  <c r="AP75" i="1"/>
  <c r="AO117" i="1"/>
  <c r="AO118" i="1" s="1"/>
  <c r="AO122" i="1"/>
  <c r="AO123" i="1" s="1"/>
  <c r="KS57" i="1" l="1"/>
  <c r="KS60" i="1" s="1"/>
  <c r="AP64" i="1"/>
  <c r="HW53" i="1"/>
  <c r="DN69" i="1"/>
  <c r="KT56" i="1"/>
  <c r="DN70" i="1" s="1"/>
  <c r="KU55" i="1"/>
  <c r="HV114" i="1"/>
  <c r="AP116" i="1" s="1"/>
  <c r="HV111" i="1"/>
  <c r="HV110" i="1"/>
  <c r="HW105" i="1" s="1"/>
  <c r="DO69" i="1" l="1"/>
  <c r="KU56" i="1"/>
  <c r="DO70" i="1" s="1"/>
  <c r="KV55" i="1"/>
  <c r="KT57" i="1"/>
  <c r="KT60" i="1" s="1"/>
  <c r="HW106" i="1"/>
  <c r="HV116" i="1"/>
  <c r="HW73" i="1"/>
  <c r="AQ71" i="1"/>
  <c r="AQ72" i="1" s="1"/>
  <c r="AQ49" i="1"/>
  <c r="AQ51" i="1" s="1"/>
  <c r="HW54" i="1"/>
  <c r="HW62" i="1"/>
  <c r="HW74" i="1" l="1"/>
  <c r="AQ105" i="1" s="1"/>
  <c r="HW103" i="1" s="1"/>
  <c r="HV120" i="1"/>
  <c r="AP121" i="1" s="1"/>
  <c r="HV119" i="1"/>
  <c r="DP69" i="1"/>
  <c r="KV56" i="1"/>
  <c r="DP70" i="1" s="1"/>
  <c r="KW55" i="1"/>
  <c r="HW48" i="1"/>
  <c r="AQ53" i="1"/>
  <c r="AH90" i="3"/>
  <c r="AH91" i="3" s="1"/>
  <c r="KU57" i="1"/>
  <c r="KU60" i="1" s="1"/>
  <c r="AQ74" i="1"/>
  <c r="AQ103" i="1"/>
  <c r="HW75" i="1" l="1"/>
  <c r="HX53" i="1" s="1"/>
  <c r="HW49" i="1"/>
  <c r="AQ102" i="1"/>
  <c r="AQ106" i="1" s="1"/>
  <c r="KV57" i="1"/>
  <c r="KV60" i="1" s="1"/>
  <c r="AP117" i="1"/>
  <c r="AP118" i="1" s="1"/>
  <c r="AP122" i="1"/>
  <c r="AP123" i="1" s="1"/>
  <c r="HW109" i="1"/>
  <c r="DQ69" i="1"/>
  <c r="KW56" i="1"/>
  <c r="DQ70" i="1" s="1"/>
  <c r="KX55" i="1"/>
  <c r="AQ75" i="1"/>
  <c r="AQ64" i="1" l="1"/>
  <c r="HW114" i="1"/>
  <c r="AQ116" i="1" s="1"/>
  <c r="HW111" i="1"/>
  <c r="HW110" i="1"/>
  <c r="HX105" i="1" s="1"/>
  <c r="DR69" i="1"/>
  <c r="KX56" i="1"/>
  <c r="DR70" i="1" s="1"/>
  <c r="KY55" i="1"/>
  <c r="HX73" i="1"/>
  <c r="AR49" i="1"/>
  <c r="AR51" i="1" s="1"/>
  <c r="AR71" i="1"/>
  <c r="AR72" i="1" s="1"/>
  <c r="HX54" i="1"/>
  <c r="HX62" i="1"/>
  <c r="KW57" i="1"/>
  <c r="KW60" i="1" s="1"/>
  <c r="HX74" i="1" l="1"/>
  <c r="AR105" i="1" s="1"/>
  <c r="HX103" i="1" s="1"/>
  <c r="HX48" i="1"/>
  <c r="AI90" i="3"/>
  <c r="AI91" i="3" s="1"/>
  <c r="AR53" i="1"/>
  <c r="HX106" i="1"/>
  <c r="DS69" i="1"/>
  <c r="KY56" i="1"/>
  <c r="DS70" i="1" s="1"/>
  <c r="KZ55" i="1"/>
  <c r="KX57" i="1"/>
  <c r="KX60" i="1" s="1"/>
  <c r="AR103" i="1"/>
  <c r="AR74" i="1"/>
  <c r="HW116" i="1"/>
  <c r="AR75" i="1" l="1"/>
  <c r="KY57" i="1"/>
  <c r="KY60" i="1" s="1"/>
  <c r="HW120" i="1"/>
  <c r="AQ121" i="1" s="1"/>
  <c r="HW119" i="1"/>
  <c r="HX49" i="1"/>
  <c r="AR102" i="1"/>
  <c r="AR106" i="1" s="1"/>
  <c r="HX109" i="1"/>
  <c r="DT69" i="1"/>
  <c r="KZ56" i="1"/>
  <c r="DT70" i="1" s="1"/>
  <c r="LA55" i="1"/>
  <c r="HX75" i="1"/>
  <c r="DU69" i="1" l="1"/>
  <c r="LA56" i="1"/>
  <c r="DU70" i="1" s="1"/>
  <c r="LB55" i="1"/>
  <c r="KZ57" i="1"/>
  <c r="KZ60" i="1" s="1"/>
  <c r="AQ117" i="1"/>
  <c r="AQ118" i="1" s="1"/>
  <c r="AQ122" i="1"/>
  <c r="AQ123" i="1" s="1"/>
  <c r="HX114" i="1"/>
  <c r="AR116" i="1" s="1"/>
  <c r="HX111" i="1"/>
  <c r="HX110" i="1"/>
  <c r="HY105" i="1" s="1"/>
  <c r="AR64" i="1"/>
  <c r="HY53" i="1"/>
  <c r="DV69" i="1" l="1"/>
  <c r="LB56" i="1"/>
  <c r="DV70" i="1" s="1"/>
  <c r="LC55" i="1"/>
  <c r="AS49" i="1"/>
  <c r="AS51" i="1" s="1"/>
  <c r="AS71" i="1"/>
  <c r="AS72" i="1" s="1"/>
  <c r="HY73" i="1"/>
  <c r="HY54" i="1"/>
  <c r="HY62" i="1"/>
  <c r="LA57" i="1"/>
  <c r="LA60" i="1" s="1"/>
  <c r="HY106" i="1"/>
  <c r="HX116" i="1"/>
  <c r="AS74" i="1" l="1"/>
  <c r="AS103" i="1"/>
  <c r="AS53" i="1"/>
  <c r="AJ90" i="3"/>
  <c r="AJ91" i="3" s="1"/>
  <c r="HY48" i="1"/>
  <c r="HY74" i="1"/>
  <c r="AS105" i="1" s="1"/>
  <c r="HY103" i="1" s="1"/>
  <c r="HX119" i="1"/>
  <c r="HX120" i="1"/>
  <c r="AR121" i="1" s="1"/>
  <c r="DW69" i="1"/>
  <c r="LC56" i="1"/>
  <c r="DW70" i="1" s="1"/>
  <c r="LD55" i="1"/>
  <c r="LB57" i="1"/>
  <c r="LB60" i="1" s="1"/>
  <c r="LC57" i="1" l="1"/>
  <c r="LC60" i="1" s="1"/>
  <c r="AR117" i="1"/>
  <c r="AR118" i="1" s="1"/>
  <c r="AR122" i="1"/>
  <c r="AR123" i="1" s="1"/>
  <c r="HY75" i="1"/>
  <c r="HY109" i="1"/>
  <c r="DX69" i="1"/>
  <c r="LD56" i="1"/>
  <c r="DX70" i="1" s="1"/>
  <c r="LE55" i="1"/>
  <c r="HY49" i="1"/>
  <c r="AS102" i="1"/>
  <c r="AS106" i="1" s="1"/>
  <c r="AS75" i="1"/>
  <c r="HY114" i="1" l="1"/>
  <c r="HY116" i="1" s="1"/>
  <c r="HY111" i="1"/>
  <c r="HY110" i="1"/>
  <c r="HZ105" i="1" s="1"/>
  <c r="HZ53" i="1"/>
  <c r="AS64" i="1"/>
  <c r="DY69" i="1"/>
  <c r="LE56" i="1"/>
  <c r="DY70" i="1" s="1"/>
  <c r="LF55" i="1"/>
  <c r="LD57" i="1"/>
  <c r="LD60" i="1" s="1"/>
  <c r="LE57" i="1" l="1"/>
  <c r="LE60" i="1" s="1"/>
  <c r="AS116" i="1"/>
  <c r="HZ73" i="1"/>
  <c r="AT49" i="1"/>
  <c r="AT51" i="1" s="1"/>
  <c r="AT71" i="1"/>
  <c r="AT72" i="1" s="1"/>
  <c r="HZ54" i="1"/>
  <c r="HZ62" i="1"/>
  <c r="HZ106" i="1"/>
  <c r="HY119" i="1"/>
  <c r="HY120" i="1"/>
  <c r="AS121" i="1" s="1"/>
  <c r="DZ69" i="1"/>
  <c r="LF56" i="1"/>
  <c r="DZ70" i="1" s="1"/>
  <c r="LG55" i="1"/>
  <c r="AT74" i="1" l="1"/>
  <c r="AT103" i="1"/>
  <c r="EA69" i="1"/>
  <c r="LG56" i="1"/>
  <c r="EA70" i="1" s="1"/>
  <c r="LH55" i="1"/>
  <c r="AK90" i="3"/>
  <c r="AK91" i="3" s="1"/>
  <c r="AT53" i="1"/>
  <c r="HZ48" i="1"/>
  <c r="HZ74" i="1"/>
  <c r="AT105" i="1" s="1"/>
  <c r="HZ103" i="1" s="1"/>
  <c r="LF57" i="1"/>
  <c r="LF60" i="1" s="1"/>
  <c r="AS117" i="1"/>
  <c r="AS118" i="1" s="1"/>
  <c r="AS122" i="1"/>
  <c r="AS123" i="1" s="1"/>
  <c r="HZ49" i="1" l="1"/>
  <c r="AT102" i="1"/>
  <c r="AT106" i="1" s="1"/>
  <c r="AT75" i="1"/>
  <c r="EB69" i="1"/>
  <c r="LH56" i="1"/>
  <c r="EB70" i="1" s="1"/>
  <c r="LI55" i="1"/>
  <c r="LG57" i="1"/>
  <c r="LG60" i="1" s="1"/>
  <c r="HZ109" i="1"/>
  <c r="HZ75" i="1"/>
  <c r="IA53" i="1" l="1"/>
  <c r="AT64" i="1"/>
  <c r="EC69" i="1"/>
  <c r="LI56" i="1"/>
  <c r="EC70" i="1" s="1"/>
  <c r="LJ55" i="1"/>
  <c r="LH57" i="1"/>
  <c r="LH60" i="1" s="1"/>
  <c r="HZ114" i="1"/>
  <c r="AT116" i="1" s="1"/>
  <c r="HZ111" i="1"/>
  <c r="HZ110" i="1"/>
  <c r="IA105" i="1" s="1"/>
  <c r="ED69" i="1" l="1"/>
  <c r="LJ56" i="1"/>
  <c r="ED70" i="1" s="1"/>
  <c r="LK55" i="1"/>
  <c r="LI57" i="1"/>
  <c r="LI60" i="1" s="1"/>
  <c r="AU71" i="1"/>
  <c r="AU72" i="1" s="1"/>
  <c r="AU49" i="1"/>
  <c r="AU51" i="1" s="1"/>
  <c r="IA73" i="1"/>
  <c r="IA54" i="1"/>
  <c r="IA62" i="1"/>
  <c r="HZ116" i="1"/>
  <c r="IA106" i="1"/>
  <c r="AU53" i="1" l="1"/>
  <c r="AL90" i="3"/>
  <c r="AL91" i="3" s="1"/>
  <c r="IA48" i="1"/>
  <c r="IA74" i="1"/>
  <c r="AU105" i="1" s="1"/>
  <c r="IA103" i="1" s="1"/>
  <c r="AU103" i="1"/>
  <c r="AU74" i="1"/>
  <c r="AU75" i="1" s="1"/>
  <c r="HZ119" i="1"/>
  <c r="HZ120" i="1"/>
  <c r="AT121" i="1" s="1"/>
  <c r="LJ57" i="1"/>
  <c r="LJ60" i="1" s="1"/>
  <c r="EE69" i="1"/>
  <c r="LK56" i="1"/>
  <c r="EE70" i="1" s="1"/>
  <c r="LL55" i="1"/>
  <c r="LK57" i="1" l="1"/>
  <c r="LK60" i="1" s="1"/>
  <c r="AT117" i="1"/>
  <c r="AT118" i="1" s="1"/>
  <c r="AT122" i="1"/>
  <c r="AT123" i="1" s="1"/>
  <c r="IA109" i="1"/>
  <c r="EF69" i="1"/>
  <c r="LL56" i="1"/>
  <c r="EF70" i="1" s="1"/>
  <c r="LM55" i="1"/>
  <c r="IA75" i="1"/>
  <c r="AU102" i="1"/>
  <c r="AU106" i="1" s="1"/>
  <c r="IA49" i="1"/>
  <c r="EG69" i="1" l="1"/>
  <c r="LM56" i="1"/>
  <c r="EG70" i="1" s="1"/>
  <c r="LN55" i="1"/>
  <c r="IB53" i="1"/>
  <c r="AU64" i="1"/>
  <c r="LL57" i="1"/>
  <c r="LL60" i="1" s="1"/>
  <c r="IA114" i="1"/>
  <c r="AU116" i="1" s="1"/>
  <c r="IA111" i="1"/>
  <c r="IA110" i="1"/>
  <c r="IB105" i="1" s="1"/>
  <c r="IB73" i="1" l="1"/>
  <c r="AV49" i="1"/>
  <c r="AV51" i="1" s="1"/>
  <c r="AV71" i="1"/>
  <c r="AV72" i="1" s="1"/>
  <c r="IB54" i="1"/>
  <c r="IB62" i="1"/>
  <c r="EH69" i="1"/>
  <c r="LN56" i="1"/>
  <c r="EH70" i="1" s="1"/>
  <c r="LO55" i="1"/>
  <c r="LM57" i="1"/>
  <c r="LM60" i="1" s="1"/>
  <c r="IB106" i="1"/>
  <c r="IA116" i="1"/>
  <c r="EI69" i="1" l="1"/>
  <c r="LO56" i="1"/>
  <c r="EI70" i="1" s="1"/>
  <c r="LP55" i="1"/>
  <c r="LN57" i="1"/>
  <c r="LN60" i="1" s="1"/>
  <c r="AV103" i="1"/>
  <c r="AV74" i="1"/>
  <c r="IA120" i="1"/>
  <c r="AU121" i="1" s="1"/>
  <c r="IA119" i="1"/>
  <c r="AM90" i="3"/>
  <c r="AM91" i="3" s="1"/>
  <c r="AV53" i="1"/>
  <c r="IB48" i="1"/>
  <c r="IB74" i="1"/>
  <c r="AV105" i="1" s="1"/>
  <c r="IB103" i="1" s="1"/>
  <c r="IB49" i="1" l="1"/>
  <c r="AV102" i="1"/>
  <c r="AV106" i="1" s="1"/>
  <c r="AU117" i="1"/>
  <c r="AU118" i="1" s="1"/>
  <c r="AU122" i="1"/>
  <c r="AU123" i="1" s="1"/>
  <c r="EJ69" i="1"/>
  <c r="LP56" i="1"/>
  <c r="EJ70" i="1" s="1"/>
  <c r="LQ55" i="1"/>
  <c r="AV75" i="1"/>
  <c r="IB109" i="1"/>
  <c r="IB75" i="1"/>
  <c r="LO57" i="1"/>
  <c r="LO60" i="1" s="1"/>
  <c r="LP57" i="1" l="1"/>
  <c r="LP60" i="1" s="1"/>
  <c r="EK69" i="1"/>
  <c r="LQ56" i="1"/>
  <c r="EK70" i="1" s="1"/>
  <c r="LR55" i="1"/>
  <c r="AV64" i="1"/>
  <c r="IC53" i="1"/>
  <c r="IB114" i="1"/>
  <c r="AV116" i="1" s="1"/>
  <c r="IB111" i="1"/>
  <c r="IB110" i="1"/>
  <c r="IC105" i="1" s="1"/>
  <c r="IC73" i="1" l="1"/>
  <c r="AW71" i="1"/>
  <c r="AW72" i="1" s="1"/>
  <c r="AW49" i="1"/>
  <c r="AW51" i="1" s="1"/>
  <c r="IC54" i="1"/>
  <c r="IC62" i="1"/>
  <c r="LQ57" i="1"/>
  <c r="LQ60" i="1" s="1"/>
  <c r="IB116" i="1"/>
  <c r="EL69" i="1"/>
  <c r="LR56" i="1"/>
  <c r="EL70" i="1" s="1"/>
  <c r="LS55" i="1"/>
  <c r="IC106" i="1"/>
  <c r="LR57" i="1" l="1"/>
  <c r="LR60" i="1" s="1"/>
  <c r="IB119" i="1"/>
  <c r="IB120" i="1"/>
  <c r="AV121" i="1" s="1"/>
  <c r="EM69" i="1"/>
  <c r="LS56" i="1"/>
  <c r="EM70" i="1" s="1"/>
  <c r="LT55" i="1"/>
  <c r="IC74" i="1"/>
  <c r="AW105" i="1" s="1"/>
  <c r="IC103" i="1" s="1"/>
  <c r="AW53" i="1"/>
  <c r="AN90" i="3"/>
  <c r="AN91" i="3" s="1"/>
  <c r="IC48" i="1"/>
  <c r="AW74" i="1"/>
  <c r="AW103" i="1"/>
  <c r="AW75" i="1" l="1"/>
  <c r="IC49" i="1"/>
  <c r="AW102" i="1"/>
  <c r="AW106" i="1" s="1"/>
  <c r="EN69" i="1"/>
  <c r="LT56" i="1"/>
  <c r="EN70" i="1" s="1"/>
  <c r="LU55" i="1"/>
  <c r="IC109" i="1"/>
  <c r="IC75" i="1"/>
  <c r="LS57" i="1"/>
  <c r="LS60" i="1" s="1"/>
  <c r="AV117" i="1"/>
  <c r="AV118" i="1" s="1"/>
  <c r="AV122" i="1"/>
  <c r="AV123" i="1" s="1"/>
  <c r="AW64" i="1" l="1"/>
  <c r="ID53" i="1"/>
  <c r="IC114" i="1"/>
  <c r="IC111" i="1"/>
  <c r="IC110" i="1"/>
  <c r="ID105" i="1" s="1"/>
  <c r="EO69" i="1"/>
  <c r="LU56" i="1"/>
  <c r="EO70" i="1" s="1"/>
  <c r="LV55" i="1"/>
  <c r="LT57" i="1"/>
  <c r="LT60" i="1" s="1"/>
  <c r="ID106" i="1" l="1"/>
  <c r="IC116" i="1"/>
  <c r="LU57" i="1"/>
  <c r="LU60" i="1" s="1"/>
  <c r="AW116" i="1"/>
  <c r="AX71" i="1"/>
  <c r="AX72" i="1" s="1"/>
  <c r="ID73" i="1"/>
  <c r="AX49" i="1"/>
  <c r="AX51" i="1" s="1"/>
  <c r="ID54" i="1"/>
  <c r="ID62" i="1"/>
  <c r="EP69" i="1"/>
  <c r="LV56" i="1"/>
  <c r="EP70" i="1" s="1"/>
  <c r="LW55" i="1"/>
  <c r="ID74" i="1" l="1"/>
  <c r="AX105" i="1" s="1"/>
  <c r="ID103" i="1" s="1"/>
  <c r="AX103" i="1"/>
  <c r="AX74" i="1"/>
  <c r="ID48" i="1"/>
  <c r="AX53" i="1"/>
  <c r="AO90" i="3"/>
  <c r="AO91" i="3" s="1"/>
  <c r="EQ69" i="1"/>
  <c r="LW56" i="1"/>
  <c r="EQ70" i="1" s="1"/>
  <c r="LX55" i="1"/>
  <c r="IC120" i="1"/>
  <c r="AW121" i="1" s="1"/>
  <c r="IC119" i="1"/>
  <c r="LV57" i="1"/>
  <c r="LV60" i="1" s="1"/>
  <c r="AX75" i="1" l="1"/>
  <c r="LW57" i="1"/>
  <c r="LW60" i="1" s="1"/>
  <c r="AX102" i="1"/>
  <c r="AX106" i="1" s="1"/>
  <c r="ID49" i="1"/>
  <c r="AW117" i="1"/>
  <c r="AW118" i="1" s="1"/>
  <c r="AW122" i="1"/>
  <c r="AW123" i="1" s="1"/>
  <c r="ID75" i="1"/>
  <c r="ID109" i="1"/>
  <c r="ER69" i="1"/>
  <c r="LX56" i="1"/>
  <c r="ER70" i="1" s="1"/>
  <c r="LY55" i="1"/>
  <c r="LX57" i="1" l="1"/>
  <c r="LX60" i="1" s="1"/>
  <c r="ID114" i="1"/>
  <c r="AX116" i="1" s="1"/>
  <c r="ID111" i="1"/>
  <c r="ID110" i="1"/>
  <c r="IE105" i="1" s="1"/>
  <c r="ES69" i="1"/>
  <c r="LY56" i="1"/>
  <c r="ES70" i="1" s="1"/>
  <c r="LZ55" i="1"/>
  <c r="ID116" i="1"/>
  <c r="AX64" i="1"/>
  <c r="IE53" i="1"/>
  <c r="ET69" i="1" l="1"/>
  <c r="LZ56" i="1"/>
  <c r="ET70" i="1" s="1"/>
  <c r="MA55" i="1"/>
  <c r="ID119" i="1"/>
  <c r="ID120" i="1"/>
  <c r="AX121" i="1" s="1"/>
  <c r="IE106" i="1"/>
  <c r="LY57" i="1"/>
  <c r="LY60" i="1" s="1"/>
  <c r="IE73" i="1"/>
  <c r="AY71" i="1"/>
  <c r="AY72" i="1" s="1"/>
  <c r="AY49" i="1"/>
  <c r="AY51" i="1" s="1"/>
  <c r="IE54" i="1"/>
  <c r="IE62" i="1"/>
  <c r="IE74" i="1" l="1"/>
  <c r="AY105" i="1" s="1"/>
  <c r="IE103" i="1" s="1"/>
  <c r="AX117" i="1"/>
  <c r="AX118" i="1" s="1"/>
  <c r="AX122" i="1"/>
  <c r="AX123" i="1" s="1"/>
  <c r="EU69" i="1"/>
  <c r="MA56" i="1"/>
  <c r="EU70" i="1" s="1"/>
  <c r="MB55" i="1"/>
  <c r="AY53" i="1"/>
  <c r="AP90" i="3"/>
  <c r="AP91" i="3" s="1"/>
  <c r="IE48" i="1"/>
  <c r="AY74" i="1"/>
  <c r="AY103" i="1"/>
  <c r="LZ57" i="1"/>
  <c r="LZ60" i="1" s="1"/>
  <c r="IE75" i="1" l="1"/>
  <c r="IF53" i="1" s="1"/>
  <c r="IE49" i="1"/>
  <c r="AY102" i="1"/>
  <c r="AY106" i="1" s="1"/>
  <c r="AY75" i="1"/>
  <c r="AY64" i="1"/>
  <c r="EV69" i="1"/>
  <c r="MB56" i="1"/>
  <c r="EV70" i="1" s="1"/>
  <c r="MC55" i="1"/>
  <c r="MA57" i="1"/>
  <c r="MA60" i="1" s="1"/>
  <c r="IE109" i="1"/>
  <c r="AZ49" i="1" l="1"/>
  <c r="AZ51" i="1" s="1"/>
  <c r="AZ71" i="1"/>
  <c r="AZ72" i="1" s="1"/>
  <c r="IF73" i="1"/>
  <c r="IF54" i="1"/>
  <c r="IF62" i="1"/>
  <c r="IE114" i="1"/>
  <c r="AY116" i="1" s="1"/>
  <c r="IE111" i="1"/>
  <c r="IE110" i="1"/>
  <c r="IF105" i="1" s="1"/>
  <c r="EW69" i="1"/>
  <c r="MC56" i="1"/>
  <c r="EW70" i="1" s="1"/>
  <c r="MD55" i="1"/>
  <c r="MB57" i="1"/>
  <c r="MB60" i="1" s="1"/>
  <c r="IF106" i="1" l="1"/>
  <c r="IF74" i="1"/>
  <c r="AZ105" i="1" s="1"/>
  <c r="IF103" i="1" s="1"/>
  <c r="IE116" i="1"/>
  <c r="EX69" i="1"/>
  <c r="MD56" i="1"/>
  <c r="EX70" i="1" s="1"/>
  <c r="ME55" i="1"/>
  <c r="AZ74" i="1"/>
  <c r="AZ103" i="1"/>
  <c r="MC57" i="1"/>
  <c r="MC60" i="1" s="1"/>
  <c r="AZ53" i="1"/>
  <c r="AQ90" i="3"/>
  <c r="AQ91" i="3" s="1"/>
  <c r="IF48" i="1"/>
  <c r="AZ75" i="1" l="1"/>
  <c r="EY69" i="1"/>
  <c r="ME56" i="1"/>
  <c r="EY70" i="1" s="1"/>
  <c r="MF55" i="1"/>
  <c r="IE120" i="1"/>
  <c r="AY121" i="1" s="1"/>
  <c r="IE119" i="1"/>
  <c r="MD57" i="1"/>
  <c r="MD60" i="1" s="1"/>
  <c r="IF109" i="1"/>
  <c r="IF75" i="1"/>
  <c r="IF49" i="1"/>
  <c r="AZ102" i="1"/>
  <c r="AZ106" i="1" s="1"/>
  <c r="IG53" i="1" l="1"/>
  <c r="AZ64" i="1"/>
  <c r="AY117" i="1"/>
  <c r="AY118" i="1" s="1"/>
  <c r="AY122" i="1"/>
  <c r="AY123" i="1" s="1"/>
  <c r="IF114" i="1"/>
  <c r="AZ116" i="1" s="1"/>
  <c r="IF111" i="1"/>
  <c r="IF110" i="1"/>
  <c r="IG105" i="1" s="1"/>
  <c r="EZ69" i="1"/>
  <c r="MF56" i="1"/>
  <c r="EZ70" i="1" s="1"/>
  <c r="MG55" i="1"/>
  <c r="ME57" i="1"/>
  <c r="ME60" i="1" s="1"/>
  <c r="IF116" i="1" l="1"/>
  <c r="IG73" i="1"/>
  <c r="BA49" i="1"/>
  <c r="BA51" i="1" s="1"/>
  <c r="BA71" i="1"/>
  <c r="BA72" i="1" s="1"/>
  <c r="IG54" i="1"/>
  <c r="IG62" i="1"/>
  <c r="FA69" i="1"/>
  <c r="MG56" i="1"/>
  <c r="FA70" i="1" s="1"/>
  <c r="MH55" i="1"/>
  <c r="MF57" i="1"/>
  <c r="MF60" i="1" s="1"/>
  <c r="IG106" i="1"/>
  <c r="MG57" i="1" l="1"/>
  <c r="MG60" i="1" s="1"/>
  <c r="BA103" i="1"/>
  <c r="BA74" i="1"/>
  <c r="BA53" i="1"/>
  <c r="AR90" i="3"/>
  <c r="AR91" i="3" s="1"/>
  <c r="IG48" i="1"/>
  <c r="IF120" i="1"/>
  <c r="AZ121" i="1" s="1"/>
  <c r="IF119" i="1"/>
  <c r="IG74" i="1"/>
  <c r="BA105" i="1" s="1"/>
  <c r="IG103" i="1" s="1"/>
  <c r="FB69" i="1"/>
  <c r="MH56" i="1"/>
  <c r="FB70" i="1" s="1"/>
  <c r="MI55" i="1"/>
  <c r="MH57" i="1" l="1"/>
  <c r="MH60" i="1" s="1"/>
  <c r="IG109" i="1"/>
  <c r="AZ117" i="1"/>
  <c r="AZ118" i="1" s="1"/>
  <c r="AZ122" i="1"/>
  <c r="AZ123" i="1" s="1"/>
  <c r="IG75" i="1"/>
  <c r="FC69" i="1"/>
  <c r="MI56" i="1"/>
  <c r="FC70" i="1" s="1"/>
  <c r="MJ55" i="1"/>
  <c r="BA102" i="1"/>
  <c r="BA106" i="1" s="1"/>
  <c r="IG49" i="1"/>
  <c r="BA75" i="1"/>
  <c r="BA64" i="1" l="1"/>
  <c r="IH53" i="1"/>
  <c r="FD69" i="1"/>
  <c r="MJ56" i="1"/>
  <c r="FD70" i="1" s="1"/>
  <c r="MK55" i="1"/>
  <c r="IG114" i="1"/>
  <c r="IG111" i="1"/>
  <c r="IG110" i="1"/>
  <c r="IH105" i="1" s="1"/>
  <c r="MI57" i="1"/>
  <c r="MI60" i="1" s="1"/>
  <c r="IG116" i="1" l="1"/>
  <c r="BA116" i="1"/>
  <c r="MJ57" i="1"/>
  <c r="MJ60" i="1" s="1"/>
  <c r="FE69" i="1"/>
  <c r="MK56" i="1"/>
  <c r="FE70" i="1" s="1"/>
  <c r="ML55" i="1"/>
  <c r="IH73" i="1"/>
  <c r="BB71" i="1"/>
  <c r="BB72" i="1" s="1"/>
  <c r="BB49" i="1"/>
  <c r="BB51" i="1" s="1"/>
  <c r="IH54" i="1"/>
  <c r="IH62" i="1"/>
  <c r="IH106" i="1"/>
  <c r="IH74" i="1" l="1"/>
  <c r="BB105" i="1" s="1"/>
  <c r="IH103" i="1" s="1"/>
  <c r="BB103" i="1"/>
  <c r="BB74" i="1"/>
  <c r="MK57" i="1"/>
  <c r="MK60" i="1" s="1"/>
  <c r="IG119" i="1"/>
  <c r="IG120" i="1"/>
  <c r="BA121" i="1" s="1"/>
  <c r="FF69" i="1"/>
  <c r="ML56" i="1"/>
  <c r="FF70" i="1" s="1"/>
  <c r="MM55" i="1"/>
  <c r="AS90" i="3"/>
  <c r="AS91" i="3" s="1"/>
  <c r="IH48" i="1"/>
  <c r="BB53" i="1"/>
  <c r="BB75" i="1" l="1"/>
  <c r="FG69" i="1"/>
  <c r="MM56" i="1"/>
  <c r="FG70" i="1" s="1"/>
  <c r="MN55" i="1"/>
  <c r="ML57" i="1"/>
  <c r="ML60" i="1" s="1"/>
  <c r="BA117" i="1"/>
  <c r="BA118" i="1" s="1"/>
  <c r="BA122" i="1"/>
  <c r="BA123" i="1" s="1"/>
  <c r="IH49" i="1"/>
  <c r="BB102" i="1"/>
  <c r="BB106" i="1" s="1"/>
  <c r="IH109" i="1"/>
  <c r="IH75" i="1"/>
  <c r="IH114" i="1" l="1"/>
  <c r="BB116" i="1" s="1"/>
  <c r="IH111" i="1"/>
  <c r="IH110" i="1"/>
  <c r="II105" i="1" s="1"/>
  <c r="FH69" i="1"/>
  <c r="MN56" i="1"/>
  <c r="FH70" i="1" s="1"/>
  <c r="MO55" i="1"/>
  <c r="II53" i="1"/>
  <c r="BB64" i="1"/>
  <c r="IH116" i="1"/>
  <c r="MM57" i="1"/>
  <c r="MM60" i="1" s="1"/>
  <c r="II73" i="1" l="1"/>
  <c r="BC49" i="1"/>
  <c r="BC51" i="1" s="1"/>
  <c r="BC71" i="1"/>
  <c r="BC72" i="1" s="1"/>
  <c r="II54" i="1"/>
  <c r="II62" i="1"/>
  <c r="FI69" i="1"/>
  <c r="MO56" i="1"/>
  <c r="FI70" i="1" s="1"/>
  <c r="MP55" i="1"/>
  <c r="II106" i="1"/>
  <c r="IH120" i="1"/>
  <c r="BB121" i="1" s="1"/>
  <c r="IH119" i="1"/>
  <c r="MN57" i="1"/>
  <c r="MN60" i="1" s="1"/>
  <c r="FJ69" i="1" l="1"/>
  <c r="MP56" i="1"/>
  <c r="FJ70" i="1" s="1"/>
  <c r="MQ55" i="1"/>
  <c r="MO57" i="1"/>
  <c r="MO60" i="1" s="1"/>
  <c r="AT90" i="3"/>
  <c r="AT91" i="3" s="1"/>
  <c r="II48" i="1"/>
  <c r="BC53" i="1"/>
  <c r="BB117" i="1"/>
  <c r="BB118" i="1" s="1"/>
  <c r="BB122" i="1"/>
  <c r="BB123" i="1" s="1"/>
  <c r="BC103" i="1"/>
  <c r="BC74" i="1"/>
  <c r="II74" i="1"/>
  <c r="BC105" i="1" s="1"/>
  <c r="II103" i="1" s="1"/>
  <c r="II75" i="1" l="1"/>
  <c r="IJ53" i="1" s="1"/>
  <c r="BC75" i="1"/>
  <c r="BC102" i="1"/>
  <c r="BC106" i="1" s="1"/>
  <c r="II49" i="1"/>
  <c r="FK69" i="1"/>
  <c r="MQ56" i="1"/>
  <c r="FK70" i="1" s="1"/>
  <c r="MR55" i="1"/>
  <c r="II109" i="1"/>
  <c r="MP57" i="1"/>
  <c r="MP60" i="1" s="1"/>
  <c r="BC64" i="1" l="1"/>
  <c r="FL69" i="1"/>
  <c r="MR56" i="1"/>
  <c r="FL70" i="1" s="1"/>
  <c r="MS55" i="1"/>
  <c r="MQ57" i="1"/>
  <c r="MQ60" i="1" s="1"/>
  <c r="II114" i="1"/>
  <c r="II116" i="1" s="1"/>
  <c r="II111" i="1"/>
  <c r="II110" i="1"/>
  <c r="IJ105" i="1" s="1"/>
  <c r="BD49" i="1"/>
  <c r="BD51" i="1" s="1"/>
  <c r="BD71" i="1"/>
  <c r="BD72" i="1" s="1"/>
  <c r="IJ73" i="1"/>
  <c r="IJ54" i="1"/>
  <c r="IJ62" i="1"/>
  <c r="BC116" i="1" l="1"/>
  <c r="IJ106" i="1"/>
  <c r="II120" i="1"/>
  <c r="BC121" i="1" s="1"/>
  <c r="II119" i="1"/>
  <c r="BD74" i="1"/>
  <c r="BD103" i="1"/>
  <c r="FM69" i="1"/>
  <c r="MS56" i="1"/>
  <c r="FM70" i="1" s="1"/>
  <c r="MT55" i="1"/>
  <c r="IJ74" i="1"/>
  <c r="BD105" i="1" s="1"/>
  <c r="IJ103" i="1" s="1"/>
  <c r="BD53" i="1"/>
  <c r="AU90" i="3"/>
  <c r="AU91" i="3" s="1"/>
  <c r="IJ48" i="1"/>
  <c r="MR57" i="1"/>
  <c r="MR60" i="1" s="1"/>
  <c r="BD75" i="1" l="1"/>
  <c r="FN69" i="1"/>
  <c r="MT56" i="1"/>
  <c r="FN70" i="1" s="1"/>
  <c r="MU55" i="1"/>
  <c r="BD102" i="1"/>
  <c r="BD106" i="1" s="1"/>
  <c r="IJ49" i="1"/>
  <c r="MS57" i="1"/>
  <c r="MS60" i="1" s="1"/>
  <c r="BC117" i="1"/>
  <c r="BC118" i="1" s="1"/>
  <c r="BC122" i="1"/>
  <c r="BC123" i="1" s="1"/>
  <c r="IJ109" i="1"/>
  <c r="IJ75" i="1"/>
  <c r="IJ114" i="1" l="1"/>
  <c r="BD116" i="1" s="1"/>
  <c r="IJ111" i="1"/>
  <c r="IJ110" i="1"/>
  <c r="IK105" i="1" s="1"/>
  <c r="IK53" i="1"/>
  <c r="BD64" i="1"/>
  <c r="FO69" i="1"/>
  <c r="MU56" i="1"/>
  <c r="FO70" i="1" s="1"/>
  <c r="MV55" i="1"/>
  <c r="MT57" i="1"/>
  <c r="MT60" i="1" s="1"/>
  <c r="IJ116" i="1" l="1"/>
  <c r="IJ120" i="1" s="1"/>
  <c r="BD121" i="1" s="1"/>
  <c r="BE71" i="1"/>
  <c r="BE72" i="1" s="1"/>
  <c r="IK73" i="1"/>
  <c r="BE49" i="1"/>
  <c r="BE51" i="1" s="1"/>
  <c r="IK54" i="1"/>
  <c r="IK62" i="1"/>
  <c r="IK106" i="1"/>
  <c r="MU57" i="1"/>
  <c r="MU60" i="1" s="1"/>
  <c r="FP69" i="1"/>
  <c r="MV56" i="1"/>
  <c r="FP70" i="1" s="1"/>
  <c r="MW55" i="1"/>
  <c r="IJ119" i="1" l="1"/>
  <c r="FQ69" i="1"/>
  <c r="MW56" i="1"/>
  <c r="FQ70" i="1" s="1"/>
  <c r="MX55" i="1"/>
  <c r="BE53" i="1"/>
  <c r="AV90" i="3"/>
  <c r="AV91" i="3" s="1"/>
  <c r="IK48" i="1"/>
  <c r="BE74" i="1"/>
  <c r="BE103" i="1"/>
  <c r="BD117" i="1"/>
  <c r="BD118" i="1" s="1"/>
  <c r="BD122" i="1"/>
  <c r="BD123" i="1" s="1"/>
  <c r="MV57" i="1"/>
  <c r="MV60" i="1" s="1"/>
  <c r="IK74" i="1"/>
  <c r="BE105" i="1" s="1"/>
  <c r="IK103" i="1" s="1"/>
  <c r="BE75" i="1" l="1"/>
  <c r="IK75" i="1"/>
  <c r="BE64" i="1" s="1"/>
  <c r="IK49" i="1"/>
  <c r="BE102" i="1"/>
  <c r="BE106" i="1" s="1"/>
  <c r="FR69" i="1"/>
  <c r="MX56" i="1"/>
  <c r="FR70" i="1" s="1"/>
  <c r="MY55" i="1"/>
  <c r="IK109" i="1"/>
  <c r="MW57" i="1"/>
  <c r="MW60" i="1" s="1"/>
  <c r="IL53" i="1" l="1"/>
  <c r="IL62" i="1" s="1"/>
  <c r="IK114" i="1"/>
  <c r="IK116" i="1" s="1"/>
  <c r="IK111" i="1"/>
  <c r="IK110" i="1"/>
  <c r="IL105" i="1" s="1"/>
  <c r="FS69" i="1"/>
  <c r="MY56" i="1"/>
  <c r="FS70" i="1" s="1"/>
  <c r="MZ55" i="1"/>
  <c r="MX57" i="1"/>
  <c r="MX60" i="1" s="1"/>
  <c r="BF71" i="1"/>
  <c r="BF72" i="1" s="1"/>
  <c r="BF49" i="1"/>
  <c r="BF51" i="1" s="1"/>
  <c r="IL54" i="1"/>
  <c r="IL73" i="1" l="1"/>
  <c r="FT69" i="1"/>
  <c r="MZ56" i="1"/>
  <c r="FT70" i="1" s="1"/>
  <c r="NA55" i="1"/>
  <c r="MY57" i="1"/>
  <c r="MY60" i="1" s="1"/>
  <c r="IL106" i="1"/>
  <c r="IK120" i="1"/>
  <c r="BE121" i="1" s="1"/>
  <c r="IK119" i="1"/>
  <c r="IL48" i="1"/>
  <c r="AW90" i="3"/>
  <c r="AW91" i="3" s="1"/>
  <c r="BF53" i="1"/>
  <c r="IL74" i="1"/>
  <c r="BF105" i="1" s="1"/>
  <c r="IL103" i="1" s="1"/>
  <c r="BF103" i="1"/>
  <c r="BF74" i="1"/>
  <c r="BE116" i="1"/>
  <c r="BF75" i="1" l="1"/>
  <c r="BE117" i="1"/>
  <c r="BE118" i="1" s="1"/>
  <c r="BE122" i="1"/>
  <c r="BE123" i="1" s="1"/>
  <c r="IL75" i="1"/>
  <c r="IL109" i="1"/>
  <c r="BF102" i="1"/>
  <c r="BF106" i="1" s="1"/>
  <c r="IL49" i="1"/>
  <c r="FU69" i="1"/>
  <c r="NA56" i="1"/>
  <c r="FU70" i="1" s="1"/>
  <c r="NB55" i="1"/>
  <c r="MZ57" i="1"/>
  <c r="MZ60" i="1" s="1"/>
  <c r="NA57" i="1" l="1"/>
  <c r="NA60" i="1" s="1"/>
  <c r="FV69" i="1"/>
  <c r="NB56" i="1"/>
  <c r="FV70" i="1" s="1"/>
  <c r="NC55" i="1"/>
  <c r="IL114" i="1"/>
  <c r="BF116" i="1" s="1"/>
  <c r="IL111" i="1"/>
  <c r="IL110" i="1"/>
  <c r="IM105" i="1" s="1"/>
  <c r="BF64" i="1"/>
  <c r="IM53" i="1"/>
  <c r="IL116" i="1" l="1"/>
  <c r="IL120" i="1" s="1"/>
  <c r="BF121" i="1" s="1"/>
  <c r="IM106" i="1"/>
  <c r="FW69" i="1"/>
  <c r="NC56" i="1"/>
  <c r="FW70" i="1" s="1"/>
  <c r="ND55" i="1"/>
  <c r="IM73" i="1"/>
  <c r="BG49" i="1"/>
  <c r="BG51" i="1" s="1"/>
  <c r="BG71" i="1"/>
  <c r="BG72" i="1" s="1"/>
  <c r="IM54" i="1"/>
  <c r="IM62" i="1"/>
  <c r="NB57" i="1"/>
  <c r="NB60" i="1" s="1"/>
  <c r="IL119" i="1" l="1"/>
  <c r="FX69" i="1"/>
  <c r="ND56" i="1"/>
  <c r="FX70" i="1" s="1"/>
  <c r="NE55" i="1"/>
  <c r="BG74" i="1"/>
  <c r="BG103" i="1"/>
  <c r="BF117" i="1"/>
  <c r="BF118" i="1" s="1"/>
  <c r="BF122" i="1"/>
  <c r="BF123" i="1" s="1"/>
  <c r="BG53" i="1"/>
  <c r="IM48" i="1"/>
  <c r="AX90" i="3"/>
  <c r="AX91" i="3" s="1"/>
  <c r="IM74" i="1"/>
  <c r="BG105" i="1" s="1"/>
  <c r="IM103" i="1" s="1"/>
  <c r="NC57" i="1"/>
  <c r="NC60" i="1" s="1"/>
  <c r="IM109" i="1" l="1"/>
  <c r="BG75" i="1"/>
  <c r="IM49" i="1"/>
  <c r="BG102" i="1"/>
  <c r="BG106" i="1" s="1"/>
  <c r="FY69" i="1"/>
  <c r="NE56" i="1"/>
  <c r="FY70" i="1" s="1"/>
  <c r="NF55" i="1"/>
  <c r="IM75" i="1"/>
  <c r="ND57" i="1"/>
  <c r="ND60" i="1" s="1"/>
  <c r="FZ69" i="1" l="1"/>
  <c r="NF56" i="1"/>
  <c r="FZ70" i="1" s="1"/>
  <c r="NG55" i="1"/>
  <c r="NE57" i="1"/>
  <c r="NE60" i="1" s="1"/>
  <c r="IN53" i="1"/>
  <c r="BG64" i="1"/>
  <c r="IM114" i="1"/>
  <c r="BG116" i="1" s="1"/>
  <c r="IM111" i="1"/>
  <c r="IM110" i="1"/>
  <c r="IN105" i="1" s="1"/>
  <c r="GA69" i="1" l="1"/>
  <c r="NG56" i="1"/>
  <c r="GA70" i="1" s="1"/>
  <c r="NH55" i="1"/>
  <c r="IM116" i="1"/>
  <c r="BH71" i="1"/>
  <c r="BH72" i="1" s="1"/>
  <c r="IN73" i="1"/>
  <c r="BH49" i="1"/>
  <c r="BH51" i="1" s="1"/>
  <c r="IN54" i="1"/>
  <c r="IN62" i="1"/>
  <c r="IN106" i="1"/>
  <c r="NF57" i="1"/>
  <c r="NF60" i="1" s="1"/>
  <c r="AY90" i="3" l="1"/>
  <c r="AY91" i="3" s="1"/>
  <c r="IN48" i="1"/>
  <c r="BH53" i="1"/>
  <c r="BH103" i="1"/>
  <c r="BH74" i="1"/>
  <c r="BH75" i="1" s="1"/>
  <c r="IN74" i="1"/>
  <c r="BH105" i="1" s="1"/>
  <c r="IN103" i="1" s="1"/>
  <c r="IM120" i="1"/>
  <c r="BG121" i="1" s="1"/>
  <c r="IM119" i="1"/>
  <c r="NG57" i="1"/>
  <c r="NG60" i="1" s="1"/>
  <c r="GB69" i="1"/>
  <c r="NH56" i="1"/>
  <c r="GB70" i="1" s="1"/>
  <c r="NI55" i="1"/>
  <c r="NH57" i="1" l="1"/>
  <c r="NH60" i="1" s="1"/>
  <c r="BG117" i="1"/>
  <c r="BG118" i="1" s="1"/>
  <c r="BG122" i="1"/>
  <c r="BG123" i="1" s="1"/>
  <c r="IN75" i="1"/>
  <c r="GC69" i="1"/>
  <c r="NI56" i="1"/>
  <c r="GC70" i="1" s="1"/>
  <c r="NJ55" i="1"/>
  <c r="IN49" i="1"/>
  <c r="BH102" i="1"/>
  <c r="BH106" i="1" s="1"/>
  <c r="IN109" i="1"/>
  <c r="IN114" i="1" l="1"/>
  <c r="BH116" i="1" s="1"/>
  <c r="IN111" i="1"/>
  <c r="IN110" i="1"/>
  <c r="IO105" i="1" s="1"/>
  <c r="NI57" i="1"/>
  <c r="NI60" i="1" s="1"/>
  <c r="GD69" i="1"/>
  <c r="NJ56" i="1"/>
  <c r="GD70" i="1" s="1"/>
  <c r="NK55" i="1"/>
  <c r="IO53" i="1"/>
  <c r="BH64" i="1"/>
  <c r="IO106" i="1" l="1"/>
  <c r="GE69" i="1"/>
  <c r="NK56" i="1"/>
  <c r="GE70" i="1" s="1"/>
  <c r="NL55" i="1"/>
  <c r="NJ57" i="1"/>
  <c r="NJ60" i="1" s="1"/>
  <c r="BI49" i="1"/>
  <c r="BI51" i="1" s="1"/>
  <c r="IO73" i="1"/>
  <c r="BI71" i="1"/>
  <c r="BI72" i="1" s="1"/>
  <c r="IO54" i="1"/>
  <c r="IO62" i="1"/>
  <c r="IN116" i="1"/>
  <c r="IO74" i="1" l="1"/>
  <c r="BI105" i="1" s="1"/>
  <c r="IO103" i="1" s="1"/>
  <c r="AZ90" i="3"/>
  <c r="AZ91" i="3" s="1"/>
  <c r="IO48" i="1"/>
  <c r="BI53" i="1"/>
  <c r="IN119" i="1"/>
  <c r="IN120" i="1"/>
  <c r="BH121" i="1" s="1"/>
  <c r="GF69" i="1"/>
  <c r="NL56" i="1"/>
  <c r="GF70" i="1" s="1"/>
  <c r="NM55" i="1"/>
  <c r="NK57" i="1"/>
  <c r="NK60" i="1" s="1"/>
  <c r="BI74" i="1"/>
  <c r="BI103" i="1"/>
  <c r="NL57" i="1" l="1"/>
  <c r="NL60" i="1" s="1"/>
  <c r="BI102" i="1"/>
  <c r="BI106" i="1" s="1"/>
  <c r="IO49" i="1"/>
  <c r="GG69" i="1"/>
  <c r="NM56" i="1"/>
  <c r="GG70" i="1" s="1"/>
  <c r="NN55" i="1"/>
  <c r="BH117" i="1"/>
  <c r="BH118" i="1" s="1"/>
  <c r="BH122" i="1"/>
  <c r="BH123" i="1" s="1"/>
  <c r="IO109" i="1"/>
  <c r="BI75" i="1"/>
  <c r="IO75" i="1"/>
  <c r="IO114" i="1" l="1"/>
  <c r="IO111" i="1"/>
  <c r="IO110" i="1"/>
  <c r="IP105" i="1" s="1"/>
  <c r="GH69" i="1"/>
  <c r="NN56" i="1"/>
  <c r="GH70" i="1" s="1"/>
  <c r="NO55" i="1"/>
  <c r="NM57" i="1"/>
  <c r="NM60" i="1" s="1"/>
  <c r="BI64" i="1"/>
  <c r="IP53" i="1"/>
  <c r="IO116" i="1"/>
  <c r="BJ71" i="1" l="1"/>
  <c r="BJ72" i="1" s="1"/>
  <c r="BJ49" i="1"/>
  <c r="BJ51" i="1" s="1"/>
  <c r="IP73" i="1"/>
  <c r="IP54" i="1"/>
  <c r="IP62" i="1"/>
  <c r="GI69" i="1"/>
  <c r="NO56" i="1"/>
  <c r="GI70" i="1" s="1"/>
  <c r="NP55" i="1"/>
  <c r="NN57" i="1"/>
  <c r="NN60" i="1" s="1"/>
  <c r="IP106" i="1"/>
  <c r="IO120" i="1"/>
  <c r="BI121" i="1" s="1"/>
  <c r="IO119" i="1"/>
  <c r="BI116" i="1"/>
  <c r="GJ69" i="1" l="1"/>
  <c r="NP56" i="1"/>
  <c r="GJ70" i="1" s="1"/>
  <c r="NQ55" i="1"/>
  <c r="NO57" i="1"/>
  <c r="NO60" i="1" s="1"/>
  <c r="IP74" i="1"/>
  <c r="BJ105" i="1" s="1"/>
  <c r="IP103" i="1" s="1"/>
  <c r="BJ103" i="1"/>
  <c r="BJ74" i="1"/>
  <c r="BI117" i="1"/>
  <c r="BI118" i="1" s="1"/>
  <c r="BI122" i="1"/>
  <c r="BI123" i="1" s="1"/>
  <c r="BA90" i="3"/>
  <c r="BA91" i="3" s="1"/>
  <c r="IP48" i="1"/>
  <c r="BJ53" i="1"/>
  <c r="IP75" i="1" l="1"/>
  <c r="IQ53" i="1" s="1"/>
  <c r="IP109" i="1"/>
  <c r="IP49" i="1"/>
  <c r="BJ102" i="1"/>
  <c r="BJ106" i="1" s="1"/>
  <c r="NP57" i="1"/>
  <c r="NP60" i="1" s="1"/>
  <c r="GK69" i="1"/>
  <c r="NQ56" i="1"/>
  <c r="GK70" i="1" s="1"/>
  <c r="NR55" i="1"/>
  <c r="BJ75" i="1"/>
  <c r="BJ64" i="1" l="1"/>
  <c r="NQ57" i="1"/>
  <c r="NQ60" i="1" s="1"/>
  <c r="IP114" i="1"/>
  <c r="IP116" i="1" s="1"/>
  <c r="IP111" i="1"/>
  <c r="IP110" i="1"/>
  <c r="IQ105" i="1" s="1"/>
  <c r="BK71" i="1"/>
  <c r="BK72" i="1" s="1"/>
  <c r="IQ73" i="1"/>
  <c r="BK49" i="1"/>
  <c r="BK51" i="1" s="1"/>
  <c r="IQ54" i="1"/>
  <c r="IQ62" i="1"/>
  <c r="GL69" i="1"/>
  <c r="NR56" i="1"/>
  <c r="GL70" i="1" s="1"/>
  <c r="NS55" i="1"/>
  <c r="BJ116" i="1" l="1"/>
  <c r="BB90" i="3"/>
  <c r="BB91" i="3" s="1"/>
  <c r="IQ48" i="1"/>
  <c r="BK53" i="1"/>
  <c r="IQ74" i="1"/>
  <c r="BK105" i="1" s="1"/>
  <c r="IQ103" i="1" s="1"/>
  <c r="IP119" i="1"/>
  <c r="IP120" i="1"/>
  <c r="BJ121" i="1" s="1"/>
  <c r="BK74" i="1"/>
  <c r="BK75" i="1" s="1"/>
  <c r="BK103" i="1"/>
  <c r="IQ106" i="1"/>
  <c r="GM69" i="1"/>
  <c r="NS56" i="1"/>
  <c r="GM70" i="1" s="1"/>
  <c r="NT55" i="1"/>
  <c r="NR57" i="1"/>
  <c r="NR60" i="1" s="1"/>
  <c r="IQ75" i="1" l="1"/>
  <c r="BK64" i="1" s="1"/>
  <c r="GN69" i="1"/>
  <c r="NT56" i="1"/>
  <c r="GN70" i="1" s="1"/>
  <c r="NU55" i="1"/>
  <c r="IQ49" i="1"/>
  <c r="BK102" i="1"/>
  <c r="BK106" i="1" s="1"/>
  <c r="IQ109" i="1"/>
  <c r="NS57" i="1"/>
  <c r="NS60" i="1" s="1"/>
  <c r="BJ117" i="1"/>
  <c r="BJ118" i="1" s="1"/>
  <c r="BJ122" i="1"/>
  <c r="BJ123" i="1" s="1"/>
  <c r="IR53" i="1" l="1"/>
  <c r="GO69" i="1"/>
  <c r="NU56" i="1"/>
  <c r="GO70" i="1" s="1"/>
  <c r="NV55" i="1"/>
  <c r="IR73" i="1"/>
  <c r="BL49" i="1"/>
  <c r="BL51" i="1" s="1"/>
  <c r="BL71" i="1"/>
  <c r="BL72" i="1" s="1"/>
  <c r="IR54" i="1"/>
  <c r="IR62" i="1"/>
  <c r="IQ114" i="1"/>
  <c r="BK116" i="1" s="1"/>
  <c r="IQ111" i="1"/>
  <c r="NT57" i="1"/>
  <c r="NT60" i="1" s="1"/>
  <c r="IQ110" i="1"/>
  <c r="IR105" i="1" s="1"/>
  <c r="BL103" i="1" l="1"/>
  <c r="BL74" i="1"/>
  <c r="BC90" i="3"/>
  <c r="BC91" i="3" s="1"/>
  <c r="IR48" i="1"/>
  <c r="BL53" i="1"/>
  <c r="GP69" i="1"/>
  <c r="NV56" i="1"/>
  <c r="GP70" i="1" s="1"/>
  <c r="NW55" i="1"/>
  <c r="NU57" i="1"/>
  <c r="NU60" i="1" s="1"/>
  <c r="IR106" i="1"/>
  <c r="IR74" i="1"/>
  <c r="BL105" i="1" s="1"/>
  <c r="IR103" i="1" s="1"/>
  <c r="IQ116" i="1"/>
  <c r="GQ69" i="1" l="1"/>
  <c r="NW56" i="1"/>
  <c r="NW57" i="1" s="1"/>
  <c r="GW55" i="1"/>
  <c r="IQ119" i="1"/>
  <c r="IQ120" i="1"/>
  <c r="BK121" i="1" s="1"/>
  <c r="NV57" i="1"/>
  <c r="NV60" i="1" s="1"/>
  <c r="BL102" i="1"/>
  <c r="BL106" i="1" s="1"/>
  <c r="IR49" i="1"/>
  <c r="BL75" i="1"/>
  <c r="IR109" i="1"/>
  <c r="IR75" i="1"/>
  <c r="NW60" i="1" l="1"/>
  <c r="F64" i="1" s="1"/>
  <c r="F58" i="1" s="1"/>
  <c r="GW57" i="1"/>
  <c r="BL64" i="1"/>
  <c r="IS53" i="1"/>
  <c r="BK117" i="1"/>
  <c r="BK118" i="1" s="1"/>
  <c r="BK122" i="1"/>
  <c r="BK123" i="1" s="1"/>
  <c r="GQ70" i="1"/>
  <c r="L70" i="1" s="1"/>
  <c r="GW56" i="1"/>
  <c r="L69" i="1"/>
  <c r="IR114" i="1"/>
  <c r="BL116" i="1" s="1"/>
  <c r="IR111" i="1"/>
  <c r="IR110" i="1"/>
  <c r="IS105" i="1" s="1"/>
  <c r="IR116" i="1" l="1"/>
  <c r="IR119" i="1" s="1"/>
  <c r="J70" i="1"/>
  <c r="S70" i="1"/>
  <c r="K70" i="1"/>
  <c r="IS106" i="1"/>
  <c r="BM49" i="1"/>
  <c r="BM51" i="1" s="1"/>
  <c r="IS73" i="1"/>
  <c r="BM71" i="1"/>
  <c r="BM72" i="1" s="1"/>
  <c r="IS54" i="1"/>
  <c r="IS62" i="1"/>
  <c r="K69" i="1"/>
  <c r="S69" i="1"/>
  <c r="J69" i="1"/>
  <c r="IR120" i="1" l="1"/>
  <c r="BL121" i="1" s="1"/>
  <c r="BD90" i="3"/>
  <c r="BD91" i="3" s="1"/>
  <c r="IS48" i="1"/>
  <c r="BM53" i="1"/>
  <c r="BM74" i="1"/>
  <c r="BM103" i="1"/>
  <c r="IS74" i="1"/>
  <c r="BM105" i="1" s="1"/>
  <c r="IS103" i="1" s="1"/>
  <c r="BL117" i="1"/>
  <c r="BL118" i="1" s="1"/>
  <c r="BL122" i="1"/>
  <c r="BL123" i="1" s="1"/>
  <c r="BM75" i="1" l="1"/>
  <c r="IS109" i="1"/>
  <c r="BM102" i="1"/>
  <c r="BM106" i="1" s="1"/>
  <c r="IS49" i="1"/>
  <c r="IS75" i="1"/>
  <c r="BM64" i="1" l="1"/>
  <c r="IT53" i="1"/>
  <c r="IS114" i="1"/>
  <c r="BM116" i="1" s="1"/>
  <c r="IS111" i="1"/>
  <c r="IS110" i="1"/>
  <c r="IT105" i="1" s="1"/>
  <c r="IS116" i="1" l="1"/>
  <c r="IS120" i="1" s="1"/>
  <c r="BM121" i="1" s="1"/>
  <c r="IT106" i="1"/>
  <c r="IT73" i="1"/>
  <c r="BN71" i="1"/>
  <c r="BN72" i="1" s="1"/>
  <c r="BN49" i="1"/>
  <c r="BN51" i="1" s="1"/>
  <c r="IT54" i="1"/>
  <c r="IT62" i="1"/>
  <c r="IS119" i="1" l="1"/>
  <c r="BN74" i="1"/>
  <c r="BN103" i="1"/>
  <c r="BM117" i="1"/>
  <c r="BM118" i="1" s="1"/>
  <c r="BM122" i="1"/>
  <c r="BM123" i="1" s="1"/>
  <c r="IT48" i="1"/>
  <c r="BN53" i="1"/>
  <c r="BE90" i="3"/>
  <c r="BE91" i="3" s="1"/>
  <c r="IT74" i="1"/>
  <c r="BN105" i="1" s="1"/>
  <c r="IT103" i="1" s="1"/>
  <c r="IT109" i="1" l="1"/>
  <c r="IT75" i="1"/>
  <c r="BN102" i="1"/>
  <c r="BN106" i="1" s="1"/>
  <c r="IT49" i="1"/>
  <c r="BN75" i="1"/>
  <c r="BN64" i="1" l="1"/>
  <c r="IU53" i="1"/>
  <c r="IT114" i="1"/>
  <c r="IT111" i="1"/>
  <c r="IT110" i="1"/>
  <c r="IU105" i="1" s="1"/>
  <c r="IU106" i="1" l="1"/>
  <c r="BN116" i="1"/>
  <c r="BO49" i="1"/>
  <c r="BO51" i="1" s="1"/>
  <c r="BO71" i="1"/>
  <c r="BO72" i="1" s="1"/>
  <c r="IU73" i="1"/>
  <c r="IU54" i="1"/>
  <c r="IU62" i="1"/>
  <c r="IT116" i="1"/>
  <c r="IT120" i="1" l="1"/>
  <c r="BN121" i="1" s="1"/>
  <c r="IT119" i="1"/>
  <c r="IU74" i="1"/>
  <c r="BO105" i="1" s="1"/>
  <c r="IU103" i="1" s="1"/>
  <c r="BO103" i="1"/>
  <c r="BO74" i="1"/>
  <c r="BF90" i="3"/>
  <c r="BF91" i="3" s="1"/>
  <c r="IU48" i="1"/>
  <c r="BO53" i="1"/>
  <c r="BO102" i="1" l="1"/>
  <c r="BO106" i="1" s="1"/>
  <c r="IU49" i="1"/>
  <c r="BO75" i="1"/>
  <c r="BN117" i="1"/>
  <c r="BN118" i="1" s="1"/>
  <c r="BN122" i="1"/>
  <c r="BN123" i="1" s="1"/>
  <c r="IU109" i="1"/>
  <c r="IU75" i="1"/>
  <c r="BO64" i="1" l="1"/>
  <c r="IV53" i="1"/>
  <c r="IU114" i="1"/>
  <c r="BO116" i="1" s="1"/>
  <c r="IU111" i="1"/>
  <c r="IU110" i="1"/>
  <c r="IV105" i="1" s="1"/>
  <c r="IV106" i="1" l="1"/>
  <c r="BP71" i="1"/>
  <c r="BP72" i="1" s="1"/>
  <c r="BP49" i="1"/>
  <c r="BP51" i="1" s="1"/>
  <c r="BG90" i="3" s="1"/>
  <c r="BG91" i="3" s="1"/>
  <c r="H91" i="3" s="1"/>
  <c r="IV73" i="1"/>
  <c r="IV54" i="1"/>
  <c r="IV62" i="1"/>
  <c r="IU116" i="1"/>
  <c r="IU120" i="1" l="1"/>
  <c r="BO121" i="1" s="1"/>
  <c r="IU119" i="1"/>
  <c r="IV48" i="1"/>
  <c r="BP53" i="1"/>
  <c r="IV74" i="1"/>
  <c r="BP105" i="1" s="1"/>
  <c r="IV103" i="1" s="1"/>
  <c r="BP103" i="1"/>
  <c r="BP74" i="1"/>
  <c r="BP75" i="1" l="1"/>
  <c r="IV109" i="1"/>
  <c r="IV75" i="1"/>
  <c r="BP102" i="1"/>
  <c r="BP106" i="1" s="1"/>
  <c r="IV49" i="1"/>
  <c r="BO117" i="1"/>
  <c r="BO118" i="1" s="1"/>
  <c r="BO122" i="1"/>
  <c r="BO123" i="1" s="1"/>
  <c r="IW53" i="1" l="1"/>
  <c r="BP64" i="1"/>
  <c r="IV114" i="1"/>
  <c r="IV111" i="1"/>
  <c r="IV110" i="1"/>
  <c r="IW105" i="1" s="1"/>
  <c r="IV116" i="1"/>
  <c r="IV119" i="1" l="1"/>
  <c r="IV120" i="1"/>
  <c r="BP121" i="1" s="1"/>
  <c r="IW106" i="1"/>
  <c r="BP116" i="1"/>
  <c r="BQ49" i="1"/>
  <c r="BQ51" i="1" s="1"/>
  <c r="BQ71" i="1"/>
  <c r="BQ72" i="1" s="1"/>
  <c r="IW73" i="1"/>
  <c r="IW54" i="1"/>
  <c r="IW62" i="1"/>
  <c r="IW74" i="1" l="1"/>
  <c r="BQ105" i="1" s="1"/>
  <c r="IW103" i="1" s="1"/>
  <c r="BQ103" i="1"/>
  <c r="BQ74" i="1"/>
  <c r="IW48" i="1"/>
  <c r="BQ53" i="1"/>
  <c r="BP117" i="1"/>
  <c r="BP118" i="1" s="1"/>
  <c r="BP122" i="1"/>
  <c r="BP123" i="1" s="1"/>
  <c r="BQ102" i="1" l="1"/>
  <c r="BQ106" i="1" s="1"/>
  <c r="IW49" i="1"/>
  <c r="BQ75" i="1"/>
  <c r="IW109" i="1"/>
  <c r="IW75" i="1"/>
  <c r="IW114" i="1" l="1"/>
  <c r="IW111" i="1"/>
  <c r="IW110" i="1"/>
  <c r="IX105" i="1" s="1"/>
  <c r="BQ64" i="1"/>
  <c r="IX53" i="1"/>
  <c r="IW116" i="1"/>
  <c r="IW120" i="1" l="1"/>
  <c r="BQ121" i="1" s="1"/>
  <c r="IW119" i="1"/>
  <c r="BR71" i="1"/>
  <c r="BR72" i="1" s="1"/>
  <c r="BR49" i="1"/>
  <c r="BR51" i="1" s="1"/>
  <c r="IX73" i="1"/>
  <c r="IX54" i="1"/>
  <c r="IX62" i="1"/>
  <c r="IX106" i="1"/>
  <c r="BQ116" i="1"/>
  <c r="BQ117" i="1" l="1"/>
  <c r="BQ118" i="1" s="1"/>
  <c r="BQ122" i="1"/>
  <c r="BQ123" i="1" s="1"/>
  <c r="IX74" i="1"/>
  <c r="BR105" i="1" s="1"/>
  <c r="IX103" i="1" s="1"/>
  <c r="IX48" i="1"/>
  <c r="BR53" i="1"/>
  <c r="BR103" i="1"/>
  <c r="BR74" i="1"/>
  <c r="BR75" i="1" s="1"/>
  <c r="IX109" i="1" l="1"/>
  <c r="IX49" i="1"/>
  <c r="BR102" i="1"/>
  <c r="BR106" i="1" s="1"/>
  <c r="IX75" i="1"/>
  <c r="IY53" i="1" l="1"/>
  <c r="BR64" i="1"/>
  <c r="IX114" i="1"/>
  <c r="IX111" i="1"/>
  <c r="IX110" i="1"/>
  <c r="IY105" i="1" s="1"/>
  <c r="IY106" i="1" l="1"/>
  <c r="IX116" i="1"/>
  <c r="BR116" i="1"/>
  <c r="BS49" i="1"/>
  <c r="BS51" i="1" s="1"/>
  <c r="IY73" i="1"/>
  <c r="BS71" i="1"/>
  <c r="BS72" i="1" s="1"/>
  <c r="IY54" i="1"/>
  <c r="IY62" i="1"/>
  <c r="BS103" i="1" l="1"/>
  <c r="BS74" i="1"/>
  <c r="IY74" i="1"/>
  <c r="BS105" i="1" s="1"/>
  <c r="IY103" i="1" s="1"/>
  <c r="BS53" i="1"/>
  <c r="IY48" i="1"/>
  <c r="IX120" i="1"/>
  <c r="BR121" i="1" s="1"/>
  <c r="IX119" i="1"/>
  <c r="BR117" i="1" l="1"/>
  <c r="BR118" i="1" s="1"/>
  <c r="BR122" i="1"/>
  <c r="BR123" i="1" s="1"/>
  <c r="BS102" i="1"/>
  <c r="BS106" i="1" s="1"/>
  <c r="IY49" i="1"/>
  <c r="IY109" i="1"/>
  <c r="IY75" i="1"/>
  <c r="BS75" i="1"/>
  <c r="BS64" i="1" l="1"/>
  <c r="IZ53" i="1"/>
  <c r="IY114" i="1"/>
  <c r="IY111" i="1"/>
  <c r="IY110" i="1"/>
  <c r="IZ105" i="1" s="1"/>
  <c r="IY116" i="1"/>
  <c r="IY120" i="1" l="1"/>
  <c r="BS121" i="1" s="1"/>
  <c r="IY119" i="1"/>
  <c r="IZ106" i="1"/>
  <c r="BS116" i="1"/>
  <c r="IZ73" i="1"/>
  <c r="BT71" i="1"/>
  <c r="BT72" i="1" s="1"/>
  <c r="BT49" i="1"/>
  <c r="BT51" i="1" s="1"/>
  <c r="IZ54" i="1"/>
  <c r="IZ62" i="1"/>
  <c r="IZ48" i="1" l="1"/>
  <c r="BT53" i="1"/>
  <c r="BS117" i="1"/>
  <c r="BS118" i="1" s="1"/>
  <c r="BS122" i="1"/>
  <c r="BT74" i="1"/>
  <c r="BT75" i="1" s="1"/>
  <c r="BT103" i="1"/>
  <c r="IZ74" i="1"/>
  <c r="BT105" i="1" s="1"/>
  <c r="IZ103" i="1" s="1"/>
  <c r="BS123" i="1"/>
  <c r="IZ109" i="1" l="1"/>
  <c r="IZ75" i="1"/>
  <c r="BT102" i="1"/>
  <c r="BT106" i="1" s="1"/>
  <c r="IZ49" i="1"/>
  <c r="JA53" i="1" l="1"/>
  <c r="BT64" i="1"/>
  <c r="IZ114" i="1"/>
  <c r="IZ116" i="1" s="1"/>
  <c r="IZ111" i="1"/>
  <c r="IZ110" i="1"/>
  <c r="JA105" i="1" s="1"/>
  <c r="IZ119" i="1" l="1"/>
  <c r="IZ120" i="1"/>
  <c r="BT121" i="1" s="1"/>
  <c r="JA106" i="1"/>
  <c r="BT116" i="1"/>
  <c r="BU49" i="1"/>
  <c r="BU51" i="1" s="1"/>
  <c r="JA73" i="1"/>
  <c r="BU71" i="1"/>
  <c r="BU72" i="1" s="1"/>
  <c r="JA54" i="1"/>
  <c r="JA62" i="1"/>
  <c r="BU53" i="1" l="1"/>
  <c r="JA48" i="1"/>
  <c r="BT117" i="1"/>
  <c r="BT122" i="1"/>
  <c r="BT123" i="1" s="1"/>
  <c r="BU74" i="1"/>
  <c r="BU75" i="1" s="1"/>
  <c r="BU103" i="1"/>
  <c r="JA74" i="1"/>
  <c r="BU105" i="1" s="1"/>
  <c r="JA103" i="1" s="1"/>
  <c r="BT118" i="1"/>
  <c r="JA109" i="1" l="1"/>
  <c r="JA75" i="1"/>
  <c r="BU102" i="1"/>
  <c r="BU106" i="1" s="1"/>
  <c r="JA49" i="1"/>
  <c r="BU64" i="1" l="1"/>
  <c r="JB53" i="1"/>
  <c r="JA114" i="1"/>
  <c r="BU116" i="1" s="1"/>
  <c r="JA111" i="1"/>
  <c r="JA110" i="1"/>
  <c r="JB105" i="1" s="1"/>
  <c r="JB106" i="1" l="1"/>
  <c r="JA116" i="1"/>
  <c r="BV71" i="1"/>
  <c r="BV72" i="1" s="1"/>
  <c r="JB73" i="1"/>
  <c r="BV49" i="1"/>
  <c r="BV51" i="1" s="1"/>
  <c r="JB54" i="1"/>
  <c r="JB62" i="1"/>
  <c r="JB48" i="1" l="1"/>
  <c r="BV53" i="1"/>
  <c r="JB74" i="1"/>
  <c r="BV105" i="1" s="1"/>
  <c r="JB103" i="1" s="1"/>
  <c r="BV103" i="1"/>
  <c r="BV74" i="1"/>
  <c r="BV75" i="1" s="1"/>
  <c r="JA120" i="1"/>
  <c r="BU121" i="1" s="1"/>
  <c r="JA119" i="1"/>
  <c r="BU117" i="1" l="1"/>
  <c r="BU118" i="1" s="1"/>
  <c r="BU122" i="1"/>
  <c r="BU123" i="1" s="1"/>
  <c r="JB109" i="1"/>
  <c r="JB75" i="1"/>
  <c r="JB49" i="1"/>
  <c r="BV102" i="1"/>
  <c r="BV106" i="1" s="1"/>
  <c r="BV64" i="1" l="1"/>
  <c r="JC53" i="1"/>
  <c r="JB114" i="1"/>
  <c r="JB111" i="1"/>
  <c r="JB110" i="1"/>
  <c r="JC105" i="1" s="1"/>
  <c r="JC106" i="1" l="1"/>
  <c r="JB116" i="1"/>
  <c r="BV116" i="1"/>
  <c r="JC73" i="1"/>
  <c r="BW71" i="1"/>
  <c r="BW72" i="1" s="1"/>
  <c r="BW49" i="1"/>
  <c r="BW51" i="1" s="1"/>
  <c r="JC54" i="1"/>
  <c r="JC62" i="1"/>
  <c r="JC74" i="1" l="1"/>
  <c r="BW105" i="1" s="1"/>
  <c r="JC103" i="1" s="1"/>
  <c r="JB119" i="1"/>
  <c r="JB120" i="1"/>
  <c r="BV121" i="1" s="1"/>
  <c r="JC48" i="1"/>
  <c r="BW53" i="1"/>
  <c r="BW74" i="1"/>
  <c r="BW103" i="1"/>
  <c r="BW75" i="1" l="1"/>
  <c r="BW102" i="1"/>
  <c r="BW106" i="1" s="1"/>
  <c r="JC49" i="1"/>
  <c r="BV117" i="1"/>
  <c r="BV118" i="1" s="1"/>
  <c r="BV122" i="1"/>
  <c r="BV123" i="1" s="1"/>
  <c r="JC109" i="1"/>
  <c r="JC75" i="1"/>
  <c r="JC114" i="1" l="1"/>
  <c r="BW116" i="1" s="1"/>
  <c r="JC111" i="1"/>
  <c r="JC110" i="1"/>
  <c r="JD105" i="1" s="1"/>
  <c r="BW64" i="1"/>
  <c r="JD53" i="1"/>
  <c r="JC116" i="1" l="1"/>
  <c r="JC119" i="1" s="1"/>
  <c r="BX49" i="1"/>
  <c r="BX51" i="1" s="1"/>
  <c r="BX71" i="1"/>
  <c r="BX72" i="1" s="1"/>
  <c r="JD73" i="1"/>
  <c r="JD54" i="1"/>
  <c r="JD62" i="1"/>
  <c r="JD106" i="1"/>
  <c r="JC120" i="1" l="1"/>
  <c r="BW121" i="1" s="1"/>
  <c r="BX53" i="1"/>
  <c r="JD48" i="1"/>
  <c r="JD74" i="1"/>
  <c r="BX105" i="1" s="1"/>
  <c r="JD103" i="1" s="1"/>
  <c r="BX74" i="1"/>
  <c r="BX103" i="1"/>
  <c r="BW122" i="1"/>
  <c r="BW123" i="1" l="1"/>
  <c r="BW117" i="1"/>
  <c r="BW118" i="1" s="1"/>
  <c r="BX75" i="1"/>
  <c r="JD109" i="1"/>
  <c r="JD75" i="1"/>
  <c r="BX102" i="1"/>
  <c r="BX106" i="1" s="1"/>
  <c r="JD49" i="1"/>
  <c r="JE53" i="1" l="1"/>
  <c r="BX64" i="1"/>
  <c r="JD114" i="1"/>
  <c r="JD111" i="1"/>
  <c r="JD110" i="1"/>
  <c r="JE105" i="1" s="1"/>
  <c r="JD116" i="1"/>
  <c r="JD119" i="1" l="1"/>
  <c r="JD120" i="1"/>
  <c r="BX121" i="1" s="1"/>
  <c r="JE106" i="1"/>
  <c r="BX116" i="1"/>
  <c r="BY49" i="1"/>
  <c r="BY51" i="1" s="1"/>
  <c r="BY71" i="1"/>
  <c r="BY72" i="1" s="1"/>
  <c r="JE73" i="1"/>
  <c r="JE54" i="1"/>
  <c r="JE62" i="1"/>
  <c r="JE74" i="1" l="1"/>
  <c r="BY105" i="1" s="1"/>
  <c r="JE103" i="1" s="1"/>
  <c r="BY53" i="1"/>
  <c r="JE48" i="1"/>
  <c r="BX117" i="1"/>
  <c r="BX122" i="1"/>
  <c r="BX123" i="1" s="1"/>
  <c r="BY74" i="1"/>
  <c r="BY103" i="1"/>
  <c r="BX118" i="1"/>
  <c r="BY75" i="1" l="1"/>
  <c r="BY102" i="1"/>
  <c r="BY106" i="1" s="1"/>
  <c r="JE49" i="1"/>
  <c r="JE109" i="1"/>
  <c r="JE75" i="1"/>
  <c r="JF53" i="1" l="1"/>
  <c r="BY64" i="1"/>
  <c r="JE114" i="1"/>
  <c r="JE111" i="1"/>
  <c r="JE110" i="1"/>
  <c r="JF105" i="1" s="1"/>
  <c r="JE116" i="1"/>
  <c r="JE120" i="1" l="1"/>
  <c r="JE119" i="1"/>
  <c r="BY121" i="1"/>
  <c r="JF106" i="1"/>
  <c r="BY116" i="1"/>
  <c r="BZ49" i="1"/>
  <c r="BZ51" i="1" s="1"/>
  <c r="BZ71" i="1"/>
  <c r="BZ72" i="1" s="1"/>
  <c r="JF73" i="1"/>
  <c r="JF54" i="1"/>
  <c r="JF62" i="1"/>
  <c r="BZ103" i="1" l="1"/>
  <c r="BZ74" i="1"/>
  <c r="BY117" i="1"/>
  <c r="BY118" i="1" s="1"/>
  <c r="BY122" i="1"/>
  <c r="BY123" i="1" s="1"/>
  <c r="JF74" i="1"/>
  <c r="BZ105" i="1" s="1"/>
  <c r="JF103" i="1" s="1"/>
  <c r="JF48" i="1"/>
  <c r="BZ53" i="1"/>
  <c r="BZ102" i="1" l="1"/>
  <c r="BZ106" i="1" s="1"/>
  <c r="JF49" i="1"/>
  <c r="JF109" i="1"/>
  <c r="JF75" i="1"/>
  <c r="BZ75" i="1"/>
  <c r="BZ64" i="1" l="1"/>
  <c r="JG53" i="1"/>
  <c r="JF114" i="1"/>
  <c r="BZ116" i="1" s="1"/>
  <c r="JF111" i="1"/>
  <c r="JF110" i="1"/>
  <c r="JG105" i="1" s="1"/>
  <c r="JF116" i="1"/>
  <c r="JF120" i="1" l="1"/>
  <c r="BZ121" i="1" s="1"/>
  <c r="JF119" i="1"/>
  <c r="JG106" i="1"/>
  <c r="JG73" i="1"/>
  <c r="CA49" i="1"/>
  <c r="CA51" i="1" s="1"/>
  <c r="CA71" i="1"/>
  <c r="CA72" i="1" s="1"/>
  <c r="JG54" i="1"/>
  <c r="JG62" i="1"/>
  <c r="CA103" i="1" l="1"/>
  <c r="CA74" i="1"/>
  <c r="JG74" i="1"/>
  <c r="CA105" i="1" s="1"/>
  <c r="JG103" i="1" s="1"/>
  <c r="BZ117" i="1"/>
  <c r="BZ118" i="1" s="1"/>
  <c r="BZ122" i="1"/>
  <c r="BZ123" i="1" s="1"/>
  <c r="CA53" i="1"/>
  <c r="JG48" i="1"/>
  <c r="JG49" i="1" l="1"/>
  <c r="CA102" i="1"/>
  <c r="CA106" i="1" s="1"/>
  <c r="JG75" i="1"/>
  <c r="JG109" i="1"/>
  <c r="CA75" i="1"/>
  <c r="JG114" i="1" l="1"/>
  <c r="CA116" i="1" s="1"/>
  <c r="JG111" i="1"/>
  <c r="JG110" i="1"/>
  <c r="JH105" i="1" s="1"/>
  <c r="CA64" i="1"/>
  <c r="JH53" i="1"/>
  <c r="JG116" i="1" l="1"/>
  <c r="JG119" i="1" s="1"/>
  <c r="JH73" i="1"/>
  <c r="CB49" i="1"/>
  <c r="CB51" i="1" s="1"/>
  <c r="CB71" i="1"/>
  <c r="CB72" i="1" s="1"/>
  <c r="JH54" i="1"/>
  <c r="JH62" i="1"/>
  <c r="JH106" i="1"/>
  <c r="JG120" i="1" l="1"/>
  <c r="CA121" i="1" s="1"/>
  <c r="CB74" i="1"/>
  <c r="CB103" i="1"/>
  <c r="CB53" i="1"/>
  <c r="JH48" i="1"/>
  <c r="JH74" i="1"/>
  <c r="CB105" i="1" s="1"/>
  <c r="JH103" i="1" s="1"/>
  <c r="CA117" i="1"/>
  <c r="CA118" i="1" s="1"/>
  <c r="CA122" i="1"/>
  <c r="CA123" i="1" s="1"/>
  <c r="JH109" i="1" l="1"/>
  <c r="JH75" i="1"/>
  <c r="CB102" i="1"/>
  <c r="CB106" i="1" s="1"/>
  <c r="JH49" i="1"/>
  <c r="CB75" i="1"/>
  <c r="JI53" i="1" l="1"/>
  <c r="CB64" i="1"/>
  <c r="JH114" i="1"/>
  <c r="JH111" i="1"/>
  <c r="JH110" i="1"/>
  <c r="JI105" i="1" s="1"/>
  <c r="JH116" i="1"/>
  <c r="JH119" i="1" l="1"/>
  <c r="JH120" i="1"/>
  <c r="CB121" i="1" s="1"/>
  <c r="JI106" i="1"/>
  <c r="CB116" i="1"/>
  <c r="CC49" i="1"/>
  <c r="CC51" i="1" s="1"/>
  <c r="JI73" i="1"/>
  <c r="CC71" i="1"/>
  <c r="CC72" i="1" s="1"/>
  <c r="JI54" i="1"/>
  <c r="JI62" i="1"/>
  <c r="JI74" i="1" l="1"/>
  <c r="CC105" i="1" s="1"/>
  <c r="JI103" i="1" s="1"/>
  <c r="CC103" i="1"/>
  <c r="CC74" i="1"/>
  <c r="JI48" i="1"/>
  <c r="CC53" i="1"/>
  <c r="CB117" i="1"/>
  <c r="CB118" i="1" s="1"/>
  <c r="CB122" i="1"/>
  <c r="CB123" i="1" s="1"/>
  <c r="CC102" i="1" l="1"/>
  <c r="CC106" i="1" s="1"/>
  <c r="JI49" i="1"/>
  <c r="CC75" i="1"/>
  <c r="JI109" i="1"/>
  <c r="JI75" i="1"/>
  <c r="JI114" i="1" l="1"/>
  <c r="CC116" i="1" s="1"/>
  <c r="JI111" i="1"/>
  <c r="JI110" i="1"/>
  <c r="JJ105" i="1" s="1"/>
  <c r="CC64" i="1"/>
  <c r="JJ53" i="1"/>
  <c r="JI116" i="1" l="1"/>
  <c r="JI119" i="1" s="1"/>
  <c r="JJ73" i="1"/>
  <c r="CD71" i="1"/>
  <c r="CD72" i="1" s="1"/>
  <c r="CD49" i="1"/>
  <c r="CD51" i="1" s="1"/>
  <c r="JJ54" i="1"/>
  <c r="JJ62" i="1"/>
  <c r="JJ106" i="1"/>
  <c r="JI120" i="1" l="1"/>
  <c r="CC121" i="1" s="1"/>
  <c r="CC122" i="1"/>
  <c r="JJ48" i="1"/>
  <c r="CD53" i="1"/>
  <c r="CD74" i="1"/>
  <c r="CD75" i="1" s="1"/>
  <c r="CD103" i="1"/>
  <c r="JJ74" i="1"/>
  <c r="CD105" i="1" s="1"/>
  <c r="JJ103" i="1" s="1"/>
  <c r="CC123" i="1" l="1"/>
  <c r="CC117" i="1"/>
  <c r="CC118" i="1" s="1"/>
  <c r="JJ109" i="1"/>
  <c r="JJ75" i="1"/>
  <c r="CD102" i="1"/>
  <c r="CD106" i="1" s="1"/>
  <c r="JJ49" i="1"/>
  <c r="CD64" i="1" l="1"/>
  <c r="JK53" i="1"/>
  <c r="JJ114" i="1"/>
  <c r="JJ111" i="1"/>
  <c r="JJ110" i="1"/>
  <c r="JK105" i="1" s="1"/>
  <c r="JK106" i="1" l="1"/>
  <c r="JJ116" i="1"/>
  <c r="CD116" i="1"/>
  <c r="CE71" i="1"/>
  <c r="CE72" i="1" s="1"/>
  <c r="JK73" i="1"/>
  <c r="CE49" i="1"/>
  <c r="CE51" i="1" s="1"/>
  <c r="JK54" i="1"/>
  <c r="JK62" i="1"/>
  <c r="CE53" i="1" l="1"/>
  <c r="JK48" i="1"/>
  <c r="JK74" i="1"/>
  <c r="CE105" i="1" s="1"/>
  <c r="JK103" i="1" s="1"/>
  <c r="CE74" i="1"/>
  <c r="CE75" i="1" s="1"/>
  <c r="CE103" i="1"/>
  <c r="JJ120" i="1"/>
  <c r="CD121" i="1" s="1"/>
  <c r="JJ119" i="1"/>
  <c r="CD117" i="1" l="1"/>
  <c r="CD118" i="1" s="1"/>
  <c r="CD122" i="1"/>
  <c r="CD123" i="1" s="1"/>
  <c r="JK109" i="1"/>
  <c r="JK75" i="1"/>
  <c r="CE102" i="1"/>
  <c r="CE106" i="1" s="1"/>
  <c r="JK49" i="1"/>
  <c r="CE64" i="1" l="1"/>
  <c r="JL53" i="1"/>
  <c r="JK114" i="1"/>
  <c r="JK111" i="1"/>
  <c r="JK110" i="1"/>
  <c r="JL105" i="1" s="1"/>
  <c r="JL106" i="1" l="1"/>
  <c r="CE116" i="1"/>
  <c r="CF49" i="1"/>
  <c r="CF51" i="1" s="1"/>
  <c r="CF71" i="1"/>
  <c r="CF72" i="1" s="1"/>
  <c r="JL73" i="1"/>
  <c r="JL54" i="1"/>
  <c r="JL62" i="1"/>
  <c r="JK116" i="1"/>
  <c r="JK120" i="1" l="1"/>
  <c r="CE121" i="1" s="1"/>
  <c r="JK119" i="1"/>
  <c r="JL74" i="1"/>
  <c r="CF105" i="1" s="1"/>
  <c r="JL103" i="1" s="1"/>
  <c r="CF103" i="1"/>
  <c r="CF74" i="1"/>
  <c r="CF53" i="1"/>
  <c r="JL48" i="1"/>
  <c r="CF75" i="1" l="1"/>
  <c r="CE117" i="1"/>
  <c r="CE118" i="1" s="1"/>
  <c r="CE122" i="1"/>
  <c r="CE123" i="1" s="1"/>
  <c r="CF102" i="1"/>
  <c r="CF106" i="1" s="1"/>
  <c r="JL49" i="1"/>
  <c r="JL109" i="1"/>
  <c r="JL75" i="1"/>
  <c r="CF64" i="1" l="1"/>
  <c r="JM53" i="1"/>
  <c r="JL114" i="1"/>
  <c r="CF116" i="1" s="1"/>
  <c r="JL111" i="1"/>
  <c r="JL110" i="1"/>
  <c r="JM105" i="1" s="1"/>
  <c r="JL116" i="1"/>
  <c r="JM106" i="1" l="1"/>
  <c r="JL120" i="1"/>
  <c r="CF121" i="1" s="1"/>
  <c r="JL119" i="1"/>
  <c r="CG71" i="1"/>
  <c r="CG72" i="1" s="1"/>
  <c r="JM73" i="1"/>
  <c r="CG49" i="1"/>
  <c r="CG51" i="1" s="1"/>
  <c r="JM54" i="1"/>
  <c r="JM62" i="1"/>
  <c r="JM74" i="1" l="1"/>
  <c r="CG105" i="1" s="1"/>
  <c r="JM103" i="1" s="1"/>
  <c r="JM48" i="1"/>
  <c r="CG53" i="1"/>
  <c r="CG103" i="1"/>
  <c r="CG74" i="1"/>
  <c r="CG75" i="1" s="1"/>
  <c r="CF117" i="1"/>
  <c r="CF118" i="1" s="1"/>
  <c r="CF122" i="1"/>
  <c r="CF123" i="1" s="1"/>
  <c r="JM49" i="1" l="1"/>
  <c r="CG102" i="1"/>
  <c r="CG106" i="1" s="1"/>
  <c r="JM109" i="1"/>
  <c r="JM75" i="1"/>
  <c r="JN53" i="1" l="1"/>
  <c r="CG64" i="1"/>
  <c r="JM114" i="1"/>
  <c r="CG116" i="1" s="1"/>
  <c r="JM111" i="1"/>
  <c r="JM110" i="1"/>
  <c r="JN105" i="1" s="1"/>
  <c r="JM116" i="1"/>
  <c r="JN106" i="1" l="1"/>
  <c r="JM119" i="1"/>
  <c r="JM120" i="1"/>
  <c r="CG121" i="1" s="1"/>
  <c r="CH71" i="1"/>
  <c r="CH72" i="1" s="1"/>
  <c r="JN73" i="1"/>
  <c r="CH49" i="1"/>
  <c r="CH51" i="1" s="1"/>
  <c r="JN54" i="1"/>
  <c r="JN62" i="1"/>
  <c r="CH53" i="1" l="1"/>
  <c r="JN48" i="1"/>
  <c r="JN74" i="1"/>
  <c r="CH105" i="1" s="1"/>
  <c r="JN103" i="1" s="1"/>
  <c r="CH103" i="1"/>
  <c r="CH74" i="1"/>
  <c r="CG117" i="1"/>
  <c r="CG118" i="1" s="1"/>
  <c r="CG122" i="1"/>
  <c r="CG123" i="1" s="1"/>
  <c r="CH75" i="1" l="1"/>
  <c r="JN109" i="1"/>
  <c r="JN75" i="1"/>
  <c r="CH102" i="1"/>
  <c r="CH106" i="1" s="1"/>
  <c r="JN49" i="1"/>
  <c r="JO53" i="1" l="1"/>
  <c r="CH64" i="1"/>
  <c r="JN114" i="1"/>
  <c r="JN111" i="1"/>
  <c r="JN110" i="1"/>
  <c r="JO105" i="1" s="1"/>
  <c r="JN116" i="1"/>
  <c r="JN119" i="1" l="1"/>
  <c r="JN120" i="1"/>
  <c r="CH121" i="1" s="1"/>
  <c r="JO106" i="1"/>
  <c r="CH116" i="1"/>
  <c r="CI71" i="1"/>
  <c r="CI72" i="1" s="1"/>
  <c r="CI49" i="1"/>
  <c r="CI51" i="1" s="1"/>
  <c r="JO73" i="1"/>
  <c r="JO54" i="1"/>
  <c r="JO62" i="1"/>
  <c r="JO74" i="1" l="1"/>
  <c r="CI105" i="1" s="1"/>
  <c r="JO103" i="1" s="1"/>
  <c r="CI103" i="1"/>
  <c r="CI74" i="1"/>
  <c r="CH117" i="1"/>
  <c r="CH122" i="1"/>
  <c r="CH123" i="1" s="1"/>
  <c r="JO48" i="1"/>
  <c r="CI53" i="1"/>
  <c r="CH118" i="1"/>
  <c r="CI102" i="1" l="1"/>
  <c r="CI106" i="1" s="1"/>
  <c r="JO49" i="1"/>
  <c r="CI75" i="1"/>
  <c r="JO109" i="1"/>
  <c r="JO75" i="1"/>
  <c r="CI64" i="1" l="1"/>
  <c r="JP53" i="1"/>
  <c r="JO114" i="1"/>
  <c r="JO111" i="1"/>
  <c r="JO110" i="1"/>
  <c r="JP105" i="1" s="1"/>
  <c r="JP106" i="1" l="1"/>
  <c r="CI116" i="1"/>
  <c r="CJ71" i="1"/>
  <c r="CJ72" i="1" s="1"/>
  <c r="JP73" i="1"/>
  <c r="CJ49" i="1"/>
  <c r="CJ51" i="1" s="1"/>
  <c r="JP54" i="1"/>
  <c r="JP62" i="1"/>
  <c r="JO116" i="1"/>
  <c r="JO119" i="1" l="1"/>
  <c r="JO120" i="1"/>
  <c r="CI121" i="1" s="1"/>
  <c r="JP48" i="1"/>
  <c r="CJ53" i="1"/>
  <c r="JP74" i="1"/>
  <c r="CJ105" i="1" s="1"/>
  <c r="JP103" i="1" s="1"/>
  <c r="CJ103" i="1"/>
  <c r="CJ74" i="1"/>
  <c r="CJ75" i="1" l="1"/>
  <c r="JP109" i="1"/>
  <c r="JP49" i="1"/>
  <c r="CJ102" i="1"/>
  <c r="CJ106" i="1" s="1"/>
  <c r="JP75" i="1"/>
  <c r="CI117" i="1"/>
  <c r="CI118" i="1" s="1"/>
  <c r="CI122" i="1"/>
  <c r="CI123" i="1" s="1"/>
  <c r="CJ64" i="1" l="1"/>
  <c r="JQ53" i="1"/>
  <c r="JP114" i="1"/>
  <c r="JP111" i="1"/>
  <c r="JP110" i="1"/>
  <c r="JQ105" i="1" s="1"/>
  <c r="JQ106" i="1" l="1"/>
  <c r="JP116" i="1"/>
  <c r="CJ116" i="1"/>
  <c r="CK71" i="1"/>
  <c r="CK72" i="1" s="1"/>
  <c r="JQ73" i="1"/>
  <c r="CK49" i="1"/>
  <c r="CK51" i="1" s="1"/>
  <c r="JQ54" i="1"/>
  <c r="JQ62" i="1"/>
  <c r="JQ48" i="1" l="1"/>
  <c r="CK53" i="1"/>
  <c r="CK74" i="1"/>
  <c r="CK103" i="1"/>
  <c r="JQ74" i="1"/>
  <c r="CK105" i="1" s="1"/>
  <c r="JQ103" i="1" s="1"/>
  <c r="JP119" i="1"/>
  <c r="JP120" i="1"/>
  <c r="CJ121" i="1" s="1"/>
  <c r="CK75" i="1" l="1"/>
  <c r="CJ117" i="1"/>
  <c r="CJ118" i="1" s="1"/>
  <c r="CJ122" i="1"/>
  <c r="CJ123" i="1" s="1"/>
  <c r="JQ75" i="1"/>
  <c r="JQ109" i="1"/>
  <c r="JQ49" i="1"/>
  <c r="CK102" i="1"/>
  <c r="CK106" i="1" s="1"/>
  <c r="JQ114" i="1" l="1"/>
  <c r="JQ111" i="1"/>
  <c r="JQ110" i="1"/>
  <c r="JR105" i="1" s="1"/>
  <c r="JR53" i="1"/>
  <c r="CK64" i="1"/>
  <c r="CL49" i="1" l="1"/>
  <c r="CL51" i="1" s="1"/>
  <c r="CL71" i="1"/>
  <c r="CL72" i="1" s="1"/>
  <c r="JR73" i="1"/>
  <c r="JR54" i="1"/>
  <c r="JR62" i="1"/>
  <c r="JR106" i="1"/>
  <c r="CK116" i="1"/>
  <c r="JQ116" i="1"/>
  <c r="JQ120" i="1" l="1"/>
  <c r="CK121" i="1" s="1"/>
  <c r="JQ119" i="1"/>
  <c r="JR74" i="1"/>
  <c r="CL105" i="1" s="1"/>
  <c r="JR103" i="1" s="1"/>
  <c r="CL103" i="1"/>
  <c r="CL74" i="1"/>
  <c r="JR48" i="1"/>
  <c r="CL53" i="1"/>
  <c r="JR49" i="1" l="1"/>
  <c r="CL102" i="1"/>
  <c r="CL106" i="1" s="1"/>
  <c r="JR109" i="1"/>
  <c r="CL75" i="1"/>
  <c r="JR75" i="1"/>
  <c r="CK117" i="1"/>
  <c r="CK118" i="1" s="1"/>
  <c r="CK122" i="1"/>
  <c r="CK123" i="1" s="1"/>
  <c r="CL64" i="1" l="1"/>
  <c r="JS53" i="1"/>
  <c r="JR114" i="1"/>
  <c r="CL116" i="1" s="1"/>
  <c r="JR111" i="1"/>
  <c r="JR110" i="1"/>
  <c r="JS105" i="1" s="1"/>
  <c r="JR116" i="1"/>
  <c r="JR120" i="1" l="1"/>
  <c r="CL121" i="1" s="1"/>
  <c r="JR119" i="1"/>
  <c r="JS106" i="1"/>
  <c r="CM71" i="1"/>
  <c r="CM72" i="1" s="1"/>
  <c r="CM49" i="1"/>
  <c r="CM51" i="1" s="1"/>
  <c r="JS73" i="1"/>
  <c r="JS54" i="1"/>
  <c r="JS62" i="1"/>
  <c r="JS74" i="1" l="1"/>
  <c r="CM105" i="1" s="1"/>
  <c r="JS103" i="1" s="1"/>
  <c r="CM53" i="1"/>
  <c r="JS48" i="1"/>
  <c r="CM74" i="1"/>
  <c r="CM103" i="1"/>
  <c r="CL117" i="1"/>
  <c r="CL118" i="1" s="1"/>
  <c r="CL122" i="1"/>
  <c r="CL123" i="1" s="1"/>
  <c r="CM75" i="1" l="1"/>
  <c r="CM102" i="1"/>
  <c r="CM106" i="1" s="1"/>
  <c r="JS49" i="1"/>
  <c r="JS109" i="1"/>
  <c r="JS75" i="1"/>
  <c r="JT53" i="1" l="1"/>
  <c r="CM64" i="1"/>
  <c r="JS114" i="1"/>
  <c r="JS111" i="1"/>
  <c r="JS110" i="1"/>
  <c r="JT105" i="1" s="1"/>
  <c r="JT106" i="1" l="1"/>
  <c r="JS116" i="1"/>
  <c r="CM116" i="1"/>
  <c r="JT73" i="1"/>
  <c r="CN49" i="1"/>
  <c r="CN51" i="1" s="1"/>
  <c r="CN71" i="1"/>
  <c r="CN72" i="1" s="1"/>
  <c r="JT54" i="1"/>
  <c r="JT62" i="1"/>
  <c r="JT48" i="1" l="1"/>
  <c r="CN53" i="1"/>
  <c r="CN103" i="1"/>
  <c r="CN74" i="1"/>
  <c r="JT74" i="1"/>
  <c r="CN105" i="1" s="1"/>
  <c r="JT103" i="1" s="1"/>
  <c r="JS120" i="1"/>
  <c r="CM121" i="1" s="1"/>
  <c r="JS119" i="1"/>
  <c r="CN75" i="1" l="1"/>
  <c r="CM117" i="1"/>
  <c r="CM118" i="1" s="1"/>
  <c r="CM122" i="1"/>
  <c r="CM123" i="1" s="1"/>
  <c r="JT109" i="1"/>
  <c r="JT75" i="1"/>
  <c r="CN102" i="1"/>
  <c r="CN106" i="1" s="1"/>
  <c r="JT49" i="1"/>
  <c r="CN64" i="1" l="1"/>
  <c r="JU53" i="1"/>
  <c r="JT114" i="1"/>
  <c r="JT111" i="1"/>
  <c r="JT110" i="1"/>
  <c r="JU105" i="1" s="1"/>
  <c r="CO49" i="1" l="1"/>
  <c r="CO51" i="1" s="1"/>
  <c r="CO71" i="1"/>
  <c r="CO72" i="1" s="1"/>
  <c r="JU73" i="1"/>
  <c r="JU54" i="1"/>
  <c r="JU62" i="1"/>
  <c r="JU106" i="1"/>
  <c r="CN116" i="1"/>
  <c r="JT116" i="1"/>
  <c r="JT120" i="1" l="1"/>
  <c r="CN121" i="1" s="1"/>
  <c r="JT119" i="1"/>
  <c r="JU74" i="1"/>
  <c r="CO105" i="1" s="1"/>
  <c r="JU103" i="1" s="1"/>
  <c r="CO103" i="1"/>
  <c r="CO74" i="1"/>
  <c r="JU48" i="1"/>
  <c r="CO53" i="1"/>
  <c r="CO102" i="1" l="1"/>
  <c r="CO106" i="1" s="1"/>
  <c r="JU49" i="1"/>
  <c r="JU109" i="1"/>
  <c r="CN117" i="1"/>
  <c r="CN118" i="1" s="1"/>
  <c r="CN122" i="1"/>
  <c r="CN123" i="1" s="1"/>
  <c r="CO75" i="1"/>
  <c r="JU75" i="1"/>
  <c r="JV53" i="1" l="1"/>
  <c r="CO64" i="1"/>
  <c r="JU114" i="1"/>
  <c r="CO116" i="1" s="1"/>
  <c r="JU111" i="1"/>
  <c r="JU110" i="1"/>
  <c r="JV105" i="1" s="1"/>
  <c r="JV106" i="1" l="1"/>
  <c r="JU116" i="1"/>
  <c r="CP71" i="1"/>
  <c r="CP72" i="1" s="1"/>
  <c r="CP49" i="1"/>
  <c r="CP51" i="1" s="1"/>
  <c r="JV73" i="1"/>
  <c r="JV54" i="1"/>
  <c r="JV62" i="1"/>
  <c r="JV74" i="1" l="1"/>
  <c r="CP105" i="1" s="1"/>
  <c r="JV103" i="1" s="1"/>
  <c r="CP74" i="1"/>
  <c r="CP103" i="1"/>
  <c r="JV48" i="1"/>
  <c r="CP53" i="1"/>
  <c r="JU120" i="1"/>
  <c r="CO121" i="1" s="1"/>
  <c r="JU119" i="1"/>
  <c r="CP75" i="1" l="1"/>
  <c r="CO117" i="1"/>
  <c r="CO118" i="1" s="1"/>
  <c r="CO122" i="1"/>
  <c r="CO123" i="1" s="1"/>
  <c r="JV49" i="1"/>
  <c r="CP102" i="1"/>
  <c r="CP106" i="1" s="1"/>
  <c r="JV109" i="1"/>
  <c r="JV75" i="1"/>
  <c r="JV114" i="1" l="1"/>
  <c r="JV116" i="1" s="1"/>
  <c r="JV111" i="1"/>
  <c r="JV110" i="1"/>
  <c r="JW105" i="1" s="1"/>
  <c r="CP64" i="1"/>
  <c r="JW53" i="1"/>
  <c r="JV120" i="1" l="1"/>
  <c r="CP121" i="1" s="1"/>
  <c r="JV119" i="1"/>
  <c r="CQ49" i="1"/>
  <c r="CQ51" i="1" s="1"/>
  <c r="JW73" i="1"/>
  <c r="CQ71" i="1"/>
  <c r="CQ72" i="1" s="1"/>
  <c r="JW54" i="1"/>
  <c r="JW62" i="1"/>
  <c r="JW106" i="1"/>
  <c r="CP116" i="1"/>
  <c r="JW74" i="1" l="1"/>
  <c r="CQ105" i="1" s="1"/>
  <c r="JW103" i="1" s="1"/>
  <c r="CQ74" i="1"/>
  <c r="CQ103" i="1"/>
  <c r="JW48" i="1"/>
  <c r="CQ53" i="1"/>
  <c r="CP117" i="1"/>
  <c r="CP118" i="1" s="1"/>
  <c r="CP122" i="1"/>
  <c r="CP123" i="1" s="1"/>
  <c r="JW109" i="1" l="1"/>
  <c r="JW49" i="1"/>
  <c r="CQ102" i="1"/>
  <c r="CQ106" i="1" s="1"/>
  <c r="CQ75" i="1"/>
  <c r="JW75" i="1"/>
  <c r="JX53" i="1" l="1"/>
  <c r="CQ64" i="1"/>
  <c r="JW114" i="1"/>
  <c r="JW111" i="1"/>
  <c r="JW110" i="1"/>
  <c r="JX105" i="1" s="1"/>
  <c r="JX106" i="1" l="1"/>
  <c r="JW116" i="1"/>
  <c r="CQ116" i="1"/>
  <c r="JX73" i="1"/>
  <c r="CR71" i="1"/>
  <c r="CR72" i="1" s="1"/>
  <c r="CR49" i="1"/>
  <c r="CR51" i="1" s="1"/>
  <c r="JX54" i="1"/>
  <c r="JX62" i="1"/>
  <c r="CR53" i="1" l="1"/>
  <c r="JX48" i="1"/>
  <c r="CR103" i="1"/>
  <c r="CR74" i="1"/>
  <c r="JX74" i="1"/>
  <c r="CR105" i="1" s="1"/>
  <c r="JX103" i="1" s="1"/>
  <c r="JW119" i="1"/>
  <c r="JW120" i="1"/>
  <c r="CQ121" i="1" s="1"/>
  <c r="CR75" i="1" l="1"/>
  <c r="CQ117" i="1"/>
  <c r="CQ118" i="1" s="1"/>
  <c r="CQ122" i="1"/>
  <c r="CQ123" i="1" s="1"/>
  <c r="JX109" i="1"/>
  <c r="JX75" i="1"/>
  <c r="JX49" i="1"/>
  <c r="CR102" i="1"/>
  <c r="CR106" i="1" s="1"/>
  <c r="CR64" i="1" l="1"/>
  <c r="JY53" i="1"/>
  <c r="JX114" i="1"/>
  <c r="JX111" i="1"/>
  <c r="JX110" i="1"/>
  <c r="JY105" i="1" s="1"/>
  <c r="JX116" i="1"/>
  <c r="JX120" i="1" l="1"/>
  <c r="CR121" i="1" s="1"/>
  <c r="JX119" i="1"/>
  <c r="JY106" i="1"/>
  <c r="CR116" i="1"/>
  <c r="CS49" i="1"/>
  <c r="CS51" i="1" s="1"/>
  <c r="CS71" i="1"/>
  <c r="CS72" i="1" s="1"/>
  <c r="JY73" i="1"/>
  <c r="JY54" i="1"/>
  <c r="JY62" i="1"/>
  <c r="JY74" i="1" l="1"/>
  <c r="CS105" i="1" s="1"/>
  <c r="JY103" i="1" s="1"/>
  <c r="CS103" i="1"/>
  <c r="CS74" i="1"/>
  <c r="CR117" i="1"/>
  <c r="CR118" i="1" s="1"/>
  <c r="CR122" i="1"/>
  <c r="CR123" i="1" s="1"/>
  <c r="CS53" i="1"/>
  <c r="JY48" i="1"/>
  <c r="CS75" i="1" l="1"/>
  <c r="CS102" i="1"/>
  <c r="CS106" i="1" s="1"/>
  <c r="JY49" i="1"/>
  <c r="JY109" i="1"/>
  <c r="JY75" i="1"/>
  <c r="CS64" i="1" l="1"/>
  <c r="JZ53" i="1"/>
  <c r="JY114" i="1"/>
  <c r="CS116" i="1" s="1"/>
  <c r="JY111" i="1"/>
  <c r="JY110" i="1"/>
  <c r="JZ105" i="1" s="1"/>
  <c r="CT49" i="1" l="1"/>
  <c r="CT51" i="1" s="1"/>
  <c r="JZ73" i="1"/>
  <c r="CT71" i="1"/>
  <c r="CT72" i="1" s="1"/>
  <c r="JZ54" i="1"/>
  <c r="JZ62" i="1"/>
  <c r="JZ106" i="1"/>
  <c r="JY116" i="1"/>
  <c r="CT103" i="1" l="1"/>
  <c r="CT74" i="1"/>
  <c r="JY119" i="1"/>
  <c r="JY120" i="1"/>
  <c r="CS121" i="1" s="1"/>
  <c r="JZ74" i="1"/>
  <c r="CT105" i="1" s="1"/>
  <c r="JZ103" i="1" s="1"/>
  <c r="JZ48" i="1"/>
  <c r="CT53" i="1"/>
  <c r="JZ109" i="1" l="1"/>
  <c r="JZ75" i="1"/>
  <c r="CS117" i="1"/>
  <c r="CS118" i="1" s="1"/>
  <c r="CS122" i="1"/>
  <c r="CS123" i="1" s="1"/>
  <c r="CT102" i="1"/>
  <c r="CT106" i="1" s="1"/>
  <c r="JZ49" i="1"/>
  <c r="CT75" i="1"/>
  <c r="CT64" i="1" l="1"/>
  <c r="KA53" i="1"/>
  <c r="JZ114" i="1"/>
  <c r="JZ111" i="1"/>
  <c r="JZ110" i="1"/>
  <c r="KA105" i="1" s="1"/>
  <c r="JZ116" i="1" l="1"/>
  <c r="KA106" i="1"/>
  <c r="CT116" i="1"/>
  <c r="KA73" i="1"/>
  <c r="CU71" i="1"/>
  <c r="CU72" i="1" s="1"/>
  <c r="CU49" i="1"/>
  <c r="CU51" i="1" s="1"/>
  <c r="KA54" i="1"/>
  <c r="KA62" i="1"/>
  <c r="KA74" i="1" l="1"/>
  <c r="CU105" i="1" s="1"/>
  <c r="KA103" i="1" s="1"/>
  <c r="KA48" i="1"/>
  <c r="CU53" i="1"/>
  <c r="CU103" i="1"/>
  <c r="CU74" i="1"/>
  <c r="CU75" i="1" s="1"/>
  <c r="JZ120" i="1"/>
  <c r="CT121" i="1" s="1"/>
  <c r="JZ119" i="1"/>
  <c r="CT117" i="1" l="1"/>
  <c r="CT118" i="1" s="1"/>
  <c r="CT122" i="1"/>
  <c r="CT123" i="1" s="1"/>
  <c r="KA49" i="1"/>
  <c r="CU102" i="1"/>
  <c r="CU106" i="1" s="1"/>
  <c r="KA109" i="1"/>
  <c r="KA75" i="1"/>
  <c r="KB53" i="1" l="1"/>
  <c r="CU64" i="1"/>
  <c r="KA114" i="1"/>
  <c r="CU116" i="1" s="1"/>
  <c r="KA111" i="1"/>
  <c r="KA110" i="1"/>
  <c r="KB105" i="1" s="1"/>
  <c r="KA116" i="1" l="1"/>
  <c r="KA120" i="1" s="1"/>
  <c r="CU121" i="1" s="1"/>
  <c r="KB106" i="1"/>
  <c r="CV49" i="1"/>
  <c r="CV51" i="1" s="1"/>
  <c r="CV71" i="1"/>
  <c r="CV72" i="1" s="1"/>
  <c r="KB73" i="1"/>
  <c r="KB54" i="1"/>
  <c r="KB62" i="1"/>
  <c r="KA119" i="1" l="1"/>
  <c r="CU117" i="1" s="1"/>
  <c r="CU118" i="1" s="1"/>
  <c r="KB74" i="1"/>
  <c r="CV105" i="1" s="1"/>
  <c r="KB103" i="1" s="1"/>
  <c r="KB48" i="1"/>
  <c r="CV53" i="1"/>
  <c r="CV74" i="1"/>
  <c r="CV75" i="1" s="1"/>
  <c r="CV103" i="1"/>
  <c r="CU122" i="1" l="1"/>
  <c r="CU123" i="1" s="1"/>
  <c r="KB49" i="1"/>
  <c r="CV102" i="1"/>
  <c r="CV106" i="1" s="1"/>
  <c r="KB109" i="1"/>
  <c r="KB75" i="1"/>
  <c r="KC53" i="1" l="1"/>
  <c r="CV64" i="1"/>
  <c r="KB114" i="1"/>
  <c r="KB111" i="1"/>
  <c r="KB110" i="1"/>
  <c r="KC105" i="1" s="1"/>
  <c r="KB116" i="1" l="1"/>
  <c r="KC106" i="1"/>
  <c r="CV116" i="1"/>
  <c r="CW71" i="1"/>
  <c r="CW72" i="1" s="1"/>
  <c r="CW49" i="1"/>
  <c r="CW51" i="1" s="1"/>
  <c r="KC73" i="1"/>
  <c r="KC54" i="1"/>
  <c r="KC62" i="1"/>
  <c r="KC74" i="1" l="1"/>
  <c r="CW105" i="1" s="1"/>
  <c r="KC103" i="1" s="1"/>
  <c r="KC48" i="1"/>
  <c r="CW53" i="1"/>
  <c r="CW103" i="1"/>
  <c r="CW74" i="1"/>
  <c r="CW75" i="1" s="1"/>
  <c r="KB120" i="1"/>
  <c r="CV121" i="1" s="1"/>
  <c r="KB119" i="1"/>
  <c r="CV117" i="1" l="1"/>
  <c r="CV118" i="1" s="1"/>
  <c r="CV122" i="1"/>
  <c r="CV123" i="1" s="1"/>
  <c r="KC49" i="1"/>
  <c r="CW102" i="1"/>
  <c r="CW106" i="1" s="1"/>
  <c r="KC109" i="1"/>
  <c r="KC75" i="1"/>
  <c r="KD53" i="1" l="1"/>
  <c r="CW64" i="1"/>
  <c r="KC114" i="1"/>
  <c r="CW116" i="1" s="1"/>
  <c r="KC111" i="1"/>
  <c r="KC110" i="1"/>
  <c r="KD105" i="1" s="1"/>
  <c r="KD106" i="1" l="1"/>
  <c r="KC116" i="1"/>
  <c r="CX49" i="1"/>
  <c r="CX51" i="1" s="1"/>
  <c r="KD73" i="1"/>
  <c r="CX71" i="1"/>
  <c r="CX72" i="1" s="1"/>
  <c r="KD54" i="1"/>
  <c r="KD62" i="1"/>
  <c r="KD74" i="1" l="1"/>
  <c r="CX105" i="1" s="1"/>
  <c r="KD103" i="1" s="1"/>
  <c r="KC120" i="1"/>
  <c r="CW121" i="1" s="1"/>
  <c r="KC119" i="1"/>
  <c r="CX103" i="1"/>
  <c r="CX74" i="1"/>
  <c r="CX53" i="1"/>
  <c r="KD48" i="1"/>
  <c r="KD49" i="1" l="1"/>
  <c r="CX102" i="1"/>
  <c r="CX106" i="1" s="1"/>
  <c r="CX75" i="1"/>
  <c r="CW117" i="1"/>
  <c r="CW118" i="1" s="1"/>
  <c r="CW122" i="1"/>
  <c r="CW123" i="1" s="1"/>
  <c r="KD109" i="1"/>
  <c r="KD75" i="1"/>
  <c r="KD114" i="1" l="1"/>
  <c r="CX116" i="1" s="1"/>
  <c r="KD111" i="1"/>
  <c r="KD110" i="1"/>
  <c r="KE105" i="1" s="1"/>
  <c r="KE53" i="1"/>
  <c r="CX64" i="1"/>
  <c r="KD116" i="1"/>
  <c r="KD119" i="1" l="1"/>
  <c r="KD120" i="1"/>
  <c r="CX121" i="1" s="1"/>
  <c r="KE106" i="1"/>
  <c r="KE73" i="1"/>
  <c r="CY71" i="1"/>
  <c r="CY72" i="1" s="1"/>
  <c r="CY49" i="1"/>
  <c r="CY51" i="1" s="1"/>
  <c r="KE54" i="1"/>
  <c r="KE62" i="1"/>
  <c r="CY53" i="1" l="1"/>
  <c r="KE48" i="1"/>
  <c r="CY74" i="1"/>
  <c r="CY103" i="1"/>
  <c r="KE74" i="1"/>
  <c r="CY105" i="1" s="1"/>
  <c r="KE103" i="1" s="1"/>
  <c r="CX117" i="1"/>
  <c r="CX118" i="1" s="1"/>
  <c r="CX122" i="1"/>
  <c r="CX123" i="1" s="1"/>
  <c r="CY75" i="1" l="1"/>
  <c r="KE75" i="1"/>
  <c r="KE109" i="1"/>
  <c r="CY102" i="1"/>
  <c r="CY106" i="1" s="1"/>
  <c r="KE49" i="1"/>
  <c r="KE114" i="1" l="1"/>
  <c r="KE111" i="1"/>
  <c r="KE110" i="1"/>
  <c r="KF105" i="1" s="1"/>
  <c r="CY64" i="1"/>
  <c r="KF53" i="1"/>
  <c r="KF106" i="1" l="1"/>
  <c r="CZ49" i="1"/>
  <c r="CZ51" i="1" s="1"/>
  <c r="KF73" i="1"/>
  <c r="CZ71" i="1"/>
  <c r="CZ72" i="1" s="1"/>
  <c r="KF54" i="1"/>
  <c r="KF62" i="1"/>
  <c r="KE116" i="1"/>
  <c r="CY116" i="1"/>
  <c r="KF74" i="1" l="1"/>
  <c r="CZ105" i="1" s="1"/>
  <c r="KF103" i="1" s="1"/>
  <c r="KE120" i="1"/>
  <c r="CY121" i="1" s="1"/>
  <c r="KE119" i="1"/>
  <c r="CZ103" i="1"/>
  <c r="CZ74" i="1"/>
  <c r="KF48" i="1"/>
  <c r="CZ53" i="1"/>
  <c r="CZ102" i="1" l="1"/>
  <c r="CZ106" i="1" s="1"/>
  <c r="KF49" i="1"/>
  <c r="CZ75" i="1"/>
  <c r="CY117" i="1"/>
  <c r="CY118" i="1" s="1"/>
  <c r="CY122" i="1"/>
  <c r="CY123" i="1" s="1"/>
  <c r="KF109" i="1"/>
  <c r="KF75" i="1"/>
  <c r="KF114" i="1" l="1"/>
  <c r="CZ116" i="1" s="1"/>
  <c r="KF111" i="1"/>
  <c r="KF110" i="1"/>
  <c r="KG105" i="1" s="1"/>
  <c r="KG53" i="1"/>
  <c r="CZ64" i="1"/>
  <c r="KF116" i="1" l="1"/>
  <c r="KF119" i="1" s="1"/>
  <c r="KG106" i="1"/>
  <c r="DA71" i="1"/>
  <c r="DA72" i="1" s="1"/>
  <c r="KG73" i="1"/>
  <c r="DA49" i="1"/>
  <c r="DA51" i="1" s="1"/>
  <c r="KG54" i="1"/>
  <c r="KG62" i="1"/>
  <c r="KF120" i="1" l="1"/>
  <c r="CZ121" i="1" s="1"/>
  <c r="KG48" i="1"/>
  <c r="DA53" i="1"/>
  <c r="DA74" i="1"/>
  <c r="DA75" i="1" s="1"/>
  <c r="DA103" i="1"/>
  <c r="KG74" i="1"/>
  <c r="DA105" i="1" s="1"/>
  <c r="KG103" i="1" s="1"/>
  <c r="CZ117" i="1"/>
  <c r="CZ118" i="1" s="1"/>
  <c r="CZ122" i="1"/>
  <c r="CZ123" i="1" l="1"/>
  <c r="KG109" i="1"/>
  <c r="KG75" i="1"/>
  <c r="KG49" i="1"/>
  <c r="DA102" i="1"/>
  <c r="DA106" i="1" s="1"/>
  <c r="KH53" i="1" l="1"/>
  <c r="DA64" i="1"/>
  <c r="KG114" i="1"/>
  <c r="KG111" i="1"/>
  <c r="KG110" i="1"/>
  <c r="KH105" i="1" s="1"/>
  <c r="KG116" i="1"/>
  <c r="KG119" i="1" l="1"/>
  <c r="KG120" i="1"/>
  <c r="DA121" i="1" s="1"/>
  <c r="KH106" i="1"/>
  <c r="DA116" i="1"/>
  <c r="KH73" i="1"/>
  <c r="DB71" i="1"/>
  <c r="DB72" i="1" s="1"/>
  <c r="DB49" i="1"/>
  <c r="DB51" i="1" s="1"/>
  <c r="KH54" i="1"/>
  <c r="KH62" i="1"/>
  <c r="KH74" i="1" l="1"/>
  <c r="DB105" i="1" s="1"/>
  <c r="KH103" i="1" s="1"/>
  <c r="DA117" i="1"/>
  <c r="DA118" i="1" s="1"/>
  <c r="DA122" i="1"/>
  <c r="DA123" i="1" s="1"/>
  <c r="DB53" i="1"/>
  <c r="KH48" i="1"/>
  <c r="DB74" i="1"/>
  <c r="DB103" i="1"/>
  <c r="DB75" i="1" l="1"/>
  <c r="KH49" i="1"/>
  <c r="DB102" i="1"/>
  <c r="DB106" i="1" s="1"/>
  <c r="KH109" i="1"/>
  <c r="KH75" i="1"/>
  <c r="DB64" i="1" l="1"/>
  <c r="KI53" i="1"/>
  <c r="KH114" i="1"/>
  <c r="DB116" i="1" s="1"/>
  <c r="KH111" i="1"/>
  <c r="KH110" i="1"/>
  <c r="KI105" i="1" s="1"/>
  <c r="KH116" i="1"/>
  <c r="KH119" i="1" l="1"/>
  <c r="KH120" i="1"/>
  <c r="DB121" i="1" s="1"/>
  <c r="KI106" i="1"/>
  <c r="DC49" i="1"/>
  <c r="DC51" i="1" s="1"/>
  <c r="KI73" i="1"/>
  <c r="DC71" i="1"/>
  <c r="DC72" i="1" s="1"/>
  <c r="KI54" i="1"/>
  <c r="KI62" i="1"/>
  <c r="KI74" i="1" l="1"/>
  <c r="DC105" i="1" s="1"/>
  <c r="KI103" i="1" s="1"/>
  <c r="DC74" i="1"/>
  <c r="DC103" i="1"/>
  <c r="KI48" i="1"/>
  <c r="DC53" i="1"/>
  <c r="DB117" i="1"/>
  <c r="DB118" i="1" s="1"/>
  <c r="DB122" i="1"/>
  <c r="DB123" i="1" s="1"/>
  <c r="DC75" i="1" l="1"/>
  <c r="KI49" i="1"/>
  <c r="DC102" i="1"/>
  <c r="DC106" i="1" s="1"/>
  <c r="KI109" i="1"/>
  <c r="KI75" i="1"/>
  <c r="DC64" i="1" l="1"/>
  <c r="KJ53" i="1"/>
  <c r="KI114" i="1"/>
  <c r="KI111" i="1"/>
  <c r="KI110" i="1"/>
  <c r="KJ105" i="1" s="1"/>
  <c r="KJ106" i="1" l="1"/>
  <c r="DC116" i="1"/>
  <c r="DD71" i="1"/>
  <c r="DD72" i="1" s="1"/>
  <c r="DD49" i="1"/>
  <c r="DD51" i="1" s="1"/>
  <c r="KJ73" i="1"/>
  <c r="KJ54" i="1"/>
  <c r="KJ62" i="1"/>
  <c r="KI116" i="1"/>
  <c r="KI119" i="1" l="1"/>
  <c r="KI120" i="1"/>
  <c r="DC121" i="1" s="1"/>
  <c r="KJ74" i="1"/>
  <c r="DD105" i="1" s="1"/>
  <c r="KJ103" i="1" s="1"/>
  <c r="KJ48" i="1"/>
  <c r="DD53" i="1"/>
  <c r="DD103" i="1"/>
  <c r="DD74" i="1"/>
  <c r="DD75" i="1" s="1"/>
  <c r="DD102" i="1" l="1"/>
  <c r="DD106" i="1" s="1"/>
  <c r="KJ49" i="1"/>
  <c r="KJ109" i="1"/>
  <c r="KJ75" i="1"/>
  <c r="DC117" i="1"/>
  <c r="DC118" i="1" s="1"/>
  <c r="DC122" i="1"/>
  <c r="DC123" i="1" s="1"/>
  <c r="DD64" i="1" l="1"/>
  <c r="KK53" i="1"/>
  <c r="KJ114" i="1"/>
  <c r="KJ116" i="1" s="1"/>
  <c r="KJ111" i="1"/>
  <c r="KJ110" i="1"/>
  <c r="KK105" i="1" s="1"/>
  <c r="KJ119" i="1" l="1"/>
  <c r="KJ120" i="1"/>
  <c r="DD121" i="1" s="1"/>
  <c r="KK106" i="1"/>
  <c r="DD116" i="1"/>
  <c r="KK73" i="1"/>
  <c r="DE49" i="1"/>
  <c r="DE51" i="1" s="1"/>
  <c r="DE71" i="1"/>
  <c r="DE72" i="1" s="1"/>
  <c r="KK54" i="1"/>
  <c r="KK62" i="1"/>
  <c r="DD117" i="1" l="1"/>
  <c r="DD118" i="1" s="1"/>
  <c r="DD122" i="1"/>
  <c r="DD123" i="1" s="1"/>
  <c r="DE103" i="1"/>
  <c r="DE74" i="1"/>
  <c r="DE53" i="1"/>
  <c r="KK48" i="1"/>
  <c r="KK74" i="1"/>
  <c r="DE105" i="1" s="1"/>
  <c r="KK103" i="1" s="1"/>
  <c r="DE75" i="1" l="1"/>
  <c r="KK109" i="1"/>
  <c r="KK75" i="1"/>
  <c r="DE102" i="1"/>
  <c r="DE106" i="1" s="1"/>
  <c r="KK49" i="1"/>
  <c r="KL53" i="1" l="1"/>
  <c r="DE64" i="1"/>
  <c r="KK114" i="1"/>
  <c r="KK111" i="1"/>
  <c r="KK110" i="1"/>
  <c r="KL105" i="1" s="1"/>
  <c r="KL106" i="1" l="1"/>
  <c r="KK116" i="1"/>
  <c r="DE116" i="1"/>
  <c r="KL73" i="1"/>
  <c r="DF49" i="1"/>
  <c r="DF51" i="1" s="1"/>
  <c r="DF71" i="1"/>
  <c r="DF72" i="1" s="1"/>
  <c r="KL54" i="1"/>
  <c r="KL62" i="1"/>
  <c r="DF53" i="1" l="1"/>
  <c r="KL48" i="1"/>
  <c r="KL74" i="1"/>
  <c r="DF105" i="1" s="1"/>
  <c r="KL103" i="1" s="1"/>
  <c r="KK119" i="1"/>
  <c r="KK120" i="1"/>
  <c r="DE121" i="1" s="1"/>
  <c r="DF74" i="1"/>
  <c r="DF75" i="1" s="1"/>
  <c r="DF103" i="1"/>
  <c r="DE117" i="1" l="1"/>
  <c r="DE118" i="1" s="1"/>
  <c r="DE122" i="1"/>
  <c r="DE123" i="1" s="1"/>
  <c r="KL109" i="1"/>
  <c r="KL75" i="1"/>
  <c r="DF102" i="1"/>
  <c r="DF106" i="1" s="1"/>
  <c r="KL49" i="1"/>
  <c r="KM53" i="1" l="1"/>
  <c r="DF64" i="1"/>
  <c r="KL114" i="1"/>
  <c r="DF116" i="1" s="1"/>
  <c r="KL111" i="1"/>
  <c r="KL110" i="1"/>
  <c r="KM105" i="1" s="1"/>
  <c r="KL116" i="1"/>
  <c r="KL120" i="1" l="1"/>
  <c r="DF121" i="1" s="1"/>
  <c r="KL119" i="1"/>
  <c r="KM106" i="1"/>
  <c r="DG71" i="1"/>
  <c r="DG72" i="1" s="1"/>
  <c r="KM73" i="1"/>
  <c r="DG49" i="1"/>
  <c r="DG51" i="1" s="1"/>
  <c r="KM54" i="1"/>
  <c r="KM62" i="1"/>
  <c r="DG74" i="1" l="1"/>
  <c r="DG103" i="1"/>
  <c r="DF117" i="1"/>
  <c r="DF118" i="1" s="1"/>
  <c r="DF122" i="1"/>
  <c r="DF123" i="1" s="1"/>
  <c r="DG53" i="1"/>
  <c r="KM48" i="1"/>
  <c r="KM74" i="1"/>
  <c r="DG105" i="1" s="1"/>
  <c r="KM103" i="1" s="1"/>
  <c r="KM109" i="1" l="1"/>
  <c r="KM75" i="1"/>
  <c r="KM49" i="1"/>
  <c r="DG102" i="1"/>
  <c r="DG106" i="1" s="1"/>
  <c r="DG75" i="1"/>
  <c r="KN53" i="1" l="1"/>
  <c r="DG64" i="1"/>
  <c r="KM114" i="1"/>
  <c r="KM111" i="1"/>
  <c r="KM110" i="1"/>
  <c r="KN105" i="1" s="1"/>
  <c r="KN106" i="1" l="1"/>
  <c r="KM116" i="1"/>
  <c r="DG116" i="1"/>
  <c r="DH71" i="1"/>
  <c r="DH72" i="1" s="1"/>
  <c r="KN73" i="1"/>
  <c r="DH49" i="1"/>
  <c r="DH51" i="1" s="1"/>
  <c r="KN54" i="1"/>
  <c r="KN62" i="1"/>
  <c r="KN48" i="1" l="1"/>
  <c r="DH53" i="1"/>
  <c r="KN74" i="1"/>
  <c r="DH105" i="1" s="1"/>
  <c r="KN103" i="1" s="1"/>
  <c r="DH74" i="1"/>
  <c r="DH75" i="1" s="1"/>
  <c r="DH103" i="1"/>
  <c r="KM119" i="1"/>
  <c r="KM120" i="1"/>
  <c r="DG121" i="1" s="1"/>
  <c r="KN75" i="1" l="1"/>
  <c r="DH64" i="1" s="1"/>
  <c r="DG117" i="1"/>
  <c r="DG118" i="1" s="1"/>
  <c r="DG122" i="1"/>
  <c r="DG123" i="1" s="1"/>
  <c r="KN109" i="1"/>
  <c r="DH102" i="1"/>
  <c r="DH106" i="1" s="1"/>
  <c r="KN49" i="1"/>
  <c r="KO53" i="1" l="1"/>
  <c r="DI49" i="1" s="1"/>
  <c r="DI51" i="1" s="1"/>
  <c r="KN114" i="1"/>
  <c r="DH116" i="1" s="1"/>
  <c r="KN111" i="1"/>
  <c r="KN110" i="1"/>
  <c r="KO105" i="1" s="1"/>
  <c r="KO62" i="1" l="1"/>
  <c r="DI71" i="1"/>
  <c r="DI72" i="1" s="1"/>
  <c r="DI74" i="1" s="1"/>
  <c r="KO54" i="1"/>
  <c r="KO73" i="1"/>
  <c r="KN116" i="1"/>
  <c r="KN120" i="1" s="1"/>
  <c r="DH121" i="1" s="1"/>
  <c r="KO74" i="1"/>
  <c r="DI105" i="1" s="1"/>
  <c r="KO103" i="1" s="1"/>
  <c r="KO48" i="1"/>
  <c r="DI53" i="1"/>
  <c r="KO106" i="1"/>
  <c r="DI103" i="1" l="1"/>
  <c r="DI75" i="1"/>
  <c r="KN119" i="1"/>
  <c r="DH117" i="1" s="1"/>
  <c r="DH118" i="1" s="1"/>
  <c r="DH122" i="1"/>
  <c r="DH123" i="1" s="1"/>
  <c r="KO49" i="1"/>
  <c r="DI102" i="1"/>
  <c r="DI106" i="1" s="1"/>
  <c r="KO109" i="1"/>
  <c r="KO75" i="1"/>
  <c r="DI64" i="1" l="1"/>
  <c r="KP53" i="1"/>
  <c r="KO114" i="1"/>
  <c r="KO111" i="1"/>
  <c r="KO110" i="1"/>
  <c r="KP105" i="1" s="1"/>
  <c r="KP106" i="1" l="1"/>
  <c r="DI116" i="1"/>
  <c r="DJ71" i="1"/>
  <c r="DJ72" i="1" s="1"/>
  <c r="KP73" i="1"/>
  <c r="DJ49" i="1"/>
  <c r="DJ51" i="1" s="1"/>
  <c r="KP54" i="1"/>
  <c r="KP62" i="1"/>
  <c r="KO116" i="1"/>
  <c r="KO120" i="1" l="1"/>
  <c r="DI121" i="1" s="1"/>
  <c r="KO119" i="1"/>
  <c r="DJ53" i="1"/>
  <c r="KP48" i="1"/>
  <c r="KP74" i="1"/>
  <c r="DJ105" i="1" s="1"/>
  <c r="KP103" i="1" s="1"/>
  <c r="DJ103" i="1"/>
  <c r="DJ74" i="1"/>
  <c r="DJ75" i="1" s="1"/>
  <c r="KP109" i="1" l="1"/>
  <c r="DJ102" i="1"/>
  <c r="DJ106" i="1" s="1"/>
  <c r="KP49" i="1"/>
  <c r="DI117" i="1"/>
  <c r="DI118" i="1" s="1"/>
  <c r="DI122" i="1"/>
  <c r="DI123" i="1" s="1"/>
  <c r="KP75" i="1"/>
  <c r="DJ64" i="1" l="1"/>
  <c r="KQ53" i="1"/>
  <c r="KP114" i="1"/>
  <c r="KP111" i="1"/>
  <c r="KP110" i="1"/>
  <c r="KQ105" i="1" s="1"/>
  <c r="KP116" i="1" l="1"/>
  <c r="KQ106" i="1"/>
  <c r="DJ116" i="1"/>
  <c r="DK71" i="1"/>
  <c r="DK72" i="1" s="1"/>
  <c r="KQ73" i="1"/>
  <c r="DK49" i="1"/>
  <c r="DK51" i="1" s="1"/>
  <c r="KQ54" i="1"/>
  <c r="KQ62" i="1"/>
  <c r="KQ74" i="1" l="1"/>
  <c r="DK105" i="1" s="1"/>
  <c r="KQ103" i="1" s="1"/>
  <c r="DK53" i="1"/>
  <c r="KQ48" i="1"/>
  <c r="DK74" i="1"/>
  <c r="DK75" i="1" s="1"/>
  <c r="DK103" i="1"/>
  <c r="KP120" i="1"/>
  <c r="DJ121" i="1" s="1"/>
  <c r="KP119" i="1"/>
  <c r="DK102" i="1" l="1"/>
  <c r="DK106" i="1" s="1"/>
  <c r="KQ49" i="1"/>
  <c r="DJ117" i="1"/>
  <c r="DJ118" i="1" s="1"/>
  <c r="DJ122" i="1"/>
  <c r="DJ123" i="1" s="1"/>
  <c r="KQ109" i="1"/>
  <c r="KQ75" i="1"/>
  <c r="KQ114" i="1" l="1"/>
  <c r="DK116" i="1" s="1"/>
  <c r="KQ111" i="1"/>
  <c r="KQ110" i="1"/>
  <c r="KR105" i="1" s="1"/>
  <c r="KR53" i="1"/>
  <c r="DK64" i="1"/>
  <c r="KQ116" i="1"/>
  <c r="KQ119" i="1" l="1"/>
  <c r="KQ120" i="1"/>
  <c r="DK121" i="1" s="1"/>
  <c r="KR106" i="1"/>
  <c r="DL49" i="1"/>
  <c r="DL51" i="1" s="1"/>
  <c r="DL71" i="1"/>
  <c r="DL72" i="1" s="1"/>
  <c r="KR73" i="1"/>
  <c r="KR54" i="1"/>
  <c r="KR62" i="1"/>
  <c r="KR74" i="1" l="1"/>
  <c r="DL105" i="1" s="1"/>
  <c r="KR103" i="1" s="1"/>
  <c r="DL53" i="1"/>
  <c r="KR48" i="1"/>
  <c r="DL74" i="1"/>
  <c r="DL75" i="1" s="1"/>
  <c r="DL103" i="1"/>
  <c r="DK117" i="1"/>
  <c r="DK118" i="1" s="1"/>
  <c r="DK122" i="1"/>
  <c r="DK123" i="1" s="1"/>
  <c r="KR49" i="1" l="1"/>
  <c r="DL102" i="1"/>
  <c r="DL106" i="1" s="1"/>
  <c r="KR109" i="1"/>
  <c r="KR75" i="1"/>
  <c r="KS53" i="1" l="1"/>
  <c r="DL64" i="1"/>
  <c r="KR114" i="1"/>
  <c r="KR111" i="1"/>
  <c r="KR110" i="1"/>
  <c r="KS105" i="1" s="1"/>
  <c r="KS106" i="1" l="1"/>
  <c r="KR116" i="1"/>
  <c r="DL116" i="1"/>
  <c r="KS73" i="1"/>
  <c r="DM71" i="1"/>
  <c r="DM72" i="1" s="1"/>
  <c r="DM49" i="1"/>
  <c r="DM51" i="1" s="1"/>
  <c r="KS54" i="1"/>
  <c r="KS62" i="1"/>
  <c r="KS48" i="1" l="1"/>
  <c r="DM53" i="1"/>
  <c r="KS74" i="1"/>
  <c r="DM105" i="1" s="1"/>
  <c r="KS103" i="1" s="1"/>
  <c r="KR120" i="1"/>
  <c r="DL121" i="1" s="1"/>
  <c r="KR119" i="1"/>
  <c r="DM103" i="1"/>
  <c r="DM74" i="1"/>
  <c r="DM75" i="1" s="1"/>
  <c r="KS109" i="1" l="1"/>
  <c r="DL117" i="1"/>
  <c r="DL118" i="1" s="1"/>
  <c r="DL122" i="1"/>
  <c r="DL123" i="1" s="1"/>
  <c r="KS75" i="1"/>
  <c r="DM102" i="1"/>
  <c r="DM106" i="1" s="1"/>
  <c r="KS49" i="1"/>
  <c r="DM64" i="1" l="1"/>
  <c r="KT53" i="1"/>
  <c r="KS114" i="1"/>
  <c r="KS111" i="1"/>
  <c r="KS110" i="1"/>
  <c r="KT105" i="1" s="1"/>
  <c r="KS116" i="1" l="1"/>
  <c r="KT106" i="1"/>
  <c r="DM116" i="1"/>
  <c r="KT73" i="1"/>
  <c r="DN71" i="1"/>
  <c r="DN72" i="1" s="1"/>
  <c r="DN49" i="1"/>
  <c r="DN51" i="1" s="1"/>
  <c r="KT54" i="1"/>
  <c r="KT62" i="1"/>
  <c r="DN53" i="1" l="1"/>
  <c r="KT48" i="1"/>
  <c r="DN103" i="1"/>
  <c r="DN74" i="1"/>
  <c r="KT74" i="1"/>
  <c r="DN105" i="1" s="1"/>
  <c r="KT103" i="1" s="1"/>
  <c r="KS120" i="1"/>
  <c r="DM121" i="1" s="1"/>
  <c r="KS119" i="1"/>
  <c r="DN75" i="1" l="1"/>
  <c r="DM117" i="1"/>
  <c r="DM118" i="1" s="1"/>
  <c r="DM122" i="1"/>
  <c r="DM123" i="1" s="1"/>
  <c r="KT109" i="1"/>
  <c r="KT75" i="1"/>
  <c r="KT49" i="1"/>
  <c r="DN102" i="1"/>
  <c r="DN106" i="1" s="1"/>
  <c r="KU53" i="1" l="1"/>
  <c r="DN64" i="1"/>
  <c r="KT114" i="1"/>
  <c r="DN116" i="1" s="1"/>
  <c r="KT111" i="1"/>
  <c r="KT110" i="1"/>
  <c r="KU105" i="1" s="1"/>
  <c r="KU106" i="1" l="1"/>
  <c r="KU73" i="1"/>
  <c r="DO71" i="1"/>
  <c r="DO72" i="1" s="1"/>
  <c r="DO49" i="1"/>
  <c r="DO51" i="1" s="1"/>
  <c r="KU54" i="1"/>
  <c r="KU62" i="1"/>
  <c r="KT116" i="1"/>
  <c r="KT120" i="1" l="1"/>
  <c r="DN121" i="1" s="1"/>
  <c r="KT119" i="1"/>
  <c r="KU48" i="1"/>
  <c r="DO53" i="1"/>
  <c r="DO74" i="1"/>
  <c r="DO75" i="1" s="1"/>
  <c r="DO103" i="1"/>
  <c r="KU74" i="1"/>
  <c r="DO105" i="1" s="1"/>
  <c r="KU103" i="1" s="1"/>
  <c r="KU109" i="1" l="1"/>
  <c r="KU75" i="1"/>
  <c r="KU49" i="1"/>
  <c r="DO102" i="1"/>
  <c r="DO106" i="1" s="1"/>
  <c r="DN117" i="1"/>
  <c r="DN118" i="1" s="1"/>
  <c r="DN122" i="1"/>
  <c r="DN123" i="1" s="1"/>
  <c r="DO64" i="1" l="1"/>
  <c r="KV53" i="1"/>
  <c r="KU114" i="1"/>
  <c r="DO116" i="1" s="1"/>
  <c r="KU111" i="1"/>
  <c r="KU110" i="1"/>
  <c r="KV105" i="1" s="1"/>
  <c r="KU116" i="1"/>
  <c r="KU119" i="1" l="1"/>
  <c r="KU120" i="1"/>
  <c r="KV106" i="1"/>
  <c r="DO121" i="1"/>
  <c r="DP71" i="1"/>
  <c r="DP72" i="1" s="1"/>
  <c r="DP49" i="1"/>
  <c r="DP51" i="1" s="1"/>
  <c r="KV73" i="1"/>
  <c r="KV54" i="1"/>
  <c r="KV62" i="1"/>
  <c r="KV74" i="1" l="1"/>
  <c r="DP105" i="1" s="1"/>
  <c r="KV103" i="1" s="1"/>
  <c r="DO117" i="1"/>
  <c r="DO118" i="1" s="1"/>
  <c r="DO122" i="1"/>
  <c r="DO123" i="1" s="1"/>
  <c r="KV48" i="1"/>
  <c r="DP53" i="1"/>
  <c r="DP103" i="1"/>
  <c r="DP74" i="1"/>
  <c r="DP75" i="1" s="1"/>
  <c r="DP102" i="1" l="1"/>
  <c r="DP106" i="1" s="1"/>
  <c r="KV49" i="1"/>
  <c r="KV109" i="1"/>
  <c r="KV75" i="1"/>
  <c r="DP64" i="1" l="1"/>
  <c r="KW53" i="1"/>
  <c r="KV114" i="1"/>
  <c r="DP116" i="1" s="1"/>
  <c r="KV111" i="1"/>
  <c r="KV110" i="1"/>
  <c r="KW105" i="1" s="1"/>
  <c r="KV116" i="1"/>
  <c r="KV119" i="1" l="1"/>
  <c r="KV120" i="1"/>
  <c r="DP121" i="1" s="1"/>
  <c r="KW106" i="1"/>
  <c r="DQ49" i="1"/>
  <c r="DQ51" i="1" s="1"/>
  <c r="KW73" i="1"/>
  <c r="DQ71" i="1"/>
  <c r="DQ72" i="1" s="1"/>
  <c r="KW54" i="1"/>
  <c r="KW62" i="1"/>
  <c r="DQ74" i="1" l="1"/>
  <c r="DQ103" i="1"/>
  <c r="KW48" i="1"/>
  <c r="DQ53" i="1"/>
  <c r="KW74" i="1"/>
  <c r="DQ105" i="1" s="1"/>
  <c r="KW103" i="1" s="1"/>
  <c r="DP117" i="1"/>
  <c r="DP118" i="1" s="1"/>
  <c r="DP122" i="1"/>
  <c r="DP123" i="1" s="1"/>
  <c r="KW109" i="1" l="1"/>
  <c r="KW75" i="1"/>
  <c r="DQ102" i="1"/>
  <c r="DQ106" i="1" s="1"/>
  <c r="KW49" i="1"/>
  <c r="DQ75" i="1"/>
  <c r="DQ64" i="1" l="1"/>
  <c r="KX53" i="1"/>
  <c r="KW114" i="1"/>
  <c r="DQ116" i="1" s="1"/>
  <c r="KW111" i="1"/>
  <c r="KW110" i="1"/>
  <c r="KX105" i="1" s="1"/>
  <c r="KX106" i="1" l="1"/>
  <c r="KW116" i="1"/>
  <c r="DR49" i="1"/>
  <c r="DR51" i="1" s="1"/>
  <c r="DR71" i="1"/>
  <c r="DR72" i="1" s="1"/>
  <c r="KX73" i="1"/>
  <c r="KX54" i="1"/>
  <c r="KX62" i="1"/>
  <c r="KX74" i="1" l="1"/>
  <c r="DR105" i="1" s="1"/>
  <c r="KX103" i="1" s="1"/>
  <c r="DR74" i="1"/>
  <c r="DR103" i="1"/>
  <c r="DR53" i="1"/>
  <c r="KX48" i="1"/>
  <c r="KW120" i="1"/>
  <c r="DQ121" i="1" s="1"/>
  <c r="KW119" i="1"/>
  <c r="DR75" i="1" l="1"/>
  <c r="DQ117" i="1"/>
  <c r="DQ118" i="1" s="1"/>
  <c r="DQ122" i="1"/>
  <c r="DQ123" i="1" s="1"/>
  <c r="DR102" i="1"/>
  <c r="DR106" i="1" s="1"/>
  <c r="KX49" i="1"/>
  <c r="KX109" i="1"/>
  <c r="KX75" i="1"/>
  <c r="DR64" i="1" l="1"/>
  <c r="KY53" i="1"/>
  <c r="KX114" i="1"/>
  <c r="DR116" i="1" s="1"/>
  <c r="KX111" i="1"/>
  <c r="KX110" i="1"/>
  <c r="KY105" i="1" s="1"/>
  <c r="KY106" i="1" l="1"/>
  <c r="DS49" i="1"/>
  <c r="DS51" i="1" s="1"/>
  <c r="DS71" i="1"/>
  <c r="DS72" i="1" s="1"/>
  <c r="KY73" i="1"/>
  <c r="KY54" i="1"/>
  <c r="KY62" i="1"/>
  <c r="KX116" i="1"/>
  <c r="KX120" i="1" l="1"/>
  <c r="DR121" i="1" s="1"/>
  <c r="KX119" i="1"/>
  <c r="DS74" i="1"/>
  <c r="DS103" i="1"/>
  <c r="KY74" i="1"/>
  <c r="DS105" i="1" s="1"/>
  <c r="KY103" i="1" s="1"/>
  <c r="KY48" i="1"/>
  <c r="DS53" i="1"/>
  <c r="KY75" i="1" l="1"/>
  <c r="DS64" i="1" s="1"/>
  <c r="DS75" i="1"/>
  <c r="KY49" i="1"/>
  <c r="DS102" i="1"/>
  <c r="DS106" i="1" s="1"/>
  <c r="KY109" i="1"/>
  <c r="DR117" i="1"/>
  <c r="DR118" i="1" s="1"/>
  <c r="DR122" i="1"/>
  <c r="DR123" i="1" s="1"/>
  <c r="KZ53" i="1" l="1"/>
  <c r="KZ62" i="1" s="1"/>
  <c r="KY114" i="1"/>
  <c r="KY111" i="1"/>
  <c r="KY110" i="1"/>
  <c r="KZ105" i="1" s="1"/>
  <c r="KY116" i="1"/>
  <c r="DT49" i="1"/>
  <c r="DT51" i="1" s="1"/>
  <c r="KZ73" i="1"/>
  <c r="DT71" i="1"/>
  <c r="DT72" i="1" s="1"/>
  <c r="KZ54" i="1"/>
  <c r="KZ74" i="1" l="1"/>
  <c r="DT105" i="1" s="1"/>
  <c r="KZ103" i="1" s="1"/>
  <c r="KY119" i="1"/>
  <c r="KY120" i="1"/>
  <c r="DS121" i="1" s="1"/>
  <c r="DT103" i="1"/>
  <c r="DT74" i="1"/>
  <c r="DT53" i="1"/>
  <c r="KZ48" i="1"/>
  <c r="KZ106" i="1"/>
  <c r="DS116" i="1"/>
  <c r="KZ49" i="1" l="1"/>
  <c r="DT102" i="1"/>
  <c r="DT106" i="1" s="1"/>
  <c r="DS117" i="1"/>
  <c r="DS118" i="1" s="1"/>
  <c r="DS122" i="1"/>
  <c r="DS123" i="1" s="1"/>
  <c r="DT75" i="1"/>
  <c r="KZ109" i="1"/>
  <c r="KZ75" i="1"/>
  <c r="LA53" i="1" l="1"/>
  <c r="DT64" i="1"/>
  <c r="KZ114" i="1"/>
  <c r="DT116" i="1" s="1"/>
  <c r="KZ111" i="1"/>
  <c r="KZ116" i="1"/>
  <c r="KZ110" i="1"/>
  <c r="LA105" i="1" s="1"/>
  <c r="KZ119" i="1" l="1"/>
  <c r="KZ120" i="1"/>
  <c r="LA106" i="1"/>
  <c r="DT121" i="1"/>
  <c r="DU49" i="1"/>
  <c r="DU51" i="1" s="1"/>
  <c r="LA73" i="1"/>
  <c r="DU71" i="1"/>
  <c r="DU72" i="1" s="1"/>
  <c r="LA54" i="1"/>
  <c r="LA62" i="1"/>
  <c r="DU74" i="1" l="1"/>
  <c r="DU103" i="1"/>
  <c r="LA74" i="1"/>
  <c r="DU105" i="1" s="1"/>
  <c r="LA103" i="1" s="1"/>
  <c r="LA48" i="1"/>
  <c r="DU53" i="1"/>
  <c r="DT117" i="1"/>
  <c r="DT118" i="1" s="1"/>
  <c r="DT122" i="1"/>
  <c r="DT123" i="1" s="1"/>
  <c r="LA109" i="1" l="1"/>
  <c r="DU102" i="1"/>
  <c r="DU106" i="1" s="1"/>
  <c r="LA49" i="1"/>
  <c r="LA75" i="1"/>
  <c r="DU75" i="1"/>
  <c r="LB53" i="1" l="1"/>
  <c r="DU64" i="1"/>
  <c r="LA114" i="1"/>
  <c r="DU116" i="1" s="1"/>
  <c r="LA111" i="1"/>
  <c r="LA110" i="1"/>
  <c r="LB105" i="1" s="1"/>
  <c r="LA116" i="1"/>
  <c r="LB106" i="1" l="1"/>
  <c r="LA120" i="1"/>
  <c r="DU121" i="1" s="1"/>
  <c r="LA119" i="1"/>
  <c r="LB73" i="1"/>
  <c r="DV71" i="1"/>
  <c r="DV72" i="1" s="1"/>
  <c r="DV49" i="1"/>
  <c r="DV51" i="1" s="1"/>
  <c r="LB54" i="1"/>
  <c r="LB62" i="1"/>
  <c r="LB48" i="1" l="1"/>
  <c r="DV53" i="1"/>
  <c r="DV74" i="1"/>
  <c r="DV103" i="1"/>
  <c r="LB74" i="1"/>
  <c r="DV105" i="1" s="1"/>
  <c r="LB103" i="1" s="1"/>
  <c r="DU117" i="1"/>
  <c r="DU118" i="1" s="1"/>
  <c r="DU122" i="1"/>
  <c r="DU123" i="1" s="1"/>
  <c r="DV75" i="1" l="1"/>
  <c r="LB109" i="1"/>
  <c r="LB75" i="1"/>
  <c r="LB49" i="1"/>
  <c r="DV102" i="1"/>
  <c r="DV106" i="1" s="1"/>
  <c r="LC53" i="1" l="1"/>
  <c r="DV64" i="1"/>
  <c r="LB114" i="1"/>
  <c r="LB111" i="1"/>
  <c r="LB110" i="1"/>
  <c r="LC105" i="1" s="1"/>
  <c r="LB116" i="1" l="1"/>
  <c r="LC106" i="1"/>
  <c r="DV116" i="1"/>
  <c r="DW71" i="1"/>
  <c r="DW72" i="1" s="1"/>
  <c r="LC73" i="1"/>
  <c r="DW49" i="1"/>
  <c r="DW51" i="1" s="1"/>
  <c r="LC54" i="1"/>
  <c r="LC62" i="1"/>
  <c r="LC48" i="1" l="1"/>
  <c r="DW53" i="1"/>
  <c r="DW103" i="1"/>
  <c r="DW74" i="1"/>
  <c r="LB120" i="1"/>
  <c r="DV121" i="1" s="1"/>
  <c r="LB119" i="1"/>
  <c r="LC74" i="1"/>
  <c r="DW105" i="1" s="1"/>
  <c r="LC103" i="1" s="1"/>
  <c r="DW75" i="1" l="1"/>
  <c r="LC109" i="1"/>
  <c r="DV117" i="1"/>
  <c r="DV118" i="1" s="1"/>
  <c r="DV122" i="1"/>
  <c r="DV123" i="1" s="1"/>
  <c r="DW102" i="1"/>
  <c r="DW106" i="1" s="1"/>
  <c r="LC49" i="1"/>
  <c r="LC75" i="1"/>
  <c r="DW64" i="1" l="1"/>
  <c r="LD53" i="1"/>
  <c r="LC114" i="1"/>
  <c r="LC111" i="1"/>
  <c r="LC110" i="1"/>
  <c r="LD105" i="1" s="1"/>
  <c r="LD106" i="1" l="1"/>
  <c r="DW116" i="1"/>
  <c r="DX49" i="1"/>
  <c r="DX51" i="1" s="1"/>
  <c r="DX71" i="1"/>
  <c r="DX72" i="1" s="1"/>
  <c r="LD73" i="1"/>
  <c r="LD54" i="1"/>
  <c r="LD62" i="1"/>
  <c r="LC116" i="1"/>
  <c r="LC120" i="1" l="1"/>
  <c r="DW121" i="1" s="1"/>
  <c r="LC119" i="1"/>
  <c r="DX103" i="1"/>
  <c r="DX74" i="1"/>
  <c r="LD74" i="1"/>
  <c r="DX105" i="1" s="1"/>
  <c r="LD103" i="1" s="1"/>
  <c r="LD48" i="1"/>
  <c r="DX53" i="1"/>
  <c r="LD109" i="1" l="1"/>
  <c r="LD75" i="1"/>
  <c r="DX102" i="1"/>
  <c r="DX106" i="1" s="1"/>
  <c r="LD49" i="1"/>
  <c r="DX75" i="1"/>
  <c r="DW117" i="1"/>
  <c r="DW118" i="1" s="1"/>
  <c r="DW122" i="1"/>
  <c r="DW123" i="1" s="1"/>
  <c r="LD114" i="1" l="1"/>
  <c r="LD116" i="1" s="1"/>
  <c r="LD111" i="1"/>
  <c r="LD110" i="1"/>
  <c r="LE105" i="1" s="1"/>
  <c r="LE53" i="1"/>
  <c r="DX64" i="1"/>
  <c r="DX116" i="1" l="1"/>
  <c r="DY49" i="1"/>
  <c r="DY51" i="1" s="1"/>
  <c r="LE73" i="1"/>
  <c r="DY71" i="1"/>
  <c r="DY72" i="1" s="1"/>
  <c r="LE54" i="1"/>
  <c r="LE62" i="1"/>
  <c r="LD119" i="1"/>
  <c r="LD120" i="1"/>
  <c r="DX121" i="1" s="1"/>
  <c r="LE106" i="1"/>
  <c r="DY74" i="1" l="1"/>
  <c r="DY103" i="1"/>
  <c r="LE74" i="1"/>
  <c r="DY105" i="1" s="1"/>
  <c r="LE103" i="1" s="1"/>
  <c r="DX117" i="1"/>
  <c r="DX118" i="1" s="1"/>
  <c r="DX122" i="1"/>
  <c r="DX123" i="1" s="1"/>
  <c r="DY53" i="1"/>
  <c r="LE48" i="1"/>
  <c r="LE75" i="1" l="1"/>
  <c r="DY102" i="1"/>
  <c r="DY106" i="1" s="1"/>
  <c r="LE49" i="1"/>
  <c r="LE109" i="1"/>
  <c r="DY75" i="1"/>
  <c r="LE114" i="1" l="1"/>
  <c r="DY116" i="1" s="1"/>
  <c r="LE111" i="1"/>
  <c r="LE110" i="1"/>
  <c r="LF105" i="1" s="1"/>
  <c r="DY64" i="1"/>
  <c r="LF53" i="1"/>
  <c r="LE116" i="1" l="1"/>
  <c r="LE119" i="1" s="1"/>
  <c r="DZ71" i="1"/>
  <c r="DZ72" i="1" s="1"/>
  <c r="DZ49" i="1"/>
  <c r="DZ51" i="1" s="1"/>
  <c r="LF73" i="1"/>
  <c r="LF54" i="1"/>
  <c r="LF62" i="1"/>
  <c r="LF106" i="1"/>
  <c r="LE120" i="1" l="1"/>
  <c r="DY121" i="1" s="1"/>
  <c r="DY122" i="1"/>
  <c r="LF74" i="1"/>
  <c r="DZ105" i="1" s="1"/>
  <c r="LF103" i="1" s="1"/>
  <c r="LF48" i="1"/>
  <c r="DZ53" i="1"/>
  <c r="DZ103" i="1"/>
  <c r="DZ74" i="1"/>
  <c r="DY123" i="1" l="1"/>
  <c r="DY117" i="1"/>
  <c r="DY118" i="1" s="1"/>
  <c r="DZ75" i="1"/>
  <c r="LF49" i="1"/>
  <c r="DZ102" i="1"/>
  <c r="DZ106" i="1" s="1"/>
  <c r="LF109" i="1"/>
  <c r="LF75" i="1"/>
  <c r="LG53" i="1" l="1"/>
  <c r="DZ64" i="1"/>
  <c r="LF114" i="1"/>
  <c r="LF111" i="1"/>
  <c r="LF110" i="1"/>
  <c r="LG105" i="1" s="1"/>
  <c r="LF116" i="1" l="1"/>
  <c r="LG106" i="1"/>
  <c r="DZ116" i="1"/>
  <c r="EA71" i="1"/>
  <c r="EA72" i="1" s="1"/>
  <c r="EA49" i="1"/>
  <c r="EA51" i="1" s="1"/>
  <c r="LG73" i="1"/>
  <c r="LG54" i="1"/>
  <c r="LG62" i="1"/>
  <c r="LG74" i="1" l="1"/>
  <c r="EA105" i="1" s="1"/>
  <c r="LG103" i="1" s="1"/>
  <c r="EA74" i="1"/>
  <c r="EA103" i="1"/>
  <c r="LF120" i="1"/>
  <c r="DZ121" i="1" s="1"/>
  <c r="LF119" i="1"/>
  <c r="LG48" i="1"/>
  <c r="EA53" i="1"/>
  <c r="LG49" i="1" l="1"/>
  <c r="EA102" i="1"/>
  <c r="EA106" i="1" s="1"/>
  <c r="EA75" i="1"/>
  <c r="DZ117" i="1"/>
  <c r="DZ118" i="1" s="1"/>
  <c r="DZ122" i="1"/>
  <c r="DZ123" i="1" s="1"/>
  <c r="LG109" i="1"/>
  <c r="LG75" i="1"/>
  <c r="LH53" i="1" l="1"/>
  <c r="EA64" i="1"/>
  <c r="LG114" i="1"/>
  <c r="LG111" i="1"/>
  <c r="LG110" i="1"/>
  <c r="LH105" i="1" s="1"/>
  <c r="LH106" i="1" l="1"/>
  <c r="EA116" i="1"/>
  <c r="LH73" i="1"/>
  <c r="EB71" i="1"/>
  <c r="EB72" i="1" s="1"/>
  <c r="EB49" i="1"/>
  <c r="EB51" i="1" s="1"/>
  <c r="LH54" i="1"/>
  <c r="LH62" i="1"/>
  <c r="LG116" i="1"/>
  <c r="LG120" i="1" l="1"/>
  <c r="EA121" i="1" s="1"/>
  <c r="LG119" i="1"/>
  <c r="EB53" i="1"/>
  <c r="LH48" i="1"/>
  <c r="EB74" i="1"/>
  <c r="EB75" i="1" s="1"/>
  <c r="EB103" i="1"/>
  <c r="LH74" i="1"/>
  <c r="EB105" i="1" s="1"/>
  <c r="LH103" i="1" s="1"/>
  <c r="LH109" i="1" l="1"/>
  <c r="LH75" i="1"/>
  <c r="EA117" i="1"/>
  <c r="EA118" i="1" s="1"/>
  <c r="EA122" i="1"/>
  <c r="EA123" i="1" s="1"/>
  <c r="EB102" i="1"/>
  <c r="EB106" i="1" s="1"/>
  <c r="LH49" i="1"/>
  <c r="LH114" i="1" l="1"/>
  <c r="LH116" i="1" s="1"/>
  <c r="LH111" i="1"/>
  <c r="LH110" i="1"/>
  <c r="LI105" i="1" s="1"/>
  <c r="LI53" i="1"/>
  <c r="EB64" i="1"/>
  <c r="LI106" i="1" l="1"/>
  <c r="LH119" i="1"/>
  <c r="LH120" i="1"/>
  <c r="EB121" i="1" s="1"/>
  <c r="EC71" i="1"/>
  <c r="EC72" i="1" s="1"/>
  <c r="EC49" i="1"/>
  <c r="EC51" i="1" s="1"/>
  <c r="LI73" i="1"/>
  <c r="LI54" i="1"/>
  <c r="LI62" i="1"/>
  <c r="EB116" i="1"/>
  <c r="LI48" i="1" l="1"/>
  <c r="EC53" i="1"/>
  <c r="LI74" i="1"/>
  <c r="EC105" i="1" s="1"/>
  <c r="LI103" i="1" s="1"/>
  <c r="EC103" i="1"/>
  <c r="EC74" i="1"/>
  <c r="EC75" i="1" s="1"/>
  <c r="EB117" i="1"/>
  <c r="EB122" i="1"/>
  <c r="EB123" i="1" s="1"/>
  <c r="EB118" i="1"/>
  <c r="LI109" i="1" l="1"/>
  <c r="LI75" i="1"/>
  <c r="LI49" i="1"/>
  <c r="EC102" i="1"/>
  <c r="EC106" i="1" s="1"/>
  <c r="EC64" i="1" l="1"/>
  <c r="LJ53" i="1"/>
  <c r="LI114" i="1"/>
  <c r="LI111" i="1"/>
  <c r="LI110" i="1"/>
  <c r="LJ105" i="1" s="1"/>
  <c r="LJ106" i="1" l="1"/>
  <c r="LI116" i="1"/>
  <c r="EC116" i="1"/>
  <c r="ED49" i="1"/>
  <c r="ED51" i="1" s="1"/>
  <c r="ED71" i="1"/>
  <c r="ED72" i="1" s="1"/>
  <c r="LJ73" i="1"/>
  <c r="LJ54" i="1"/>
  <c r="LJ62" i="1"/>
  <c r="ED53" i="1" l="1"/>
  <c r="LJ48" i="1"/>
  <c r="LI119" i="1"/>
  <c r="LI120" i="1"/>
  <c r="EC121" i="1" s="1"/>
  <c r="LJ74" i="1"/>
  <c r="ED105" i="1" s="1"/>
  <c r="LJ103" i="1" s="1"/>
  <c r="ED103" i="1"/>
  <c r="ED74" i="1"/>
  <c r="ED75" i="1" s="1"/>
  <c r="LJ109" i="1" l="1"/>
  <c r="LJ75" i="1"/>
  <c r="EC117" i="1"/>
  <c r="EC118" i="1" s="1"/>
  <c r="EC122" i="1"/>
  <c r="EC123" i="1" s="1"/>
  <c r="LJ49" i="1"/>
  <c r="ED102" i="1"/>
  <c r="ED106" i="1" s="1"/>
  <c r="LJ114" i="1" l="1"/>
  <c r="ED116" i="1" s="1"/>
  <c r="LJ111" i="1"/>
  <c r="LJ110" i="1"/>
  <c r="LK105" i="1" s="1"/>
  <c r="LK53" i="1"/>
  <c r="ED64" i="1"/>
  <c r="LJ116" i="1" l="1"/>
  <c r="LJ120" i="1" s="1"/>
  <c r="ED121" i="1" s="1"/>
  <c r="LK73" i="1"/>
  <c r="EE49" i="1"/>
  <c r="EE51" i="1" s="1"/>
  <c r="EE71" i="1"/>
  <c r="EE72" i="1" s="1"/>
  <c r="LK54" i="1"/>
  <c r="LK62" i="1"/>
  <c r="LK106" i="1"/>
  <c r="LJ119" i="1" l="1"/>
  <c r="ED117" i="1" s="1"/>
  <c r="ED118" i="1" s="1"/>
  <c r="LK48" i="1"/>
  <c r="EE53" i="1"/>
  <c r="LK74" i="1"/>
  <c r="EE105" i="1" s="1"/>
  <c r="LK103" i="1" s="1"/>
  <c r="EE74" i="1"/>
  <c r="EE75" i="1" s="1"/>
  <c r="EE103" i="1"/>
  <c r="ED122" i="1" l="1"/>
  <c r="ED123" i="1" s="1"/>
  <c r="LK109" i="1"/>
  <c r="LK75" i="1"/>
  <c r="LK49" i="1"/>
  <c r="EE102" i="1"/>
  <c r="EE106" i="1" s="1"/>
  <c r="LL53" i="1" l="1"/>
  <c r="EE64" i="1"/>
  <c r="LK114" i="1"/>
  <c r="EE116" i="1" s="1"/>
  <c r="LK111" i="1"/>
  <c r="LK110" i="1"/>
  <c r="LL105" i="1" s="1"/>
  <c r="LK116" i="1"/>
  <c r="LK119" i="1" l="1"/>
  <c r="LK120" i="1"/>
  <c r="EE121" i="1" s="1"/>
  <c r="EF49" i="1"/>
  <c r="EF51" i="1" s="1"/>
  <c r="EF71" i="1"/>
  <c r="EF72" i="1" s="1"/>
  <c r="LL73" i="1"/>
  <c r="LL54" i="1"/>
  <c r="LL62" i="1"/>
  <c r="LL106" i="1"/>
  <c r="EF53" i="1" l="1"/>
  <c r="LL48" i="1"/>
  <c r="LL74" i="1"/>
  <c r="EF105" i="1" s="1"/>
  <c r="LL103" i="1" s="1"/>
  <c r="EF74" i="1"/>
  <c r="EF75" i="1" s="1"/>
  <c r="EF103" i="1"/>
  <c r="EE117" i="1"/>
  <c r="EE118" i="1" s="1"/>
  <c r="EE122" i="1"/>
  <c r="EE123" i="1" s="1"/>
  <c r="LL109" i="1" l="1"/>
  <c r="LL75" i="1"/>
  <c r="LL49" i="1"/>
  <c r="EF102" i="1"/>
  <c r="EF106" i="1" s="1"/>
  <c r="EF64" i="1" l="1"/>
  <c r="LM53" i="1"/>
  <c r="LL114" i="1"/>
  <c r="LL111" i="1"/>
  <c r="LL110" i="1"/>
  <c r="LM105" i="1" s="1"/>
  <c r="LM106" i="1" l="1"/>
  <c r="EF116" i="1"/>
  <c r="LM73" i="1"/>
  <c r="EG71" i="1"/>
  <c r="EG72" i="1" s="1"/>
  <c r="EG49" i="1"/>
  <c r="EG51" i="1" s="1"/>
  <c r="LM54" i="1"/>
  <c r="LM62" i="1"/>
  <c r="LL116" i="1"/>
  <c r="LL120" i="1" l="1"/>
  <c r="EF121" i="1" s="1"/>
  <c r="LL119" i="1"/>
  <c r="LM48" i="1"/>
  <c r="EG53" i="1"/>
  <c r="EG103" i="1"/>
  <c r="EG74" i="1"/>
  <c r="LM74" i="1"/>
  <c r="EG105" i="1" s="1"/>
  <c r="LM103" i="1" s="1"/>
  <c r="EG75" i="1" l="1"/>
  <c r="LM109" i="1"/>
  <c r="LM75" i="1"/>
  <c r="EF117" i="1"/>
  <c r="EF118" i="1" s="1"/>
  <c r="EF122" i="1"/>
  <c r="EF123" i="1" s="1"/>
  <c r="LM49" i="1"/>
  <c r="EG102" i="1"/>
  <c r="EG106" i="1" s="1"/>
  <c r="EG64" i="1" l="1"/>
  <c r="LN53" i="1"/>
  <c r="LM114" i="1"/>
  <c r="EG116" i="1" s="1"/>
  <c r="LM111" i="1"/>
  <c r="LM110" i="1"/>
  <c r="LN105" i="1" s="1"/>
  <c r="LN106" i="1" l="1"/>
  <c r="LM116" i="1"/>
  <c r="EH49" i="1"/>
  <c r="EH51" i="1" s="1"/>
  <c r="LN73" i="1"/>
  <c r="EH71" i="1"/>
  <c r="EH72" i="1" s="1"/>
  <c r="LN54" i="1"/>
  <c r="LN62" i="1"/>
  <c r="LN48" i="1" l="1"/>
  <c r="EH53" i="1"/>
  <c r="LM119" i="1"/>
  <c r="LM120" i="1"/>
  <c r="EG121" i="1" s="1"/>
  <c r="EH103" i="1"/>
  <c r="EH74" i="1"/>
  <c r="EH75" i="1" s="1"/>
  <c r="LN74" i="1"/>
  <c r="EH105" i="1" s="1"/>
  <c r="LN103" i="1" s="1"/>
  <c r="LN109" i="1" l="1"/>
  <c r="LN75" i="1"/>
  <c r="EG117" i="1"/>
  <c r="EG118" i="1" s="1"/>
  <c r="EG122" i="1"/>
  <c r="EG123" i="1" s="1"/>
  <c r="LN49" i="1"/>
  <c r="EH102" i="1"/>
  <c r="EH106" i="1" s="1"/>
  <c r="EH64" i="1" l="1"/>
  <c r="LO53" i="1"/>
  <c r="LN114" i="1"/>
  <c r="EH116" i="1" s="1"/>
  <c r="LN111" i="1"/>
  <c r="LN110" i="1"/>
  <c r="LO105" i="1" s="1"/>
  <c r="LO106" i="1" l="1"/>
  <c r="LN116" i="1"/>
  <c r="EI71" i="1"/>
  <c r="EI72" i="1" s="1"/>
  <c r="LO73" i="1"/>
  <c r="EI49" i="1"/>
  <c r="EI51" i="1" s="1"/>
  <c r="LO54" i="1"/>
  <c r="LO62" i="1"/>
  <c r="LO48" i="1" l="1"/>
  <c r="EI53" i="1"/>
  <c r="LO74" i="1"/>
  <c r="EI105" i="1" s="1"/>
  <c r="LO103" i="1" s="1"/>
  <c r="EI74" i="1"/>
  <c r="EI75" i="1" s="1"/>
  <c r="EI103" i="1"/>
  <c r="LN119" i="1"/>
  <c r="LN120" i="1"/>
  <c r="EH121" i="1" s="1"/>
  <c r="EH117" i="1" l="1"/>
  <c r="EH118" i="1" s="1"/>
  <c r="EH122" i="1"/>
  <c r="EH123" i="1" s="1"/>
  <c r="LO109" i="1"/>
  <c r="LO75" i="1"/>
  <c r="EI102" i="1"/>
  <c r="EI106" i="1" s="1"/>
  <c r="LO49" i="1"/>
  <c r="LP53" i="1" l="1"/>
  <c r="EI64" i="1"/>
  <c r="LO114" i="1"/>
  <c r="EI116" i="1" s="1"/>
  <c r="LO111" i="1"/>
  <c r="LO110" i="1"/>
  <c r="LP105" i="1" s="1"/>
  <c r="LP106" i="1" l="1"/>
  <c r="EJ49" i="1"/>
  <c r="EJ51" i="1" s="1"/>
  <c r="EJ71" i="1"/>
  <c r="EJ72" i="1" s="1"/>
  <c r="LP73" i="1"/>
  <c r="LP54" i="1"/>
  <c r="LP62" i="1"/>
  <c r="LO116" i="1"/>
  <c r="LO119" i="1" l="1"/>
  <c r="LO120" i="1"/>
  <c r="EI121" i="1" s="1"/>
  <c r="EJ74" i="1"/>
  <c r="EJ103" i="1"/>
  <c r="LP74" i="1"/>
  <c r="EJ105" i="1" s="1"/>
  <c r="LP103" i="1" s="1"/>
  <c r="LP48" i="1"/>
  <c r="EJ53" i="1"/>
  <c r="LP109" i="1" l="1"/>
  <c r="LP49" i="1"/>
  <c r="EJ102" i="1"/>
  <c r="EJ106" i="1" s="1"/>
  <c r="LP75" i="1"/>
  <c r="EJ75" i="1"/>
  <c r="EI117" i="1"/>
  <c r="EI118" i="1" s="1"/>
  <c r="EI122" i="1"/>
  <c r="EI123" i="1" s="1"/>
  <c r="LP114" i="1" l="1"/>
  <c r="LP116" i="1" s="1"/>
  <c r="LP111" i="1"/>
  <c r="LP110" i="1"/>
  <c r="LQ105" i="1" s="1"/>
  <c r="EJ64" i="1"/>
  <c r="LQ53" i="1"/>
  <c r="LQ106" i="1" l="1"/>
  <c r="LP119" i="1"/>
  <c r="LP120" i="1"/>
  <c r="EJ121" i="1" s="1"/>
  <c r="EK49" i="1"/>
  <c r="EK51" i="1" s="1"/>
  <c r="LQ73" i="1"/>
  <c r="EK71" i="1"/>
  <c r="EK72" i="1" s="1"/>
  <c r="LQ54" i="1"/>
  <c r="LQ62" i="1"/>
  <c r="EJ116" i="1"/>
  <c r="EK103" i="1" l="1"/>
  <c r="EK74" i="1"/>
  <c r="LQ74" i="1"/>
  <c r="EK105" i="1" s="1"/>
  <c r="LQ103" i="1" s="1"/>
  <c r="LQ48" i="1"/>
  <c r="EK53" i="1"/>
  <c r="EJ117" i="1"/>
  <c r="EJ118" i="1" s="1"/>
  <c r="EJ122" i="1"/>
  <c r="EJ123" i="1" s="1"/>
  <c r="EK102" i="1" l="1"/>
  <c r="EK106" i="1" s="1"/>
  <c r="LQ49" i="1"/>
  <c r="LQ75" i="1"/>
  <c r="LQ109" i="1"/>
  <c r="EK75" i="1"/>
  <c r="LQ114" i="1" l="1"/>
  <c r="EK116" i="1" s="1"/>
  <c r="LQ111" i="1"/>
  <c r="LQ110" i="1"/>
  <c r="LR105" i="1" s="1"/>
  <c r="EK64" i="1"/>
  <c r="LR53" i="1"/>
  <c r="EL49" i="1" l="1"/>
  <c r="EL51" i="1" s="1"/>
  <c r="LR73" i="1"/>
  <c r="EL71" i="1"/>
  <c r="EL72" i="1" s="1"/>
  <c r="LR54" i="1"/>
  <c r="LR62" i="1"/>
  <c r="LR106" i="1"/>
  <c r="LQ116" i="1"/>
  <c r="LQ119" i="1" l="1"/>
  <c r="LQ120" i="1"/>
  <c r="EK121" i="1" s="1"/>
  <c r="LR74" i="1"/>
  <c r="EL105" i="1" s="1"/>
  <c r="LR103" i="1" s="1"/>
  <c r="EL74" i="1"/>
  <c r="EL103" i="1"/>
  <c r="EL53" i="1"/>
  <c r="LR48" i="1"/>
  <c r="LR109" i="1" l="1"/>
  <c r="LR49" i="1"/>
  <c r="EL102" i="1"/>
  <c r="EL106" i="1" s="1"/>
  <c r="EL75" i="1"/>
  <c r="LR75" i="1"/>
  <c r="EK117" i="1"/>
  <c r="EK118" i="1" s="1"/>
  <c r="EK122" i="1"/>
  <c r="EK123" i="1" s="1"/>
  <c r="EL64" i="1" l="1"/>
  <c r="LS53" i="1"/>
  <c r="LR114" i="1"/>
  <c r="LR111" i="1"/>
  <c r="LR110" i="1"/>
  <c r="LS105" i="1" s="1"/>
  <c r="LR116" i="1"/>
  <c r="LR119" i="1" l="1"/>
  <c r="LR120" i="1"/>
  <c r="LS106" i="1"/>
  <c r="EL121" i="1"/>
  <c r="EL116" i="1"/>
  <c r="EM49" i="1"/>
  <c r="EM51" i="1" s="1"/>
  <c r="EM71" i="1"/>
  <c r="EM72" i="1" s="1"/>
  <c r="LS73" i="1"/>
  <c r="LS54" i="1"/>
  <c r="LS62" i="1"/>
  <c r="EM103" i="1" l="1"/>
  <c r="EM74" i="1"/>
  <c r="LS74" i="1"/>
  <c r="EM105" i="1" s="1"/>
  <c r="LS103" i="1" s="1"/>
  <c r="LS48" i="1"/>
  <c r="EM53" i="1"/>
  <c r="EL117" i="1"/>
  <c r="EL118" i="1" s="1"/>
  <c r="EL122" i="1"/>
  <c r="EL123" i="1" s="1"/>
  <c r="EM102" i="1" l="1"/>
  <c r="EM106" i="1" s="1"/>
  <c r="LS49" i="1"/>
  <c r="EM75" i="1"/>
  <c r="LS109" i="1"/>
  <c r="LS75" i="1"/>
  <c r="LT53" i="1" l="1"/>
  <c r="EM64" i="1"/>
  <c r="LS114" i="1"/>
  <c r="EM116" i="1" s="1"/>
  <c r="LS111" i="1"/>
  <c r="LS110" i="1"/>
  <c r="LT105" i="1" s="1"/>
  <c r="LS116" i="1"/>
  <c r="LT106" i="1" l="1"/>
  <c r="LT73" i="1"/>
  <c r="EN49" i="1"/>
  <c r="EN51" i="1" s="1"/>
  <c r="EN71" i="1"/>
  <c r="EN72" i="1" s="1"/>
  <c r="LT54" i="1"/>
  <c r="LT62" i="1"/>
  <c r="LS119" i="1"/>
  <c r="LS120" i="1"/>
  <c r="EM121" i="1" s="1"/>
  <c r="EM117" i="1" l="1"/>
  <c r="EM118" i="1" s="1"/>
  <c r="EM122" i="1"/>
  <c r="EM123" i="1" s="1"/>
  <c r="EN74" i="1"/>
  <c r="EN103" i="1"/>
  <c r="LT48" i="1"/>
  <c r="EN53" i="1"/>
  <c r="LT74" i="1"/>
  <c r="EN105" i="1" s="1"/>
  <c r="LT103" i="1" s="1"/>
  <c r="EN75" i="1" l="1"/>
  <c r="LT109" i="1"/>
  <c r="LT75" i="1"/>
  <c r="LT49" i="1"/>
  <c r="EN102" i="1"/>
  <c r="EN106" i="1" s="1"/>
  <c r="LT114" i="1" l="1"/>
  <c r="EN116" i="1" s="1"/>
  <c r="LT111" i="1"/>
  <c r="LT110" i="1"/>
  <c r="LU105" i="1" s="1"/>
  <c r="EN64" i="1"/>
  <c r="LU53" i="1"/>
  <c r="LT116" i="1" l="1"/>
  <c r="LT120" i="1" s="1"/>
  <c r="EN121" i="1" s="1"/>
  <c r="LU73" i="1"/>
  <c r="EO71" i="1"/>
  <c r="EO72" i="1" s="1"/>
  <c r="EO49" i="1"/>
  <c r="EO51" i="1" s="1"/>
  <c r="LU54" i="1"/>
  <c r="LU62" i="1"/>
  <c r="LU106" i="1"/>
  <c r="LT119" i="1" l="1"/>
  <c r="LU48" i="1"/>
  <c r="EO53" i="1"/>
  <c r="EO103" i="1"/>
  <c r="EO74" i="1"/>
  <c r="EO75" i="1" s="1"/>
  <c r="LU74" i="1"/>
  <c r="EO105" i="1" s="1"/>
  <c r="LU103" i="1" s="1"/>
  <c r="EN117" i="1"/>
  <c r="EN118" i="1" s="1"/>
  <c r="EN122" i="1"/>
  <c r="EN123" i="1" s="1"/>
  <c r="LU109" i="1" l="1"/>
  <c r="LU75" i="1"/>
  <c r="LU49" i="1"/>
  <c r="EO102" i="1"/>
  <c r="EO106" i="1" s="1"/>
  <c r="LU114" i="1" l="1"/>
  <c r="EO116" i="1" s="1"/>
  <c r="LU111" i="1"/>
  <c r="LU110" i="1"/>
  <c r="LV105" i="1" s="1"/>
  <c r="LV53" i="1"/>
  <c r="EO64" i="1"/>
  <c r="LU116" i="1" l="1"/>
  <c r="LU119" i="1" s="1"/>
  <c r="EP71" i="1"/>
  <c r="EP72" i="1" s="1"/>
  <c r="EP49" i="1"/>
  <c r="EP51" i="1" s="1"/>
  <c r="LV73" i="1"/>
  <c r="LV54" i="1"/>
  <c r="LV62" i="1"/>
  <c r="LV106" i="1"/>
  <c r="LU120" i="1" l="1"/>
  <c r="EO121" i="1" s="1"/>
  <c r="LV48" i="1"/>
  <c r="EP53" i="1"/>
  <c r="EP103" i="1"/>
  <c r="EP74" i="1"/>
  <c r="LV74" i="1"/>
  <c r="EP105" i="1" s="1"/>
  <c r="LV103" i="1" s="1"/>
  <c r="EO117" i="1"/>
  <c r="EO118" i="1" s="1"/>
  <c r="EO122" i="1"/>
  <c r="EO123" i="1" s="1"/>
  <c r="EP75" i="1" l="1"/>
  <c r="LV109" i="1"/>
  <c r="LV75" i="1"/>
  <c r="LV49" i="1"/>
  <c r="EP102" i="1"/>
  <c r="EP106" i="1" s="1"/>
  <c r="LV114" i="1" l="1"/>
  <c r="LV111" i="1"/>
  <c r="LV110" i="1"/>
  <c r="LW105" i="1" s="1"/>
  <c r="LW53" i="1"/>
  <c r="EP64" i="1"/>
  <c r="LV116" i="1"/>
  <c r="LV119" i="1" l="1"/>
  <c r="LV120" i="1"/>
  <c r="LW106" i="1"/>
  <c r="EP121" i="1"/>
  <c r="EQ49" i="1"/>
  <c r="EQ51" i="1" s="1"/>
  <c r="LW73" i="1"/>
  <c r="EQ71" i="1"/>
  <c r="EQ72" i="1" s="1"/>
  <c r="LW54" i="1"/>
  <c r="LW62" i="1"/>
  <c r="EP116" i="1"/>
  <c r="EQ53" i="1" l="1"/>
  <c r="LW48" i="1"/>
  <c r="EQ74" i="1"/>
  <c r="EQ103" i="1"/>
  <c r="LW74" i="1"/>
  <c r="EQ105" i="1" s="1"/>
  <c r="LW103" i="1" s="1"/>
  <c r="EP117" i="1"/>
  <c r="EP118" i="1" s="1"/>
  <c r="EP122" i="1"/>
  <c r="EP123" i="1" s="1"/>
  <c r="EQ75" i="1" l="1"/>
  <c r="LW49" i="1"/>
  <c r="EQ102" i="1"/>
  <c r="EQ106" i="1" s="1"/>
  <c r="LW109" i="1"/>
  <c r="LW75" i="1"/>
  <c r="EQ64" i="1" l="1"/>
  <c r="LX53" i="1"/>
  <c r="LW114" i="1"/>
  <c r="EQ116" i="1" s="1"/>
  <c r="LW111" i="1"/>
  <c r="LW110" i="1"/>
  <c r="LX105" i="1" s="1"/>
  <c r="LW116" i="1" l="1"/>
  <c r="LW120" i="1" s="1"/>
  <c r="EQ121" i="1" s="1"/>
  <c r="LX106" i="1"/>
  <c r="LX73" i="1"/>
  <c r="ER71" i="1"/>
  <c r="ER72" i="1" s="1"/>
  <c r="ER49" i="1"/>
  <c r="ER51" i="1" s="1"/>
  <c r="LX54" i="1"/>
  <c r="LX62" i="1"/>
  <c r="LW119" i="1" l="1"/>
  <c r="EQ117" i="1" s="1"/>
  <c r="EQ118" i="1" s="1"/>
  <c r="ER53" i="1"/>
  <c r="LX48" i="1"/>
  <c r="ER74" i="1"/>
  <c r="ER103" i="1"/>
  <c r="LX74" i="1"/>
  <c r="ER105" i="1" s="1"/>
  <c r="LX103" i="1" s="1"/>
  <c r="EQ122" i="1" l="1"/>
  <c r="EQ123" i="1" s="1"/>
  <c r="ER75" i="1"/>
  <c r="LX109" i="1"/>
  <c r="LX75" i="1"/>
  <c r="LX49" i="1"/>
  <c r="ER102" i="1"/>
  <c r="ER106" i="1" s="1"/>
  <c r="ER64" i="1" l="1"/>
  <c r="LY53" i="1"/>
  <c r="LX114" i="1"/>
  <c r="LX111" i="1"/>
  <c r="LX110" i="1"/>
  <c r="LY105" i="1" s="1"/>
  <c r="LY106" i="1" l="1"/>
  <c r="ER116" i="1"/>
  <c r="LY73" i="1"/>
  <c r="ES49" i="1"/>
  <c r="ES51" i="1" s="1"/>
  <c r="ES71" i="1"/>
  <c r="ES72" i="1" s="1"/>
  <c r="LY54" i="1"/>
  <c r="LY62" i="1"/>
  <c r="LX116" i="1"/>
  <c r="LX120" i="1" l="1"/>
  <c r="ER121" i="1" s="1"/>
  <c r="LX119" i="1"/>
  <c r="ES103" i="1"/>
  <c r="ES74" i="1"/>
  <c r="LY48" i="1"/>
  <c r="ES53" i="1"/>
  <c r="LY74" i="1"/>
  <c r="ES105" i="1" s="1"/>
  <c r="LY103" i="1" s="1"/>
  <c r="ES75" i="1" l="1"/>
  <c r="LY109" i="1"/>
  <c r="LY75" i="1"/>
  <c r="LY49" i="1"/>
  <c r="ES102" i="1"/>
  <c r="ES106" i="1" s="1"/>
  <c r="ER117" i="1"/>
  <c r="ER118" i="1" s="1"/>
  <c r="ER122" i="1"/>
  <c r="ER123" i="1" s="1"/>
  <c r="LZ53" i="1" l="1"/>
  <c r="ES64" i="1"/>
  <c r="LY114" i="1"/>
  <c r="LY111" i="1"/>
  <c r="LY110" i="1"/>
  <c r="LZ105" i="1" s="1"/>
  <c r="LZ106" i="1" l="1"/>
  <c r="ES116" i="1"/>
  <c r="LZ73" i="1"/>
  <c r="ET71" i="1"/>
  <c r="ET72" i="1" s="1"/>
  <c r="ET49" i="1"/>
  <c r="ET51" i="1" s="1"/>
  <c r="LZ54" i="1"/>
  <c r="LZ62" i="1"/>
  <c r="LY116" i="1"/>
  <c r="LY120" i="1" l="1"/>
  <c r="ES121" i="1" s="1"/>
  <c r="LY119" i="1"/>
  <c r="LZ48" i="1"/>
  <c r="ET53" i="1"/>
  <c r="LZ74" i="1"/>
  <c r="ET105" i="1" s="1"/>
  <c r="LZ103" i="1" s="1"/>
  <c r="ET74" i="1"/>
  <c r="ET75" i="1" s="1"/>
  <c r="ET103" i="1"/>
  <c r="LZ109" i="1" l="1"/>
  <c r="ES117" i="1"/>
  <c r="ES118" i="1" s="1"/>
  <c r="ES122" i="1"/>
  <c r="ES123" i="1" s="1"/>
  <c r="LZ75" i="1"/>
  <c r="LZ49" i="1"/>
  <c r="ET102" i="1"/>
  <c r="ET106" i="1" s="1"/>
  <c r="MA53" i="1" l="1"/>
  <c r="ET64" i="1"/>
  <c r="LZ114" i="1"/>
  <c r="ET116" i="1" s="1"/>
  <c r="LZ111" i="1"/>
  <c r="LZ110" i="1"/>
  <c r="MA105" i="1" s="1"/>
  <c r="MA106" i="1" l="1"/>
  <c r="LZ116" i="1"/>
  <c r="EU49" i="1"/>
  <c r="EU51" i="1" s="1"/>
  <c r="MA73" i="1"/>
  <c r="EU71" i="1"/>
  <c r="EU72" i="1" s="1"/>
  <c r="MA54" i="1"/>
  <c r="MA62" i="1"/>
  <c r="EU103" i="1" l="1"/>
  <c r="EU74" i="1"/>
  <c r="MA48" i="1"/>
  <c r="EU53" i="1"/>
  <c r="MA74" i="1"/>
  <c r="EU105" i="1" s="1"/>
  <c r="MA103" i="1" s="1"/>
  <c r="LZ120" i="1"/>
  <c r="ET121" i="1" s="1"/>
  <c r="LZ119" i="1"/>
  <c r="EU75" i="1" l="1"/>
  <c r="MA109" i="1"/>
  <c r="MA75" i="1"/>
  <c r="EU102" i="1"/>
  <c r="EU106" i="1" s="1"/>
  <c r="MA49" i="1"/>
  <c r="ET117" i="1"/>
  <c r="ET118" i="1" s="1"/>
  <c r="ET122" i="1"/>
  <c r="ET123" i="1" s="1"/>
  <c r="EU64" i="1" l="1"/>
  <c r="MB53" i="1"/>
  <c r="MA114" i="1"/>
  <c r="EU116" i="1" s="1"/>
  <c r="MA111" i="1"/>
  <c r="MA110" i="1"/>
  <c r="MB105" i="1" s="1"/>
  <c r="MB106" i="1" l="1"/>
  <c r="MA116" i="1"/>
  <c r="MB73" i="1"/>
  <c r="EV71" i="1"/>
  <c r="EV72" i="1" s="1"/>
  <c r="EV49" i="1"/>
  <c r="EV51" i="1" s="1"/>
  <c r="MB54" i="1"/>
  <c r="MB62" i="1"/>
  <c r="MB48" i="1" l="1"/>
  <c r="EV53" i="1"/>
  <c r="EV74" i="1"/>
  <c r="EV75" i="1" s="1"/>
  <c r="EV103" i="1"/>
  <c r="MB74" i="1"/>
  <c r="EV105" i="1" s="1"/>
  <c r="MB103" i="1" s="1"/>
  <c r="MA120" i="1"/>
  <c r="EU121" i="1" s="1"/>
  <c r="MA119" i="1"/>
  <c r="EU117" i="1" l="1"/>
  <c r="EU118" i="1" s="1"/>
  <c r="EU122" i="1"/>
  <c r="MB109" i="1"/>
  <c r="MB75" i="1"/>
  <c r="EV102" i="1"/>
  <c r="EV106" i="1" s="1"/>
  <c r="MB49" i="1"/>
  <c r="EU123" i="1"/>
  <c r="MC53" i="1" l="1"/>
  <c r="EV64" i="1"/>
  <c r="MB114" i="1"/>
  <c r="EV116" i="1" s="1"/>
  <c r="MB111" i="1"/>
  <c r="MB110" i="1"/>
  <c r="MC105" i="1" s="1"/>
  <c r="MC106" i="1" l="1"/>
  <c r="MC73" i="1"/>
  <c r="EW71" i="1"/>
  <c r="EW72" i="1" s="1"/>
  <c r="EW49" i="1"/>
  <c r="EW51" i="1" s="1"/>
  <c r="MC54" i="1"/>
  <c r="MC62" i="1"/>
  <c r="MB116" i="1"/>
  <c r="MB120" i="1" l="1"/>
  <c r="EV121" i="1" s="1"/>
  <c r="MB119" i="1"/>
  <c r="MC48" i="1"/>
  <c r="EW53" i="1"/>
  <c r="EW103" i="1"/>
  <c r="EW74" i="1"/>
  <c r="MC74" i="1"/>
  <c r="EW105" i="1" s="1"/>
  <c r="MC103" i="1" s="1"/>
  <c r="EW75" i="1" l="1"/>
  <c r="MC109" i="1"/>
  <c r="MC75" i="1"/>
  <c r="MC49" i="1"/>
  <c r="EW102" i="1"/>
  <c r="EW106" i="1" s="1"/>
  <c r="EV117" i="1"/>
  <c r="EV118" i="1" s="1"/>
  <c r="EV122" i="1"/>
  <c r="EV123" i="1" s="1"/>
  <c r="MD53" i="1" l="1"/>
  <c r="EW64" i="1"/>
  <c r="MC114" i="1"/>
  <c r="MC111" i="1"/>
  <c r="MC110" i="1"/>
  <c r="MD105" i="1" s="1"/>
  <c r="MC116" i="1"/>
  <c r="MD106" i="1" l="1"/>
  <c r="MC120" i="1"/>
  <c r="EW121" i="1" s="1"/>
  <c r="MC119" i="1"/>
  <c r="EW116" i="1"/>
  <c r="EX71" i="1"/>
  <c r="EX72" i="1" s="1"/>
  <c r="EX49" i="1"/>
  <c r="EX51" i="1" s="1"/>
  <c r="MD73" i="1"/>
  <c r="MD54" i="1"/>
  <c r="MD62" i="1"/>
  <c r="MD74" i="1" l="1"/>
  <c r="EX105" i="1" s="1"/>
  <c r="MD103" i="1" s="1"/>
  <c r="EX103" i="1"/>
  <c r="EX74" i="1"/>
  <c r="EX53" i="1"/>
  <c r="MD48" i="1"/>
  <c r="EW117" i="1"/>
  <c r="EW118" i="1" s="1"/>
  <c r="EW122" i="1"/>
  <c r="EW123" i="1" s="1"/>
  <c r="EX102" i="1" l="1"/>
  <c r="EX106" i="1" s="1"/>
  <c r="MD49" i="1"/>
  <c r="MD109" i="1"/>
  <c r="EX75" i="1"/>
  <c r="MD75" i="1"/>
  <c r="EX64" i="1" l="1"/>
  <c r="ME53" i="1"/>
  <c r="MD114" i="1"/>
  <c r="EX116" i="1" s="1"/>
  <c r="MD111" i="1"/>
  <c r="MD110" i="1"/>
  <c r="ME105" i="1" s="1"/>
  <c r="EY49" i="1" l="1"/>
  <c r="EY51" i="1" s="1"/>
  <c r="EY71" i="1"/>
  <c r="EY72" i="1" s="1"/>
  <c r="ME73" i="1"/>
  <c r="ME54" i="1"/>
  <c r="ME62" i="1"/>
  <c r="ME106" i="1"/>
  <c r="MD116" i="1"/>
  <c r="MD119" i="1" l="1"/>
  <c r="MD120" i="1"/>
  <c r="EX121" i="1" s="1"/>
  <c r="ME74" i="1"/>
  <c r="EY105" i="1" s="1"/>
  <c r="ME103" i="1" s="1"/>
  <c r="EY103" i="1"/>
  <c r="EY74" i="1"/>
  <c r="EY53" i="1"/>
  <c r="ME48" i="1"/>
  <c r="EY102" i="1" l="1"/>
  <c r="EY106" i="1" s="1"/>
  <c r="ME49" i="1"/>
  <c r="ME109" i="1"/>
  <c r="ME75" i="1"/>
  <c r="EX117" i="1"/>
  <c r="EX118" i="1" s="1"/>
  <c r="EX122" i="1"/>
  <c r="EX123" i="1" s="1"/>
  <c r="EY75" i="1"/>
  <c r="MF53" i="1" l="1"/>
  <c r="EY64" i="1"/>
  <c r="ME114" i="1"/>
  <c r="EY116" i="1" s="1"/>
  <c r="ME111" i="1"/>
  <c r="ME110" i="1"/>
  <c r="MF105" i="1" s="1"/>
  <c r="MF106" i="1" l="1"/>
  <c r="ME116" i="1"/>
  <c r="MF73" i="1"/>
  <c r="EZ49" i="1"/>
  <c r="EZ51" i="1" s="1"/>
  <c r="EZ71" i="1"/>
  <c r="EZ72" i="1" s="1"/>
  <c r="MF54" i="1"/>
  <c r="MF62" i="1"/>
  <c r="MF48" i="1" l="1"/>
  <c r="EZ53" i="1"/>
  <c r="ME120" i="1"/>
  <c r="EY121" i="1" s="1"/>
  <c r="ME119" i="1"/>
  <c r="EZ103" i="1"/>
  <c r="EZ74" i="1"/>
  <c r="EZ75" i="1" s="1"/>
  <c r="MF74" i="1"/>
  <c r="EZ105" i="1" s="1"/>
  <c r="MF103" i="1" s="1"/>
  <c r="MF109" i="1" l="1"/>
  <c r="MF75" i="1"/>
  <c r="EY117" i="1"/>
  <c r="EY118" i="1" s="1"/>
  <c r="EY122" i="1"/>
  <c r="EY123" i="1" s="1"/>
  <c r="MF49" i="1"/>
  <c r="EZ102" i="1"/>
  <c r="EZ106" i="1" s="1"/>
  <c r="MG53" i="1" l="1"/>
  <c r="EZ64" i="1"/>
  <c r="MF114" i="1"/>
  <c r="EZ116" i="1" s="1"/>
  <c r="MF111" i="1"/>
  <c r="MF110" i="1"/>
  <c r="MG105" i="1" s="1"/>
  <c r="MG106" i="1" l="1"/>
  <c r="MF116" i="1"/>
  <c r="FA71" i="1"/>
  <c r="FA72" i="1" s="1"/>
  <c r="FA49" i="1"/>
  <c r="FA51" i="1" s="1"/>
  <c r="MG73" i="1"/>
  <c r="MG54" i="1"/>
  <c r="MG62" i="1"/>
  <c r="MG48" i="1" l="1"/>
  <c r="FA53" i="1"/>
  <c r="MF120" i="1"/>
  <c r="EZ121" i="1" s="1"/>
  <c r="MF119" i="1"/>
  <c r="MG74" i="1"/>
  <c r="FA105" i="1" s="1"/>
  <c r="MG103" i="1" s="1"/>
  <c r="FA74" i="1"/>
  <c r="FA75" i="1" s="1"/>
  <c r="FA103" i="1"/>
  <c r="MG109" i="1" l="1"/>
  <c r="EZ117" i="1"/>
  <c r="EZ118" i="1" s="1"/>
  <c r="EZ122" i="1"/>
  <c r="EZ123" i="1" s="1"/>
  <c r="MG75" i="1"/>
  <c r="FA102" i="1"/>
  <c r="FA106" i="1" s="1"/>
  <c r="MG49" i="1"/>
  <c r="FA64" i="1" l="1"/>
  <c r="MH53" i="1"/>
  <c r="MG114" i="1"/>
  <c r="MG116" i="1" s="1"/>
  <c r="MG111" i="1"/>
  <c r="MG110" i="1"/>
  <c r="MH105" i="1" s="1"/>
  <c r="MG120" i="1" l="1"/>
  <c r="MG119" i="1"/>
  <c r="MH106" i="1"/>
  <c r="FA121" i="1"/>
  <c r="FA116" i="1"/>
  <c r="FB71" i="1"/>
  <c r="FB72" i="1" s="1"/>
  <c r="MH73" i="1"/>
  <c r="FB49" i="1"/>
  <c r="FB51" i="1" s="1"/>
  <c r="MH54" i="1"/>
  <c r="MH62" i="1"/>
  <c r="MH74" i="1" l="1"/>
  <c r="FB105" i="1" s="1"/>
  <c r="MH103" i="1" s="1"/>
  <c r="FB103" i="1"/>
  <c r="FB74" i="1"/>
  <c r="FA117" i="1"/>
  <c r="FA122" i="1"/>
  <c r="FA123" i="1" s="1"/>
  <c r="MH48" i="1"/>
  <c r="FB53" i="1"/>
  <c r="FA118" i="1"/>
  <c r="FB75" i="1" l="1"/>
  <c r="MH49" i="1"/>
  <c r="FB102" i="1"/>
  <c r="FB106" i="1" s="1"/>
  <c r="MH109" i="1"/>
  <c r="MH75" i="1"/>
  <c r="MH114" i="1" l="1"/>
  <c r="MH116" i="1" s="1"/>
  <c r="MH111" i="1"/>
  <c r="MH110" i="1"/>
  <c r="MI105" i="1" s="1"/>
  <c r="MI53" i="1"/>
  <c r="FB64" i="1"/>
  <c r="MI106" i="1" l="1"/>
  <c r="MH120" i="1"/>
  <c r="FB121" i="1" s="1"/>
  <c r="MH119" i="1"/>
  <c r="FC49" i="1"/>
  <c r="FC51" i="1" s="1"/>
  <c r="FC71" i="1"/>
  <c r="FC72" i="1" s="1"/>
  <c r="MI73" i="1"/>
  <c r="MI54" i="1"/>
  <c r="MI62" i="1"/>
  <c r="FB116" i="1"/>
  <c r="MI48" i="1" l="1"/>
  <c r="FC53" i="1"/>
  <c r="MI74" i="1"/>
  <c r="FC105" i="1" s="1"/>
  <c r="MI103" i="1" s="1"/>
  <c r="FC103" i="1"/>
  <c r="FC74" i="1"/>
  <c r="FC75" i="1" s="1"/>
  <c r="FB117" i="1"/>
  <c r="FB122" i="1"/>
  <c r="FB123" i="1" s="1"/>
  <c r="FB118" i="1"/>
  <c r="MI109" i="1" l="1"/>
  <c r="MI75" i="1"/>
  <c r="MI49" i="1"/>
  <c r="FC102" i="1"/>
  <c r="FC106" i="1" s="1"/>
  <c r="FC64" i="1" l="1"/>
  <c r="MJ53" i="1"/>
  <c r="MI114" i="1"/>
  <c r="FC116" i="1" s="1"/>
  <c r="MI111" i="1"/>
  <c r="MI110" i="1"/>
  <c r="MJ105" i="1" s="1"/>
  <c r="MJ106" i="1" l="1"/>
  <c r="MI116" i="1"/>
  <c r="FD71" i="1"/>
  <c r="FD72" i="1" s="1"/>
  <c r="MJ73" i="1"/>
  <c r="FD49" i="1"/>
  <c r="FD51" i="1" s="1"/>
  <c r="MJ54" i="1"/>
  <c r="MJ62" i="1"/>
  <c r="MJ74" i="1" l="1"/>
  <c r="FD105" i="1" s="1"/>
  <c r="MJ103" i="1" s="1"/>
  <c r="MI120" i="1"/>
  <c r="FC121" i="1" s="1"/>
  <c r="MI119" i="1"/>
  <c r="MJ48" i="1"/>
  <c r="FD53" i="1"/>
  <c r="FD103" i="1"/>
  <c r="FD74" i="1"/>
  <c r="FD75" i="1" l="1"/>
  <c r="MJ49" i="1"/>
  <c r="FD102" i="1"/>
  <c r="FD106" i="1" s="1"/>
  <c r="FC117" i="1"/>
  <c r="FC118" i="1" s="1"/>
  <c r="FC122" i="1"/>
  <c r="FC123" i="1" s="1"/>
  <c r="MJ109" i="1"/>
  <c r="MJ75" i="1"/>
  <c r="MK53" i="1" l="1"/>
  <c r="FD64" i="1"/>
  <c r="MJ114" i="1"/>
  <c r="FD116" i="1" s="1"/>
  <c r="MJ111" i="1"/>
  <c r="MJ110" i="1"/>
  <c r="MK105" i="1" s="1"/>
  <c r="MK106" i="1" l="1"/>
  <c r="MK73" i="1"/>
  <c r="FE71" i="1"/>
  <c r="FE72" i="1" s="1"/>
  <c r="FE49" i="1"/>
  <c r="FE51" i="1" s="1"/>
  <c r="MK54" i="1"/>
  <c r="MK62" i="1"/>
  <c r="MJ116" i="1"/>
  <c r="MJ120" i="1" l="1"/>
  <c r="FD121" i="1" s="1"/>
  <c r="MJ119" i="1"/>
  <c r="MK48" i="1"/>
  <c r="FE53" i="1"/>
  <c r="FE103" i="1"/>
  <c r="FE74" i="1"/>
  <c r="FE75" i="1" s="1"/>
  <c r="MK74" i="1"/>
  <c r="FE105" i="1" s="1"/>
  <c r="MK103" i="1" s="1"/>
  <c r="MK109" i="1" l="1"/>
  <c r="MK75" i="1"/>
  <c r="FD117" i="1"/>
  <c r="FD118" i="1" s="1"/>
  <c r="FD122" i="1"/>
  <c r="FD123" i="1" s="1"/>
  <c r="MK49" i="1"/>
  <c r="FE102" i="1"/>
  <c r="FE106" i="1" s="1"/>
  <c r="FE64" i="1" l="1"/>
  <c r="ML53" i="1"/>
  <c r="MK114" i="1"/>
  <c r="MK111" i="1"/>
  <c r="MK110" i="1"/>
  <c r="ML105" i="1" s="1"/>
  <c r="ML106" i="1" l="1"/>
  <c r="MK116" i="1"/>
  <c r="FE116" i="1"/>
  <c r="ML73" i="1"/>
  <c r="FF71" i="1"/>
  <c r="FF72" i="1" s="1"/>
  <c r="FF49" i="1"/>
  <c r="FF51" i="1" s="1"/>
  <c r="ML54" i="1"/>
  <c r="ML62" i="1"/>
  <c r="FF53" i="1" l="1"/>
  <c r="ML48" i="1"/>
  <c r="ML74" i="1"/>
  <c r="FF105" i="1" s="1"/>
  <c r="ML103" i="1" s="1"/>
  <c r="FF103" i="1"/>
  <c r="FF74" i="1"/>
  <c r="MK120" i="1"/>
  <c r="FE121" i="1" s="1"/>
  <c r="MK119" i="1"/>
  <c r="FF75" i="1" l="1"/>
  <c r="FE117" i="1"/>
  <c r="FE118" i="1" s="1"/>
  <c r="FE122" i="1"/>
  <c r="FE123" i="1" s="1"/>
  <c r="ML109" i="1"/>
  <c r="ML75" i="1"/>
  <c r="ML49" i="1"/>
  <c r="FF102" i="1"/>
  <c r="FF106" i="1" s="1"/>
  <c r="MM53" i="1" l="1"/>
  <c r="FF64" i="1"/>
  <c r="ML114" i="1"/>
  <c r="FF116" i="1" s="1"/>
  <c r="ML111" i="1"/>
  <c r="ML110" i="1"/>
  <c r="MM105" i="1" s="1"/>
  <c r="MM106" i="1" l="1"/>
  <c r="FG49" i="1"/>
  <c r="FG51" i="1" s="1"/>
  <c r="MM73" i="1"/>
  <c r="FG71" i="1"/>
  <c r="FG72" i="1" s="1"/>
  <c r="MM54" i="1"/>
  <c r="MM62" i="1"/>
  <c r="ML116" i="1"/>
  <c r="ML120" i="1" l="1"/>
  <c r="FF121" i="1" s="1"/>
  <c r="ML119" i="1"/>
  <c r="FG103" i="1"/>
  <c r="FG74" i="1"/>
  <c r="MM74" i="1"/>
  <c r="FG105" i="1" s="1"/>
  <c r="MM103" i="1" s="1"/>
  <c r="MM48" i="1"/>
  <c r="FG53" i="1"/>
  <c r="MM109" i="1" l="1"/>
  <c r="FF117" i="1"/>
  <c r="FF118" i="1" s="1"/>
  <c r="FF122" i="1"/>
  <c r="FF123" i="1" s="1"/>
  <c r="FG102" i="1"/>
  <c r="FG106" i="1" s="1"/>
  <c r="MM49" i="1"/>
  <c r="MM75" i="1"/>
  <c r="FG75" i="1"/>
  <c r="FG64" i="1" l="1"/>
  <c r="MN53" i="1"/>
  <c r="MM114" i="1"/>
  <c r="FG116" i="1" s="1"/>
  <c r="MM111" i="1"/>
  <c r="MM110" i="1"/>
  <c r="MN105" i="1" s="1"/>
  <c r="MM116" i="1"/>
  <c r="MN106" i="1" l="1"/>
  <c r="MM119" i="1"/>
  <c r="MM120" i="1"/>
  <c r="FG121" i="1" s="1"/>
  <c r="FH49" i="1"/>
  <c r="FH51" i="1" s="1"/>
  <c r="FH71" i="1"/>
  <c r="FH72" i="1" s="1"/>
  <c r="MN73" i="1"/>
  <c r="MN54" i="1"/>
  <c r="MN62" i="1"/>
  <c r="MN74" i="1" l="1"/>
  <c r="FH105" i="1" s="1"/>
  <c r="MN103" i="1" s="1"/>
  <c r="FH74" i="1"/>
  <c r="FH103" i="1"/>
  <c r="MN48" i="1"/>
  <c r="FH53" i="1"/>
  <c r="FG117" i="1"/>
  <c r="FG118" i="1" s="1"/>
  <c r="FG122" i="1"/>
  <c r="FG123" i="1" s="1"/>
  <c r="FH102" i="1" l="1"/>
  <c r="FH106" i="1" s="1"/>
  <c r="MN49" i="1"/>
  <c r="FH75" i="1"/>
  <c r="MN109" i="1"/>
  <c r="MN75" i="1"/>
  <c r="MN114" i="1" l="1"/>
  <c r="MN111" i="1"/>
  <c r="MN110" i="1"/>
  <c r="MO105" i="1" s="1"/>
  <c r="FH64" i="1"/>
  <c r="MO53" i="1"/>
  <c r="MN116" i="1"/>
  <c r="MN120" i="1" l="1"/>
  <c r="MN119" i="1"/>
  <c r="MO106" i="1"/>
  <c r="MO73" i="1"/>
  <c r="FI71" i="1"/>
  <c r="FI72" i="1" s="1"/>
  <c r="FI49" i="1"/>
  <c r="FI51" i="1" s="1"/>
  <c r="MO54" i="1"/>
  <c r="MO62" i="1"/>
  <c r="FH121" i="1"/>
  <c r="FH116" i="1"/>
  <c r="FI103" i="1" l="1"/>
  <c r="FI74" i="1"/>
  <c r="MO74" i="1"/>
  <c r="FI105" i="1" s="1"/>
  <c r="MO103" i="1" s="1"/>
  <c r="FH117" i="1"/>
  <c r="FH122" i="1"/>
  <c r="FH123" i="1" s="1"/>
  <c r="MO48" i="1"/>
  <c r="FI53" i="1"/>
  <c r="FH118" i="1"/>
  <c r="FI102" i="1" l="1"/>
  <c r="FI106" i="1" s="1"/>
  <c r="MO49" i="1"/>
  <c r="MO75" i="1"/>
  <c r="MO109" i="1"/>
  <c r="FI75" i="1"/>
  <c r="MO114" i="1" l="1"/>
  <c r="FI116" i="1" s="1"/>
  <c r="MO111" i="1"/>
  <c r="MO110" i="1"/>
  <c r="MP105" i="1" s="1"/>
  <c r="FI64" i="1"/>
  <c r="MP53" i="1"/>
  <c r="MO116" i="1" l="1"/>
  <c r="MP73" i="1"/>
  <c r="FJ49" i="1"/>
  <c r="FJ51" i="1" s="1"/>
  <c r="FJ71" i="1"/>
  <c r="FJ72" i="1" s="1"/>
  <c r="MP54" i="1"/>
  <c r="MP62" i="1"/>
  <c r="MP106" i="1"/>
  <c r="MO120" i="1"/>
  <c r="FI121" i="1" s="1"/>
  <c r="MO119" i="1"/>
  <c r="FJ74" i="1" l="1"/>
  <c r="FJ103" i="1"/>
  <c r="FI117" i="1"/>
  <c r="FI118" i="1" s="1"/>
  <c r="FI122" i="1"/>
  <c r="FI123" i="1" s="1"/>
  <c r="FJ53" i="1"/>
  <c r="MP48" i="1"/>
  <c r="MP74" i="1"/>
  <c r="FJ105" i="1" s="1"/>
  <c r="MP103" i="1" s="1"/>
  <c r="MP75" i="1" l="1"/>
  <c r="FJ102" i="1"/>
  <c r="FJ106" i="1" s="1"/>
  <c r="MP49" i="1"/>
  <c r="MP109" i="1"/>
  <c r="FJ75" i="1"/>
  <c r="MP114" i="1" l="1"/>
  <c r="MP111" i="1"/>
  <c r="MP110" i="1"/>
  <c r="MQ105" i="1" s="1"/>
  <c r="MQ53" i="1"/>
  <c r="FJ64" i="1"/>
  <c r="FK49" i="1" l="1"/>
  <c r="FK51" i="1" s="1"/>
  <c r="FK71" i="1"/>
  <c r="FK72" i="1" s="1"/>
  <c r="MQ73" i="1"/>
  <c r="MQ54" i="1"/>
  <c r="MQ62" i="1"/>
  <c r="MQ106" i="1"/>
  <c r="MP116" i="1"/>
  <c r="FJ116" i="1"/>
  <c r="MP120" i="1" l="1"/>
  <c r="FJ121" i="1" s="1"/>
  <c r="MP119" i="1"/>
  <c r="MQ74" i="1"/>
  <c r="FK105" i="1" s="1"/>
  <c r="MQ103" i="1" s="1"/>
  <c r="FK103" i="1"/>
  <c r="FK74" i="1"/>
  <c r="FK53" i="1"/>
  <c r="MQ48" i="1"/>
  <c r="MQ49" i="1" l="1"/>
  <c r="FK102" i="1"/>
  <c r="FK106" i="1" s="1"/>
  <c r="FK75" i="1"/>
  <c r="MQ75" i="1"/>
  <c r="FJ117" i="1"/>
  <c r="FJ118" i="1" s="1"/>
  <c r="FJ122" i="1"/>
  <c r="FJ123" i="1" s="1"/>
  <c r="MQ109" i="1"/>
  <c r="FK64" i="1" l="1"/>
  <c r="MR53" i="1"/>
  <c r="MQ114" i="1"/>
  <c r="FK116" i="1" s="1"/>
  <c r="MQ111" i="1"/>
  <c r="MQ110" i="1"/>
  <c r="MR105" i="1" s="1"/>
  <c r="MR106" i="1" l="1"/>
  <c r="FL49" i="1"/>
  <c r="FL51" i="1" s="1"/>
  <c r="MR73" i="1"/>
  <c r="FL71" i="1"/>
  <c r="FL72" i="1" s="1"/>
  <c r="MR54" i="1"/>
  <c r="MR62" i="1"/>
  <c r="MQ116" i="1"/>
  <c r="MQ120" i="1" l="1"/>
  <c r="FK121" i="1" s="1"/>
  <c r="MQ119" i="1"/>
  <c r="FL74" i="1"/>
  <c r="FL103" i="1"/>
  <c r="MR74" i="1"/>
  <c r="FL105" i="1" s="1"/>
  <c r="MR103" i="1" s="1"/>
  <c r="MR48" i="1"/>
  <c r="FL53" i="1"/>
  <c r="MR109" i="1" l="1"/>
  <c r="MR75" i="1"/>
  <c r="FL102" i="1"/>
  <c r="FL106" i="1" s="1"/>
  <c r="MR49" i="1"/>
  <c r="FL75" i="1"/>
  <c r="FK117" i="1"/>
  <c r="FK118" i="1" s="1"/>
  <c r="FK122" i="1"/>
  <c r="FK123" i="1" s="1"/>
  <c r="FL64" i="1" l="1"/>
  <c r="MS53" i="1"/>
  <c r="MR114" i="1"/>
  <c r="FL116" i="1" s="1"/>
  <c r="MR111" i="1"/>
  <c r="MR110" i="1"/>
  <c r="MS105" i="1" s="1"/>
  <c r="MR116" i="1"/>
  <c r="MS106" i="1" l="1"/>
  <c r="MR119" i="1"/>
  <c r="MR120" i="1"/>
  <c r="FL121" i="1" s="1"/>
  <c r="FM49" i="1"/>
  <c r="FM51" i="1" s="1"/>
  <c r="MS73" i="1"/>
  <c r="FM71" i="1"/>
  <c r="FM72" i="1" s="1"/>
  <c r="MS54" i="1"/>
  <c r="MS62" i="1"/>
  <c r="FM74" i="1" l="1"/>
  <c r="FM103" i="1"/>
  <c r="MS74" i="1"/>
  <c r="FM105" i="1" s="1"/>
  <c r="MS103" i="1" s="1"/>
  <c r="FM53" i="1"/>
  <c r="MS48" i="1"/>
  <c r="FL117" i="1"/>
  <c r="FL118" i="1" s="1"/>
  <c r="FL122" i="1"/>
  <c r="FL123" i="1" s="1"/>
  <c r="MS109" i="1" l="1"/>
  <c r="FM102" i="1"/>
  <c r="FM106" i="1" s="1"/>
  <c r="MS49" i="1"/>
  <c r="MS75" i="1"/>
  <c r="FM75" i="1"/>
  <c r="MT53" i="1" l="1"/>
  <c r="FM64" i="1"/>
  <c r="MS114" i="1"/>
  <c r="FM116" i="1" s="1"/>
  <c r="MS111" i="1"/>
  <c r="MS110" i="1"/>
  <c r="MT105" i="1" s="1"/>
  <c r="MT106" i="1" l="1"/>
  <c r="MS116" i="1"/>
  <c r="FN49" i="1"/>
  <c r="FN51" i="1" s="1"/>
  <c r="MT73" i="1"/>
  <c r="FN71" i="1"/>
  <c r="FN72" i="1" s="1"/>
  <c r="MT54" i="1"/>
  <c r="MT62" i="1"/>
  <c r="MT74" i="1" l="1"/>
  <c r="FN105" i="1" s="1"/>
  <c r="MT103" i="1" s="1"/>
  <c r="FN103" i="1"/>
  <c r="FN74" i="1"/>
  <c r="MT48" i="1"/>
  <c r="FN53" i="1"/>
  <c r="MS120" i="1"/>
  <c r="FM121" i="1" s="1"/>
  <c r="MS119" i="1"/>
  <c r="FM117" i="1" l="1"/>
  <c r="FM118" i="1" s="1"/>
  <c r="FM122" i="1"/>
  <c r="FM123" i="1" s="1"/>
  <c r="FN102" i="1"/>
  <c r="FN106" i="1" s="1"/>
  <c r="MT49" i="1"/>
  <c r="FN75" i="1"/>
  <c r="MT109" i="1"/>
  <c r="MT75" i="1"/>
  <c r="MU53" i="1" l="1"/>
  <c r="FN64" i="1"/>
  <c r="MT114" i="1"/>
  <c r="FN116" i="1" s="1"/>
  <c r="MT111" i="1"/>
  <c r="MT110" i="1"/>
  <c r="MU105" i="1" s="1"/>
  <c r="MT116" i="1"/>
  <c r="MT120" i="1" l="1"/>
  <c r="MT119" i="1"/>
  <c r="MU106" i="1"/>
  <c r="FN121" i="1"/>
  <c r="FO49" i="1"/>
  <c r="FO51" i="1" s="1"/>
  <c r="MU73" i="1"/>
  <c r="FO71" i="1"/>
  <c r="FO72" i="1" s="1"/>
  <c r="MU54" i="1"/>
  <c r="MU62" i="1"/>
  <c r="FO53" i="1" l="1"/>
  <c r="MU48" i="1"/>
  <c r="FN117" i="1"/>
  <c r="FN118" i="1" s="1"/>
  <c r="FN122" i="1"/>
  <c r="FN123" i="1" s="1"/>
  <c r="FO103" i="1"/>
  <c r="FO74" i="1"/>
  <c r="MU74" i="1"/>
  <c r="FO105" i="1" s="1"/>
  <c r="MU103" i="1" s="1"/>
  <c r="FO75" i="1" l="1"/>
  <c r="MU109" i="1"/>
  <c r="MU75" i="1"/>
  <c r="FO102" i="1"/>
  <c r="FO106" i="1" s="1"/>
  <c r="MU49" i="1"/>
  <c r="FO64" i="1" l="1"/>
  <c r="MV53" i="1"/>
  <c r="MU114" i="1"/>
  <c r="FO116" i="1" s="1"/>
  <c r="MU111" i="1"/>
  <c r="MU110" i="1"/>
  <c r="MV105" i="1" s="1"/>
  <c r="MV106" i="1" l="1"/>
  <c r="MU116" i="1"/>
  <c r="MV73" i="1"/>
  <c r="FP49" i="1"/>
  <c r="FP51" i="1" s="1"/>
  <c r="FP71" i="1"/>
  <c r="FP72" i="1" s="1"/>
  <c r="MV54" i="1"/>
  <c r="MV62" i="1"/>
  <c r="FP103" i="1" l="1"/>
  <c r="FP74" i="1"/>
  <c r="FP53" i="1"/>
  <c r="MV48" i="1"/>
  <c r="MV74" i="1"/>
  <c r="FP105" i="1" s="1"/>
  <c r="MV103" i="1" s="1"/>
  <c r="MU120" i="1"/>
  <c r="FO121" i="1" s="1"/>
  <c r="MU119" i="1"/>
  <c r="FO117" i="1" l="1"/>
  <c r="FO118" i="1" s="1"/>
  <c r="FO122" i="1"/>
  <c r="FO123" i="1" s="1"/>
  <c r="MV109" i="1"/>
  <c r="MV75" i="1"/>
  <c r="FP102" i="1"/>
  <c r="FP106" i="1" s="1"/>
  <c r="MV49" i="1"/>
  <c r="FP75" i="1"/>
  <c r="FP64" i="1" l="1"/>
  <c r="MW53" i="1"/>
  <c r="MV114" i="1"/>
  <c r="FP116" i="1" s="1"/>
  <c r="MV111" i="1"/>
  <c r="MV110" i="1"/>
  <c r="MW105" i="1" s="1"/>
  <c r="MV116" i="1"/>
  <c r="MW106" i="1" l="1"/>
  <c r="MV119" i="1"/>
  <c r="MV120" i="1"/>
  <c r="FP121" i="1" s="1"/>
  <c r="FQ49" i="1"/>
  <c r="FQ51" i="1" s="1"/>
  <c r="FQ71" i="1"/>
  <c r="FQ72" i="1" s="1"/>
  <c r="MW73" i="1"/>
  <c r="MW54" i="1"/>
  <c r="MW62" i="1"/>
  <c r="MW74" i="1" l="1"/>
  <c r="FQ105" i="1" s="1"/>
  <c r="MW103" i="1" s="1"/>
  <c r="FQ103" i="1"/>
  <c r="FQ74" i="1"/>
  <c r="MW48" i="1"/>
  <c r="FQ53" i="1"/>
  <c r="FP117" i="1"/>
  <c r="FP118" i="1" s="1"/>
  <c r="FP122" i="1"/>
  <c r="FP123" i="1" s="1"/>
  <c r="FQ102" i="1" l="1"/>
  <c r="FQ106" i="1" s="1"/>
  <c r="MW49" i="1"/>
  <c r="FQ75" i="1"/>
  <c r="MW109" i="1"/>
  <c r="MW75" i="1"/>
  <c r="FQ64" i="1" l="1"/>
  <c r="MX53" i="1"/>
  <c r="MW114" i="1"/>
  <c r="FQ116" i="1" s="1"/>
  <c r="MW111" i="1"/>
  <c r="MW110" i="1"/>
  <c r="MX105" i="1" s="1"/>
  <c r="MX106" i="1" l="1"/>
  <c r="FR71" i="1"/>
  <c r="FR72" i="1" s="1"/>
  <c r="FR49" i="1"/>
  <c r="FR51" i="1" s="1"/>
  <c r="MX73" i="1"/>
  <c r="MX54" i="1"/>
  <c r="MX62" i="1"/>
  <c r="MW116" i="1"/>
  <c r="FR53" i="1" l="1"/>
  <c r="MX48" i="1"/>
  <c r="MW119" i="1"/>
  <c r="MW120" i="1"/>
  <c r="FQ121" i="1" s="1"/>
  <c r="MX74" i="1"/>
  <c r="FR105" i="1" s="1"/>
  <c r="MX103" i="1" s="1"/>
  <c r="FR74" i="1"/>
  <c r="FR75" i="1" s="1"/>
  <c r="FR103" i="1"/>
  <c r="MX109" i="1" l="1"/>
  <c r="MX75" i="1"/>
  <c r="FQ117" i="1"/>
  <c r="FQ118" i="1" s="1"/>
  <c r="FQ122" i="1"/>
  <c r="FQ123" i="1" s="1"/>
  <c r="FR102" i="1"/>
  <c r="FR106" i="1" s="1"/>
  <c r="MX49" i="1"/>
  <c r="FR64" i="1" l="1"/>
  <c r="MY53" i="1"/>
  <c r="MX114" i="1"/>
  <c r="FR116" i="1" s="1"/>
  <c r="MX111" i="1"/>
  <c r="MX110" i="1"/>
  <c r="MY105" i="1" s="1"/>
  <c r="MX116" i="1"/>
  <c r="MX119" i="1" l="1"/>
  <c r="MX120" i="1"/>
  <c r="MY106" i="1"/>
  <c r="FR121" i="1"/>
  <c r="FS49" i="1"/>
  <c r="FS51" i="1" s="1"/>
  <c r="FS71" i="1"/>
  <c r="FS72" i="1" s="1"/>
  <c r="MY73" i="1"/>
  <c r="MY54" i="1"/>
  <c r="MY62" i="1"/>
  <c r="MY74" i="1" l="1"/>
  <c r="FS105" i="1" s="1"/>
  <c r="MY103" i="1" s="1"/>
  <c r="FS53" i="1"/>
  <c r="MY48" i="1"/>
  <c r="FS103" i="1"/>
  <c r="FS74" i="1"/>
  <c r="FS75" i="1" s="1"/>
  <c r="FR117" i="1"/>
  <c r="FR118" i="1" s="1"/>
  <c r="FR122" i="1"/>
  <c r="FR123" i="1" s="1"/>
  <c r="FS102" i="1" l="1"/>
  <c r="FS106" i="1" s="1"/>
  <c r="MY49" i="1"/>
  <c r="MY109" i="1"/>
  <c r="MY75" i="1"/>
  <c r="MZ53" i="1" l="1"/>
  <c r="FS64" i="1"/>
  <c r="MY114" i="1"/>
  <c r="FS116" i="1" s="1"/>
  <c r="MY111" i="1"/>
  <c r="MY110" i="1"/>
  <c r="MZ105" i="1" s="1"/>
  <c r="MY116" i="1"/>
  <c r="MY119" i="1" l="1"/>
  <c r="MY120" i="1"/>
  <c r="FS121" i="1" s="1"/>
  <c r="MZ106" i="1"/>
  <c r="FT71" i="1"/>
  <c r="FT72" i="1" s="1"/>
  <c r="MZ73" i="1"/>
  <c r="FT49" i="1"/>
  <c r="FT51" i="1" s="1"/>
  <c r="MZ54" i="1"/>
  <c r="MZ62" i="1"/>
  <c r="FT103" i="1" l="1"/>
  <c r="FT74" i="1"/>
  <c r="FT53" i="1"/>
  <c r="MZ48" i="1"/>
  <c r="MZ74" i="1"/>
  <c r="FT105" i="1" s="1"/>
  <c r="MZ103" i="1" s="1"/>
  <c r="FS117" i="1"/>
  <c r="FS118" i="1" s="1"/>
  <c r="FS122" i="1"/>
  <c r="FS123" i="1" s="1"/>
  <c r="MZ109" i="1" l="1"/>
  <c r="MZ75" i="1"/>
  <c r="FT102" i="1"/>
  <c r="FT106" i="1" s="1"/>
  <c r="MZ49" i="1"/>
  <c r="FT75" i="1"/>
  <c r="FT64" i="1" l="1"/>
  <c r="NA53" i="1"/>
  <c r="MZ114" i="1"/>
  <c r="FT116" i="1" s="1"/>
  <c r="MZ111" i="1"/>
  <c r="MZ110" i="1"/>
  <c r="NA105" i="1" s="1"/>
  <c r="MZ116" i="1"/>
  <c r="MZ119" i="1" l="1"/>
  <c r="MZ120" i="1"/>
  <c r="FT121" i="1" s="1"/>
  <c r="NA106" i="1"/>
  <c r="FU49" i="1"/>
  <c r="FU51" i="1" s="1"/>
  <c r="NA73" i="1"/>
  <c r="FU71" i="1"/>
  <c r="FU72" i="1" s="1"/>
  <c r="NA54" i="1"/>
  <c r="NA62" i="1"/>
  <c r="FU53" i="1" l="1"/>
  <c r="NA48" i="1"/>
  <c r="FU103" i="1"/>
  <c r="FU74" i="1"/>
  <c r="FT117" i="1"/>
  <c r="FT118" i="1" s="1"/>
  <c r="FT122" i="1"/>
  <c r="FT123" i="1" s="1"/>
  <c r="NA74" i="1"/>
  <c r="FU105" i="1" s="1"/>
  <c r="NA103" i="1" s="1"/>
  <c r="FU75" i="1" l="1"/>
  <c r="NA109" i="1"/>
  <c r="NA75" i="1"/>
  <c r="NA49" i="1"/>
  <c r="FU102" i="1"/>
  <c r="FU106" i="1" s="1"/>
  <c r="FU64" i="1" l="1"/>
  <c r="NB53" i="1"/>
  <c r="NA114" i="1"/>
  <c r="FU116" i="1" s="1"/>
  <c r="NA111" i="1"/>
  <c r="NA110" i="1"/>
  <c r="NB105" i="1" s="1"/>
  <c r="NA116" i="1"/>
  <c r="NA119" i="1" l="1"/>
  <c r="NA120" i="1"/>
  <c r="FU121" i="1" s="1"/>
  <c r="NB106" i="1"/>
  <c r="FV49" i="1"/>
  <c r="FV51" i="1" s="1"/>
  <c r="FV71" i="1"/>
  <c r="FV72" i="1" s="1"/>
  <c r="NB73" i="1"/>
  <c r="NB54" i="1"/>
  <c r="NB62" i="1"/>
  <c r="FV53" i="1" l="1"/>
  <c r="NB48" i="1"/>
  <c r="FU117" i="1"/>
  <c r="FU118" i="1" s="1"/>
  <c r="FU122" i="1"/>
  <c r="FU123" i="1" s="1"/>
  <c r="NB74" i="1"/>
  <c r="FV105" i="1" s="1"/>
  <c r="NB103" i="1" s="1"/>
  <c r="FV103" i="1"/>
  <c r="FV74" i="1"/>
  <c r="FV75" i="1" l="1"/>
  <c r="NB109" i="1"/>
  <c r="NB75" i="1"/>
  <c r="NB49" i="1"/>
  <c r="FV102" i="1"/>
  <c r="FV106" i="1" s="1"/>
  <c r="FV64" i="1" l="1"/>
  <c r="NC53" i="1"/>
  <c r="NB114" i="1"/>
  <c r="NB111" i="1"/>
  <c r="NB110" i="1"/>
  <c r="NC105" i="1" s="1"/>
  <c r="NC106" i="1" l="1"/>
  <c r="NB116" i="1"/>
  <c r="FV116" i="1"/>
  <c r="NC73" i="1"/>
  <c r="FW71" i="1"/>
  <c r="FW72" i="1" s="1"/>
  <c r="FW49" i="1"/>
  <c r="FW51" i="1" s="1"/>
  <c r="NC54" i="1"/>
  <c r="NC62" i="1"/>
  <c r="NC74" i="1" l="1"/>
  <c r="FW105" i="1" s="1"/>
  <c r="NC103" i="1" s="1"/>
  <c r="NB119" i="1"/>
  <c r="NB120" i="1"/>
  <c r="FV121" i="1" s="1"/>
  <c r="NC48" i="1"/>
  <c r="FW53" i="1"/>
  <c r="FW103" i="1"/>
  <c r="FW74" i="1"/>
  <c r="FW75" i="1" s="1"/>
  <c r="FW102" i="1" l="1"/>
  <c r="FW106" i="1" s="1"/>
  <c r="NC49" i="1"/>
  <c r="FV117" i="1"/>
  <c r="FV118" i="1" s="1"/>
  <c r="FV122" i="1"/>
  <c r="FV123" i="1" s="1"/>
  <c r="NC109" i="1"/>
  <c r="NC75" i="1"/>
  <c r="FW64" i="1" l="1"/>
  <c r="ND53" i="1"/>
  <c r="NC114" i="1"/>
  <c r="NC111" i="1"/>
  <c r="NC110" i="1"/>
  <c r="ND105" i="1" s="1"/>
  <c r="NC116" i="1"/>
  <c r="NC119" i="1" l="1"/>
  <c r="NC120" i="1"/>
  <c r="FW121" i="1" s="1"/>
  <c r="ND106" i="1"/>
  <c r="FW116" i="1"/>
  <c r="FX49" i="1"/>
  <c r="FX51" i="1" s="1"/>
  <c r="FX71" i="1"/>
  <c r="FX72" i="1" s="1"/>
  <c r="ND73" i="1"/>
  <c r="ND54" i="1"/>
  <c r="ND62" i="1"/>
  <c r="ND74" i="1" l="1"/>
  <c r="FX105" i="1" s="1"/>
  <c r="ND103" i="1" s="1"/>
  <c r="ND48" i="1"/>
  <c r="FX53" i="1"/>
  <c r="FW117" i="1"/>
  <c r="FW122" i="1"/>
  <c r="FW123" i="1" s="1"/>
  <c r="FX74" i="1"/>
  <c r="FX75" i="1" s="1"/>
  <c r="FX103" i="1"/>
  <c r="FW118" i="1"/>
  <c r="ND49" i="1" l="1"/>
  <c r="FX102" i="1"/>
  <c r="FX106" i="1" s="1"/>
  <c r="ND109" i="1"/>
  <c r="ND75" i="1"/>
  <c r="FX64" i="1" l="1"/>
  <c r="NE53" i="1"/>
  <c r="ND114" i="1"/>
  <c r="FX116" i="1" s="1"/>
  <c r="ND111" i="1"/>
  <c r="ND110" i="1"/>
  <c r="NE105" i="1" s="1"/>
  <c r="NE106" i="1" l="1"/>
  <c r="ND116" i="1"/>
  <c r="FY71" i="1"/>
  <c r="FY72" i="1" s="1"/>
  <c r="NE73" i="1"/>
  <c r="FY49" i="1"/>
  <c r="FY51" i="1" s="1"/>
  <c r="NE54" i="1"/>
  <c r="NE62" i="1"/>
  <c r="NE48" i="1" l="1"/>
  <c r="FY53" i="1"/>
  <c r="NE74" i="1"/>
  <c r="FY105" i="1" s="1"/>
  <c r="NE103" i="1" s="1"/>
  <c r="FY74" i="1"/>
  <c r="FY75" i="1" s="1"/>
  <c r="FY103" i="1"/>
  <c r="ND120" i="1"/>
  <c r="FX121" i="1" s="1"/>
  <c r="ND119" i="1"/>
  <c r="FX117" i="1" l="1"/>
  <c r="FX118" i="1" s="1"/>
  <c r="FX122" i="1"/>
  <c r="FX123" i="1" s="1"/>
  <c r="NE109" i="1"/>
  <c r="NE75" i="1"/>
  <c r="FY102" i="1"/>
  <c r="FY106" i="1" s="1"/>
  <c r="NE49" i="1"/>
  <c r="FY64" i="1" l="1"/>
  <c r="NF53" i="1"/>
  <c r="NE114" i="1"/>
  <c r="FY116" i="1" s="1"/>
  <c r="NE111" i="1"/>
  <c r="NE110" i="1"/>
  <c r="NF105" i="1" s="1"/>
  <c r="NE116" i="1"/>
  <c r="NE120" i="1" l="1"/>
  <c r="NE119" i="1"/>
  <c r="NF106" i="1"/>
  <c r="FY121" i="1"/>
  <c r="FZ49" i="1"/>
  <c r="FZ51" i="1" s="1"/>
  <c r="FZ71" i="1"/>
  <c r="FZ72" i="1" s="1"/>
  <c r="NF73" i="1"/>
  <c r="NF54" i="1"/>
  <c r="NF62" i="1"/>
  <c r="NF74" i="1" l="1"/>
  <c r="FZ105" i="1" s="1"/>
  <c r="NF103" i="1" s="1"/>
  <c r="FZ74" i="1"/>
  <c r="FZ103" i="1"/>
  <c r="NF48" i="1"/>
  <c r="FZ53" i="1"/>
  <c r="FY117" i="1"/>
  <c r="FY118" i="1" s="1"/>
  <c r="FY122" i="1"/>
  <c r="FY123" i="1" s="1"/>
  <c r="FZ75" i="1" l="1"/>
  <c r="NF49" i="1"/>
  <c r="FZ102" i="1"/>
  <c r="FZ106" i="1" s="1"/>
  <c r="NF109" i="1"/>
  <c r="NF75" i="1"/>
  <c r="NG53" i="1" l="1"/>
  <c r="FZ64" i="1"/>
  <c r="NF114" i="1"/>
  <c r="NF111" i="1"/>
  <c r="NF110" i="1"/>
  <c r="NG105" i="1" s="1"/>
  <c r="NF116" i="1" l="1"/>
  <c r="NG106" i="1"/>
  <c r="FZ116" i="1"/>
  <c r="GA49" i="1"/>
  <c r="GA51" i="1" s="1"/>
  <c r="NG73" i="1"/>
  <c r="GA71" i="1"/>
  <c r="GA72" i="1" s="1"/>
  <c r="NG54" i="1"/>
  <c r="NG62" i="1"/>
  <c r="GA103" i="1" l="1"/>
  <c r="GA74" i="1"/>
  <c r="NG74" i="1"/>
  <c r="GA105" i="1" s="1"/>
  <c r="NG103" i="1" s="1"/>
  <c r="GA53" i="1"/>
  <c r="NG48" i="1"/>
  <c r="NF120" i="1"/>
  <c r="FZ121" i="1" s="1"/>
  <c r="NF119" i="1"/>
  <c r="FZ117" i="1" l="1"/>
  <c r="FZ118" i="1" s="1"/>
  <c r="FZ122" i="1"/>
  <c r="GA102" i="1"/>
  <c r="GA106" i="1" s="1"/>
  <c r="NG49" i="1"/>
  <c r="NG75" i="1"/>
  <c r="FZ123" i="1"/>
  <c r="NG109" i="1"/>
  <c r="GA75" i="1"/>
  <c r="NG114" i="1" l="1"/>
  <c r="NG111" i="1"/>
  <c r="NG110" i="1"/>
  <c r="NH105" i="1" s="1"/>
  <c r="NH53" i="1"/>
  <c r="GA64" i="1"/>
  <c r="GB49" i="1" l="1"/>
  <c r="GB51" i="1" s="1"/>
  <c r="GB71" i="1"/>
  <c r="GB72" i="1" s="1"/>
  <c r="NH73" i="1"/>
  <c r="NH54" i="1"/>
  <c r="NH62" i="1"/>
  <c r="NH106" i="1"/>
  <c r="GA116" i="1"/>
  <c r="NG116" i="1"/>
  <c r="NG120" i="1" l="1"/>
  <c r="GA121" i="1" s="1"/>
  <c r="NG119" i="1"/>
  <c r="NH74" i="1"/>
  <c r="GB105" i="1" s="1"/>
  <c r="NH103" i="1" s="1"/>
  <c r="GB74" i="1"/>
  <c r="GB103" i="1"/>
  <c r="GB53" i="1"/>
  <c r="NH48" i="1"/>
  <c r="NH109" i="1" l="1"/>
  <c r="GA117" i="1"/>
  <c r="GA118" i="1" s="1"/>
  <c r="GA122" i="1"/>
  <c r="GA123" i="1" s="1"/>
  <c r="NH49" i="1"/>
  <c r="GB102" i="1"/>
  <c r="GB106" i="1" s="1"/>
  <c r="GB75" i="1"/>
  <c r="NH75" i="1"/>
  <c r="NI53" i="1" l="1"/>
  <c r="GB64" i="1"/>
  <c r="NH114" i="1"/>
  <c r="NH116" i="1" s="1"/>
  <c r="NH111" i="1"/>
  <c r="NH110" i="1"/>
  <c r="NI105" i="1" s="1"/>
  <c r="NH119" i="1" l="1"/>
  <c r="NH120" i="1"/>
  <c r="GB121" i="1" s="1"/>
  <c r="NI106" i="1"/>
  <c r="GB116" i="1"/>
  <c r="GC49" i="1"/>
  <c r="GC51" i="1" s="1"/>
  <c r="NI73" i="1"/>
  <c r="GC71" i="1"/>
  <c r="GC72" i="1" s="1"/>
  <c r="NI54" i="1"/>
  <c r="NI62" i="1"/>
  <c r="NI74" i="1" l="1"/>
  <c r="GC105" i="1" s="1"/>
  <c r="NI103" i="1" s="1"/>
  <c r="GB117" i="1"/>
  <c r="GB122" i="1"/>
  <c r="GB123" i="1" s="1"/>
  <c r="GC74" i="1"/>
  <c r="GC103" i="1"/>
  <c r="NI48" i="1"/>
  <c r="GC53" i="1"/>
  <c r="GB118" i="1"/>
  <c r="NI49" i="1" l="1"/>
  <c r="GC102" i="1"/>
  <c r="GC106" i="1" s="1"/>
  <c r="GC75" i="1"/>
  <c r="NI109" i="1"/>
  <c r="NI75" i="1"/>
  <c r="GC64" i="1" l="1"/>
  <c r="NJ53" i="1"/>
  <c r="NI114" i="1"/>
  <c r="GC116" i="1" s="1"/>
  <c r="NI111" i="1"/>
  <c r="NI110" i="1"/>
  <c r="NJ105" i="1" s="1"/>
  <c r="NJ106" i="1" l="1"/>
  <c r="GD49" i="1"/>
  <c r="GD51" i="1" s="1"/>
  <c r="GD71" i="1"/>
  <c r="GD72" i="1" s="1"/>
  <c r="NJ73" i="1"/>
  <c r="NJ54" i="1"/>
  <c r="NJ62" i="1"/>
  <c r="NI116" i="1"/>
  <c r="NI119" i="1" l="1"/>
  <c r="NI120" i="1"/>
  <c r="GC121" i="1" s="1"/>
  <c r="NJ74" i="1"/>
  <c r="GD105" i="1" s="1"/>
  <c r="NJ103" i="1" s="1"/>
  <c r="GD103" i="1"/>
  <c r="GD74" i="1"/>
  <c r="GD53" i="1"/>
  <c r="NJ48" i="1"/>
  <c r="NJ109" i="1" l="1"/>
  <c r="NJ49" i="1"/>
  <c r="GD102" i="1"/>
  <c r="GD106" i="1" s="1"/>
  <c r="GD75" i="1"/>
  <c r="NJ75" i="1"/>
  <c r="GC117" i="1"/>
  <c r="GC118" i="1" s="1"/>
  <c r="GC122" i="1"/>
  <c r="GC123" i="1" s="1"/>
  <c r="GD64" i="1" l="1"/>
  <c r="NK53" i="1"/>
  <c r="NJ114" i="1"/>
  <c r="NJ111" i="1"/>
  <c r="NJ110" i="1"/>
  <c r="NK105" i="1" s="1"/>
  <c r="NK106" i="1" l="1"/>
  <c r="NJ116" i="1"/>
  <c r="GD116" i="1"/>
  <c r="GE49" i="1"/>
  <c r="GE51" i="1" s="1"/>
  <c r="NK73" i="1"/>
  <c r="GE71" i="1"/>
  <c r="GE72" i="1" s="1"/>
  <c r="NK54" i="1"/>
  <c r="NK62" i="1"/>
  <c r="GE74" i="1" l="1"/>
  <c r="GE103" i="1"/>
  <c r="NK74" i="1"/>
  <c r="GE105" i="1" s="1"/>
  <c r="NK103" i="1" s="1"/>
  <c r="NJ119" i="1"/>
  <c r="NJ120" i="1"/>
  <c r="GD121" i="1" s="1"/>
  <c r="GE53" i="1"/>
  <c r="NK48" i="1"/>
  <c r="GD117" i="1" l="1"/>
  <c r="GD118" i="1" s="1"/>
  <c r="GD122" i="1"/>
  <c r="GD123" i="1" s="1"/>
  <c r="GE102" i="1"/>
  <c r="GE106" i="1" s="1"/>
  <c r="NK49" i="1"/>
  <c r="NK109" i="1"/>
  <c r="NK75" i="1"/>
  <c r="GE75" i="1"/>
  <c r="NL53" i="1" l="1"/>
  <c r="GE64" i="1"/>
  <c r="NK114" i="1"/>
  <c r="GE116" i="1" s="1"/>
  <c r="NK111" i="1"/>
  <c r="NK110" i="1"/>
  <c r="NL105" i="1" s="1"/>
  <c r="NL106" i="1" l="1"/>
  <c r="GF49" i="1"/>
  <c r="GF51" i="1" s="1"/>
  <c r="GF71" i="1"/>
  <c r="GF72" i="1" s="1"/>
  <c r="NL73" i="1"/>
  <c r="NL54" i="1"/>
  <c r="NL62" i="1"/>
  <c r="NK116" i="1"/>
  <c r="NK120" i="1" l="1"/>
  <c r="GE121" i="1" s="1"/>
  <c r="NK119" i="1"/>
  <c r="GF74" i="1"/>
  <c r="GF103" i="1"/>
  <c r="NL74" i="1"/>
  <c r="GF105" i="1" s="1"/>
  <c r="NL103" i="1" s="1"/>
  <c r="GF53" i="1"/>
  <c r="NL48" i="1"/>
  <c r="GF102" i="1" l="1"/>
  <c r="GF106" i="1" s="1"/>
  <c r="NL49" i="1"/>
  <c r="NL75" i="1"/>
  <c r="GE117" i="1"/>
  <c r="GE118" i="1" s="1"/>
  <c r="GE122" i="1"/>
  <c r="GE123" i="1" s="1"/>
  <c r="NL109" i="1"/>
  <c r="GF75" i="1"/>
  <c r="NL114" i="1" l="1"/>
  <c r="NL116" i="1" s="1"/>
  <c r="NL111" i="1"/>
  <c r="NL110" i="1"/>
  <c r="NM105" i="1" s="1"/>
  <c r="NM53" i="1"/>
  <c r="GF64" i="1"/>
  <c r="NL120" i="1" l="1"/>
  <c r="NL119" i="1"/>
  <c r="GG49" i="1"/>
  <c r="GG51" i="1" s="1"/>
  <c r="NM73" i="1"/>
  <c r="GG71" i="1"/>
  <c r="GG72" i="1" s="1"/>
  <c r="NM54" i="1"/>
  <c r="NM62" i="1"/>
  <c r="NM106" i="1"/>
  <c r="GF121" i="1"/>
  <c r="GF116" i="1"/>
  <c r="NM74" i="1" l="1"/>
  <c r="GG105" i="1" s="1"/>
  <c r="NM103" i="1" s="1"/>
  <c r="GF117" i="1"/>
  <c r="GF118" i="1" s="1"/>
  <c r="GF122" i="1"/>
  <c r="GF123" i="1" s="1"/>
  <c r="GG103" i="1"/>
  <c r="GG74" i="1"/>
  <c r="NM48" i="1"/>
  <c r="GG53" i="1"/>
  <c r="NM49" i="1" l="1"/>
  <c r="GG102" i="1"/>
  <c r="GG106" i="1" s="1"/>
  <c r="GG75" i="1"/>
  <c r="NM109" i="1"/>
  <c r="NM75" i="1"/>
  <c r="NM114" i="1" l="1"/>
  <c r="NM116" i="1" s="1"/>
  <c r="NM111" i="1"/>
  <c r="NM110" i="1"/>
  <c r="NN105" i="1" s="1"/>
  <c r="NN53" i="1"/>
  <c r="GG64" i="1"/>
  <c r="NM120" i="1" l="1"/>
  <c r="NM119" i="1"/>
  <c r="NN106" i="1"/>
  <c r="GH49" i="1"/>
  <c r="GH51" i="1" s="1"/>
  <c r="GH71" i="1"/>
  <c r="GH72" i="1" s="1"/>
  <c r="NN73" i="1"/>
  <c r="NN54" i="1"/>
  <c r="NN62" i="1"/>
  <c r="GG121" i="1"/>
  <c r="GG116" i="1"/>
  <c r="NN74" i="1" l="1"/>
  <c r="GH105" i="1" s="1"/>
  <c r="NN103" i="1" s="1"/>
  <c r="GH103" i="1"/>
  <c r="GH74" i="1"/>
  <c r="NN48" i="1"/>
  <c r="GH53" i="1"/>
  <c r="GG117" i="1"/>
  <c r="GG122" i="1"/>
  <c r="GG123" i="1" s="1"/>
  <c r="GG118" i="1"/>
  <c r="GH75" i="1" l="1"/>
  <c r="GH102" i="1"/>
  <c r="GH106" i="1" s="1"/>
  <c r="NN49" i="1"/>
  <c r="NN109" i="1"/>
  <c r="NN75" i="1"/>
  <c r="GH64" i="1" l="1"/>
  <c r="NO53" i="1"/>
  <c r="NN114" i="1"/>
  <c r="NN111" i="1"/>
  <c r="NN110" i="1"/>
  <c r="NO105" i="1" s="1"/>
  <c r="NN116" i="1"/>
  <c r="NN119" i="1" l="1"/>
  <c r="NN120" i="1"/>
  <c r="GH121" i="1" s="1"/>
  <c r="NO106" i="1"/>
  <c r="GH116" i="1"/>
  <c r="NO73" i="1"/>
  <c r="GI49" i="1"/>
  <c r="GI51" i="1" s="1"/>
  <c r="GI71" i="1"/>
  <c r="GI72" i="1" s="1"/>
  <c r="NO54" i="1"/>
  <c r="NO62" i="1"/>
  <c r="GI103" i="1" l="1"/>
  <c r="GI74" i="1"/>
  <c r="NO74" i="1"/>
  <c r="GI105" i="1" s="1"/>
  <c r="NO103" i="1" s="1"/>
  <c r="GH117" i="1"/>
  <c r="GH122" i="1"/>
  <c r="GH123" i="1" s="1"/>
  <c r="NO48" i="1"/>
  <c r="GI53" i="1"/>
  <c r="GH118" i="1"/>
  <c r="NO109" i="1" l="1"/>
  <c r="NO75" i="1"/>
  <c r="GI102" i="1"/>
  <c r="GI106" i="1" s="1"/>
  <c r="NO49" i="1"/>
  <c r="GI75" i="1"/>
  <c r="NP53" i="1" l="1"/>
  <c r="GI64" i="1"/>
  <c r="NO114" i="1"/>
  <c r="GI116" i="1" s="1"/>
  <c r="NO111" i="1"/>
  <c r="NO110" i="1"/>
  <c r="NP105" i="1" s="1"/>
  <c r="NO116" i="1" l="1"/>
  <c r="NO119" i="1" s="1"/>
  <c r="NP106" i="1"/>
  <c r="GJ49" i="1"/>
  <c r="GJ51" i="1" s="1"/>
  <c r="GJ71" i="1"/>
  <c r="GJ72" i="1" s="1"/>
  <c r="NP73" i="1"/>
  <c r="NP54" i="1"/>
  <c r="NP62" i="1"/>
  <c r="NO120" i="1" l="1"/>
  <c r="GI121" i="1" s="1"/>
  <c r="NP74" i="1"/>
  <c r="GJ105" i="1" s="1"/>
  <c r="NP103" i="1" s="1"/>
  <c r="NP48" i="1"/>
  <c r="GJ53" i="1"/>
  <c r="GI117" i="1"/>
  <c r="GI118" i="1" s="1"/>
  <c r="GI122" i="1"/>
  <c r="GI123" i="1" s="1"/>
  <c r="GJ103" i="1"/>
  <c r="GJ74" i="1"/>
  <c r="GJ75" i="1" s="1"/>
  <c r="GJ102" i="1" l="1"/>
  <c r="GJ106" i="1" s="1"/>
  <c r="NP49" i="1"/>
  <c r="NP109" i="1"/>
  <c r="NP75" i="1"/>
  <c r="GJ64" i="1" l="1"/>
  <c r="NQ53" i="1"/>
  <c r="NP114" i="1"/>
  <c r="NP111" i="1"/>
  <c r="NP110" i="1"/>
  <c r="NQ105" i="1" s="1"/>
  <c r="NP116" i="1"/>
  <c r="NP119" i="1" l="1"/>
  <c r="NP120" i="1"/>
  <c r="GJ121" i="1" s="1"/>
  <c r="NQ106" i="1"/>
  <c r="GJ116" i="1"/>
  <c r="GK49" i="1"/>
  <c r="GK51" i="1" s="1"/>
  <c r="NQ73" i="1"/>
  <c r="GK71" i="1"/>
  <c r="GK72" i="1" s="1"/>
  <c r="NQ54" i="1"/>
  <c r="NQ62" i="1"/>
  <c r="GK103" i="1" l="1"/>
  <c r="GK74" i="1"/>
  <c r="NQ74" i="1"/>
  <c r="GK105" i="1" s="1"/>
  <c r="NQ103" i="1" s="1"/>
  <c r="GK53" i="1"/>
  <c r="NQ48" i="1"/>
  <c r="GJ117" i="1"/>
  <c r="GJ118" i="1" s="1"/>
  <c r="GJ122" i="1"/>
  <c r="GJ123" i="1" s="1"/>
  <c r="NQ49" i="1" l="1"/>
  <c r="GK102" i="1"/>
  <c r="GK106" i="1" s="1"/>
  <c r="NQ75" i="1"/>
  <c r="NQ109" i="1"/>
  <c r="GK75" i="1"/>
  <c r="NQ114" i="1" l="1"/>
  <c r="NQ116" i="1" s="1"/>
  <c r="NQ111" i="1"/>
  <c r="NQ110" i="1"/>
  <c r="NR105" i="1" s="1"/>
  <c r="NR53" i="1"/>
  <c r="GK64" i="1"/>
  <c r="NQ119" i="1" l="1"/>
  <c r="NQ120" i="1"/>
  <c r="GK121" i="1" s="1"/>
  <c r="GL49" i="1"/>
  <c r="GL51" i="1" s="1"/>
  <c r="NR73" i="1"/>
  <c r="GL71" i="1"/>
  <c r="GL72" i="1" s="1"/>
  <c r="NR54" i="1"/>
  <c r="NR62" i="1"/>
  <c r="NR106" i="1"/>
  <c r="GK116" i="1"/>
  <c r="NR74" i="1" l="1"/>
  <c r="GL105" i="1" s="1"/>
  <c r="NR103" i="1" s="1"/>
  <c r="GL103" i="1"/>
  <c r="GL74" i="1"/>
  <c r="NR48" i="1"/>
  <c r="GL53" i="1"/>
  <c r="GK117" i="1"/>
  <c r="GK118" i="1" s="1"/>
  <c r="GK122" i="1"/>
  <c r="GK123" i="1" s="1"/>
  <c r="GL75" i="1" l="1"/>
  <c r="GL102" i="1"/>
  <c r="GL106" i="1" s="1"/>
  <c r="NR49" i="1"/>
  <c r="NR109" i="1"/>
  <c r="NR75" i="1"/>
  <c r="GL64" i="1" l="1"/>
  <c r="NS53" i="1"/>
  <c r="NR114" i="1"/>
  <c r="NR111" i="1"/>
  <c r="NR110" i="1"/>
  <c r="NS105" i="1" s="1"/>
  <c r="NR116" i="1"/>
  <c r="NR120" i="1" l="1"/>
  <c r="GL121" i="1" s="1"/>
  <c r="NR119" i="1"/>
  <c r="NS106" i="1"/>
  <c r="GL116" i="1"/>
  <c r="GM49" i="1"/>
  <c r="GM51" i="1" s="1"/>
  <c r="NS73" i="1"/>
  <c r="GM71" i="1"/>
  <c r="GM72" i="1" s="1"/>
  <c r="NS54" i="1"/>
  <c r="NS62" i="1"/>
  <c r="GM74" i="1" l="1"/>
  <c r="GM103" i="1"/>
  <c r="NS48" i="1"/>
  <c r="GM53" i="1"/>
  <c r="GL117" i="1"/>
  <c r="GL122" i="1"/>
  <c r="GL123" i="1" s="1"/>
  <c r="NS74" i="1"/>
  <c r="GM105" i="1" s="1"/>
  <c r="NS103" i="1" s="1"/>
  <c r="GL118" i="1"/>
  <c r="GM102" i="1" l="1"/>
  <c r="GM106" i="1" s="1"/>
  <c r="NS49" i="1"/>
  <c r="NS109" i="1"/>
  <c r="NS75" i="1"/>
  <c r="GM75" i="1"/>
  <c r="NT53" i="1" l="1"/>
  <c r="GM64" i="1"/>
  <c r="NS114" i="1"/>
  <c r="GM116" i="1" s="1"/>
  <c r="NS111" i="1"/>
  <c r="NS110" i="1"/>
  <c r="NT105" i="1" s="1"/>
  <c r="NS116" i="1" l="1"/>
  <c r="NS120" i="1" s="1"/>
  <c r="GM121" i="1" s="1"/>
  <c r="NT106" i="1"/>
  <c r="GN49" i="1"/>
  <c r="GN51" i="1" s="1"/>
  <c r="NT73" i="1"/>
  <c r="GN71" i="1"/>
  <c r="GN72" i="1" s="1"/>
  <c r="NT54" i="1"/>
  <c r="NT62" i="1"/>
  <c r="NS119" i="1" l="1"/>
  <c r="GN103" i="1"/>
  <c r="GN74" i="1"/>
  <c r="NT74" i="1"/>
  <c r="GN105" i="1" s="1"/>
  <c r="NT103" i="1" s="1"/>
  <c r="GM117" i="1"/>
  <c r="GM118" i="1" s="1"/>
  <c r="GM122" i="1"/>
  <c r="GM123" i="1" s="1"/>
  <c r="GN53" i="1"/>
  <c r="NT48" i="1"/>
  <c r="GN102" i="1" l="1"/>
  <c r="GN106" i="1" s="1"/>
  <c r="NT49" i="1"/>
  <c r="NT75" i="1"/>
  <c r="NT109" i="1"/>
  <c r="GN75" i="1"/>
  <c r="NT114" i="1" l="1"/>
  <c r="NT111" i="1"/>
  <c r="NT110" i="1"/>
  <c r="NU105" i="1" s="1"/>
  <c r="NU53" i="1"/>
  <c r="GN64" i="1"/>
  <c r="NU106" i="1" l="1"/>
  <c r="NU73" i="1"/>
  <c r="GO71" i="1"/>
  <c r="GO72" i="1" s="1"/>
  <c r="GO49" i="1"/>
  <c r="GO51" i="1" s="1"/>
  <c r="NU54" i="1"/>
  <c r="NU62" i="1"/>
  <c r="NT116" i="1"/>
  <c r="GN116" i="1"/>
  <c r="GO74" i="1" l="1"/>
  <c r="GO103" i="1"/>
  <c r="NT120" i="1"/>
  <c r="GN121" i="1" s="1"/>
  <c r="NT119" i="1"/>
  <c r="GO53" i="1"/>
  <c r="NU48" i="1"/>
  <c r="NU74" i="1"/>
  <c r="GO105" i="1" s="1"/>
  <c r="NU103" i="1" s="1"/>
  <c r="NU109" i="1" l="1"/>
  <c r="NU75" i="1"/>
  <c r="GO102" i="1"/>
  <c r="GO106" i="1" s="1"/>
  <c r="NU49" i="1"/>
  <c r="GN117" i="1"/>
  <c r="GN118" i="1" s="1"/>
  <c r="GN122" i="1"/>
  <c r="GN123" i="1" s="1"/>
  <c r="GO75" i="1"/>
  <c r="GO64" i="1" l="1"/>
  <c r="NV53" i="1"/>
  <c r="NU114" i="1"/>
  <c r="NU111" i="1"/>
  <c r="NU110" i="1"/>
  <c r="NV105" i="1" s="1"/>
  <c r="NU116" i="1"/>
  <c r="NU119" i="1" l="1"/>
  <c r="NU120" i="1"/>
  <c r="GO121" i="1" s="1"/>
  <c r="NV106" i="1"/>
  <c r="GO116" i="1"/>
  <c r="GP71" i="1"/>
  <c r="GP72" i="1" s="1"/>
  <c r="NV73" i="1"/>
  <c r="GP49" i="1"/>
  <c r="GP51" i="1" s="1"/>
  <c r="NV54" i="1"/>
  <c r="NV62" i="1"/>
  <c r="GP53" i="1" l="1"/>
  <c r="NV48" i="1"/>
  <c r="GP103" i="1"/>
  <c r="GP74" i="1"/>
  <c r="NV74" i="1"/>
  <c r="GP105" i="1" s="1"/>
  <c r="NV103" i="1" s="1"/>
  <c r="GO117" i="1"/>
  <c r="GO118" i="1" s="1"/>
  <c r="GO122" i="1"/>
  <c r="GO123" i="1" s="1"/>
  <c r="GP75" i="1" l="1"/>
  <c r="NV109" i="1"/>
  <c r="NV75" i="1"/>
  <c r="NV49" i="1"/>
  <c r="GP102" i="1"/>
  <c r="GP106" i="1" s="1"/>
  <c r="GP64" i="1" l="1"/>
  <c r="NW53" i="1"/>
  <c r="NV114" i="1"/>
  <c r="GP116" i="1" s="1"/>
  <c r="NV111" i="1"/>
  <c r="NV110" i="1"/>
  <c r="NW105" i="1" s="1"/>
  <c r="NV116" i="1"/>
  <c r="NV119" i="1" l="1"/>
  <c r="NV120" i="1"/>
  <c r="GP121" i="1" s="1"/>
  <c r="NW106" i="1"/>
  <c r="NW73" i="1"/>
  <c r="GQ71" i="1"/>
  <c r="GQ49" i="1"/>
  <c r="GQ51" i="1" s="1"/>
  <c r="NW54" i="1"/>
  <c r="GX53" i="1"/>
  <c r="NW62" i="1"/>
  <c r="L49" i="1" l="1"/>
  <c r="GZ62" i="1"/>
  <c r="GX62" i="1" s="1"/>
  <c r="E49" i="1" s="1"/>
  <c r="E51" i="1" s="1"/>
  <c r="E53" i="1" s="1"/>
  <c r="L9" i="1" s="1"/>
  <c r="N7" i="3" s="1"/>
  <c r="GY72" i="1"/>
  <c r="GZ72" i="1" s="1"/>
  <c r="HA72" i="1" s="1"/>
  <c r="HB72" i="1" s="1"/>
  <c r="HC72" i="1" s="1"/>
  <c r="HD72" i="1" s="1"/>
  <c r="HE72" i="1" s="1"/>
  <c r="HF72" i="1" s="1"/>
  <c r="HG72" i="1" s="1"/>
  <c r="HH72" i="1" s="1"/>
  <c r="HI72" i="1" s="1"/>
  <c r="HJ72" i="1" s="1"/>
  <c r="HK72" i="1" s="1"/>
  <c r="HL72" i="1" s="1"/>
  <c r="HM72" i="1" s="1"/>
  <c r="HN72" i="1" s="1"/>
  <c r="HO72" i="1" s="1"/>
  <c r="HP72" i="1" s="1"/>
  <c r="HQ72" i="1" s="1"/>
  <c r="HR72" i="1" s="1"/>
  <c r="HS72" i="1" s="1"/>
  <c r="HT72" i="1" s="1"/>
  <c r="HU72" i="1" s="1"/>
  <c r="HV72" i="1" s="1"/>
  <c r="HW72" i="1" s="1"/>
  <c r="HX72" i="1" s="1"/>
  <c r="HY72" i="1" s="1"/>
  <c r="HZ72" i="1" s="1"/>
  <c r="IA72" i="1" s="1"/>
  <c r="IB72" i="1" s="1"/>
  <c r="IC72" i="1" s="1"/>
  <c r="ID72" i="1" s="1"/>
  <c r="IE72" i="1" s="1"/>
  <c r="IF72" i="1" s="1"/>
  <c r="IG72" i="1" s="1"/>
  <c r="IH72" i="1" s="1"/>
  <c r="II72" i="1" s="1"/>
  <c r="IJ72" i="1" s="1"/>
  <c r="IK72" i="1" s="1"/>
  <c r="IL72" i="1" s="1"/>
  <c r="IM72" i="1" s="1"/>
  <c r="IN72" i="1" s="1"/>
  <c r="IO72" i="1" s="1"/>
  <c r="IP72" i="1" s="1"/>
  <c r="IQ72" i="1" s="1"/>
  <c r="IR72" i="1" s="1"/>
  <c r="IS72" i="1" s="1"/>
  <c r="IT72" i="1" s="1"/>
  <c r="IU72" i="1" s="1"/>
  <c r="IV72" i="1" s="1"/>
  <c r="IW72" i="1" s="1"/>
  <c r="IX72" i="1" s="1"/>
  <c r="IY72" i="1" s="1"/>
  <c r="IZ72" i="1" s="1"/>
  <c r="JA72" i="1" s="1"/>
  <c r="JB72" i="1" s="1"/>
  <c r="JC72" i="1" s="1"/>
  <c r="JD72" i="1" s="1"/>
  <c r="JE72" i="1" s="1"/>
  <c r="JF72" i="1" s="1"/>
  <c r="JG72" i="1" s="1"/>
  <c r="JH72" i="1" s="1"/>
  <c r="JI72" i="1" s="1"/>
  <c r="JJ72" i="1" s="1"/>
  <c r="JK72" i="1" s="1"/>
  <c r="JL72" i="1" s="1"/>
  <c r="JM72" i="1" s="1"/>
  <c r="JN72" i="1" s="1"/>
  <c r="JO72" i="1" s="1"/>
  <c r="JP72" i="1" s="1"/>
  <c r="JQ72" i="1" s="1"/>
  <c r="JR72" i="1" s="1"/>
  <c r="JS72" i="1" s="1"/>
  <c r="JT72" i="1" s="1"/>
  <c r="JU72" i="1" s="1"/>
  <c r="JV72" i="1" s="1"/>
  <c r="JW72" i="1" s="1"/>
  <c r="JX72" i="1" s="1"/>
  <c r="JY72" i="1" s="1"/>
  <c r="JZ72" i="1" s="1"/>
  <c r="KA72" i="1" s="1"/>
  <c r="KB72" i="1" s="1"/>
  <c r="KC72" i="1" s="1"/>
  <c r="KD72" i="1" s="1"/>
  <c r="KE72" i="1" s="1"/>
  <c r="KF72" i="1" s="1"/>
  <c r="KG72" i="1" s="1"/>
  <c r="KH72" i="1" s="1"/>
  <c r="KI72" i="1" s="1"/>
  <c r="KJ72" i="1" s="1"/>
  <c r="KK72" i="1" s="1"/>
  <c r="KL72" i="1" s="1"/>
  <c r="KM72" i="1" s="1"/>
  <c r="KN72" i="1" s="1"/>
  <c r="KO72" i="1" s="1"/>
  <c r="KP72" i="1" s="1"/>
  <c r="KQ72" i="1" s="1"/>
  <c r="KR72" i="1" s="1"/>
  <c r="KS72" i="1" s="1"/>
  <c r="KT72" i="1" s="1"/>
  <c r="KU72" i="1" s="1"/>
  <c r="KV72" i="1" s="1"/>
  <c r="KW72" i="1" s="1"/>
  <c r="KX72" i="1" s="1"/>
  <c r="KY72" i="1" s="1"/>
  <c r="KZ72" i="1" s="1"/>
  <c r="LA72" i="1" s="1"/>
  <c r="LB72" i="1" s="1"/>
  <c r="LC72" i="1" s="1"/>
  <c r="LD72" i="1" s="1"/>
  <c r="LE72" i="1" s="1"/>
  <c r="LF72" i="1" s="1"/>
  <c r="LG72" i="1" s="1"/>
  <c r="LH72" i="1" s="1"/>
  <c r="LI72" i="1" s="1"/>
  <c r="LJ72" i="1" s="1"/>
  <c r="LK72" i="1" s="1"/>
  <c r="LL72" i="1" s="1"/>
  <c r="LM72" i="1" s="1"/>
  <c r="LN72" i="1" s="1"/>
  <c r="LO72" i="1" s="1"/>
  <c r="LP72" i="1" s="1"/>
  <c r="LQ72" i="1" s="1"/>
  <c r="LR72" i="1" s="1"/>
  <c r="LS72" i="1" s="1"/>
  <c r="LT72" i="1" s="1"/>
  <c r="LU72" i="1" s="1"/>
  <c r="LV72" i="1" s="1"/>
  <c r="LW72" i="1" s="1"/>
  <c r="LX72" i="1" s="1"/>
  <c r="LY72" i="1" s="1"/>
  <c r="LZ72" i="1" s="1"/>
  <c r="MA72" i="1" s="1"/>
  <c r="MB72" i="1" s="1"/>
  <c r="MC72" i="1" s="1"/>
  <c r="MD72" i="1" s="1"/>
  <c r="ME72" i="1" s="1"/>
  <c r="MF72" i="1" s="1"/>
  <c r="MG72" i="1" s="1"/>
  <c r="MH72" i="1" s="1"/>
  <c r="MI72" i="1" s="1"/>
  <c r="MJ72" i="1" s="1"/>
  <c r="MK72" i="1" s="1"/>
  <c r="ML72" i="1" s="1"/>
  <c r="MM72" i="1" s="1"/>
  <c r="MN72" i="1" s="1"/>
  <c r="MO72" i="1" s="1"/>
  <c r="MP72" i="1" s="1"/>
  <c r="MQ72" i="1" s="1"/>
  <c r="MR72" i="1" s="1"/>
  <c r="MS72" i="1" s="1"/>
  <c r="MT72" i="1" s="1"/>
  <c r="MU72" i="1" s="1"/>
  <c r="MV72" i="1" s="1"/>
  <c r="MW72" i="1" s="1"/>
  <c r="MX72" i="1" s="1"/>
  <c r="MY72" i="1" s="1"/>
  <c r="MZ72" i="1" s="1"/>
  <c r="NA72" i="1" s="1"/>
  <c r="NB72" i="1" s="1"/>
  <c r="NC72" i="1" s="1"/>
  <c r="ND72" i="1" s="1"/>
  <c r="NE72" i="1" s="1"/>
  <c r="NF72" i="1" s="1"/>
  <c r="NG72" i="1" s="1"/>
  <c r="NH72" i="1" s="1"/>
  <c r="NI72" i="1" s="1"/>
  <c r="NJ72" i="1" s="1"/>
  <c r="NK72" i="1" s="1"/>
  <c r="NL72" i="1" s="1"/>
  <c r="NM72" i="1" s="1"/>
  <c r="NN72" i="1" s="1"/>
  <c r="NO72" i="1" s="1"/>
  <c r="NP72" i="1" s="1"/>
  <c r="NQ72" i="1" s="1"/>
  <c r="NR72" i="1" s="1"/>
  <c r="NS72" i="1" s="1"/>
  <c r="NT72" i="1" s="1"/>
  <c r="NU72" i="1" s="1"/>
  <c r="NV72" i="1" s="1"/>
  <c r="NW72" i="1" s="1"/>
  <c r="GX54" i="1"/>
  <c r="GZ61" i="1"/>
  <c r="HA61" i="1"/>
  <c r="HB61" i="1"/>
  <c r="HC61" i="1"/>
  <c r="HD61" i="1"/>
  <c r="HE61" i="1"/>
  <c r="HF61" i="1"/>
  <c r="HG61" i="1"/>
  <c r="HH61" i="1"/>
  <c r="HI61" i="1"/>
  <c r="HJ61" i="1"/>
  <c r="HK61" i="1"/>
  <c r="HL61" i="1"/>
  <c r="HM61" i="1"/>
  <c r="HN61" i="1"/>
  <c r="HO61" i="1"/>
  <c r="HP61" i="1"/>
  <c r="HQ61" i="1"/>
  <c r="HR61" i="1"/>
  <c r="HS61" i="1"/>
  <c r="HT61" i="1"/>
  <c r="HU61" i="1"/>
  <c r="HV61" i="1"/>
  <c r="HW61" i="1"/>
  <c r="HX61" i="1"/>
  <c r="HY61" i="1"/>
  <c r="HZ61" i="1"/>
  <c r="IA61" i="1"/>
  <c r="IB61" i="1"/>
  <c r="IC61" i="1"/>
  <c r="ID61" i="1"/>
  <c r="IE61" i="1"/>
  <c r="IF61" i="1"/>
  <c r="IG61" i="1"/>
  <c r="IH61" i="1"/>
  <c r="II61" i="1"/>
  <c r="IJ61" i="1"/>
  <c r="IK61" i="1"/>
  <c r="IL61" i="1"/>
  <c r="IM61" i="1"/>
  <c r="IN61" i="1"/>
  <c r="IO61" i="1"/>
  <c r="IP61" i="1"/>
  <c r="IQ61" i="1"/>
  <c r="IR61" i="1"/>
  <c r="IS61" i="1"/>
  <c r="IT61" i="1"/>
  <c r="IU61" i="1"/>
  <c r="IV61" i="1"/>
  <c r="IW61" i="1"/>
  <c r="IX61" i="1"/>
  <c r="IY61" i="1"/>
  <c r="IZ61" i="1"/>
  <c r="JA61" i="1"/>
  <c r="JB61" i="1"/>
  <c r="JC61" i="1"/>
  <c r="JD61" i="1"/>
  <c r="JE61" i="1"/>
  <c r="JF61" i="1"/>
  <c r="JG61" i="1"/>
  <c r="JH61" i="1"/>
  <c r="JI61" i="1"/>
  <c r="JJ61" i="1"/>
  <c r="JK61" i="1"/>
  <c r="JL61" i="1"/>
  <c r="JM61" i="1"/>
  <c r="JN61" i="1"/>
  <c r="JO61" i="1"/>
  <c r="JP61" i="1"/>
  <c r="JQ61" i="1"/>
  <c r="JR61" i="1"/>
  <c r="JS61" i="1"/>
  <c r="JT61" i="1"/>
  <c r="JU61" i="1"/>
  <c r="JV61" i="1"/>
  <c r="JW61" i="1"/>
  <c r="JX61" i="1"/>
  <c r="JY61" i="1"/>
  <c r="JZ61" i="1"/>
  <c r="KA61" i="1"/>
  <c r="KB61" i="1"/>
  <c r="KC61" i="1"/>
  <c r="KD61" i="1"/>
  <c r="KE61" i="1"/>
  <c r="KF61" i="1"/>
  <c r="KG61" i="1"/>
  <c r="KH61" i="1"/>
  <c r="KI61" i="1"/>
  <c r="KJ61" i="1"/>
  <c r="KK61" i="1"/>
  <c r="KL61" i="1"/>
  <c r="KM61" i="1"/>
  <c r="KN61" i="1"/>
  <c r="KO61" i="1"/>
  <c r="KP61" i="1"/>
  <c r="KQ61" i="1"/>
  <c r="KR61" i="1"/>
  <c r="KS61" i="1"/>
  <c r="KT61" i="1"/>
  <c r="KU61" i="1"/>
  <c r="KV61" i="1"/>
  <c r="KW61" i="1"/>
  <c r="KX61" i="1"/>
  <c r="KY61" i="1"/>
  <c r="KZ61" i="1"/>
  <c r="LA61" i="1"/>
  <c r="LB61" i="1"/>
  <c r="LC61" i="1"/>
  <c r="LD61" i="1"/>
  <c r="LE61" i="1"/>
  <c r="LF61" i="1"/>
  <c r="LG61" i="1"/>
  <c r="LH61" i="1"/>
  <c r="LI61" i="1"/>
  <c r="LJ61" i="1"/>
  <c r="LK61" i="1"/>
  <c r="LL61" i="1"/>
  <c r="LM61" i="1"/>
  <c r="LN61" i="1"/>
  <c r="LO61" i="1"/>
  <c r="LP61" i="1"/>
  <c r="LQ61" i="1"/>
  <c r="LR61" i="1"/>
  <c r="LS61" i="1"/>
  <c r="LT61" i="1"/>
  <c r="LU61" i="1"/>
  <c r="LV61" i="1"/>
  <c r="LW61" i="1"/>
  <c r="LX61" i="1"/>
  <c r="LY61" i="1"/>
  <c r="LZ61" i="1"/>
  <c r="MA61" i="1"/>
  <c r="MB61" i="1"/>
  <c r="MC61" i="1"/>
  <c r="MD61" i="1"/>
  <c r="ME61" i="1"/>
  <c r="MF61" i="1"/>
  <c r="MG61" i="1"/>
  <c r="MH61" i="1"/>
  <c r="MI61" i="1"/>
  <c r="MJ61" i="1"/>
  <c r="MK61" i="1"/>
  <c r="ML61" i="1"/>
  <c r="MM61" i="1"/>
  <c r="MN61" i="1"/>
  <c r="MO61" i="1"/>
  <c r="MP61" i="1"/>
  <c r="MQ61" i="1"/>
  <c r="MR61" i="1"/>
  <c r="MS61" i="1"/>
  <c r="MT61" i="1"/>
  <c r="MU61" i="1"/>
  <c r="MV61" i="1"/>
  <c r="MW61" i="1"/>
  <c r="MX61" i="1"/>
  <c r="MY61" i="1"/>
  <c r="MZ61" i="1"/>
  <c r="NA61" i="1"/>
  <c r="NB61" i="1"/>
  <c r="NC61" i="1"/>
  <c r="ND61" i="1"/>
  <c r="NE61" i="1"/>
  <c r="NF61" i="1"/>
  <c r="NG61" i="1"/>
  <c r="NH61" i="1"/>
  <c r="NI61" i="1"/>
  <c r="NJ61" i="1"/>
  <c r="NK61" i="1"/>
  <c r="NL61" i="1"/>
  <c r="NM61" i="1"/>
  <c r="NN61" i="1"/>
  <c r="NO61" i="1"/>
  <c r="NP61" i="1"/>
  <c r="NQ61" i="1"/>
  <c r="NR61" i="1"/>
  <c r="NS61" i="1"/>
  <c r="NT61" i="1"/>
  <c r="NU61" i="1"/>
  <c r="NV61" i="1"/>
  <c r="GQ53" i="1"/>
  <c r="NW48" i="1"/>
  <c r="GX48" i="1" s="1"/>
  <c r="GP117" i="1"/>
  <c r="GP118" i="1" s="1"/>
  <c r="GP122" i="1"/>
  <c r="GP123" i="1" s="1"/>
  <c r="NW61" i="1"/>
  <c r="L71" i="1"/>
  <c r="GQ72" i="1"/>
  <c r="NW74" i="1"/>
  <c r="GQ105" i="1" s="1"/>
  <c r="GX61" i="1" l="1"/>
  <c r="F49" i="1" s="1"/>
  <c r="GQ102" i="1"/>
  <c r="NW49" i="1"/>
  <c r="GX49" i="1" s="1"/>
  <c r="J71" i="1"/>
  <c r="S71" i="1"/>
  <c r="K71" i="1"/>
  <c r="NW103" i="1"/>
  <c r="L105" i="1"/>
  <c r="J49" i="1"/>
  <c r="L51" i="1"/>
  <c r="S49" i="1"/>
  <c r="K49" i="1"/>
  <c r="NW75" i="1"/>
  <c r="GQ64" i="1" s="1"/>
  <c r="GQ103" i="1"/>
  <c r="L103" i="1" s="1"/>
  <c r="GQ74" i="1"/>
  <c r="E72" i="1"/>
  <c r="L72" i="1"/>
  <c r="NW109" i="1" l="1"/>
  <c r="GX103" i="1"/>
  <c r="S51" i="1"/>
  <c r="H31" i="3"/>
  <c r="E101" i="3"/>
  <c r="L53" i="1"/>
  <c r="K51" i="1"/>
  <c r="J51" i="1"/>
  <c r="S72" i="1"/>
  <c r="K72" i="1"/>
  <c r="J72" i="1"/>
  <c r="S103" i="1"/>
  <c r="J103" i="1"/>
  <c r="K103" i="1"/>
  <c r="GQ75" i="1"/>
  <c r="S74" i="1" s="1"/>
  <c r="L74" i="1"/>
  <c r="GQ106" i="1"/>
  <c r="L102" i="1"/>
  <c r="S105" i="1"/>
  <c r="K105" i="1"/>
  <c r="J105" i="1"/>
  <c r="F51" i="1"/>
  <c r="F53" i="1" s="1"/>
  <c r="H53" i="1" s="1"/>
  <c r="H49" i="1"/>
  <c r="K102" i="1" l="1"/>
  <c r="S102" i="1"/>
  <c r="L106" i="1"/>
  <c r="J102" i="1"/>
  <c r="S53" i="1"/>
  <c r="K53" i="1"/>
  <c r="L58" i="1"/>
  <c r="J53" i="1"/>
  <c r="H57" i="1"/>
  <c r="GW54" i="1"/>
  <c r="E106" i="1"/>
  <c r="F106" i="1"/>
  <c r="P35" i="3" s="1"/>
  <c r="K74" i="1"/>
  <c r="J74" i="1"/>
  <c r="H32" i="3"/>
  <c r="H38" i="3" s="1"/>
  <c r="H25" i="3"/>
  <c r="H26" i="3" s="1"/>
  <c r="NW114" i="1"/>
  <c r="NW111" i="1"/>
  <c r="GY111" i="1" s="1"/>
  <c r="GX109" i="1"/>
  <c r="NW110" i="1"/>
  <c r="GX114" i="1" l="1"/>
  <c r="NW116" i="1"/>
  <c r="I2" i="1"/>
  <c r="P36" i="3"/>
  <c r="H58" i="1"/>
  <c r="D126" i="1" s="1"/>
  <c r="F126" i="1" s="1"/>
  <c r="F128" i="1" s="1"/>
  <c r="F4" i="1" s="1"/>
  <c r="K58" i="1"/>
  <c r="E25" i="3"/>
  <c r="E26" i="3" s="1"/>
  <c r="J58" i="1"/>
  <c r="L59" i="1"/>
  <c r="L62" i="1"/>
  <c r="L63" i="1"/>
  <c r="GQ116" i="1"/>
  <c r="S106" i="1"/>
  <c r="J106" i="1"/>
  <c r="L108" i="1"/>
  <c r="K106" i="1"/>
  <c r="K59" i="1" l="1"/>
  <c r="J59" i="1"/>
  <c r="H67" i="1"/>
  <c r="H70" i="1"/>
  <c r="H69" i="1"/>
  <c r="H71" i="1"/>
  <c r="H74" i="1"/>
  <c r="L64" i="1"/>
  <c r="K62" i="1"/>
  <c r="J62" i="1"/>
  <c r="F2" i="1"/>
  <c r="P40" i="3"/>
  <c r="NW120" i="1"/>
  <c r="NW119" i="1"/>
  <c r="L116" i="1"/>
  <c r="J63" i="1"/>
  <c r="K63" i="1"/>
  <c r="H59" i="1"/>
  <c r="J64" i="1" l="1"/>
  <c r="K64" i="1"/>
  <c r="S116" i="1"/>
  <c r="J116" i="1"/>
  <c r="K116" i="1"/>
  <c r="GQ117" i="1"/>
  <c r="GX119" i="1"/>
  <c r="GQ122" i="1"/>
  <c r="H72" i="1"/>
  <c r="GX120" i="1"/>
  <c r="GQ121" i="1"/>
  <c r="L122" i="1" l="1"/>
  <c r="E122" i="1"/>
  <c r="O36" i="3" s="1"/>
  <c r="F122" i="1"/>
  <c r="O35" i="3" s="1"/>
  <c r="GQ123" i="1"/>
  <c r="L121" i="1"/>
  <c r="F121" i="1"/>
  <c r="E121" i="1"/>
  <c r="L117" i="1"/>
  <c r="GQ118" i="1"/>
  <c r="L118" i="1" s="1"/>
  <c r="P37" i="3" l="1"/>
  <c r="P39" i="3" s="1"/>
  <c r="S118" i="1"/>
  <c r="J118" i="1"/>
  <c r="K118" i="1"/>
  <c r="J117" i="1"/>
  <c r="S117" i="1"/>
  <c r="K117" i="1"/>
  <c r="N36" i="3"/>
  <c r="N35" i="3"/>
  <c r="N37" i="3"/>
  <c r="N39" i="3" s="1"/>
  <c r="N40" i="3" s="1"/>
  <c r="J121" i="1"/>
  <c r="K121" i="1"/>
  <c r="L123" i="1"/>
  <c r="I122" i="1" s="1"/>
  <c r="E123" i="1"/>
  <c r="S123" i="1"/>
  <c r="F123" i="1"/>
  <c r="O37" i="3"/>
  <c r="O39" i="3" s="1"/>
  <c r="O40" i="3" s="1"/>
  <c r="J122" i="1"/>
  <c r="K122" i="1"/>
  <c r="J123" i="1" l="1"/>
  <c r="K123" i="1"/>
  <c r="I121" i="1"/>
  <c r="I123"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<sst xmlns="http://schemas.openxmlformats.org/spreadsheetml/2006/main" count="490" uniqueCount="361">
  <si>
    <t>LAND DEVELOPMENT MODEL (MULTI-SCENARIO)</t>
  </si>
  <si>
    <t>Model Resources</t>
  </si>
  <si>
    <t>Author: Spencer Burton</t>
  </si>
  <si>
    <t>Important Links:</t>
  </si>
  <si>
    <t>https://www.adventuresincre.com/</t>
  </si>
  <si>
    <t>New to A.CRE? Read our Best Practices Guide</t>
  </si>
  <si>
    <t>Visit this Model's Webpage</t>
  </si>
  <si>
    <t>Compatibility</t>
  </si>
  <si>
    <t>Excel 2013</t>
  </si>
  <si>
    <t>Troubleshoot/Enable Macros</t>
  </si>
  <si>
    <t>Excel 2016</t>
  </si>
  <si>
    <t>Browse our entire Library of Real Estate Models</t>
  </si>
  <si>
    <t>Excel 365</t>
  </si>
  <si>
    <t>Need Help? Hire the A.CRE Team to Model it For You</t>
  </si>
  <si>
    <t>AdventuresinCRE.com and its affiliates do not provide tax, legal, investment, or accounting advice. This material has been prepared for informational purposes only, and is not intended to provide, and should not be relied on for, tax, legal or accounting advice. You should consult your own tax, legal and accounting advisors before engaging in any transaction. This model may contains errors. Verify all calculations being using this model to make investment decisions.</t>
  </si>
  <si>
    <t xml:space="preserve">LEARN TO BUILD INSTITUTIONAL-QUALITY REAL ESTATE MODELS FROM SCRATCH
- CLICK HERE TO LEARN MORE - </t>
  </si>
  <si>
    <t>Changelog</t>
  </si>
  <si>
    <t>Disclaimer: This model may contain errors</t>
  </si>
  <si>
    <t>v0.76</t>
  </si>
  <si>
    <t>Renamed H6, H7, and H80 to 'Land Size'</t>
  </si>
  <si>
    <t>Changed L7 to an Input (blue font) cell</t>
  </si>
  <si>
    <t>Added note to cell H88 to ensure that total Land Size in Sales section matches L7 input</t>
  </si>
  <si>
    <t>Added 'Buildable Area' input to cells H11:I11</t>
  </si>
  <si>
    <t>Misc. placeholder values and formatting updates</t>
  </si>
  <si>
    <t>v0.752</t>
  </si>
  <si>
    <t>Added GP Dist. % input in 'Tier 1 - Return of Capital and Preferred Return' (Underwriting E113); allows a disproportionate distribution to either LP or GP in return of capital and pref tier</t>
  </si>
  <si>
    <t>v0.751</t>
  </si>
  <si>
    <t>Fixed minor issue with Recalculate() macro that arose from code improvement project</t>
  </si>
  <si>
    <t>Deleted 'Show' and 'Hide' Annual CF macros as they're not used in this model</t>
  </si>
  <si>
    <t>v0.75</t>
  </si>
  <si>
    <t>Misc updates to the 'Version' tab</t>
  </si>
  <si>
    <t>Used 'A.CRE Code Helper for Financial Models GPT' to add code comments in all subroutines in the following modules to help users understand the code:</t>
  </si>
  <si>
    <t>Development</t>
  </si>
  <si>
    <t>General</t>
  </si>
  <si>
    <t>Sales</t>
  </si>
  <si>
    <t>Used 'A.CRE Code Helper for Financial Models GPT' to improve efficiency of code</t>
  </si>
  <si>
    <t>As hundreds of code changes were made, tested each macro individually</t>
  </si>
  <si>
    <t>v0.742</t>
  </si>
  <si>
    <t>Minor fix to Recalculate () subroutine</t>
  </si>
  <si>
    <t>Rewrite of All_Equity() subroutine</t>
  </si>
  <si>
    <t>v0.741</t>
  </si>
  <si>
    <t>Added Named Cell: Debt_LTC_Input</t>
  </si>
  <si>
    <t>Revised All_Equity () macro to fix an error and improve its speed</t>
  </si>
  <si>
    <t>v0.74</t>
  </si>
  <si>
    <t>Removed beta tag given the model has under gone 12 updates and has been downloaded thousands of times since its release in 2021</t>
  </si>
  <si>
    <t>Added 'Assumption Notes' section to Underwriting tab; open/close using the [+] / [-] button at the top of column O; use notes to support inputs on each row</t>
  </si>
  <si>
    <t>Included various placeholder notes for reference</t>
  </si>
  <si>
    <t>Removed 'Module1' from Modules list in code backend</t>
  </si>
  <si>
    <t>Used ChatGPT to rewrite the Recalculate () macro to improve its speed</t>
  </si>
  <si>
    <t>Used ChatGPT to rewrite the All_Equity () macro to improve its speed</t>
  </si>
  <si>
    <t>v0.73</t>
  </si>
  <si>
    <t>Added a Header in the fixed rows (2:4) for the backend calculation section (starting Column GU)</t>
  </si>
  <si>
    <t>Fixed issue where Interest Reserve was not populating after construction period ended</t>
  </si>
  <si>
    <t>Added 'Debt Balance' line (row 66) to track outstanding balance of Total Debt</t>
  </si>
  <si>
    <t>v0.72</t>
  </si>
  <si>
    <t>Added Debt Module feature, which is automatically turned on when LTC (D66 on Underwriting tab) is greater than 0%'</t>
  </si>
  <si>
    <t>Updated Recalculate macro to account for scenarios where the Debt Module is off</t>
  </si>
  <si>
    <t>Fixes issue where setting LTC 0% had errored out the model</t>
  </si>
  <si>
    <t>v0.71</t>
  </si>
  <si>
    <t>Fixed issue where 'Description' navigation button did not scroll back up to Investment Description section</t>
  </si>
  <si>
    <t>Updated frozen Panes to not include 'Investment Description' header</t>
  </si>
  <si>
    <t>Renamed 'Total Construction Debt' to 'Total Debt' on Underwriting tab to account for Secondary Financing</t>
  </si>
  <si>
    <t>v0.7</t>
  </si>
  <si>
    <t>Changed 'Underwriting' cell B6 label to 'Project Name' in preparation for multi-phase option</t>
  </si>
  <si>
    <t>Revised 'Underwriting' title (cell B2) to clean up clipping issue when project name is too long</t>
  </si>
  <si>
    <t>Added further detail to 'Sources and Uses' table on Summary tab</t>
  </si>
  <si>
    <t>Added 'Secondary Financing' option to the model (e.g. second mortgage, mezzanine debt, private debt)</t>
  </si>
  <si>
    <t>New 'Debt Assumptions' section in rows 63:66</t>
  </si>
  <si>
    <t>Major revamp to the backend interest calculation (cells GN57:NR62)</t>
  </si>
  <si>
    <t>Set LTC for the two debt tranches in cells D64:D65</t>
  </si>
  <si>
    <t>Choose Fixed or Variable for each tranche in cells H64:H65</t>
  </si>
  <si>
    <t>Enter Variable rate assumptions in rows 64:65</t>
  </si>
  <si>
    <t>Misc. formatting updates</t>
  </si>
  <si>
    <t>Misc. updates to placeholder values</t>
  </si>
  <si>
    <t>v0.6</t>
  </si>
  <si>
    <t>Fixed issue where when using 'Pari Passu' deployment of equity and debt, that the equity cash flow was missing the carry costs</t>
  </si>
  <si>
    <t>Updated 'Recalculate' macro to solve for missing carry costs</t>
  </si>
  <si>
    <t>Misc. updates to 'Recalculate' macro for improved performance</t>
  </si>
  <si>
    <t>v0.5</t>
  </si>
  <si>
    <t>Added IFERROR logic to Unit Sales table to accommodate scenarios where a the number of units under a unit type is set to 0</t>
  </si>
  <si>
    <t>Created 'Add Line' and 'Delete Line' functionality for Unit Sales table</t>
  </si>
  <si>
    <t>Wrote 'Add_Unit_Types' macro (see VBA module: Sales)</t>
  </si>
  <si>
    <t>Wrote 'Delete_Unit_Types' macro (see VBA module: Sales)</t>
  </si>
  <si>
    <t>Added Add Line and Del. Line buttons above Unit Sales table</t>
  </si>
  <si>
    <t>Fixed issue where Hectares were not being calculated (L6 on Underwriting tab)</t>
  </si>
  <si>
    <t>Added Total Project Cost pie chart to Summary tab</t>
  </si>
  <si>
    <t>Misc. updates to placeholder inputs</t>
  </si>
  <si>
    <t>v0.4</t>
  </si>
  <si>
    <t>Added option to fund equity and debt either 'Equity 1st' or 'Pari Passu' (i.e. at the same time)</t>
  </si>
  <si>
    <t>Inserted drop-down menu to select funding order in cell F64</t>
  </si>
  <si>
    <t>Revised Equity Funding formula (cells GU53:NR53) to accommodate multiple funding order options</t>
  </si>
  <si>
    <t>Added 'Rate Type' heading to cell I59 for clarification</t>
  </si>
  <si>
    <t>Fixed labels in cells GN68:GN71 to reflect that cash flows in those rows are related to the Interest Reserve</t>
  </si>
  <si>
    <t>Added option to choose what percentage of sales proceeds to use towards loan paydown</t>
  </si>
  <si>
    <t>Inserted % input into cell F68 to select percentage of sale proceeds to go towards loan paydown</t>
  </si>
  <si>
    <t>Updated formulas in cells GU65:NR65 and GU70:NR70 to accommodate a paydown less than or equal to 100% of proceeds of each sale</t>
  </si>
  <si>
    <t>v0.31</t>
  </si>
  <si>
    <t>Fixed a bug that created erroneous GP/LP returns when outflows and inflows occurred in the same period</t>
  </si>
  <si>
    <t>Added an Error Check (cell N114) to the LP/GP return cash flows</t>
  </si>
  <si>
    <t>v0.3</t>
  </si>
  <si>
    <t>Added Variable Interest Rate module</t>
  </si>
  <si>
    <t>Added Fixed/Variable drop-down menu to cell I60</t>
  </si>
  <si>
    <t>Added Variable Rate input starting in cell O60 of row 60</t>
  </si>
  <si>
    <t>Updated backend to use variable rate of fixed rate based on input in cell I60</t>
  </si>
  <si>
    <t>Wrote Add and Delete macros for each of the four budget categories</t>
  </si>
  <si>
    <t>Six new macros in VBA backedn</t>
  </si>
  <si>
    <t>Inserted Add and Delete buttons for each of the budget categories</t>
  </si>
  <si>
    <t>Added 'Profit Margin' metric to both Underwriting and Summary tabs</t>
  </si>
  <si>
    <t>Added summary levered Profit Margin and Equity Multiple to top bar on Underwriting tab</t>
  </si>
  <si>
    <t>v0.2</t>
  </si>
  <si>
    <t>Added navigation buttons to top of Underwriting tab</t>
  </si>
  <si>
    <t>Minor updates to labels to make them fully dynamic to Model Type</t>
  </si>
  <si>
    <t>Fixed Promote and Preferred Return labels, which had been reversed</t>
  </si>
  <si>
    <t>Linked address items from Underwriting to Summary tab</t>
  </si>
  <si>
    <t>v0.1</t>
  </si>
  <si>
    <t>Initial release</t>
  </si>
  <si>
    <t>SUMMARY OF INVESTMENT</t>
  </si>
  <si>
    <t>1943 Pelahm - Aiken</t>
  </si>
  <si>
    <t>MODEL SETUP</t>
  </si>
  <si>
    <t>Project name</t>
  </si>
  <si>
    <t>Aiken Lot Development</t>
  </si>
  <si>
    <t>Phases</t>
  </si>
  <si>
    <t>Address</t>
  </si>
  <si>
    <t>[Street Address]</t>
  </si>
  <si>
    <t>Units of Measurement</t>
  </si>
  <si>
    <t>Feet</t>
  </si>
  <si>
    <t>City</t>
  </si>
  <si>
    <t>Analysis Start Date</t>
  </si>
  <si>
    <t>State/Province</t>
  </si>
  <si>
    <t>South  Carolina</t>
  </si>
  <si>
    <t>Definition (Unit Types)</t>
  </si>
  <si>
    <t>Country</t>
  </si>
  <si>
    <t>USA</t>
  </si>
  <si>
    <t>Definition (Measurements)</t>
  </si>
  <si>
    <t>Model Type</t>
  </si>
  <si>
    <t>Residential Land Development</t>
  </si>
  <si>
    <t>Analysis End Date</t>
  </si>
  <si>
    <t>INVESTMENT DESCRIPTION</t>
  </si>
  <si>
    <t>INSERT PROJECT IMAGE</t>
  </si>
  <si>
    <t>Construction Start</t>
  </si>
  <si>
    <t>Construction End</t>
  </si>
  <si>
    <t>Project End</t>
  </si>
  <si>
    <t>Sources</t>
  </si>
  <si>
    <t>Uses</t>
  </si>
  <si>
    <t>Land Costs</t>
  </si>
  <si>
    <t>Hard Costs</t>
  </si>
  <si>
    <t>Soft Costs</t>
  </si>
  <si>
    <t>Construction Debt</t>
  </si>
  <si>
    <t>Carry Costs</t>
  </si>
  <si>
    <t>Total Sources</t>
  </si>
  <si>
    <t>Total Uses</t>
  </si>
  <si>
    <t>KEY ASSUMPTIONS AND RETURN METRICS</t>
  </si>
  <si>
    <t>Unlevered Returns</t>
  </si>
  <si>
    <t>Project</t>
  </si>
  <si>
    <t>Internal Rate of Return</t>
  </si>
  <si>
    <t>Equity Multiple</t>
  </si>
  <si>
    <t>Net Profit</t>
  </si>
  <si>
    <t>Total Project Costs (Including Debt)</t>
  </si>
  <si>
    <t>Profit Margin</t>
  </si>
  <si>
    <t>Levered Returns</t>
  </si>
  <si>
    <t>GP</t>
  </si>
  <si>
    <t>LP</t>
  </si>
  <si>
    <t>Distributions</t>
  </si>
  <si>
    <t>Net Project Profit (Levered)</t>
  </si>
  <si>
    <t>Contributions</t>
  </si>
  <si>
    <t>PROJECT-LEVEL CASH FLOW VISUALIZATION</t>
  </si>
  <si>
    <t>DATA VALIDATION + CASH FLOW DATA</t>
  </si>
  <si>
    <t>Commercial Land Development</t>
  </si>
  <si>
    <t>Pad</t>
  </si>
  <si>
    <t>Pads</t>
  </si>
  <si>
    <t>Lot</t>
  </si>
  <si>
    <t>Lots</t>
  </si>
  <si>
    <t>Meters</t>
  </si>
  <si>
    <t>Townhome Development</t>
  </si>
  <si>
    <t>Unit</t>
  </si>
  <si>
    <t>Units</t>
  </si>
  <si>
    <t xml:space="preserve">Single-Family Development </t>
  </si>
  <si>
    <t>Assumption Notes (Click [+] / [-] above column S to open/close Notes section)</t>
  </si>
  <si>
    <t>Profit Margin:</t>
  </si>
  <si>
    <t>EMx :</t>
  </si>
  <si>
    <t>Project Name</t>
  </si>
  <si>
    <t>Phase Start Month</t>
  </si>
  <si>
    <t>Phase End Month</t>
  </si>
  <si>
    <t>DEVELOPMENT CASH FLOWS (INVESTMENT)</t>
  </si>
  <si>
    <t>S-CURVE</t>
  </si>
  <si>
    <t>USES OF CAPITAL</t>
  </si>
  <si>
    <t>Start</t>
  </si>
  <si>
    <t>End</t>
  </si>
  <si>
    <t>Length</t>
  </si>
  <si>
    <t>Method</t>
  </si>
  <si>
    <t>Amount</t>
  </si>
  <si>
    <t>Check</t>
  </si>
  <si>
    <t>Duration</t>
  </si>
  <si>
    <t>Std. Dev</t>
  </si>
  <si>
    <t>Land Purchase</t>
  </si>
  <si>
    <t>Straight-Line</t>
  </si>
  <si>
    <t>Seller asking price</t>
  </si>
  <si>
    <t>Due Diligence</t>
  </si>
  <si>
    <t>1% of land price</t>
  </si>
  <si>
    <t>Closing Costs</t>
  </si>
  <si>
    <t>[Item]</t>
  </si>
  <si>
    <t>Hard Costs (Horizontal)</t>
  </si>
  <si>
    <t>S-Curve</t>
  </si>
  <si>
    <t>5/SF</t>
  </si>
  <si>
    <t>Phase II Construction Costs(Horizontal)</t>
  </si>
  <si>
    <t>5% of construction cost as contingency</t>
  </si>
  <si>
    <t xml:space="preserve">Horizontal Contingency </t>
  </si>
  <si>
    <t>Other Hard Costs (Horizontal)</t>
  </si>
  <si>
    <t>Hard Costs (Vertical)</t>
  </si>
  <si>
    <t>Amentity Construction Costs (Vertical)</t>
  </si>
  <si>
    <t>Mail Kisok (Vertical)</t>
  </si>
  <si>
    <t>Landscaping  (Vertical)</t>
  </si>
  <si>
    <t>Contingency (Vertical)</t>
  </si>
  <si>
    <t>Architecture &amp; Engineering</t>
  </si>
  <si>
    <t>6% of hard costs</t>
  </si>
  <si>
    <t>100,000 estimate per past experience</t>
  </si>
  <si>
    <t>Taxes and Insurance</t>
  </si>
  <si>
    <t>One year of property tax and insurance</t>
  </si>
  <si>
    <t>Construction Management</t>
  </si>
  <si>
    <t>2% of hard costs</t>
  </si>
  <si>
    <t>Development Fees</t>
  </si>
  <si>
    <t>Soft Cost Contingency</t>
  </si>
  <si>
    <t>Total Project Costs (before Debt)</t>
  </si>
  <si>
    <t>SOURCES AND USES CALCULATIONS</t>
  </si>
  <si>
    <t>Total</t>
  </si>
  <si>
    <t>Total Development Costs (before Carry Costs)</t>
  </si>
  <si>
    <t>Capitalized Construction Interest</t>
  </si>
  <si>
    <t>Financing Fees</t>
  </si>
  <si>
    <t>Approximately 1% of loan amount</t>
  </si>
  <si>
    <t>CASH FLOW BY SOURCE</t>
  </si>
  <si>
    <t>Equity</t>
  </si>
  <si>
    <t>Debt w/o interest</t>
  </si>
  <si>
    <t>Total Project Costs (After Debt)</t>
  </si>
  <si>
    <t>Debt Interest Reserve</t>
  </si>
  <si>
    <t>Total Cash Flow by Source</t>
  </si>
  <si>
    <t>SOURCES OF CAPITAL</t>
  </si>
  <si>
    <t>Sources Summary</t>
  </si>
  <si>
    <t>Order</t>
  </si>
  <si>
    <t>Annual Rate</t>
  </si>
  <si>
    <t>% of Sources</t>
  </si>
  <si>
    <t>See Waterfall</t>
  </si>
  <si>
    <t>Total Debt w/o interest</t>
  </si>
  <si>
    <t>Debt</t>
  </si>
  <si>
    <t>Blended Debt Interest</t>
  </si>
  <si>
    <t>Debt Assumptions</t>
  </si>
  <si>
    <t>LTC %</t>
  </si>
  <si>
    <t>Rate Type</t>
  </si>
  <si>
    <t>End of Interest</t>
  </si>
  <si>
    <t>Fixed</t>
  </si>
  <si>
    <t>Variable Rate</t>
  </si>
  <si>
    <t>Start of Interest</t>
  </si>
  <si>
    <t>BALANCE TRACKING</t>
  </si>
  <si>
    <t>Total Debt</t>
  </si>
  <si>
    <t>Debt Balance</t>
  </si>
  <si>
    <t>Cash Flow of Sources</t>
  </si>
  <si>
    <t>Funding Order</t>
  </si>
  <si>
    <t>Debt w/o Interest Available</t>
  </si>
  <si>
    <t>Total Equity</t>
  </si>
  <si>
    <t>Equity 1st</t>
  </si>
  <si>
    <t>Debt w/o Interest Draw</t>
  </si>
  <si>
    <t>Debt w/o Interest Payddown</t>
  </si>
  <si>
    <t>Debt w/o Interest Closing Balance</t>
  </si>
  <si>
    <t>Interest Reserve</t>
  </si>
  <si>
    <t>% of Each Sale to Paydown Loan</t>
  </si>
  <si>
    <t>Interest Reserve Available</t>
  </si>
  <si>
    <t>Interest Reserve Draw</t>
  </si>
  <si>
    <t>Interest Reserve Payddown</t>
  </si>
  <si>
    <t>Interest Reserve Closing Balance</t>
  </si>
  <si>
    <t>SALE CASH FLOWS (REVERSION)</t>
  </si>
  <si>
    <t>Unit Types</t>
  </si>
  <si>
    <t>Lot Take Down 1 SFD</t>
  </si>
  <si>
    <t>Per land sales comp set</t>
  </si>
  <si>
    <t>Lot Take Down SFA</t>
  </si>
  <si>
    <t>TD 1 - SFD</t>
  </si>
  <si>
    <t>TD 1 - SFA</t>
  </si>
  <si>
    <t>TD 2 - SFD</t>
  </si>
  <si>
    <t>TD 2 - SFA</t>
  </si>
  <si>
    <t>TD 3 - SFD</t>
  </si>
  <si>
    <t>TD3 - SFA</t>
  </si>
  <si>
    <t xml:space="preserve">TD4 - SFA </t>
  </si>
  <si>
    <t>TD 5- SFA</t>
  </si>
  <si>
    <t>- Selling Costs</t>
  </si>
  <si>
    <t>PROJECT-LEVEL CASH FLOW AND RETURNS</t>
  </si>
  <si>
    <t>UNLEVERED CASH FLOW</t>
  </si>
  <si>
    <t xml:space="preserve">EMx </t>
  </si>
  <si>
    <t>IRR</t>
  </si>
  <si>
    <t>Net Unlevered Cash Flow</t>
  </si>
  <si>
    <t>Unlevered Profit Margin</t>
  </si>
  <si>
    <t>LEVERED CASH FLOW</t>
  </si>
  <si>
    <t>PARTNERSHIP CASH FLOW</t>
  </si>
  <si>
    <t>Loan Funding</t>
  </si>
  <si>
    <t>Property-Level Cash Flow Available to Distribute</t>
  </si>
  <si>
    <t>Loan Payoff</t>
  </si>
  <si>
    <t>LP Beginnning Balance</t>
  </si>
  <si>
    <t>Net Levered Cash Flow</t>
  </si>
  <si>
    <t>LP Required Return</t>
  </si>
  <si>
    <t>LP Contributions</t>
  </si>
  <si>
    <t>Levered Profit Margin</t>
  </si>
  <si>
    <t>PARTNERSHIP-LEVEL CASH FLOW AND RETURNS</t>
  </si>
  <si>
    <t>LP Distributions</t>
  </si>
  <si>
    <t>PARTNERSHIP STRUCTURE</t>
  </si>
  <si>
    <t>Role</t>
  </si>
  <si>
    <t>Ownership %</t>
  </si>
  <si>
    <t>LP Ending Balance</t>
  </si>
  <si>
    <t>General Partner</t>
  </si>
  <si>
    <t>Promote:</t>
  </si>
  <si>
    <t>Estimate pending LP discussions</t>
  </si>
  <si>
    <t>LP Check</t>
  </si>
  <si>
    <t>Limited Partner</t>
  </si>
  <si>
    <t>Preferred return:</t>
  </si>
  <si>
    <t>Total Partnership Contributions</t>
  </si>
  <si>
    <t>GP Contributions</t>
  </si>
  <si>
    <t>GP Distributions</t>
  </si>
  <si>
    <t>GP Dist. %</t>
  </si>
  <si>
    <t>LP Dist. %</t>
  </si>
  <si>
    <t>Tier 1 - Return of Capital and Preferred Return</t>
  </si>
  <si>
    <t>Remaining Cash Flow</t>
  </si>
  <si>
    <t>Tier 2 - Promote + Excess Cash Flow</t>
  </si>
  <si>
    <t>Total Partnership Distributions</t>
  </si>
  <si>
    <t>Net Cash Flow and Returns</t>
  </si>
  <si>
    <t>% of Total</t>
  </si>
  <si>
    <t>Total Net Cash Flow</t>
  </si>
  <si>
    <t>RECALCULATE?</t>
  </si>
  <si>
    <t>Actual</t>
  </si>
  <si>
    <t>Input</t>
  </si>
  <si>
    <t>Recalculate?</t>
  </si>
  <si>
    <t>LTC = Input?</t>
  </si>
  <si>
    <t>LTC (Pari Passu)</t>
  </si>
  <si>
    <t>Debt Module On?</t>
  </si>
  <si>
    <t>Left Side SFD Lot Width</t>
  </si>
  <si>
    <t>Left Side SFD Lots</t>
  </si>
  <si>
    <t>Total Left SFD Width</t>
  </si>
  <si>
    <t>Left Side Lot Depth</t>
  </si>
  <si>
    <t>Left Side Lots</t>
  </si>
  <si>
    <t>Total Left Side Depth</t>
  </si>
  <si>
    <t>TH Lot Depth</t>
  </si>
  <si>
    <t>CPE GMP Contract Turnkey</t>
  </si>
  <si>
    <t>Entitlement and carry Cost</t>
  </si>
  <si>
    <t>SFA Annual Increase</t>
  </si>
  <si>
    <t>SFD Annual Increase</t>
  </si>
  <si>
    <t>[Unit Type]</t>
  </si>
  <si>
    <t>Builder Deposit</t>
  </si>
  <si>
    <t>OK</t>
  </si>
  <si>
    <t>Distribution Schedule</t>
  </si>
  <si>
    <t>IRR Caluculation LP with GP Catchup</t>
  </si>
  <si>
    <t>Investment</t>
  </si>
  <si>
    <t>Payment</t>
  </si>
  <si>
    <t>Total LP Distribution</t>
  </si>
  <si>
    <t>Remaining LP Distribution per Proforma</t>
  </si>
  <si>
    <t>LP at 90%</t>
  </si>
  <si>
    <t>LP Profit first</t>
  </si>
  <si>
    <t>Total Owed to LP</t>
  </si>
  <si>
    <t>Capital and Pref</t>
  </si>
  <si>
    <t>Profit</t>
  </si>
  <si>
    <t>Returns of to LP Funds and Profit</t>
  </si>
  <si>
    <t xml:space="preserve"> 1 Pref</t>
  </si>
  <si>
    <t xml:space="preserve"> 2 - Year 1 Pref</t>
  </si>
  <si>
    <t xml:space="preserve"> 1-3 Pref Payment</t>
  </si>
  <si>
    <t xml:space="preserve"> 4 Start Capital Account</t>
  </si>
  <si>
    <t xml:space="preserve"> 4 Pref</t>
  </si>
  <si>
    <t xml:space="preserve"> 4 End Capital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</si>
</sst>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1" formatCode="_(* #,##0_);_(* \(#,##0\);_(* &quot;-&quot;_);_(@_)"/>
    <numFmt numFmtId="43" formatCode="_(* #,##0.00_);_(* \(#,##0.00\);_(* &quot;-&quot;??_);_(@_)"/>
    <numFmt numFmtId="164" formatCode="&quot;Month&quot;\ 0"/>
    <numFmt numFmtId="165" formatCode="_(* #,##0.00_);_(* \(#,##0.00\);_(* &quot;-&quot;_);_(@_)"/>
    <numFmt numFmtId="166" formatCode="0\ &quot;Months&quot;"/>
    <numFmt numFmtId="167" formatCode="mmm\-yyyy"/>
    <numFmt numFmtId="168" formatCode="_(* #,##0_);_(* \(#,##0\);_(* &quot;-&quot;??_);_(@_)"/>
    <numFmt numFmtId="169" formatCode="&quot;Year&quot;\ 0"/>
    <numFmt numFmtId="170" formatCode="0.0%"/>
    <numFmt numFmtId="171" formatCode="0.00&quot;X&quot;"/>
    <numFmt numFmtId="172" formatCode="0.000%"/>
    <numFmt numFmtId="173" formatCode="&quot;$&quot;#,##0.00"/>
  </numFmts>
  <fonts count="37" x14ac:knownFonts="1">
    <font>
      <sz val="11"/>
      <color theme="1"/>
      <name val="Tw Cen MT"/>
      <family val="2"/>
      <scheme val="minor"/>
    </font>
    <font>
      <b/>
      <sz val="11"/>
      <color theme="1"/>
      <name val="Tw Cen MT"/>
      <family val="2"/>
      <scheme val="minor"/>
    </font>
    <font>
      <sz val="11"/>
      <color theme="0"/>
      <name val="Tw Cen MT"/>
      <family val="2"/>
      <scheme val="minor"/>
    </font>
    <font>
      <b/>
      <sz val="16"/>
      <color theme="0"/>
      <name val="Tw Cen MT"/>
      <family val="2"/>
      <scheme val="minor"/>
    </font>
    <font>
      <sz val="12"/>
      <color theme="0"/>
      <name val="Tw Cen MT"/>
      <family val="2"/>
      <scheme val="minor"/>
    </font>
    <font>
      <sz val="10"/>
      <color theme="1"/>
      <name val="Tw Cen MT"/>
      <family val="2"/>
      <scheme val="minor"/>
    </font>
    <font>
      <sz val="10"/>
      <color rgb="FF0000FF"/>
      <name val="Tw Cen MT"/>
      <family val="2"/>
      <scheme val="minor"/>
    </font>
    <font>
      <u/>
      <sz val="10"/>
      <color theme="1"/>
      <name val="Tw Cen MT"/>
      <family val="2"/>
      <scheme val="minor"/>
    </font>
    <font>
      <sz val="10"/>
      <color rgb="FF000000"/>
      <name val="Tw Cen MT"/>
      <family val="2"/>
      <scheme val="minor"/>
    </font>
    <font>
      <u val="singleAccounting"/>
      <sz val="10"/>
      <color rgb="FF0000FF"/>
      <name val="Tw Cen MT"/>
      <family val="2"/>
      <scheme val="minor"/>
    </font>
    <font>
      <u val="singleAccounting"/>
      <sz val="10"/>
      <color theme="1"/>
      <name val="Tw Cen MT"/>
      <family val="2"/>
      <scheme val="minor"/>
    </font>
    <font>
      <b/>
      <sz val="10"/>
      <color theme="1"/>
      <name val="Tw Cen MT"/>
      <family val="2"/>
      <scheme val="minor"/>
    </font>
    <font>
      <sz val="9"/>
      <color theme="1"/>
      <name val="Tw Cen MT"/>
      <family val="2"/>
      <scheme val="minor"/>
    </font>
    <font>
      <b/>
      <u/>
      <sz val="10"/>
      <color theme="1"/>
      <name val="Tw Cen MT"/>
      <family val="2"/>
      <scheme val="minor"/>
    </font>
    <font>
      <u/>
      <sz val="11"/>
      <color theme="10"/>
      <name val="Tw Cen MT"/>
      <family val="2"/>
      <scheme val="minor"/>
    </font>
    <font>
      <sz val="9"/>
      <color theme="0"/>
      <name val="Tw Cen MT"/>
      <family val="2"/>
      <scheme val="minor"/>
    </font>
    <font>
      <u/>
      <sz val="11"/>
      <color rgb="FF0000FF"/>
      <name val="Tw Cen MT"/>
      <family val="2"/>
      <scheme val="minor"/>
    </font>
    <font>
      <i/>
      <sz val="8"/>
      <color theme="1"/>
      <name val="Tw Cen MT"/>
      <family val="2"/>
      <scheme val="minor"/>
    </font>
    <font>
      <sz val="8"/>
      <color theme="1"/>
      <name val="Tw Cen MT"/>
      <family val="2"/>
      <scheme val="minor"/>
    </font>
    <font>
      <i/>
      <u/>
      <sz val="8"/>
      <color theme="1"/>
      <name val="Tw Cen MT"/>
      <family val="2"/>
      <scheme val="minor"/>
    </font>
    <font>
      <sz val="12"/>
      <color theme="1"/>
      <name val="Tw Cen MT"/>
      <family val="2"/>
      <scheme val="minor"/>
    </font>
    <font>
      <u/>
      <sz val="10"/>
      <color rgb="FF0000FF"/>
      <name val="Tw Cen MT"/>
      <family val="2"/>
      <scheme val="minor"/>
    </font>
    <font>
      <u val="singleAccounting"/>
      <sz val="11"/>
      <color theme="1"/>
      <name val="Tw Cen MT"/>
      <family val="2"/>
      <scheme val="minor"/>
    </font>
    <font>
      <u/>
      <sz val="10"/>
      <color rgb="FF000000"/>
      <name val="Tw Cen MT"/>
      <family val="2"/>
      <scheme val="minor"/>
    </font>
    <font>
      <sz val="12"/>
      <color rgb="FF0000FF"/>
      <name val="Tw Cen MT"/>
      <family val="2"/>
      <scheme val="minor"/>
    </font>
    <font>
      <sz val="10"/>
      <color theme="2" tint="-9.9978637043366805E-2"/>
      <name val="Tw Cen MT"/>
      <family val="2"/>
      <scheme val="minor"/>
    </font>
    <font>
      <i/>
      <sz val="10"/>
      <color theme="2" tint="-9.9978637043366805E-2"/>
      <name val="Tw Cen MT"/>
      <family val="2"/>
      <scheme val="minor"/>
    </font>
    <font>
      <u val="singleAccounting"/>
      <sz val="9"/>
      <color theme="1"/>
      <name val="Tw Cen MT"/>
      <family val="2"/>
      <scheme val="minor"/>
    </font>
    <font>
      <b/>
      <sz val="11"/>
      <color theme="0"/>
      <name val="Tw Cen MT"/>
      <family val="2"/>
      <scheme val="minor"/>
    </font>
    <font>
      <sz val="8"/>
      <color rgb="FF0000FF"/>
      <name val="Tw Cen MT"/>
      <family val="2"/>
      <scheme val="minor"/>
    </font>
    <font>
      <sz val="11"/>
      <color theme="1" tint="0.14999847407452621"/>
      <name val="Tw Cen MT"/>
      <family val="2"/>
      <scheme val="minor"/>
    </font>
    <font>
      <sz val="10"/>
      <color rgb="FFFF0000"/>
      <name val="Tw Cen MT"/>
      <family val="2"/>
      <scheme val="minor"/>
    </font>
    <font>
      <b/>
      <u/>
      <sz val="9"/>
      <color theme="1"/>
      <name val="Tw Cen MT"/>
      <family val="2"/>
      <scheme val="minor"/>
    </font>
    <font>
      <b/>
      <u/>
      <sz val="12"/>
      <color theme="1" tint="0.14999847407452621"/>
      <name val="Tw Cen MT"/>
      <family val="2"/>
      <scheme val="minor"/>
    </font>
    <font>
      <i/>
      <sz val="10"/>
      <color rgb="FFFF0000"/>
      <name val="Tw Cen MT"/>
      <family val="2"/>
      <scheme val="minor"/>
    </font>
    <font>
      <sz val="11"/>
      <color theme="1"/>
      <name val="Tw Cen MT"/>
      <family val="2"/>
      <scheme val="minor"/>
    </font>
    <font>
      <sz val="11"/>
      <color rgb="FFFF0000"/>
      <name val="Tw Cen MT"/>
      <family val="2"/>
      <scheme val="minor"/>
    </font>
  </fonts>
  <fills count="13">
    <fill>
      <patternFill patternType="none"/>
    </fill>
    <fill>
      <patternFill patternType="gray125"/>
    </fill>
    <fill>
      <patternFill patternType="solid">
        <fgColor theme="6"/>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B606"/>
        <bgColor indexed="64"/>
      </patternFill>
    </fill>
    <fill>
      <patternFill patternType="solid">
        <fgColor theme="1" tint="0.34998626667073579"/>
        <bgColor indexed="64"/>
      </patternFill>
    </fill>
    <fill>
      <patternFill patternType="solid">
        <fgColor theme="0" tint="-0.249977111117893"/>
        <bgColor indexed="64"/>
      </patternFill>
    </fill>
    <fill>
      <patternFill patternType="lightUp"/>
    </fill>
    <fill>
      <patternFill patternType="lightUp">
        <fgColor auto="1"/>
      </patternFill>
    </fill>
    <fill>
      <patternFill patternType="solid">
        <fgColor theme="2" tint="0.79998168889431442"/>
        <bgColor indexed="64"/>
      </patternFill>
    </fill>
  </fills>
  <borders count="9">
    <border>
      <left/>
      <right/>
      <top/>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s>
  <cellStyleXfs count="3">
    <xf numFmtId="0" fontId="0" fillId="0" borderId="0"/>
    <xf numFmtId="0" fontId="14" fillId="0" borderId="0" applyNumberFormat="0" applyFill="0" applyBorder="0" applyAlignment="0" applyProtection="0"/>
    <xf numFmtId="43" fontId="35" fillId="0" borderId="0" applyFont="0" applyFill="0" applyBorder="0" applyAlignment="0" applyProtection="0"/>
  </cellStyleXfs>
  <cellXfs count="182">
    <xf numFmtId="0" fontId="0" fillId="0" borderId="0" xfId="0"/>
    <xf numFmtId="0" fontId="0" fillId="2" borderId="0" xfId="0" applyFill="1"/>
    <xf numFmtId="0" fontId="0" fillId="0" borderId="0" xfId="0" applyAlignment="1">
      <alignment horizontal="right"/>
    </xf>
    <xf numFmtId="0" fontId="3" fillId="2" borderId="0" xfId="0" applyFont="1" applyFill="1"/>
    <xf numFmtId="0" fontId="0" fillId="2" borderId="0" xfId="0" applyFill="1" applyAlignment="1">
      <alignment horizontal="right"/>
    </xf>
    <xf numFmtId="0" fontId="4" fillId="2" borderId="0" xfId="0" applyFont="1" applyFill="1" applyAlignment="1">
      <alignment horizontal="right"/>
    </xf>
    <xf numFmtId="0" fontId="0" fillId="3" borderId="0" xfId="0" applyFill="1"/>
    <xf numFmtId="0" fontId="1" fillId="0" borderId="0" xfId="0" applyFont="1"/>
    <xf numFmtId="0" fontId="0" fillId="0" borderId="0" xfId="0" applyAlignment="1">
      <alignment horizontal="left" indent="1"/>
    </xf>
    <xf numFmtId="0" fontId="5" fillId="0" borderId="0" xfId="0" applyFont="1"/>
    <xf numFmtId="0" fontId="5" fillId="0" borderId="0" xfId="0" applyFont="1" applyAlignment="1">
      <alignment horizontal="right"/>
    </xf>
    <xf numFmtId="0" fontId="7" fillId="0" borderId="0" xfId="0" applyFont="1"/>
    <xf numFmtId="0" fontId="7" fillId="0" borderId="0" xfId="0" applyFont="1" applyAlignment="1">
      <alignment horizontal="right"/>
    </xf>
    <xf numFmtId="164" fontId="5" fillId="0" borderId="0" xfId="0" applyNumberFormat="1" applyFont="1"/>
    <xf numFmtId="41" fontId="5" fillId="0" borderId="0" xfId="0" applyNumberFormat="1" applyFont="1" applyAlignment="1">
      <alignment horizontal="right"/>
    </xf>
    <xf numFmtId="43" fontId="5" fillId="0" borderId="0" xfId="0" applyNumberFormat="1" applyFont="1" applyAlignment="1">
      <alignment horizontal="right"/>
    </xf>
    <xf numFmtId="168" fontId="5" fillId="0" borderId="0" xfId="0" applyNumberFormat="1" applyFont="1"/>
    <xf numFmtId="168" fontId="10" fillId="0" borderId="0" xfId="0" applyNumberFormat="1" applyFont="1"/>
    <xf numFmtId="0" fontId="5" fillId="4" borderId="0" xfId="0" applyFont="1" applyFill="1"/>
    <xf numFmtId="0" fontId="5" fillId="4" borderId="0" xfId="0" applyFont="1" applyFill="1" applyAlignment="1">
      <alignment horizontal="right"/>
    </xf>
    <xf numFmtId="0" fontId="5" fillId="4" borderId="0" xfId="0" applyFont="1" applyFill="1" applyAlignment="1">
      <alignment horizontal="left"/>
    </xf>
    <xf numFmtId="0" fontId="6" fillId="4" borderId="0" xfId="0" applyFont="1" applyFill="1" applyAlignment="1">
      <alignment horizontal="right"/>
    </xf>
    <xf numFmtId="41" fontId="8" fillId="4" borderId="0" xfId="0" applyNumberFormat="1" applyFont="1" applyFill="1" applyAlignment="1">
      <alignment horizontal="right"/>
    </xf>
    <xf numFmtId="41" fontId="5" fillId="4" borderId="0" xfId="0" applyNumberFormat="1" applyFont="1" applyFill="1" applyAlignment="1">
      <alignment horizontal="right"/>
    </xf>
    <xf numFmtId="0" fontId="7" fillId="4" borderId="0" xfId="0" applyFont="1" applyFill="1"/>
    <xf numFmtId="0" fontId="7" fillId="4" borderId="0" xfId="0" applyFont="1" applyFill="1" applyAlignment="1">
      <alignment horizontal="right"/>
    </xf>
    <xf numFmtId="0" fontId="6" fillId="4" borderId="0" xfId="0" applyFont="1" applyFill="1" applyAlignment="1">
      <alignment horizontal="left" indent="1"/>
    </xf>
    <xf numFmtId="164" fontId="6" fillId="4" borderId="0" xfId="0" applyNumberFormat="1" applyFont="1" applyFill="1" applyAlignment="1">
      <alignment horizontal="right"/>
    </xf>
    <xf numFmtId="166" fontId="8" fillId="4" borderId="0" xfId="0" applyNumberFormat="1" applyFont="1" applyFill="1" applyAlignment="1">
      <alignment horizontal="right"/>
    </xf>
    <xf numFmtId="43" fontId="5" fillId="4" borderId="0" xfId="0" applyNumberFormat="1" applyFont="1" applyFill="1" applyAlignment="1">
      <alignment horizontal="right"/>
    </xf>
    <xf numFmtId="41" fontId="6" fillId="4" borderId="0" xfId="0" applyNumberFormat="1" applyFont="1" applyFill="1" applyAlignment="1">
      <alignment horizontal="right"/>
    </xf>
    <xf numFmtId="41" fontId="10" fillId="4" borderId="0" xfId="0" applyNumberFormat="1" applyFont="1" applyFill="1" applyAlignment="1">
      <alignment horizontal="right"/>
    </xf>
    <xf numFmtId="43" fontId="10" fillId="4" borderId="0" xfId="0" applyNumberFormat="1" applyFont="1" applyFill="1" applyAlignment="1">
      <alignment horizontal="right"/>
    </xf>
    <xf numFmtId="41" fontId="9" fillId="4" borderId="0" xfId="0" applyNumberFormat="1" applyFont="1" applyFill="1" applyAlignment="1">
      <alignment horizontal="right"/>
    </xf>
    <xf numFmtId="164" fontId="5" fillId="4" borderId="0" xfId="0" applyNumberFormat="1" applyFont="1" applyFill="1" applyAlignment="1">
      <alignment horizontal="right"/>
    </xf>
    <xf numFmtId="0" fontId="0" fillId="5" borderId="0" xfId="0" applyFill="1"/>
    <xf numFmtId="0" fontId="0" fillId="5" borderId="0" xfId="0" applyFill="1" applyAlignment="1">
      <alignment horizontal="right"/>
    </xf>
    <xf numFmtId="0" fontId="8" fillId="3" borderId="0" xfId="0" applyFont="1" applyFill="1" applyAlignment="1">
      <alignment horizontal="right"/>
    </xf>
    <xf numFmtId="0" fontId="5" fillId="0" borderId="0" xfId="0" applyFont="1" applyAlignment="1">
      <alignment horizontal="left" indent="1"/>
    </xf>
    <xf numFmtId="0" fontId="13" fillId="0" borderId="0" xfId="0" applyFont="1" applyAlignment="1">
      <alignment horizontal="left"/>
    </xf>
    <xf numFmtId="0" fontId="13" fillId="0" borderId="0" xfId="0" applyFont="1"/>
    <xf numFmtId="0" fontId="5" fillId="0" borderId="0" xfId="0" applyFont="1" applyAlignment="1">
      <alignment horizontal="left" indent="2"/>
    </xf>
    <xf numFmtId="0" fontId="5" fillId="6" borderId="0" xfId="0" applyFont="1" applyFill="1"/>
    <xf numFmtId="0" fontId="0" fillId="6" borderId="0" xfId="0" applyFill="1"/>
    <xf numFmtId="0" fontId="2" fillId="8" borderId="0" xfId="0" applyFont="1" applyFill="1"/>
    <xf numFmtId="0" fontId="15" fillId="8" borderId="0" xfId="0" applyFont="1" applyFill="1" applyAlignment="1">
      <alignment horizontal="right"/>
    </xf>
    <xf numFmtId="0" fontId="4" fillId="8" borderId="0" xfId="0" applyFont="1" applyFill="1"/>
    <xf numFmtId="0" fontId="14" fillId="0" borderId="0" xfId="1"/>
    <xf numFmtId="0" fontId="16" fillId="0" borderId="0" xfId="1" applyFont="1"/>
    <xf numFmtId="0" fontId="5" fillId="4" borderId="0" xfId="0" applyFont="1" applyFill="1" applyAlignment="1">
      <alignment horizontal="left" indent="1"/>
    </xf>
    <xf numFmtId="41" fontId="5" fillId="0" borderId="0" xfId="0" applyNumberFormat="1" applyFont="1"/>
    <xf numFmtId="0" fontId="5" fillId="9" borderId="0" xfId="0" applyFont="1" applyFill="1"/>
    <xf numFmtId="0" fontId="5" fillId="9" borderId="0" xfId="0" applyFont="1" applyFill="1" applyAlignment="1">
      <alignment horizontal="right"/>
    </xf>
    <xf numFmtId="41" fontId="5" fillId="9" borderId="0" xfId="0" applyNumberFormat="1" applyFont="1" applyFill="1" applyAlignment="1">
      <alignment horizontal="right"/>
    </xf>
    <xf numFmtId="43" fontId="5" fillId="9" borderId="0" xfId="0" applyNumberFormat="1" applyFont="1" applyFill="1" applyAlignment="1">
      <alignment horizontal="right"/>
    </xf>
    <xf numFmtId="0" fontId="0" fillId="9" borderId="0" xfId="0" applyFill="1"/>
    <xf numFmtId="0" fontId="0" fillId="9" borderId="0" xfId="0" applyFill="1" applyAlignment="1">
      <alignment horizontal="right"/>
    </xf>
    <xf numFmtId="170" fontId="6" fillId="4" borderId="0" xfId="0" applyNumberFormat="1" applyFont="1" applyFill="1" applyAlignment="1">
      <alignment horizontal="right"/>
    </xf>
    <xf numFmtId="10" fontId="6" fillId="4" borderId="0" xfId="0" applyNumberFormat="1" applyFont="1" applyFill="1" applyAlignment="1">
      <alignment horizontal="right"/>
    </xf>
    <xf numFmtId="15" fontId="5" fillId="0" borderId="0" xfId="0" applyNumberFormat="1" applyFont="1"/>
    <xf numFmtId="169" fontId="5" fillId="0" borderId="0" xfId="0" applyNumberFormat="1" applyFont="1"/>
    <xf numFmtId="164" fontId="7" fillId="0" borderId="0" xfId="0" applyNumberFormat="1" applyFont="1"/>
    <xf numFmtId="41" fontId="10" fillId="0" borderId="0" xfId="0" applyNumberFormat="1" applyFont="1"/>
    <xf numFmtId="170" fontId="5" fillId="4" borderId="0" xfId="0" applyNumberFormat="1" applyFont="1" applyFill="1" applyAlignment="1">
      <alignment horizontal="right"/>
    </xf>
    <xf numFmtId="170" fontId="7" fillId="4" borderId="0" xfId="0" applyNumberFormat="1" applyFont="1" applyFill="1" applyAlignment="1">
      <alignment horizontal="right"/>
    </xf>
    <xf numFmtId="0" fontId="5" fillId="0" borderId="0" xfId="0" applyFont="1" applyAlignment="1">
      <alignment horizontal="left"/>
    </xf>
    <xf numFmtId="41" fontId="17" fillId="0" borderId="0" xfId="0" applyNumberFormat="1" applyFont="1" applyAlignment="1">
      <alignment horizontal="right"/>
    </xf>
    <xf numFmtId="0" fontId="18" fillId="0" borderId="0" xfId="0" applyFont="1" applyAlignment="1">
      <alignment horizontal="right"/>
    </xf>
    <xf numFmtId="0" fontId="19" fillId="0" borderId="0" xfId="0" applyFont="1" applyAlignment="1">
      <alignment horizontal="right"/>
    </xf>
    <xf numFmtId="0" fontId="17" fillId="0" borderId="0" xfId="0" applyFont="1" applyAlignment="1">
      <alignment horizontal="right"/>
    </xf>
    <xf numFmtId="0" fontId="5" fillId="11" borderId="0" xfId="0" applyFont="1" applyFill="1"/>
    <xf numFmtId="0" fontId="5" fillId="11" borderId="0" xfId="0" applyFont="1" applyFill="1" applyAlignment="1">
      <alignment horizontal="right"/>
    </xf>
    <xf numFmtId="43" fontId="5" fillId="11" borderId="0" xfId="0" applyNumberFormat="1" applyFont="1" applyFill="1" applyAlignment="1">
      <alignment horizontal="right"/>
    </xf>
    <xf numFmtId="164" fontId="11" fillId="11" borderId="0" xfId="0" applyNumberFormat="1" applyFont="1" applyFill="1"/>
    <xf numFmtId="164" fontId="5" fillId="11" borderId="0" xfId="0" applyNumberFormat="1" applyFont="1" applyFill="1" applyAlignment="1">
      <alignment horizontal="right"/>
    </xf>
    <xf numFmtId="0" fontId="7" fillId="11" borderId="0" xfId="0" applyFont="1" applyFill="1"/>
    <xf numFmtId="0" fontId="7" fillId="11" borderId="0" xfId="0" applyFont="1" applyFill="1" applyAlignment="1">
      <alignment horizontal="right"/>
    </xf>
    <xf numFmtId="41" fontId="5" fillId="11" borderId="0" xfId="0" applyNumberFormat="1" applyFont="1" applyFill="1" applyAlignment="1">
      <alignment horizontal="right"/>
    </xf>
    <xf numFmtId="3" fontId="5" fillId="11" borderId="0" xfId="0" applyNumberFormat="1" applyFont="1" applyFill="1" applyAlignment="1">
      <alignment horizontal="right"/>
    </xf>
    <xf numFmtId="4" fontId="5" fillId="11" borderId="0" xfId="0" applyNumberFormat="1" applyFont="1" applyFill="1" applyAlignment="1">
      <alignment horizontal="right"/>
    </xf>
    <xf numFmtId="41" fontId="5" fillId="11" borderId="0" xfId="0" applyNumberFormat="1" applyFont="1" applyFill="1"/>
    <xf numFmtId="41" fontId="10" fillId="11" borderId="0" xfId="0" applyNumberFormat="1" applyFont="1" applyFill="1" applyAlignment="1">
      <alignment horizontal="right"/>
    </xf>
    <xf numFmtId="164" fontId="10" fillId="11" borderId="0" xfId="0" applyNumberFormat="1" applyFont="1" applyFill="1" applyAlignment="1">
      <alignment horizontal="right"/>
    </xf>
    <xf numFmtId="41" fontId="5" fillId="11" borderId="0" xfId="0" applyNumberFormat="1" applyFont="1" applyFill="1" applyAlignment="1">
      <alignment horizontal="left" indent="1"/>
    </xf>
    <xf numFmtId="10" fontId="5" fillId="11" borderId="0" xfId="0" applyNumberFormat="1" applyFont="1" applyFill="1" applyAlignment="1">
      <alignment horizontal="right"/>
    </xf>
    <xf numFmtId="0" fontId="5" fillId="11" borderId="0" xfId="0" applyFont="1" applyFill="1" applyAlignment="1">
      <alignment horizontal="left"/>
    </xf>
    <xf numFmtId="3" fontId="6" fillId="4" borderId="0" xfId="0" applyNumberFormat="1" applyFont="1" applyFill="1" applyAlignment="1">
      <alignment horizontal="right"/>
    </xf>
    <xf numFmtId="3" fontId="5" fillId="4" borderId="0" xfId="0" applyNumberFormat="1" applyFont="1" applyFill="1" applyAlignment="1">
      <alignment horizontal="right"/>
    </xf>
    <xf numFmtId="3" fontId="21" fillId="4" borderId="0" xfId="0" applyNumberFormat="1" applyFont="1" applyFill="1" applyAlignment="1">
      <alignment horizontal="right"/>
    </xf>
    <xf numFmtId="41" fontId="5" fillId="11" borderId="0" xfId="0" quotePrefix="1" applyNumberFormat="1" applyFont="1" applyFill="1" applyAlignment="1">
      <alignment horizontal="right"/>
    </xf>
    <xf numFmtId="41" fontId="5" fillId="10" borderId="0" xfId="0" applyNumberFormat="1" applyFont="1" applyFill="1" applyAlignment="1">
      <alignment horizontal="right"/>
    </xf>
    <xf numFmtId="0" fontId="12" fillId="9" borderId="0" xfId="0" applyFont="1" applyFill="1" applyAlignment="1">
      <alignment horizontal="left" indent="1"/>
    </xf>
    <xf numFmtId="165" fontId="8" fillId="4" borderId="0" xfId="0" applyNumberFormat="1" applyFont="1" applyFill="1" applyAlignment="1">
      <alignment horizontal="right"/>
    </xf>
    <xf numFmtId="0" fontId="5" fillId="4" borderId="0" xfId="0" quotePrefix="1" applyFont="1" applyFill="1" applyAlignment="1">
      <alignment horizontal="left" indent="1"/>
    </xf>
    <xf numFmtId="10" fontId="5" fillId="4" borderId="0" xfId="0" applyNumberFormat="1" applyFont="1" applyFill="1" applyAlignment="1">
      <alignment horizontal="right"/>
    </xf>
    <xf numFmtId="171" fontId="5" fillId="4" borderId="0" xfId="0" applyNumberFormat="1" applyFont="1" applyFill="1" applyAlignment="1">
      <alignment horizontal="right"/>
    </xf>
    <xf numFmtId="0" fontId="22" fillId="0" borderId="0" xfId="0" applyFont="1"/>
    <xf numFmtId="170" fontId="8" fillId="4" borderId="0" xfId="0" applyNumberFormat="1" applyFont="1" applyFill="1" applyAlignment="1">
      <alignment horizontal="right"/>
    </xf>
    <xf numFmtId="170" fontId="23" fillId="4" borderId="0" xfId="0" applyNumberFormat="1" applyFont="1" applyFill="1" applyAlignment="1">
      <alignment horizontal="right"/>
    </xf>
    <xf numFmtId="41" fontId="11" fillId="11" borderId="0" xfId="0" applyNumberFormat="1" applyFont="1" applyFill="1"/>
    <xf numFmtId="15" fontId="5" fillId="11" borderId="0" xfId="0" applyNumberFormat="1" applyFont="1" applyFill="1" applyAlignment="1">
      <alignment horizontal="right"/>
    </xf>
    <xf numFmtId="170" fontId="5" fillId="11" borderId="0" xfId="0" applyNumberFormat="1" applyFont="1" applyFill="1" applyAlignment="1">
      <alignment horizontal="right"/>
    </xf>
    <xf numFmtId="171" fontId="7" fillId="4" borderId="0" xfId="0" applyNumberFormat="1" applyFont="1" applyFill="1" applyAlignment="1">
      <alignment horizontal="right"/>
    </xf>
    <xf numFmtId="10" fontId="7" fillId="4" borderId="0" xfId="0" applyNumberFormat="1" applyFont="1" applyFill="1" applyAlignment="1">
      <alignment horizontal="right"/>
    </xf>
    <xf numFmtId="0" fontId="4" fillId="2" borderId="0" xfId="0" applyFont="1" applyFill="1"/>
    <xf numFmtId="0" fontId="20" fillId="2" borderId="0" xfId="0" applyFont="1" applyFill="1"/>
    <xf numFmtId="0" fontId="24" fillId="2" borderId="0" xfId="0" applyFont="1" applyFill="1" applyAlignment="1">
      <alignment horizontal="right"/>
    </xf>
    <xf numFmtId="15" fontId="5" fillId="4" borderId="0" xfId="0" applyNumberFormat="1" applyFont="1" applyFill="1" applyAlignment="1">
      <alignment horizontal="right"/>
    </xf>
    <xf numFmtId="0" fontId="8" fillId="4" borderId="0" xfId="0" applyFont="1" applyFill="1" applyAlignment="1">
      <alignment horizontal="right"/>
    </xf>
    <xf numFmtId="0" fontId="6" fillId="0" borderId="0" xfId="0" applyFont="1" applyAlignment="1">
      <alignment horizontal="right"/>
    </xf>
    <xf numFmtId="0" fontId="25" fillId="0" borderId="0" xfId="0" applyFont="1" applyAlignment="1">
      <alignment horizontal="right"/>
    </xf>
    <xf numFmtId="164" fontId="26" fillId="0" borderId="0" xfId="0" applyNumberFormat="1" applyFont="1"/>
    <xf numFmtId="15" fontId="26" fillId="0" borderId="0" xfId="0" applyNumberFormat="1" applyFont="1"/>
    <xf numFmtId="167" fontId="6" fillId="0" borderId="0" xfId="0" applyNumberFormat="1" applyFont="1"/>
    <xf numFmtId="0" fontId="0" fillId="4" borderId="0" xfId="0" applyFill="1"/>
    <xf numFmtId="10" fontId="5" fillId="0" borderId="0" xfId="0" applyNumberFormat="1" applyFont="1"/>
    <xf numFmtId="171" fontId="5" fillId="0" borderId="0" xfId="0" applyNumberFormat="1" applyFont="1"/>
    <xf numFmtId="0" fontId="7" fillId="0" borderId="0" xfId="0" applyFont="1" applyAlignment="1">
      <alignment horizontal="left"/>
    </xf>
    <xf numFmtId="41" fontId="12" fillId="0" borderId="0" xfId="0" applyNumberFormat="1" applyFont="1"/>
    <xf numFmtId="41" fontId="27" fillId="0" borderId="0" xfId="0" applyNumberFormat="1" applyFont="1"/>
    <xf numFmtId="0" fontId="7" fillId="0" borderId="0" xfId="0" applyFont="1" applyAlignment="1">
      <alignment horizontal="left" indent="1"/>
    </xf>
    <xf numFmtId="0" fontId="12" fillId="0" borderId="0" xfId="0" applyFont="1"/>
    <xf numFmtId="0" fontId="12" fillId="0" borderId="0" xfId="0" applyFont="1" applyAlignment="1">
      <alignment horizontal="right"/>
    </xf>
    <xf numFmtId="41" fontId="12" fillId="0" borderId="0" xfId="0" applyNumberFormat="1" applyFont="1" applyAlignment="1">
      <alignment horizontal="right"/>
    </xf>
    <xf numFmtId="0" fontId="5" fillId="0" borderId="0" xfId="0" quotePrefix="1" applyFont="1"/>
    <xf numFmtId="0" fontId="8" fillId="6" borderId="0" xfId="0" applyFont="1" applyFill="1" applyAlignment="1">
      <alignment horizontal="right"/>
    </xf>
    <xf numFmtId="0" fontId="28" fillId="2" borderId="0" xfId="0" applyFont="1" applyFill="1"/>
    <xf numFmtId="0" fontId="0" fillId="2" borderId="0" xfId="0" applyFill="1" applyAlignment="1">
      <alignment horizontal="center" vertical="center"/>
    </xf>
    <xf numFmtId="0" fontId="2" fillId="2" borderId="0" xfId="0" applyFont="1" applyFill="1" applyAlignment="1">
      <alignment horizontal="right"/>
    </xf>
    <xf numFmtId="10" fontId="29" fillId="12" borderId="0" xfId="0" applyNumberFormat="1" applyFont="1" applyFill="1"/>
    <xf numFmtId="3" fontId="5" fillId="11" borderId="0" xfId="0" applyNumberFormat="1" applyFont="1" applyFill="1" applyAlignment="1">
      <alignment horizontal="left"/>
    </xf>
    <xf numFmtId="0" fontId="30" fillId="2" borderId="0" xfId="0" applyFont="1" applyFill="1" applyAlignment="1">
      <alignment horizontal="right" vertical="center"/>
    </xf>
    <xf numFmtId="10" fontId="30" fillId="2" borderId="0" xfId="0" applyNumberFormat="1" applyFont="1" applyFill="1" applyAlignment="1">
      <alignment horizontal="left" vertical="center"/>
    </xf>
    <xf numFmtId="0" fontId="30" fillId="2" borderId="0" xfId="0" applyFont="1" applyFill="1" applyAlignment="1">
      <alignment horizontal="center" vertical="center"/>
    </xf>
    <xf numFmtId="171" fontId="30" fillId="2" borderId="0" xfId="0" applyNumberFormat="1" applyFont="1" applyFill="1" applyAlignment="1">
      <alignment horizontal="left" vertical="center"/>
    </xf>
    <xf numFmtId="9" fontId="6" fillId="4" borderId="0" xfId="0" applyNumberFormat="1" applyFont="1" applyFill="1" applyAlignment="1">
      <alignment horizontal="right"/>
    </xf>
    <xf numFmtId="0" fontId="31" fillId="4" borderId="0" xfId="0" applyFont="1" applyFill="1" applyAlignment="1">
      <alignment horizontal="right"/>
    </xf>
    <xf numFmtId="0" fontId="8" fillId="4" borderId="0" xfId="0" applyFont="1" applyFill="1" applyAlignment="1">
      <alignment horizontal="left"/>
    </xf>
    <xf numFmtId="170" fontId="21" fillId="4" borderId="0" xfId="0" applyNumberFormat="1" applyFont="1" applyFill="1" applyAlignment="1">
      <alignment horizontal="right"/>
    </xf>
    <xf numFmtId="10" fontId="8" fillId="4" borderId="0" xfId="0" applyNumberFormat="1" applyFont="1" applyFill="1" applyAlignment="1">
      <alignment horizontal="right"/>
    </xf>
    <xf numFmtId="10" fontId="21" fillId="4" borderId="0" xfId="0" applyNumberFormat="1" applyFont="1" applyFill="1" applyAlignment="1">
      <alignment horizontal="right"/>
    </xf>
    <xf numFmtId="10" fontId="7" fillId="11" borderId="0" xfId="0" applyNumberFormat="1" applyFont="1" applyFill="1" applyAlignment="1">
      <alignment horizontal="right"/>
    </xf>
    <xf numFmtId="41" fontId="5" fillId="10" borderId="0" xfId="0" applyNumberFormat="1" applyFont="1" applyFill="1" applyAlignment="1">
      <alignment horizontal="left" indent="1"/>
    </xf>
    <xf numFmtId="10" fontId="5" fillId="10" borderId="0" xfId="0" applyNumberFormat="1" applyFont="1" applyFill="1" applyAlignment="1">
      <alignment horizontal="right"/>
    </xf>
    <xf numFmtId="41" fontId="10" fillId="10" borderId="0" xfId="0" applyNumberFormat="1" applyFont="1" applyFill="1" applyAlignment="1">
      <alignment horizontal="right"/>
    </xf>
    <xf numFmtId="41" fontId="5" fillId="10" borderId="0" xfId="0" applyNumberFormat="1" applyFont="1" applyFill="1"/>
    <xf numFmtId="41" fontId="5" fillId="4" borderId="0" xfId="0" applyNumberFormat="1" applyFont="1" applyFill="1"/>
    <xf numFmtId="9" fontId="5" fillId="4" borderId="0" xfId="0" applyNumberFormat="1" applyFont="1" applyFill="1"/>
    <xf numFmtId="172" fontId="5" fillId="4" borderId="0" xfId="0" applyNumberFormat="1" applyFont="1" applyFill="1"/>
    <xf numFmtId="169" fontId="5" fillId="11" borderId="0" xfId="0" applyNumberFormat="1" applyFont="1" applyFill="1" applyAlignment="1">
      <alignment horizontal="right"/>
    </xf>
    <xf numFmtId="0" fontId="32" fillId="0" borderId="0" xfId="0" applyFont="1" applyAlignment="1">
      <alignment vertical="top"/>
    </xf>
    <xf numFmtId="0" fontId="10" fillId="0" borderId="0" xfId="0" applyFont="1"/>
    <xf numFmtId="0" fontId="7" fillId="0" borderId="0" xfId="0" applyFont="1" applyAlignment="1">
      <alignment vertical="top"/>
    </xf>
    <xf numFmtId="0" fontId="34" fillId="4" borderId="0" xfId="0" applyFont="1" applyFill="1" applyAlignment="1">
      <alignment horizontal="right"/>
    </xf>
    <xf numFmtId="43" fontId="0" fillId="0" borderId="0" xfId="2" applyFont="1"/>
    <xf numFmtId="43" fontId="0" fillId="0" borderId="0" xfId="0" applyNumberFormat="1"/>
    <xf numFmtId="173" fontId="0" fillId="0" borderId="0" xfId="0" applyNumberFormat="1"/>
    <xf numFmtId="9" fontId="0" fillId="0" borderId="0" xfId="0" applyNumberFormat="1"/>
    <xf numFmtId="10" fontId="0" fillId="0" borderId="0" xfId="0" applyNumberFormat="1"/>
    <xf numFmtId="2" fontId="0" fillId="0" borderId="0" xfId="0" applyNumberFormat="1"/>
    <xf numFmtId="0" fontId="16" fillId="6" borderId="0" xfId="1" applyFont="1" applyFill="1" applyAlignment="1">
      <alignment horizontal="right"/>
    </xf>
    <xf numFmtId="0" fontId="33" fillId="7" borderId="0" xfId="1" applyFont="1" applyFill="1" applyAlignment="1">
      <alignment horizontal="center" vertical="center" wrapText="1"/>
    </xf>
    <xf numFmtId="0" fontId="12" fillId="0" borderId="0" xfId="0" applyFont="1" applyAlignment="1">
      <alignment wrapText="1"/>
    </xf>
    <xf numFmtId="0" fontId="16" fillId="0" borderId="0" xfId="1" applyFont="1" applyFill="1" applyAlignment="1"/>
    <xf numFmtId="0" fontId="16" fillId="0" borderId="0" xfId="1" applyFont="1" applyAlignment="1"/>
    <xf numFmtId="0" fontId="16" fillId="0" borderId="0" xfId="1" applyFont="1" applyAlignment="1">
      <alignment horizontal="left" vertical="center"/>
    </xf>
    <xf numFmtId="0" fontId="14" fillId="0" borderId="0" xfId="1" applyAlignment="1"/>
    <xf numFmtId="0" fontId="6" fillId="0" borderId="0" xfId="0" applyFont="1" applyAlignment="1">
      <alignment horizontal="right"/>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20" fillId="2" borderId="0" xfId="0" applyFont="1" applyFill="1" applyAlignment="1">
      <alignment horizontal="center" vertical="center"/>
    </xf>
    <xf numFmtId="0" fontId="1" fillId="0" borderId="0" xfId="0" applyFont="1" applyAlignment="1">
      <alignment horizontal="center"/>
    </xf>
    <xf numFmtId="0" fontId="0" fillId="0" borderId="0" xfId="0" applyAlignment="1">
      <alignment horizontal="center"/>
    </xf>
    <xf numFmtId="173" fontId="36" fillId="0" borderId="0" xfId="0" applyNumberFormat="1" applyFont="1"/>
    <xf numFmtId="173" fontId="1" fillId="0" borderId="0" xfId="0" applyNumberFormat="1" applyFont="1"/>
  </cellXfs>
  <cellStyles count="3">
    <cellStyle name="Comma" xfId="2" builtinId="3"/>
    <cellStyle name="Hyperlink" xfId="1" builtinId="8"/>
    <cellStyle name="Normal" xfId="0" builtinId="0"/>
  </cellStyles>
  <dxfs count="18">
    <dxf>
      <font>
        <color theme="0"/>
      </font>
    </dxf>
    <dxf>
      <font>
        <color rgb="FFFF0000"/>
      </font>
    </dxf>
    <dxf>
      <font>
        <color theme="0"/>
      </font>
      <fill>
        <patternFill patternType="none">
          <bgColor auto="1"/>
        </patternFill>
      </fill>
    </dxf>
    <dxf>
      <font>
        <color theme="0" tint="-0.24994659260841701"/>
      </font>
      <numFmt numFmtId="174" formatCode="&quot;Variable--&gt;&quot;"/>
      <fill>
        <patternFill>
          <bgColor theme="0" tint="-4.9989318521683403E-2"/>
        </patternFill>
      </fill>
    </dxf>
    <dxf>
      <font>
        <color theme="0"/>
      </font>
      <fill>
        <patternFill patternType="none">
          <bgColor auto="1"/>
        </patternFill>
      </fill>
    </dxf>
    <dxf>
      <font>
        <color theme="0"/>
      </font>
      <fill>
        <patternFill patternType="none">
          <bgColor auto="1"/>
        </patternFill>
      </fill>
    </dxf>
    <dxf>
      <font>
        <color theme="0" tint="-0.24994659260841701"/>
      </font>
      <numFmt numFmtId="174" formatCode="&quot;Variable--&gt;&quot;"/>
      <fill>
        <patternFill>
          <bgColor theme="0" tint="-4.9989318521683403E-2"/>
        </patternFill>
      </fill>
    </dxf>
    <dxf>
      <font>
        <color rgb="FF0000FF"/>
      </font>
      <fill>
        <patternFill>
          <bgColor rgb="FFF0F8FE"/>
        </patternFill>
      </fill>
    </dxf>
    <dxf>
      <font>
        <color rgb="FF0000FF"/>
      </font>
      <fill>
        <patternFill>
          <bgColor rgb="FFF0F8FE"/>
        </patternFill>
      </fill>
    </dxf>
    <dxf>
      <font>
        <color rgb="FF0000FF"/>
      </font>
      <fill>
        <patternFill>
          <bgColor rgb="FFF0F8FE"/>
        </patternFill>
      </fill>
    </dxf>
    <dxf>
      <font>
        <color rgb="FF0000FF"/>
      </font>
      <fill>
        <patternFill>
          <bgColor rgb="FFF0F8FE"/>
        </patternFill>
      </fill>
    </dxf>
    <dxf>
      <font>
        <color rgb="FF0000FF"/>
      </font>
      <fill>
        <patternFill>
          <bgColor rgb="FFF0F8FE"/>
        </patternFill>
      </fill>
    </dxf>
    <dxf>
      <font>
        <color rgb="FF0000FF"/>
      </font>
      <fill>
        <patternFill>
          <bgColor rgb="FFF0F8FE"/>
        </patternFill>
      </fill>
    </dxf>
    <dxf>
      <font>
        <color rgb="FF0000FF"/>
      </font>
      <fill>
        <patternFill>
          <bgColor rgb="FFF0F8FE"/>
        </patternFill>
      </fill>
    </dxf>
    <dxf>
      <font>
        <color rgb="FF0000FF"/>
      </font>
      <fill>
        <patternFill>
          <bgColor rgb="FFF0F8FE"/>
        </patternFill>
      </fill>
    </dxf>
    <dxf>
      <font>
        <color theme="0" tint="-4.9989318521683403E-2"/>
      </font>
      <fill>
        <patternFill>
          <bgColor theme="0" tint="-4.9989318521683403E-2"/>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colors>
    <mruColors>
      <color rgb="FF0000FF"/>
      <color rgb="FFF0F8FE"/>
      <color rgb="FFE9F5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Project Costs Including Financing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Land Cost</c:v>
          </c:tx>
          <c:spPr>
            <a:solidFill>
              <a:schemeClr val="accent1"/>
            </a:solidFill>
            <a:ln>
              <a:noFill/>
            </a:ln>
            <a:effectLst/>
          </c:spPr>
          <c:invertIfNegative val="0"/>
          <c:val>
            <c:numRef>
              <c:f>[0]!Land_Cost_Range</c:f>
              <c:numCache>
                <c:formatCode>_(* #,##0_);_(* \(#,##0\);_(* "-"_);_(@_)</c:formatCode>
                <c:ptCount val="49"/>
                <c:pt idx="0">
                  <c:v>2883000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0-A62A-4AF0-ACE9-9141820B40DC}"/>
            </c:ext>
          </c:extLst>
        </c:ser>
        <c:ser>
          <c:idx val="1"/>
          <c:order val="1"/>
          <c:tx>
            <c:v>Hard Cost (Horizontal)</c:v>
          </c:tx>
          <c:spPr>
            <a:solidFill>
              <a:schemeClr val="accent2"/>
            </a:solidFill>
            <a:ln>
              <a:noFill/>
            </a:ln>
            <a:effectLst/>
          </c:spPr>
          <c:invertIfNegative val="0"/>
          <c:val>
            <c:numRef>
              <c:f>[0]!Hard_Horz_Range</c:f>
              <c:numCache>
                <c:formatCode>_(* #,##0_);_(* \(#,##0\);_(* "-"_);_(@_)</c:formatCode>
                <c:ptCount val="49"/>
                <c:pt idx="0">
                  <c:v>11359.375</c:v>
                </c:pt>
                <c:pt idx="2">
                  <c:v>18250.045828823102</c:v>
                </c:pt>
                <c:pt idx="3">
                  <c:v>23615.24237319038</c:v>
                </c:pt>
                <c:pt idx="4">
                  <c:v>32247.589668269513</c:v>
                </c:pt>
                <c:pt idx="5">
                  <c:v>45473.43902953386</c:v>
                </c:pt>
                <c:pt idx="6">
                  <c:v>64747.000291083103</c:v>
                </c:pt>
                <c:pt idx="7">
                  <c:v>91420.719166756229</c:v>
                </c:pt>
                <c:pt idx="8">
                  <c:v>126407.72504592669</c:v>
                </c:pt>
                <c:pt idx="9">
                  <c:v>169780.56000762942</c:v>
                </c:pt>
                <c:pt idx="10">
                  <c:v>220395.60101235914</c:v>
                </c:pt>
                <c:pt idx="11">
                  <c:v>275664.36833633925</c:v>
                </c:pt>
                <c:pt idx="12">
                  <c:v>331591.39887132833</c:v>
                </c:pt>
                <c:pt idx="13">
                  <c:v>383151.15737573872</c:v>
                </c:pt>
                <c:pt idx="14">
                  <c:v>424987.90761317493</c:v>
                </c:pt>
                <c:pt idx="15">
                  <c:v>452317.04277500953</c:v>
                </c:pt>
                <c:pt idx="16">
                  <c:v>461822.28020967566</c:v>
                </c:pt>
                <c:pt idx="17">
                  <c:v>452317.04277500982</c:v>
                </c:pt>
                <c:pt idx="18">
                  <c:v>424987.90761317464</c:v>
                </c:pt>
                <c:pt idx="19">
                  <c:v>383151.15737573855</c:v>
                </c:pt>
                <c:pt idx="20">
                  <c:v>331591.39887132851</c:v>
                </c:pt>
                <c:pt idx="21">
                  <c:v>275664.36833633913</c:v>
                </c:pt>
                <c:pt idx="22">
                  <c:v>220395.60101235923</c:v>
                </c:pt>
                <c:pt idx="23">
                  <c:v>169780.56000762928</c:v>
                </c:pt>
                <c:pt idx="24">
                  <c:v>126407.72504592722</c:v>
                </c:pt>
                <c:pt idx="25">
                  <c:v>80061.344166755676</c:v>
                </c:pt>
                <c:pt idx="26">
                  <c:v>53387.625291083219</c:v>
                </c:pt>
                <c:pt idx="27">
                  <c:v>34114.064029534267</c:v>
                </c:pt>
                <c:pt idx="28">
                  <c:v>20888.214668269262</c:v>
                </c:pt>
                <c:pt idx="29">
                  <c:v>12255.867373190258</c:v>
                </c:pt>
                <c:pt idx="30">
                  <c:v>6890.670828823143</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2-A62A-4AF0-ACE9-9141820B40DC}"/>
            </c:ext>
          </c:extLst>
        </c:ser>
        <c:ser>
          <c:idx val="2"/>
          <c:order val="2"/>
          <c:tx>
            <c:v>Hard Cost (Vertical)</c:v>
          </c:tx>
          <c:spPr>
            <a:solidFill>
              <a:schemeClr val="accent3"/>
            </a:solidFill>
            <a:ln>
              <a:noFill/>
            </a:ln>
            <a:effectLst/>
          </c:spPr>
          <c:invertIfNegative val="0"/>
          <c:val>
            <c:numRef>
              <c:f>[0]!Hard_Vert_Range</c:f>
              <c:numCache>
                <c:formatCode>_(* #,##0_);_(* \(#,##0\);_(* "-"_);_(@_)</c:formatCode>
                <c:ptCount val="49"/>
                <c:pt idx="0">
                  <c:v>37875</c:v>
                </c:pt>
                <c:pt idx="2">
                  <c:v>0</c:v>
                </c:pt>
                <c:pt idx="3">
                  <c:v>0</c:v>
                </c:pt>
                <c:pt idx="4">
                  <c:v>0</c:v>
                </c:pt>
                <c:pt idx="5">
                  <c:v>0</c:v>
                </c:pt>
                <c:pt idx="6">
                  <c:v>0</c:v>
                </c:pt>
                <c:pt idx="7">
                  <c:v>0</c:v>
                </c:pt>
                <c:pt idx="8">
                  <c:v>47613.636363636368</c:v>
                </c:pt>
                <c:pt idx="9">
                  <c:v>47613.636363636368</c:v>
                </c:pt>
                <c:pt idx="10">
                  <c:v>8363.636363636364</c:v>
                </c:pt>
                <c:pt idx="11">
                  <c:v>8363.636363636364</c:v>
                </c:pt>
                <c:pt idx="12">
                  <c:v>8363.636363636364</c:v>
                </c:pt>
                <c:pt idx="13">
                  <c:v>8363.636363636364</c:v>
                </c:pt>
                <c:pt idx="14">
                  <c:v>8363.636363636364</c:v>
                </c:pt>
                <c:pt idx="15">
                  <c:v>8363.636363636364</c:v>
                </c:pt>
                <c:pt idx="16">
                  <c:v>8363.636363636364</c:v>
                </c:pt>
                <c:pt idx="17">
                  <c:v>8363.636363636364</c:v>
                </c:pt>
                <c:pt idx="18">
                  <c:v>8363.636363636364</c:v>
                </c:pt>
                <c:pt idx="19">
                  <c:v>8363.636363636364</c:v>
                </c:pt>
                <c:pt idx="20">
                  <c:v>63363.636363636368</c:v>
                </c:pt>
                <c:pt idx="21">
                  <c:v>63363.636363636368</c:v>
                </c:pt>
                <c:pt idx="22">
                  <c:v>63363.636363636368</c:v>
                </c:pt>
                <c:pt idx="23">
                  <c:v>63363.636363636368</c:v>
                </c:pt>
                <c:pt idx="24">
                  <c:v>63363.636363636368</c:v>
                </c:pt>
                <c:pt idx="25">
                  <c:v>63363.636363636368</c:v>
                </c:pt>
                <c:pt idx="26">
                  <c:v>63363.636363636368</c:v>
                </c:pt>
                <c:pt idx="27">
                  <c:v>63363.636363636368</c:v>
                </c:pt>
                <c:pt idx="28">
                  <c:v>63363.636363636368</c:v>
                </c:pt>
                <c:pt idx="29">
                  <c:v>8363.636363636364</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3-A62A-4AF0-ACE9-9141820B40DC}"/>
            </c:ext>
          </c:extLst>
        </c:ser>
        <c:ser>
          <c:idx val="3"/>
          <c:order val="3"/>
          <c:tx>
            <c:v>Soft Costs</c:v>
          </c:tx>
          <c:spPr>
            <a:solidFill>
              <a:schemeClr val="accent4"/>
            </a:solidFill>
            <a:ln>
              <a:noFill/>
            </a:ln>
            <a:effectLst/>
          </c:spPr>
          <c:invertIfNegative val="0"/>
          <c:val>
            <c:numRef>
              <c:f>[0]!Soft_Cost_Range</c:f>
              <c:numCache>
                <c:formatCode>_(* #,##0_);_(* \(#,##0\);_(* "-"_);_(@_)</c:formatCode>
                <c:ptCount val="49"/>
                <c:pt idx="0">
                  <c:v>11184.21052631579</c:v>
                </c:pt>
                <c:pt idx="2">
                  <c:v>67640.581182686452</c:v>
                </c:pt>
                <c:pt idx="3">
                  <c:v>67640.581182686452</c:v>
                </c:pt>
                <c:pt idx="4">
                  <c:v>67640.581182686452</c:v>
                </c:pt>
                <c:pt idx="5">
                  <c:v>67640.581182686452</c:v>
                </c:pt>
                <c:pt idx="6">
                  <c:v>67640.581182686452</c:v>
                </c:pt>
                <c:pt idx="7">
                  <c:v>67640.581182686452</c:v>
                </c:pt>
                <c:pt idx="8">
                  <c:v>67640.581182686452</c:v>
                </c:pt>
                <c:pt idx="9">
                  <c:v>31926.295468400731</c:v>
                </c:pt>
                <c:pt idx="10">
                  <c:v>31926.295468400731</c:v>
                </c:pt>
                <c:pt idx="11">
                  <c:v>31926.295468400731</c:v>
                </c:pt>
                <c:pt idx="12">
                  <c:v>31926.295468400731</c:v>
                </c:pt>
                <c:pt idx="13">
                  <c:v>31926.295468400731</c:v>
                </c:pt>
                <c:pt idx="14">
                  <c:v>31926.295468400731</c:v>
                </c:pt>
                <c:pt idx="15">
                  <c:v>31926.295468400731</c:v>
                </c:pt>
                <c:pt idx="16">
                  <c:v>31926.295468400731</c:v>
                </c:pt>
                <c:pt idx="17">
                  <c:v>31926.295468400731</c:v>
                </c:pt>
                <c:pt idx="18">
                  <c:v>31926.295468400731</c:v>
                </c:pt>
                <c:pt idx="19">
                  <c:v>31926.295468400731</c:v>
                </c:pt>
                <c:pt idx="20">
                  <c:v>31926.295468400731</c:v>
                </c:pt>
                <c:pt idx="21">
                  <c:v>31926.295468400731</c:v>
                </c:pt>
                <c:pt idx="22">
                  <c:v>31926.295468400731</c:v>
                </c:pt>
                <c:pt idx="23">
                  <c:v>31926.295468400731</c:v>
                </c:pt>
                <c:pt idx="24">
                  <c:v>31926.295468400731</c:v>
                </c:pt>
                <c:pt idx="25">
                  <c:v>31926.295468400731</c:v>
                </c:pt>
                <c:pt idx="26">
                  <c:v>31926.295468400731</c:v>
                </c:pt>
                <c:pt idx="27">
                  <c:v>31926.295468400731</c:v>
                </c:pt>
                <c:pt idx="28">
                  <c:v>31926.295468400731</c:v>
                </c:pt>
                <c:pt idx="29">
                  <c:v>31926.295468400731</c:v>
                </c:pt>
                <c:pt idx="30">
                  <c:v>31926.295468400731</c:v>
                </c:pt>
                <c:pt idx="31">
                  <c:v>31926.295468400731</c:v>
                </c:pt>
                <c:pt idx="32">
                  <c:v>31926.295468400731</c:v>
                </c:pt>
                <c:pt idx="33">
                  <c:v>31926.295468400731</c:v>
                </c:pt>
                <c:pt idx="34">
                  <c:v>31926.295468400731</c:v>
                </c:pt>
                <c:pt idx="35">
                  <c:v>31926.295468400731</c:v>
                </c:pt>
                <c:pt idx="36">
                  <c:v>31926.295468400731</c:v>
                </c:pt>
                <c:pt idx="37">
                  <c:v>24697.724039829303</c:v>
                </c:pt>
                <c:pt idx="38">
                  <c:v>24697.724039829303</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4-A62A-4AF0-ACE9-9141820B40DC}"/>
            </c:ext>
          </c:extLst>
        </c:ser>
        <c:ser>
          <c:idx val="4"/>
          <c:order val="4"/>
          <c:tx>
            <c:v>Carry Costs</c:v>
          </c:tx>
          <c:spPr>
            <a:solidFill>
              <a:schemeClr val="accent5"/>
            </a:solidFill>
            <a:ln>
              <a:noFill/>
            </a:ln>
            <a:effectLst/>
          </c:spPr>
          <c:invertIfNegative val="0"/>
          <c:val>
            <c:numRef>
              <c:f>[0]!Carry_Cost_Range</c:f>
              <c:numCache>
                <c:formatCode>_(* #,##0_);_(* \(#,##0\);_(* "-"_);_(@_)</c:formatCode>
                <c:ptCount val="49"/>
                <c:pt idx="0">
                  <c:v>125000</c:v>
                </c:pt>
                <c:pt idx="2">
                  <c:v>7810.155052662959</c:v>
                </c:pt>
                <c:pt idx="3">
                  <c:v>8333.777070080394</c:v>
                </c:pt>
                <c:pt idx="4">
                  <c:v>8890.3071912254472</c:v>
                </c:pt>
                <c:pt idx="5">
                  <c:v>9498.186921461167</c:v>
                </c:pt>
                <c:pt idx="6">
                  <c:v>10183.37278485527</c:v>
                </c:pt>
                <c:pt idx="7">
                  <c:v>10980.092823359349</c:v>
                </c:pt>
                <c:pt idx="8">
                  <c:v>11930.324138148539</c:v>
                </c:pt>
                <c:pt idx="9">
                  <c:v>13347.457393406645</c:v>
                </c:pt>
                <c:pt idx="10">
                  <c:v>14815.307697944405</c:v>
                </c:pt>
                <c:pt idx="11">
                  <c:v>3255.3491597986622</c:v>
                </c:pt>
                <c:pt idx="12">
                  <c:v>5039.1677883972879</c:v>
                </c:pt>
                <c:pt idx="13">
                  <c:v>0</c:v>
                </c:pt>
                <c:pt idx="14">
                  <c:v>2366.288439690512</c:v>
                </c:pt>
                <c:pt idx="15">
                  <c:v>4979.5938602237911</c:v>
                </c:pt>
                <c:pt idx="16">
                  <c:v>7760.2246840114785</c:v>
                </c:pt>
                <c:pt idx="17">
                  <c:v>4995.4309480669972</c:v>
                </c:pt>
                <c:pt idx="18">
                  <c:v>7776.1502732279278</c:v>
                </c:pt>
                <c:pt idx="19">
                  <c:v>6565.4813922427375</c:v>
                </c:pt>
                <c:pt idx="20">
                  <c:v>3354.3784044193108</c:v>
                </c:pt>
                <c:pt idx="21">
                  <c:v>5758.636778845168</c:v>
                </c:pt>
                <c:pt idx="22">
                  <c:v>4009.5914264914049</c:v>
                </c:pt>
                <c:pt idx="23">
                  <c:v>1555.6205768287184</c:v>
                </c:pt>
                <c:pt idx="24">
                  <c:v>3045.5900285679559</c:v>
                </c:pt>
                <c:pt idx="25">
                  <c:v>331.67611422210621</c:v>
                </c:pt>
                <c:pt idx="26">
                  <c:v>1313.4337877948365</c:v>
                </c:pt>
                <c:pt idx="27">
                  <c:v>2151.618737002892</c:v>
                </c:pt>
                <c:pt idx="28">
                  <c:v>0</c:v>
                </c:pt>
                <c:pt idx="29">
                  <c:v>649.23081867818257</c:v>
                </c:pt>
                <c:pt idx="30">
                  <c:v>946.49716292941946</c:v>
                </c:pt>
                <c:pt idx="31">
                  <c:v>472.24298814792303</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05-A62A-4AF0-ACE9-9141820B40DC}"/>
            </c:ext>
          </c:extLst>
        </c:ser>
        <c:dLbls>
          <c:showLegendKey val="0"/>
          <c:showVal val="0"/>
          <c:showCatName val="0"/>
          <c:showSerName val="0"/>
          <c:showPercent val="0"/>
          <c:showBubbleSize val="0"/>
        </c:dLbls>
        <c:gapWidth val="75"/>
        <c:overlap val="100"/>
        <c:axId val="345439103"/>
        <c:axId val="441780863"/>
      </c:barChart>
      <c:catAx>
        <c:axId val="34543910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780863"/>
        <c:crosses val="autoZero"/>
        <c:auto val="1"/>
        <c:lblAlgn val="ctr"/>
        <c:lblOffset val="100"/>
        <c:noMultiLvlLbl val="0"/>
      </c:catAx>
      <c:valAx>
        <c:axId val="44178086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4391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Proceeds from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4"/>
          <c:order val="0"/>
          <c:tx>
            <c:v>Net Proceeds from Sales</c:v>
          </c:tx>
          <c:spPr>
            <a:solidFill>
              <a:schemeClr val="accent5"/>
            </a:solidFill>
            <a:ln>
              <a:noFill/>
            </a:ln>
            <a:effectLst/>
          </c:spPr>
          <c:invertIfNegative val="0"/>
          <c:val>
            <c:numRef>
              <c:f>[0]!Net_Lot_Sales_Range</c:f>
              <c:numCache>
                <c:formatCode>_(* #,##0_);_(* \(#,##0\);_(* "-"_);_(@_)</c:formatCode>
                <c:ptCount val="49"/>
                <c:pt idx="0">
                  <c:v>0</c:v>
                </c:pt>
                <c:pt idx="2">
                  <c:v>0</c:v>
                </c:pt>
                <c:pt idx="3">
                  <c:v>0</c:v>
                </c:pt>
                <c:pt idx="4">
                  <c:v>0</c:v>
                </c:pt>
                <c:pt idx="5">
                  <c:v>0</c:v>
                </c:pt>
                <c:pt idx="6">
                  <c:v>0</c:v>
                </c:pt>
                <c:pt idx="7">
                  <c:v>0</c:v>
                </c:pt>
                <c:pt idx="8">
                  <c:v>0</c:v>
                </c:pt>
                <c:pt idx="9">
                  <c:v>0</c:v>
                </c:pt>
                <c:pt idx="10">
                  <c:v>2344125</c:v>
                </c:pt>
                <c:pt idx="11">
                  <c:v>0</c:v>
                </c:pt>
                <c:pt idx="12">
                  <c:v>1436875</c:v>
                </c:pt>
                <c:pt idx="13">
                  <c:v>0</c:v>
                </c:pt>
                <c:pt idx="14">
                  <c:v>0</c:v>
                </c:pt>
                <c:pt idx="15">
                  <c:v>0</c:v>
                </c:pt>
                <c:pt idx="16">
                  <c:v>1004625</c:v>
                </c:pt>
                <c:pt idx="17">
                  <c:v>0</c:v>
                </c:pt>
                <c:pt idx="18">
                  <c:v>689700</c:v>
                </c:pt>
                <c:pt idx="19">
                  <c:v>1004625</c:v>
                </c:pt>
                <c:pt idx="20">
                  <c:v>0</c:v>
                </c:pt>
                <c:pt idx="21">
                  <c:v>689700</c:v>
                </c:pt>
                <c:pt idx="22">
                  <c:v>758826.75</c:v>
                </c:pt>
                <c:pt idx="23">
                  <c:v>0</c:v>
                </c:pt>
                <c:pt idx="24">
                  <c:v>710391</c:v>
                </c:pt>
                <c:pt idx="25">
                  <c:v>0</c:v>
                </c:pt>
                <c:pt idx="26">
                  <c:v>0</c:v>
                </c:pt>
                <c:pt idx="27">
                  <c:v>710391</c:v>
                </c:pt>
                <c:pt idx="28">
                  <c:v>0</c:v>
                </c:pt>
                <c:pt idx="29">
                  <c:v>0</c:v>
                </c:pt>
                <c:pt idx="30">
                  <c:v>124630</c:v>
                </c:pt>
                <c:pt idx="31">
                  <c:v>124630</c:v>
                </c:pt>
                <c:pt idx="32">
                  <c:v>124630</c:v>
                </c:pt>
                <c:pt idx="33">
                  <c:v>124630</c:v>
                </c:pt>
                <c:pt idx="34">
                  <c:v>124630</c:v>
                </c:pt>
                <c:pt idx="35">
                  <c:v>124630</c:v>
                </c:pt>
                <c:pt idx="36">
                  <c:v>124630</c:v>
                </c:pt>
                <c:pt idx="37">
                  <c:v>124630</c:v>
                </c:pt>
                <c:pt idx="38">
                  <c:v>124630</c:v>
                </c:pt>
                <c:pt idx="39">
                  <c:v>124630</c:v>
                </c:pt>
                <c:pt idx="40">
                  <c:v>382128.38573250006</c:v>
                </c:pt>
                <c:pt idx="41">
                  <c:v>382128.38573250006</c:v>
                </c:pt>
                <c:pt idx="42">
                  <c:v>382128.38573250006</c:v>
                </c:pt>
                <c:pt idx="43">
                  <c:v>382128.38573250006</c:v>
                </c:pt>
                <c:pt idx="44">
                  <c:v>382128.38573250006</c:v>
                </c:pt>
                <c:pt idx="45">
                  <c:v>382128.38573250006</c:v>
                </c:pt>
                <c:pt idx="46">
                  <c:v>382128.38573250006</c:v>
                </c:pt>
                <c:pt idx="47">
                  <c:v>382128.38573250006</c:v>
                </c:pt>
                <c:pt idx="48">
                  <c:v>382128.38573250006</c:v>
                </c:pt>
              </c:numCache>
            </c:numRef>
          </c:val>
          <c:extLst>
            <c:ext xmlns:c16="http://schemas.microsoft.com/office/drawing/2014/chart" uri="{C3380CC4-5D6E-409C-BE32-E72D297353CC}">
              <c16:uniqueId val="{00000004-BBF9-4488-A694-AE7DE7A34B27}"/>
            </c:ext>
          </c:extLst>
        </c:ser>
        <c:dLbls>
          <c:showLegendKey val="0"/>
          <c:showVal val="0"/>
          <c:showCatName val="0"/>
          <c:showSerName val="0"/>
          <c:showPercent val="0"/>
          <c:showBubbleSize val="0"/>
        </c:dLbls>
        <c:gapWidth val="75"/>
        <c:overlap val="100"/>
        <c:axId val="345439103"/>
        <c:axId val="441780863"/>
      </c:barChart>
      <c:catAx>
        <c:axId val="345439103"/>
        <c:scaling>
          <c:orientation val="minMax"/>
        </c:scaling>
        <c:delete val="0"/>
        <c:axPos val="b"/>
        <c:numFmt formatCode="&quot;Month&quot;\ 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780863"/>
        <c:crosses val="autoZero"/>
        <c:auto val="1"/>
        <c:lblAlgn val="ctr"/>
        <c:lblOffset val="100"/>
        <c:noMultiLvlLbl val="0"/>
      </c:catAx>
      <c:valAx>
        <c:axId val="44178086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4391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Project Costs Including Financing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Project Costs</c:v>
          </c:tx>
          <c:dPt>
            <c:idx val="0"/>
            <c:bubble3D val="0"/>
            <c:spPr>
              <a:solidFill>
                <a:schemeClr val="accent1"/>
              </a:solidFill>
              <a:ln>
                <a:noFill/>
              </a:ln>
              <a:effectLst/>
            </c:spPr>
            <c:extLst>
              <c:ext xmlns:c16="http://schemas.microsoft.com/office/drawing/2014/chart" uri="{C3380CC4-5D6E-409C-BE32-E72D297353CC}">
                <c16:uniqueId val="{00000001-2173-45DB-AA93-5838602FBA9A}"/>
              </c:ext>
            </c:extLst>
          </c:dPt>
          <c:dPt>
            <c:idx val="1"/>
            <c:bubble3D val="0"/>
            <c:spPr>
              <a:solidFill>
                <a:schemeClr val="accent2"/>
              </a:solidFill>
              <a:ln>
                <a:noFill/>
              </a:ln>
              <a:effectLst/>
            </c:spPr>
            <c:extLst>
              <c:ext xmlns:c16="http://schemas.microsoft.com/office/drawing/2014/chart" uri="{C3380CC4-5D6E-409C-BE32-E72D297353CC}">
                <c16:uniqueId val="{00000003-2173-45DB-AA93-5838602FBA9A}"/>
              </c:ext>
            </c:extLst>
          </c:dPt>
          <c:dPt>
            <c:idx val="2"/>
            <c:bubble3D val="0"/>
            <c:spPr>
              <a:solidFill>
                <a:schemeClr val="accent3"/>
              </a:solidFill>
              <a:ln>
                <a:noFill/>
              </a:ln>
              <a:effectLst/>
            </c:spPr>
            <c:extLst>
              <c:ext xmlns:c16="http://schemas.microsoft.com/office/drawing/2014/chart" uri="{C3380CC4-5D6E-409C-BE32-E72D297353CC}">
                <c16:uniqueId val="{00000005-2173-45DB-AA93-5838602FBA9A}"/>
              </c:ext>
            </c:extLst>
          </c:dPt>
          <c:dPt>
            <c:idx val="3"/>
            <c:bubble3D val="0"/>
            <c:spPr>
              <a:solidFill>
                <a:schemeClr val="accent4"/>
              </a:solidFill>
              <a:ln>
                <a:noFill/>
              </a:ln>
              <a:effectLst/>
            </c:spPr>
            <c:extLst>
              <c:ext xmlns:c16="http://schemas.microsoft.com/office/drawing/2014/chart" uri="{C3380CC4-5D6E-409C-BE32-E72D297353CC}">
                <c16:uniqueId val="{00000007-2173-45DB-AA93-5838602FBA9A}"/>
              </c:ext>
            </c:extLst>
          </c:dPt>
          <c:dPt>
            <c:idx val="4"/>
            <c:bubble3D val="0"/>
            <c:spPr>
              <a:solidFill>
                <a:schemeClr val="accent5"/>
              </a:solidFill>
              <a:ln>
                <a:noFill/>
              </a:ln>
              <a:effectLst/>
            </c:spPr>
            <c:extLst>
              <c:ext xmlns:c16="http://schemas.microsoft.com/office/drawing/2014/chart" uri="{C3380CC4-5D6E-409C-BE32-E72D297353CC}">
                <c16:uniqueId val="{00000009-2173-45DB-AA93-5838602FBA9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Summary!$B$97:$B$101</c:f>
              <c:strCache>
                <c:ptCount val="5"/>
                <c:pt idx="0">
                  <c:v>Land Costs</c:v>
                </c:pt>
                <c:pt idx="1">
                  <c:v>Hard Costs (Horizontal)</c:v>
                </c:pt>
                <c:pt idx="2">
                  <c:v>Hard Costs (Vertical)</c:v>
                </c:pt>
                <c:pt idx="3">
                  <c:v>Soft Costs</c:v>
                </c:pt>
                <c:pt idx="4">
                  <c:v>Carry Costs</c:v>
                </c:pt>
              </c:strCache>
            </c:strRef>
          </c:cat>
          <c:val>
            <c:numRef>
              <c:f>Summary!$E$97:$E$101</c:f>
              <c:numCache>
                <c:formatCode>_(* #,##0_);_(* \(#,##0\);_(* "-"_);_(@_)</c:formatCode>
                <c:ptCount val="5"/>
                <c:pt idx="0">
                  <c:v>2883000</c:v>
                </c:pt>
                <c:pt idx="1">
                  <c:v>5725125</c:v>
                </c:pt>
                <c:pt idx="2">
                  <c:v>795375</c:v>
                </c:pt>
                <c:pt idx="3">
                  <c:v>1428000</c:v>
                </c:pt>
                <c:pt idx="4">
                  <c:v>287115.18444273149</c:v>
                </c:pt>
              </c:numCache>
            </c:numRef>
          </c:val>
          <c:extLst>
            <c:ext xmlns:c16="http://schemas.microsoft.com/office/drawing/2014/chart" uri="{C3380CC4-5D6E-409C-BE32-E72D297353CC}">
              <c16:uniqueId val="{00000003-C23E-4E0C-914B-A69CDC46B2A2}"/>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Nav_Sources"/><Relationship Id="rId2" Type="http://schemas.openxmlformats.org/officeDocument/2006/relationships/hyperlink" Target="#Nav_Uses"/><Relationship Id="rId1" Type="http://schemas.openxmlformats.org/officeDocument/2006/relationships/hyperlink" Target="#Nav_Inv_Desc"/><Relationship Id="rId6" Type="http://schemas.openxmlformats.org/officeDocument/2006/relationships/hyperlink" Target="#Nav_Waterfall"/><Relationship Id="rId5" Type="http://schemas.openxmlformats.org/officeDocument/2006/relationships/hyperlink" Target="#Nav_Returns"/><Relationship Id="rId4" Type="http://schemas.openxmlformats.org/officeDocument/2006/relationships/hyperlink" Target="#Nav_Sales"/></Relationships>
</file>

<file path=xl/drawings/drawing1.xml><?xml version="1.0" encoding="utf-8"?>
<xdr:wsDr xmlns:xdr="http://schemas.openxmlformats.org/drawingml/2006/spreadsheetDrawing" xmlns:a="http://schemas.openxmlformats.org/drawingml/2006/main">
  <xdr:twoCellAnchor>
    <xdr:from>
      <xdr:col>1</xdr:col>
      <xdr:colOff>4761</xdr:colOff>
      <xdr:row>42</xdr:row>
      <xdr:rowOff>33337</xdr:rowOff>
    </xdr:from>
    <xdr:to>
      <xdr:col>15</xdr:col>
      <xdr:colOff>657224</xdr:colOff>
      <xdr:row>54</xdr:row>
      <xdr:rowOff>152400</xdr:rowOff>
    </xdr:to>
    <xdr:graphicFrame macro="">
      <xdr:nvGraphicFramePr>
        <xdr:cNvPr id="3" name="Chart 2">
          <a:extLst>
            <a:ext uri="{FF2B5EF4-FFF2-40B4-BE49-F238E27FC236}">
              <a16:creationId xmlns:a16="http://schemas.microsoft.com/office/drawing/2014/main" id="{8D762103-D1B2-494E-A91A-BC724318D8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55</xdr:row>
      <xdr:rowOff>19050</xdr:rowOff>
    </xdr:from>
    <xdr:to>
      <xdr:col>9</xdr:col>
      <xdr:colOff>409575</xdr:colOff>
      <xdr:row>67</xdr:row>
      <xdr:rowOff>138113</xdr:rowOff>
    </xdr:to>
    <xdr:graphicFrame macro="">
      <xdr:nvGraphicFramePr>
        <xdr:cNvPr id="4" name="Chart 3">
          <a:extLst>
            <a:ext uri="{FF2B5EF4-FFF2-40B4-BE49-F238E27FC236}">
              <a16:creationId xmlns:a16="http://schemas.microsoft.com/office/drawing/2014/main" id="{A685B2DD-76C9-4A38-8C9C-04FE05FD2E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447675</xdr:colOff>
      <xdr:row>55</xdr:row>
      <xdr:rowOff>19050</xdr:rowOff>
    </xdr:from>
    <xdr:to>
      <xdr:col>15</xdr:col>
      <xdr:colOff>647700</xdr:colOff>
      <xdr:row>67</xdr:row>
      <xdr:rowOff>138113</xdr:rowOff>
    </xdr:to>
    <xdr:graphicFrame macro="">
      <xdr:nvGraphicFramePr>
        <xdr:cNvPr id="5" name="Chart 4">
          <a:extLst>
            <a:ext uri="{FF2B5EF4-FFF2-40B4-BE49-F238E27FC236}">
              <a16:creationId xmlns:a16="http://schemas.microsoft.com/office/drawing/2014/main" id="{4D01638F-98EB-404F-9669-3520186B9C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104775</xdr:colOff>
      <xdr:row>12</xdr:row>
      <xdr:rowOff>0</xdr:rowOff>
    </xdr:from>
    <xdr:to>
      <xdr:col>15</xdr:col>
      <xdr:colOff>458010</xdr:colOff>
      <xdr:row>26</xdr:row>
      <xdr:rowOff>27621</xdr:rowOff>
    </xdr:to>
    <xdr:pic>
      <xdr:nvPicPr>
        <xdr:cNvPr id="6" name="Picture 5">
          <a:extLst>
            <a:ext uri="{FF2B5EF4-FFF2-40B4-BE49-F238E27FC236}">
              <a16:creationId xmlns:a16="http://schemas.microsoft.com/office/drawing/2014/main" id="{9E3B0878-2A2C-A88E-888D-C38EA8722DEC}"/>
            </a:ext>
          </a:extLst>
        </xdr:cNvPr>
        <xdr:cNvPicPr>
          <a:picLocks noChangeAspect="1"/>
        </xdr:cNvPicPr>
      </xdr:nvPicPr>
      <xdr:blipFill>
        <a:blip xmlns:r="http://schemas.openxmlformats.org/officeDocument/2006/relationships" r:embed="rId4"/>
        <a:stretch>
          <a:fillRect/>
        </a:stretch>
      </xdr:blipFill>
      <xdr:spPr>
        <a:xfrm>
          <a:off x="5238750" y="2209800"/>
          <a:ext cx="4468035" cy="25898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866775</xdr:colOff>
      <xdr:row>3</xdr:row>
      <xdr:rowOff>1</xdr:rowOff>
    </xdr:from>
    <xdr:to>
      <xdr:col>8</xdr:col>
      <xdr:colOff>19050</xdr:colOff>
      <xdr:row>3</xdr:row>
      <xdr:rowOff>190501</xdr:rowOff>
    </xdr:to>
    <xdr:sp macro="[0]!Recalculate" textlink="">
      <xdr:nvSpPr>
        <xdr:cNvPr id="2" name="Rectangle 1">
          <a:extLst>
            <a:ext uri="{FF2B5EF4-FFF2-40B4-BE49-F238E27FC236}">
              <a16:creationId xmlns:a16="http://schemas.microsoft.com/office/drawing/2014/main" id="{FC82B686-185D-4226-8C24-B57E4241516D}"/>
            </a:ext>
          </a:extLst>
        </xdr:cNvPr>
        <xdr:cNvSpPr/>
      </xdr:nvSpPr>
      <xdr:spPr>
        <a:xfrm>
          <a:off x="3648075" y="381001"/>
          <a:ext cx="1933575"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xdr:row>
      <xdr:rowOff>28575</xdr:rowOff>
    </xdr:from>
    <xdr:to>
      <xdr:col>12</xdr:col>
      <xdr:colOff>5715</xdr:colOff>
      <xdr:row>2</xdr:row>
      <xdr:rowOff>180975</xdr:rowOff>
    </xdr:to>
    <xdr:grpSp>
      <xdr:nvGrpSpPr>
        <xdr:cNvPr id="9" name="Group 8">
          <a:extLst>
            <a:ext uri="{FF2B5EF4-FFF2-40B4-BE49-F238E27FC236}">
              <a16:creationId xmlns:a16="http://schemas.microsoft.com/office/drawing/2014/main" id="{FA3DCCB2-6D9C-4D68-8362-1F3744029673}"/>
            </a:ext>
          </a:extLst>
        </xdr:cNvPr>
        <xdr:cNvGrpSpPr/>
      </xdr:nvGrpSpPr>
      <xdr:grpSpPr>
        <a:xfrm>
          <a:off x="119063" y="393700"/>
          <a:ext cx="8935402" cy="152400"/>
          <a:chOff x="123825" y="390525"/>
          <a:chExt cx="8987790" cy="152400"/>
        </a:xfrm>
      </xdr:grpSpPr>
      <xdr:sp macro="" textlink="">
        <xdr:nvSpPr>
          <xdr:cNvPr id="3" name="Rectangle 2">
            <a:hlinkClick xmlns:r="http://schemas.openxmlformats.org/officeDocument/2006/relationships" r:id="rId1"/>
            <a:extLst>
              <a:ext uri="{FF2B5EF4-FFF2-40B4-BE49-F238E27FC236}">
                <a16:creationId xmlns:a16="http://schemas.microsoft.com/office/drawing/2014/main" id="{F4211F5E-9C12-4B75-ADBC-8D3E328C158C}"/>
              </a:ext>
            </a:extLst>
          </xdr:cNvPr>
          <xdr:cNvSpPr/>
        </xdr:nvSpPr>
        <xdr:spPr>
          <a:xfrm>
            <a:off x="123825" y="390525"/>
            <a:ext cx="1463040" cy="152400"/>
          </a:xfrm>
          <a:prstGeom prst="rect">
            <a:avLst/>
          </a:prstGeom>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DESCRIPTION</a:t>
            </a:r>
          </a:p>
        </xdr:txBody>
      </xdr:sp>
      <xdr:sp macro="" textlink="">
        <xdr:nvSpPr>
          <xdr:cNvPr id="4" name="Rectangle 3">
            <a:hlinkClick xmlns:r="http://schemas.openxmlformats.org/officeDocument/2006/relationships" r:id="rId2"/>
            <a:extLst>
              <a:ext uri="{FF2B5EF4-FFF2-40B4-BE49-F238E27FC236}">
                <a16:creationId xmlns:a16="http://schemas.microsoft.com/office/drawing/2014/main" id="{C55C74E8-EB4F-430E-8C82-E4945C553614}"/>
              </a:ext>
            </a:extLst>
          </xdr:cNvPr>
          <xdr:cNvSpPr/>
        </xdr:nvSpPr>
        <xdr:spPr>
          <a:xfrm>
            <a:off x="1628775" y="390525"/>
            <a:ext cx="1463040" cy="152400"/>
          </a:xfrm>
          <a:prstGeom prst="rect">
            <a:avLst/>
          </a:prstGeom>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USES OF CAPITAL</a:t>
            </a:r>
          </a:p>
        </xdr:txBody>
      </xdr:sp>
      <xdr:sp macro="" textlink="">
        <xdr:nvSpPr>
          <xdr:cNvPr id="5" name="Rectangle 4">
            <a:hlinkClick xmlns:r="http://schemas.openxmlformats.org/officeDocument/2006/relationships" r:id="rId3"/>
            <a:extLst>
              <a:ext uri="{FF2B5EF4-FFF2-40B4-BE49-F238E27FC236}">
                <a16:creationId xmlns:a16="http://schemas.microsoft.com/office/drawing/2014/main" id="{65FC787D-9D77-436A-BAC0-45704EF0ED54}"/>
              </a:ext>
            </a:extLst>
          </xdr:cNvPr>
          <xdr:cNvSpPr/>
        </xdr:nvSpPr>
        <xdr:spPr>
          <a:xfrm>
            <a:off x="3133725" y="390525"/>
            <a:ext cx="1463040" cy="152400"/>
          </a:xfrm>
          <a:prstGeom prst="rect">
            <a:avLst/>
          </a:prstGeom>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SOURCES OF CAPITAL</a:t>
            </a:r>
          </a:p>
        </xdr:txBody>
      </xdr:sp>
      <xdr:sp macro="" textlink="">
        <xdr:nvSpPr>
          <xdr:cNvPr id="6" name="Rectangle 5">
            <a:hlinkClick xmlns:r="http://schemas.openxmlformats.org/officeDocument/2006/relationships" r:id="rId4"/>
            <a:extLst>
              <a:ext uri="{FF2B5EF4-FFF2-40B4-BE49-F238E27FC236}">
                <a16:creationId xmlns:a16="http://schemas.microsoft.com/office/drawing/2014/main" id="{DF12D014-356C-4844-B5B9-3B1458441280}"/>
              </a:ext>
            </a:extLst>
          </xdr:cNvPr>
          <xdr:cNvSpPr/>
        </xdr:nvSpPr>
        <xdr:spPr>
          <a:xfrm>
            <a:off x="4638675" y="390525"/>
            <a:ext cx="1463040" cy="152400"/>
          </a:xfrm>
          <a:prstGeom prst="rect">
            <a:avLst/>
          </a:prstGeom>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SALES</a:t>
            </a:r>
          </a:p>
        </xdr:txBody>
      </xdr:sp>
      <xdr:sp macro="" textlink="">
        <xdr:nvSpPr>
          <xdr:cNvPr id="7" name="Rectangle 6">
            <a:hlinkClick xmlns:r="http://schemas.openxmlformats.org/officeDocument/2006/relationships" r:id="rId5"/>
            <a:extLst>
              <a:ext uri="{FF2B5EF4-FFF2-40B4-BE49-F238E27FC236}">
                <a16:creationId xmlns:a16="http://schemas.microsoft.com/office/drawing/2014/main" id="{991867A5-5349-4EF2-B043-11E8B9DFB33C}"/>
              </a:ext>
            </a:extLst>
          </xdr:cNvPr>
          <xdr:cNvSpPr/>
        </xdr:nvSpPr>
        <xdr:spPr>
          <a:xfrm>
            <a:off x="6143625" y="390525"/>
            <a:ext cx="1463040" cy="152400"/>
          </a:xfrm>
          <a:prstGeom prst="rect">
            <a:avLst/>
          </a:prstGeom>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RETURNS</a:t>
            </a:r>
          </a:p>
        </xdr:txBody>
      </xdr:sp>
      <xdr:sp macro="" textlink="">
        <xdr:nvSpPr>
          <xdr:cNvPr id="8" name="Rectangle 7">
            <a:hlinkClick xmlns:r="http://schemas.openxmlformats.org/officeDocument/2006/relationships" r:id="rId6"/>
            <a:extLst>
              <a:ext uri="{FF2B5EF4-FFF2-40B4-BE49-F238E27FC236}">
                <a16:creationId xmlns:a16="http://schemas.microsoft.com/office/drawing/2014/main" id="{016D3BA0-11E0-4DCC-9F13-494D613295A8}"/>
              </a:ext>
            </a:extLst>
          </xdr:cNvPr>
          <xdr:cNvSpPr/>
        </xdr:nvSpPr>
        <xdr:spPr>
          <a:xfrm>
            <a:off x="7648575" y="390525"/>
            <a:ext cx="1463040" cy="152400"/>
          </a:xfrm>
          <a:prstGeom prst="rect">
            <a:avLst/>
          </a:prstGeom>
          <a:ln>
            <a:noFill/>
          </a:ln>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a:t>WATERFALL</a:t>
            </a:r>
          </a:p>
        </xdr:txBody>
      </xdr:sp>
    </xdr:grpSp>
    <xdr:clientData/>
  </xdr:twoCellAnchor>
  <xdr:twoCellAnchor>
    <xdr:from>
      <xdr:col>2</xdr:col>
      <xdr:colOff>600075</xdr:colOff>
      <xdr:row>13</xdr:row>
      <xdr:rowOff>19050</xdr:rowOff>
    </xdr:from>
    <xdr:to>
      <xdr:col>4</xdr:col>
      <xdr:colOff>342900</xdr:colOff>
      <xdr:row>14</xdr:row>
      <xdr:rowOff>0</xdr:rowOff>
    </xdr:to>
    <xdr:grpSp>
      <xdr:nvGrpSpPr>
        <xdr:cNvPr id="14" name="Group 13">
          <a:extLst>
            <a:ext uri="{FF2B5EF4-FFF2-40B4-BE49-F238E27FC236}">
              <a16:creationId xmlns:a16="http://schemas.microsoft.com/office/drawing/2014/main" id="{77D2A437-5090-4CC9-A3B9-54790F990950}"/>
            </a:ext>
          </a:extLst>
        </xdr:cNvPr>
        <xdr:cNvGrpSpPr/>
      </xdr:nvGrpSpPr>
      <xdr:grpSpPr>
        <a:xfrm>
          <a:off x="1600200" y="2352675"/>
          <a:ext cx="1504950" cy="155575"/>
          <a:chOff x="1581150" y="2428875"/>
          <a:chExt cx="1514475" cy="161925"/>
        </a:xfrm>
      </xdr:grpSpPr>
      <xdr:sp macro="[0]!Add_Item_Land_Costs" textlink="">
        <xdr:nvSpPr>
          <xdr:cNvPr id="10" name="Rectangle 9">
            <a:extLst>
              <a:ext uri="{FF2B5EF4-FFF2-40B4-BE49-F238E27FC236}">
                <a16:creationId xmlns:a16="http://schemas.microsoft.com/office/drawing/2014/main" id="{1F497DF9-7CE4-4672-97EB-C9819507259E}"/>
              </a:ext>
            </a:extLst>
          </xdr:cNvPr>
          <xdr:cNvSpPr/>
        </xdr:nvSpPr>
        <xdr:spPr>
          <a:xfrm>
            <a:off x="1581150" y="2428875"/>
            <a:ext cx="733425" cy="1619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Add Line</a:t>
            </a:r>
          </a:p>
        </xdr:txBody>
      </xdr:sp>
      <xdr:sp macro="[0]!Delete_Item_Land_Costs" textlink="">
        <xdr:nvSpPr>
          <xdr:cNvPr id="11" name="Rectangle 10">
            <a:extLst>
              <a:ext uri="{FF2B5EF4-FFF2-40B4-BE49-F238E27FC236}">
                <a16:creationId xmlns:a16="http://schemas.microsoft.com/office/drawing/2014/main" id="{28D58C3A-D8EC-45E4-BDEF-62BF56D07C05}"/>
              </a:ext>
            </a:extLst>
          </xdr:cNvPr>
          <xdr:cNvSpPr/>
        </xdr:nvSpPr>
        <xdr:spPr>
          <a:xfrm>
            <a:off x="2362200" y="2428875"/>
            <a:ext cx="733425" cy="16192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 Line</a:t>
            </a:r>
          </a:p>
        </xdr:txBody>
      </xdr:sp>
    </xdr:grpSp>
    <xdr:clientData/>
  </xdr:twoCellAnchor>
  <xdr:twoCellAnchor>
    <xdr:from>
      <xdr:col>2</xdr:col>
      <xdr:colOff>600075</xdr:colOff>
      <xdr:row>20</xdr:row>
      <xdr:rowOff>19050</xdr:rowOff>
    </xdr:from>
    <xdr:to>
      <xdr:col>4</xdr:col>
      <xdr:colOff>342900</xdr:colOff>
      <xdr:row>21</xdr:row>
      <xdr:rowOff>0</xdr:rowOff>
    </xdr:to>
    <xdr:grpSp>
      <xdr:nvGrpSpPr>
        <xdr:cNvPr id="16" name="Group 15">
          <a:extLst>
            <a:ext uri="{FF2B5EF4-FFF2-40B4-BE49-F238E27FC236}">
              <a16:creationId xmlns:a16="http://schemas.microsoft.com/office/drawing/2014/main" id="{D0E309B2-1EEE-46A3-AC8F-D9366C7F597E}"/>
            </a:ext>
          </a:extLst>
        </xdr:cNvPr>
        <xdr:cNvGrpSpPr/>
      </xdr:nvGrpSpPr>
      <xdr:grpSpPr>
        <a:xfrm>
          <a:off x="1600200" y="3598863"/>
          <a:ext cx="1504950" cy="155575"/>
          <a:chOff x="1590675" y="3724275"/>
          <a:chExt cx="1514475" cy="161925"/>
        </a:xfrm>
      </xdr:grpSpPr>
      <xdr:sp macro="[0]!Add_Item_Hard_Horizontal_Costs" textlink="">
        <xdr:nvSpPr>
          <xdr:cNvPr id="12" name="Rectangle 11">
            <a:extLst>
              <a:ext uri="{FF2B5EF4-FFF2-40B4-BE49-F238E27FC236}">
                <a16:creationId xmlns:a16="http://schemas.microsoft.com/office/drawing/2014/main" id="{6AC42BB8-7C7E-4E05-B8BF-A19B75F77960}"/>
              </a:ext>
            </a:extLst>
          </xdr:cNvPr>
          <xdr:cNvSpPr/>
        </xdr:nvSpPr>
        <xdr:spPr>
          <a:xfrm>
            <a:off x="1590675" y="3724275"/>
            <a:ext cx="733425" cy="1619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Add Line</a:t>
            </a:r>
          </a:p>
        </xdr:txBody>
      </xdr:sp>
      <xdr:sp macro="[0]!Delete_Item_Hard_Horizontal_Costs" textlink="">
        <xdr:nvSpPr>
          <xdr:cNvPr id="13" name="Rectangle 12">
            <a:extLst>
              <a:ext uri="{FF2B5EF4-FFF2-40B4-BE49-F238E27FC236}">
                <a16:creationId xmlns:a16="http://schemas.microsoft.com/office/drawing/2014/main" id="{E377C5AA-83A8-4F57-93E9-C47988A50D78}"/>
              </a:ext>
            </a:extLst>
          </xdr:cNvPr>
          <xdr:cNvSpPr/>
        </xdr:nvSpPr>
        <xdr:spPr>
          <a:xfrm>
            <a:off x="2371725" y="3724275"/>
            <a:ext cx="733425" cy="16192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 Line</a:t>
            </a:r>
          </a:p>
        </xdr:txBody>
      </xdr:sp>
    </xdr:grpSp>
    <xdr:clientData/>
  </xdr:twoCellAnchor>
  <xdr:twoCellAnchor>
    <xdr:from>
      <xdr:col>2</xdr:col>
      <xdr:colOff>600075</xdr:colOff>
      <xdr:row>28</xdr:row>
      <xdr:rowOff>19050</xdr:rowOff>
    </xdr:from>
    <xdr:to>
      <xdr:col>4</xdr:col>
      <xdr:colOff>342900</xdr:colOff>
      <xdr:row>29</xdr:row>
      <xdr:rowOff>0</xdr:rowOff>
    </xdr:to>
    <xdr:grpSp>
      <xdr:nvGrpSpPr>
        <xdr:cNvPr id="17" name="Group 16">
          <a:extLst>
            <a:ext uri="{FF2B5EF4-FFF2-40B4-BE49-F238E27FC236}">
              <a16:creationId xmlns:a16="http://schemas.microsoft.com/office/drawing/2014/main" id="{F8D1D5AB-98AB-4ED9-8462-435581B05E62}"/>
            </a:ext>
          </a:extLst>
        </xdr:cNvPr>
        <xdr:cNvGrpSpPr/>
      </xdr:nvGrpSpPr>
      <xdr:grpSpPr>
        <a:xfrm>
          <a:off x="1600200" y="5019675"/>
          <a:ext cx="1504950" cy="155575"/>
          <a:chOff x="1590675" y="3724275"/>
          <a:chExt cx="1514475" cy="161925"/>
        </a:xfrm>
      </xdr:grpSpPr>
      <xdr:sp macro="[0]!Add_Item_Hard_Vertical_Costs" textlink="">
        <xdr:nvSpPr>
          <xdr:cNvPr id="18" name="Rectangle 17">
            <a:extLst>
              <a:ext uri="{FF2B5EF4-FFF2-40B4-BE49-F238E27FC236}">
                <a16:creationId xmlns:a16="http://schemas.microsoft.com/office/drawing/2014/main" id="{979C72CF-7122-4F5B-8E66-3D131869BA7E}"/>
              </a:ext>
            </a:extLst>
          </xdr:cNvPr>
          <xdr:cNvSpPr/>
        </xdr:nvSpPr>
        <xdr:spPr>
          <a:xfrm>
            <a:off x="1590675" y="3724275"/>
            <a:ext cx="733425" cy="1619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Add Line</a:t>
            </a:r>
          </a:p>
        </xdr:txBody>
      </xdr:sp>
      <xdr:sp macro="[0]!Delete_Item_Hard_Vertical_Costs" textlink="">
        <xdr:nvSpPr>
          <xdr:cNvPr id="19" name="Rectangle 18">
            <a:extLst>
              <a:ext uri="{FF2B5EF4-FFF2-40B4-BE49-F238E27FC236}">
                <a16:creationId xmlns:a16="http://schemas.microsoft.com/office/drawing/2014/main" id="{8AAA70D3-8DF3-454F-B095-BACAEE8F6F72}"/>
              </a:ext>
            </a:extLst>
          </xdr:cNvPr>
          <xdr:cNvSpPr/>
        </xdr:nvSpPr>
        <xdr:spPr>
          <a:xfrm>
            <a:off x="2371725" y="3724275"/>
            <a:ext cx="733425" cy="16192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 Line</a:t>
            </a:r>
          </a:p>
        </xdr:txBody>
      </xdr:sp>
    </xdr:grpSp>
    <xdr:clientData/>
  </xdr:twoCellAnchor>
  <xdr:twoCellAnchor>
    <xdr:from>
      <xdr:col>2</xdr:col>
      <xdr:colOff>600075</xdr:colOff>
      <xdr:row>36</xdr:row>
      <xdr:rowOff>28575</xdr:rowOff>
    </xdr:from>
    <xdr:to>
      <xdr:col>4</xdr:col>
      <xdr:colOff>342900</xdr:colOff>
      <xdr:row>37</xdr:row>
      <xdr:rowOff>9525</xdr:rowOff>
    </xdr:to>
    <xdr:grpSp>
      <xdr:nvGrpSpPr>
        <xdr:cNvPr id="20" name="Group 19">
          <a:extLst>
            <a:ext uri="{FF2B5EF4-FFF2-40B4-BE49-F238E27FC236}">
              <a16:creationId xmlns:a16="http://schemas.microsoft.com/office/drawing/2014/main" id="{B9EABCA0-CE61-4E21-B99A-AA1667F508CC}"/>
            </a:ext>
          </a:extLst>
        </xdr:cNvPr>
        <xdr:cNvGrpSpPr/>
      </xdr:nvGrpSpPr>
      <xdr:grpSpPr>
        <a:xfrm>
          <a:off x="1600200" y="6450013"/>
          <a:ext cx="1504950" cy="155575"/>
          <a:chOff x="1590675" y="3724275"/>
          <a:chExt cx="1514475" cy="161925"/>
        </a:xfrm>
      </xdr:grpSpPr>
      <xdr:sp macro="[0]!Add_Item_Soft_Costs" textlink="">
        <xdr:nvSpPr>
          <xdr:cNvPr id="21" name="Rectangle 20">
            <a:extLst>
              <a:ext uri="{FF2B5EF4-FFF2-40B4-BE49-F238E27FC236}">
                <a16:creationId xmlns:a16="http://schemas.microsoft.com/office/drawing/2014/main" id="{AB1CCFB4-E6D9-4D59-AF3E-7F3EED9B9131}"/>
              </a:ext>
            </a:extLst>
          </xdr:cNvPr>
          <xdr:cNvSpPr/>
        </xdr:nvSpPr>
        <xdr:spPr>
          <a:xfrm>
            <a:off x="1590675" y="3724275"/>
            <a:ext cx="733425" cy="1619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Add Line</a:t>
            </a:r>
          </a:p>
        </xdr:txBody>
      </xdr:sp>
      <xdr:sp macro="[0]!Delete_Item_Soft_Costs" textlink="">
        <xdr:nvSpPr>
          <xdr:cNvPr id="22" name="Rectangle 21">
            <a:extLst>
              <a:ext uri="{FF2B5EF4-FFF2-40B4-BE49-F238E27FC236}">
                <a16:creationId xmlns:a16="http://schemas.microsoft.com/office/drawing/2014/main" id="{61E8D1A6-2089-4C6C-9769-A3A5020486B9}"/>
              </a:ext>
            </a:extLst>
          </xdr:cNvPr>
          <xdr:cNvSpPr/>
        </xdr:nvSpPr>
        <xdr:spPr>
          <a:xfrm>
            <a:off x="2371725" y="3724275"/>
            <a:ext cx="733425" cy="16192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 Line</a:t>
            </a:r>
          </a:p>
        </xdr:txBody>
      </xdr:sp>
    </xdr:grpSp>
    <xdr:clientData/>
  </xdr:twoCellAnchor>
  <xdr:twoCellAnchor>
    <xdr:from>
      <xdr:col>1</xdr:col>
      <xdr:colOff>409575</xdr:colOff>
      <xdr:row>77</xdr:row>
      <xdr:rowOff>28575</xdr:rowOff>
    </xdr:from>
    <xdr:to>
      <xdr:col>3</xdr:col>
      <xdr:colOff>152400</xdr:colOff>
      <xdr:row>78</xdr:row>
      <xdr:rowOff>9525</xdr:rowOff>
    </xdr:to>
    <xdr:grpSp>
      <xdr:nvGrpSpPr>
        <xdr:cNvPr id="23" name="Group 22">
          <a:extLst>
            <a:ext uri="{FF2B5EF4-FFF2-40B4-BE49-F238E27FC236}">
              <a16:creationId xmlns:a16="http://schemas.microsoft.com/office/drawing/2014/main" id="{CC5C4EE4-70AA-4582-AB0E-EE8EA601637F}"/>
            </a:ext>
          </a:extLst>
        </xdr:cNvPr>
        <xdr:cNvGrpSpPr/>
      </xdr:nvGrpSpPr>
      <xdr:grpSpPr>
        <a:xfrm>
          <a:off x="528638" y="13823950"/>
          <a:ext cx="1504950" cy="155575"/>
          <a:chOff x="1590675" y="3724275"/>
          <a:chExt cx="1514475" cy="161925"/>
        </a:xfrm>
      </xdr:grpSpPr>
      <xdr:sp macro="[0]!Add_Unit_Types" textlink="">
        <xdr:nvSpPr>
          <xdr:cNvPr id="24" name="Rectangle 23">
            <a:extLst>
              <a:ext uri="{FF2B5EF4-FFF2-40B4-BE49-F238E27FC236}">
                <a16:creationId xmlns:a16="http://schemas.microsoft.com/office/drawing/2014/main" id="{2823EF79-ECAA-4A3D-972E-077F1B15516F}"/>
              </a:ext>
            </a:extLst>
          </xdr:cNvPr>
          <xdr:cNvSpPr/>
        </xdr:nvSpPr>
        <xdr:spPr>
          <a:xfrm>
            <a:off x="1590675" y="3724275"/>
            <a:ext cx="733425" cy="1619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Add Line</a:t>
            </a:r>
          </a:p>
        </xdr:txBody>
      </xdr:sp>
      <xdr:sp macro="[0]!Delete_Unit_Types" textlink="">
        <xdr:nvSpPr>
          <xdr:cNvPr id="25" name="Rectangle 24">
            <a:extLst>
              <a:ext uri="{FF2B5EF4-FFF2-40B4-BE49-F238E27FC236}">
                <a16:creationId xmlns:a16="http://schemas.microsoft.com/office/drawing/2014/main" id="{FF638ABF-2B44-4899-9F9E-AEC8EBAB7788}"/>
              </a:ext>
            </a:extLst>
          </xdr:cNvPr>
          <xdr:cNvSpPr/>
        </xdr:nvSpPr>
        <xdr:spPr>
          <a:xfrm>
            <a:off x="2371725" y="3724275"/>
            <a:ext cx="733425" cy="16192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 Line</a:t>
            </a:r>
          </a:p>
        </xdr:txBody>
      </xdr:sp>
    </xdr:grpSp>
    <xdr:clientData/>
  </xdr:twoCellAnchor>
</xdr:wsDr>
</file>

<file path=xl/theme/theme1.xml><?xml version="1.0" encoding="utf-8"?>
<a:theme xmlns:a="http://schemas.openxmlformats.org/drawingml/2006/main" name="Droplet">
  <a:themeElements>
    <a:clrScheme name="Droplet">
      <a:dk1>
        <a:sysClr val="windowText" lastClr="000000"/>
      </a:dk1>
      <a:lt1>
        <a:sysClr val="window" lastClr="FFFFFF"/>
      </a:lt1>
      <a:dk2>
        <a:srgbClr val="355071"/>
      </a:dk2>
      <a:lt2>
        <a:srgbClr val="AABED7"/>
      </a:lt2>
      <a:accent1>
        <a:srgbClr val="2FA3EE"/>
      </a:accent1>
      <a:accent2>
        <a:srgbClr val="4BCAAD"/>
      </a:accent2>
      <a:accent3>
        <a:srgbClr val="86C157"/>
      </a:accent3>
      <a:accent4>
        <a:srgbClr val="D99C3F"/>
      </a:accent4>
      <a:accent5>
        <a:srgbClr val="CE6633"/>
      </a:accent5>
      <a:accent6>
        <a:srgbClr val="A35DD1"/>
      </a:accent6>
      <a:hlink>
        <a:srgbClr val="56BCFE"/>
      </a:hlink>
      <a:folHlink>
        <a:srgbClr val="97C5E3"/>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adventuresincre.com/support/?s=macros&amp;post_type=" TargetMode="External"/><Relationship Id="rId3" Type="http://schemas.openxmlformats.org/officeDocument/2006/relationships/hyperlink" Target="https://www.adventuresincre.shop/accelerator/" TargetMode="External"/><Relationship Id="rId7" Type="http://schemas.openxmlformats.org/officeDocument/2006/relationships/hyperlink" Target="https://acreconsulting.com/" TargetMode="External"/><Relationship Id="rId2" Type="http://schemas.openxmlformats.org/officeDocument/2006/relationships/hyperlink" Target="https://www.adventuresincre.com/flexible-land-development-model/" TargetMode="External"/><Relationship Id="rId1" Type="http://schemas.openxmlformats.org/officeDocument/2006/relationships/hyperlink" Target="https://www.adventuresincre.com/" TargetMode="External"/><Relationship Id="rId6" Type="http://schemas.openxmlformats.org/officeDocument/2006/relationships/hyperlink" Target="https://www.adventuresincre.com/library-real-estate-excel-models/" TargetMode="External"/><Relationship Id="rId5" Type="http://schemas.openxmlformats.org/officeDocument/2006/relationships/hyperlink" Target="https://www.adventuresincre.com/re-modeling-best-practices/" TargetMode="External"/><Relationship Id="rId4" Type="http://schemas.openxmlformats.org/officeDocument/2006/relationships/hyperlink" Target="https://www.adventuresincre.com/acre-disclaimer/" TargetMode="External"/><Relationship Id="rId9" Type="http://schemas.openxmlformats.org/officeDocument/2006/relationships/hyperlink" Target="https://acreconsulting.com/?utm_source=acre_model&amp;utm_medium=referral&amp;utm_content=land-development-multi-scenario"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C1B0E-F704-462A-B780-218B894457BF}">
  <sheetPr codeName="Sheet1"/>
  <dimension ref="A1:P209"/>
  <sheetViews>
    <sheetView showGridLines="0" topLeftCell="A15" zoomScaleNormal="100" workbookViewId="0">
      <selection activeCell="K11" sqref="K11:O11"/>
    </sheetView>
  </sheetViews>
  <sheetFormatPr defaultColWidth="0" defaultRowHeight="14" x14ac:dyDescent="0.3"/>
  <cols>
    <col min="1" max="1" width="1.58203125" customWidth="1"/>
    <col min="2" max="2" width="9" style="38" customWidth="1"/>
    <col min="3" max="15" width="9" style="9" customWidth="1"/>
    <col min="16" max="16" width="0.75" customWidth="1"/>
    <col min="17" max="16384" width="9" hidden="1"/>
  </cols>
  <sheetData>
    <row r="1" spans="2:15" ht="5.15" customHeight="1" x14ac:dyDescent="0.3">
      <c r="B1"/>
      <c r="C1"/>
      <c r="D1"/>
      <c r="E1"/>
      <c r="F1"/>
      <c r="G1"/>
      <c r="H1"/>
      <c r="I1"/>
      <c r="J1"/>
      <c r="K1"/>
      <c r="L1"/>
      <c r="M1"/>
      <c r="N1"/>
      <c r="O1"/>
    </row>
    <row r="2" spans="2:15" ht="15.5" x14ac:dyDescent="0.35">
      <c r="B2" s="46" t="s">
        <v>0</v>
      </c>
      <c r="C2" s="44"/>
      <c r="D2" s="44"/>
      <c r="E2" s="44"/>
      <c r="F2" s="44"/>
      <c r="G2" s="44"/>
      <c r="H2" s="44"/>
      <c r="I2" s="44"/>
      <c r="J2" s="44"/>
      <c r="K2" s="44"/>
      <c r="L2" s="44"/>
      <c r="M2" s="45"/>
      <c r="N2" s="44"/>
      <c r="O2" s="44"/>
    </row>
    <row r="3" spans="2:15" x14ac:dyDescent="0.3">
      <c r="B3" s="43" t="s">
        <v>1</v>
      </c>
      <c r="C3" s="42"/>
      <c r="D3" s="42"/>
      <c r="E3" s="42"/>
      <c r="F3" s="42"/>
      <c r="G3" s="42"/>
      <c r="H3" s="42"/>
      <c r="I3" s="42"/>
      <c r="J3" s="42"/>
      <c r="K3" s="42"/>
      <c r="L3" s="42"/>
      <c r="M3" s="42"/>
      <c r="N3" s="42"/>
      <c r="O3" s="125" t="str">
        <f>B15</f>
        <v>v0.76</v>
      </c>
    </row>
    <row r="4" spans="2:15" x14ac:dyDescent="0.3">
      <c r="B4" t="s">
        <v>2</v>
      </c>
      <c r="C4"/>
      <c r="D4"/>
      <c r="E4"/>
      <c r="F4"/>
      <c r="G4"/>
      <c r="H4"/>
      <c r="I4"/>
      <c r="J4"/>
      <c r="K4" s="7" t="s">
        <v>3</v>
      </c>
      <c r="L4"/>
      <c r="N4"/>
      <c r="O4"/>
    </row>
    <row r="5" spans="2:15" x14ac:dyDescent="0.3">
      <c r="B5" s="164" t="s">
        <v>4</v>
      </c>
      <c r="C5" s="164"/>
      <c r="D5" s="164"/>
      <c r="E5" s="164"/>
      <c r="F5" s="47"/>
      <c r="G5" s="47"/>
      <c r="H5"/>
      <c r="I5"/>
      <c r="J5"/>
      <c r="K5" s="48" t="s">
        <v>5</v>
      </c>
      <c r="O5"/>
    </row>
    <row r="6" spans="2:15" x14ac:dyDescent="0.3">
      <c r="B6"/>
      <c r="C6"/>
      <c r="D6"/>
      <c r="E6"/>
      <c r="F6"/>
      <c r="G6"/>
      <c r="H6"/>
      <c r="I6"/>
      <c r="J6"/>
      <c r="K6" s="163" t="s">
        <v>6</v>
      </c>
      <c r="L6" s="163"/>
      <c r="M6" s="163"/>
      <c r="N6" s="163"/>
    </row>
    <row r="7" spans="2:15" x14ac:dyDescent="0.3">
      <c r="B7" s="7" t="s">
        <v>7</v>
      </c>
      <c r="C7"/>
      <c r="D7"/>
      <c r="E7"/>
      <c r="F7"/>
      <c r="G7"/>
      <c r="H7"/>
      <c r="I7"/>
      <c r="J7"/>
    </row>
    <row r="8" spans="2:15" x14ac:dyDescent="0.3">
      <c r="B8" s="8" t="s">
        <v>8</v>
      </c>
      <c r="C8"/>
      <c r="D8"/>
      <c r="E8"/>
      <c r="F8"/>
      <c r="G8"/>
      <c r="H8"/>
      <c r="I8"/>
      <c r="J8"/>
      <c r="K8" s="163" t="s">
        <v>9</v>
      </c>
      <c r="L8" s="163"/>
      <c r="M8" s="163"/>
      <c r="N8" s="163"/>
      <c r="O8"/>
    </row>
    <row r="9" spans="2:15" x14ac:dyDescent="0.3">
      <c r="B9" s="8" t="s">
        <v>10</v>
      </c>
      <c r="C9"/>
      <c r="D9"/>
      <c r="E9"/>
      <c r="F9"/>
      <c r="G9"/>
      <c r="H9"/>
      <c r="I9"/>
      <c r="J9"/>
      <c r="K9" s="165" t="s">
        <v>11</v>
      </c>
      <c r="L9" s="165"/>
      <c r="M9" s="165"/>
      <c r="N9" s="165"/>
      <c r="O9" s="165"/>
    </row>
    <row r="10" spans="2:15" x14ac:dyDescent="0.3">
      <c r="B10" s="8" t="s">
        <v>12</v>
      </c>
      <c r="C10"/>
      <c r="D10"/>
      <c r="E10"/>
      <c r="F10"/>
      <c r="G10"/>
      <c r="H10"/>
      <c r="I10"/>
      <c r="J10"/>
      <c r="K10" s="166"/>
      <c r="L10" s="166"/>
      <c r="M10" s="166"/>
      <c r="N10" s="166"/>
      <c r="O10"/>
    </row>
    <row r="11" spans="2:15" x14ac:dyDescent="0.3">
      <c r="B11"/>
      <c r="C11"/>
      <c r="D11"/>
      <c r="E11"/>
      <c r="F11"/>
      <c r="G11"/>
      <c r="H11"/>
      <c r="I11"/>
      <c r="J11"/>
      <c r="K11" s="165" t="s">
        <v>13</v>
      </c>
      <c r="L11" s="165"/>
      <c r="M11" s="165"/>
      <c r="N11" s="165"/>
      <c r="O11" s="165"/>
    </row>
    <row r="12" spans="2:15" ht="49.5" customHeight="1" x14ac:dyDescent="0.3">
      <c r="B12" s="162" t="s">
        <v>14</v>
      </c>
      <c r="C12" s="162"/>
      <c r="D12" s="162"/>
      <c r="E12" s="162"/>
      <c r="F12" s="162"/>
      <c r="G12" s="162"/>
      <c r="H12" s="162"/>
      <c r="I12" s="162"/>
      <c r="J12" s="162"/>
      <c r="K12" s="162"/>
      <c r="L12" s="162"/>
      <c r="M12" s="162"/>
      <c r="N12" s="162"/>
      <c r="O12" s="162"/>
    </row>
    <row r="13" spans="2:15" ht="37.5" customHeight="1" x14ac:dyDescent="0.3">
      <c r="B13" s="161" t="s">
        <v>15</v>
      </c>
      <c r="C13" s="161"/>
      <c r="D13" s="161"/>
      <c r="E13" s="161"/>
      <c r="F13" s="161"/>
      <c r="G13" s="161"/>
      <c r="H13" s="161"/>
      <c r="I13" s="161"/>
      <c r="J13" s="161"/>
      <c r="K13" s="161"/>
      <c r="L13" s="161"/>
      <c r="M13" s="161"/>
      <c r="N13" s="161"/>
      <c r="O13" s="161"/>
    </row>
    <row r="14" spans="2:15" x14ac:dyDescent="0.3">
      <c r="B14" s="43" t="s">
        <v>16</v>
      </c>
      <c r="C14" s="42"/>
      <c r="D14" s="42"/>
      <c r="E14" s="42"/>
      <c r="F14" s="42"/>
      <c r="G14" s="42"/>
      <c r="H14" s="42"/>
      <c r="I14" s="42"/>
      <c r="J14" s="42"/>
      <c r="K14" s="42"/>
      <c r="L14" s="160" t="s">
        <v>17</v>
      </c>
      <c r="M14" s="160"/>
      <c r="N14" s="160"/>
      <c r="O14" s="160"/>
    </row>
    <row r="15" spans="2:15" x14ac:dyDescent="0.3">
      <c r="B15" s="40" t="s">
        <v>18</v>
      </c>
      <c r="L15"/>
    </row>
    <row r="16" spans="2:15" x14ac:dyDescent="0.3">
      <c r="B16" s="38" t="s">
        <v>19</v>
      </c>
      <c r="L16"/>
    </row>
    <row r="17" spans="2:12" x14ac:dyDescent="0.3">
      <c r="B17" s="38" t="s">
        <v>20</v>
      </c>
      <c r="L17"/>
    </row>
    <row r="18" spans="2:12" x14ac:dyDescent="0.3">
      <c r="B18" s="38" t="s">
        <v>21</v>
      </c>
      <c r="L18"/>
    </row>
    <row r="19" spans="2:12" x14ac:dyDescent="0.3">
      <c r="B19" s="38" t="s">
        <v>22</v>
      </c>
      <c r="L19"/>
    </row>
    <row r="20" spans="2:12" x14ac:dyDescent="0.3">
      <c r="B20" s="38" t="s">
        <v>23</v>
      </c>
      <c r="L20"/>
    </row>
    <row r="21" spans="2:12" x14ac:dyDescent="0.3">
      <c r="L21"/>
    </row>
    <row r="22" spans="2:12" x14ac:dyDescent="0.3">
      <c r="B22" s="40" t="s">
        <v>24</v>
      </c>
      <c r="L22"/>
    </row>
    <row r="23" spans="2:12" x14ac:dyDescent="0.3">
      <c r="B23" s="38" t="s">
        <v>25</v>
      </c>
      <c r="L23"/>
    </row>
    <row r="24" spans="2:12" x14ac:dyDescent="0.3">
      <c r="L24"/>
    </row>
    <row r="25" spans="2:12" x14ac:dyDescent="0.3">
      <c r="B25" s="40" t="s">
        <v>26</v>
      </c>
      <c r="L25"/>
    </row>
    <row r="26" spans="2:12" x14ac:dyDescent="0.3">
      <c r="B26" s="38" t="s">
        <v>27</v>
      </c>
      <c r="L26"/>
    </row>
    <row r="27" spans="2:12" x14ac:dyDescent="0.3">
      <c r="B27" s="38" t="s">
        <v>28</v>
      </c>
      <c r="L27"/>
    </row>
    <row r="28" spans="2:12" x14ac:dyDescent="0.3">
      <c r="L28"/>
    </row>
    <row r="29" spans="2:12" x14ac:dyDescent="0.3">
      <c r="B29" s="40" t="s">
        <v>29</v>
      </c>
      <c r="L29"/>
    </row>
    <row r="30" spans="2:12" x14ac:dyDescent="0.3">
      <c r="B30" s="38" t="s">
        <v>30</v>
      </c>
      <c r="L30"/>
    </row>
    <row r="31" spans="2:12" x14ac:dyDescent="0.3">
      <c r="B31" s="38" t="s">
        <v>31</v>
      </c>
      <c r="L31"/>
    </row>
    <row r="32" spans="2:12" x14ac:dyDescent="0.3">
      <c r="B32" s="41" t="s">
        <v>32</v>
      </c>
      <c r="L32"/>
    </row>
    <row r="33" spans="2:12" x14ac:dyDescent="0.3">
      <c r="B33" s="41" t="s">
        <v>33</v>
      </c>
      <c r="L33"/>
    </row>
    <row r="34" spans="2:12" x14ac:dyDescent="0.3">
      <c r="B34" s="41" t="s">
        <v>34</v>
      </c>
      <c r="L34"/>
    </row>
    <row r="35" spans="2:12" x14ac:dyDescent="0.3">
      <c r="B35" s="38" t="s">
        <v>35</v>
      </c>
      <c r="L35"/>
    </row>
    <row r="36" spans="2:12" x14ac:dyDescent="0.3">
      <c r="B36" s="38" t="s">
        <v>36</v>
      </c>
      <c r="L36"/>
    </row>
    <row r="37" spans="2:12" x14ac:dyDescent="0.3">
      <c r="L37"/>
    </row>
    <row r="38" spans="2:12" x14ac:dyDescent="0.3">
      <c r="B38" s="40" t="s">
        <v>37</v>
      </c>
      <c r="L38"/>
    </row>
    <row r="39" spans="2:12" x14ac:dyDescent="0.3">
      <c r="B39" s="38" t="s">
        <v>38</v>
      </c>
      <c r="L39"/>
    </row>
    <row r="40" spans="2:12" x14ac:dyDescent="0.3">
      <c r="B40" s="38" t="s">
        <v>39</v>
      </c>
      <c r="L40"/>
    </row>
    <row r="41" spans="2:12" x14ac:dyDescent="0.3">
      <c r="L41"/>
    </row>
    <row r="42" spans="2:12" x14ac:dyDescent="0.3">
      <c r="B42" s="40" t="s">
        <v>40</v>
      </c>
      <c r="L42"/>
    </row>
    <row r="43" spans="2:12" x14ac:dyDescent="0.3">
      <c r="B43" s="38" t="s">
        <v>41</v>
      </c>
      <c r="L43"/>
    </row>
    <row r="44" spans="2:12" x14ac:dyDescent="0.3">
      <c r="B44" s="38" t="s">
        <v>42</v>
      </c>
      <c r="L44"/>
    </row>
    <row r="45" spans="2:12" x14ac:dyDescent="0.3">
      <c r="L45"/>
    </row>
    <row r="46" spans="2:12" x14ac:dyDescent="0.3">
      <c r="B46" s="40" t="s">
        <v>43</v>
      </c>
      <c r="L46"/>
    </row>
    <row r="47" spans="2:12" x14ac:dyDescent="0.3">
      <c r="B47" s="38" t="s">
        <v>44</v>
      </c>
      <c r="L47"/>
    </row>
    <row r="48" spans="2:12" x14ac:dyDescent="0.3">
      <c r="B48" s="38" t="s">
        <v>45</v>
      </c>
      <c r="L48"/>
    </row>
    <row r="49" spans="2:12" x14ac:dyDescent="0.3">
      <c r="B49" s="41" t="s">
        <v>46</v>
      </c>
      <c r="L49"/>
    </row>
    <row r="50" spans="2:12" x14ac:dyDescent="0.3">
      <c r="B50" s="38" t="s">
        <v>47</v>
      </c>
      <c r="L50"/>
    </row>
    <row r="51" spans="2:12" x14ac:dyDescent="0.3">
      <c r="B51" s="38" t="s">
        <v>48</v>
      </c>
      <c r="L51"/>
    </row>
    <row r="52" spans="2:12" x14ac:dyDescent="0.3">
      <c r="B52" s="38" t="s">
        <v>49</v>
      </c>
      <c r="L52"/>
    </row>
    <row r="53" spans="2:12" x14ac:dyDescent="0.3">
      <c r="B53" s="38" t="s">
        <v>23</v>
      </c>
      <c r="L53"/>
    </row>
    <row r="54" spans="2:12" x14ac:dyDescent="0.3">
      <c r="L54"/>
    </row>
    <row r="55" spans="2:12" x14ac:dyDescent="0.3">
      <c r="B55" s="40" t="s">
        <v>50</v>
      </c>
      <c r="L55"/>
    </row>
    <row r="56" spans="2:12" x14ac:dyDescent="0.3">
      <c r="B56" s="38" t="s">
        <v>51</v>
      </c>
      <c r="L56"/>
    </row>
    <row r="57" spans="2:12" x14ac:dyDescent="0.3">
      <c r="B57" s="38" t="s">
        <v>52</v>
      </c>
      <c r="L57"/>
    </row>
    <row r="58" spans="2:12" x14ac:dyDescent="0.3">
      <c r="B58" s="38" t="s">
        <v>53</v>
      </c>
      <c r="L58"/>
    </row>
    <row r="59" spans="2:12" x14ac:dyDescent="0.3">
      <c r="B59" s="41"/>
      <c r="L59"/>
    </row>
    <row r="60" spans="2:12" x14ac:dyDescent="0.3">
      <c r="B60" s="40" t="s">
        <v>54</v>
      </c>
      <c r="L60"/>
    </row>
    <row r="61" spans="2:12" x14ac:dyDescent="0.3">
      <c r="B61" s="38" t="s">
        <v>55</v>
      </c>
      <c r="L61"/>
    </row>
    <row r="62" spans="2:12" x14ac:dyDescent="0.3">
      <c r="B62" s="41" t="s">
        <v>56</v>
      </c>
      <c r="L62"/>
    </row>
    <row r="63" spans="2:12" x14ac:dyDescent="0.3">
      <c r="B63" s="41" t="s">
        <v>57</v>
      </c>
      <c r="L63"/>
    </row>
    <row r="64" spans="2:12" x14ac:dyDescent="0.3">
      <c r="L64"/>
    </row>
    <row r="65" spans="2:12" x14ac:dyDescent="0.3">
      <c r="B65" s="40" t="s">
        <v>58</v>
      </c>
      <c r="L65"/>
    </row>
    <row r="66" spans="2:12" x14ac:dyDescent="0.3">
      <c r="B66" s="38" t="s">
        <v>59</v>
      </c>
      <c r="L66"/>
    </row>
    <row r="67" spans="2:12" x14ac:dyDescent="0.3">
      <c r="B67" s="38" t="s">
        <v>60</v>
      </c>
      <c r="L67"/>
    </row>
    <row r="68" spans="2:12" x14ac:dyDescent="0.3">
      <c r="B68" s="38" t="s">
        <v>61</v>
      </c>
      <c r="L68"/>
    </row>
    <row r="69" spans="2:12" x14ac:dyDescent="0.3">
      <c r="L69"/>
    </row>
    <row r="70" spans="2:12" x14ac:dyDescent="0.3">
      <c r="B70" s="40" t="s">
        <v>62</v>
      </c>
      <c r="L70"/>
    </row>
    <row r="71" spans="2:12" x14ac:dyDescent="0.3">
      <c r="B71" s="38" t="s">
        <v>63</v>
      </c>
      <c r="L71"/>
    </row>
    <row r="72" spans="2:12" x14ac:dyDescent="0.3">
      <c r="B72" s="38" t="s">
        <v>64</v>
      </c>
      <c r="L72"/>
    </row>
    <row r="73" spans="2:12" x14ac:dyDescent="0.3">
      <c r="B73" s="38" t="s">
        <v>65</v>
      </c>
      <c r="L73"/>
    </row>
    <row r="74" spans="2:12" x14ac:dyDescent="0.3">
      <c r="B74" s="38" t="s">
        <v>66</v>
      </c>
      <c r="L74"/>
    </row>
    <row r="75" spans="2:12" x14ac:dyDescent="0.3">
      <c r="B75" s="41" t="s">
        <v>67</v>
      </c>
      <c r="L75"/>
    </row>
    <row r="76" spans="2:12" x14ac:dyDescent="0.3">
      <c r="B76" s="41" t="s">
        <v>68</v>
      </c>
      <c r="L76"/>
    </row>
    <row r="77" spans="2:12" x14ac:dyDescent="0.3">
      <c r="B77" s="41" t="s">
        <v>69</v>
      </c>
      <c r="L77"/>
    </row>
    <row r="78" spans="2:12" x14ac:dyDescent="0.3">
      <c r="B78" s="41" t="s">
        <v>70</v>
      </c>
      <c r="L78"/>
    </row>
    <row r="79" spans="2:12" x14ac:dyDescent="0.3">
      <c r="B79" s="41" t="s">
        <v>71</v>
      </c>
      <c r="L79"/>
    </row>
    <row r="80" spans="2:12" x14ac:dyDescent="0.3">
      <c r="B80" s="38" t="s">
        <v>72</v>
      </c>
      <c r="L80"/>
    </row>
    <row r="81" spans="2:12" x14ac:dyDescent="0.3">
      <c r="B81" s="38" t="s">
        <v>73</v>
      </c>
      <c r="L81"/>
    </row>
    <row r="82" spans="2:12" x14ac:dyDescent="0.3">
      <c r="L82"/>
    </row>
    <row r="83" spans="2:12" x14ac:dyDescent="0.3">
      <c r="B83" s="40" t="s">
        <v>74</v>
      </c>
      <c r="L83"/>
    </row>
    <row r="84" spans="2:12" x14ac:dyDescent="0.3">
      <c r="B84" s="38" t="s">
        <v>75</v>
      </c>
      <c r="L84"/>
    </row>
    <row r="85" spans="2:12" x14ac:dyDescent="0.3">
      <c r="B85" s="38" t="s">
        <v>76</v>
      </c>
      <c r="L85"/>
    </row>
    <row r="86" spans="2:12" x14ac:dyDescent="0.3">
      <c r="B86" s="38" t="s">
        <v>77</v>
      </c>
      <c r="L86"/>
    </row>
    <row r="87" spans="2:12" x14ac:dyDescent="0.3">
      <c r="B87" s="41"/>
      <c r="L87"/>
    </row>
    <row r="88" spans="2:12" x14ac:dyDescent="0.3">
      <c r="B88" s="40" t="s">
        <v>78</v>
      </c>
      <c r="L88"/>
    </row>
    <row r="89" spans="2:12" x14ac:dyDescent="0.3">
      <c r="B89" s="38" t="s">
        <v>79</v>
      </c>
      <c r="L89"/>
    </row>
    <row r="90" spans="2:12" x14ac:dyDescent="0.3">
      <c r="B90" s="38" t="s">
        <v>80</v>
      </c>
      <c r="L90"/>
    </row>
    <row r="91" spans="2:12" x14ac:dyDescent="0.3">
      <c r="B91" s="41" t="s">
        <v>81</v>
      </c>
      <c r="L91"/>
    </row>
    <row r="92" spans="2:12" x14ac:dyDescent="0.3">
      <c r="B92" s="41" t="s">
        <v>82</v>
      </c>
      <c r="L92"/>
    </row>
    <row r="93" spans="2:12" x14ac:dyDescent="0.3">
      <c r="B93" s="41" t="s">
        <v>83</v>
      </c>
      <c r="L93"/>
    </row>
    <row r="94" spans="2:12" x14ac:dyDescent="0.3">
      <c r="B94" s="38" t="s">
        <v>84</v>
      </c>
      <c r="L94"/>
    </row>
    <row r="95" spans="2:12" x14ac:dyDescent="0.3">
      <c r="B95" s="38" t="s">
        <v>85</v>
      </c>
      <c r="L95"/>
    </row>
    <row r="96" spans="2:12" x14ac:dyDescent="0.3">
      <c r="B96" s="38" t="s">
        <v>86</v>
      </c>
      <c r="L96"/>
    </row>
    <row r="97" spans="2:12" x14ac:dyDescent="0.3">
      <c r="B97" s="41"/>
      <c r="L97"/>
    </row>
    <row r="98" spans="2:12" x14ac:dyDescent="0.3">
      <c r="B98" s="40" t="s">
        <v>87</v>
      </c>
      <c r="L98"/>
    </row>
    <row r="99" spans="2:12" x14ac:dyDescent="0.3">
      <c r="B99" s="38" t="s">
        <v>88</v>
      </c>
      <c r="L99"/>
    </row>
    <row r="100" spans="2:12" x14ac:dyDescent="0.3">
      <c r="B100" s="41" t="s">
        <v>89</v>
      </c>
      <c r="L100"/>
    </row>
    <row r="101" spans="2:12" x14ac:dyDescent="0.3">
      <c r="B101" s="41" t="s">
        <v>90</v>
      </c>
      <c r="L101"/>
    </row>
    <row r="102" spans="2:12" x14ac:dyDescent="0.3">
      <c r="B102" s="38" t="s">
        <v>91</v>
      </c>
      <c r="L102"/>
    </row>
    <row r="103" spans="2:12" x14ac:dyDescent="0.3">
      <c r="B103" s="38" t="s">
        <v>92</v>
      </c>
      <c r="L103"/>
    </row>
    <row r="104" spans="2:12" x14ac:dyDescent="0.3">
      <c r="B104" s="38" t="s">
        <v>93</v>
      </c>
      <c r="L104"/>
    </row>
    <row r="105" spans="2:12" x14ac:dyDescent="0.3">
      <c r="B105" s="41" t="s">
        <v>94</v>
      </c>
      <c r="L105"/>
    </row>
    <row r="106" spans="2:12" x14ac:dyDescent="0.3">
      <c r="B106" s="41" t="s">
        <v>95</v>
      </c>
      <c r="L106"/>
    </row>
    <row r="107" spans="2:12" x14ac:dyDescent="0.3">
      <c r="B107" s="38" t="s">
        <v>72</v>
      </c>
      <c r="L107"/>
    </row>
    <row r="108" spans="2:12" x14ac:dyDescent="0.3">
      <c r="B108" s="41"/>
      <c r="L108"/>
    </row>
    <row r="109" spans="2:12" x14ac:dyDescent="0.3">
      <c r="B109" s="40" t="s">
        <v>96</v>
      </c>
      <c r="L109"/>
    </row>
    <row r="110" spans="2:12" x14ac:dyDescent="0.3">
      <c r="B110" s="38" t="s">
        <v>97</v>
      </c>
      <c r="L110"/>
    </row>
    <row r="111" spans="2:12" x14ac:dyDescent="0.3">
      <c r="B111" s="38" t="s">
        <v>98</v>
      </c>
      <c r="L111"/>
    </row>
    <row r="112" spans="2:12" x14ac:dyDescent="0.3">
      <c r="B112" s="41"/>
      <c r="L112"/>
    </row>
    <row r="113" spans="2:12" x14ac:dyDescent="0.3">
      <c r="B113" s="40" t="s">
        <v>99</v>
      </c>
      <c r="L113"/>
    </row>
    <row r="114" spans="2:12" x14ac:dyDescent="0.3">
      <c r="B114" s="38" t="s">
        <v>100</v>
      </c>
      <c r="L114"/>
    </row>
    <row r="115" spans="2:12" x14ac:dyDescent="0.3">
      <c r="B115" s="41" t="s">
        <v>101</v>
      </c>
      <c r="L115"/>
    </row>
    <row r="116" spans="2:12" x14ac:dyDescent="0.3">
      <c r="B116" s="41" t="s">
        <v>102</v>
      </c>
      <c r="L116"/>
    </row>
    <row r="117" spans="2:12" x14ac:dyDescent="0.3">
      <c r="B117" s="41" t="s">
        <v>103</v>
      </c>
      <c r="L117"/>
    </row>
    <row r="118" spans="2:12" x14ac:dyDescent="0.3">
      <c r="B118" s="38" t="s">
        <v>104</v>
      </c>
      <c r="L118"/>
    </row>
    <row r="119" spans="2:12" x14ac:dyDescent="0.3">
      <c r="B119" s="41" t="s">
        <v>105</v>
      </c>
      <c r="L119"/>
    </row>
    <row r="120" spans="2:12" x14ac:dyDescent="0.3">
      <c r="B120" s="41" t="s">
        <v>106</v>
      </c>
      <c r="L120"/>
    </row>
    <row r="121" spans="2:12" x14ac:dyDescent="0.3">
      <c r="B121" s="38" t="s">
        <v>107</v>
      </c>
      <c r="L121"/>
    </row>
    <row r="122" spans="2:12" x14ac:dyDescent="0.3">
      <c r="B122" s="38" t="s">
        <v>108</v>
      </c>
      <c r="L122"/>
    </row>
    <row r="123" spans="2:12" x14ac:dyDescent="0.3">
      <c r="B123" s="38" t="s">
        <v>72</v>
      </c>
      <c r="L123"/>
    </row>
    <row r="124" spans="2:12" x14ac:dyDescent="0.3">
      <c r="L124"/>
    </row>
    <row r="125" spans="2:12" x14ac:dyDescent="0.3">
      <c r="B125" s="40" t="s">
        <v>109</v>
      </c>
      <c r="L125"/>
    </row>
    <row r="126" spans="2:12" x14ac:dyDescent="0.3">
      <c r="B126" s="38" t="s">
        <v>110</v>
      </c>
      <c r="L126"/>
    </row>
    <row r="127" spans="2:12" x14ac:dyDescent="0.3">
      <c r="B127" s="38" t="s">
        <v>111</v>
      </c>
      <c r="L127"/>
    </row>
    <row r="128" spans="2:12" x14ac:dyDescent="0.3">
      <c r="B128" s="38" t="s">
        <v>112</v>
      </c>
      <c r="L128"/>
    </row>
    <row r="129" spans="2:12" x14ac:dyDescent="0.3">
      <c r="B129" s="38" t="s">
        <v>113</v>
      </c>
      <c r="L129"/>
    </row>
    <row r="130" spans="2:12" x14ac:dyDescent="0.3">
      <c r="B130" s="38" t="s">
        <v>72</v>
      </c>
      <c r="L130"/>
    </row>
    <row r="131" spans="2:12" x14ac:dyDescent="0.3">
      <c r="L131"/>
    </row>
    <row r="132" spans="2:12" x14ac:dyDescent="0.3">
      <c r="B132" s="40" t="s">
        <v>114</v>
      </c>
      <c r="L132"/>
    </row>
    <row r="133" spans="2:12" x14ac:dyDescent="0.3">
      <c r="B133" s="38" t="s">
        <v>115</v>
      </c>
      <c r="L133"/>
    </row>
    <row r="134" spans="2:12" x14ac:dyDescent="0.3">
      <c r="B134" s="40"/>
      <c r="L134"/>
    </row>
    <row r="135" spans="2:12" x14ac:dyDescent="0.3">
      <c r="L135"/>
    </row>
    <row r="136" spans="2:12" x14ac:dyDescent="0.3">
      <c r="L136"/>
    </row>
    <row r="137" spans="2:12" x14ac:dyDescent="0.3">
      <c r="L137"/>
    </row>
    <row r="138" spans="2:12" x14ac:dyDescent="0.3">
      <c r="B138" s="41"/>
      <c r="L138"/>
    </row>
    <row r="139" spans="2:12" x14ac:dyDescent="0.3">
      <c r="B139" s="41"/>
      <c r="L139"/>
    </row>
    <row r="140" spans="2:12" x14ac:dyDescent="0.3">
      <c r="B140" s="41"/>
      <c r="L140"/>
    </row>
    <row r="141" spans="2:12" x14ac:dyDescent="0.3">
      <c r="L141"/>
    </row>
    <row r="142" spans="2:12" x14ac:dyDescent="0.3">
      <c r="B142" s="41"/>
      <c r="L142"/>
    </row>
    <row r="143" spans="2:12" x14ac:dyDescent="0.3">
      <c r="B143" s="41"/>
      <c r="L143"/>
    </row>
    <row r="144" spans="2:12" x14ac:dyDescent="0.3">
      <c r="B144" s="41"/>
      <c r="L144"/>
    </row>
    <row r="145" spans="2:12" x14ac:dyDescent="0.3">
      <c r="L145"/>
    </row>
    <row r="146" spans="2:12" x14ac:dyDescent="0.3">
      <c r="L146"/>
    </row>
    <row r="147" spans="2:12" x14ac:dyDescent="0.3">
      <c r="B147" s="40"/>
      <c r="L147"/>
    </row>
    <row r="148" spans="2:12" x14ac:dyDescent="0.3">
      <c r="L148"/>
    </row>
    <row r="149" spans="2:12" x14ac:dyDescent="0.3">
      <c r="L149"/>
    </row>
    <row r="150" spans="2:12" x14ac:dyDescent="0.3">
      <c r="L150"/>
    </row>
    <row r="151" spans="2:12" x14ac:dyDescent="0.3">
      <c r="L151"/>
    </row>
    <row r="152" spans="2:12" x14ac:dyDescent="0.3">
      <c r="L152"/>
    </row>
    <row r="153" spans="2:12" x14ac:dyDescent="0.3">
      <c r="L153"/>
    </row>
    <row r="154" spans="2:12" x14ac:dyDescent="0.3">
      <c r="B154" s="40"/>
      <c r="L154"/>
    </row>
    <row r="155" spans="2:12" x14ac:dyDescent="0.3">
      <c r="L155"/>
    </row>
    <row r="156" spans="2:12" x14ac:dyDescent="0.3">
      <c r="L156"/>
    </row>
    <row r="157" spans="2:12" x14ac:dyDescent="0.3">
      <c r="L157"/>
    </row>
    <row r="158" spans="2:12" x14ac:dyDescent="0.3">
      <c r="B158" s="40"/>
      <c r="L158"/>
    </row>
    <row r="159" spans="2:12" x14ac:dyDescent="0.3">
      <c r="L159"/>
    </row>
    <row r="160" spans="2:12" x14ac:dyDescent="0.3">
      <c r="L160"/>
    </row>
    <row r="161" spans="2:12" x14ac:dyDescent="0.3">
      <c r="L161"/>
    </row>
    <row r="162" spans="2:12" x14ac:dyDescent="0.3">
      <c r="L162"/>
    </row>
    <row r="163" spans="2:12" x14ac:dyDescent="0.3">
      <c r="L163"/>
    </row>
    <row r="164" spans="2:12" x14ac:dyDescent="0.3">
      <c r="L164"/>
    </row>
    <row r="165" spans="2:12" x14ac:dyDescent="0.3">
      <c r="B165" s="40"/>
      <c r="L165"/>
    </row>
    <row r="166" spans="2:12" x14ac:dyDescent="0.3">
      <c r="L166"/>
    </row>
    <row r="167" spans="2:12" x14ac:dyDescent="0.3">
      <c r="L167"/>
    </row>
    <row r="168" spans="2:12" x14ac:dyDescent="0.3">
      <c r="L168"/>
    </row>
    <row r="169" spans="2:12" x14ac:dyDescent="0.3">
      <c r="L169"/>
    </row>
    <row r="170" spans="2:12" x14ac:dyDescent="0.3">
      <c r="L170"/>
    </row>
    <row r="171" spans="2:12" x14ac:dyDescent="0.3">
      <c r="L171"/>
    </row>
    <row r="172" spans="2:12" x14ac:dyDescent="0.3">
      <c r="L172"/>
    </row>
    <row r="173" spans="2:12" x14ac:dyDescent="0.3">
      <c r="L173"/>
    </row>
    <row r="174" spans="2:12" x14ac:dyDescent="0.3">
      <c r="B174" s="40"/>
      <c r="L174"/>
    </row>
    <row r="175" spans="2:12" x14ac:dyDescent="0.3">
      <c r="L175"/>
    </row>
    <row r="176" spans="2:12" x14ac:dyDescent="0.3">
      <c r="L176"/>
    </row>
    <row r="177" spans="2:12" x14ac:dyDescent="0.3">
      <c r="L177"/>
    </row>
    <row r="178" spans="2:12" x14ac:dyDescent="0.3">
      <c r="L178"/>
    </row>
    <row r="179" spans="2:12" x14ac:dyDescent="0.3">
      <c r="L179"/>
    </row>
    <row r="180" spans="2:12" x14ac:dyDescent="0.3">
      <c r="L180"/>
    </row>
    <row r="181" spans="2:12" x14ac:dyDescent="0.3">
      <c r="B181" s="40"/>
      <c r="L181"/>
    </row>
    <row r="182" spans="2:12" x14ac:dyDescent="0.3">
      <c r="L182"/>
    </row>
    <row r="183" spans="2:12" x14ac:dyDescent="0.3">
      <c r="L183"/>
    </row>
    <row r="184" spans="2:12" x14ac:dyDescent="0.3">
      <c r="B184" s="41"/>
      <c r="L184"/>
    </row>
    <row r="185" spans="2:12" x14ac:dyDescent="0.3">
      <c r="B185" s="41"/>
      <c r="L185"/>
    </row>
    <row r="186" spans="2:12" x14ac:dyDescent="0.3">
      <c r="B186" s="41"/>
      <c r="L186"/>
    </row>
    <row r="187" spans="2:12" x14ac:dyDescent="0.3">
      <c r="L187"/>
    </row>
    <row r="188" spans="2:12" x14ac:dyDescent="0.3">
      <c r="B188" s="40"/>
      <c r="L188"/>
    </row>
    <row r="189" spans="2:12" x14ac:dyDescent="0.3">
      <c r="L189"/>
    </row>
    <row r="190" spans="2:12" x14ac:dyDescent="0.3">
      <c r="L190"/>
    </row>
    <row r="191" spans="2:12" x14ac:dyDescent="0.3">
      <c r="B191" s="41"/>
      <c r="L191"/>
    </row>
    <row r="192" spans="2:12" x14ac:dyDescent="0.3">
      <c r="B192" s="41"/>
      <c r="L192"/>
    </row>
    <row r="193" spans="2:12" x14ac:dyDescent="0.3">
      <c r="B193" s="41"/>
      <c r="L193"/>
    </row>
    <row r="194" spans="2:12" x14ac:dyDescent="0.3">
      <c r="B194" s="41"/>
      <c r="L194"/>
    </row>
    <row r="195" spans="2:12" x14ac:dyDescent="0.3">
      <c r="L195"/>
    </row>
    <row r="196" spans="2:12" x14ac:dyDescent="0.3">
      <c r="L196"/>
    </row>
    <row r="197" spans="2:12" x14ac:dyDescent="0.3">
      <c r="B197" s="40"/>
      <c r="L197"/>
    </row>
    <row r="198" spans="2:12" x14ac:dyDescent="0.3">
      <c r="L198"/>
    </row>
    <row r="199" spans="2:12" x14ac:dyDescent="0.3">
      <c r="L199"/>
    </row>
    <row r="200" spans="2:12" x14ac:dyDescent="0.3">
      <c r="L200"/>
    </row>
    <row r="201" spans="2:12" x14ac:dyDescent="0.3">
      <c r="L201"/>
    </row>
    <row r="202" spans="2:12" x14ac:dyDescent="0.3">
      <c r="L202"/>
    </row>
    <row r="203" spans="2:12" x14ac:dyDescent="0.3">
      <c r="B203"/>
      <c r="L203"/>
    </row>
    <row r="204" spans="2:12" x14ac:dyDescent="0.3">
      <c r="B204" s="40"/>
    </row>
    <row r="209" spans="2:2" x14ac:dyDescent="0.3">
      <c r="B209" s="39"/>
    </row>
  </sheetData>
  <mergeCells count="9">
    <mergeCell ref="L14:O14"/>
    <mergeCell ref="B13:O13"/>
    <mergeCell ref="B12:O12"/>
    <mergeCell ref="K6:N6"/>
    <mergeCell ref="B5:E5"/>
    <mergeCell ref="K8:N8"/>
    <mergeCell ref="K9:O9"/>
    <mergeCell ref="K10:N10"/>
    <mergeCell ref="K11:O11"/>
  </mergeCells>
  <hyperlinks>
    <hyperlink ref="B5" r:id="rId1" xr:uid="{99F19F60-17D3-4CFD-AA66-C5F83F8A08CA}"/>
    <hyperlink ref="K6:N6" r:id="rId2" display="Visit this Model's Webpage" xr:uid="{55ADB966-277A-4E6C-9102-B840443FF18E}"/>
    <hyperlink ref="B13:O13" r:id="rId3" display="https://www.adventuresincre.shop/accelerator/" xr:uid="{CE020AF4-519C-4E5D-A88C-B8D7D9C9BBF0}"/>
    <hyperlink ref="L14" r:id="rId4" xr:uid="{E7533D31-9D33-4503-A87C-9B75A4BD8610}"/>
    <hyperlink ref="K5" r:id="rId5" xr:uid="{6F3D2924-99BE-4B3B-981A-8BE686AEA844}"/>
    <hyperlink ref="K9" r:id="rId6" xr:uid="{5524FE26-F295-40AE-AA93-0A6AEA2CB61A}"/>
    <hyperlink ref="K11" r:id="rId7" xr:uid="{F7B8B203-9B23-408A-84E7-8DA94D31ACF5}"/>
    <hyperlink ref="K8" r:id="rId8" xr:uid="{4E0B73E7-EE17-42AD-87C6-4DC4637F7ED7}"/>
    <hyperlink ref="K11:O11" r:id="rId9" display="Need Help? Hire the A.CRE Team to Model it For You" xr:uid="{0F5E94E8-7CAB-45A8-909E-B5C68404AC8D}"/>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1187A-7F72-46BF-951F-C5A0B21E7937}">
  <sheetPr codeName="Sheet2">
    <tabColor theme="0" tint="-0.249977111117893"/>
    <pageSetUpPr fitToPage="1"/>
  </sheetPr>
  <dimension ref="A1:GR106"/>
  <sheetViews>
    <sheetView showGridLines="0" view="pageBreakPreview" topLeftCell="A51" zoomScaleNormal="100" zoomScaleSheetLayoutView="100" workbookViewId="0">
      <selection activeCell="U22" sqref="U22"/>
    </sheetView>
  </sheetViews>
  <sheetFormatPr defaultColWidth="0" defaultRowHeight="14" x14ac:dyDescent="0.3"/>
  <cols>
    <col min="1" max="1" width="1.58203125" customWidth="1"/>
    <col min="2" max="4" width="9" style="121" customWidth="1"/>
    <col min="5" max="5" width="9.58203125" style="121" bestFit="1" customWidth="1"/>
    <col min="6" max="7" width="9" style="121" customWidth="1"/>
    <col min="8" max="8" width="9.5" style="121" customWidth="1"/>
    <col min="9" max="9" width="1.58203125" style="121" customWidth="1"/>
    <col min="10" max="16" width="9" style="118" customWidth="1"/>
    <col min="17" max="17" width="1.58203125" style="118" customWidth="1"/>
    <col min="18" max="191" width="9" style="118" customWidth="1"/>
    <col min="192" max="200" width="0" style="121" hidden="1" customWidth="1"/>
    <col min="201" max="16384" width="9" style="121" hidden="1"/>
  </cols>
  <sheetData>
    <row r="1" spans="2:16" customFormat="1" ht="10" customHeight="1" x14ac:dyDescent="0.3"/>
    <row r="2" spans="2:16" customFormat="1" ht="20" x14ac:dyDescent="0.4">
      <c r="B2" s="3" t="s">
        <v>116</v>
      </c>
      <c r="C2" s="3"/>
      <c r="D2" s="3"/>
      <c r="E2" s="1"/>
      <c r="F2" s="1"/>
      <c r="G2" s="1"/>
      <c r="H2" s="1"/>
      <c r="I2" s="1"/>
      <c r="J2" s="1"/>
      <c r="K2" s="1"/>
      <c r="L2" s="1"/>
      <c r="M2" s="1"/>
      <c r="N2" s="1"/>
      <c r="O2" s="1"/>
      <c r="P2" s="106" t="s">
        <v>117</v>
      </c>
    </row>
    <row r="3" spans="2:16" customFormat="1" ht="15.5" x14ac:dyDescent="0.35">
      <c r="B3" s="104" t="str">
        <f>H5</f>
        <v>Aiken Lot Development</v>
      </c>
      <c r="C3" s="104"/>
      <c r="D3" s="104"/>
      <c r="E3" s="105"/>
      <c r="F3" s="105"/>
      <c r="G3" s="105"/>
      <c r="H3" s="105"/>
      <c r="I3" s="105"/>
      <c r="J3" s="105"/>
      <c r="K3" s="105"/>
      <c r="L3" s="105"/>
      <c r="M3" s="105"/>
      <c r="N3" s="105"/>
      <c r="O3" s="105"/>
      <c r="P3" s="5" t="str">
        <f>UPPER(Model_Type&amp;" Model")</f>
        <v>RESIDENTIAL LAND DEVELOPMENT MODEL</v>
      </c>
    </row>
    <row r="4" spans="2:16" customFormat="1" x14ac:dyDescent="0.3">
      <c r="B4" s="6" t="s">
        <v>118</v>
      </c>
      <c r="C4" s="6"/>
      <c r="D4" s="6"/>
      <c r="E4" s="6"/>
      <c r="F4" s="6"/>
      <c r="G4" s="6"/>
      <c r="H4" s="6"/>
      <c r="I4" s="6"/>
      <c r="J4" s="6"/>
      <c r="K4" s="6"/>
      <c r="L4" s="6"/>
      <c r="M4" s="6"/>
      <c r="N4" s="6"/>
      <c r="O4" s="6"/>
      <c r="P4" s="37" t="str">
        <f>Version!O3</f>
        <v>v0.76</v>
      </c>
    </row>
    <row r="5" spans="2:16" customFormat="1" x14ac:dyDescent="0.3">
      <c r="B5" s="9" t="s">
        <v>119</v>
      </c>
      <c r="C5" s="9"/>
      <c r="D5" s="9"/>
      <c r="E5" s="9"/>
      <c r="F5" s="9"/>
      <c r="G5" s="9"/>
      <c r="H5" s="109" t="s">
        <v>120</v>
      </c>
      <c r="I5" s="9"/>
      <c r="J5" s="9" t="s">
        <v>121</v>
      </c>
      <c r="K5" s="9"/>
      <c r="L5" s="9"/>
      <c r="M5" s="9"/>
      <c r="N5" s="9"/>
      <c r="O5" s="9"/>
      <c r="P5" s="9">
        <f>COUNTA(Underwriting!B2)</f>
        <v>1</v>
      </c>
    </row>
    <row r="6" spans="2:16" customFormat="1" x14ac:dyDescent="0.3">
      <c r="B6" s="9" t="s">
        <v>122</v>
      </c>
      <c r="C6" s="9"/>
      <c r="D6" s="9"/>
      <c r="E6" s="9"/>
      <c r="F6" s="9"/>
      <c r="G6" s="9"/>
      <c r="H6" s="109" t="s">
        <v>123</v>
      </c>
      <c r="I6" s="9"/>
      <c r="J6" s="9" t="s">
        <v>124</v>
      </c>
      <c r="K6" s="9"/>
      <c r="L6" s="9"/>
      <c r="M6" s="9"/>
      <c r="N6" s="9"/>
      <c r="O6" s="9"/>
      <c r="P6" s="109" t="s">
        <v>125</v>
      </c>
    </row>
    <row r="7" spans="2:16" customFormat="1" x14ac:dyDescent="0.3">
      <c r="B7" s="9" t="s">
        <v>126</v>
      </c>
      <c r="C7" s="9"/>
      <c r="D7" s="9"/>
      <c r="E7" s="9"/>
      <c r="F7" s="9"/>
      <c r="G7" s="9"/>
      <c r="H7" s="109" t="s">
        <v>120</v>
      </c>
      <c r="I7" s="9"/>
      <c r="J7" s="9" t="s">
        <v>127</v>
      </c>
      <c r="K7" s="9"/>
      <c r="L7" s="9"/>
      <c r="M7" s="9"/>
      <c r="N7" s="111">
        <f>Underwriting!L9</f>
        <v>1</v>
      </c>
      <c r="O7" s="112">
        <f>EOMONTH(P7,0)</f>
        <v>45688</v>
      </c>
      <c r="P7" s="113">
        <v>45658</v>
      </c>
    </row>
    <row r="8" spans="2:16" customFormat="1" x14ac:dyDescent="0.3">
      <c r="B8" s="9" t="s">
        <v>128</v>
      </c>
      <c r="C8" s="9"/>
      <c r="D8" s="9"/>
      <c r="E8" s="9"/>
      <c r="F8" s="9"/>
      <c r="G8" s="9"/>
      <c r="H8" s="109" t="s">
        <v>129</v>
      </c>
      <c r="I8" s="9"/>
      <c r="J8" s="9" t="s">
        <v>130</v>
      </c>
      <c r="K8" s="9"/>
      <c r="L8" s="9"/>
      <c r="M8" s="9"/>
      <c r="N8" s="9"/>
      <c r="O8" s="110" t="str">
        <f>INDEX(G79:G82,MATCH(Model_Type,$B$79:$B$82,0))</f>
        <v>Lot</v>
      </c>
      <c r="P8" s="110" t="str">
        <f>INDEX(H79:H82,MATCH(Model_Type,$B$79:$B$82,0))</f>
        <v>Lots</v>
      </c>
    </row>
    <row r="9" spans="2:16" customFormat="1" x14ac:dyDescent="0.3">
      <c r="B9" s="9" t="s">
        <v>131</v>
      </c>
      <c r="C9" s="9"/>
      <c r="D9" s="9"/>
      <c r="E9" s="9"/>
      <c r="F9" s="9"/>
      <c r="G9" s="9"/>
      <c r="H9" s="109" t="s">
        <v>132</v>
      </c>
      <c r="I9" s="9"/>
      <c r="J9" s="9" t="s">
        <v>133</v>
      </c>
      <c r="K9" s="9"/>
      <c r="L9" s="9"/>
      <c r="M9" s="9"/>
      <c r="N9" s="110" t="str">
        <f>IF(P6="Feet","Acre","Hectare")</f>
        <v>Acre</v>
      </c>
      <c r="O9" s="110" t="str">
        <f>N9&amp;"s"</f>
        <v>Acres</v>
      </c>
      <c r="P9" s="110" t="str">
        <f>IF(P6="Feet", "SF","M2")</f>
        <v>SF</v>
      </c>
    </row>
    <row r="10" spans="2:16" customFormat="1" x14ac:dyDescent="0.3">
      <c r="B10" s="9" t="s">
        <v>134</v>
      </c>
      <c r="C10" s="9"/>
      <c r="D10" s="9"/>
      <c r="E10" s="9"/>
      <c r="F10" s="167" t="s">
        <v>135</v>
      </c>
      <c r="G10" s="167"/>
      <c r="H10" s="167"/>
      <c r="I10" s="109"/>
      <c r="J10" s="9" t="s">
        <v>136</v>
      </c>
      <c r="K10" s="9"/>
      <c r="L10" s="9"/>
      <c r="M10" s="9"/>
      <c r="N10" s="9"/>
      <c r="O10" s="111">
        <f>Underwriting!L10</f>
        <v>49</v>
      </c>
      <c r="P10" s="112">
        <f>Underwriting!K10</f>
        <v>47149</v>
      </c>
    </row>
    <row r="11" spans="2:16" customFormat="1" x14ac:dyDescent="0.3">
      <c r="I11" s="9"/>
    </row>
    <row r="12" spans="2:16" customFormat="1" x14ac:dyDescent="0.3">
      <c r="B12" s="6" t="s">
        <v>137</v>
      </c>
      <c r="C12" s="6"/>
      <c r="D12" s="6"/>
      <c r="E12" s="6"/>
      <c r="F12" s="6"/>
      <c r="G12" s="6"/>
      <c r="H12" s="6"/>
      <c r="I12" s="6"/>
      <c r="J12" s="6"/>
      <c r="K12" s="6"/>
      <c r="L12" s="6"/>
      <c r="M12" s="6"/>
      <c r="N12" s="6"/>
      <c r="O12" s="6"/>
      <c r="P12" s="37"/>
    </row>
    <row r="13" spans="2:16" customFormat="1" x14ac:dyDescent="0.3">
      <c r="B13" s="9" t="str">
        <f>"Project Size ("&amp;Land_Type_Plur&amp;")"</f>
        <v>Project Size (Acres)</v>
      </c>
      <c r="C13" s="9"/>
      <c r="D13" s="9"/>
      <c r="E13" s="9"/>
      <c r="F13" s="9"/>
      <c r="G13" s="9"/>
      <c r="H13" s="15">
        <f>Underwriting!L6</f>
        <v>39.944903581267219</v>
      </c>
      <c r="I13" s="9"/>
      <c r="J13" s="168" t="s">
        <v>138</v>
      </c>
      <c r="K13" s="169"/>
      <c r="L13" s="169"/>
      <c r="M13" s="169"/>
      <c r="N13" s="169"/>
      <c r="O13" s="169"/>
      <c r="P13" s="170"/>
    </row>
    <row r="14" spans="2:16" customFormat="1" x14ac:dyDescent="0.3">
      <c r="B14" s="9" t="str">
        <f>"Project Size ("&amp;Summary!$P$6&amp;")"</f>
        <v>Project Size (Feet)</v>
      </c>
      <c r="C14" s="9"/>
      <c r="D14" s="9"/>
      <c r="E14" s="9"/>
      <c r="F14" s="9"/>
      <c r="G14" s="9"/>
      <c r="H14" s="50">
        <f>Underwriting!L7</f>
        <v>1740000</v>
      </c>
      <c r="I14" s="9"/>
      <c r="J14" s="171"/>
      <c r="K14" s="172"/>
      <c r="L14" s="172"/>
      <c r="M14" s="172"/>
      <c r="N14" s="172"/>
      <c r="O14" s="172"/>
      <c r="P14" s="173"/>
    </row>
    <row r="15" spans="2:16" customFormat="1" x14ac:dyDescent="0.3">
      <c r="B15" s="9" t="str">
        <f>"Number of "&amp;P8</f>
        <v>Number of Lots</v>
      </c>
      <c r="C15" s="9"/>
      <c r="D15" s="9"/>
      <c r="E15" s="9"/>
      <c r="F15" s="9"/>
      <c r="G15" s="9"/>
      <c r="H15" s="50">
        <f>Underwriting!L8</f>
        <v>230</v>
      </c>
      <c r="I15" s="9"/>
      <c r="J15" s="171"/>
      <c r="K15" s="172"/>
      <c r="L15" s="172"/>
      <c r="M15" s="172"/>
      <c r="N15" s="172"/>
      <c r="O15" s="172"/>
      <c r="P15" s="173"/>
    </row>
    <row r="16" spans="2:16" customFormat="1" x14ac:dyDescent="0.3">
      <c r="B16" s="9"/>
      <c r="C16" s="9"/>
      <c r="D16" s="9"/>
      <c r="E16" s="9"/>
      <c r="F16" s="9"/>
      <c r="G16" s="9"/>
      <c r="H16" s="9"/>
      <c r="I16" s="9"/>
      <c r="J16" s="171"/>
      <c r="K16" s="172"/>
      <c r="L16" s="172"/>
      <c r="M16" s="172"/>
      <c r="N16" s="172"/>
      <c r="O16" s="172"/>
      <c r="P16" s="173"/>
    </row>
    <row r="17" spans="2:16" customFormat="1" x14ac:dyDescent="0.3">
      <c r="B17" s="65" t="s">
        <v>139</v>
      </c>
      <c r="C17" s="65"/>
      <c r="D17" s="65"/>
      <c r="E17" s="9"/>
      <c r="F17" s="9"/>
      <c r="G17" s="9"/>
      <c r="H17" s="13">
        <f>Underwriting!E46</f>
        <v>1</v>
      </c>
      <c r="I17" s="9"/>
      <c r="J17" s="171"/>
      <c r="K17" s="172"/>
      <c r="L17" s="172"/>
      <c r="M17" s="172"/>
      <c r="N17" s="172"/>
      <c r="O17" s="172"/>
      <c r="P17" s="173"/>
    </row>
    <row r="18" spans="2:16" customFormat="1" x14ac:dyDescent="0.3">
      <c r="B18" s="65" t="s">
        <v>140</v>
      </c>
      <c r="C18" s="65"/>
      <c r="D18" s="65"/>
      <c r="E18" s="9"/>
      <c r="F18" s="9"/>
      <c r="G18" s="9"/>
      <c r="H18" s="13">
        <f>Underwriting!F46</f>
        <v>38</v>
      </c>
      <c r="I18" s="9"/>
      <c r="J18" s="171"/>
      <c r="K18" s="172"/>
      <c r="L18" s="172"/>
      <c r="M18" s="172"/>
      <c r="N18" s="172"/>
      <c r="O18" s="172"/>
      <c r="P18" s="173"/>
    </row>
    <row r="19" spans="2:16" customFormat="1" x14ac:dyDescent="0.3">
      <c r="B19" s="9" t="s">
        <v>141</v>
      </c>
      <c r="C19" s="9"/>
      <c r="D19" s="9"/>
      <c r="E19" s="9"/>
      <c r="F19" s="9"/>
      <c r="G19" s="9"/>
      <c r="H19" s="13">
        <f>O10</f>
        <v>49</v>
      </c>
      <c r="I19" s="9"/>
      <c r="J19" s="171"/>
      <c r="K19" s="172"/>
      <c r="L19" s="172"/>
      <c r="M19" s="172"/>
      <c r="N19" s="172"/>
      <c r="O19" s="172"/>
      <c r="P19" s="173"/>
    </row>
    <row r="20" spans="2:16" customFormat="1" x14ac:dyDescent="0.3">
      <c r="B20" s="9"/>
      <c r="C20" s="9"/>
      <c r="D20" s="9"/>
      <c r="E20" s="9"/>
      <c r="F20" s="9"/>
      <c r="G20" s="9"/>
      <c r="H20" s="13"/>
      <c r="I20" s="9"/>
      <c r="J20" s="171"/>
      <c r="K20" s="172"/>
      <c r="L20" s="172"/>
      <c r="M20" s="172"/>
      <c r="N20" s="172"/>
      <c r="O20" s="172"/>
      <c r="P20" s="173"/>
    </row>
    <row r="21" spans="2:16" customFormat="1" x14ac:dyDescent="0.3">
      <c r="B21" s="117" t="s">
        <v>142</v>
      </c>
      <c r="C21" s="117"/>
      <c r="D21" s="117"/>
      <c r="E21" s="9"/>
      <c r="F21" s="120" t="s">
        <v>143</v>
      </c>
      <c r="G21" s="9"/>
      <c r="H21" s="9"/>
      <c r="I21" s="9"/>
      <c r="J21" s="171"/>
      <c r="K21" s="172"/>
      <c r="L21" s="172"/>
      <c r="M21" s="172"/>
      <c r="N21" s="172"/>
      <c r="O21" s="172"/>
      <c r="P21" s="173"/>
    </row>
    <row r="22" spans="2:16" customFormat="1" x14ac:dyDescent="0.3">
      <c r="B22" s="38" t="str">
        <f>"Equity - "&amp;Underwriting!B111</f>
        <v>Equity - General Partner</v>
      </c>
      <c r="C22" s="38"/>
      <c r="D22" s="38"/>
      <c r="E22" s="50">
        <f>Underwriting!L111</f>
        <v>167081.1891891892</v>
      </c>
      <c r="F22" s="41" t="s">
        <v>144</v>
      </c>
      <c r="G22" s="9"/>
      <c r="H22" s="50">
        <f>Underwriting!L19</f>
        <v>2883000</v>
      </c>
      <c r="I22" s="9"/>
      <c r="J22" s="171"/>
      <c r="K22" s="172"/>
      <c r="L22" s="172"/>
      <c r="M22" s="172"/>
      <c r="N22" s="172"/>
      <c r="O22" s="172"/>
      <c r="P22" s="173"/>
    </row>
    <row r="23" spans="2:16" customFormat="1" x14ac:dyDescent="0.3">
      <c r="B23" s="38" t="str">
        <f>"Equity - "&amp;Underwriting!B112</f>
        <v>Equity - Limited Partner</v>
      </c>
      <c r="C23" s="38"/>
      <c r="D23" s="38"/>
      <c r="E23" s="50">
        <f>Underwriting!L112</f>
        <v>1503730.7027027027</v>
      </c>
      <c r="F23" s="41" t="s">
        <v>145</v>
      </c>
      <c r="G23" s="9"/>
      <c r="H23" s="50">
        <f>+Underwriting!L27+Underwriting!L35</f>
        <v>6520500</v>
      </c>
      <c r="I23" s="9"/>
      <c r="J23" s="171"/>
      <c r="K23" s="172"/>
      <c r="L23" s="172"/>
      <c r="M23" s="172"/>
      <c r="N23" s="172"/>
      <c r="O23" s="172"/>
      <c r="P23" s="173"/>
    </row>
    <row r="24" spans="2:16" customFormat="1" x14ac:dyDescent="0.3">
      <c r="B24" s="38"/>
      <c r="C24" s="38"/>
      <c r="D24" s="38"/>
      <c r="E24" s="50"/>
      <c r="F24" s="41" t="s">
        <v>146</v>
      </c>
      <c r="G24" s="9"/>
      <c r="H24" s="50">
        <f>+Underwriting!L44</f>
        <v>1428000</v>
      </c>
      <c r="I24" s="9"/>
      <c r="J24" s="171"/>
      <c r="K24" s="172"/>
      <c r="L24" s="172"/>
      <c r="M24" s="172"/>
      <c r="N24" s="172"/>
      <c r="O24" s="172"/>
      <c r="P24" s="173"/>
    </row>
    <row r="25" spans="2:16" customFormat="1" ht="15.5" x14ac:dyDescent="0.45">
      <c r="B25" s="38" t="s">
        <v>147</v>
      </c>
      <c r="C25" s="38"/>
      <c r="D25" s="38"/>
      <c r="E25" s="62">
        <f>Underwriting!L58</f>
        <v>9447803.2925508395</v>
      </c>
      <c r="F25" s="41" t="s">
        <v>148</v>
      </c>
      <c r="G25" s="9"/>
      <c r="H25" s="62">
        <f>+H31</f>
        <v>287115.18444273149</v>
      </c>
      <c r="I25" s="9"/>
      <c r="J25" s="171"/>
      <c r="K25" s="172"/>
      <c r="L25" s="172"/>
      <c r="M25" s="172"/>
      <c r="N25" s="172"/>
      <c r="O25" s="172"/>
      <c r="P25" s="173"/>
    </row>
    <row r="26" spans="2:16" customFormat="1" x14ac:dyDescent="0.3">
      <c r="B26" s="9" t="s">
        <v>149</v>
      </c>
      <c r="C26" s="9"/>
      <c r="D26" s="9"/>
      <c r="E26" s="50">
        <f>SUM(E22:E25)</f>
        <v>11118615.184442731</v>
      </c>
      <c r="F26" s="38" t="s">
        <v>150</v>
      </c>
      <c r="G26" s="9"/>
      <c r="H26" s="50">
        <f>SUM(H22:H25)</f>
        <v>11118615.184442731</v>
      </c>
      <c r="I26" s="9"/>
      <c r="J26" s="174"/>
      <c r="K26" s="175"/>
      <c r="L26" s="175"/>
      <c r="M26" s="175"/>
      <c r="N26" s="175"/>
      <c r="O26" s="175"/>
      <c r="P26" s="176"/>
    </row>
    <row r="27" spans="2:16" customFormat="1" x14ac:dyDescent="0.3">
      <c r="B27" s="6" t="s">
        <v>151</v>
      </c>
      <c r="C27" s="6"/>
      <c r="D27" s="6"/>
      <c r="E27" s="6"/>
      <c r="F27" s="6"/>
      <c r="G27" s="6"/>
      <c r="H27" s="6"/>
      <c r="I27" s="6"/>
      <c r="J27" s="6"/>
      <c r="K27" s="6"/>
      <c r="L27" s="6"/>
      <c r="M27" s="6"/>
      <c r="N27" s="6"/>
      <c r="O27" s="6"/>
      <c r="P27" s="37"/>
    </row>
    <row r="28" spans="2:16" customFormat="1" x14ac:dyDescent="0.3">
      <c r="B28" s="38" t="s">
        <v>144</v>
      </c>
      <c r="C28" s="38"/>
      <c r="D28" s="38"/>
      <c r="E28" s="9"/>
      <c r="F28" s="9"/>
      <c r="G28" s="9"/>
      <c r="H28" s="50">
        <f>Underwriting!L19</f>
        <v>2883000</v>
      </c>
      <c r="I28" s="9"/>
      <c r="J28" s="11" t="s">
        <v>152</v>
      </c>
      <c r="K28" s="11"/>
      <c r="L28" s="9"/>
      <c r="M28" s="9"/>
      <c r="O28" s="12"/>
      <c r="P28" s="12" t="s">
        <v>153</v>
      </c>
    </row>
    <row r="29" spans="2:16" customFormat="1" x14ac:dyDescent="0.3">
      <c r="B29" s="38" t="s">
        <v>145</v>
      </c>
      <c r="C29" s="38"/>
      <c r="D29" s="38"/>
      <c r="E29" s="9"/>
      <c r="F29" s="9"/>
      <c r="G29" s="9"/>
      <c r="H29" s="50">
        <f>Underwriting!L27+Underwriting!L35</f>
        <v>6520500</v>
      </c>
      <c r="I29" s="9"/>
      <c r="J29" s="38" t="s">
        <v>154</v>
      </c>
      <c r="K29" s="38"/>
      <c r="L29" s="9"/>
      <c r="M29" s="9"/>
      <c r="P29" s="115">
        <f>Underwriting!F98</f>
        <v>0.31815957427024844</v>
      </c>
    </row>
    <row r="30" spans="2:16" customFormat="1" x14ac:dyDescent="0.3">
      <c r="B30" s="38" t="s">
        <v>146</v>
      </c>
      <c r="C30" s="38"/>
      <c r="D30" s="38"/>
      <c r="E30" s="9"/>
      <c r="F30" s="9"/>
      <c r="G30" s="9"/>
      <c r="H30" s="50">
        <f>Underwriting!L44</f>
        <v>1428000</v>
      </c>
      <c r="I30" s="9"/>
      <c r="J30" s="38" t="s">
        <v>155</v>
      </c>
      <c r="K30" s="38"/>
      <c r="L30" s="9"/>
      <c r="M30" s="9"/>
      <c r="P30" s="116">
        <f>Underwriting!E98</f>
        <v>1.4620079937869415</v>
      </c>
    </row>
    <row r="31" spans="2:16" customFormat="1" ht="15.5" x14ac:dyDescent="0.45">
      <c r="B31" s="38" t="s">
        <v>148</v>
      </c>
      <c r="C31" s="38"/>
      <c r="D31" s="38"/>
      <c r="E31" s="9"/>
      <c r="F31" s="9"/>
      <c r="G31" s="9"/>
      <c r="H31" s="62">
        <f>Underwriting!L51</f>
        <v>287115.18444273149</v>
      </c>
      <c r="I31" s="9"/>
      <c r="J31" s="38" t="s">
        <v>156</v>
      </c>
      <c r="K31" s="38"/>
      <c r="L31" s="9"/>
      <c r="M31" s="9"/>
      <c r="P31" s="50">
        <f>Underwriting!L98</f>
        <v>3460712.6073249984</v>
      </c>
    </row>
    <row r="32" spans="2:16" customFormat="1" x14ac:dyDescent="0.3">
      <c r="B32" s="9" t="s">
        <v>157</v>
      </c>
      <c r="C32" s="9"/>
      <c r="D32" s="9"/>
      <c r="E32" s="9"/>
      <c r="F32" s="9"/>
      <c r="G32" s="9"/>
      <c r="H32" s="50">
        <f>SUM(H28:H31)</f>
        <v>11118615.184442731</v>
      </c>
      <c r="I32" s="9"/>
      <c r="J32" s="38" t="s">
        <v>158</v>
      </c>
      <c r="K32" s="38"/>
      <c r="L32" s="9"/>
      <c r="M32" s="9"/>
      <c r="N32" s="9"/>
      <c r="O32" s="9"/>
      <c r="P32" s="115">
        <f>Underwriting!L100</f>
        <v>0.24213973738057359</v>
      </c>
    </row>
    <row r="33" spans="2:16" customFormat="1" x14ac:dyDescent="0.3">
      <c r="B33" s="9"/>
      <c r="C33" s="9"/>
      <c r="D33" s="9"/>
      <c r="E33" s="9"/>
      <c r="F33" s="9"/>
      <c r="G33" s="9"/>
      <c r="H33" s="9"/>
      <c r="I33" s="9"/>
      <c r="J33" s="118"/>
      <c r="K33" s="118"/>
      <c r="L33" s="118"/>
      <c r="M33" s="118"/>
      <c r="N33" s="118"/>
      <c r="O33" s="118"/>
      <c r="P33" s="118"/>
    </row>
    <row r="34" spans="2:16" customFormat="1" x14ac:dyDescent="0.3">
      <c r="B34" s="9" t="str">
        <f>Underwriting!B90</f>
        <v>Total Lot Sales</v>
      </c>
      <c r="C34" s="9"/>
      <c r="D34" s="9"/>
      <c r="E34" s="9"/>
      <c r="F34" s="9"/>
      <c r="G34" s="9"/>
      <c r="H34" s="50">
        <f>Underwriting!L90</f>
        <v>15044434.3235</v>
      </c>
      <c r="I34" s="9"/>
      <c r="J34" s="11" t="s">
        <v>159</v>
      </c>
      <c r="K34" s="11"/>
      <c r="L34" s="9"/>
      <c r="M34" s="9"/>
      <c r="N34" s="12" t="s">
        <v>160</v>
      </c>
      <c r="O34" s="12" t="s">
        <v>161</v>
      </c>
      <c r="P34" s="12" t="s">
        <v>153</v>
      </c>
    </row>
    <row r="35" spans="2:16" customFormat="1" ht="15.5" x14ac:dyDescent="0.45">
      <c r="B35" s="38" t="str">
        <f>Underwriting!B91</f>
        <v>- Selling Costs</v>
      </c>
      <c r="C35" s="38"/>
      <c r="D35" s="38"/>
      <c r="E35" s="9"/>
      <c r="F35" s="9"/>
      <c r="G35" s="9"/>
      <c r="H35" s="62">
        <f>Underwriting!L91</f>
        <v>-752221.71617500007</v>
      </c>
      <c r="I35" s="9"/>
      <c r="J35" s="38" t="s">
        <v>154</v>
      </c>
      <c r="K35" s="38"/>
      <c r="L35" s="9"/>
      <c r="M35" s="9"/>
      <c r="N35" s="115">
        <f>Underwriting!F121</f>
        <v>0.84351376295089753</v>
      </c>
      <c r="O35" s="115">
        <f>Underwriting!F122</f>
        <v>0.2935540735721589</v>
      </c>
      <c r="P35" s="115">
        <f>Underwriting!F106</f>
        <v>0.38438634276390082</v>
      </c>
    </row>
    <row r="36" spans="2:16" customFormat="1" x14ac:dyDescent="0.3">
      <c r="B36" s="9" t="str">
        <f>Underwriting!B92</f>
        <v>Net Proceeds from Lot Sales</v>
      </c>
      <c r="C36" s="9"/>
      <c r="D36" s="9"/>
      <c r="E36" s="9"/>
      <c r="F36" s="9"/>
      <c r="G36" s="9"/>
      <c r="H36" s="50">
        <f>Underwriting!L92</f>
        <v>14292212.607325001</v>
      </c>
      <c r="I36" s="9"/>
      <c r="J36" s="38" t="s">
        <v>155</v>
      </c>
      <c r="K36" s="38"/>
      <c r="L36" s="9"/>
      <c r="M36" s="9"/>
      <c r="N36" s="116">
        <f>Underwriting!E121</f>
        <v>8.6052373671424593</v>
      </c>
      <c r="O36" s="116">
        <f>Underwriting!E122</f>
        <v>2.2654561858010185</v>
      </c>
      <c r="P36" s="116">
        <f>Underwriting!E106</f>
        <v>2.8994343039351627</v>
      </c>
    </row>
    <row r="37" spans="2:16" customFormat="1" x14ac:dyDescent="0.3">
      <c r="B37" s="9"/>
      <c r="C37" s="9"/>
      <c r="D37" s="9"/>
      <c r="E37" s="9"/>
      <c r="F37" s="9"/>
      <c r="G37" s="9"/>
      <c r="H37" s="9"/>
      <c r="I37" s="9"/>
      <c r="J37" s="38" t="s">
        <v>162</v>
      </c>
      <c r="K37" s="38"/>
      <c r="L37" s="9"/>
      <c r="M37" s="9"/>
      <c r="N37" s="50">
        <f>Underwriting!L121+N38</f>
        <v>1437773.2925574095</v>
      </c>
      <c r="O37" s="50">
        <f>Underwriting!L122+O38</f>
        <v>3406636.0222167512</v>
      </c>
      <c r="P37" s="50">
        <f>Underwriting!L118</f>
        <v>4844409.3147741593</v>
      </c>
    </row>
    <row r="38" spans="2:16" customFormat="1" ht="15.5" x14ac:dyDescent="0.45">
      <c r="B38" s="9" t="s">
        <v>163</v>
      </c>
      <c r="C38" s="9"/>
      <c r="D38" s="9"/>
      <c r="E38" s="9"/>
      <c r="F38" s="9"/>
      <c r="G38" s="9"/>
      <c r="H38" s="50">
        <f>H36-H32</f>
        <v>3173597.4228822701</v>
      </c>
      <c r="I38" s="9"/>
      <c r="J38" s="38" t="s">
        <v>164</v>
      </c>
      <c r="K38" s="38"/>
      <c r="L38" s="9"/>
      <c r="M38" s="9"/>
      <c r="N38" s="62">
        <f>Underwriting!L111</f>
        <v>167081.1891891892</v>
      </c>
      <c r="O38" s="62">
        <f>Underwriting!L112</f>
        <v>1503730.7027027027</v>
      </c>
      <c r="P38" s="62">
        <f>Underwriting!L113</f>
        <v>1670811.8918918918</v>
      </c>
    </row>
    <row r="39" spans="2:16" customFormat="1" x14ac:dyDescent="0.3">
      <c r="B39" s="9"/>
      <c r="C39" s="9"/>
      <c r="D39" s="9"/>
      <c r="E39" s="9"/>
      <c r="F39" s="9"/>
      <c r="G39" s="9"/>
      <c r="H39" s="115"/>
      <c r="I39" s="9"/>
      <c r="J39" s="38" t="s">
        <v>156</v>
      </c>
      <c r="K39" s="38"/>
      <c r="L39" s="9"/>
      <c r="M39" s="9"/>
      <c r="N39" s="50">
        <f>N37-N38</f>
        <v>1270692.1033682204</v>
      </c>
      <c r="O39" s="50">
        <f>O37-O38</f>
        <v>1902905.3195140485</v>
      </c>
      <c r="P39" s="50">
        <f>P37-P38</f>
        <v>3173597.4228822673</v>
      </c>
    </row>
    <row r="40" spans="2:16" customFormat="1" x14ac:dyDescent="0.3">
      <c r="B40" s="9"/>
      <c r="C40" s="9"/>
      <c r="D40" s="9"/>
      <c r="E40" s="9"/>
      <c r="F40" s="9"/>
      <c r="G40" s="9"/>
      <c r="H40" s="115"/>
      <c r="I40" s="9"/>
      <c r="J40" s="38" t="s">
        <v>158</v>
      </c>
      <c r="K40" s="38"/>
      <c r="L40" s="9"/>
      <c r="M40" s="9"/>
      <c r="N40" s="115">
        <f>N39/N37</f>
        <v>0.88379170064287615</v>
      </c>
      <c r="O40" s="115">
        <f>O39/O37</f>
        <v>0.55858779954889293</v>
      </c>
      <c r="P40" s="115">
        <f>Underwriting!L108</f>
        <v>0.65510513597677178</v>
      </c>
    </row>
    <row r="41" spans="2:16" customFormat="1" ht="5.15" customHeight="1" x14ac:dyDescent="0.3">
      <c r="B41" s="9"/>
      <c r="C41" s="9"/>
      <c r="D41" s="9"/>
      <c r="E41" s="9"/>
      <c r="F41" s="9"/>
      <c r="G41" s="9"/>
      <c r="H41" s="115"/>
      <c r="I41" s="9"/>
      <c r="J41" s="38"/>
      <c r="K41" s="38"/>
      <c r="L41" s="9"/>
      <c r="M41" s="9"/>
      <c r="N41" s="115"/>
      <c r="O41" s="115"/>
      <c r="P41" s="115"/>
    </row>
    <row r="42" spans="2:16" customFormat="1" x14ac:dyDescent="0.3">
      <c r="B42" s="6" t="s">
        <v>165</v>
      </c>
      <c r="C42" s="6"/>
      <c r="D42" s="6"/>
      <c r="E42" s="6"/>
      <c r="F42" s="6"/>
      <c r="G42" s="6"/>
      <c r="H42" s="6"/>
      <c r="I42" s="6"/>
      <c r="J42" s="6"/>
      <c r="K42" s="6"/>
      <c r="L42" s="6"/>
      <c r="M42" s="6"/>
      <c r="N42" s="6"/>
      <c r="O42" s="6"/>
      <c r="P42" s="37"/>
    </row>
    <row r="43" spans="2:16" customFormat="1" x14ac:dyDescent="0.3">
      <c r="B43" s="9"/>
      <c r="C43" s="9"/>
      <c r="D43" s="9"/>
      <c r="E43" s="9"/>
      <c r="F43" s="9"/>
      <c r="G43" s="9"/>
      <c r="H43" s="9"/>
      <c r="I43" s="9"/>
      <c r="J43" s="9"/>
      <c r="K43" s="9"/>
      <c r="L43" s="9"/>
      <c r="M43" s="9"/>
      <c r="N43" s="9"/>
      <c r="O43" s="9"/>
      <c r="P43" s="9"/>
    </row>
    <row r="44" spans="2:16" customFormat="1" x14ac:dyDescent="0.3">
      <c r="B44" s="9"/>
      <c r="C44" s="9"/>
      <c r="D44" s="9"/>
      <c r="E44" s="9"/>
      <c r="F44" s="9"/>
      <c r="G44" s="9"/>
      <c r="H44" s="9"/>
      <c r="I44" s="9"/>
      <c r="J44" s="9"/>
      <c r="K44" s="9"/>
      <c r="L44" s="9"/>
      <c r="M44" s="9"/>
      <c r="N44" s="9"/>
      <c r="O44" s="9"/>
      <c r="P44" s="9"/>
    </row>
    <row r="45" spans="2:16" customFormat="1" x14ac:dyDescent="0.3">
      <c r="B45" s="9"/>
      <c r="C45" s="9"/>
      <c r="D45" s="9"/>
      <c r="E45" s="9"/>
      <c r="F45" s="9"/>
      <c r="G45" s="9"/>
      <c r="H45" s="9"/>
      <c r="I45" s="9"/>
      <c r="J45" s="9"/>
      <c r="K45" s="9"/>
      <c r="L45" s="9"/>
      <c r="M45" s="9"/>
      <c r="N45" s="9"/>
      <c r="O45" s="9"/>
      <c r="P45" s="9"/>
    </row>
    <row r="46" spans="2:16" customFormat="1" x14ac:dyDescent="0.3">
      <c r="B46" s="9"/>
      <c r="C46" s="9"/>
      <c r="D46" s="9"/>
      <c r="E46" s="9"/>
      <c r="F46" s="9"/>
      <c r="G46" s="9"/>
      <c r="H46" s="9"/>
      <c r="I46" s="9"/>
      <c r="J46" s="9"/>
      <c r="K46" s="9"/>
      <c r="L46" s="9"/>
      <c r="M46" s="9"/>
      <c r="N46" s="9"/>
      <c r="O46" s="9"/>
      <c r="P46" s="9"/>
    </row>
    <row r="47" spans="2:16" customFormat="1" x14ac:dyDescent="0.3">
      <c r="B47" s="9"/>
      <c r="C47" s="9"/>
      <c r="D47" s="9"/>
      <c r="E47" s="9"/>
      <c r="F47" s="9"/>
      <c r="G47" s="9"/>
      <c r="H47" s="9"/>
      <c r="I47" s="9"/>
      <c r="J47" s="9"/>
      <c r="K47" s="9"/>
      <c r="L47" s="9"/>
      <c r="M47" s="9"/>
      <c r="N47" s="9"/>
      <c r="O47" s="9"/>
      <c r="P47" s="9"/>
    </row>
    <row r="48" spans="2:16" customFormat="1" x14ac:dyDescent="0.3">
      <c r="B48" s="9"/>
      <c r="C48" s="9"/>
      <c r="D48" s="9"/>
      <c r="E48" s="9"/>
      <c r="F48" s="9"/>
      <c r="G48" s="9"/>
      <c r="H48" s="9"/>
      <c r="I48" s="9"/>
      <c r="J48" s="9"/>
      <c r="K48" s="9"/>
      <c r="L48" s="9"/>
      <c r="M48" s="9"/>
      <c r="N48" s="9"/>
      <c r="O48" s="9"/>
      <c r="P48" s="9"/>
    </row>
    <row r="49" spans="2:16" customFormat="1" x14ac:dyDescent="0.3">
      <c r="B49" s="9"/>
      <c r="C49" s="9"/>
      <c r="D49" s="9"/>
      <c r="E49" s="9"/>
      <c r="F49" s="9"/>
      <c r="G49" s="9"/>
      <c r="H49" s="9"/>
      <c r="I49" s="9"/>
      <c r="J49" s="9"/>
      <c r="K49" s="9"/>
      <c r="L49" s="9"/>
      <c r="M49" s="9"/>
      <c r="N49" s="9"/>
      <c r="O49" s="9"/>
      <c r="P49" s="9"/>
    </row>
    <row r="50" spans="2:16" customFormat="1" x14ac:dyDescent="0.3">
      <c r="B50" s="9"/>
      <c r="C50" s="9"/>
      <c r="D50" s="9"/>
      <c r="E50" s="9"/>
      <c r="F50" s="9"/>
      <c r="G50" s="9"/>
      <c r="H50" s="9"/>
      <c r="I50" s="9"/>
      <c r="J50" s="9"/>
      <c r="K50" s="9"/>
      <c r="L50" s="9"/>
      <c r="M50" s="9"/>
      <c r="N50" s="9"/>
      <c r="O50" s="9"/>
      <c r="P50" s="9"/>
    </row>
    <row r="51" spans="2:16" customFormat="1" x14ac:dyDescent="0.3">
      <c r="B51" s="9"/>
      <c r="C51" s="9"/>
      <c r="D51" s="9"/>
      <c r="E51" s="9"/>
      <c r="F51" s="9"/>
      <c r="G51" s="9"/>
      <c r="H51" s="9"/>
      <c r="I51" s="9"/>
      <c r="J51" s="9"/>
      <c r="K51" s="9"/>
      <c r="L51" s="9"/>
      <c r="M51" s="9"/>
      <c r="N51" s="9"/>
      <c r="O51" s="9"/>
      <c r="P51" s="9"/>
    </row>
    <row r="52" spans="2:16" customFormat="1" x14ac:dyDescent="0.3">
      <c r="B52" s="9"/>
      <c r="C52" s="9"/>
      <c r="D52" s="9"/>
      <c r="E52" s="9"/>
      <c r="F52" s="9"/>
      <c r="G52" s="9"/>
      <c r="H52" s="9"/>
      <c r="I52" s="9"/>
      <c r="J52" s="9"/>
      <c r="K52" s="9"/>
      <c r="L52" s="9"/>
      <c r="M52" s="9"/>
      <c r="N52" s="9"/>
      <c r="O52" s="9"/>
      <c r="P52" s="9"/>
    </row>
    <row r="53" spans="2:16" customFormat="1" x14ac:dyDescent="0.3">
      <c r="B53" s="9"/>
      <c r="C53" s="9"/>
      <c r="D53" s="9"/>
      <c r="E53" s="9"/>
      <c r="F53" s="9"/>
      <c r="G53" s="9"/>
      <c r="H53" s="9"/>
      <c r="I53" s="9"/>
      <c r="J53" s="9"/>
      <c r="K53" s="9"/>
      <c r="L53" s="9"/>
      <c r="M53" s="9"/>
      <c r="N53" s="9"/>
      <c r="O53" s="9"/>
      <c r="P53" s="9"/>
    </row>
    <row r="54" spans="2:16" customFormat="1" x14ac:dyDescent="0.3">
      <c r="B54" s="9"/>
      <c r="C54" s="9"/>
      <c r="D54" s="9"/>
      <c r="E54" s="9"/>
      <c r="F54" s="9"/>
      <c r="G54" s="9"/>
      <c r="H54" s="9"/>
      <c r="I54" s="9"/>
      <c r="J54" s="9"/>
      <c r="K54" s="9"/>
      <c r="L54" s="9"/>
      <c r="M54" s="9"/>
      <c r="N54" s="9"/>
      <c r="O54" s="9"/>
      <c r="P54" s="9"/>
    </row>
    <row r="55" spans="2:16" customFormat="1" x14ac:dyDescent="0.3">
      <c r="B55" s="9"/>
      <c r="C55" s="9"/>
      <c r="D55" s="9"/>
      <c r="E55" s="9"/>
      <c r="F55" s="9"/>
      <c r="G55" s="9"/>
      <c r="H55" s="9"/>
      <c r="I55" s="9"/>
      <c r="J55" s="9"/>
      <c r="K55" s="9"/>
      <c r="L55" s="9"/>
      <c r="M55" s="9"/>
      <c r="N55" s="9"/>
      <c r="O55" s="9"/>
      <c r="P55" s="9"/>
    </row>
    <row r="56" spans="2:16" customFormat="1" x14ac:dyDescent="0.3">
      <c r="B56" s="9"/>
      <c r="C56" s="9"/>
      <c r="D56" s="9"/>
      <c r="E56" s="9"/>
      <c r="F56" s="9"/>
      <c r="G56" s="9"/>
      <c r="H56" s="9"/>
      <c r="I56" s="9"/>
      <c r="J56" s="9"/>
      <c r="K56" s="9"/>
      <c r="L56" s="9"/>
      <c r="M56" s="9"/>
      <c r="N56" s="9"/>
      <c r="O56" s="9"/>
      <c r="P56" s="9"/>
    </row>
    <row r="57" spans="2:16" customFormat="1" x14ac:dyDescent="0.3">
      <c r="B57" s="9"/>
      <c r="C57" s="9"/>
      <c r="D57" s="9"/>
      <c r="E57" s="9"/>
      <c r="F57" s="9"/>
      <c r="G57" s="9"/>
      <c r="H57" s="9"/>
      <c r="I57" s="9"/>
      <c r="J57" s="9"/>
      <c r="K57" s="9"/>
      <c r="L57" s="9"/>
      <c r="M57" s="9"/>
      <c r="N57" s="9"/>
      <c r="O57" s="9"/>
      <c r="P57" s="9"/>
    </row>
    <row r="58" spans="2:16" customFormat="1" x14ac:dyDescent="0.3">
      <c r="B58" s="9"/>
      <c r="C58" s="9"/>
      <c r="D58" s="9"/>
      <c r="E58" s="9"/>
      <c r="F58" s="9"/>
      <c r="G58" s="9"/>
      <c r="H58" s="9"/>
      <c r="I58" s="9"/>
      <c r="J58" s="9"/>
      <c r="K58" s="9"/>
      <c r="L58" s="9"/>
      <c r="M58" s="9"/>
      <c r="N58" s="9"/>
      <c r="O58" s="9"/>
      <c r="P58" s="9"/>
    </row>
    <row r="59" spans="2:16" customFormat="1" x14ac:dyDescent="0.3">
      <c r="B59" s="9"/>
      <c r="C59" s="9"/>
      <c r="D59" s="9"/>
      <c r="E59" s="9"/>
      <c r="F59" s="9"/>
      <c r="G59" s="9"/>
      <c r="H59" s="9"/>
      <c r="I59" s="9"/>
      <c r="J59" s="9"/>
      <c r="K59" s="9"/>
      <c r="L59" s="9"/>
      <c r="M59" s="9"/>
      <c r="N59" s="9"/>
      <c r="O59" s="9"/>
      <c r="P59" s="9"/>
    </row>
    <row r="60" spans="2:16" customFormat="1" x14ac:dyDescent="0.3">
      <c r="B60" s="9"/>
      <c r="C60" s="9"/>
      <c r="D60" s="9"/>
      <c r="E60" s="9"/>
      <c r="F60" s="9"/>
      <c r="G60" s="9"/>
      <c r="H60" s="9"/>
      <c r="I60" s="9"/>
      <c r="J60" s="9"/>
      <c r="K60" s="9"/>
      <c r="L60" s="9"/>
      <c r="M60" s="9"/>
      <c r="N60" s="9"/>
      <c r="O60" s="9"/>
      <c r="P60" s="9"/>
    </row>
    <row r="61" spans="2:16" customFormat="1" x14ac:dyDescent="0.3">
      <c r="B61" s="124"/>
      <c r="C61" s="124"/>
      <c r="D61" s="124"/>
      <c r="E61" s="9"/>
      <c r="F61" s="9"/>
      <c r="G61" s="9"/>
      <c r="H61" s="9"/>
      <c r="I61" s="9"/>
      <c r="J61" s="9"/>
      <c r="K61" s="9"/>
      <c r="L61" s="9"/>
      <c r="M61" s="9"/>
      <c r="N61" s="9"/>
      <c r="O61" s="9"/>
      <c r="P61" s="9"/>
    </row>
    <row r="62" spans="2:16" customFormat="1" x14ac:dyDescent="0.3">
      <c r="B62" s="9"/>
      <c r="C62" s="9"/>
      <c r="D62" s="9"/>
      <c r="E62" s="9"/>
      <c r="F62" s="9"/>
      <c r="G62" s="9"/>
      <c r="H62" s="9"/>
      <c r="I62" s="9"/>
      <c r="J62" s="9"/>
      <c r="K62" s="9"/>
      <c r="L62" s="9"/>
      <c r="M62" s="9"/>
      <c r="N62" s="9"/>
      <c r="O62" s="9"/>
      <c r="P62" s="9"/>
    </row>
    <row r="63" spans="2:16" customFormat="1" x14ac:dyDescent="0.3">
      <c r="B63" s="9"/>
      <c r="C63" s="9"/>
      <c r="D63" s="9"/>
      <c r="E63" s="9"/>
      <c r="F63" s="9"/>
      <c r="G63" s="9"/>
      <c r="H63" s="9"/>
      <c r="I63" s="9"/>
      <c r="J63" s="9"/>
      <c r="K63" s="9"/>
      <c r="L63" s="9"/>
      <c r="M63" s="9"/>
      <c r="N63" s="9"/>
      <c r="O63" s="9"/>
      <c r="P63" s="9"/>
    </row>
    <row r="64" spans="2:16" customFormat="1" x14ac:dyDescent="0.3">
      <c r="B64" s="9"/>
      <c r="C64" s="9"/>
      <c r="D64" s="9"/>
      <c r="E64" s="9"/>
      <c r="F64" s="9"/>
      <c r="G64" s="9"/>
      <c r="H64" s="9"/>
      <c r="I64" s="9"/>
      <c r="J64" s="9"/>
      <c r="K64" s="9"/>
      <c r="L64" s="9"/>
      <c r="M64" s="9"/>
      <c r="N64" s="9"/>
      <c r="O64" s="9"/>
      <c r="P64" s="9"/>
    </row>
    <row r="65" spans="2:16" customFormat="1" x14ac:dyDescent="0.3">
      <c r="B65" s="9"/>
      <c r="C65" s="9"/>
      <c r="D65" s="9"/>
      <c r="E65" s="9"/>
      <c r="F65" s="9"/>
      <c r="G65" s="9"/>
      <c r="H65" s="9"/>
      <c r="I65" s="9"/>
      <c r="J65" s="9"/>
      <c r="K65" s="9"/>
      <c r="L65" s="9"/>
      <c r="M65" s="9"/>
      <c r="N65" s="9"/>
      <c r="O65" s="9"/>
      <c r="P65" s="9"/>
    </row>
    <row r="66" spans="2:16" customFormat="1" x14ac:dyDescent="0.3">
      <c r="B66" s="9"/>
      <c r="C66" s="9"/>
      <c r="D66" s="9"/>
      <c r="E66" s="9"/>
      <c r="F66" s="9"/>
      <c r="G66" s="9"/>
      <c r="H66" s="9"/>
      <c r="I66" s="9"/>
      <c r="J66" s="9"/>
      <c r="K66" s="9"/>
      <c r="L66" s="9"/>
      <c r="M66" s="9"/>
      <c r="N66" s="9"/>
      <c r="O66" s="9"/>
      <c r="P66" s="9"/>
    </row>
    <row r="67" spans="2:16" customFormat="1" x14ac:dyDescent="0.3">
      <c r="B67" s="9"/>
      <c r="C67" s="9"/>
      <c r="D67" s="9"/>
      <c r="E67" s="9"/>
      <c r="F67" s="9"/>
      <c r="G67" s="9"/>
      <c r="H67" s="9"/>
      <c r="I67" s="9"/>
      <c r="J67" s="9"/>
      <c r="K67" s="9"/>
      <c r="L67" s="9"/>
      <c r="M67" s="9"/>
      <c r="N67" s="9"/>
      <c r="O67" s="9"/>
      <c r="P67" s="9"/>
    </row>
    <row r="68" spans="2:16" customFormat="1" x14ac:dyDescent="0.3">
      <c r="B68" s="9"/>
      <c r="C68" s="9"/>
      <c r="D68" s="9"/>
      <c r="E68" s="9"/>
      <c r="F68" s="9"/>
      <c r="G68" s="9"/>
      <c r="H68" s="9"/>
      <c r="I68" s="9"/>
      <c r="J68" s="9"/>
      <c r="K68" s="9"/>
      <c r="L68" s="9"/>
      <c r="M68" s="9"/>
      <c r="N68" s="9"/>
      <c r="O68" s="9"/>
      <c r="P68" s="9"/>
    </row>
    <row r="69" spans="2:16" customFormat="1" ht="10" customHeight="1" x14ac:dyDescent="0.3">
      <c r="B69" s="9"/>
      <c r="C69" s="9"/>
      <c r="D69" s="9"/>
      <c r="E69" s="9"/>
      <c r="F69" s="9"/>
      <c r="G69" s="9"/>
      <c r="H69" s="9"/>
      <c r="I69" s="9"/>
      <c r="J69" s="9"/>
      <c r="K69" s="9"/>
      <c r="L69" s="9"/>
      <c r="M69" s="9"/>
      <c r="N69" s="9"/>
      <c r="O69" s="9"/>
      <c r="P69" s="9"/>
    </row>
    <row r="70" spans="2:16" customFormat="1" x14ac:dyDescent="0.3">
      <c r="B70" s="9"/>
      <c r="C70" s="9"/>
      <c r="D70" s="9"/>
      <c r="E70" s="9"/>
      <c r="F70" s="9"/>
      <c r="G70" s="9"/>
      <c r="H70" s="9"/>
      <c r="I70" s="9"/>
      <c r="J70" s="9"/>
      <c r="K70" s="9"/>
      <c r="L70" s="9"/>
      <c r="M70" s="9"/>
      <c r="N70" s="9"/>
      <c r="O70" s="9"/>
      <c r="P70" s="9"/>
    </row>
    <row r="71" spans="2:16" customFormat="1" x14ac:dyDescent="0.3">
      <c r="B71" s="9"/>
      <c r="C71" s="9"/>
      <c r="D71" s="9"/>
      <c r="E71" s="9"/>
      <c r="F71" s="9"/>
      <c r="G71" s="9"/>
      <c r="H71" s="9"/>
      <c r="I71" s="9"/>
      <c r="J71" s="9"/>
      <c r="K71" s="9"/>
      <c r="L71" s="9"/>
      <c r="M71" s="9"/>
      <c r="N71" s="9"/>
      <c r="O71" s="9"/>
      <c r="P71" s="9"/>
    </row>
    <row r="72" spans="2:16" customFormat="1" x14ac:dyDescent="0.3">
      <c r="B72" s="9"/>
      <c r="C72" s="9"/>
      <c r="D72" s="9"/>
      <c r="E72" s="9"/>
      <c r="F72" s="9"/>
      <c r="G72" s="9"/>
      <c r="H72" s="9"/>
      <c r="I72" s="9"/>
      <c r="J72" s="9"/>
      <c r="K72" s="9"/>
      <c r="L72" s="9"/>
      <c r="M72" s="9"/>
      <c r="N72" s="9"/>
      <c r="O72" s="9"/>
      <c r="P72" s="9"/>
    </row>
    <row r="73" spans="2:16" customFormat="1" x14ac:dyDescent="0.3">
      <c r="B73" s="9"/>
      <c r="C73" s="9"/>
      <c r="D73" s="9"/>
      <c r="E73" s="9"/>
      <c r="F73" s="9"/>
      <c r="G73" s="9"/>
      <c r="H73" s="9"/>
      <c r="I73" s="9"/>
      <c r="J73" s="9"/>
      <c r="K73" s="9"/>
      <c r="L73" s="9"/>
      <c r="M73" s="9"/>
      <c r="N73" s="9"/>
      <c r="O73" s="9"/>
      <c r="P73" s="9"/>
    </row>
    <row r="74" spans="2:16" customFormat="1" x14ac:dyDescent="0.3">
      <c r="B74" s="9"/>
      <c r="C74" s="9"/>
      <c r="D74" s="9"/>
      <c r="E74" s="9"/>
      <c r="F74" s="9"/>
      <c r="G74" s="9"/>
      <c r="H74" s="9"/>
      <c r="I74" s="9"/>
      <c r="J74" s="9"/>
      <c r="K74" s="9"/>
      <c r="L74" s="9"/>
      <c r="M74" s="9"/>
      <c r="N74" s="9"/>
      <c r="O74" s="9"/>
      <c r="P74" s="9"/>
    </row>
    <row r="75" spans="2:16" customFormat="1" x14ac:dyDescent="0.3">
      <c r="B75" s="9"/>
      <c r="C75" s="9"/>
      <c r="D75" s="9"/>
      <c r="E75" s="9"/>
      <c r="F75" s="9"/>
      <c r="G75" s="9"/>
      <c r="H75" s="9"/>
      <c r="I75" s="9"/>
      <c r="J75" s="9"/>
      <c r="K75" s="9"/>
      <c r="L75" s="9"/>
      <c r="M75" s="9"/>
      <c r="N75" s="9"/>
      <c r="O75" s="9"/>
      <c r="P75" s="9"/>
    </row>
    <row r="76" spans="2:16" customFormat="1" x14ac:dyDescent="0.3">
      <c r="B76" s="9"/>
      <c r="C76" s="9"/>
      <c r="D76" s="9"/>
      <c r="E76" s="9"/>
      <c r="F76" s="9"/>
      <c r="G76" s="9"/>
      <c r="H76" s="9"/>
      <c r="I76" s="9"/>
      <c r="J76" s="9"/>
      <c r="K76" s="9"/>
      <c r="L76" s="9"/>
      <c r="M76" s="9"/>
      <c r="N76" s="9"/>
      <c r="O76" s="9"/>
      <c r="P76" s="9"/>
    </row>
    <row r="77" spans="2:16" customFormat="1" x14ac:dyDescent="0.3">
      <c r="B77" s="9"/>
      <c r="C77" s="9"/>
      <c r="D77" s="9"/>
      <c r="E77" s="9"/>
      <c r="F77" s="9"/>
      <c r="G77" s="9"/>
      <c r="H77" s="9"/>
      <c r="I77" s="9"/>
      <c r="J77" s="9"/>
      <c r="K77" s="9"/>
      <c r="L77" s="9"/>
      <c r="M77" s="9"/>
      <c r="N77" s="9"/>
      <c r="O77" s="9"/>
      <c r="P77" s="9"/>
    </row>
    <row r="78" spans="2:16" customFormat="1" x14ac:dyDescent="0.3">
      <c r="B78" s="114" t="s">
        <v>166</v>
      </c>
      <c r="C78" s="114"/>
      <c r="D78" s="114"/>
      <c r="E78" s="18"/>
      <c r="F78" s="18"/>
      <c r="G78" s="18"/>
      <c r="H78" s="18"/>
      <c r="I78" s="18"/>
      <c r="J78" s="18"/>
      <c r="K78" s="18"/>
      <c r="L78" s="18"/>
      <c r="M78" s="18"/>
      <c r="N78" s="18"/>
      <c r="O78" s="18"/>
      <c r="P78" s="18"/>
    </row>
    <row r="79" spans="2:16" customFormat="1" x14ac:dyDescent="0.3">
      <c r="B79" s="9" t="s">
        <v>167</v>
      </c>
      <c r="C79" s="9"/>
      <c r="D79" s="9"/>
      <c r="E79" s="9"/>
      <c r="F79" s="9"/>
      <c r="G79" s="9" t="s">
        <v>168</v>
      </c>
      <c r="H79" s="10" t="s">
        <v>169</v>
      </c>
      <c r="I79" s="9"/>
      <c r="J79" s="9" t="s">
        <v>125</v>
      </c>
      <c r="K79" s="9"/>
      <c r="L79" s="9"/>
      <c r="M79" s="9"/>
      <c r="N79" s="9"/>
      <c r="O79" s="9"/>
      <c r="P79" s="9"/>
    </row>
    <row r="80" spans="2:16" customFormat="1" x14ac:dyDescent="0.3">
      <c r="B80" s="9" t="s">
        <v>135</v>
      </c>
      <c r="C80" s="9"/>
      <c r="D80" s="9"/>
      <c r="E80" s="9"/>
      <c r="F80" s="9"/>
      <c r="G80" s="9" t="s">
        <v>170</v>
      </c>
      <c r="H80" s="10" t="s">
        <v>171</v>
      </c>
      <c r="I80" s="9"/>
      <c r="J80" s="9" t="s">
        <v>172</v>
      </c>
      <c r="K80" s="9"/>
      <c r="L80" s="9"/>
      <c r="M80" s="9"/>
      <c r="N80" s="9"/>
      <c r="O80" s="9"/>
      <c r="P80" s="9"/>
    </row>
    <row r="81" spans="2:191" customFormat="1" x14ac:dyDescent="0.3">
      <c r="B81" s="9" t="s">
        <v>173</v>
      </c>
      <c r="C81" s="9"/>
      <c r="D81" s="9"/>
      <c r="E81" s="9"/>
      <c r="F81" s="9"/>
      <c r="G81" s="9" t="s">
        <v>174</v>
      </c>
      <c r="H81" s="10" t="s">
        <v>175</v>
      </c>
      <c r="I81" s="9"/>
      <c r="J81" s="9"/>
      <c r="K81" s="9"/>
      <c r="L81" s="9"/>
      <c r="M81" s="9"/>
      <c r="N81" s="9"/>
      <c r="O81" s="9"/>
      <c r="P81" s="9"/>
    </row>
    <row r="82" spans="2:191" customFormat="1" x14ac:dyDescent="0.3">
      <c r="B82" s="9" t="s">
        <v>176</v>
      </c>
      <c r="C82" s="9"/>
      <c r="D82" s="9"/>
      <c r="E82" s="9"/>
      <c r="F82" s="9"/>
      <c r="G82" s="9" t="s">
        <v>174</v>
      </c>
      <c r="H82" s="10" t="s">
        <v>175</v>
      </c>
      <c r="I82" s="9"/>
      <c r="J82" s="9"/>
      <c r="K82" s="9"/>
      <c r="L82" s="9"/>
      <c r="M82" s="9"/>
      <c r="N82" s="9"/>
      <c r="O82" s="9"/>
      <c r="P82" s="9"/>
    </row>
    <row r="83" spans="2:191" customFormat="1" x14ac:dyDescent="0.3"/>
    <row r="84" spans="2:191" customFormat="1" x14ac:dyDescent="0.3"/>
    <row r="85" spans="2:191" x14ac:dyDescent="0.3">
      <c r="H85" s="121">
        <f>MAX(J85:GH85)</f>
        <v>49</v>
      </c>
      <c r="J85" s="121">
        <f>IF(Underwriting!T4&gt;Underwriting!$L$10,"",Underwriting!T4)</f>
        <v>1</v>
      </c>
      <c r="K85" s="121"/>
      <c r="L85" s="121">
        <f>IF(Underwriting!U4&gt;Underwriting!$L$10,"",Underwriting!U4)</f>
        <v>2</v>
      </c>
      <c r="M85" s="121">
        <f>IF(Underwriting!V4&gt;Underwriting!$L$10,"",Underwriting!V4)</f>
        <v>3</v>
      </c>
      <c r="N85" s="121">
        <f>IF(Underwriting!W4&gt;Underwriting!$L$10,"",Underwriting!W4)</f>
        <v>4</v>
      </c>
      <c r="O85" s="121">
        <f>IF(Underwriting!X4&gt;Underwriting!$L$10,"",Underwriting!X4)</f>
        <v>5</v>
      </c>
      <c r="P85" s="121">
        <f>IF(Underwriting!Y4&gt;Underwriting!$L$10,"",Underwriting!Y4)</f>
        <v>6</v>
      </c>
      <c r="Q85" s="121">
        <f>IF(Underwriting!Z4&gt;Underwriting!$L$10,"",Underwriting!Z4)</f>
        <v>7</v>
      </c>
      <c r="R85" s="121">
        <f>IF(Underwriting!AA4&gt;Underwriting!$L$10,"",Underwriting!AA4)</f>
        <v>8</v>
      </c>
      <c r="S85" s="121">
        <f>IF(Underwriting!AB4&gt;Underwriting!$L$10,"",Underwriting!AB4)</f>
        <v>9</v>
      </c>
      <c r="T85" s="121">
        <f>IF(Underwriting!AC4&gt;Underwriting!$L$10,"",Underwriting!AC4)</f>
        <v>10</v>
      </c>
      <c r="U85" s="121">
        <f>IF(Underwriting!AD4&gt;Underwriting!$L$10,"",Underwriting!AD4)</f>
        <v>11</v>
      </c>
      <c r="V85" s="121">
        <f>IF(Underwriting!AE4&gt;Underwriting!$L$10,"",Underwriting!AE4)</f>
        <v>12</v>
      </c>
      <c r="W85" s="121">
        <f>IF(Underwriting!AF4&gt;Underwriting!$L$10,"",Underwriting!AF4)</f>
        <v>13</v>
      </c>
      <c r="X85" s="121">
        <f>IF(Underwriting!AG4&gt;Underwriting!$L$10,"",Underwriting!AG4)</f>
        <v>14</v>
      </c>
      <c r="Y85" s="121">
        <f>IF(Underwriting!AH4&gt;Underwriting!$L$10,"",Underwriting!AH4)</f>
        <v>15</v>
      </c>
      <c r="Z85" s="121">
        <f>IF(Underwriting!AI4&gt;Underwriting!$L$10,"",Underwriting!AI4)</f>
        <v>16</v>
      </c>
      <c r="AA85" s="121">
        <f>IF(Underwriting!AJ4&gt;Underwriting!$L$10,"",Underwriting!AJ4)</f>
        <v>17</v>
      </c>
      <c r="AB85" s="121">
        <f>IF(Underwriting!AK4&gt;Underwriting!$L$10,"",Underwriting!AK4)</f>
        <v>18</v>
      </c>
      <c r="AC85" s="121">
        <f>IF(Underwriting!AL4&gt;Underwriting!$L$10,"",Underwriting!AL4)</f>
        <v>19</v>
      </c>
      <c r="AD85" s="121">
        <f>IF(Underwriting!AM4&gt;Underwriting!$L$10,"",Underwriting!AM4)</f>
        <v>20</v>
      </c>
      <c r="AE85" s="121">
        <f>IF(Underwriting!AN4&gt;Underwriting!$L$10,"",Underwriting!AN4)</f>
        <v>21</v>
      </c>
      <c r="AF85" s="121">
        <f>IF(Underwriting!AO4&gt;Underwriting!$L$10,"",Underwriting!AO4)</f>
        <v>22</v>
      </c>
      <c r="AG85" s="121">
        <f>IF(Underwriting!AP4&gt;Underwriting!$L$10,"",Underwriting!AP4)</f>
        <v>23</v>
      </c>
      <c r="AH85" s="121">
        <f>IF(Underwriting!AQ4&gt;Underwriting!$L$10,"",Underwriting!AQ4)</f>
        <v>24</v>
      </c>
      <c r="AI85" s="121">
        <f>IF(Underwriting!AR4&gt;Underwriting!$L$10,"",Underwriting!AR4)</f>
        <v>25</v>
      </c>
      <c r="AJ85" s="121">
        <f>IF(Underwriting!AS4&gt;Underwriting!$L$10,"",Underwriting!AS4)</f>
        <v>26</v>
      </c>
      <c r="AK85" s="121">
        <f>IF(Underwriting!AT4&gt;Underwriting!$L$10,"",Underwriting!AT4)</f>
        <v>27</v>
      </c>
      <c r="AL85" s="121">
        <f>IF(Underwriting!AU4&gt;Underwriting!$L$10,"",Underwriting!AU4)</f>
        <v>28</v>
      </c>
      <c r="AM85" s="121">
        <f>IF(Underwriting!AV4&gt;Underwriting!$L$10,"",Underwriting!AV4)</f>
        <v>29</v>
      </c>
      <c r="AN85" s="121">
        <f>IF(Underwriting!AW4&gt;Underwriting!$L$10,"",Underwriting!AW4)</f>
        <v>30</v>
      </c>
      <c r="AO85" s="121">
        <f>IF(Underwriting!AX4&gt;Underwriting!$L$10,"",Underwriting!AX4)</f>
        <v>31</v>
      </c>
      <c r="AP85" s="121">
        <f>IF(Underwriting!AY4&gt;Underwriting!$L$10,"",Underwriting!AY4)</f>
        <v>32</v>
      </c>
      <c r="AQ85" s="121">
        <f>IF(Underwriting!AZ4&gt;Underwriting!$L$10,"",Underwriting!AZ4)</f>
        <v>33</v>
      </c>
      <c r="AR85" s="121">
        <f>IF(Underwriting!BA4&gt;Underwriting!$L$10,"",Underwriting!BA4)</f>
        <v>34</v>
      </c>
      <c r="AS85" s="121">
        <f>IF(Underwriting!BB4&gt;Underwriting!$L$10,"",Underwriting!BB4)</f>
        <v>35</v>
      </c>
      <c r="AT85" s="121">
        <f>IF(Underwriting!BC4&gt;Underwriting!$L$10,"",Underwriting!BC4)</f>
        <v>36</v>
      </c>
      <c r="AU85" s="121">
        <f>IF(Underwriting!BD4&gt;Underwriting!$L$10,"",Underwriting!BD4)</f>
        <v>37</v>
      </c>
      <c r="AV85" s="121">
        <f>IF(Underwriting!BE4&gt;Underwriting!$L$10,"",Underwriting!BE4)</f>
        <v>38</v>
      </c>
      <c r="AW85" s="121">
        <f>IF(Underwriting!BF4&gt;Underwriting!$L$10,"",Underwriting!BF4)</f>
        <v>39</v>
      </c>
      <c r="AX85" s="121">
        <f>IF(Underwriting!BG4&gt;Underwriting!$L$10,"",Underwriting!BG4)</f>
        <v>40</v>
      </c>
      <c r="AY85" s="121">
        <f>IF(Underwriting!BH4&gt;Underwriting!$L$10,"",Underwriting!BH4)</f>
        <v>41</v>
      </c>
      <c r="AZ85" s="121">
        <f>IF(Underwriting!BI4&gt;Underwriting!$L$10,"",Underwriting!BI4)</f>
        <v>42</v>
      </c>
      <c r="BA85" s="121">
        <f>IF(Underwriting!BJ4&gt;Underwriting!$L$10,"",Underwriting!BJ4)</f>
        <v>43</v>
      </c>
      <c r="BB85" s="121">
        <f>IF(Underwriting!BK4&gt;Underwriting!$L$10,"",Underwriting!BK4)</f>
        <v>44</v>
      </c>
      <c r="BC85" s="121">
        <f>IF(Underwriting!BL4&gt;Underwriting!$L$10,"",Underwriting!BL4)</f>
        <v>45</v>
      </c>
      <c r="BD85" s="121">
        <f>IF(Underwriting!BM4&gt;Underwriting!$L$10,"",Underwriting!BM4)</f>
        <v>46</v>
      </c>
      <c r="BE85" s="121">
        <f>IF(Underwriting!BN4&gt;Underwriting!$L$10,"",Underwriting!BN4)</f>
        <v>47</v>
      </c>
      <c r="BF85" s="121">
        <f>IF(Underwriting!BO4&gt;Underwriting!$L$10,"",Underwriting!BO4)</f>
        <v>48</v>
      </c>
      <c r="BG85" s="121">
        <f>IF(Underwriting!BP4&gt;Underwriting!$L$10,"",Underwriting!BP4)</f>
        <v>49</v>
      </c>
      <c r="BH85" s="121" t="str">
        <f>IF(Underwriting!BQ4&gt;Underwriting!$L$10,"",Underwriting!BQ4)</f>
        <v/>
      </c>
      <c r="BI85" s="121" t="str">
        <f>IF(Underwriting!BR4&gt;Underwriting!$L$10,"",Underwriting!BR4)</f>
        <v/>
      </c>
      <c r="BJ85" s="121" t="str">
        <f>IF(Underwriting!BS4&gt;Underwriting!$L$10,"",Underwriting!BS4)</f>
        <v/>
      </c>
      <c r="BK85" s="121" t="str">
        <f>IF(Underwriting!BT4&gt;Underwriting!$L$10,"",Underwriting!BT4)</f>
        <v/>
      </c>
      <c r="BL85" s="121" t="str">
        <f>IF(Underwriting!BU4&gt;Underwriting!$L$10,"",Underwriting!BU4)</f>
        <v/>
      </c>
      <c r="BM85" s="121" t="str">
        <f>IF(Underwriting!BV4&gt;Underwriting!$L$10,"",Underwriting!BV4)</f>
        <v/>
      </c>
      <c r="BN85" s="121" t="str">
        <f>IF(Underwriting!BW4&gt;Underwriting!$L$10,"",Underwriting!BW4)</f>
        <v/>
      </c>
      <c r="BO85" s="121" t="str">
        <f>IF(Underwriting!BX4&gt;Underwriting!$L$10,"",Underwriting!BX4)</f>
        <v/>
      </c>
      <c r="BP85" s="121" t="str">
        <f>IF(Underwriting!BY4&gt;Underwriting!$L$10,"",Underwriting!BY4)</f>
        <v/>
      </c>
      <c r="BQ85" s="121" t="str">
        <f>IF(Underwriting!BZ4&gt;Underwriting!$L$10,"",Underwriting!BZ4)</f>
        <v/>
      </c>
      <c r="BR85" s="121" t="str">
        <f>IF(Underwriting!CA4&gt;Underwriting!$L$10,"",Underwriting!CA4)</f>
        <v/>
      </c>
      <c r="BS85" s="121" t="str">
        <f>IF(Underwriting!CB4&gt;Underwriting!$L$10,"",Underwriting!CB4)</f>
        <v/>
      </c>
      <c r="BT85" s="121" t="str">
        <f>IF(Underwriting!CC4&gt;Underwriting!$L$10,"",Underwriting!CC4)</f>
        <v/>
      </c>
      <c r="BU85" s="121" t="str">
        <f>IF(Underwriting!CD4&gt;Underwriting!$L$10,"",Underwriting!CD4)</f>
        <v/>
      </c>
      <c r="BV85" s="121" t="str">
        <f>IF(Underwriting!CE4&gt;Underwriting!$L$10,"",Underwriting!CE4)</f>
        <v/>
      </c>
      <c r="BW85" s="121" t="str">
        <f>IF(Underwriting!CF4&gt;Underwriting!$L$10,"",Underwriting!CF4)</f>
        <v/>
      </c>
      <c r="BX85" s="121" t="str">
        <f>IF(Underwriting!CG4&gt;Underwriting!$L$10,"",Underwriting!CG4)</f>
        <v/>
      </c>
      <c r="BY85" s="121" t="str">
        <f>IF(Underwriting!CH4&gt;Underwriting!$L$10,"",Underwriting!CH4)</f>
        <v/>
      </c>
      <c r="BZ85" s="121" t="str">
        <f>IF(Underwriting!CI4&gt;Underwriting!$L$10,"",Underwriting!CI4)</f>
        <v/>
      </c>
      <c r="CA85" s="121" t="str">
        <f>IF(Underwriting!CJ4&gt;Underwriting!$L$10,"",Underwriting!CJ4)</f>
        <v/>
      </c>
      <c r="CB85" s="121" t="str">
        <f>IF(Underwriting!CK4&gt;Underwriting!$L$10,"",Underwriting!CK4)</f>
        <v/>
      </c>
      <c r="CC85" s="121" t="str">
        <f>IF(Underwriting!CL4&gt;Underwriting!$L$10,"",Underwriting!CL4)</f>
        <v/>
      </c>
      <c r="CD85" s="121" t="str">
        <f>IF(Underwriting!CM4&gt;Underwriting!$L$10,"",Underwriting!CM4)</f>
        <v/>
      </c>
      <c r="CE85" s="121" t="str">
        <f>IF(Underwriting!CN4&gt;Underwriting!$L$10,"",Underwriting!CN4)</f>
        <v/>
      </c>
      <c r="CF85" s="121" t="str">
        <f>IF(Underwriting!CO4&gt;Underwriting!$L$10,"",Underwriting!CO4)</f>
        <v/>
      </c>
      <c r="CG85" s="121" t="str">
        <f>IF(Underwriting!CP4&gt;Underwriting!$L$10,"",Underwriting!CP4)</f>
        <v/>
      </c>
      <c r="CH85" s="121" t="str">
        <f>IF(Underwriting!CQ4&gt;Underwriting!$L$10,"",Underwriting!CQ4)</f>
        <v/>
      </c>
      <c r="CI85" s="121" t="str">
        <f>IF(Underwriting!CR4&gt;Underwriting!$L$10,"",Underwriting!CR4)</f>
        <v/>
      </c>
      <c r="CJ85" s="121" t="str">
        <f>IF(Underwriting!CS4&gt;Underwriting!$L$10,"",Underwriting!CS4)</f>
        <v/>
      </c>
      <c r="CK85" s="121" t="str">
        <f>IF(Underwriting!CT4&gt;Underwriting!$L$10,"",Underwriting!CT4)</f>
        <v/>
      </c>
      <c r="CL85" s="121" t="str">
        <f>IF(Underwriting!CU4&gt;Underwriting!$L$10,"",Underwriting!CU4)</f>
        <v/>
      </c>
      <c r="CM85" s="121" t="str">
        <f>IF(Underwriting!CV4&gt;Underwriting!$L$10,"",Underwriting!CV4)</f>
        <v/>
      </c>
      <c r="CN85" s="121" t="str">
        <f>IF(Underwriting!CW4&gt;Underwriting!$L$10,"",Underwriting!CW4)</f>
        <v/>
      </c>
      <c r="CO85" s="121" t="str">
        <f>IF(Underwriting!CX4&gt;Underwriting!$L$10,"",Underwriting!CX4)</f>
        <v/>
      </c>
      <c r="CP85" s="121" t="str">
        <f>IF(Underwriting!CY4&gt;Underwriting!$L$10,"",Underwriting!CY4)</f>
        <v/>
      </c>
      <c r="CQ85" s="121" t="str">
        <f>IF(Underwriting!CZ4&gt;Underwriting!$L$10,"",Underwriting!CZ4)</f>
        <v/>
      </c>
      <c r="CR85" s="121" t="str">
        <f>IF(Underwriting!DA4&gt;Underwriting!$L$10,"",Underwriting!DA4)</f>
        <v/>
      </c>
      <c r="CS85" s="121" t="str">
        <f>IF(Underwriting!DB4&gt;Underwriting!$L$10,"",Underwriting!DB4)</f>
        <v/>
      </c>
      <c r="CT85" s="121" t="str">
        <f>IF(Underwriting!DC4&gt;Underwriting!$L$10,"",Underwriting!DC4)</f>
        <v/>
      </c>
      <c r="CU85" s="121" t="str">
        <f>IF(Underwriting!DD4&gt;Underwriting!$L$10,"",Underwriting!DD4)</f>
        <v/>
      </c>
      <c r="CV85" s="121" t="str">
        <f>IF(Underwriting!DE4&gt;Underwriting!$L$10,"",Underwriting!DE4)</f>
        <v/>
      </c>
      <c r="CW85" s="121" t="str">
        <f>IF(Underwriting!DF4&gt;Underwriting!$L$10,"",Underwriting!DF4)</f>
        <v/>
      </c>
      <c r="CX85" s="121" t="str">
        <f>IF(Underwriting!DG4&gt;Underwriting!$L$10,"",Underwriting!DG4)</f>
        <v/>
      </c>
      <c r="CY85" s="121" t="str">
        <f>IF(Underwriting!DH4&gt;Underwriting!$L$10,"",Underwriting!DH4)</f>
        <v/>
      </c>
      <c r="CZ85" s="121" t="str">
        <f>IF(Underwriting!DI4&gt;Underwriting!$L$10,"",Underwriting!DI4)</f>
        <v/>
      </c>
      <c r="DA85" s="121" t="str">
        <f>IF(Underwriting!DJ4&gt;Underwriting!$L$10,"",Underwriting!DJ4)</f>
        <v/>
      </c>
      <c r="DB85" s="121" t="str">
        <f>IF(Underwriting!DK4&gt;Underwriting!$L$10,"",Underwriting!DK4)</f>
        <v/>
      </c>
      <c r="DC85" s="121" t="str">
        <f>IF(Underwriting!DL4&gt;Underwriting!$L$10,"",Underwriting!DL4)</f>
        <v/>
      </c>
      <c r="DD85" s="121" t="str">
        <f>IF(Underwriting!DM4&gt;Underwriting!$L$10,"",Underwriting!DM4)</f>
        <v/>
      </c>
      <c r="DE85" s="121" t="str">
        <f>IF(Underwriting!DN4&gt;Underwriting!$L$10,"",Underwriting!DN4)</f>
        <v/>
      </c>
      <c r="DF85" s="121" t="str">
        <f>IF(Underwriting!DO4&gt;Underwriting!$L$10,"",Underwriting!DO4)</f>
        <v/>
      </c>
      <c r="DG85" s="121" t="str">
        <f>IF(Underwriting!DP4&gt;Underwriting!$L$10,"",Underwriting!DP4)</f>
        <v/>
      </c>
      <c r="DH85" s="121" t="str">
        <f>IF(Underwriting!DQ4&gt;Underwriting!$L$10,"",Underwriting!DQ4)</f>
        <v/>
      </c>
      <c r="DI85" s="121" t="str">
        <f>IF(Underwriting!DR4&gt;Underwriting!$L$10,"",Underwriting!DR4)</f>
        <v/>
      </c>
      <c r="DJ85" s="121" t="str">
        <f>IF(Underwriting!DS4&gt;Underwriting!$L$10,"",Underwriting!DS4)</f>
        <v/>
      </c>
      <c r="DK85" s="121" t="str">
        <f>IF(Underwriting!DT4&gt;Underwriting!$L$10,"",Underwriting!DT4)</f>
        <v/>
      </c>
      <c r="DL85" s="121" t="str">
        <f>IF(Underwriting!DU4&gt;Underwriting!$L$10,"",Underwriting!DU4)</f>
        <v/>
      </c>
      <c r="DM85" s="121" t="str">
        <f>IF(Underwriting!DV4&gt;Underwriting!$L$10,"",Underwriting!DV4)</f>
        <v/>
      </c>
      <c r="DN85" s="121" t="str">
        <f>IF(Underwriting!DW4&gt;Underwriting!$L$10,"",Underwriting!DW4)</f>
        <v/>
      </c>
      <c r="DO85" s="121" t="str">
        <f>IF(Underwriting!DX4&gt;Underwriting!$L$10,"",Underwriting!DX4)</f>
        <v/>
      </c>
      <c r="DP85" s="121" t="str">
        <f>IF(Underwriting!DY4&gt;Underwriting!$L$10,"",Underwriting!DY4)</f>
        <v/>
      </c>
      <c r="DQ85" s="121" t="str">
        <f>IF(Underwriting!DZ4&gt;Underwriting!$L$10,"",Underwriting!DZ4)</f>
        <v/>
      </c>
      <c r="DR85" s="121" t="str">
        <f>IF(Underwriting!EA4&gt;Underwriting!$L$10,"",Underwriting!EA4)</f>
        <v/>
      </c>
      <c r="DS85" s="121" t="str">
        <f>IF(Underwriting!EB4&gt;Underwriting!$L$10,"",Underwriting!EB4)</f>
        <v/>
      </c>
      <c r="DT85" s="121" t="str">
        <f>IF(Underwriting!EC4&gt;Underwriting!$L$10,"",Underwriting!EC4)</f>
        <v/>
      </c>
      <c r="DU85" s="121" t="str">
        <f>IF(Underwriting!ED4&gt;Underwriting!$L$10,"",Underwriting!ED4)</f>
        <v/>
      </c>
      <c r="DV85" s="121" t="str">
        <f>IF(Underwriting!EE4&gt;Underwriting!$L$10,"",Underwriting!EE4)</f>
        <v/>
      </c>
      <c r="DW85" s="121" t="str">
        <f>IF(Underwriting!EF4&gt;Underwriting!$L$10,"",Underwriting!EF4)</f>
        <v/>
      </c>
      <c r="DX85" s="121" t="str">
        <f>IF(Underwriting!EG4&gt;Underwriting!$L$10,"",Underwriting!EG4)</f>
        <v/>
      </c>
      <c r="DY85" s="121" t="str">
        <f>IF(Underwriting!EH4&gt;Underwriting!$L$10,"",Underwriting!EH4)</f>
        <v/>
      </c>
      <c r="DZ85" s="121" t="str">
        <f>IF(Underwriting!EI4&gt;Underwriting!$L$10,"",Underwriting!EI4)</f>
        <v/>
      </c>
      <c r="EA85" s="121" t="str">
        <f>IF(Underwriting!EJ4&gt;Underwriting!$L$10,"",Underwriting!EJ4)</f>
        <v/>
      </c>
      <c r="EB85" s="121" t="str">
        <f>IF(Underwriting!EK4&gt;Underwriting!$L$10,"",Underwriting!EK4)</f>
        <v/>
      </c>
      <c r="EC85" s="121" t="str">
        <f>IF(Underwriting!EL4&gt;Underwriting!$L$10,"",Underwriting!EL4)</f>
        <v/>
      </c>
      <c r="ED85" s="121" t="str">
        <f>IF(Underwriting!EM4&gt;Underwriting!$L$10,"",Underwriting!EM4)</f>
        <v/>
      </c>
      <c r="EE85" s="121" t="str">
        <f>IF(Underwriting!EN4&gt;Underwriting!$L$10,"",Underwriting!EN4)</f>
        <v/>
      </c>
      <c r="EF85" s="121" t="str">
        <f>IF(Underwriting!EO4&gt;Underwriting!$L$10,"",Underwriting!EO4)</f>
        <v/>
      </c>
      <c r="EG85" s="121" t="str">
        <f>IF(Underwriting!EP4&gt;Underwriting!$L$10,"",Underwriting!EP4)</f>
        <v/>
      </c>
      <c r="EH85" s="121" t="str">
        <f>IF(Underwriting!EQ4&gt;Underwriting!$L$10,"",Underwriting!EQ4)</f>
        <v/>
      </c>
      <c r="EI85" s="121" t="str">
        <f>IF(Underwriting!ER4&gt;Underwriting!$L$10,"",Underwriting!ER4)</f>
        <v/>
      </c>
      <c r="EJ85" s="121" t="str">
        <f>IF(Underwriting!ES4&gt;Underwriting!$L$10,"",Underwriting!ES4)</f>
        <v/>
      </c>
      <c r="EK85" s="121" t="str">
        <f>IF(Underwriting!ET4&gt;Underwriting!$L$10,"",Underwriting!ET4)</f>
        <v/>
      </c>
      <c r="EL85" s="121" t="str">
        <f>IF(Underwriting!EU4&gt;Underwriting!$L$10,"",Underwriting!EU4)</f>
        <v/>
      </c>
      <c r="EM85" s="121" t="str">
        <f>IF(Underwriting!EV4&gt;Underwriting!$L$10,"",Underwriting!EV4)</f>
        <v/>
      </c>
      <c r="EN85" s="121" t="str">
        <f>IF(Underwriting!EW4&gt;Underwriting!$L$10,"",Underwriting!EW4)</f>
        <v/>
      </c>
      <c r="EO85" s="121" t="str">
        <f>IF(Underwriting!EX4&gt;Underwriting!$L$10,"",Underwriting!EX4)</f>
        <v/>
      </c>
      <c r="EP85" s="121" t="str">
        <f>IF(Underwriting!EY4&gt;Underwriting!$L$10,"",Underwriting!EY4)</f>
        <v/>
      </c>
      <c r="EQ85" s="121" t="str">
        <f>IF(Underwriting!EZ4&gt;Underwriting!$L$10,"",Underwriting!EZ4)</f>
        <v/>
      </c>
      <c r="ER85" s="121" t="str">
        <f>IF(Underwriting!FA4&gt;Underwriting!$L$10,"",Underwriting!FA4)</f>
        <v/>
      </c>
      <c r="ES85" s="121" t="str">
        <f>IF(Underwriting!FB4&gt;Underwriting!$L$10,"",Underwriting!FB4)</f>
        <v/>
      </c>
      <c r="ET85" s="121" t="str">
        <f>IF(Underwriting!FC4&gt;Underwriting!$L$10,"",Underwriting!FC4)</f>
        <v/>
      </c>
      <c r="EU85" s="121" t="str">
        <f>IF(Underwriting!FD4&gt;Underwriting!$L$10,"",Underwriting!FD4)</f>
        <v/>
      </c>
      <c r="EV85" s="121" t="str">
        <f>IF(Underwriting!FE4&gt;Underwriting!$L$10,"",Underwriting!FE4)</f>
        <v/>
      </c>
      <c r="EW85" s="121" t="str">
        <f>IF(Underwriting!FF4&gt;Underwriting!$L$10,"",Underwriting!FF4)</f>
        <v/>
      </c>
      <c r="EX85" s="121" t="str">
        <f>IF(Underwriting!FG4&gt;Underwriting!$L$10,"",Underwriting!FG4)</f>
        <v/>
      </c>
      <c r="EY85" s="121" t="str">
        <f>IF(Underwriting!FH4&gt;Underwriting!$L$10,"",Underwriting!FH4)</f>
        <v/>
      </c>
      <c r="EZ85" s="121" t="str">
        <f>IF(Underwriting!FI4&gt;Underwriting!$L$10,"",Underwriting!FI4)</f>
        <v/>
      </c>
      <c r="FA85" s="121" t="str">
        <f>IF(Underwriting!FJ4&gt;Underwriting!$L$10,"",Underwriting!FJ4)</f>
        <v/>
      </c>
      <c r="FB85" s="121" t="str">
        <f>IF(Underwriting!FK4&gt;Underwriting!$L$10,"",Underwriting!FK4)</f>
        <v/>
      </c>
      <c r="FC85" s="121" t="str">
        <f>IF(Underwriting!FL4&gt;Underwriting!$L$10,"",Underwriting!FL4)</f>
        <v/>
      </c>
      <c r="FD85" s="121" t="str">
        <f>IF(Underwriting!FM4&gt;Underwriting!$L$10,"",Underwriting!FM4)</f>
        <v/>
      </c>
      <c r="FE85" s="121" t="str">
        <f>IF(Underwriting!FN4&gt;Underwriting!$L$10,"",Underwriting!FN4)</f>
        <v/>
      </c>
      <c r="FF85" s="121" t="str">
        <f>IF(Underwriting!FO4&gt;Underwriting!$L$10,"",Underwriting!FO4)</f>
        <v/>
      </c>
      <c r="FG85" s="121" t="str">
        <f>IF(Underwriting!FP4&gt;Underwriting!$L$10,"",Underwriting!FP4)</f>
        <v/>
      </c>
      <c r="FH85" s="121" t="str">
        <f>IF(Underwriting!FQ4&gt;Underwriting!$L$10,"",Underwriting!FQ4)</f>
        <v/>
      </c>
      <c r="FI85" s="121" t="str">
        <f>IF(Underwriting!FR4&gt;Underwriting!$L$10,"",Underwriting!FR4)</f>
        <v/>
      </c>
      <c r="FJ85" s="121" t="str">
        <f>IF(Underwriting!FS4&gt;Underwriting!$L$10,"",Underwriting!FS4)</f>
        <v/>
      </c>
      <c r="FK85" s="121" t="str">
        <f>IF(Underwriting!FT4&gt;Underwriting!$L$10,"",Underwriting!FT4)</f>
        <v/>
      </c>
      <c r="FL85" s="121" t="str">
        <f>IF(Underwriting!FU4&gt;Underwriting!$L$10,"",Underwriting!FU4)</f>
        <v/>
      </c>
      <c r="FM85" s="121" t="str">
        <f>IF(Underwriting!FV4&gt;Underwriting!$L$10,"",Underwriting!FV4)</f>
        <v/>
      </c>
      <c r="FN85" s="121" t="str">
        <f>IF(Underwriting!FW4&gt;Underwriting!$L$10,"",Underwriting!FW4)</f>
        <v/>
      </c>
      <c r="FO85" s="121" t="str">
        <f>IF(Underwriting!FX4&gt;Underwriting!$L$10,"",Underwriting!FX4)</f>
        <v/>
      </c>
      <c r="FP85" s="121" t="str">
        <f>IF(Underwriting!FY4&gt;Underwriting!$L$10,"",Underwriting!FY4)</f>
        <v/>
      </c>
      <c r="FQ85" s="121" t="str">
        <f>IF(Underwriting!FZ4&gt;Underwriting!$L$10,"",Underwriting!FZ4)</f>
        <v/>
      </c>
      <c r="FR85" s="121" t="str">
        <f>IF(Underwriting!GA4&gt;Underwriting!$L$10,"",Underwriting!GA4)</f>
        <v/>
      </c>
      <c r="FS85" s="121" t="str">
        <f>IF(Underwriting!GB4&gt;Underwriting!$L$10,"",Underwriting!GB4)</f>
        <v/>
      </c>
      <c r="FT85" s="121" t="str">
        <f>IF(Underwriting!GC4&gt;Underwriting!$L$10,"",Underwriting!GC4)</f>
        <v/>
      </c>
      <c r="FU85" s="121" t="str">
        <f>IF(Underwriting!GD4&gt;Underwriting!$L$10,"",Underwriting!GD4)</f>
        <v/>
      </c>
      <c r="FV85" s="121" t="str">
        <f>IF(Underwriting!GE4&gt;Underwriting!$L$10,"",Underwriting!GE4)</f>
        <v/>
      </c>
      <c r="FW85" s="121" t="str">
        <f>IF(Underwriting!GF4&gt;Underwriting!$L$10,"",Underwriting!GF4)</f>
        <v/>
      </c>
      <c r="FX85" s="121" t="str">
        <f>IF(Underwriting!GG4&gt;Underwriting!$L$10,"",Underwriting!GG4)</f>
        <v/>
      </c>
      <c r="FY85" s="121" t="str">
        <f>IF(Underwriting!GH4&gt;Underwriting!$L$10,"",Underwriting!GH4)</f>
        <v/>
      </c>
      <c r="FZ85" s="121" t="str">
        <f>IF(Underwriting!GI4&gt;Underwriting!$L$10,"",Underwriting!GI4)</f>
        <v/>
      </c>
      <c r="GA85" s="121" t="str">
        <f>IF(Underwriting!GJ4&gt;Underwriting!$L$10,"",Underwriting!GJ4)</f>
        <v/>
      </c>
      <c r="GB85" s="121" t="str">
        <f>IF(Underwriting!GK4&gt;Underwriting!$L$10,"",Underwriting!GK4)</f>
        <v/>
      </c>
      <c r="GC85" s="121" t="str">
        <f>IF(Underwriting!GL4&gt;Underwriting!$L$10,"",Underwriting!GL4)</f>
        <v/>
      </c>
      <c r="GD85" s="121" t="str">
        <f>IF(Underwriting!GM4&gt;Underwriting!$L$10,"",Underwriting!GM4)</f>
        <v/>
      </c>
      <c r="GE85" s="121" t="str">
        <f>IF(Underwriting!GN4&gt;Underwriting!$L$10,"",Underwriting!GN4)</f>
        <v/>
      </c>
      <c r="GF85" s="121" t="str">
        <f>IF(Underwriting!GO4&gt;Underwriting!$L$10,"",Underwriting!GO4)</f>
        <v/>
      </c>
      <c r="GG85" s="121" t="str">
        <f>IF(Underwriting!GP4&gt;Underwriting!$L$10,"",Underwriting!GP4)</f>
        <v/>
      </c>
      <c r="GH85" s="121" t="str">
        <f>IF(Underwriting!GQ4&gt;Underwriting!$L$10,"",Underwriting!GQ4)</f>
        <v/>
      </c>
      <c r="GI85" s="121"/>
    </row>
    <row r="86" spans="2:191" x14ac:dyDescent="0.3">
      <c r="I86" s="122" t="str">
        <f>Underwriting!B19</f>
        <v>Total Land Costs</v>
      </c>
      <c r="J86" s="118">
        <f>IF(J$85="","",Underwriting!T19)</f>
        <v>2883000</v>
      </c>
      <c r="L86" s="118">
        <f>IF(L$85="","",Underwriting!U19)</f>
        <v>0</v>
      </c>
      <c r="M86" s="118">
        <f>IF(M$85="","",Underwriting!V19)</f>
        <v>0</v>
      </c>
      <c r="N86" s="118">
        <f>IF(N$85="","",Underwriting!W19)</f>
        <v>0</v>
      </c>
      <c r="O86" s="118">
        <f>IF(O$85="","",Underwriting!X19)</f>
        <v>0</v>
      </c>
      <c r="P86" s="118">
        <f>IF(P$85="","",Underwriting!Y19)</f>
        <v>0</v>
      </c>
      <c r="Q86" s="118">
        <f>IF(Q$85="","",Underwriting!Z19)</f>
        <v>0</v>
      </c>
      <c r="R86" s="118">
        <f>IF(R$85="","",Underwriting!AA19)</f>
        <v>0</v>
      </c>
      <c r="S86" s="118">
        <f>IF(S$85="","",Underwriting!AB19)</f>
        <v>0</v>
      </c>
      <c r="T86" s="118">
        <f>IF(T$85="","",Underwriting!AC19)</f>
        <v>0</v>
      </c>
      <c r="U86" s="118">
        <f>IF(U$85="","",Underwriting!AD19)</f>
        <v>0</v>
      </c>
      <c r="V86" s="118">
        <f>IF(V$85="","",Underwriting!AE19)</f>
        <v>0</v>
      </c>
      <c r="W86" s="118">
        <f>IF(W$85="","",Underwriting!AF19)</f>
        <v>0</v>
      </c>
      <c r="X86" s="118">
        <f>IF(X$85="","",Underwriting!AG19)</f>
        <v>0</v>
      </c>
      <c r="Y86" s="118">
        <f>IF(Y$85="","",Underwriting!AH19)</f>
        <v>0</v>
      </c>
      <c r="Z86" s="118">
        <f>IF(Z$85="","",Underwriting!AI19)</f>
        <v>0</v>
      </c>
      <c r="AA86" s="118">
        <f>IF(AA$85="","",Underwriting!AJ19)</f>
        <v>0</v>
      </c>
      <c r="AB86" s="118">
        <f>IF(AB$85="","",Underwriting!AK19)</f>
        <v>0</v>
      </c>
      <c r="AC86" s="118">
        <f>IF(AC$85="","",Underwriting!AL19)</f>
        <v>0</v>
      </c>
      <c r="AD86" s="118">
        <f>IF(AD$85="","",Underwriting!AM19)</f>
        <v>0</v>
      </c>
      <c r="AE86" s="118">
        <f>IF(AE$85="","",Underwriting!AN19)</f>
        <v>0</v>
      </c>
      <c r="AF86" s="118">
        <f>IF(AF$85="","",Underwriting!AO19)</f>
        <v>0</v>
      </c>
      <c r="AG86" s="118">
        <f>IF(AG$85="","",Underwriting!AP19)</f>
        <v>0</v>
      </c>
      <c r="AH86" s="118">
        <f>IF(AH$85="","",Underwriting!AQ19)</f>
        <v>0</v>
      </c>
      <c r="AI86" s="118">
        <f>IF(AI$85="","",Underwriting!AR19)</f>
        <v>0</v>
      </c>
      <c r="AJ86" s="118">
        <f>IF(AJ$85="","",Underwriting!AS19)</f>
        <v>0</v>
      </c>
      <c r="AK86" s="118">
        <f>IF(AK$85="","",Underwriting!AT19)</f>
        <v>0</v>
      </c>
      <c r="AL86" s="118">
        <f>IF(AL$85="","",Underwriting!AU19)</f>
        <v>0</v>
      </c>
      <c r="AM86" s="118">
        <f>IF(AM$85="","",Underwriting!AV19)</f>
        <v>0</v>
      </c>
      <c r="AN86" s="118">
        <f>IF(AN$85="","",Underwriting!AW19)</f>
        <v>0</v>
      </c>
      <c r="AO86" s="118">
        <f>IF(AO$85="","",Underwriting!AX19)</f>
        <v>0</v>
      </c>
      <c r="AP86" s="118">
        <f>IF(AP$85="","",Underwriting!AY19)</f>
        <v>0</v>
      </c>
      <c r="AQ86" s="118">
        <f>IF(AQ$85="","",Underwriting!AZ19)</f>
        <v>0</v>
      </c>
      <c r="AR86" s="118">
        <f>IF(AR$85="","",Underwriting!BA19)</f>
        <v>0</v>
      </c>
      <c r="AS86" s="118">
        <f>IF(AS$85="","",Underwriting!BB19)</f>
        <v>0</v>
      </c>
      <c r="AT86" s="118">
        <f>IF(AT$85="","",Underwriting!BC19)</f>
        <v>0</v>
      </c>
      <c r="AU86" s="118">
        <f>IF(AU$85="","",Underwriting!BD19)</f>
        <v>0</v>
      </c>
      <c r="AV86" s="118">
        <f>IF(AV$85="","",Underwriting!BE19)</f>
        <v>0</v>
      </c>
      <c r="AW86" s="118">
        <f>IF(AW$85="","",Underwriting!BF19)</f>
        <v>0</v>
      </c>
      <c r="AX86" s="118">
        <f>IF(AX$85="","",Underwriting!BG19)</f>
        <v>0</v>
      </c>
      <c r="AY86" s="118">
        <f>IF(AY$85="","",Underwriting!BH19)</f>
        <v>0</v>
      </c>
      <c r="AZ86" s="118">
        <f>IF(AZ$85="","",Underwriting!BI19)</f>
        <v>0</v>
      </c>
      <c r="BA86" s="118">
        <f>IF(BA$85="","",Underwriting!BJ19)</f>
        <v>0</v>
      </c>
      <c r="BB86" s="118">
        <f>IF(BB$85="","",Underwriting!BK19)</f>
        <v>0</v>
      </c>
      <c r="BC86" s="118">
        <f>IF(BC$85="","",Underwriting!BL19)</f>
        <v>0</v>
      </c>
      <c r="BD86" s="118">
        <f>IF(BD$85="","",Underwriting!BM19)</f>
        <v>0</v>
      </c>
      <c r="BE86" s="118">
        <f>IF(BE$85="","",Underwriting!BN19)</f>
        <v>0</v>
      </c>
      <c r="BF86" s="118">
        <f>IF(BF$85="","",Underwriting!BO19)</f>
        <v>0</v>
      </c>
      <c r="BG86" s="118">
        <f>IF(BG$85="","",Underwriting!BP19)</f>
        <v>0</v>
      </c>
      <c r="BH86" s="118" t="str">
        <f>IF(BH$85="","",Underwriting!BQ19)</f>
        <v/>
      </c>
      <c r="BI86" s="118" t="str">
        <f>IF(BI$85="","",Underwriting!BR19)</f>
        <v/>
      </c>
      <c r="BJ86" s="118" t="str">
        <f>IF(BJ$85="","",Underwriting!BS19)</f>
        <v/>
      </c>
      <c r="BK86" s="118" t="str">
        <f>IF(BK$85="","",Underwriting!BT19)</f>
        <v/>
      </c>
      <c r="BL86" s="118" t="str">
        <f>IF(BL$85="","",Underwriting!BU19)</f>
        <v/>
      </c>
      <c r="BM86" s="118" t="str">
        <f>IF(BM$85="","",Underwriting!BV19)</f>
        <v/>
      </c>
      <c r="BN86" s="118" t="str">
        <f>IF(BN$85="","",Underwriting!BW19)</f>
        <v/>
      </c>
      <c r="BO86" s="118" t="str">
        <f>IF(BO$85="","",Underwriting!BX19)</f>
        <v/>
      </c>
      <c r="BP86" s="118" t="str">
        <f>IF(BP$85="","",Underwriting!BY19)</f>
        <v/>
      </c>
      <c r="BQ86" s="118" t="str">
        <f>IF(BQ$85="","",Underwriting!BZ19)</f>
        <v/>
      </c>
      <c r="BR86" s="118" t="str">
        <f>IF(BR$85="","",Underwriting!CA19)</f>
        <v/>
      </c>
      <c r="BS86" s="118" t="str">
        <f>IF(BS$85="","",Underwriting!CB19)</f>
        <v/>
      </c>
      <c r="BT86" s="118" t="str">
        <f>IF(BT$85="","",Underwriting!CC19)</f>
        <v/>
      </c>
      <c r="BU86" s="118" t="str">
        <f>IF(BU$85="","",Underwriting!CD19)</f>
        <v/>
      </c>
      <c r="BV86" s="118" t="str">
        <f>IF(BV$85="","",Underwriting!CE19)</f>
        <v/>
      </c>
      <c r="BW86" s="118" t="str">
        <f>IF(BW$85="","",Underwriting!CF19)</f>
        <v/>
      </c>
      <c r="BX86" s="118" t="str">
        <f>IF(BX$85="","",Underwriting!CG19)</f>
        <v/>
      </c>
      <c r="BY86" s="118" t="str">
        <f>IF(BY$85="","",Underwriting!CH19)</f>
        <v/>
      </c>
      <c r="BZ86" s="118" t="str">
        <f>IF(BZ$85="","",Underwriting!CI19)</f>
        <v/>
      </c>
      <c r="CA86" s="118" t="str">
        <f>IF(CA$85="","",Underwriting!CJ19)</f>
        <v/>
      </c>
      <c r="CB86" s="118" t="str">
        <f>IF(CB$85="","",Underwriting!CK19)</f>
        <v/>
      </c>
      <c r="CC86" s="118" t="str">
        <f>IF(CC$85="","",Underwriting!CL19)</f>
        <v/>
      </c>
      <c r="CD86" s="118" t="str">
        <f>IF(CD$85="","",Underwriting!CM19)</f>
        <v/>
      </c>
      <c r="CE86" s="118" t="str">
        <f>IF(CE$85="","",Underwriting!CN19)</f>
        <v/>
      </c>
      <c r="CF86" s="118" t="str">
        <f>IF(CF$85="","",Underwriting!CO19)</f>
        <v/>
      </c>
      <c r="CG86" s="118" t="str">
        <f>IF(CG$85="","",Underwriting!CP19)</f>
        <v/>
      </c>
      <c r="CH86" s="118" t="str">
        <f>IF(CH$85="","",Underwriting!CQ19)</f>
        <v/>
      </c>
      <c r="CI86" s="118" t="str">
        <f>IF(CI$85="","",Underwriting!CR19)</f>
        <v/>
      </c>
      <c r="CJ86" s="118" t="str">
        <f>IF(CJ$85="","",Underwriting!CS19)</f>
        <v/>
      </c>
      <c r="CK86" s="118" t="str">
        <f>IF(CK$85="","",Underwriting!CT19)</f>
        <v/>
      </c>
      <c r="CL86" s="118" t="str">
        <f>IF(CL$85="","",Underwriting!CU19)</f>
        <v/>
      </c>
      <c r="CM86" s="118" t="str">
        <f>IF(CM$85="","",Underwriting!CV19)</f>
        <v/>
      </c>
      <c r="CN86" s="118" t="str">
        <f>IF(CN$85="","",Underwriting!CW19)</f>
        <v/>
      </c>
      <c r="CO86" s="118" t="str">
        <f>IF(CO$85="","",Underwriting!CX19)</f>
        <v/>
      </c>
      <c r="CP86" s="118" t="str">
        <f>IF(CP$85="","",Underwriting!CY19)</f>
        <v/>
      </c>
      <c r="CQ86" s="118" t="str">
        <f>IF(CQ$85="","",Underwriting!CZ19)</f>
        <v/>
      </c>
      <c r="CR86" s="118" t="str">
        <f>IF(CR$85="","",Underwriting!DA19)</f>
        <v/>
      </c>
      <c r="CS86" s="118" t="str">
        <f>IF(CS$85="","",Underwriting!DB19)</f>
        <v/>
      </c>
      <c r="CT86" s="118" t="str">
        <f>IF(CT$85="","",Underwriting!DC19)</f>
        <v/>
      </c>
      <c r="CU86" s="118" t="str">
        <f>IF(CU$85="","",Underwriting!DD19)</f>
        <v/>
      </c>
      <c r="CV86" s="118" t="str">
        <f>IF(CV$85="","",Underwriting!DE19)</f>
        <v/>
      </c>
      <c r="CW86" s="118" t="str">
        <f>IF(CW$85="","",Underwriting!DF19)</f>
        <v/>
      </c>
      <c r="CX86" s="118" t="str">
        <f>IF(CX$85="","",Underwriting!DG19)</f>
        <v/>
      </c>
      <c r="CY86" s="118" t="str">
        <f>IF(CY$85="","",Underwriting!DH19)</f>
        <v/>
      </c>
      <c r="CZ86" s="118" t="str">
        <f>IF(CZ$85="","",Underwriting!DI19)</f>
        <v/>
      </c>
      <c r="DA86" s="118" t="str">
        <f>IF(DA$85="","",Underwriting!DJ19)</f>
        <v/>
      </c>
      <c r="DB86" s="118" t="str">
        <f>IF(DB$85="","",Underwriting!DK19)</f>
        <v/>
      </c>
      <c r="DC86" s="118" t="str">
        <f>IF(DC$85="","",Underwriting!DL19)</f>
        <v/>
      </c>
      <c r="DD86" s="118" t="str">
        <f>IF(DD$85="","",Underwriting!DM19)</f>
        <v/>
      </c>
      <c r="DE86" s="118" t="str">
        <f>IF(DE$85="","",Underwriting!DN19)</f>
        <v/>
      </c>
      <c r="DF86" s="118" t="str">
        <f>IF(DF$85="","",Underwriting!DO19)</f>
        <v/>
      </c>
      <c r="DG86" s="118" t="str">
        <f>IF(DG$85="","",Underwriting!DP19)</f>
        <v/>
      </c>
      <c r="DH86" s="118" t="str">
        <f>IF(DH$85="","",Underwriting!DQ19)</f>
        <v/>
      </c>
      <c r="DI86" s="118" t="str">
        <f>IF(DI$85="","",Underwriting!DR19)</f>
        <v/>
      </c>
      <c r="DJ86" s="118" t="str">
        <f>IF(DJ$85="","",Underwriting!DS19)</f>
        <v/>
      </c>
      <c r="DK86" s="118" t="str">
        <f>IF(DK$85="","",Underwriting!DT19)</f>
        <v/>
      </c>
      <c r="DL86" s="118" t="str">
        <f>IF(DL$85="","",Underwriting!DU19)</f>
        <v/>
      </c>
      <c r="DM86" s="118" t="str">
        <f>IF(DM$85="","",Underwriting!DV19)</f>
        <v/>
      </c>
      <c r="DN86" s="118" t="str">
        <f>IF(DN$85="","",Underwriting!DW19)</f>
        <v/>
      </c>
      <c r="DO86" s="118" t="str">
        <f>IF(DO$85="","",Underwriting!DX19)</f>
        <v/>
      </c>
      <c r="DP86" s="118" t="str">
        <f>IF(DP$85="","",Underwriting!DY19)</f>
        <v/>
      </c>
      <c r="DQ86" s="118" t="str">
        <f>IF(DQ$85="","",Underwriting!DZ19)</f>
        <v/>
      </c>
      <c r="DR86" s="118" t="str">
        <f>IF(DR$85="","",Underwriting!EA19)</f>
        <v/>
      </c>
      <c r="DS86" s="118" t="str">
        <f>IF(DS$85="","",Underwriting!EB19)</f>
        <v/>
      </c>
      <c r="DT86" s="118" t="str">
        <f>IF(DT$85="","",Underwriting!EC19)</f>
        <v/>
      </c>
      <c r="DU86" s="118" t="str">
        <f>IF(DU$85="","",Underwriting!ED19)</f>
        <v/>
      </c>
      <c r="DV86" s="118" t="str">
        <f>IF(DV$85="","",Underwriting!EE19)</f>
        <v/>
      </c>
      <c r="DW86" s="118" t="str">
        <f>IF(DW$85="","",Underwriting!EF19)</f>
        <v/>
      </c>
      <c r="DX86" s="118" t="str">
        <f>IF(DX$85="","",Underwriting!EG19)</f>
        <v/>
      </c>
      <c r="DY86" s="118" t="str">
        <f>IF(DY$85="","",Underwriting!EH19)</f>
        <v/>
      </c>
      <c r="DZ86" s="118" t="str">
        <f>IF(DZ$85="","",Underwriting!EI19)</f>
        <v/>
      </c>
      <c r="EA86" s="118" t="str">
        <f>IF(EA$85="","",Underwriting!EJ19)</f>
        <v/>
      </c>
      <c r="EB86" s="118" t="str">
        <f>IF(EB$85="","",Underwriting!EK19)</f>
        <v/>
      </c>
      <c r="EC86" s="118" t="str">
        <f>IF(EC$85="","",Underwriting!EL19)</f>
        <v/>
      </c>
      <c r="ED86" s="118" t="str">
        <f>IF(ED$85="","",Underwriting!EM19)</f>
        <v/>
      </c>
      <c r="EE86" s="118" t="str">
        <f>IF(EE$85="","",Underwriting!EN19)</f>
        <v/>
      </c>
      <c r="EF86" s="118" t="str">
        <f>IF(EF$85="","",Underwriting!EO19)</f>
        <v/>
      </c>
      <c r="EG86" s="118" t="str">
        <f>IF(EG$85="","",Underwriting!EP19)</f>
        <v/>
      </c>
      <c r="EH86" s="118" t="str">
        <f>IF(EH$85="","",Underwriting!EQ19)</f>
        <v/>
      </c>
      <c r="EI86" s="118" t="str">
        <f>IF(EI$85="","",Underwriting!ER19)</f>
        <v/>
      </c>
      <c r="EJ86" s="118" t="str">
        <f>IF(EJ$85="","",Underwriting!ES19)</f>
        <v/>
      </c>
      <c r="EK86" s="118" t="str">
        <f>IF(EK$85="","",Underwriting!ET19)</f>
        <v/>
      </c>
      <c r="EL86" s="118" t="str">
        <f>IF(EL$85="","",Underwriting!EU19)</f>
        <v/>
      </c>
      <c r="EM86" s="118" t="str">
        <f>IF(EM$85="","",Underwriting!EV19)</f>
        <v/>
      </c>
      <c r="EN86" s="118" t="str">
        <f>IF(EN$85="","",Underwriting!EW19)</f>
        <v/>
      </c>
      <c r="EO86" s="118" t="str">
        <f>IF(EO$85="","",Underwriting!EX19)</f>
        <v/>
      </c>
      <c r="EP86" s="118" t="str">
        <f>IF(EP$85="","",Underwriting!EY19)</f>
        <v/>
      </c>
      <c r="EQ86" s="118" t="str">
        <f>IF(EQ$85="","",Underwriting!EZ19)</f>
        <v/>
      </c>
      <c r="ER86" s="118" t="str">
        <f>IF(ER$85="","",Underwriting!FA19)</f>
        <v/>
      </c>
      <c r="ES86" s="118" t="str">
        <f>IF(ES$85="","",Underwriting!FB19)</f>
        <v/>
      </c>
      <c r="ET86" s="118" t="str">
        <f>IF(ET$85="","",Underwriting!FC19)</f>
        <v/>
      </c>
      <c r="EU86" s="118" t="str">
        <f>IF(EU$85="","",Underwriting!FD19)</f>
        <v/>
      </c>
      <c r="EV86" s="118" t="str">
        <f>IF(EV$85="","",Underwriting!FE19)</f>
        <v/>
      </c>
      <c r="EW86" s="118" t="str">
        <f>IF(EW$85="","",Underwriting!FF19)</f>
        <v/>
      </c>
      <c r="EX86" s="118" t="str">
        <f>IF(EX$85="","",Underwriting!FG19)</f>
        <v/>
      </c>
      <c r="EY86" s="118" t="str">
        <f>IF(EY$85="","",Underwriting!FH19)</f>
        <v/>
      </c>
      <c r="EZ86" s="118" t="str">
        <f>IF(EZ$85="","",Underwriting!FI19)</f>
        <v/>
      </c>
      <c r="FA86" s="118" t="str">
        <f>IF(FA$85="","",Underwriting!FJ19)</f>
        <v/>
      </c>
      <c r="FB86" s="118" t="str">
        <f>IF(FB$85="","",Underwriting!FK19)</f>
        <v/>
      </c>
      <c r="FC86" s="118" t="str">
        <f>IF(FC$85="","",Underwriting!FL19)</f>
        <v/>
      </c>
      <c r="FD86" s="118" t="str">
        <f>IF(FD$85="","",Underwriting!FM19)</f>
        <v/>
      </c>
      <c r="FE86" s="118" t="str">
        <f>IF(FE$85="","",Underwriting!FN19)</f>
        <v/>
      </c>
      <c r="FF86" s="118" t="str">
        <f>IF(FF$85="","",Underwriting!FO19)</f>
        <v/>
      </c>
      <c r="FG86" s="118" t="str">
        <f>IF(FG$85="","",Underwriting!FP19)</f>
        <v/>
      </c>
      <c r="FH86" s="118" t="str">
        <f>IF(FH$85="","",Underwriting!FQ19)</f>
        <v/>
      </c>
      <c r="FI86" s="118" t="str">
        <f>IF(FI$85="","",Underwriting!FR19)</f>
        <v/>
      </c>
      <c r="FJ86" s="118" t="str">
        <f>IF(FJ$85="","",Underwriting!FS19)</f>
        <v/>
      </c>
      <c r="FK86" s="118" t="str">
        <f>IF(FK$85="","",Underwriting!FT19)</f>
        <v/>
      </c>
      <c r="FL86" s="118" t="str">
        <f>IF(FL$85="","",Underwriting!FU19)</f>
        <v/>
      </c>
      <c r="FM86" s="118" t="str">
        <f>IF(FM$85="","",Underwriting!FV19)</f>
        <v/>
      </c>
      <c r="FN86" s="118" t="str">
        <f>IF(FN$85="","",Underwriting!FW19)</f>
        <v/>
      </c>
      <c r="FO86" s="118" t="str">
        <f>IF(FO$85="","",Underwriting!FX19)</f>
        <v/>
      </c>
      <c r="FP86" s="118" t="str">
        <f>IF(FP$85="","",Underwriting!FY19)</f>
        <v/>
      </c>
      <c r="FQ86" s="118" t="str">
        <f>IF(FQ$85="","",Underwriting!FZ19)</f>
        <v/>
      </c>
      <c r="FR86" s="118" t="str">
        <f>IF(FR$85="","",Underwriting!GA19)</f>
        <v/>
      </c>
      <c r="FS86" s="118" t="str">
        <f>IF(FS$85="","",Underwriting!GB19)</f>
        <v/>
      </c>
      <c r="FT86" s="118" t="str">
        <f>IF(FT$85="","",Underwriting!GC19)</f>
        <v/>
      </c>
      <c r="FU86" s="118" t="str">
        <f>IF(FU$85="","",Underwriting!GD19)</f>
        <v/>
      </c>
      <c r="FV86" s="118" t="str">
        <f>IF(FV$85="","",Underwriting!GE19)</f>
        <v/>
      </c>
      <c r="FW86" s="118" t="str">
        <f>IF(FW$85="","",Underwriting!GF19)</f>
        <v/>
      </c>
      <c r="FX86" s="118" t="str">
        <f>IF(FX$85="","",Underwriting!GG19)</f>
        <v/>
      </c>
      <c r="FY86" s="118" t="str">
        <f>IF(FY$85="","",Underwriting!GH19)</f>
        <v/>
      </c>
      <c r="FZ86" s="118" t="str">
        <f>IF(FZ$85="","",Underwriting!GI19)</f>
        <v/>
      </c>
      <c r="GA86" s="118" t="str">
        <f>IF(GA$85="","",Underwriting!GJ19)</f>
        <v/>
      </c>
      <c r="GB86" s="118" t="str">
        <f>IF(GB$85="","",Underwriting!GK19)</f>
        <v/>
      </c>
      <c r="GC86" s="118" t="str">
        <f>IF(GC$85="","",Underwriting!GL19)</f>
        <v/>
      </c>
      <c r="GD86" s="118" t="str">
        <f>IF(GD$85="","",Underwriting!GM19)</f>
        <v/>
      </c>
      <c r="GE86" s="118" t="str">
        <f>IF(GE$85="","",Underwriting!GN19)</f>
        <v/>
      </c>
      <c r="GF86" s="118" t="str">
        <f>IF(GF$85="","",Underwriting!GO19)</f>
        <v/>
      </c>
      <c r="GG86" s="118" t="str">
        <f>IF(GG$85="","",Underwriting!GP19)</f>
        <v/>
      </c>
      <c r="GH86" s="118" t="str">
        <f>IF(GH$85="","",Underwriting!GQ19)</f>
        <v/>
      </c>
    </row>
    <row r="87" spans="2:191" x14ac:dyDescent="0.3">
      <c r="H87" s="122"/>
      <c r="I87" s="122" t="str">
        <f>Underwriting!B27</f>
        <v>Total Hard Costs (Horizontal)</v>
      </c>
      <c r="J87" s="118">
        <f>IF(J$85="","",Underwriting!T27)</f>
        <v>11359.375</v>
      </c>
      <c r="L87" s="118">
        <f>IF(L$85="","",Underwriting!U27)</f>
        <v>18250.045828823102</v>
      </c>
      <c r="M87" s="118">
        <f>IF(M$85="","",Underwriting!V27)</f>
        <v>23615.24237319038</v>
      </c>
      <c r="N87" s="118">
        <f>IF(N$85="","",Underwriting!W27)</f>
        <v>32247.589668269513</v>
      </c>
      <c r="O87" s="118">
        <f>IF(O$85="","",Underwriting!X27)</f>
        <v>45473.43902953386</v>
      </c>
      <c r="P87" s="118">
        <f>IF(P$85="","",Underwriting!Y27)</f>
        <v>64747.000291083103</v>
      </c>
      <c r="Q87" s="118">
        <f>IF(Q$85="","",Underwriting!Z27)</f>
        <v>91420.719166756229</v>
      </c>
      <c r="R87" s="118">
        <f>IF(R$85="","",Underwriting!AA27)</f>
        <v>126407.72504592669</v>
      </c>
      <c r="S87" s="118">
        <f>IF(S$85="","",Underwriting!AB27)</f>
        <v>169780.56000762942</v>
      </c>
      <c r="T87" s="118">
        <f>IF(T$85="","",Underwriting!AC27)</f>
        <v>220395.60101235914</v>
      </c>
      <c r="U87" s="118">
        <f>IF(U$85="","",Underwriting!AD27)</f>
        <v>275664.36833633925</v>
      </c>
      <c r="V87" s="118">
        <f>IF(V$85="","",Underwriting!AE27)</f>
        <v>331591.39887132833</v>
      </c>
      <c r="W87" s="118">
        <f>IF(W$85="","",Underwriting!AF27)</f>
        <v>383151.15737573872</v>
      </c>
      <c r="X87" s="118">
        <f>IF(X$85="","",Underwriting!AG27)</f>
        <v>424987.90761317493</v>
      </c>
      <c r="Y87" s="118">
        <f>IF(Y$85="","",Underwriting!AH27)</f>
        <v>452317.04277500953</v>
      </c>
      <c r="Z87" s="118">
        <f>IF(Z$85="","",Underwriting!AI27)</f>
        <v>461822.28020967566</v>
      </c>
      <c r="AA87" s="118">
        <f>IF(AA$85="","",Underwriting!AJ27)</f>
        <v>452317.04277500982</v>
      </c>
      <c r="AB87" s="118">
        <f>IF(AB$85="","",Underwriting!AK27)</f>
        <v>424987.90761317464</v>
      </c>
      <c r="AC87" s="118">
        <f>IF(AC$85="","",Underwriting!AL27)</f>
        <v>383151.15737573855</v>
      </c>
      <c r="AD87" s="118">
        <f>IF(AD$85="","",Underwriting!AM27)</f>
        <v>331591.39887132851</v>
      </c>
      <c r="AE87" s="118">
        <f>IF(AE$85="","",Underwriting!AN27)</f>
        <v>275664.36833633913</v>
      </c>
      <c r="AF87" s="118">
        <f>IF(AF$85="","",Underwriting!AO27)</f>
        <v>220395.60101235923</v>
      </c>
      <c r="AG87" s="118">
        <f>IF(AG$85="","",Underwriting!AP27)</f>
        <v>169780.56000762928</v>
      </c>
      <c r="AH87" s="118">
        <f>IF(AH$85="","",Underwriting!AQ27)</f>
        <v>126407.72504592722</v>
      </c>
      <c r="AI87" s="118">
        <f>IF(AI$85="","",Underwriting!AR27)</f>
        <v>80061.344166755676</v>
      </c>
      <c r="AJ87" s="118">
        <f>IF(AJ$85="","",Underwriting!AS27)</f>
        <v>53387.625291083219</v>
      </c>
      <c r="AK87" s="118">
        <f>IF(AK$85="","",Underwriting!AT27)</f>
        <v>34114.064029534267</v>
      </c>
      <c r="AL87" s="118">
        <f>IF(AL$85="","",Underwriting!AU27)</f>
        <v>20888.214668269262</v>
      </c>
      <c r="AM87" s="118">
        <f>IF(AM$85="","",Underwriting!AV27)</f>
        <v>12255.867373190258</v>
      </c>
      <c r="AN87" s="118">
        <f>IF(AN$85="","",Underwriting!AW27)</f>
        <v>6890.670828823143</v>
      </c>
      <c r="AO87" s="118">
        <f>IF(AO$85="","",Underwriting!AX27)</f>
        <v>0</v>
      </c>
      <c r="AP87" s="118">
        <f>IF(AP$85="","",Underwriting!AY27)</f>
        <v>0</v>
      </c>
      <c r="AQ87" s="118">
        <f>IF(AQ$85="","",Underwriting!AZ27)</f>
        <v>0</v>
      </c>
      <c r="AR87" s="118">
        <f>IF(AR$85="","",Underwriting!BA27)</f>
        <v>0</v>
      </c>
      <c r="AS87" s="118">
        <f>IF(AS$85="","",Underwriting!BB27)</f>
        <v>0</v>
      </c>
      <c r="AT87" s="118">
        <f>IF(AT$85="","",Underwriting!BC27)</f>
        <v>0</v>
      </c>
      <c r="AU87" s="118">
        <f>IF(AU$85="","",Underwriting!BD27)</f>
        <v>0</v>
      </c>
      <c r="AV87" s="118">
        <f>IF(AV$85="","",Underwriting!BE27)</f>
        <v>0</v>
      </c>
      <c r="AW87" s="118">
        <f>IF(AW$85="","",Underwriting!BF27)</f>
        <v>0</v>
      </c>
      <c r="AX87" s="118">
        <f>IF(AX$85="","",Underwriting!BG27)</f>
        <v>0</v>
      </c>
      <c r="AY87" s="118">
        <f>IF(AY$85="","",Underwriting!BH27)</f>
        <v>0</v>
      </c>
      <c r="AZ87" s="118">
        <f>IF(AZ$85="","",Underwriting!BI27)</f>
        <v>0</v>
      </c>
      <c r="BA87" s="118">
        <f>IF(BA$85="","",Underwriting!BJ27)</f>
        <v>0</v>
      </c>
      <c r="BB87" s="118">
        <f>IF(BB$85="","",Underwriting!BK27)</f>
        <v>0</v>
      </c>
      <c r="BC87" s="118">
        <f>IF(BC$85="","",Underwriting!BL27)</f>
        <v>0</v>
      </c>
      <c r="BD87" s="118">
        <f>IF(BD$85="","",Underwriting!BM27)</f>
        <v>0</v>
      </c>
      <c r="BE87" s="118">
        <f>IF(BE$85="","",Underwriting!BN27)</f>
        <v>0</v>
      </c>
      <c r="BF87" s="118">
        <f>IF(BF$85="","",Underwriting!BO27)</f>
        <v>0</v>
      </c>
      <c r="BG87" s="118">
        <f>IF(BG$85="","",Underwriting!BP27)</f>
        <v>0</v>
      </c>
      <c r="BH87" s="118" t="str">
        <f>IF(BH$85="","",Underwriting!BQ27)</f>
        <v/>
      </c>
      <c r="BI87" s="118" t="str">
        <f>IF(BI$85="","",Underwriting!BR27)</f>
        <v/>
      </c>
      <c r="BJ87" s="118" t="str">
        <f>IF(BJ$85="","",Underwriting!BS27)</f>
        <v/>
      </c>
      <c r="BK87" s="118" t="str">
        <f>IF(BK$85="","",Underwriting!BT27)</f>
        <v/>
      </c>
      <c r="BL87" s="118" t="str">
        <f>IF(BL$85="","",Underwriting!BU27)</f>
        <v/>
      </c>
      <c r="BM87" s="118" t="str">
        <f>IF(BM$85="","",Underwriting!BV27)</f>
        <v/>
      </c>
      <c r="BN87" s="118" t="str">
        <f>IF(BN$85="","",Underwriting!BW27)</f>
        <v/>
      </c>
      <c r="BO87" s="118" t="str">
        <f>IF(BO$85="","",Underwriting!BX27)</f>
        <v/>
      </c>
      <c r="BP87" s="118" t="str">
        <f>IF(BP$85="","",Underwriting!BY27)</f>
        <v/>
      </c>
      <c r="BQ87" s="118" t="str">
        <f>IF(BQ$85="","",Underwriting!BZ27)</f>
        <v/>
      </c>
      <c r="BR87" s="118" t="str">
        <f>IF(BR$85="","",Underwriting!CA27)</f>
        <v/>
      </c>
      <c r="BS87" s="118" t="str">
        <f>IF(BS$85="","",Underwriting!CB27)</f>
        <v/>
      </c>
      <c r="BT87" s="118" t="str">
        <f>IF(BT$85="","",Underwriting!CC27)</f>
        <v/>
      </c>
      <c r="BU87" s="118" t="str">
        <f>IF(BU$85="","",Underwriting!CD27)</f>
        <v/>
      </c>
      <c r="BV87" s="118" t="str">
        <f>IF(BV$85="","",Underwriting!CE27)</f>
        <v/>
      </c>
      <c r="BW87" s="118" t="str">
        <f>IF(BW$85="","",Underwriting!CF27)</f>
        <v/>
      </c>
      <c r="BX87" s="118" t="str">
        <f>IF(BX$85="","",Underwriting!CG27)</f>
        <v/>
      </c>
      <c r="BY87" s="118" t="str">
        <f>IF(BY$85="","",Underwriting!CH27)</f>
        <v/>
      </c>
      <c r="BZ87" s="118" t="str">
        <f>IF(BZ$85="","",Underwriting!CI27)</f>
        <v/>
      </c>
      <c r="CA87" s="118" t="str">
        <f>IF(CA$85="","",Underwriting!CJ27)</f>
        <v/>
      </c>
      <c r="CB87" s="118" t="str">
        <f>IF(CB$85="","",Underwriting!CK27)</f>
        <v/>
      </c>
      <c r="CC87" s="118" t="str">
        <f>IF(CC$85="","",Underwriting!CL27)</f>
        <v/>
      </c>
      <c r="CD87" s="118" t="str">
        <f>IF(CD$85="","",Underwriting!CM27)</f>
        <v/>
      </c>
      <c r="CE87" s="118" t="str">
        <f>IF(CE$85="","",Underwriting!CN27)</f>
        <v/>
      </c>
      <c r="CF87" s="118" t="str">
        <f>IF(CF$85="","",Underwriting!CO27)</f>
        <v/>
      </c>
      <c r="CG87" s="118" t="str">
        <f>IF(CG$85="","",Underwriting!CP27)</f>
        <v/>
      </c>
      <c r="CH87" s="118" t="str">
        <f>IF(CH$85="","",Underwriting!CQ27)</f>
        <v/>
      </c>
      <c r="CI87" s="118" t="str">
        <f>IF(CI$85="","",Underwriting!CR27)</f>
        <v/>
      </c>
      <c r="CJ87" s="118" t="str">
        <f>IF(CJ$85="","",Underwriting!CS27)</f>
        <v/>
      </c>
      <c r="CK87" s="118" t="str">
        <f>IF(CK$85="","",Underwriting!CT27)</f>
        <v/>
      </c>
      <c r="CL87" s="118" t="str">
        <f>IF(CL$85="","",Underwriting!CU27)</f>
        <v/>
      </c>
      <c r="CM87" s="118" t="str">
        <f>IF(CM$85="","",Underwriting!CV27)</f>
        <v/>
      </c>
      <c r="CN87" s="118" t="str">
        <f>IF(CN$85="","",Underwriting!CW27)</f>
        <v/>
      </c>
      <c r="CO87" s="118" t="str">
        <f>IF(CO$85="","",Underwriting!CX27)</f>
        <v/>
      </c>
      <c r="CP87" s="118" t="str">
        <f>IF(CP$85="","",Underwriting!CY27)</f>
        <v/>
      </c>
      <c r="CQ87" s="118" t="str">
        <f>IF(CQ$85="","",Underwriting!CZ27)</f>
        <v/>
      </c>
      <c r="CR87" s="118" t="str">
        <f>IF(CR$85="","",Underwriting!DA27)</f>
        <v/>
      </c>
      <c r="CS87" s="118" t="str">
        <f>IF(CS$85="","",Underwriting!DB27)</f>
        <v/>
      </c>
      <c r="CT87" s="118" t="str">
        <f>IF(CT$85="","",Underwriting!DC27)</f>
        <v/>
      </c>
      <c r="CU87" s="118" t="str">
        <f>IF(CU$85="","",Underwriting!DD27)</f>
        <v/>
      </c>
      <c r="CV87" s="118" t="str">
        <f>IF(CV$85="","",Underwriting!DE27)</f>
        <v/>
      </c>
      <c r="CW87" s="118" t="str">
        <f>IF(CW$85="","",Underwriting!DF27)</f>
        <v/>
      </c>
      <c r="CX87" s="118" t="str">
        <f>IF(CX$85="","",Underwriting!DG27)</f>
        <v/>
      </c>
      <c r="CY87" s="118" t="str">
        <f>IF(CY$85="","",Underwriting!DH27)</f>
        <v/>
      </c>
      <c r="CZ87" s="118" t="str">
        <f>IF(CZ$85="","",Underwriting!DI27)</f>
        <v/>
      </c>
      <c r="DA87" s="118" t="str">
        <f>IF(DA$85="","",Underwriting!DJ27)</f>
        <v/>
      </c>
      <c r="DB87" s="118" t="str">
        <f>IF(DB$85="","",Underwriting!DK27)</f>
        <v/>
      </c>
      <c r="DC87" s="118" t="str">
        <f>IF(DC$85="","",Underwriting!DL27)</f>
        <v/>
      </c>
      <c r="DD87" s="118" t="str">
        <f>IF(DD$85="","",Underwriting!DM27)</f>
        <v/>
      </c>
      <c r="DE87" s="118" t="str">
        <f>IF(DE$85="","",Underwriting!DN27)</f>
        <v/>
      </c>
      <c r="DF87" s="118" t="str">
        <f>IF(DF$85="","",Underwriting!DO27)</f>
        <v/>
      </c>
      <c r="DG87" s="118" t="str">
        <f>IF(DG$85="","",Underwriting!DP27)</f>
        <v/>
      </c>
      <c r="DH87" s="118" t="str">
        <f>IF(DH$85="","",Underwriting!DQ27)</f>
        <v/>
      </c>
      <c r="DI87" s="118" t="str">
        <f>IF(DI$85="","",Underwriting!DR27)</f>
        <v/>
      </c>
      <c r="DJ87" s="118" t="str">
        <f>IF(DJ$85="","",Underwriting!DS27)</f>
        <v/>
      </c>
      <c r="DK87" s="118" t="str">
        <f>IF(DK$85="","",Underwriting!DT27)</f>
        <v/>
      </c>
      <c r="DL87" s="118" t="str">
        <f>IF(DL$85="","",Underwriting!DU27)</f>
        <v/>
      </c>
      <c r="DM87" s="118" t="str">
        <f>IF(DM$85="","",Underwriting!DV27)</f>
        <v/>
      </c>
      <c r="DN87" s="118" t="str">
        <f>IF(DN$85="","",Underwriting!DW27)</f>
        <v/>
      </c>
      <c r="DO87" s="118" t="str">
        <f>IF(DO$85="","",Underwriting!DX27)</f>
        <v/>
      </c>
      <c r="DP87" s="118" t="str">
        <f>IF(DP$85="","",Underwriting!DY27)</f>
        <v/>
      </c>
      <c r="DQ87" s="118" t="str">
        <f>IF(DQ$85="","",Underwriting!DZ27)</f>
        <v/>
      </c>
      <c r="DR87" s="118" t="str">
        <f>IF(DR$85="","",Underwriting!EA27)</f>
        <v/>
      </c>
      <c r="DS87" s="118" t="str">
        <f>IF(DS$85="","",Underwriting!EB27)</f>
        <v/>
      </c>
      <c r="DT87" s="118" t="str">
        <f>IF(DT$85="","",Underwriting!EC27)</f>
        <v/>
      </c>
      <c r="DU87" s="118" t="str">
        <f>IF(DU$85="","",Underwriting!ED27)</f>
        <v/>
      </c>
      <c r="DV87" s="118" t="str">
        <f>IF(DV$85="","",Underwriting!EE27)</f>
        <v/>
      </c>
      <c r="DW87" s="118" t="str">
        <f>IF(DW$85="","",Underwriting!EF27)</f>
        <v/>
      </c>
      <c r="DX87" s="118" t="str">
        <f>IF(DX$85="","",Underwriting!EG27)</f>
        <v/>
      </c>
      <c r="DY87" s="118" t="str">
        <f>IF(DY$85="","",Underwriting!EH27)</f>
        <v/>
      </c>
      <c r="DZ87" s="118" t="str">
        <f>IF(DZ$85="","",Underwriting!EI27)</f>
        <v/>
      </c>
      <c r="EA87" s="118" t="str">
        <f>IF(EA$85="","",Underwriting!EJ27)</f>
        <v/>
      </c>
      <c r="EB87" s="118" t="str">
        <f>IF(EB$85="","",Underwriting!EK27)</f>
        <v/>
      </c>
      <c r="EC87" s="118" t="str">
        <f>IF(EC$85="","",Underwriting!EL27)</f>
        <v/>
      </c>
      <c r="ED87" s="118" t="str">
        <f>IF(ED$85="","",Underwriting!EM27)</f>
        <v/>
      </c>
      <c r="EE87" s="118" t="str">
        <f>IF(EE$85="","",Underwriting!EN27)</f>
        <v/>
      </c>
      <c r="EF87" s="118" t="str">
        <f>IF(EF$85="","",Underwriting!EO27)</f>
        <v/>
      </c>
      <c r="EG87" s="118" t="str">
        <f>IF(EG$85="","",Underwriting!EP27)</f>
        <v/>
      </c>
      <c r="EH87" s="118" t="str">
        <f>IF(EH$85="","",Underwriting!EQ27)</f>
        <v/>
      </c>
      <c r="EI87" s="118" t="str">
        <f>IF(EI$85="","",Underwriting!ER27)</f>
        <v/>
      </c>
      <c r="EJ87" s="118" t="str">
        <f>IF(EJ$85="","",Underwriting!ES27)</f>
        <v/>
      </c>
      <c r="EK87" s="118" t="str">
        <f>IF(EK$85="","",Underwriting!ET27)</f>
        <v/>
      </c>
      <c r="EL87" s="118" t="str">
        <f>IF(EL$85="","",Underwriting!EU27)</f>
        <v/>
      </c>
      <c r="EM87" s="118" t="str">
        <f>IF(EM$85="","",Underwriting!EV27)</f>
        <v/>
      </c>
      <c r="EN87" s="118" t="str">
        <f>IF(EN$85="","",Underwriting!EW27)</f>
        <v/>
      </c>
      <c r="EO87" s="118" t="str">
        <f>IF(EO$85="","",Underwriting!EX27)</f>
        <v/>
      </c>
      <c r="EP87" s="118" t="str">
        <f>IF(EP$85="","",Underwriting!EY27)</f>
        <v/>
      </c>
      <c r="EQ87" s="118" t="str">
        <f>IF(EQ$85="","",Underwriting!EZ27)</f>
        <v/>
      </c>
      <c r="ER87" s="118" t="str">
        <f>IF(ER$85="","",Underwriting!FA27)</f>
        <v/>
      </c>
      <c r="ES87" s="118" t="str">
        <f>IF(ES$85="","",Underwriting!FB27)</f>
        <v/>
      </c>
      <c r="ET87" s="118" t="str">
        <f>IF(ET$85="","",Underwriting!FC27)</f>
        <v/>
      </c>
      <c r="EU87" s="118" t="str">
        <f>IF(EU$85="","",Underwriting!FD27)</f>
        <v/>
      </c>
      <c r="EV87" s="118" t="str">
        <f>IF(EV$85="","",Underwriting!FE27)</f>
        <v/>
      </c>
      <c r="EW87" s="118" t="str">
        <f>IF(EW$85="","",Underwriting!FF27)</f>
        <v/>
      </c>
      <c r="EX87" s="118" t="str">
        <f>IF(EX$85="","",Underwriting!FG27)</f>
        <v/>
      </c>
      <c r="EY87" s="118" t="str">
        <f>IF(EY$85="","",Underwriting!FH27)</f>
        <v/>
      </c>
      <c r="EZ87" s="118" t="str">
        <f>IF(EZ$85="","",Underwriting!FI27)</f>
        <v/>
      </c>
      <c r="FA87" s="118" t="str">
        <f>IF(FA$85="","",Underwriting!FJ27)</f>
        <v/>
      </c>
      <c r="FB87" s="118" t="str">
        <f>IF(FB$85="","",Underwriting!FK27)</f>
        <v/>
      </c>
      <c r="FC87" s="118" t="str">
        <f>IF(FC$85="","",Underwriting!FL27)</f>
        <v/>
      </c>
      <c r="FD87" s="118" t="str">
        <f>IF(FD$85="","",Underwriting!FM27)</f>
        <v/>
      </c>
      <c r="FE87" s="118" t="str">
        <f>IF(FE$85="","",Underwriting!FN27)</f>
        <v/>
      </c>
      <c r="FF87" s="118" t="str">
        <f>IF(FF$85="","",Underwriting!FO27)</f>
        <v/>
      </c>
      <c r="FG87" s="118" t="str">
        <f>IF(FG$85="","",Underwriting!FP27)</f>
        <v/>
      </c>
      <c r="FH87" s="118" t="str">
        <f>IF(FH$85="","",Underwriting!FQ27)</f>
        <v/>
      </c>
      <c r="FI87" s="118" t="str">
        <f>IF(FI$85="","",Underwriting!FR27)</f>
        <v/>
      </c>
      <c r="FJ87" s="118" t="str">
        <f>IF(FJ$85="","",Underwriting!FS27)</f>
        <v/>
      </c>
      <c r="FK87" s="118" t="str">
        <f>IF(FK$85="","",Underwriting!FT27)</f>
        <v/>
      </c>
      <c r="FL87" s="118" t="str">
        <f>IF(FL$85="","",Underwriting!FU27)</f>
        <v/>
      </c>
      <c r="FM87" s="118" t="str">
        <f>IF(FM$85="","",Underwriting!FV27)</f>
        <v/>
      </c>
      <c r="FN87" s="118" t="str">
        <f>IF(FN$85="","",Underwriting!FW27)</f>
        <v/>
      </c>
      <c r="FO87" s="118" t="str">
        <f>IF(FO$85="","",Underwriting!FX27)</f>
        <v/>
      </c>
      <c r="FP87" s="118" t="str">
        <f>IF(FP$85="","",Underwriting!FY27)</f>
        <v/>
      </c>
      <c r="FQ87" s="118" t="str">
        <f>IF(FQ$85="","",Underwriting!FZ27)</f>
        <v/>
      </c>
      <c r="FR87" s="118" t="str">
        <f>IF(FR$85="","",Underwriting!GA27)</f>
        <v/>
      </c>
      <c r="FS87" s="118" t="str">
        <f>IF(FS$85="","",Underwriting!GB27)</f>
        <v/>
      </c>
      <c r="FT87" s="118" t="str">
        <f>IF(FT$85="","",Underwriting!GC27)</f>
        <v/>
      </c>
      <c r="FU87" s="118" t="str">
        <f>IF(FU$85="","",Underwriting!GD27)</f>
        <v/>
      </c>
      <c r="FV87" s="118" t="str">
        <f>IF(FV$85="","",Underwriting!GE27)</f>
        <v/>
      </c>
      <c r="FW87" s="118" t="str">
        <f>IF(FW$85="","",Underwriting!GF27)</f>
        <v/>
      </c>
      <c r="FX87" s="118" t="str">
        <f>IF(FX$85="","",Underwriting!GG27)</f>
        <v/>
      </c>
      <c r="FY87" s="118" t="str">
        <f>IF(FY$85="","",Underwriting!GH27)</f>
        <v/>
      </c>
      <c r="FZ87" s="118" t="str">
        <f>IF(FZ$85="","",Underwriting!GI27)</f>
        <v/>
      </c>
      <c r="GA87" s="118" t="str">
        <f>IF(GA$85="","",Underwriting!GJ27)</f>
        <v/>
      </c>
      <c r="GB87" s="118" t="str">
        <f>IF(GB$85="","",Underwriting!GK27)</f>
        <v/>
      </c>
      <c r="GC87" s="118" t="str">
        <f>IF(GC$85="","",Underwriting!GL27)</f>
        <v/>
      </c>
      <c r="GD87" s="118" t="str">
        <f>IF(GD$85="","",Underwriting!GM27)</f>
        <v/>
      </c>
      <c r="GE87" s="118" t="str">
        <f>IF(GE$85="","",Underwriting!GN27)</f>
        <v/>
      </c>
      <c r="GF87" s="118" t="str">
        <f>IF(GF$85="","",Underwriting!GO27)</f>
        <v/>
      </c>
      <c r="GG87" s="118" t="str">
        <f>IF(GG$85="","",Underwriting!GP27)</f>
        <v/>
      </c>
      <c r="GH87" s="118" t="str">
        <f>IF(GH$85="","",Underwriting!GQ27)</f>
        <v/>
      </c>
    </row>
    <row r="88" spans="2:191" x14ac:dyDescent="0.3">
      <c r="H88" s="122"/>
      <c r="I88" s="122" t="str">
        <f>Underwriting!B35</f>
        <v>Total Hard Costs (Vertical)</v>
      </c>
      <c r="J88" s="118">
        <f>IF(J$85="","",Underwriting!T35)</f>
        <v>37875</v>
      </c>
      <c r="L88" s="118">
        <f>IF(L$85="","",Underwriting!U35)</f>
        <v>0</v>
      </c>
      <c r="M88" s="118">
        <f>IF(M$85="","",Underwriting!V35)</f>
        <v>0</v>
      </c>
      <c r="N88" s="118">
        <f>IF(N$85="","",Underwriting!W35)</f>
        <v>0</v>
      </c>
      <c r="O88" s="118">
        <f>IF(O$85="","",Underwriting!X35)</f>
        <v>0</v>
      </c>
      <c r="P88" s="118">
        <f>IF(P$85="","",Underwriting!Y35)</f>
        <v>0</v>
      </c>
      <c r="Q88" s="118">
        <f>IF(Q$85="","",Underwriting!Z35)</f>
        <v>0</v>
      </c>
      <c r="R88" s="118">
        <f>IF(R$85="","",Underwriting!AA35)</f>
        <v>47613.636363636368</v>
      </c>
      <c r="S88" s="118">
        <f>IF(S$85="","",Underwriting!AB35)</f>
        <v>47613.636363636368</v>
      </c>
      <c r="T88" s="118">
        <f>IF(T$85="","",Underwriting!AC35)</f>
        <v>8363.636363636364</v>
      </c>
      <c r="U88" s="118">
        <f>IF(U$85="","",Underwriting!AD35)</f>
        <v>8363.636363636364</v>
      </c>
      <c r="V88" s="118">
        <f>IF(V$85="","",Underwriting!AE35)</f>
        <v>8363.636363636364</v>
      </c>
      <c r="W88" s="118">
        <f>IF(W$85="","",Underwriting!AF35)</f>
        <v>8363.636363636364</v>
      </c>
      <c r="X88" s="118">
        <f>IF(X$85="","",Underwriting!AG35)</f>
        <v>8363.636363636364</v>
      </c>
      <c r="Y88" s="118">
        <f>IF(Y$85="","",Underwriting!AH35)</f>
        <v>8363.636363636364</v>
      </c>
      <c r="Z88" s="118">
        <f>IF(Z$85="","",Underwriting!AI35)</f>
        <v>8363.636363636364</v>
      </c>
      <c r="AA88" s="118">
        <f>IF(AA$85="","",Underwriting!AJ35)</f>
        <v>8363.636363636364</v>
      </c>
      <c r="AB88" s="118">
        <f>IF(AB$85="","",Underwriting!AK35)</f>
        <v>8363.636363636364</v>
      </c>
      <c r="AC88" s="118">
        <f>IF(AC$85="","",Underwriting!AL35)</f>
        <v>8363.636363636364</v>
      </c>
      <c r="AD88" s="118">
        <f>IF(AD$85="","",Underwriting!AM35)</f>
        <v>63363.636363636368</v>
      </c>
      <c r="AE88" s="118">
        <f>IF(AE$85="","",Underwriting!AN35)</f>
        <v>63363.636363636368</v>
      </c>
      <c r="AF88" s="118">
        <f>IF(AF$85="","",Underwriting!AO35)</f>
        <v>63363.636363636368</v>
      </c>
      <c r="AG88" s="118">
        <f>IF(AG$85="","",Underwriting!AP35)</f>
        <v>63363.636363636368</v>
      </c>
      <c r="AH88" s="118">
        <f>IF(AH$85="","",Underwriting!AQ35)</f>
        <v>63363.636363636368</v>
      </c>
      <c r="AI88" s="118">
        <f>IF(AI$85="","",Underwriting!AR35)</f>
        <v>63363.636363636368</v>
      </c>
      <c r="AJ88" s="118">
        <f>IF(AJ$85="","",Underwriting!AS35)</f>
        <v>63363.636363636368</v>
      </c>
      <c r="AK88" s="118">
        <f>IF(AK$85="","",Underwriting!AT35)</f>
        <v>63363.636363636368</v>
      </c>
      <c r="AL88" s="118">
        <f>IF(AL$85="","",Underwriting!AU35)</f>
        <v>63363.636363636368</v>
      </c>
      <c r="AM88" s="118">
        <f>IF(AM$85="","",Underwriting!AV35)</f>
        <v>8363.636363636364</v>
      </c>
      <c r="AN88" s="118">
        <f>IF(AN$85="","",Underwriting!AW35)</f>
        <v>0</v>
      </c>
      <c r="AO88" s="118">
        <f>IF(AO$85="","",Underwriting!AX35)</f>
        <v>0</v>
      </c>
      <c r="AP88" s="118">
        <f>IF(AP$85="","",Underwriting!AY35)</f>
        <v>0</v>
      </c>
      <c r="AQ88" s="118">
        <f>IF(AQ$85="","",Underwriting!AZ35)</f>
        <v>0</v>
      </c>
      <c r="AR88" s="118">
        <f>IF(AR$85="","",Underwriting!BA35)</f>
        <v>0</v>
      </c>
      <c r="AS88" s="118">
        <f>IF(AS$85="","",Underwriting!BB35)</f>
        <v>0</v>
      </c>
      <c r="AT88" s="118">
        <f>IF(AT$85="","",Underwriting!BC35)</f>
        <v>0</v>
      </c>
      <c r="AU88" s="118">
        <f>IF(AU$85="","",Underwriting!BD35)</f>
        <v>0</v>
      </c>
      <c r="AV88" s="118">
        <f>IF(AV$85="","",Underwriting!BE35)</f>
        <v>0</v>
      </c>
      <c r="AW88" s="118">
        <f>IF(AW$85="","",Underwriting!BF35)</f>
        <v>0</v>
      </c>
      <c r="AX88" s="118">
        <f>IF(AX$85="","",Underwriting!BG35)</f>
        <v>0</v>
      </c>
      <c r="AY88" s="118">
        <f>IF(AY$85="","",Underwriting!BH35)</f>
        <v>0</v>
      </c>
      <c r="AZ88" s="118">
        <f>IF(AZ$85="","",Underwriting!BI35)</f>
        <v>0</v>
      </c>
      <c r="BA88" s="118">
        <f>IF(BA$85="","",Underwriting!BJ35)</f>
        <v>0</v>
      </c>
      <c r="BB88" s="118">
        <f>IF(BB$85="","",Underwriting!BK35)</f>
        <v>0</v>
      </c>
      <c r="BC88" s="118">
        <f>IF(BC$85="","",Underwriting!BL35)</f>
        <v>0</v>
      </c>
      <c r="BD88" s="118">
        <f>IF(BD$85="","",Underwriting!BM35)</f>
        <v>0</v>
      </c>
      <c r="BE88" s="118">
        <f>IF(BE$85="","",Underwriting!BN35)</f>
        <v>0</v>
      </c>
      <c r="BF88" s="118">
        <f>IF(BF$85="","",Underwriting!BO35)</f>
        <v>0</v>
      </c>
      <c r="BG88" s="118">
        <f>IF(BG$85="","",Underwriting!BP35)</f>
        <v>0</v>
      </c>
      <c r="BH88" s="118" t="str">
        <f>IF(BH$85="","",Underwriting!BQ35)</f>
        <v/>
      </c>
      <c r="BI88" s="118" t="str">
        <f>IF(BI$85="","",Underwriting!BR35)</f>
        <v/>
      </c>
      <c r="BJ88" s="118" t="str">
        <f>IF(BJ$85="","",Underwriting!BS35)</f>
        <v/>
      </c>
      <c r="BK88" s="118" t="str">
        <f>IF(BK$85="","",Underwriting!BT35)</f>
        <v/>
      </c>
      <c r="BL88" s="118" t="str">
        <f>IF(BL$85="","",Underwriting!BU35)</f>
        <v/>
      </c>
      <c r="BM88" s="118" t="str">
        <f>IF(BM$85="","",Underwriting!BV35)</f>
        <v/>
      </c>
      <c r="BN88" s="118" t="str">
        <f>IF(BN$85="","",Underwriting!BW35)</f>
        <v/>
      </c>
      <c r="BO88" s="118" t="str">
        <f>IF(BO$85="","",Underwriting!BX35)</f>
        <v/>
      </c>
      <c r="BP88" s="118" t="str">
        <f>IF(BP$85="","",Underwriting!BY35)</f>
        <v/>
      </c>
      <c r="BQ88" s="118" t="str">
        <f>IF(BQ$85="","",Underwriting!BZ35)</f>
        <v/>
      </c>
      <c r="BR88" s="118" t="str">
        <f>IF(BR$85="","",Underwriting!CA35)</f>
        <v/>
      </c>
      <c r="BS88" s="118" t="str">
        <f>IF(BS$85="","",Underwriting!CB35)</f>
        <v/>
      </c>
      <c r="BT88" s="118" t="str">
        <f>IF(BT$85="","",Underwriting!CC35)</f>
        <v/>
      </c>
      <c r="BU88" s="118" t="str">
        <f>IF(BU$85="","",Underwriting!CD35)</f>
        <v/>
      </c>
      <c r="BV88" s="118" t="str">
        <f>IF(BV$85="","",Underwriting!CE35)</f>
        <v/>
      </c>
      <c r="BW88" s="118" t="str">
        <f>IF(BW$85="","",Underwriting!CF35)</f>
        <v/>
      </c>
      <c r="BX88" s="118" t="str">
        <f>IF(BX$85="","",Underwriting!CG35)</f>
        <v/>
      </c>
      <c r="BY88" s="118" t="str">
        <f>IF(BY$85="","",Underwriting!CH35)</f>
        <v/>
      </c>
      <c r="BZ88" s="118" t="str">
        <f>IF(BZ$85="","",Underwriting!CI35)</f>
        <v/>
      </c>
      <c r="CA88" s="118" t="str">
        <f>IF(CA$85="","",Underwriting!CJ35)</f>
        <v/>
      </c>
      <c r="CB88" s="118" t="str">
        <f>IF(CB$85="","",Underwriting!CK35)</f>
        <v/>
      </c>
      <c r="CC88" s="118" t="str">
        <f>IF(CC$85="","",Underwriting!CL35)</f>
        <v/>
      </c>
      <c r="CD88" s="118" t="str">
        <f>IF(CD$85="","",Underwriting!CM35)</f>
        <v/>
      </c>
      <c r="CE88" s="118" t="str">
        <f>IF(CE$85="","",Underwriting!CN35)</f>
        <v/>
      </c>
      <c r="CF88" s="118" t="str">
        <f>IF(CF$85="","",Underwriting!CO35)</f>
        <v/>
      </c>
      <c r="CG88" s="118" t="str">
        <f>IF(CG$85="","",Underwriting!CP35)</f>
        <v/>
      </c>
      <c r="CH88" s="118" t="str">
        <f>IF(CH$85="","",Underwriting!CQ35)</f>
        <v/>
      </c>
      <c r="CI88" s="118" t="str">
        <f>IF(CI$85="","",Underwriting!CR35)</f>
        <v/>
      </c>
      <c r="CJ88" s="118" t="str">
        <f>IF(CJ$85="","",Underwriting!CS35)</f>
        <v/>
      </c>
      <c r="CK88" s="118" t="str">
        <f>IF(CK$85="","",Underwriting!CT35)</f>
        <v/>
      </c>
      <c r="CL88" s="118" t="str">
        <f>IF(CL$85="","",Underwriting!CU35)</f>
        <v/>
      </c>
      <c r="CM88" s="118" t="str">
        <f>IF(CM$85="","",Underwriting!CV35)</f>
        <v/>
      </c>
      <c r="CN88" s="118" t="str">
        <f>IF(CN$85="","",Underwriting!CW35)</f>
        <v/>
      </c>
      <c r="CO88" s="118" t="str">
        <f>IF(CO$85="","",Underwriting!CX35)</f>
        <v/>
      </c>
      <c r="CP88" s="118" t="str">
        <f>IF(CP$85="","",Underwriting!CY35)</f>
        <v/>
      </c>
      <c r="CQ88" s="118" t="str">
        <f>IF(CQ$85="","",Underwriting!CZ35)</f>
        <v/>
      </c>
      <c r="CR88" s="118" t="str">
        <f>IF(CR$85="","",Underwriting!DA35)</f>
        <v/>
      </c>
      <c r="CS88" s="118" t="str">
        <f>IF(CS$85="","",Underwriting!DB35)</f>
        <v/>
      </c>
      <c r="CT88" s="118" t="str">
        <f>IF(CT$85="","",Underwriting!DC35)</f>
        <v/>
      </c>
      <c r="CU88" s="118" t="str">
        <f>IF(CU$85="","",Underwriting!DD35)</f>
        <v/>
      </c>
      <c r="CV88" s="118" t="str">
        <f>IF(CV$85="","",Underwriting!DE35)</f>
        <v/>
      </c>
      <c r="CW88" s="118" t="str">
        <f>IF(CW$85="","",Underwriting!DF35)</f>
        <v/>
      </c>
      <c r="CX88" s="118" t="str">
        <f>IF(CX$85="","",Underwriting!DG35)</f>
        <v/>
      </c>
      <c r="CY88" s="118" t="str">
        <f>IF(CY$85="","",Underwriting!DH35)</f>
        <v/>
      </c>
      <c r="CZ88" s="118" t="str">
        <f>IF(CZ$85="","",Underwriting!DI35)</f>
        <v/>
      </c>
      <c r="DA88" s="118" t="str">
        <f>IF(DA$85="","",Underwriting!DJ35)</f>
        <v/>
      </c>
      <c r="DB88" s="118" t="str">
        <f>IF(DB$85="","",Underwriting!DK35)</f>
        <v/>
      </c>
      <c r="DC88" s="118" t="str">
        <f>IF(DC$85="","",Underwriting!DL35)</f>
        <v/>
      </c>
      <c r="DD88" s="118" t="str">
        <f>IF(DD$85="","",Underwriting!DM35)</f>
        <v/>
      </c>
      <c r="DE88" s="118" t="str">
        <f>IF(DE$85="","",Underwriting!DN35)</f>
        <v/>
      </c>
      <c r="DF88" s="118" t="str">
        <f>IF(DF$85="","",Underwriting!DO35)</f>
        <v/>
      </c>
      <c r="DG88" s="118" t="str">
        <f>IF(DG$85="","",Underwriting!DP35)</f>
        <v/>
      </c>
      <c r="DH88" s="118" t="str">
        <f>IF(DH$85="","",Underwriting!DQ35)</f>
        <v/>
      </c>
      <c r="DI88" s="118" t="str">
        <f>IF(DI$85="","",Underwriting!DR35)</f>
        <v/>
      </c>
      <c r="DJ88" s="118" t="str">
        <f>IF(DJ$85="","",Underwriting!DS35)</f>
        <v/>
      </c>
      <c r="DK88" s="118" t="str">
        <f>IF(DK$85="","",Underwriting!DT35)</f>
        <v/>
      </c>
      <c r="DL88" s="118" t="str">
        <f>IF(DL$85="","",Underwriting!DU35)</f>
        <v/>
      </c>
      <c r="DM88" s="118" t="str">
        <f>IF(DM$85="","",Underwriting!DV35)</f>
        <v/>
      </c>
      <c r="DN88" s="118" t="str">
        <f>IF(DN$85="","",Underwriting!DW35)</f>
        <v/>
      </c>
      <c r="DO88" s="118" t="str">
        <f>IF(DO$85="","",Underwriting!DX35)</f>
        <v/>
      </c>
      <c r="DP88" s="118" t="str">
        <f>IF(DP$85="","",Underwriting!DY35)</f>
        <v/>
      </c>
      <c r="DQ88" s="118" t="str">
        <f>IF(DQ$85="","",Underwriting!DZ35)</f>
        <v/>
      </c>
      <c r="DR88" s="118" t="str">
        <f>IF(DR$85="","",Underwriting!EA35)</f>
        <v/>
      </c>
      <c r="DS88" s="118" t="str">
        <f>IF(DS$85="","",Underwriting!EB35)</f>
        <v/>
      </c>
      <c r="DT88" s="118" t="str">
        <f>IF(DT$85="","",Underwriting!EC35)</f>
        <v/>
      </c>
      <c r="DU88" s="118" t="str">
        <f>IF(DU$85="","",Underwriting!ED35)</f>
        <v/>
      </c>
      <c r="DV88" s="118" t="str">
        <f>IF(DV$85="","",Underwriting!EE35)</f>
        <v/>
      </c>
      <c r="DW88" s="118" t="str">
        <f>IF(DW$85="","",Underwriting!EF35)</f>
        <v/>
      </c>
      <c r="DX88" s="118" t="str">
        <f>IF(DX$85="","",Underwriting!EG35)</f>
        <v/>
      </c>
      <c r="DY88" s="118" t="str">
        <f>IF(DY$85="","",Underwriting!EH35)</f>
        <v/>
      </c>
      <c r="DZ88" s="118" t="str">
        <f>IF(DZ$85="","",Underwriting!EI35)</f>
        <v/>
      </c>
      <c r="EA88" s="118" t="str">
        <f>IF(EA$85="","",Underwriting!EJ35)</f>
        <v/>
      </c>
      <c r="EB88" s="118" t="str">
        <f>IF(EB$85="","",Underwriting!EK35)</f>
        <v/>
      </c>
      <c r="EC88" s="118" t="str">
        <f>IF(EC$85="","",Underwriting!EL35)</f>
        <v/>
      </c>
      <c r="ED88" s="118" t="str">
        <f>IF(ED$85="","",Underwriting!EM35)</f>
        <v/>
      </c>
      <c r="EE88" s="118" t="str">
        <f>IF(EE$85="","",Underwriting!EN35)</f>
        <v/>
      </c>
      <c r="EF88" s="118" t="str">
        <f>IF(EF$85="","",Underwriting!EO35)</f>
        <v/>
      </c>
      <c r="EG88" s="118" t="str">
        <f>IF(EG$85="","",Underwriting!EP35)</f>
        <v/>
      </c>
      <c r="EH88" s="118" t="str">
        <f>IF(EH$85="","",Underwriting!EQ35)</f>
        <v/>
      </c>
      <c r="EI88" s="118" t="str">
        <f>IF(EI$85="","",Underwriting!ER35)</f>
        <v/>
      </c>
      <c r="EJ88" s="118" t="str">
        <f>IF(EJ$85="","",Underwriting!ES35)</f>
        <v/>
      </c>
      <c r="EK88" s="118" t="str">
        <f>IF(EK$85="","",Underwriting!ET35)</f>
        <v/>
      </c>
      <c r="EL88" s="118" t="str">
        <f>IF(EL$85="","",Underwriting!EU35)</f>
        <v/>
      </c>
      <c r="EM88" s="118" t="str">
        <f>IF(EM$85="","",Underwriting!EV35)</f>
        <v/>
      </c>
      <c r="EN88" s="118" t="str">
        <f>IF(EN$85="","",Underwriting!EW35)</f>
        <v/>
      </c>
      <c r="EO88" s="118" t="str">
        <f>IF(EO$85="","",Underwriting!EX35)</f>
        <v/>
      </c>
      <c r="EP88" s="118" t="str">
        <f>IF(EP$85="","",Underwriting!EY35)</f>
        <v/>
      </c>
      <c r="EQ88" s="118" t="str">
        <f>IF(EQ$85="","",Underwriting!EZ35)</f>
        <v/>
      </c>
      <c r="ER88" s="118" t="str">
        <f>IF(ER$85="","",Underwriting!FA35)</f>
        <v/>
      </c>
      <c r="ES88" s="118" t="str">
        <f>IF(ES$85="","",Underwriting!FB35)</f>
        <v/>
      </c>
      <c r="ET88" s="118" t="str">
        <f>IF(ET$85="","",Underwriting!FC35)</f>
        <v/>
      </c>
      <c r="EU88" s="118" t="str">
        <f>IF(EU$85="","",Underwriting!FD35)</f>
        <v/>
      </c>
      <c r="EV88" s="118" t="str">
        <f>IF(EV$85="","",Underwriting!FE35)</f>
        <v/>
      </c>
      <c r="EW88" s="118" t="str">
        <f>IF(EW$85="","",Underwriting!FF35)</f>
        <v/>
      </c>
      <c r="EX88" s="118" t="str">
        <f>IF(EX$85="","",Underwriting!FG35)</f>
        <v/>
      </c>
      <c r="EY88" s="118" t="str">
        <f>IF(EY$85="","",Underwriting!FH35)</f>
        <v/>
      </c>
      <c r="EZ88" s="118" t="str">
        <f>IF(EZ$85="","",Underwriting!FI35)</f>
        <v/>
      </c>
      <c r="FA88" s="118" t="str">
        <f>IF(FA$85="","",Underwriting!FJ35)</f>
        <v/>
      </c>
      <c r="FB88" s="118" t="str">
        <f>IF(FB$85="","",Underwriting!FK35)</f>
        <v/>
      </c>
      <c r="FC88" s="118" t="str">
        <f>IF(FC$85="","",Underwriting!FL35)</f>
        <v/>
      </c>
      <c r="FD88" s="118" t="str">
        <f>IF(FD$85="","",Underwriting!FM35)</f>
        <v/>
      </c>
      <c r="FE88" s="118" t="str">
        <f>IF(FE$85="","",Underwriting!FN35)</f>
        <v/>
      </c>
      <c r="FF88" s="118" t="str">
        <f>IF(FF$85="","",Underwriting!FO35)</f>
        <v/>
      </c>
      <c r="FG88" s="118" t="str">
        <f>IF(FG$85="","",Underwriting!FP35)</f>
        <v/>
      </c>
      <c r="FH88" s="118" t="str">
        <f>IF(FH$85="","",Underwriting!FQ35)</f>
        <v/>
      </c>
      <c r="FI88" s="118" t="str">
        <f>IF(FI$85="","",Underwriting!FR35)</f>
        <v/>
      </c>
      <c r="FJ88" s="118" t="str">
        <f>IF(FJ$85="","",Underwriting!FS35)</f>
        <v/>
      </c>
      <c r="FK88" s="118" t="str">
        <f>IF(FK$85="","",Underwriting!FT35)</f>
        <v/>
      </c>
      <c r="FL88" s="118" t="str">
        <f>IF(FL$85="","",Underwriting!FU35)</f>
        <v/>
      </c>
      <c r="FM88" s="118" t="str">
        <f>IF(FM$85="","",Underwriting!FV35)</f>
        <v/>
      </c>
      <c r="FN88" s="118" t="str">
        <f>IF(FN$85="","",Underwriting!FW35)</f>
        <v/>
      </c>
      <c r="FO88" s="118" t="str">
        <f>IF(FO$85="","",Underwriting!FX35)</f>
        <v/>
      </c>
      <c r="FP88" s="118" t="str">
        <f>IF(FP$85="","",Underwriting!FY35)</f>
        <v/>
      </c>
      <c r="FQ88" s="118" t="str">
        <f>IF(FQ$85="","",Underwriting!FZ35)</f>
        <v/>
      </c>
      <c r="FR88" s="118" t="str">
        <f>IF(FR$85="","",Underwriting!GA35)</f>
        <v/>
      </c>
      <c r="FS88" s="118" t="str">
        <f>IF(FS$85="","",Underwriting!GB35)</f>
        <v/>
      </c>
      <c r="FT88" s="118" t="str">
        <f>IF(FT$85="","",Underwriting!GC35)</f>
        <v/>
      </c>
      <c r="FU88" s="118" t="str">
        <f>IF(FU$85="","",Underwriting!GD35)</f>
        <v/>
      </c>
      <c r="FV88" s="118" t="str">
        <f>IF(FV$85="","",Underwriting!GE35)</f>
        <v/>
      </c>
      <c r="FW88" s="118" t="str">
        <f>IF(FW$85="","",Underwriting!GF35)</f>
        <v/>
      </c>
      <c r="FX88" s="118" t="str">
        <f>IF(FX$85="","",Underwriting!GG35)</f>
        <v/>
      </c>
      <c r="FY88" s="118" t="str">
        <f>IF(FY$85="","",Underwriting!GH35)</f>
        <v/>
      </c>
      <c r="FZ88" s="118" t="str">
        <f>IF(FZ$85="","",Underwriting!GI35)</f>
        <v/>
      </c>
      <c r="GA88" s="118" t="str">
        <f>IF(GA$85="","",Underwriting!GJ35)</f>
        <v/>
      </c>
      <c r="GB88" s="118" t="str">
        <f>IF(GB$85="","",Underwriting!GK35)</f>
        <v/>
      </c>
      <c r="GC88" s="118" t="str">
        <f>IF(GC$85="","",Underwriting!GL35)</f>
        <v/>
      </c>
      <c r="GD88" s="118" t="str">
        <f>IF(GD$85="","",Underwriting!GM35)</f>
        <v/>
      </c>
      <c r="GE88" s="118" t="str">
        <f>IF(GE$85="","",Underwriting!GN35)</f>
        <v/>
      </c>
      <c r="GF88" s="118" t="str">
        <f>IF(GF$85="","",Underwriting!GO35)</f>
        <v/>
      </c>
      <c r="GG88" s="118" t="str">
        <f>IF(GG$85="","",Underwriting!GP35)</f>
        <v/>
      </c>
      <c r="GH88" s="118" t="str">
        <f>IF(GH$85="","",Underwriting!GQ35)</f>
        <v/>
      </c>
    </row>
    <row r="89" spans="2:191" x14ac:dyDescent="0.3">
      <c r="H89" s="122"/>
      <c r="I89" s="122" t="str">
        <f>Underwriting!B44</f>
        <v>Total Soft Costs</v>
      </c>
      <c r="J89" s="118">
        <f>IF(J$85="","",Underwriting!T44)</f>
        <v>11184.21052631579</v>
      </c>
      <c r="L89" s="118">
        <f>IF(L$85="","",Underwriting!U44)</f>
        <v>67640.581182686452</v>
      </c>
      <c r="M89" s="118">
        <f>IF(M$85="","",Underwriting!V44)</f>
        <v>67640.581182686452</v>
      </c>
      <c r="N89" s="118">
        <f>IF(N$85="","",Underwriting!W44)</f>
        <v>67640.581182686452</v>
      </c>
      <c r="O89" s="118">
        <f>IF(O$85="","",Underwriting!X44)</f>
        <v>67640.581182686452</v>
      </c>
      <c r="P89" s="118">
        <f>IF(P$85="","",Underwriting!Y44)</f>
        <v>67640.581182686452</v>
      </c>
      <c r="Q89" s="118">
        <f>IF(Q$85="","",Underwriting!Z44)</f>
        <v>67640.581182686452</v>
      </c>
      <c r="R89" s="118">
        <f>IF(R$85="","",Underwriting!AA44)</f>
        <v>67640.581182686452</v>
      </c>
      <c r="S89" s="118">
        <f>IF(S$85="","",Underwriting!AB44)</f>
        <v>31926.295468400731</v>
      </c>
      <c r="T89" s="118">
        <f>IF(T$85="","",Underwriting!AC44)</f>
        <v>31926.295468400731</v>
      </c>
      <c r="U89" s="118">
        <f>IF(U$85="","",Underwriting!AD44)</f>
        <v>31926.295468400731</v>
      </c>
      <c r="V89" s="118">
        <f>IF(V$85="","",Underwriting!AE44)</f>
        <v>31926.295468400731</v>
      </c>
      <c r="W89" s="118">
        <f>IF(W$85="","",Underwriting!AF44)</f>
        <v>31926.295468400731</v>
      </c>
      <c r="X89" s="118">
        <f>IF(X$85="","",Underwriting!AG44)</f>
        <v>31926.295468400731</v>
      </c>
      <c r="Y89" s="118">
        <f>IF(Y$85="","",Underwriting!AH44)</f>
        <v>31926.295468400731</v>
      </c>
      <c r="Z89" s="118">
        <f>IF(Z$85="","",Underwriting!AI44)</f>
        <v>31926.295468400731</v>
      </c>
      <c r="AA89" s="118">
        <f>IF(AA$85="","",Underwriting!AJ44)</f>
        <v>31926.295468400731</v>
      </c>
      <c r="AB89" s="118">
        <f>IF(AB$85="","",Underwriting!AK44)</f>
        <v>31926.295468400731</v>
      </c>
      <c r="AC89" s="118">
        <f>IF(AC$85="","",Underwriting!AL44)</f>
        <v>31926.295468400731</v>
      </c>
      <c r="AD89" s="118">
        <f>IF(AD$85="","",Underwriting!AM44)</f>
        <v>31926.295468400731</v>
      </c>
      <c r="AE89" s="118">
        <f>IF(AE$85="","",Underwriting!AN44)</f>
        <v>31926.295468400731</v>
      </c>
      <c r="AF89" s="118">
        <f>IF(AF$85="","",Underwriting!AO44)</f>
        <v>31926.295468400731</v>
      </c>
      <c r="AG89" s="118">
        <f>IF(AG$85="","",Underwriting!AP44)</f>
        <v>31926.295468400731</v>
      </c>
      <c r="AH89" s="118">
        <f>IF(AH$85="","",Underwriting!AQ44)</f>
        <v>31926.295468400731</v>
      </c>
      <c r="AI89" s="118">
        <f>IF(AI$85="","",Underwriting!AR44)</f>
        <v>31926.295468400731</v>
      </c>
      <c r="AJ89" s="118">
        <f>IF(AJ$85="","",Underwriting!AS44)</f>
        <v>31926.295468400731</v>
      </c>
      <c r="AK89" s="118">
        <f>IF(AK$85="","",Underwriting!AT44)</f>
        <v>31926.295468400731</v>
      </c>
      <c r="AL89" s="118">
        <f>IF(AL$85="","",Underwriting!AU44)</f>
        <v>31926.295468400731</v>
      </c>
      <c r="AM89" s="118">
        <f>IF(AM$85="","",Underwriting!AV44)</f>
        <v>31926.295468400731</v>
      </c>
      <c r="AN89" s="118">
        <f>IF(AN$85="","",Underwriting!AW44)</f>
        <v>31926.295468400731</v>
      </c>
      <c r="AO89" s="118">
        <f>IF(AO$85="","",Underwriting!AX44)</f>
        <v>31926.295468400731</v>
      </c>
      <c r="AP89" s="118">
        <f>IF(AP$85="","",Underwriting!AY44)</f>
        <v>31926.295468400731</v>
      </c>
      <c r="AQ89" s="118">
        <f>IF(AQ$85="","",Underwriting!AZ44)</f>
        <v>31926.295468400731</v>
      </c>
      <c r="AR89" s="118">
        <f>IF(AR$85="","",Underwriting!BA44)</f>
        <v>31926.295468400731</v>
      </c>
      <c r="AS89" s="118">
        <f>IF(AS$85="","",Underwriting!BB44)</f>
        <v>31926.295468400731</v>
      </c>
      <c r="AT89" s="118">
        <f>IF(AT$85="","",Underwriting!BC44)</f>
        <v>31926.295468400731</v>
      </c>
      <c r="AU89" s="118">
        <f>IF(AU$85="","",Underwriting!BD44)</f>
        <v>24697.724039829303</v>
      </c>
      <c r="AV89" s="118">
        <f>IF(AV$85="","",Underwriting!BE44)</f>
        <v>24697.724039829303</v>
      </c>
      <c r="AW89" s="118">
        <f>IF(AW$85="","",Underwriting!BF44)</f>
        <v>0</v>
      </c>
      <c r="AX89" s="118">
        <f>IF(AX$85="","",Underwriting!BG44)</f>
        <v>0</v>
      </c>
      <c r="AY89" s="118">
        <f>IF(AY$85="","",Underwriting!BH44)</f>
        <v>0</v>
      </c>
      <c r="AZ89" s="118">
        <f>IF(AZ$85="","",Underwriting!BI44)</f>
        <v>0</v>
      </c>
      <c r="BA89" s="118">
        <f>IF(BA$85="","",Underwriting!BJ44)</f>
        <v>0</v>
      </c>
      <c r="BB89" s="118">
        <f>IF(BB$85="","",Underwriting!BK44)</f>
        <v>0</v>
      </c>
      <c r="BC89" s="118">
        <f>IF(BC$85="","",Underwriting!BL44)</f>
        <v>0</v>
      </c>
      <c r="BD89" s="118">
        <f>IF(BD$85="","",Underwriting!BM44)</f>
        <v>0</v>
      </c>
      <c r="BE89" s="118">
        <f>IF(BE$85="","",Underwriting!BN44)</f>
        <v>0</v>
      </c>
      <c r="BF89" s="118">
        <f>IF(BF$85="","",Underwriting!BO44)</f>
        <v>0</v>
      </c>
      <c r="BG89" s="118">
        <f>IF(BG$85="","",Underwriting!BP44)</f>
        <v>0</v>
      </c>
      <c r="BH89" s="118" t="str">
        <f>IF(BH$85="","",Underwriting!BQ44)</f>
        <v/>
      </c>
      <c r="BI89" s="118" t="str">
        <f>IF(BI$85="","",Underwriting!BR44)</f>
        <v/>
      </c>
      <c r="BJ89" s="118" t="str">
        <f>IF(BJ$85="","",Underwriting!BS44)</f>
        <v/>
      </c>
      <c r="BK89" s="118" t="str">
        <f>IF(BK$85="","",Underwriting!BT44)</f>
        <v/>
      </c>
      <c r="BL89" s="118" t="str">
        <f>IF(BL$85="","",Underwriting!BU44)</f>
        <v/>
      </c>
      <c r="BM89" s="118" t="str">
        <f>IF(BM$85="","",Underwriting!BV44)</f>
        <v/>
      </c>
      <c r="BN89" s="118" t="str">
        <f>IF(BN$85="","",Underwriting!BW44)</f>
        <v/>
      </c>
      <c r="BO89" s="118" t="str">
        <f>IF(BO$85="","",Underwriting!BX44)</f>
        <v/>
      </c>
      <c r="BP89" s="118" t="str">
        <f>IF(BP$85="","",Underwriting!BY44)</f>
        <v/>
      </c>
      <c r="BQ89" s="118" t="str">
        <f>IF(BQ$85="","",Underwriting!BZ44)</f>
        <v/>
      </c>
      <c r="BR89" s="118" t="str">
        <f>IF(BR$85="","",Underwriting!CA44)</f>
        <v/>
      </c>
      <c r="BS89" s="118" t="str">
        <f>IF(BS$85="","",Underwriting!CB44)</f>
        <v/>
      </c>
      <c r="BT89" s="118" t="str">
        <f>IF(BT$85="","",Underwriting!CC44)</f>
        <v/>
      </c>
      <c r="BU89" s="118" t="str">
        <f>IF(BU$85="","",Underwriting!CD44)</f>
        <v/>
      </c>
      <c r="BV89" s="118" t="str">
        <f>IF(BV$85="","",Underwriting!CE44)</f>
        <v/>
      </c>
      <c r="BW89" s="118" t="str">
        <f>IF(BW$85="","",Underwriting!CF44)</f>
        <v/>
      </c>
      <c r="BX89" s="118" t="str">
        <f>IF(BX$85="","",Underwriting!CG44)</f>
        <v/>
      </c>
      <c r="BY89" s="118" t="str">
        <f>IF(BY$85="","",Underwriting!CH44)</f>
        <v/>
      </c>
      <c r="BZ89" s="118" t="str">
        <f>IF(BZ$85="","",Underwriting!CI44)</f>
        <v/>
      </c>
      <c r="CA89" s="118" t="str">
        <f>IF(CA$85="","",Underwriting!CJ44)</f>
        <v/>
      </c>
      <c r="CB89" s="118" t="str">
        <f>IF(CB$85="","",Underwriting!CK44)</f>
        <v/>
      </c>
      <c r="CC89" s="118" t="str">
        <f>IF(CC$85="","",Underwriting!CL44)</f>
        <v/>
      </c>
      <c r="CD89" s="118" t="str">
        <f>IF(CD$85="","",Underwriting!CM44)</f>
        <v/>
      </c>
      <c r="CE89" s="118" t="str">
        <f>IF(CE$85="","",Underwriting!CN44)</f>
        <v/>
      </c>
      <c r="CF89" s="118" t="str">
        <f>IF(CF$85="","",Underwriting!CO44)</f>
        <v/>
      </c>
      <c r="CG89" s="118" t="str">
        <f>IF(CG$85="","",Underwriting!CP44)</f>
        <v/>
      </c>
      <c r="CH89" s="118" t="str">
        <f>IF(CH$85="","",Underwriting!CQ44)</f>
        <v/>
      </c>
      <c r="CI89" s="118" t="str">
        <f>IF(CI$85="","",Underwriting!CR44)</f>
        <v/>
      </c>
      <c r="CJ89" s="118" t="str">
        <f>IF(CJ$85="","",Underwriting!CS44)</f>
        <v/>
      </c>
      <c r="CK89" s="118" t="str">
        <f>IF(CK$85="","",Underwriting!CT44)</f>
        <v/>
      </c>
      <c r="CL89" s="118" t="str">
        <f>IF(CL$85="","",Underwriting!CU44)</f>
        <v/>
      </c>
      <c r="CM89" s="118" t="str">
        <f>IF(CM$85="","",Underwriting!CV44)</f>
        <v/>
      </c>
      <c r="CN89" s="118" t="str">
        <f>IF(CN$85="","",Underwriting!CW44)</f>
        <v/>
      </c>
      <c r="CO89" s="118" t="str">
        <f>IF(CO$85="","",Underwriting!CX44)</f>
        <v/>
      </c>
      <c r="CP89" s="118" t="str">
        <f>IF(CP$85="","",Underwriting!CY44)</f>
        <v/>
      </c>
      <c r="CQ89" s="118" t="str">
        <f>IF(CQ$85="","",Underwriting!CZ44)</f>
        <v/>
      </c>
      <c r="CR89" s="118" t="str">
        <f>IF(CR$85="","",Underwriting!DA44)</f>
        <v/>
      </c>
      <c r="CS89" s="118" t="str">
        <f>IF(CS$85="","",Underwriting!DB44)</f>
        <v/>
      </c>
      <c r="CT89" s="118" t="str">
        <f>IF(CT$85="","",Underwriting!DC44)</f>
        <v/>
      </c>
      <c r="CU89" s="118" t="str">
        <f>IF(CU$85="","",Underwriting!DD44)</f>
        <v/>
      </c>
      <c r="CV89" s="118" t="str">
        <f>IF(CV$85="","",Underwriting!DE44)</f>
        <v/>
      </c>
      <c r="CW89" s="118" t="str">
        <f>IF(CW$85="","",Underwriting!DF44)</f>
        <v/>
      </c>
      <c r="CX89" s="118" t="str">
        <f>IF(CX$85="","",Underwriting!DG44)</f>
        <v/>
      </c>
      <c r="CY89" s="118" t="str">
        <f>IF(CY$85="","",Underwriting!DH44)</f>
        <v/>
      </c>
      <c r="CZ89" s="118" t="str">
        <f>IF(CZ$85="","",Underwriting!DI44)</f>
        <v/>
      </c>
      <c r="DA89" s="118" t="str">
        <f>IF(DA$85="","",Underwriting!DJ44)</f>
        <v/>
      </c>
      <c r="DB89" s="118" t="str">
        <f>IF(DB$85="","",Underwriting!DK44)</f>
        <v/>
      </c>
      <c r="DC89" s="118" t="str">
        <f>IF(DC$85="","",Underwriting!DL44)</f>
        <v/>
      </c>
      <c r="DD89" s="118" t="str">
        <f>IF(DD$85="","",Underwriting!DM44)</f>
        <v/>
      </c>
      <c r="DE89" s="118" t="str">
        <f>IF(DE$85="","",Underwriting!DN44)</f>
        <v/>
      </c>
      <c r="DF89" s="118" t="str">
        <f>IF(DF$85="","",Underwriting!DO44)</f>
        <v/>
      </c>
      <c r="DG89" s="118" t="str">
        <f>IF(DG$85="","",Underwriting!DP44)</f>
        <v/>
      </c>
      <c r="DH89" s="118" t="str">
        <f>IF(DH$85="","",Underwriting!DQ44)</f>
        <v/>
      </c>
      <c r="DI89" s="118" t="str">
        <f>IF(DI$85="","",Underwriting!DR44)</f>
        <v/>
      </c>
      <c r="DJ89" s="118" t="str">
        <f>IF(DJ$85="","",Underwriting!DS44)</f>
        <v/>
      </c>
      <c r="DK89" s="118" t="str">
        <f>IF(DK$85="","",Underwriting!DT44)</f>
        <v/>
      </c>
      <c r="DL89" s="118" t="str">
        <f>IF(DL$85="","",Underwriting!DU44)</f>
        <v/>
      </c>
      <c r="DM89" s="118" t="str">
        <f>IF(DM$85="","",Underwriting!DV44)</f>
        <v/>
      </c>
      <c r="DN89" s="118" t="str">
        <f>IF(DN$85="","",Underwriting!DW44)</f>
        <v/>
      </c>
      <c r="DO89" s="118" t="str">
        <f>IF(DO$85="","",Underwriting!DX44)</f>
        <v/>
      </c>
      <c r="DP89" s="118" t="str">
        <f>IF(DP$85="","",Underwriting!DY44)</f>
        <v/>
      </c>
      <c r="DQ89" s="118" t="str">
        <f>IF(DQ$85="","",Underwriting!DZ44)</f>
        <v/>
      </c>
      <c r="DR89" s="118" t="str">
        <f>IF(DR$85="","",Underwriting!EA44)</f>
        <v/>
      </c>
      <c r="DS89" s="118" t="str">
        <f>IF(DS$85="","",Underwriting!EB44)</f>
        <v/>
      </c>
      <c r="DT89" s="118" t="str">
        <f>IF(DT$85="","",Underwriting!EC44)</f>
        <v/>
      </c>
      <c r="DU89" s="118" t="str">
        <f>IF(DU$85="","",Underwriting!ED44)</f>
        <v/>
      </c>
      <c r="DV89" s="118" t="str">
        <f>IF(DV$85="","",Underwriting!EE44)</f>
        <v/>
      </c>
      <c r="DW89" s="118" t="str">
        <f>IF(DW$85="","",Underwriting!EF44)</f>
        <v/>
      </c>
      <c r="DX89" s="118" t="str">
        <f>IF(DX$85="","",Underwriting!EG44)</f>
        <v/>
      </c>
      <c r="DY89" s="118" t="str">
        <f>IF(DY$85="","",Underwriting!EH44)</f>
        <v/>
      </c>
      <c r="DZ89" s="118" t="str">
        <f>IF(DZ$85="","",Underwriting!EI44)</f>
        <v/>
      </c>
      <c r="EA89" s="118" t="str">
        <f>IF(EA$85="","",Underwriting!EJ44)</f>
        <v/>
      </c>
      <c r="EB89" s="118" t="str">
        <f>IF(EB$85="","",Underwriting!EK44)</f>
        <v/>
      </c>
      <c r="EC89" s="118" t="str">
        <f>IF(EC$85="","",Underwriting!EL44)</f>
        <v/>
      </c>
      <c r="ED89" s="118" t="str">
        <f>IF(ED$85="","",Underwriting!EM44)</f>
        <v/>
      </c>
      <c r="EE89" s="118" t="str">
        <f>IF(EE$85="","",Underwriting!EN44)</f>
        <v/>
      </c>
      <c r="EF89" s="118" t="str">
        <f>IF(EF$85="","",Underwriting!EO44)</f>
        <v/>
      </c>
      <c r="EG89" s="118" t="str">
        <f>IF(EG$85="","",Underwriting!EP44)</f>
        <v/>
      </c>
      <c r="EH89" s="118" t="str">
        <f>IF(EH$85="","",Underwriting!EQ44)</f>
        <v/>
      </c>
      <c r="EI89" s="118" t="str">
        <f>IF(EI$85="","",Underwriting!ER44)</f>
        <v/>
      </c>
      <c r="EJ89" s="118" t="str">
        <f>IF(EJ$85="","",Underwriting!ES44)</f>
        <v/>
      </c>
      <c r="EK89" s="118" t="str">
        <f>IF(EK$85="","",Underwriting!ET44)</f>
        <v/>
      </c>
      <c r="EL89" s="118" t="str">
        <f>IF(EL$85="","",Underwriting!EU44)</f>
        <v/>
      </c>
      <c r="EM89" s="118" t="str">
        <f>IF(EM$85="","",Underwriting!EV44)</f>
        <v/>
      </c>
      <c r="EN89" s="118" t="str">
        <f>IF(EN$85="","",Underwriting!EW44)</f>
        <v/>
      </c>
      <c r="EO89" s="118" t="str">
        <f>IF(EO$85="","",Underwriting!EX44)</f>
        <v/>
      </c>
      <c r="EP89" s="118" t="str">
        <f>IF(EP$85="","",Underwriting!EY44)</f>
        <v/>
      </c>
      <c r="EQ89" s="118" t="str">
        <f>IF(EQ$85="","",Underwriting!EZ44)</f>
        <v/>
      </c>
      <c r="ER89" s="118" t="str">
        <f>IF(ER$85="","",Underwriting!FA44)</f>
        <v/>
      </c>
      <c r="ES89" s="118" t="str">
        <f>IF(ES$85="","",Underwriting!FB44)</f>
        <v/>
      </c>
      <c r="ET89" s="118" t="str">
        <f>IF(ET$85="","",Underwriting!FC44)</f>
        <v/>
      </c>
      <c r="EU89" s="118" t="str">
        <f>IF(EU$85="","",Underwriting!FD44)</f>
        <v/>
      </c>
      <c r="EV89" s="118" t="str">
        <f>IF(EV$85="","",Underwriting!FE44)</f>
        <v/>
      </c>
      <c r="EW89" s="118" t="str">
        <f>IF(EW$85="","",Underwriting!FF44)</f>
        <v/>
      </c>
      <c r="EX89" s="118" t="str">
        <f>IF(EX$85="","",Underwriting!FG44)</f>
        <v/>
      </c>
      <c r="EY89" s="118" t="str">
        <f>IF(EY$85="","",Underwriting!FH44)</f>
        <v/>
      </c>
      <c r="EZ89" s="118" t="str">
        <f>IF(EZ$85="","",Underwriting!FI44)</f>
        <v/>
      </c>
      <c r="FA89" s="118" t="str">
        <f>IF(FA$85="","",Underwriting!FJ44)</f>
        <v/>
      </c>
      <c r="FB89" s="118" t="str">
        <f>IF(FB$85="","",Underwriting!FK44)</f>
        <v/>
      </c>
      <c r="FC89" s="118" t="str">
        <f>IF(FC$85="","",Underwriting!FL44)</f>
        <v/>
      </c>
      <c r="FD89" s="118" t="str">
        <f>IF(FD$85="","",Underwriting!FM44)</f>
        <v/>
      </c>
      <c r="FE89" s="118" t="str">
        <f>IF(FE$85="","",Underwriting!FN44)</f>
        <v/>
      </c>
      <c r="FF89" s="118" t="str">
        <f>IF(FF$85="","",Underwriting!FO44)</f>
        <v/>
      </c>
      <c r="FG89" s="118" t="str">
        <f>IF(FG$85="","",Underwriting!FP44)</f>
        <v/>
      </c>
      <c r="FH89" s="118" t="str">
        <f>IF(FH$85="","",Underwriting!FQ44)</f>
        <v/>
      </c>
      <c r="FI89" s="118" t="str">
        <f>IF(FI$85="","",Underwriting!FR44)</f>
        <v/>
      </c>
      <c r="FJ89" s="118" t="str">
        <f>IF(FJ$85="","",Underwriting!FS44)</f>
        <v/>
      </c>
      <c r="FK89" s="118" t="str">
        <f>IF(FK$85="","",Underwriting!FT44)</f>
        <v/>
      </c>
      <c r="FL89" s="118" t="str">
        <f>IF(FL$85="","",Underwriting!FU44)</f>
        <v/>
      </c>
      <c r="FM89" s="118" t="str">
        <f>IF(FM$85="","",Underwriting!FV44)</f>
        <v/>
      </c>
      <c r="FN89" s="118" t="str">
        <f>IF(FN$85="","",Underwriting!FW44)</f>
        <v/>
      </c>
      <c r="FO89" s="118" t="str">
        <f>IF(FO$85="","",Underwriting!FX44)</f>
        <v/>
      </c>
      <c r="FP89" s="118" t="str">
        <f>IF(FP$85="","",Underwriting!FY44)</f>
        <v/>
      </c>
      <c r="FQ89" s="118" t="str">
        <f>IF(FQ$85="","",Underwriting!FZ44)</f>
        <v/>
      </c>
      <c r="FR89" s="118" t="str">
        <f>IF(FR$85="","",Underwriting!GA44)</f>
        <v/>
      </c>
      <c r="FS89" s="118" t="str">
        <f>IF(FS$85="","",Underwriting!GB44)</f>
        <v/>
      </c>
      <c r="FT89" s="118" t="str">
        <f>IF(FT$85="","",Underwriting!GC44)</f>
        <v/>
      </c>
      <c r="FU89" s="118" t="str">
        <f>IF(FU$85="","",Underwriting!GD44)</f>
        <v/>
      </c>
      <c r="FV89" s="118" t="str">
        <f>IF(FV$85="","",Underwriting!GE44)</f>
        <v/>
      </c>
      <c r="FW89" s="118" t="str">
        <f>IF(FW$85="","",Underwriting!GF44)</f>
        <v/>
      </c>
      <c r="FX89" s="118" t="str">
        <f>IF(FX$85="","",Underwriting!GG44)</f>
        <v/>
      </c>
      <c r="FY89" s="118" t="str">
        <f>IF(FY$85="","",Underwriting!GH44)</f>
        <v/>
      </c>
      <c r="FZ89" s="118" t="str">
        <f>IF(FZ$85="","",Underwriting!GI44)</f>
        <v/>
      </c>
      <c r="GA89" s="118" t="str">
        <f>IF(GA$85="","",Underwriting!GJ44)</f>
        <v/>
      </c>
      <c r="GB89" s="118" t="str">
        <f>IF(GB$85="","",Underwriting!GK44)</f>
        <v/>
      </c>
      <c r="GC89" s="118" t="str">
        <f>IF(GC$85="","",Underwriting!GL44)</f>
        <v/>
      </c>
      <c r="GD89" s="118" t="str">
        <f>IF(GD$85="","",Underwriting!GM44)</f>
        <v/>
      </c>
      <c r="GE89" s="118" t="str">
        <f>IF(GE$85="","",Underwriting!GN44)</f>
        <v/>
      </c>
      <c r="GF89" s="118" t="str">
        <f>IF(GF$85="","",Underwriting!GO44)</f>
        <v/>
      </c>
      <c r="GG89" s="118" t="str">
        <f>IF(GG$85="","",Underwriting!GP44)</f>
        <v/>
      </c>
      <c r="GH89" s="118" t="str">
        <f>IF(GH$85="","",Underwriting!GQ44)</f>
        <v/>
      </c>
    </row>
    <row r="90" spans="2:191" ht="15" x14ac:dyDescent="0.4">
      <c r="H90" s="122"/>
      <c r="I90" s="122" t="str">
        <f>Underwriting!B51</f>
        <v>Total Carry Costs</v>
      </c>
      <c r="J90" s="119">
        <f>IF(J$85="","",Underwriting!T51)</f>
        <v>125000</v>
      </c>
      <c r="K90" s="119"/>
      <c r="L90" s="119">
        <f>IF(L$85="","",Underwriting!U51)</f>
        <v>7810.155052662959</v>
      </c>
      <c r="M90" s="119">
        <f>IF(M$85="","",Underwriting!V51)</f>
        <v>8333.777070080394</v>
      </c>
      <c r="N90" s="119">
        <f>IF(N$85="","",Underwriting!W51)</f>
        <v>8890.3071912254472</v>
      </c>
      <c r="O90" s="119">
        <f>IF(O$85="","",Underwriting!X51)</f>
        <v>9498.186921461167</v>
      </c>
      <c r="P90" s="119">
        <f>IF(P$85="","",Underwriting!Y51)</f>
        <v>10183.37278485527</v>
      </c>
      <c r="Q90" s="119">
        <f>IF(Q$85="","",Underwriting!Z51)</f>
        <v>10980.092823359349</v>
      </c>
      <c r="R90" s="119">
        <f>IF(R$85="","",Underwriting!AA51)</f>
        <v>11930.324138148539</v>
      </c>
      <c r="S90" s="119">
        <f>IF(S$85="","",Underwriting!AB51)</f>
        <v>13347.457393406645</v>
      </c>
      <c r="T90" s="119">
        <f>IF(T$85="","",Underwriting!AC51)</f>
        <v>14815.307697944405</v>
      </c>
      <c r="U90" s="119">
        <f>IF(U$85="","",Underwriting!AD51)</f>
        <v>3255.3491597986622</v>
      </c>
      <c r="V90" s="119">
        <f>IF(V$85="","",Underwriting!AE51)</f>
        <v>5039.1677883972879</v>
      </c>
      <c r="W90" s="119">
        <f>IF(W$85="","",Underwriting!AF51)</f>
        <v>0</v>
      </c>
      <c r="X90" s="119">
        <f>IF(X$85="","",Underwriting!AG51)</f>
        <v>2366.288439690512</v>
      </c>
      <c r="Y90" s="119">
        <f>IF(Y$85="","",Underwriting!AH51)</f>
        <v>4979.5938602237911</v>
      </c>
      <c r="Z90" s="119">
        <f>IF(Z$85="","",Underwriting!AI51)</f>
        <v>7760.2246840114785</v>
      </c>
      <c r="AA90" s="119">
        <f>IF(AA$85="","",Underwriting!AJ51)</f>
        <v>4995.4309480669972</v>
      </c>
      <c r="AB90" s="119">
        <f>IF(AB$85="","",Underwriting!AK51)</f>
        <v>7776.1502732279278</v>
      </c>
      <c r="AC90" s="119">
        <f>IF(AC$85="","",Underwriting!AL51)</f>
        <v>6565.4813922427375</v>
      </c>
      <c r="AD90" s="119">
        <f>IF(AD$85="","",Underwriting!AM51)</f>
        <v>3354.3784044193108</v>
      </c>
      <c r="AE90" s="119">
        <f>IF(AE$85="","",Underwriting!AN51)</f>
        <v>5758.636778845168</v>
      </c>
      <c r="AF90" s="119">
        <f>IF(AF$85="","",Underwriting!AO51)</f>
        <v>4009.5914264914049</v>
      </c>
      <c r="AG90" s="119">
        <f>IF(AG$85="","",Underwriting!AP51)</f>
        <v>1555.6205768287184</v>
      </c>
      <c r="AH90" s="119">
        <f>IF(AH$85="","",Underwriting!AQ51)</f>
        <v>3045.5900285679559</v>
      </c>
      <c r="AI90" s="119">
        <f>IF(AI$85="","",Underwriting!AR51)</f>
        <v>331.67611422210621</v>
      </c>
      <c r="AJ90" s="119">
        <f>IF(AJ$85="","",Underwriting!AS51)</f>
        <v>1313.4337877948365</v>
      </c>
      <c r="AK90" s="119">
        <f>IF(AK$85="","",Underwriting!AT51)</f>
        <v>2151.618737002892</v>
      </c>
      <c r="AL90" s="119">
        <f>IF(AL$85="","",Underwriting!AU51)</f>
        <v>0</v>
      </c>
      <c r="AM90" s="119">
        <f>IF(AM$85="","",Underwriting!AV51)</f>
        <v>649.23081867818257</v>
      </c>
      <c r="AN90" s="119">
        <f>IF(AN$85="","",Underwriting!AW51)</f>
        <v>946.49716292941946</v>
      </c>
      <c r="AO90" s="119">
        <f>IF(AO$85="","",Underwriting!AX51)</f>
        <v>472.24298814792303</v>
      </c>
      <c r="AP90" s="119">
        <f>IF(AP$85="","",Underwriting!AY51)</f>
        <v>0</v>
      </c>
      <c r="AQ90" s="119">
        <f>IF(AQ$85="","",Underwriting!AZ51)</f>
        <v>0</v>
      </c>
      <c r="AR90" s="119">
        <f>IF(AR$85="","",Underwriting!BA51)</f>
        <v>0</v>
      </c>
      <c r="AS90" s="119">
        <f>IF(AS$85="","",Underwriting!BB51)</f>
        <v>0</v>
      </c>
      <c r="AT90" s="119">
        <f>IF(AT$85="","",Underwriting!BC51)</f>
        <v>0</v>
      </c>
      <c r="AU90" s="119">
        <f>IF(AU$85="","",Underwriting!BD51)</f>
        <v>0</v>
      </c>
      <c r="AV90" s="119">
        <f>IF(AV$85="","",Underwriting!BE51)</f>
        <v>0</v>
      </c>
      <c r="AW90" s="119">
        <f>IF(AW$85="","",Underwriting!BF51)</f>
        <v>0</v>
      </c>
      <c r="AX90" s="119">
        <f>IF(AX$85="","",Underwriting!BG51)</f>
        <v>0</v>
      </c>
      <c r="AY90" s="119">
        <f>IF(AY$85="","",Underwriting!BH51)</f>
        <v>0</v>
      </c>
      <c r="AZ90" s="119">
        <f>IF(AZ$85="","",Underwriting!BI51)</f>
        <v>0</v>
      </c>
      <c r="BA90" s="119">
        <f>IF(BA$85="","",Underwriting!BJ51)</f>
        <v>0</v>
      </c>
      <c r="BB90" s="119">
        <f>IF(BB$85="","",Underwriting!BK51)</f>
        <v>0</v>
      </c>
      <c r="BC90" s="119">
        <f>IF(BC$85="","",Underwriting!BL51)</f>
        <v>0</v>
      </c>
      <c r="BD90" s="119">
        <f>IF(BD$85="","",Underwriting!BM51)</f>
        <v>0</v>
      </c>
      <c r="BE90" s="119">
        <f>IF(BE$85="","",Underwriting!BN51)</f>
        <v>0</v>
      </c>
      <c r="BF90" s="119">
        <f>IF(BF$85="","",Underwriting!BO51)</f>
        <v>0</v>
      </c>
      <c r="BG90" s="119">
        <f>IF(BG$85="","",Underwriting!BP51)</f>
        <v>0</v>
      </c>
      <c r="BH90" s="119" t="str">
        <f>IF(BH$85="","",Underwriting!BQ51)</f>
        <v/>
      </c>
      <c r="BI90" s="119" t="str">
        <f>IF(BI$85="","",Underwriting!BR51)</f>
        <v/>
      </c>
      <c r="BJ90" s="119" t="str">
        <f>IF(BJ$85="","",Underwriting!BS51)</f>
        <v/>
      </c>
      <c r="BK90" s="119" t="str">
        <f>IF(BK$85="","",Underwriting!BT51)</f>
        <v/>
      </c>
      <c r="BL90" s="119" t="str">
        <f>IF(BL$85="","",Underwriting!BU51)</f>
        <v/>
      </c>
      <c r="BM90" s="119" t="str">
        <f>IF(BM$85="","",Underwriting!BV51)</f>
        <v/>
      </c>
      <c r="BN90" s="119" t="str">
        <f>IF(BN$85="","",Underwriting!BW51)</f>
        <v/>
      </c>
      <c r="BO90" s="119" t="str">
        <f>IF(BO$85="","",Underwriting!BX51)</f>
        <v/>
      </c>
      <c r="BP90" s="119" t="str">
        <f>IF(BP$85="","",Underwriting!BY51)</f>
        <v/>
      </c>
      <c r="BQ90" s="119" t="str">
        <f>IF(BQ$85="","",Underwriting!BZ51)</f>
        <v/>
      </c>
      <c r="BR90" s="119" t="str">
        <f>IF(BR$85="","",Underwriting!CA51)</f>
        <v/>
      </c>
      <c r="BS90" s="119" t="str">
        <f>IF(BS$85="","",Underwriting!CB51)</f>
        <v/>
      </c>
      <c r="BT90" s="119" t="str">
        <f>IF(BT$85="","",Underwriting!CC51)</f>
        <v/>
      </c>
      <c r="BU90" s="119" t="str">
        <f>IF(BU$85="","",Underwriting!CD51)</f>
        <v/>
      </c>
      <c r="BV90" s="119" t="str">
        <f>IF(BV$85="","",Underwriting!CE51)</f>
        <v/>
      </c>
      <c r="BW90" s="119" t="str">
        <f>IF(BW$85="","",Underwriting!CF51)</f>
        <v/>
      </c>
      <c r="BX90" s="119" t="str">
        <f>IF(BX$85="","",Underwriting!CG51)</f>
        <v/>
      </c>
      <c r="BY90" s="119" t="str">
        <f>IF(BY$85="","",Underwriting!CH51)</f>
        <v/>
      </c>
      <c r="BZ90" s="119" t="str">
        <f>IF(BZ$85="","",Underwriting!CI51)</f>
        <v/>
      </c>
      <c r="CA90" s="119" t="str">
        <f>IF(CA$85="","",Underwriting!CJ51)</f>
        <v/>
      </c>
      <c r="CB90" s="119" t="str">
        <f>IF(CB$85="","",Underwriting!CK51)</f>
        <v/>
      </c>
      <c r="CC90" s="119" t="str">
        <f>IF(CC$85="","",Underwriting!CL51)</f>
        <v/>
      </c>
      <c r="CD90" s="119" t="str">
        <f>IF(CD$85="","",Underwriting!CM51)</f>
        <v/>
      </c>
      <c r="CE90" s="119" t="str">
        <f>IF(CE$85="","",Underwriting!CN51)</f>
        <v/>
      </c>
      <c r="CF90" s="119" t="str">
        <f>IF(CF$85="","",Underwriting!CO51)</f>
        <v/>
      </c>
      <c r="CG90" s="119" t="str">
        <f>IF(CG$85="","",Underwriting!CP51)</f>
        <v/>
      </c>
      <c r="CH90" s="119" t="str">
        <f>IF(CH$85="","",Underwriting!CQ51)</f>
        <v/>
      </c>
      <c r="CI90" s="119" t="str">
        <f>IF(CI$85="","",Underwriting!CR51)</f>
        <v/>
      </c>
      <c r="CJ90" s="119" t="str">
        <f>IF(CJ$85="","",Underwriting!CS51)</f>
        <v/>
      </c>
      <c r="CK90" s="119" t="str">
        <f>IF(CK$85="","",Underwriting!CT51)</f>
        <v/>
      </c>
      <c r="CL90" s="119" t="str">
        <f>IF(CL$85="","",Underwriting!CU51)</f>
        <v/>
      </c>
      <c r="CM90" s="119" t="str">
        <f>IF(CM$85="","",Underwriting!CV51)</f>
        <v/>
      </c>
      <c r="CN90" s="119" t="str">
        <f>IF(CN$85="","",Underwriting!CW51)</f>
        <v/>
      </c>
      <c r="CO90" s="119" t="str">
        <f>IF(CO$85="","",Underwriting!CX51)</f>
        <v/>
      </c>
      <c r="CP90" s="119" t="str">
        <f>IF(CP$85="","",Underwriting!CY51)</f>
        <v/>
      </c>
      <c r="CQ90" s="119" t="str">
        <f>IF(CQ$85="","",Underwriting!CZ51)</f>
        <v/>
      </c>
      <c r="CR90" s="119" t="str">
        <f>IF(CR$85="","",Underwriting!DA51)</f>
        <v/>
      </c>
      <c r="CS90" s="119" t="str">
        <f>IF(CS$85="","",Underwriting!DB51)</f>
        <v/>
      </c>
      <c r="CT90" s="119" t="str">
        <f>IF(CT$85="","",Underwriting!DC51)</f>
        <v/>
      </c>
      <c r="CU90" s="119" t="str">
        <f>IF(CU$85="","",Underwriting!DD51)</f>
        <v/>
      </c>
      <c r="CV90" s="119" t="str">
        <f>IF(CV$85="","",Underwriting!DE51)</f>
        <v/>
      </c>
      <c r="CW90" s="119" t="str">
        <f>IF(CW$85="","",Underwriting!DF51)</f>
        <v/>
      </c>
      <c r="CX90" s="119" t="str">
        <f>IF(CX$85="","",Underwriting!DG51)</f>
        <v/>
      </c>
      <c r="CY90" s="119" t="str">
        <f>IF(CY$85="","",Underwriting!DH51)</f>
        <v/>
      </c>
      <c r="CZ90" s="119" t="str">
        <f>IF(CZ$85="","",Underwriting!DI51)</f>
        <v/>
      </c>
      <c r="DA90" s="119" t="str">
        <f>IF(DA$85="","",Underwriting!DJ51)</f>
        <v/>
      </c>
      <c r="DB90" s="119" t="str">
        <f>IF(DB$85="","",Underwriting!DK51)</f>
        <v/>
      </c>
      <c r="DC90" s="119" t="str">
        <f>IF(DC$85="","",Underwriting!DL51)</f>
        <v/>
      </c>
      <c r="DD90" s="119" t="str">
        <f>IF(DD$85="","",Underwriting!DM51)</f>
        <v/>
      </c>
      <c r="DE90" s="119" t="str">
        <f>IF(DE$85="","",Underwriting!DN51)</f>
        <v/>
      </c>
      <c r="DF90" s="119" t="str">
        <f>IF(DF$85="","",Underwriting!DO51)</f>
        <v/>
      </c>
      <c r="DG90" s="119" t="str">
        <f>IF(DG$85="","",Underwriting!DP51)</f>
        <v/>
      </c>
      <c r="DH90" s="119" t="str">
        <f>IF(DH$85="","",Underwriting!DQ51)</f>
        <v/>
      </c>
      <c r="DI90" s="119" t="str">
        <f>IF(DI$85="","",Underwriting!DR51)</f>
        <v/>
      </c>
      <c r="DJ90" s="119" t="str">
        <f>IF(DJ$85="","",Underwriting!DS51)</f>
        <v/>
      </c>
      <c r="DK90" s="119" t="str">
        <f>IF(DK$85="","",Underwriting!DT51)</f>
        <v/>
      </c>
      <c r="DL90" s="119" t="str">
        <f>IF(DL$85="","",Underwriting!DU51)</f>
        <v/>
      </c>
      <c r="DM90" s="119" t="str">
        <f>IF(DM$85="","",Underwriting!DV51)</f>
        <v/>
      </c>
      <c r="DN90" s="119" t="str">
        <f>IF(DN$85="","",Underwriting!DW51)</f>
        <v/>
      </c>
      <c r="DO90" s="119" t="str">
        <f>IF(DO$85="","",Underwriting!DX51)</f>
        <v/>
      </c>
      <c r="DP90" s="119" t="str">
        <f>IF(DP$85="","",Underwriting!DY51)</f>
        <v/>
      </c>
      <c r="DQ90" s="119" t="str">
        <f>IF(DQ$85="","",Underwriting!DZ51)</f>
        <v/>
      </c>
      <c r="DR90" s="119" t="str">
        <f>IF(DR$85="","",Underwriting!EA51)</f>
        <v/>
      </c>
      <c r="DS90" s="119" t="str">
        <f>IF(DS$85="","",Underwriting!EB51)</f>
        <v/>
      </c>
      <c r="DT90" s="119" t="str">
        <f>IF(DT$85="","",Underwriting!EC51)</f>
        <v/>
      </c>
      <c r="DU90" s="119" t="str">
        <f>IF(DU$85="","",Underwriting!ED51)</f>
        <v/>
      </c>
      <c r="DV90" s="119" t="str">
        <f>IF(DV$85="","",Underwriting!EE51)</f>
        <v/>
      </c>
      <c r="DW90" s="119" t="str">
        <f>IF(DW$85="","",Underwriting!EF51)</f>
        <v/>
      </c>
      <c r="DX90" s="119" t="str">
        <f>IF(DX$85="","",Underwriting!EG51)</f>
        <v/>
      </c>
      <c r="DY90" s="119" t="str">
        <f>IF(DY$85="","",Underwriting!EH51)</f>
        <v/>
      </c>
      <c r="DZ90" s="119" t="str">
        <f>IF(DZ$85="","",Underwriting!EI51)</f>
        <v/>
      </c>
      <c r="EA90" s="119" t="str">
        <f>IF(EA$85="","",Underwriting!EJ51)</f>
        <v/>
      </c>
      <c r="EB90" s="119" t="str">
        <f>IF(EB$85="","",Underwriting!EK51)</f>
        <v/>
      </c>
      <c r="EC90" s="119" t="str">
        <f>IF(EC$85="","",Underwriting!EL51)</f>
        <v/>
      </c>
      <c r="ED90" s="119" t="str">
        <f>IF(ED$85="","",Underwriting!EM51)</f>
        <v/>
      </c>
      <c r="EE90" s="119" t="str">
        <f>IF(EE$85="","",Underwriting!EN51)</f>
        <v/>
      </c>
      <c r="EF90" s="119" t="str">
        <f>IF(EF$85="","",Underwriting!EO51)</f>
        <v/>
      </c>
      <c r="EG90" s="119" t="str">
        <f>IF(EG$85="","",Underwriting!EP51)</f>
        <v/>
      </c>
      <c r="EH90" s="119" t="str">
        <f>IF(EH$85="","",Underwriting!EQ51)</f>
        <v/>
      </c>
      <c r="EI90" s="119" t="str">
        <f>IF(EI$85="","",Underwriting!ER51)</f>
        <v/>
      </c>
      <c r="EJ90" s="119" t="str">
        <f>IF(EJ$85="","",Underwriting!ES51)</f>
        <v/>
      </c>
      <c r="EK90" s="119" t="str">
        <f>IF(EK$85="","",Underwriting!ET51)</f>
        <v/>
      </c>
      <c r="EL90" s="119" t="str">
        <f>IF(EL$85="","",Underwriting!EU51)</f>
        <v/>
      </c>
      <c r="EM90" s="119" t="str">
        <f>IF(EM$85="","",Underwriting!EV51)</f>
        <v/>
      </c>
      <c r="EN90" s="119" t="str">
        <f>IF(EN$85="","",Underwriting!EW51)</f>
        <v/>
      </c>
      <c r="EO90" s="119" t="str">
        <f>IF(EO$85="","",Underwriting!EX51)</f>
        <v/>
      </c>
      <c r="EP90" s="119" t="str">
        <f>IF(EP$85="","",Underwriting!EY51)</f>
        <v/>
      </c>
      <c r="EQ90" s="119" t="str">
        <f>IF(EQ$85="","",Underwriting!EZ51)</f>
        <v/>
      </c>
      <c r="ER90" s="119" t="str">
        <f>IF(ER$85="","",Underwriting!FA51)</f>
        <v/>
      </c>
      <c r="ES90" s="119" t="str">
        <f>IF(ES$85="","",Underwriting!FB51)</f>
        <v/>
      </c>
      <c r="ET90" s="119" t="str">
        <f>IF(ET$85="","",Underwriting!FC51)</f>
        <v/>
      </c>
      <c r="EU90" s="119" t="str">
        <f>IF(EU$85="","",Underwriting!FD51)</f>
        <v/>
      </c>
      <c r="EV90" s="119" t="str">
        <f>IF(EV$85="","",Underwriting!FE51)</f>
        <v/>
      </c>
      <c r="EW90" s="119" t="str">
        <f>IF(EW$85="","",Underwriting!FF51)</f>
        <v/>
      </c>
      <c r="EX90" s="119" t="str">
        <f>IF(EX$85="","",Underwriting!FG51)</f>
        <v/>
      </c>
      <c r="EY90" s="119" t="str">
        <f>IF(EY$85="","",Underwriting!FH51)</f>
        <v/>
      </c>
      <c r="EZ90" s="119" t="str">
        <f>IF(EZ$85="","",Underwriting!FI51)</f>
        <v/>
      </c>
      <c r="FA90" s="119" t="str">
        <f>IF(FA$85="","",Underwriting!FJ51)</f>
        <v/>
      </c>
      <c r="FB90" s="119" t="str">
        <f>IF(FB$85="","",Underwriting!FK51)</f>
        <v/>
      </c>
      <c r="FC90" s="119" t="str">
        <f>IF(FC$85="","",Underwriting!FL51)</f>
        <v/>
      </c>
      <c r="FD90" s="119" t="str">
        <f>IF(FD$85="","",Underwriting!FM51)</f>
        <v/>
      </c>
      <c r="FE90" s="119" t="str">
        <f>IF(FE$85="","",Underwriting!FN51)</f>
        <v/>
      </c>
      <c r="FF90" s="119" t="str">
        <f>IF(FF$85="","",Underwriting!FO51)</f>
        <v/>
      </c>
      <c r="FG90" s="119" t="str">
        <f>IF(FG$85="","",Underwriting!FP51)</f>
        <v/>
      </c>
      <c r="FH90" s="119" t="str">
        <f>IF(FH$85="","",Underwriting!FQ51)</f>
        <v/>
      </c>
      <c r="FI90" s="119" t="str">
        <f>IF(FI$85="","",Underwriting!FR51)</f>
        <v/>
      </c>
      <c r="FJ90" s="119" t="str">
        <f>IF(FJ$85="","",Underwriting!FS51)</f>
        <v/>
      </c>
      <c r="FK90" s="119" t="str">
        <f>IF(FK$85="","",Underwriting!FT51)</f>
        <v/>
      </c>
      <c r="FL90" s="119" t="str">
        <f>IF(FL$85="","",Underwriting!FU51)</f>
        <v/>
      </c>
      <c r="FM90" s="119" t="str">
        <f>IF(FM$85="","",Underwriting!FV51)</f>
        <v/>
      </c>
      <c r="FN90" s="119" t="str">
        <f>IF(FN$85="","",Underwriting!FW51)</f>
        <v/>
      </c>
      <c r="FO90" s="119" t="str">
        <f>IF(FO$85="","",Underwriting!FX51)</f>
        <v/>
      </c>
      <c r="FP90" s="119" t="str">
        <f>IF(FP$85="","",Underwriting!FY51)</f>
        <v/>
      </c>
      <c r="FQ90" s="119" t="str">
        <f>IF(FQ$85="","",Underwriting!FZ51)</f>
        <v/>
      </c>
      <c r="FR90" s="119" t="str">
        <f>IF(FR$85="","",Underwriting!GA51)</f>
        <v/>
      </c>
      <c r="FS90" s="119" t="str">
        <f>IF(FS$85="","",Underwriting!GB51)</f>
        <v/>
      </c>
      <c r="FT90" s="119" t="str">
        <f>IF(FT$85="","",Underwriting!GC51)</f>
        <v/>
      </c>
      <c r="FU90" s="119" t="str">
        <f>IF(FU$85="","",Underwriting!GD51)</f>
        <v/>
      </c>
      <c r="FV90" s="119" t="str">
        <f>IF(FV$85="","",Underwriting!GE51)</f>
        <v/>
      </c>
      <c r="FW90" s="119" t="str">
        <f>IF(FW$85="","",Underwriting!GF51)</f>
        <v/>
      </c>
      <c r="FX90" s="119" t="str">
        <f>IF(FX$85="","",Underwriting!GG51)</f>
        <v/>
      </c>
      <c r="FY90" s="119" t="str">
        <f>IF(FY$85="","",Underwriting!GH51)</f>
        <v/>
      </c>
      <c r="FZ90" s="119" t="str">
        <f>IF(FZ$85="","",Underwriting!GI51)</f>
        <v/>
      </c>
      <c r="GA90" s="119" t="str">
        <f>IF(GA$85="","",Underwriting!GJ51)</f>
        <v/>
      </c>
      <c r="GB90" s="119" t="str">
        <f>IF(GB$85="","",Underwriting!GK51)</f>
        <v/>
      </c>
      <c r="GC90" s="119" t="str">
        <f>IF(GC$85="","",Underwriting!GL51)</f>
        <v/>
      </c>
      <c r="GD90" s="119" t="str">
        <f>IF(GD$85="","",Underwriting!GM51)</f>
        <v/>
      </c>
      <c r="GE90" s="119" t="str">
        <f>IF(GE$85="","",Underwriting!GN51)</f>
        <v/>
      </c>
      <c r="GF90" s="119" t="str">
        <f>IF(GF$85="","",Underwriting!GO51)</f>
        <v/>
      </c>
      <c r="GG90" s="119" t="str">
        <f>IF(GG$85="","",Underwriting!GP51)</f>
        <v/>
      </c>
      <c r="GH90" s="119" t="str">
        <f>IF(GH$85="","",Underwriting!GQ51)</f>
        <v/>
      </c>
    </row>
    <row r="91" spans="2:191" x14ac:dyDescent="0.3">
      <c r="H91" s="123">
        <f>SUM(J91:GH91)</f>
        <v>11118615.184442734</v>
      </c>
      <c r="I91" s="122"/>
      <c r="J91" s="118">
        <f>IF(J85="","",SUM(J86:J90))</f>
        <v>3068418.585526316</v>
      </c>
      <c r="L91" s="118">
        <f t="shared" ref="L91:BW91" si="0">IF(L85="","",SUM(L86:L90))</f>
        <v>93700.782064172512</v>
      </c>
      <c r="M91" s="118">
        <f t="shared" si="0"/>
        <v>99589.600625957231</v>
      </c>
      <c r="N91" s="118">
        <f t="shared" si="0"/>
        <v>108778.47804218142</v>
      </c>
      <c r="O91" s="118">
        <f t="shared" si="0"/>
        <v>122612.20713368148</v>
      </c>
      <c r="P91" s="118">
        <f t="shared" si="0"/>
        <v>142570.95425862484</v>
      </c>
      <c r="Q91" s="118">
        <f t="shared" si="0"/>
        <v>170041.39317280205</v>
      </c>
      <c r="R91" s="118">
        <f t="shared" si="0"/>
        <v>253592.26673039803</v>
      </c>
      <c r="S91" s="118">
        <f t="shared" si="0"/>
        <v>262667.94923307316</v>
      </c>
      <c r="T91" s="118">
        <f t="shared" si="0"/>
        <v>275500.84054234065</v>
      </c>
      <c r="U91" s="118">
        <f t="shared" si="0"/>
        <v>319209.649328175</v>
      </c>
      <c r="V91" s="118">
        <f t="shared" si="0"/>
        <v>376920.49849176273</v>
      </c>
      <c r="W91" s="118">
        <f t="shared" si="0"/>
        <v>423441.08920777583</v>
      </c>
      <c r="X91" s="118">
        <f t="shared" si="0"/>
        <v>467644.12788490253</v>
      </c>
      <c r="Y91" s="118">
        <f t="shared" si="0"/>
        <v>497586.56846727041</v>
      </c>
      <c r="Z91" s="118">
        <f t="shared" si="0"/>
        <v>509872.43672572426</v>
      </c>
      <c r="AA91" s="118">
        <f t="shared" si="0"/>
        <v>497602.40555511392</v>
      </c>
      <c r="AB91" s="118">
        <f t="shared" si="0"/>
        <v>473053.9897184397</v>
      </c>
      <c r="AC91" s="118">
        <f t="shared" si="0"/>
        <v>430006.57060001837</v>
      </c>
      <c r="AD91" s="118">
        <f t="shared" si="0"/>
        <v>430235.7091077849</v>
      </c>
      <c r="AE91" s="118">
        <f t="shared" si="0"/>
        <v>376712.9369472214</v>
      </c>
      <c r="AF91" s="118">
        <f t="shared" si="0"/>
        <v>319695.12427088775</v>
      </c>
      <c r="AG91" s="118">
        <f t="shared" si="0"/>
        <v>266626.1124164951</v>
      </c>
      <c r="AH91" s="118">
        <f t="shared" si="0"/>
        <v>224743.24690653227</v>
      </c>
      <c r="AI91" s="118">
        <f t="shared" si="0"/>
        <v>175682.95211301485</v>
      </c>
      <c r="AJ91" s="118">
        <f t="shared" si="0"/>
        <v>149990.99091091516</v>
      </c>
      <c r="AK91" s="118">
        <f t="shared" si="0"/>
        <v>131555.61459857426</v>
      </c>
      <c r="AL91" s="118">
        <f t="shared" si="0"/>
        <v>116178.14650030635</v>
      </c>
      <c r="AM91" s="118">
        <f t="shared" si="0"/>
        <v>53195.030023905529</v>
      </c>
      <c r="AN91" s="118">
        <f t="shared" si="0"/>
        <v>39763.463460153289</v>
      </c>
      <c r="AO91" s="118">
        <f t="shared" si="0"/>
        <v>32398.538456548653</v>
      </c>
      <c r="AP91" s="118">
        <f t="shared" si="0"/>
        <v>31926.295468400731</v>
      </c>
      <c r="AQ91" s="118">
        <f t="shared" si="0"/>
        <v>31926.295468400731</v>
      </c>
      <c r="AR91" s="118">
        <f t="shared" si="0"/>
        <v>31926.295468400731</v>
      </c>
      <c r="AS91" s="118">
        <f t="shared" si="0"/>
        <v>31926.295468400731</v>
      </c>
      <c r="AT91" s="118">
        <f t="shared" si="0"/>
        <v>31926.295468400731</v>
      </c>
      <c r="AU91" s="118">
        <f t="shared" si="0"/>
        <v>24697.724039829303</v>
      </c>
      <c r="AV91" s="118">
        <f t="shared" si="0"/>
        <v>24697.724039829303</v>
      </c>
      <c r="AW91" s="118">
        <f t="shared" si="0"/>
        <v>0</v>
      </c>
      <c r="AX91" s="118">
        <f t="shared" si="0"/>
        <v>0</v>
      </c>
      <c r="AY91" s="118">
        <f t="shared" si="0"/>
        <v>0</v>
      </c>
      <c r="AZ91" s="118">
        <f t="shared" si="0"/>
        <v>0</v>
      </c>
      <c r="BA91" s="118">
        <f t="shared" si="0"/>
        <v>0</v>
      </c>
      <c r="BB91" s="118">
        <f t="shared" si="0"/>
        <v>0</v>
      </c>
      <c r="BC91" s="118">
        <f t="shared" si="0"/>
        <v>0</v>
      </c>
      <c r="BD91" s="118">
        <f t="shared" si="0"/>
        <v>0</v>
      </c>
      <c r="BE91" s="118">
        <f t="shared" si="0"/>
        <v>0</v>
      </c>
      <c r="BF91" s="118">
        <f t="shared" si="0"/>
        <v>0</v>
      </c>
      <c r="BG91" s="118">
        <f t="shared" si="0"/>
        <v>0</v>
      </c>
      <c r="BH91" s="118" t="str">
        <f t="shared" si="0"/>
        <v/>
      </c>
      <c r="BI91" s="118" t="str">
        <f t="shared" si="0"/>
        <v/>
      </c>
      <c r="BJ91" s="118" t="str">
        <f t="shared" si="0"/>
        <v/>
      </c>
      <c r="BK91" s="118" t="str">
        <f t="shared" si="0"/>
        <v/>
      </c>
      <c r="BL91" s="118" t="str">
        <f t="shared" si="0"/>
        <v/>
      </c>
      <c r="BM91" s="118" t="str">
        <f t="shared" si="0"/>
        <v/>
      </c>
      <c r="BN91" s="118" t="str">
        <f t="shared" si="0"/>
        <v/>
      </c>
      <c r="BO91" s="118" t="str">
        <f t="shared" si="0"/>
        <v/>
      </c>
      <c r="BP91" s="118" t="str">
        <f t="shared" si="0"/>
        <v/>
      </c>
      <c r="BQ91" s="118" t="str">
        <f t="shared" si="0"/>
        <v/>
      </c>
      <c r="BR91" s="118" t="str">
        <f t="shared" si="0"/>
        <v/>
      </c>
      <c r="BS91" s="118" t="str">
        <f t="shared" si="0"/>
        <v/>
      </c>
      <c r="BT91" s="118" t="str">
        <f t="shared" si="0"/>
        <v/>
      </c>
      <c r="BU91" s="118" t="str">
        <f t="shared" si="0"/>
        <v/>
      </c>
      <c r="BV91" s="118" t="str">
        <f t="shared" si="0"/>
        <v/>
      </c>
      <c r="BW91" s="118" t="str">
        <f t="shared" si="0"/>
        <v/>
      </c>
      <c r="BX91" s="118" t="str">
        <f t="shared" ref="BX91:EI91" si="1">IF(BX85="","",SUM(BX86:BX90))</f>
        <v/>
      </c>
      <c r="BY91" s="118" t="str">
        <f t="shared" si="1"/>
        <v/>
      </c>
      <c r="BZ91" s="118" t="str">
        <f t="shared" si="1"/>
        <v/>
      </c>
      <c r="CA91" s="118" t="str">
        <f t="shared" si="1"/>
        <v/>
      </c>
      <c r="CB91" s="118" t="str">
        <f t="shared" si="1"/>
        <v/>
      </c>
      <c r="CC91" s="118" t="str">
        <f t="shared" si="1"/>
        <v/>
      </c>
      <c r="CD91" s="118" t="str">
        <f t="shared" si="1"/>
        <v/>
      </c>
      <c r="CE91" s="118" t="str">
        <f t="shared" si="1"/>
        <v/>
      </c>
      <c r="CF91" s="118" t="str">
        <f t="shared" si="1"/>
        <v/>
      </c>
      <c r="CG91" s="118" t="str">
        <f t="shared" si="1"/>
        <v/>
      </c>
      <c r="CH91" s="118" t="str">
        <f t="shared" si="1"/>
        <v/>
      </c>
      <c r="CI91" s="118" t="str">
        <f t="shared" si="1"/>
        <v/>
      </c>
      <c r="CJ91" s="118" t="str">
        <f t="shared" si="1"/>
        <v/>
      </c>
      <c r="CK91" s="118" t="str">
        <f t="shared" si="1"/>
        <v/>
      </c>
      <c r="CL91" s="118" t="str">
        <f t="shared" si="1"/>
        <v/>
      </c>
      <c r="CM91" s="118" t="str">
        <f t="shared" si="1"/>
        <v/>
      </c>
      <c r="CN91" s="118" t="str">
        <f t="shared" si="1"/>
        <v/>
      </c>
      <c r="CO91" s="118" t="str">
        <f t="shared" si="1"/>
        <v/>
      </c>
      <c r="CP91" s="118" t="str">
        <f t="shared" si="1"/>
        <v/>
      </c>
      <c r="CQ91" s="118" t="str">
        <f t="shared" si="1"/>
        <v/>
      </c>
      <c r="CR91" s="118" t="str">
        <f t="shared" si="1"/>
        <v/>
      </c>
      <c r="CS91" s="118" t="str">
        <f t="shared" si="1"/>
        <v/>
      </c>
      <c r="CT91" s="118" t="str">
        <f t="shared" si="1"/>
        <v/>
      </c>
      <c r="CU91" s="118" t="str">
        <f t="shared" si="1"/>
        <v/>
      </c>
      <c r="CV91" s="118" t="str">
        <f t="shared" si="1"/>
        <v/>
      </c>
      <c r="CW91" s="118" t="str">
        <f t="shared" si="1"/>
        <v/>
      </c>
      <c r="CX91" s="118" t="str">
        <f t="shared" si="1"/>
        <v/>
      </c>
      <c r="CY91" s="118" t="str">
        <f t="shared" si="1"/>
        <v/>
      </c>
      <c r="CZ91" s="118" t="str">
        <f t="shared" si="1"/>
        <v/>
      </c>
      <c r="DA91" s="118" t="str">
        <f t="shared" si="1"/>
        <v/>
      </c>
      <c r="DB91" s="118" t="str">
        <f t="shared" si="1"/>
        <v/>
      </c>
      <c r="DC91" s="118" t="str">
        <f t="shared" si="1"/>
        <v/>
      </c>
      <c r="DD91" s="118" t="str">
        <f t="shared" si="1"/>
        <v/>
      </c>
      <c r="DE91" s="118" t="str">
        <f t="shared" si="1"/>
        <v/>
      </c>
      <c r="DF91" s="118" t="str">
        <f t="shared" si="1"/>
        <v/>
      </c>
      <c r="DG91" s="118" t="str">
        <f t="shared" si="1"/>
        <v/>
      </c>
      <c r="DH91" s="118" t="str">
        <f t="shared" si="1"/>
        <v/>
      </c>
      <c r="DI91" s="118" t="str">
        <f t="shared" si="1"/>
        <v/>
      </c>
      <c r="DJ91" s="118" t="str">
        <f t="shared" si="1"/>
        <v/>
      </c>
      <c r="DK91" s="118" t="str">
        <f t="shared" si="1"/>
        <v/>
      </c>
      <c r="DL91" s="118" t="str">
        <f t="shared" si="1"/>
        <v/>
      </c>
      <c r="DM91" s="118" t="str">
        <f t="shared" si="1"/>
        <v/>
      </c>
      <c r="DN91" s="118" t="str">
        <f t="shared" si="1"/>
        <v/>
      </c>
      <c r="DO91" s="118" t="str">
        <f t="shared" si="1"/>
        <v/>
      </c>
      <c r="DP91" s="118" t="str">
        <f t="shared" si="1"/>
        <v/>
      </c>
      <c r="DQ91" s="118" t="str">
        <f t="shared" si="1"/>
        <v/>
      </c>
      <c r="DR91" s="118" t="str">
        <f t="shared" si="1"/>
        <v/>
      </c>
      <c r="DS91" s="118" t="str">
        <f t="shared" si="1"/>
        <v/>
      </c>
      <c r="DT91" s="118" t="str">
        <f t="shared" si="1"/>
        <v/>
      </c>
      <c r="DU91" s="118" t="str">
        <f t="shared" si="1"/>
        <v/>
      </c>
      <c r="DV91" s="118" t="str">
        <f t="shared" si="1"/>
        <v/>
      </c>
      <c r="DW91" s="118" t="str">
        <f t="shared" si="1"/>
        <v/>
      </c>
      <c r="DX91" s="118" t="str">
        <f t="shared" si="1"/>
        <v/>
      </c>
      <c r="DY91" s="118" t="str">
        <f t="shared" si="1"/>
        <v/>
      </c>
      <c r="DZ91" s="118" t="str">
        <f t="shared" si="1"/>
        <v/>
      </c>
      <c r="EA91" s="118" t="str">
        <f t="shared" si="1"/>
        <v/>
      </c>
      <c r="EB91" s="118" t="str">
        <f t="shared" si="1"/>
        <v/>
      </c>
      <c r="EC91" s="118" t="str">
        <f t="shared" si="1"/>
        <v/>
      </c>
      <c r="ED91" s="118" t="str">
        <f t="shared" si="1"/>
        <v/>
      </c>
      <c r="EE91" s="118" t="str">
        <f t="shared" si="1"/>
        <v/>
      </c>
      <c r="EF91" s="118" t="str">
        <f t="shared" si="1"/>
        <v/>
      </c>
      <c r="EG91" s="118" t="str">
        <f t="shared" si="1"/>
        <v/>
      </c>
      <c r="EH91" s="118" t="str">
        <f t="shared" si="1"/>
        <v/>
      </c>
      <c r="EI91" s="118" t="str">
        <f t="shared" si="1"/>
        <v/>
      </c>
      <c r="EJ91" s="118" t="str">
        <f t="shared" ref="EJ91:GH91" si="2">IF(EJ85="","",SUM(EJ86:EJ90))</f>
        <v/>
      </c>
      <c r="EK91" s="118" t="str">
        <f t="shared" si="2"/>
        <v/>
      </c>
      <c r="EL91" s="118" t="str">
        <f t="shared" si="2"/>
        <v/>
      </c>
      <c r="EM91" s="118" t="str">
        <f t="shared" si="2"/>
        <v/>
      </c>
      <c r="EN91" s="118" t="str">
        <f t="shared" si="2"/>
        <v/>
      </c>
      <c r="EO91" s="118" t="str">
        <f t="shared" si="2"/>
        <v/>
      </c>
      <c r="EP91" s="118" t="str">
        <f t="shared" si="2"/>
        <v/>
      </c>
      <c r="EQ91" s="118" t="str">
        <f t="shared" si="2"/>
        <v/>
      </c>
      <c r="ER91" s="118" t="str">
        <f t="shared" si="2"/>
        <v/>
      </c>
      <c r="ES91" s="118" t="str">
        <f t="shared" si="2"/>
        <v/>
      </c>
      <c r="ET91" s="118" t="str">
        <f t="shared" si="2"/>
        <v/>
      </c>
      <c r="EU91" s="118" t="str">
        <f t="shared" si="2"/>
        <v/>
      </c>
      <c r="EV91" s="118" t="str">
        <f t="shared" si="2"/>
        <v/>
      </c>
      <c r="EW91" s="118" t="str">
        <f t="shared" si="2"/>
        <v/>
      </c>
      <c r="EX91" s="118" t="str">
        <f t="shared" si="2"/>
        <v/>
      </c>
      <c r="EY91" s="118" t="str">
        <f t="shared" si="2"/>
        <v/>
      </c>
      <c r="EZ91" s="118" t="str">
        <f t="shared" si="2"/>
        <v/>
      </c>
      <c r="FA91" s="118" t="str">
        <f t="shared" si="2"/>
        <v/>
      </c>
      <c r="FB91" s="118" t="str">
        <f t="shared" si="2"/>
        <v/>
      </c>
      <c r="FC91" s="118" t="str">
        <f t="shared" si="2"/>
        <v/>
      </c>
      <c r="FD91" s="118" t="str">
        <f t="shared" si="2"/>
        <v/>
      </c>
      <c r="FE91" s="118" t="str">
        <f t="shared" si="2"/>
        <v/>
      </c>
      <c r="FF91" s="118" t="str">
        <f t="shared" si="2"/>
        <v/>
      </c>
      <c r="FG91" s="118" t="str">
        <f t="shared" si="2"/>
        <v/>
      </c>
      <c r="FH91" s="118" t="str">
        <f t="shared" si="2"/>
        <v/>
      </c>
      <c r="FI91" s="118" t="str">
        <f t="shared" si="2"/>
        <v/>
      </c>
      <c r="FJ91" s="118" t="str">
        <f t="shared" si="2"/>
        <v/>
      </c>
      <c r="FK91" s="118" t="str">
        <f t="shared" si="2"/>
        <v/>
      </c>
      <c r="FL91" s="118" t="str">
        <f t="shared" si="2"/>
        <v/>
      </c>
      <c r="FM91" s="118" t="str">
        <f t="shared" si="2"/>
        <v/>
      </c>
      <c r="FN91" s="118" t="str">
        <f t="shared" si="2"/>
        <v/>
      </c>
      <c r="FO91" s="118" t="str">
        <f t="shared" si="2"/>
        <v/>
      </c>
      <c r="FP91" s="118" t="str">
        <f t="shared" si="2"/>
        <v/>
      </c>
      <c r="FQ91" s="118" t="str">
        <f t="shared" si="2"/>
        <v/>
      </c>
      <c r="FR91" s="118" t="str">
        <f t="shared" si="2"/>
        <v/>
      </c>
      <c r="FS91" s="118" t="str">
        <f t="shared" si="2"/>
        <v/>
      </c>
      <c r="FT91" s="118" t="str">
        <f t="shared" si="2"/>
        <v/>
      </c>
      <c r="FU91" s="118" t="str">
        <f t="shared" si="2"/>
        <v/>
      </c>
      <c r="FV91" s="118" t="str">
        <f t="shared" si="2"/>
        <v/>
      </c>
      <c r="FW91" s="118" t="str">
        <f t="shared" si="2"/>
        <v/>
      </c>
      <c r="FX91" s="118" t="str">
        <f t="shared" si="2"/>
        <v/>
      </c>
      <c r="FY91" s="118" t="str">
        <f t="shared" si="2"/>
        <v/>
      </c>
      <c r="FZ91" s="118" t="str">
        <f t="shared" si="2"/>
        <v/>
      </c>
      <c r="GA91" s="118" t="str">
        <f t="shared" si="2"/>
        <v/>
      </c>
      <c r="GB91" s="118" t="str">
        <f t="shared" si="2"/>
        <v/>
      </c>
      <c r="GC91" s="118" t="str">
        <f t="shared" si="2"/>
        <v/>
      </c>
      <c r="GD91" s="118" t="str">
        <f t="shared" si="2"/>
        <v/>
      </c>
      <c r="GE91" s="118" t="str">
        <f t="shared" si="2"/>
        <v/>
      </c>
      <c r="GF91" s="118" t="str">
        <f t="shared" si="2"/>
        <v/>
      </c>
      <c r="GG91" s="118" t="str">
        <f t="shared" si="2"/>
        <v/>
      </c>
      <c r="GH91" s="118" t="str">
        <f t="shared" si="2"/>
        <v/>
      </c>
    </row>
    <row r="92" spans="2:191" x14ac:dyDescent="0.3">
      <c r="H92" s="122"/>
      <c r="I92" s="122"/>
    </row>
    <row r="93" spans="2:191" x14ac:dyDescent="0.3">
      <c r="H93" s="122"/>
      <c r="I93" s="122" t="str">
        <f>Underwriting!B92</f>
        <v>Net Proceeds from Lot Sales</v>
      </c>
      <c r="J93" s="118">
        <f>IF(J85="","",Underwriting!T92)</f>
        <v>0</v>
      </c>
      <c r="L93" s="118">
        <f>IF(L85="","",Underwriting!U92)</f>
        <v>0</v>
      </c>
      <c r="M93" s="118">
        <f>IF(M85="","",Underwriting!V92)</f>
        <v>0</v>
      </c>
      <c r="N93" s="118">
        <f>IF(N85="","",Underwriting!W92)</f>
        <v>0</v>
      </c>
      <c r="O93" s="118">
        <f>IF(O85="","",Underwriting!X92)</f>
        <v>0</v>
      </c>
      <c r="P93" s="118">
        <f>IF(P85="","",Underwriting!Y92)</f>
        <v>0</v>
      </c>
      <c r="Q93" s="118">
        <f>IF(Q85="","",Underwriting!Z92)</f>
        <v>0</v>
      </c>
      <c r="R93" s="118">
        <f>IF(R85="","",Underwriting!AA92)</f>
        <v>0</v>
      </c>
      <c r="S93" s="118">
        <f>IF(S85="","",Underwriting!AB92)</f>
        <v>0</v>
      </c>
      <c r="T93" s="118">
        <f>IF(T85="","",Underwriting!AC92)</f>
        <v>2344125</v>
      </c>
      <c r="U93" s="118">
        <f>IF(U85="","",Underwriting!AD92)</f>
        <v>0</v>
      </c>
      <c r="V93" s="118">
        <f>IF(V85="","",Underwriting!AE92)</f>
        <v>1436875</v>
      </c>
      <c r="W93" s="118">
        <f>IF(W85="","",Underwriting!AF92)</f>
        <v>0</v>
      </c>
      <c r="X93" s="118">
        <f>IF(X85="","",Underwriting!AG92)</f>
        <v>0</v>
      </c>
      <c r="Y93" s="118">
        <f>IF(Y85="","",Underwriting!AH92)</f>
        <v>0</v>
      </c>
      <c r="Z93" s="118">
        <f>IF(Z85="","",Underwriting!AI92)</f>
        <v>1004625</v>
      </c>
      <c r="AA93" s="118">
        <f>IF(AA85="","",Underwriting!AJ92)</f>
        <v>0</v>
      </c>
      <c r="AB93" s="118">
        <f>IF(AB85="","",Underwriting!AK92)</f>
        <v>689700</v>
      </c>
      <c r="AC93" s="118">
        <f>IF(AC85="","",Underwriting!AL92)</f>
        <v>1004625</v>
      </c>
      <c r="AD93" s="118">
        <f>IF(AD85="","",Underwriting!AM92)</f>
        <v>0</v>
      </c>
      <c r="AE93" s="118">
        <f>IF(AE85="","",Underwriting!AN92)</f>
        <v>689700</v>
      </c>
      <c r="AF93" s="118">
        <f>IF(AF85="","",Underwriting!AO92)</f>
        <v>758826.75</v>
      </c>
      <c r="AG93" s="118">
        <f>IF(AG85="","",Underwriting!AP92)</f>
        <v>0</v>
      </c>
      <c r="AH93" s="118">
        <f>IF(AH85="","",Underwriting!AQ92)</f>
        <v>710391</v>
      </c>
      <c r="AI93" s="118">
        <f>IF(AI85="","",Underwriting!AR92)</f>
        <v>0</v>
      </c>
      <c r="AJ93" s="118">
        <f>IF(AJ85="","",Underwriting!AS92)</f>
        <v>0</v>
      </c>
      <c r="AK93" s="118">
        <f>IF(AK85="","",Underwriting!AT92)</f>
        <v>710391</v>
      </c>
      <c r="AL93" s="118">
        <f>IF(AL85="","",Underwriting!AU92)</f>
        <v>0</v>
      </c>
      <c r="AM93" s="118">
        <f>IF(AM85="","",Underwriting!AV92)</f>
        <v>0</v>
      </c>
      <c r="AN93" s="118">
        <f>IF(AN85="","",Underwriting!AW92)</f>
        <v>124630</v>
      </c>
      <c r="AO93" s="118">
        <f>IF(AO85="","",Underwriting!AX92)</f>
        <v>124630</v>
      </c>
      <c r="AP93" s="118">
        <f>IF(AP85="","",Underwriting!AY92)</f>
        <v>124630</v>
      </c>
      <c r="AQ93" s="118">
        <f>IF(AQ85="","",Underwriting!AZ92)</f>
        <v>124630</v>
      </c>
      <c r="AR93" s="118">
        <f>IF(AR85="","",Underwriting!BA92)</f>
        <v>124630</v>
      </c>
      <c r="AS93" s="118">
        <f>IF(AS85="","",Underwriting!BB92)</f>
        <v>124630</v>
      </c>
      <c r="AT93" s="118">
        <f>IF(AT85="","",Underwriting!BC92)</f>
        <v>124630</v>
      </c>
      <c r="AU93" s="118">
        <f>IF(AU85="","",Underwriting!BD92)</f>
        <v>124630</v>
      </c>
      <c r="AV93" s="118">
        <f>IF(AV85="","",Underwriting!BE92)</f>
        <v>124630</v>
      </c>
      <c r="AW93" s="118">
        <f>IF(AW85="","",Underwriting!BF92)</f>
        <v>124630</v>
      </c>
      <c r="AX93" s="118">
        <f>IF(AX85="","",Underwriting!BG92)</f>
        <v>382128.38573250006</v>
      </c>
      <c r="AY93" s="118">
        <f>IF(AY85="","",Underwriting!BH92)</f>
        <v>382128.38573250006</v>
      </c>
      <c r="AZ93" s="118">
        <f>IF(AZ85="","",Underwriting!BI92)</f>
        <v>382128.38573250006</v>
      </c>
      <c r="BA93" s="118">
        <f>IF(BA85="","",Underwriting!BJ92)</f>
        <v>382128.38573250006</v>
      </c>
      <c r="BB93" s="118">
        <f>IF(BB85="","",Underwriting!BK92)</f>
        <v>382128.38573250006</v>
      </c>
      <c r="BC93" s="118">
        <f>IF(BC85="","",Underwriting!BL92)</f>
        <v>382128.38573250006</v>
      </c>
      <c r="BD93" s="118">
        <f>IF(BD85="","",Underwriting!BM92)</f>
        <v>382128.38573250006</v>
      </c>
      <c r="BE93" s="118">
        <f>IF(BE85="","",Underwriting!BN92)</f>
        <v>382128.38573250006</v>
      </c>
      <c r="BF93" s="118">
        <f>IF(BF85="","",Underwriting!BO92)</f>
        <v>382128.38573250006</v>
      </c>
      <c r="BG93" s="118">
        <f>IF(BG85="","",Underwriting!BP92)</f>
        <v>257498.38573250003</v>
      </c>
      <c r="BH93" s="118" t="str">
        <f>IF(BH85="","",Underwriting!BQ92)</f>
        <v/>
      </c>
      <c r="BI93" s="118" t="str">
        <f>IF(BI85="","",Underwriting!BR92)</f>
        <v/>
      </c>
      <c r="BJ93" s="118" t="str">
        <f>IF(BJ85="","",Underwriting!BS92)</f>
        <v/>
      </c>
      <c r="BK93" s="118" t="str">
        <f>IF(BK85="","",Underwriting!BT92)</f>
        <v/>
      </c>
      <c r="BL93" s="118" t="str">
        <f>IF(BL85="","",Underwriting!BU92)</f>
        <v/>
      </c>
      <c r="BM93" s="118" t="str">
        <f>IF(BM85="","",Underwriting!BV92)</f>
        <v/>
      </c>
      <c r="BN93" s="118" t="str">
        <f>IF(BN85="","",Underwriting!BW92)</f>
        <v/>
      </c>
      <c r="BO93" s="118" t="str">
        <f>IF(BO85="","",Underwriting!BX92)</f>
        <v/>
      </c>
      <c r="BP93" s="118" t="str">
        <f>IF(BP85="","",Underwriting!BY92)</f>
        <v/>
      </c>
      <c r="BQ93" s="118" t="str">
        <f>IF(BQ85="","",Underwriting!BZ92)</f>
        <v/>
      </c>
      <c r="BR93" s="118" t="str">
        <f>IF(BR85="","",Underwriting!CA92)</f>
        <v/>
      </c>
      <c r="BS93" s="118" t="str">
        <f>IF(BS85="","",Underwriting!CB92)</f>
        <v/>
      </c>
      <c r="BT93" s="118" t="str">
        <f>IF(BT85="","",Underwriting!CC92)</f>
        <v/>
      </c>
      <c r="BU93" s="118" t="str">
        <f>IF(BU85="","",Underwriting!CD92)</f>
        <v/>
      </c>
      <c r="BV93" s="118" t="str">
        <f>IF(BV85="","",Underwriting!CE92)</f>
        <v/>
      </c>
      <c r="BW93" s="118" t="str">
        <f>IF(BW85="","",Underwriting!CF92)</f>
        <v/>
      </c>
      <c r="BX93" s="118" t="str">
        <f>IF(BX85="","",Underwriting!CG92)</f>
        <v/>
      </c>
      <c r="BY93" s="118" t="str">
        <f>IF(BY85="","",Underwriting!CH92)</f>
        <v/>
      </c>
      <c r="BZ93" s="118" t="str">
        <f>IF(BZ85="","",Underwriting!CI92)</f>
        <v/>
      </c>
      <c r="CA93" s="118" t="str">
        <f>IF(CA85="","",Underwriting!CJ92)</f>
        <v/>
      </c>
      <c r="CB93" s="118" t="str">
        <f>IF(CB85="","",Underwriting!CK92)</f>
        <v/>
      </c>
      <c r="CC93" s="118" t="str">
        <f>IF(CC85="","",Underwriting!CL92)</f>
        <v/>
      </c>
      <c r="CD93" s="118" t="str">
        <f>IF(CD85="","",Underwriting!CM92)</f>
        <v/>
      </c>
      <c r="CE93" s="118" t="str">
        <f>IF(CE85="","",Underwriting!CN92)</f>
        <v/>
      </c>
      <c r="CF93" s="118" t="str">
        <f>IF(CF85="","",Underwriting!CO92)</f>
        <v/>
      </c>
      <c r="CG93" s="118" t="str">
        <f>IF(CG85="","",Underwriting!CP92)</f>
        <v/>
      </c>
      <c r="CH93" s="118" t="str">
        <f>IF(CH85="","",Underwriting!CQ92)</f>
        <v/>
      </c>
      <c r="CI93" s="118" t="str">
        <f>IF(CI85="","",Underwriting!CR92)</f>
        <v/>
      </c>
      <c r="CJ93" s="118" t="str">
        <f>IF(CJ85="","",Underwriting!CS92)</f>
        <v/>
      </c>
      <c r="CK93" s="118" t="str">
        <f>IF(CK85="","",Underwriting!CT92)</f>
        <v/>
      </c>
      <c r="CL93" s="118" t="str">
        <f>IF(CL85="","",Underwriting!CU92)</f>
        <v/>
      </c>
      <c r="CM93" s="118" t="str">
        <f>IF(CM85="","",Underwriting!CV92)</f>
        <v/>
      </c>
      <c r="CN93" s="118" t="str">
        <f>IF(CN85="","",Underwriting!CW92)</f>
        <v/>
      </c>
      <c r="CO93" s="118" t="str">
        <f>IF(CO85="","",Underwriting!CX92)</f>
        <v/>
      </c>
      <c r="CP93" s="118" t="str">
        <f>IF(CP85="","",Underwriting!CY92)</f>
        <v/>
      </c>
      <c r="CQ93" s="118" t="str">
        <f>IF(CQ85="","",Underwriting!CZ92)</f>
        <v/>
      </c>
      <c r="CR93" s="118" t="str">
        <f>IF(CR85="","",Underwriting!DA92)</f>
        <v/>
      </c>
      <c r="CS93" s="118" t="str">
        <f>IF(CS85="","",Underwriting!DB92)</f>
        <v/>
      </c>
      <c r="CT93" s="118" t="str">
        <f>IF(CT85="","",Underwriting!DC92)</f>
        <v/>
      </c>
      <c r="CU93" s="118" t="str">
        <f>IF(CU85="","",Underwriting!DD92)</f>
        <v/>
      </c>
      <c r="CV93" s="118" t="str">
        <f>IF(CV85="","",Underwriting!DE92)</f>
        <v/>
      </c>
      <c r="CW93" s="118" t="str">
        <f>IF(CW85="","",Underwriting!DF92)</f>
        <v/>
      </c>
      <c r="CX93" s="118" t="str">
        <f>IF(CX85="","",Underwriting!DG92)</f>
        <v/>
      </c>
      <c r="CY93" s="118" t="str">
        <f>IF(CY85="","",Underwriting!DH92)</f>
        <v/>
      </c>
      <c r="CZ93" s="118" t="str">
        <f>IF(CZ85="","",Underwriting!DI92)</f>
        <v/>
      </c>
      <c r="DA93" s="118" t="str">
        <f>IF(DA85="","",Underwriting!DJ92)</f>
        <v/>
      </c>
      <c r="DB93" s="118" t="str">
        <f>IF(DB85="","",Underwriting!DK92)</f>
        <v/>
      </c>
      <c r="DC93" s="118" t="str">
        <f>IF(DC85="","",Underwriting!DL92)</f>
        <v/>
      </c>
      <c r="DD93" s="118" t="str">
        <f>IF(DD85="","",Underwriting!DM92)</f>
        <v/>
      </c>
      <c r="DE93" s="118" t="str">
        <f>IF(DE85="","",Underwriting!DN92)</f>
        <v/>
      </c>
      <c r="DF93" s="118" t="str">
        <f>IF(DF85="","",Underwriting!DO92)</f>
        <v/>
      </c>
      <c r="DG93" s="118" t="str">
        <f>IF(DG85="","",Underwriting!DP92)</f>
        <v/>
      </c>
      <c r="DH93" s="118" t="str">
        <f>IF(DH85="","",Underwriting!DQ92)</f>
        <v/>
      </c>
      <c r="DI93" s="118" t="str">
        <f>IF(DI85="","",Underwriting!DR92)</f>
        <v/>
      </c>
      <c r="DJ93" s="118" t="str">
        <f>IF(DJ85="","",Underwriting!DS92)</f>
        <v/>
      </c>
      <c r="DK93" s="118" t="str">
        <f>IF(DK85="","",Underwriting!DT92)</f>
        <v/>
      </c>
      <c r="DL93" s="118" t="str">
        <f>IF(DL85="","",Underwriting!DU92)</f>
        <v/>
      </c>
      <c r="DM93" s="118" t="str">
        <f>IF(DM85="","",Underwriting!DV92)</f>
        <v/>
      </c>
      <c r="DN93" s="118" t="str">
        <f>IF(DN85="","",Underwriting!DW92)</f>
        <v/>
      </c>
      <c r="DO93" s="118" t="str">
        <f>IF(DO85="","",Underwriting!DX92)</f>
        <v/>
      </c>
      <c r="DP93" s="118" t="str">
        <f>IF(DP85="","",Underwriting!DY92)</f>
        <v/>
      </c>
      <c r="DQ93" s="118" t="str">
        <f>IF(DQ85="","",Underwriting!DZ92)</f>
        <v/>
      </c>
      <c r="DR93" s="118" t="str">
        <f>IF(DR85="","",Underwriting!EA92)</f>
        <v/>
      </c>
      <c r="DS93" s="118" t="str">
        <f>IF(DS85="","",Underwriting!EB92)</f>
        <v/>
      </c>
      <c r="DT93" s="118" t="str">
        <f>IF(DT85="","",Underwriting!EC92)</f>
        <v/>
      </c>
      <c r="DU93" s="118" t="str">
        <f>IF(DU85="","",Underwriting!ED92)</f>
        <v/>
      </c>
      <c r="DV93" s="118" t="str">
        <f>IF(DV85="","",Underwriting!EE92)</f>
        <v/>
      </c>
      <c r="DW93" s="118" t="str">
        <f>IF(DW85="","",Underwriting!EF92)</f>
        <v/>
      </c>
      <c r="DX93" s="118" t="str">
        <f>IF(DX85="","",Underwriting!EG92)</f>
        <v/>
      </c>
      <c r="DY93" s="118" t="str">
        <f>IF(DY85="","",Underwriting!EH92)</f>
        <v/>
      </c>
      <c r="DZ93" s="118" t="str">
        <f>IF(DZ85="","",Underwriting!EI92)</f>
        <v/>
      </c>
      <c r="EA93" s="118" t="str">
        <f>IF(EA85="","",Underwriting!EJ92)</f>
        <v/>
      </c>
      <c r="EB93" s="118" t="str">
        <f>IF(EB85="","",Underwriting!EK92)</f>
        <v/>
      </c>
      <c r="EC93" s="118" t="str">
        <f>IF(EC85="","",Underwriting!EL92)</f>
        <v/>
      </c>
      <c r="ED93" s="118" t="str">
        <f>IF(ED85="","",Underwriting!EM92)</f>
        <v/>
      </c>
      <c r="EE93" s="118" t="str">
        <f>IF(EE85="","",Underwriting!EN92)</f>
        <v/>
      </c>
      <c r="EF93" s="118" t="str">
        <f>IF(EF85="","",Underwriting!EO92)</f>
        <v/>
      </c>
      <c r="EG93" s="118" t="str">
        <f>IF(EG85="","",Underwriting!EP92)</f>
        <v/>
      </c>
      <c r="EH93" s="118" t="str">
        <f>IF(EH85="","",Underwriting!EQ92)</f>
        <v/>
      </c>
      <c r="EI93" s="118" t="str">
        <f>IF(EI85="","",Underwriting!ER92)</f>
        <v/>
      </c>
      <c r="EJ93" s="118" t="str">
        <f>IF(EJ85="","",Underwriting!ES92)</f>
        <v/>
      </c>
      <c r="EK93" s="118" t="str">
        <f>IF(EK85="","",Underwriting!ET92)</f>
        <v/>
      </c>
      <c r="EL93" s="118" t="str">
        <f>IF(EL85="","",Underwriting!EU92)</f>
        <v/>
      </c>
      <c r="EM93" s="118" t="str">
        <f>IF(EM85="","",Underwriting!EV92)</f>
        <v/>
      </c>
      <c r="EN93" s="118" t="str">
        <f>IF(EN85="","",Underwriting!EW92)</f>
        <v/>
      </c>
      <c r="EO93" s="118" t="str">
        <f>IF(EO85="","",Underwriting!EX92)</f>
        <v/>
      </c>
      <c r="EP93" s="118" t="str">
        <f>IF(EP85="","",Underwriting!EY92)</f>
        <v/>
      </c>
      <c r="EQ93" s="118" t="str">
        <f>IF(EQ85="","",Underwriting!EZ92)</f>
        <v/>
      </c>
      <c r="ER93" s="118" t="str">
        <f>IF(ER85="","",Underwriting!FA92)</f>
        <v/>
      </c>
      <c r="ES93" s="118" t="str">
        <f>IF(ES85="","",Underwriting!FB92)</f>
        <v/>
      </c>
      <c r="ET93" s="118" t="str">
        <f>IF(ET85="","",Underwriting!FC92)</f>
        <v/>
      </c>
      <c r="EU93" s="118" t="str">
        <f>IF(EU85="","",Underwriting!FD92)</f>
        <v/>
      </c>
      <c r="EV93" s="118" t="str">
        <f>IF(EV85="","",Underwriting!FE92)</f>
        <v/>
      </c>
      <c r="EW93" s="118" t="str">
        <f>IF(EW85="","",Underwriting!FF92)</f>
        <v/>
      </c>
      <c r="EX93" s="118" t="str">
        <f>IF(EX85="","",Underwriting!FG92)</f>
        <v/>
      </c>
      <c r="EY93" s="118" t="str">
        <f>IF(EY85="","",Underwriting!FH92)</f>
        <v/>
      </c>
      <c r="EZ93" s="118" t="str">
        <f>IF(EZ85="","",Underwriting!FI92)</f>
        <v/>
      </c>
      <c r="FA93" s="118" t="str">
        <f>IF(FA85="","",Underwriting!FJ92)</f>
        <v/>
      </c>
      <c r="FB93" s="118" t="str">
        <f>IF(FB85="","",Underwriting!FK92)</f>
        <v/>
      </c>
      <c r="FC93" s="118" t="str">
        <f>IF(FC85="","",Underwriting!FL92)</f>
        <v/>
      </c>
      <c r="FD93" s="118" t="str">
        <f>IF(FD85="","",Underwriting!FM92)</f>
        <v/>
      </c>
      <c r="FE93" s="118" t="str">
        <f>IF(FE85="","",Underwriting!FN92)</f>
        <v/>
      </c>
      <c r="FF93" s="118" t="str">
        <f>IF(FF85="","",Underwriting!FO92)</f>
        <v/>
      </c>
      <c r="FG93" s="118" t="str">
        <f>IF(FG85="","",Underwriting!FP92)</f>
        <v/>
      </c>
      <c r="FH93" s="118" t="str">
        <f>IF(FH85="","",Underwriting!FQ92)</f>
        <v/>
      </c>
      <c r="FI93" s="118" t="str">
        <f>IF(FI85="","",Underwriting!FR92)</f>
        <v/>
      </c>
      <c r="FJ93" s="118" t="str">
        <f>IF(FJ85="","",Underwriting!FS92)</f>
        <v/>
      </c>
      <c r="FK93" s="118" t="str">
        <f>IF(FK85="","",Underwriting!FT92)</f>
        <v/>
      </c>
      <c r="FL93" s="118" t="str">
        <f>IF(FL85="","",Underwriting!FU92)</f>
        <v/>
      </c>
      <c r="FM93" s="118" t="str">
        <f>IF(FM85="","",Underwriting!FV92)</f>
        <v/>
      </c>
      <c r="FN93" s="118" t="str">
        <f>IF(FN85="","",Underwriting!FW92)</f>
        <v/>
      </c>
      <c r="FO93" s="118" t="str">
        <f>IF(FO85="","",Underwriting!FX92)</f>
        <v/>
      </c>
      <c r="FP93" s="118" t="str">
        <f>IF(FP85="","",Underwriting!FY92)</f>
        <v/>
      </c>
      <c r="FQ93" s="118" t="str">
        <f>IF(FQ85="","",Underwriting!FZ92)</f>
        <v/>
      </c>
      <c r="FR93" s="118" t="str">
        <f>IF(FR85="","",Underwriting!GA92)</f>
        <v/>
      </c>
      <c r="FS93" s="118" t="str">
        <f>IF(FS85="","",Underwriting!GB92)</f>
        <v/>
      </c>
      <c r="FT93" s="118" t="str">
        <f>IF(FT85="","",Underwriting!GC92)</f>
        <v/>
      </c>
      <c r="FU93" s="118" t="str">
        <f>IF(FU85="","",Underwriting!GD92)</f>
        <v/>
      </c>
      <c r="FV93" s="118" t="str">
        <f>IF(FV85="","",Underwriting!GE92)</f>
        <v/>
      </c>
      <c r="FW93" s="118" t="str">
        <f>IF(FW85="","",Underwriting!GF92)</f>
        <v/>
      </c>
      <c r="FX93" s="118" t="str">
        <f>IF(FX85="","",Underwriting!GG92)</f>
        <v/>
      </c>
      <c r="FY93" s="118" t="str">
        <f>IF(FY85="","",Underwriting!GH92)</f>
        <v/>
      </c>
      <c r="FZ93" s="118" t="str">
        <f>IF(FZ85="","",Underwriting!GI92)</f>
        <v/>
      </c>
      <c r="GA93" s="118" t="str">
        <f>IF(GA85="","",Underwriting!GJ92)</f>
        <v/>
      </c>
      <c r="GB93" s="118" t="str">
        <f>IF(GB85="","",Underwriting!GK92)</f>
        <v/>
      </c>
      <c r="GC93" s="118" t="str">
        <f>IF(GC85="","",Underwriting!GL92)</f>
        <v/>
      </c>
      <c r="GD93" s="118" t="str">
        <f>IF(GD85="","",Underwriting!GM92)</f>
        <v/>
      </c>
      <c r="GE93" s="118" t="str">
        <f>IF(GE85="","",Underwriting!GN92)</f>
        <v/>
      </c>
      <c r="GF93" s="118" t="str">
        <f>IF(GF85="","",Underwriting!GO92)</f>
        <v/>
      </c>
      <c r="GG93" s="118" t="str">
        <f>IF(GG85="","",Underwriting!GP92)</f>
        <v/>
      </c>
      <c r="GH93" s="118" t="str">
        <f>IF(GH85="","",Underwriting!GQ92)</f>
        <v/>
      </c>
    </row>
    <row r="94" spans="2:191" x14ac:dyDescent="0.3">
      <c r="H94" s="122"/>
      <c r="I94" s="122"/>
    </row>
    <row r="95" spans="2:191" x14ac:dyDescent="0.3">
      <c r="H95" s="122"/>
      <c r="I95" s="122"/>
    </row>
    <row r="96" spans="2:191" x14ac:dyDescent="0.3">
      <c r="H96" s="122"/>
      <c r="I96" s="122"/>
    </row>
    <row r="97" spans="2:9" x14ac:dyDescent="0.3">
      <c r="B97" s="121" t="str">
        <f>Underwriting!B14</f>
        <v>Land Costs</v>
      </c>
      <c r="E97" s="118">
        <f>Underwriting!L19</f>
        <v>2883000</v>
      </c>
      <c r="H97" s="122"/>
      <c r="I97" s="122"/>
    </row>
    <row r="98" spans="2:9" x14ac:dyDescent="0.3">
      <c r="B98" s="121" t="str">
        <f>Underwriting!B21</f>
        <v>Hard Costs (Horizontal)</v>
      </c>
      <c r="E98" s="118">
        <f>Underwriting!L27</f>
        <v>5725125</v>
      </c>
      <c r="H98" s="122"/>
      <c r="I98" s="122"/>
    </row>
    <row r="99" spans="2:9" x14ac:dyDescent="0.3">
      <c r="B99" s="121" t="str">
        <f>Underwriting!B29</f>
        <v>Hard Costs (Vertical)</v>
      </c>
      <c r="E99" s="118">
        <f>Underwriting!L35</f>
        <v>795375</v>
      </c>
      <c r="H99" s="122"/>
      <c r="I99" s="122"/>
    </row>
    <row r="100" spans="2:9" x14ac:dyDescent="0.3">
      <c r="B100" s="121" t="str">
        <f>Underwriting!B37</f>
        <v>Soft Costs</v>
      </c>
      <c r="E100" s="118">
        <f>Underwriting!L44</f>
        <v>1428000</v>
      </c>
      <c r="H100" s="122"/>
      <c r="I100" s="122"/>
    </row>
    <row r="101" spans="2:9" x14ac:dyDescent="0.3">
      <c r="B101" s="121" t="str">
        <f>Underwriting!B48</f>
        <v>Carry Costs</v>
      </c>
      <c r="E101" s="118">
        <f>Underwriting!L51</f>
        <v>287115.18444273149</v>
      </c>
      <c r="H101" s="122"/>
      <c r="I101" s="122"/>
    </row>
    <row r="102" spans="2:9" x14ac:dyDescent="0.3">
      <c r="H102" s="122"/>
      <c r="I102" s="122"/>
    </row>
    <row r="103" spans="2:9" x14ac:dyDescent="0.3">
      <c r="H103" s="122"/>
      <c r="I103" s="122"/>
    </row>
    <row r="104" spans="2:9" x14ac:dyDescent="0.3">
      <c r="H104" s="122"/>
      <c r="I104" s="122"/>
    </row>
    <row r="105" spans="2:9" x14ac:dyDescent="0.3">
      <c r="H105" s="122"/>
      <c r="I105" s="122"/>
    </row>
    <row r="106" spans="2:9" x14ac:dyDescent="0.3">
      <c r="H106" s="122"/>
      <c r="I106" s="122"/>
    </row>
  </sheetData>
  <mergeCells count="2">
    <mergeCell ref="F10:H10"/>
    <mergeCell ref="J13:P26"/>
  </mergeCells>
  <dataValidations count="2">
    <dataValidation type="list" allowBlank="1" showInputMessage="1" showErrorMessage="1" sqref="F10:H10" xr:uid="{E73B5D0D-8FCC-447E-96FC-0EFD2BB37195}">
      <formula1>$B$79:$B$82</formula1>
    </dataValidation>
    <dataValidation type="list" allowBlank="1" showInputMessage="1" showErrorMessage="1" sqref="P6" xr:uid="{04564D9D-399A-4C5B-8D35-D174D82BA9AA}">
      <formula1>$J$79:$J$80</formula1>
    </dataValidation>
  </dataValidations>
  <pageMargins left="0.7" right="0.7" top="0.75" bottom="0.75" header="0.3" footer="0.3"/>
  <pageSetup scale="63"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04C80-1399-401C-9BF3-92B4518FF435}">
  <sheetPr codeName="Sheet4">
    <tabColor theme="4" tint="0.79998168889431442"/>
  </sheetPr>
  <dimension ref="A1:NZ158"/>
  <sheetViews>
    <sheetView showGridLines="0" zoomScale="80" zoomScaleNormal="80" workbookViewId="0">
      <pane xSplit="12" ySplit="4" topLeftCell="BQ107" activePane="bottomRight" state="frozen"/>
      <selection pane="topRight" activeCell="M1" sqref="M1"/>
      <selection pane="bottomLeft" activeCell="A5" sqref="A5"/>
      <selection pane="bottomRight" activeCell="T112" sqref="T112"/>
    </sheetView>
  </sheetViews>
  <sheetFormatPr defaultColWidth="0" defaultRowHeight="14" zeroHeight="1" outlineLevelCol="1" x14ac:dyDescent="0.3"/>
  <cols>
    <col min="1" max="1" width="1.58203125" customWidth="1"/>
    <col min="2" max="2" width="11.58203125" style="9" customWidth="1"/>
    <col min="3" max="6" width="11.58203125" style="10" customWidth="1"/>
    <col min="7" max="7" width="1.58203125" style="10" customWidth="1"/>
    <col min="8" max="9" width="11.58203125" style="10" customWidth="1"/>
    <col min="10" max="10" width="11.58203125" style="14" customWidth="1"/>
    <col min="11" max="11" width="11.58203125" style="15" customWidth="1"/>
    <col min="12" max="12" width="11.58203125" style="14" customWidth="1"/>
    <col min="13" max="13" width="1.58203125" customWidth="1"/>
    <col min="14" max="17" width="12.58203125" style="9" hidden="1" customWidth="1" outlineLevel="1"/>
    <col min="18" max="18" width="1.58203125" style="9" hidden="1" customWidth="1" outlineLevel="1"/>
    <col min="19" max="19" width="8.75" style="67" bestFit="1" customWidth="1" collapsed="1"/>
    <col min="20" max="20" width="11.4140625" style="50" customWidth="1"/>
    <col min="21" max="199" width="9" style="50" customWidth="1"/>
    <col min="200" max="200" width="1.58203125" style="50" customWidth="1"/>
    <col min="201" max="201" width="13.25" style="50" customWidth="1"/>
    <col min="202" max="202" width="9.5" style="14" customWidth="1"/>
    <col min="203" max="206" width="9" style="14" customWidth="1"/>
    <col min="207" max="207" width="9.58203125" style="14" bestFit="1" customWidth="1"/>
    <col min="208" max="387" width="9" style="14" customWidth="1"/>
    <col min="388" max="388" width="2.08203125" style="14" customWidth="1"/>
    <col min="389" max="390" width="0" style="10" hidden="1" customWidth="1"/>
    <col min="391" max="16384" width="9" style="10" hidden="1"/>
  </cols>
  <sheetData>
    <row r="1" spans="2:388" ht="9" customHeight="1" x14ac:dyDescent="0.3">
      <c r="B1"/>
      <c r="C1"/>
      <c r="D1"/>
      <c r="E1" s="2"/>
      <c r="F1" s="2"/>
      <c r="G1" s="2"/>
      <c r="H1" s="2"/>
      <c r="I1" s="2"/>
      <c r="J1" s="2"/>
      <c r="K1" s="2"/>
      <c r="L1" s="2"/>
      <c r="M1" s="150" t="s">
        <v>177</v>
      </c>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70"/>
      <c r="GT1" s="71"/>
      <c r="GU1" s="71"/>
      <c r="GV1" s="71"/>
      <c r="GW1" s="71"/>
      <c r="GX1" s="71"/>
      <c r="GY1" s="71"/>
      <c r="GZ1" s="71"/>
      <c r="HA1" s="71"/>
      <c r="HB1" s="71"/>
      <c r="HC1" s="71"/>
      <c r="HD1" s="71"/>
      <c r="HE1" s="71"/>
      <c r="HF1" s="71"/>
      <c r="HG1" s="71"/>
      <c r="HH1" s="71"/>
      <c r="HI1" s="71"/>
      <c r="HJ1" s="71"/>
      <c r="HK1" s="71"/>
      <c r="HL1" s="71"/>
      <c r="HM1" s="71"/>
      <c r="HN1" s="71"/>
      <c r="HO1" s="71"/>
      <c r="HP1" s="71"/>
      <c r="HQ1" s="71"/>
      <c r="HR1" s="71"/>
      <c r="HS1" s="71"/>
      <c r="HT1" s="71"/>
      <c r="HU1" s="71"/>
      <c r="HV1" s="71"/>
      <c r="HW1" s="71"/>
      <c r="HX1" s="71"/>
      <c r="HY1" s="71"/>
      <c r="HZ1" s="71"/>
      <c r="IA1" s="71"/>
      <c r="IB1" s="71"/>
      <c r="IC1" s="71"/>
      <c r="ID1" s="71"/>
      <c r="IE1" s="71"/>
      <c r="IF1" s="71"/>
      <c r="IG1" s="71"/>
      <c r="IH1" s="71"/>
      <c r="II1" s="71"/>
      <c r="IJ1" s="71"/>
      <c r="IK1" s="71"/>
      <c r="IL1" s="71"/>
      <c r="IM1" s="71"/>
      <c r="IN1" s="71"/>
      <c r="IO1" s="71"/>
      <c r="IP1" s="71"/>
      <c r="IQ1" s="71"/>
      <c r="IR1" s="71"/>
      <c r="IS1" s="71"/>
      <c r="IT1" s="71"/>
      <c r="IU1" s="71"/>
      <c r="IV1" s="71"/>
      <c r="IW1" s="71"/>
      <c r="IX1" s="71"/>
      <c r="IY1" s="71"/>
      <c r="IZ1" s="71"/>
      <c r="JA1" s="71"/>
      <c r="JB1" s="71"/>
      <c r="JC1" s="71"/>
      <c r="JD1" s="71"/>
      <c r="JE1" s="71"/>
      <c r="JF1" s="71"/>
      <c r="JG1" s="71"/>
      <c r="JH1" s="71"/>
      <c r="JI1" s="71"/>
      <c r="JJ1" s="71"/>
      <c r="JK1" s="71"/>
      <c r="JL1" s="71"/>
      <c r="JM1" s="71"/>
      <c r="JN1" s="71"/>
      <c r="JO1" s="71"/>
      <c r="JP1" s="71"/>
      <c r="JQ1" s="71"/>
      <c r="JR1" s="71"/>
      <c r="JS1" s="71"/>
      <c r="JT1" s="71"/>
      <c r="JU1" s="71"/>
      <c r="JV1" s="71"/>
      <c r="JW1" s="71"/>
      <c r="JX1" s="71"/>
      <c r="JY1" s="71"/>
      <c r="JZ1" s="71"/>
      <c r="KA1" s="71"/>
      <c r="KB1" s="71"/>
      <c r="KC1" s="71"/>
      <c r="KD1" s="71"/>
      <c r="KE1" s="71"/>
      <c r="KF1" s="71"/>
      <c r="KG1" s="71"/>
      <c r="KH1" s="71"/>
      <c r="KI1" s="71"/>
      <c r="KJ1" s="71"/>
      <c r="KK1" s="71"/>
      <c r="KL1" s="71"/>
      <c r="KM1" s="71"/>
      <c r="KN1" s="71"/>
      <c r="KO1" s="71"/>
      <c r="KP1" s="71"/>
      <c r="KQ1" s="71"/>
      <c r="KR1" s="71"/>
      <c r="KS1" s="71"/>
      <c r="KT1" s="71"/>
      <c r="KU1" s="71"/>
      <c r="KV1" s="71"/>
      <c r="KW1" s="71"/>
      <c r="KX1" s="71"/>
      <c r="KY1" s="71"/>
      <c r="KZ1" s="71"/>
      <c r="LA1" s="71"/>
      <c r="LB1" s="71"/>
      <c r="LC1" s="71"/>
      <c r="LD1" s="71"/>
      <c r="LE1" s="71"/>
      <c r="LF1" s="71"/>
      <c r="LG1" s="71"/>
      <c r="LH1" s="71"/>
      <c r="LI1" s="71"/>
      <c r="LJ1" s="71"/>
      <c r="LK1" s="71"/>
      <c r="LL1" s="71"/>
      <c r="LM1" s="71"/>
      <c r="LN1" s="71"/>
      <c r="LO1" s="71"/>
      <c r="LP1" s="71"/>
      <c r="LQ1" s="71"/>
      <c r="LR1" s="71"/>
      <c r="LS1" s="71"/>
      <c r="LT1" s="71"/>
      <c r="LU1" s="71"/>
      <c r="LV1" s="71"/>
      <c r="LW1" s="71"/>
      <c r="LX1" s="71"/>
      <c r="LY1" s="71"/>
      <c r="LZ1" s="71"/>
      <c r="MA1" s="71"/>
      <c r="MB1" s="71"/>
      <c r="MC1" s="71"/>
      <c r="MD1" s="71"/>
      <c r="ME1" s="71"/>
      <c r="MF1" s="71"/>
      <c r="MG1" s="71"/>
      <c r="MH1" s="71"/>
      <c r="MI1" s="71"/>
      <c r="MJ1" s="71"/>
      <c r="MK1" s="71"/>
      <c r="ML1" s="71"/>
      <c r="MM1" s="71"/>
      <c r="MN1" s="71"/>
      <c r="MO1" s="71"/>
      <c r="MP1" s="71"/>
      <c r="MQ1" s="71"/>
      <c r="MR1" s="71"/>
      <c r="MS1" s="71"/>
      <c r="MT1" s="71"/>
      <c r="MU1" s="71"/>
      <c r="MV1" s="71"/>
      <c r="MW1" s="71"/>
      <c r="MX1" s="71"/>
      <c r="MY1" s="71"/>
      <c r="MZ1" s="71"/>
      <c r="NA1" s="71"/>
      <c r="NB1" s="71"/>
      <c r="NC1" s="71"/>
      <c r="ND1" s="71"/>
      <c r="NE1" s="71"/>
      <c r="NF1" s="71"/>
      <c r="NG1" s="71"/>
      <c r="NH1" s="71"/>
      <c r="NI1" s="71"/>
      <c r="NJ1" s="71"/>
      <c r="NK1" s="71"/>
      <c r="NL1" s="71"/>
      <c r="NM1" s="71"/>
      <c r="NN1" s="71"/>
      <c r="NO1" s="71"/>
      <c r="NP1" s="71"/>
      <c r="NQ1" s="71"/>
      <c r="NR1" s="71"/>
      <c r="NS1" s="71"/>
      <c r="NT1" s="71"/>
      <c r="NU1" s="71"/>
      <c r="NV1" s="71"/>
      <c r="NW1" s="71"/>
      <c r="NX1" s="10"/>
    </row>
    <row r="2" spans="2:388" ht="20" x14ac:dyDescent="0.4">
      <c r="B2" s="3" t="str">
        <f>UPPER("UNDERWRITING")</f>
        <v>UNDERWRITING</v>
      </c>
      <c r="C2" s="1"/>
      <c r="D2" s="1"/>
      <c r="E2" s="131" t="s">
        <v>178</v>
      </c>
      <c r="F2" s="132">
        <f>L108</f>
        <v>0.65510513597677178</v>
      </c>
      <c r="G2" s="133"/>
      <c r="H2" s="131" t="s">
        <v>179</v>
      </c>
      <c r="I2" s="134">
        <f>E106</f>
        <v>2.8994343039351627</v>
      </c>
      <c r="J2" s="4"/>
      <c r="K2" s="4"/>
      <c r="L2" s="5" t="str">
        <f>Summary!P2</f>
        <v>1943 Pelahm - Aiken</v>
      </c>
      <c r="T2" s="59">
        <f>Start_Date</f>
        <v>45688</v>
      </c>
      <c r="U2" s="59">
        <f>EOMONTH(T2,1)</f>
        <v>45716</v>
      </c>
      <c r="V2" s="59">
        <f t="shared" ref="V2:CG2" si="0">EOMONTH(U2,1)</f>
        <v>45747</v>
      </c>
      <c r="W2" s="59">
        <f t="shared" si="0"/>
        <v>45777</v>
      </c>
      <c r="X2" s="59">
        <f t="shared" si="0"/>
        <v>45808</v>
      </c>
      <c r="Y2" s="59">
        <f t="shared" si="0"/>
        <v>45838</v>
      </c>
      <c r="Z2" s="59">
        <f t="shared" si="0"/>
        <v>45869</v>
      </c>
      <c r="AA2" s="59">
        <f t="shared" si="0"/>
        <v>45900</v>
      </c>
      <c r="AB2" s="59">
        <f t="shared" si="0"/>
        <v>45930</v>
      </c>
      <c r="AC2" s="59">
        <f t="shared" si="0"/>
        <v>45961</v>
      </c>
      <c r="AD2" s="59">
        <f t="shared" si="0"/>
        <v>45991</v>
      </c>
      <c r="AE2" s="59">
        <f t="shared" si="0"/>
        <v>46022</v>
      </c>
      <c r="AF2" s="59">
        <f t="shared" si="0"/>
        <v>46053</v>
      </c>
      <c r="AG2" s="59">
        <f t="shared" si="0"/>
        <v>46081</v>
      </c>
      <c r="AH2" s="59">
        <f t="shared" si="0"/>
        <v>46112</v>
      </c>
      <c r="AI2" s="59">
        <f t="shared" si="0"/>
        <v>46142</v>
      </c>
      <c r="AJ2" s="59">
        <f t="shared" si="0"/>
        <v>46173</v>
      </c>
      <c r="AK2" s="59">
        <f t="shared" si="0"/>
        <v>46203</v>
      </c>
      <c r="AL2" s="59">
        <f t="shared" si="0"/>
        <v>46234</v>
      </c>
      <c r="AM2" s="59">
        <f t="shared" si="0"/>
        <v>46265</v>
      </c>
      <c r="AN2" s="59">
        <f t="shared" si="0"/>
        <v>46295</v>
      </c>
      <c r="AO2" s="59">
        <f t="shared" si="0"/>
        <v>46326</v>
      </c>
      <c r="AP2" s="59">
        <f t="shared" si="0"/>
        <v>46356</v>
      </c>
      <c r="AQ2" s="59">
        <f t="shared" si="0"/>
        <v>46387</v>
      </c>
      <c r="AR2" s="59">
        <f t="shared" si="0"/>
        <v>46418</v>
      </c>
      <c r="AS2" s="59">
        <f t="shared" si="0"/>
        <v>46446</v>
      </c>
      <c r="AT2" s="59">
        <f t="shared" si="0"/>
        <v>46477</v>
      </c>
      <c r="AU2" s="59">
        <f t="shared" si="0"/>
        <v>46507</v>
      </c>
      <c r="AV2" s="59">
        <f t="shared" si="0"/>
        <v>46538</v>
      </c>
      <c r="AW2" s="59">
        <f t="shared" si="0"/>
        <v>46568</v>
      </c>
      <c r="AX2" s="59">
        <f t="shared" si="0"/>
        <v>46599</v>
      </c>
      <c r="AY2" s="59">
        <f t="shared" si="0"/>
        <v>46630</v>
      </c>
      <c r="AZ2" s="59">
        <f t="shared" si="0"/>
        <v>46660</v>
      </c>
      <c r="BA2" s="59">
        <f t="shared" si="0"/>
        <v>46691</v>
      </c>
      <c r="BB2" s="59">
        <f t="shared" si="0"/>
        <v>46721</v>
      </c>
      <c r="BC2" s="59">
        <f t="shared" si="0"/>
        <v>46752</v>
      </c>
      <c r="BD2" s="59">
        <f t="shared" si="0"/>
        <v>46783</v>
      </c>
      <c r="BE2" s="59">
        <f t="shared" si="0"/>
        <v>46812</v>
      </c>
      <c r="BF2" s="59">
        <f t="shared" si="0"/>
        <v>46843</v>
      </c>
      <c r="BG2" s="59">
        <f t="shared" si="0"/>
        <v>46873</v>
      </c>
      <c r="BH2" s="59">
        <f t="shared" si="0"/>
        <v>46904</v>
      </c>
      <c r="BI2" s="59">
        <f t="shared" si="0"/>
        <v>46934</v>
      </c>
      <c r="BJ2" s="59">
        <f t="shared" si="0"/>
        <v>46965</v>
      </c>
      <c r="BK2" s="59">
        <f t="shared" si="0"/>
        <v>46996</v>
      </c>
      <c r="BL2" s="59">
        <f t="shared" si="0"/>
        <v>47026</v>
      </c>
      <c r="BM2" s="59">
        <f t="shared" si="0"/>
        <v>47057</v>
      </c>
      <c r="BN2" s="59">
        <f t="shared" si="0"/>
        <v>47087</v>
      </c>
      <c r="BO2" s="59">
        <f t="shared" si="0"/>
        <v>47118</v>
      </c>
      <c r="BP2" s="59">
        <f t="shared" si="0"/>
        <v>47149</v>
      </c>
      <c r="BQ2" s="59">
        <f t="shared" si="0"/>
        <v>47177</v>
      </c>
      <c r="BR2" s="59">
        <f t="shared" si="0"/>
        <v>47208</v>
      </c>
      <c r="BS2" s="59">
        <f t="shared" si="0"/>
        <v>47238</v>
      </c>
      <c r="BT2" s="59">
        <f t="shared" si="0"/>
        <v>47269</v>
      </c>
      <c r="BU2" s="59">
        <f t="shared" si="0"/>
        <v>47299</v>
      </c>
      <c r="BV2" s="59">
        <f t="shared" si="0"/>
        <v>47330</v>
      </c>
      <c r="BW2" s="59">
        <f t="shared" si="0"/>
        <v>47361</v>
      </c>
      <c r="BX2" s="59">
        <f t="shared" si="0"/>
        <v>47391</v>
      </c>
      <c r="BY2" s="59">
        <f t="shared" si="0"/>
        <v>47422</v>
      </c>
      <c r="BZ2" s="59">
        <f t="shared" si="0"/>
        <v>47452</v>
      </c>
      <c r="CA2" s="59">
        <f t="shared" si="0"/>
        <v>47483</v>
      </c>
      <c r="CB2" s="59">
        <f t="shared" si="0"/>
        <v>47514</v>
      </c>
      <c r="CC2" s="59">
        <f t="shared" si="0"/>
        <v>47542</v>
      </c>
      <c r="CD2" s="59">
        <f t="shared" si="0"/>
        <v>47573</v>
      </c>
      <c r="CE2" s="59">
        <f t="shared" si="0"/>
        <v>47603</v>
      </c>
      <c r="CF2" s="59">
        <f t="shared" si="0"/>
        <v>47634</v>
      </c>
      <c r="CG2" s="59">
        <f t="shared" si="0"/>
        <v>47664</v>
      </c>
      <c r="CH2" s="59">
        <f t="shared" ref="CH2:ES2" si="1">EOMONTH(CG2,1)</f>
        <v>47695</v>
      </c>
      <c r="CI2" s="59">
        <f t="shared" si="1"/>
        <v>47726</v>
      </c>
      <c r="CJ2" s="59">
        <f t="shared" si="1"/>
        <v>47756</v>
      </c>
      <c r="CK2" s="59">
        <f t="shared" si="1"/>
        <v>47787</v>
      </c>
      <c r="CL2" s="59">
        <f t="shared" si="1"/>
        <v>47817</v>
      </c>
      <c r="CM2" s="59">
        <f t="shared" si="1"/>
        <v>47848</v>
      </c>
      <c r="CN2" s="59">
        <f t="shared" si="1"/>
        <v>47879</v>
      </c>
      <c r="CO2" s="59">
        <f t="shared" si="1"/>
        <v>47907</v>
      </c>
      <c r="CP2" s="59">
        <f t="shared" si="1"/>
        <v>47938</v>
      </c>
      <c r="CQ2" s="59">
        <f t="shared" si="1"/>
        <v>47968</v>
      </c>
      <c r="CR2" s="59">
        <f t="shared" si="1"/>
        <v>47999</v>
      </c>
      <c r="CS2" s="59">
        <f t="shared" si="1"/>
        <v>48029</v>
      </c>
      <c r="CT2" s="59">
        <f t="shared" si="1"/>
        <v>48060</v>
      </c>
      <c r="CU2" s="59">
        <f t="shared" si="1"/>
        <v>48091</v>
      </c>
      <c r="CV2" s="59">
        <f t="shared" si="1"/>
        <v>48121</v>
      </c>
      <c r="CW2" s="59">
        <f t="shared" si="1"/>
        <v>48152</v>
      </c>
      <c r="CX2" s="59">
        <f t="shared" si="1"/>
        <v>48182</v>
      </c>
      <c r="CY2" s="59">
        <f t="shared" si="1"/>
        <v>48213</v>
      </c>
      <c r="CZ2" s="59">
        <f t="shared" si="1"/>
        <v>48244</v>
      </c>
      <c r="DA2" s="59">
        <f t="shared" si="1"/>
        <v>48273</v>
      </c>
      <c r="DB2" s="59">
        <f t="shared" si="1"/>
        <v>48304</v>
      </c>
      <c r="DC2" s="59">
        <f t="shared" si="1"/>
        <v>48334</v>
      </c>
      <c r="DD2" s="59">
        <f t="shared" si="1"/>
        <v>48365</v>
      </c>
      <c r="DE2" s="59">
        <f t="shared" si="1"/>
        <v>48395</v>
      </c>
      <c r="DF2" s="59">
        <f t="shared" si="1"/>
        <v>48426</v>
      </c>
      <c r="DG2" s="59">
        <f t="shared" si="1"/>
        <v>48457</v>
      </c>
      <c r="DH2" s="59">
        <f t="shared" si="1"/>
        <v>48487</v>
      </c>
      <c r="DI2" s="59">
        <f t="shared" si="1"/>
        <v>48518</v>
      </c>
      <c r="DJ2" s="59">
        <f t="shared" si="1"/>
        <v>48548</v>
      </c>
      <c r="DK2" s="59">
        <f t="shared" si="1"/>
        <v>48579</v>
      </c>
      <c r="DL2" s="59">
        <f t="shared" si="1"/>
        <v>48610</v>
      </c>
      <c r="DM2" s="59">
        <f t="shared" si="1"/>
        <v>48638</v>
      </c>
      <c r="DN2" s="59">
        <f t="shared" si="1"/>
        <v>48669</v>
      </c>
      <c r="DO2" s="59">
        <f t="shared" si="1"/>
        <v>48699</v>
      </c>
      <c r="DP2" s="59">
        <f t="shared" si="1"/>
        <v>48730</v>
      </c>
      <c r="DQ2" s="59">
        <f t="shared" si="1"/>
        <v>48760</v>
      </c>
      <c r="DR2" s="59">
        <f t="shared" si="1"/>
        <v>48791</v>
      </c>
      <c r="DS2" s="59">
        <f t="shared" si="1"/>
        <v>48822</v>
      </c>
      <c r="DT2" s="59">
        <f t="shared" si="1"/>
        <v>48852</v>
      </c>
      <c r="DU2" s="59">
        <f t="shared" si="1"/>
        <v>48883</v>
      </c>
      <c r="DV2" s="59">
        <f t="shared" si="1"/>
        <v>48913</v>
      </c>
      <c r="DW2" s="59">
        <f t="shared" si="1"/>
        <v>48944</v>
      </c>
      <c r="DX2" s="59">
        <f t="shared" si="1"/>
        <v>48975</v>
      </c>
      <c r="DY2" s="59">
        <f t="shared" si="1"/>
        <v>49003</v>
      </c>
      <c r="DZ2" s="59">
        <f t="shared" si="1"/>
        <v>49034</v>
      </c>
      <c r="EA2" s="59">
        <f t="shared" si="1"/>
        <v>49064</v>
      </c>
      <c r="EB2" s="59">
        <f t="shared" si="1"/>
        <v>49095</v>
      </c>
      <c r="EC2" s="59">
        <f t="shared" si="1"/>
        <v>49125</v>
      </c>
      <c r="ED2" s="59">
        <f t="shared" si="1"/>
        <v>49156</v>
      </c>
      <c r="EE2" s="59">
        <f t="shared" si="1"/>
        <v>49187</v>
      </c>
      <c r="EF2" s="59">
        <f t="shared" si="1"/>
        <v>49217</v>
      </c>
      <c r="EG2" s="59">
        <f t="shared" si="1"/>
        <v>49248</v>
      </c>
      <c r="EH2" s="59">
        <f t="shared" si="1"/>
        <v>49278</v>
      </c>
      <c r="EI2" s="59">
        <f t="shared" si="1"/>
        <v>49309</v>
      </c>
      <c r="EJ2" s="59">
        <f t="shared" si="1"/>
        <v>49340</v>
      </c>
      <c r="EK2" s="59">
        <f t="shared" si="1"/>
        <v>49368</v>
      </c>
      <c r="EL2" s="59">
        <f t="shared" si="1"/>
        <v>49399</v>
      </c>
      <c r="EM2" s="59">
        <f t="shared" si="1"/>
        <v>49429</v>
      </c>
      <c r="EN2" s="59">
        <f t="shared" si="1"/>
        <v>49460</v>
      </c>
      <c r="EO2" s="59">
        <f t="shared" si="1"/>
        <v>49490</v>
      </c>
      <c r="EP2" s="59">
        <f t="shared" si="1"/>
        <v>49521</v>
      </c>
      <c r="EQ2" s="59">
        <f t="shared" si="1"/>
        <v>49552</v>
      </c>
      <c r="ER2" s="59">
        <f t="shared" si="1"/>
        <v>49582</v>
      </c>
      <c r="ES2" s="59">
        <f t="shared" si="1"/>
        <v>49613</v>
      </c>
      <c r="ET2" s="59">
        <f t="shared" ref="ET2:GQ2" si="2">EOMONTH(ES2,1)</f>
        <v>49643</v>
      </c>
      <c r="EU2" s="59">
        <f t="shared" si="2"/>
        <v>49674</v>
      </c>
      <c r="EV2" s="59">
        <f t="shared" si="2"/>
        <v>49705</v>
      </c>
      <c r="EW2" s="59">
        <f t="shared" si="2"/>
        <v>49734</v>
      </c>
      <c r="EX2" s="59">
        <f t="shared" si="2"/>
        <v>49765</v>
      </c>
      <c r="EY2" s="59">
        <f t="shared" si="2"/>
        <v>49795</v>
      </c>
      <c r="EZ2" s="59">
        <f t="shared" si="2"/>
        <v>49826</v>
      </c>
      <c r="FA2" s="59">
        <f t="shared" si="2"/>
        <v>49856</v>
      </c>
      <c r="FB2" s="59">
        <f t="shared" si="2"/>
        <v>49887</v>
      </c>
      <c r="FC2" s="59">
        <f t="shared" si="2"/>
        <v>49918</v>
      </c>
      <c r="FD2" s="59">
        <f t="shared" si="2"/>
        <v>49948</v>
      </c>
      <c r="FE2" s="59">
        <f t="shared" si="2"/>
        <v>49979</v>
      </c>
      <c r="FF2" s="59">
        <f t="shared" si="2"/>
        <v>50009</v>
      </c>
      <c r="FG2" s="59">
        <f t="shared" si="2"/>
        <v>50040</v>
      </c>
      <c r="FH2" s="59">
        <f t="shared" si="2"/>
        <v>50071</v>
      </c>
      <c r="FI2" s="59">
        <f t="shared" si="2"/>
        <v>50099</v>
      </c>
      <c r="FJ2" s="59">
        <f t="shared" si="2"/>
        <v>50130</v>
      </c>
      <c r="FK2" s="59">
        <f t="shared" si="2"/>
        <v>50160</v>
      </c>
      <c r="FL2" s="59">
        <f t="shared" si="2"/>
        <v>50191</v>
      </c>
      <c r="FM2" s="59">
        <f t="shared" si="2"/>
        <v>50221</v>
      </c>
      <c r="FN2" s="59">
        <f t="shared" si="2"/>
        <v>50252</v>
      </c>
      <c r="FO2" s="59">
        <f t="shared" si="2"/>
        <v>50283</v>
      </c>
      <c r="FP2" s="59">
        <f t="shared" si="2"/>
        <v>50313</v>
      </c>
      <c r="FQ2" s="59">
        <f t="shared" si="2"/>
        <v>50344</v>
      </c>
      <c r="FR2" s="59">
        <f t="shared" si="2"/>
        <v>50374</v>
      </c>
      <c r="FS2" s="59">
        <f t="shared" si="2"/>
        <v>50405</v>
      </c>
      <c r="FT2" s="59">
        <f t="shared" si="2"/>
        <v>50436</v>
      </c>
      <c r="FU2" s="59">
        <f t="shared" si="2"/>
        <v>50464</v>
      </c>
      <c r="FV2" s="59">
        <f t="shared" si="2"/>
        <v>50495</v>
      </c>
      <c r="FW2" s="59">
        <f t="shared" si="2"/>
        <v>50525</v>
      </c>
      <c r="FX2" s="59">
        <f t="shared" si="2"/>
        <v>50556</v>
      </c>
      <c r="FY2" s="59">
        <f t="shared" si="2"/>
        <v>50586</v>
      </c>
      <c r="FZ2" s="59">
        <f t="shared" si="2"/>
        <v>50617</v>
      </c>
      <c r="GA2" s="59">
        <f t="shared" si="2"/>
        <v>50648</v>
      </c>
      <c r="GB2" s="59">
        <f t="shared" si="2"/>
        <v>50678</v>
      </c>
      <c r="GC2" s="59">
        <f t="shared" si="2"/>
        <v>50709</v>
      </c>
      <c r="GD2" s="59">
        <f t="shared" si="2"/>
        <v>50739</v>
      </c>
      <c r="GE2" s="59">
        <f t="shared" si="2"/>
        <v>50770</v>
      </c>
      <c r="GF2" s="59">
        <f t="shared" si="2"/>
        <v>50801</v>
      </c>
      <c r="GG2" s="59">
        <f t="shared" si="2"/>
        <v>50829</v>
      </c>
      <c r="GH2" s="59">
        <f t="shared" si="2"/>
        <v>50860</v>
      </c>
      <c r="GI2" s="59">
        <f t="shared" si="2"/>
        <v>50890</v>
      </c>
      <c r="GJ2" s="59">
        <f t="shared" si="2"/>
        <v>50921</v>
      </c>
      <c r="GK2" s="59">
        <f t="shared" si="2"/>
        <v>50951</v>
      </c>
      <c r="GL2" s="59">
        <f t="shared" si="2"/>
        <v>50982</v>
      </c>
      <c r="GM2" s="59">
        <f t="shared" si="2"/>
        <v>51013</v>
      </c>
      <c r="GN2" s="59">
        <f t="shared" si="2"/>
        <v>51043</v>
      </c>
      <c r="GO2" s="59">
        <f t="shared" si="2"/>
        <v>51074</v>
      </c>
      <c r="GP2" s="59">
        <f t="shared" si="2"/>
        <v>51104</v>
      </c>
      <c r="GQ2" s="59">
        <f t="shared" si="2"/>
        <v>51135</v>
      </c>
      <c r="GR2" s="9"/>
      <c r="GS2" s="70"/>
      <c r="GT2" s="71"/>
      <c r="GU2" s="71"/>
      <c r="GV2" s="71"/>
      <c r="GW2" s="71"/>
      <c r="GX2" s="71"/>
      <c r="GY2" s="71"/>
      <c r="GZ2" s="100">
        <f t="shared" ref="GZ2:HI4" si="3">T2</f>
        <v>45688</v>
      </c>
      <c r="HA2" s="100">
        <f t="shared" si="3"/>
        <v>45716</v>
      </c>
      <c r="HB2" s="100">
        <f t="shared" si="3"/>
        <v>45747</v>
      </c>
      <c r="HC2" s="100">
        <f t="shared" si="3"/>
        <v>45777</v>
      </c>
      <c r="HD2" s="100">
        <f t="shared" si="3"/>
        <v>45808</v>
      </c>
      <c r="HE2" s="100">
        <f t="shared" si="3"/>
        <v>45838</v>
      </c>
      <c r="HF2" s="100">
        <f t="shared" si="3"/>
        <v>45869</v>
      </c>
      <c r="HG2" s="100">
        <f t="shared" si="3"/>
        <v>45900</v>
      </c>
      <c r="HH2" s="100">
        <f t="shared" si="3"/>
        <v>45930</v>
      </c>
      <c r="HI2" s="100">
        <f t="shared" si="3"/>
        <v>45961</v>
      </c>
      <c r="HJ2" s="100">
        <f t="shared" ref="HJ2:HS4" si="4">AD2</f>
        <v>45991</v>
      </c>
      <c r="HK2" s="100">
        <f t="shared" si="4"/>
        <v>46022</v>
      </c>
      <c r="HL2" s="100">
        <f t="shared" si="4"/>
        <v>46053</v>
      </c>
      <c r="HM2" s="100">
        <f t="shared" si="4"/>
        <v>46081</v>
      </c>
      <c r="HN2" s="100">
        <f t="shared" si="4"/>
        <v>46112</v>
      </c>
      <c r="HO2" s="100">
        <f t="shared" si="4"/>
        <v>46142</v>
      </c>
      <c r="HP2" s="100">
        <f t="shared" si="4"/>
        <v>46173</v>
      </c>
      <c r="HQ2" s="100">
        <f t="shared" si="4"/>
        <v>46203</v>
      </c>
      <c r="HR2" s="100">
        <f t="shared" si="4"/>
        <v>46234</v>
      </c>
      <c r="HS2" s="100">
        <f t="shared" si="4"/>
        <v>46265</v>
      </c>
      <c r="HT2" s="100">
        <f t="shared" ref="HT2:IC4" si="5">AN2</f>
        <v>46295</v>
      </c>
      <c r="HU2" s="100">
        <f t="shared" si="5"/>
        <v>46326</v>
      </c>
      <c r="HV2" s="100">
        <f t="shared" si="5"/>
        <v>46356</v>
      </c>
      <c r="HW2" s="100">
        <f t="shared" si="5"/>
        <v>46387</v>
      </c>
      <c r="HX2" s="100">
        <f t="shared" si="5"/>
        <v>46418</v>
      </c>
      <c r="HY2" s="100">
        <f t="shared" si="5"/>
        <v>46446</v>
      </c>
      <c r="HZ2" s="100">
        <f t="shared" si="5"/>
        <v>46477</v>
      </c>
      <c r="IA2" s="100">
        <f t="shared" si="5"/>
        <v>46507</v>
      </c>
      <c r="IB2" s="100">
        <f t="shared" si="5"/>
        <v>46538</v>
      </c>
      <c r="IC2" s="100">
        <f t="shared" si="5"/>
        <v>46568</v>
      </c>
      <c r="ID2" s="100">
        <f t="shared" ref="ID2:IM4" si="6">AX2</f>
        <v>46599</v>
      </c>
      <c r="IE2" s="100">
        <f t="shared" si="6"/>
        <v>46630</v>
      </c>
      <c r="IF2" s="100">
        <f t="shared" si="6"/>
        <v>46660</v>
      </c>
      <c r="IG2" s="100">
        <f t="shared" si="6"/>
        <v>46691</v>
      </c>
      <c r="IH2" s="100">
        <f t="shared" si="6"/>
        <v>46721</v>
      </c>
      <c r="II2" s="100">
        <f t="shared" si="6"/>
        <v>46752</v>
      </c>
      <c r="IJ2" s="100">
        <f t="shared" si="6"/>
        <v>46783</v>
      </c>
      <c r="IK2" s="100">
        <f t="shared" si="6"/>
        <v>46812</v>
      </c>
      <c r="IL2" s="100">
        <f t="shared" si="6"/>
        <v>46843</v>
      </c>
      <c r="IM2" s="100">
        <f t="shared" si="6"/>
        <v>46873</v>
      </c>
      <c r="IN2" s="100">
        <f t="shared" ref="IN2:IW4" si="7">BH2</f>
        <v>46904</v>
      </c>
      <c r="IO2" s="100">
        <f t="shared" si="7"/>
        <v>46934</v>
      </c>
      <c r="IP2" s="100">
        <f t="shared" si="7"/>
        <v>46965</v>
      </c>
      <c r="IQ2" s="100">
        <f t="shared" si="7"/>
        <v>46996</v>
      </c>
      <c r="IR2" s="100">
        <f t="shared" si="7"/>
        <v>47026</v>
      </c>
      <c r="IS2" s="100">
        <f t="shared" si="7"/>
        <v>47057</v>
      </c>
      <c r="IT2" s="100">
        <f t="shared" si="7"/>
        <v>47087</v>
      </c>
      <c r="IU2" s="100">
        <f t="shared" si="7"/>
        <v>47118</v>
      </c>
      <c r="IV2" s="100">
        <f t="shared" si="7"/>
        <v>47149</v>
      </c>
      <c r="IW2" s="100">
        <f t="shared" si="7"/>
        <v>47177</v>
      </c>
      <c r="IX2" s="100">
        <f t="shared" ref="IX2:JG4" si="8">BR2</f>
        <v>47208</v>
      </c>
      <c r="IY2" s="100">
        <f t="shared" si="8"/>
        <v>47238</v>
      </c>
      <c r="IZ2" s="100">
        <f t="shared" si="8"/>
        <v>47269</v>
      </c>
      <c r="JA2" s="100">
        <f t="shared" si="8"/>
        <v>47299</v>
      </c>
      <c r="JB2" s="100">
        <f t="shared" si="8"/>
        <v>47330</v>
      </c>
      <c r="JC2" s="100">
        <f t="shared" si="8"/>
        <v>47361</v>
      </c>
      <c r="JD2" s="100">
        <f t="shared" si="8"/>
        <v>47391</v>
      </c>
      <c r="JE2" s="100">
        <f t="shared" si="8"/>
        <v>47422</v>
      </c>
      <c r="JF2" s="100">
        <f t="shared" si="8"/>
        <v>47452</v>
      </c>
      <c r="JG2" s="100">
        <f t="shared" si="8"/>
        <v>47483</v>
      </c>
      <c r="JH2" s="100">
        <f t="shared" ref="JH2:JQ4" si="9">CB2</f>
        <v>47514</v>
      </c>
      <c r="JI2" s="100">
        <f t="shared" si="9"/>
        <v>47542</v>
      </c>
      <c r="JJ2" s="100">
        <f t="shared" si="9"/>
        <v>47573</v>
      </c>
      <c r="JK2" s="100">
        <f t="shared" si="9"/>
        <v>47603</v>
      </c>
      <c r="JL2" s="100">
        <f t="shared" si="9"/>
        <v>47634</v>
      </c>
      <c r="JM2" s="100">
        <f t="shared" si="9"/>
        <v>47664</v>
      </c>
      <c r="JN2" s="100">
        <f t="shared" si="9"/>
        <v>47695</v>
      </c>
      <c r="JO2" s="100">
        <f t="shared" si="9"/>
        <v>47726</v>
      </c>
      <c r="JP2" s="100">
        <f t="shared" si="9"/>
        <v>47756</v>
      </c>
      <c r="JQ2" s="100">
        <f t="shared" si="9"/>
        <v>47787</v>
      </c>
      <c r="JR2" s="100">
        <f t="shared" ref="JR2:KA4" si="10">CL2</f>
        <v>47817</v>
      </c>
      <c r="JS2" s="100">
        <f t="shared" si="10"/>
        <v>47848</v>
      </c>
      <c r="JT2" s="100">
        <f t="shared" si="10"/>
        <v>47879</v>
      </c>
      <c r="JU2" s="100">
        <f t="shared" si="10"/>
        <v>47907</v>
      </c>
      <c r="JV2" s="100">
        <f t="shared" si="10"/>
        <v>47938</v>
      </c>
      <c r="JW2" s="100">
        <f t="shared" si="10"/>
        <v>47968</v>
      </c>
      <c r="JX2" s="100">
        <f t="shared" si="10"/>
        <v>47999</v>
      </c>
      <c r="JY2" s="100">
        <f t="shared" si="10"/>
        <v>48029</v>
      </c>
      <c r="JZ2" s="100">
        <f t="shared" si="10"/>
        <v>48060</v>
      </c>
      <c r="KA2" s="100">
        <f t="shared" si="10"/>
        <v>48091</v>
      </c>
      <c r="KB2" s="100">
        <f t="shared" ref="KB2:KK4" si="11">CV2</f>
        <v>48121</v>
      </c>
      <c r="KC2" s="100">
        <f t="shared" si="11"/>
        <v>48152</v>
      </c>
      <c r="KD2" s="100">
        <f t="shared" si="11"/>
        <v>48182</v>
      </c>
      <c r="KE2" s="100">
        <f t="shared" si="11"/>
        <v>48213</v>
      </c>
      <c r="KF2" s="100">
        <f t="shared" si="11"/>
        <v>48244</v>
      </c>
      <c r="KG2" s="100">
        <f t="shared" si="11"/>
        <v>48273</v>
      </c>
      <c r="KH2" s="100">
        <f t="shared" si="11"/>
        <v>48304</v>
      </c>
      <c r="KI2" s="100">
        <f t="shared" si="11"/>
        <v>48334</v>
      </c>
      <c r="KJ2" s="100">
        <f t="shared" si="11"/>
        <v>48365</v>
      </c>
      <c r="KK2" s="100">
        <f t="shared" si="11"/>
        <v>48395</v>
      </c>
      <c r="KL2" s="100">
        <f t="shared" ref="KL2:KU4" si="12">DF2</f>
        <v>48426</v>
      </c>
      <c r="KM2" s="100">
        <f t="shared" si="12"/>
        <v>48457</v>
      </c>
      <c r="KN2" s="100">
        <f t="shared" si="12"/>
        <v>48487</v>
      </c>
      <c r="KO2" s="100">
        <f t="shared" si="12"/>
        <v>48518</v>
      </c>
      <c r="KP2" s="100">
        <f t="shared" si="12"/>
        <v>48548</v>
      </c>
      <c r="KQ2" s="100">
        <f t="shared" si="12"/>
        <v>48579</v>
      </c>
      <c r="KR2" s="100">
        <f t="shared" si="12"/>
        <v>48610</v>
      </c>
      <c r="KS2" s="100">
        <f t="shared" si="12"/>
        <v>48638</v>
      </c>
      <c r="KT2" s="100">
        <f t="shared" si="12"/>
        <v>48669</v>
      </c>
      <c r="KU2" s="100">
        <f t="shared" si="12"/>
        <v>48699</v>
      </c>
      <c r="KV2" s="100">
        <f t="shared" ref="KV2:LE4" si="13">DP2</f>
        <v>48730</v>
      </c>
      <c r="KW2" s="100">
        <f t="shared" si="13"/>
        <v>48760</v>
      </c>
      <c r="KX2" s="100">
        <f t="shared" si="13"/>
        <v>48791</v>
      </c>
      <c r="KY2" s="100">
        <f t="shared" si="13"/>
        <v>48822</v>
      </c>
      <c r="KZ2" s="100">
        <f t="shared" si="13"/>
        <v>48852</v>
      </c>
      <c r="LA2" s="100">
        <f t="shared" si="13"/>
        <v>48883</v>
      </c>
      <c r="LB2" s="100">
        <f t="shared" si="13"/>
        <v>48913</v>
      </c>
      <c r="LC2" s="100">
        <f t="shared" si="13"/>
        <v>48944</v>
      </c>
      <c r="LD2" s="100">
        <f t="shared" si="13"/>
        <v>48975</v>
      </c>
      <c r="LE2" s="100">
        <f t="shared" si="13"/>
        <v>49003</v>
      </c>
      <c r="LF2" s="100">
        <f t="shared" ref="LF2:LO4" si="14">DZ2</f>
        <v>49034</v>
      </c>
      <c r="LG2" s="100">
        <f t="shared" si="14"/>
        <v>49064</v>
      </c>
      <c r="LH2" s="100">
        <f t="shared" si="14"/>
        <v>49095</v>
      </c>
      <c r="LI2" s="100">
        <f t="shared" si="14"/>
        <v>49125</v>
      </c>
      <c r="LJ2" s="100">
        <f t="shared" si="14"/>
        <v>49156</v>
      </c>
      <c r="LK2" s="100">
        <f t="shared" si="14"/>
        <v>49187</v>
      </c>
      <c r="LL2" s="100">
        <f t="shared" si="14"/>
        <v>49217</v>
      </c>
      <c r="LM2" s="100">
        <f t="shared" si="14"/>
        <v>49248</v>
      </c>
      <c r="LN2" s="100">
        <f t="shared" si="14"/>
        <v>49278</v>
      </c>
      <c r="LO2" s="100">
        <f t="shared" si="14"/>
        <v>49309</v>
      </c>
      <c r="LP2" s="100">
        <f t="shared" ref="LP2:LY4" si="15">EJ2</f>
        <v>49340</v>
      </c>
      <c r="LQ2" s="100">
        <f t="shared" si="15"/>
        <v>49368</v>
      </c>
      <c r="LR2" s="100">
        <f t="shared" si="15"/>
        <v>49399</v>
      </c>
      <c r="LS2" s="100">
        <f t="shared" si="15"/>
        <v>49429</v>
      </c>
      <c r="LT2" s="100">
        <f t="shared" si="15"/>
        <v>49460</v>
      </c>
      <c r="LU2" s="100">
        <f t="shared" si="15"/>
        <v>49490</v>
      </c>
      <c r="LV2" s="100">
        <f t="shared" si="15"/>
        <v>49521</v>
      </c>
      <c r="LW2" s="100">
        <f t="shared" si="15"/>
        <v>49552</v>
      </c>
      <c r="LX2" s="100">
        <f t="shared" si="15"/>
        <v>49582</v>
      </c>
      <c r="LY2" s="100">
        <f t="shared" si="15"/>
        <v>49613</v>
      </c>
      <c r="LZ2" s="100">
        <f t="shared" ref="LZ2:MI4" si="16">ET2</f>
        <v>49643</v>
      </c>
      <c r="MA2" s="100">
        <f t="shared" si="16"/>
        <v>49674</v>
      </c>
      <c r="MB2" s="100">
        <f t="shared" si="16"/>
        <v>49705</v>
      </c>
      <c r="MC2" s="100">
        <f t="shared" si="16"/>
        <v>49734</v>
      </c>
      <c r="MD2" s="100">
        <f t="shared" si="16"/>
        <v>49765</v>
      </c>
      <c r="ME2" s="100">
        <f t="shared" si="16"/>
        <v>49795</v>
      </c>
      <c r="MF2" s="100">
        <f t="shared" si="16"/>
        <v>49826</v>
      </c>
      <c r="MG2" s="100">
        <f t="shared" si="16"/>
        <v>49856</v>
      </c>
      <c r="MH2" s="100">
        <f t="shared" si="16"/>
        <v>49887</v>
      </c>
      <c r="MI2" s="100">
        <f t="shared" si="16"/>
        <v>49918</v>
      </c>
      <c r="MJ2" s="100">
        <f t="shared" ref="MJ2:MS4" si="17">FD2</f>
        <v>49948</v>
      </c>
      <c r="MK2" s="100">
        <f t="shared" si="17"/>
        <v>49979</v>
      </c>
      <c r="ML2" s="100">
        <f t="shared" si="17"/>
        <v>50009</v>
      </c>
      <c r="MM2" s="100">
        <f t="shared" si="17"/>
        <v>50040</v>
      </c>
      <c r="MN2" s="100">
        <f t="shared" si="17"/>
        <v>50071</v>
      </c>
      <c r="MO2" s="100">
        <f t="shared" si="17"/>
        <v>50099</v>
      </c>
      <c r="MP2" s="100">
        <f t="shared" si="17"/>
        <v>50130</v>
      </c>
      <c r="MQ2" s="100">
        <f t="shared" si="17"/>
        <v>50160</v>
      </c>
      <c r="MR2" s="100">
        <f t="shared" si="17"/>
        <v>50191</v>
      </c>
      <c r="MS2" s="100">
        <f t="shared" si="17"/>
        <v>50221</v>
      </c>
      <c r="MT2" s="100">
        <f t="shared" ref="MT2:NC4" si="18">FN2</f>
        <v>50252</v>
      </c>
      <c r="MU2" s="100">
        <f t="shared" si="18"/>
        <v>50283</v>
      </c>
      <c r="MV2" s="100">
        <f t="shared" si="18"/>
        <v>50313</v>
      </c>
      <c r="MW2" s="100">
        <f t="shared" si="18"/>
        <v>50344</v>
      </c>
      <c r="MX2" s="100">
        <f t="shared" si="18"/>
        <v>50374</v>
      </c>
      <c r="MY2" s="100">
        <f t="shared" si="18"/>
        <v>50405</v>
      </c>
      <c r="MZ2" s="100">
        <f t="shared" si="18"/>
        <v>50436</v>
      </c>
      <c r="NA2" s="100">
        <f t="shared" si="18"/>
        <v>50464</v>
      </c>
      <c r="NB2" s="100">
        <f t="shared" si="18"/>
        <v>50495</v>
      </c>
      <c r="NC2" s="100">
        <f t="shared" si="18"/>
        <v>50525</v>
      </c>
      <c r="ND2" s="100">
        <f t="shared" ref="ND2:NM4" si="19">FX2</f>
        <v>50556</v>
      </c>
      <c r="NE2" s="100">
        <f t="shared" si="19"/>
        <v>50586</v>
      </c>
      <c r="NF2" s="100">
        <f t="shared" si="19"/>
        <v>50617</v>
      </c>
      <c r="NG2" s="100">
        <f t="shared" si="19"/>
        <v>50648</v>
      </c>
      <c r="NH2" s="100">
        <f t="shared" si="19"/>
        <v>50678</v>
      </c>
      <c r="NI2" s="100">
        <f t="shared" si="19"/>
        <v>50709</v>
      </c>
      <c r="NJ2" s="100">
        <f t="shared" si="19"/>
        <v>50739</v>
      </c>
      <c r="NK2" s="100">
        <f t="shared" si="19"/>
        <v>50770</v>
      </c>
      <c r="NL2" s="100">
        <f t="shared" si="19"/>
        <v>50801</v>
      </c>
      <c r="NM2" s="100">
        <f t="shared" si="19"/>
        <v>50829</v>
      </c>
      <c r="NN2" s="100">
        <f t="shared" ref="NN2:NW4" si="20">GH2</f>
        <v>50860</v>
      </c>
      <c r="NO2" s="100">
        <f t="shared" si="20"/>
        <v>50890</v>
      </c>
      <c r="NP2" s="100">
        <f t="shared" si="20"/>
        <v>50921</v>
      </c>
      <c r="NQ2" s="100">
        <f t="shared" si="20"/>
        <v>50951</v>
      </c>
      <c r="NR2" s="100">
        <f t="shared" si="20"/>
        <v>50982</v>
      </c>
      <c r="NS2" s="100">
        <f t="shared" si="20"/>
        <v>51013</v>
      </c>
      <c r="NT2" s="100">
        <f t="shared" si="20"/>
        <v>51043</v>
      </c>
      <c r="NU2" s="100">
        <f t="shared" si="20"/>
        <v>51074</v>
      </c>
      <c r="NV2" s="100">
        <f t="shared" si="20"/>
        <v>51104</v>
      </c>
      <c r="NW2" s="100">
        <f t="shared" si="20"/>
        <v>51135</v>
      </c>
      <c r="NX2" s="10"/>
    </row>
    <row r="3" spans="2:388" ht="15.75" customHeight="1" x14ac:dyDescent="0.3">
      <c r="B3" s="126"/>
      <c r="C3" s="1"/>
      <c r="D3" s="1"/>
      <c r="E3" s="4"/>
      <c r="F3" s="127"/>
      <c r="G3" s="127"/>
      <c r="H3" s="127"/>
      <c r="I3" s="127"/>
      <c r="J3" s="4"/>
      <c r="K3" s="4"/>
      <c r="L3" s="128"/>
      <c r="M3" s="150"/>
      <c r="N3" s="152"/>
      <c r="T3" s="60">
        <f>ROUNDUP(T4/12,0)</f>
        <v>1</v>
      </c>
      <c r="U3" s="60">
        <f t="shared" ref="U3:CF3" si="21">ROUNDUP(U4/12,0)</f>
        <v>1</v>
      </c>
      <c r="V3" s="60">
        <f t="shared" si="21"/>
        <v>1</v>
      </c>
      <c r="W3" s="60">
        <f t="shared" si="21"/>
        <v>1</v>
      </c>
      <c r="X3" s="60">
        <f t="shared" si="21"/>
        <v>1</v>
      </c>
      <c r="Y3" s="60">
        <f t="shared" si="21"/>
        <v>1</v>
      </c>
      <c r="Z3" s="60">
        <f t="shared" si="21"/>
        <v>1</v>
      </c>
      <c r="AA3" s="60">
        <f t="shared" si="21"/>
        <v>1</v>
      </c>
      <c r="AB3" s="60">
        <f t="shared" si="21"/>
        <v>1</v>
      </c>
      <c r="AC3" s="60">
        <f t="shared" si="21"/>
        <v>1</v>
      </c>
      <c r="AD3" s="60">
        <f t="shared" si="21"/>
        <v>1</v>
      </c>
      <c r="AE3" s="60">
        <f t="shared" si="21"/>
        <v>1</v>
      </c>
      <c r="AF3" s="60">
        <f t="shared" si="21"/>
        <v>2</v>
      </c>
      <c r="AG3" s="60">
        <f t="shared" si="21"/>
        <v>2</v>
      </c>
      <c r="AH3" s="60">
        <f t="shared" si="21"/>
        <v>2</v>
      </c>
      <c r="AI3" s="60">
        <f t="shared" si="21"/>
        <v>2</v>
      </c>
      <c r="AJ3" s="60">
        <f t="shared" si="21"/>
        <v>2</v>
      </c>
      <c r="AK3" s="60">
        <f t="shared" si="21"/>
        <v>2</v>
      </c>
      <c r="AL3" s="60">
        <f t="shared" si="21"/>
        <v>2</v>
      </c>
      <c r="AM3" s="60">
        <f t="shared" si="21"/>
        <v>2</v>
      </c>
      <c r="AN3" s="60">
        <f t="shared" si="21"/>
        <v>2</v>
      </c>
      <c r="AO3" s="60">
        <f t="shared" si="21"/>
        <v>2</v>
      </c>
      <c r="AP3" s="60">
        <f t="shared" si="21"/>
        <v>2</v>
      </c>
      <c r="AQ3" s="60">
        <f t="shared" si="21"/>
        <v>2</v>
      </c>
      <c r="AR3" s="60">
        <f t="shared" si="21"/>
        <v>3</v>
      </c>
      <c r="AS3" s="60">
        <f t="shared" si="21"/>
        <v>3</v>
      </c>
      <c r="AT3" s="60">
        <f t="shared" si="21"/>
        <v>3</v>
      </c>
      <c r="AU3" s="60">
        <f t="shared" si="21"/>
        <v>3</v>
      </c>
      <c r="AV3" s="60">
        <f t="shared" si="21"/>
        <v>3</v>
      </c>
      <c r="AW3" s="60">
        <f t="shared" si="21"/>
        <v>3</v>
      </c>
      <c r="AX3" s="60">
        <f t="shared" si="21"/>
        <v>3</v>
      </c>
      <c r="AY3" s="60">
        <f t="shared" si="21"/>
        <v>3</v>
      </c>
      <c r="AZ3" s="60">
        <f t="shared" si="21"/>
        <v>3</v>
      </c>
      <c r="BA3" s="60">
        <f t="shared" si="21"/>
        <v>3</v>
      </c>
      <c r="BB3" s="60">
        <f t="shared" si="21"/>
        <v>3</v>
      </c>
      <c r="BC3" s="60">
        <f t="shared" si="21"/>
        <v>3</v>
      </c>
      <c r="BD3" s="60">
        <f t="shared" si="21"/>
        <v>4</v>
      </c>
      <c r="BE3" s="60">
        <f t="shared" si="21"/>
        <v>4</v>
      </c>
      <c r="BF3" s="60">
        <f t="shared" si="21"/>
        <v>4</v>
      </c>
      <c r="BG3" s="60">
        <f t="shared" si="21"/>
        <v>4</v>
      </c>
      <c r="BH3" s="60">
        <f t="shared" si="21"/>
        <v>4</v>
      </c>
      <c r="BI3" s="60">
        <f t="shared" si="21"/>
        <v>4</v>
      </c>
      <c r="BJ3" s="60">
        <f t="shared" si="21"/>
        <v>4</v>
      </c>
      <c r="BK3" s="60">
        <f t="shared" si="21"/>
        <v>4</v>
      </c>
      <c r="BL3" s="60">
        <f t="shared" si="21"/>
        <v>4</v>
      </c>
      <c r="BM3" s="60">
        <f t="shared" si="21"/>
        <v>4</v>
      </c>
      <c r="BN3" s="60">
        <f t="shared" si="21"/>
        <v>4</v>
      </c>
      <c r="BO3" s="60">
        <f t="shared" si="21"/>
        <v>4</v>
      </c>
      <c r="BP3" s="60">
        <f t="shared" si="21"/>
        <v>5</v>
      </c>
      <c r="BQ3" s="60">
        <f t="shared" si="21"/>
        <v>5</v>
      </c>
      <c r="BR3" s="60">
        <f t="shared" si="21"/>
        <v>5</v>
      </c>
      <c r="BS3" s="60">
        <f t="shared" si="21"/>
        <v>5</v>
      </c>
      <c r="BT3" s="60">
        <f t="shared" si="21"/>
        <v>5</v>
      </c>
      <c r="BU3" s="60">
        <f t="shared" si="21"/>
        <v>5</v>
      </c>
      <c r="BV3" s="60">
        <f t="shared" si="21"/>
        <v>5</v>
      </c>
      <c r="BW3" s="60">
        <f t="shared" si="21"/>
        <v>5</v>
      </c>
      <c r="BX3" s="60">
        <f t="shared" si="21"/>
        <v>5</v>
      </c>
      <c r="BY3" s="60">
        <f t="shared" si="21"/>
        <v>5</v>
      </c>
      <c r="BZ3" s="60">
        <f t="shared" si="21"/>
        <v>5</v>
      </c>
      <c r="CA3" s="60">
        <f t="shared" si="21"/>
        <v>5</v>
      </c>
      <c r="CB3" s="60">
        <f t="shared" si="21"/>
        <v>6</v>
      </c>
      <c r="CC3" s="60">
        <f t="shared" si="21"/>
        <v>6</v>
      </c>
      <c r="CD3" s="60">
        <f t="shared" si="21"/>
        <v>6</v>
      </c>
      <c r="CE3" s="60">
        <f t="shared" si="21"/>
        <v>6</v>
      </c>
      <c r="CF3" s="60">
        <f t="shared" si="21"/>
        <v>6</v>
      </c>
      <c r="CG3" s="60">
        <f t="shared" ref="CG3:ER3" si="22">ROUNDUP(CG4/12,0)</f>
        <v>6</v>
      </c>
      <c r="CH3" s="60">
        <f t="shared" si="22"/>
        <v>6</v>
      </c>
      <c r="CI3" s="60">
        <f t="shared" si="22"/>
        <v>6</v>
      </c>
      <c r="CJ3" s="60">
        <f t="shared" si="22"/>
        <v>6</v>
      </c>
      <c r="CK3" s="60">
        <f t="shared" si="22"/>
        <v>6</v>
      </c>
      <c r="CL3" s="60">
        <f t="shared" si="22"/>
        <v>6</v>
      </c>
      <c r="CM3" s="60">
        <f t="shared" si="22"/>
        <v>6</v>
      </c>
      <c r="CN3" s="60">
        <f t="shared" si="22"/>
        <v>7</v>
      </c>
      <c r="CO3" s="60">
        <f t="shared" si="22"/>
        <v>7</v>
      </c>
      <c r="CP3" s="60">
        <f t="shared" si="22"/>
        <v>7</v>
      </c>
      <c r="CQ3" s="60">
        <f t="shared" si="22"/>
        <v>7</v>
      </c>
      <c r="CR3" s="60">
        <f t="shared" si="22"/>
        <v>7</v>
      </c>
      <c r="CS3" s="60">
        <f t="shared" si="22"/>
        <v>7</v>
      </c>
      <c r="CT3" s="60">
        <f t="shared" si="22"/>
        <v>7</v>
      </c>
      <c r="CU3" s="60">
        <f t="shared" si="22"/>
        <v>7</v>
      </c>
      <c r="CV3" s="60">
        <f t="shared" si="22"/>
        <v>7</v>
      </c>
      <c r="CW3" s="60">
        <f t="shared" si="22"/>
        <v>7</v>
      </c>
      <c r="CX3" s="60">
        <f t="shared" si="22"/>
        <v>7</v>
      </c>
      <c r="CY3" s="60">
        <f t="shared" si="22"/>
        <v>7</v>
      </c>
      <c r="CZ3" s="60">
        <f t="shared" si="22"/>
        <v>8</v>
      </c>
      <c r="DA3" s="60">
        <f t="shared" si="22"/>
        <v>8</v>
      </c>
      <c r="DB3" s="60">
        <f t="shared" si="22"/>
        <v>8</v>
      </c>
      <c r="DC3" s="60">
        <f t="shared" si="22"/>
        <v>8</v>
      </c>
      <c r="DD3" s="60">
        <f t="shared" si="22"/>
        <v>8</v>
      </c>
      <c r="DE3" s="60">
        <f t="shared" si="22"/>
        <v>8</v>
      </c>
      <c r="DF3" s="60">
        <f t="shared" si="22"/>
        <v>8</v>
      </c>
      <c r="DG3" s="60">
        <f t="shared" si="22"/>
        <v>8</v>
      </c>
      <c r="DH3" s="60">
        <f t="shared" si="22"/>
        <v>8</v>
      </c>
      <c r="DI3" s="60">
        <f t="shared" si="22"/>
        <v>8</v>
      </c>
      <c r="DJ3" s="60">
        <f t="shared" si="22"/>
        <v>8</v>
      </c>
      <c r="DK3" s="60">
        <f t="shared" si="22"/>
        <v>8</v>
      </c>
      <c r="DL3" s="60">
        <f t="shared" si="22"/>
        <v>9</v>
      </c>
      <c r="DM3" s="60">
        <f t="shared" si="22"/>
        <v>9</v>
      </c>
      <c r="DN3" s="60">
        <f t="shared" si="22"/>
        <v>9</v>
      </c>
      <c r="DO3" s="60">
        <f t="shared" si="22"/>
        <v>9</v>
      </c>
      <c r="DP3" s="60">
        <f t="shared" si="22"/>
        <v>9</v>
      </c>
      <c r="DQ3" s="60">
        <f t="shared" si="22"/>
        <v>9</v>
      </c>
      <c r="DR3" s="60">
        <f t="shared" si="22"/>
        <v>9</v>
      </c>
      <c r="DS3" s="60">
        <f t="shared" si="22"/>
        <v>9</v>
      </c>
      <c r="DT3" s="60">
        <f t="shared" si="22"/>
        <v>9</v>
      </c>
      <c r="DU3" s="60">
        <f t="shared" si="22"/>
        <v>9</v>
      </c>
      <c r="DV3" s="60">
        <f t="shared" si="22"/>
        <v>9</v>
      </c>
      <c r="DW3" s="60">
        <f t="shared" si="22"/>
        <v>9</v>
      </c>
      <c r="DX3" s="60">
        <f t="shared" si="22"/>
        <v>10</v>
      </c>
      <c r="DY3" s="60">
        <f t="shared" si="22"/>
        <v>10</v>
      </c>
      <c r="DZ3" s="60">
        <f t="shared" si="22"/>
        <v>10</v>
      </c>
      <c r="EA3" s="60">
        <f t="shared" si="22"/>
        <v>10</v>
      </c>
      <c r="EB3" s="60">
        <f t="shared" si="22"/>
        <v>10</v>
      </c>
      <c r="EC3" s="60">
        <f t="shared" si="22"/>
        <v>10</v>
      </c>
      <c r="ED3" s="60">
        <f t="shared" si="22"/>
        <v>10</v>
      </c>
      <c r="EE3" s="60">
        <f t="shared" si="22"/>
        <v>10</v>
      </c>
      <c r="EF3" s="60">
        <f t="shared" si="22"/>
        <v>10</v>
      </c>
      <c r="EG3" s="60">
        <f t="shared" si="22"/>
        <v>10</v>
      </c>
      <c r="EH3" s="60">
        <f t="shared" si="22"/>
        <v>10</v>
      </c>
      <c r="EI3" s="60">
        <f t="shared" si="22"/>
        <v>10</v>
      </c>
      <c r="EJ3" s="60">
        <f t="shared" si="22"/>
        <v>11</v>
      </c>
      <c r="EK3" s="60">
        <f t="shared" si="22"/>
        <v>11</v>
      </c>
      <c r="EL3" s="60">
        <f t="shared" si="22"/>
        <v>11</v>
      </c>
      <c r="EM3" s="60">
        <f t="shared" si="22"/>
        <v>11</v>
      </c>
      <c r="EN3" s="60">
        <f t="shared" si="22"/>
        <v>11</v>
      </c>
      <c r="EO3" s="60">
        <f t="shared" si="22"/>
        <v>11</v>
      </c>
      <c r="EP3" s="60">
        <f t="shared" si="22"/>
        <v>11</v>
      </c>
      <c r="EQ3" s="60">
        <f t="shared" si="22"/>
        <v>11</v>
      </c>
      <c r="ER3" s="60">
        <f t="shared" si="22"/>
        <v>11</v>
      </c>
      <c r="ES3" s="60">
        <f t="shared" ref="ES3:GQ3" si="23">ROUNDUP(ES4/12,0)</f>
        <v>11</v>
      </c>
      <c r="ET3" s="60">
        <f t="shared" si="23"/>
        <v>11</v>
      </c>
      <c r="EU3" s="60">
        <f t="shared" si="23"/>
        <v>11</v>
      </c>
      <c r="EV3" s="60">
        <f t="shared" si="23"/>
        <v>12</v>
      </c>
      <c r="EW3" s="60">
        <f t="shared" si="23"/>
        <v>12</v>
      </c>
      <c r="EX3" s="60">
        <f t="shared" si="23"/>
        <v>12</v>
      </c>
      <c r="EY3" s="60">
        <f t="shared" si="23"/>
        <v>12</v>
      </c>
      <c r="EZ3" s="60">
        <f t="shared" si="23"/>
        <v>12</v>
      </c>
      <c r="FA3" s="60">
        <f t="shared" si="23"/>
        <v>12</v>
      </c>
      <c r="FB3" s="60">
        <f t="shared" si="23"/>
        <v>12</v>
      </c>
      <c r="FC3" s="60">
        <f t="shared" si="23"/>
        <v>12</v>
      </c>
      <c r="FD3" s="60">
        <f t="shared" si="23"/>
        <v>12</v>
      </c>
      <c r="FE3" s="60">
        <f t="shared" si="23"/>
        <v>12</v>
      </c>
      <c r="FF3" s="60">
        <f t="shared" si="23"/>
        <v>12</v>
      </c>
      <c r="FG3" s="60">
        <f t="shared" si="23"/>
        <v>12</v>
      </c>
      <c r="FH3" s="60">
        <f t="shared" si="23"/>
        <v>13</v>
      </c>
      <c r="FI3" s="60">
        <f t="shared" si="23"/>
        <v>13</v>
      </c>
      <c r="FJ3" s="60">
        <f t="shared" si="23"/>
        <v>13</v>
      </c>
      <c r="FK3" s="60">
        <f t="shared" si="23"/>
        <v>13</v>
      </c>
      <c r="FL3" s="60">
        <f t="shared" si="23"/>
        <v>13</v>
      </c>
      <c r="FM3" s="60">
        <f t="shared" si="23"/>
        <v>13</v>
      </c>
      <c r="FN3" s="60">
        <f t="shared" si="23"/>
        <v>13</v>
      </c>
      <c r="FO3" s="60">
        <f t="shared" si="23"/>
        <v>13</v>
      </c>
      <c r="FP3" s="60">
        <f t="shared" si="23"/>
        <v>13</v>
      </c>
      <c r="FQ3" s="60">
        <f t="shared" si="23"/>
        <v>13</v>
      </c>
      <c r="FR3" s="60">
        <f t="shared" si="23"/>
        <v>13</v>
      </c>
      <c r="FS3" s="60">
        <f t="shared" si="23"/>
        <v>13</v>
      </c>
      <c r="FT3" s="60">
        <f t="shared" si="23"/>
        <v>14</v>
      </c>
      <c r="FU3" s="60">
        <f t="shared" si="23"/>
        <v>14</v>
      </c>
      <c r="FV3" s="60">
        <f t="shared" si="23"/>
        <v>14</v>
      </c>
      <c r="FW3" s="60">
        <f t="shared" si="23"/>
        <v>14</v>
      </c>
      <c r="FX3" s="60">
        <f t="shared" si="23"/>
        <v>14</v>
      </c>
      <c r="FY3" s="60">
        <f t="shared" si="23"/>
        <v>14</v>
      </c>
      <c r="FZ3" s="60">
        <f t="shared" si="23"/>
        <v>14</v>
      </c>
      <c r="GA3" s="60">
        <f t="shared" si="23"/>
        <v>14</v>
      </c>
      <c r="GB3" s="60">
        <f t="shared" si="23"/>
        <v>14</v>
      </c>
      <c r="GC3" s="60">
        <f t="shared" si="23"/>
        <v>14</v>
      </c>
      <c r="GD3" s="60">
        <f t="shared" si="23"/>
        <v>14</v>
      </c>
      <c r="GE3" s="60">
        <f t="shared" si="23"/>
        <v>14</v>
      </c>
      <c r="GF3" s="60">
        <f t="shared" si="23"/>
        <v>15</v>
      </c>
      <c r="GG3" s="60">
        <f t="shared" si="23"/>
        <v>15</v>
      </c>
      <c r="GH3" s="60">
        <f t="shared" si="23"/>
        <v>15</v>
      </c>
      <c r="GI3" s="60">
        <f t="shared" si="23"/>
        <v>15</v>
      </c>
      <c r="GJ3" s="60">
        <f t="shared" si="23"/>
        <v>15</v>
      </c>
      <c r="GK3" s="60">
        <f t="shared" si="23"/>
        <v>15</v>
      </c>
      <c r="GL3" s="60">
        <f t="shared" si="23"/>
        <v>15</v>
      </c>
      <c r="GM3" s="60">
        <f t="shared" si="23"/>
        <v>15</v>
      </c>
      <c r="GN3" s="60">
        <f t="shared" si="23"/>
        <v>15</v>
      </c>
      <c r="GO3" s="60">
        <f t="shared" si="23"/>
        <v>15</v>
      </c>
      <c r="GP3" s="60">
        <f t="shared" si="23"/>
        <v>15</v>
      </c>
      <c r="GQ3" s="60">
        <f t="shared" si="23"/>
        <v>15</v>
      </c>
      <c r="GR3" s="9"/>
      <c r="GS3" s="70"/>
      <c r="GT3" s="71"/>
      <c r="GU3" s="71"/>
      <c r="GV3" s="71"/>
      <c r="GW3" s="71"/>
      <c r="GX3" s="71"/>
      <c r="GY3" s="71"/>
      <c r="GZ3" s="149">
        <f t="shared" si="3"/>
        <v>1</v>
      </c>
      <c r="HA3" s="149">
        <f t="shared" si="3"/>
        <v>1</v>
      </c>
      <c r="HB3" s="149">
        <f t="shared" si="3"/>
        <v>1</v>
      </c>
      <c r="HC3" s="149">
        <f t="shared" si="3"/>
        <v>1</v>
      </c>
      <c r="HD3" s="149">
        <f t="shared" si="3"/>
        <v>1</v>
      </c>
      <c r="HE3" s="149">
        <f t="shared" si="3"/>
        <v>1</v>
      </c>
      <c r="HF3" s="149">
        <f t="shared" si="3"/>
        <v>1</v>
      </c>
      <c r="HG3" s="149">
        <f t="shared" si="3"/>
        <v>1</v>
      </c>
      <c r="HH3" s="149">
        <f t="shared" si="3"/>
        <v>1</v>
      </c>
      <c r="HI3" s="149">
        <f t="shared" si="3"/>
        <v>1</v>
      </c>
      <c r="HJ3" s="149">
        <f t="shared" si="4"/>
        <v>1</v>
      </c>
      <c r="HK3" s="149">
        <f t="shared" si="4"/>
        <v>1</v>
      </c>
      <c r="HL3" s="149">
        <f t="shared" si="4"/>
        <v>2</v>
      </c>
      <c r="HM3" s="149">
        <f t="shared" si="4"/>
        <v>2</v>
      </c>
      <c r="HN3" s="149">
        <f t="shared" si="4"/>
        <v>2</v>
      </c>
      <c r="HO3" s="149">
        <f t="shared" si="4"/>
        <v>2</v>
      </c>
      <c r="HP3" s="149">
        <f t="shared" si="4"/>
        <v>2</v>
      </c>
      <c r="HQ3" s="149">
        <f t="shared" si="4"/>
        <v>2</v>
      </c>
      <c r="HR3" s="149">
        <f t="shared" si="4"/>
        <v>2</v>
      </c>
      <c r="HS3" s="149">
        <f t="shared" si="4"/>
        <v>2</v>
      </c>
      <c r="HT3" s="149">
        <f t="shared" si="5"/>
        <v>2</v>
      </c>
      <c r="HU3" s="149">
        <f t="shared" si="5"/>
        <v>2</v>
      </c>
      <c r="HV3" s="149">
        <f t="shared" si="5"/>
        <v>2</v>
      </c>
      <c r="HW3" s="149">
        <f t="shared" si="5"/>
        <v>2</v>
      </c>
      <c r="HX3" s="149">
        <f t="shared" si="5"/>
        <v>3</v>
      </c>
      <c r="HY3" s="149">
        <f t="shared" si="5"/>
        <v>3</v>
      </c>
      <c r="HZ3" s="149">
        <f t="shared" si="5"/>
        <v>3</v>
      </c>
      <c r="IA3" s="149">
        <f t="shared" si="5"/>
        <v>3</v>
      </c>
      <c r="IB3" s="149">
        <f t="shared" si="5"/>
        <v>3</v>
      </c>
      <c r="IC3" s="149">
        <f t="shared" si="5"/>
        <v>3</v>
      </c>
      <c r="ID3" s="149">
        <f t="shared" si="6"/>
        <v>3</v>
      </c>
      <c r="IE3" s="149">
        <f t="shared" si="6"/>
        <v>3</v>
      </c>
      <c r="IF3" s="149">
        <f t="shared" si="6"/>
        <v>3</v>
      </c>
      <c r="IG3" s="149">
        <f t="shared" si="6"/>
        <v>3</v>
      </c>
      <c r="IH3" s="149">
        <f t="shared" si="6"/>
        <v>3</v>
      </c>
      <c r="II3" s="149">
        <f t="shared" si="6"/>
        <v>3</v>
      </c>
      <c r="IJ3" s="149">
        <f t="shared" si="6"/>
        <v>4</v>
      </c>
      <c r="IK3" s="149">
        <f t="shared" si="6"/>
        <v>4</v>
      </c>
      <c r="IL3" s="149">
        <f t="shared" si="6"/>
        <v>4</v>
      </c>
      <c r="IM3" s="149">
        <f t="shared" si="6"/>
        <v>4</v>
      </c>
      <c r="IN3" s="149">
        <f t="shared" si="7"/>
        <v>4</v>
      </c>
      <c r="IO3" s="149">
        <f t="shared" si="7"/>
        <v>4</v>
      </c>
      <c r="IP3" s="149">
        <f t="shared" si="7"/>
        <v>4</v>
      </c>
      <c r="IQ3" s="149">
        <f t="shared" si="7"/>
        <v>4</v>
      </c>
      <c r="IR3" s="149">
        <f t="shared" si="7"/>
        <v>4</v>
      </c>
      <c r="IS3" s="149">
        <f t="shared" si="7"/>
        <v>4</v>
      </c>
      <c r="IT3" s="149">
        <f t="shared" si="7"/>
        <v>4</v>
      </c>
      <c r="IU3" s="149">
        <f t="shared" si="7"/>
        <v>4</v>
      </c>
      <c r="IV3" s="149">
        <f t="shared" si="7"/>
        <v>5</v>
      </c>
      <c r="IW3" s="149">
        <f t="shared" si="7"/>
        <v>5</v>
      </c>
      <c r="IX3" s="149">
        <f t="shared" si="8"/>
        <v>5</v>
      </c>
      <c r="IY3" s="149">
        <f t="shared" si="8"/>
        <v>5</v>
      </c>
      <c r="IZ3" s="149">
        <f t="shared" si="8"/>
        <v>5</v>
      </c>
      <c r="JA3" s="149">
        <f t="shared" si="8"/>
        <v>5</v>
      </c>
      <c r="JB3" s="149">
        <f t="shared" si="8"/>
        <v>5</v>
      </c>
      <c r="JC3" s="149">
        <f t="shared" si="8"/>
        <v>5</v>
      </c>
      <c r="JD3" s="149">
        <f t="shared" si="8"/>
        <v>5</v>
      </c>
      <c r="JE3" s="149">
        <f t="shared" si="8"/>
        <v>5</v>
      </c>
      <c r="JF3" s="149">
        <f t="shared" si="8"/>
        <v>5</v>
      </c>
      <c r="JG3" s="149">
        <f t="shared" si="8"/>
        <v>5</v>
      </c>
      <c r="JH3" s="149">
        <f t="shared" si="9"/>
        <v>6</v>
      </c>
      <c r="JI3" s="149">
        <f t="shared" si="9"/>
        <v>6</v>
      </c>
      <c r="JJ3" s="149">
        <f t="shared" si="9"/>
        <v>6</v>
      </c>
      <c r="JK3" s="149">
        <f t="shared" si="9"/>
        <v>6</v>
      </c>
      <c r="JL3" s="149">
        <f t="shared" si="9"/>
        <v>6</v>
      </c>
      <c r="JM3" s="149">
        <f t="shared" si="9"/>
        <v>6</v>
      </c>
      <c r="JN3" s="149">
        <f t="shared" si="9"/>
        <v>6</v>
      </c>
      <c r="JO3" s="149">
        <f t="shared" si="9"/>
        <v>6</v>
      </c>
      <c r="JP3" s="149">
        <f t="shared" si="9"/>
        <v>6</v>
      </c>
      <c r="JQ3" s="149">
        <f t="shared" si="9"/>
        <v>6</v>
      </c>
      <c r="JR3" s="149">
        <f t="shared" si="10"/>
        <v>6</v>
      </c>
      <c r="JS3" s="149">
        <f t="shared" si="10"/>
        <v>6</v>
      </c>
      <c r="JT3" s="149">
        <f t="shared" si="10"/>
        <v>7</v>
      </c>
      <c r="JU3" s="149">
        <f t="shared" si="10"/>
        <v>7</v>
      </c>
      <c r="JV3" s="149">
        <f t="shared" si="10"/>
        <v>7</v>
      </c>
      <c r="JW3" s="149">
        <f t="shared" si="10"/>
        <v>7</v>
      </c>
      <c r="JX3" s="149">
        <f t="shared" si="10"/>
        <v>7</v>
      </c>
      <c r="JY3" s="149">
        <f t="shared" si="10"/>
        <v>7</v>
      </c>
      <c r="JZ3" s="149">
        <f t="shared" si="10"/>
        <v>7</v>
      </c>
      <c r="KA3" s="149">
        <f t="shared" si="10"/>
        <v>7</v>
      </c>
      <c r="KB3" s="149">
        <f t="shared" si="11"/>
        <v>7</v>
      </c>
      <c r="KC3" s="149">
        <f t="shared" si="11"/>
        <v>7</v>
      </c>
      <c r="KD3" s="149">
        <f t="shared" si="11"/>
        <v>7</v>
      </c>
      <c r="KE3" s="149">
        <f t="shared" si="11"/>
        <v>7</v>
      </c>
      <c r="KF3" s="149">
        <f t="shared" si="11"/>
        <v>8</v>
      </c>
      <c r="KG3" s="149">
        <f t="shared" si="11"/>
        <v>8</v>
      </c>
      <c r="KH3" s="149">
        <f t="shared" si="11"/>
        <v>8</v>
      </c>
      <c r="KI3" s="149">
        <f t="shared" si="11"/>
        <v>8</v>
      </c>
      <c r="KJ3" s="149">
        <f t="shared" si="11"/>
        <v>8</v>
      </c>
      <c r="KK3" s="149">
        <f t="shared" si="11"/>
        <v>8</v>
      </c>
      <c r="KL3" s="149">
        <f t="shared" si="12"/>
        <v>8</v>
      </c>
      <c r="KM3" s="149">
        <f t="shared" si="12"/>
        <v>8</v>
      </c>
      <c r="KN3" s="149">
        <f t="shared" si="12"/>
        <v>8</v>
      </c>
      <c r="KO3" s="149">
        <f t="shared" si="12"/>
        <v>8</v>
      </c>
      <c r="KP3" s="149">
        <f t="shared" si="12"/>
        <v>8</v>
      </c>
      <c r="KQ3" s="149">
        <f t="shared" si="12"/>
        <v>8</v>
      </c>
      <c r="KR3" s="149">
        <f t="shared" si="12"/>
        <v>9</v>
      </c>
      <c r="KS3" s="149">
        <f t="shared" si="12"/>
        <v>9</v>
      </c>
      <c r="KT3" s="149">
        <f t="shared" si="12"/>
        <v>9</v>
      </c>
      <c r="KU3" s="149">
        <f t="shared" si="12"/>
        <v>9</v>
      </c>
      <c r="KV3" s="149">
        <f t="shared" si="13"/>
        <v>9</v>
      </c>
      <c r="KW3" s="149">
        <f t="shared" si="13"/>
        <v>9</v>
      </c>
      <c r="KX3" s="149">
        <f t="shared" si="13"/>
        <v>9</v>
      </c>
      <c r="KY3" s="149">
        <f t="shared" si="13"/>
        <v>9</v>
      </c>
      <c r="KZ3" s="149">
        <f t="shared" si="13"/>
        <v>9</v>
      </c>
      <c r="LA3" s="149">
        <f t="shared" si="13"/>
        <v>9</v>
      </c>
      <c r="LB3" s="149">
        <f t="shared" si="13"/>
        <v>9</v>
      </c>
      <c r="LC3" s="149">
        <f t="shared" si="13"/>
        <v>9</v>
      </c>
      <c r="LD3" s="149">
        <f t="shared" si="13"/>
        <v>10</v>
      </c>
      <c r="LE3" s="149">
        <f t="shared" si="13"/>
        <v>10</v>
      </c>
      <c r="LF3" s="149">
        <f t="shared" si="14"/>
        <v>10</v>
      </c>
      <c r="LG3" s="149">
        <f t="shared" si="14"/>
        <v>10</v>
      </c>
      <c r="LH3" s="149">
        <f t="shared" si="14"/>
        <v>10</v>
      </c>
      <c r="LI3" s="149">
        <f t="shared" si="14"/>
        <v>10</v>
      </c>
      <c r="LJ3" s="149">
        <f t="shared" si="14"/>
        <v>10</v>
      </c>
      <c r="LK3" s="149">
        <f t="shared" si="14"/>
        <v>10</v>
      </c>
      <c r="LL3" s="149">
        <f t="shared" si="14"/>
        <v>10</v>
      </c>
      <c r="LM3" s="149">
        <f t="shared" si="14"/>
        <v>10</v>
      </c>
      <c r="LN3" s="149">
        <f t="shared" si="14"/>
        <v>10</v>
      </c>
      <c r="LO3" s="149">
        <f t="shared" si="14"/>
        <v>10</v>
      </c>
      <c r="LP3" s="149">
        <f t="shared" si="15"/>
        <v>11</v>
      </c>
      <c r="LQ3" s="149">
        <f t="shared" si="15"/>
        <v>11</v>
      </c>
      <c r="LR3" s="149">
        <f t="shared" si="15"/>
        <v>11</v>
      </c>
      <c r="LS3" s="149">
        <f t="shared" si="15"/>
        <v>11</v>
      </c>
      <c r="LT3" s="149">
        <f t="shared" si="15"/>
        <v>11</v>
      </c>
      <c r="LU3" s="149">
        <f t="shared" si="15"/>
        <v>11</v>
      </c>
      <c r="LV3" s="149">
        <f t="shared" si="15"/>
        <v>11</v>
      </c>
      <c r="LW3" s="149">
        <f t="shared" si="15"/>
        <v>11</v>
      </c>
      <c r="LX3" s="149">
        <f t="shared" si="15"/>
        <v>11</v>
      </c>
      <c r="LY3" s="149">
        <f t="shared" si="15"/>
        <v>11</v>
      </c>
      <c r="LZ3" s="149">
        <f t="shared" si="16"/>
        <v>11</v>
      </c>
      <c r="MA3" s="149">
        <f t="shared" si="16"/>
        <v>11</v>
      </c>
      <c r="MB3" s="149">
        <f t="shared" si="16"/>
        <v>12</v>
      </c>
      <c r="MC3" s="149">
        <f t="shared" si="16"/>
        <v>12</v>
      </c>
      <c r="MD3" s="149">
        <f t="shared" si="16"/>
        <v>12</v>
      </c>
      <c r="ME3" s="149">
        <f t="shared" si="16"/>
        <v>12</v>
      </c>
      <c r="MF3" s="149">
        <f t="shared" si="16"/>
        <v>12</v>
      </c>
      <c r="MG3" s="149">
        <f t="shared" si="16"/>
        <v>12</v>
      </c>
      <c r="MH3" s="149">
        <f t="shared" si="16"/>
        <v>12</v>
      </c>
      <c r="MI3" s="149">
        <f t="shared" si="16"/>
        <v>12</v>
      </c>
      <c r="MJ3" s="149">
        <f t="shared" si="17"/>
        <v>12</v>
      </c>
      <c r="MK3" s="149">
        <f t="shared" si="17"/>
        <v>12</v>
      </c>
      <c r="ML3" s="149">
        <f t="shared" si="17"/>
        <v>12</v>
      </c>
      <c r="MM3" s="149">
        <f t="shared" si="17"/>
        <v>12</v>
      </c>
      <c r="MN3" s="149">
        <f t="shared" si="17"/>
        <v>13</v>
      </c>
      <c r="MO3" s="149">
        <f t="shared" si="17"/>
        <v>13</v>
      </c>
      <c r="MP3" s="149">
        <f t="shared" si="17"/>
        <v>13</v>
      </c>
      <c r="MQ3" s="149">
        <f t="shared" si="17"/>
        <v>13</v>
      </c>
      <c r="MR3" s="149">
        <f t="shared" si="17"/>
        <v>13</v>
      </c>
      <c r="MS3" s="149">
        <f t="shared" si="17"/>
        <v>13</v>
      </c>
      <c r="MT3" s="149">
        <f t="shared" si="18"/>
        <v>13</v>
      </c>
      <c r="MU3" s="149">
        <f t="shared" si="18"/>
        <v>13</v>
      </c>
      <c r="MV3" s="149">
        <f t="shared" si="18"/>
        <v>13</v>
      </c>
      <c r="MW3" s="149">
        <f t="shared" si="18"/>
        <v>13</v>
      </c>
      <c r="MX3" s="149">
        <f t="shared" si="18"/>
        <v>13</v>
      </c>
      <c r="MY3" s="149">
        <f t="shared" si="18"/>
        <v>13</v>
      </c>
      <c r="MZ3" s="149">
        <f t="shared" si="18"/>
        <v>14</v>
      </c>
      <c r="NA3" s="149">
        <f t="shared" si="18"/>
        <v>14</v>
      </c>
      <c r="NB3" s="149">
        <f t="shared" si="18"/>
        <v>14</v>
      </c>
      <c r="NC3" s="149">
        <f t="shared" si="18"/>
        <v>14</v>
      </c>
      <c r="ND3" s="149">
        <f t="shared" si="19"/>
        <v>14</v>
      </c>
      <c r="NE3" s="149">
        <f t="shared" si="19"/>
        <v>14</v>
      </c>
      <c r="NF3" s="149">
        <f t="shared" si="19"/>
        <v>14</v>
      </c>
      <c r="NG3" s="149">
        <f t="shared" si="19"/>
        <v>14</v>
      </c>
      <c r="NH3" s="149">
        <f t="shared" si="19"/>
        <v>14</v>
      </c>
      <c r="NI3" s="149">
        <f t="shared" si="19"/>
        <v>14</v>
      </c>
      <c r="NJ3" s="149">
        <f t="shared" si="19"/>
        <v>14</v>
      </c>
      <c r="NK3" s="149">
        <f t="shared" si="19"/>
        <v>14</v>
      </c>
      <c r="NL3" s="149">
        <f t="shared" si="19"/>
        <v>15</v>
      </c>
      <c r="NM3" s="149">
        <f t="shared" si="19"/>
        <v>15</v>
      </c>
      <c r="NN3" s="149">
        <f t="shared" si="20"/>
        <v>15</v>
      </c>
      <c r="NO3" s="149">
        <f t="shared" si="20"/>
        <v>15</v>
      </c>
      <c r="NP3" s="149">
        <f t="shared" si="20"/>
        <v>15</v>
      </c>
      <c r="NQ3" s="149">
        <f t="shared" si="20"/>
        <v>15</v>
      </c>
      <c r="NR3" s="149">
        <f t="shared" si="20"/>
        <v>15</v>
      </c>
      <c r="NS3" s="149">
        <f t="shared" si="20"/>
        <v>15</v>
      </c>
      <c r="NT3" s="149">
        <f t="shared" si="20"/>
        <v>15</v>
      </c>
      <c r="NU3" s="149">
        <f t="shared" si="20"/>
        <v>15</v>
      </c>
      <c r="NV3" s="149">
        <f t="shared" si="20"/>
        <v>15</v>
      </c>
      <c r="NW3" s="149">
        <f t="shared" si="20"/>
        <v>15</v>
      </c>
      <c r="NX3" s="10"/>
    </row>
    <row r="4" spans="2:388" ht="15.5" x14ac:dyDescent="0.35">
      <c r="B4" s="104" t="str">
        <f>Summary!B3</f>
        <v>Aiken Lot Development</v>
      </c>
      <c r="C4" s="4"/>
      <c r="D4" s="4"/>
      <c r="E4" s="4"/>
      <c r="F4" s="177" t="str">
        <f>IF(Recalc?=TRUE,"CLICK TO RECALCULATE","")</f>
        <v/>
      </c>
      <c r="G4" s="177"/>
      <c r="H4" s="177"/>
      <c r="I4" s="4"/>
      <c r="J4" s="4"/>
      <c r="K4" s="4"/>
      <c r="L4" s="5" t="str">
        <f>UPPER(Model_Type&amp;" Model")</f>
        <v>RESIDENTIAL LAND DEVELOPMENT MODEL</v>
      </c>
      <c r="T4" s="13">
        <v>1</v>
      </c>
      <c r="U4" s="13">
        <f>T4+1</f>
        <v>2</v>
      </c>
      <c r="V4" s="13">
        <f t="shared" ref="V4:CG4" si="24">U4+1</f>
        <v>3</v>
      </c>
      <c r="W4" s="13">
        <f t="shared" si="24"/>
        <v>4</v>
      </c>
      <c r="X4" s="13">
        <f t="shared" si="24"/>
        <v>5</v>
      </c>
      <c r="Y4" s="13">
        <f t="shared" si="24"/>
        <v>6</v>
      </c>
      <c r="Z4" s="13">
        <f t="shared" si="24"/>
        <v>7</v>
      </c>
      <c r="AA4" s="13">
        <f t="shared" si="24"/>
        <v>8</v>
      </c>
      <c r="AB4" s="13">
        <f t="shared" si="24"/>
        <v>9</v>
      </c>
      <c r="AC4" s="13">
        <f t="shared" si="24"/>
        <v>10</v>
      </c>
      <c r="AD4" s="13">
        <f t="shared" si="24"/>
        <v>11</v>
      </c>
      <c r="AE4" s="13">
        <f t="shared" si="24"/>
        <v>12</v>
      </c>
      <c r="AF4" s="13">
        <f t="shared" si="24"/>
        <v>13</v>
      </c>
      <c r="AG4" s="13">
        <f t="shared" si="24"/>
        <v>14</v>
      </c>
      <c r="AH4" s="13">
        <f t="shared" si="24"/>
        <v>15</v>
      </c>
      <c r="AI4" s="13">
        <f t="shared" si="24"/>
        <v>16</v>
      </c>
      <c r="AJ4" s="13">
        <f t="shared" si="24"/>
        <v>17</v>
      </c>
      <c r="AK4" s="13">
        <f t="shared" si="24"/>
        <v>18</v>
      </c>
      <c r="AL4" s="13">
        <f t="shared" si="24"/>
        <v>19</v>
      </c>
      <c r="AM4" s="13">
        <f t="shared" si="24"/>
        <v>20</v>
      </c>
      <c r="AN4" s="13">
        <f t="shared" si="24"/>
        <v>21</v>
      </c>
      <c r="AO4" s="13">
        <f t="shared" si="24"/>
        <v>22</v>
      </c>
      <c r="AP4" s="13">
        <f t="shared" si="24"/>
        <v>23</v>
      </c>
      <c r="AQ4" s="13">
        <f t="shared" si="24"/>
        <v>24</v>
      </c>
      <c r="AR4" s="13">
        <f t="shared" si="24"/>
        <v>25</v>
      </c>
      <c r="AS4" s="13">
        <f t="shared" si="24"/>
        <v>26</v>
      </c>
      <c r="AT4" s="13">
        <f t="shared" si="24"/>
        <v>27</v>
      </c>
      <c r="AU4" s="13">
        <f t="shared" si="24"/>
        <v>28</v>
      </c>
      <c r="AV4" s="13">
        <f t="shared" si="24"/>
        <v>29</v>
      </c>
      <c r="AW4" s="13">
        <f t="shared" si="24"/>
        <v>30</v>
      </c>
      <c r="AX4" s="13">
        <f t="shared" si="24"/>
        <v>31</v>
      </c>
      <c r="AY4" s="13">
        <f t="shared" si="24"/>
        <v>32</v>
      </c>
      <c r="AZ4" s="13">
        <f t="shared" si="24"/>
        <v>33</v>
      </c>
      <c r="BA4" s="13">
        <f t="shared" si="24"/>
        <v>34</v>
      </c>
      <c r="BB4" s="13">
        <f t="shared" si="24"/>
        <v>35</v>
      </c>
      <c r="BC4" s="13">
        <f t="shared" si="24"/>
        <v>36</v>
      </c>
      <c r="BD4" s="13">
        <f t="shared" si="24"/>
        <v>37</v>
      </c>
      <c r="BE4" s="13">
        <f t="shared" si="24"/>
        <v>38</v>
      </c>
      <c r="BF4" s="13">
        <f t="shared" si="24"/>
        <v>39</v>
      </c>
      <c r="BG4" s="13">
        <f t="shared" si="24"/>
        <v>40</v>
      </c>
      <c r="BH4" s="13">
        <f t="shared" si="24"/>
        <v>41</v>
      </c>
      <c r="BI4" s="13">
        <f t="shared" si="24"/>
        <v>42</v>
      </c>
      <c r="BJ4" s="13">
        <f t="shared" si="24"/>
        <v>43</v>
      </c>
      <c r="BK4" s="13">
        <f t="shared" si="24"/>
        <v>44</v>
      </c>
      <c r="BL4" s="13">
        <f t="shared" si="24"/>
        <v>45</v>
      </c>
      <c r="BM4" s="13">
        <f t="shared" si="24"/>
        <v>46</v>
      </c>
      <c r="BN4" s="13">
        <f t="shared" si="24"/>
        <v>47</v>
      </c>
      <c r="BO4" s="13">
        <f t="shared" si="24"/>
        <v>48</v>
      </c>
      <c r="BP4" s="13">
        <f t="shared" si="24"/>
        <v>49</v>
      </c>
      <c r="BQ4" s="13">
        <f t="shared" si="24"/>
        <v>50</v>
      </c>
      <c r="BR4" s="13">
        <f t="shared" si="24"/>
        <v>51</v>
      </c>
      <c r="BS4" s="13">
        <f t="shared" si="24"/>
        <v>52</v>
      </c>
      <c r="BT4" s="13">
        <f t="shared" si="24"/>
        <v>53</v>
      </c>
      <c r="BU4" s="13">
        <f t="shared" si="24"/>
        <v>54</v>
      </c>
      <c r="BV4" s="13">
        <f t="shared" si="24"/>
        <v>55</v>
      </c>
      <c r="BW4" s="13">
        <f t="shared" si="24"/>
        <v>56</v>
      </c>
      <c r="BX4" s="13">
        <f t="shared" si="24"/>
        <v>57</v>
      </c>
      <c r="BY4" s="13">
        <f t="shared" si="24"/>
        <v>58</v>
      </c>
      <c r="BZ4" s="13">
        <f t="shared" si="24"/>
        <v>59</v>
      </c>
      <c r="CA4" s="13">
        <f t="shared" si="24"/>
        <v>60</v>
      </c>
      <c r="CB4" s="13">
        <f t="shared" si="24"/>
        <v>61</v>
      </c>
      <c r="CC4" s="13">
        <f t="shared" si="24"/>
        <v>62</v>
      </c>
      <c r="CD4" s="13">
        <f t="shared" si="24"/>
        <v>63</v>
      </c>
      <c r="CE4" s="13">
        <f t="shared" si="24"/>
        <v>64</v>
      </c>
      <c r="CF4" s="13">
        <f t="shared" si="24"/>
        <v>65</v>
      </c>
      <c r="CG4" s="13">
        <f t="shared" si="24"/>
        <v>66</v>
      </c>
      <c r="CH4" s="13">
        <f t="shared" ref="CH4:ES4" si="25">CG4+1</f>
        <v>67</v>
      </c>
      <c r="CI4" s="13">
        <f t="shared" si="25"/>
        <v>68</v>
      </c>
      <c r="CJ4" s="13">
        <f t="shared" si="25"/>
        <v>69</v>
      </c>
      <c r="CK4" s="13">
        <f t="shared" si="25"/>
        <v>70</v>
      </c>
      <c r="CL4" s="13">
        <f t="shared" si="25"/>
        <v>71</v>
      </c>
      <c r="CM4" s="13">
        <f t="shared" si="25"/>
        <v>72</v>
      </c>
      <c r="CN4" s="13">
        <f t="shared" si="25"/>
        <v>73</v>
      </c>
      <c r="CO4" s="13">
        <f t="shared" si="25"/>
        <v>74</v>
      </c>
      <c r="CP4" s="13">
        <f t="shared" si="25"/>
        <v>75</v>
      </c>
      <c r="CQ4" s="13">
        <f t="shared" si="25"/>
        <v>76</v>
      </c>
      <c r="CR4" s="13">
        <f t="shared" si="25"/>
        <v>77</v>
      </c>
      <c r="CS4" s="13">
        <f t="shared" si="25"/>
        <v>78</v>
      </c>
      <c r="CT4" s="13">
        <f t="shared" si="25"/>
        <v>79</v>
      </c>
      <c r="CU4" s="13">
        <f t="shared" si="25"/>
        <v>80</v>
      </c>
      <c r="CV4" s="13">
        <f t="shared" si="25"/>
        <v>81</v>
      </c>
      <c r="CW4" s="13">
        <f t="shared" si="25"/>
        <v>82</v>
      </c>
      <c r="CX4" s="13">
        <f t="shared" si="25"/>
        <v>83</v>
      </c>
      <c r="CY4" s="13">
        <f t="shared" si="25"/>
        <v>84</v>
      </c>
      <c r="CZ4" s="13">
        <f t="shared" si="25"/>
        <v>85</v>
      </c>
      <c r="DA4" s="13">
        <f t="shared" si="25"/>
        <v>86</v>
      </c>
      <c r="DB4" s="13">
        <f t="shared" si="25"/>
        <v>87</v>
      </c>
      <c r="DC4" s="13">
        <f t="shared" si="25"/>
        <v>88</v>
      </c>
      <c r="DD4" s="13">
        <f t="shared" si="25"/>
        <v>89</v>
      </c>
      <c r="DE4" s="13">
        <f t="shared" si="25"/>
        <v>90</v>
      </c>
      <c r="DF4" s="13">
        <f t="shared" si="25"/>
        <v>91</v>
      </c>
      <c r="DG4" s="13">
        <f t="shared" si="25"/>
        <v>92</v>
      </c>
      <c r="DH4" s="13">
        <f t="shared" si="25"/>
        <v>93</v>
      </c>
      <c r="DI4" s="13">
        <f t="shared" si="25"/>
        <v>94</v>
      </c>
      <c r="DJ4" s="13">
        <f t="shared" si="25"/>
        <v>95</v>
      </c>
      <c r="DK4" s="13">
        <f t="shared" si="25"/>
        <v>96</v>
      </c>
      <c r="DL4" s="13">
        <f t="shared" si="25"/>
        <v>97</v>
      </c>
      <c r="DM4" s="13">
        <f t="shared" si="25"/>
        <v>98</v>
      </c>
      <c r="DN4" s="13">
        <f t="shared" si="25"/>
        <v>99</v>
      </c>
      <c r="DO4" s="13">
        <f t="shared" si="25"/>
        <v>100</v>
      </c>
      <c r="DP4" s="13">
        <f t="shared" si="25"/>
        <v>101</v>
      </c>
      <c r="DQ4" s="13">
        <f t="shared" si="25"/>
        <v>102</v>
      </c>
      <c r="DR4" s="13">
        <f t="shared" si="25"/>
        <v>103</v>
      </c>
      <c r="DS4" s="13">
        <f t="shared" si="25"/>
        <v>104</v>
      </c>
      <c r="DT4" s="13">
        <f t="shared" si="25"/>
        <v>105</v>
      </c>
      <c r="DU4" s="13">
        <f t="shared" si="25"/>
        <v>106</v>
      </c>
      <c r="DV4" s="13">
        <f t="shared" si="25"/>
        <v>107</v>
      </c>
      <c r="DW4" s="13">
        <f t="shared" si="25"/>
        <v>108</v>
      </c>
      <c r="DX4" s="13">
        <f t="shared" si="25"/>
        <v>109</v>
      </c>
      <c r="DY4" s="13">
        <f t="shared" si="25"/>
        <v>110</v>
      </c>
      <c r="DZ4" s="13">
        <f t="shared" si="25"/>
        <v>111</v>
      </c>
      <c r="EA4" s="13">
        <f t="shared" si="25"/>
        <v>112</v>
      </c>
      <c r="EB4" s="13">
        <f t="shared" si="25"/>
        <v>113</v>
      </c>
      <c r="EC4" s="13">
        <f t="shared" si="25"/>
        <v>114</v>
      </c>
      <c r="ED4" s="13">
        <f t="shared" si="25"/>
        <v>115</v>
      </c>
      <c r="EE4" s="13">
        <f t="shared" si="25"/>
        <v>116</v>
      </c>
      <c r="EF4" s="13">
        <f t="shared" si="25"/>
        <v>117</v>
      </c>
      <c r="EG4" s="13">
        <f t="shared" si="25"/>
        <v>118</v>
      </c>
      <c r="EH4" s="13">
        <f t="shared" si="25"/>
        <v>119</v>
      </c>
      <c r="EI4" s="13">
        <f t="shared" si="25"/>
        <v>120</v>
      </c>
      <c r="EJ4" s="13">
        <f t="shared" si="25"/>
        <v>121</v>
      </c>
      <c r="EK4" s="13">
        <f t="shared" si="25"/>
        <v>122</v>
      </c>
      <c r="EL4" s="13">
        <f t="shared" si="25"/>
        <v>123</v>
      </c>
      <c r="EM4" s="13">
        <f t="shared" si="25"/>
        <v>124</v>
      </c>
      <c r="EN4" s="13">
        <f t="shared" si="25"/>
        <v>125</v>
      </c>
      <c r="EO4" s="13">
        <f t="shared" si="25"/>
        <v>126</v>
      </c>
      <c r="EP4" s="13">
        <f t="shared" si="25"/>
        <v>127</v>
      </c>
      <c r="EQ4" s="13">
        <f t="shared" si="25"/>
        <v>128</v>
      </c>
      <c r="ER4" s="13">
        <f t="shared" si="25"/>
        <v>129</v>
      </c>
      <c r="ES4" s="13">
        <f t="shared" si="25"/>
        <v>130</v>
      </c>
      <c r="ET4" s="13">
        <f t="shared" ref="ET4:GQ4" si="26">ES4+1</f>
        <v>131</v>
      </c>
      <c r="EU4" s="13">
        <f t="shared" si="26"/>
        <v>132</v>
      </c>
      <c r="EV4" s="13">
        <f t="shared" si="26"/>
        <v>133</v>
      </c>
      <c r="EW4" s="13">
        <f t="shared" si="26"/>
        <v>134</v>
      </c>
      <c r="EX4" s="13">
        <f t="shared" si="26"/>
        <v>135</v>
      </c>
      <c r="EY4" s="13">
        <f t="shared" si="26"/>
        <v>136</v>
      </c>
      <c r="EZ4" s="13">
        <f t="shared" si="26"/>
        <v>137</v>
      </c>
      <c r="FA4" s="13">
        <f t="shared" si="26"/>
        <v>138</v>
      </c>
      <c r="FB4" s="13">
        <f t="shared" si="26"/>
        <v>139</v>
      </c>
      <c r="FC4" s="13">
        <f t="shared" si="26"/>
        <v>140</v>
      </c>
      <c r="FD4" s="13">
        <f t="shared" si="26"/>
        <v>141</v>
      </c>
      <c r="FE4" s="13">
        <f t="shared" si="26"/>
        <v>142</v>
      </c>
      <c r="FF4" s="13">
        <f t="shared" si="26"/>
        <v>143</v>
      </c>
      <c r="FG4" s="13">
        <f t="shared" si="26"/>
        <v>144</v>
      </c>
      <c r="FH4" s="13">
        <f t="shared" si="26"/>
        <v>145</v>
      </c>
      <c r="FI4" s="13">
        <f t="shared" si="26"/>
        <v>146</v>
      </c>
      <c r="FJ4" s="13">
        <f t="shared" si="26"/>
        <v>147</v>
      </c>
      <c r="FK4" s="13">
        <f t="shared" si="26"/>
        <v>148</v>
      </c>
      <c r="FL4" s="13">
        <f t="shared" si="26"/>
        <v>149</v>
      </c>
      <c r="FM4" s="13">
        <f t="shared" si="26"/>
        <v>150</v>
      </c>
      <c r="FN4" s="13">
        <f t="shared" si="26"/>
        <v>151</v>
      </c>
      <c r="FO4" s="13">
        <f t="shared" si="26"/>
        <v>152</v>
      </c>
      <c r="FP4" s="13">
        <f t="shared" si="26"/>
        <v>153</v>
      </c>
      <c r="FQ4" s="13">
        <f t="shared" si="26"/>
        <v>154</v>
      </c>
      <c r="FR4" s="13">
        <f t="shared" si="26"/>
        <v>155</v>
      </c>
      <c r="FS4" s="13">
        <f t="shared" si="26"/>
        <v>156</v>
      </c>
      <c r="FT4" s="13">
        <f t="shared" si="26"/>
        <v>157</v>
      </c>
      <c r="FU4" s="13">
        <f t="shared" si="26"/>
        <v>158</v>
      </c>
      <c r="FV4" s="13">
        <f t="shared" si="26"/>
        <v>159</v>
      </c>
      <c r="FW4" s="13">
        <f t="shared" si="26"/>
        <v>160</v>
      </c>
      <c r="FX4" s="13">
        <f t="shared" si="26"/>
        <v>161</v>
      </c>
      <c r="FY4" s="13">
        <f t="shared" si="26"/>
        <v>162</v>
      </c>
      <c r="FZ4" s="13">
        <f t="shared" si="26"/>
        <v>163</v>
      </c>
      <c r="GA4" s="13">
        <f t="shared" si="26"/>
        <v>164</v>
      </c>
      <c r="GB4" s="13">
        <f t="shared" si="26"/>
        <v>165</v>
      </c>
      <c r="GC4" s="13">
        <f t="shared" si="26"/>
        <v>166</v>
      </c>
      <c r="GD4" s="13">
        <f t="shared" si="26"/>
        <v>167</v>
      </c>
      <c r="GE4" s="13">
        <f t="shared" si="26"/>
        <v>168</v>
      </c>
      <c r="GF4" s="13">
        <f t="shared" si="26"/>
        <v>169</v>
      </c>
      <c r="GG4" s="13">
        <f t="shared" si="26"/>
        <v>170</v>
      </c>
      <c r="GH4" s="13">
        <f t="shared" si="26"/>
        <v>171</v>
      </c>
      <c r="GI4" s="13">
        <f t="shared" si="26"/>
        <v>172</v>
      </c>
      <c r="GJ4" s="13">
        <f t="shared" si="26"/>
        <v>173</v>
      </c>
      <c r="GK4" s="13">
        <f t="shared" si="26"/>
        <v>174</v>
      </c>
      <c r="GL4" s="13">
        <f t="shared" si="26"/>
        <v>175</v>
      </c>
      <c r="GM4" s="13">
        <f t="shared" si="26"/>
        <v>176</v>
      </c>
      <c r="GN4" s="13">
        <f t="shared" si="26"/>
        <v>177</v>
      </c>
      <c r="GO4" s="13">
        <f t="shared" si="26"/>
        <v>178</v>
      </c>
      <c r="GP4" s="13">
        <f t="shared" si="26"/>
        <v>179</v>
      </c>
      <c r="GQ4" s="13">
        <f t="shared" si="26"/>
        <v>180</v>
      </c>
      <c r="GR4" s="9"/>
      <c r="GS4" s="70"/>
      <c r="GT4" s="71"/>
      <c r="GU4" s="71"/>
      <c r="GV4" s="71"/>
      <c r="GW4" s="71"/>
      <c r="GX4" s="71"/>
      <c r="GY4" s="71"/>
      <c r="GZ4" s="74">
        <f t="shared" si="3"/>
        <v>1</v>
      </c>
      <c r="HA4" s="74">
        <f t="shared" si="3"/>
        <v>2</v>
      </c>
      <c r="HB4" s="74">
        <f t="shared" si="3"/>
        <v>3</v>
      </c>
      <c r="HC4" s="74">
        <f t="shared" si="3"/>
        <v>4</v>
      </c>
      <c r="HD4" s="74">
        <f t="shared" si="3"/>
        <v>5</v>
      </c>
      <c r="HE4" s="74">
        <f t="shared" si="3"/>
        <v>6</v>
      </c>
      <c r="HF4" s="74">
        <f t="shared" si="3"/>
        <v>7</v>
      </c>
      <c r="HG4" s="74">
        <f t="shared" si="3"/>
        <v>8</v>
      </c>
      <c r="HH4" s="74">
        <f t="shared" si="3"/>
        <v>9</v>
      </c>
      <c r="HI4" s="74">
        <f t="shared" si="3"/>
        <v>10</v>
      </c>
      <c r="HJ4" s="74">
        <f t="shared" si="4"/>
        <v>11</v>
      </c>
      <c r="HK4" s="74">
        <f t="shared" si="4"/>
        <v>12</v>
      </c>
      <c r="HL4" s="74">
        <f t="shared" si="4"/>
        <v>13</v>
      </c>
      <c r="HM4" s="74">
        <f t="shared" si="4"/>
        <v>14</v>
      </c>
      <c r="HN4" s="74">
        <f t="shared" si="4"/>
        <v>15</v>
      </c>
      <c r="HO4" s="74">
        <f t="shared" si="4"/>
        <v>16</v>
      </c>
      <c r="HP4" s="74">
        <f t="shared" si="4"/>
        <v>17</v>
      </c>
      <c r="HQ4" s="74">
        <f t="shared" si="4"/>
        <v>18</v>
      </c>
      <c r="HR4" s="74">
        <f t="shared" si="4"/>
        <v>19</v>
      </c>
      <c r="HS4" s="74">
        <f t="shared" si="4"/>
        <v>20</v>
      </c>
      <c r="HT4" s="74">
        <f t="shared" si="5"/>
        <v>21</v>
      </c>
      <c r="HU4" s="74">
        <f t="shared" si="5"/>
        <v>22</v>
      </c>
      <c r="HV4" s="74">
        <f t="shared" si="5"/>
        <v>23</v>
      </c>
      <c r="HW4" s="74">
        <f t="shared" si="5"/>
        <v>24</v>
      </c>
      <c r="HX4" s="74">
        <f t="shared" si="5"/>
        <v>25</v>
      </c>
      <c r="HY4" s="74">
        <f t="shared" si="5"/>
        <v>26</v>
      </c>
      <c r="HZ4" s="74">
        <f t="shared" si="5"/>
        <v>27</v>
      </c>
      <c r="IA4" s="74">
        <f t="shared" si="5"/>
        <v>28</v>
      </c>
      <c r="IB4" s="74">
        <f t="shared" si="5"/>
        <v>29</v>
      </c>
      <c r="IC4" s="74">
        <f t="shared" si="5"/>
        <v>30</v>
      </c>
      <c r="ID4" s="74">
        <f t="shared" si="6"/>
        <v>31</v>
      </c>
      <c r="IE4" s="74">
        <f t="shared" si="6"/>
        <v>32</v>
      </c>
      <c r="IF4" s="74">
        <f t="shared" si="6"/>
        <v>33</v>
      </c>
      <c r="IG4" s="74">
        <f t="shared" si="6"/>
        <v>34</v>
      </c>
      <c r="IH4" s="74">
        <f t="shared" si="6"/>
        <v>35</v>
      </c>
      <c r="II4" s="74">
        <f t="shared" si="6"/>
        <v>36</v>
      </c>
      <c r="IJ4" s="74">
        <f t="shared" si="6"/>
        <v>37</v>
      </c>
      <c r="IK4" s="74">
        <f t="shared" si="6"/>
        <v>38</v>
      </c>
      <c r="IL4" s="74">
        <f t="shared" si="6"/>
        <v>39</v>
      </c>
      <c r="IM4" s="74">
        <f t="shared" si="6"/>
        <v>40</v>
      </c>
      <c r="IN4" s="74">
        <f t="shared" si="7"/>
        <v>41</v>
      </c>
      <c r="IO4" s="74">
        <f t="shared" si="7"/>
        <v>42</v>
      </c>
      <c r="IP4" s="74">
        <f t="shared" si="7"/>
        <v>43</v>
      </c>
      <c r="IQ4" s="74">
        <f t="shared" si="7"/>
        <v>44</v>
      </c>
      <c r="IR4" s="74">
        <f t="shared" si="7"/>
        <v>45</v>
      </c>
      <c r="IS4" s="74">
        <f t="shared" si="7"/>
        <v>46</v>
      </c>
      <c r="IT4" s="74">
        <f t="shared" si="7"/>
        <v>47</v>
      </c>
      <c r="IU4" s="74">
        <f t="shared" si="7"/>
        <v>48</v>
      </c>
      <c r="IV4" s="74">
        <f t="shared" si="7"/>
        <v>49</v>
      </c>
      <c r="IW4" s="74">
        <f t="shared" si="7"/>
        <v>50</v>
      </c>
      <c r="IX4" s="74">
        <f t="shared" si="8"/>
        <v>51</v>
      </c>
      <c r="IY4" s="74">
        <f t="shared" si="8"/>
        <v>52</v>
      </c>
      <c r="IZ4" s="74">
        <f t="shared" si="8"/>
        <v>53</v>
      </c>
      <c r="JA4" s="74">
        <f t="shared" si="8"/>
        <v>54</v>
      </c>
      <c r="JB4" s="74">
        <f t="shared" si="8"/>
        <v>55</v>
      </c>
      <c r="JC4" s="74">
        <f t="shared" si="8"/>
        <v>56</v>
      </c>
      <c r="JD4" s="74">
        <f t="shared" si="8"/>
        <v>57</v>
      </c>
      <c r="JE4" s="74">
        <f t="shared" si="8"/>
        <v>58</v>
      </c>
      <c r="JF4" s="74">
        <f t="shared" si="8"/>
        <v>59</v>
      </c>
      <c r="JG4" s="74">
        <f t="shared" si="8"/>
        <v>60</v>
      </c>
      <c r="JH4" s="74">
        <f t="shared" si="9"/>
        <v>61</v>
      </c>
      <c r="JI4" s="74">
        <f t="shared" si="9"/>
        <v>62</v>
      </c>
      <c r="JJ4" s="74">
        <f t="shared" si="9"/>
        <v>63</v>
      </c>
      <c r="JK4" s="74">
        <f t="shared" si="9"/>
        <v>64</v>
      </c>
      <c r="JL4" s="74">
        <f t="shared" si="9"/>
        <v>65</v>
      </c>
      <c r="JM4" s="74">
        <f t="shared" si="9"/>
        <v>66</v>
      </c>
      <c r="JN4" s="74">
        <f t="shared" si="9"/>
        <v>67</v>
      </c>
      <c r="JO4" s="74">
        <f t="shared" si="9"/>
        <v>68</v>
      </c>
      <c r="JP4" s="74">
        <f t="shared" si="9"/>
        <v>69</v>
      </c>
      <c r="JQ4" s="74">
        <f t="shared" si="9"/>
        <v>70</v>
      </c>
      <c r="JR4" s="74">
        <f t="shared" si="10"/>
        <v>71</v>
      </c>
      <c r="JS4" s="74">
        <f t="shared" si="10"/>
        <v>72</v>
      </c>
      <c r="JT4" s="74">
        <f t="shared" si="10"/>
        <v>73</v>
      </c>
      <c r="JU4" s="74">
        <f t="shared" si="10"/>
        <v>74</v>
      </c>
      <c r="JV4" s="74">
        <f t="shared" si="10"/>
        <v>75</v>
      </c>
      <c r="JW4" s="74">
        <f t="shared" si="10"/>
        <v>76</v>
      </c>
      <c r="JX4" s="74">
        <f t="shared" si="10"/>
        <v>77</v>
      </c>
      <c r="JY4" s="74">
        <f t="shared" si="10"/>
        <v>78</v>
      </c>
      <c r="JZ4" s="74">
        <f t="shared" si="10"/>
        <v>79</v>
      </c>
      <c r="KA4" s="74">
        <f t="shared" si="10"/>
        <v>80</v>
      </c>
      <c r="KB4" s="74">
        <f t="shared" si="11"/>
        <v>81</v>
      </c>
      <c r="KC4" s="74">
        <f t="shared" si="11"/>
        <v>82</v>
      </c>
      <c r="KD4" s="74">
        <f t="shared" si="11"/>
        <v>83</v>
      </c>
      <c r="KE4" s="74">
        <f t="shared" si="11"/>
        <v>84</v>
      </c>
      <c r="KF4" s="74">
        <f t="shared" si="11"/>
        <v>85</v>
      </c>
      <c r="KG4" s="74">
        <f t="shared" si="11"/>
        <v>86</v>
      </c>
      <c r="KH4" s="74">
        <f t="shared" si="11"/>
        <v>87</v>
      </c>
      <c r="KI4" s="74">
        <f t="shared" si="11"/>
        <v>88</v>
      </c>
      <c r="KJ4" s="74">
        <f t="shared" si="11"/>
        <v>89</v>
      </c>
      <c r="KK4" s="74">
        <f t="shared" si="11"/>
        <v>90</v>
      </c>
      <c r="KL4" s="74">
        <f t="shared" si="12"/>
        <v>91</v>
      </c>
      <c r="KM4" s="74">
        <f t="shared" si="12"/>
        <v>92</v>
      </c>
      <c r="KN4" s="74">
        <f t="shared" si="12"/>
        <v>93</v>
      </c>
      <c r="KO4" s="74">
        <f t="shared" si="12"/>
        <v>94</v>
      </c>
      <c r="KP4" s="74">
        <f t="shared" si="12"/>
        <v>95</v>
      </c>
      <c r="KQ4" s="74">
        <f t="shared" si="12"/>
        <v>96</v>
      </c>
      <c r="KR4" s="74">
        <f t="shared" si="12"/>
        <v>97</v>
      </c>
      <c r="KS4" s="74">
        <f t="shared" si="12"/>
        <v>98</v>
      </c>
      <c r="KT4" s="74">
        <f t="shared" si="12"/>
        <v>99</v>
      </c>
      <c r="KU4" s="74">
        <f t="shared" si="12"/>
        <v>100</v>
      </c>
      <c r="KV4" s="74">
        <f t="shared" si="13"/>
        <v>101</v>
      </c>
      <c r="KW4" s="74">
        <f t="shared" si="13"/>
        <v>102</v>
      </c>
      <c r="KX4" s="74">
        <f t="shared" si="13"/>
        <v>103</v>
      </c>
      <c r="KY4" s="74">
        <f t="shared" si="13"/>
        <v>104</v>
      </c>
      <c r="KZ4" s="74">
        <f t="shared" si="13"/>
        <v>105</v>
      </c>
      <c r="LA4" s="74">
        <f t="shared" si="13"/>
        <v>106</v>
      </c>
      <c r="LB4" s="74">
        <f t="shared" si="13"/>
        <v>107</v>
      </c>
      <c r="LC4" s="74">
        <f t="shared" si="13"/>
        <v>108</v>
      </c>
      <c r="LD4" s="74">
        <f t="shared" si="13"/>
        <v>109</v>
      </c>
      <c r="LE4" s="74">
        <f t="shared" si="13"/>
        <v>110</v>
      </c>
      <c r="LF4" s="74">
        <f t="shared" si="14"/>
        <v>111</v>
      </c>
      <c r="LG4" s="74">
        <f t="shared" si="14"/>
        <v>112</v>
      </c>
      <c r="LH4" s="74">
        <f t="shared" si="14"/>
        <v>113</v>
      </c>
      <c r="LI4" s="74">
        <f t="shared" si="14"/>
        <v>114</v>
      </c>
      <c r="LJ4" s="74">
        <f t="shared" si="14"/>
        <v>115</v>
      </c>
      <c r="LK4" s="74">
        <f t="shared" si="14"/>
        <v>116</v>
      </c>
      <c r="LL4" s="74">
        <f t="shared" si="14"/>
        <v>117</v>
      </c>
      <c r="LM4" s="74">
        <f t="shared" si="14"/>
        <v>118</v>
      </c>
      <c r="LN4" s="74">
        <f t="shared" si="14"/>
        <v>119</v>
      </c>
      <c r="LO4" s="74">
        <f t="shared" si="14"/>
        <v>120</v>
      </c>
      <c r="LP4" s="74">
        <f t="shared" si="15"/>
        <v>121</v>
      </c>
      <c r="LQ4" s="74">
        <f t="shared" si="15"/>
        <v>122</v>
      </c>
      <c r="LR4" s="74">
        <f t="shared" si="15"/>
        <v>123</v>
      </c>
      <c r="LS4" s="74">
        <f t="shared" si="15"/>
        <v>124</v>
      </c>
      <c r="LT4" s="74">
        <f t="shared" si="15"/>
        <v>125</v>
      </c>
      <c r="LU4" s="74">
        <f t="shared" si="15"/>
        <v>126</v>
      </c>
      <c r="LV4" s="74">
        <f t="shared" si="15"/>
        <v>127</v>
      </c>
      <c r="LW4" s="74">
        <f t="shared" si="15"/>
        <v>128</v>
      </c>
      <c r="LX4" s="74">
        <f t="shared" si="15"/>
        <v>129</v>
      </c>
      <c r="LY4" s="74">
        <f t="shared" si="15"/>
        <v>130</v>
      </c>
      <c r="LZ4" s="74">
        <f t="shared" si="16"/>
        <v>131</v>
      </c>
      <c r="MA4" s="74">
        <f t="shared" si="16"/>
        <v>132</v>
      </c>
      <c r="MB4" s="74">
        <f t="shared" si="16"/>
        <v>133</v>
      </c>
      <c r="MC4" s="74">
        <f t="shared" si="16"/>
        <v>134</v>
      </c>
      <c r="MD4" s="74">
        <f t="shared" si="16"/>
        <v>135</v>
      </c>
      <c r="ME4" s="74">
        <f t="shared" si="16"/>
        <v>136</v>
      </c>
      <c r="MF4" s="74">
        <f t="shared" si="16"/>
        <v>137</v>
      </c>
      <c r="MG4" s="74">
        <f t="shared" si="16"/>
        <v>138</v>
      </c>
      <c r="MH4" s="74">
        <f t="shared" si="16"/>
        <v>139</v>
      </c>
      <c r="MI4" s="74">
        <f t="shared" si="16"/>
        <v>140</v>
      </c>
      <c r="MJ4" s="74">
        <f t="shared" si="17"/>
        <v>141</v>
      </c>
      <c r="MK4" s="74">
        <f t="shared" si="17"/>
        <v>142</v>
      </c>
      <c r="ML4" s="74">
        <f t="shared" si="17"/>
        <v>143</v>
      </c>
      <c r="MM4" s="74">
        <f t="shared" si="17"/>
        <v>144</v>
      </c>
      <c r="MN4" s="74">
        <f t="shared" si="17"/>
        <v>145</v>
      </c>
      <c r="MO4" s="74">
        <f t="shared" si="17"/>
        <v>146</v>
      </c>
      <c r="MP4" s="74">
        <f t="shared" si="17"/>
        <v>147</v>
      </c>
      <c r="MQ4" s="74">
        <f t="shared" si="17"/>
        <v>148</v>
      </c>
      <c r="MR4" s="74">
        <f t="shared" si="17"/>
        <v>149</v>
      </c>
      <c r="MS4" s="74">
        <f t="shared" si="17"/>
        <v>150</v>
      </c>
      <c r="MT4" s="74">
        <f t="shared" si="18"/>
        <v>151</v>
      </c>
      <c r="MU4" s="74">
        <f t="shared" si="18"/>
        <v>152</v>
      </c>
      <c r="MV4" s="74">
        <f t="shared" si="18"/>
        <v>153</v>
      </c>
      <c r="MW4" s="74">
        <f t="shared" si="18"/>
        <v>154</v>
      </c>
      <c r="MX4" s="74">
        <f t="shared" si="18"/>
        <v>155</v>
      </c>
      <c r="MY4" s="74">
        <f t="shared" si="18"/>
        <v>156</v>
      </c>
      <c r="MZ4" s="74">
        <f t="shared" si="18"/>
        <v>157</v>
      </c>
      <c r="NA4" s="74">
        <f t="shared" si="18"/>
        <v>158</v>
      </c>
      <c r="NB4" s="74">
        <f t="shared" si="18"/>
        <v>159</v>
      </c>
      <c r="NC4" s="74">
        <f t="shared" si="18"/>
        <v>160</v>
      </c>
      <c r="ND4" s="74">
        <f t="shared" si="19"/>
        <v>161</v>
      </c>
      <c r="NE4" s="74">
        <f t="shared" si="19"/>
        <v>162</v>
      </c>
      <c r="NF4" s="74">
        <f t="shared" si="19"/>
        <v>163</v>
      </c>
      <c r="NG4" s="74">
        <f t="shared" si="19"/>
        <v>164</v>
      </c>
      <c r="NH4" s="74">
        <f t="shared" si="19"/>
        <v>165</v>
      </c>
      <c r="NI4" s="74">
        <f t="shared" si="19"/>
        <v>166</v>
      </c>
      <c r="NJ4" s="74">
        <f t="shared" si="19"/>
        <v>167</v>
      </c>
      <c r="NK4" s="74">
        <f t="shared" si="19"/>
        <v>168</v>
      </c>
      <c r="NL4" s="74">
        <f t="shared" si="19"/>
        <v>169</v>
      </c>
      <c r="NM4" s="74">
        <f t="shared" si="19"/>
        <v>170</v>
      </c>
      <c r="NN4" s="74">
        <f t="shared" si="20"/>
        <v>171</v>
      </c>
      <c r="NO4" s="74">
        <f t="shared" si="20"/>
        <v>172</v>
      </c>
      <c r="NP4" s="74">
        <f t="shared" si="20"/>
        <v>173</v>
      </c>
      <c r="NQ4" s="74">
        <f t="shared" si="20"/>
        <v>174</v>
      </c>
      <c r="NR4" s="74">
        <f t="shared" si="20"/>
        <v>175</v>
      </c>
      <c r="NS4" s="74">
        <f t="shared" si="20"/>
        <v>176</v>
      </c>
      <c r="NT4" s="74">
        <f t="shared" si="20"/>
        <v>177</v>
      </c>
      <c r="NU4" s="74">
        <f t="shared" si="20"/>
        <v>178</v>
      </c>
      <c r="NV4" s="74">
        <f t="shared" si="20"/>
        <v>179</v>
      </c>
      <c r="NW4" s="74">
        <f t="shared" si="20"/>
        <v>180</v>
      </c>
      <c r="NX4" s="10"/>
    </row>
    <row r="5" spans="2:388" x14ac:dyDescent="0.3">
      <c r="B5" s="35" t="s">
        <v>137</v>
      </c>
      <c r="C5" s="35"/>
      <c r="D5" s="35"/>
      <c r="E5" s="36"/>
      <c r="F5" s="36"/>
      <c r="G5" s="36"/>
      <c r="H5" s="36"/>
      <c r="I5" s="36"/>
      <c r="J5" s="36"/>
      <c r="K5" s="36"/>
      <c r="L5" s="36"/>
      <c r="GR5" s="9"/>
      <c r="GS5" s="70"/>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10"/>
    </row>
    <row r="6" spans="2:388" x14ac:dyDescent="0.3">
      <c r="B6" s="18" t="s">
        <v>180</v>
      </c>
      <c r="C6" s="18"/>
      <c r="D6" s="18"/>
      <c r="E6" s="19"/>
      <c r="F6" s="108" t="str">
        <f>Summary!H5</f>
        <v>Aiken Lot Development</v>
      </c>
      <c r="G6" s="19"/>
      <c r="H6" s="20" t="str">
        <f>"Land Size ("&amp;Land_Type_Plur&amp;")"</f>
        <v>Land Size (Acres)</v>
      </c>
      <c r="I6" s="19"/>
      <c r="J6" s="19"/>
      <c r="K6" s="19"/>
      <c r="L6" s="92">
        <f>IF(Unit_Type="SF",L7/43560,L7/10000)</f>
        <v>39.944903581267219</v>
      </c>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70"/>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10"/>
    </row>
    <row r="7" spans="2:388" x14ac:dyDescent="0.3">
      <c r="B7" s="18" t="s">
        <v>122</v>
      </c>
      <c r="C7" s="18"/>
      <c r="D7" s="18"/>
      <c r="E7" s="19"/>
      <c r="F7" s="108" t="str">
        <f>Summary!H6</f>
        <v>[Street Address]</v>
      </c>
      <c r="G7" s="21"/>
      <c r="H7" s="20" t="str">
        <f>"Land Size ("&amp;Summary!$P$6&amp;")"</f>
        <v>Land Size (Feet)</v>
      </c>
      <c r="I7" s="19"/>
      <c r="J7" s="19"/>
      <c r="K7" s="19"/>
      <c r="L7" s="30">
        <f>43500*40</f>
        <v>1740000</v>
      </c>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70"/>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10"/>
    </row>
    <row r="8" spans="2:388" x14ac:dyDescent="0.3">
      <c r="B8" s="18" t="s">
        <v>126</v>
      </c>
      <c r="C8" s="18"/>
      <c r="D8" s="18"/>
      <c r="E8" s="19"/>
      <c r="F8" s="108" t="str">
        <f>Summary!H7</f>
        <v>Aiken Lot Development</v>
      </c>
      <c r="G8" s="21"/>
      <c r="H8" s="20" t="str">
        <f>"Number of "&amp;Summary!P8</f>
        <v>Number of Lots</v>
      </c>
      <c r="I8" s="19"/>
      <c r="J8" s="19"/>
      <c r="K8" s="19"/>
      <c r="L8" s="23">
        <f>D90</f>
        <v>230</v>
      </c>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70"/>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10"/>
    </row>
    <row r="9" spans="2:388" x14ac:dyDescent="0.3">
      <c r="B9" s="18" t="s">
        <v>128</v>
      </c>
      <c r="C9" s="18"/>
      <c r="D9" s="18"/>
      <c r="E9" s="19"/>
      <c r="F9" s="108" t="str">
        <f>Summary!H8</f>
        <v>South  Carolina</v>
      </c>
      <c r="G9" s="21"/>
      <c r="H9" s="20" t="s">
        <v>181</v>
      </c>
      <c r="I9" s="19"/>
      <c r="J9" s="19"/>
      <c r="K9" s="19"/>
      <c r="L9" s="23">
        <f>E53</f>
        <v>1</v>
      </c>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70"/>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10"/>
    </row>
    <row r="10" spans="2:388" x14ac:dyDescent="0.3">
      <c r="B10" s="18" t="s">
        <v>131</v>
      </c>
      <c r="C10" s="18"/>
      <c r="D10" s="18"/>
      <c r="E10" s="19"/>
      <c r="F10" s="108" t="str">
        <f>Summary!H9</f>
        <v>USA</v>
      </c>
      <c r="G10" s="21"/>
      <c r="H10" s="20" t="s">
        <v>182</v>
      </c>
      <c r="I10" s="19"/>
      <c r="J10" s="19"/>
      <c r="K10" s="107" cm="1">
        <f t="array" ref="K10">INDEX(T2:GQ2,1,L10)</f>
        <v>47149</v>
      </c>
      <c r="L10" s="23">
        <f>F90</f>
        <v>49</v>
      </c>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70"/>
      <c r="GT10" s="71"/>
      <c r="GU10" s="71"/>
      <c r="GV10" s="71"/>
      <c r="GW10" s="71"/>
      <c r="GX10" s="71"/>
      <c r="GY10" s="71"/>
      <c r="GZ10" s="72"/>
      <c r="HA10" s="71"/>
      <c r="HB10" s="71"/>
      <c r="HC10" s="71"/>
      <c r="HD10" s="71"/>
      <c r="HE10" s="71"/>
      <c r="HF10" s="71"/>
      <c r="HG10" s="71"/>
      <c r="HH10" s="71"/>
      <c r="HI10" s="71"/>
      <c r="HJ10" s="71"/>
      <c r="HK10" s="71"/>
      <c r="HL10" s="71"/>
      <c r="HM10" s="71"/>
      <c r="HN10" s="71"/>
      <c r="HO10" s="71"/>
      <c r="HP10" s="71"/>
      <c r="HQ10" s="71"/>
      <c r="HR10" s="71"/>
      <c r="HS10" s="71"/>
      <c r="HT10" s="71"/>
      <c r="HU10" s="71"/>
      <c r="HV10" s="71"/>
      <c r="HW10" s="71"/>
      <c r="HX10" s="71"/>
      <c r="HY10" s="71"/>
      <c r="HZ10" s="71"/>
      <c r="IA10" s="71"/>
      <c r="IB10" s="71"/>
      <c r="IC10" s="71"/>
      <c r="ID10" s="71"/>
      <c r="IE10" s="71"/>
      <c r="IF10" s="71"/>
      <c r="IG10" s="71"/>
      <c r="IH10" s="71"/>
      <c r="II10" s="71"/>
      <c r="IJ10" s="71"/>
      <c r="IK10" s="71"/>
      <c r="IL10" s="71"/>
      <c r="IM10" s="71"/>
      <c r="IN10" s="71"/>
      <c r="IO10" s="71"/>
      <c r="IP10" s="71"/>
      <c r="IQ10" s="71"/>
      <c r="IR10" s="71"/>
      <c r="IS10" s="71"/>
      <c r="IT10" s="71"/>
      <c r="IU10" s="71"/>
      <c r="IV10" s="71"/>
      <c r="IW10" s="71"/>
      <c r="IX10" s="71"/>
      <c r="IY10" s="71"/>
      <c r="IZ10" s="71"/>
      <c r="JA10" s="71"/>
      <c r="JB10" s="71"/>
      <c r="JC10" s="71"/>
      <c r="JD10" s="71"/>
      <c r="JE10" s="71"/>
      <c r="JF10" s="71"/>
      <c r="JG10" s="71"/>
      <c r="JH10" s="71"/>
      <c r="JI10" s="71"/>
      <c r="JJ10" s="71"/>
      <c r="JK10" s="71"/>
      <c r="JL10" s="71"/>
      <c r="JM10" s="71"/>
      <c r="JN10" s="71"/>
      <c r="JO10" s="71"/>
      <c r="JP10" s="71"/>
      <c r="JQ10" s="71"/>
      <c r="JR10" s="71"/>
      <c r="JS10" s="71"/>
      <c r="JT10" s="71"/>
      <c r="JU10" s="71"/>
      <c r="JV10" s="71"/>
      <c r="JW10" s="71"/>
      <c r="JX10" s="71"/>
      <c r="JY10" s="71"/>
      <c r="JZ10" s="71"/>
      <c r="KA10" s="71"/>
      <c r="KB10" s="71"/>
      <c r="KC10" s="71"/>
      <c r="KD10" s="71"/>
      <c r="KE10" s="71"/>
      <c r="KF10" s="71"/>
      <c r="KG10" s="71"/>
      <c r="KH10" s="71"/>
      <c r="KI10" s="71"/>
      <c r="KJ10" s="71"/>
      <c r="KK10" s="71"/>
      <c r="KL10" s="71"/>
      <c r="KM10" s="71"/>
      <c r="KN10" s="71"/>
      <c r="KO10" s="71"/>
      <c r="KP10" s="71"/>
      <c r="KQ10" s="71"/>
      <c r="KR10" s="71"/>
      <c r="KS10" s="71"/>
      <c r="KT10" s="71"/>
      <c r="KU10" s="71"/>
      <c r="KV10" s="71"/>
      <c r="KW10" s="71"/>
      <c r="KX10" s="71"/>
      <c r="KY10" s="71"/>
      <c r="KZ10" s="71"/>
      <c r="LA10" s="71"/>
      <c r="LB10" s="71"/>
      <c r="LC10" s="71"/>
      <c r="LD10" s="71"/>
      <c r="LE10" s="71"/>
      <c r="LF10" s="71"/>
      <c r="LG10" s="71"/>
      <c r="LH10" s="71"/>
      <c r="LI10" s="71"/>
      <c r="LJ10" s="71"/>
      <c r="LK10" s="71"/>
      <c r="LL10" s="71"/>
      <c r="LM10" s="71"/>
      <c r="LN10" s="71"/>
      <c r="LO10" s="71"/>
      <c r="LP10" s="71"/>
      <c r="LQ10" s="71"/>
      <c r="LR10" s="71"/>
      <c r="LS10" s="71"/>
      <c r="LT10" s="71"/>
      <c r="LU10" s="71"/>
      <c r="LV10" s="71"/>
      <c r="LW10" s="71"/>
      <c r="LX10" s="71"/>
      <c r="LY10" s="71"/>
      <c r="LZ10" s="71"/>
      <c r="MA10" s="71"/>
      <c r="MB10" s="71"/>
      <c r="MC10" s="71"/>
      <c r="MD10" s="71"/>
      <c r="ME10" s="71"/>
      <c r="MF10" s="71"/>
      <c r="MG10" s="71"/>
      <c r="MH10" s="71"/>
      <c r="MI10" s="71"/>
      <c r="MJ10" s="71"/>
      <c r="MK10" s="71"/>
      <c r="ML10" s="71"/>
      <c r="MM10" s="71"/>
      <c r="MN10" s="71"/>
      <c r="MO10" s="71"/>
      <c r="MP10" s="71"/>
      <c r="MQ10" s="71"/>
      <c r="MR10" s="71"/>
      <c r="MS10" s="71"/>
      <c r="MT10" s="71"/>
      <c r="MU10" s="71"/>
      <c r="MV10" s="71"/>
      <c r="MW10" s="71"/>
      <c r="MX10" s="71"/>
      <c r="MY10" s="71"/>
      <c r="MZ10" s="71"/>
      <c r="NA10" s="71"/>
      <c r="NB10" s="71"/>
      <c r="NC10" s="71"/>
      <c r="ND10" s="71"/>
      <c r="NE10" s="71"/>
      <c r="NF10" s="71"/>
      <c r="NG10" s="71"/>
      <c r="NH10" s="71"/>
      <c r="NI10" s="71"/>
      <c r="NJ10" s="71"/>
      <c r="NK10" s="71"/>
      <c r="NL10" s="71"/>
      <c r="NM10" s="71"/>
      <c r="NN10" s="71"/>
      <c r="NO10" s="71"/>
      <c r="NP10" s="71"/>
      <c r="NQ10" s="71"/>
      <c r="NR10" s="71"/>
      <c r="NS10" s="71"/>
      <c r="NT10" s="71"/>
      <c r="NU10" s="71"/>
      <c r="NV10" s="71"/>
      <c r="NW10" s="71"/>
      <c r="NX10" s="10"/>
    </row>
    <row r="11" spans="2:388" x14ac:dyDescent="0.3">
      <c r="B11" s="18"/>
      <c r="C11" s="18"/>
      <c r="D11" s="18"/>
      <c r="E11" s="19"/>
      <c r="F11" s="19"/>
      <c r="G11" s="19"/>
      <c r="H11" s="20" t="str">
        <f>IF(OR(Model_Type=Summary!B81,Model_Type=Summary!B82),"Buildable Area  ("&amp;Summary!$P$6&amp;")","")</f>
        <v/>
      </c>
      <c r="I11" s="19"/>
      <c r="J11" s="19"/>
      <c r="K11" s="19"/>
      <c r="L11" s="30">
        <f>L7*0.25</f>
        <v>435000</v>
      </c>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70"/>
      <c r="GT11" s="71"/>
      <c r="GU11" s="71"/>
      <c r="GV11" s="71"/>
      <c r="GW11" s="71"/>
      <c r="GX11" s="71"/>
      <c r="GY11" s="71"/>
      <c r="GZ11" s="71"/>
      <c r="HA11" s="71"/>
      <c r="HB11" s="71"/>
      <c r="HC11" s="71"/>
      <c r="HD11" s="71"/>
      <c r="HE11" s="71"/>
      <c r="HF11" s="71"/>
      <c r="HG11" s="71"/>
      <c r="HH11" s="71"/>
      <c r="HI11" s="71"/>
      <c r="HJ11" s="71"/>
      <c r="HK11" s="71"/>
      <c r="HL11" s="71"/>
      <c r="HM11" s="71"/>
      <c r="HN11" s="71"/>
      <c r="HO11" s="71"/>
      <c r="HP11" s="71"/>
      <c r="HQ11" s="71"/>
      <c r="HR11" s="71"/>
      <c r="HS11" s="71"/>
      <c r="HT11" s="71"/>
      <c r="HU11" s="71"/>
      <c r="HV11" s="71"/>
      <c r="HW11" s="71"/>
      <c r="HX11" s="71"/>
      <c r="HY11" s="71"/>
      <c r="HZ11" s="71"/>
      <c r="IA11" s="71"/>
      <c r="IB11" s="71"/>
      <c r="IC11" s="71"/>
      <c r="ID11" s="71"/>
      <c r="IE11" s="71"/>
      <c r="IF11" s="71"/>
      <c r="IG11" s="71"/>
      <c r="IH11" s="71"/>
      <c r="II11" s="71"/>
      <c r="IJ11" s="71"/>
      <c r="IK11" s="71"/>
      <c r="IL11" s="71"/>
      <c r="IM11" s="71"/>
      <c r="IN11" s="71"/>
      <c r="IO11" s="71"/>
      <c r="IP11" s="71"/>
      <c r="IQ11" s="71"/>
      <c r="IR11" s="71"/>
      <c r="IS11" s="71"/>
      <c r="IT11" s="71"/>
      <c r="IU11" s="71"/>
      <c r="IV11" s="71"/>
      <c r="IW11" s="71"/>
      <c r="IX11" s="71"/>
      <c r="IY11" s="71"/>
      <c r="IZ11" s="71"/>
      <c r="JA11" s="71"/>
      <c r="JB11" s="71"/>
      <c r="JC11" s="71"/>
      <c r="JD11" s="71"/>
      <c r="JE11" s="71"/>
      <c r="JF11" s="71"/>
      <c r="JG11" s="71"/>
      <c r="JH11" s="71"/>
      <c r="JI11" s="71"/>
      <c r="JJ11" s="71"/>
      <c r="JK11" s="71"/>
      <c r="JL11" s="71"/>
      <c r="JM11" s="71"/>
      <c r="JN11" s="71"/>
      <c r="JO11" s="71"/>
      <c r="JP11" s="71"/>
      <c r="JQ11" s="71"/>
      <c r="JR11" s="71"/>
      <c r="JS11" s="71"/>
      <c r="JT11" s="71"/>
      <c r="JU11" s="71"/>
      <c r="JV11" s="71"/>
      <c r="JW11" s="71"/>
      <c r="JX11" s="71"/>
      <c r="JY11" s="71"/>
      <c r="JZ11" s="71"/>
      <c r="KA11" s="71"/>
      <c r="KB11" s="71"/>
      <c r="KC11" s="71"/>
      <c r="KD11" s="71"/>
      <c r="KE11" s="71"/>
      <c r="KF11" s="71"/>
      <c r="KG11" s="71"/>
      <c r="KH11" s="71"/>
      <c r="KI11" s="71"/>
      <c r="KJ11" s="71"/>
      <c r="KK11" s="71"/>
      <c r="KL11" s="71"/>
      <c r="KM11" s="71"/>
      <c r="KN11" s="71"/>
      <c r="KO11" s="71"/>
      <c r="KP11" s="71"/>
      <c r="KQ11" s="71"/>
      <c r="KR11" s="71"/>
      <c r="KS11" s="71"/>
      <c r="KT11" s="71"/>
      <c r="KU11" s="71"/>
      <c r="KV11" s="71"/>
      <c r="KW11" s="71"/>
      <c r="KX11" s="71"/>
      <c r="KY11" s="71"/>
      <c r="KZ11" s="71"/>
      <c r="LA11" s="71"/>
      <c r="LB11" s="71"/>
      <c r="LC11" s="71"/>
      <c r="LD11" s="71"/>
      <c r="LE11" s="71"/>
      <c r="LF11" s="71"/>
      <c r="LG11" s="71"/>
      <c r="LH11" s="71"/>
      <c r="LI11" s="71"/>
      <c r="LJ11" s="71"/>
      <c r="LK11" s="71"/>
      <c r="LL11" s="71"/>
      <c r="LM11" s="71"/>
      <c r="LN11" s="71"/>
      <c r="LO11" s="71"/>
      <c r="LP11" s="71"/>
      <c r="LQ11" s="71"/>
      <c r="LR11" s="71"/>
      <c r="LS11" s="71"/>
      <c r="LT11" s="71"/>
      <c r="LU11" s="71"/>
      <c r="LV11" s="71"/>
      <c r="LW11" s="71"/>
      <c r="LX11" s="71"/>
      <c r="LY11" s="71"/>
      <c r="LZ11" s="71"/>
      <c r="MA11" s="71"/>
      <c r="MB11" s="71"/>
      <c r="MC11" s="71"/>
      <c r="MD11" s="71"/>
      <c r="ME11" s="71"/>
      <c r="MF11" s="71"/>
      <c r="MG11" s="71"/>
      <c r="MH11" s="71"/>
      <c r="MI11" s="71"/>
      <c r="MJ11" s="71"/>
      <c r="MK11" s="71"/>
      <c r="ML11" s="71"/>
      <c r="MM11" s="71"/>
      <c r="MN11" s="71"/>
      <c r="MO11" s="71"/>
      <c r="MP11" s="71"/>
      <c r="MQ11" s="71"/>
      <c r="MR11" s="71"/>
      <c r="MS11" s="71"/>
      <c r="MT11" s="71"/>
      <c r="MU11" s="71"/>
      <c r="MV11" s="71"/>
      <c r="MW11" s="71"/>
      <c r="MX11" s="71"/>
      <c r="MY11" s="71"/>
      <c r="MZ11" s="71"/>
      <c r="NA11" s="71"/>
      <c r="NB11" s="71"/>
      <c r="NC11" s="71"/>
      <c r="ND11" s="71"/>
      <c r="NE11" s="71"/>
      <c r="NF11" s="71"/>
      <c r="NG11" s="71"/>
      <c r="NH11" s="71"/>
      <c r="NI11" s="71"/>
      <c r="NJ11" s="71"/>
      <c r="NK11" s="71"/>
      <c r="NL11" s="71"/>
      <c r="NM11" s="71"/>
      <c r="NN11" s="71"/>
      <c r="NO11" s="71"/>
      <c r="NP11" s="71"/>
      <c r="NQ11" s="71"/>
      <c r="NR11" s="71"/>
      <c r="NS11" s="71"/>
      <c r="NT11" s="71"/>
      <c r="NU11" s="71"/>
      <c r="NV11" s="71"/>
      <c r="NW11" s="71"/>
      <c r="NX11" s="10"/>
    </row>
    <row r="12" spans="2:388" x14ac:dyDescent="0.3">
      <c r="B12" s="35" t="s">
        <v>183</v>
      </c>
      <c r="C12" s="35"/>
      <c r="D12" s="35"/>
      <c r="E12" s="36"/>
      <c r="F12" s="36"/>
      <c r="G12" s="36"/>
      <c r="H12" s="36"/>
      <c r="I12" s="36"/>
      <c r="J12" s="36"/>
      <c r="K12" s="36"/>
      <c r="L12" s="36"/>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c r="BS12" s="59"/>
      <c r="BT12" s="59"/>
      <c r="BU12" s="59"/>
      <c r="BV12" s="59"/>
      <c r="BW12" s="59"/>
      <c r="BX12" s="59"/>
      <c r="BY12" s="59"/>
      <c r="BZ12" s="59"/>
      <c r="CA12" s="59"/>
      <c r="CB12" s="59"/>
      <c r="CC12" s="59"/>
      <c r="CD12" s="59"/>
      <c r="CE12" s="59"/>
      <c r="CF12" s="59"/>
      <c r="CG12" s="59"/>
      <c r="CH12" s="59"/>
      <c r="CI12" s="59"/>
      <c r="CJ12" s="59"/>
      <c r="CK12" s="59"/>
      <c r="CL12" s="59"/>
      <c r="CM12" s="59"/>
      <c r="CN12" s="59"/>
      <c r="CO12" s="59"/>
      <c r="CP12" s="59"/>
      <c r="CQ12" s="59"/>
      <c r="CR12" s="59"/>
      <c r="CS12" s="59"/>
      <c r="CT12" s="59"/>
      <c r="CU12" s="59"/>
      <c r="CV12" s="59"/>
      <c r="CW12" s="59"/>
      <c r="CX12" s="59"/>
      <c r="CY12" s="59"/>
      <c r="CZ12" s="59"/>
      <c r="DA12" s="59"/>
      <c r="DB12" s="59"/>
      <c r="DC12" s="59"/>
      <c r="DD12" s="59"/>
      <c r="DE12" s="59"/>
      <c r="DF12" s="59"/>
      <c r="DG12" s="59"/>
      <c r="DH12" s="59"/>
      <c r="DI12" s="59"/>
      <c r="DJ12" s="59"/>
      <c r="DK12" s="59"/>
      <c r="DL12" s="59"/>
      <c r="DM12" s="59"/>
      <c r="DN12" s="59"/>
      <c r="DO12" s="59"/>
      <c r="DP12" s="59"/>
      <c r="DQ12" s="59"/>
      <c r="DR12" s="59"/>
      <c r="DS12" s="59"/>
      <c r="DT12" s="59"/>
      <c r="DU12" s="59"/>
      <c r="DV12" s="59"/>
      <c r="DW12" s="59"/>
      <c r="DX12" s="59"/>
      <c r="DY12" s="59"/>
      <c r="DZ12" s="59"/>
      <c r="EA12" s="59"/>
      <c r="EB12" s="59"/>
      <c r="EC12" s="59"/>
      <c r="ED12" s="59"/>
      <c r="EE12" s="59"/>
      <c r="EF12" s="59"/>
      <c r="EG12" s="59"/>
      <c r="EH12" s="59"/>
      <c r="EI12" s="59"/>
      <c r="EJ12" s="59"/>
      <c r="EK12" s="59"/>
      <c r="EL12" s="59"/>
      <c r="EM12" s="59"/>
      <c r="EN12" s="59"/>
      <c r="EO12" s="59"/>
      <c r="EP12" s="59"/>
      <c r="EQ12" s="59"/>
      <c r="ER12" s="59"/>
      <c r="ES12" s="59"/>
      <c r="ET12" s="59"/>
      <c r="EU12" s="59"/>
      <c r="EV12" s="59"/>
      <c r="EW12" s="59"/>
      <c r="EX12" s="59"/>
      <c r="EY12" s="59"/>
      <c r="EZ12" s="59"/>
      <c r="FA12" s="59"/>
      <c r="FB12" s="59"/>
      <c r="FC12" s="59"/>
      <c r="FD12" s="59"/>
      <c r="FE12" s="59"/>
      <c r="FF12" s="59"/>
      <c r="FG12" s="59"/>
      <c r="FH12" s="59"/>
      <c r="FI12" s="59"/>
      <c r="FJ12" s="59"/>
      <c r="FK12" s="59"/>
      <c r="FL12" s="59"/>
      <c r="FM12" s="59"/>
      <c r="FN12" s="59"/>
      <c r="FO12" s="59"/>
      <c r="FP12" s="59"/>
      <c r="FQ12" s="59"/>
      <c r="FR12" s="59"/>
      <c r="FS12" s="59"/>
      <c r="FT12" s="59"/>
      <c r="FU12" s="59"/>
      <c r="FV12" s="59"/>
      <c r="FW12" s="59"/>
      <c r="FX12" s="59"/>
      <c r="FY12" s="59"/>
      <c r="FZ12" s="59"/>
      <c r="GA12" s="59"/>
      <c r="GB12" s="59"/>
      <c r="GC12" s="59"/>
      <c r="GD12" s="59"/>
      <c r="GE12" s="59"/>
      <c r="GF12" s="59"/>
      <c r="GG12" s="59"/>
      <c r="GH12" s="59"/>
      <c r="GI12" s="59"/>
      <c r="GJ12" s="59"/>
      <c r="GK12" s="59"/>
      <c r="GL12" s="59"/>
      <c r="GM12" s="59"/>
      <c r="GN12" s="59"/>
      <c r="GO12" s="59"/>
      <c r="GP12" s="59"/>
      <c r="GQ12" s="59"/>
      <c r="GR12" s="13"/>
      <c r="GS12" s="73" t="s">
        <v>184</v>
      </c>
      <c r="GT12" s="74"/>
      <c r="GU12" s="74"/>
      <c r="GV12" s="74"/>
      <c r="GW12" s="74"/>
      <c r="GX12" s="74"/>
      <c r="GY12" s="74"/>
      <c r="GZ12" s="71"/>
      <c r="HA12" s="71"/>
      <c r="HB12" s="71"/>
      <c r="HC12" s="71"/>
      <c r="HD12" s="71"/>
      <c r="HE12" s="71"/>
      <c r="HF12" s="71"/>
      <c r="HG12" s="71"/>
      <c r="HH12" s="71"/>
      <c r="HI12" s="71"/>
      <c r="HJ12" s="71"/>
      <c r="HK12" s="71"/>
      <c r="HL12" s="71"/>
      <c r="HM12" s="71"/>
      <c r="HN12" s="71"/>
      <c r="HO12" s="71"/>
      <c r="HP12" s="71"/>
      <c r="HQ12" s="71"/>
      <c r="HR12" s="71"/>
      <c r="HS12" s="71"/>
      <c r="HT12" s="71"/>
      <c r="HU12" s="71"/>
      <c r="HV12" s="71"/>
      <c r="HW12" s="71"/>
      <c r="HX12" s="71"/>
      <c r="HY12" s="71"/>
      <c r="HZ12" s="71"/>
      <c r="IA12" s="71"/>
      <c r="IB12" s="71"/>
      <c r="IC12" s="71"/>
      <c r="ID12" s="71"/>
      <c r="IE12" s="71"/>
      <c r="IF12" s="71"/>
      <c r="IG12" s="71"/>
      <c r="IH12" s="71"/>
      <c r="II12" s="71"/>
      <c r="IJ12" s="71"/>
      <c r="IK12" s="71"/>
      <c r="IL12" s="71"/>
      <c r="IM12" s="71"/>
      <c r="IN12" s="71"/>
      <c r="IO12" s="71"/>
      <c r="IP12" s="71"/>
      <c r="IQ12" s="71"/>
      <c r="IR12" s="71"/>
      <c r="IS12" s="71"/>
      <c r="IT12" s="71"/>
      <c r="IU12" s="71"/>
      <c r="IV12" s="71"/>
      <c r="IW12" s="71"/>
      <c r="IX12" s="71"/>
      <c r="IY12" s="71"/>
      <c r="IZ12" s="71"/>
      <c r="JA12" s="71"/>
      <c r="JB12" s="71"/>
      <c r="JC12" s="71"/>
      <c r="JD12" s="71"/>
      <c r="JE12" s="71"/>
      <c r="JF12" s="71"/>
      <c r="JG12" s="71"/>
      <c r="JH12" s="71"/>
      <c r="JI12" s="71"/>
      <c r="JJ12" s="71"/>
      <c r="JK12" s="71"/>
      <c r="JL12" s="71"/>
      <c r="JM12" s="71"/>
      <c r="JN12" s="71"/>
      <c r="JO12" s="71"/>
      <c r="JP12" s="71"/>
      <c r="JQ12" s="71"/>
      <c r="JR12" s="71"/>
      <c r="JS12" s="71"/>
      <c r="JT12" s="71"/>
      <c r="JU12" s="71"/>
      <c r="JV12" s="71"/>
      <c r="JW12" s="71"/>
      <c r="JX12" s="71"/>
      <c r="JY12" s="71"/>
      <c r="JZ12" s="71"/>
      <c r="KA12" s="71"/>
      <c r="KB12" s="71"/>
      <c r="KC12" s="71"/>
      <c r="KD12" s="71"/>
      <c r="KE12" s="71"/>
      <c r="KF12" s="71"/>
      <c r="KG12" s="71"/>
      <c r="KH12" s="71"/>
      <c r="KI12" s="71"/>
      <c r="KJ12" s="71"/>
      <c r="KK12" s="71"/>
      <c r="KL12" s="71"/>
      <c r="KM12" s="71"/>
      <c r="KN12" s="71"/>
      <c r="KO12" s="71"/>
      <c r="KP12" s="71"/>
      <c r="KQ12" s="71"/>
      <c r="KR12" s="71"/>
      <c r="KS12" s="71"/>
      <c r="KT12" s="71"/>
      <c r="KU12" s="71"/>
      <c r="KV12" s="71"/>
      <c r="KW12" s="71"/>
      <c r="KX12" s="71"/>
      <c r="KY12" s="71"/>
      <c r="KZ12" s="71"/>
      <c r="LA12" s="71"/>
      <c r="LB12" s="71"/>
      <c r="LC12" s="71"/>
      <c r="LD12" s="71"/>
      <c r="LE12" s="71"/>
      <c r="LF12" s="71"/>
      <c r="LG12" s="71"/>
      <c r="LH12" s="71"/>
      <c r="LI12" s="71"/>
      <c r="LJ12" s="71"/>
      <c r="LK12" s="71"/>
      <c r="LL12" s="71"/>
      <c r="LM12" s="71"/>
      <c r="LN12" s="71"/>
      <c r="LO12" s="71"/>
      <c r="LP12" s="71"/>
      <c r="LQ12" s="71"/>
      <c r="LR12" s="71"/>
      <c r="LS12" s="71"/>
      <c r="LT12" s="71"/>
      <c r="LU12" s="71"/>
      <c r="LV12" s="71"/>
      <c r="LW12" s="71"/>
      <c r="LX12" s="71"/>
      <c r="LY12" s="71"/>
      <c r="LZ12" s="71"/>
      <c r="MA12" s="71"/>
      <c r="MB12" s="71"/>
      <c r="MC12" s="71"/>
      <c r="MD12" s="71"/>
      <c r="ME12" s="71"/>
      <c r="MF12" s="71"/>
      <c r="MG12" s="71"/>
      <c r="MH12" s="71"/>
      <c r="MI12" s="71"/>
      <c r="MJ12" s="71"/>
      <c r="MK12" s="71"/>
      <c r="ML12" s="71"/>
      <c r="MM12" s="71"/>
      <c r="MN12" s="71"/>
      <c r="MO12" s="71"/>
      <c r="MP12" s="71"/>
      <c r="MQ12" s="71"/>
      <c r="MR12" s="71"/>
      <c r="MS12" s="71"/>
      <c r="MT12" s="71"/>
      <c r="MU12" s="71"/>
      <c r="MV12" s="71"/>
      <c r="MW12" s="71"/>
      <c r="MX12" s="71"/>
      <c r="MY12" s="71"/>
      <c r="MZ12" s="71"/>
      <c r="NA12" s="71"/>
      <c r="NB12" s="71"/>
      <c r="NC12" s="71"/>
      <c r="ND12" s="71"/>
      <c r="NE12" s="71"/>
      <c r="NF12" s="71"/>
      <c r="NG12" s="71"/>
      <c r="NH12" s="71"/>
      <c r="NI12" s="71"/>
      <c r="NJ12" s="71"/>
      <c r="NK12" s="71"/>
      <c r="NL12" s="71"/>
      <c r="NM12" s="71"/>
      <c r="NN12" s="71"/>
      <c r="NO12" s="71"/>
      <c r="NP12" s="71"/>
      <c r="NQ12" s="71"/>
      <c r="NR12" s="71"/>
      <c r="NS12" s="71"/>
      <c r="NT12" s="71"/>
      <c r="NU12" s="71"/>
      <c r="NV12" s="71"/>
      <c r="NW12" s="71"/>
      <c r="NX12" s="10"/>
    </row>
    <row r="13" spans="2:388" x14ac:dyDescent="0.3">
      <c r="B13" s="51" t="s">
        <v>185</v>
      </c>
      <c r="C13" s="55"/>
      <c r="D13" s="55"/>
      <c r="E13" s="56"/>
      <c r="F13" s="56"/>
      <c r="G13" s="56"/>
      <c r="H13" s="56"/>
      <c r="I13" s="56"/>
      <c r="J13" s="56"/>
      <c r="K13" s="56"/>
      <c r="L13" s="56"/>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60"/>
      <c r="CJ13" s="60"/>
      <c r="CK13" s="60"/>
      <c r="CL13" s="60"/>
      <c r="CM13" s="60"/>
      <c r="CN13" s="60"/>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60"/>
      <c r="DT13" s="60"/>
      <c r="DU13" s="60"/>
      <c r="DV13" s="60"/>
      <c r="DW13" s="60"/>
      <c r="DX13" s="60"/>
      <c r="DY13" s="60"/>
      <c r="DZ13" s="60"/>
      <c r="EA13" s="60"/>
      <c r="EB13" s="60"/>
      <c r="EC13" s="60"/>
      <c r="ED13" s="60"/>
      <c r="EE13" s="60"/>
      <c r="EF13" s="60"/>
      <c r="EG13" s="60"/>
      <c r="EH13" s="60"/>
      <c r="EI13" s="60"/>
      <c r="EJ13" s="60"/>
      <c r="EK13" s="60"/>
      <c r="EL13" s="60"/>
      <c r="EM13" s="60"/>
      <c r="EN13" s="60"/>
      <c r="EO13" s="60"/>
      <c r="EP13" s="60"/>
      <c r="EQ13" s="60"/>
      <c r="ER13" s="60"/>
      <c r="ES13" s="60"/>
      <c r="ET13" s="60"/>
      <c r="EU13" s="60"/>
      <c r="EV13" s="60"/>
      <c r="EW13" s="60"/>
      <c r="EX13" s="60"/>
      <c r="EY13" s="60"/>
      <c r="EZ13" s="60"/>
      <c r="FA13" s="60"/>
      <c r="FB13" s="60"/>
      <c r="FC13" s="60"/>
      <c r="FD13" s="60"/>
      <c r="FE13" s="60"/>
      <c r="FF13" s="60"/>
      <c r="FG13" s="60"/>
      <c r="FH13" s="60"/>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60"/>
      <c r="GN13" s="60"/>
      <c r="GO13" s="60"/>
      <c r="GP13" s="60"/>
      <c r="GQ13" s="60"/>
      <c r="GR13" s="13"/>
      <c r="GS13" s="130">
        <f>COUNTA(GS15:GS18)</f>
        <v>4</v>
      </c>
      <c r="GT13" s="74"/>
      <c r="GU13" s="74"/>
      <c r="GV13" s="74"/>
      <c r="GW13" s="74"/>
      <c r="GX13" s="74"/>
      <c r="GY13" s="74"/>
      <c r="GZ13" s="71"/>
      <c r="HA13" s="71"/>
      <c r="HB13" s="71"/>
      <c r="HC13" s="71"/>
      <c r="HD13" s="71"/>
      <c r="HE13" s="71"/>
      <c r="HF13" s="71"/>
      <c r="HG13" s="71"/>
      <c r="HH13" s="71"/>
      <c r="HI13" s="71"/>
      <c r="HJ13" s="71"/>
      <c r="HK13" s="71"/>
      <c r="HL13" s="71"/>
      <c r="HM13" s="71"/>
      <c r="HN13" s="71"/>
      <c r="HO13" s="71"/>
      <c r="HP13" s="71"/>
      <c r="HQ13" s="71"/>
      <c r="HR13" s="71"/>
      <c r="HS13" s="71"/>
      <c r="HT13" s="71"/>
      <c r="HU13" s="71"/>
      <c r="HV13" s="71"/>
      <c r="HW13" s="71"/>
      <c r="HX13" s="71"/>
      <c r="HY13" s="71"/>
      <c r="HZ13" s="71"/>
      <c r="IA13" s="71"/>
      <c r="IB13" s="71"/>
      <c r="IC13" s="71"/>
      <c r="ID13" s="71"/>
      <c r="IE13" s="71"/>
      <c r="IF13" s="71"/>
      <c r="IG13" s="71"/>
      <c r="IH13" s="71"/>
      <c r="II13" s="71"/>
      <c r="IJ13" s="71"/>
      <c r="IK13" s="71"/>
      <c r="IL13" s="71"/>
      <c r="IM13" s="71"/>
      <c r="IN13" s="71"/>
      <c r="IO13" s="71"/>
      <c r="IP13" s="71"/>
      <c r="IQ13" s="71"/>
      <c r="IR13" s="71"/>
      <c r="IS13" s="71"/>
      <c r="IT13" s="71"/>
      <c r="IU13" s="71"/>
      <c r="IV13" s="71"/>
      <c r="IW13" s="71"/>
      <c r="IX13" s="71"/>
      <c r="IY13" s="71"/>
      <c r="IZ13" s="71"/>
      <c r="JA13" s="71"/>
      <c r="JB13" s="71"/>
      <c r="JC13" s="71"/>
      <c r="JD13" s="71"/>
      <c r="JE13" s="71"/>
      <c r="JF13" s="71"/>
      <c r="JG13" s="71"/>
      <c r="JH13" s="71"/>
      <c r="JI13" s="71"/>
      <c r="JJ13" s="71"/>
      <c r="JK13" s="71"/>
      <c r="JL13" s="71"/>
      <c r="JM13" s="71"/>
      <c r="JN13" s="71"/>
      <c r="JO13" s="71"/>
      <c r="JP13" s="71"/>
      <c r="JQ13" s="71"/>
      <c r="JR13" s="71"/>
      <c r="JS13" s="71"/>
      <c r="JT13" s="71"/>
      <c r="JU13" s="71"/>
      <c r="JV13" s="71"/>
      <c r="JW13" s="71"/>
      <c r="JX13" s="71"/>
      <c r="JY13" s="71"/>
      <c r="JZ13" s="71"/>
      <c r="KA13" s="71"/>
      <c r="KB13" s="71"/>
      <c r="KC13" s="71"/>
      <c r="KD13" s="71"/>
      <c r="KE13" s="71"/>
      <c r="KF13" s="71"/>
      <c r="KG13" s="71"/>
      <c r="KH13" s="71"/>
      <c r="KI13" s="71"/>
      <c r="KJ13" s="71"/>
      <c r="KK13" s="71"/>
      <c r="KL13" s="71"/>
      <c r="KM13" s="71"/>
      <c r="KN13" s="71"/>
      <c r="KO13" s="71"/>
      <c r="KP13" s="71"/>
      <c r="KQ13" s="71"/>
      <c r="KR13" s="71"/>
      <c r="KS13" s="71"/>
      <c r="KT13" s="71"/>
      <c r="KU13" s="71"/>
      <c r="KV13" s="71"/>
      <c r="KW13" s="71"/>
      <c r="KX13" s="71"/>
      <c r="KY13" s="71"/>
      <c r="KZ13" s="71"/>
      <c r="LA13" s="71"/>
      <c r="LB13" s="71"/>
      <c r="LC13" s="71"/>
      <c r="LD13" s="71"/>
      <c r="LE13" s="71"/>
      <c r="LF13" s="71"/>
      <c r="LG13" s="71"/>
      <c r="LH13" s="71"/>
      <c r="LI13" s="71"/>
      <c r="LJ13" s="71"/>
      <c r="LK13" s="71"/>
      <c r="LL13" s="71"/>
      <c r="LM13" s="71"/>
      <c r="LN13" s="71"/>
      <c r="LO13" s="71"/>
      <c r="LP13" s="71"/>
      <c r="LQ13" s="71"/>
      <c r="LR13" s="71"/>
      <c r="LS13" s="71"/>
      <c r="LT13" s="71"/>
      <c r="LU13" s="71"/>
      <c r="LV13" s="71"/>
      <c r="LW13" s="71"/>
      <c r="LX13" s="71"/>
      <c r="LY13" s="71"/>
      <c r="LZ13" s="71"/>
      <c r="MA13" s="71"/>
      <c r="MB13" s="71"/>
      <c r="MC13" s="71"/>
      <c r="MD13" s="71"/>
      <c r="ME13" s="71"/>
      <c r="MF13" s="71"/>
      <c r="MG13" s="71"/>
      <c r="MH13" s="71"/>
      <c r="MI13" s="71"/>
      <c r="MJ13" s="71"/>
      <c r="MK13" s="71"/>
      <c r="ML13" s="71"/>
      <c r="MM13" s="71"/>
      <c r="MN13" s="71"/>
      <c r="MO13" s="71"/>
      <c r="MP13" s="71"/>
      <c r="MQ13" s="71"/>
      <c r="MR13" s="71"/>
      <c r="MS13" s="71"/>
      <c r="MT13" s="71"/>
      <c r="MU13" s="71"/>
      <c r="MV13" s="71"/>
      <c r="MW13" s="71"/>
      <c r="MX13" s="71"/>
      <c r="MY13" s="71"/>
      <c r="MZ13" s="71"/>
      <c r="NA13" s="71"/>
      <c r="NB13" s="71"/>
      <c r="NC13" s="71"/>
      <c r="ND13" s="71"/>
      <c r="NE13" s="71"/>
      <c r="NF13" s="71"/>
      <c r="NG13" s="71"/>
      <c r="NH13" s="71"/>
      <c r="NI13" s="71"/>
      <c r="NJ13" s="71"/>
      <c r="NK13" s="71"/>
      <c r="NL13" s="71"/>
      <c r="NM13" s="71"/>
      <c r="NN13" s="71"/>
      <c r="NO13" s="71"/>
      <c r="NP13" s="71"/>
      <c r="NQ13" s="71"/>
      <c r="NR13" s="71"/>
      <c r="NS13" s="71"/>
      <c r="NT13" s="71"/>
      <c r="NU13" s="71"/>
      <c r="NV13" s="71"/>
      <c r="NW13" s="71"/>
      <c r="NX13" s="10"/>
    </row>
    <row r="14" spans="2:388" x14ac:dyDescent="0.3">
      <c r="B14" s="24" t="s">
        <v>144</v>
      </c>
      <c r="C14" s="18"/>
      <c r="D14" s="19"/>
      <c r="E14" s="25" t="s">
        <v>186</v>
      </c>
      <c r="F14" s="25" t="s">
        <v>187</v>
      </c>
      <c r="G14" s="25"/>
      <c r="H14" s="25" t="s">
        <v>188</v>
      </c>
      <c r="I14" s="25" t="s">
        <v>189</v>
      </c>
      <c r="J14" s="25" t="str">
        <f>"/"&amp;Summary!$O$8</f>
        <v>/Lot</v>
      </c>
      <c r="K14" s="25" t="str">
        <f>"/Land "&amp;Unit_Type</f>
        <v>/Land SF</v>
      </c>
      <c r="L14" s="25" t="s">
        <v>190</v>
      </c>
      <c r="S14" s="68" t="s">
        <v>191</v>
      </c>
      <c r="T14" s="61">
        <v>1</v>
      </c>
      <c r="U14" s="61">
        <f>T14+1</f>
        <v>2</v>
      </c>
      <c r="V14" s="61">
        <f t="shared" ref="V14:CG14" si="27">U14+1</f>
        <v>3</v>
      </c>
      <c r="W14" s="61">
        <f t="shared" si="27"/>
        <v>4</v>
      </c>
      <c r="X14" s="61">
        <f t="shared" si="27"/>
        <v>5</v>
      </c>
      <c r="Y14" s="61">
        <f t="shared" si="27"/>
        <v>6</v>
      </c>
      <c r="Z14" s="61">
        <f t="shared" si="27"/>
        <v>7</v>
      </c>
      <c r="AA14" s="61">
        <f t="shared" si="27"/>
        <v>8</v>
      </c>
      <c r="AB14" s="61">
        <f t="shared" si="27"/>
        <v>9</v>
      </c>
      <c r="AC14" s="61">
        <f t="shared" si="27"/>
        <v>10</v>
      </c>
      <c r="AD14" s="61">
        <f t="shared" si="27"/>
        <v>11</v>
      </c>
      <c r="AE14" s="61">
        <f t="shared" si="27"/>
        <v>12</v>
      </c>
      <c r="AF14" s="61">
        <f t="shared" si="27"/>
        <v>13</v>
      </c>
      <c r="AG14" s="61">
        <f t="shared" si="27"/>
        <v>14</v>
      </c>
      <c r="AH14" s="61">
        <f t="shared" si="27"/>
        <v>15</v>
      </c>
      <c r="AI14" s="61">
        <f t="shared" si="27"/>
        <v>16</v>
      </c>
      <c r="AJ14" s="61">
        <f t="shared" si="27"/>
        <v>17</v>
      </c>
      <c r="AK14" s="61">
        <f t="shared" si="27"/>
        <v>18</v>
      </c>
      <c r="AL14" s="61">
        <f t="shared" si="27"/>
        <v>19</v>
      </c>
      <c r="AM14" s="61">
        <f t="shared" si="27"/>
        <v>20</v>
      </c>
      <c r="AN14" s="61">
        <f t="shared" si="27"/>
        <v>21</v>
      </c>
      <c r="AO14" s="61">
        <f t="shared" si="27"/>
        <v>22</v>
      </c>
      <c r="AP14" s="61">
        <f t="shared" si="27"/>
        <v>23</v>
      </c>
      <c r="AQ14" s="61">
        <f t="shared" si="27"/>
        <v>24</v>
      </c>
      <c r="AR14" s="61">
        <f t="shared" si="27"/>
        <v>25</v>
      </c>
      <c r="AS14" s="61">
        <f t="shared" si="27"/>
        <v>26</v>
      </c>
      <c r="AT14" s="61">
        <f t="shared" si="27"/>
        <v>27</v>
      </c>
      <c r="AU14" s="61">
        <f t="shared" si="27"/>
        <v>28</v>
      </c>
      <c r="AV14" s="61">
        <f t="shared" si="27"/>
        <v>29</v>
      </c>
      <c r="AW14" s="61">
        <f t="shared" si="27"/>
        <v>30</v>
      </c>
      <c r="AX14" s="61">
        <f t="shared" si="27"/>
        <v>31</v>
      </c>
      <c r="AY14" s="61">
        <f t="shared" si="27"/>
        <v>32</v>
      </c>
      <c r="AZ14" s="61">
        <f t="shared" si="27"/>
        <v>33</v>
      </c>
      <c r="BA14" s="61">
        <f t="shared" si="27"/>
        <v>34</v>
      </c>
      <c r="BB14" s="61">
        <f t="shared" si="27"/>
        <v>35</v>
      </c>
      <c r="BC14" s="61">
        <f t="shared" si="27"/>
        <v>36</v>
      </c>
      <c r="BD14" s="61">
        <f t="shared" si="27"/>
        <v>37</v>
      </c>
      <c r="BE14" s="61">
        <f t="shared" si="27"/>
        <v>38</v>
      </c>
      <c r="BF14" s="61">
        <f t="shared" si="27"/>
        <v>39</v>
      </c>
      <c r="BG14" s="61">
        <f t="shared" si="27"/>
        <v>40</v>
      </c>
      <c r="BH14" s="61">
        <f t="shared" si="27"/>
        <v>41</v>
      </c>
      <c r="BI14" s="61">
        <f t="shared" si="27"/>
        <v>42</v>
      </c>
      <c r="BJ14" s="61">
        <f t="shared" si="27"/>
        <v>43</v>
      </c>
      <c r="BK14" s="61">
        <f t="shared" si="27"/>
        <v>44</v>
      </c>
      <c r="BL14" s="61">
        <f t="shared" si="27"/>
        <v>45</v>
      </c>
      <c r="BM14" s="61">
        <f t="shared" si="27"/>
        <v>46</v>
      </c>
      <c r="BN14" s="61">
        <f t="shared" si="27"/>
        <v>47</v>
      </c>
      <c r="BO14" s="61">
        <f t="shared" si="27"/>
        <v>48</v>
      </c>
      <c r="BP14" s="61">
        <f t="shared" si="27"/>
        <v>49</v>
      </c>
      <c r="BQ14" s="61">
        <f t="shared" si="27"/>
        <v>50</v>
      </c>
      <c r="BR14" s="61">
        <f t="shared" si="27"/>
        <v>51</v>
      </c>
      <c r="BS14" s="61">
        <f t="shared" si="27"/>
        <v>52</v>
      </c>
      <c r="BT14" s="61">
        <f t="shared" si="27"/>
        <v>53</v>
      </c>
      <c r="BU14" s="61">
        <f t="shared" si="27"/>
        <v>54</v>
      </c>
      <c r="BV14" s="61">
        <f t="shared" si="27"/>
        <v>55</v>
      </c>
      <c r="BW14" s="61">
        <f t="shared" si="27"/>
        <v>56</v>
      </c>
      <c r="BX14" s="61">
        <f t="shared" si="27"/>
        <v>57</v>
      </c>
      <c r="BY14" s="61">
        <f t="shared" si="27"/>
        <v>58</v>
      </c>
      <c r="BZ14" s="61">
        <f t="shared" si="27"/>
        <v>59</v>
      </c>
      <c r="CA14" s="61">
        <f t="shared" si="27"/>
        <v>60</v>
      </c>
      <c r="CB14" s="61">
        <f t="shared" si="27"/>
        <v>61</v>
      </c>
      <c r="CC14" s="61">
        <f t="shared" si="27"/>
        <v>62</v>
      </c>
      <c r="CD14" s="61">
        <f t="shared" si="27"/>
        <v>63</v>
      </c>
      <c r="CE14" s="61">
        <f t="shared" si="27"/>
        <v>64</v>
      </c>
      <c r="CF14" s="61">
        <f t="shared" si="27"/>
        <v>65</v>
      </c>
      <c r="CG14" s="61">
        <f t="shared" si="27"/>
        <v>66</v>
      </c>
      <c r="CH14" s="61">
        <f t="shared" ref="CH14:ES14" si="28">CG14+1</f>
        <v>67</v>
      </c>
      <c r="CI14" s="61">
        <f t="shared" si="28"/>
        <v>68</v>
      </c>
      <c r="CJ14" s="61">
        <f t="shared" si="28"/>
        <v>69</v>
      </c>
      <c r="CK14" s="61">
        <f t="shared" si="28"/>
        <v>70</v>
      </c>
      <c r="CL14" s="61">
        <f t="shared" si="28"/>
        <v>71</v>
      </c>
      <c r="CM14" s="61">
        <f t="shared" si="28"/>
        <v>72</v>
      </c>
      <c r="CN14" s="61">
        <f t="shared" si="28"/>
        <v>73</v>
      </c>
      <c r="CO14" s="61">
        <f t="shared" si="28"/>
        <v>74</v>
      </c>
      <c r="CP14" s="61">
        <f t="shared" si="28"/>
        <v>75</v>
      </c>
      <c r="CQ14" s="61">
        <f t="shared" si="28"/>
        <v>76</v>
      </c>
      <c r="CR14" s="61">
        <f t="shared" si="28"/>
        <v>77</v>
      </c>
      <c r="CS14" s="61">
        <f t="shared" si="28"/>
        <v>78</v>
      </c>
      <c r="CT14" s="61">
        <f t="shared" si="28"/>
        <v>79</v>
      </c>
      <c r="CU14" s="61">
        <f t="shared" si="28"/>
        <v>80</v>
      </c>
      <c r="CV14" s="61">
        <f t="shared" si="28"/>
        <v>81</v>
      </c>
      <c r="CW14" s="61">
        <f t="shared" si="28"/>
        <v>82</v>
      </c>
      <c r="CX14" s="61">
        <f t="shared" si="28"/>
        <v>83</v>
      </c>
      <c r="CY14" s="61">
        <f t="shared" si="28"/>
        <v>84</v>
      </c>
      <c r="CZ14" s="61">
        <f t="shared" si="28"/>
        <v>85</v>
      </c>
      <c r="DA14" s="61">
        <f t="shared" si="28"/>
        <v>86</v>
      </c>
      <c r="DB14" s="61">
        <f t="shared" si="28"/>
        <v>87</v>
      </c>
      <c r="DC14" s="61">
        <f t="shared" si="28"/>
        <v>88</v>
      </c>
      <c r="DD14" s="61">
        <f t="shared" si="28"/>
        <v>89</v>
      </c>
      <c r="DE14" s="61">
        <f t="shared" si="28"/>
        <v>90</v>
      </c>
      <c r="DF14" s="61">
        <f t="shared" si="28"/>
        <v>91</v>
      </c>
      <c r="DG14" s="61">
        <f t="shared" si="28"/>
        <v>92</v>
      </c>
      <c r="DH14" s="61">
        <f t="shared" si="28"/>
        <v>93</v>
      </c>
      <c r="DI14" s="61">
        <f t="shared" si="28"/>
        <v>94</v>
      </c>
      <c r="DJ14" s="61">
        <f t="shared" si="28"/>
        <v>95</v>
      </c>
      <c r="DK14" s="61">
        <f t="shared" si="28"/>
        <v>96</v>
      </c>
      <c r="DL14" s="61">
        <f t="shared" si="28"/>
        <v>97</v>
      </c>
      <c r="DM14" s="61">
        <f t="shared" si="28"/>
        <v>98</v>
      </c>
      <c r="DN14" s="61">
        <f t="shared" si="28"/>
        <v>99</v>
      </c>
      <c r="DO14" s="61">
        <f t="shared" si="28"/>
        <v>100</v>
      </c>
      <c r="DP14" s="61">
        <f t="shared" si="28"/>
        <v>101</v>
      </c>
      <c r="DQ14" s="61">
        <f t="shared" si="28"/>
        <v>102</v>
      </c>
      <c r="DR14" s="61">
        <f t="shared" si="28"/>
        <v>103</v>
      </c>
      <c r="DS14" s="61">
        <f t="shared" si="28"/>
        <v>104</v>
      </c>
      <c r="DT14" s="61">
        <f t="shared" si="28"/>
        <v>105</v>
      </c>
      <c r="DU14" s="61">
        <f t="shared" si="28"/>
        <v>106</v>
      </c>
      <c r="DV14" s="61">
        <f t="shared" si="28"/>
        <v>107</v>
      </c>
      <c r="DW14" s="61">
        <f t="shared" si="28"/>
        <v>108</v>
      </c>
      <c r="DX14" s="61">
        <f t="shared" si="28"/>
        <v>109</v>
      </c>
      <c r="DY14" s="61">
        <f t="shared" si="28"/>
        <v>110</v>
      </c>
      <c r="DZ14" s="61">
        <f t="shared" si="28"/>
        <v>111</v>
      </c>
      <c r="EA14" s="61">
        <f t="shared" si="28"/>
        <v>112</v>
      </c>
      <c r="EB14" s="61">
        <f t="shared" si="28"/>
        <v>113</v>
      </c>
      <c r="EC14" s="61">
        <f t="shared" si="28"/>
        <v>114</v>
      </c>
      <c r="ED14" s="61">
        <f t="shared" si="28"/>
        <v>115</v>
      </c>
      <c r="EE14" s="61">
        <f t="shared" si="28"/>
        <v>116</v>
      </c>
      <c r="EF14" s="61">
        <f t="shared" si="28"/>
        <v>117</v>
      </c>
      <c r="EG14" s="61">
        <f t="shared" si="28"/>
        <v>118</v>
      </c>
      <c r="EH14" s="61">
        <f t="shared" si="28"/>
        <v>119</v>
      </c>
      <c r="EI14" s="61">
        <f t="shared" si="28"/>
        <v>120</v>
      </c>
      <c r="EJ14" s="61">
        <f t="shared" si="28"/>
        <v>121</v>
      </c>
      <c r="EK14" s="61">
        <f t="shared" si="28"/>
        <v>122</v>
      </c>
      <c r="EL14" s="61">
        <f t="shared" si="28"/>
        <v>123</v>
      </c>
      <c r="EM14" s="61">
        <f t="shared" si="28"/>
        <v>124</v>
      </c>
      <c r="EN14" s="61">
        <f t="shared" si="28"/>
        <v>125</v>
      </c>
      <c r="EO14" s="61">
        <f t="shared" si="28"/>
        <v>126</v>
      </c>
      <c r="EP14" s="61">
        <f t="shared" si="28"/>
        <v>127</v>
      </c>
      <c r="EQ14" s="61">
        <f t="shared" si="28"/>
        <v>128</v>
      </c>
      <c r="ER14" s="61">
        <f t="shared" si="28"/>
        <v>129</v>
      </c>
      <c r="ES14" s="61">
        <f t="shared" si="28"/>
        <v>130</v>
      </c>
      <c r="ET14" s="61">
        <f t="shared" ref="ET14:GQ14" si="29">ES14+1</f>
        <v>131</v>
      </c>
      <c r="EU14" s="61">
        <f t="shared" si="29"/>
        <v>132</v>
      </c>
      <c r="EV14" s="61">
        <f t="shared" si="29"/>
        <v>133</v>
      </c>
      <c r="EW14" s="61">
        <f t="shared" si="29"/>
        <v>134</v>
      </c>
      <c r="EX14" s="61">
        <f t="shared" si="29"/>
        <v>135</v>
      </c>
      <c r="EY14" s="61">
        <f t="shared" si="29"/>
        <v>136</v>
      </c>
      <c r="EZ14" s="61">
        <f t="shared" si="29"/>
        <v>137</v>
      </c>
      <c r="FA14" s="61">
        <f t="shared" si="29"/>
        <v>138</v>
      </c>
      <c r="FB14" s="61">
        <f t="shared" si="29"/>
        <v>139</v>
      </c>
      <c r="FC14" s="61">
        <f t="shared" si="29"/>
        <v>140</v>
      </c>
      <c r="FD14" s="61">
        <f t="shared" si="29"/>
        <v>141</v>
      </c>
      <c r="FE14" s="61">
        <f t="shared" si="29"/>
        <v>142</v>
      </c>
      <c r="FF14" s="61">
        <f t="shared" si="29"/>
        <v>143</v>
      </c>
      <c r="FG14" s="61">
        <f t="shared" si="29"/>
        <v>144</v>
      </c>
      <c r="FH14" s="61">
        <f t="shared" si="29"/>
        <v>145</v>
      </c>
      <c r="FI14" s="61">
        <f t="shared" si="29"/>
        <v>146</v>
      </c>
      <c r="FJ14" s="61">
        <f t="shared" si="29"/>
        <v>147</v>
      </c>
      <c r="FK14" s="61">
        <f t="shared" si="29"/>
        <v>148</v>
      </c>
      <c r="FL14" s="61">
        <f t="shared" si="29"/>
        <v>149</v>
      </c>
      <c r="FM14" s="61">
        <f t="shared" si="29"/>
        <v>150</v>
      </c>
      <c r="FN14" s="61">
        <f t="shared" si="29"/>
        <v>151</v>
      </c>
      <c r="FO14" s="61">
        <f t="shared" si="29"/>
        <v>152</v>
      </c>
      <c r="FP14" s="61">
        <f t="shared" si="29"/>
        <v>153</v>
      </c>
      <c r="FQ14" s="61">
        <f t="shared" si="29"/>
        <v>154</v>
      </c>
      <c r="FR14" s="61">
        <f t="shared" si="29"/>
        <v>155</v>
      </c>
      <c r="FS14" s="61">
        <f t="shared" si="29"/>
        <v>156</v>
      </c>
      <c r="FT14" s="61">
        <f t="shared" si="29"/>
        <v>157</v>
      </c>
      <c r="FU14" s="61">
        <f t="shared" si="29"/>
        <v>158</v>
      </c>
      <c r="FV14" s="61">
        <f t="shared" si="29"/>
        <v>159</v>
      </c>
      <c r="FW14" s="61">
        <f t="shared" si="29"/>
        <v>160</v>
      </c>
      <c r="FX14" s="61">
        <f t="shared" si="29"/>
        <v>161</v>
      </c>
      <c r="FY14" s="61">
        <f t="shared" si="29"/>
        <v>162</v>
      </c>
      <c r="FZ14" s="61">
        <f t="shared" si="29"/>
        <v>163</v>
      </c>
      <c r="GA14" s="61">
        <f t="shared" si="29"/>
        <v>164</v>
      </c>
      <c r="GB14" s="61">
        <f t="shared" si="29"/>
        <v>165</v>
      </c>
      <c r="GC14" s="61">
        <f t="shared" si="29"/>
        <v>166</v>
      </c>
      <c r="GD14" s="61">
        <f t="shared" si="29"/>
        <v>167</v>
      </c>
      <c r="GE14" s="61">
        <f t="shared" si="29"/>
        <v>168</v>
      </c>
      <c r="GF14" s="61">
        <f t="shared" si="29"/>
        <v>169</v>
      </c>
      <c r="GG14" s="61">
        <f t="shared" si="29"/>
        <v>170</v>
      </c>
      <c r="GH14" s="61">
        <f t="shared" si="29"/>
        <v>171</v>
      </c>
      <c r="GI14" s="61">
        <f t="shared" si="29"/>
        <v>172</v>
      </c>
      <c r="GJ14" s="61">
        <f t="shared" si="29"/>
        <v>173</v>
      </c>
      <c r="GK14" s="61">
        <f t="shared" si="29"/>
        <v>174</v>
      </c>
      <c r="GL14" s="61">
        <f t="shared" si="29"/>
        <v>175</v>
      </c>
      <c r="GM14" s="61">
        <f t="shared" si="29"/>
        <v>176</v>
      </c>
      <c r="GN14" s="61">
        <f t="shared" si="29"/>
        <v>177</v>
      </c>
      <c r="GO14" s="61">
        <f t="shared" si="29"/>
        <v>178</v>
      </c>
      <c r="GP14" s="61">
        <f t="shared" si="29"/>
        <v>179</v>
      </c>
      <c r="GQ14" s="61">
        <f t="shared" si="29"/>
        <v>180</v>
      </c>
      <c r="GR14" s="9"/>
      <c r="GS14" s="75" t="str">
        <f t="shared" ref="GS14:GS19" si="30">B14</f>
        <v>Land Costs</v>
      </c>
      <c r="GT14" s="76" t="s">
        <v>190</v>
      </c>
      <c r="GU14" s="76" t="str">
        <f t="shared" ref="GU14:GV18" si="31">E14</f>
        <v>Start</v>
      </c>
      <c r="GV14" s="76" t="str">
        <f t="shared" si="31"/>
        <v>End</v>
      </c>
      <c r="GW14" s="76" t="s">
        <v>192</v>
      </c>
      <c r="GX14" s="76" t="s">
        <v>193</v>
      </c>
      <c r="GY14" s="76" t="s">
        <v>191</v>
      </c>
      <c r="GZ14" s="74">
        <v>1</v>
      </c>
      <c r="HA14" s="74">
        <f>GZ14+1</f>
        <v>2</v>
      </c>
      <c r="HB14" s="74">
        <f t="shared" ref="HB14:JM14" si="32">HA14+1</f>
        <v>3</v>
      </c>
      <c r="HC14" s="74">
        <f t="shared" si="32"/>
        <v>4</v>
      </c>
      <c r="HD14" s="74">
        <f t="shared" si="32"/>
        <v>5</v>
      </c>
      <c r="HE14" s="74">
        <f t="shared" si="32"/>
        <v>6</v>
      </c>
      <c r="HF14" s="74">
        <f t="shared" si="32"/>
        <v>7</v>
      </c>
      <c r="HG14" s="74">
        <f t="shared" si="32"/>
        <v>8</v>
      </c>
      <c r="HH14" s="74">
        <f t="shared" si="32"/>
        <v>9</v>
      </c>
      <c r="HI14" s="74">
        <f t="shared" si="32"/>
        <v>10</v>
      </c>
      <c r="HJ14" s="74">
        <f t="shared" si="32"/>
        <v>11</v>
      </c>
      <c r="HK14" s="74">
        <f t="shared" si="32"/>
        <v>12</v>
      </c>
      <c r="HL14" s="74">
        <f t="shared" si="32"/>
        <v>13</v>
      </c>
      <c r="HM14" s="74">
        <f t="shared" si="32"/>
        <v>14</v>
      </c>
      <c r="HN14" s="74">
        <f t="shared" si="32"/>
        <v>15</v>
      </c>
      <c r="HO14" s="74">
        <f t="shared" si="32"/>
        <v>16</v>
      </c>
      <c r="HP14" s="74">
        <f t="shared" si="32"/>
        <v>17</v>
      </c>
      <c r="HQ14" s="74">
        <f t="shared" si="32"/>
        <v>18</v>
      </c>
      <c r="HR14" s="74">
        <f t="shared" si="32"/>
        <v>19</v>
      </c>
      <c r="HS14" s="74">
        <f t="shared" si="32"/>
        <v>20</v>
      </c>
      <c r="HT14" s="74">
        <f t="shared" si="32"/>
        <v>21</v>
      </c>
      <c r="HU14" s="74">
        <f t="shared" si="32"/>
        <v>22</v>
      </c>
      <c r="HV14" s="74">
        <f t="shared" si="32"/>
        <v>23</v>
      </c>
      <c r="HW14" s="74">
        <f t="shared" si="32"/>
        <v>24</v>
      </c>
      <c r="HX14" s="74">
        <f t="shared" si="32"/>
        <v>25</v>
      </c>
      <c r="HY14" s="74">
        <f t="shared" si="32"/>
        <v>26</v>
      </c>
      <c r="HZ14" s="74">
        <f t="shared" si="32"/>
        <v>27</v>
      </c>
      <c r="IA14" s="74">
        <f t="shared" si="32"/>
        <v>28</v>
      </c>
      <c r="IB14" s="74">
        <f t="shared" si="32"/>
        <v>29</v>
      </c>
      <c r="IC14" s="74">
        <f t="shared" si="32"/>
        <v>30</v>
      </c>
      <c r="ID14" s="74">
        <f t="shared" si="32"/>
        <v>31</v>
      </c>
      <c r="IE14" s="74">
        <f t="shared" si="32"/>
        <v>32</v>
      </c>
      <c r="IF14" s="74">
        <f t="shared" si="32"/>
        <v>33</v>
      </c>
      <c r="IG14" s="74">
        <f t="shared" si="32"/>
        <v>34</v>
      </c>
      <c r="IH14" s="74">
        <f t="shared" si="32"/>
        <v>35</v>
      </c>
      <c r="II14" s="74">
        <f t="shared" si="32"/>
        <v>36</v>
      </c>
      <c r="IJ14" s="74">
        <f t="shared" si="32"/>
        <v>37</v>
      </c>
      <c r="IK14" s="74">
        <f t="shared" si="32"/>
        <v>38</v>
      </c>
      <c r="IL14" s="74">
        <f t="shared" si="32"/>
        <v>39</v>
      </c>
      <c r="IM14" s="74">
        <f t="shared" si="32"/>
        <v>40</v>
      </c>
      <c r="IN14" s="74">
        <f t="shared" si="32"/>
        <v>41</v>
      </c>
      <c r="IO14" s="74">
        <f t="shared" si="32"/>
        <v>42</v>
      </c>
      <c r="IP14" s="74">
        <f t="shared" si="32"/>
        <v>43</v>
      </c>
      <c r="IQ14" s="74">
        <f t="shared" si="32"/>
        <v>44</v>
      </c>
      <c r="IR14" s="74">
        <f t="shared" si="32"/>
        <v>45</v>
      </c>
      <c r="IS14" s="74">
        <f t="shared" si="32"/>
        <v>46</v>
      </c>
      <c r="IT14" s="74">
        <f t="shared" si="32"/>
        <v>47</v>
      </c>
      <c r="IU14" s="74">
        <f t="shared" si="32"/>
        <v>48</v>
      </c>
      <c r="IV14" s="74">
        <f t="shared" si="32"/>
        <v>49</v>
      </c>
      <c r="IW14" s="74">
        <f t="shared" si="32"/>
        <v>50</v>
      </c>
      <c r="IX14" s="74">
        <f t="shared" si="32"/>
        <v>51</v>
      </c>
      <c r="IY14" s="74">
        <f t="shared" si="32"/>
        <v>52</v>
      </c>
      <c r="IZ14" s="74">
        <f t="shared" si="32"/>
        <v>53</v>
      </c>
      <c r="JA14" s="74">
        <f t="shared" si="32"/>
        <v>54</v>
      </c>
      <c r="JB14" s="74">
        <f t="shared" si="32"/>
        <v>55</v>
      </c>
      <c r="JC14" s="74">
        <f t="shared" si="32"/>
        <v>56</v>
      </c>
      <c r="JD14" s="74">
        <f t="shared" si="32"/>
        <v>57</v>
      </c>
      <c r="JE14" s="74">
        <f t="shared" si="32"/>
        <v>58</v>
      </c>
      <c r="JF14" s="74">
        <f t="shared" si="32"/>
        <v>59</v>
      </c>
      <c r="JG14" s="74">
        <f t="shared" si="32"/>
        <v>60</v>
      </c>
      <c r="JH14" s="74">
        <f t="shared" si="32"/>
        <v>61</v>
      </c>
      <c r="JI14" s="74">
        <f t="shared" si="32"/>
        <v>62</v>
      </c>
      <c r="JJ14" s="74">
        <f t="shared" si="32"/>
        <v>63</v>
      </c>
      <c r="JK14" s="74">
        <f t="shared" si="32"/>
        <v>64</v>
      </c>
      <c r="JL14" s="74">
        <f t="shared" si="32"/>
        <v>65</v>
      </c>
      <c r="JM14" s="74">
        <f t="shared" si="32"/>
        <v>66</v>
      </c>
      <c r="JN14" s="74">
        <f t="shared" ref="JN14:LY14" si="33">JM14+1</f>
        <v>67</v>
      </c>
      <c r="JO14" s="74">
        <f t="shared" si="33"/>
        <v>68</v>
      </c>
      <c r="JP14" s="74">
        <f t="shared" si="33"/>
        <v>69</v>
      </c>
      <c r="JQ14" s="74">
        <f t="shared" si="33"/>
        <v>70</v>
      </c>
      <c r="JR14" s="74">
        <f t="shared" si="33"/>
        <v>71</v>
      </c>
      <c r="JS14" s="74">
        <f t="shared" si="33"/>
        <v>72</v>
      </c>
      <c r="JT14" s="74">
        <f t="shared" si="33"/>
        <v>73</v>
      </c>
      <c r="JU14" s="74">
        <f t="shared" si="33"/>
        <v>74</v>
      </c>
      <c r="JV14" s="74">
        <f t="shared" si="33"/>
        <v>75</v>
      </c>
      <c r="JW14" s="74">
        <f t="shared" si="33"/>
        <v>76</v>
      </c>
      <c r="JX14" s="74">
        <f t="shared" si="33"/>
        <v>77</v>
      </c>
      <c r="JY14" s="74">
        <f t="shared" si="33"/>
        <v>78</v>
      </c>
      <c r="JZ14" s="74">
        <f t="shared" si="33"/>
        <v>79</v>
      </c>
      <c r="KA14" s="74">
        <f t="shared" si="33"/>
        <v>80</v>
      </c>
      <c r="KB14" s="74">
        <f t="shared" si="33"/>
        <v>81</v>
      </c>
      <c r="KC14" s="74">
        <f t="shared" si="33"/>
        <v>82</v>
      </c>
      <c r="KD14" s="74">
        <f t="shared" si="33"/>
        <v>83</v>
      </c>
      <c r="KE14" s="74">
        <f t="shared" si="33"/>
        <v>84</v>
      </c>
      <c r="KF14" s="74">
        <f t="shared" si="33"/>
        <v>85</v>
      </c>
      <c r="KG14" s="74">
        <f t="shared" si="33"/>
        <v>86</v>
      </c>
      <c r="KH14" s="74">
        <f t="shared" si="33"/>
        <v>87</v>
      </c>
      <c r="KI14" s="74">
        <f t="shared" si="33"/>
        <v>88</v>
      </c>
      <c r="KJ14" s="74">
        <f t="shared" si="33"/>
        <v>89</v>
      </c>
      <c r="KK14" s="74">
        <f t="shared" si="33"/>
        <v>90</v>
      </c>
      <c r="KL14" s="74">
        <f t="shared" si="33"/>
        <v>91</v>
      </c>
      <c r="KM14" s="74">
        <f t="shared" si="33"/>
        <v>92</v>
      </c>
      <c r="KN14" s="74">
        <f t="shared" si="33"/>
        <v>93</v>
      </c>
      <c r="KO14" s="74">
        <f t="shared" si="33"/>
        <v>94</v>
      </c>
      <c r="KP14" s="74">
        <f t="shared" si="33"/>
        <v>95</v>
      </c>
      <c r="KQ14" s="74">
        <f t="shared" si="33"/>
        <v>96</v>
      </c>
      <c r="KR14" s="74">
        <f t="shared" si="33"/>
        <v>97</v>
      </c>
      <c r="KS14" s="74">
        <f t="shared" si="33"/>
        <v>98</v>
      </c>
      <c r="KT14" s="74">
        <f t="shared" si="33"/>
        <v>99</v>
      </c>
      <c r="KU14" s="74">
        <f t="shared" si="33"/>
        <v>100</v>
      </c>
      <c r="KV14" s="74">
        <f t="shared" si="33"/>
        <v>101</v>
      </c>
      <c r="KW14" s="74">
        <f t="shared" si="33"/>
        <v>102</v>
      </c>
      <c r="KX14" s="74">
        <f t="shared" si="33"/>
        <v>103</v>
      </c>
      <c r="KY14" s="74">
        <f t="shared" si="33"/>
        <v>104</v>
      </c>
      <c r="KZ14" s="74">
        <f t="shared" si="33"/>
        <v>105</v>
      </c>
      <c r="LA14" s="74">
        <f t="shared" si="33"/>
        <v>106</v>
      </c>
      <c r="LB14" s="74">
        <f t="shared" si="33"/>
        <v>107</v>
      </c>
      <c r="LC14" s="74">
        <f t="shared" si="33"/>
        <v>108</v>
      </c>
      <c r="LD14" s="74">
        <f t="shared" si="33"/>
        <v>109</v>
      </c>
      <c r="LE14" s="74">
        <f t="shared" si="33"/>
        <v>110</v>
      </c>
      <c r="LF14" s="74">
        <f t="shared" si="33"/>
        <v>111</v>
      </c>
      <c r="LG14" s="74">
        <f t="shared" si="33"/>
        <v>112</v>
      </c>
      <c r="LH14" s="74">
        <f t="shared" si="33"/>
        <v>113</v>
      </c>
      <c r="LI14" s="74">
        <f t="shared" si="33"/>
        <v>114</v>
      </c>
      <c r="LJ14" s="74">
        <f t="shared" si="33"/>
        <v>115</v>
      </c>
      <c r="LK14" s="74">
        <f t="shared" si="33"/>
        <v>116</v>
      </c>
      <c r="LL14" s="74">
        <f t="shared" si="33"/>
        <v>117</v>
      </c>
      <c r="LM14" s="74">
        <f t="shared" si="33"/>
        <v>118</v>
      </c>
      <c r="LN14" s="74">
        <f t="shared" si="33"/>
        <v>119</v>
      </c>
      <c r="LO14" s="74">
        <f t="shared" si="33"/>
        <v>120</v>
      </c>
      <c r="LP14" s="74">
        <f t="shared" si="33"/>
        <v>121</v>
      </c>
      <c r="LQ14" s="74">
        <f t="shared" si="33"/>
        <v>122</v>
      </c>
      <c r="LR14" s="74">
        <f t="shared" si="33"/>
        <v>123</v>
      </c>
      <c r="LS14" s="74">
        <f t="shared" si="33"/>
        <v>124</v>
      </c>
      <c r="LT14" s="74">
        <f t="shared" si="33"/>
        <v>125</v>
      </c>
      <c r="LU14" s="74">
        <f t="shared" si="33"/>
        <v>126</v>
      </c>
      <c r="LV14" s="74">
        <f t="shared" si="33"/>
        <v>127</v>
      </c>
      <c r="LW14" s="74">
        <f t="shared" si="33"/>
        <v>128</v>
      </c>
      <c r="LX14" s="74">
        <f t="shared" si="33"/>
        <v>129</v>
      </c>
      <c r="LY14" s="74">
        <f t="shared" si="33"/>
        <v>130</v>
      </c>
      <c r="LZ14" s="74">
        <f t="shared" ref="LZ14:NW14" si="34">LY14+1</f>
        <v>131</v>
      </c>
      <c r="MA14" s="74">
        <f t="shared" si="34"/>
        <v>132</v>
      </c>
      <c r="MB14" s="74">
        <f t="shared" si="34"/>
        <v>133</v>
      </c>
      <c r="MC14" s="74">
        <f t="shared" si="34"/>
        <v>134</v>
      </c>
      <c r="MD14" s="74">
        <f t="shared" si="34"/>
        <v>135</v>
      </c>
      <c r="ME14" s="74">
        <f t="shared" si="34"/>
        <v>136</v>
      </c>
      <c r="MF14" s="74">
        <f t="shared" si="34"/>
        <v>137</v>
      </c>
      <c r="MG14" s="74">
        <f t="shared" si="34"/>
        <v>138</v>
      </c>
      <c r="MH14" s="74">
        <f t="shared" si="34"/>
        <v>139</v>
      </c>
      <c r="MI14" s="74">
        <f t="shared" si="34"/>
        <v>140</v>
      </c>
      <c r="MJ14" s="74">
        <f t="shared" si="34"/>
        <v>141</v>
      </c>
      <c r="MK14" s="74">
        <f t="shared" si="34"/>
        <v>142</v>
      </c>
      <c r="ML14" s="74">
        <f t="shared" si="34"/>
        <v>143</v>
      </c>
      <c r="MM14" s="74">
        <f t="shared" si="34"/>
        <v>144</v>
      </c>
      <c r="MN14" s="74">
        <f t="shared" si="34"/>
        <v>145</v>
      </c>
      <c r="MO14" s="74">
        <f t="shared" si="34"/>
        <v>146</v>
      </c>
      <c r="MP14" s="74">
        <f t="shared" si="34"/>
        <v>147</v>
      </c>
      <c r="MQ14" s="74">
        <f t="shared" si="34"/>
        <v>148</v>
      </c>
      <c r="MR14" s="74">
        <f t="shared" si="34"/>
        <v>149</v>
      </c>
      <c r="MS14" s="74">
        <f t="shared" si="34"/>
        <v>150</v>
      </c>
      <c r="MT14" s="74">
        <f t="shared" si="34"/>
        <v>151</v>
      </c>
      <c r="MU14" s="74">
        <f t="shared" si="34"/>
        <v>152</v>
      </c>
      <c r="MV14" s="74">
        <f t="shared" si="34"/>
        <v>153</v>
      </c>
      <c r="MW14" s="74">
        <f t="shared" si="34"/>
        <v>154</v>
      </c>
      <c r="MX14" s="74">
        <f t="shared" si="34"/>
        <v>155</v>
      </c>
      <c r="MY14" s="74">
        <f t="shared" si="34"/>
        <v>156</v>
      </c>
      <c r="MZ14" s="74">
        <f t="shared" si="34"/>
        <v>157</v>
      </c>
      <c r="NA14" s="74">
        <f t="shared" si="34"/>
        <v>158</v>
      </c>
      <c r="NB14" s="74">
        <f t="shared" si="34"/>
        <v>159</v>
      </c>
      <c r="NC14" s="74">
        <f t="shared" si="34"/>
        <v>160</v>
      </c>
      <c r="ND14" s="74">
        <f t="shared" si="34"/>
        <v>161</v>
      </c>
      <c r="NE14" s="74">
        <f t="shared" si="34"/>
        <v>162</v>
      </c>
      <c r="NF14" s="74">
        <f t="shared" si="34"/>
        <v>163</v>
      </c>
      <c r="NG14" s="74">
        <f t="shared" si="34"/>
        <v>164</v>
      </c>
      <c r="NH14" s="74">
        <f t="shared" si="34"/>
        <v>165</v>
      </c>
      <c r="NI14" s="74">
        <f t="shared" si="34"/>
        <v>166</v>
      </c>
      <c r="NJ14" s="74">
        <f t="shared" si="34"/>
        <v>167</v>
      </c>
      <c r="NK14" s="74">
        <f t="shared" si="34"/>
        <v>168</v>
      </c>
      <c r="NL14" s="74">
        <f t="shared" si="34"/>
        <v>169</v>
      </c>
      <c r="NM14" s="74">
        <f t="shared" si="34"/>
        <v>170</v>
      </c>
      <c r="NN14" s="74">
        <f t="shared" si="34"/>
        <v>171</v>
      </c>
      <c r="NO14" s="74">
        <f t="shared" si="34"/>
        <v>172</v>
      </c>
      <c r="NP14" s="74">
        <f t="shared" si="34"/>
        <v>173</v>
      </c>
      <c r="NQ14" s="74">
        <f t="shared" si="34"/>
        <v>174</v>
      </c>
      <c r="NR14" s="74">
        <f t="shared" si="34"/>
        <v>175</v>
      </c>
      <c r="NS14" s="74">
        <f t="shared" si="34"/>
        <v>176</v>
      </c>
      <c r="NT14" s="74">
        <f t="shared" si="34"/>
        <v>177</v>
      </c>
      <c r="NU14" s="74">
        <f t="shared" si="34"/>
        <v>178</v>
      </c>
      <c r="NV14" s="74">
        <f t="shared" si="34"/>
        <v>179</v>
      </c>
      <c r="NW14" s="74">
        <f t="shared" si="34"/>
        <v>180</v>
      </c>
      <c r="NX14" s="10"/>
    </row>
    <row r="15" spans="2:388" x14ac:dyDescent="0.3">
      <c r="B15" s="26" t="s">
        <v>194</v>
      </c>
      <c r="C15" s="18"/>
      <c r="D15" s="19"/>
      <c r="E15" s="27">
        <v>1</v>
      </c>
      <c r="F15" s="27">
        <v>1</v>
      </c>
      <c r="G15" s="21"/>
      <c r="H15" s="28">
        <f>F15-E15+1</f>
        <v>1</v>
      </c>
      <c r="I15" s="21" t="s">
        <v>195</v>
      </c>
      <c r="J15" s="23">
        <f>L15/$L$8</f>
        <v>12173.91304347826</v>
      </c>
      <c r="K15" s="29">
        <f>L15/$L$7</f>
        <v>1.6091954022988506</v>
      </c>
      <c r="L15" s="30">
        <v>2800000</v>
      </c>
      <c r="N15" s="9" t="s">
        <v>196</v>
      </c>
      <c r="S15" s="69" t="str">
        <f>IF(ROUND(L15,0)=ROUND(SUM(T15:GQ15),0),"OK","ERROR")</f>
        <v>OK</v>
      </c>
      <c r="T15" s="16">
        <f t="shared" ref="T15:AC18" si="35">($I15="S-Curve")*GZ15+AND($I15&lt;&gt;"S-Curve",T$14&gt;=$E15,T$14&lt;=$F15)*($L15/$H15)</f>
        <v>2800000</v>
      </c>
      <c r="U15" s="16">
        <f t="shared" si="35"/>
        <v>0</v>
      </c>
      <c r="V15" s="16">
        <f t="shared" si="35"/>
        <v>0</v>
      </c>
      <c r="W15" s="16">
        <f t="shared" si="35"/>
        <v>0</v>
      </c>
      <c r="X15" s="16">
        <f t="shared" si="35"/>
        <v>0</v>
      </c>
      <c r="Y15" s="16">
        <f t="shared" si="35"/>
        <v>0</v>
      </c>
      <c r="Z15" s="16">
        <f t="shared" si="35"/>
        <v>0</v>
      </c>
      <c r="AA15" s="16">
        <f t="shared" si="35"/>
        <v>0</v>
      </c>
      <c r="AB15" s="16">
        <f t="shared" si="35"/>
        <v>0</v>
      </c>
      <c r="AC15" s="16">
        <f t="shared" si="35"/>
        <v>0</v>
      </c>
      <c r="AD15" s="16">
        <f t="shared" ref="AD15:AM18" si="36">($I15="S-Curve")*HJ15+AND($I15&lt;&gt;"S-Curve",AD$14&gt;=$E15,AD$14&lt;=$F15)*($L15/$H15)</f>
        <v>0</v>
      </c>
      <c r="AE15" s="16">
        <f t="shared" si="36"/>
        <v>0</v>
      </c>
      <c r="AF15" s="16">
        <f t="shared" si="36"/>
        <v>0</v>
      </c>
      <c r="AG15" s="16">
        <f t="shared" si="36"/>
        <v>0</v>
      </c>
      <c r="AH15" s="16">
        <f t="shared" si="36"/>
        <v>0</v>
      </c>
      <c r="AI15" s="16">
        <f t="shared" si="36"/>
        <v>0</v>
      </c>
      <c r="AJ15" s="16">
        <f t="shared" si="36"/>
        <v>0</v>
      </c>
      <c r="AK15" s="16">
        <f t="shared" si="36"/>
        <v>0</v>
      </c>
      <c r="AL15" s="16">
        <f t="shared" si="36"/>
        <v>0</v>
      </c>
      <c r="AM15" s="16">
        <f t="shared" si="36"/>
        <v>0</v>
      </c>
      <c r="AN15" s="16">
        <f t="shared" ref="AN15:AW18" si="37">($I15="S-Curve")*HT15+AND($I15&lt;&gt;"S-Curve",AN$14&gt;=$E15,AN$14&lt;=$F15)*($L15/$H15)</f>
        <v>0</v>
      </c>
      <c r="AO15" s="16">
        <f t="shared" si="37"/>
        <v>0</v>
      </c>
      <c r="AP15" s="16">
        <f t="shared" si="37"/>
        <v>0</v>
      </c>
      <c r="AQ15" s="16">
        <f t="shared" si="37"/>
        <v>0</v>
      </c>
      <c r="AR15" s="16">
        <f t="shared" si="37"/>
        <v>0</v>
      </c>
      <c r="AS15" s="16">
        <f t="shared" si="37"/>
        <v>0</v>
      </c>
      <c r="AT15" s="16">
        <f t="shared" si="37"/>
        <v>0</v>
      </c>
      <c r="AU15" s="16">
        <f t="shared" si="37"/>
        <v>0</v>
      </c>
      <c r="AV15" s="16">
        <f t="shared" si="37"/>
        <v>0</v>
      </c>
      <c r="AW15" s="16">
        <f t="shared" si="37"/>
        <v>0</v>
      </c>
      <c r="AX15" s="16">
        <f t="shared" ref="AX15:BG18" si="38">($I15="S-Curve")*ID15+AND($I15&lt;&gt;"S-Curve",AX$14&gt;=$E15,AX$14&lt;=$F15)*($L15/$H15)</f>
        <v>0</v>
      </c>
      <c r="AY15" s="16">
        <f t="shared" si="38"/>
        <v>0</v>
      </c>
      <c r="AZ15" s="16">
        <f t="shared" si="38"/>
        <v>0</v>
      </c>
      <c r="BA15" s="16">
        <f t="shared" si="38"/>
        <v>0</v>
      </c>
      <c r="BB15" s="16">
        <f t="shared" si="38"/>
        <v>0</v>
      </c>
      <c r="BC15" s="16">
        <f t="shared" si="38"/>
        <v>0</v>
      </c>
      <c r="BD15" s="16">
        <f t="shared" si="38"/>
        <v>0</v>
      </c>
      <c r="BE15" s="16">
        <f t="shared" si="38"/>
        <v>0</v>
      </c>
      <c r="BF15" s="16">
        <f t="shared" si="38"/>
        <v>0</v>
      </c>
      <c r="BG15" s="16">
        <f t="shared" si="38"/>
        <v>0</v>
      </c>
      <c r="BH15" s="16">
        <f t="shared" ref="BH15:BQ18" si="39">($I15="S-Curve")*IN15+AND($I15&lt;&gt;"S-Curve",BH$14&gt;=$E15,BH$14&lt;=$F15)*($L15/$H15)</f>
        <v>0</v>
      </c>
      <c r="BI15" s="16">
        <f t="shared" si="39"/>
        <v>0</v>
      </c>
      <c r="BJ15" s="16">
        <f t="shared" si="39"/>
        <v>0</v>
      </c>
      <c r="BK15" s="16">
        <f t="shared" si="39"/>
        <v>0</v>
      </c>
      <c r="BL15" s="16">
        <f t="shared" si="39"/>
        <v>0</v>
      </c>
      <c r="BM15" s="16">
        <f t="shared" si="39"/>
        <v>0</v>
      </c>
      <c r="BN15" s="16">
        <f t="shared" si="39"/>
        <v>0</v>
      </c>
      <c r="BO15" s="16">
        <f t="shared" si="39"/>
        <v>0</v>
      </c>
      <c r="BP15" s="16">
        <f t="shared" si="39"/>
        <v>0</v>
      </c>
      <c r="BQ15" s="16">
        <f t="shared" si="39"/>
        <v>0</v>
      </c>
      <c r="BR15" s="16">
        <f t="shared" ref="BR15:CA18" si="40">($I15="S-Curve")*IX15+AND($I15&lt;&gt;"S-Curve",BR$14&gt;=$E15,BR$14&lt;=$F15)*($L15/$H15)</f>
        <v>0</v>
      </c>
      <c r="BS15" s="16">
        <f t="shared" si="40"/>
        <v>0</v>
      </c>
      <c r="BT15" s="16">
        <f t="shared" si="40"/>
        <v>0</v>
      </c>
      <c r="BU15" s="16">
        <f t="shared" si="40"/>
        <v>0</v>
      </c>
      <c r="BV15" s="16">
        <f t="shared" si="40"/>
        <v>0</v>
      </c>
      <c r="BW15" s="16">
        <f t="shared" si="40"/>
        <v>0</v>
      </c>
      <c r="BX15" s="16">
        <f t="shared" si="40"/>
        <v>0</v>
      </c>
      <c r="BY15" s="16">
        <f t="shared" si="40"/>
        <v>0</v>
      </c>
      <c r="BZ15" s="16">
        <f t="shared" si="40"/>
        <v>0</v>
      </c>
      <c r="CA15" s="16">
        <f t="shared" si="40"/>
        <v>0</v>
      </c>
      <c r="CB15" s="16">
        <f t="shared" ref="CB15:CK18" si="41">($I15="S-Curve")*JH15+AND($I15&lt;&gt;"S-Curve",CB$14&gt;=$E15,CB$14&lt;=$F15)*($L15/$H15)</f>
        <v>0</v>
      </c>
      <c r="CC15" s="16">
        <f t="shared" si="41"/>
        <v>0</v>
      </c>
      <c r="CD15" s="16">
        <f t="shared" si="41"/>
        <v>0</v>
      </c>
      <c r="CE15" s="16">
        <f t="shared" si="41"/>
        <v>0</v>
      </c>
      <c r="CF15" s="16">
        <f t="shared" si="41"/>
        <v>0</v>
      </c>
      <c r="CG15" s="16">
        <f t="shared" si="41"/>
        <v>0</v>
      </c>
      <c r="CH15" s="16">
        <f t="shared" si="41"/>
        <v>0</v>
      </c>
      <c r="CI15" s="16">
        <f t="shared" si="41"/>
        <v>0</v>
      </c>
      <c r="CJ15" s="16">
        <f t="shared" si="41"/>
        <v>0</v>
      </c>
      <c r="CK15" s="16">
        <f t="shared" si="41"/>
        <v>0</v>
      </c>
      <c r="CL15" s="16">
        <f t="shared" ref="CL15:CU18" si="42">($I15="S-Curve")*JR15+AND($I15&lt;&gt;"S-Curve",CL$14&gt;=$E15,CL$14&lt;=$F15)*($L15/$H15)</f>
        <v>0</v>
      </c>
      <c r="CM15" s="16">
        <f t="shared" si="42"/>
        <v>0</v>
      </c>
      <c r="CN15" s="16">
        <f t="shared" si="42"/>
        <v>0</v>
      </c>
      <c r="CO15" s="16">
        <f t="shared" si="42"/>
        <v>0</v>
      </c>
      <c r="CP15" s="16">
        <f t="shared" si="42"/>
        <v>0</v>
      </c>
      <c r="CQ15" s="16">
        <f t="shared" si="42"/>
        <v>0</v>
      </c>
      <c r="CR15" s="16">
        <f t="shared" si="42"/>
        <v>0</v>
      </c>
      <c r="CS15" s="16">
        <f t="shared" si="42"/>
        <v>0</v>
      </c>
      <c r="CT15" s="16">
        <f t="shared" si="42"/>
        <v>0</v>
      </c>
      <c r="CU15" s="16">
        <f t="shared" si="42"/>
        <v>0</v>
      </c>
      <c r="CV15" s="16">
        <f t="shared" ref="CV15:DE18" si="43">($I15="S-Curve")*KB15+AND($I15&lt;&gt;"S-Curve",CV$14&gt;=$E15,CV$14&lt;=$F15)*($L15/$H15)</f>
        <v>0</v>
      </c>
      <c r="CW15" s="16">
        <f t="shared" si="43"/>
        <v>0</v>
      </c>
      <c r="CX15" s="16">
        <f t="shared" si="43"/>
        <v>0</v>
      </c>
      <c r="CY15" s="16">
        <f t="shared" si="43"/>
        <v>0</v>
      </c>
      <c r="CZ15" s="16">
        <f t="shared" si="43"/>
        <v>0</v>
      </c>
      <c r="DA15" s="16">
        <f t="shared" si="43"/>
        <v>0</v>
      </c>
      <c r="DB15" s="16">
        <f t="shared" si="43"/>
        <v>0</v>
      </c>
      <c r="DC15" s="16">
        <f t="shared" si="43"/>
        <v>0</v>
      </c>
      <c r="DD15" s="16">
        <f t="shared" si="43"/>
        <v>0</v>
      </c>
      <c r="DE15" s="16">
        <f t="shared" si="43"/>
        <v>0</v>
      </c>
      <c r="DF15" s="16">
        <f t="shared" ref="DF15:DO18" si="44">($I15="S-Curve")*KL15+AND($I15&lt;&gt;"S-Curve",DF$14&gt;=$E15,DF$14&lt;=$F15)*($L15/$H15)</f>
        <v>0</v>
      </c>
      <c r="DG15" s="16">
        <f t="shared" si="44"/>
        <v>0</v>
      </c>
      <c r="DH15" s="16">
        <f t="shared" si="44"/>
        <v>0</v>
      </c>
      <c r="DI15" s="16">
        <f t="shared" si="44"/>
        <v>0</v>
      </c>
      <c r="DJ15" s="16">
        <f t="shared" si="44"/>
        <v>0</v>
      </c>
      <c r="DK15" s="16">
        <f t="shared" si="44"/>
        <v>0</v>
      </c>
      <c r="DL15" s="16">
        <f t="shared" si="44"/>
        <v>0</v>
      </c>
      <c r="DM15" s="16">
        <f t="shared" si="44"/>
        <v>0</v>
      </c>
      <c r="DN15" s="16">
        <f t="shared" si="44"/>
        <v>0</v>
      </c>
      <c r="DO15" s="16">
        <f t="shared" si="44"/>
        <v>0</v>
      </c>
      <c r="DP15" s="16">
        <f t="shared" ref="DP15:DY18" si="45">($I15="S-Curve")*KV15+AND($I15&lt;&gt;"S-Curve",DP$14&gt;=$E15,DP$14&lt;=$F15)*($L15/$H15)</f>
        <v>0</v>
      </c>
      <c r="DQ15" s="16">
        <f t="shared" si="45"/>
        <v>0</v>
      </c>
      <c r="DR15" s="16">
        <f t="shared" si="45"/>
        <v>0</v>
      </c>
      <c r="DS15" s="16">
        <f t="shared" si="45"/>
        <v>0</v>
      </c>
      <c r="DT15" s="16">
        <f t="shared" si="45"/>
        <v>0</v>
      </c>
      <c r="DU15" s="16">
        <f t="shared" si="45"/>
        <v>0</v>
      </c>
      <c r="DV15" s="16">
        <f t="shared" si="45"/>
        <v>0</v>
      </c>
      <c r="DW15" s="16">
        <f t="shared" si="45"/>
        <v>0</v>
      </c>
      <c r="DX15" s="16">
        <f t="shared" si="45"/>
        <v>0</v>
      </c>
      <c r="DY15" s="16">
        <f t="shared" si="45"/>
        <v>0</v>
      </c>
      <c r="DZ15" s="16">
        <f t="shared" ref="DZ15:EI18" si="46">($I15="S-Curve")*LF15+AND($I15&lt;&gt;"S-Curve",DZ$14&gt;=$E15,DZ$14&lt;=$F15)*($L15/$H15)</f>
        <v>0</v>
      </c>
      <c r="EA15" s="16">
        <f t="shared" si="46"/>
        <v>0</v>
      </c>
      <c r="EB15" s="16">
        <f t="shared" si="46"/>
        <v>0</v>
      </c>
      <c r="EC15" s="16">
        <f t="shared" si="46"/>
        <v>0</v>
      </c>
      <c r="ED15" s="16">
        <f t="shared" si="46"/>
        <v>0</v>
      </c>
      <c r="EE15" s="16">
        <f t="shared" si="46"/>
        <v>0</v>
      </c>
      <c r="EF15" s="16">
        <f t="shared" si="46"/>
        <v>0</v>
      </c>
      <c r="EG15" s="16">
        <f t="shared" si="46"/>
        <v>0</v>
      </c>
      <c r="EH15" s="16">
        <f t="shared" si="46"/>
        <v>0</v>
      </c>
      <c r="EI15" s="16">
        <f t="shared" si="46"/>
        <v>0</v>
      </c>
      <c r="EJ15" s="16">
        <f t="shared" ref="EJ15:ES18" si="47">($I15="S-Curve")*LP15+AND($I15&lt;&gt;"S-Curve",EJ$14&gt;=$E15,EJ$14&lt;=$F15)*($L15/$H15)</f>
        <v>0</v>
      </c>
      <c r="EK15" s="16">
        <f t="shared" si="47"/>
        <v>0</v>
      </c>
      <c r="EL15" s="16">
        <f t="shared" si="47"/>
        <v>0</v>
      </c>
      <c r="EM15" s="16">
        <f t="shared" si="47"/>
        <v>0</v>
      </c>
      <c r="EN15" s="16">
        <f t="shared" si="47"/>
        <v>0</v>
      </c>
      <c r="EO15" s="16">
        <f t="shared" si="47"/>
        <v>0</v>
      </c>
      <c r="EP15" s="16">
        <f t="shared" si="47"/>
        <v>0</v>
      </c>
      <c r="EQ15" s="16">
        <f t="shared" si="47"/>
        <v>0</v>
      </c>
      <c r="ER15" s="16">
        <f t="shared" si="47"/>
        <v>0</v>
      </c>
      <c r="ES15" s="16">
        <f t="shared" si="47"/>
        <v>0</v>
      </c>
      <c r="ET15" s="16">
        <f t="shared" ref="ET15:FC18" si="48">($I15="S-Curve")*LZ15+AND($I15&lt;&gt;"S-Curve",ET$14&gt;=$E15,ET$14&lt;=$F15)*($L15/$H15)</f>
        <v>0</v>
      </c>
      <c r="EU15" s="16">
        <f t="shared" si="48"/>
        <v>0</v>
      </c>
      <c r="EV15" s="16">
        <f t="shared" si="48"/>
        <v>0</v>
      </c>
      <c r="EW15" s="16">
        <f t="shared" si="48"/>
        <v>0</v>
      </c>
      <c r="EX15" s="16">
        <f t="shared" si="48"/>
        <v>0</v>
      </c>
      <c r="EY15" s="16">
        <f t="shared" si="48"/>
        <v>0</v>
      </c>
      <c r="EZ15" s="16">
        <f t="shared" si="48"/>
        <v>0</v>
      </c>
      <c r="FA15" s="16">
        <f t="shared" si="48"/>
        <v>0</v>
      </c>
      <c r="FB15" s="16">
        <f t="shared" si="48"/>
        <v>0</v>
      </c>
      <c r="FC15" s="16">
        <f t="shared" si="48"/>
        <v>0</v>
      </c>
      <c r="FD15" s="16">
        <f t="shared" ref="FD15:FM18" si="49">($I15="S-Curve")*MJ15+AND($I15&lt;&gt;"S-Curve",FD$14&gt;=$E15,FD$14&lt;=$F15)*($L15/$H15)</f>
        <v>0</v>
      </c>
      <c r="FE15" s="16">
        <f t="shared" si="49"/>
        <v>0</v>
      </c>
      <c r="FF15" s="16">
        <f t="shared" si="49"/>
        <v>0</v>
      </c>
      <c r="FG15" s="16">
        <f t="shared" si="49"/>
        <v>0</v>
      </c>
      <c r="FH15" s="16">
        <f t="shared" si="49"/>
        <v>0</v>
      </c>
      <c r="FI15" s="16">
        <f t="shared" si="49"/>
        <v>0</v>
      </c>
      <c r="FJ15" s="16">
        <f t="shared" si="49"/>
        <v>0</v>
      </c>
      <c r="FK15" s="16">
        <f t="shared" si="49"/>
        <v>0</v>
      </c>
      <c r="FL15" s="16">
        <f t="shared" si="49"/>
        <v>0</v>
      </c>
      <c r="FM15" s="16">
        <f t="shared" si="49"/>
        <v>0</v>
      </c>
      <c r="FN15" s="16">
        <f t="shared" ref="FN15:FW18" si="50">($I15="S-Curve")*MT15+AND($I15&lt;&gt;"S-Curve",FN$14&gt;=$E15,FN$14&lt;=$F15)*($L15/$H15)</f>
        <v>0</v>
      </c>
      <c r="FO15" s="16">
        <f t="shared" si="50"/>
        <v>0</v>
      </c>
      <c r="FP15" s="16">
        <f t="shared" si="50"/>
        <v>0</v>
      </c>
      <c r="FQ15" s="16">
        <f t="shared" si="50"/>
        <v>0</v>
      </c>
      <c r="FR15" s="16">
        <f t="shared" si="50"/>
        <v>0</v>
      </c>
      <c r="FS15" s="16">
        <f t="shared" si="50"/>
        <v>0</v>
      </c>
      <c r="FT15" s="16">
        <f t="shared" si="50"/>
        <v>0</v>
      </c>
      <c r="FU15" s="16">
        <f t="shared" si="50"/>
        <v>0</v>
      </c>
      <c r="FV15" s="16">
        <f t="shared" si="50"/>
        <v>0</v>
      </c>
      <c r="FW15" s="16">
        <f t="shared" si="50"/>
        <v>0</v>
      </c>
      <c r="FX15" s="16">
        <f t="shared" ref="FX15:GG18" si="51">($I15="S-Curve")*ND15+AND($I15&lt;&gt;"S-Curve",FX$14&gt;=$E15,FX$14&lt;=$F15)*($L15/$H15)</f>
        <v>0</v>
      </c>
      <c r="FY15" s="16">
        <f t="shared" si="51"/>
        <v>0</v>
      </c>
      <c r="FZ15" s="16">
        <f t="shared" si="51"/>
        <v>0</v>
      </c>
      <c r="GA15" s="16">
        <f t="shared" si="51"/>
        <v>0</v>
      </c>
      <c r="GB15" s="16">
        <f t="shared" si="51"/>
        <v>0</v>
      </c>
      <c r="GC15" s="16">
        <f t="shared" si="51"/>
        <v>0</v>
      </c>
      <c r="GD15" s="16">
        <f t="shared" si="51"/>
        <v>0</v>
      </c>
      <c r="GE15" s="16">
        <f t="shared" si="51"/>
        <v>0</v>
      </c>
      <c r="GF15" s="16">
        <f t="shared" si="51"/>
        <v>0</v>
      </c>
      <c r="GG15" s="16">
        <f t="shared" si="51"/>
        <v>0</v>
      </c>
      <c r="GH15" s="16">
        <f t="shared" ref="GH15:GQ18" si="52">($I15="S-Curve")*NN15+AND($I15&lt;&gt;"S-Curve",GH$14&gt;=$E15,GH$14&lt;=$F15)*($L15/$H15)</f>
        <v>0</v>
      </c>
      <c r="GI15" s="16">
        <f t="shared" si="52"/>
        <v>0</v>
      </c>
      <c r="GJ15" s="16">
        <f t="shared" si="52"/>
        <v>0</v>
      </c>
      <c r="GK15" s="16">
        <f t="shared" si="52"/>
        <v>0</v>
      </c>
      <c r="GL15" s="16">
        <f t="shared" si="52"/>
        <v>0</v>
      </c>
      <c r="GM15" s="16">
        <f t="shared" si="52"/>
        <v>0</v>
      </c>
      <c r="GN15" s="16">
        <f t="shared" si="52"/>
        <v>0</v>
      </c>
      <c r="GO15" s="16">
        <f t="shared" si="52"/>
        <v>0</v>
      </c>
      <c r="GP15" s="16">
        <f t="shared" si="52"/>
        <v>0</v>
      </c>
      <c r="GQ15" s="16">
        <f t="shared" si="52"/>
        <v>0</v>
      </c>
      <c r="GR15" s="9"/>
      <c r="GS15" s="70" t="str">
        <f t="shared" si="30"/>
        <v>Land Purchase</v>
      </c>
      <c r="GT15" s="77">
        <f>L15</f>
        <v>2800000</v>
      </c>
      <c r="GU15" s="78">
        <f t="shared" si="31"/>
        <v>1</v>
      </c>
      <c r="GV15" s="78">
        <f t="shared" si="31"/>
        <v>1</v>
      </c>
      <c r="GW15" s="78">
        <f>H15</f>
        <v>1</v>
      </c>
      <c r="GX15" s="79">
        <f>GW15/6</f>
        <v>0.16666666666666666</v>
      </c>
      <c r="GY15" s="79" t="b">
        <f>ROUND(GT15,0)=ROUND(SUM(GZ15:NW15),0)</f>
        <v>1</v>
      </c>
      <c r="GZ15" s="77">
        <f>AND(GZ$14&gt;=$GU15,GZ$14&lt;=$GV15)*((_xlfn.NORM.DIST(GZ$14-$GU15+1,$GW15/2,$GX15,TRUE)-_xlfn.NORM.DIST(GZ$14-$GU15,$GW15/2,$GX15,TRUE))/(1-2*_xlfn.NORM.DIST(0,$GW15/2,$GX15,TRUE))*$GT15)</f>
        <v>2800000</v>
      </c>
      <c r="HA15" s="77">
        <f t="shared" ref="HA15:HP18" si="53">AND(HA$14&gt;=$GU15,HA$14&lt;=$GV15)*((_xlfn.NORM.DIST(HA$14-$GU15+1,$GW15/2,$GX15,TRUE)-_xlfn.NORM.DIST(HA$14-$GU15,$GW15/2,$GX15,TRUE))/(1-2*_xlfn.NORM.DIST(0,$GW15/2,$GX15,TRUE))*$GT15)</f>
        <v>0</v>
      </c>
      <c r="HB15" s="77">
        <f t="shared" si="53"/>
        <v>0</v>
      </c>
      <c r="HC15" s="77">
        <f t="shared" si="53"/>
        <v>0</v>
      </c>
      <c r="HD15" s="77">
        <f t="shared" si="53"/>
        <v>0</v>
      </c>
      <c r="HE15" s="77">
        <f t="shared" si="53"/>
        <v>0</v>
      </c>
      <c r="HF15" s="77">
        <f t="shared" si="53"/>
        <v>0</v>
      </c>
      <c r="HG15" s="77">
        <f t="shared" si="53"/>
        <v>0</v>
      </c>
      <c r="HH15" s="77">
        <f t="shared" si="53"/>
        <v>0</v>
      </c>
      <c r="HI15" s="77">
        <f t="shared" si="53"/>
        <v>0</v>
      </c>
      <c r="HJ15" s="77">
        <f t="shared" si="53"/>
        <v>0</v>
      </c>
      <c r="HK15" s="77">
        <f t="shared" si="53"/>
        <v>0</v>
      </c>
      <c r="HL15" s="77">
        <f t="shared" si="53"/>
        <v>0</v>
      </c>
      <c r="HM15" s="77">
        <f t="shared" si="53"/>
        <v>0</v>
      </c>
      <c r="HN15" s="77">
        <f t="shared" si="53"/>
        <v>0</v>
      </c>
      <c r="HO15" s="77">
        <f t="shared" si="53"/>
        <v>0</v>
      </c>
      <c r="HP15" s="77">
        <f t="shared" si="53"/>
        <v>0</v>
      </c>
      <c r="HQ15" s="77">
        <f t="shared" ref="HQ15:IF18" si="54">AND(HQ$14&gt;=$GU15,HQ$14&lt;=$GV15)*((_xlfn.NORM.DIST(HQ$14-$GU15+1,$GW15/2,$GX15,TRUE)-_xlfn.NORM.DIST(HQ$14-$GU15,$GW15/2,$GX15,TRUE))/(1-2*_xlfn.NORM.DIST(0,$GW15/2,$GX15,TRUE))*$GT15)</f>
        <v>0</v>
      </c>
      <c r="HR15" s="77">
        <f t="shared" si="54"/>
        <v>0</v>
      </c>
      <c r="HS15" s="77">
        <f t="shared" si="54"/>
        <v>0</v>
      </c>
      <c r="HT15" s="77">
        <f t="shared" si="54"/>
        <v>0</v>
      </c>
      <c r="HU15" s="77">
        <f t="shared" si="54"/>
        <v>0</v>
      </c>
      <c r="HV15" s="77">
        <f t="shared" si="54"/>
        <v>0</v>
      </c>
      <c r="HW15" s="77">
        <f t="shared" si="54"/>
        <v>0</v>
      </c>
      <c r="HX15" s="77">
        <f t="shared" si="54"/>
        <v>0</v>
      </c>
      <c r="HY15" s="77">
        <f t="shared" si="54"/>
        <v>0</v>
      </c>
      <c r="HZ15" s="77">
        <f t="shared" si="54"/>
        <v>0</v>
      </c>
      <c r="IA15" s="77">
        <f t="shared" si="54"/>
        <v>0</v>
      </c>
      <c r="IB15" s="77">
        <f t="shared" si="54"/>
        <v>0</v>
      </c>
      <c r="IC15" s="77">
        <f t="shared" si="54"/>
        <v>0</v>
      </c>
      <c r="ID15" s="77">
        <f t="shared" si="54"/>
        <v>0</v>
      </c>
      <c r="IE15" s="77">
        <f t="shared" si="54"/>
        <v>0</v>
      </c>
      <c r="IF15" s="77">
        <f t="shared" si="54"/>
        <v>0</v>
      </c>
      <c r="IG15" s="77">
        <f t="shared" ref="IG15:IV18" si="55">AND(IG$14&gt;=$GU15,IG$14&lt;=$GV15)*((_xlfn.NORM.DIST(IG$14-$GU15+1,$GW15/2,$GX15,TRUE)-_xlfn.NORM.DIST(IG$14-$GU15,$GW15/2,$GX15,TRUE))/(1-2*_xlfn.NORM.DIST(0,$GW15/2,$GX15,TRUE))*$GT15)</f>
        <v>0</v>
      </c>
      <c r="IH15" s="77">
        <f t="shared" si="55"/>
        <v>0</v>
      </c>
      <c r="II15" s="77">
        <f t="shared" si="55"/>
        <v>0</v>
      </c>
      <c r="IJ15" s="77">
        <f t="shared" si="55"/>
        <v>0</v>
      </c>
      <c r="IK15" s="77">
        <f t="shared" si="55"/>
        <v>0</v>
      </c>
      <c r="IL15" s="77">
        <f t="shared" si="55"/>
        <v>0</v>
      </c>
      <c r="IM15" s="77">
        <f t="shared" si="55"/>
        <v>0</v>
      </c>
      <c r="IN15" s="77">
        <f t="shared" si="55"/>
        <v>0</v>
      </c>
      <c r="IO15" s="77">
        <f t="shared" si="55"/>
        <v>0</v>
      </c>
      <c r="IP15" s="77">
        <f t="shared" si="55"/>
        <v>0</v>
      </c>
      <c r="IQ15" s="77">
        <f t="shared" si="55"/>
        <v>0</v>
      </c>
      <c r="IR15" s="77">
        <f t="shared" si="55"/>
        <v>0</v>
      </c>
      <c r="IS15" s="77">
        <f t="shared" si="55"/>
        <v>0</v>
      </c>
      <c r="IT15" s="77">
        <f t="shared" si="55"/>
        <v>0</v>
      </c>
      <c r="IU15" s="77">
        <f t="shared" si="55"/>
        <v>0</v>
      </c>
      <c r="IV15" s="77">
        <f t="shared" si="55"/>
        <v>0</v>
      </c>
      <c r="IW15" s="77">
        <f t="shared" ref="IW15:JL18" si="56">AND(IW$14&gt;=$GU15,IW$14&lt;=$GV15)*((_xlfn.NORM.DIST(IW$14-$GU15+1,$GW15/2,$GX15,TRUE)-_xlfn.NORM.DIST(IW$14-$GU15,$GW15/2,$GX15,TRUE))/(1-2*_xlfn.NORM.DIST(0,$GW15/2,$GX15,TRUE))*$GT15)</f>
        <v>0</v>
      </c>
      <c r="IX15" s="77">
        <f t="shared" si="56"/>
        <v>0</v>
      </c>
      <c r="IY15" s="77">
        <f t="shared" si="56"/>
        <v>0</v>
      </c>
      <c r="IZ15" s="77">
        <f t="shared" si="56"/>
        <v>0</v>
      </c>
      <c r="JA15" s="77">
        <f t="shared" si="56"/>
        <v>0</v>
      </c>
      <c r="JB15" s="77">
        <f t="shared" si="56"/>
        <v>0</v>
      </c>
      <c r="JC15" s="77">
        <f t="shared" si="56"/>
        <v>0</v>
      </c>
      <c r="JD15" s="77">
        <f t="shared" si="56"/>
        <v>0</v>
      </c>
      <c r="JE15" s="77">
        <f t="shared" si="56"/>
        <v>0</v>
      </c>
      <c r="JF15" s="77">
        <f t="shared" si="56"/>
        <v>0</v>
      </c>
      <c r="JG15" s="77">
        <f t="shared" si="56"/>
        <v>0</v>
      </c>
      <c r="JH15" s="77">
        <f t="shared" si="56"/>
        <v>0</v>
      </c>
      <c r="JI15" s="77">
        <f t="shared" si="56"/>
        <v>0</v>
      </c>
      <c r="JJ15" s="77">
        <f t="shared" si="56"/>
        <v>0</v>
      </c>
      <c r="JK15" s="77">
        <f t="shared" si="56"/>
        <v>0</v>
      </c>
      <c r="JL15" s="77">
        <f t="shared" si="56"/>
        <v>0</v>
      </c>
      <c r="JM15" s="77">
        <f t="shared" ref="JM15:KB18" si="57">AND(JM$14&gt;=$GU15,JM$14&lt;=$GV15)*((_xlfn.NORM.DIST(JM$14-$GU15+1,$GW15/2,$GX15,TRUE)-_xlfn.NORM.DIST(JM$14-$GU15,$GW15/2,$GX15,TRUE))/(1-2*_xlfn.NORM.DIST(0,$GW15/2,$GX15,TRUE))*$GT15)</f>
        <v>0</v>
      </c>
      <c r="JN15" s="77">
        <f t="shared" si="57"/>
        <v>0</v>
      </c>
      <c r="JO15" s="77">
        <f t="shared" si="57"/>
        <v>0</v>
      </c>
      <c r="JP15" s="77">
        <f t="shared" si="57"/>
        <v>0</v>
      </c>
      <c r="JQ15" s="77">
        <f t="shared" si="57"/>
        <v>0</v>
      </c>
      <c r="JR15" s="77">
        <f t="shared" si="57"/>
        <v>0</v>
      </c>
      <c r="JS15" s="77">
        <f t="shared" si="57"/>
        <v>0</v>
      </c>
      <c r="JT15" s="77">
        <f t="shared" si="57"/>
        <v>0</v>
      </c>
      <c r="JU15" s="77">
        <f t="shared" si="57"/>
        <v>0</v>
      </c>
      <c r="JV15" s="77">
        <f t="shared" si="57"/>
        <v>0</v>
      </c>
      <c r="JW15" s="77">
        <f t="shared" si="57"/>
        <v>0</v>
      </c>
      <c r="JX15" s="77">
        <f t="shared" si="57"/>
        <v>0</v>
      </c>
      <c r="JY15" s="77">
        <f t="shared" si="57"/>
        <v>0</v>
      </c>
      <c r="JZ15" s="77">
        <f t="shared" si="57"/>
        <v>0</v>
      </c>
      <c r="KA15" s="77">
        <f t="shared" si="57"/>
        <v>0</v>
      </c>
      <c r="KB15" s="77">
        <f t="shared" si="57"/>
        <v>0</v>
      </c>
      <c r="KC15" s="77">
        <f t="shared" ref="KC15:KR18" si="58">AND(KC$14&gt;=$GU15,KC$14&lt;=$GV15)*((_xlfn.NORM.DIST(KC$14-$GU15+1,$GW15/2,$GX15,TRUE)-_xlfn.NORM.DIST(KC$14-$GU15,$GW15/2,$GX15,TRUE))/(1-2*_xlfn.NORM.DIST(0,$GW15/2,$GX15,TRUE))*$GT15)</f>
        <v>0</v>
      </c>
      <c r="KD15" s="77">
        <f t="shared" si="58"/>
        <v>0</v>
      </c>
      <c r="KE15" s="77">
        <f t="shared" si="58"/>
        <v>0</v>
      </c>
      <c r="KF15" s="77">
        <f t="shared" si="58"/>
        <v>0</v>
      </c>
      <c r="KG15" s="77">
        <f t="shared" si="58"/>
        <v>0</v>
      </c>
      <c r="KH15" s="77">
        <f t="shared" si="58"/>
        <v>0</v>
      </c>
      <c r="KI15" s="77">
        <f t="shared" si="58"/>
        <v>0</v>
      </c>
      <c r="KJ15" s="77">
        <f t="shared" si="58"/>
        <v>0</v>
      </c>
      <c r="KK15" s="77">
        <f t="shared" si="58"/>
        <v>0</v>
      </c>
      <c r="KL15" s="77">
        <f t="shared" si="58"/>
        <v>0</v>
      </c>
      <c r="KM15" s="77">
        <f t="shared" si="58"/>
        <v>0</v>
      </c>
      <c r="KN15" s="77">
        <f t="shared" si="58"/>
        <v>0</v>
      </c>
      <c r="KO15" s="77">
        <f t="shared" si="58"/>
        <v>0</v>
      </c>
      <c r="KP15" s="77">
        <f t="shared" si="58"/>
        <v>0</v>
      </c>
      <c r="KQ15" s="77">
        <f t="shared" si="58"/>
        <v>0</v>
      </c>
      <c r="KR15" s="77">
        <f t="shared" si="58"/>
        <v>0</v>
      </c>
      <c r="KS15" s="77">
        <f t="shared" ref="KS15:LH18" si="59">AND(KS$14&gt;=$GU15,KS$14&lt;=$GV15)*((_xlfn.NORM.DIST(KS$14-$GU15+1,$GW15/2,$GX15,TRUE)-_xlfn.NORM.DIST(KS$14-$GU15,$GW15/2,$GX15,TRUE))/(1-2*_xlfn.NORM.DIST(0,$GW15/2,$GX15,TRUE))*$GT15)</f>
        <v>0</v>
      </c>
      <c r="KT15" s="77">
        <f t="shared" si="59"/>
        <v>0</v>
      </c>
      <c r="KU15" s="77">
        <f t="shared" si="59"/>
        <v>0</v>
      </c>
      <c r="KV15" s="77">
        <f t="shared" si="59"/>
        <v>0</v>
      </c>
      <c r="KW15" s="77">
        <f t="shared" si="59"/>
        <v>0</v>
      </c>
      <c r="KX15" s="77">
        <f t="shared" si="59"/>
        <v>0</v>
      </c>
      <c r="KY15" s="77">
        <f t="shared" si="59"/>
        <v>0</v>
      </c>
      <c r="KZ15" s="77">
        <f t="shared" si="59"/>
        <v>0</v>
      </c>
      <c r="LA15" s="77">
        <f t="shared" si="59"/>
        <v>0</v>
      </c>
      <c r="LB15" s="77">
        <f t="shared" si="59"/>
        <v>0</v>
      </c>
      <c r="LC15" s="77">
        <f t="shared" si="59"/>
        <v>0</v>
      </c>
      <c r="LD15" s="77">
        <f t="shared" si="59"/>
        <v>0</v>
      </c>
      <c r="LE15" s="77">
        <f t="shared" si="59"/>
        <v>0</v>
      </c>
      <c r="LF15" s="77">
        <f t="shared" si="59"/>
        <v>0</v>
      </c>
      <c r="LG15" s="77">
        <f t="shared" si="59"/>
        <v>0</v>
      </c>
      <c r="LH15" s="77">
        <f t="shared" si="59"/>
        <v>0</v>
      </c>
      <c r="LI15" s="77">
        <f t="shared" ref="LI15:LX18" si="60">AND(LI$14&gt;=$GU15,LI$14&lt;=$GV15)*((_xlfn.NORM.DIST(LI$14-$GU15+1,$GW15/2,$GX15,TRUE)-_xlfn.NORM.DIST(LI$14-$GU15,$GW15/2,$GX15,TRUE))/(1-2*_xlfn.NORM.DIST(0,$GW15/2,$GX15,TRUE))*$GT15)</f>
        <v>0</v>
      </c>
      <c r="LJ15" s="77">
        <f t="shared" si="60"/>
        <v>0</v>
      </c>
      <c r="LK15" s="77">
        <f t="shared" si="60"/>
        <v>0</v>
      </c>
      <c r="LL15" s="77">
        <f t="shared" si="60"/>
        <v>0</v>
      </c>
      <c r="LM15" s="77">
        <f t="shared" si="60"/>
        <v>0</v>
      </c>
      <c r="LN15" s="77">
        <f t="shared" si="60"/>
        <v>0</v>
      </c>
      <c r="LO15" s="77">
        <f t="shared" si="60"/>
        <v>0</v>
      </c>
      <c r="LP15" s="77">
        <f t="shared" si="60"/>
        <v>0</v>
      </c>
      <c r="LQ15" s="77">
        <f t="shared" si="60"/>
        <v>0</v>
      </c>
      <c r="LR15" s="77">
        <f t="shared" si="60"/>
        <v>0</v>
      </c>
      <c r="LS15" s="77">
        <f t="shared" si="60"/>
        <v>0</v>
      </c>
      <c r="LT15" s="77">
        <f t="shared" si="60"/>
        <v>0</v>
      </c>
      <c r="LU15" s="77">
        <f t="shared" si="60"/>
        <v>0</v>
      </c>
      <c r="LV15" s="77">
        <f t="shared" si="60"/>
        <v>0</v>
      </c>
      <c r="LW15" s="77">
        <f t="shared" si="60"/>
        <v>0</v>
      </c>
      <c r="LX15" s="77">
        <f t="shared" si="60"/>
        <v>0</v>
      </c>
      <c r="LY15" s="77">
        <f t="shared" ref="LY15:MN18" si="61">AND(LY$14&gt;=$GU15,LY$14&lt;=$GV15)*((_xlfn.NORM.DIST(LY$14-$GU15+1,$GW15/2,$GX15,TRUE)-_xlfn.NORM.DIST(LY$14-$GU15,$GW15/2,$GX15,TRUE))/(1-2*_xlfn.NORM.DIST(0,$GW15/2,$GX15,TRUE))*$GT15)</f>
        <v>0</v>
      </c>
      <c r="LZ15" s="77">
        <f t="shared" si="61"/>
        <v>0</v>
      </c>
      <c r="MA15" s="77">
        <f t="shared" si="61"/>
        <v>0</v>
      </c>
      <c r="MB15" s="77">
        <f t="shared" si="61"/>
        <v>0</v>
      </c>
      <c r="MC15" s="77">
        <f t="shared" si="61"/>
        <v>0</v>
      </c>
      <c r="MD15" s="77">
        <f t="shared" si="61"/>
        <v>0</v>
      </c>
      <c r="ME15" s="77">
        <f t="shared" si="61"/>
        <v>0</v>
      </c>
      <c r="MF15" s="77">
        <f t="shared" si="61"/>
        <v>0</v>
      </c>
      <c r="MG15" s="77">
        <f t="shared" si="61"/>
        <v>0</v>
      </c>
      <c r="MH15" s="77">
        <f t="shared" si="61"/>
        <v>0</v>
      </c>
      <c r="MI15" s="77">
        <f t="shared" si="61"/>
        <v>0</v>
      </c>
      <c r="MJ15" s="77">
        <f t="shared" si="61"/>
        <v>0</v>
      </c>
      <c r="MK15" s="77">
        <f t="shared" si="61"/>
        <v>0</v>
      </c>
      <c r="ML15" s="77">
        <f t="shared" si="61"/>
        <v>0</v>
      </c>
      <c r="MM15" s="77">
        <f t="shared" si="61"/>
        <v>0</v>
      </c>
      <c r="MN15" s="77">
        <f t="shared" si="61"/>
        <v>0</v>
      </c>
      <c r="MO15" s="77">
        <f t="shared" ref="MO15:ND18" si="62">AND(MO$14&gt;=$GU15,MO$14&lt;=$GV15)*((_xlfn.NORM.DIST(MO$14-$GU15+1,$GW15/2,$GX15,TRUE)-_xlfn.NORM.DIST(MO$14-$GU15,$GW15/2,$GX15,TRUE))/(1-2*_xlfn.NORM.DIST(0,$GW15/2,$GX15,TRUE))*$GT15)</f>
        <v>0</v>
      </c>
      <c r="MP15" s="77">
        <f t="shared" si="62"/>
        <v>0</v>
      </c>
      <c r="MQ15" s="77">
        <f t="shared" si="62"/>
        <v>0</v>
      </c>
      <c r="MR15" s="77">
        <f t="shared" si="62"/>
        <v>0</v>
      </c>
      <c r="MS15" s="77">
        <f t="shared" si="62"/>
        <v>0</v>
      </c>
      <c r="MT15" s="77">
        <f t="shared" si="62"/>
        <v>0</v>
      </c>
      <c r="MU15" s="77">
        <f t="shared" si="62"/>
        <v>0</v>
      </c>
      <c r="MV15" s="77">
        <f t="shared" si="62"/>
        <v>0</v>
      </c>
      <c r="MW15" s="77">
        <f t="shared" si="62"/>
        <v>0</v>
      </c>
      <c r="MX15" s="77">
        <f t="shared" si="62"/>
        <v>0</v>
      </c>
      <c r="MY15" s="77">
        <f t="shared" si="62"/>
        <v>0</v>
      </c>
      <c r="MZ15" s="77">
        <f t="shared" si="62"/>
        <v>0</v>
      </c>
      <c r="NA15" s="77">
        <f t="shared" si="62"/>
        <v>0</v>
      </c>
      <c r="NB15" s="77">
        <f t="shared" si="62"/>
        <v>0</v>
      </c>
      <c r="NC15" s="77">
        <f t="shared" si="62"/>
        <v>0</v>
      </c>
      <c r="ND15" s="77">
        <f t="shared" si="62"/>
        <v>0</v>
      </c>
      <c r="NE15" s="77">
        <f t="shared" ref="NE15:NT18" si="63">AND(NE$14&gt;=$GU15,NE$14&lt;=$GV15)*((_xlfn.NORM.DIST(NE$14-$GU15+1,$GW15/2,$GX15,TRUE)-_xlfn.NORM.DIST(NE$14-$GU15,$GW15/2,$GX15,TRUE))/(1-2*_xlfn.NORM.DIST(0,$GW15/2,$GX15,TRUE))*$GT15)</f>
        <v>0</v>
      </c>
      <c r="NF15" s="77">
        <f t="shared" si="63"/>
        <v>0</v>
      </c>
      <c r="NG15" s="77">
        <f t="shared" si="63"/>
        <v>0</v>
      </c>
      <c r="NH15" s="77">
        <f t="shared" si="63"/>
        <v>0</v>
      </c>
      <c r="NI15" s="77">
        <f t="shared" si="63"/>
        <v>0</v>
      </c>
      <c r="NJ15" s="77">
        <f t="shared" si="63"/>
        <v>0</v>
      </c>
      <c r="NK15" s="77">
        <f t="shared" si="63"/>
        <v>0</v>
      </c>
      <c r="NL15" s="77">
        <f t="shared" si="63"/>
        <v>0</v>
      </c>
      <c r="NM15" s="77">
        <f t="shared" si="63"/>
        <v>0</v>
      </c>
      <c r="NN15" s="77">
        <f t="shared" si="63"/>
        <v>0</v>
      </c>
      <c r="NO15" s="77">
        <f t="shared" si="63"/>
        <v>0</v>
      </c>
      <c r="NP15" s="77">
        <f t="shared" si="63"/>
        <v>0</v>
      </c>
      <c r="NQ15" s="77">
        <f t="shared" si="63"/>
        <v>0</v>
      </c>
      <c r="NR15" s="77">
        <f t="shared" si="63"/>
        <v>0</v>
      </c>
      <c r="NS15" s="77">
        <f t="shared" si="63"/>
        <v>0</v>
      </c>
      <c r="NT15" s="77">
        <f t="shared" si="63"/>
        <v>0</v>
      </c>
      <c r="NU15" s="77">
        <f t="shared" ref="NU15:NW18" si="64">AND(NU$14&gt;=$GU15,NU$14&lt;=$GV15)*((_xlfn.NORM.DIST(NU$14-$GU15+1,$GW15/2,$GX15,TRUE)-_xlfn.NORM.DIST(NU$14-$GU15,$GW15/2,$GX15,TRUE))/(1-2*_xlfn.NORM.DIST(0,$GW15/2,$GX15,TRUE))*$GT15)</f>
        <v>0</v>
      </c>
      <c r="NV15" s="77">
        <f t="shared" si="64"/>
        <v>0</v>
      </c>
      <c r="NW15" s="77">
        <f t="shared" si="64"/>
        <v>0</v>
      </c>
      <c r="NX15" s="10"/>
    </row>
    <row r="16" spans="2:388" x14ac:dyDescent="0.3">
      <c r="B16" s="26" t="s">
        <v>197</v>
      </c>
      <c r="C16" s="18"/>
      <c r="D16" s="19"/>
      <c r="E16" s="27">
        <v>1</v>
      </c>
      <c r="F16" s="27">
        <v>1</v>
      </c>
      <c r="G16" s="21"/>
      <c r="H16" s="28">
        <f>F16-E16+1</f>
        <v>1</v>
      </c>
      <c r="I16" s="21" t="s">
        <v>195</v>
      </c>
      <c r="J16" s="23">
        <f>L16/$L$8</f>
        <v>239.13043478260869</v>
      </c>
      <c r="K16" s="29">
        <f>L16/$L$7</f>
        <v>3.1609195402298854E-2</v>
      </c>
      <c r="L16" s="30">
        <v>55000</v>
      </c>
      <c r="N16" s="9" t="s">
        <v>198</v>
      </c>
      <c r="S16" s="69" t="str">
        <f>IF(ROUND(L16,0)=ROUND(SUM(T16:GQ16),0),"OK","ERROR")</f>
        <v>OK</v>
      </c>
      <c r="T16" s="16">
        <f t="shared" si="35"/>
        <v>55000</v>
      </c>
      <c r="U16" s="16">
        <f t="shared" si="35"/>
        <v>0</v>
      </c>
      <c r="V16" s="16">
        <f t="shared" si="35"/>
        <v>0</v>
      </c>
      <c r="W16" s="16">
        <f t="shared" si="35"/>
        <v>0</v>
      </c>
      <c r="X16" s="16">
        <f t="shared" si="35"/>
        <v>0</v>
      </c>
      <c r="Y16" s="16">
        <f t="shared" si="35"/>
        <v>0</v>
      </c>
      <c r="Z16" s="16">
        <f t="shared" si="35"/>
        <v>0</v>
      </c>
      <c r="AA16" s="16">
        <f t="shared" si="35"/>
        <v>0</v>
      </c>
      <c r="AB16" s="16">
        <f t="shared" si="35"/>
        <v>0</v>
      </c>
      <c r="AC16" s="16">
        <f t="shared" si="35"/>
        <v>0</v>
      </c>
      <c r="AD16" s="16">
        <f t="shared" si="36"/>
        <v>0</v>
      </c>
      <c r="AE16" s="16">
        <f t="shared" si="36"/>
        <v>0</v>
      </c>
      <c r="AF16" s="16">
        <f t="shared" si="36"/>
        <v>0</v>
      </c>
      <c r="AG16" s="16">
        <f t="shared" si="36"/>
        <v>0</v>
      </c>
      <c r="AH16" s="16">
        <f t="shared" si="36"/>
        <v>0</v>
      </c>
      <c r="AI16" s="16">
        <f t="shared" si="36"/>
        <v>0</v>
      </c>
      <c r="AJ16" s="16">
        <f t="shared" si="36"/>
        <v>0</v>
      </c>
      <c r="AK16" s="16">
        <f t="shared" si="36"/>
        <v>0</v>
      </c>
      <c r="AL16" s="16">
        <f t="shared" si="36"/>
        <v>0</v>
      </c>
      <c r="AM16" s="16">
        <f t="shared" si="36"/>
        <v>0</v>
      </c>
      <c r="AN16" s="16">
        <f t="shared" si="37"/>
        <v>0</v>
      </c>
      <c r="AO16" s="16">
        <f t="shared" si="37"/>
        <v>0</v>
      </c>
      <c r="AP16" s="16">
        <f t="shared" si="37"/>
        <v>0</v>
      </c>
      <c r="AQ16" s="16">
        <f t="shared" si="37"/>
        <v>0</v>
      </c>
      <c r="AR16" s="16">
        <f t="shared" si="37"/>
        <v>0</v>
      </c>
      <c r="AS16" s="16">
        <f t="shared" si="37"/>
        <v>0</v>
      </c>
      <c r="AT16" s="16">
        <f t="shared" si="37"/>
        <v>0</v>
      </c>
      <c r="AU16" s="16">
        <f t="shared" si="37"/>
        <v>0</v>
      </c>
      <c r="AV16" s="16">
        <f t="shared" si="37"/>
        <v>0</v>
      </c>
      <c r="AW16" s="16">
        <f t="shared" si="37"/>
        <v>0</v>
      </c>
      <c r="AX16" s="16">
        <f t="shared" si="38"/>
        <v>0</v>
      </c>
      <c r="AY16" s="16">
        <f t="shared" si="38"/>
        <v>0</v>
      </c>
      <c r="AZ16" s="16">
        <f t="shared" si="38"/>
        <v>0</v>
      </c>
      <c r="BA16" s="16">
        <f t="shared" si="38"/>
        <v>0</v>
      </c>
      <c r="BB16" s="16">
        <f t="shared" si="38"/>
        <v>0</v>
      </c>
      <c r="BC16" s="16">
        <f t="shared" si="38"/>
        <v>0</v>
      </c>
      <c r="BD16" s="16">
        <f t="shared" si="38"/>
        <v>0</v>
      </c>
      <c r="BE16" s="16">
        <f t="shared" si="38"/>
        <v>0</v>
      </c>
      <c r="BF16" s="16">
        <f t="shared" si="38"/>
        <v>0</v>
      </c>
      <c r="BG16" s="16">
        <f t="shared" si="38"/>
        <v>0</v>
      </c>
      <c r="BH16" s="16">
        <f t="shared" si="39"/>
        <v>0</v>
      </c>
      <c r="BI16" s="16">
        <f t="shared" si="39"/>
        <v>0</v>
      </c>
      <c r="BJ16" s="16">
        <f t="shared" si="39"/>
        <v>0</v>
      </c>
      <c r="BK16" s="16">
        <f t="shared" si="39"/>
        <v>0</v>
      </c>
      <c r="BL16" s="16">
        <f t="shared" si="39"/>
        <v>0</v>
      </c>
      <c r="BM16" s="16">
        <f t="shared" si="39"/>
        <v>0</v>
      </c>
      <c r="BN16" s="16">
        <f t="shared" si="39"/>
        <v>0</v>
      </c>
      <c r="BO16" s="16">
        <f t="shared" si="39"/>
        <v>0</v>
      </c>
      <c r="BP16" s="16">
        <f t="shared" si="39"/>
        <v>0</v>
      </c>
      <c r="BQ16" s="16">
        <f t="shared" si="39"/>
        <v>0</v>
      </c>
      <c r="BR16" s="16">
        <f t="shared" si="40"/>
        <v>0</v>
      </c>
      <c r="BS16" s="16">
        <f t="shared" si="40"/>
        <v>0</v>
      </c>
      <c r="BT16" s="16">
        <f t="shared" si="40"/>
        <v>0</v>
      </c>
      <c r="BU16" s="16">
        <f t="shared" si="40"/>
        <v>0</v>
      </c>
      <c r="BV16" s="16">
        <f t="shared" si="40"/>
        <v>0</v>
      </c>
      <c r="BW16" s="16">
        <f t="shared" si="40"/>
        <v>0</v>
      </c>
      <c r="BX16" s="16">
        <f t="shared" si="40"/>
        <v>0</v>
      </c>
      <c r="BY16" s="16">
        <f t="shared" si="40"/>
        <v>0</v>
      </c>
      <c r="BZ16" s="16">
        <f t="shared" si="40"/>
        <v>0</v>
      </c>
      <c r="CA16" s="16">
        <f t="shared" si="40"/>
        <v>0</v>
      </c>
      <c r="CB16" s="16">
        <f t="shared" si="41"/>
        <v>0</v>
      </c>
      <c r="CC16" s="16">
        <f t="shared" si="41"/>
        <v>0</v>
      </c>
      <c r="CD16" s="16">
        <f t="shared" si="41"/>
        <v>0</v>
      </c>
      <c r="CE16" s="16">
        <f t="shared" si="41"/>
        <v>0</v>
      </c>
      <c r="CF16" s="16">
        <f t="shared" si="41"/>
        <v>0</v>
      </c>
      <c r="CG16" s="16">
        <f t="shared" si="41"/>
        <v>0</v>
      </c>
      <c r="CH16" s="16">
        <f t="shared" si="41"/>
        <v>0</v>
      </c>
      <c r="CI16" s="16">
        <f t="shared" si="41"/>
        <v>0</v>
      </c>
      <c r="CJ16" s="16">
        <f t="shared" si="41"/>
        <v>0</v>
      </c>
      <c r="CK16" s="16">
        <f t="shared" si="41"/>
        <v>0</v>
      </c>
      <c r="CL16" s="16">
        <f t="shared" si="42"/>
        <v>0</v>
      </c>
      <c r="CM16" s="16">
        <f t="shared" si="42"/>
        <v>0</v>
      </c>
      <c r="CN16" s="16">
        <f t="shared" si="42"/>
        <v>0</v>
      </c>
      <c r="CO16" s="16">
        <f t="shared" si="42"/>
        <v>0</v>
      </c>
      <c r="CP16" s="16">
        <f t="shared" si="42"/>
        <v>0</v>
      </c>
      <c r="CQ16" s="16">
        <f t="shared" si="42"/>
        <v>0</v>
      </c>
      <c r="CR16" s="16">
        <f t="shared" si="42"/>
        <v>0</v>
      </c>
      <c r="CS16" s="16">
        <f t="shared" si="42"/>
        <v>0</v>
      </c>
      <c r="CT16" s="16">
        <f t="shared" si="42"/>
        <v>0</v>
      </c>
      <c r="CU16" s="16">
        <f t="shared" si="42"/>
        <v>0</v>
      </c>
      <c r="CV16" s="16">
        <f t="shared" si="43"/>
        <v>0</v>
      </c>
      <c r="CW16" s="16">
        <f t="shared" si="43"/>
        <v>0</v>
      </c>
      <c r="CX16" s="16">
        <f t="shared" si="43"/>
        <v>0</v>
      </c>
      <c r="CY16" s="16">
        <f t="shared" si="43"/>
        <v>0</v>
      </c>
      <c r="CZ16" s="16">
        <f t="shared" si="43"/>
        <v>0</v>
      </c>
      <c r="DA16" s="16">
        <f t="shared" si="43"/>
        <v>0</v>
      </c>
      <c r="DB16" s="16">
        <f t="shared" si="43"/>
        <v>0</v>
      </c>
      <c r="DC16" s="16">
        <f t="shared" si="43"/>
        <v>0</v>
      </c>
      <c r="DD16" s="16">
        <f t="shared" si="43"/>
        <v>0</v>
      </c>
      <c r="DE16" s="16">
        <f t="shared" si="43"/>
        <v>0</v>
      </c>
      <c r="DF16" s="16">
        <f t="shared" si="44"/>
        <v>0</v>
      </c>
      <c r="DG16" s="16">
        <f t="shared" si="44"/>
        <v>0</v>
      </c>
      <c r="DH16" s="16">
        <f t="shared" si="44"/>
        <v>0</v>
      </c>
      <c r="DI16" s="16">
        <f t="shared" si="44"/>
        <v>0</v>
      </c>
      <c r="DJ16" s="16">
        <f t="shared" si="44"/>
        <v>0</v>
      </c>
      <c r="DK16" s="16">
        <f t="shared" si="44"/>
        <v>0</v>
      </c>
      <c r="DL16" s="16">
        <f t="shared" si="44"/>
        <v>0</v>
      </c>
      <c r="DM16" s="16">
        <f t="shared" si="44"/>
        <v>0</v>
      </c>
      <c r="DN16" s="16">
        <f t="shared" si="44"/>
        <v>0</v>
      </c>
      <c r="DO16" s="16">
        <f t="shared" si="44"/>
        <v>0</v>
      </c>
      <c r="DP16" s="16">
        <f t="shared" si="45"/>
        <v>0</v>
      </c>
      <c r="DQ16" s="16">
        <f t="shared" si="45"/>
        <v>0</v>
      </c>
      <c r="DR16" s="16">
        <f t="shared" si="45"/>
        <v>0</v>
      </c>
      <c r="DS16" s="16">
        <f t="shared" si="45"/>
        <v>0</v>
      </c>
      <c r="DT16" s="16">
        <f t="shared" si="45"/>
        <v>0</v>
      </c>
      <c r="DU16" s="16">
        <f t="shared" si="45"/>
        <v>0</v>
      </c>
      <c r="DV16" s="16">
        <f t="shared" si="45"/>
        <v>0</v>
      </c>
      <c r="DW16" s="16">
        <f t="shared" si="45"/>
        <v>0</v>
      </c>
      <c r="DX16" s="16">
        <f t="shared" si="45"/>
        <v>0</v>
      </c>
      <c r="DY16" s="16">
        <f t="shared" si="45"/>
        <v>0</v>
      </c>
      <c r="DZ16" s="16">
        <f t="shared" si="46"/>
        <v>0</v>
      </c>
      <c r="EA16" s="16">
        <f t="shared" si="46"/>
        <v>0</v>
      </c>
      <c r="EB16" s="16">
        <f t="shared" si="46"/>
        <v>0</v>
      </c>
      <c r="EC16" s="16">
        <f t="shared" si="46"/>
        <v>0</v>
      </c>
      <c r="ED16" s="16">
        <f t="shared" si="46"/>
        <v>0</v>
      </c>
      <c r="EE16" s="16">
        <f t="shared" si="46"/>
        <v>0</v>
      </c>
      <c r="EF16" s="16">
        <f t="shared" si="46"/>
        <v>0</v>
      </c>
      <c r="EG16" s="16">
        <f t="shared" si="46"/>
        <v>0</v>
      </c>
      <c r="EH16" s="16">
        <f t="shared" si="46"/>
        <v>0</v>
      </c>
      <c r="EI16" s="16">
        <f t="shared" si="46"/>
        <v>0</v>
      </c>
      <c r="EJ16" s="16">
        <f t="shared" si="47"/>
        <v>0</v>
      </c>
      <c r="EK16" s="16">
        <f t="shared" si="47"/>
        <v>0</v>
      </c>
      <c r="EL16" s="16">
        <f t="shared" si="47"/>
        <v>0</v>
      </c>
      <c r="EM16" s="16">
        <f t="shared" si="47"/>
        <v>0</v>
      </c>
      <c r="EN16" s="16">
        <f t="shared" si="47"/>
        <v>0</v>
      </c>
      <c r="EO16" s="16">
        <f t="shared" si="47"/>
        <v>0</v>
      </c>
      <c r="EP16" s="16">
        <f t="shared" si="47"/>
        <v>0</v>
      </c>
      <c r="EQ16" s="16">
        <f t="shared" si="47"/>
        <v>0</v>
      </c>
      <c r="ER16" s="16">
        <f t="shared" si="47"/>
        <v>0</v>
      </c>
      <c r="ES16" s="16">
        <f t="shared" si="47"/>
        <v>0</v>
      </c>
      <c r="ET16" s="16">
        <f t="shared" si="48"/>
        <v>0</v>
      </c>
      <c r="EU16" s="16">
        <f t="shared" si="48"/>
        <v>0</v>
      </c>
      <c r="EV16" s="16">
        <f t="shared" si="48"/>
        <v>0</v>
      </c>
      <c r="EW16" s="16">
        <f t="shared" si="48"/>
        <v>0</v>
      </c>
      <c r="EX16" s="16">
        <f t="shared" si="48"/>
        <v>0</v>
      </c>
      <c r="EY16" s="16">
        <f t="shared" si="48"/>
        <v>0</v>
      </c>
      <c r="EZ16" s="16">
        <f t="shared" si="48"/>
        <v>0</v>
      </c>
      <c r="FA16" s="16">
        <f t="shared" si="48"/>
        <v>0</v>
      </c>
      <c r="FB16" s="16">
        <f t="shared" si="48"/>
        <v>0</v>
      </c>
      <c r="FC16" s="16">
        <f t="shared" si="48"/>
        <v>0</v>
      </c>
      <c r="FD16" s="16">
        <f t="shared" si="49"/>
        <v>0</v>
      </c>
      <c r="FE16" s="16">
        <f t="shared" si="49"/>
        <v>0</v>
      </c>
      <c r="FF16" s="16">
        <f t="shared" si="49"/>
        <v>0</v>
      </c>
      <c r="FG16" s="16">
        <f t="shared" si="49"/>
        <v>0</v>
      </c>
      <c r="FH16" s="16">
        <f t="shared" si="49"/>
        <v>0</v>
      </c>
      <c r="FI16" s="16">
        <f t="shared" si="49"/>
        <v>0</v>
      </c>
      <c r="FJ16" s="16">
        <f t="shared" si="49"/>
        <v>0</v>
      </c>
      <c r="FK16" s="16">
        <f t="shared" si="49"/>
        <v>0</v>
      </c>
      <c r="FL16" s="16">
        <f t="shared" si="49"/>
        <v>0</v>
      </c>
      <c r="FM16" s="16">
        <f t="shared" si="49"/>
        <v>0</v>
      </c>
      <c r="FN16" s="16">
        <f t="shared" si="50"/>
        <v>0</v>
      </c>
      <c r="FO16" s="16">
        <f t="shared" si="50"/>
        <v>0</v>
      </c>
      <c r="FP16" s="16">
        <f t="shared" si="50"/>
        <v>0</v>
      </c>
      <c r="FQ16" s="16">
        <f t="shared" si="50"/>
        <v>0</v>
      </c>
      <c r="FR16" s="16">
        <f t="shared" si="50"/>
        <v>0</v>
      </c>
      <c r="FS16" s="16">
        <f t="shared" si="50"/>
        <v>0</v>
      </c>
      <c r="FT16" s="16">
        <f t="shared" si="50"/>
        <v>0</v>
      </c>
      <c r="FU16" s="16">
        <f t="shared" si="50"/>
        <v>0</v>
      </c>
      <c r="FV16" s="16">
        <f t="shared" si="50"/>
        <v>0</v>
      </c>
      <c r="FW16" s="16">
        <f t="shared" si="50"/>
        <v>0</v>
      </c>
      <c r="FX16" s="16">
        <f t="shared" si="51"/>
        <v>0</v>
      </c>
      <c r="FY16" s="16">
        <f t="shared" si="51"/>
        <v>0</v>
      </c>
      <c r="FZ16" s="16">
        <f t="shared" si="51"/>
        <v>0</v>
      </c>
      <c r="GA16" s="16">
        <f t="shared" si="51"/>
        <v>0</v>
      </c>
      <c r="GB16" s="16">
        <f t="shared" si="51"/>
        <v>0</v>
      </c>
      <c r="GC16" s="16">
        <f t="shared" si="51"/>
        <v>0</v>
      </c>
      <c r="GD16" s="16">
        <f t="shared" si="51"/>
        <v>0</v>
      </c>
      <c r="GE16" s="16">
        <f t="shared" si="51"/>
        <v>0</v>
      </c>
      <c r="GF16" s="16">
        <f t="shared" si="51"/>
        <v>0</v>
      </c>
      <c r="GG16" s="16">
        <f t="shared" si="51"/>
        <v>0</v>
      </c>
      <c r="GH16" s="16">
        <f t="shared" si="52"/>
        <v>0</v>
      </c>
      <c r="GI16" s="16">
        <f t="shared" si="52"/>
        <v>0</v>
      </c>
      <c r="GJ16" s="16">
        <f t="shared" si="52"/>
        <v>0</v>
      </c>
      <c r="GK16" s="16">
        <f t="shared" si="52"/>
        <v>0</v>
      </c>
      <c r="GL16" s="16">
        <f t="shared" si="52"/>
        <v>0</v>
      </c>
      <c r="GM16" s="16">
        <f t="shared" si="52"/>
        <v>0</v>
      </c>
      <c r="GN16" s="16">
        <f t="shared" si="52"/>
        <v>0</v>
      </c>
      <c r="GO16" s="16">
        <f t="shared" si="52"/>
        <v>0</v>
      </c>
      <c r="GP16" s="16">
        <f t="shared" si="52"/>
        <v>0</v>
      </c>
      <c r="GQ16" s="16">
        <f t="shared" si="52"/>
        <v>0</v>
      </c>
      <c r="GR16" s="9"/>
      <c r="GS16" s="70" t="str">
        <f t="shared" si="30"/>
        <v>Due Diligence</v>
      </c>
      <c r="GT16" s="77">
        <f>L16</f>
        <v>55000</v>
      </c>
      <c r="GU16" s="78">
        <f t="shared" si="31"/>
        <v>1</v>
      </c>
      <c r="GV16" s="78">
        <f t="shared" si="31"/>
        <v>1</v>
      </c>
      <c r="GW16" s="78">
        <f>H16</f>
        <v>1</v>
      </c>
      <c r="GX16" s="79">
        <f>GW16/6</f>
        <v>0.16666666666666666</v>
      </c>
      <c r="GY16" s="79" t="b">
        <f>ROUND(GT16,0)=ROUND(SUM(GZ16:NW16),0)</f>
        <v>1</v>
      </c>
      <c r="GZ16" s="77">
        <f>AND(GZ$14&gt;=$GU16,GZ$14&lt;=$GV16)*((_xlfn.NORM.DIST(GZ$14-$GU16+1,$GW16/2,$GX16,TRUE)-_xlfn.NORM.DIST(GZ$14-$GU16,$GW16/2,$GX16,TRUE))/(1-2*_xlfn.NORM.DIST(0,$GW16/2,$GX16,TRUE))*$GT16)</f>
        <v>55000</v>
      </c>
      <c r="HA16" s="77">
        <f t="shared" si="53"/>
        <v>0</v>
      </c>
      <c r="HB16" s="77">
        <f t="shared" si="53"/>
        <v>0</v>
      </c>
      <c r="HC16" s="77">
        <f t="shared" si="53"/>
        <v>0</v>
      </c>
      <c r="HD16" s="77">
        <f t="shared" si="53"/>
        <v>0</v>
      </c>
      <c r="HE16" s="77">
        <f t="shared" si="53"/>
        <v>0</v>
      </c>
      <c r="HF16" s="77">
        <f t="shared" si="53"/>
        <v>0</v>
      </c>
      <c r="HG16" s="77">
        <f t="shared" si="53"/>
        <v>0</v>
      </c>
      <c r="HH16" s="77">
        <f t="shared" si="53"/>
        <v>0</v>
      </c>
      <c r="HI16" s="77">
        <f t="shared" si="53"/>
        <v>0</v>
      </c>
      <c r="HJ16" s="77">
        <f t="shared" si="53"/>
        <v>0</v>
      </c>
      <c r="HK16" s="77">
        <f t="shared" si="53"/>
        <v>0</v>
      </c>
      <c r="HL16" s="77">
        <f t="shared" si="53"/>
        <v>0</v>
      </c>
      <c r="HM16" s="77">
        <f t="shared" si="53"/>
        <v>0</v>
      </c>
      <c r="HN16" s="77">
        <f t="shared" si="53"/>
        <v>0</v>
      </c>
      <c r="HO16" s="77">
        <f t="shared" si="53"/>
        <v>0</v>
      </c>
      <c r="HP16" s="77">
        <f t="shared" si="53"/>
        <v>0</v>
      </c>
      <c r="HQ16" s="77">
        <f t="shared" si="54"/>
        <v>0</v>
      </c>
      <c r="HR16" s="77">
        <f t="shared" si="54"/>
        <v>0</v>
      </c>
      <c r="HS16" s="77">
        <f t="shared" si="54"/>
        <v>0</v>
      </c>
      <c r="HT16" s="77">
        <f t="shared" si="54"/>
        <v>0</v>
      </c>
      <c r="HU16" s="77">
        <f t="shared" si="54"/>
        <v>0</v>
      </c>
      <c r="HV16" s="77">
        <f t="shared" si="54"/>
        <v>0</v>
      </c>
      <c r="HW16" s="77">
        <f t="shared" si="54"/>
        <v>0</v>
      </c>
      <c r="HX16" s="77">
        <f t="shared" si="54"/>
        <v>0</v>
      </c>
      <c r="HY16" s="77">
        <f t="shared" si="54"/>
        <v>0</v>
      </c>
      <c r="HZ16" s="77">
        <f t="shared" si="54"/>
        <v>0</v>
      </c>
      <c r="IA16" s="77">
        <f t="shared" si="54"/>
        <v>0</v>
      </c>
      <c r="IB16" s="77">
        <f t="shared" si="54"/>
        <v>0</v>
      </c>
      <c r="IC16" s="77">
        <f t="shared" si="54"/>
        <v>0</v>
      </c>
      <c r="ID16" s="77">
        <f t="shared" si="54"/>
        <v>0</v>
      </c>
      <c r="IE16" s="77">
        <f t="shared" si="54"/>
        <v>0</v>
      </c>
      <c r="IF16" s="77">
        <f t="shared" si="54"/>
        <v>0</v>
      </c>
      <c r="IG16" s="77">
        <f t="shared" si="55"/>
        <v>0</v>
      </c>
      <c r="IH16" s="77">
        <f t="shared" si="55"/>
        <v>0</v>
      </c>
      <c r="II16" s="77">
        <f t="shared" si="55"/>
        <v>0</v>
      </c>
      <c r="IJ16" s="77">
        <f t="shared" si="55"/>
        <v>0</v>
      </c>
      <c r="IK16" s="77">
        <f t="shared" si="55"/>
        <v>0</v>
      </c>
      <c r="IL16" s="77">
        <f t="shared" si="55"/>
        <v>0</v>
      </c>
      <c r="IM16" s="77">
        <f t="shared" si="55"/>
        <v>0</v>
      </c>
      <c r="IN16" s="77">
        <f t="shared" si="55"/>
        <v>0</v>
      </c>
      <c r="IO16" s="77">
        <f t="shared" si="55"/>
        <v>0</v>
      </c>
      <c r="IP16" s="77">
        <f t="shared" si="55"/>
        <v>0</v>
      </c>
      <c r="IQ16" s="77">
        <f t="shared" si="55"/>
        <v>0</v>
      </c>
      <c r="IR16" s="77">
        <f t="shared" si="55"/>
        <v>0</v>
      </c>
      <c r="IS16" s="77">
        <f t="shared" si="55"/>
        <v>0</v>
      </c>
      <c r="IT16" s="77">
        <f t="shared" si="55"/>
        <v>0</v>
      </c>
      <c r="IU16" s="77">
        <f t="shared" si="55"/>
        <v>0</v>
      </c>
      <c r="IV16" s="77">
        <f t="shared" si="55"/>
        <v>0</v>
      </c>
      <c r="IW16" s="77">
        <f t="shared" si="56"/>
        <v>0</v>
      </c>
      <c r="IX16" s="77">
        <f t="shared" si="56"/>
        <v>0</v>
      </c>
      <c r="IY16" s="77">
        <f t="shared" si="56"/>
        <v>0</v>
      </c>
      <c r="IZ16" s="77">
        <f t="shared" si="56"/>
        <v>0</v>
      </c>
      <c r="JA16" s="77">
        <f t="shared" si="56"/>
        <v>0</v>
      </c>
      <c r="JB16" s="77">
        <f t="shared" si="56"/>
        <v>0</v>
      </c>
      <c r="JC16" s="77">
        <f t="shared" si="56"/>
        <v>0</v>
      </c>
      <c r="JD16" s="77">
        <f t="shared" si="56"/>
        <v>0</v>
      </c>
      <c r="JE16" s="77">
        <f t="shared" si="56"/>
        <v>0</v>
      </c>
      <c r="JF16" s="77">
        <f t="shared" si="56"/>
        <v>0</v>
      </c>
      <c r="JG16" s="77">
        <f t="shared" si="56"/>
        <v>0</v>
      </c>
      <c r="JH16" s="77">
        <f t="shared" si="56"/>
        <v>0</v>
      </c>
      <c r="JI16" s="77">
        <f t="shared" si="56"/>
        <v>0</v>
      </c>
      <c r="JJ16" s="77">
        <f t="shared" si="56"/>
        <v>0</v>
      </c>
      <c r="JK16" s="77">
        <f t="shared" si="56"/>
        <v>0</v>
      </c>
      <c r="JL16" s="77">
        <f t="shared" si="56"/>
        <v>0</v>
      </c>
      <c r="JM16" s="77">
        <f t="shared" si="57"/>
        <v>0</v>
      </c>
      <c r="JN16" s="77">
        <f t="shared" si="57"/>
        <v>0</v>
      </c>
      <c r="JO16" s="77">
        <f t="shared" si="57"/>
        <v>0</v>
      </c>
      <c r="JP16" s="77">
        <f t="shared" si="57"/>
        <v>0</v>
      </c>
      <c r="JQ16" s="77">
        <f t="shared" si="57"/>
        <v>0</v>
      </c>
      <c r="JR16" s="77">
        <f t="shared" si="57"/>
        <v>0</v>
      </c>
      <c r="JS16" s="77">
        <f t="shared" si="57"/>
        <v>0</v>
      </c>
      <c r="JT16" s="77">
        <f t="shared" si="57"/>
        <v>0</v>
      </c>
      <c r="JU16" s="77">
        <f t="shared" si="57"/>
        <v>0</v>
      </c>
      <c r="JV16" s="77">
        <f t="shared" si="57"/>
        <v>0</v>
      </c>
      <c r="JW16" s="77">
        <f t="shared" si="57"/>
        <v>0</v>
      </c>
      <c r="JX16" s="77">
        <f t="shared" si="57"/>
        <v>0</v>
      </c>
      <c r="JY16" s="77">
        <f t="shared" si="57"/>
        <v>0</v>
      </c>
      <c r="JZ16" s="77">
        <f t="shared" si="57"/>
        <v>0</v>
      </c>
      <c r="KA16" s="77">
        <f t="shared" si="57"/>
        <v>0</v>
      </c>
      <c r="KB16" s="77">
        <f t="shared" si="57"/>
        <v>0</v>
      </c>
      <c r="KC16" s="77">
        <f t="shared" si="58"/>
        <v>0</v>
      </c>
      <c r="KD16" s="77">
        <f t="shared" si="58"/>
        <v>0</v>
      </c>
      <c r="KE16" s="77">
        <f t="shared" si="58"/>
        <v>0</v>
      </c>
      <c r="KF16" s="77">
        <f t="shared" si="58"/>
        <v>0</v>
      </c>
      <c r="KG16" s="77">
        <f t="shared" si="58"/>
        <v>0</v>
      </c>
      <c r="KH16" s="77">
        <f t="shared" si="58"/>
        <v>0</v>
      </c>
      <c r="KI16" s="77">
        <f t="shared" si="58"/>
        <v>0</v>
      </c>
      <c r="KJ16" s="77">
        <f t="shared" si="58"/>
        <v>0</v>
      </c>
      <c r="KK16" s="77">
        <f t="shared" si="58"/>
        <v>0</v>
      </c>
      <c r="KL16" s="77">
        <f t="shared" si="58"/>
        <v>0</v>
      </c>
      <c r="KM16" s="77">
        <f t="shared" si="58"/>
        <v>0</v>
      </c>
      <c r="KN16" s="77">
        <f t="shared" si="58"/>
        <v>0</v>
      </c>
      <c r="KO16" s="77">
        <f t="shared" si="58"/>
        <v>0</v>
      </c>
      <c r="KP16" s="77">
        <f t="shared" si="58"/>
        <v>0</v>
      </c>
      <c r="KQ16" s="77">
        <f t="shared" si="58"/>
        <v>0</v>
      </c>
      <c r="KR16" s="77">
        <f t="shared" si="58"/>
        <v>0</v>
      </c>
      <c r="KS16" s="77">
        <f t="shared" si="59"/>
        <v>0</v>
      </c>
      <c r="KT16" s="77">
        <f t="shared" si="59"/>
        <v>0</v>
      </c>
      <c r="KU16" s="77">
        <f t="shared" si="59"/>
        <v>0</v>
      </c>
      <c r="KV16" s="77">
        <f t="shared" si="59"/>
        <v>0</v>
      </c>
      <c r="KW16" s="77">
        <f t="shared" si="59"/>
        <v>0</v>
      </c>
      <c r="KX16" s="77">
        <f t="shared" si="59"/>
        <v>0</v>
      </c>
      <c r="KY16" s="77">
        <f t="shared" si="59"/>
        <v>0</v>
      </c>
      <c r="KZ16" s="77">
        <f t="shared" si="59"/>
        <v>0</v>
      </c>
      <c r="LA16" s="77">
        <f t="shared" si="59"/>
        <v>0</v>
      </c>
      <c r="LB16" s="77">
        <f t="shared" si="59"/>
        <v>0</v>
      </c>
      <c r="LC16" s="77">
        <f t="shared" si="59"/>
        <v>0</v>
      </c>
      <c r="LD16" s="77">
        <f t="shared" si="59"/>
        <v>0</v>
      </c>
      <c r="LE16" s="77">
        <f t="shared" si="59"/>
        <v>0</v>
      </c>
      <c r="LF16" s="77">
        <f t="shared" si="59"/>
        <v>0</v>
      </c>
      <c r="LG16" s="77">
        <f t="shared" si="59"/>
        <v>0</v>
      </c>
      <c r="LH16" s="77">
        <f t="shared" si="59"/>
        <v>0</v>
      </c>
      <c r="LI16" s="77">
        <f t="shared" si="60"/>
        <v>0</v>
      </c>
      <c r="LJ16" s="77">
        <f t="shared" si="60"/>
        <v>0</v>
      </c>
      <c r="LK16" s="77">
        <f t="shared" si="60"/>
        <v>0</v>
      </c>
      <c r="LL16" s="77">
        <f t="shared" si="60"/>
        <v>0</v>
      </c>
      <c r="LM16" s="77">
        <f t="shared" si="60"/>
        <v>0</v>
      </c>
      <c r="LN16" s="77">
        <f t="shared" si="60"/>
        <v>0</v>
      </c>
      <c r="LO16" s="77">
        <f t="shared" si="60"/>
        <v>0</v>
      </c>
      <c r="LP16" s="77">
        <f t="shared" si="60"/>
        <v>0</v>
      </c>
      <c r="LQ16" s="77">
        <f t="shared" si="60"/>
        <v>0</v>
      </c>
      <c r="LR16" s="77">
        <f t="shared" si="60"/>
        <v>0</v>
      </c>
      <c r="LS16" s="77">
        <f t="shared" si="60"/>
        <v>0</v>
      </c>
      <c r="LT16" s="77">
        <f t="shared" si="60"/>
        <v>0</v>
      </c>
      <c r="LU16" s="77">
        <f t="shared" si="60"/>
        <v>0</v>
      </c>
      <c r="LV16" s="77">
        <f t="shared" si="60"/>
        <v>0</v>
      </c>
      <c r="LW16" s="77">
        <f t="shared" si="60"/>
        <v>0</v>
      </c>
      <c r="LX16" s="77">
        <f t="shared" si="60"/>
        <v>0</v>
      </c>
      <c r="LY16" s="77">
        <f t="shared" si="61"/>
        <v>0</v>
      </c>
      <c r="LZ16" s="77">
        <f t="shared" si="61"/>
        <v>0</v>
      </c>
      <c r="MA16" s="77">
        <f t="shared" si="61"/>
        <v>0</v>
      </c>
      <c r="MB16" s="77">
        <f t="shared" si="61"/>
        <v>0</v>
      </c>
      <c r="MC16" s="77">
        <f t="shared" si="61"/>
        <v>0</v>
      </c>
      <c r="MD16" s="77">
        <f t="shared" si="61"/>
        <v>0</v>
      </c>
      <c r="ME16" s="77">
        <f t="shared" si="61"/>
        <v>0</v>
      </c>
      <c r="MF16" s="77">
        <f t="shared" si="61"/>
        <v>0</v>
      </c>
      <c r="MG16" s="77">
        <f t="shared" si="61"/>
        <v>0</v>
      </c>
      <c r="MH16" s="77">
        <f t="shared" si="61"/>
        <v>0</v>
      </c>
      <c r="MI16" s="77">
        <f t="shared" si="61"/>
        <v>0</v>
      </c>
      <c r="MJ16" s="77">
        <f t="shared" si="61"/>
        <v>0</v>
      </c>
      <c r="MK16" s="77">
        <f t="shared" si="61"/>
        <v>0</v>
      </c>
      <c r="ML16" s="77">
        <f t="shared" si="61"/>
        <v>0</v>
      </c>
      <c r="MM16" s="77">
        <f t="shared" si="61"/>
        <v>0</v>
      </c>
      <c r="MN16" s="77">
        <f t="shared" si="61"/>
        <v>0</v>
      </c>
      <c r="MO16" s="77">
        <f t="shared" si="62"/>
        <v>0</v>
      </c>
      <c r="MP16" s="77">
        <f t="shared" si="62"/>
        <v>0</v>
      </c>
      <c r="MQ16" s="77">
        <f t="shared" si="62"/>
        <v>0</v>
      </c>
      <c r="MR16" s="77">
        <f t="shared" si="62"/>
        <v>0</v>
      </c>
      <c r="MS16" s="77">
        <f t="shared" si="62"/>
        <v>0</v>
      </c>
      <c r="MT16" s="77">
        <f t="shared" si="62"/>
        <v>0</v>
      </c>
      <c r="MU16" s="77">
        <f t="shared" si="62"/>
        <v>0</v>
      </c>
      <c r="MV16" s="77">
        <f t="shared" si="62"/>
        <v>0</v>
      </c>
      <c r="MW16" s="77">
        <f t="shared" si="62"/>
        <v>0</v>
      </c>
      <c r="MX16" s="77">
        <f t="shared" si="62"/>
        <v>0</v>
      </c>
      <c r="MY16" s="77">
        <f t="shared" si="62"/>
        <v>0</v>
      </c>
      <c r="MZ16" s="77">
        <f t="shared" si="62"/>
        <v>0</v>
      </c>
      <c r="NA16" s="77">
        <f t="shared" si="62"/>
        <v>0</v>
      </c>
      <c r="NB16" s="77">
        <f t="shared" si="62"/>
        <v>0</v>
      </c>
      <c r="NC16" s="77">
        <f t="shared" si="62"/>
        <v>0</v>
      </c>
      <c r="ND16" s="77">
        <f t="shared" si="62"/>
        <v>0</v>
      </c>
      <c r="NE16" s="77">
        <f t="shared" si="63"/>
        <v>0</v>
      </c>
      <c r="NF16" s="77">
        <f t="shared" si="63"/>
        <v>0</v>
      </c>
      <c r="NG16" s="77">
        <f t="shared" si="63"/>
        <v>0</v>
      </c>
      <c r="NH16" s="77">
        <f t="shared" si="63"/>
        <v>0</v>
      </c>
      <c r="NI16" s="77">
        <f t="shared" si="63"/>
        <v>0</v>
      </c>
      <c r="NJ16" s="77">
        <f t="shared" si="63"/>
        <v>0</v>
      </c>
      <c r="NK16" s="77">
        <f t="shared" si="63"/>
        <v>0</v>
      </c>
      <c r="NL16" s="77">
        <f t="shared" si="63"/>
        <v>0</v>
      </c>
      <c r="NM16" s="77">
        <f t="shared" si="63"/>
        <v>0</v>
      </c>
      <c r="NN16" s="77">
        <f t="shared" si="63"/>
        <v>0</v>
      </c>
      <c r="NO16" s="77">
        <f t="shared" si="63"/>
        <v>0</v>
      </c>
      <c r="NP16" s="77">
        <f t="shared" si="63"/>
        <v>0</v>
      </c>
      <c r="NQ16" s="77">
        <f t="shared" si="63"/>
        <v>0</v>
      </c>
      <c r="NR16" s="77">
        <f t="shared" si="63"/>
        <v>0</v>
      </c>
      <c r="NS16" s="77">
        <f t="shared" si="63"/>
        <v>0</v>
      </c>
      <c r="NT16" s="77">
        <f t="shared" si="63"/>
        <v>0</v>
      </c>
      <c r="NU16" s="77">
        <f t="shared" si="64"/>
        <v>0</v>
      </c>
      <c r="NV16" s="77">
        <f t="shared" si="64"/>
        <v>0</v>
      </c>
      <c r="NW16" s="77">
        <f t="shared" si="64"/>
        <v>0</v>
      </c>
      <c r="NX16" s="10"/>
    </row>
    <row r="17" spans="2:388" x14ac:dyDescent="0.3">
      <c r="B17" s="26" t="s">
        <v>199</v>
      </c>
      <c r="C17" s="18"/>
      <c r="D17" s="19"/>
      <c r="E17" s="27">
        <v>1</v>
      </c>
      <c r="F17" s="27">
        <v>1</v>
      </c>
      <c r="G17" s="21"/>
      <c r="H17" s="28">
        <f>F17-E17+1</f>
        <v>1</v>
      </c>
      <c r="I17" s="21" t="s">
        <v>195</v>
      </c>
      <c r="J17" s="23">
        <f>L17/$L$8</f>
        <v>121.73913043478261</v>
      </c>
      <c r="K17" s="29">
        <f>L17/$L$7</f>
        <v>1.6091954022988506E-2</v>
      </c>
      <c r="L17" s="30">
        <f>L15*0.01</f>
        <v>28000</v>
      </c>
      <c r="N17" s="9" t="s">
        <v>198</v>
      </c>
      <c r="S17" s="69" t="str">
        <f>IF(ROUND(L17,0)=ROUND(SUM(T17:GQ17),0),"OK","ERROR")</f>
        <v>OK</v>
      </c>
      <c r="T17" s="16">
        <f t="shared" si="35"/>
        <v>28000</v>
      </c>
      <c r="U17" s="16">
        <f t="shared" si="35"/>
        <v>0</v>
      </c>
      <c r="V17" s="16">
        <f t="shared" si="35"/>
        <v>0</v>
      </c>
      <c r="W17" s="16">
        <f t="shared" si="35"/>
        <v>0</v>
      </c>
      <c r="X17" s="16">
        <f t="shared" si="35"/>
        <v>0</v>
      </c>
      <c r="Y17" s="16">
        <f t="shared" si="35"/>
        <v>0</v>
      </c>
      <c r="Z17" s="16">
        <f t="shared" si="35"/>
        <v>0</v>
      </c>
      <c r="AA17" s="16">
        <f t="shared" si="35"/>
        <v>0</v>
      </c>
      <c r="AB17" s="16">
        <f t="shared" si="35"/>
        <v>0</v>
      </c>
      <c r="AC17" s="16">
        <f t="shared" si="35"/>
        <v>0</v>
      </c>
      <c r="AD17" s="16">
        <f t="shared" si="36"/>
        <v>0</v>
      </c>
      <c r="AE17" s="16">
        <f t="shared" si="36"/>
        <v>0</v>
      </c>
      <c r="AF17" s="16">
        <f t="shared" si="36"/>
        <v>0</v>
      </c>
      <c r="AG17" s="16">
        <f t="shared" si="36"/>
        <v>0</v>
      </c>
      <c r="AH17" s="16">
        <f t="shared" si="36"/>
        <v>0</v>
      </c>
      <c r="AI17" s="16">
        <f t="shared" si="36"/>
        <v>0</v>
      </c>
      <c r="AJ17" s="16">
        <f t="shared" si="36"/>
        <v>0</v>
      </c>
      <c r="AK17" s="16">
        <f t="shared" si="36"/>
        <v>0</v>
      </c>
      <c r="AL17" s="16">
        <f t="shared" si="36"/>
        <v>0</v>
      </c>
      <c r="AM17" s="16">
        <f t="shared" si="36"/>
        <v>0</v>
      </c>
      <c r="AN17" s="16">
        <f t="shared" si="37"/>
        <v>0</v>
      </c>
      <c r="AO17" s="16">
        <f t="shared" si="37"/>
        <v>0</v>
      </c>
      <c r="AP17" s="16">
        <f t="shared" si="37"/>
        <v>0</v>
      </c>
      <c r="AQ17" s="16">
        <f t="shared" si="37"/>
        <v>0</v>
      </c>
      <c r="AR17" s="16">
        <f t="shared" si="37"/>
        <v>0</v>
      </c>
      <c r="AS17" s="16">
        <f t="shared" si="37"/>
        <v>0</v>
      </c>
      <c r="AT17" s="16">
        <f t="shared" si="37"/>
        <v>0</v>
      </c>
      <c r="AU17" s="16">
        <f t="shared" si="37"/>
        <v>0</v>
      </c>
      <c r="AV17" s="16">
        <f t="shared" si="37"/>
        <v>0</v>
      </c>
      <c r="AW17" s="16">
        <f t="shared" si="37"/>
        <v>0</v>
      </c>
      <c r="AX17" s="16">
        <f t="shared" si="38"/>
        <v>0</v>
      </c>
      <c r="AY17" s="16">
        <f t="shared" si="38"/>
        <v>0</v>
      </c>
      <c r="AZ17" s="16">
        <f t="shared" si="38"/>
        <v>0</v>
      </c>
      <c r="BA17" s="16">
        <f t="shared" si="38"/>
        <v>0</v>
      </c>
      <c r="BB17" s="16">
        <f t="shared" si="38"/>
        <v>0</v>
      </c>
      <c r="BC17" s="16">
        <f t="shared" si="38"/>
        <v>0</v>
      </c>
      <c r="BD17" s="16">
        <f t="shared" si="38"/>
        <v>0</v>
      </c>
      <c r="BE17" s="16">
        <f t="shared" si="38"/>
        <v>0</v>
      </c>
      <c r="BF17" s="16">
        <f t="shared" si="38"/>
        <v>0</v>
      </c>
      <c r="BG17" s="16">
        <f t="shared" si="38"/>
        <v>0</v>
      </c>
      <c r="BH17" s="16">
        <f t="shared" si="39"/>
        <v>0</v>
      </c>
      <c r="BI17" s="16">
        <f t="shared" si="39"/>
        <v>0</v>
      </c>
      <c r="BJ17" s="16">
        <f t="shared" si="39"/>
        <v>0</v>
      </c>
      <c r="BK17" s="16">
        <f t="shared" si="39"/>
        <v>0</v>
      </c>
      <c r="BL17" s="16">
        <f t="shared" si="39"/>
        <v>0</v>
      </c>
      <c r="BM17" s="16">
        <f t="shared" si="39"/>
        <v>0</v>
      </c>
      <c r="BN17" s="16">
        <f t="shared" si="39"/>
        <v>0</v>
      </c>
      <c r="BO17" s="16">
        <f t="shared" si="39"/>
        <v>0</v>
      </c>
      <c r="BP17" s="16">
        <f t="shared" si="39"/>
        <v>0</v>
      </c>
      <c r="BQ17" s="16">
        <f t="shared" si="39"/>
        <v>0</v>
      </c>
      <c r="BR17" s="16">
        <f t="shared" si="40"/>
        <v>0</v>
      </c>
      <c r="BS17" s="16">
        <f t="shared" si="40"/>
        <v>0</v>
      </c>
      <c r="BT17" s="16">
        <f t="shared" si="40"/>
        <v>0</v>
      </c>
      <c r="BU17" s="16">
        <f t="shared" si="40"/>
        <v>0</v>
      </c>
      <c r="BV17" s="16">
        <f t="shared" si="40"/>
        <v>0</v>
      </c>
      <c r="BW17" s="16">
        <f t="shared" si="40"/>
        <v>0</v>
      </c>
      <c r="BX17" s="16">
        <f t="shared" si="40"/>
        <v>0</v>
      </c>
      <c r="BY17" s="16">
        <f t="shared" si="40"/>
        <v>0</v>
      </c>
      <c r="BZ17" s="16">
        <f t="shared" si="40"/>
        <v>0</v>
      </c>
      <c r="CA17" s="16">
        <f t="shared" si="40"/>
        <v>0</v>
      </c>
      <c r="CB17" s="16">
        <f t="shared" si="41"/>
        <v>0</v>
      </c>
      <c r="CC17" s="16">
        <f t="shared" si="41"/>
        <v>0</v>
      </c>
      <c r="CD17" s="16">
        <f t="shared" si="41"/>
        <v>0</v>
      </c>
      <c r="CE17" s="16">
        <f t="shared" si="41"/>
        <v>0</v>
      </c>
      <c r="CF17" s="16">
        <f t="shared" si="41"/>
        <v>0</v>
      </c>
      <c r="CG17" s="16">
        <f t="shared" si="41"/>
        <v>0</v>
      </c>
      <c r="CH17" s="16">
        <f t="shared" si="41"/>
        <v>0</v>
      </c>
      <c r="CI17" s="16">
        <f t="shared" si="41"/>
        <v>0</v>
      </c>
      <c r="CJ17" s="16">
        <f t="shared" si="41"/>
        <v>0</v>
      </c>
      <c r="CK17" s="16">
        <f t="shared" si="41"/>
        <v>0</v>
      </c>
      <c r="CL17" s="16">
        <f t="shared" si="42"/>
        <v>0</v>
      </c>
      <c r="CM17" s="16">
        <f t="shared" si="42"/>
        <v>0</v>
      </c>
      <c r="CN17" s="16">
        <f t="shared" si="42"/>
        <v>0</v>
      </c>
      <c r="CO17" s="16">
        <f t="shared" si="42"/>
        <v>0</v>
      </c>
      <c r="CP17" s="16">
        <f t="shared" si="42"/>
        <v>0</v>
      </c>
      <c r="CQ17" s="16">
        <f t="shared" si="42"/>
        <v>0</v>
      </c>
      <c r="CR17" s="16">
        <f t="shared" si="42"/>
        <v>0</v>
      </c>
      <c r="CS17" s="16">
        <f t="shared" si="42"/>
        <v>0</v>
      </c>
      <c r="CT17" s="16">
        <f t="shared" si="42"/>
        <v>0</v>
      </c>
      <c r="CU17" s="16">
        <f t="shared" si="42"/>
        <v>0</v>
      </c>
      <c r="CV17" s="16">
        <f t="shared" si="43"/>
        <v>0</v>
      </c>
      <c r="CW17" s="16">
        <f t="shared" si="43"/>
        <v>0</v>
      </c>
      <c r="CX17" s="16">
        <f t="shared" si="43"/>
        <v>0</v>
      </c>
      <c r="CY17" s="16">
        <f t="shared" si="43"/>
        <v>0</v>
      </c>
      <c r="CZ17" s="16">
        <f t="shared" si="43"/>
        <v>0</v>
      </c>
      <c r="DA17" s="16">
        <f t="shared" si="43"/>
        <v>0</v>
      </c>
      <c r="DB17" s="16">
        <f t="shared" si="43"/>
        <v>0</v>
      </c>
      <c r="DC17" s="16">
        <f t="shared" si="43"/>
        <v>0</v>
      </c>
      <c r="DD17" s="16">
        <f t="shared" si="43"/>
        <v>0</v>
      </c>
      <c r="DE17" s="16">
        <f t="shared" si="43"/>
        <v>0</v>
      </c>
      <c r="DF17" s="16">
        <f t="shared" si="44"/>
        <v>0</v>
      </c>
      <c r="DG17" s="16">
        <f t="shared" si="44"/>
        <v>0</v>
      </c>
      <c r="DH17" s="16">
        <f t="shared" si="44"/>
        <v>0</v>
      </c>
      <c r="DI17" s="16">
        <f t="shared" si="44"/>
        <v>0</v>
      </c>
      <c r="DJ17" s="16">
        <f t="shared" si="44"/>
        <v>0</v>
      </c>
      <c r="DK17" s="16">
        <f t="shared" si="44"/>
        <v>0</v>
      </c>
      <c r="DL17" s="16">
        <f t="shared" si="44"/>
        <v>0</v>
      </c>
      <c r="DM17" s="16">
        <f t="shared" si="44"/>
        <v>0</v>
      </c>
      <c r="DN17" s="16">
        <f t="shared" si="44"/>
        <v>0</v>
      </c>
      <c r="DO17" s="16">
        <f t="shared" si="44"/>
        <v>0</v>
      </c>
      <c r="DP17" s="16">
        <f t="shared" si="45"/>
        <v>0</v>
      </c>
      <c r="DQ17" s="16">
        <f t="shared" si="45"/>
        <v>0</v>
      </c>
      <c r="DR17" s="16">
        <f t="shared" si="45"/>
        <v>0</v>
      </c>
      <c r="DS17" s="16">
        <f t="shared" si="45"/>
        <v>0</v>
      </c>
      <c r="DT17" s="16">
        <f t="shared" si="45"/>
        <v>0</v>
      </c>
      <c r="DU17" s="16">
        <f t="shared" si="45"/>
        <v>0</v>
      </c>
      <c r="DV17" s="16">
        <f t="shared" si="45"/>
        <v>0</v>
      </c>
      <c r="DW17" s="16">
        <f t="shared" si="45"/>
        <v>0</v>
      </c>
      <c r="DX17" s="16">
        <f t="shared" si="45"/>
        <v>0</v>
      </c>
      <c r="DY17" s="16">
        <f t="shared" si="45"/>
        <v>0</v>
      </c>
      <c r="DZ17" s="16">
        <f t="shared" si="46"/>
        <v>0</v>
      </c>
      <c r="EA17" s="16">
        <f t="shared" si="46"/>
        <v>0</v>
      </c>
      <c r="EB17" s="16">
        <f t="shared" si="46"/>
        <v>0</v>
      </c>
      <c r="EC17" s="16">
        <f t="shared" si="46"/>
        <v>0</v>
      </c>
      <c r="ED17" s="16">
        <f t="shared" si="46"/>
        <v>0</v>
      </c>
      <c r="EE17" s="16">
        <f t="shared" si="46"/>
        <v>0</v>
      </c>
      <c r="EF17" s="16">
        <f t="shared" si="46"/>
        <v>0</v>
      </c>
      <c r="EG17" s="16">
        <f t="shared" si="46"/>
        <v>0</v>
      </c>
      <c r="EH17" s="16">
        <f t="shared" si="46"/>
        <v>0</v>
      </c>
      <c r="EI17" s="16">
        <f t="shared" si="46"/>
        <v>0</v>
      </c>
      <c r="EJ17" s="16">
        <f t="shared" si="47"/>
        <v>0</v>
      </c>
      <c r="EK17" s="16">
        <f t="shared" si="47"/>
        <v>0</v>
      </c>
      <c r="EL17" s="16">
        <f t="shared" si="47"/>
        <v>0</v>
      </c>
      <c r="EM17" s="16">
        <f t="shared" si="47"/>
        <v>0</v>
      </c>
      <c r="EN17" s="16">
        <f t="shared" si="47"/>
        <v>0</v>
      </c>
      <c r="EO17" s="16">
        <f t="shared" si="47"/>
        <v>0</v>
      </c>
      <c r="EP17" s="16">
        <f t="shared" si="47"/>
        <v>0</v>
      </c>
      <c r="EQ17" s="16">
        <f t="shared" si="47"/>
        <v>0</v>
      </c>
      <c r="ER17" s="16">
        <f t="shared" si="47"/>
        <v>0</v>
      </c>
      <c r="ES17" s="16">
        <f t="shared" si="47"/>
        <v>0</v>
      </c>
      <c r="ET17" s="16">
        <f t="shared" si="48"/>
        <v>0</v>
      </c>
      <c r="EU17" s="16">
        <f t="shared" si="48"/>
        <v>0</v>
      </c>
      <c r="EV17" s="16">
        <f t="shared" si="48"/>
        <v>0</v>
      </c>
      <c r="EW17" s="16">
        <f t="shared" si="48"/>
        <v>0</v>
      </c>
      <c r="EX17" s="16">
        <f t="shared" si="48"/>
        <v>0</v>
      </c>
      <c r="EY17" s="16">
        <f t="shared" si="48"/>
        <v>0</v>
      </c>
      <c r="EZ17" s="16">
        <f t="shared" si="48"/>
        <v>0</v>
      </c>
      <c r="FA17" s="16">
        <f t="shared" si="48"/>
        <v>0</v>
      </c>
      <c r="FB17" s="16">
        <f t="shared" si="48"/>
        <v>0</v>
      </c>
      <c r="FC17" s="16">
        <f t="shared" si="48"/>
        <v>0</v>
      </c>
      <c r="FD17" s="16">
        <f t="shared" si="49"/>
        <v>0</v>
      </c>
      <c r="FE17" s="16">
        <f t="shared" si="49"/>
        <v>0</v>
      </c>
      <c r="FF17" s="16">
        <f t="shared" si="49"/>
        <v>0</v>
      </c>
      <c r="FG17" s="16">
        <f t="shared" si="49"/>
        <v>0</v>
      </c>
      <c r="FH17" s="16">
        <f t="shared" si="49"/>
        <v>0</v>
      </c>
      <c r="FI17" s="16">
        <f t="shared" si="49"/>
        <v>0</v>
      </c>
      <c r="FJ17" s="16">
        <f t="shared" si="49"/>
        <v>0</v>
      </c>
      <c r="FK17" s="16">
        <f t="shared" si="49"/>
        <v>0</v>
      </c>
      <c r="FL17" s="16">
        <f t="shared" si="49"/>
        <v>0</v>
      </c>
      <c r="FM17" s="16">
        <f t="shared" si="49"/>
        <v>0</v>
      </c>
      <c r="FN17" s="16">
        <f t="shared" si="50"/>
        <v>0</v>
      </c>
      <c r="FO17" s="16">
        <f t="shared" si="50"/>
        <v>0</v>
      </c>
      <c r="FP17" s="16">
        <f t="shared" si="50"/>
        <v>0</v>
      </c>
      <c r="FQ17" s="16">
        <f t="shared" si="50"/>
        <v>0</v>
      </c>
      <c r="FR17" s="16">
        <f t="shared" si="50"/>
        <v>0</v>
      </c>
      <c r="FS17" s="16">
        <f t="shared" si="50"/>
        <v>0</v>
      </c>
      <c r="FT17" s="16">
        <f t="shared" si="50"/>
        <v>0</v>
      </c>
      <c r="FU17" s="16">
        <f t="shared" si="50"/>
        <v>0</v>
      </c>
      <c r="FV17" s="16">
        <f t="shared" si="50"/>
        <v>0</v>
      </c>
      <c r="FW17" s="16">
        <f t="shared" si="50"/>
        <v>0</v>
      </c>
      <c r="FX17" s="16">
        <f t="shared" si="51"/>
        <v>0</v>
      </c>
      <c r="FY17" s="16">
        <f t="shared" si="51"/>
        <v>0</v>
      </c>
      <c r="FZ17" s="16">
        <f t="shared" si="51"/>
        <v>0</v>
      </c>
      <c r="GA17" s="16">
        <f t="shared" si="51"/>
        <v>0</v>
      </c>
      <c r="GB17" s="16">
        <f t="shared" si="51"/>
        <v>0</v>
      </c>
      <c r="GC17" s="16">
        <f t="shared" si="51"/>
        <v>0</v>
      </c>
      <c r="GD17" s="16">
        <f t="shared" si="51"/>
        <v>0</v>
      </c>
      <c r="GE17" s="16">
        <f t="shared" si="51"/>
        <v>0</v>
      </c>
      <c r="GF17" s="16">
        <f t="shared" si="51"/>
        <v>0</v>
      </c>
      <c r="GG17" s="16">
        <f t="shared" si="51"/>
        <v>0</v>
      </c>
      <c r="GH17" s="16">
        <f t="shared" si="52"/>
        <v>0</v>
      </c>
      <c r="GI17" s="16">
        <f t="shared" si="52"/>
        <v>0</v>
      </c>
      <c r="GJ17" s="16">
        <f t="shared" si="52"/>
        <v>0</v>
      </c>
      <c r="GK17" s="16">
        <f t="shared" si="52"/>
        <v>0</v>
      </c>
      <c r="GL17" s="16">
        <f t="shared" si="52"/>
        <v>0</v>
      </c>
      <c r="GM17" s="16">
        <f t="shared" si="52"/>
        <v>0</v>
      </c>
      <c r="GN17" s="16">
        <f t="shared" si="52"/>
        <v>0</v>
      </c>
      <c r="GO17" s="16">
        <f t="shared" si="52"/>
        <v>0</v>
      </c>
      <c r="GP17" s="16">
        <f t="shared" si="52"/>
        <v>0</v>
      </c>
      <c r="GQ17" s="16">
        <f t="shared" si="52"/>
        <v>0</v>
      </c>
      <c r="GR17" s="9"/>
      <c r="GS17" s="70" t="str">
        <f t="shared" si="30"/>
        <v>Closing Costs</v>
      </c>
      <c r="GT17" s="77">
        <f>L17</f>
        <v>28000</v>
      </c>
      <c r="GU17" s="78">
        <f t="shared" si="31"/>
        <v>1</v>
      </c>
      <c r="GV17" s="78">
        <f t="shared" si="31"/>
        <v>1</v>
      </c>
      <c r="GW17" s="78">
        <f>H17</f>
        <v>1</v>
      </c>
      <c r="GX17" s="79">
        <f>GW17/6</f>
        <v>0.16666666666666666</v>
      </c>
      <c r="GY17" s="79" t="b">
        <f>ROUND(GT17,0)=ROUND(SUM(GZ17:NW17),0)</f>
        <v>1</v>
      </c>
      <c r="GZ17" s="77">
        <f>AND(GZ$14&gt;=$GU17,GZ$14&lt;=$GV17)*((_xlfn.NORM.DIST(GZ$14-$GU17+1,$GW17/2,$GX17,TRUE)-_xlfn.NORM.DIST(GZ$14-$GU17,$GW17/2,$GX17,TRUE))/(1-2*_xlfn.NORM.DIST(0,$GW17/2,$GX17,TRUE))*$GT17)</f>
        <v>28000</v>
      </c>
      <c r="HA17" s="77">
        <f t="shared" si="53"/>
        <v>0</v>
      </c>
      <c r="HB17" s="77">
        <f t="shared" si="53"/>
        <v>0</v>
      </c>
      <c r="HC17" s="77">
        <f t="shared" si="53"/>
        <v>0</v>
      </c>
      <c r="HD17" s="77">
        <f t="shared" si="53"/>
        <v>0</v>
      </c>
      <c r="HE17" s="77">
        <f t="shared" si="53"/>
        <v>0</v>
      </c>
      <c r="HF17" s="77">
        <f t="shared" si="53"/>
        <v>0</v>
      </c>
      <c r="HG17" s="77">
        <f t="shared" si="53"/>
        <v>0</v>
      </c>
      <c r="HH17" s="77">
        <f t="shared" si="53"/>
        <v>0</v>
      </c>
      <c r="HI17" s="77">
        <f t="shared" si="53"/>
        <v>0</v>
      </c>
      <c r="HJ17" s="77">
        <f t="shared" si="53"/>
        <v>0</v>
      </c>
      <c r="HK17" s="77">
        <f t="shared" si="53"/>
        <v>0</v>
      </c>
      <c r="HL17" s="77">
        <f t="shared" si="53"/>
        <v>0</v>
      </c>
      <c r="HM17" s="77">
        <f t="shared" si="53"/>
        <v>0</v>
      </c>
      <c r="HN17" s="77">
        <f t="shared" si="53"/>
        <v>0</v>
      </c>
      <c r="HO17" s="77">
        <f t="shared" si="53"/>
        <v>0</v>
      </c>
      <c r="HP17" s="77">
        <f t="shared" si="53"/>
        <v>0</v>
      </c>
      <c r="HQ17" s="77">
        <f t="shared" si="54"/>
        <v>0</v>
      </c>
      <c r="HR17" s="77">
        <f t="shared" si="54"/>
        <v>0</v>
      </c>
      <c r="HS17" s="77">
        <f t="shared" si="54"/>
        <v>0</v>
      </c>
      <c r="HT17" s="77">
        <f t="shared" si="54"/>
        <v>0</v>
      </c>
      <c r="HU17" s="77">
        <f t="shared" si="54"/>
        <v>0</v>
      </c>
      <c r="HV17" s="77">
        <f t="shared" si="54"/>
        <v>0</v>
      </c>
      <c r="HW17" s="77">
        <f t="shared" si="54"/>
        <v>0</v>
      </c>
      <c r="HX17" s="77">
        <f t="shared" si="54"/>
        <v>0</v>
      </c>
      <c r="HY17" s="77">
        <f t="shared" si="54"/>
        <v>0</v>
      </c>
      <c r="HZ17" s="77">
        <f t="shared" si="54"/>
        <v>0</v>
      </c>
      <c r="IA17" s="77">
        <f t="shared" si="54"/>
        <v>0</v>
      </c>
      <c r="IB17" s="77">
        <f t="shared" si="54"/>
        <v>0</v>
      </c>
      <c r="IC17" s="77">
        <f t="shared" si="54"/>
        <v>0</v>
      </c>
      <c r="ID17" s="77">
        <f t="shared" si="54"/>
        <v>0</v>
      </c>
      <c r="IE17" s="77">
        <f t="shared" si="54"/>
        <v>0</v>
      </c>
      <c r="IF17" s="77">
        <f t="shared" si="54"/>
        <v>0</v>
      </c>
      <c r="IG17" s="77">
        <f t="shared" si="55"/>
        <v>0</v>
      </c>
      <c r="IH17" s="77">
        <f t="shared" si="55"/>
        <v>0</v>
      </c>
      <c r="II17" s="77">
        <f t="shared" si="55"/>
        <v>0</v>
      </c>
      <c r="IJ17" s="77">
        <f t="shared" si="55"/>
        <v>0</v>
      </c>
      <c r="IK17" s="77">
        <f t="shared" si="55"/>
        <v>0</v>
      </c>
      <c r="IL17" s="77">
        <f t="shared" si="55"/>
        <v>0</v>
      </c>
      <c r="IM17" s="77">
        <f t="shared" si="55"/>
        <v>0</v>
      </c>
      <c r="IN17" s="77">
        <f t="shared" si="55"/>
        <v>0</v>
      </c>
      <c r="IO17" s="77">
        <f t="shared" si="55"/>
        <v>0</v>
      </c>
      <c r="IP17" s="77">
        <f t="shared" si="55"/>
        <v>0</v>
      </c>
      <c r="IQ17" s="77">
        <f t="shared" si="55"/>
        <v>0</v>
      </c>
      <c r="IR17" s="77">
        <f t="shared" si="55"/>
        <v>0</v>
      </c>
      <c r="IS17" s="77">
        <f t="shared" si="55"/>
        <v>0</v>
      </c>
      <c r="IT17" s="77">
        <f t="shared" si="55"/>
        <v>0</v>
      </c>
      <c r="IU17" s="77">
        <f t="shared" si="55"/>
        <v>0</v>
      </c>
      <c r="IV17" s="77">
        <f t="shared" si="55"/>
        <v>0</v>
      </c>
      <c r="IW17" s="77">
        <f t="shared" si="56"/>
        <v>0</v>
      </c>
      <c r="IX17" s="77">
        <f t="shared" si="56"/>
        <v>0</v>
      </c>
      <c r="IY17" s="77">
        <f t="shared" si="56"/>
        <v>0</v>
      </c>
      <c r="IZ17" s="77">
        <f t="shared" si="56"/>
        <v>0</v>
      </c>
      <c r="JA17" s="77">
        <f t="shared" si="56"/>
        <v>0</v>
      </c>
      <c r="JB17" s="77">
        <f t="shared" si="56"/>
        <v>0</v>
      </c>
      <c r="JC17" s="77">
        <f t="shared" si="56"/>
        <v>0</v>
      </c>
      <c r="JD17" s="77">
        <f t="shared" si="56"/>
        <v>0</v>
      </c>
      <c r="JE17" s="77">
        <f t="shared" si="56"/>
        <v>0</v>
      </c>
      <c r="JF17" s="77">
        <f t="shared" si="56"/>
        <v>0</v>
      </c>
      <c r="JG17" s="77">
        <f t="shared" si="56"/>
        <v>0</v>
      </c>
      <c r="JH17" s="77">
        <f t="shared" si="56"/>
        <v>0</v>
      </c>
      <c r="JI17" s="77">
        <f t="shared" si="56"/>
        <v>0</v>
      </c>
      <c r="JJ17" s="77">
        <f t="shared" si="56"/>
        <v>0</v>
      </c>
      <c r="JK17" s="77">
        <f t="shared" si="56"/>
        <v>0</v>
      </c>
      <c r="JL17" s="77">
        <f t="shared" si="56"/>
        <v>0</v>
      </c>
      <c r="JM17" s="77">
        <f t="shared" si="57"/>
        <v>0</v>
      </c>
      <c r="JN17" s="77">
        <f t="shared" si="57"/>
        <v>0</v>
      </c>
      <c r="JO17" s="77">
        <f t="shared" si="57"/>
        <v>0</v>
      </c>
      <c r="JP17" s="77">
        <f t="shared" si="57"/>
        <v>0</v>
      </c>
      <c r="JQ17" s="77">
        <f t="shared" si="57"/>
        <v>0</v>
      </c>
      <c r="JR17" s="77">
        <f t="shared" si="57"/>
        <v>0</v>
      </c>
      <c r="JS17" s="77">
        <f t="shared" si="57"/>
        <v>0</v>
      </c>
      <c r="JT17" s="77">
        <f t="shared" si="57"/>
        <v>0</v>
      </c>
      <c r="JU17" s="77">
        <f t="shared" si="57"/>
        <v>0</v>
      </c>
      <c r="JV17" s="77">
        <f t="shared" si="57"/>
        <v>0</v>
      </c>
      <c r="JW17" s="77">
        <f t="shared" si="57"/>
        <v>0</v>
      </c>
      <c r="JX17" s="77">
        <f t="shared" si="57"/>
        <v>0</v>
      </c>
      <c r="JY17" s="77">
        <f t="shared" si="57"/>
        <v>0</v>
      </c>
      <c r="JZ17" s="77">
        <f t="shared" si="57"/>
        <v>0</v>
      </c>
      <c r="KA17" s="77">
        <f t="shared" si="57"/>
        <v>0</v>
      </c>
      <c r="KB17" s="77">
        <f t="shared" si="57"/>
        <v>0</v>
      </c>
      <c r="KC17" s="77">
        <f t="shared" si="58"/>
        <v>0</v>
      </c>
      <c r="KD17" s="77">
        <f t="shared" si="58"/>
        <v>0</v>
      </c>
      <c r="KE17" s="77">
        <f t="shared" si="58"/>
        <v>0</v>
      </c>
      <c r="KF17" s="77">
        <f t="shared" si="58"/>
        <v>0</v>
      </c>
      <c r="KG17" s="77">
        <f t="shared" si="58"/>
        <v>0</v>
      </c>
      <c r="KH17" s="77">
        <f t="shared" si="58"/>
        <v>0</v>
      </c>
      <c r="KI17" s="77">
        <f t="shared" si="58"/>
        <v>0</v>
      </c>
      <c r="KJ17" s="77">
        <f t="shared" si="58"/>
        <v>0</v>
      </c>
      <c r="KK17" s="77">
        <f t="shared" si="58"/>
        <v>0</v>
      </c>
      <c r="KL17" s="77">
        <f t="shared" si="58"/>
        <v>0</v>
      </c>
      <c r="KM17" s="77">
        <f t="shared" si="58"/>
        <v>0</v>
      </c>
      <c r="KN17" s="77">
        <f t="shared" si="58"/>
        <v>0</v>
      </c>
      <c r="KO17" s="77">
        <f t="shared" si="58"/>
        <v>0</v>
      </c>
      <c r="KP17" s="77">
        <f t="shared" si="58"/>
        <v>0</v>
      </c>
      <c r="KQ17" s="77">
        <f t="shared" si="58"/>
        <v>0</v>
      </c>
      <c r="KR17" s="77">
        <f t="shared" si="58"/>
        <v>0</v>
      </c>
      <c r="KS17" s="77">
        <f t="shared" si="59"/>
        <v>0</v>
      </c>
      <c r="KT17" s="77">
        <f t="shared" si="59"/>
        <v>0</v>
      </c>
      <c r="KU17" s="77">
        <f t="shared" si="59"/>
        <v>0</v>
      </c>
      <c r="KV17" s="77">
        <f t="shared" si="59"/>
        <v>0</v>
      </c>
      <c r="KW17" s="77">
        <f t="shared" si="59"/>
        <v>0</v>
      </c>
      <c r="KX17" s="77">
        <f t="shared" si="59"/>
        <v>0</v>
      </c>
      <c r="KY17" s="77">
        <f t="shared" si="59"/>
        <v>0</v>
      </c>
      <c r="KZ17" s="77">
        <f t="shared" si="59"/>
        <v>0</v>
      </c>
      <c r="LA17" s="77">
        <f t="shared" si="59"/>
        <v>0</v>
      </c>
      <c r="LB17" s="77">
        <f t="shared" si="59"/>
        <v>0</v>
      </c>
      <c r="LC17" s="77">
        <f t="shared" si="59"/>
        <v>0</v>
      </c>
      <c r="LD17" s="77">
        <f t="shared" si="59"/>
        <v>0</v>
      </c>
      <c r="LE17" s="77">
        <f t="shared" si="59"/>
        <v>0</v>
      </c>
      <c r="LF17" s="77">
        <f t="shared" si="59"/>
        <v>0</v>
      </c>
      <c r="LG17" s="77">
        <f t="shared" si="59"/>
        <v>0</v>
      </c>
      <c r="LH17" s="77">
        <f t="shared" si="59"/>
        <v>0</v>
      </c>
      <c r="LI17" s="77">
        <f t="shared" si="60"/>
        <v>0</v>
      </c>
      <c r="LJ17" s="77">
        <f t="shared" si="60"/>
        <v>0</v>
      </c>
      <c r="LK17" s="77">
        <f t="shared" si="60"/>
        <v>0</v>
      </c>
      <c r="LL17" s="77">
        <f t="shared" si="60"/>
        <v>0</v>
      </c>
      <c r="LM17" s="77">
        <f t="shared" si="60"/>
        <v>0</v>
      </c>
      <c r="LN17" s="77">
        <f t="shared" si="60"/>
        <v>0</v>
      </c>
      <c r="LO17" s="77">
        <f t="shared" si="60"/>
        <v>0</v>
      </c>
      <c r="LP17" s="77">
        <f t="shared" si="60"/>
        <v>0</v>
      </c>
      <c r="LQ17" s="77">
        <f t="shared" si="60"/>
        <v>0</v>
      </c>
      <c r="LR17" s="77">
        <f t="shared" si="60"/>
        <v>0</v>
      </c>
      <c r="LS17" s="77">
        <f t="shared" si="60"/>
        <v>0</v>
      </c>
      <c r="LT17" s="77">
        <f t="shared" si="60"/>
        <v>0</v>
      </c>
      <c r="LU17" s="77">
        <f t="shared" si="60"/>
        <v>0</v>
      </c>
      <c r="LV17" s="77">
        <f t="shared" si="60"/>
        <v>0</v>
      </c>
      <c r="LW17" s="77">
        <f t="shared" si="60"/>
        <v>0</v>
      </c>
      <c r="LX17" s="77">
        <f t="shared" si="60"/>
        <v>0</v>
      </c>
      <c r="LY17" s="77">
        <f t="shared" si="61"/>
        <v>0</v>
      </c>
      <c r="LZ17" s="77">
        <f t="shared" si="61"/>
        <v>0</v>
      </c>
      <c r="MA17" s="77">
        <f t="shared" si="61"/>
        <v>0</v>
      </c>
      <c r="MB17" s="77">
        <f t="shared" si="61"/>
        <v>0</v>
      </c>
      <c r="MC17" s="77">
        <f t="shared" si="61"/>
        <v>0</v>
      </c>
      <c r="MD17" s="77">
        <f t="shared" si="61"/>
        <v>0</v>
      </c>
      <c r="ME17" s="77">
        <f t="shared" si="61"/>
        <v>0</v>
      </c>
      <c r="MF17" s="77">
        <f t="shared" si="61"/>
        <v>0</v>
      </c>
      <c r="MG17" s="77">
        <f t="shared" si="61"/>
        <v>0</v>
      </c>
      <c r="MH17" s="77">
        <f t="shared" si="61"/>
        <v>0</v>
      </c>
      <c r="MI17" s="77">
        <f t="shared" si="61"/>
        <v>0</v>
      </c>
      <c r="MJ17" s="77">
        <f t="shared" si="61"/>
        <v>0</v>
      </c>
      <c r="MK17" s="77">
        <f t="shared" si="61"/>
        <v>0</v>
      </c>
      <c r="ML17" s="77">
        <f t="shared" si="61"/>
        <v>0</v>
      </c>
      <c r="MM17" s="77">
        <f t="shared" si="61"/>
        <v>0</v>
      </c>
      <c r="MN17" s="77">
        <f t="shared" si="61"/>
        <v>0</v>
      </c>
      <c r="MO17" s="77">
        <f t="shared" si="62"/>
        <v>0</v>
      </c>
      <c r="MP17" s="77">
        <f t="shared" si="62"/>
        <v>0</v>
      </c>
      <c r="MQ17" s="77">
        <f t="shared" si="62"/>
        <v>0</v>
      </c>
      <c r="MR17" s="77">
        <f t="shared" si="62"/>
        <v>0</v>
      </c>
      <c r="MS17" s="77">
        <f t="shared" si="62"/>
        <v>0</v>
      </c>
      <c r="MT17" s="77">
        <f t="shared" si="62"/>
        <v>0</v>
      </c>
      <c r="MU17" s="77">
        <f t="shared" si="62"/>
        <v>0</v>
      </c>
      <c r="MV17" s="77">
        <f t="shared" si="62"/>
        <v>0</v>
      </c>
      <c r="MW17" s="77">
        <f t="shared" si="62"/>
        <v>0</v>
      </c>
      <c r="MX17" s="77">
        <f t="shared" si="62"/>
        <v>0</v>
      </c>
      <c r="MY17" s="77">
        <f t="shared" si="62"/>
        <v>0</v>
      </c>
      <c r="MZ17" s="77">
        <f t="shared" si="62"/>
        <v>0</v>
      </c>
      <c r="NA17" s="77">
        <f t="shared" si="62"/>
        <v>0</v>
      </c>
      <c r="NB17" s="77">
        <f t="shared" si="62"/>
        <v>0</v>
      </c>
      <c r="NC17" s="77">
        <f t="shared" si="62"/>
        <v>0</v>
      </c>
      <c r="ND17" s="77">
        <f t="shared" si="62"/>
        <v>0</v>
      </c>
      <c r="NE17" s="77">
        <f t="shared" si="63"/>
        <v>0</v>
      </c>
      <c r="NF17" s="77">
        <f t="shared" si="63"/>
        <v>0</v>
      </c>
      <c r="NG17" s="77">
        <f t="shared" si="63"/>
        <v>0</v>
      </c>
      <c r="NH17" s="77">
        <f t="shared" si="63"/>
        <v>0</v>
      </c>
      <c r="NI17" s="77">
        <f t="shared" si="63"/>
        <v>0</v>
      </c>
      <c r="NJ17" s="77">
        <f t="shared" si="63"/>
        <v>0</v>
      </c>
      <c r="NK17" s="77">
        <f t="shared" si="63"/>
        <v>0</v>
      </c>
      <c r="NL17" s="77">
        <f t="shared" si="63"/>
        <v>0</v>
      </c>
      <c r="NM17" s="77">
        <f t="shared" si="63"/>
        <v>0</v>
      </c>
      <c r="NN17" s="77">
        <f t="shared" si="63"/>
        <v>0</v>
      </c>
      <c r="NO17" s="77">
        <f t="shared" si="63"/>
        <v>0</v>
      </c>
      <c r="NP17" s="77">
        <f t="shared" si="63"/>
        <v>0</v>
      </c>
      <c r="NQ17" s="77">
        <f t="shared" si="63"/>
        <v>0</v>
      </c>
      <c r="NR17" s="77">
        <f t="shared" si="63"/>
        <v>0</v>
      </c>
      <c r="NS17" s="77">
        <f t="shared" si="63"/>
        <v>0</v>
      </c>
      <c r="NT17" s="77">
        <f t="shared" si="63"/>
        <v>0</v>
      </c>
      <c r="NU17" s="77">
        <f t="shared" si="64"/>
        <v>0</v>
      </c>
      <c r="NV17" s="77">
        <f t="shared" si="64"/>
        <v>0</v>
      </c>
      <c r="NW17" s="77">
        <f t="shared" si="64"/>
        <v>0</v>
      </c>
      <c r="NX17" s="10"/>
    </row>
    <row r="18" spans="2:388" ht="15.5" x14ac:dyDescent="0.45">
      <c r="B18" s="26" t="s">
        <v>200</v>
      </c>
      <c r="C18" s="18"/>
      <c r="D18" s="19"/>
      <c r="E18" s="27">
        <v>1</v>
      </c>
      <c r="F18" s="27">
        <v>1</v>
      </c>
      <c r="G18" s="21"/>
      <c r="H18" s="28">
        <f>F18-E18+1</f>
        <v>1</v>
      </c>
      <c r="I18" s="21" t="s">
        <v>195</v>
      </c>
      <c r="J18" s="31">
        <f>L18/$L$8</f>
        <v>0</v>
      </c>
      <c r="K18" s="32">
        <f>L18/$L$7</f>
        <v>0</v>
      </c>
      <c r="L18" s="33">
        <v>0</v>
      </c>
      <c r="S18" s="69" t="str">
        <f>IF(ROUND(L18,0)=ROUND(SUM(T18:GQ18),0),"OK","ERROR")</f>
        <v>OK</v>
      </c>
      <c r="T18" s="17">
        <f t="shared" si="35"/>
        <v>0</v>
      </c>
      <c r="U18" s="17">
        <f t="shared" si="35"/>
        <v>0</v>
      </c>
      <c r="V18" s="17">
        <f t="shared" si="35"/>
        <v>0</v>
      </c>
      <c r="W18" s="17">
        <f t="shared" si="35"/>
        <v>0</v>
      </c>
      <c r="X18" s="17">
        <f t="shared" si="35"/>
        <v>0</v>
      </c>
      <c r="Y18" s="17">
        <f t="shared" si="35"/>
        <v>0</v>
      </c>
      <c r="Z18" s="17">
        <f t="shared" si="35"/>
        <v>0</v>
      </c>
      <c r="AA18" s="17">
        <f t="shared" si="35"/>
        <v>0</v>
      </c>
      <c r="AB18" s="17">
        <f t="shared" si="35"/>
        <v>0</v>
      </c>
      <c r="AC18" s="17">
        <f t="shared" si="35"/>
        <v>0</v>
      </c>
      <c r="AD18" s="17">
        <f t="shared" si="36"/>
        <v>0</v>
      </c>
      <c r="AE18" s="17">
        <f t="shared" si="36"/>
        <v>0</v>
      </c>
      <c r="AF18" s="17">
        <f t="shared" si="36"/>
        <v>0</v>
      </c>
      <c r="AG18" s="17">
        <f t="shared" si="36"/>
        <v>0</v>
      </c>
      <c r="AH18" s="17">
        <f t="shared" si="36"/>
        <v>0</v>
      </c>
      <c r="AI18" s="17">
        <f t="shared" si="36"/>
        <v>0</v>
      </c>
      <c r="AJ18" s="17">
        <f t="shared" si="36"/>
        <v>0</v>
      </c>
      <c r="AK18" s="17">
        <f t="shared" si="36"/>
        <v>0</v>
      </c>
      <c r="AL18" s="17">
        <f t="shared" si="36"/>
        <v>0</v>
      </c>
      <c r="AM18" s="17">
        <f t="shared" si="36"/>
        <v>0</v>
      </c>
      <c r="AN18" s="17">
        <f t="shared" si="37"/>
        <v>0</v>
      </c>
      <c r="AO18" s="17">
        <f t="shared" si="37"/>
        <v>0</v>
      </c>
      <c r="AP18" s="17">
        <f t="shared" si="37"/>
        <v>0</v>
      </c>
      <c r="AQ18" s="17">
        <f t="shared" si="37"/>
        <v>0</v>
      </c>
      <c r="AR18" s="17">
        <f t="shared" si="37"/>
        <v>0</v>
      </c>
      <c r="AS18" s="17">
        <f t="shared" si="37"/>
        <v>0</v>
      </c>
      <c r="AT18" s="17">
        <f t="shared" si="37"/>
        <v>0</v>
      </c>
      <c r="AU18" s="17">
        <f t="shared" si="37"/>
        <v>0</v>
      </c>
      <c r="AV18" s="17">
        <f t="shared" si="37"/>
        <v>0</v>
      </c>
      <c r="AW18" s="17">
        <f t="shared" si="37"/>
        <v>0</v>
      </c>
      <c r="AX18" s="17">
        <f t="shared" si="38"/>
        <v>0</v>
      </c>
      <c r="AY18" s="17">
        <f t="shared" si="38"/>
        <v>0</v>
      </c>
      <c r="AZ18" s="17">
        <f t="shared" si="38"/>
        <v>0</v>
      </c>
      <c r="BA18" s="17">
        <f t="shared" si="38"/>
        <v>0</v>
      </c>
      <c r="BB18" s="17">
        <f t="shared" si="38"/>
        <v>0</v>
      </c>
      <c r="BC18" s="17">
        <f t="shared" si="38"/>
        <v>0</v>
      </c>
      <c r="BD18" s="17">
        <f t="shared" si="38"/>
        <v>0</v>
      </c>
      <c r="BE18" s="17">
        <f t="shared" si="38"/>
        <v>0</v>
      </c>
      <c r="BF18" s="17">
        <f t="shared" si="38"/>
        <v>0</v>
      </c>
      <c r="BG18" s="17">
        <f t="shared" si="38"/>
        <v>0</v>
      </c>
      <c r="BH18" s="17">
        <f t="shared" si="39"/>
        <v>0</v>
      </c>
      <c r="BI18" s="17">
        <f t="shared" si="39"/>
        <v>0</v>
      </c>
      <c r="BJ18" s="17">
        <f t="shared" si="39"/>
        <v>0</v>
      </c>
      <c r="BK18" s="17">
        <f t="shared" si="39"/>
        <v>0</v>
      </c>
      <c r="BL18" s="17">
        <f t="shared" si="39"/>
        <v>0</v>
      </c>
      <c r="BM18" s="17">
        <f t="shared" si="39"/>
        <v>0</v>
      </c>
      <c r="BN18" s="17">
        <f t="shared" si="39"/>
        <v>0</v>
      </c>
      <c r="BO18" s="17">
        <f t="shared" si="39"/>
        <v>0</v>
      </c>
      <c r="BP18" s="17">
        <f t="shared" si="39"/>
        <v>0</v>
      </c>
      <c r="BQ18" s="17">
        <f t="shared" si="39"/>
        <v>0</v>
      </c>
      <c r="BR18" s="17">
        <f t="shared" si="40"/>
        <v>0</v>
      </c>
      <c r="BS18" s="17">
        <f t="shared" si="40"/>
        <v>0</v>
      </c>
      <c r="BT18" s="17">
        <f t="shared" si="40"/>
        <v>0</v>
      </c>
      <c r="BU18" s="17">
        <f t="shared" si="40"/>
        <v>0</v>
      </c>
      <c r="BV18" s="17">
        <f t="shared" si="40"/>
        <v>0</v>
      </c>
      <c r="BW18" s="17">
        <f t="shared" si="40"/>
        <v>0</v>
      </c>
      <c r="BX18" s="17">
        <f t="shared" si="40"/>
        <v>0</v>
      </c>
      <c r="BY18" s="17">
        <f t="shared" si="40"/>
        <v>0</v>
      </c>
      <c r="BZ18" s="17">
        <f t="shared" si="40"/>
        <v>0</v>
      </c>
      <c r="CA18" s="17">
        <f t="shared" si="40"/>
        <v>0</v>
      </c>
      <c r="CB18" s="17">
        <f t="shared" si="41"/>
        <v>0</v>
      </c>
      <c r="CC18" s="17">
        <f t="shared" si="41"/>
        <v>0</v>
      </c>
      <c r="CD18" s="17">
        <f t="shared" si="41"/>
        <v>0</v>
      </c>
      <c r="CE18" s="17">
        <f t="shared" si="41"/>
        <v>0</v>
      </c>
      <c r="CF18" s="17">
        <f t="shared" si="41"/>
        <v>0</v>
      </c>
      <c r="CG18" s="17">
        <f t="shared" si="41"/>
        <v>0</v>
      </c>
      <c r="CH18" s="17">
        <f t="shared" si="41"/>
        <v>0</v>
      </c>
      <c r="CI18" s="17">
        <f t="shared" si="41"/>
        <v>0</v>
      </c>
      <c r="CJ18" s="17">
        <f t="shared" si="41"/>
        <v>0</v>
      </c>
      <c r="CK18" s="17">
        <f t="shared" si="41"/>
        <v>0</v>
      </c>
      <c r="CL18" s="17">
        <f t="shared" si="42"/>
        <v>0</v>
      </c>
      <c r="CM18" s="17">
        <f t="shared" si="42"/>
        <v>0</v>
      </c>
      <c r="CN18" s="17">
        <f t="shared" si="42"/>
        <v>0</v>
      </c>
      <c r="CO18" s="17">
        <f t="shared" si="42"/>
        <v>0</v>
      </c>
      <c r="CP18" s="17">
        <f t="shared" si="42"/>
        <v>0</v>
      </c>
      <c r="CQ18" s="17">
        <f t="shared" si="42"/>
        <v>0</v>
      </c>
      <c r="CR18" s="17">
        <f t="shared" si="42"/>
        <v>0</v>
      </c>
      <c r="CS18" s="17">
        <f t="shared" si="42"/>
        <v>0</v>
      </c>
      <c r="CT18" s="17">
        <f t="shared" si="42"/>
        <v>0</v>
      </c>
      <c r="CU18" s="17">
        <f t="shared" si="42"/>
        <v>0</v>
      </c>
      <c r="CV18" s="17">
        <f t="shared" si="43"/>
        <v>0</v>
      </c>
      <c r="CW18" s="17">
        <f t="shared" si="43"/>
        <v>0</v>
      </c>
      <c r="CX18" s="17">
        <f t="shared" si="43"/>
        <v>0</v>
      </c>
      <c r="CY18" s="17">
        <f t="shared" si="43"/>
        <v>0</v>
      </c>
      <c r="CZ18" s="17">
        <f t="shared" si="43"/>
        <v>0</v>
      </c>
      <c r="DA18" s="17">
        <f t="shared" si="43"/>
        <v>0</v>
      </c>
      <c r="DB18" s="17">
        <f t="shared" si="43"/>
        <v>0</v>
      </c>
      <c r="DC18" s="17">
        <f t="shared" si="43"/>
        <v>0</v>
      </c>
      <c r="DD18" s="17">
        <f t="shared" si="43"/>
        <v>0</v>
      </c>
      <c r="DE18" s="17">
        <f t="shared" si="43"/>
        <v>0</v>
      </c>
      <c r="DF18" s="17">
        <f t="shared" si="44"/>
        <v>0</v>
      </c>
      <c r="DG18" s="17">
        <f t="shared" si="44"/>
        <v>0</v>
      </c>
      <c r="DH18" s="17">
        <f t="shared" si="44"/>
        <v>0</v>
      </c>
      <c r="DI18" s="17">
        <f t="shared" si="44"/>
        <v>0</v>
      </c>
      <c r="DJ18" s="17">
        <f t="shared" si="44"/>
        <v>0</v>
      </c>
      <c r="DK18" s="17">
        <f t="shared" si="44"/>
        <v>0</v>
      </c>
      <c r="DL18" s="17">
        <f t="shared" si="44"/>
        <v>0</v>
      </c>
      <c r="DM18" s="17">
        <f t="shared" si="44"/>
        <v>0</v>
      </c>
      <c r="DN18" s="17">
        <f t="shared" si="44"/>
        <v>0</v>
      </c>
      <c r="DO18" s="17">
        <f t="shared" si="44"/>
        <v>0</v>
      </c>
      <c r="DP18" s="17">
        <f t="shared" si="45"/>
        <v>0</v>
      </c>
      <c r="DQ18" s="17">
        <f t="shared" si="45"/>
        <v>0</v>
      </c>
      <c r="DR18" s="17">
        <f t="shared" si="45"/>
        <v>0</v>
      </c>
      <c r="DS18" s="17">
        <f t="shared" si="45"/>
        <v>0</v>
      </c>
      <c r="DT18" s="17">
        <f t="shared" si="45"/>
        <v>0</v>
      </c>
      <c r="DU18" s="17">
        <f t="shared" si="45"/>
        <v>0</v>
      </c>
      <c r="DV18" s="17">
        <f t="shared" si="45"/>
        <v>0</v>
      </c>
      <c r="DW18" s="17">
        <f t="shared" si="45"/>
        <v>0</v>
      </c>
      <c r="DX18" s="17">
        <f t="shared" si="45"/>
        <v>0</v>
      </c>
      <c r="DY18" s="17">
        <f t="shared" si="45"/>
        <v>0</v>
      </c>
      <c r="DZ18" s="17">
        <f t="shared" si="46"/>
        <v>0</v>
      </c>
      <c r="EA18" s="17">
        <f t="shared" si="46"/>
        <v>0</v>
      </c>
      <c r="EB18" s="17">
        <f t="shared" si="46"/>
        <v>0</v>
      </c>
      <c r="EC18" s="17">
        <f t="shared" si="46"/>
        <v>0</v>
      </c>
      <c r="ED18" s="17">
        <f t="shared" si="46"/>
        <v>0</v>
      </c>
      <c r="EE18" s="17">
        <f t="shared" si="46"/>
        <v>0</v>
      </c>
      <c r="EF18" s="17">
        <f t="shared" si="46"/>
        <v>0</v>
      </c>
      <c r="EG18" s="17">
        <f t="shared" si="46"/>
        <v>0</v>
      </c>
      <c r="EH18" s="17">
        <f t="shared" si="46"/>
        <v>0</v>
      </c>
      <c r="EI18" s="17">
        <f t="shared" si="46"/>
        <v>0</v>
      </c>
      <c r="EJ18" s="17">
        <f t="shared" si="47"/>
        <v>0</v>
      </c>
      <c r="EK18" s="17">
        <f t="shared" si="47"/>
        <v>0</v>
      </c>
      <c r="EL18" s="17">
        <f t="shared" si="47"/>
        <v>0</v>
      </c>
      <c r="EM18" s="17">
        <f t="shared" si="47"/>
        <v>0</v>
      </c>
      <c r="EN18" s="17">
        <f t="shared" si="47"/>
        <v>0</v>
      </c>
      <c r="EO18" s="17">
        <f t="shared" si="47"/>
        <v>0</v>
      </c>
      <c r="EP18" s="17">
        <f t="shared" si="47"/>
        <v>0</v>
      </c>
      <c r="EQ18" s="17">
        <f t="shared" si="47"/>
        <v>0</v>
      </c>
      <c r="ER18" s="17">
        <f t="shared" si="47"/>
        <v>0</v>
      </c>
      <c r="ES18" s="17">
        <f t="shared" si="47"/>
        <v>0</v>
      </c>
      <c r="ET18" s="17">
        <f t="shared" si="48"/>
        <v>0</v>
      </c>
      <c r="EU18" s="17">
        <f t="shared" si="48"/>
        <v>0</v>
      </c>
      <c r="EV18" s="17">
        <f t="shared" si="48"/>
        <v>0</v>
      </c>
      <c r="EW18" s="17">
        <f t="shared" si="48"/>
        <v>0</v>
      </c>
      <c r="EX18" s="17">
        <f t="shared" si="48"/>
        <v>0</v>
      </c>
      <c r="EY18" s="17">
        <f t="shared" si="48"/>
        <v>0</v>
      </c>
      <c r="EZ18" s="17">
        <f t="shared" si="48"/>
        <v>0</v>
      </c>
      <c r="FA18" s="17">
        <f t="shared" si="48"/>
        <v>0</v>
      </c>
      <c r="FB18" s="17">
        <f t="shared" si="48"/>
        <v>0</v>
      </c>
      <c r="FC18" s="17">
        <f t="shared" si="48"/>
        <v>0</v>
      </c>
      <c r="FD18" s="17">
        <f t="shared" si="49"/>
        <v>0</v>
      </c>
      <c r="FE18" s="17">
        <f t="shared" si="49"/>
        <v>0</v>
      </c>
      <c r="FF18" s="17">
        <f t="shared" si="49"/>
        <v>0</v>
      </c>
      <c r="FG18" s="17">
        <f t="shared" si="49"/>
        <v>0</v>
      </c>
      <c r="FH18" s="17">
        <f t="shared" si="49"/>
        <v>0</v>
      </c>
      <c r="FI18" s="17">
        <f t="shared" si="49"/>
        <v>0</v>
      </c>
      <c r="FJ18" s="17">
        <f t="shared" si="49"/>
        <v>0</v>
      </c>
      <c r="FK18" s="17">
        <f t="shared" si="49"/>
        <v>0</v>
      </c>
      <c r="FL18" s="17">
        <f t="shared" si="49"/>
        <v>0</v>
      </c>
      <c r="FM18" s="17">
        <f t="shared" si="49"/>
        <v>0</v>
      </c>
      <c r="FN18" s="17">
        <f t="shared" si="50"/>
        <v>0</v>
      </c>
      <c r="FO18" s="17">
        <f t="shared" si="50"/>
        <v>0</v>
      </c>
      <c r="FP18" s="17">
        <f t="shared" si="50"/>
        <v>0</v>
      </c>
      <c r="FQ18" s="17">
        <f t="shared" si="50"/>
        <v>0</v>
      </c>
      <c r="FR18" s="17">
        <f t="shared" si="50"/>
        <v>0</v>
      </c>
      <c r="FS18" s="17">
        <f t="shared" si="50"/>
        <v>0</v>
      </c>
      <c r="FT18" s="17">
        <f t="shared" si="50"/>
        <v>0</v>
      </c>
      <c r="FU18" s="17">
        <f t="shared" si="50"/>
        <v>0</v>
      </c>
      <c r="FV18" s="17">
        <f t="shared" si="50"/>
        <v>0</v>
      </c>
      <c r="FW18" s="17">
        <f t="shared" si="50"/>
        <v>0</v>
      </c>
      <c r="FX18" s="17">
        <f t="shared" si="51"/>
        <v>0</v>
      </c>
      <c r="FY18" s="17">
        <f t="shared" si="51"/>
        <v>0</v>
      </c>
      <c r="FZ18" s="17">
        <f t="shared" si="51"/>
        <v>0</v>
      </c>
      <c r="GA18" s="17">
        <f t="shared" si="51"/>
        <v>0</v>
      </c>
      <c r="GB18" s="17">
        <f t="shared" si="51"/>
        <v>0</v>
      </c>
      <c r="GC18" s="17">
        <f t="shared" si="51"/>
        <v>0</v>
      </c>
      <c r="GD18" s="17">
        <f t="shared" si="51"/>
        <v>0</v>
      </c>
      <c r="GE18" s="17">
        <f t="shared" si="51"/>
        <v>0</v>
      </c>
      <c r="GF18" s="17">
        <f t="shared" si="51"/>
        <v>0</v>
      </c>
      <c r="GG18" s="17">
        <f t="shared" si="51"/>
        <v>0</v>
      </c>
      <c r="GH18" s="17">
        <f t="shared" si="52"/>
        <v>0</v>
      </c>
      <c r="GI18" s="17">
        <f t="shared" si="52"/>
        <v>0</v>
      </c>
      <c r="GJ18" s="17">
        <f t="shared" si="52"/>
        <v>0</v>
      </c>
      <c r="GK18" s="17">
        <f t="shared" si="52"/>
        <v>0</v>
      </c>
      <c r="GL18" s="17">
        <f t="shared" si="52"/>
        <v>0</v>
      </c>
      <c r="GM18" s="17">
        <f t="shared" si="52"/>
        <v>0</v>
      </c>
      <c r="GN18" s="17">
        <f t="shared" si="52"/>
        <v>0</v>
      </c>
      <c r="GO18" s="17">
        <f t="shared" si="52"/>
        <v>0</v>
      </c>
      <c r="GP18" s="17">
        <f t="shared" si="52"/>
        <v>0</v>
      </c>
      <c r="GQ18" s="17">
        <f t="shared" si="52"/>
        <v>0</v>
      </c>
      <c r="GR18" s="9"/>
      <c r="GS18" s="70" t="str">
        <f t="shared" si="30"/>
        <v>[Item]</v>
      </c>
      <c r="GT18" s="77">
        <f>L18</f>
        <v>0</v>
      </c>
      <c r="GU18" s="78">
        <f t="shared" si="31"/>
        <v>1</v>
      </c>
      <c r="GV18" s="78">
        <f t="shared" si="31"/>
        <v>1</v>
      </c>
      <c r="GW18" s="78">
        <f>H18</f>
        <v>1</v>
      </c>
      <c r="GX18" s="79">
        <f>GW18/6</f>
        <v>0.16666666666666666</v>
      </c>
      <c r="GY18" s="79" t="b">
        <f>ROUND(GT18,0)=ROUND(SUM(GZ18:NW18),0)</f>
        <v>1</v>
      </c>
      <c r="GZ18" s="77">
        <f>AND(GZ$14&gt;=$GU18,GZ$14&lt;=$GV18)*((_xlfn.NORM.DIST(GZ$14-$GU18+1,$GW18/2,$GX18,TRUE)-_xlfn.NORM.DIST(GZ$14-$GU18,$GW18/2,$GX18,TRUE))/(1-2*_xlfn.NORM.DIST(0,$GW18/2,$GX18,TRUE))*$GT18)</f>
        <v>0</v>
      </c>
      <c r="HA18" s="77">
        <f t="shared" si="53"/>
        <v>0</v>
      </c>
      <c r="HB18" s="77">
        <f t="shared" si="53"/>
        <v>0</v>
      </c>
      <c r="HC18" s="77">
        <f t="shared" si="53"/>
        <v>0</v>
      </c>
      <c r="HD18" s="77">
        <f t="shared" si="53"/>
        <v>0</v>
      </c>
      <c r="HE18" s="77">
        <f t="shared" si="53"/>
        <v>0</v>
      </c>
      <c r="HF18" s="77">
        <f t="shared" si="53"/>
        <v>0</v>
      </c>
      <c r="HG18" s="77">
        <f t="shared" si="53"/>
        <v>0</v>
      </c>
      <c r="HH18" s="77">
        <f t="shared" si="53"/>
        <v>0</v>
      </c>
      <c r="HI18" s="77">
        <f t="shared" si="53"/>
        <v>0</v>
      </c>
      <c r="HJ18" s="77">
        <f t="shared" si="53"/>
        <v>0</v>
      </c>
      <c r="HK18" s="77">
        <f t="shared" si="53"/>
        <v>0</v>
      </c>
      <c r="HL18" s="77">
        <f t="shared" si="53"/>
        <v>0</v>
      </c>
      <c r="HM18" s="77">
        <f t="shared" si="53"/>
        <v>0</v>
      </c>
      <c r="HN18" s="77">
        <f t="shared" si="53"/>
        <v>0</v>
      </c>
      <c r="HO18" s="77">
        <f t="shared" si="53"/>
        <v>0</v>
      </c>
      <c r="HP18" s="77">
        <f t="shared" si="53"/>
        <v>0</v>
      </c>
      <c r="HQ18" s="77">
        <f t="shared" si="54"/>
        <v>0</v>
      </c>
      <c r="HR18" s="77">
        <f t="shared" si="54"/>
        <v>0</v>
      </c>
      <c r="HS18" s="77">
        <f t="shared" si="54"/>
        <v>0</v>
      </c>
      <c r="HT18" s="77">
        <f t="shared" si="54"/>
        <v>0</v>
      </c>
      <c r="HU18" s="77">
        <f t="shared" si="54"/>
        <v>0</v>
      </c>
      <c r="HV18" s="77">
        <f t="shared" si="54"/>
        <v>0</v>
      </c>
      <c r="HW18" s="77">
        <f t="shared" si="54"/>
        <v>0</v>
      </c>
      <c r="HX18" s="77">
        <f t="shared" si="54"/>
        <v>0</v>
      </c>
      <c r="HY18" s="77">
        <f t="shared" si="54"/>
        <v>0</v>
      </c>
      <c r="HZ18" s="77">
        <f t="shared" si="54"/>
        <v>0</v>
      </c>
      <c r="IA18" s="77">
        <f t="shared" si="54"/>
        <v>0</v>
      </c>
      <c r="IB18" s="77">
        <f t="shared" si="54"/>
        <v>0</v>
      </c>
      <c r="IC18" s="77">
        <f t="shared" si="54"/>
        <v>0</v>
      </c>
      <c r="ID18" s="77">
        <f t="shared" si="54"/>
        <v>0</v>
      </c>
      <c r="IE18" s="77">
        <f t="shared" si="54"/>
        <v>0</v>
      </c>
      <c r="IF18" s="77">
        <f t="shared" si="54"/>
        <v>0</v>
      </c>
      <c r="IG18" s="77">
        <f t="shared" si="55"/>
        <v>0</v>
      </c>
      <c r="IH18" s="77">
        <f t="shared" si="55"/>
        <v>0</v>
      </c>
      <c r="II18" s="77">
        <f t="shared" si="55"/>
        <v>0</v>
      </c>
      <c r="IJ18" s="77">
        <f t="shared" si="55"/>
        <v>0</v>
      </c>
      <c r="IK18" s="77">
        <f t="shared" si="55"/>
        <v>0</v>
      </c>
      <c r="IL18" s="77">
        <f t="shared" si="55"/>
        <v>0</v>
      </c>
      <c r="IM18" s="77">
        <f t="shared" si="55"/>
        <v>0</v>
      </c>
      <c r="IN18" s="77">
        <f t="shared" si="55"/>
        <v>0</v>
      </c>
      <c r="IO18" s="77">
        <f t="shared" si="55"/>
        <v>0</v>
      </c>
      <c r="IP18" s="77">
        <f t="shared" si="55"/>
        <v>0</v>
      </c>
      <c r="IQ18" s="77">
        <f t="shared" si="55"/>
        <v>0</v>
      </c>
      <c r="IR18" s="77">
        <f t="shared" si="55"/>
        <v>0</v>
      </c>
      <c r="IS18" s="77">
        <f t="shared" si="55"/>
        <v>0</v>
      </c>
      <c r="IT18" s="77">
        <f t="shared" si="55"/>
        <v>0</v>
      </c>
      <c r="IU18" s="77">
        <f t="shared" si="55"/>
        <v>0</v>
      </c>
      <c r="IV18" s="77">
        <f t="shared" si="55"/>
        <v>0</v>
      </c>
      <c r="IW18" s="77">
        <f t="shared" si="56"/>
        <v>0</v>
      </c>
      <c r="IX18" s="77">
        <f t="shared" si="56"/>
        <v>0</v>
      </c>
      <c r="IY18" s="77">
        <f t="shared" si="56"/>
        <v>0</v>
      </c>
      <c r="IZ18" s="77">
        <f t="shared" si="56"/>
        <v>0</v>
      </c>
      <c r="JA18" s="77">
        <f t="shared" si="56"/>
        <v>0</v>
      </c>
      <c r="JB18" s="77">
        <f t="shared" si="56"/>
        <v>0</v>
      </c>
      <c r="JC18" s="77">
        <f t="shared" si="56"/>
        <v>0</v>
      </c>
      <c r="JD18" s="77">
        <f t="shared" si="56"/>
        <v>0</v>
      </c>
      <c r="JE18" s="77">
        <f t="shared" si="56"/>
        <v>0</v>
      </c>
      <c r="JF18" s="77">
        <f t="shared" si="56"/>
        <v>0</v>
      </c>
      <c r="JG18" s="77">
        <f t="shared" si="56"/>
        <v>0</v>
      </c>
      <c r="JH18" s="77">
        <f t="shared" si="56"/>
        <v>0</v>
      </c>
      <c r="JI18" s="77">
        <f t="shared" si="56"/>
        <v>0</v>
      </c>
      <c r="JJ18" s="77">
        <f t="shared" si="56"/>
        <v>0</v>
      </c>
      <c r="JK18" s="77">
        <f t="shared" si="56"/>
        <v>0</v>
      </c>
      <c r="JL18" s="77">
        <f t="shared" si="56"/>
        <v>0</v>
      </c>
      <c r="JM18" s="77">
        <f t="shared" si="57"/>
        <v>0</v>
      </c>
      <c r="JN18" s="77">
        <f t="shared" si="57"/>
        <v>0</v>
      </c>
      <c r="JO18" s="77">
        <f t="shared" si="57"/>
        <v>0</v>
      </c>
      <c r="JP18" s="77">
        <f t="shared" si="57"/>
        <v>0</v>
      </c>
      <c r="JQ18" s="77">
        <f t="shared" si="57"/>
        <v>0</v>
      </c>
      <c r="JR18" s="77">
        <f t="shared" si="57"/>
        <v>0</v>
      </c>
      <c r="JS18" s="77">
        <f t="shared" si="57"/>
        <v>0</v>
      </c>
      <c r="JT18" s="77">
        <f t="shared" si="57"/>
        <v>0</v>
      </c>
      <c r="JU18" s="77">
        <f t="shared" si="57"/>
        <v>0</v>
      </c>
      <c r="JV18" s="77">
        <f t="shared" si="57"/>
        <v>0</v>
      </c>
      <c r="JW18" s="77">
        <f t="shared" si="57"/>
        <v>0</v>
      </c>
      <c r="JX18" s="77">
        <f t="shared" si="57"/>
        <v>0</v>
      </c>
      <c r="JY18" s="77">
        <f t="shared" si="57"/>
        <v>0</v>
      </c>
      <c r="JZ18" s="77">
        <f t="shared" si="57"/>
        <v>0</v>
      </c>
      <c r="KA18" s="77">
        <f t="shared" si="57"/>
        <v>0</v>
      </c>
      <c r="KB18" s="77">
        <f t="shared" si="57"/>
        <v>0</v>
      </c>
      <c r="KC18" s="77">
        <f t="shared" si="58"/>
        <v>0</v>
      </c>
      <c r="KD18" s="77">
        <f t="shared" si="58"/>
        <v>0</v>
      </c>
      <c r="KE18" s="77">
        <f t="shared" si="58"/>
        <v>0</v>
      </c>
      <c r="KF18" s="77">
        <f t="shared" si="58"/>
        <v>0</v>
      </c>
      <c r="KG18" s="77">
        <f t="shared" si="58"/>
        <v>0</v>
      </c>
      <c r="KH18" s="77">
        <f t="shared" si="58"/>
        <v>0</v>
      </c>
      <c r="KI18" s="77">
        <f t="shared" si="58"/>
        <v>0</v>
      </c>
      <c r="KJ18" s="77">
        <f t="shared" si="58"/>
        <v>0</v>
      </c>
      <c r="KK18" s="77">
        <f t="shared" si="58"/>
        <v>0</v>
      </c>
      <c r="KL18" s="77">
        <f t="shared" si="58"/>
        <v>0</v>
      </c>
      <c r="KM18" s="77">
        <f t="shared" si="58"/>
        <v>0</v>
      </c>
      <c r="KN18" s="77">
        <f t="shared" si="58"/>
        <v>0</v>
      </c>
      <c r="KO18" s="77">
        <f t="shared" si="58"/>
        <v>0</v>
      </c>
      <c r="KP18" s="77">
        <f t="shared" si="58"/>
        <v>0</v>
      </c>
      <c r="KQ18" s="77">
        <f t="shared" si="58"/>
        <v>0</v>
      </c>
      <c r="KR18" s="77">
        <f t="shared" si="58"/>
        <v>0</v>
      </c>
      <c r="KS18" s="77">
        <f t="shared" si="59"/>
        <v>0</v>
      </c>
      <c r="KT18" s="77">
        <f t="shared" si="59"/>
        <v>0</v>
      </c>
      <c r="KU18" s="77">
        <f t="shared" si="59"/>
        <v>0</v>
      </c>
      <c r="KV18" s="77">
        <f t="shared" si="59"/>
        <v>0</v>
      </c>
      <c r="KW18" s="77">
        <f t="shared" si="59"/>
        <v>0</v>
      </c>
      <c r="KX18" s="77">
        <f t="shared" si="59"/>
        <v>0</v>
      </c>
      <c r="KY18" s="77">
        <f t="shared" si="59"/>
        <v>0</v>
      </c>
      <c r="KZ18" s="77">
        <f t="shared" si="59"/>
        <v>0</v>
      </c>
      <c r="LA18" s="77">
        <f t="shared" si="59"/>
        <v>0</v>
      </c>
      <c r="LB18" s="77">
        <f t="shared" si="59"/>
        <v>0</v>
      </c>
      <c r="LC18" s="77">
        <f t="shared" si="59"/>
        <v>0</v>
      </c>
      <c r="LD18" s="77">
        <f t="shared" si="59"/>
        <v>0</v>
      </c>
      <c r="LE18" s="77">
        <f t="shared" si="59"/>
        <v>0</v>
      </c>
      <c r="LF18" s="77">
        <f t="shared" si="59"/>
        <v>0</v>
      </c>
      <c r="LG18" s="77">
        <f t="shared" si="59"/>
        <v>0</v>
      </c>
      <c r="LH18" s="77">
        <f t="shared" si="59"/>
        <v>0</v>
      </c>
      <c r="LI18" s="77">
        <f t="shared" si="60"/>
        <v>0</v>
      </c>
      <c r="LJ18" s="77">
        <f t="shared" si="60"/>
        <v>0</v>
      </c>
      <c r="LK18" s="77">
        <f t="shared" si="60"/>
        <v>0</v>
      </c>
      <c r="LL18" s="77">
        <f t="shared" si="60"/>
        <v>0</v>
      </c>
      <c r="LM18" s="77">
        <f t="shared" si="60"/>
        <v>0</v>
      </c>
      <c r="LN18" s="77">
        <f t="shared" si="60"/>
        <v>0</v>
      </c>
      <c r="LO18" s="77">
        <f t="shared" si="60"/>
        <v>0</v>
      </c>
      <c r="LP18" s="77">
        <f t="shared" si="60"/>
        <v>0</v>
      </c>
      <c r="LQ18" s="77">
        <f t="shared" si="60"/>
        <v>0</v>
      </c>
      <c r="LR18" s="77">
        <f t="shared" si="60"/>
        <v>0</v>
      </c>
      <c r="LS18" s="77">
        <f t="shared" si="60"/>
        <v>0</v>
      </c>
      <c r="LT18" s="77">
        <f t="shared" si="60"/>
        <v>0</v>
      </c>
      <c r="LU18" s="77">
        <f t="shared" si="60"/>
        <v>0</v>
      </c>
      <c r="LV18" s="77">
        <f t="shared" si="60"/>
        <v>0</v>
      </c>
      <c r="LW18" s="77">
        <f t="shared" si="60"/>
        <v>0</v>
      </c>
      <c r="LX18" s="77">
        <f t="shared" si="60"/>
        <v>0</v>
      </c>
      <c r="LY18" s="77">
        <f t="shared" si="61"/>
        <v>0</v>
      </c>
      <c r="LZ18" s="77">
        <f t="shared" si="61"/>
        <v>0</v>
      </c>
      <c r="MA18" s="77">
        <f t="shared" si="61"/>
        <v>0</v>
      </c>
      <c r="MB18" s="77">
        <f t="shared" si="61"/>
        <v>0</v>
      </c>
      <c r="MC18" s="77">
        <f t="shared" si="61"/>
        <v>0</v>
      </c>
      <c r="MD18" s="77">
        <f t="shared" si="61"/>
        <v>0</v>
      </c>
      <c r="ME18" s="77">
        <f t="shared" si="61"/>
        <v>0</v>
      </c>
      <c r="MF18" s="77">
        <f t="shared" si="61"/>
        <v>0</v>
      </c>
      <c r="MG18" s="77">
        <f t="shared" si="61"/>
        <v>0</v>
      </c>
      <c r="MH18" s="77">
        <f t="shared" si="61"/>
        <v>0</v>
      </c>
      <c r="MI18" s="77">
        <f t="shared" si="61"/>
        <v>0</v>
      </c>
      <c r="MJ18" s="77">
        <f t="shared" si="61"/>
        <v>0</v>
      </c>
      <c r="MK18" s="77">
        <f t="shared" si="61"/>
        <v>0</v>
      </c>
      <c r="ML18" s="77">
        <f t="shared" si="61"/>
        <v>0</v>
      </c>
      <c r="MM18" s="77">
        <f t="shared" si="61"/>
        <v>0</v>
      </c>
      <c r="MN18" s="77">
        <f t="shared" si="61"/>
        <v>0</v>
      </c>
      <c r="MO18" s="77">
        <f t="shared" si="62"/>
        <v>0</v>
      </c>
      <c r="MP18" s="77">
        <f t="shared" si="62"/>
        <v>0</v>
      </c>
      <c r="MQ18" s="77">
        <f t="shared" si="62"/>
        <v>0</v>
      </c>
      <c r="MR18" s="77">
        <f t="shared" si="62"/>
        <v>0</v>
      </c>
      <c r="MS18" s="77">
        <f t="shared" si="62"/>
        <v>0</v>
      </c>
      <c r="MT18" s="77">
        <f t="shared" si="62"/>
        <v>0</v>
      </c>
      <c r="MU18" s="77">
        <f t="shared" si="62"/>
        <v>0</v>
      </c>
      <c r="MV18" s="77">
        <f t="shared" si="62"/>
        <v>0</v>
      </c>
      <c r="MW18" s="77">
        <f t="shared" si="62"/>
        <v>0</v>
      </c>
      <c r="MX18" s="77">
        <f t="shared" si="62"/>
        <v>0</v>
      </c>
      <c r="MY18" s="77">
        <f t="shared" si="62"/>
        <v>0</v>
      </c>
      <c r="MZ18" s="77">
        <f t="shared" si="62"/>
        <v>0</v>
      </c>
      <c r="NA18" s="77">
        <f t="shared" si="62"/>
        <v>0</v>
      </c>
      <c r="NB18" s="77">
        <f t="shared" si="62"/>
        <v>0</v>
      </c>
      <c r="NC18" s="77">
        <f t="shared" si="62"/>
        <v>0</v>
      </c>
      <c r="ND18" s="77">
        <f t="shared" si="62"/>
        <v>0</v>
      </c>
      <c r="NE18" s="77">
        <f t="shared" si="63"/>
        <v>0</v>
      </c>
      <c r="NF18" s="77">
        <f t="shared" si="63"/>
        <v>0</v>
      </c>
      <c r="NG18" s="77">
        <f t="shared" si="63"/>
        <v>0</v>
      </c>
      <c r="NH18" s="77">
        <f t="shared" si="63"/>
        <v>0</v>
      </c>
      <c r="NI18" s="77">
        <f t="shared" si="63"/>
        <v>0</v>
      </c>
      <c r="NJ18" s="77">
        <f t="shared" si="63"/>
        <v>0</v>
      </c>
      <c r="NK18" s="77">
        <f t="shared" si="63"/>
        <v>0</v>
      </c>
      <c r="NL18" s="77">
        <f t="shared" si="63"/>
        <v>0</v>
      </c>
      <c r="NM18" s="77">
        <f t="shared" si="63"/>
        <v>0</v>
      </c>
      <c r="NN18" s="77">
        <f t="shared" si="63"/>
        <v>0</v>
      </c>
      <c r="NO18" s="77">
        <f t="shared" si="63"/>
        <v>0</v>
      </c>
      <c r="NP18" s="77">
        <f t="shared" si="63"/>
        <v>0</v>
      </c>
      <c r="NQ18" s="77">
        <f t="shared" si="63"/>
        <v>0</v>
      </c>
      <c r="NR18" s="77">
        <f t="shared" si="63"/>
        <v>0</v>
      </c>
      <c r="NS18" s="77">
        <f t="shared" si="63"/>
        <v>0</v>
      </c>
      <c r="NT18" s="77">
        <f t="shared" si="63"/>
        <v>0</v>
      </c>
      <c r="NU18" s="77">
        <f t="shared" si="64"/>
        <v>0</v>
      </c>
      <c r="NV18" s="77">
        <f t="shared" si="64"/>
        <v>0</v>
      </c>
      <c r="NW18" s="77">
        <f t="shared" si="64"/>
        <v>0</v>
      </c>
      <c r="NX18" s="10"/>
    </row>
    <row r="19" spans="2:388" x14ac:dyDescent="0.3">
      <c r="B19" s="18" t="str">
        <f>"Total "&amp;B14</f>
        <v>Total Land Costs</v>
      </c>
      <c r="C19" s="18"/>
      <c r="D19" s="19"/>
      <c r="E19" s="34">
        <f>MIN(E15:E18)</f>
        <v>1</v>
      </c>
      <c r="F19" s="34">
        <f>MAX(F15:F18)</f>
        <v>1</v>
      </c>
      <c r="G19" s="19"/>
      <c r="H19" s="28">
        <f>F19-E19+1</f>
        <v>1</v>
      </c>
      <c r="I19" s="19"/>
      <c r="J19" s="23">
        <f>SUM(J15:J18)</f>
        <v>12534.78260869565</v>
      </c>
      <c r="K19" s="29">
        <f>SUM(K15:K18)</f>
        <v>1.6568965517241379</v>
      </c>
      <c r="L19" s="23">
        <f>SUM(L15:L18)</f>
        <v>2883000</v>
      </c>
      <c r="S19" s="69" t="str">
        <f>IF(ROUND(L19,0)=ROUND(SUM(T19:GQ19),0),"OK","ERROR")</f>
        <v>OK</v>
      </c>
      <c r="T19" s="16">
        <f t="shared" ref="T19:AY19" si="65">SUM(T15:T18)</f>
        <v>2883000</v>
      </c>
      <c r="U19" s="16">
        <f t="shared" si="65"/>
        <v>0</v>
      </c>
      <c r="V19" s="16">
        <f t="shared" si="65"/>
        <v>0</v>
      </c>
      <c r="W19" s="16">
        <f t="shared" si="65"/>
        <v>0</v>
      </c>
      <c r="X19" s="16">
        <f t="shared" si="65"/>
        <v>0</v>
      </c>
      <c r="Y19" s="16">
        <f t="shared" si="65"/>
        <v>0</v>
      </c>
      <c r="Z19" s="16">
        <f t="shared" si="65"/>
        <v>0</v>
      </c>
      <c r="AA19" s="16">
        <f t="shared" si="65"/>
        <v>0</v>
      </c>
      <c r="AB19" s="16">
        <f t="shared" si="65"/>
        <v>0</v>
      </c>
      <c r="AC19" s="16">
        <f t="shared" si="65"/>
        <v>0</v>
      </c>
      <c r="AD19" s="16">
        <f t="shared" si="65"/>
        <v>0</v>
      </c>
      <c r="AE19" s="16">
        <f t="shared" si="65"/>
        <v>0</v>
      </c>
      <c r="AF19" s="16">
        <f t="shared" si="65"/>
        <v>0</v>
      </c>
      <c r="AG19" s="16">
        <f t="shared" si="65"/>
        <v>0</v>
      </c>
      <c r="AH19" s="16">
        <f t="shared" si="65"/>
        <v>0</v>
      </c>
      <c r="AI19" s="16">
        <f t="shared" si="65"/>
        <v>0</v>
      </c>
      <c r="AJ19" s="16">
        <f t="shared" si="65"/>
        <v>0</v>
      </c>
      <c r="AK19" s="16">
        <f t="shared" si="65"/>
        <v>0</v>
      </c>
      <c r="AL19" s="16">
        <f t="shared" si="65"/>
        <v>0</v>
      </c>
      <c r="AM19" s="16">
        <f t="shared" si="65"/>
        <v>0</v>
      </c>
      <c r="AN19" s="16">
        <f t="shared" si="65"/>
        <v>0</v>
      </c>
      <c r="AO19" s="16">
        <f t="shared" si="65"/>
        <v>0</v>
      </c>
      <c r="AP19" s="16">
        <f t="shared" si="65"/>
        <v>0</v>
      </c>
      <c r="AQ19" s="16">
        <f t="shared" si="65"/>
        <v>0</v>
      </c>
      <c r="AR19" s="16">
        <f t="shared" si="65"/>
        <v>0</v>
      </c>
      <c r="AS19" s="16">
        <f t="shared" si="65"/>
        <v>0</v>
      </c>
      <c r="AT19" s="16">
        <f t="shared" si="65"/>
        <v>0</v>
      </c>
      <c r="AU19" s="16">
        <f t="shared" si="65"/>
        <v>0</v>
      </c>
      <c r="AV19" s="16">
        <f t="shared" si="65"/>
        <v>0</v>
      </c>
      <c r="AW19" s="16">
        <f t="shared" si="65"/>
        <v>0</v>
      </c>
      <c r="AX19" s="16">
        <f t="shared" si="65"/>
        <v>0</v>
      </c>
      <c r="AY19" s="16">
        <f t="shared" si="65"/>
        <v>0</v>
      </c>
      <c r="AZ19" s="16">
        <f t="shared" ref="AZ19:CE19" si="66">SUM(AZ15:AZ18)</f>
        <v>0</v>
      </c>
      <c r="BA19" s="16">
        <f t="shared" si="66"/>
        <v>0</v>
      </c>
      <c r="BB19" s="16">
        <f t="shared" si="66"/>
        <v>0</v>
      </c>
      <c r="BC19" s="16">
        <f t="shared" si="66"/>
        <v>0</v>
      </c>
      <c r="BD19" s="16">
        <f t="shared" si="66"/>
        <v>0</v>
      </c>
      <c r="BE19" s="16">
        <f t="shared" si="66"/>
        <v>0</v>
      </c>
      <c r="BF19" s="16">
        <f t="shared" si="66"/>
        <v>0</v>
      </c>
      <c r="BG19" s="16">
        <f t="shared" si="66"/>
        <v>0</v>
      </c>
      <c r="BH19" s="16">
        <f t="shared" si="66"/>
        <v>0</v>
      </c>
      <c r="BI19" s="16">
        <f t="shared" si="66"/>
        <v>0</v>
      </c>
      <c r="BJ19" s="16">
        <f t="shared" si="66"/>
        <v>0</v>
      </c>
      <c r="BK19" s="16">
        <f t="shared" si="66"/>
        <v>0</v>
      </c>
      <c r="BL19" s="16">
        <f t="shared" si="66"/>
        <v>0</v>
      </c>
      <c r="BM19" s="16">
        <f t="shared" si="66"/>
        <v>0</v>
      </c>
      <c r="BN19" s="16">
        <f t="shared" si="66"/>
        <v>0</v>
      </c>
      <c r="BO19" s="16">
        <f t="shared" si="66"/>
        <v>0</v>
      </c>
      <c r="BP19" s="16">
        <f t="shared" si="66"/>
        <v>0</v>
      </c>
      <c r="BQ19" s="16">
        <f t="shared" si="66"/>
        <v>0</v>
      </c>
      <c r="BR19" s="16">
        <f t="shared" si="66"/>
        <v>0</v>
      </c>
      <c r="BS19" s="16">
        <f t="shared" si="66"/>
        <v>0</v>
      </c>
      <c r="BT19" s="16">
        <f t="shared" si="66"/>
        <v>0</v>
      </c>
      <c r="BU19" s="16">
        <f t="shared" si="66"/>
        <v>0</v>
      </c>
      <c r="BV19" s="16">
        <f t="shared" si="66"/>
        <v>0</v>
      </c>
      <c r="BW19" s="16">
        <f t="shared" si="66"/>
        <v>0</v>
      </c>
      <c r="BX19" s="16">
        <f t="shared" si="66"/>
        <v>0</v>
      </c>
      <c r="BY19" s="16">
        <f t="shared" si="66"/>
        <v>0</v>
      </c>
      <c r="BZ19" s="16">
        <f t="shared" si="66"/>
        <v>0</v>
      </c>
      <c r="CA19" s="16">
        <f t="shared" si="66"/>
        <v>0</v>
      </c>
      <c r="CB19" s="16">
        <f t="shared" si="66"/>
        <v>0</v>
      </c>
      <c r="CC19" s="16">
        <f t="shared" si="66"/>
        <v>0</v>
      </c>
      <c r="CD19" s="16">
        <f t="shared" si="66"/>
        <v>0</v>
      </c>
      <c r="CE19" s="16">
        <f t="shared" si="66"/>
        <v>0</v>
      </c>
      <c r="CF19" s="16">
        <f t="shared" ref="CF19:DK19" si="67">SUM(CF15:CF18)</f>
        <v>0</v>
      </c>
      <c r="CG19" s="16">
        <f t="shared" si="67"/>
        <v>0</v>
      </c>
      <c r="CH19" s="16">
        <f t="shared" si="67"/>
        <v>0</v>
      </c>
      <c r="CI19" s="16">
        <f t="shared" si="67"/>
        <v>0</v>
      </c>
      <c r="CJ19" s="16">
        <f t="shared" si="67"/>
        <v>0</v>
      </c>
      <c r="CK19" s="16">
        <f t="shared" si="67"/>
        <v>0</v>
      </c>
      <c r="CL19" s="16">
        <f t="shared" si="67"/>
        <v>0</v>
      </c>
      <c r="CM19" s="16">
        <f t="shared" si="67"/>
        <v>0</v>
      </c>
      <c r="CN19" s="16">
        <f t="shared" si="67"/>
        <v>0</v>
      </c>
      <c r="CO19" s="16">
        <f t="shared" si="67"/>
        <v>0</v>
      </c>
      <c r="CP19" s="16">
        <f t="shared" si="67"/>
        <v>0</v>
      </c>
      <c r="CQ19" s="16">
        <f t="shared" si="67"/>
        <v>0</v>
      </c>
      <c r="CR19" s="16">
        <f t="shared" si="67"/>
        <v>0</v>
      </c>
      <c r="CS19" s="16">
        <f t="shared" si="67"/>
        <v>0</v>
      </c>
      <c r="CT19" s="16">
        <f t="shared" si="67"/>
        <v>0</v>
      </c>
      <c r="CU19" s="16">
        <f t="shared" si="67"/>
        <v>0</v>
      </c>
      <c r="CV19" s="16">
        <f t="shared" si="67"/>
        <v>0</v>
      </c>
      <c r="CW19" s="16">
        <f t="shared" si="67"/>
        <v>0</v>
      </c>
      <c r="CX19" s="16">
        <f t="shared" si="67"/>
        <v>0</v>
      </c>
      <c r="CY19" s="16">
        <f t="shared" si="67"/>
        <v>0</v>
      </c>
      <c r="CZ19" s="16">
        <f t="shared" si="67"/>
        <v>0</v>
      </c>
      <c r="DA19" s="16">
        <f t="shared" si="67"/>
        <v>0</v>
      </c>
      <c r="DB19" s="16">
        <f t="shared" si="67"/>
        <v>0</v>
      </c>
      <c r="DC19" s="16">
        <f t="shared" si="67"/>
        <v>0</v>
      </c>
      <c r="DD19" s="16">
        <f t="shared" si="67"/>
        <v>0</v>
      </c>
      <c r="DE19" s="16">
        <f t="shared" si="67"/>
        <v>0</v>
      </c>
      <c r="DF19" s="16">
        <f t="shared" si="67"/>
        <v>0</v>
      </c>
      <c r="DG19" s="16">
        <f t="shared" si="67"/>
        <v>0</v>
      </c>
      <c r="DH19" s="16">
        <f t="shared" si="67"/>
        <v>0</v>
      </c>
      <c r="DI19" s="16">
        <f t="shared" si="67"/>
        <v>0</v>
      </c>
      <c r="DJ19" s="16">
        <f t="shared" si="67"/>
        <v>0</v>
      </c>
      <c r="DK19" s="16">
        <f t="shared" si="67"/>
        <v>0</v>
      </c>
      <c r="DL19" s="16">
        <f t="shared" ref="DL19:EQ19" si="68">SUM(DL15:DL18)</f>
        <v>0</v>
      </c>
      <c r="DM19" s="16">
        <f t="shared" si="68"/>
        <v>0</v>
      </c>
      <c r="DN19" s="16">
        <f t="shared" si="68"/>
        <v>0</v>
      </c>
      <c r="DO19" s="16">
        <f t="shared" si="68"/>
        <v>0</v>
      </c>
      <c r="DP19" s="16">
        <f t="shared" si="68"/>
        <v>0</v>
      </c>
      <c r="DQ19" s="16">
        <f t="shared" si="68"/>
        <v>0</v>
      </c>
      <c r="DR19" s="16">
        <f t="shared" si="68"/>
        <v>0</v>
      </c>
      <c r="DS19" s="16">
        <f t="shared" si="68"/>
        <v>0</v>
      </c>
      <c r="DT19" s="16">
        <f t="shared" si="68"/>
        <v>0</v>
      </c>
      <c r="DU19" s="16">
        <f t="shared" si="68"/>
        <v>0</v>
      </c>
      <c r="DV19" s="16">
        <f t="shared" si="68"/>
        <v>0</v>
      </c>
      <c r="DW19" s="16">
        <f t="shared" si="68"/>
        <v>0</v>
      </c>
      <c r="DX19" s="16">
        <f t="shared" si="68"/>
        <v>0</v>
      </c>
      <c r="DY19" s="16">
        <f t="shared" si="68"/>
        <v>0</v>
      </c>
      <c r="DZ19" s="16">
        <f t="shared" si="68"/>
        <v>0</v>
      </c>
      <c r="EA19" s="16">
        <f t="shared" si="68"/>
        <v>0</v>
      </c>
      <c r="EB19" s="16">
        <f t="shared" si="68"/>
        <v>0</v>
      </c>
      <c r="EC19" s="16">
        <f t="shared" si="68"/>
        <v>0</v>
      </c>
      <c r="ED19" s="16">
        <f t="shared" si="68"/>
        <v>0</v>
      </c>
      <c r="EE19" s="16">
        <f t="shared" si="68"/>
        <v>0</v>
      </c>
      <c r="EF19" s="16">
        <f t="shared" si="68"/>
        <v>0</v>
      </c>
      <c r="EG19" s="16">
        <f t="shared" si="68"/>
        <v>0</v>
      </c>
      <c r="EH19" s="16">
        <f t="shared" si="68"/>
        <v>0</v>
      </c>
      <c r="EI19" s="16">
        <f t="shared" si="68"/>
        <v>0</v>
      </c>
      <c r="EJ19" s="16">
        <f t="shared" si="68"/>
        <v>0</v>
      </c>
      <c r="EK19" s="16">
        <f t="shared" si="68"/>
        <v>0</v>
      </c>
      <c r="EL19" s="16">
        <f t="shared" si="68"/>
        <v>0</v>
      </c>
      <c r="EM19" s="16">
        <f t="shared" si="68"/>
        <v>0</v>
      </c>
      <c r="EN19" s="16">
        <f t="shared" si="68"/>
        <v>0</v>
      </c>
      <c r="EO19" s="16">
        <f t="shared" si="68"/>
        <v>0</v>
      </c>
      <c r="EP19" s="16">
        <f t="shared" si="68"/>
        <v>0</v>
      </c>
      <c r="EQ19" s="16">
        <f t="shared" si="68"/>
        <v>0</v>
      </c>
      <c r="ER19" s="16">
        <f t="shared" ref="ER19:FW19" si="69">SUM(ER15:ER18)</f>
        <v>0</v>
      </c>
      <c r="ES19" s="16">
        <f t="shared" si="69"/>
        <v>0</v>
      </c>
      <c r="ET19" s="16">
        <f t="shared" si="69"/>
        <v>0</v>
      </c>
      <c r="EU19" s="16">
        <f t="shared" si="69"/>
        <v>0</v>
      </c>
      <c r="EV19" s="16">
        <f t="shared" si="69"/>
        <v>0</v>
      </c>
      <c r="EW19" s="16">
        <f t="shared" si="69"/>
        <v>0</v>
      </c>
      <c r="EX19" s="16">
        <f t="shared" si="69"/>
        <v>0</v>
      </c>
      <c r="EY19" s="16">
        <f t="shared" si="69"/>
        <v>0</v>
      </c>
      <c r="EZ19" s="16">
        <f t="shared" si="69"/>
        <v>0</v>
      </c>
      <c r="FA19" s="16">
        <f t="shared" si="69"/>
        <v>0</v>
      </c>
      <c r="FB19" s="16">
        <f t="shared" si="69"/>
        <v>0</v>
      </c>
      <c r="FC19" s="16">
        <f t="shared" si="69"/>
        <v>0</v>
      </c>
      <c r="FD19" s="16">
        <f t="shared" si="69"/>
        <v>0</v>
      </c>
      <c r="FE19" s="16">
        <f t="shared" si="69"/>
        <v>0</v>
      </c>
      <c r="FF19" s="16">
        <f t="shared" si="69"/>
        <v>0</v>
      </c>
      <c r="FG19" s="16">
        <f t="shared" si="69"/>
        <v>0</v>
      </c>
      <c r="FH19" s="16">
        <f t="shared" si="69"/>
        <v>0</v>
      </c>
      <c r="FI19" s="16">
        <f t="shared" si="69"/>
        <v>0</v>
      </c>
      <c r="FJ19" s="16">
        <f t="shared" si="69"/>
        <v>0</v>
      </c>
      <c r="FK19" s="16">
        <f t="shared" si="69"/>
        <v>0</v>
      </c>
      <c r="FL19" s="16">
        <f t="shared" si="69"/>
        <v>0</v>
      </c>
      <c r="FM19" s="16">
        <f t="shared" si="69"/>
        <v>0</v>
      </c>
      <c r="FN19" s="16">
        <f t="shared" si="69"/>
        <v>0</v>
      </c>
      <c r="FO19" s="16">
        <f t="shared" si="69"/>
        <v>0</v>
      </c>
      <c r="FP19" s="16">
        <f t="shared" si="69"/>
        <v>0</v>
      </c>
      <c r="FQ19" s="16">
        <f t="shared" si="69"/>
        <v>0</v>
      </c>
      <c r="FR19" s="16">
        <f t="shared" si="69"/>
        <v>0</v>
      </c>
      <c r="FS19" s="16">
        <f t="shared" si="69"/>
        <v>0</v>
      </c>
      <c r="FT19" s="16">
        <f t="shared" si="69"/>
        <v>0</v>
      </c>
      <c r="FU19" s="16">
        <f t="shared" si="69"/>
        <v>0</v>
      </c>
      <c r="FV19" s="16">
        <f t="shared" si="69"/>
        <v>0</v>
      </c>
      <c r="FW19" s="16">
        <f t="shared" si="69"/>
        <v>0</v>
      </c>
      <c r="FX19" s="16">
        <f t="shared" ref="FX19:GQ19" si="70">SUM(FX15:FX18)</f>
        <v>0</v>
      </c>
      <c r="FY19" s="16">
        <f t="shared" si="70"/>
        <v>0</v>
      </c>
      <c r="FZ19" s="16">
        <f t="shared" si="70"/>
        <v>0</v>
      </c>
      <c r="GA19" s="16">
        <f t="shared" si="70"/>
        <v>0</v>
      </c>
      <c r="GB19" s="16">
        <f t="shared" si="70"/>
        <v>0</v>
      </c>
      <c r="GC19" s="16">
        <f t="shared" si="70"/>
        <v>0</v>
      </c>
      <c r="GD19" s="16">
        <f t="shared" si="70"/>
        <v>0</v>
      </c>
      <c r="GE19" s="16">
        <f t="shared" si="70"/>
        <v>0</v>
      </c>
      <c r="GF19" s="16">
        <f t="shared" si="70"/>
        <v>0</v>
      </c>
      <c r="GG19" s="16">
        <f t="shared" si="70"/>
        <v>0</v>
      </c>
      <c r="GH19" s="16">
        <f t="shared" si="70"/>
        <v>0</v>
      </c>
      <c r="GI19" s="16">
        <f t="shared" si="70"/>
        <v>0</v>
      </c>
      <c r="GJ19" s="16">
        <f t="shared" si="70"/>
        <v>0</v>
      </c>
      <c r="GK19" s="16">
        <f t="shared" si="70"/>
        <v>0</v>
      </c>
      <c r="GL19" s="16">
        <f t="shared" si="70"/>
        <v>0</v>
      </c>
      <c r="GM19" s="16">
        <f t="shared" si="70"/>
        <v>0</v>
      </c>
      <c r="GN19" s="16">
        <f t="shared" si="70"/>
        <v>0</v>
      </c>
      <c r="GO19" s="16">
        <f t="shared" si="70"/>
        <v>0</v>
      </c>
      <c r="GP19" s="16">
        <f t="shared" si="70"/>
        <v>0</v>
      </c>
      <c r="GQ19" s="16">
        <f t="shared" si="70"/>
        <v>0</v>
      </c>
      <c r="GR19" s="9"/>
      <c r="GS19" s="70" t="str">
        <f t="shared" si="30"/>
        <v>Total Land Costs</v>
      </c>
      <c r="GT19" s="77">
        <f>SUM(GT15:GT18)</f>
        <v>2883000</v>
      </c>
      <c r="GU19" s="71"/>
      <c r="GV19" s="71"/>
      <c r="GW19" s="71"/>
      <c r="GX19" s="71"/>
      <c r="GY19" s="79" t="b">
        <f>ROUND(GT19,0)=ROUND(SUM(GZ19:NW19),0)</f>
        <v>1</v>
      </c>
      <c r="GZ19" s="77">
        <f t="shared" ref="GZ19:IE19" si="71">SUM(GZ15:GZ18)</f>
        <v>2883000</v>
      </c>
      <c r="HA19" s="77">
        <f t="shared" si="71"/>
        <v>0</v>
      </c>
      <c r="HB19" s="77">
        <f t="shared" si="71"/>
        <v>0</v>
      </c>
      <c r="HC19" s="77">
        <f t="shared" si="71"/>
        <v>0</v>
      </c>
      <c r="HD19" s="77">
        <f t="shared" si="71"/>
        <v>0</v>
      </c>
      <c r="HE19" s="77">
        <f t="shared" si="71"/>
        <v>0</v>
      </c>
      <c r="HF19" s="77">
        <f t="shared" si="71"/>
        <v>0</v>
      </c>
      <c r="HG19" s="77">
        <f t="shared" si="71"/>
        <v>0</v>
      </c>
      <c r="HH19" s="77">
        <f t="shared" si="71"/>
        <v>0</v>
      </c>
      <c r="HI19" s="77">
        <f t="shared" si="71"/>
        <v>0</v>
      </c>
      <c r="HJ19" s="77">
        <f t="shared" si="71"/>
        <v>0</v>
      </c>
      <c r="HK19" s="77">
        <f t="shared" si="71"/>
        <v>0</v>
      </c>
      <c r="HL19" s="77">
        <f t="shared" si="71"/>
        <v>0</v>
      </c>
      <c r="HM19" s="77">
        <f t="shared" si="71"/>
        <v>0</v>
      </c>
      <c r="HN19" s="77">
        <f t="shared" si="71"/>
        <v>0</v>
      </c>
      <c r="HO19" s="77">
        <f t="shared" si="71"/>
        <v>0</v>
      </c>
      <c r="HP19" s="77">
        <f t="shared" si="71"/>
        <v>0</v>
      </c>
      <c r="HQ19" s="77">
        <f t="shared" si="71"/>
        <v>0</v>
      </c>
      <c r="HR19" s="77">
        <f t="shared" si="71"/>
        <v>0</v>
      </c>
      <c r="HS19" s="77">
        <f t="shared" si="71"/>
        <v>0</v>
      </c>
      <c r="HT19" s="77">
        <f t="shared" si="71"/>
        <v>0</v>
      </c>
      <c r="HU19" s="77">
        <f t="shared" si="71"/>
        <v>0</v>
      </c>
      <c r="HV19" s="77">
        <f t="shared" si="71"/>
        <v>0</v>
      </c>
      <c r="HW19" s="77">
        <f t="shared" si="71"/>
        <v>0</v>
      </c>
      <c r="HX19" s="77">
        <f t="shared" si="71"/>
        <v>0</v>
      </c>
      <c r="HY19" s="77">
        <f t="shared" si="71"/>
        <v>0</v>
      </c>
      <c r="HZ19" s="77">
        <f t="shared" si="71"/>
        <v>0</v>
      </c>
      <c r="IA19" s="77">
        <f t="shared" si="71"/>
        <v>0</v>
      </c>
      <c r="IB19" s="77">
        <f t="shared" si="71"/>
        <v>0</v>
      </c>
      <c r="IC19" s="77">
        <f t="shared" si="71"/>
        <v>0</v>
      </c>
      <c r="ID19" s="77">
        <f t="shared" si="71"/>
        <v>0</v>
      </c>
      <c r="IE19" s="77">
        <f t="shared" si="71"/>
        <v>0</v>
      </c>
      <c r="IF19" s="77">
        <f t="shared" ref="IF19:JK19" si="72">SUM(IF15:IF18)</f>
        <v>0</v>
      </c>
      <c r="IG19" s="77">
        <f t="shared" si="72"/>
        <v>0</v>
      </c>
      <c r="IH19" s="77">
        <f t="shared" si="72"/>
        <v>0</v>
      </c>
      <c r="II19" s="77">
        <f t="shared" si="72"/>
        <v>0</v>
      </c>
      <c r="IJ19" s="77">
        <f t="shared" si="72"/>
        <v>0</v>
      </c>
      <c r="IK19" s="77">
        <f t="shared" si="72"/>
        <v>0</v>
      </c>
      <c r="IL19" s="77">
        <f t="shared" si="72"/>
        <v>0</v>
      </c>
      <c r="IM19" s="77">
        <f t="shared" si="72"/>
        <v>0</v>
      </c>
      <c r="IN19" s="77">
        <f t="shared" si="72"/>
        <v>0</v>
      </c>
      <c r="IO19" s="77">
        <f t="shared" si="72"/>
        <v>0</v>
      </c>
      <c r="IP19" s="77">
        <f t="shared" si="72"/>
        <v>0</v>
      </c>
      <c r="IQ19" s="77">
        <f t="shared" si="72"/>
        <v>0</v>
      </c>
      <c r="IR19" s="77">
        <f t="shared" si="72"/>
        <v>0</v>
      </c>
      <c r="IS19" s="77">
        <f t="shared" si="72"/>
        <v>0</v>
      </c>
      <c r="IT19" s="77">
        <f t="shared" si="72"/>
        <v>0</v>
      </c>
      <c r="IU19" s="77">
        <f t="shared" si="72"/>
        <v>0</v>
      </c>
      <c r="IV19" s="77">
        <f t="shared" si="72"/>
        <v>0</v>
      </c>
      <c r="IW19" s="77">
        <f t="shared" si="72"/>
        <v>0</v>
      </c>
      <c r="IX19" s="77">
        <f t="shared" si="72"/>
        <v>0</v>
      </c>
      <c r="IY19" s="77">
        <f t="shared" si="72"/>
        <v>0</v>
      </c>
      <c r="IZ19" s="77">
        <f t="shared" si="72"/>
        <v>0</v>
      </c>
      <c r="JA19" s="77">
        <f t="shared" si="72"/>
        <v>0</v>
      </c>
      <c r="JB19" s="77">
        <f t="shared" si="72"/>
        <v>0</v>
      </c>
      <c r="JC19" s="77">
        <f t="shared" si="72"/>
        <v>0</v>
      </c>
      <c r="JD19" s="77">
        <f t="shared" si="72"/>
        <v>0</v>
      </c>
      <c r="JE19" s="77">
        <f t="shared" si="72"/>
        <v>0</v>
      </c>
      <c r="JF19" s="77">
        <f t="shared" si="72"/>
        <v>0</v>
      </c>
      <c r="JG19" s="77">
        <f t="shared" si="72"/>
        <v>0</v>
      </c>
      <c r="JH19" s="77">
        <f t="shared" si="72"/>
        <v>0</v>
      </c>
      <c r="JI19" s="77">
        <f t="shared" si="72"/>
        <v>0</v>
      </c>
      <c r="JJ19" s="77">
        <f t="shared" si="72"/>
        <v>0</v>
      </c>
      <c r="JK19" s="77">
        <f t="shared" si="72"/>
        <v>0</v>
      </c>
      <c r="JL19" s="77">
        <f t="shared" ref="JL19:KQ19" si="73">SUM(JL15:JL18)</f>
        <v>0</v>
      </c>
      <c r="JM19" s="77">
        <f t="shared" si="73"/>
        <v>0</v>
      </c>
      <c r="JN19" s="77">
        <f t="shared" si="73"/>
        <v>0</v>
      </c>
      <c r="JO19" s="77">
        <f t="shared" si="73"/>
        <v>0</v>
      </c>
      <c r="JP19" s="77">
        <f t="shared" si="73"/>
        <v>0</v>
      </c>
      <c r="JQ19" s="77">
        <f t="shared" si="73"/>
        <v>0</v>
      </c>
      <c r="JR19" s="77">
        <f t="shared" si="73"/>
        <v>0</v>
      </c>
      <c r="JS19" s="77">
        <f t="shared" si="73"/>
        <v>0</v>
      </c>
      <c r="JT19" s="77">
        <f t="shared" si="73"/>
        <v>0</v>
      </c>
      <c r="JU19" s="77">
        <f t="shared" si="73"/>
        <v>0</v>
      </c>
      <c r="JV19" s="77">
        <f t="shared" si="73"/>
        <v>0</v>
      </c>
      <c r="JW19" s="77">
        <f t="shared" si="73"/>
        <v>0</v>
      </c>
      <c r="JX19" s="77">
        <f t="shared" si="73"/>
        <v>0</v>
      </c>
      <c r="JY19" s="77">
        <f t="shared" si="73"/>
        <v>0</v>
      </c>
      <c r="JZ19" s="77">
        <f t="shared" si="73"/>
        <v>0</v>
      </c>
      <c r="KA19" s="77">
        <f t="shared" si="73"/>
        <v>0</v>
      </c>
      <c r="KB19" s="77">
        <f t="shared" si="73"/>
        <v>0</v>
      </c>
      <c r="KC19" s="77">
        <f t="shared" si="73"/>
        <v>0</v>
      </c>
      <c r="KD19" s="77">
        <f t="shared" si="73"/>
        <v>0</v>
      </c>
      <c r="KE19" s="77">
        <f t="shared" si="73"/>
        <v>0</v>
      </c>
      <c r="KF19" s="77">
        <f t="shared" si="73"/>
        <v>0</v>
      </c>
      <c r="KG19" s="77">
        <f t="shared" si="73"/>
        <v>0</v>
      </c>
      <c r="KH19" s="77">
        <f t="shared" si="73"/>
        <v>0</v>
      </c>
      <c r="KI19" s="77">
        <f t="shared" si="73"/>
        <v>0</v>
      </c>
      <c r="KJ19" s="77">
        <f t="shared" si="73"/>
        <v>0</v>
      </c>
      <c r="KK19" s="77">
        <f t="shared" si="73"/>
        <v>0</v>
      </c>
      <c r="KL19" s="77">
        <f t="shared" si="73"/>
        <v>0</v>
      </c>
      <c r="KM19" s="77">
        <f t="shared" si="73"/>
        <v>0</v>
      </c>
      <c r="KN19" s="77">
        <f t="shared" si="73"/>
        <v>0</v>
      </c>
      <c r="KO19" s="77">
        <f t="shared" si="73"/>
        <v>0</v>
      </c>
      <c r="KP19" s="77">
        <f t="shared" si="73"/>
        <v>0</v>
      </c>
      <c r="KQ19" s="77">
        <f t="shared" si="73"/>
        <v>0</v>
      </c>
      <c r="KR19" s="77">
        <f t="shared" ref="KR19:LW19" si="74">SUM(KR15:KR18)</f>
        <v>0</v>
      </c>
      <c r="KS19" s="77">
        <f t="shared" si="74"/>
        <v>0</v>
      </c>
      <c r="KT19" s="77">
        <f t="shared" si="74"/>
        <v>0</v>
      </c>
      <c r="KU19" s="77">
        <f t="shared" si="74"/>
        <v>0</v>
      </c>
      <c r="KV19" s="77">
        <f t="shared" si="74"/>
        <v>0</v>
      </c>
      <c r="KW19" s="77">
        <f t="shared" si="74"/>
        <v>0</v>
      </c>
      <c r="KX19" s="77">
        <f t="shared" si="74"/>
        <v>0</v>
      </c>
      <c r="KY19" s="77">
        <f t="shared" si="74"/>
        <v>0</v>
      </c>
      <c r="KZ19" s="77">
        <f t="shared" si="74"/>
        <v>0</v>
      </c>
      <c r="LA19" s="77">
        <f t="shared" si="74"/>
        <v>0</v>
      </c>
      <c r="LB19" s="77">
        <f t="shared" si="74"/>
        <v>0</v>
      </c>
      <c r="LC19" s="77">
        <f t="shared" si="74"/>
        <v>0</v>
      </c>
      <c r="LD19" s="77">
        <f t="shared" si="74"/>
        <v>0</v>
      </c>
      <c r="LE19" s="77">
        <f t="shared" si="74"/>
        <v>0</v>
      </c>
      <c r="LF19" s="77">
        <f t="shared" si="74"/>
        <v>0</v>
      </c>
      <c r="LG19" s="77">
        <f t="shared" si="74"/>
        <v>0</v>
      </c>
      <c r="LH19" s="77">
        <f t="shared" si="74"/>
        <v>0</v>
      </c>
      <c r="LI19" s="77">
        <f t="shared" si="74"/>
        <v>0</v>
      </c>
      <c r="LJ19" s="77">
        <f t="shared" si="74"/>
        <v>0</v>
      </c>
      <c r="LK19" s="77">
        <f t="shared" si="74"/>
        <v>0</v>
      </c>
      <c r="LL19" s="77">
        <f t="shared" si="74"/>
        <v>0</v>
      </c>
      <c r="LM19" s="77">
        <f t="shared" si="74"/>
        <v>0</v>
      </c>
      <c r="LN19" s="77">
        <f t="shared" si="74"/>
        <v>0</v>
      </c>
      <c r="LO19" s="77">
        <f t="shared" si="74"/>
        <v>0</v>
      </c>
      <c r="LP19" s="77">
        <f t="shared" si="74"/>
        <v>0</v>
      </c>
      <c r="LQ19" s="77">
        <f t="shared" si="74"/>
        <v>0</v>
      </c>
      <c r="LR19" s="77">
        <f t="shared" si="74"/>
        <v>0</v>
      </c>
      <c r="LS19" s="77">
        <f t="shared" si="74"/>
        <v>0</v>
      </c>
      <c r="LT19" s="77">
        <f t="shared" si="74"/>
        <v>0</v>
      </c>
      <c r="LU19" s="77">
        <f t="shared" si="74"/>
        <v>0</v>
      </c>
      <c r="LV19" s="77">
        <f t="shared" si="74"/>
        <v>0</v>
      </c>
      <c r="LW19" s="77">
        <f t="shared" si="74"/>
        <v>0</v>
      </c>
      <c r="LX19" s="77">
        <f t="shared" ref="LX19:NC19" si="75">SUM(LX15:LX18)</f>
        <v>0</v>
      </c>
      <c r="LY19" s="77">
        <f t="shared" si="75"/>
        <v>0</v>
      </c>
      <c r="LZ19" s="77">
        <f t="shared" si="75"/>
        <v>0</v>
      </c>
      <c r="MA19" s="77">
        <f t="shared" si="75"/>
        <v>0</v>
      </c>
      <c r="MB19" s="77">
        <f t="shared" si="75"/>
        <v>0</v>
      </c>
      <c r="MC19" s="77">
        <f t="shared" si="75"/>
        <v>0</v>
      </c>
      <c r="MD19" s="77">
        <f t="shared" si="75"/>
        <v>0</v>
      </c>
      <c r="ME19" s="77">
        <f t="shared" si="75"/>
        <v>0</v>
      </c>
      <c r="MF19" s="77">
        <f t="shared" si="75"/>
        <v>0</v>
      </c>
      <c r="MG19" s="77">
        <f t="shared" si="75"/>
        <v>0</v>
      </c>
      <c r="MH19" s="77">
        <f t="shared" si="75"/>
        <v>0</v>
      </c>
      <c r="MI19" s="77">
        <f t="shared" si="75"/>
        <v>0</v>
      </c>
      <c r="MJ19" s="77">
        <f t="shared" si="75"/>
        <v>0</v>
      </c>
      <c r="MK19" s="77">
        <f t="shared" si="75"/>
        <v>0</v>
      </c>
      <c r="ML19" s="77">
        <f t="shared" si="75"/>
        <v>0</v>
      </c>
      <c r="MM19" s="77">
        <f t="shared" si="75"/>
        <v>0</v>
      </c>
      <c r="MN19" s="77">
        <f t="shared" si="75"/>
        <v>0</v>
      </c>
      <c r="MO19" s="77">
        <f t="shared" si="75"/>
        <v>0</v>
      </c>
      <c r="MP19" s="77">
        <f t="shared" si="75"/>
        <v>0</v>
      </c>
      <c r="MQ19" s="77">
        <f t="shared" si="75"/>
        <v>0</v>
      </c>
      <c r="MR19" s="77">
        <f t="shared" si="75"/>
        <v>0</v>
      </c>
      <c r="MS19" s="77">
        <f t="shared" si="75"/>
        <v>0</v>
      </c>
      <c r="MT19" s="77">
        <f t="shared" si="75"/>
        <v>0</v>
      </c>
      <c r="MU19" s="77">
        <f t="shared" si="75"/>
        <v>0</v>
      </c>
      <c r="MV19" s="77">
        <f t="shared" si="75"/>
        <v>0</v>
      </c>
      <c r="MW19" s="77">
        <f t="shared" si="75"/>
        <v>0</v>
      </c>
      <c r="MX19" s="77">
        <f t="shared" si="75"/>
        <v>0</v>
      </c>
      <c r="MY19" s="77">
        <f t="shared" si="75"/>
        <v>0</v>
      </c>
      <c r="MZ19" s="77">
        <f t="shared" si="75"/>
        <v>0</v>
      </c>
      <c r="NA19" s="77">
        <f t="shared" si="75"/>
        <v>0</v>
      </c>
      <c r="NB19" s="77">
        <f t="shared" si="75"/>
        <v>0</v>
      </c>
      <c r="NC19" s="77">
        <f t="shared" si="75"/>
        <v>0</v>
      </c>
      <c r="ND19" s="77">
        <f t="shared" ref="ND19:NW19" si="76">SUM(ND15:ND18)</f>
        <v>0</v>
      </c>
      <c r="NE19" s="77">
        <f t="shared" si="76"/>
        <v>0</v>
      </c>
      <c r="NF19" s="77">
        <f t="shared" si="76"/>
        <v>0</v>
      </c>
      <c r="NG19" s="77">
        <f t="shared" si="76"/>
        <v>0</v>
      </c>
      <c r="NH19" s="77">
        <f t="shared" si="76"/>
        <v>0</v>
      </c>
      <c r="NI19" s="77">
        <f t="shared" si="76"/>
        <v>0</v>
      </c>
      <c r="NJ19" s="77">
        <f t="shared" si="76"/>
        <v>0</v>
      </c>
      <c r="NK19" s="77">
        <f t="shared" si="76"/>
        <v>0</v>
      </c>
      <c r="NL19" s="77">
        <f t="shared" si="76"/>
        <v>0</v>
      </c>
      <c r="NM19" s="77">
        <f t="shared" si="76"/>
        <v>0</v>
      </c>
      <c r="NN19" s="77">
        <f t="shared" si="76"/>
        <v>0</v>
      </c>
      <c r="NO19" s="77">
        <f t="shared" si="76"/>
        <v>0</v>
      </c>
      <c r="NP19" s="77">
        <f t="shared" si="76"/>
        <v>0</v>
      </c>
      <c r="NQ19" s="77">
        <f t="shared" si="76"/>
        <v>0</v>
      </c>
      <c r="NR19" s="77">
        <f t="shared" si="76"/>
        <v>0</v>
      </c>
      <c r="NS19" s="77">
        <f t="shared" si="76"/>
        <v>0</v>
      </c>
      <c r="NT19" s="77">
        <f t="shared" si="76"/>
        <v>0</v>
      </c>
      <c r="NU19" s="77">
        <f t="shared" si="76"/>
        <v>0</v>
      </c>
      <c r="NV19" s="77">
        <f t="shared" si="76"/>
        <v>0</v>
      </c>
      <c r="NW19" s="77">
        <f t="shared" si="76"/>
        <v>0</v>
      </c>
      <c r="NX19" s="10"/>
    </row>
    <row r="20" spans="2:388" x14ac:dyDescent="0.3">
      <c r="B20" s="18"/>
      <c r="C20" s="18"/>
      <c r="D20" s="18"/>
      <c r="E20" s="18"/>
      <c r="F20" s="19"/>
      <c r="G20" s="19"/>
      <c r="H20" s="19"/>
      <c r="I20" s="19"/>
      <c r="J20" s="23"/>
      <c r="K20" s="29"/>
      <c r="L20" s="23"/>
      <c r="S20" s="6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130">
        <f>COUNTA(GS22:GS26)</f>
        <v>5</v>
      </c>
      <c r="GT20" s="71"/>
      <c r="GU20" s="71"/>
      <c r="GV20" s="71"/>
      <c r="GW20" s="71"/>
      <c r="GX20" s="71"/>
      <c r="GY20" s="71"/>
      <c r="GZ20" s="71"/>
      <c r="HA20" s="71"/>
      <c r="HB20" s="71"/>
      <c r="HC20" s="71"/>
      <c r="HD20" s="71"/>
      <c r="HE20" s="71"/>
      <c r="HF20" s="71"/>
      <c r="HG20" s="71"/>
      <c r="HH20" s="71"/>
      <c r="HI20" s="71"/>
      <c r="HJ20" s="71"/>
      <c r="HK20" s="71"/>
      <c r="HL20" s="71"/>
      <c r="HM20" s="71"/>
      <c r="HN20" s="71"/>
      <c r="HO20" s="71"/>
      <c r="HP20" s="71"/>
      <c r="HQ20" s="71"/>
      <c r="HR20" s="71"/>
      <c r="HS20" s="71"/>
      <c r="HT20" s="71"/>
      <c r="HU20" s="71"/>
      <c r="HV20" s="71"/>
      <c r="HW20" s="71"/>
      <c r="HX20" s="71"/>
      <c r="HY20" s="71"/>
      <c r="HZ20" s="71"/>
      <c r="IA20" s="71"/>
      <c r="IB20" s="71"/>
      <c r="IC20" s="71"/>
      <c r="ID20" s="71"/>
      <c r="IE20" s="71"/>
      <c r="IF20" s="71"/>
      <c r="IG20" s="71"/>
      <c r="IH20" s="71"/>
      <c r="II20" s="71"/>
      <c r="IJ20" s="71"/>
      <c r="IK20" s="71"/>
      <c r="IL20" s="71"/>
      <c r="IM20" s="71"/>
      <c r="IN20" s="71"/>
      <c r="IO20" s="71"/>
      <c r="IP20" s="71"/>
      <c r="IQ20" s="71"/>
      <c r="IR20" s="71"/>
      <c r="IS20" s="71"/>
      <c r="IT20" s="71"/>
      <c r="IU20" s="71"/>
      <c r="IV20" s="71"/>
      <c r="IW20" s="71"/>
      <c r="IX20" s="71"/>
      <c r="IY20" s="71"/>
      <c r="IZ20" s="71"/>
      <c r="JA20" s="71"/>
      <c r="JB20" s="71"/>
      <c r="JC20" s="71"/>
      <c r="JD20" s="71"/>
      <c r="JE20" s="71"/>
      <c r="JF20" s="71"/>
      <c r="JG20" s="71"/>
      <c r="JH20" s="71"/>
      <c r="JI20" s="71"/>
      <c r="JJ20" s="71"/>
      <c r="JK20" s="71"/>
      <c r="JL20" s="71"/>
      <c r="JM20" s="71"/>
      <c r="JN20" s="71"/>
      <c r="JO20" s="71"/>
      <c r="JP20" s="71"/>
      <c r="JQ20" s="71"/>
      <c r="JR20" s="71"/>
      <c r="JS20" s="71"/>
      <c r="JT20" s="71"/>
      <c r="JU20" s="71"/>
      <c r="JV20" s="71"/>
      <c r="JW20" s="71"/>
      <c r="JX20" s="71"/>
      <c r="JY20" s="71"/>
      <c r="JZ20" s="71"/>
      <c r="KA20" s="71"/>
      <c r="KB20" s="71"/>
      <c r="KC20" s="71"/>
      <c r="KD20" s="71"/>
      <c r="KE20" s="71"/>
      <c r="KF20" s="71"/>
      <c r="KG20" s="71"/>
      <c r="KH20" s="71"/>
      <c r="KI20" s="71"/>
      <c r="KJ20" s="71"/>
      <c r="KK20" s="71"/>
      <c r="KL20" s="71"/>
      <c r="KM20" s="71"/>
      <c r="KN20" s="71"/>
      <c r="KO20" s="71"/>
      <c r="KP20" s="71"/>
      <c r="KQ20" s="71"/>
      <c r="KR20" s="71"/>
      <c r="KS20" s="71"/>
      <c r="KT20" s="71"/>
      <c r="KU20" s="71"/>
      <c r="KV20" s="71"/>
      <c r="KW20" s="71"/>
      <c r="KX20" s="71"/>
      <c r="KY20" s="71"/>
      <c r="KZ20" s="71"/>
      <c r="LA20" s="71"/>
      <c r="LB20" s="71"/>
      <c r="LC20" s="71"/>
      <c r="LD20" s="71"/>
      <c r="LE20" s="71"/>
      <c r="LF20" s="71"/>
      <c r="LG20" s="71"/>
      <c r="LH20" s="71"/>
      <c r="LI20" s="71"/>
      <c r="LJ20" s="71"/>
      <c r="LK20" s="71"/>
      <c r="LL20" s="71"/>
      <c r="LM20" s="71"/>
      <c r="LN20" s="71"/>
      <c r="LO20" s="71"/>
      <c r="LP20" s="71"/>
      <c r="LQ20" s="71"/>
      <c r="LR20" s="71"/>
      <c r="LS20" s="71"/>
      <c r="LT20" s="71"/>
      <c r="LU20" s="71"/>
      <c r="LV20" s="71"/>
      <c r="LW20" s="71"/>
      <c r="LX20" s="71"/>
      <c r="LY20" s="71"/>
      <c r="LZ20" s="71"/>
      <c r="MA20" s="71"/>
      <c r="MB20" s="71"/>
      <c r="MC20" s="71"/>
      <c r="MD20" s="71"/>
      <c r="ME20" s="71"/>
      <c r="MF20" s="71"/>
      <c r="MG20" s="71"/>
      <c r="MH20" s="71"/>
      <c r="MI20" s="71"/>
      <c r="MJ20" s="71"/>
      <c r="MK20" s="71"/>
      <c r="ML20" s="71"/>
      <c r="MM20" s="71"/>
      <c r="MN20" s="71"/>
      <c r="MO20" s="71"/>
      <c r="MP20" s="71"/>
      <c r="MQ20" s="71"/>
      <c r="MR20" s="71"/>
      <c r="MS20" s="71"/>
      <c r="MT20" s="71"/>
      <c r="MU20" s="71"/>
      <c r="MV20" s="71"/>
      <c r="MW20" s="71"/>
      <c r="MX20" s="71"/>
      <c r="MY20" s="71"/>
      <c r="MZ20" s="71"/>
      <c r="NA20" s="71"/>
      <c r="NB20" s="71"/>
      <c r="NC20" s="71"/>
      <c r="ND20" s="71"/>
      <c r="NE20" s="71"/>
      <c r="NF20" s="71"/>
      <c r="NG20" s="71"/>
      <c r="NH20" s="71"/>
      <c r="NI20" s="71"/>
      <c r="NJ20" s="71"/>
      <c r="NK20" s="71"/>
      <c r="NL20" s="71"/>
      <c r="NM20" s="71"/>
      <c r="NN20" s="71"/>
      <c r="NO20" s="71"/>
      <c r="NP20" s="71"/>
      <c r="NQ20" s="71"/>
      <c r="NR20" s="71"/>
      <c r="NS20" s="71"/>
      <c r="NT20" s="71"/>
      <c r="NU20" s="71"/>
      <c r="NV20" s="71"/>
      <c r="NW20" s="71"/>
      <c r="NX20" s="10"/>
    </row>
    <row r="21" spans="2:388" x14ac:dyDescent="0.3">
      <c r="B21" s="24" t="s">
        <v>201</v>
      </c>
      <c r="C21" s="18"/>
      <c r="D21" s="19"/>
      <c r="E21" s="25"/>
      <c r="F21" s="25"/>
      <c r="G21" s="25"/>
      <c r="H21" s="25"/>
      <c r="I21" s="25"/>
      <c r="J21" s="25"/>
      <c r="K21" s="25"/>
      <c r="L21" s="25"/>
      <c r="S21" s="68"/>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9"/>
      <c r="GS21" s="75" t="str">
        <f t="shared" ref="GS21:GS27" si="77">B21</f>
        <v>Hard Costs (Horizontal)</v>
      </c>
      <c r="GT21" s="76" t="s">
        <v>190</v>
      </c>
      <c r="GU21" s="76">
        <f t="shared" ref="GU21:GV26" si="78">E21</f>
        <v>0</v>
      </c>
      <c r="GV21" s="76">
        <f t="shared" si="78"/>
        <v>0</v>
      </c>
      <c r="GW21" s="76" t="s">
        <v>192</v>
      </c>
      <c r="GX21" s="76" t="s">
        <v>193</v>
      </c>
      <c r="GY21" s="76" t="s">
        <v>191</v>
      </c>
      <c r="GZ21" s="74">
        <v>1</v>
      </c>
      <c r="HA21" s="74">
        <f>GZ21+1</f>
        <v>2</v>
      </c>
      <c r="HB21" s="74">
        <f t="shared" ref="HB21:JM21" si="79">HA21+1</f>
        <v>3</v>
      </c>
      <c r="HC21" s="74">
        <f t="shared" si="79"/>
        <v>4</v>
      </c>
      <c r="HD21" s="74">
        <f t="shared" si="79"/>
        <v>5</v>
      </c>
      <c r="HE21" s="74">
        <f t="shared" si="79"/>
        <v>6</v>
      </c>
      <c r="HF21" s="74">
        <f t="shared" si="79"/>
        <v>7</v>
      </c>
      <c r="HG21" s="74">
        <f t="shared" si="79"/>
        <v>8</v>
      </c>
      <c r="HH21" s="74">
        <f t="shared" si="79"/>
        <v>9</v>
      </c>
      <c r="HI21" s="74">
        <f t="shared" si="79"/>
        <v>10</v>
      </c>
      <c r="HJ21" s="74">
        <f t="shared" si="79"/>
        <v>11</v>
      </c>
      <c r="HK21" s="74">
        <f t="shared" si="79"/>
        <v>12</v>
      </c>
      <c r="HL21" s="74">
        <f t="shared" si="79"/>
        <v>13</v>
      </c>
      <c r="HM21" s="74">
        <f t="shared" si="79"/>
        <v>14</v>
      </c>
      <c r="HN21" s="74">
        <f t="shared" si="79"/>
        <v>15</v>
      </c>
      <c r="HO21" s="74">
        <f t="shared" si="79"/>
        <v>16</v>
      </c>
      <c r="HP21" s="74">
        <f t="shared" si="79"/>
        <v>17</v>
      </c>
      <c r="HQ21" s="74">
        <f t="shared" si="79"/>
        <v>18</v>
      </c>
      <c r="HR21" s="74">
        <f t="shared" si="79"/>
        <v>19</v>
      </c>
      <c r="HS21" s="74">
        <f t="shared" si="79"/>
        <v>20</v>
      </c>
      <c r="HT21" s="74">
        <f t="shared" si="79"/>
        <v>21</v>
      </c>
      <c r="HU21" s="74">
        <f t="shared" si="79"/>
        <v>22</v>
      </c>
      <c r="HV21" s="74">
        <f t="shared" si="79"/>
        <v>23</v>
      </c>
      <c r="HW21" s="74">
        <f t="shared" si="79"/>
        <v>24</v>
      </c>
      <c r="HX21" s="74">
        <f t="shared" si="79"/>
        <v>25</v>
      </c>
      <c r="HY21" s="74">
        <f t="shared" si="79"/>
        <v>26</v>
      </c>
      <c r="HZ21" s="74">
        <f t="shared" si="79"/>
        <v>27</v>
      </c>
      <c r="IA21" s="74">
        <f t="shared" si="79"/>
        <v>28</v>
      </c>
      <c r="IB21" s="74">
        <f t="shared" si="79"/>
        <v>29</v>
      </c>
      <c r="IC21" s="74">
        <f t="shared" si="79"/>
        <v>30</v>
      </c>
      <c r="ID21" s="74">
        <f t="shared" si="79"/>
        <v>31</v>
      </c>
      <c r="IE21" s="74">
        <f t="shared" si="79"/>
        <v>32</v>
      </c>
      <c r="IF21" s="74">
        <f t="shared" si="79"/>
        <v>33</v>
      </c>
      <c r="IG21" s="74">
        <f t="shared" si="79"/>
        <v>34</v>
      </c>
      <c r="IH21" s="74">
        <f t="shared" si="79"/>
        <v>35</v>
      </c>
      <c r="II21" s="74">
        <f t="shared" si="79"/>
        <v>36</v>
      </c>
      <c r="IJ21" s="74">
        <f t="shared" si="79"/>
        <v>37</v>
      </c>
      <c r="IK21" s="74">
        <f t="shared" si="79"/>
        <v>38</v>
      </c>
      <c r="IL21" s="74">
        <f t="shared" si="79"/>
        <v>39</v>
      </c>
      <c r="IM21" s="74">
        <f t="shared" si="79"/>
        <v>40</v>
      </c>
      <c r="IN21" s="74">
        <f t="shared" si="79"/>
        <v>41</v>
      </c>
      <c r="IO21" s="74">
        <f t="shared" si="79"/>
        <v>42</v>
      </c>
      <c r="IP21" s="74">
        <f t="shared" si="79"/>
        <v>43</v>
      </c>
      <c r="IQ21" s="74">
        <f t="shared" si="79"/>
        <v>44</v>
      </c>
      <c r="IR21" s="74">
        <f t="shared" si="79"/>
        <v>45</v>
      </c>
      <c r="IS21" s="74">
        <f t="shared" si="79"/>
        <v>46</v>
      </c>
      <c r="IT21" s="74">
        <f t="shared" si="79"/>
        <v>47</v>
      </c>
      <c r="IU21" s="74">
        <f t="shared" si="79"/>
        <v>48</v>
      </c>
      <c r="IV21" s="74">
        <f t="shared" si="79"/>
        <v>49</v>
      </c>
      <c r="IW21" s="74">
        <f t="shared" si="79"/>
        <v>50</v>
      </c>
      <c r="IX21" s="74">
        <f t="shared" si="79"/>
        <v>51</v>
      </c>
      <c r="IY21" s="74">
        <f t="shared" si="79"/>
        <v>52</v>
      </c>
      <c r="IZ21" s="74">
        <f t="shared" si="79"/>
        <v>53</v>
      </c>
      <c r="JA21" s="74">
        <f t="shared" si="79"/>
        <v>54</v>
      </c>
      <c r="JB21" s="74">
        <f t="shared" si="79"/>
        <v>55</v>
      </c>
      <c r="JC21" s="74">
        <f t="shared" si="79"/>
        <v>56</v>
      </c>
      <c r="JD21" s="74">
        <f t="shared" si="79"/>
        <v>57</v>
      </c>
      <c r="JE21" s="74">
        <f t="shared" si="79"/>
        <v>58</v>
      </c>
      <c r="JF21" s="74">
        <f t="shared" si="79"/>
        <v>59</v>
      </c>
      <c r="JG21" s="74">
        <f t="shared" si="79"/>
        <v>60</v>
      </c>
      <c r="JH21" s="74">
        <f t="shared" si="79"/>
        <v>61</v>
      </c>
      <c r="JI21" s="74">
        <f t="shared" si="79"/>
        <v>62</v>
      </c>
      <c r="JJ21" s="74">
        <f t="shared" si="79"/>
        <v>63</v>
      </c>
      <c r="JK21" s="74">
        <f t="shared" si="79"/>
        <v>64</v>
      </c>
      <c r="JL21" s="74">
        <f t="shared" si="79"/>
        <v>65</v>
      </c>
      <c r="JM21" s="74">
        <f t="shared" si="79"/>
        <v>66</v>
      </c>
      <c r="JN21" s="74">
        <f t="shared" ref="JN21:LY21" si="80">JM21+1</f>
        <v>67</v>
      </c>
      <c r="JO21" s="74">
        <f t="shared" si="80"/>
        <v>68</v>
      </c>
      <c r="JP21" s="74">
        <f t="shared" si="80"/>
        <v>69</v>
      </c>
      <c r="JQ21" s="74">
        <f t="shared" si="80"/>
        <v>70</v>
      </c>
      <c r="JR21" s="74">
        <f t="shared" si="80"/>
        <v>71</v>
      </c>
      <c r="JS21" s="74">
        <f t="shared" si="80"/>
        <v>72</v>
      </c>
      <c r="JT21" s="74">
        <f t="shared" si="80"/>
        <v>73</v>
      </c>
      <c r="JU21" s="74">
        <f t="shared" si="80"/>
        <v>74</v>
      </c>
      <c r="JV21" s="74">
        <f t="shared" si="80"/>
        <v>75</v>
      </c>
      <c r="JW21" s="74">
        <f t="shared" si="80"/>
        <v>76</v>
      </c>
      <c r="JX21" s="74">
        <f t="shared" si="80"/>
        <v>77</v>
      </c>
      <c r="JY21" s="74">
        <f t="shared" si="80"/>
        <v>78</v>
      </c>
      <c r="JZ21" s="74">
        <f t="shared" si="80"/>
        <v>79</v>
      </c>
      <c r="KA21" s="74">
        <f t="shared" si="80"/>
        <v>80</v>
      </c>
      <c r="KB21" s="74">
        <f t="shared" si="80"/>
        <v>81</v>
      </c>
      <c r="KC21" s="74">
        <f t="shared" si="80"/>
        <v>82</v>
      </c>
      <c r="KD21" s="74">
        <f t="shared" si="80"/>
        <v>83</v>
      </c>
      <c r="KE21" s="74">
        <f t="shared" si="80"/>
        <v>84</v>
      </c>
      <c r="KF21" s="74">
        <f t="shared" si="80"/>
        <v>85</v>
      </c>
      <c r="KG21" s="74">
        <f t="shared" si="80"/>
        <v>86</v>
      </c>
      <c r="KH21" s="74">
        <f t="shared" si="80"/>
        <v>87</v>
      </c>
      <c r="KI21" s="74">
        <f t="shared" si="80"/>
        <v>88</v>
      </c>
      <c r="KJ21" s="74">
        <f t="shared" si="80"/>
        <v>89</v>
      </c>
      <c r="KK21" s="74">
        <f t="shared" si="80"/>
        <v>90</v>
      </c>
      <c r="KL21" s="74">
        <f t="shared" si="80"/>
        <v>91</v>
      </c>
      <c r="KM21" s="74">
        <f t="shared" si="80"/>
        <v>92</v>
      </c>
      <c r="KN21" s="74">
        <f t="shared" si="80"/>
        <v>93</v>
      </c>
      <c r="KO21" s="74">
        <f t="shared" si="80"/>
        <v>94</v>
      </c>
      <c r="KP21" s="74">
        <f t="shared" si="80"/>
        <v>95</v>
      </c>
      <c r="KQ21" s="74">
        <f t="shared" si="80"/>
        <v>96</v>
      </c>
      <c r="KR21" s="74">
        <f t="shared" si="80"/>
        <v>97</v>
      </c>
      <c r="KS21" s="74">
        <f t="shared" si="80"/>
        <v>98</v>
      </c>
      <c r="KT21" s="74">
        <f t="shared" si="80"/>
        <v>99</v>
      </c>
      <c r="KU21" s="74">
        <f t="shared" si="80"/>
        <v>100</v>
      </c>
      <c r="KV21" s="74">
        <f t="shared" si="80"/>
        <v>101</v>
      </c>
      <c r="KW21" s="74">
        <f t="shared" si="80"/>
        <v>102</v>
      </c>
      <c r="KX21" s="74">
        <f t="shared" si="80"/>
        <v>103</v>
      </c>
      <c r="KY21" s="74">
        <f t="shared" si="80"/>
        <v>104</v>
      </c>
      <c r="KZ21" s="74">
        <f t="shared" si="80"/>
        <v>105</v>
      </c>
      <c r="LA21" s="74">
        <f t="shared" si="80"/>
        <v>106</v>
      </c>
      <c r="LB21" s="74">
        <f t="shared" si="80"/>
        <v>107</v>
      </c>
      <c r="LC21" s="74">
        <f t="shared" si="80"/>
        <v>108</v>
      </c>
      <c r="LD21" s="74">
        <f t="shared" si="80"/>
        <v>109</v>
      </c>
      <c r="LE21" s="74">
        <f t="shared" si="80"/>
        <v>110</v>
      </c>
      <c r="LF21" s="74">
        <f t="shared" si="80"/>
        <v>111</v>
      </c>
      <c r="LG21" s="74">
        <f t="shared" si="80"/>
        <v>112</v>
      </c>
      <c r="LH21" s="74">
        <f t="shared" si="80"/>
        <v>113</v>
      </c>
      <c r="LI21" s="74">
        <f t="shared" si="80"/>
        <v>114</v>
      </c>
      <c r="LJ21" s="74">
        <f t="shared" si="80"/>
        <v>115</v>
      </c>
      <c r="LK21" s="74">
        <f t="shared" si="80"/>
        <v>116</v>
      </c>
      <c r="LL21" s="74">
        <f t="shared" si="80"/>
        <v>117</v>
      </c>
      <c r="LM21" s="74">
        <f t="shared" si="80"/>
        <v>118</v>
      </c>
      <c r="LN21" s="74">
        <f t="shared" si="80"/>
        <v>119</v>
      </c>
      <c r="LO21" s="74">
        <f t="shared" si="80"/>
        <v>120</v>
      </c>
      <c r="LP21" s="74">
        <f t="shared" si="80"/>
        <v>121</v>
      </c>
      <c r="LQ21" s="74">
        <f t="shared" si="80"/>
        <v>122</v>
      </c>
      <c r="LR21" s="74">
        <f t="shared" si="80"/>
        <v>123</v>
      </c>
      <c r="LS21" s="74">
        <f t="shared" si="80"/>
        <v>124</v>
      </c>
      <c r="LT21" s="74">
        <f t="shared" si="80"/>
        <v>125</v>
      </c>
      <c r="LU21" s="74">
        <f t="shared" si="80"/>
        <v>126</v>
      </c>
      <c r="LV21" s="74">
        <f t="shared" si="80"/>
        <v>127</v>
      </c>
      <c r="LW21" s="74">
        <f t="shared" si="80"/>
        <v>128</v>
      </c>
      <c r="LX21" s="74">
        <f t="shared" si="80"/>
        <v>129</v>
      </c>
      <c r="LY21" s="74">
        <f t="shared" si="80"/>
        <v>130</v>
      </c>
      <c r="LZ21" s="74">
        <f t="shared" ref="LZ21:NW21" si="81">LY21+1</f>
        <v>131</v>
      </c>
      <c r="MA21" s="74">
        <f t="shared" si="81"/>
        <v>132</v>
      </c>
      <c r="MB21" s="74">
        <f t="shared" si="81"/>
        <v>133</v>
      </c>
      <c r="MC21" s="74">
        <f t="shared" si="81"/>
        <v>134</v>
      </c>
      <c r="MD21" s="74">
        <f t="shared" si="81"/>
        <v>135</v>
      </c>
      <c r="ME21" s="74">
        <f t="shared" si="81"/>
        <v>136</v>
      </c>
      <c r="MF21" s="74">
        <f t="shared" si="81"/>
        <v>137</v>
      </c>
      <c r="MG21" s="74">
        <f t="shared" si="81"/>
        <v>138</v>
      </c>
      <c r="MH21" s="74">
        <f t="shared" si="81"/>
        <v>139</v>
      </c>
      <c r="MI21" s="74">
        <f t="shared" si="81"/>
        <v>140</v>
      </c>
      <c r="MJ21" s="74">
        <f t="shared" si="81"/>
        <v>141</v>
      </c>
      <c r="MK21" s="74">
        <f t="shared" si="81"/>
        <v>142</v>
      </c>
      <c r="ML21" s="74">
        <f t="shared" si="81"/>
        <v>143</v>
      </c>
      <c r="MM21" s="74">
        <f t="shared" si="81"/>
        <v>144</v>
      </c>
      <c r="MN21" s="74">
        <f t="shared" si="81"/>
        <v>145</v>
      </c>
      <c r="MO21" s="74">
        <f t="shared" si="81"/>
        <v>146</v>
      </c>
      <c r="MP21" s="74">
        <f t="shared" si="81"/>
        <v>147</v>
      </c>
      <c r="MQ21" s="74">
        <f t="shared" si="81"/>
        <v>148</v>
      </c>
      <c r="MR21" s="74">
        <f t="shared" si="81"/>
        <v>149</v>
      </c>
      <c r="MS21" s="74">
        <f t="shared" si="81"/>
        <v>150</v>
      </c>
      <c r="MT21" s="74">
        <f t="shared" si="81"/>
        <v>151</v>
      </c>
      <c r="MU21" s="74">
        <f t="shared" si="81"/>
        <v>152</v>
      </c>
      <c r="MV21" s="74">
        <f t="shared" si="81"/>
        <v>153</v>
      </c>
      <c r="MW21" s="74">
        <f t="shared" si="81"/>
        <v>154</v>
      </c>
      <c r="MX21" s="74">
        <f t="shared" si="81"/>
        <v>155</v>
      </c>
      <c r="MY21" s="74">
        <f t="shared" si="81"/>
        <v>156</v>
      </c>
      <c r="MZ21" s="74">
        <f t="shared" si="81"/>
        <v>157</v>
      </c>
      <c r="NA21" s="74">
        <f t="shared" si="81"/>
        <v>158</v>
      </c>
      <c r="NB21" s="74">
        <f t="shared" si="81"/>
        <v>159</v>
      </c>
      <c r="NC21" s="74">
        <f t="shared" si="81"/>
        <v>160</v>
      </c>
      <c r="ND21" s="74">
        <f t="shared" si="81"/>
        <v>161</v>
      </c>
      <c r="NE21" s="74">
        <f t="shared" si="81"/>
        <v>162</v>
      </c>
      <c r="NF21" s="74">
        <f t="shared" si="81"/>
        <v>163</v>
      </c>
      <c r="NG21" s="74">
        <f t="shared" si="81"/>
        <v>164</v>
      </c>
      <c r="NH21" s="74">
        <f t="shared" si="81"/>
        <v>165</v>
      </c>
      <c r="NI21" s="74">
        <f t="shared" si="81"/>
        <v>166</v>
      </c>
      <c r="NJ21" s="74">
        <f t="shared" si="81"/>
        <v>167</v>
      </c>
      <c r="NK21" s="74">
        <f t="shared" si="81"/>
        <v>168</v>
      </c>
      <c r="NL21" s="74">
        <f t="shared" si="81"/>
        <v>169</v>
      </c>
      <c r="NM21" s="74">
        <f t="shared" si="81"/>
        <v>170</v>
      </c>
      <c r="NN21" s="74">
        <f t="shared" si="81"/>
        <v>171</v>
      </c>
      <c r="NO21" s="74">
        <f t="shared" si="81"/>
        <v>172</v>
      </c>
      <c r="NP21" s="74">
        <f t="shared" si="81"/>
        <v>173</v>
      </c>
      <c r="NQ21" s="74">
        <f t="shared" si="81"/>
        <v>174</v>
      </c>
      <c r="NR21" s="74">
        <f t="shared" si="81"/>
        <v>175</v>
      </c>
      <c r="NS21" s="74">
        <f t="shared" si="81"/>
        <v>176</v>
      </c>
      <c r="NT21" s="74">
        <f t="shared" si="81"/>
        <v>177</v>
      </c>
      <c r="NU21" s="74">
        <f t="shared" si="81"/>
        <v>178</v>
      </c>
      <c r="NV21" s="74">
        <f t="shared" si="81"/>
        <v>179</v>
      </c>
      <c r="NW21" s="74">
        <f t="shared" si="81"/>
        <v>180</v>
      </c>
      <c r="NX21" s="10"/>
    </row>
    <row r="22" spans="2:388" x14ac:dyDescent="0.3">
      <c r="B22" s="26" t="s">
        <v>336</v>
      </c>
      <c r="C22" s="18"/>
      <c r="D22" s="19"/>
      <c r="E22" s="27">
        <v>2</v>
      </c>
      <c r="F22" s="27">
        <v>30</v>
      </c>
      <c r="G22" s="21"/>
      <c r="H22" s="28">
        <f t="shared" ref="H22:H27" si="82">F22-E22+1</f>
        <v>29</v>
      </c>
      <c r="I22" s="21" t="s">
        <v>202</v>
      </c>
      <c r="J22" s="23">
        <f t="shared" ref="J22:J26" si="83">L22/$L$8</f>
        <v>23706.521739130436</v>
      </c>
      <c r="K22" s="29">
        <f t="shared" ref="K22:K26" si="84">L22/$L$7</f>
        <v>3.1336206896551726</v>
      </c>
      <c r="L22" s="30">
        <f>27000*D90-L30-L31-L32</f>
        <v>5452500</v>
      </c>
      <c r="N22" s="9" t="s">
        <v>203</v>
      </c>
      <c r="S22" s="69" t="str">
        <f t="shared" ref="S22:S27" si="85">IF(ROUND(L22,0)=ROUND(SUM(T22:GQ22),0),"OK","ERROR")</f>
        <v>OK</v>
      </c>
      <c r="T22" s="16">
        <f t="shared" ref="T22:AC26" si="86">($I22="S-Curve")*GZ22+AND($I22&lt;&gt;"S-Curve",T$14&gt;=$E22,T$14&lt;=$F22)*($L22/$H22)</f>
        <v>0</v>
      </c>
      <c r="U22" s="16">
        <f t="shared" si="86"/>
        <v>6890.6708288231002</v>
      </c>
      <c r="V22" s="16">
        <f t="shared" si="86"/>
        <v>12255.86737319038</v>
      </c>
      <c r="W22" s="16">
        <f t="shared" si="86"/>
        <v>20888.214668269513</v>
      </c>
      <c r="X22" s="16">
        <f t="shared" si="86"/>
        <v>34114.06402953386</v>
      </c>
      <c r="Y22" s="16">
        <f t="shared" si="86"/>
        <v>53387.625291083103</v>
      </c>
      <c r="Z22" s="16">
        <f t="shared" si="86"/>
        <v>80061.344166756229</v>
      </c>
      <c r="AA22" s="16">
        <f t="shared" si="86"/>
        <v>115048.35004592669</v>
      </c>
      <c r="AB22" s="16">
        <f t="shared" si="86"/>
        <v>158421.18500762942</v>
      </c>
      <c r="AC22" s="16">
        <f t="shared" si="86"/>
        <v>209036.22601235914</v>
      </c>
      <c r="AD22" s="16">
        <f t="shared" ref="AD22:AM26" si="87">($I22="S-Curve")*HJ22+AND($I22&lt;&gt;"S-Curve",AD$14&gt;=$E22,AD$14&lt;=$F22)*($L22/$H22)</f>
        <v>264304.99333633925</v>
      </c>
      <c r="AE22" s="16">
        <f t="shared" si="87"/>
        <v>320232.02387132833</v>
      </c>
      <c r="AF22" s="16">
        <f t="shared" si="87"/>
        <v>371791.78237573872</v>
      </c>
      <c r="AG22" s="16">
        <f t="shared" si="87"/>
        <v>413628.53261317493</v>
      </c>
      <c r="AH22" s="16">
        <f t="shared" si="87"/>
        <v>440957.66777500953</v>
      </c>
      <c r="AI22" s="16">
        <f t="shared" si="87"/>
        <v>450462.90520967566</v>
      </c>
      <c r="AJ22" s="16">
        <f t="shared" si="87"/>
        <v>440957.66777500982</v>
      </c>
      <c r="AK22" s="16">
        <f t="shared" si="87"/>
        <v>413628.53261317464</v>
      </c>
      <c r="AL22" s="16">
        <f t="shared" si="87"/>
        <v>371791.78237573855</v>
      </c>
      <c r="AM22" s="16">
        <f t="shared" si="87"/>
        <v>320232.02387132851</v>
      </c>
      <c r="AN22" s="16">
        <f t="shared" ref="AN22:AW26" si="88">($I22="S-Curve")*HT22+AND($I22&lt;&gt;"S-Curve",AN$14&gt;=$E22,AN$14&lt;=$F22)*($L22/$H22)</f>
        <v>264304.99333633913</v>
      </c>
      <c r="AO22" s="16">
        <f t="shared" si="88"/>
        <v>209036.22601235923</v>
      </c>
      <c r="AP22" s="16">
        <f t="shared" si="88"/>
        <v>158421.18500762928</v>
      </c>
      <c r="AQ22" s="16">
        <f t="shared" si="88"/>
        <v>115048.35004592722</v>
      </c>
      <c r="AR22" s="16">
        <f t="shared" si="88"/>
        <v>80061.344166755676</v>
      </c>
      <c r="AS22" s="16">
        <f t="shared" si="88"/>
        <v>53387.625291083219</v>
      </c>
      <c r="AT22" s="16">
        <f t="shared" si="88"/>
        <v>34114.064029534267</v>
      </c>
      <c r="AU22" s="16">
        <f t="shared" si="88"/>
        <v>20888.214668269262</v>
      </c>
      <c r="AV22" s="16">
        <f t="shared" si="88"/>
        <v>12255.867373190258</v>
      </c>
      <c r="AW22" s="16">
        <f t="shared" si="88"/>
        <v>6890.670828823143</v>
      </c>
      <c r="AX22" s="16">
        <f t="shared" ref="AX22:BG26" si="89">($I22="S-Curve")*ID22+AND($I22&lt;&gt;"S-Curve",AX$14&gt;=$E22,AX$14&lt;=$F22)*($L22/$H22)</f>
        <v>0</v>
      </c>
      <c r="AY22" s="16">
        <f t="shared" si="89"/>
        <v>0</v>
      </c>
      <c r="AZ22" s="16">
        <f t="shared" si="89"/>
        <v>0</v>
      </c>
      <c r="BA22" s="16">
        <f t="shared" si="89"/>
        <v>0</v>
      </c>
      <c r="BB22" s="16">
        <f t="shared" si="89"/>
        <v>0</v>
      </c>
      <c r="BC22" s="16">
        <f t="shared" si="89"/>
        <v>0</v>
      </c>
      <c r="BD22" s="16">
        <f t="shared" si="89"/>
        <v>0</v>
      </c>
      <c r="BE22" s="16">
        <f t="shared" si="89"/>
        <v>0</v>
      </c>
      <c r="BF22" s="16">
        <f t="shared" si="89"/>
        <v>0</v>
      </c>
      <c r="BG22" s="16">
        <f t="shared" si="89"/>
        <v>0</v>
      </c>
      <c r="BH22" s="16">
        <f t="shared" ref="BH22:BQ26" si="90">($I22="S-Curve")*IN22+AND($I22&lt;&gt;"S-Curve",BH$14&gt;=$E22,BH$14&lt;=$F22)*($L22/$H22)</f>
        <v>0</v>
      </c>
      <c r="BI22" s="16">
        <f t="shared" si="90"/>
        <v>0</v>
      </c>
      <c r="BJ22" s="16">
        <f t="shared" si="90"/>
        <v>0</v>
      </c>
      <c r="BK22" s="16">
        <f t="shared" si="90"/>
        <v>0</v>
      </c>
      <c r="BL22" s="16">
        <f t="shared" si="90"/>
        <v>0</v>
      </c>
      <c r="BM22" s="16">
        <f t="shared" si="90"/>
        <v>0</v>
      </c>
      <c r="BN22" s="16">
        <f t="shared" si="90"/>
        <v>0</v>
      </c>
      <c r="BO22" s="16">
        <f t="shared" si="90"/>
        <v>0</v>
      </c>
      <c r="BP22" s="16">
        <f t="shared" si="90"/>
        <v>0</v>
      </c>
      <c r="BQ22" s="16">
        <f t="shared" si="90"/>
        <v>0</v>
      </c>
      <c r="BR22" s="16">
        <f t="shared" ref="BR22:CA26" si="91">($I22="S-Curve")*IX22+AND($I22&lt;&gt;"S-Curve",BR$14&gt;=$E22,BR$14&lt;=$F22)*($L22/$H22)</f>
        <v>0</v>
      </c>
      <c r="BS22" s="16">
        <f t="shared" si="91"/>
        <v>0</v>
      </c>
      <c r="BT22" s="16">
        <f t="shared" si="91"/>
        <v>0</v>
      </c>
      <c r="BU22" s="16">
        <f t="shared" si="91"/>
        <v>0</v>
      </c>
      <c r="BV22" s="16">
        <f t="shared" si="91"/>
        <v>0</v>
      </c>
      <c r="BW22" s="16">
        <f t="shared" si="91"/>
        <v>0</v>
      </c>
      <c r="BX22" s="16">
        <f t="shared" si="91"/>
        <v>0</v>
      </c>
      <c r="BY22" s="16">
        <f t="shared" si="91"/>
        <v>0</v>
      </c>
      <c r="BZ22" s="16">
        <f t="shared" si="91"/>
        <v>0</v>
      </c>
      <c r="CA22" s="16">
        <f t="shared" si="91"/>
        <v>0</v>
      </c>
      <c r="CB22" s="16">
        <f t="shared" ref="CB22:CK26" si="92">($I22="S-Curve")*JH22+AND($I22&lt;&gt;"S-Curve",CB$14&gt;=$E22,CB$14&lt;=$F22)*($L22/$H22)</f>
        <v>0</v>
      </c>
      <c r="CC22" s="16">
        <f t="shared" si="92"/>
        <v>0</v>
      </c>
      <c r="CD22" s="16">
        <f t="shared" si="92"/>
        <v>0</v>
      </c>
      <c r="CE22" s="16">
        <f t="shared" si="92"/>
        <v>0</v>
      </c>
      <c r="CF22" s="16">
        <f t="shared" si="92"/>
        <v>0</v>
      </c>
      <c r="CG22" s="16">
        <f t="shared" si="92"/>
        <v>0</v>
      </c>
      <c r="CH22" s="16">
        <f t="shared" si="92"/>
        <v>0</v>
      </c>
      <c r="CI22" s="16">
        <f t="shared" si="92"/>
        <v>0</v>
      </c>
      <c r="CJ22" s="16">
        <f t="shared" si="92"/>
        <v>0</v>
      </c>
      <c r="CK22" s="16">
        <f t="shared" si="92"/>
        <v>0</v>
      </c>
      <c r="CL22" s="16">
        <f t="shared" ref="CL22:CU26" si="93">($I22="S-Curve")*JR22+AND($I22&lt;&gt;"S-Curve",CL$14&gt;=$E22,CL$14&lt;=$F22)*($L22/$H22)</f>
        <v>0</v>
      </c>
      <c r="CM22" s="16">
        <f t="shared" si="93"/>
        <v>0</v>
      </c>
      <c r="CN22" s="16">
        <f t="shared" si="93"/>
        <v>0</v>
      </c>
      <c r="CO22" s="16">
        <f t="shared" si="93"/>
        <v>0</v>
      </c>
      <c r="CP22" s="16">
        <f t="shared" si="93"/>
        <v>0</v>
      </c>
      <c r="CQ22" s="16">
        <f t="shared" si="93"/>
        <v>0</v>
      </c>
      <c r="CR22" s="16">
        <f t="shared" si="93"/>
        <v>0</v>
      </c>
      <c r="CS22" s="16">
        <f t="shared" si="93"/>
        <v>0</v>
      </c>
      <c r="CT22" s="16">
        <f t="shared" si="93"/>
        <v>0</v>
      </c>
      <c r="CU22" s="16">
        <f t="shared" si="93"/>
        <v>0</v>
      </c>
      <c r="CV22" s="16">
        <f t="shared" ref="CV22:DE26" si="94">($I22="S-Curve")*KB22+AND($I22&lt;&gt;"S-Curve",CV$14&gt;=$E22,CV$14&lt;=$F22)*($L22/$H22)</f>
        <v>0</v>
      </c>
      <c r="CW22" s="16">
        <f t="shared" si="94"/>
        <v>0</v>
      </c>
      <c r="CX22" s="16">
        <f t="shared" si="94"/>
        <v>0</v>
      </c>
      <c r="CY22" s="16">
        <f t="shared" si="94"/>
        <v>0</v>
      </c>
      <c r="CZ22" s="16">
        <f t="shared" si="94"/>
        <v>0</v>
      </c>
      <c r="DA22" s="16">
        <f t="shared" si="94"/>
        <v>0</v>
      </c>
      <c r="DB22" s="16">
        <f t="shared" si="94"/>
        <v>0</v>
      </c>
      <c r="DC22" s="16">
        <f t="shared" si="94"/>
        <v>0</v>
      </c>
      <c r="DD22" s="16">
        <f t="shared" si="94"/>
        <v>0</v>
      </c>
      <c r="DE22" s="16">
        <f t="shared" si="94"/>
        <v>0</v>
      </c>
      <c r="DF22" s="16">
        <f t="shared" ref="DF22:DO26" si="95">($I22="S-Curve")*KL22+AND($I22&lt;&gt;"S-Curve",DF$14&gt;=$E22,DF$14&lt;=$F22)*($L22/$H22)</f>
        <v>0</v>
      </c>
      <c r="DG22" s="16">
        <f t="shared" si="95"/>
        <v>0</v>
      </c>
      <c r="DH22" s="16">
        <f t="shared" si="95"/>
        <v>0</v>
      </c>
      <c r="DI22" s="16">
        <f t="shared" si="95"/>
        <v>0</v>
      </c>
      <c r="DJ22" s="16">
        <f t="shared" si="95"/>
        <v>0</v>
      </c>
      <c r="DK22" s="16">
        <f t="shared" si="95"/>
        <v>0</v>
      </c>
      <c r="DL22" s="16">
        <f t="shared" si="95"/>
        <v>0</v>
      </c>
      <c r="DM22" s="16">
        <f t="shared" si="95"/>
        <v>0</v>
      </c>
      <c r="DN22" s="16">
        <f t="shared" si="95"/>
        <v>0</v>
      </c>
      <c r="DO22" s="16">
        <f t="shared" si="95"/>
        <v>0</v>
      </c>
      <c r="DP22" s="16">
        <f t="shared" ref="DP22:DY26" si="96">($I22="S-Curve")*KV22+AND($I22&lt;&gt;"S-Curve",DP$14&gt;=$E22,DP$14&lt;=$F22)*($L22/$H22)</f>
        <v>0</v>
      </c>
      <c r="DQ22" s="16">
        <f t="shared" si="96"/>
        <v>0</v>
      </c>
      <c r="DR22" s="16">
        <f t="shared" si="96"/>
        <v>0</v>
      </c>
      <c r="DS22" s="16">
        <f t="shared" si="96"/>
        <v>0</v>
      </c>
      <c r="DT22" s="16">
        <f t="shared" si="96"/>
        <v>0</v>
      </c>
      <c r="DU22" s="16">
        <f t="shared" si="96"/>
        <v>0</v>
      </c>
      <c r="DV22" s="16">
        <f t="shared" si="96"/>
        <v>0</v>
      </c>
      <c r="DW22" s="16">
        <f t="shared" si="96"/>
        <v>0</v>
      </c>
      <c r="DX22" s="16">
        <f t="shared" si="96"/>
        <v>0</v>
      </c>
      <c r="DY22" s="16">
        <f t="shared" si="96"/>
        <v>0</v>
      </c>
      <c r="DZ22" s="16">
        <f t="shared" ref="DZ22:EI26" si="97">($I22="S-Curve")*LF22+AND($I22&lt;&gt;"S-Curve",DZ$14&gt;=$E22,DZ$14&lt;=$F22)*($L22/$H22)</f>
        <v>0</v>
      </c>
      <c r="EA22" s="16">
        <f t="shared" si="97"/>
        <v>0</v>
      </c>
      <c r="EB22" s="16">
        <f t="shared" si="97"/>
        <v>0</v>
      </c>
      <c r="EC22" s="16">
        <f t="shared" si="97"/>
        <v>0</v>
      </c>
      <c r="ED22" s="16">
        <f t="shared" si="97"/>
        <v>0</v>
      </c>
      <c r="EE22" s="16">
        <f t="shared" si="97"/>
        <v>0</v>
      </c>
      <c r="EF22" s="16">
        <f t="shared" si="97"/>
        <v>0</v>
      </c>
      <c r="EG22" s="16">
        <f t="shared" si="97"/>
        <v>0</v>
      </c>
      <c r="EH22" s="16">
        <f t="shared" si="97"/>
        <v>0</v>
      </c>
      <c r="EI22" s="16">
        <f t="shared" si="97"/>
        <v>0</v>
      </c>
      <c r="EJ22" s="16">
        <f t="shared" ref="EJ22:ES26" si="98">($I22="S-Curve")*LP22+AND($I22&lt;&gt;"S-Curve",EJ$14&gt;=$E22,EJ$14&lt;=$F22)*($L22/$H22)</f>
        <v>0</v>
      </c>
      <c r="EK22" s="16">
        <f t="shared" si="98"/>
        <v>0</v>
      </c>
      <c r="EL22" s="16">
        <f t="shared" si="98"/>
        <v>0</v>
      </c>
      <c r="EM22" s="16">
        <f t="shared" si="98"/>
        <v>0</v>
      </c>
      <c r="EN22" s="16">
        <f t="shared" si="98"/>
        <v>0</v>
      </c>
      <c r="EO22" s="16">
        <f t="shared" si="98"/>
        <v>0</v>
      </c>
      <c r="EP22" s="16">
        <f t="shared" si="98"/>
        <v>0</v>
      </c>
      <c r="EQ22" s="16">
        <f t="shared" si="98"/>
        <v>0</v>
      </c>
      <c r="ER22" s="16">
        <f t="shared" si="98"/>
        <v>0</v>
      </c>
      <c r="ES22" s="16">
        <f t="shared" si="98"/>
        <v>0</v>
      </c>
      <c r="ET22" s="16">
        <f t="shared" ref="ET22:FC26" si="99">($I22="S-Curve")*LZ22+AND($I22&lt;&gt;"S-Curve",ET$14&gt;=$E22,ET$14&lt;=$F22)*($L22/$H22)</f>
        <v>0</v>
      </c>
      <c r="EU22" s="16">
        <f t="shared" si="99"/>
        <v>0</v>
      </c>
      <c r="EV22" s="16">
        <f t="shared" si="99"/>
        <v>0</v>
      </c>
      <c r="EW22" s="16">
        <f t="shared" si="99"/>
        <v>0</v>
      </c>
      <c r="EX22" s="16">
        <f t="shared" si="99"/>
        <v>0</v>
      </c>
      <c r="EY22" s="16">
        <f t="shared" si="99"/>
        <v>0</v>
      </c>
      <c r="EZ22" s="16">
        <f t="shared" si="99"/>
        <v>0</v>
      </c>
      <c r="FA22" s="16">
        <f t="shared" si="99"/>
        <v>0</v>
      </c>
      <c r="FB22" s="16">
        <f t="shared" si="99"/>
        <v>0</v>
      </c>
      <c r="FC22" s="16">
        <f t="shared" si="99"/>
        <v>0</v>
      </c>
      <c r="FD22" s="16">
        <f t="shared" ref="FD22:FM26" si="100">($I22="S-Curve")*MJ22+AND($I22&lt;&gt;"S-Curve",FD$14&gt;=$E22,FD$14&lt;=$F22)*($L22/$H22)</f>
        <v>0</v>
      </c>
      <c r="FE22" s="16">
        <f t="shared" si="100"/>
        <v>0</v>
      </c>
      <c r="FF22" s="16">
        <f t="shared" si="100"/>
        <v>0</v>
      </c>
      <c r="FG22" s="16">
        <f t="shared" si="100"/>
        <v>0</v>
      </c>
      <c r="FH22" s="16">
        <f t="shared" si="100"/>
        <v>0</v>
      </c>
      <c r="FI22" s="16">
        <f t="shared" si="100"/>
        <v>0</v>
      </c>
      <c r="FJ22" s="16">
        <f t="shared" si="100"/>
        <v>0</v>
      </c>
      <c r="FK22" s="16">
        <f t="shared" si="100"/>
        <v>0</v>
      </c>
      <c r="FL22" s="16">
        <f t="shared" si="100"/>
        <v>0</v>
      </c>
      <c r="FM22" s="16">
        <f t="shared" si="100"/>
        <v>0</v>
      </c>
      <c r="FN22" s="16">
        <f t="shared" ref="FN22:FW26" si="101">($I22="S-Curve")*MT22+AND($I22&lt;&gt;"S-Curve",FN$14&gt;=$E22,FN$14&lt;=$F22)*($L22/$H22)</f>
        <v>0</v>
      </c>
      <c r="FO22" s="16">
        <f t="shared" si="101"/>
        <v>0</v>
      </c>
      <c r="FP22" s="16">
        <f t="shared" si="101"/>
        <v>0</v>
      </c>
      <c r="FQ22" s="16">
        <f t="shared" si="101"/>
        <v>0</v>
      </c>
      <c r="FR22" s="16">
        <f t="shared" si="101"/>
        <v>0</v>
      </c>
      <c r="FS22" s="16">
        <f t="shared" si="101"/>
        <v>0</v>
      </c>
      <c r="FT22" s="16">
        <f t="shared" si="101"/>
        <v>0</v>
      </c>
      <c r="FU22" s="16">
        <f t="shared" si="101"/>
        <v>0</v>
      </c>
      <c r="FV22" s="16">
        <f t="shared" si="101"/>
        <v>0</v>
      </c>
      <c r="FW22" s="16">
        <f t="shared" si="101"/>
        <v>0</v>
      </c>
      <c r="FX22" s="16">
        <f t="shared" ref="FX22:GG26" si="102">($I22="S-Curve")*ND22+AND($I22&lt;&gt;"S-Curve",FX$14&gt;=$E22,FX$14&lt;=$F22)*($L22/$H22)</f>
        <v>0</v>
      </c>
      <c r="FY22" s="16">
        <f t="shared" si="102"/>
        <v>0</v>
      </c>
      <c r="FZ22" s="16">
        <f t="shared" si="102"/>
        <v>0</v>
      </c>
      <c r="GA22" s="16">
        <f t="shared" si="102"/>
        <v>0</v>
      </c>
      <c r="GB22" s="16">
        <f t="shared" si="102"/>
        <v>0</v>
      </c>
      <c r="GC22" s="16">
        <f t="shared" si="102"/>
        <v>0</v>
      </c>
      <c r="GD22" s="16">
        <f t="shared" si="102"/>
        <v>0</v>
      </c>
      <c r="GE22" s="16">
        <f t="shared" si="102"/>
        <v>0</v>
      </c>
      <c r="GF22" s="16">
        <f t="shared" si="102"/>
        <v>0</v>
      </c>
      <c r="GG22" s="16">
        <f t="shared" si="102"/>
        <v>0</v>
      </c>
      <c r="GH22" s="16">
        <f t="shared" ref="GH22:GQ26" si="103">($I22="S-Curve")*NN22+AND($I22&lt;&gt;"S-Curve",GH$14&gt;=$E22,GH$14&lt;=$F22)*($L22/$H22)</f>
        <v>0</v>
      </c>
      <c r="GI22" s="16">
        <f t="shared" si="103"/>
        <v>0</v>
      </c>
      <c r="GJ22" s="16">
        <f t="shared" si="103"/>
        <v>0</v>
      </c>
      <c r="GK22" s="16">
        <f t="shared" si="103"/>
        <v>0</v>
      </c>
      <c r="GL22" s="16">
        <f t="shared" si="103"/>
        <v>0</v>
      </c>
      <c r="GM22" s="16">
        <f t="shared" si="103"/>
        <v>0</v>
      </c>
      <c r="GN22" s="16">
        <f t="shared" si="103"/>
        <v>0</v>
      </c>
      <c r="GO22" s="16">
        <f t="shared" si="103"/>
        <v>0</v>
      </c>
      <c r="GP22" s="16">
        <f t="shared" si="103"/>
        <v>0</v>
      </c>
      <c r="GQ22" s="16">
        <f t="shared" si="103"/>
        <v>0</v>
      </c>
      <c r="GR22" s="9"/>
      <c r="GS22" s="70" t="str">
        <f t="shared" si="77"/>
        <v>CPE GMP Contract Turnkey</v>
      </c>
      <c r="GT22" s="77">
        <f t="shared" ref="GT22:GT26" si="104">L22</f>
        <v>5452500</v>
      </c>
      <c r="GU22" s="78">
        <f t="shared" si="78"/>
        <v>2</v>
      </c>
      <c r="GV22" s="78">
        <f t="shared" si="78"/>
        <v>30</v>
      </c>
      <c r="GW22" s="78">
        <f t="shared" ref="GW22:GW26" si="105">H22</f>
        <v>29</v>
      </c>
      <c r="GX22" s="79">
        <f t="shared" ref="GX22:GX26" si="106">GW22/6</f>
        <v>4.833333333333333</v>
      </c>
      <c r="GY22" s="79" t="b">
        <f t="shared" ref="GY22:GY27" si="107">ROUND(GT22,0)=ROUND(SUM(GZ22:NW22),0)</f>
        <v>1</v>
      </c>
      <c r="GZ22" s="77">
        <f t="shared" ref="GZ22:GZ26" si="108">AND(GZ$14&gt;=$GU22,GZ$14&lt;=$GV22)*((_xlfn.NORM.DIST(GZ$14-$GU22+1,$GW22/2,$GX22,TRUE)-_xlfn.NORM.DIST(GZ$14-$GU22,$GW22/2,$GX22,TRUE))/(1-2*_xlfn.NORM.DIST(0,$GW22/2,$GX22,TRUE))*$GT22)</f>
        <v>0</v>
      </c>
      <c r="HA22" s="77">
        <f t="shared" ref="HA22:HP26" si="109">AND(HA$14&gt;=$GU22,HA$14&lt;=$GV22)*((_xlfn.NORM.DIST(HA$14-$GU22+1,$GW22/2,$GX22,TRUE)-_xlfn.NORM.DIST(HA$14-$GU22,$GW22/2,$GX22,TRUE))/(1-2*_xlfn.NORM.DIST(0,$GW22/2,$GX22,TRUE))*$GT22)</f>
        <v>6890.6708288231002</v>
      </c>
      <c r="HB22" s="77">
        <f t="shared" si="109"/>
        <v>12255.86737319038</v>
      </c>
      <c r="HC22" s="77">
        <f t="shared" si="109"/>
        <v>20888.214668269513</v>
      </c>
      <c r="HD22" s="77">
        <f t="shared" si="109"/>
        <v>34114.06402953386</v>
      </c>
      <c r="HE22" s="77">
        <f t="shared" si="109"/>
        <v>53387.625291083103</v>
      </c>
      <c r="HF22" s="77">
        <f t="shared" si="109"/>
        <v>80061.344166756229</v>
      </c>
      <c r="HG22" s="77">
        <f t="shared" si="109"/>
        <v>115048.35004592669</v>
      </c>
      <c r="HH22" s="77">
        <f t="shared" si="109"/>
        <v>158421.18500762942</v>
      </c>
      <c r="HI22" s="77">
        <f t="shared" si="109"/>
        <v>209036.22601235914</v>
      </c>
      <c r="HJ22" s="77">
        <f t="shared" si="109"/>
        <v>264304.99333633925</v>
      </c>
      <c r="HK22" s="77">
        <f t="shared" si="109"/>
        <v>320232.02387132833</v>
      </c>
      <c r="HL22" s="77">
        <f t="shared" si="109"/>
        <v>371791.78237573872</v>
      </c>
      <c r="HM22" s="77">
        <f t="shared" si="109"/>
        <v>413628.53261317493</v>
      </c>
      <c r="HN22" s="77">
        <f t="shared" si="109"/>
        <v>440957.66777500953</v>
      </c>
      <c r="HO22" s="77">
        <f t="shared" si="109"/>
        <v>450462.90520967566</v>
      </c>
      <c r="HP22" s="77">
        <f t="shared" si="109"/>
        <v>440957.66777500982</v>
      </c>
      <c r="HQ22" s="77">
        <f t="shared" ref="HQ22:IF26" si="110">AND(HQ$14&gt;=$GU22,HQ$14&lt;=$GV22)*((_xlfn.NORM.DIST(HQ$14-$GU22+1,$GW22/2,$GX22,TRUE)-_xlfn.NORM.DIST(HQ$14-$GU22,$GW22/2,$GX22,TRUE))/(1-2*_xlfn.NORM.DIST(0,$GW22/2,$GX22,TRUE))*$GT22)</f>
        <v>413628.53261317464</v>
      </c>
      <c r="HR22" s="77">
        <f t="shared" si="110"/>
        <v>371791.78237573855</v>
      </c>
      <c r="HS22" s="77">
        <f t="shared" si="110"/>
        <v>320232.02387132851</v>
      </c>
      <c r="HT22" s="77">
        <f t="shared" si="110"/>
        <v>264304.99333633913</v>
      </c>
      <c r="HU22" s="77">
        <f t="shared" si="110"/>
        <v>209036.22601235923</v>
      </c>
      <c r="HV22" s="77">
        <f t="shared" si="110"/>
        <v>158421.18500762928</v>
      </c>
      <c r="HW22" s="77">
        <f t="shared" si="110"/>
        <v>115048.35004592722</v>
      </c>
      <c r="HX22" s="77">
        <f t="shared" si="110"/>
        <v>80061.344166755676</v>
      </c>
      <c r="HY22" s="77">
        <f t="shared" si="110"/>
        <v>53387.625291083219</v>
      </c>
      <c r="HZ22" s="77">
        <f t="shared" si="110"/>
        <v>34114.064029534267</v>
      </c>
      <c r="IA22" s="77">
        <f t="shared" si="110"/>
        <v>20888.214668269262</v>
      </c>
      <c r="IB22" s="77">
        <f t="shared" si="110"/>
        <v>12255.867373190258</v>
      </c>
      <c r="IC22" s="77">
        <f t="shared" si="110"/>
        <v>6890.670828823143</v>
      </c>
      <c r="ID22" s="77">
        <f t="shared" si="110"/>
        <v>0</v>
      </c>
      <c r="IE22" s="77">
        <f t="shared" si="110"/>
        <v>0</v>
      </c>
      <c r="IF22" s="77">
        <f t="shared" si="110"/>
        <v>0</v>
      </c>
      <c r="IG22" s="77">
        <f t="shared" ref="IG22:IV26" si="111">AND(IG$14&gt;=$GU22,IG$14&lt;=$GV22)*((_xlfn.NORM.DIST(IG$14-$GU22+1,$GW22/2,$GX22,TRUE)-_xlfn.NORM.DIST(IG$14-$GU22,$GW22/2,$GX22,TRUE))/(1-2*_xlfn.NORM.DIST(0,$GW22/2,$GX22,TRUE))*$GT22)</f>
        <v>0</v>
      </c>
      <c r="IH22" s="77">
        <f t="shared" si="111"/>
        <v>0</v>
      </c>
      <c r="II22" s="77">
        <f t="shared" si="111"/>
        <v>0</v>
      </c>
      <c r="IJ22" s="77">
        <f t="shared" si="111"/>
        <v>0</v>
      </c>
      <c r="IK22" s="77">
        <f t="shared" si="111"/>
        <v>0</v>
      </c>
      <c r="IL22" s="77">
        <f t="shared" si="111"/>
        <v>0</v>
      </c>
      <c r="IM22" s="77">
        <f t="shared" si="111"/>
        <v>0</v>
      </c>
      <c r="IN22" s="77">
        <f t="shared" si="111"/>
        <v>0</v>
      </c>
      <c r="IO22" s="77">
        <f t="shared" si="111"/>
        <v>0</v>
      </c>
      <c r="IP22" s="77">
        <f t="shared" si="111"/>
        <v>0</v>
      </c>
      <c r="IQ22" s="77">
        <f t="shared" si="111"/>
        <v>0</v>
      </c>
      <c r="IR22" s="77">
        <f t="shared" si="111"/>
        <v>0</v>
      </c>
      <c r="IS22" s="77">
        <f t="shared" si="111"/>
        <v>0</v>
      </c>
      <c r="IT22" s="77">
        <f t="shared" si="111"/>
        <v>0</v>
      </c>
      <c r="IU22" s="77">
        <f t="shared" si="111"/>
        <v>0</v>
      </c>
      <c r="IV22" s="77">
        <f t="shared" si="111"/>
        <v>0</v>
      </c>
      <c r="IW22" s="77">
        <f t="shared" ref="IW22:JL26" si="112">AND(IW$14&gt;=$GU22,IW$14&lt;=$GV22)*((_xlfn.NORM.DIST(IW$14-$GU22+1,$GW22/2,$GX22,TRUE)-_xlfn.NORM.DIST(IW$14-$GU22,$GW22/2,$GX22,TRUE))/(1-2*_xlfn.NORM.DIST(0,$GW22/2,$GX22,TRUE))*$GT22)</f>
        <v>0</v>
      </c>
      <c r="IX22" s="77">
        <f t="shared" si="112"/>
        <v>0</v>
      </c>
      <c r="IY22" s="77">
        <f t="shared" si="112"/>
        <v>0</v>
      </c>
      <c r="IZ22" s="77">
        <f t="shared" si="112"/>
        <v>0</v>
      </c>
      <c r="JA22" s="77">
        <f t="shared" si="112"/>
        <v>0</v>
      </c>
      <c r="JB22" s="77">
        <f t="shared" si="112"/>
        <v>0</v>
      </c>
      <c r="JC22" s="77">
        <f t="shared" si="112"/>
        <v>0</v>
      </c>
      <c r="JD22" s="77">
        <f t="shared" si="112"/>
        <v>0</v>
      </c>
      <c r="JE22" s="77">
        <f t="shared" si="112"/>
        <v>0</v>
      </c>
      <c r="JF22" s="77">
        <f t="shared" si="112"/>
        <v>0</v>
      </c>
      <c r="JG22" s="77">
        <f t="shared" si="112"/>
        <v>0</v>
      </c>
      <c r="JH22" s="77">
        <f t="shared" si="112"/>
        <v>0</v>
      </c>
      <c r="JI22" s="77">
        <f t="shared" si="112"/>
        <v>0</v>
      </c>
      <c r="JJ22" s="77">
        <f t="shared" si="112"/>
        <v>0</v>
      </c>
      <c r="JK22" s="77">
        <f t="shared" si="112"/>
        <v>0</v>
      </c>
      <c r="JL22" s="77">
        <f t="shared" si="112"/>
        <v>0</v>
      </c>
      <c r="JM22" s="77">
        <f t="shared" ref="JM22:KB26" si="113">AND(JM$14&gt;=$GU22,JM$14&lt;=$GV22)*((_xlfn.NORM.DIST(JM$14-$GU22+1,$GW22/2,$GX22,TRUE)-_xlfn.NORM.DIST(JM$14-$GU22,$GW22/2,$GX22,TRUE))/(1-2*_xlfn.NORM.DIST(0,$GW22/2,$GX22,TRUE))*$GT22)</f>
        <v>0</v>
      </c>
      <c r="JN22" s="77">
        <f t="shared" si="113"/>
        <v>0</v>
      </c>
      <c r="JO22" s="77">
        <f t="shared" si="113"/>
        <v>0</v>
      </c>
      <c r="JP22" s="77">
        <f t="shared" si="113"/>
        <v>0</v>
      </c>
      <c r="JQ22" s="77">
        <f t="shared" si="113"/>
        <v>0</v>
      </c>
      <c r="JR22" s="77">
        <f t="shared" si="113"/>
        <v>0</v>
      </c>
      <c r="JS22" s="77">
        <f t="shared" si="113"/>
        <v>0</v>
      </c>
      <c r="JT22" s="77">
        <f t="shared" si="113"/>
        <v>0</v>
      </c>
      <c r="JU22" s="77">
        <f t="shared" si="113"/>
        <v>0</v>
      </c>
      <c r="JV22" s="77">
        <f t="shared" si="113"/>
        <v>0</v>
      </c>
      <c r="JW22" s="77">
        <f t="shared" si="113"/>
        <v>0</v>
      </c>
      <c r="JX22" s="77">
        <f t="shared" si="113"/>
        <v>0</v>
      </c>
      <c r="JY22" s="77">
        <f t="shared" si="113"/>
        <v>0</v>
      </c>
      <c r="JZ22" s="77">
        <f t="shared" si="113"/>
        <v>0</v>
      </c>
      <c r="KA22" s="77">
        <f t="shared" si="113"/>
        <v>0</v>
      </c>
      <c r="KB22" s="77">
        <f t="shared" si="113"/>
        <v>0</v>
      </c>
      <c r="KC22" s="77">
        <f t="shared" ref="KC22:KR26" si="114">AND(KC$14&gt;=$GU22,KC$14&lt;=$GV22)*((_xlfn.NORM.DIST(KC$14-$GU22+1,$GW22/2,$GX22,TRUE)-_xlfn.NORM.DIST(KC$14-$GU22,$GW22/2,$GX22,TRUE))/(1-2*_xlfn.NORM.DIST(0,$GW22/2,$GX22,TRUE))*$GT22)</f>
        <v>0</v>
      </c>
      <c r="KD22" s="77">
        <f t="shared" si="114"/>
        <v>0</v>
      </c>
      <c r="KE22" s="77">
        <f t="shared" si="114"/>
        <v>0</v>
      </c>
      <c r="KF22" s="77">
        <f t="shared" si="114"/>
        <v>0</v>
      </c>
      <c r="KG22" s="77">
        <f t="shared" si="114"/>
        <v>0</v>
      </c>
      <c r="KH22" s="77">
        <f t="shared" si="114"/>
        <v>0</v>
      </c>
      <c r="KI22" s="77">
        <f t="shared" si="114"/>
        <v>0</v>
      </c>
      <c r="KJ22" s="77">
        <f t="shared" si="114"/>
        <v>0</v>
      </c>
      <c r="KK22" s="77">
        <f t="shared" si="114"/>
        <v>0</v>
      </c>
      <c r="KL22" s="77">
        <f t="shared" si="114"/>
        <v>0</v>
      </c>
      <c r="KM22" s="77">
        <f t="shared" si="114"/>
        <v>0</v>
      </c>
      <c r="KN22" s="77">
        <f t="shared" si="114"/>
        <v>0</v>
      </c>
      <c r="KO22" s="77">
        <f t="shared" si="114"/>
        <v>0</v>
      </c>
      <c r="KP22" s="77">
        <f t="shared" si="114"/>
        <v>0</v>
      </c>
      <c r="KQ22" s="77">
        <f t="shared" si="114"/>
        <v>0</v>
      </c>
      <c r="KR22" s="77">
        <f t="shared" si="114"/>
        <v>0</v>
      </c>
      <c r="KS22" s="77">
        <f t="shared" ref="KS22:LH26" si="115">AND(KS$14&gt;=$GU22,KS$14&lt;=$GV22)*((_xlfn.NORM.DIST(KS$14-$GU22+1,$GW22/2,$GX22,TRUE)-_xlfn.NORM.DIST(KS$14-$GU22,$GW22/2,$GX22,TRUE))/(1-2*_xlfn.NORM.DIST(0,$GW22/2,$GX22,TRUE))*$GT22)</f>
        <v>0</v>
      </c>
      <c r="KT22" s="77">
        <f t="shared" si="115"/>
        <v>0</v>
      </c>
      <c r="KU22" s="77">
        <f t="shared" si="115"/>
        <v>0</v>
      </c>
      <c r="KV22" s="77">
        <f t="shared" si="115"/>
        <v>0</v>
      </c>
      <c r="KW22" s="77">
        <f t="shared" si="115"/>
        <v>0</v>
      </c>
      <c r="KX22" s="77">
        <f t="shared" si="115"/>
        <v>0</v>
      </c>
      <c r="KY22" s="77">
        <f t="shared" si="115"/>
        <v>0</v>
      </c>
      <c r="KZ22" s="77">
        <f t="shared" si="115"/>
        <v>0</v>
      </c>
      <c r="LA22" s="77">
        <f t="shared" si="115"/>
        <v>0</v>
      </c>
      <c r="LB22" s="77">
        <f t="shared" si="115"/>
        <v>0</v>
      </c>
      <c r="LC22" s="77">
        <f t="shared" si="115"/>
        <v>0</v>
      </c>
      <c r="LD22" s="77">
        <f t="shared" si="115"/>
        <v>0</v>
      </c>
      <c r="LE22" s="77">
        <f t="shared" si="115"/>
        <v>0</v>
      </c>
      <c r="LF22" s="77">
        <f t="shared" si="115"/>
        <v>0</v>
      </c>
      <c r="LG22" s="77">
        <f t="shared" si="115"/>
        <v>0</v>
      </c>
      <c r="LH22" s="77">
        <f t="shared" si="115"/>
        <v>0</v>
      </c>
      <c r="LI22" s="77">
        <f t="shared" ref="LI22:LX26" si="116">AND(LI$14&gt;=$GU22,LI$14&lt;=$GV22)*((_xlfn.NORM.DIST(LI$14-$GU22+1,$GW22/2,$GX22,TRUE)-_xlfn.NORM.DIST(LI$14-$GU22,$GW22/2,$GX22,TRUE))/(1-2*_xlfn.NORM.DIST(0,$GW22/2,$GX22,TRUE))*$GT22)</f>
        <v>0</v>
      </c>
      <c r="LJ22" s="77">
        <f t="shared" si="116"/>
        <v>0</v>
      </c>
      <c r="LK22" s="77">
        <f t="shared" si="116"/>
        <v>0</v>
      </c>
      <c r="LL22" s="77">
        <f t="shared" si="116"/>
        <v>0</v>
      </c>
      <c r="LM22" s="77">
        <f t="shared" si="116"/>
        <v>0</v>
      </c>
      <c r="LN22" s="77">
        <f t="shared" si="116"/>
        <v>0</v>
      </c>
      <c r="LO22" s="77">
        <f t="shared" si="116"/>
        <v>0</v>
      </c>
      <c r="LP22" s="77">
        <f t="shared" si="116"/>
        <v>0</v>
      </c>
      <c r="LQ22" s="77">
        <f t="shared" si="116"/>
        <v>0</v>
      </c>
      <c r="LR22" s="77">
        <f t="shared" si="116"/>
        <v>0</v>
      </c>
      <c r="LS22" s="77">
        <f t="shared" si="116"/>
        <v>0</v>
      </c>
      <c r="LT22" s="77">
        <f t="shared" si="116"/>
        <v>0</v>
      </c>
      <c r="LU22" s="77">
        <f t="shared" si="116"/>
        <v>0</v>
      </c>
      <c r="LV22" s="77">
        <f t="shared" si="116"/>
        <v>0</v>
      </c>
      <c r="LW22" s="77">
        <f t="shared" si="116"/>
        <v>0</v>
      </c>
      <c r="LX22" s="77">
        <f t="shared" si="116"/>
        <v>0</v>
      </c>
      <c r="LY22" s="77">
        <f t="shared" ref="LY22:MN26" si="117">AND(LY$14&gt;=$GU22,LY$14&lt;=$GV22)*((_xlfn.NORM.DIST(LY$14-$GU22+1,$GW22/2,$GX22,TRUE)-_xlfn.NORM.DIST(LY$14-$GU22,$GW22/2,$GX22,TRUE))/(1-2*_xlfn.NORM.DIST(0,$GW22/2,$GX22,TRUE))*$GT22)</f>
        <v>0</v>
      </c>
      <c r="LZ22" s="77">
        <f t="shared" si="117"/>
        <v>0</v>
      </c>
      <c r="MA22" s="77">
        <f t="shared" si="117"/>
        <v>0</v>
      </c>
      <c r="MB22" s="77">
        <f t="shared" si="117"/>
        <v>0</v>
      </c>
      <c r="MC22" s="77">
        <f t="shared" si="117"/>
        <v>0</v>
      </c>
      <c r="MD22" s="77">
        <f t="shared" si="117"/>
        <v>0</v>
      </c>
      <c r="ME22" s="77">
        <f t="shared" si="117"/>
        <v>0</v>
      </c>
      <c r="MF22" s="77">
        <f t="shared" si="117"/>
        <v>0</v>
      </c>
      <c r="MG22" s="77">
        <f t="shared" si="117"/>
        <v>0</v>
      </c>
      <c r="MH22" s="77">
        <f t="shared" si="117"/>
        <v>0</v>
      </c>
      <c r="MI22" s="77">
        <f t="shared" si="117"/>
        <v>0</v>
      </c>
      <c r="MJ22" s="77">
        <f t="shared" si="117"/>
        <v>0</v>
      </c>
      <c r="MK22" s="77">
        <f t="shared" si="117"/>
        <v>0</v>
      </c>
      <c r="ML22" s="77">
        <f t="shared" si="117"/>
        <v>0</v>
      </c>
      <c r="MM22" s="77">
        <f t="shared" si="117"/>
        <v>0</v>
      </c>
      <c r="MN22" s="77">
        <f t="shared" si="117"/>
        <v>0</v>
      </c>
      <c r="MO22" s="77">
        <f t="shared" ref="MO22:ND26" si="118">AND(MO$14&gt;=$GU22,MO$14&lt;=$GV22)*((_xlfn.NORM.DIST(MO$14-$GU22+1,$GW22/2,$GX22,TRUE)-_xlfn.NORM.DIST(MO$14-$GU22,$GW22/2,$GX22,TRUE))/(1-2*_xlfn.NORM.DIST(0,$GW22/2,$GX22,TRUE))*$GT22)</f>
        <v>0</v>
      </c>
      <c r="MP22" s="77">
        <f t="shared" si="118"/>
        <v>0</v>
      </c>
      <c r="MQ22" s="77">
        <f t="shared" si="118"/>
        <v>0</v>
      </c>
      <c r="MR22" s="77">
        <f t="shared" si="118"/>
        <v>0</v>
      </c>
      <c r="MS22" s="77">
        <f t="shared" si="118"/>
        <v>0</v>
      </c>
      <c r="MT22" s="77">
        <f t="shared" si="118"/>
        <v>0</v>
      </c>
      <c r="MU22" s="77">
        <f t="shared" si="118"/>
        <v>0</v>
      </c>
      <c r="MV22" s="77">
        <f t="shared" si="118"/>
        <v>0</v>
      </c>
      <c r="MW22" s="77">
        <f t="shared" si="118"/>
        <v>0</v>
      </c>
      <c r="MX22" s="77">
        <f t="shared" si="118"/>
        <v>0</v>
      </c>
      <c r="MY22" s="77">
        <f t="shared" si="118"/>
        <v>0</v>
      </c>
      <c r="MZ22" s="77">
        <f t="shared" si="118"/>
        <v>0</v>
      </c>
      <c r="NA22" s="77">
        <f t="shared" si="118"/>
        <v>0</v>
      </c>
      <c r="NB22" s="77">
        <f t="shared" si="118"/>
        <v>0</v>
      </c>
      <c r="NC22" s="77">
        <f t="shared" si="118"/>
        <v>0</v>
      </c>
      <c r="ND22" s="77">
        <f t="shared" si="118"/>
        <v>0</v>
      </c>
      <c r="NE22" s="77">
        <f t="shared" ref="NE22:NT26" si="119">AND(NE$14&gt;=$GU22,NE$14&lt;=$GV22)*((_xlfn.NORM.DIST(NE$14-$GU22+1,$GW22/2,$GX22,TRUE)-_xlfn.NORM.DIST(NE$14-$GU22,$GW22/2,$GX22,TRUE))/(1-2*_xlfn.NORM.DIST(0,$GW22/2,$GX22,TRUE))*$GT22)</f>
        <v>0</v>
      </c>
      <c r="NF22" s="77">
        <f t="shared" si="119"/>
        <v>0</v>
      </c>
      <c r="NG22" s="77">
        <f t="shared" si="119"/>
        <v>0</v>
      </c>
      <c r="NH22" s="77">
        <f t="shared" si="119"/>
        <v>0</v>
      </c>
      <c r="NI22" s="77">
        <f t="shared" si="119"/>
        <v>0</v>
      </c>
      <c r="NJ22" s="77">
        <f t="shared" si="119"/>
        <v>0</v>
      </c>
      <c r="NK22" s="77">
        <f t="shared" si="119"/>
        <v>0</v>
      </c>
      <c r="NL22" s="77">
        <f t="shared" si="119"/>
        <v>0</v>
      </c>
      <c r="NM22" s="77">
        <f t="shared" si="119"/>
        <v>0</v>
      </c>
      <c r="NN22" s="77">
        <f t="shared" si="119"/>
        <v>0</v>
      </c>
      <c r="NO22" s="77">
        <f t="shared" si="119"/>
        <v>0</v>
      </c>
      <c r="NP22" s="77">
        <f t="shared" si="119"/>
        <v>0</v>
      </c>
      <c r="NQ22" s="77">
        <f t="shared" si="119"/>
        <v>0</v>
      </c>
      <c r="NR22" s="77">
        <f t="shared" si="119"/>
        <v>0</v>
      </c>
      <c r="NS22" s="77">
        <f t="shared" si="119"/>
        <v>0</v>
      </c>
      <c r="NT22" s="77">
        <f t="shared" si="119"/>
        <v>0</v>
      </c>
      <c r="NU22" s="77">
        <f t="shared" ref="NU22:NW26" si="120">AND(NU$14&gt;=$GU22,NU$14&lt;=$GV22)*((_xlfn.NORM.DIST(NU$14-$GU22+1,$GW22/2,$GX22,TRUE)-_xlfn.NORM.DIST(NU$14-$GU22,$GW22/2,$GX22,TRUE))/(1-2*_xlfn.NORM.DIST(0,$GW22/2,$GX22,TRUE))*$GT22)</f>
        <v>0</v>
      </c>
      <c r="NV22" s="77">
        <f t="shared" si="120"/>
        <v>0</v>
      </c>
      <c r="NW22" s="77">
        <f t="shared" si="120"/>
        <v>0</v>
      </c>
      <c r="NX22" s="10"/>
    </row>
    <row r="23" spans="2:388" x14ac:dyDescent="0.3">
      <c r="B23" s="26" t="s">
        <v>204</v>
      </c>
      <c r="C23" s="18"/>
      <c r="D23" s="19"/>
      <c r="E23" s="27">
        <v>6</v>
      </c>
      <c r="F23" s="27">
        <v>12</v>
      </c>
      <c r="G23" s="21"/>
      <c r="H23" s="28">
        <f t="shared" si="82"/>
        <v>7</v>
      </c>
      <c r="I23" s="21" t="s">
        <v>202</v>
      </c>
      <c r="J23" s="23">
        <f t="shared" si="83"/>
        <v>0</v>
      </c>
      <c r="K23" s="29">
        <f t="shared" si="84"/>
        <v>0</v>
      </c>
      <c r="L23" s="30"/>
      <c r="N23" s="9" t="s">
        <v>205</v>
      </c>
      <c r="S23" s="69" t="str">
        <f t="shared" si="85"/>
        <v>OK</v>
      </c>
      <c r="T23" s="16">
        <f t="shared" si="86"/>
        <v>0</v>
      </c>
      <c r="U23" s="16">
        <f t="shared" si="86"/>
        <v>0</v>
      </c>
      <c r="V23" s="16">
        <f t="shared" si="86"/>
        <v>0</v>
      </c>
      <c r="W23" s="16">
        <f t="shared" si="86"/>
        <v>0</v>
      </c>
      <c r="X23" s="16">
        <f t="shared" si="86"/>
        <v>0</v>
      </c>
      <c r="Y23" s="16">
        <f t="shared" si="86"/>
        <v>0</v>
      </c>
      <c r="Z23" s="16">
        <f t="shared" si="86"/>
        <v>0</v>
      </c>
      <c r="AA23" s="16">
        <f t="shared" si="86"/>
        <v>0</v>
      </c>
      <c r="AB23" s="16">
        <f t="shared" si="86"/>
        <v>0</v>
      </c>
      <c r="AC23" s="16">
        <f t="shared" si="86"/>
        <v>0</v>
      </c>
      <c r="AD23" s="16">
        <f t="shared" si="87"/>
        <v>0</v>
      </c>
      <c r="AE23" s="16">
        <f t="shared" si="87"/>
        <v>0</v>
      </c>
      <c r="AF23" s="16">
        <f t="shared" si="87"/>
        <v>0</v>
      </c>
      <c r="AG23" s="16">
        <f t="shared" si="87"/>
        <v>0</v>
      </c>
      <c r="AH23" s="16">
        <f t="shared" si="87"/>
        <v>0</v>
      </c>
      <c r="AI23" s="16">
        <f t="shared" si="87"/>
        <v>0</v>
      </c>
      <c r="AJ23" s="16">
        <f t="shared" si="87"/>
        <v>0</v>
      </c>
      <c r="AK23" s="16">
        <f t="shared" si="87"/>
        <v>0</v>
      </c>
      <c r="AL23" s="16">
        <f t="shared" si="87"/>
        <v>0</v>
      </c>
      <c r="AM23" s="16">
        <f t="shared" si="87"/>
        <v>0</v>
      </c>
      <c r="AN23" s="16">
        <f t="shared" si="88"/>
        <v>0</v>
      </c>
      <c r="AO23" s="16">
        <f t="shared" si="88"/>
        <v>0</v>
      </c>
      <c r="AP23" s="16">
        <f t="shared" si="88"/>
        <v>0</v>
      </c>
      <c r="AQ23" s="16">
        <f t="shared" si="88"/>
        <v>0</v>
      </c>
      <c r="AR23" s="16">
        <f t="shared" si="88"/>
        <v>0</v>
      </c>
      <c r="AS23" s="16">
        <f t="shared" si="88"/>
        <v>0</v>
      </c>
      <c r="AT23" s="16">
        <f t="shared" si="88"/>
        <v>0</v>
      </c>
      <c r="AU23" s="16">
        <f t="shared" si="88"/>
        <v>0</v>
      </c>
      <c r="AV23" s="16">
        <f t="shared" si="88"/>
        <v>0</v>
      </c>
      <c r="AW23" s="16">
        <f t="shared" si="88"/>
        <v>0</v>
      </c>
      <c r="AX23" s="16">
        <f t="shared" si="89"/>
        <v>0</v>
      </c>
      <c r="AY23" s="16">
        <f t="shared" si="89"/>
        <v>0</v>
      </c>
      <c r="AZ23" s="16">
        <f t="shared" si="89"/>
        <v>0</v>
      </c>
      <c r="BA23" s="16">
        <f t="shared" si="89"/>
        <v>0</v>
      </c>
      <c r="BB23" s="16">
        <f t="shared" si="89"/>
        <v>0</v>
      </c>
      <c r="BC23" s="16">
        <f t="shared" si="89"/>
        <v>0</v>
      </c>
      <c r="BD23" s="16">
        <f t="shared" si="89"/>
        <v>0</v>
      </c>
      <c r="BE23" s="16">
        <f t="shared" si="89"/>
        <v>0</v>
      </c>
      <c r="BF23" s="16">
        <f t="shared" si="89"/>
        <v>0</v>
      </c>
      <c r="BG23" s="16">
        <f t="shared" si="89"/>
        <v>0</v>
      </c>
      <c r="BH23" s="16">
        <f t="shared" si="90"/>
        <v>0</v>
      </c>
      <c r="BI23" s="16">
        <f t="shared" si="90"/>
        <v>0</v>
      </c>
      <c r="BJ23" s="16">
        <f t="shared" si="90"/>
        <v>0</v>
      </c>
      <c r="BK23" s="16">
        <f t="shared" si="90"/>
        <v>0</v>
      </c>
      <c r="BL23" s="16">
        <f t="shared" si="90"/>
        <v>0</v>
      </c>
      <c r="BM23" s="16">
        <f t="shared" si="90"/>
        <v>0</v>
      </c>
      <c r="BN23" s="16">
        <f t="shared" si="90"/>
        <v>0</v>
      </c>
      <c r="BO23" s="16">
        <f t="shared" si="90"/>
        <v>0</v>
      </c>
      <c r="BP23" s="16">
        <f t="shared" si="90"/>
        <v>0</v>
      </c>
      <c r="BQ23" s="16">
        <f t="shared" si="90"/>
        <v>0</v>
      </c>
      <c r="BR23" s="16">
        <f t="shared" si="91"/>
        <v>0</v>
      </c>
      <c r="BS23" s="16">
        <f t="shared" si="91"/>
        <v>0</v>
      </c>
      <c r="BT23" s="16">
        <f t="shared" si="91"/>
        <v>0</v>
      </c>
      <c r="BU23" s="16">
        <f t="shared" si="91"/>
        <v>0</v>
      </c>
      <c r="BV23" s="16">
        <f t="shared" si="91"/>
        <v>0</v>
      </c>
      <c r="BW23" s="16">
        <f t="shared" si="91"/>
        <v>0</v>
      </c>
      <c r="BX23" s="16">
        <f t="shared" si="91"/>
        <v>0</v>
      </c>
      <c r="BY23" s="16">
        <f t="shared" si="91"/>
        <v>0</v>
      </c>
      <c r="BZ23" s="16">
        <f t="shared" si="91"/>
        <v>0</v>
      </c>
      <c r="CA23" s="16">
        <f t="shared" si="91"/>
        <v>0</v>
      </c>
      <c r="CB23" s="16">
        <f t="shared" si="92"/>
        <v>0</v>
      </c>
      <c r="CC23" s="16">
        <f t="shared" si="92"/>
        <v>0</v>
      </c>
      <c r="CD23" s="16">
        <f t="shared" si="92"/>
        <v>0</v>
      </c>
      <c r="CE23" s="16">
        <f t="shared" si="92"/>
        <v>0</v>
      </c>
      <c r="CF23" s="16">
        <f t="shared" si="92"/>
        <v>0</v>
      </c>
      <c r="CG23" s="16">
        <f t="shared" si="92"/>
        <v>0</v>
      </c>
      <c r="CH23" s="16">
        <f t="shared" si="92"/>
        <v>0</v>
      </c>
      <c r="CI23" s="16">
        <f t="shared" si="92"/>
        <v>0</v>
      </c>
      <c r="CJ23" s="16">
        <f t="shared" si="92"/>
        <v>0</v>
      </c>
      <c r="CK23" s="16">
        <f t="shared" si="92"/>
        <v>0</v>
      </c>
      <c r="CL23" s="16">
        <f t="shared" si="93"/>
        <v>0</v>
      </c>
      <c r="CM23" s="16">
        <f t="shared" si="93"/>
        <v>0</v>
      </c>
      <c r="CN23" s="16">
        <f t="shared" si="93"/>
        <v>0</v>
      </c>
      <c r="CO23" s="16">
        <f t="shared" si="93"/>
        <v>0</v>
      </c>
      <c r="CP23" s="16">
        <f t="shared" si="93"/>
        <v>0</v>
      </c>
      <c r="CQ23" s="16">
        <f t="shared" si="93"/>
        <v>0</v>
      </c>
      <c r="CR23" s="16">
        <f t="shared" si="93"/>
        <v>0</v>
      </c>
      <c r="CS23" s="16">
        <f t="shared" si="93"/>
        <v>0</v>
      </c>
      <c r="CT23" s="16">
        <f t="shared" si="93"/>
        <v>0</v>
      </c>
      <c r="CU23" s="16">
        <f t="shared" si="93"/>
        <v>0</v>
      </c>
      <c r="CV23" s="16">
        <f t="shared" si="94"/>
        <v>0</v>
      </c>
      <c r="CW23" s="16">
        <f t="shared" si="94"/>
        <v>0</v>
      </c>
      <c r="CX23" s="16">
        <f t="shared" si="94"/>
        <v>0</v>
      </c>
      <c r="CY23" s="16">
        <f t="shared" si="94"/>
        <v>0</v>
      </c>
      <c r="CZ23" s="16">
        <f t="shared" si="94"/>
        <v>0</v>
      </c>
      <c r="DA23" s="16">
        <f t="shared" si="94"/>
        <v>0</v>
      </c>
      <c r="DB23" s="16">
        <f t="shared" si="94"/>
        <v>0</v>
      </c>
      <c r="DC23" s="16">
        <f t="shared" si="94"/>
        <v>0</v>
      </c>
      <c r="DD23" s="16">
        <f t="shared" si="94"/>
        <v>0</v>
      </c>
      <c r="DE23" s="16">
        <f t="shared" si="94"/>
        <v>0</v>
      </c>
      <c r="DF23" s="16">
        <f t="shared" si="95"/>
        <v>0</v>
      </c>
      <c r="DG23" s="16">
        <f t="shared" si="95"/>
        <v>0</v>
      </c>
      <c r="DH23" s="16">
        <f t="shared" si="95"/>
        <v>0</v>
      </c>
      <c r="DI23" s="16">
        <f t="shared" si="95"/>
        <v>0</v>
      </c>
      <c r="DJ23" s="16">
        <f t="shared" si="95"/>
        <v>0</v>
      </c>
      <c r="DK23" s="16">
        <f t="shared" si="95"/>
        <v>0</v>
      </c>
      <c r="DL23" s="16">
        <f t="shared" si="95"/>
        <v>0</v>
      </c>
      <c r="DM23" s="16">
        <f t="shared" si="95"/>
        <v>0</v>
      </c>
      <c r="DN23" s="16">
        <f t="shared" si="95"/>
        <v>0</v>
      </c>
      <c r="DO23" s="16">
        <f t="shared" si="95"/>
        <v>0</v>
      </c>
      <c r="DP23" s="16">
        <f t="shared" si="96"/>
        <v>0</v>
      </c>
      <c r="DQ23" s="16">
        <f t="shared" si="96"/>
        <v>0</v>
      </c>
      <c r="DR23" s="16">
        <f t="shared" si="96"/>
        <v>0</v>
      </c>
      <c r="DS23" s="16">
        <f t="shared" si="96"/>
        <v>0</v>
      </c>
      <c r="DT23" s="16">
        <f t="shared" si="96"/>
        <v>0</v>
      </c>
      <c r="DU23" s="16">
        <f t="shared" si="96"/>
        <v>0</v>
      </c>
      <c r="DV23" s="16">
        <f t="shared" si="96"/>
        <v>0</v>
      </c>
      <c r="DW23" s="16">
        <f t="shared" si="96"/>
        <v>0</v>
      </c>
      <c r="DX23" s="16">
        <f t="shared" si="96"/>
        <v>0</v>
      </c>
      <c r="DY23" s="16">
        <f t="shared" si="96"/>
        <v>0</v>
      </c>
      <c r="DZ23" s="16">
        <f t="shared" si="97"/>
        <v>0</v>
      </c>
      <c r="EA23" s="16">
        <f t="shared" si="97"/>
        <v>0</v>
      </c>
      <c r="EB23" s="16">
        <f t="shared" si="97"/>
        <v>0</v>
      </c>
      <c r="EC23" s="16">
        <f t="shared" si="97"/>
        <v>0</v>
      </c>
      <c r="ED23" s="16">
        <f t="shared" si="97"/>
        <v>0</v>
      </c>
      <c r="EE23" s="16">
        <f t="shared" si="97"/>
        <v>0</v>
      </c>
      <c r="EF23" s="16">
        <f t="shared" si="97"/>
        <v>0</v>
      </c>
      <c r="EG23" s="16">
        <f t="shared" si="97"/>
        <v>0</v>
      </c>
      <c r="EH23" s="16">
        <f t="shared" si="97"/>
        <v>0</v>
      </c>
      <c r="EI23" s="16">
        <f t="shared" si="97"/>
        <v>0</v>
      </c>
      <c r="EJ23" s="16">
        <f t="shared" si="98"/>
        <v>0</v>
      </c>
      <c r="EK23" s="16">
        <f t="shared" si="98"/>
        <v>0</v>
      </c>
      <c r="EL23" s="16">
        <f t="shared" si="98"/>
        <v>0</v>
      </c>
      <c r="EM23" s="16">
        <f t="shared" si="98"/>
        <v>0</v>
      </c>
      <c r="EN23" s="16">
        <f t="shared" si="98"/>
        <v>0</v>
      </c>
      <c r="EO23" s="16">
        <f t="shared" si="98"/>
        <v>0</v>
      </c>
      <c r="EP23" s="16">
        <f t="shared" si="98"/>
        <v>0</v>
      </c>
      <c r="EQ23" s="16">
        <f t="shared" si="98"/>
        <v>0</v>
      </c>
      <c r="ER23" s="16">
        <f t="shared" si="98"/>
        <v>0</v>
      </c>
      <c r="ES23" s="16">
        <f t="shared" si="98"/>
        <v>0</v>
      </c>
      <c r="ET23" s="16">
        <f t="shared" si="99"/>
        <v>0</v>
      </c>
      <c r="EU23" s="16">
        <f t="shared" si="99"/>
        <v>0</v>
      </c>
      <c r="EV23" s="16">
        <f t="shared" si="99"/>
        <v>0</v>
      </c>
      <c r="EW23" s="16">
        <f t="shared" si="99"/>
        <v>0</v>
      </c>
      <c r="EX23" s="16">
        <f t="shared" si="99"/>
        <v>0</v>
      </c>
      <c r="EY23" s="16">
        <f t="shared" si="99"/>
        <v>0</v>
      </c>
      <c r="EZ23" s="16">
        <f t="shared" si="99"/>
        <v>0</v>
      </c>
      <c r="FA23" s="16">
        <f t="shared" si="99"/>
        <v>0</v>
      </c>
      <c r="FB23" s="16">
        <f t="shared" si="99"/>
        <v>0</v>
      </c>
      <c r="FC23" s="16">
        <f t="shared" si="99"/>
        <v>0</v>
      </c>
      <c r="FD23" s="16">
        <f t="shared" si="100"/>
        <v>0</v>
      </c>
      <c r="FE23" s="16">
        <f t="shared" si="100"/>
        <v>0</v>
      </c>
      <c r="FF23" s="16">
        <f t="shared" si="100"/>
        <v>0</v>
      </c>
      <c r="FG23" s="16">
        <f t="shared" si="100"/>
        <v>0</v>
      </c>
      <c r="FH23" s="16">
        <f t="shared" si="100"/>
        <v>0</v>
      </c>
      <c r="FI23" s="16">
        <f t="shared" si="100"/>
        <v>0</v>
      </c>
      <c r="FJ23" s="16">
        <f t="shared" si="100"/>
        <v>0</v>
      </c>
      <c r="FK23" s="16">
        <f t="shared" si="100"/>
        <v>0</v>
      </c>
      <c r="FL23" s="16">
        <f t="shared" si="100"/>
        <v>0</v>
      </c>
      <c r="FM23" s="16">
        <f t="shared" si="100"/>
        <v>0</v>
      </c>
      <c r="FN23" s="16">
        <f t="shared" si="101"/>
        <v>0</v>
      </c>
      <c r="FO23" s="16">
        <f t="shared" si="101"/>
        <v>0</v>
      </c>
      <c r="FP23" s="16">
        <f t="shared" si="101"/>
        <v>0</v>
      </c>
      <c r="FQ23" s="16">
        <f t="shared" si="101"/>
        <v>0</v>
      </c>
      <c r="FR23" s="16">
        <f t="shared" si="101"/>
        <v>0</v>
      </c>
      <c r="FS23" s="16">
        <f t="shared" si="101"/>
        <v>0</v>
      </c>
      <c r="FT23" s="16">
        <f t="shared" si="101"/>
        <v>0</v>
      </c>
      <c r="FU23" s="16">
        <f t="shared" si="101"/>
        <v>0</v>
      </c>
      <c r="FV23" s="16">
        <f t="shared" si="101"/>
        <v>0</v>
      </c>
      <c r="FW23" s="16">
        <f t="shared" si="101"/>
        <v>0</v>
      </c>
      <c r="FX23" s="16">
        <f t="shared" si="102"/>
        <v>0</v>
      </c>
      <c r="FY23" s="16">
        <f t="shared" si="102"/>
        <v>0</v>
      </c>
      <c r="FZ23" s="16">
        <f t="shared" si="102"/>
        <v>0</v>
      </c>
      <c r="GA23" s="16">
        <f t="shared" si="102"/>
        <v>0</v>
      </c>
      <c r="GB23" s="16">
        <f t="shared" si="102"/>
        <v>0</v>
      </c>
      <c r="GC23" s="16">
        <f t="shared" si="102"/>
        <v>0</v>
      </c>
      <c r="GD23" s="16">
        <f t="shared" si="102"/>
        <v>0</v>
      </c>
      <c r="GE23" s="16">
        <f t="shared" si="102"/>
        <v>0</v>
      </c>
      <c r="GF23" s="16">
        <f t="shared" si="102"/>
        <v>0</v>
      </c>
      <c r="GG23" s="16">
        <f t="shared" si="102"/>
        <v>0</v>
      </c>
      <c r="GH23" s="16">
        <f t="shared" si="103"/>
        <v>0</v>
      </c>
      <c r="GI23" s="16">
        <f t="shared" si="103"/>
        <v>0</v>
      </c>
      <c r="GJ23" s="16">
        <f t="shared" si="103"/>
        <v>0</v>
      </c>
      <c r="GK23" s="16">
        <f t="shared" si="103"/>
        <v>0</v>
      </c>
      <c r="GL23" s="16">
        <f t="shared" si="103"/>
        <v>0</v>
      </c>
      <c r="GM23" s="16">
        <f t="shared" si="103"/>
        <v>0</v>
      </c>
      <c r="GN23" s="16">
        <f t="shared" si="103"/>
        <v>0</v>
      </c>
      <c r="GO23" s="16">
        <f t="shared" si="103"/>
        <v>0</v>
      </c>
      <c r="GP23" s="16">
        <f t="shared" si="103"/>
        <v>0</v>
      </c>
      <c r="GQ23" s="16">
        <f t="shared" si="103"/>
        <v>0</v>
      </c>
      <c r="GR23" s="9"/>
      <c r="GS23" s="70" t="str">
        <f t="shared" si="77"/>
        <v>Phase II Construction Costs(Horizontal)</v>
      </c>
      <c r="GT23" s="77">
        <f t="shared" si="104"/>
        <v>0</v>
      </c>
      <c r="GU23" s="78">
        <f t="shared" si="78"/>
        <v>6</v>
      </c>
      <c r="GV23" s="78">
        <f t="shared" si="78"/>
        <v>12</v>
      </c>
      <c r="GW23" s="78">
        <f t="shared" si="105"/>
        <v>7</v>
      </c>
      <c r="GX23" s="79">
        <f t="shared" si="106"/>
        <v>1.1666666666666667</v>
      </c>
      <c r="GY23" s="79" t="b">
        <f t="shared" si="107"/>
        <v>1</v>
      </c>
      <c r="GZ23" s="77">
        <f t="shared" si="108"/>
        <v>0</v>
      </c>
      <c r="HA23" s="77">
        <f t="shared" si="109"/>
        <v>0</v>
      </c>
      <c r="HB23" s="77">
        <f t="shared" si="109"/>
        <v>0</v>
      </c>
      <c r="HC23" s="77">
        <f t="shared" si="109"/>
        <v>0</v>
      </c>
      <c r="HD23" s="77">
        <f t="shared" si="109"/>
        <v>0</v>
      </c>
      <c r="HE23" s="77">
        <f t="shared" si="109"/>
        <v>0</v>
      </c>
      <c r="HF23" s="77">
        <f t="shared" si="109"/>
        <v>0</v>
      </c>
      <c r="HG23" s="77">
        <f t="shared" si="109"/>
        <v>0</v>
      </c>
      <c r="HH23" s="77">
        <f t="shared" si="109"/>
        <v>0</v>
      </c>
      <c r="HI23" s="77">
        <f t="shared" si="109"/>
        <v>0</v>
      </c>
      <c r="HJ23" s="77">
        <f t="shared" si="109"/>
        <v>0</v>
      </c>
      <c r="HK23" s="77">
        <f t="shared" si="109"/>
        <v>0</v>
      </c>
      <c r="HL23" s="77">
        <f t="shared" si="109"/>
        <v>0</v>
      </c>
      <c r="HM23" s="77">
        <f t="shared" si="109"/>
        <v>0</v>
      </c>
      <c r="HN23" s="77">
        <f t="shared" si="109"/>
        <v>0</v>
      </c>
      <c r="HO23" s="77">
        <f t="shared" si="109"/>
        <v>0</v>
      </c>
      <c r="HP23" s="77">
        <f t="shared" si="109"/>
        <v>0</v>
      </c>
      <c r="HQ23" s="77">
        <f t="shared" si="110"/>
        <v>0</v>
      </c>
      <c r="HR23" s="77">
        <f t="shared" si="110"/>
        <v>0</v>
      </c>
      <c r="HS23" s="77">
        <f t="shared" si="110"/>
        <v>0</v>
      </c>
      <c r="HT23" s="77">
        <f t="shared" si="110"/>
        <v>0</v>
      </c>
      <c r="HU23" s="77">
        <f t="shared" si="110"/>
        <v>0</v>
      </c>
      <c r="HV23" s="77">
        <f t="shared" si="110"/>
        <v>0</v>
      </c>
      <c r="HW23" s="77">
        <f t="shared" si="110"/>
        <v>0</v>
      </c>
      <c r="HX23" s="77">
        <f t="shared" si="110"/>
        <v>0</v>
      </c>
      <c r="HY23" s="77">
        <f t="shared" si="110"/>
        <v>0</v>
      </c>
      <c r="HZ23" s="77">
        <f t="shared" si="110"/>
        <v>0</v>
      </c>
      <c r="IA23" s="77">
        <f t="shared" si="110"/>
        <v>0</v>
      </c>
      <c r="IB23" s="77">
        <f t="shared" si="110"/>
        <v>0</v>
      </c>
      <c r="IC23" s="77">
        <f t="shared" si="110"/>
        <v>0</v>
      </c>
      <c r="ID23" s="77">
        <f t="shared" si="110"/>
        <v>0</v>
      </c>
      <c r="IE23" s="77">
        <f t="shared" si="110"/>
        <v>0</v>
      </c>
      <c r="IF23" s="77">
        <f t="shared" si="110"/>
        <v>0</v>
      </c>
      <c r="IG23" s="77">
        <f t="shared" si="111"/>
        <v>0</v>
      </c>
      <c r="IH23" s="77">
        <f t="shared" si="111"/>
        <v>0</v>
      </c>
      <c r="II23" s="77">
        <f t="shared" si="111"/>
        <v>0</v>
      </c>
      <c r="IJ23" s="77">
        <f t="shared" si="111"/>
        <v>0</v>
      </c>
      <c r="IK23" s="77">
        <f t="shared" si="111"/>
        <v>0</v>
      </c>
      <c r="IL23" s="77">
        <f t="shared" si="111"/>
        <v>0</v>
      </c>
      <c r="IM23" s="77">
        <f t="shared" si="111"/>
        <v>0</v>
      </c>
      <c r="IN23" s="77">
        <f t="shared" si="111"/>
        <v>0</v>
      </c>
      <c r="IO23" s="77">
        <f t="shared" si="111"/>
        <v>0</v>
      </c>
      <c r="IP23" s="77">
        <f t="shared" si="111"/>
        <v>0</v>
      </c>
      <c r="IQ23" s="77">
        <f t="shared" si="111"/>
        <v>0</v>
      </c>
      <c r="IR23" s="77">
        <f t="shared" si="111"/>
        <v>0</v>
      </c>
      <c r="IS23" s="77">
        <f t="shared" si="111"/>
        <v>0</v>
      </c>
      <c r="IT23" s="77">
        <f t="shared" si="111"/>
        <v>0</v>
      </c>
      <c r="IU23" s="77">
        <f t="shared" si="111"/>
        <v>0</v>
      </c>
      <c r="IV23" s="77">
        <f t="shared" si="111"/>
        <v>0</v>
      </c>
      <c r="IW23" s="77">
        <f t="shared" si="112"/>
        <v>0</v>
      </c>
      <c r="IX23" s="77">
        <f t="shared" si="112"/>
        <v>0</v>
      </c>
      <c r="IY23" s="77">
        <f t="shared" si="112"/>
        <v>0</v>
      </c>
      <c r="IZ23" s="77">
        <f t="shared" si="112"/>
        <v>0</v>
      </c>
      <c r="JA23" s="77">
        <f t="shared" si="112"/>
        <v>0</v>
      </c>
      <c r="JB23" s="77">
        <f t="shared" si="112"/>
        <v>0</v>
      </c>
      <c r="JC23" s="77">
        <f t="shared" si="112"/>
        <v>0</v>
      </c>
      <c r="JD23" s="77">
        <f t="shared" si="112"/>
        <v>0</v>
      </c>
      <c r="JE23" s="77">
        <f t="shared" si="112"/>
        <v>0</v>
      </c>
      <c r="JF23" s="77">
        <f t="shared" si="112"/>
        <v>0</v>
      </c>
      <c r="JG23" s="77">
        <f t="shared" si="112"/>
        <v>0</v>
      </c>
      <c r="JH23" s="77">
        <f t="shared" si="112"/>
        <v>0</v>
      </c>
      <c r="JI23" s="77">
        <f t="shared" si="112"/>
        <v>0</v>
      </c>
      <c r="JJ23" s="77">
        <f t="shared" si="112"/>
        <v>0</v>
      </c>
      <c r="JK23" s="77">
        <f t="shared" si="112"/>
        <v>0</v>
      </c>
      <c r="JL23" s="77">
        <f t="shared" si="112"/>
        <v>0</v>
      </c>
      <c r="JM23" s="77">
        <f t="shared" si="113"/>
        <v>0</v>
      </c>
      <c r="JN23" s="77">
        <f t="shared" si="113"/>
        <v>0</v>
      </c>
      <c r="JO23" s="77">
        <f t="shared" si="113"/>
        <v>0</v>
      </c>
      <c r="JP23" s="77">
        <f t="shared" si="113"/>
        <v>0</v>
      </c>
      <c r="JQ23" s="77">
        <f t="shared" si="113"/>
        <v>0</v>
      </c>
      <c r="JR23" s="77">
        <f t="shared" si="113"/>
        <v>0</v>
      </c>
      <c r="JS23" s="77">
        <f t="shared" si="113"/>
        <v>0</v>
      </c>
      <c r="JT23" s="77">
        <f t="shared" si="113"/>
        <v>0</v>
      </c>
      <c r="JU23" s="77">
        <f t="shared" si="113"/>
        <v>0</v>
      </c>
      <c r="JV23" s="77">
        <f t="shared" si="113"/>
        <v>0</v>
      </c>
      <c r="JW23" s="77">
        <f t="shared" si="113"/>
        <v>0</v>
      </c>
      <c r="JX23" s="77">
        <f t="shared" si="113"/>
        <v>0</v>
      </c>
      <c r="JY23" s="77">
        <f t="shared" si="113"/>
        <v>0</v>
      </c>
      <c r="JZ23" s="77">
        <f t="shared" si="113"/>
        <v>0</v>
      </c>
      <c r="KA23" s="77">
        <f t="shared" si="113"/>
        <v>0</v>
      </c>
      <c r="KB23" s="77">
        <f t="shared" si="113"/>
        <v>0</v>
      </c>
      <c r="KC23" s="77">
        <f t="shared" si="114"/>
        <v>0</v>
      </c>
      <c r="KD23" s="77">
        <f t="shared" si="114"/>
        <v>0</v>
      </c>
      <c r="KE23" s="77">
        <f t="shared" si="114"/>
        <v>0</v>
      </c>
      <c r="KF23" s="77">
        <f t="shared" si="114"/>
        <v>0</v>
      </c>
      <c r="KG23" s="77">
        <f t="shared" si="114"/>
        <v>0</v>
      </c>
      <c r="KH23" s="77">
        <f t="shared" si="114"/>
        <v>0</v>
      </c>
      <c r="KI23" s="77">
        <f t="shared" si="114"/>
        <v>0</v>
      </c>
      <c r="KJ23" s="77">
        <f t="shared" si="114"/>
        <v>0</v>
      </c>
      <c r="KK23" s="77">
        <f t="shared" si="114"/>
        <v>0</v>
      </c>
      <c r="KL23" s="77">
        <f t="shared" si="114"/>
        <v>0</v>
      </c>
      <c r="KM23" s="77">
        <f t="shared" si="114"/>
        <v>0</v>
      </c>
      <c r="KN23" s="77">
        <f t="shared" si="114"/>
        <v>0</v>
      </c>
      <c r="KO23" s="77">
        <f t="shared" si="114"/>
        <v>0</v>
      </c>
      <c r="KP23" s="77">
        <f t="shared" si="114"/>
        <v>0</v>
      </c>
      <c r="KQ23" s="77">
        <f t="shared" si="114"/>
        <v>0</v>
      </c>
      <c r="KR23" s="77">
        <f t="shared" si="114"/>
        <v>0</v>
      </c>
      <c r="KS23" s="77">
        <f t="shared" si="115"/>
        <v>0</v>
      </c>
      <c r="KT23" s="77">
        <f t="shared" si="115"/>
        <v>0</v>
      </c>
      <c r="KU23" s="77">
        <f t="shared" si="115"/>
        <v>0</v>
      </c>
      <c r="KV23" s="77">
        <f t="shared" si="115"/>
        <v>0</v>
      </c>
      <c r="KW23" s="77">
        <f t="shared" si="115"/>
        <v>0</v>
      </c>
      <c r="KX23" s="77">
        <f t="shared" si="115"/>
        <v>0</v>
      </c>
      <c r="KY23" s="77">
        <f t="shared" si="115"/>
        <v>0</v>
      </c>
      <c r="KZ23" s="77">
        <f t="shared" si="115"/>
        <v>0</v>
      </c>
      <c r="LA23" s="77">
        <f t="shared" si="115"/>
        <v>0</v>
      </c>
      <c r="LB23" s="77">
        <f t="shared" si="115"/>
        <v>0</v>
      </c>
      <c r="LC23" s="77">
        <f t="shared" si="115"/>
        <v>0</v>
      </c>
      <c r="LD23" s="77">
        <f t="shared" si="115"/>
        <v>0</v>
      </c>
      <c r="LE23" s="77">
        <f t="shared" si="115"/>
        <v>0</v>
      </c>
      <c r="LF23" s="77">
        <f t="shared" si="115"/>
        <v>0</v>
      </c>
      <c r="LG23" s="77">
        <f t="shared" si="115"/>
        <v>0</v>
      </c>
      <c r="LH23" s="77">
        <f t="shared" si="115"/>
        <v>0</v>
      </c>
      <c r="LI23" s="77">
        <f t="shared" si="116"/>
        <v>0</v>
      </c>
      <c r="LJ23" s="77">
        <f t="shared" si="116"/>
        <v>0</v>
      </c>
      <c r="LK23" s="77">
        <f t="shared" si="116"/>
        <v>0</v>
      </c>
      <c r="LL23" s="77">
        <f t="shared" si="116"/>
        <v>0</v>
      </c>
      <c r="LM23" s="77">
        <f t="shared" si="116"/>
        <v>0</v>
      </c>
      <c r="LN23" s="77">
        <f t="shared" si="116"/>
        <v>0</v>
      </c>
      <c r="LO23" s="77">
        <f t="shared" si="116"/>
        <v>0</v>
      </c>
      <c r="LP23" s="77">
        <f t="shared" si="116"/>
        <v>0</v>
      </c>
      <c r="LQ23" s="77">
        <f t="shared" si="116"/>
        <v>0</v>
      </c>
      <c r="LR23" s="77">
        <f t="shared" si="116"/>
        <v>0</v>
      </c>
      <c r="LS23" s="77">
        <f t="shared" si="116"/>
        <v>0</v>
      </c>
      <c r="LT23" s="77">
        <f t="shared" si="116"/>
        <v>0</v>
      </c>
      <c r="LU23" s="77">
        <f t="shared" si="116"/>
        <v>0</v>
      </c>
      <c r="LV23" s="77">
        <f t="shared" si="116"/>
        <v>0</v>
      </c>
      <c r="LW23" s="77">
        <f t="shared" si="116"/>
        <v>0</v>
      </c>
      <c r="LX23" s="77">
        <f t="shared" si="116"/>
        <v>0</v>
      </c>
      <c r="LY23" s="77">
        <f t="shared" si="117"/>
        <v>0</v>
      </c>
      <c r="LZ23" s="77">
        <f t="shared" si="117"/>
        <v>0</v>
      </c>
      <c r="MA23" s="77">
        <f t="shared" si="117"/>
        <v>0</v>
      </c>
      <c r="MB23" s="77">
        <f t="shared" si="117"/>
        <v>0</v>
      </c>
      <c r="MC23" s="77">
        <f t="shared" si="117"/>
        <v>0</v>
      </c>
      <c r="MD23" s="77">
        <f t="shared" si="117"/>
        <v>0</v>
      </c>
      <c r="ME23" s="77">
        <f t="shared" si="117"/>
        <v>0</v>
      </c>
      <c r="MF23" s="77">
        <f t="shared" si="117"/>
        <v>0</v>
      </c>
      <c r="MG23" s="77">
        <f t="shared" si="117"/>
        <v>0</v>
      </c>
      <c r="MH23" s="77">
        <f t="shared" si="117"/>
        <v>0</v>
      </c>
      <c r="MI23" s="77">
        <f t="shared" si="117"/>
        <v>0</v>
      </c>
      <c r="MJ23" s="77">
        <f t="shared" si="117"/>
        <v>0</v>
      </c>
      <c r="MK23" s="77">
        <f t="shared" si="117"/>
        <v>0</v>
      </c>
      <c r="ML23" s="77">
        <f t="shared" si="117"/>
        <v>0</v>
      </c>
      <c r="MM23" s="77">
        <f t="shared" si="117"/>
        <v>0</v>
      </c>
      <c r="MN23" s="77">
        <f t="shared" si="117"/>
        <v>0</v>
      </c>
      <c r="MO23" s="77">
        <f t="shared" si="118"/>
        <v>0</v>
      </c>
      <c r="MP23" s="77">
        <f t="shared" si="118"/>
        <v>0</v>
      </c>
      <c r="MQ23" s="77">
        <f t="shared" si="118"/>
        <v>0</v>
      </c>
      <c r="MR23" s="77">
        <f t="shared" si="118"/>
        <v>0</v>
      </c>
      <c r="MS23" s="77">
        <f t="shared" si="118"/>
        <v>0</v>
      </c>
      <c r="MT23" s="77">
        <f t="shared" si="118"/>
        <v>0</v>
      </c>
      <c r="MU23" s="77">
        <f t="shared" si="118"/>
        <v>0</v>
      </c>
      <c r="MV23" s="77">
        <f t="shared" si="118"/>
        <v>0</v>
      </c>
      <c r="MW23" s="77">
        <f t="shared" si="118"/>
        <v>0</v>
      </c>
      <c r="MX23" s="77">
        <f t="shared" si="118"/>
        <v>0</v>
      </c>
      <c r="MY23" s="77">
        <f t="shared" si="118"/>
        <v>0</v>
      </c>
      <c r="MZ23" s="77">
        <f t="shared" si="118"/>
        <v>0</v>
      </c>
      <c r="NA23" s="77">
        <f t="shared" si="118"/>
        <v>0</v>
      </c>
      <c r="NB23" s="77">
        <f t="shared" si="118"/>
        <v>0</v>
      </c>
      <c r="NC23" s="77">
        <f t="shared" si="118"/>
        <v>0</v>
      </c>
      <c r="ND23" s="77">
        <f t="shared" si="118"/>
        <v>0</v>
      </c>
      <c r="NE23" s="77">
        <f t="shared" si="119"/>
        <v>0</v>
      </c>
      <c r="NF23" s="77">
        <f t="shared" si="119"/>
        <v>0</v>
      </c>
      <c r="NG23" s="77">
        <f t="shared" si="119"/>
        <v>0</v>
      </c>
      <c r="NH23" s="77">
        <f t="shared" si="119"/>
        <v>0</v>
      </c>
      <c r="NI23" s="77">
        <f t="shared" si="119"/>
        <v>0</v>
      </c>
      <c r="NJ23" s="77">
        <f t="shared" si="119"/>
        <v>0</v>
      </c>
      <c r="NK23" s="77">
        <f t="shared" si="119"/>
        <v>0</v>
      </c>
      <c r="NL23" s="77">
        <f t="shared" si="119"/>
        <v>0</v>
      </c>
      <c r="NM23" s="77">
        <f t="shared" si="119"/>
        <v>0</v>
      </c>
      <c r="NN23" s="77">
        <f t="shared" si="119"/>
        <v>0</v>
      </c>
      <c r="NO23" s="77">
        <f t="shared" si="119"/>
        <v>0</v>
      </c>
      <c r="NP23" s="77">
        <f t="shared" si="119"/>
        <v>0</v>
      </c>
      <c r="NQ23" s="77">
        <f t="shared" si="119"/>
        <v>0</v>
      </c>
      <c r="NR23" s="77">
        <f t="shared" si="119"/>
        <v>0</v>
      </c>
      <c r="NS23" s="77">
        <f t="shared" si="119"/>
        <v>0</v>
      </c>
      <c r="NT23" s="77">
        <f t="shared" si="119"/>
        <v>0</v>
      </c>
      <c r="NU23" s="77">
        <f t="shared" si="120"/>
        <v>0</v>
      </c>
      <c r="NV23" s="77">
        <f t="shared" si="120"/>
        <v>0</v>
      </c>
      <c r="NW23" s="77">
        <f t="shared" si="120"/>
        <v>0</v>
      </c>
      <c r="NX23" s="10"/>
    </row>
    <row r="24" spans="2:388" x14ac:dyDescent="0.3">
      <c r="B24" s="26" t="s">
        <v>206</v>
      </c>
      <c r="C24" s="18"/>
      <c r="D24" s="19"/>
      <c r="E24" s="27">
        <v>1</v>
      </c>
      <c r="F24" s="27">
        <v>24</v>
      </c>
      <c r="G24" s="21"/>
      <c r="H24" s="28">
        <f t="shared" si="82"/>
        <v>24</v>
      </c>
      <c r="I24" s="21" t="s">
        <v>195</v>
      </c>
      <c r="J24" s="23">
        <f t="shared" si="83"/>
        <v>1185.3260869565217</v>
      </c>
      <c r="K24" s="29">
        <f t="shared" si="84"/>
        <v>0.15668103448275861</v>
      </c>
      <c r="L24" s="30">
        <f>(L22+L23)*5%</f>
        <v>272625</v>
      </c>
      <c r="S24" s="69" t="str">
        <f t="shared" si="85"/>
        <v>OK</v>
      </c>
      <c r="T24" s="16">
        <f t="shared" ref="T24:AC25" si="121">($I24="S-Curve")*GZ24+AND($I24&lt;&gt;"S-Curve",T$14&gt;=$E24,T$14&lt;=$F24)*($L24/$H24)</f>
        <v>11359.375</v>
      </c>
      <c r="U24" s="16">
        <f t="shared" si="121"/>
        <v>11359.375</v>
      </c>
      <c r="V24" s="16">
        <f t="shared" si="121"/>
        <v>11359.375</v>
      </c>
      <c r="W24" s="16">
        <f t="shared" si="121"/>
        <v>11359.375</v>
      </c>
      <c r="X24" s="16">
        <f t="shared" si="121"/>
        <v>11359.375</v>
      </c>
      <c r="Y24" s="16">
        <f t="shared" si="121"/>
        <v>11359.375</v>
      </c>
      <c r="Z24" s="16">
        <f t="shared" si="121"/>
        <v>11359.375</v>
      </c>
      <c r="AA24" s="16">
        <f t="shared" si="121"/>
        <v>11359.375</v>
      </c>
      <c r="AB24" s="16">
        <f t="shared" si="121"/>
        <v>11359.375</v>
      </c>
      <c r="AC24" s="16">
        <f t="shared" si="121"/>
        <v>11359.375</v>
      </c>
      <c r="AD24" s="16">
        <f t="shared" si="87"/>
        <v>11359.375</v>
      </c>
      <c r="AE24" s="16">
        <f t="shared" si="87"/>
        <v>11359.375</v>
      </c>
      <c r="AF24" s="16">
        <f t="shared" si="87"/>
        <v>11359.375</v>
      </c>
      <c r="AG24" s="16">
        <f t="shared" si="87"/>
        <v>11359.375</v>
      </c>
      <c r="AH24" s="16">
        <f t="shared" si="87"/>
        <v>11359.375</v>
      </c>
      <c r="AI24" s="16">
        <f t="shared" si="87"/>
        <v>11359.375</v>
      </c>
      <c r="AJ24" s="16">
        <f t="shared" si="87"/>
        <v>11359.375</v>
      </c>
      <c r="AK24" s="16">
        <f t="shared" si="87"/>
        <v>11359.375</v>
      </c>
      <c r="AL24" s="16">
        <f t="shared" si="87"/>
        <v>11359.375</v>
      </c>
      <c r="AM24" s="16">
        <f t="shared" si="87"/>
        <v>11359.375</v>
      </c>
      <c r="AN24" s="16">
        <f t="shared" si="88"/>
        <v>11359.375</v>
      </c>
      <c r="AO24" s="16">
        <f t="shared" si="88"/>
        <v>11359.375</v>
      </c>
      <c r="AP24" s="16">
        <f t="shared" si="88"/>
        <v>11359.375</v>
      </c>
      <c r="AQ24" s="16">
        <f t="shared" si="88"/>
        <v>11359.375</v>
      </c>
      <c r="AR24" s="16">
        <f t="shared" si="88"/>
        <v>0</v>
      </c>
      <c r="AS24" s="16">
        <f t="shared" si="88"/>
        <v>0</v>
      </c>
      <c r="AT24" s="16">
        <f t="shared" si="88"/>
        <v>0</v>
      </c>
      <c r="AU24" s="16">
        <f t="shared" si="88"/>
        <v>0</v>
      </c>
      <c r="AV24" s="16">
        <f t="shared" si="88"/>
        <v>0</v>
      </c>
      <c r="AW24" s="16">
        <f t="shared" si="88"/>
        <v>0</v>
      </c>
      <c r="AX24" s="16">
        <f t="shared" si="89"/>
        <v>0</v>
      </c>
      <c r="AY24" s="16">
        <f t="shared" si="89"/>
        <v>0</v>
      </c>
      <c r="AZ24" s="16">
        <f t="shared" si="89"/>
        <v>0</v>
      </c>
      <c r="BA24" s="16">
        <f t="shared" si="89"/>
        <v>0</v>
      </c>
      <c r="BB24" s="16">
        <f t="shared" si="89"/>
        <v>0</v>
      </c>
      <c r="BC24" s="16">
        <f t="shared" si="89"/>
        <v>0</v>
      </c>
      <c r="BD24" s="16">
        <f t="shared" si="89"/>
        <v>0</v>
      </c>
      <c r="BE24" s="16">
        <f t="shared" si="89"/>
        <v>0</v>
      </c>
      <c r="BF24" s="16">
        <f t="shared" si="89"/>
        <v>0</v>
      </c>
      <c r="BG24" s="16">
        <f t="shared" si="89"/>
        <v>0</v>
      </c>
      <c r="BH24" s="16">
        <f t="shared" si="90"/>
        <v>0</v>
      </c>
      <c r="BI24" s="16">
        <f t="shared" si="90"/>
        <v>0</v>
      </c>
      <c r="BJ24" s="16">
        <f t="shared" si="90"/>
        <v>0</v>
      </c>
      <c r="BK24" s="16">
        <f t="shared" si="90"/>
        <v>0</v>
      </c>
      <c r="BL24" s="16">
        <f t="shared" si="90"/>
        <v>0</v>
      </c>
      <c r="BM24" s="16">
        <f t="shared" si="90"/>
        <v>0</v>
      </c>
      <c r="BN24" s="16">
        <f t="shared" si="90"/>
        <v>0</v>
      </c>
      <c r="BO24" s="16">
        <f t="shared" si="90"/>
        <v>0</v>
      </c>
      <c r="BP24" s="16">
        <f t="shared" si="90"/>
        <v>0</v>
      </c>
      <c r="BQ24" s="16">
        <f t="shared" si="90"/>
        <v>0</v>
      </c>
      <c r="BR24" s="16">
        <f t="shared" si="91"/>
        <v>0</v>
      </c>
      <c r="BS24" s="16">
        <f t="shared" si="91"/>
        <v>0</v>
      </c>
      <c r="BT24" s="16">
        <f t="shared" si="91"/>
        <v>0</v>
      </c>
      <c r="BU24" s="16">
        <f t="shared" si="91"/>
        <v>0</v>
      </c>
      <c r="BV24" s="16">
        <f t="shared" si="91"/>
        <v>0</v>
      </c>
      <c r="BW24" s="16">
        <f t="shared" si="91"/>
        <v>0</v>
      </c>
      <c r="BX24" s="16">
        <f t="shared" si="91"/>
        <v>0</v>
      </c>
      <c r="BY24" s="16">
        <f t="shared" si="91"/>
        <v>0</v>
      </c>
      <c r="BZ24" s="16">
        <f t="shared" si="91"/>
        <v>0</v>
      </c>
      <c r="CA24" s="16">
        <f t="shared" si="91"/>
        <v>0</v>
      </c>
      <c r="CB24" s="16">
        <f t="shared" si="92"/>
        <v>0</v>
      </c>
      <c r="CC24" s="16">
        <f t="shared" si="92"/>
        <v>0</v>
      </c>
      <c r="CD24" s="16">
        <f t="shared" si="92"/>
        <v>0</v>
      </c>
      <c r="CE24" s="16">
        <f t="shared" si="92"/>
        <v>0</v>
      </c>
      <c r="CF24" s="16">
        <f t="shared" si="92"/>
        <v>0</v>
      </c>
      <c r="CG24" s="16">
        <f t="shared" si="92"/>
        <v>0</v>
      </c>
      <c r="CH24" s="16">
        <f t="shared" si="92"/>
        <v>0</v>
      </c>
      <c r="CI24" s="16">
        <f t="shared" si="92"/>
        <v>0</v>
      </c>
      <c r="CJ24" s="16">
        <f t="shared" si="92"/>
        <v>0</v>
      </c>
      <c r="CK24" s="16">
        <f t="shared" si="92"/>
        <v>0</v>
      </c>
      <c r="CL24" s="16">
        <f t="shared" si="93"/>
        <v>0</v>
      </c>
      <c r="CM24" s="16">
        <f t="shared" si="93"/>
        <v>0</v>
      </c>
      <c r="CN24" s="16">
        <f t="shared" si="93"/>
        <v>0</v>
      </c>
      <c r="CO24" s="16">
        <f t="shared" si="93"/>
        <v>0</v>
      </c>
      <c r="CP24" s="16">
        <f t="shared" si="93"/>
        <v>0</v>
      </c>
      <c r="CQ24" s="16">
        <f t="shared" si="93"/>
        <v>0</v>
      </c>
      <c r="CR24" s="16">
        <f t="shared" si="93"/>
        <v>0</v>
      </c>
      <c r="CS24" s="16">
        <f t="shared" si="93"/>
        <v>0</v>
      </c>
      <c r="CT24" s="16">
        <f t="shared" si="93"/>
        <v>0</v>
      </c>
      <c r="CU24" s="16">
        <f t="shared" si="93"/>
        <v>0</v>
      </c>
      <c r="CV24" s="16">
        <f t="shared" si="94"/>
        <v>0</v>
      </c>
      <c r="CW24" s="16">
        <f t="shared" si="94"/>
        <v>0</v>
      </c>
      <c r="CX24" s="16">
        <f t="shared" si="94"/>
        <v>0</v>
      </c>
      <c r="CY24" s="16">
        <f t="shared" si="94"/>
        <v>0</v>
      </c>
      <c r="CZ24" s="16">
        <f t="shared" si="94"/>
        <v>0</v>
      </c>
      <c r="DA24" s="16">
        <f t="shared" si="94"/>
        <v>0</v>
      </c>
      <c r="DB24" s="16">
        <f t="shared" si="94"/>
        <v>0</v>
      </c>
      <c r="DC24" s="16">
        <f t="shared" si="94"/>
        <v>0</v>
      </c>
      <c r="DD24" s="16">
        <f t="shared" si="94"/>
        <v>0</v>
      </c>
      <c r="DE24" s="16">
        <f t="shared" si="94"/>
        <v>0</v>
      </c>
      <c r="DF24" s="16">
        <f t="shared" si="95"/>
        <v>0</v>
      </c>
      <c r="DG24" s="16">
        <f t="shared" si="95"/>
        <v>0</v>
      </c>
      <c r="DH24" s="16">
        <f t="shared" si="95"/>
        <v>0</v>
      </c>
      <c r="DI24" s="16">
        <f t="shared" si="95"/>
        <v>0</v>
      </c>
      <c r="DJ24" s="16">
        <f t="shared" si="95"/>
        <v>0</v>
      </c>
      <c r="DK24" s="16">
        <f t="shared" si="95"/>
        <v>0</v>
      </c>
      <c r="DL24" s="16">
        <f t="shared" si="95"/>
        <v>0</v>
      </c>
      <c r="DM24" s="16">
        <f t="shared" si="95"/>
        <v>0</v>
      </c>
      <c r="DN24" s="16">
        <f t="shared" si="95"/>
        <v>0</v>
      </c>
      <c r="DO24" s="16">
        <f t="shared" si="95"/>
        <v>0</v>
      </c>
      <c r="DP24" s="16">
        <f t="shared" si="96"/>
        <v>0</v>
      </c>
      <c r="DQ24" s="16">
        <f t="shared" si="96"/>
        <v>0</v>
      </c>
      <c r="DR24" s="16">
        <f t="shared" si="96"/>
        <v>0</v>
      </c>
      <c r="DS24" s="16">
        <f t="shared" si="96"/>
        <v>0</v>
      </c>
      <c r="DT24" s="16">
        <f t="shared" si="96"/>
        <v>0</v>
      </c>
      <c r="DU24" s="16">
        <f t="shared" si="96"/>
        <v>0</v>
      </c>
      <c r="DV24" s="16">
        <f t="shared" si="96"/>
        <v>0</v>
      </c>
      <c r="DW24" s="16">
        <f t="shared" si="96"/>
        <v>0</v>
      </c>
      <c r="DX24" s="16">
        <f t="shared" si="96"/>
        <v>0</v>
      </c>
      <c r="DY24" s="16">
        <f t="shared" si="96"/>
        <v>0</v>
      </c>
      <c r="DZ24" s="16">
        <f t="shared" si="97"/>
        <v>0</v>
      </c>
      <c r="EA24" s="16">
        <f t="shared" si="97"/>
        <v>0</v>
      </c>
      <c r="EB24" s="16">
        <f t="shared" si="97"/>
        <v>0</v>
      </c>
      <c r="EC24" s="16">
        <f t="shared" si="97"/>
        <v>0</v>
      </c>
      <c r="ED24" s="16">
        <f t="shared" si="97"/>
        <v>0</v>
      </c>
      <c r="EE24" s="16">
        <f t="shared" si="97"/>
        <v>0</v>
      </c>
      <c r="EF24" s="16">
        <f t="shared" si="97"/>
        <v>0</v>
      </c>
      <c r="EG24" s="16">
        <f t="shared" si="97"/>
        <v>0</v>
      </c>
      <c r="EH24" s="16">
        <f t="shared" si="97"/>
        <v>0</v>
      </c>
      <c r="EI24" s="16">
        <f t="shared" si="97"/>
        <v>0</v>
      </c>
      <c r="EJ24" s="16">
        <f t="shared" si="98"/>
        <v>0</v>
      </c>
      <c r="EK24" s="16">
        <f t="shared" si="98"/>
        <v>0</v>
      </c>
      <c r="EL24" s="16">
        <f t="shared" si="98"/>
        <v>0</v>
      </c>
      <c r="EM24" s="16">
        <f t="shared" si="98"/>
        <v>0</v>
      </c>
      <c r="EN24" s="16">
        <f t="shared" si="98"/>
        <v>0</v>
      </c>
      <c r="EO24" s="16">
        <f t="shared" si="98"/>
        <v>0</v>
      </c>
      <c r="EP24" s="16">
        <f t="shared" si="98"/>
        <v>0</v>
      </c>
      <c r="EQ24" s="16">
        <f t="shared" si="98"/>
        <v>0</v>
      </c>
      <c r="ER24" s="16">
        <f t="shared" si="98"/>
        <v>0</v>
      </c>
      <c r="ES24" s="16">
        <f t="shared" si="98"/>
        <v>0</v>
      </c>
      <c r="ET24" s="16">
        <f t="shared" si="99"/>
        <v>0</v>
      </c>
      <c r="EU24" s="16">
        <f t="shared" si="99"/>
        <v>0</v>
      </c>
      <c r="EV24" s="16">
        <f t="shared" si="99"/>
        <v>0</v>
      </c>
      <c r="EW24" s="16">
        <f t="shared" si="99"/>
        <v>0</v>
      </c>
      <c r="EX24" s="16">
        <f t="shared" si="99"/>
        <v>0</v>
      </c>
      <c r="EY24" s="16">
        <f t="shared" si="99"/>
        <v>0</v>
      </c>
      <c r="EZ24" s="16">
        <f t="shared" si="99"/>
        <v>0</v>
      </c>
      <c r="FA24" s="16">
        <f t="shared" si="99"/>
        <v>0</v>
      </c>
      <c r="FB24" s="16">
        <f t="shared" si="99"/>
        <v>0</v>
      </c>
      <c r="FC24" s="16">
        <f t="shared" si="99"/>
        <v>0</v>
      </c>
      <c r="FD24" s="16">
        <f t="shared" si="100"/>
        <v>0</v>
      </c>
      <c r="FE24" s="16">
        <f t="shared" si="100"/>
        <v>0</v>
      </c>
      <c r="FF24" s="16">
        <f t="shared" si="100"/>
        <v>0</v>
      </c>
      <c r="FG24" s="16">
        <f t="shared" si="100"/>
        <v>0</v>
      </c>
      <c r="FH24" s="16">
        <f t="shared" si="100"/>
        <v>0</v>
      </c>
      <c r="FI24" s="16">
        <f t="shared" si="100"/>
        <v>0</v>
      </c>
      <c r="FJ24" s="16">
        <f t="shared" si="100"/>
        <v>0</v>
      </c>
      <c r="FK24" s="16">
        <f t="shared" si="100"/>
        <v>0</v>
      </c>
      <c r="FL24" s="16">
        <f t="shared" si="100"/>
        <v>0</v>
      </c>
      <c r="FM24" s="16">
        <f t="shared" si="100"/>
        <v>0</v>
      </c>
      <c r="FN24" s="16">
        <f t="shared" si="101"/>
        <v>0</v>
      </c>
      <c r="FO24" s="16">
        <f t="shared" si="101"/>
        <v>0</v>
      </c>
      <c r="FP24" s="16">
        <f t="shared" si="101"/>
        <v>0</v>
      </c>
      <c r="FQ24" s="16">
        <f t="shared" si="101"/>
        <v>0</v>
      </c>
      <c r="FR24" s="16">
        <f t="shared" si="101"/>
        <v>0</v>
      </c>
      <c r="FS24" s="16">
        <f t="shared" si="101"/>
        <v>0</v>
      </c>
      <c r="FT24" s="16">
        <f t="shared" si="101"/>
        <v>0</v>
      </c>
      <c r="FU24" s="16">
        <f t="shared" si="101"/>
        <v>0</v>
      </c>
      <c r="FV24" s="16">
        <f t="shared" si="101"/>
        <v>0</v>
      </c>
      <c r="FW24" s="16">
        <f t="shared" si="101"/>
        <v>0</v>
      </c>
      <c r="FX24" s="16">
        <f t="shared" si="102"/>
        <v>0</v>
      </c>
      <c r="FY24" s="16">
        <f t="shared" si="102"/>
        <v>0</v>
      </c>
      <c r="FZ24" s="16">
        <f t="shared" si="102"/>
        <v>0</v>
      </c>
      <c r="GA24" s="16">
        <f t="shared" si="102"/>
        <v>0</v>
      </c>
      <c r="GB24" s="16">
        <f t="shared" si="102"/>
        <v>0</v>
      </c>
      <c r="GC24" s="16">
        <f t="shared" si="102"/>
        <v>0</v>
      </c>
      <c r="GD24" s="16">
        <f t="shared" si="102"/>
        <v>0</v>
      </c>
      <c r="GE24" s="16">
        <f t="shared" si="102"/>
        <v>0</v>
      </c>
      <c r="GF24" s="16">
        <f t="shared" si="102"/>
        <v>0</v>
      </c>
      <c r="GG24" s="16">
        <f t="shared" si="102"/>
        <v>0</v>
      </c>
      <c r="GH24" s="16">
        <f t="shared" si="103"/>
        <v>0</v>
      </c>
      <c r="GI24" s="16">
        <f t="shared" si="103"/>
        <v>0</v>
      </c>
      <c r="GJ24" s="16">
        <f t="shared" si="103"/>
        <v>0</v>
      </c>
      <c r="GK24" s="16">
        <f t="shared" si="103"/>
        <v>0</v>
      </c>
      <c r="GL24" s="16">
        <f t="shared" si="103"/>
        <v>0</v>
      </c>
      <c r="GM24" s="16">
        <f t="shared" si="103"/>
        <v>0</v>
      </c>
      <c r="GN24" s="16">
        <f t="shared" si="103"/>
        <v>0</v>
      </c>
      <c r="GO24" s="16">
        <f t="shared" si="103"/>
        <v>0</v>
      </c>
      <c r="GP24" s="16">
        <f t="shared" si="103"/>
        <v>0</v>
      </c>
      <c r="GQ24" s="16">
        <f t="shared" si="103"/>
        <v>0</v>
      </c>
      <c r="GR24" s="9"/>
      <c r="GS24" s="70" t="str">
        <f>B24</f>
        <v xml:space="preserve">Horizontal Contingency </v>
      </c>
      <c r="GT24" s="77">
        <f t="shared" si="104"/>
        <v>272625</v>
      </c>
      <c r="GU24" s="78">
        <f t="shared" si="78"/>
        <v>1</v>
      </c>
      <c r="GV24" s="78">
        <f t="shared" si="78"/>
        <v>24</v>
      </c>
      <c r="GW24" s="78">
        <f t="shared" si="105"/>
        <v>24</v>
      </c>
      <c r="GX24" s="79">
        <f t="shared" si="106"/>
        <v>4</v>
      </c>
      <c r="GY24" s="79" t="b">
        <f t="shared" si="107"/>
        <v>1</v>
      </c>
      <c r="GZ24" s="77">
        <f t="shared" si="108"/>
        <v>445.54488140040445</v>
      </c>
      <c r="HA24" s="77">
        <f t="shared" si="109"/>
        <v>882.93580409096649</v>
      </c>
      <c r="HB24" s="77">
        <f t="shared" si="109"/>
        <v>1644.2259228153691</v>
      </c>
      <c r="HC24" s="77">
        <f t="shared" si="109"/>
        <v>2877.3260583558567</v>
      </c>
      <c r="HD24" s="77">
        <f t="shared" si="109"/>
        <v>4731.647400650797</v>
      </c>
      <c r="HE24" s="77">
        <f t="shared" si="109"/>
        <v>7311.9263158065542</v>
      </c>
      <c r="HF24" s="77">
        <f t="shared" si="109"/>
        <v>10618.123066859103</v>
      </c>
      <c r="HG24" s="77">
        <f t="shared" si="109"/>
        <v>14489.738395815742</v>
      </c>
      <c r="HH24" s="77">
        <f t="shared" si="109"/>
        <v>18581.058407018711</v>
      </c>
      <c r="HI24" s="77">
        <f t="shared" si="109"/>
        <v>22391.216270968445</v>
      </c>
      <c r="HJ24" s="77">
        <f t="shared" si="109"/>
        <v>25356.097758428597</v>
      </c>
      <c r="HK24" s="77">
        <f t="shared" si="109"/>
        <v>26982.659717789455</v>
      </c>
      <c r="HL24" s="77">
        <f t="shared" si="109"/>
        <v>26982.659717789455</v>
      </c>
      <c r="HM24" s="77">
        <f t="shared" si="109"/>
        <v>25356.097758428597</v>
      </c>
      <c r="HN24" s="77">
        <f t="shared" si="109"/>
        <v>22391.216270968431</v>
      </c>
      <c r="HO24" s="77">
        <f t="shared" si="109"/>
        <v>18581.058407018732</v>
      </c>
      <c r="HP24" s="77">
        <f t="shared" si="109"/>
        <v>14489.738395815739</v>
      </c>
      <c r="HQ24" s="77">
        <f t="shared" si="110"/>
        <v>10618.123066859092</v>
      </c>
      <c r="HR24" s="77">
        <f t="shared" si="110"/>
        <v>7311.9263158065578</v>
      </c>
      <c r="HS24" s="77">
        <f t="shared" si="110"/>
        <v>4731.647400650796</v>
      </c>
      <c r="HT24" s="77">
        <f t="shared" si="110"/>
        <v>2877.3260583558681</v>
      </c>
      <c r="HU24" s="77">
        <f t="shared" si="110"/>
        <v>1644.2259228153555</v>
      </c>
      <c r="HV24" s="77">
        <f t="shared" si="110"/>
        <v>882.93580409097342</v>
      </c>
      <c r="HW24" s="77">
        <f t="shared" si="110"/>
        <v>445.54488140040183</v>
      </c>
      <c r="HX24" s="77">
        <f t="shared" si="110"/>
        <v>0</v>
      </c>
      <c r="HY24" s="77">
        <f t="shared" si="110"/>
        <v>0</v>
      </c>
      <c r="HZ24" s="77">
        <f t="shared" si="110"/>
        <v>0</v>
      </c>
      <c r="IA24" s="77">
        <f t="shared" si="110"/>
        <v>0</v>
      </c>
      <c r="IB24" s="77">
        <f t="shared" si="110"/>
        <v>0</v>
      </c>
      <c r="IC24" s="77">
        <f t="shared" si="110"/>
        <v>0</v>
      </c>
      <c r="ID24" s="77">
        <f t="shared" si="110"/>
        <v>0</v>
      </c>
      <c r="IE24" s="77">
        <f t="shared" si="110"/>
        <v>0</v>
      </c>
      <c r="IF24" s="77">
        <f t="shared" si="110"/>
        <v>0</v>
      </c>
      <c r="IG24" s="77">
        <f t="shared" si="111"/>
        <v>0</v>
      </c>
      <c r="IH24" s="77">
        <f t="shared" si="111"/>
        <v>0</v>
      </c>
      <c r="II24" s="77">
        <f t="shared" si="111"/>
        <v>0</v>
      </c>
      <c r="IJ24" s="77">
        <f t="shared" si="111"/>
        <v>0</v>
      </c>
      <c r="IK24" s="77">
        <f t="shared" si="111"/>
        <v>0</v>
      </c>
      <c r="IL24" s="77">
        <f t="shared" si="111"/>
        <v>0</v>
      </c>
      <c r="IM24" s="77">
        <f t="shared" si="111"/>
        <v>0</v>
      </c>
      <c r="IN24" s="77">
        <f t="shared" si="111"/>
        <v>0</v>
      </c>
      <c r="IO24" s="77">
        <f t="shared" si="111"/>
        <v>0</v>
      </c>
      <c r="IP24" s="77">
        <f t="shared" si="111"/>
        <v>0</v>
      </c>
      <c r="IQ24" s="77">
        <f t="shared" si="111"/>
        <v>0</v>
      </c>
      <c r="IR24" s="77">
        <f t="shared" si="111"/>
        <v>0</v>
      </c>
      <c r="IS24" s="77">
        <f t="shared" si="111"/>
        <v>0</v>
      </c>
      <c r="IT24" s="77">
        <f t="shared" si="111"/>
        <v>0</v>
      </c>
      <c r="IU24" s="77">
        <f t="shared" si="111"/>
        <v>0</v>
      </c>
      <c r="IV24" s="77">
        <f t="shared" si="111"/>
        <v>0</v>
      </c>
      <c r="IW24" s="77">
        <f t="shared" si="112"/>
        <v>0</v>
      </c>
      <c r="IX24" s="77">
        <f t="shared" si="112"/>
        <v>0</v>
      </c>
      <c r="IY24" s="77">
        <f t="shared" si="112"/>
        <v>0</v>
      </c>
      <c r="IZ24" s="77">
        <f t="shared" si="112"/>
        <v>0</v>
      </c>
      <c r="JA24" s="77">
        <f t="shared" si="112"/>
        <v>0</v>
      </c>
      <c r="JB24" s="77">
        <f t="shared" si="112"/>
        <v>0</v>
      </c>
      <c r="JC24" s="77">
        <f t="shared" si="112"/>
        <v>0</v>
      </c>
      <c r="JD24" s="77">
        <f t="shared" si="112"/>
        <v>0</v>
      </c>
      <c r="JE24" s="77">
        <f t="shared" si="112"/>
        <v>0</v>
      </c>
      <c r="JF24" s="77">
        <f t="shared" si="112"/>
        <v>0</v>
      </c>
      <c r="JG24" s="77">
        <f t="shared" si="112"/>
        <v>0</v>
      </c>
      <c r="JH24" s="77">
        <f t="shared" si="112"/>
        <v>0</v>
      </c>
      <c r="JI24" s="77">
        <f t="shared" si="112"/>
        <v>0</v>
      </c>
      <c r="JJ24" s="77">
        <f t="shared" si="112"/>
        <v>0</v>
      </c>
      <c r="JK24" s="77">
        <f t="shared" si="112"/>
        <v>0</v>
      </c>
      <c r="JL24" s="77">
        <f t="shared" si="112"/>
        <v>0</v>
      </c>
      <c r="JM24" s="77">
        <f t="shared" si="113"/>
        <v>0</v>
      </c>
      <c r="JN24" s="77">
        <f t="shared" si="113"/>
        <v>0</v>
      </c>
      <c r="JO24" s="77">
        <f t="shared" si="113"/>
        <v>0</v>
      </c>
      <c r="JP24" s="77">
        <f t="shared" si="113"/>
        <v>0</v>
      </c>
      <c r="JQ24" s="77">
        <f t="shared" si="113"/>
        <v>0</v>
      </c>
      <c r="JR24" s="77">
        <f t="shared" si="113"/>
        <v>0</v>
      </c>
      <c r="JS24" s="77">
        <f t="shared" si="113"/>
        <v>0</v>
      </c>
      <c r="JT24" s="77">
        <f t="shared" si="113"/>
        <v>0</v>
      </c>
      <c r="JU24" s="77">
        <f t="shared" si="113"/>
        <v>0</v>
      </c>
      <c r="JV24" s="77">
        <f t="shared" si="113"/>
        <v>0</v>
      </c>
      <c r="JW24" s="77">
        <f t="shared" si="113"/>
        <v>0</v>
      </c>
      <c r="JX24" s="77">
        <f t="shared" si="113"/>
        <v>0</v>
      </c>
      <c r="JY24" s="77">
        <f t="shared" si="113"/>
        <v>0</v>
      </c>
      <c r="JZ24" s="77">
        <f t="shared" si="113"/>
        <v>0</v>
      </c>
      <c r="KA24" s="77">
        <f t="shared" si="113"/>
        <v>0</v>
      </c>
      <c r="KB24" s="77">
        <f t="shared" si="113"/>
        <v>0</v>
      </c>
      <c r="KC24" s="77">
        <f t="shared" si="114"/>
        <v>0</v>
      </c>
      <c r="KD24" s="77">
        <f t="shared" si="114"/>
        <v>0</v>
      </c>
      <c r="KE24" s="77">
        <f t="shared" si="114"/>
        <v>0</v>
      </c>
      <c r="KF24" s="77">
        <f t="shared" si="114"/>
        <v>0</v>
      </c>
      <c r="KG24" s="77">
        <f t="shared" si="114"/>
        <v>0</v>
      </c>
      <c r="KH24" s="77">
        <f t="shared" si="114"/>
        <v>0</v>
      </c>
      <c r="KI24" s="77">
        <f t="shared" si="114"/>
        <v>0</v>
      </c>
      <c r="KJ24" s="77">
        <f t="shared" si="114"/>
        <v>0</v>
      </c>
      <c r="KK24" s="77">
        <f t="shared" si="114"/>
        <v>0</v>
      </c>
      <c r="KL24" s="77">
        <f t="shared" si="114"/>
        <v>0</v>
      </c>
      <c r="KM24" s="77">
        <f t="shared" si="114"/>
        <v>0</v>
      </c>
      <c r="KN24" s="77">
        <f t="shared" si="114"/>
        <v>0</v>
      </c>
      <c r="KO24" s="77">
        <f t="shared" si="114"/>
        <v>0</v>
      </c>
      <c r="KP24" s="77">
        <f t="shared" si="114"/>
        <v>0</v>
      </c>
      <c r="KQ24" s="77">
        <f t="shared" si="114"/>
        <v>0</v>
      </c>
      <c r="KR24" s="77">
        <f t="shared" si="114"/>
        <v>0</v>
      </c>
      <c r="KS24" s="77">
        <f t="shared" si="115"/>
        <v>0</v>
      </c>
      <c r="KT24" s="77">
        <f t="shared" si="115"/>
        <v>0</v>
      </c>
      <c r="KU24" s="77">
        <f t="shared" si="115"/>
        <v>0</v>
      </c>
      <c r="KV24" s="77">
        <f t="shared" si="115"/>
        <v>0</v>
      </c>
      <c r="KW24" s="77">
        <f t="shared" si="115"/>
        <v>0</v>
      </c>
      <c r="KX24" s="77">
        <f t="shared" si="115"/>
        <v>0</v>
      </c>
      <c r="KY24" s="77">
        <f t="shared" si="115"/>
        <v>0</v>
      </c>
      <c r="KZ24" s="77">
        <f t="shared" si="115"/>
        <v>0</v>
      </c>
      <c r="LA24" s="77">
        <f t="shared" si="115"/>
        <v>0</v>
      </c>
      <c r="LB24" s="77">
        <f t="shared" si="115"/>
        <v>0</v>
      </c>
      <c r="LC24" s="77">
        <f t="shared" si="115"/>
        <v>0</v>
      </c>
      <c r="LD24" s="77">
        <f t="shared" si="115"/>
        <v>0</v>
      </c>
      <c r="LE24" s="77">
        <f t="shared" si="115"/>
        <v>0</v>
      </c>
      <c r="LF24" s="77">
        <f t="shared" si="115"/>
        <v>0</v>
      </c>
      <c r="LG24" s="77">
        <f t="shared" si="115"/>
        <v>0</v>
      </c>
      <c r="LH24" s="77">
        <f t="shared" si="115"/>
        <v>0</v>
      </c>
      <c r="LI24" s="77">
        <f t="shared" si="116"/>
        <v>0</v>
      </c>
      <c r="LJ24" s="77">
        <f t="shared" si="116"/>
        <v>0</v>
      </c>
      <c r="LK24" s="77">
        <f t="shared" si="116"/>
        <v>0</v>
      </c>
      <c r="LL24" s="77">
        <f t="shared" si="116"/>
        <v>0</v>
      </c>
      <c r="LM24" s="77">
        <f t="shared" si="116"/>
        <v>0</v>
      </c>
      <c r="LN24" s="77">
        <f t="shared" si="116"/>
        <v>0</v>
      </c>
      <c r="LO24" s="77">
        <f t="shared" si="116"/>
        <v>0</v>
      </c>
      <c r="LP24" s="77">
        <f t="shared" si="116"/>
        <v>0</v>
      </c>
      <c r="LQ24" s="77">
        <f t="shared" si="116"/>
        <v>0</v>
      </c>
      <c r="LR24" s="77">
        <f t="shared" si="116"/>
        <v>0</v>
      </c>
      <c r="LS24" s="77">
        <f t="shared" si="116"/>
        <v>0</v>
      </c>
      <c r="LT24" s="77">
        <f t="shared" si="116"/>
        <v>0</v>
      </c>
      <c r="LU24" s="77">
        <f t="shared" si="116"/>
        <v>0</v>
      </c>
      <c r="LV24" s="77">
        <f t="shared" si="116"/>
        <v>0</v>
      </c>
      <c r="LW24" s="77">
        <f t="shared" si="116"/>
        <v>0</v>
      </c>
      <c r="LX24" s="77">
        <f t="shared" si="116"/>
        <v>0</v>
      </c>
      <c r="LY24" s="77">
        <f t="shared" si="117"/>
        <v>0</v>
      </c>
      <c r="LZ24" s="77">
        <f t="shared" si="117"/>
        <v>0</v>
      </c>
      <c r="MA24" s="77">
        <f t="shared" si="117"/>
        <v>0</v>
      </c>
      <c r="MB24" s="77">
        <f t="shared" si="117"/>
        <v>0</v>
      </c>
      <c r="MC24" s="77">
        <f t="shared" si="117"/>
        <v>0</v>
      </c>
      <c r="MD24" s="77">
        <f t="shared" si="117"/>
        <v>0</v>
      </c>
      <c r="ME24" s="77">
        <f t="shared" si="117"/>
        <v>0</v>
      </c>
      <c r="MF24" s="77">
        <f t="shared" si="117"/>
        <v>0</v>
      </c>
      <c r="MG24" s="77">
        <f t="shared" si="117"/>
        <v>0</v>
      </c>
      <c r="MH24" s="77">
        <f t="shared" si="117"/>
        <v>0</v>
      </c>
      <c r="MI24" s="77">
        <f t="shared" si="117"/>
        <v>0</v>
      </c>
      <c r="MJ24" s="77">
        <f t="shared" si="117"/>
        <v>0</v>
      </c>
      <c r="MK24" s="77">
        <f t="shared" si="117"/>
        <v>0</v>
      </c>
      <c r="ML24" s="77">
        <f t="shared" si="117"/>
        <v>0</v>
      </c>
      <c r="MM24" s="77">
        <f t="shared" si="117"/>
        <v>0</v>
      </c>
      <c r="MN24" s="77">
        <f t="shared" si="117"/>
        <v>0</v>
      </c>
      <c r="MO24" s="77">
        <f t="shared" si="118"/>
        <v>0</v>
      </c>
      <c r="MP24" s="77">
        <f t="shared" si="118"/>
        <v>0</v>
      </c>
      <c r="MQ24" s="77">
        <f t="shared" si="118"/>
        <v>0</v>
      </c>
      <c r="MR24" s="77">
        <f t="shared" si="118"/>
        <v>0</v>
      </c>
      <c r="MS24" s="77">
        <f t="shared" si="118"/>
        <v>0</v>
      </c>
      <c r="MT24" s="77">
        <f t="shared" si="118"/>
        <v>0</v>
      </c>
      <c r="MU24" s="77">
        <f t="shared" si="118"/>
        <v>0</v>
      </c>
      <c r="MV24" s="77">
        <f t="shared" si="118"/>
        <v>0</v>
      </c>
      <c r="MW24" s="77">
        <f t="shared" si="118"/>
        <v>0</v>
      </c>
      <c r="MX24" s="77">
        <f t="shared" si="118"/>
        <v>0</v>
      </c>
      <c r="MY24" s="77">
        <f t="shared" si="118"/>
        <v>0</v>
      </c>
      <c r="MZ24" s="77">
        <f t="shared" si="118"/>
        <v>0</v>
      </c>
      <c r="NA24" s="77">
        <f t="shared" si="118"/>
        <v>0</v>
      </c>
      <c r="NB24" s="77">
        <f t="shared" si="118"/>
        <v>0</v>
      </c>
      <c r="NC24" s="77">
        <f t="shared" si="118"/>
        <v>0</v>
      </c>
      <c r="ND24" s="77">
        <f t="shared" si="118"/>
        <v>0</v>
      </c>
      <c r="NE24" s="77">
        <f t="shared" si="119"/>
        <v>0</v>
      </c>
      <c r="NF24" s="77">
        <f t="shared" si="119"/>
        <v>0</v>
      </c>
      <c r="NG24" s="77">
        <f t="shared" si="119"/>
        <v>0</v>
      </c>
      <c r="NH24" s="77">
        <f t="shared" si="119"/>
        <v>0</v>
      </c>
      <c r="NI24" s="77">
        <f t="shared" si="119"/>
        <v>0</v>
      </c>
      <c r="NJ24" s="77">
        <f t="shared" si="119"/>
        <v>0</v>
      </c>
      <c r="NK24" s="77">
        <f t="shared" si="119"/>
        <v>0</v>
      </c>
      <c r="NL24" s="77">
        <f t="shared" si="119"/>
        <v>0</v>
      </c>
      <c r="NM24" s="77">
        <f t="shared" si="119"/>
        <v>0</v>
      </c>
      <c r="NN24" s="77">
        <f t="shared" si="119"/>
        <v>0</v>
      </c>
      <c r="NO24" s="77">
        <f t="shared" si="119"/>
        <v>0</v>
      </c>
      <c r="NP24" s="77">
        <f t="shared" si="119"/>
        <v>0</v>
      </c>
      <c r="NQ24" s="77">
        <f t="shared" si="119"/>
        <v>0</v>
      </c>
      <c r="NR24" s="77">
        <f t="shared" si="119"/>
        <v>0</v>
      </c>
      <c r="NS24" s="77">
        <f t="shared" si="119"/>
        <v>0</v>
      </c>
      <c r="NT24" s="77">
        <f t="shared" si="119"/>
        <v>0</v>
      </c>
      <c r="NU24" s="77">
        <f t="shared" si="120"/>
        <v>0</v>
      </c>
      <c r="NV24" s="77">
        <f t="shared" si="120"/>
        <v>0</v>
      </c>
      <c r="NW24" s="77">
        <f t="shared" si="120"/>
        <v>0</v>
      </c>
      <c r="NX24" s="10"/>
    </row>
    <row r="25" spans="2:388" x14ac:dyDescent="0.3">
      <c r="B25" s="26" t="s">
        <v>207</v>
      </c>
      <c r="C25" s="18"/>
      <c r="D25" s="19"/>
      <c r="E25" s="27">
        <v>1</v>
      </c>
      <c r="F25" s="27">
        <v>1</v>
      </c>
      <c r="G25" s="21"/>
      <c r="H25" s="28">
        <f t="shared" si="82"/>
        <v>1</v>
      </c>
      <c r="I25" s="21" t="s">
        <v>195</v>
      </c>
      <c r="J25" s="23">
        <f t="shared" si="83"/>
        <v>0</v>
      </c>
      <c r="K25" s="29">
        <f t="shared" si="84"/>
        <v>0</v>
      </c>
      <c r="L25" s="30">
        <v>0</v>
      </c>
      <c r="S25" s="69" t="str">
        <f t="shared" si="85"/>
        <v>OK</v>
      </c>
      <c r="T25" s="16">
        <f t="shared" si="121"/>
        <v>0</v>
      </c>
      <c r="U25" s="16">
        <f t="shared" si="121"/>
        <v>0</v>
      </c>
      <c r="V25" s="16">
        <f t="shared" si="121"/>
        <v>0</v>
      </c>
      <c r="W25" s="16">
        <f t="shared" si="121"/>
        <v>0</v>
      </c>
      <c r="X25" s="16">
        <f t="shared" si="121"/>
        <v>0</v>
      </c>
      <c r="Y25" s="16">
        <f t="shared" si="121"/>
        <v>0</v>
      </c>
      <c r="Z25" s="16">
        <f t="shared" si="121"/>
        <v>0</v>
      </c>
      <c r="AA25" s="16">
        <f t="shared" si="121"/>
        <v>0</v>
      </c>
      <c r="AB25" s="16">
        <f t="shared" si="121"/>
        <v>0</v>
      </c>
      <c r="AC25" s="16">
        <f t="shared" si="121"/>
        <v>0</v>
      </c>
      <c r="AD25" s="16">
        <f t="shared" si="87"/>
        <v>0</v>
      </c>
      <c r="AE25" s="16">
        <f t="shared" si="87"/>
        <v>0</v>
      </c>
      <c r="AF25" s="16">
        <f t="shared" si="87"/>
        <v>0</v>
      </c>
      <c r="AG25" s="16">
        <f t="shared" si="87"/>
        <v>0</v>
      </c>
      <c r="AH25" s="16">
        <f t="shared" si="87"/>
        <v>0</v>
      </c>
      <c r="AI25" s="16">
        <f t="shared" si="87"/>
        <v>0</v>
      </c>
      <c r="AJ25" s="16">
        <f t="shared" si="87"/>
        <v>0</v>
      </c>
      <c r="AK25" s="16">
        <f t="shared" si="87"/>
        <v>0</v>
      </c>
      <c r="AL25" s="16">
        <f t="shared" si="87"/>
        <v>0</v>
      </c>
      <c r="AM25" s="16">
        <f t="shared" si="87"/>
        <v>0</v>
      </c>
      <c r="AN25" s="16">
        <f t="shared" si="88"/>
        <v>0</v>
      </c>
      <c r="AO25" s="16">
        <f t="shared" si="88"/>
        <v>0</v>
      </c>
      <c r="AP25" s="16">
        <f t="shared" si="88"/>
        <v>0</v>
      </c>
      <c r="AQ25" s="16">
        <f t="shared" si="88"/>
        <v>0</v>
      </c>
      <c r="AR25" s="16">
        <f t="shared" si="88"/>
        <v>0</v>
      </c>
      <c r="AS25" s="16">
        <f t="shared" si="88"/>
        <v>0</v>
      </c>
      <c r="AT25" s="16">
        <f t="shared" si="88"/>
        <v>0</v>
      </c>
      <c r="AU25" s="16">
        <f t="shared" si="88"/>
        <v>0</v>
      </c>
      <c r="AV25" s="16">
        <f t="shared" si="88"/>
        <v>0</v>
      </c>
      <c r="AW25" s="16">
        <f t="shared" si="88"/>
        <v>0</v>
      </c>
      <c r="AX25" s="16">
        <f t="shared" si="89"/>
        <v>0</v>
      </c>
      <c r="AY25" s="16">
        <f t="shared" si="89"/>
        <v>0</v>
      </c>
      <c r="AZ25" s="16">
        <f t="shared" si="89"/>
        <v>0</v>
      </c>
      <c r="BA25" s="16">
        <f t="shared" si="89"/>
        <v>0</v>
      </c>
      <c r="BB25" s="16">
        <f t="shared" si="89"/>
        <v>0</v>
      </c>
      <c r="BC25" s="16">
        <f t="shared" si="89"/>
        <v>0</v>
      </c>
      <c r="BD25" s="16">
        <f t="shared" si="89"/>
        <v>0</v>
      </c>
      <c r="BE25" s="16">
        <f t="shared" si="89"/>
        <v>0</v>
      </c>
      <c r="BF25" s="16">
        <f t="shared" si="89"/>
        <v>0</v>
      </c>
      <c r="BG25" s="16">
        <f t="shared" si="89"/>
        <v>0</v>
      </c>
      <c r="BH25" s="16">
        <f t="shared" si="90"/>
        <v>0</v>
      </c>
      <c r="BI25" s="16">
        <f t="shared" si="90"/>
        <v>0</v>
      </c>
      <c r="BJ25" s="16">
        <f t="shared" si="90"/>
        <v>0</v>
      </c>
      <c r="BK25" s="16">
        <f t="shared" si="90"/>
        <v>0</v>
      </c>
      <c r="BL25" s="16">
        <f t="shared" si="90"/>
        <v>0</v>
      </c>
      <c r="BM25" s="16">
        <f t="shared" si="90"/>
        <v>0</v>
      </c>
      <c r="BN25" s="16">
        <f t="shared" si="90"/>
        <v>0</v>
      </c>
      <c r="BO25" s="16">
        <f t="shared" si="90"/>
        <v>0</v>
      </c>
      <c r="BP25" s="16">
        <f t="shared" si="90"/>
        <v>0</v>
      </c>
      <c r="BQ25" s="16">
        <f t="shared" si="90"/>
        <v>0</v>
      </c>
      <c r="BR25" s="16">
        <f t="shared" si="91"/>
        <v>0</v>
      </c>
      <c r="BS25" s="16">
        <f t="shared" si="91"/>
        <v>0</v>
      </c>
      <c r="BT25" s="16">
        <f t="shared" si="91"/>
        <v>0</v>
      </c>
      <c r="BU25" s="16">
        <f t="shared" si="91"/>
        <v>0</v>
      </c>
      <c r="BV25" s="16">
        <f t="shared" si="91"/>
        <v>0</v>
      </c>
      <c r="BW25" s="16">
        <f t="shared" si="91"/>
        <v>0</v>
      </c>
      <c r="BX25" s="16">
        <f t="shared" si="91"/>
        <v>0</v>
      </c>
      <c r="BY25" s="16">
        <f t="shared" si="91"/>
        <v>0</v>
      </c>
      <c r="BZ25" s="16">
        <f t="shared" si="91"/>
        <v>0</v>
      </c>
      <c r="CA25" s="16">
        <f t="shared" si="91"/>
        <v>0</v>
      </c>
      <c r="CB25" s="16">
        <f t="shared" si="92"/>
        <v>0</v>
      </c>
      <c r="CC25" s="16">
        <f t="shared" si="92"/>
        <v>0</v>
      </c>
      <c r="CD25" s="16">
        <f t="shared" si="92"/>
        <v>0</v>
      </c>
      <c r="CE25" s="16">
        <f t="shared" si="92"/>
        <v>0</v>
      </c>
      <c r="CF25" s="16">
        <f t="shared" si="92"/>
        <v>0</v>
      </c>
      <c r="CG25" s="16">
        <f t="shared" si="92"/>
        <v>0</v>
      </c>
      <c r="CH25" s="16">
        <f t="shared" si="92"/>
        <v>0</v>
      </c>
      <c r="CI25" s="16">
        <f t="shared" si="92"/>
        <v>0</v>
      </c>
      <c r="CJ25" s="16">
        <f t="shared" si="92"/>
        <v>0</v>
      </c>
      <c r="CK25" s="16">
        <f t="shared" si="92"/>
        <v>0</v>
      </c>
      <c r="CL25" s="16">
        <f t="shared" si="93"/>
        <v>0</v>
      </c>
      <c r="CM25" s="16">
        <f t="shared" si="93"/>
        <v>0</v>
      </c>
      <c r="CN25" s="16">
        <f t="shared" si="93"/>
        <v>0</v>
      </c>
      <c r="CO25" s="16">
        <f t="shared" si="93"/>
        <v>0</v>
      </c>
      <c r="CP25" s="16">
        <f t="shared" si="93"/>
        <v>0</v>
      </c>
      <c r="CQ25" s="16">
        <f t="shared" si="93"/>
        <v>0</v>
      </c>
      <c r="CR25" s="16">
        <f t="shared" si="93"/>
        <v>0</v>
      </c>
      <c r="CS25" s="16">
        <f t="shared" si="93"/>
        <v>0</v>
      </c>
      <c r="CT25" s="16">
        <f t="shared" si="93"/>
        <v>0</v>
      </c>
      <c r="CU25" s="16">
        <f t="shared" si="93"/>
        <v>0</v>
      </c>
      <c r="CV25" s="16">
        <f t="shared" si="94"/>
        <v>0</v>
      </c>
      <c r="CW25" s="16">
        <f t="shared" si="94"/>
        <v>0</v>
      </c>
      <c r="CX25" s="16">
        <f t="shared" si="94"/>
        <v>0</v>
      </c>
      <c r="CY25" s="16">
        <f t="shared" si="94"/>
        <v>0</v>
      </c>
      <c r="CZ25" s="16">
        <f t="shared" si="94"/>
        <v>0</v>
      </c>
      <c r="DA25" s="16">
        <f t="shared" si="94"/>
        <v>0</v>
      </c>
      <c r="DB25" s="16">
        <f t="shared" si="94"/>
        <v>0</v>
      </c>
      <c r="DC25" s="16">
        <f t="shared" si="94"/>
        <v>0</v>
      </c>
      <c r="DD25" s="16">
        <f t="shared" si="94"/>
        <v>0</v>
      </c>
      <c r="DE25" s="16">
        <f t="shared" si="94"/>
        <v>0</v>
      </c>
      <c r="DF25" s="16">
        <f t="shared" si="95"/>
        <v>0</v>
      </c>
      <c r="DG25" s="16">
        <f t="shared" si="95"/>
        <v>0</v>
      </c>
      <c r="DH25" s="16">
        <f t="shared" si="95"/>
        <v>0</v>
      </c>
      <c r="DI25" s="16">
        <f t="shared" si="95"/>
        <v>0</v>
      </c>
      <c r="DJ25" s="16">
        <f t="shared" si="95"/>
        <v>0</v>
      </c>
      <c r="DK25" s="16">
        <f t="shared" si="95"/>
        <v>0</v>
      </c>
      <c r="DL25" s="16">
        <f t="shared" si="95"/>
        <v>0</v>
      </c>
      <c r="DM25" s="16">
        <f t="shared" si="95"/>
        <v>0</v>
      </c>
      <c r="DN25" s="16">
        <f t="shared" si="95"/>
        <v>0</v>
      </c>
      <c r="DO25" s="16">
        <f t="shared" si="95"/>
        <v>0</v>
      </c>
      <c r="DP25" s="16">
        <f t="shared" si="96"/>
        <v>0</v>
      </c>
      <c r="DQ25" s="16">
        <f t="shared" si="96"/>
        <v>0</v>
      </c>
      <c r="DR25" s="16">
        <f t="shared" si="96"/>
        <v>0</v>
      </c>
      <c r="DS25" s="16">
        <f t="shared" si="96"/>
        <v>0</v>
      </c>
      <c r="DT25" s="16">
        <f t="shared" si="96"/>
        <v>0</v>
      </c>
      <c r="DU25" s="16">
        <f t="shared" si="96"/>
        <v>0</v>
      </c>
      <c r="DV25" s="16">
        <f t="shared" si="96"/>
        <v>0</v>
      </c>
      <c r="DW25" s="16">
        <f t="shared" si="96"/>
        <v>0</v>
      </c>
      <c r="DX25" s="16">
        <f t="shared" si="96"/>
        <v>0</v>
      </c>
      <c r="DY25" s="16">
        <f t="shared" si="96"/>
        <v>0</v>
      </c>
      <c r="DZ25" s="16">
        <f t="shared" si="97"/>
        <v>0</v>
      </c>
      <c r="EA25" s="16">
        <f t="shared" si="97"/>
        <v>0</v>
      </c>
      <c r="EB25" s="16">
        <f t="shared" si="97"/>
        <v>0</v>
      </c>
      <c r="EC25" s="16">
        <f t="shared" si="97"/>
        <v>0</v>
      </c>
      <c r="ED25" s="16">
        <f t="shared" si="97"/>
        <v>0</v>
      </c>
      <c r="EE25" s="16">
        <f t="shared" si="97"/>
        <v>0</v>
      </c>
      <c r="EF25" s="16">
        <f t="shared" si="97"/>
        <v>0</v>
      </c>
      <c r="EG25" s="16">
        <f t="shared" si="97"/>
        <v>0</v>
      </c>
      <c r="EH25" s="16">
        <f t="shared" si="97"/>
        <v>0</v>
      </c>
      <c r="EI25" s="16">
        <f t="shared" si="97"/>
        <v>0</v>
      </c>
      <c r="EJ25" s="16">
        <f t="shared" si="98"/>
        <v>0</v>
      </c>
      <c r="EK25" s="16">
        <f t="shared" si="98"/>
        <v>0</v>
      </c>
      <c r="EL25" s="16">
        <f t="shared" si="98"/>
        <v>0</v>
      </c>
      <c r="EM25" s="16">
        <f t="shared" si="98"/>
        <v>0</v>
      </c>
      <c r="EN25" s="16">
        <f t="shared" si="98"/>
        <v>0</v>
      </c>
      <c r="EO25" s="16">
        <f t="shared" si="98"/>
        <v>0</v>
      </c>
      <c r="EP25" s="16">
        <f t="shared" si="98"/>
        <v>0</v>
      </c>
      <c r="EQ25" s="16">
        <f t="shared" si="98"/>
        <v>0</v>
      </c>
      <c r="ER25" s="16">
        <f t="shared" si="98"/>
        <v>0</v>
      </c>
      <c r="ES25" s="16">
        <f t="shared" si="98"/>
        <v>0</v>
      </c>
      <c r="ET25" s="16">
        <f t="shared" si="99"/>
        <v>0</v>
      </c>
      <c r="EU25" s="16">
        <f t="shared" si="99"/>
        <v>0</v>
      </c>
      <c r="EV25" s="16">
        <f t="shared" si="99"/>
        <v>0</v>
      </c>
      <c r="EW25" s="16">
        <f t="shared" si="99"/>
        <v>0</v>
      </c>
      <c r="EX25" s="16">
        <f t="shared" si="99"/>
        <v>0</v>
      </c>
      <c r="EY25" s="16">
        <f t="shared" si="99"/>
        <v>0</v>
      </c>
      <c r="EZ25" s="16">
        <f t="shared" si="99"/>
        <v>0</v>
      </c>
      <c r="FA25" s="16">
        <f t="shared" si="99"/>
        <v>0</v>
      </c>
      <c r="FB25" s="16">
        <f t="shared" si="99"/>
        <v>0</v>
      </c>
      <c r="FC25" s="16">
        <f t="shared" si="99"/>
        <v>0</v>
      </c>
      <c r="FD25" s="16">
        <f t="shared" si="100"/>
        <v>0</v>
      </c>
      <c r="FE25" s="16">
        <f t="shared" si="100"/>
        <v>0</v>
      </c>
      <c r="FF25" s="16">
        <f t="shared" si="100"/>
        <v>0</v>
      </c>
      <c r="FG25" s="16">
        <f t="shared" si="100"/>
        <v>0</v>
      </c>
      <c r="FH25" s="16">
        <f t="shared" si="100"/>
        <v>0</v>
      </c>
      <c r="FI25" s="16">
        <f t="shared" si="100"/>
        <v>0</v>
      </c>
      <c r="FJ25" s="16">
        <f t="shared" si="100"/>
        <v>0</v>
      </c>
      <c r="FK25" s="16">
        <f t="shared" si="100"/>
        <v>0</v>
      </c>
      <c r="FL25" s="16">
        <f t="shared" si="100"/>
        <v>0</v>
      </c>
      <c r="FM25" s="16">
        <f t="shared" si="100"/>
        <v>0</v>
      </c>
      <c r="FN25" s="16">
        <f t="shared" si="101"/>
        <v>0</v>
      </c>
      <c r="FO25" s="16">
        <f t="shared" si="101"/>
        <v>0</v>
      </c>
      <c r="FP25" s="16">
        <f t="shared" si="101"/>
        <v>0</v>
      </c>
      <c r="FQ25" s="16">
        <f t="shared" si="101"/>
        <v>0</v>
      </c>
      <c r="FR25" s="16">
        <f t="shared" si="101"/>
        <v>0</v>
      </c>
      <c r="FS25" s="16">
        <f t="shared" si="101"/>
        <v>0</v>
      </c>
      <c r="FT25" s="16">
        <f t="shared" si="101"/>
        <v>0</v>
      </c>
      <c r="FU25" s="16">
        <f t="shared" si="101"/>
        <v>0</v>
      </c>
      <c r="FV25" s="16">
        <f t="shared" si="101"/>
        <v>0</v>
      </c>
      <c r="FW25" s="16">
        <f t="shared" si="101"/>
        <v>0</v>
      </c>
      <c r="FX25" s="16">
        <f t="shared" si="102"/>
        <v>0</v>
      </c>
      <c r="FY25" s="16">
        <f t="shared" si="102"/>
        <v>0</v>
      </c>
      <c r="FZ25" s="16">
        <f t="shared" si="102"/>
        <v>0</v>
      </c>
      <c r="GA25" s="16">
        <f t="shared" si="102"/>
        <v>0</v>
      </c>
      <c r="GB25" s="16">
        <f t="shared" si="102"/>
        <v>0</v>
      </c>
      <c r="GC25" s="16">
        <f t="shared" si="102"/>
        <v>0</v>
      </c>
      <c r="GD25" s="16">
        <f t="shared" si="102"/>
        <v>0</v>
      </c>
      <c r="GE25" s="16">
        <f t="shared" si="102"/>
        <v>0</v>
      </c>
      <c r="GF25" s="16">
        <f t="shared" si="102"/>
        <v>0</v>
      </c>
      <c r="GG25" s="16">
        <f t="shared" si="102"/>
        <v>0</v>
      </c>
      <c r="GH25" s="16">
        <f t="shared" si="103"/>
        <v>0</v>
      </c>
      <c r="GI25" s="16">
        <f t="shared" si="103"/>
        <v>0</v>
      </c>
      <c r="GJ25" s="16">
        <f t="shared" si="103"/>
        <v>0</v>
      </c>
      <c r="GK25" s="16">
        <f t="shared" si="103"/>
        <v>0</v>
      </c>
      <c r="GL25" s="16">
        <f t="shared" si="103"/>
        <v>0</v>
      </c>
      <c r="GM25" s="16">
        <f t="shared" si="103"/>
        <v>0</v>
      </c>
      <c r="GN25" s="16">
        <f t="shared" si="103"/>
        <v>0</v>
      </c>
      <c r="GO25" s="16">
        <f t="shared" si="103"/>
        <v>0</v>
      </c>
      <c r="GP25" s="16">
        <f t="shared" si="103"/>
        <v>0</v>
      </c>
      <c r="GQ25" s="16">
        <f t="shared" si="103"/>
        <v>0</v>
      </c>
      <c r="GR25" s="9"/>
      <c r="GS25" s="70" t="str">
        <f>B25</f>
        <v>Other Hard Costs (Horizontal)</v>
      </c>
      <c r="GT25" s="77">
        <f t="shared" si="104"/>
        <v>0</v>
      </c>
      <c r="GU25" s="78">
        <f t="shared" si="78"/>
        <v>1</v>
      </c>
      <c r="GV25" s="78">
        <f t="shared" si="78"/>
        <v>1</v>
      </c>
      <c r="GW25" s="78">
        <f t="shared" si="105"/>
        <v>1</v>
      </c>
      <c r="GX25" s="79">
        <f t="shared" si="106"/>
        <v>0.16666666666666666</v>
      </c>
      <c r="GY25" s="79" t="b">
        <f t="shared" si="107"/>
        <v>1</v>
      </c>
      <c r="GZ25" s="77">
        <f t="shared" si="108"/>
        <v>0</v>
      </c>
      <c r="HA25" s="77">
        <f t="shared" si="109"/>
        <v>0</v>
      </c>
      <c r="HB25" s="77">
        <f t="shared" si="109"/>
        <v>0</v>
      </c>
      <c r="HC25" s="77">
        <f t="shared" si="109"/>
        <v>0</v>
      </c>
      <c r="HD25" s="77">
        <f t="shared" si="109"/>
        <v>0</v>
      </c>
      <c r="HE25" s="77">
        <f t="shared" si="109"/>
        <v>0</v>
      </c>
      <c r="HF25" s="77">
        <f t="shared" si="109"/>
        <v>0</v>
      </c>
      <c r="HG25" s="77">
        <f t="shared" si="109"/>
        <v>0</v>
      </c>
      <c r="HH25" s="77">
        <f t="shared" si="109"/>
        <v>0</v>
      </c>
      <c r="HI25" s="77">
        <f t="shared" si="109"/>
        <v>0</v>
      </c>
      <c r="HJ25" s="77">
        <f t="shared" si="109"/>
        <v>0</v>
      </c>
      <c r="HK25" s="77">
        <f t="shared" si="109"/>
        <v>0</v>
      </c>
      <c r="HL25" s="77">
        <f t="shared" si="109"/>
        <v>0</v>
      </c>
      <c r="HM25" s="77">
        <f t="shared" si="109"/>
        <v>0</v>
      </c>
      <c r="HN25" s="77">
        <f t="shared" si="109"/>
        <v>0</v>
      </c>
      <c r="HO25" s="77">
        <f t="shared" si="109"/>
        <v>0</v>
      </c>
      <c r="HP25" s="77">
        <f t="shared" si="109"/>
        <v>0</v>
      </c>
      <c r="HQ25" s="77">
        <f t="shared" si="110"/>
        <v>0</v>
      </c>
      <c r="HR25" s="77">
        <f t="shared" si="110"/>
        <v>0</v>
      </c>
      <c r="HS25" s="77">
        <f t="shared" si="110"/>
        <v>0</v>
      </c>
      <c r="HT25" s="77">
        <f t="shared" si="110"/>
        <v>0</v>
      </c>
      <c r="HU25" s="77">
        <f t="shared" si="110"/>
        <v>0</v>
      </c>
      <c r="HV25" s="77">
        <f t="shared" si="110"/>
        <v>0</v>
      </c>
      <c r="HW25" s="77">
        <f t="shared" si="110"/>
        <v>0</v>
      </c>
      <c r="HX25" s="77">
        <f t="shared" si="110"/>
        <v>0</v>
      </c>
      <c r="HY25" s="77">
        <f t="shared" si="110"/>
        <v>0</v>
      </c>
      <c r="HZ25" s="77">
        <f t="shared" si="110"/>
        <v>0</v>
      </c>
      <c r="IA25" s="77">
        <f t="shared" si="110"/>
        <v>0</v>
      </c>
      <c r="IB25" s="77">
        <f t="shared" si="110"/>
        <v>0</v>
      </c>
      <c r="IC25" s="77">
        <f t="shared" si="110"/>
        <v>0</v>
      </c>
      <c r="ID25" s="77">
        <f t="shared" si="110"/>
        <v>0</v>
      </c>
      <c r="IE25" s="77">
        <f t="shared" si="110"/>
        <v>0</v>
      </c>
      <c r="IF25" s="77">
        <f t="shared" si="110"/>
        <v>0</v>
      </c>
      <c r="IG25" s="77">
        <f t="shared" si="111"/>
        <v>0</v>
      </c>
      <c r="IH25" s="77">
        <f t="shared" si="111"/>
        <v>0</v>
      </c>
      <c r="II25" s="77">
        <f t="shared" si="111"/>
        <v>0</v>
      </c>
      <c r="IJ25" s="77">
        <f t="shared" si="111"/>
        <v>0</v>
      </c>
      <c r="IK25" s="77">
        <f t="shared" si="111"/>
        <v>0</v>
      </c>
      <c r="IL25" s="77">
        <f t="shared" si="111"/>
        <v>0</v>
      </c>
      <c r="IM25" s="77">
        <f t="shared" si="111"/>
        <v>0</v>
      </c>
      <c r="IN25" s="77">
        <f t="shared" si="111"/>
        <v>0</v>
      </c>
      <c r="IO25" s="77">
        <f t="shared" si="111"/>
        <v>0</v>
      </c>
      <c r="IP25" s="77">
        <f t="shared" si="111"/>
        <v>0</v>
      </c>
      <c r="IQ25" s="77">
        <f t="shared" si="111"/>
        <v>0</v>
      </c>
      <c r="IR25" s="77">
        <f t="shared" si="111"/>
        <v>0</v>
      </c>
      <c r="IS25" s="77">
        <f t="shared" si="111"/>
        <v>0</v>
      </c>
      <c r="IT25" s="77">
        <f t="shared" si="111"/>
        <v>0</v>
      </c>
      <c r="IU25" s="77">
        <f t="shared" si="111"/>
        <v>0</v>
      </c>
      <c r="IV25" s="77">
        <f t="shared" si="111"/>
        <v>0</v>
      </c>
      <c r="IW25" s="77">
        <f t="shared" si="112"/>
        <v>0</v>
      </c>
      <c r="IX25" s="77">
        <f t="shared" si="112"/>
        <v>0</v>
      </c>
      <c r="IY25" s="77">
        <f t="shared" si="112"/>
        <v>0</v>
      </c>
      <c r="IZ25" s="77">
        <f t="shared" si="112"/>
        <v>0</v>
      </c>
      <c r="JA25" s="77">
        <f t="shared" si="112"/>
        <v>0</v>
      </c>
      <c r="JB25" s="77">
        <f t="shared" si="112"/>
        <v>0</v>
      </c>
      <c r="JC25" s="77">
        <f t="shared" si="112"/>
        <v>0</v>
      </c>
      <c r="JD25" s="77">
        <f t="shared" si="112"/>
        <v>0</v>
      </c>
      <c r="JE25" s="77">
        <f t="shared" si="112"/>
        <v>0</v>
      </c>
      <c r="JF25" s="77">
        <f t="shared" si="112"/>
        <v>0</v>
      </c>
      <c r="JG25" s="77">
        <f t="shared" si="112"/>
        <v>0</v>
      </c>
      <c r="JH25" s="77">
        <f t="shared" si="112"/>
        <v>0</v>
      </c>
      <c r="JI25" s="77">
        <f t="shared" si="112"/>
        <v>0</v>
      </c>
      <c r="JJ25" s="77">
        <f t="shared" si="112"/>
        <v>0</v>
      </c>
      <c r="JK25" s="77">
        <f t="shared" si="112"/>
        <v>0</v>
      </c>
      <c r="JL25" s="77">
        <f t="shared" si="112"/>
        <v>0</v>
      </c>
      <c r="JM25" s="77">
        <f t="shared" si="113"/>
        <v>0</v>
      </c>
      <c r="JN25" s="77">
        <f t="shared" si="113"/>
        <v>0</v>
      </c>
      <c r="JO25" s="77">
        <f t="shared" si="113"/>
        <v>0</v>
      </c>
      <c r="JP25" s="77">
        <f t="shared" si="113"/>
        <v>0</v>
      </c>
      <c r="JQ25" s="77">
        <f t="shared" si="113"/>
        <v>0</v>
      </c>
      <c r="JR25" s="77">
        <f t="shared" si="113"/>
        <v>0</v>
      </c>
      <c r="JS25" s="77">
        <f t="shared" si="113"/>
        <v>0</v>
      </c>
      <c r="JT25" s="77">
        <f t="shared" si="113"/>
        <v>0</v>
      </c>
      <c r="JU25" s="77">
        <f t="shared" si="113"/>
        <v>0</v>
      </c>
      <c r="JV25" s="77">
        <f t="shared" si="113"/>
        <v>0</v>
      </c>
      <c r="JW25" s="77">
        <f t="shared" si="113"/>
        <v>0</v>
      </c>
      <c r="JX25" s="77">
        <f t="shared" si="113"/>
        <v>0</v>
      </c>
      <c r="JY25" s="77">
        <f t="shared" si="113"/>
        <v>0</v>
      </c>
      <c r="JZ25" s="77">
        <f t="shared" si="113"/>
        <v>0</v>
      </c>
      <c r="KA25" s="77">
        <f t="shared" si="113"/>
        <v>0</v>
      </c>
      <c r="KB25" s="77">
        <f t="shared" si="113"/>
        <v>0</v>
      </c>
      <c r="KC25" s="77">
        <f t="shared" si="114"/>
        <v>0</v>
      </c>
      <c r="KD25" s="77">
        <f t="shared" si="114"/>
        <v>0</v>
      </c>
      <c r="KE25" s="77">
        <f t="shared" si="114"/>
        <v>0</v>
      </c>
      <c r="KF25" s="77">
        <f t="shared" si="114"/>
        <v>0</v>
      </c>
      <c r="KG25" s="77">
        <f t="shared" si="114"/>
        <v>0</v>
      </c>
      <c r="KH25" s="77">
        <f t="shared" si="114"/>
        <v>0</v>
      </c>
      <c r="KI25" s="77">
        <f t="shared" si="114"/>
        <v>0</v>
      </c>
      <c r="KJ25" s="77">
        <f t="shared" si="114"/>
        <v>0</v>
      </c>
      <c r="KK25" s="77">
        <f t="shared" si="114"/>
        <v>0</v>
      </c>
      <c r="KL25" s="77">
        <f t="shared" si="114"/>
        <v>0</v>
      </c>
      <c r="KM25" s="77">
        <f t="shared" si="114"/>
        <v>0</v>
      </c>
      <c r="KN25" s="77">
        <f t="shared" si="114"/>
        <v>0</v>
      </c>
      <c r="KO25" s="77">
        <f t="shared" si="114"/>
        <v>0</v>
      </c>
      <c r="KP25" s="77">
        <f t="shared" si="114"/>
        <v>0</v>
      </c>
      <c r="KQ25" s="77">
        <f t="shared" si="114"/>
        <v>0</v>
      </c>
      <c r="KR25" s="77">
        <f t="shared" si="114"/>
        <v>0</v>
      </c>
      <c r="KS25" s="77">
        <f t="shared" si="115"/>
        <v>0</v>
      </c>
      <c r="KT25" s="77">
        <f t="shared" si="115"/>
        <v>0</v>
      </c>
      <c r="KU25" s="77">
        <f t="shared" si="115"/>
        <v>0</v>
      </c>
      <c r="KV25" s="77">
        <f t="shared" si="115"/>
        <v>0</v>
      </c>
      <c r="KW25" s="77">
        <f t="shared" si="115"/>
        <v>0</v>
      </c>
      <c r="KX25" s="77">
        <f t="shared" si="115"/>
        <v>0</v>
      </c>
      <c r="KY25" s="77">
        <f t="shared" si="115"/>
        <v>0</v>
      </c>
      <c r="KZ25" s="77">
        <f t="shared" si="115"/>
        <v>0</v>
      </c>
      <c r="LA25" s="77">
        <f t="shared" si="115"/>
        <v>0</v>
      </c>
      <c r="LB25" s="77">
        <f t="shared" si="115"/>
        <v>0</v>
      </c>
      <c r="LC25" s="77">
        <f t="shared" si="115"/>
        <v>0</v>
      </c>
      <c r="LD25" s="77">
        <f t="shared" si="115"/>
        <v>0</v>
      </c>
      <c r="LE25" s="77">
        <f t="shared" si="115"/>
        <v>0</v>
      </c>
      <c r="LF25" s="77">
        <f t="shared" si="115"/>
        <v>0</v>
      </c>
      <c r="LG25" s="77">
        <f t="shared" si="115"/>
        <v>0</v>
      </c>
      <c r="LH25" s="77">
        <f t="shared" si="115"/>
        <v>0</v>
      </c>
      <c r="LI25" s="77">
        <f t="shared" si="116"/>
        <v>0</v>
      </c>
      <c r="LJ25" s="77">
        <f t="shared" si="116"/>
        <v>0</v>
      </c>
      <c r="LK25" s="77">
        <f t="shared" si="116"/>
        <v>0</v>
      </c>
      <c r="LL25" s="77">
        <f t="shared" si="116"/>
        <v>0</v>
      </c>
      <c r="LM25" s="77">
        <f t="shared" si="116"/>
        <v>0</v>
      </c>
      <c r="LN25" s="77">
        <f t="shared" si="116"/>
        <v>0</v>
      </c>
      <c r="LO25" s="77">
        <f t="shared" si="116"/>
        <v>0</v>
      </c>
      <c r="LP25" s="77">
        <f t="shared" si="116"/>
        <v>0</v>
      </c>
      <c r="LQ25" s="77">
        <f t="shared" si="116"/>
        <v>0</v>
      </c>
      <c r="LR25" s="77">
        <f t="shared" si="116"/>
        <v>0</v>
      </c>
      <c r="LS25" s="77">
        <f t="shared" si="116"/>
        <v>0</v>
      </c>
      <c r="LT25" s="77">
        <f t="shared" si="116"/>
        <v>0</v>
      </c>
      <c r="LU25" s="77">
        <f t="shared" si="116"/>
        <v>0</v>
      </c>
      <c r="LV25" s="77">
        <f t="shared" si="116"/>
        <v>0</v>
      </c>
      <c r="LW25" s="77">
        <f t="shared" si="116"/>
        <v>0</v>
      </c>
      <c r="LX25" s="77">
        <f t="shared" si="116"/>
        <v>0</v>
      </c>
      <c r="LY25" s="77">
        <f t="shared" si="117"/>
        <v>0</v>
      </c>
      <c r="LZ25" s="77">
        <f t="shared" si="117"/>
        <v>0</v>
      </c>
      <c r="MA25" s="77">
        <f t="shared" si="117"/>
        <v>0</v>
      </c>
      <c r="MB25" s="77">
        <f t="shared" si="117"/>
        <v>0</v>
      </c>
      <c r="MC25" s="77">
        <f t="shared" si="117"/>
        <v>0</v>
      </c>
      <c r="MD25" s="77">
        <f t="shared" si="117"/>
        <v>0</v>
      </c>
      <c r="ME25" s="77">
        <f t="shared" si="117"/>
        <v>0</v>
      </c>
      <c r="MF25" s="77">
        <f t="shared" si="117"/>
        <v>0</v>
      </c>
      <c r="MG25" s="77">
        <f t="shared" si="117"/>
        <v>0</v>
      </c>
      <c r="MH25" s="77">
        <f t="shared" si="117"/>
        <v>0</v>
      </c>
      <c r="MI25" s="77">
        <f t="shared" si="117"/>
        <v>0</v>
      </c>
      <c r="MJ25" s="77">
        <f t="shared" si="117"/>
        <v>0</v>
      </c>
      <c r="MK25" s="77">
        <f t="shared" si="117"/>
        <v>0</v>
      </c>
      <c r="ML25" s="77">
        <f t="shared" si="117"/>
        <v>0</v>
      </c>
      <c r="MM25" s="77">
        <f t="shared" si="117"/>
        <v>0</v>
      </c>
      <c r="MN25" s="77">
        <f t="shared" si="117"/>
        <v>0</v>
      </c>
      <c r="MO25" s="77">
        <f t="shared" si="118"/>
        <v>0</v>
      </c>
      <c r="MP25" s="77">
        <f t="shared" si="118"/>
        <v>0</v>
      </c>
      <c r="MQ25" s="77">
        <f t="shared" si="118"/>
        <v>0</v>
      </c>
      <c r="MR25" s="77">
        <f t="shared" si="118"/>
        <v>0</v>
      </c>
      <c r="MS25" s="77">
        <f t="shared" si="118"/>
        <v>0</v>
      </c>
      <c r="MT25" s="77">
        <f t="shared" si="118"/>
        <v>0</v>
      </c>
      <c r="MU25" s="77">
        <f t="shared" si="118"/>
        <v>0</v>
      </c>
      <c r="MV25" s="77">
        <f t="shared" si="118"/>
        <v>0</v>
      </c>
      <c r="MW25" s="77">
        <f t="shared" si="118"/>
        <v>0</v>
      </c>
      <c r="MX25" s="77">
        <f t="shared" si="118"/>
        <v>0</v>
      </c>
      <c r="MY25" s="77">
        <f t="shared" si="118"/>
        <v>0</v>
      </c>
      <c r="MZ25" s="77">
        <f t="shared" si="118"/>
        <v>0</v>
      </c>
      <c r="NA25" s="77">
        <f t="shared" si="118"/>
        <v>0</v>
      </c>
      <c r="NB25" s="77">
        <f t="shared" si="118"/>
        <v>0</v>
      </c>
      <c r="NC25" s="77">
        <f t="shared" si="118"/>
        <v>0</v>
      </c>
      <c r="ND25" s="77">
        <f t="shared" si="118"/>
        <v>0</v>
      </c>
      <c r="NE25" s="77">
        <f t="shared" si="119"/>
        <v>0</v>
      </c>
      <c r="NF25" s="77">
        <f t="shared" si="119"/>
        <v>0</v>
      </c>
      <c r="NG25" s="77">
        <f t="shared" si="119"/>
        <v>0</v>
      </c>
      <c r="NH25" s="77">
        <f t="shared" si="119"/>
        <v>0</v>
      </c>
      <c r="NI25" s="77">
        <f t="shared" si="119"/>
        <v>0</v>
      </c>
      <c r="NJ25" s="77">
        <f t="shared" si="119"/>
        <v>0</v>
      </c>
      <c r="NK25" s="77">
        <f t="shared" si="119"/>
        <v>0</v>
      </c>
      <c r="NL25" s="77">
        <f t="shared" si="119"/>
        <v>0</v>
      </c>
      <c r="NM25" s="77">
        <f t="shared" si="119"/>
        <v>0</v>
      </c>
      <c r="NN25" s="77">
        <f t="shared" si="119"/>
        <v>0</v>
      </c>
      <c r="NO25" s="77">
        <f t="shared" si="119"/>
        <v>0</v>
      </c>
      <c r="NP25" s="77">
        <f t="shared" si="119"/>
        <v>0</v>
      </c>
      <c r="NQ25" s="77">
        <f t="shared" si="119"/>
        <v>0</v>
      </c>
      <c r="NR25" s="77">
        <f t="shared" si="119"/>
        <v>0</v>
      </c>
      <c r="NS25" s="77">
        <f t="shared" si="119"/>
        <v>0</v>
      </c>
      <c r="NT25" s="77">
        <f t="shared" si="119"/>
        <v>0</v>
      </c>
      <c r="NU25" s="77">
        <f t="shared" si="120"/>
        <v>0</v>
      </c>
      <c r="NV25" s="77">
        <f t="shared" si="120"/>
        <v>0</v>
      </c>
      <c r="NW25" s="77">
        <f t="shared" si="120"/>
        <v>0</v>
      </c>
      <c r="NX25" s="10"/>
    </row>
    <row r="26" spans="2:388" ht="15.5" x14ac:dyDescent="0.45">
      <c r="B26" s="26" t="s">
        <v>200</v>
      </c>
      <c r="C26" s="18"/>
      <c r="D26" s="19"/>
      <c r="E26" s="27">
        <v>1</v>
      </c>
      <c r="F26" s="27">
        <v>1</v>
      </c>
      <c r="G26" s="21"/>
      <c r="H26" s="28">
        <f t="shared" si="82"/>
        <v>1</v>
      </c>
      <c r="I26" s="21" t="s">
        <v>195</v>
      </c>
      <c r="J26" s="31">
        <f t="shared" si="83"/>
        <v>0</v>
      </c>
      <c r="K26" s="32">
        <f t="shared" si="84"/>
        <v>0</v>
      </c>
      <c r="L26" s="33">
        <v>0</v>
      </c>
      <c r="S26" s="69" t="str">
        <f t="shared" si="85"/>
        <v>OK</v>
      </c>
      <c r="T26" s="17">
        <f t="shared" si="86"/>
        <v>0</v>
      </c>
      <c r="U26" s="17">
        <f t="shared" si="86"/>
        <v>0</v>
      </c>
      <c r="V26" s="17">
        <f t="shared" si="86"/>
        <v>0</v>
      </c>
      <c r="W26" s="17">
        <f t="shared" si="86"/>
        <v>0</v>
      </c>
      <c r="X26" s="17">
        <f t="shared" si="86"/>
        <v>0</v>
      </c>
      <c r="Y26" s="17">
        <f t="shared" si="86"/>
        <v>0</v>
      </c>
      <c r="Z26" s="17">
        <f t="shared" si="86"/>
        <v>0</v>
      </c>
      <c r="AA26" s="17">
        <f t="shared" si="86"/>
        <v>0</v>
      </c>
      <c r="AB26" s="17">
        <f t="shared" si="86"/>
        <v>0</v>
      </c>
      <c r="AC26" s="17">
        <f t="shared" si="86"/>
        <v>0</v>
      </c>
      <c r="AD26" s="17">
        <f t="shared" si="87"/>
        <v>0</v>
      </c>
      <c r="AE26" s="17">
        <f t="shared" si="87"/>
        <v>0</v>
      </c>
      <c r="AF26" s="17">
        <f t="shared" si="87"/>
        <v>0</v>
      </c>
      <c r="AG26" s="17">
        <f t="shared" si="87"/>
        <v>0</v>
      </c>
      <c r="AH26" s="17">
        <f t="shared" si="87"/>
        <v>0</v>
      </c>
      <c r="AI26" s="17">
        <f t="shared" si="87"/>
        <v>0</v>
      </c>
      <c r="AJ26" s="17">
        <f t="shared" si="87"/>
        <v>0</v>
      </c>
      <c r="AK26" s="17">
        <f t="shared" si="87"/>
        <v>0</v>
      </c>
      <c r="AL26" s="17">
        <f t="shared" si="87"/>
        <v>0</v>
      </c>
      <c r="AM26" s="17">
        <f t="shared" si="87"/>
        <v>0</v>
      </c>
      <c r="AN26" s="17">
        <f t="shared" si="88"/>
        <v>0</v>
      </c>
      <c r="AO26" s="17">
        <f t="shared" si="88"/>
        <v>0</v>
      </c>
      <c r="AP26" s="17">
        <f t="shared" si="88"/>
        <v>0</v>
      </c>
      <c r="AQ26" s="17">
        <f t="shared" si="88"/>
        <v>0</v>
      </c>
      <c r="AR26" s="17">
        <f t="shared" si="88"/>
        <v>0</v>
      </c>
      <c r="AS26" s="17">
        <f t="shared" si="88"/>
        <v>0</v>
      </c>
      <c r="AT26" s="17">
        <f t="shared" si="88"/>
        <v>0</v>
      </c>
      <c r="AU26" s="17">
        <f t="shared" si="88"/>
        <v>0</v>
      </c>
      <c r="AV26" s="17">
        <f t="shared" si="88"/>
        <v>0</v>
      </c>
      <c r="AW26" s="17">
        <f t="shared" si="88"/>
        <v>0</v>
      </c>
      <c r="AX26" s="17">
        <f t="shared" si="89"/>
        <v>0</v>
      </c>
      <c r="AY26" s="17">
        <f t="shared" si="89"/>
        <v>0</v>
      </c>
      <c r="AZ26" s="17">
        <f t="shared" si="89"/>
        <v>0</v>
      </c>
      <c r="BA26" s="17">
        <f t="shared" si="89"/>
        <v>0</v>
      </c>
      <c r="BB26" s="17">
        <f t="shared" si="89"/>
        <v>0</v>
      </c>
      <c r="BC26" s="17">
        <f t="shared" si="89"/>
        <v>0</v>
      </c>
      <c r="BD26" s="17">
        <f t="shared" si="89"/>
        <v>0</v>
      </c>
      <c r="BE26" s="17">
        <f t="shared" si="89"/>
        <v>0</v>
      </c>
      <c r="BF26" s="17">
        <f t="shared" si="89"/>
        <v>0</v>
      </c>
      <c r="BG26" s="17">
        <f t="shared" si="89"/>
        <v>0</v>
      </c>
      <c r="BH26" s="17">
        <f t="shared" si="90"/>
        <v>0</v>
      </c>
      <c r="BI26" s="17">
        <f t="shared" si="90"/>
        <v>0</v>
      </c>
      <c r="BJ26" s="17">
        <f t="shared" si="90"/>
        <v>0</v>
      </c>
      <c r="BK26" s="17">
        <f t="shared" si="90"/>
        <v>0</v>
      </c>
      <c r="BL26" s="17">
        <f t="shared" si="90"/>
        <v>0</v>
      </c>
      <c r="BM26" s="17">
        <f t="shared" si="90"/>
        <v>0</v>
      </c>
      <c r="BN26" s="17">
        <f t="shared" si="90"/>
        <v>0</v>
      </c>
      <c r="BO26" s="17">
        <f t="shared" si="90"/>
        <v>0</v>
      </c>
      <c r="BP26" s="17">
        <f t="shared" si="90"/>
        <v>0</v>
      </c>
      <c r="BQ26" s="17">
        <f t="shared" si="90"/>
        <v>0</v>
      </c>
      <c r="BR26" s="17">
        <f t="shared" si="91"/>
        <v>0</v>
      </c>
      <c r="BS26" s="17">
        <f t="shared" si="91"/>
        <v>0</v>
      </c>
      <c r="BT26" s="17">
        <f t="shared" si="91"/>
        <v>0</v>
      </c>
      <c r="BU26" s="17">
        <f t="shared" si="91"/>
        <v>0</v>
      </c>
      <c r="BV26" s="17">
        <f t="shared" si="91"/>
        <v>0</v>
      </c>
      <c r="BW26" s="17">
        <f t="shared" si="91"/>
        <v>0</v>
      </c>
      <c r="BX26" s="17">
        <f t="shared" si="91"/>
        <v>0</v>
      </c>
      <c r="BY26" s="17">
        <f t="shared" si="91"/>
        <v>0</v>
      </c>
      <c r="BZ26" s="17">
        <f t="shared" si="91"/>
        <v>0</v>
      </c>
      <c r="CA26" s="17">
        <f t="shared" si="91"/>
        <v>0</v>
      </c>
      <c r="CB26" s="17">
        <f t="shared" si="92"/>
        <v>0</v>
      </c>
      <c r="CC26" s="17">
        <f t="shared" si="92"/>
        <v>0</v>
      </c>
      <c r="CD26" s="17">
        <f t="shared" si="92"/>
        <v>0</v>
      </c>
      <c r="CE26" s="17">
        <f t="shared" si="92"/>
        <v>0</v>
      </c>
      <c r="CF26" s="17">
        <f t="shared" si="92"/>
        <v>0</v>
      </c>
      <c r="CG26" s="17">
        <f t="shared" si="92"/>
        <v>0</v>
      </c>
      <c r="CH26" s="17">
        <f t="shared" si="92"/>
        <v>0</v>
      </c>
      <c r="CI26" s="17">
        <f t="shared" si="92"/>
        <v>0</v>
      </c>
      <c r="CJ26" s="17">
        <f t="shared" si="92"/>
        <v>0</v>
      </c>
      <c r="CK26" s="17">
        <f t="shared" si="92"/>
        <v>0</v>
      </c>
      <c r="CL26" s="17">
        <f t="shared" si="93"/>
        <v>0</v>
      </c>
      <c r="CM26" s="17">
        <f t="shared" si="93"/>
        <v>0</v>
      </c>
      <c r="CN26" s="17">
        <f t="shared" si="93"/>
        <v>0</v>
      </c>
      <c r="CO26" s="17">
        <f t="shared" si="93"/>
        <v>0</v>
      </c>
      <c r="CP26" s="17">
        <f t="shared" si="93"/>
        <v>0</v>
      </c>
      <c r="CQ26" s="17">
        <f t="shared" si="93"/>
        <v>0</v>
      </c>
      <c r="CR26" s="17">
        <f t="shared" si="93"/>
        <v>0</v>
      </c>
      <c r="CS26" s="17">
        <f t="shared" si="93"/>
        <v>0</v>
      </c>
      <c r="CT26" s="17">
        <f t="shared" si="93"/>
        <v>0</v>
      </c>
      <c r="CU26" s="17">
        <f t="shared" si="93"/>
        <v>0</v>
      </c>
      <c r="CV26" s="17">
        <f t="shared" si="94"/>
        <v>0</v>
      </c>
      <c r="CW26" s="17">
        <f t="shared" si="94"/>
        <v>0</v>
      </c>
      <c r="CX26" s="17">
        <f t="shared" si="94"/>
        <v>0</v>
      </c>
      <c r="CY26" s="17">
        <f t="shared" si="94"/>
        <v>0</v>
      </c>
      <c r="CZ26" s="17">
        <f t="shared" si="94"/>
        <v>0</v>
      </c>
      <c r="DA26" s="17">
        <f t="shared" si="94"/>
        <v>0</v>
      </c>
      <c r="DB26" s="17">
        <f t="shared" si="94"/>
        <v>0</v>
      </c>
      <c r="DC26" s="17">
        <f t="shared" si="94"/>
        <v>0</v>
      </c>
      <c r="DD26" s="17">
        <f t="shared" si="94"/>
        <v>0</v>
      </c>
      <c r="DE26" s="17">
        <f t="shared" si="94"/>
        <v>0</v>
      </c>
      <c r="DF26" s="17">
        <f t="shared" si="95"/>
        <v>0</v>
      </c>
      <c r="DG26" s="17">
        <f t="shared" si="95"/>
        <v>0</v>
      </c>
      <c r="DH26" s="17">
        <f t="shared" si="95"/>
        <v>0</v>
      </c>
      <c r="DI26" s="17">
        <f t="shared" si="95"/>
        <v>0</v>
      </c>
      <c r="DJ26" s="17">
        <f t="shared" si="95"/>
        <v>0</v>
      </c>
      <c r="DK26" s="17">
        <f t="shared" si="95"/>
        <v>0</v>
      </c>
      <c r="DL26" s="17">
        <f t="shared" si="95"/>
        <v>0</v>
      </c>
      <c r="DM26" s="17">
        <f t="shared" si="95"/>
        <v>0</v>
      </c>
      <c r="DN26" s="17">
        <f t="shared" si="95"/>
        <v>0</v>
      </c>
      <c r="DO26" s="17">
        <f t="shared" si="95"/>
        <v>0</v>
      </c>
      <c r="DP26" s="17">
        <f t="shared" si="96"/>
        <v>0</v>
      </c>
      <c r="DQ26" s="17">
        <f t="shared" si="96"/>
        <v>0</v>
      </c>
      <c r="DR26" s="17">
        <f t="shared" si="96"/>
        <v>0</v>
      </c>
      <c r="DS26" s="17">
        <f t="shared" si="96"/>
        <v>0</v>
      </c>
      <c r="DT26" s="17">
        <f t="shared" si="96"/>
        <v>0</v>
      </c>
      <c r="DU26" s="17">
        <f t="shared" si="96"/>
        <v>0</v>
      </c>
      <c r="DV26" s="17">
        <f t="shared" si="96"/>
        <v>0</v>
      </c>
      <c r="DW26" s="17">
        <f t="shared" si="96"/>
        <v>0</v>
      </c>
      <c r="DX26" s="17">
        <f t="shared" si="96"/>
        <v>0</v>
      </c>
      <c r="DY26" s="17">
        <f t="shared" si="96"/>
        <v>0</v>
      </c>
      <c r="DZ26" s="17">
        <f t="shared" si="97"/>
        <v>0</v>
      </c>
      <c r="EA26" s="17">
        <f t="shared" si="97"/>
        <v>0</v>
      </c>
      <c r="EB26" s="17">
        <f t="shared" si="97"/>
        <v>0</v>
      </c>
      <c r="EC26" s="17">
        <f t="shared" si="97"/>
        <v>0</v>
      </c>
      <c r="ED26" s="17">
        <f t="shared" si="97"/>
        <v>0</v>
      </c>
      <c r="EE26" s="17">
        <f t="shared" si="97"/>
        <v>0</v>
      </c>
      <c r="EF26" s="17">
        <f t="shared" si="97"/>
        <v>0</v>
      </c>
      <c r="EG26" s="17">
        <f t="shared" si="97"/>
        <v>0</v>
      </c>
      <c r="EH26" s="17">
        <f t="shared" si="97"/>
        <v>0</v>
      </c>
      <c r="EI26" s="17">
        <f t="shared" si="97"/>
        <v>0</v>
      </c>
      <c r="EJ26" s="17">
        <f t="shared" si="98"/>
        <v>0</v>
      </c>
      <c r="EK26" s="17">
        <f t="shared" si="98"/>
        <v>0</v>
      </c>
      <c r="EL26" s="17">
        <f t="shared" si="98"/>
        <v>0</v>
      </c>
      <c r="EM26" s="17">
        <f t="shared" si="98"/>
        <v>0</v>
      </c>
      <c r="EN26" s="17">
        <f t="shared" si="98"/>
        <v>0</v>
      </c>
      <c r="EO26" s="17">
        <f t="shared" si="98"/>
        <v>0</v>
      </c>
      <c r="EP26" s="17">
        <f t="shared" si="98"/>
        <v>0</v>
      </c>
      <c r="EQ26" s="17">
        <f t="shared" si="98"/>
        <v>0</v>
      </c>
      <c r="ER26" s="17">
        <f t="shared" si="98"/>
        <v>0</v>
      </c>
      <c r="ES26" s="17">
        <f t="shared" si="98"/>
        <v>0</v>
      </c>
      <c r="ET26" s="17">
        <f t="shared" si="99"/>
        <v>0</v>
      </c>
      <c r="EU26" s="17">
        <f t="shared" si="99"/>
        <v>0</v>
      </c>
      <c r="EV26" s="17">
        <f t="shared" si="99"/>
        <v>0</v>
      </c>
      <c r="EW26" s="17">
        <f t="shared" si="99"/>
        <v>0</v>
      </c>
      <c r="EX26" s="17">
        <f t="shared" si="99"/>
        <v>0</v>
      </c>
      <c r="EY26" s="17">
        <f t="shared" si="99"/>
        <v>0</v>
      </c>
      <c r="EZ26" s="17">
        <f t="shared" si="99"/>
        <v>0</v>
      </c>
      <c r="FA26" s="17">
        <f t="shared" si="99"/>
        <v>0</v>
      </c>
      <c r="FB26" s="17">
        <f t="shared" si="99"/>
        <v>0</v>
      </c>
      <c r="FC26" s="17">
        <f t="shared" si="99"/>
        <v>0</v>
      </c>
      <c r="FD26" s="17">
        <f t="shared" si="100"/>
        <v>0</v>
      </c>
      <c r="FE26" s="17">
        <f t="shared" si="100"/>
        <v>0</v>
      </c>
      <c r="FF26" s="17">
        <f t="shared" si="100"/>
        <v>0</v>
      </c>
      <c r="FG26" s="17">
        <f t="shared" si="100"/>
        <v>0</v>
      </c>
      <c r="FH26" s="17">
        <f t="shared" si="100"/>
        <v>0</v>
      </c>
      <c r="FI26" s="17">
        <f t="shared" si="100"/>
        <v>0</v>
      </c>
      <c r="FJ26" s="17">
        <f t="shared" si="100"/>
        <v>0</v>
      </c>
      <c r="FK26" s="17">
        <f t="shared" si="100"/>
        <v>0</v>
      </c>
      <c r="FL26" s="17">
        <f t="shared" si="100"/>
        <v>0</v>
      </c>
      <c r="FM26" s="17">
        <f t="shared" si="100"/>
        <v>0</v>
      </c>
      <c r="FN26" s="17">
        <f t="shared" si="101"/>
        <v>0</v>
      </c>
      <c r="FO26" s="17">
        <f t="shared" si="101"/>
        <v>0</v>
      </c>
      <c r="FP26" s="17">
        <f t="shared" si="101"/>
        <v>0</v>
      </c>
      <c r="FQ26" s="17">
        <f t="shared" si="101"/>
        <v>0</v>
      </c>
      <c r="FR26" s="17">
        <f t="shared" si="101"/>
        <v>0</v>
      </c>
      <c r="FS26" s="17">
        <f t="shared" si="101"/>
        <v>0</v>
      </c>
      <c r="FT26" s="17">
        <f t="shared" si="101"/>
        <v>0</v>
      </c>
      <c r="FU26" s="17">
        <f t="shared" si="101"/>
        <v>0</v>
      </c>
      <c r="FV26" s="17">
        <f t="shared" si="101"/>
        <v>0</v>
      </c>
      <c r="FW26" s="17">
        <f t="shared" si="101"/>
        <v>0</v>
      </c>
      <c r="FX26" s="17">
        <f t="shared" si="102"/>
        <v>0</v>
      </c>
      <c r="FY26" s="17">
        <f t="shared" si="102"/>
        <v>0</v>
      </c>
      <c r="FZ26" s="17">
        <f t="shared" si="102"/>
        <v>0</v>
      </c>
      <c r="GA26" s="17">
        <f t="shared" si="102"/>
        <v>0</v>
      </c>
      <c r="GB26" s="17">
        <f t="shared" si="102"/>
        <v>0</v>
      </c>
      <c r="GC26" s="17">
        <f t="shared" si="102"/>
        <v>0</v>
      </c>
      <c r="GD26" s="17">
        <f t="shared" si="102"/>
        <v>0</v>
      </c>
      <c r="GE26" s="17">
        <f t="shared" si="102"/>
        <v>0</v>
      </c>
      <c r="GF26" s="17">
        <f t="shared" si="102"/>
        <v>0</v>
      </c>
      <c r="GG26" s="17">
        <f t="shared" si="102"/>
        <v>0</v>
      </c>
      <c r="GH26" s="17">
        <f t="shared" si="103"/>
        <v>0</v>
      </c>
      <c r="GI26" s="17">
        <f t="shared" si="103"/>
        <v>0</v>
      </c>
      <c r="GJ26" s="17">
        <f t="shared" si="103"/>
        <v>0</v>
      </c>
      <c r="GK26" s="17">
        <f t="shared" si="103"/>
        <v>0</v>
      </c>
      <c r="GL26" s="17">
        <f t="shared" si="103"/>
        <v>0</v>
      </c>
      <c r="GM26" s="17">
        <f t="shared" si="103"/>
        <v>0</v>
      </c>
      <c r="GN26" s="17">
        <f t="shared" si="103"/>
        <v>0</v>
      </c>
      <c r="GO26" s="17">
        <f t="shared" si="103"/>
        <v>0</v>
      </c>
      <c r="GP26" s="17">
        <f t="shared" si="103"/>
        <v>0</v>
      </c>
      <c r="GQ26" s="17">
        <f t="shared" si="103"/>
        <v>0</v>
      </c>
      <c r="GR26" s="9"/>
      <c r="GS26" s="70" t="str">
        <f t="shared" si="77"/>
        <v>[Item]</v>
      </c>
      <c r="GT26" s="77">
        <f t="shared" si="104"/>
        <v>0</v>
      </c>
      <c r="GU26" s="78">
        <f t="shared" si="78"/>
        <v>1</v>
      </c>
      <c r="GV26" s="78">
        <f t="shared" si="78"/>
        <v>1</v>
      </c>
      <c r="GW26" s="78">
        <f t="shared" si="105"/>
        <v>1</v>
      </c>
      <c r="GX26" s="79">
        <f t="shared" si="106"/>
        <v>0.16666666666666666</v>
      </c>
      <c r="GY26" s="79" t="b">
        <f t="shared" si="107"/>
        <v>1</v>
      </c>
      <c r="GZ26" s="77">
        <f t="shared" si="108"/>
        <v>0</v>
      </c>
      <c r="HA26" s="77">
        <f t="shared" si="109"/>
        <v>0</v>
      </c>
      <c r="HB26" s="77">
        <f t="shared" si="109"/>
        <v>0</v>
      </c>
      <c r="HC26" s="77">
        <f t="shared" si="109"/>
        <v>0</v>
      </c>
      <c r="HD26" s="77">
        <f t="shared" si="109"/>
        <v>0</v>
      </c>
      <c r="HE26" s="77">
        <f t="shared" si="109"/>
        <v>0</v>
      </c>
      <c r="HF26" s="77">
        <f t="shared" si="109"/>
        <v>0</v>
      </c>
      <c r="HG26" s="77">
        <f t="shared" si="109"/>
        <v>0</v>
      </c>
      <c r="HH26" s="77">
        <f t="shared" si="109"/>
        <v>0</v>
      </c>
      <c r="HI26" s="77">
        <f t="shared" si="109"/>
        <v>0</v>
      </c>
      <c r="HJ26" s="77">
        <f t="shared" si="109"/>
        <v>0</v>
      </c>
      <c r="HK26" s="77">
        <f t="shared" si="109"/>
        <v>0</v>
      </c>
      <c r="HL26" s="77">
        <f t="shared" si="109"/>
        <v>0</v>
      </c>
      <c r="HM26" s="77">
        <f t="shared" si="109"/>
        <v>0</v>
      </c>
      <c r="HN26" s="77">
        <f t="shared" si="109"/>
        <v>0</v>
      </c>
      <c r="HO26" s="77">
        <f t="shared" si="109"/>
        <v>0</v>
      </c>
      <c r="HP26" s="77">
        <f t="shared" si="109"/>
        <v>0</v>
      </c>
      <c r="HQ26" s="77">
        <f t="shared" si="110"/>
        <v>0</v>
      </c>
      <c r="HR26" s="77">
        <f t="shared" si="110"/>
        <v>0</v>
      </c>
      <c r="HS26" s="77">
        <f t="shared" si="110"/>
        <v>0</v>
      </c>
      <c r="HT26" s="77">
        <f t="shared" si="110"/>
        <v>0</v>
      </c>
      <c r="HU26" s="77">
        <f t="shared" si="110"/>
        <v>0</v>
      </c>
      <c r="HV26" s="77">
        <f t="shared" si="110"/>
        <v>0</v>
      </c>
      <c r="HW26" s="77">
        <f t="shared" si="110"/>
        <v>0</v>
      </c>
      <c r="HX26" s="77">
        <f t="shared" si="110"/>
        <v>0</v>
      </c>
      <c r="HY26" s="77">
        <f t="shared" si="110"/>
        <v>0</v>
      </c>
      <c r="HZ26" s="77">
        <f t="shared" si="110"/>
        <v>0</v>
      </c>
      <c r="IA26" s="77">
        <f t="shared" si="110"/>
        <v>0</v>
      </c>
      <c r="IB26" s="77">
        <f t="shared" si="110"/>
        <v>0</v>
      </c>
      <c r="IC26" s="77">
        <f t="shared" si="110"/>
        <v>0</v>
      </c>
      <c r="ID26" s="77">
        <f t="shared" si="110"/>
        <v>0</v>
      </c>
      <c r="IE26" s="77">
        <f t="shared" si="110"/>
        <v>0</v>
      </c>
      <c r="IF26" s="77">
        <f t="shared" si="110"/>
        <v>0</v>
      </c>
      <c r="IG26" s="77">
        <f t="shared" si="111"/>
        <v>0</v>
      </c>
      <c r="IH26" s="77">
        <f t="shared" si="111"/>
        <v>0</v>
      </c>
      <c r="II26" s="77">
        <f t="shared" si="111"/>
        <v>0</v>
      </c>
      <c r="IJ26" s="77">
        <f t="shared" si="111"/>
        <v>0</v>
      </c>
      <c r="IK26" s="77">
        <f t="shared" si="111"/>
        <v>0</v>
      </c>
      <c r="IL26" s="77">
        <f t="shared" si="111"/>
        <v>0</v>
      </c>
      <c r="IM26" s="77">
        <f t="shared" si="111"/>
        <v>0</v>
      </c>
      <c r="IN26" s="77">
        <f t="shared" si="111"/>
        <v>0</v>
      </c>
      <c r="IO26" s="77">
        <f t="shared" si="111"/>
        <v>0</v>
      </c>
      <c r="IP26" s="77">
        <f t="shared" si="111"/>
        <v>0</v>
      </c>
      <c r="IQ26" s="77">
        <f t="shared" si="111"/>
        <v>0</v>
      </c>
      <c r="IR26" s="77">
        <f t="shared" si="111"/>
        <v>0</v>
      </c>
      <c r="IS26" s="77">
        <f t="shared" si="111"/>
        <v>0</v>
      </c>
      <c r="IT26" s="77">
        <f t="shared" si="111"/>
        <v>0</v>
      </c>
      <c r="IU26" s="77">
        <f t="shared" si="111"/>
        <v>0</v>
      </c>
      <c r="IV26" s="77">
        <f t="shared" si="111"/>
        <v>0</v>
      </c>
      <c r="IW26" s="77">
        <f t="shared" si="112"/>
        <v>0</v>
      </c>
      <c r="IX26" s="77">
        <f t="shared" si="112"/>
        <v>0</v>
      </c>
      <c r="IY26" s="77">
        <f t="shared" si="112"/>
        <v>0</v>
      </c>
      <c r="IZ26" s="77">
        <f t="shared" si="112"/>
        <v>0</v>
      </c>
      <c r="JA26" s="77">
        <f t="shared" si="112"/>
        <v>0</v>
      </c>
      <c r="JB26" s="77">
        <f t="shared" si="112"/>
        <v>0</v>
      </c>
      <c r="JC26" s="77">
        <f t="shared" si="112"/>
        <v>0</v>
      </c>
      <c r="JD26" s="77">
        <f t="shared" si="112"/>
        <v>0</v>
      </c>
      <c r="JE26" s="77">
        <f t="shared" si="112"/>
        <v>0</v>
      </c>
      <c r="JF26" s="77">
        <f t="shared" si="112"/>
        <v>0</v>
      </c>
      <c r="JG26" s="77">
        <f t="shared" si="112"/>
        <v>0</v>
      </c>
      <c r="JH26" s="77">
        <f t="shared" si="112"/>
        <v>0</v>
      </c>
      <c r="JI26" s="77">
        <f t="shared" si="112"/>
        <v>0</v>
      </c>
      <c r="JJ26" s="77">
        <f t="shared" si="112"/>
        <v>0</v>
      </c>
      <c r="JK26" s="77">
        <f t="shared" si="112"/>
        <v>0</v>
      </c>
      <c r="JL26" s="77">
        <f t="shared" si="112"/>
        <v>0</v>
      </c>
      <c r="JM26" s="77">
        <f t="shared" si="113"/>
        <v>0</v>
      </c>
      <c r="JN26" s="77">
        <f t="shared" si="113"/>
        <v>0</v>
      </c>
      <c r="JO26" s="77">
        <f t="shared" si="113"/>
        <v>0</v>
      </c>
      <c r="JP26" s="77">
        <f t="shared" si="113"/>
        <v>0</v>
      </c>
      <c r="JQ26" s="77">
        <f t="shared" si="113"/>
        <v>0</v>
      </c>
      <c r="JR26" s="77">
        <f t="shared" si="113"/>
        <v>0</v>
      </c>
      <c r="JS26" s="77">
        <f t="shared" si="113"/>
        <v>0</v>
      </c>
      <c r="JT26" s="77">
        <f t="shared" si="113"/>
        <v>0</v>
      </c>
      <c r="JU26" s="77">
        <f t="shared" si="113"/>
        <v>0</v>
      </c>
      <c r="JV26" s="77">
        <f t="shared" si="113"/>
        <v>0</v>
      </c>
      <c r="JW26" s="77">
        <f t="shared" si="113"/>
        <v>0</v>
      </c>
      <c r="JX26" s="77">
        <f t="shared" si="113"/>
        <v>0</v>
      </c>
      <c r="JY26" s="77">
        <f t="shared" si="113"/>
        <v>0</v>
      </c>
      <c r="JZ26" s="77">
        <f t="shared" si="113"/>
        <v>0</v>
      </c>
      <c r="KA26" s="77">
        <f t="shared" si="113"/>
        <v>0</v>
      </c>
      <c r="KB26" s="77">
        <f t="shared" si="113"/>
        <v>0</v>
      </c>
      <c r="KC26" s="77">
        <f t="shared" si="114"/>
        <v>0</v>
      </c>
      <c r="KD26" s="77">
        <f t="shared" si="114"/>
        <v>0</v>
      </c>
      <c r="KE26" s="77">
        <f t="shared" si="114"/>
        <v>0</v>
      </c>
      <c r="KF26" s="77">
        <f t="shared" si="114"/>
        <v>0</v>
      </c>
      <c r="KG26" s="77">
        <f t="shared" si="114"/>
        <v>0</v>
      </c>
      <c r="KH26" s="77">
        <f t="shared" si="114"/>
        <v>0</v>
      </c>
      <c r="KI26" s="77">
        <f t="shared" si="114"/>
        <v>0</v>
      </c>
      <c r="KJ26" s="77">
        <f t="shared" si="114"/>
        <v>0</v>
      </c>
      <c r="KK26" s="77">
        <f t="shared" si="114"/>
        <v>0</v>
      </c>
      <c r="KL26" s="77">
        <f t="shared" si="114"/>
        <v>0</v>
      </c>
      <c r="KM26" s="77">
        <f t="shared" si="114"/>
        <v>0</v>
      </c>
      <c r="KN26" s="77">
        <f t="shared" si="114"/>
        <v>0</v>
      </c>
      <c r="KO26" s="77">
        <f t="shared" si="114"/>
        <v>0</v>
      </c>
      <c r="KP26" s="77">
        <f t="shared" si="114"/>
        <v>0</v>
      </c>
      <c r="KQ26" s="77">
        <f t="shared" si="114"/>
        <v>0</v>
      </c>
      <c r="KR26" s="77">
        <f t="shared" si="114"/>
        <v>0</v>
      </c>
      <c r="KS26" s="77">
        <f t="shared" si="115"/>
        <v>0</v>
      </c>
      <c r="KT26" s="77">
        <f t="shared" si="115"/>
        <v>0</v>
      </c>
      <c r="KU26" s="77">
        <f t="shared" si="115"/>
        <v>0</v>
      </c>
      <c r="KV26" s="77">
        <f t="shared" si="115"/>
        <v>0</v>
      </c>
      <c r="KW26" s="77">
        <f t="shared" si="115"/>
        <v>0</v>
      </c>
      <c r="KX26" s="77">
        <f t="shared" si="115"/>
        <v>0</v>
      </c>
      <c r="KY26" s="77">
        <f t="shared" si="115"/>
        <v>0</v>
      </c>
      <c r="KZ26" s="77">
        <f t="shared" si="115"/>
        <v>0</v>
      </c>
      <c r="LA26" s="77">
        <f t="shared" si="115"/>
        <v>0</v>
      </c>
      <c r="LB26" s="77">
        <f t="shared" si="115"/>
        <v>0</v>
      </c>
      <c r="LC26" s="77">
        <f t="shared" si="115"/>
        <v>0</v>
      </c>
      <c r="LD26" s="77">
        <f t="shared" si="115"/>
        <v>0</v>
      </c>
      <c r="LE26" s="77">
        <f t="shared" si="115"/>
        <v>0</v>
      </c>
      <c r="LF26" s="77">
        <f t="shared" si="115"/>
        <v>0</v>
      </c>
      <c r="LG26" s="77">
        <f t="shared" si="115"/>
        <v>0</v>
      </c>
      <c r="LH26" s="77">
        <f t="shared" si="115"/>
        <v>0</v>
      </c>
      <c r="LI26" s="77">
        <f t="shared" si="116"/>
        <v>0</v>
      </c>
      <c r="LJ26" s="77">
        <f t="shared" si="116"/>
        <v>0</v>
      </c>
      <c r="LK26" s="77">
        <f t="shared" si="116"/>
        <v>0</v>
      </c>
      <c r="LL26" s="77">
        <f t="shared" si="116"/>
        <v>0</v>
      </c>
      <c r="LM26" s="77">
        <f t="shared" si="116"/>
        <v>0</v>
      </c>
      <c r="LN26" s="77">
        <f t="shared" si="116"/>
        <v>0</v>
      </c>
      <c r="LO26" s="77">
        <f t="shared" si="116"/>
        <v>0</v>
      </c>
      <c r="LP26" s="77">
        <f t="shared" si="116"/>
        <v>0</v>
      </c>
      <c r="LQ26" s="77">
        <f t="shared" si="116"/>
        <v>0</v>
      </c>
      <c r="LR26" s="77">
        <f t="shared" si="116"/>
        <v>0</v>
      </c>
      <c r="LS26" s="77">
        <f t="shared" si="116"/>
        <v>0</v>
      </c>
      <c r="LT26" s="77">
        <f t="shared" si="116"/>
        <v>0</v>
      </c>
      <c r="LU26" s="77">
        <f t="shared" si="116"/>
        <v>0</v>
      </c>
      <c r="LV26" s="77">
        <f t="shared" si="116"/>
        <v>0</v>
      </c>
      <c r="LW26" s="77">
        <f t="shared" si="116"/>
        <v>0</v>
      </c>
      <c r="LX26" s="77">
        <f t="shared" si="116"/>
        <v>0</v>
      </c>
      <c r="LY26" s="77">
        <f t="shared" si="117"/>
        <v>0</v>
      </c>
      <c r="LZ26" s="77">
        <f t="shared" si="117"/>
        <v>0</v>
      </c>
      <c r="MA26" s="77">
        <f t="shared" si="117"/>
        <v>0</v>
      </c>
      <c r="MB26" s="77">
        <f t="shared" si="117"/>
        <v>0</v>
      </c>
      <c r="MC26" s="77">
        <f t="shared" si="117"/>
        <v>0</v>
      </c>
      <c r="MD26" s="77">
        <f t="shared" si="117"/>
        <v>0</v>
      </c>
      <c r="ME26" s="77">
        <f t="shared" si="117"/>
        <v>0</v>
      </c>
      <c r="MF26" s="77">
        <f t="shared" si="117"/>
        <v>0</v>
      </c>
      <c r="MG26" s="77">
        <f t="shared" si="117"/>
        <v>0</v>
      </c>
      <c r="MH26" s="77">
        <f t="shared" si="117"/>
        <v>0</v>
      </c>
      <c r="MI26" s="77">
        <f t="shared" si="117"/>
        <v>0</v>
      </c>
      <c r="MJ26" s="77">
        <f t="shared" si="117"/>
        <v>0</v>
      </c>
      <c r="MK26" s="77">
        <f t="shared" si="117"/>
        <v>0</v>
      </c>
      <c r="ML26" s="77">
        <f t="shared" si="117"/>
        <v>0</v>
      </c>
      <c r="MM26" s="77">
        <f t="shared" si="117"/>
        <v>0</v>
      </c>
      <c r="MN26" s="77">
        <f t="shared" si="117"/>
        <v>0</v>
      </c>
      <c r="MO26" s="77">
        <f t="shared" si="118"/>
        <v>0</v>
      </c>
      <c r="MP26" s="77">
        <f t="shared" si="118"/>
        <v>0</v>
      </c>
      <c r="MQ26" s="77">
        <f t="shared" si="118"/>
        <v>0</v>
      </c>
      <c r="MR26" s="77">
        <f t="shared" si="118"/>
        <v>0</v>
      </c>
      <c r="MS26" s="77">
        <f t="shared" si="118"/>
        <v>0</v>
      </c>
      <c r="MT26" s="77">
        <f t="shared" si="118"/>
        <v>0</v>
      </c>
      <c r="MU26" s="77">
        <f t="shared" si="118"/>
        <v>0</v>
      </c>
      <c r="MV26" s="77">
        <f t="shared" si="118"/>
        <v>0</v>
      </c>
      <c r="MW26" s="77">
        <f t="shared" si="118"/>
        <v>0</v>
      </c>
      <c r="MX26" s="77">
        <f t="shared" si="118"/>
        <v>0</v>
      </c>
      <c r="MY26" s="77">
        <f t="shared" si="118"/>
        <v>0</v>
      </c>
      <c r="MZ26" s="77">
        <f t="shared" si="118"/>
        <v>0</v>
      </c>
      <c r="NA26" s="77">
        <f t="shared" si="118"/>
        <v>0</v>
      </c>
      <c r="NB26" s="77">
        <f t="shared" si="118"/>
        <v>0</v>
      </c>
      <c r="NC26" s="77">
        <f t="shared" si="118"/>
        <v>0</v>
      </c>
      <c r="ND26" s="77">
        <f t="shared" si="118"/>
        <v>0</v>
      </c>
      <c r="NE26" s="77">
        <f t="shared" si="119"/>
        <v>0</v>
      </c>
      <c r="NF26" s="77">
        <f t="shared" si="119"/>
        <v>0</v>
      </c>
      <c r="NG26" s="77">
        <f t="shared" si="119"/>
        <v>0</v>
      </c>
      <c r="NH26" s="77">
        <f t="shared" si="119"/>
        <v>0</v>
      </c>
      <c r="NI26" s="77">
        <f t="shared" si="119"/>
        <v>0</v>
      </c>
      <c r="NJ26" s="77">
        <f t="shared" si="119"/>
        <v>0</v>
      </c>
      <c r="NK26" s="77">
        <f t="shared" si="119"/>
        <v>0</v>
      </c>
      <c r="NL26" s="77">
        <f t="shared" si="119"/>
        <v>0</v>
      </c>
      <c r="NM26" s="77">
        <f t="shared" si="119"/>
        <v>0</v>
      </c>
      <c r="NN26" s="77">
        <f t="shared" si="119"/>
        <v>0</v>
      </c>
      <c r="NO26" s="77">
        <f t="shared" si="119"/>
        <v>0</v>
      </c>
      <c r="NP26" s="77">
        <f t="shared" si="119"/>
        <v>0</v>
      </c>
      <c r="NQ26" s="77">
        <f t="shared" si="119"/>
        <v>0</v>
      </c>
      <c r="NR26" s="77">
        <f t="shared" si="119"/>
        <v>0</v>
      </c>
      <c r="NS26" s="77">
        <f t="shared" si="119"/>
        <v>0</v>
      </c>
      <c r="NT26" s="77">
        <f t="shared" si="119"/>
        <v>0</v>
      </c>
      <c r="NU26" s="77">
        <f t="shared" si="120"/>
        <v>0</v>
      </c>
      <c r="NV26" s="77">
        <f t="shared" si="120"/>
        <v>0</v>
      </c>
      <c r="NW26" s="77">
        <f t="shared" si="120"/>
        <v>0</v>
      </c>
      <c r="NX26" s="10"/>
    </row>
    <row r="27" spans="2:388" x14ac:dyDescent="0.3">
      <c r="B27" s="18" t="str">
        <f>"Total "&amp;B21</f>
        <v>Total Hard Costs (Horizontal)</v>
      </c>
      <c r="C27" s="18"/>
      <c r="D27" s="19"/>
      <c r="E27" s="34">
        <f>MIN(E22:E26)</f>
        <v>1</v>
      </c>
      <c r="F27" s="34">
        <f>MAX(F22:F26)</f>
        <v>30</v>
      </c>
      <c r="G27" s="19"/>
      <c r="H27" s="28">
        <f t="shared" si="82"/>
        <v>30</v>
      </c>
      <c r="I27" s="19"/>
      <c r="J27" s="23">
        <f>SUM(J22:J26)</f>
        <v>24891.847826086956</v>
      </c>
      <c r="K27" s="29">
        <f>SUM(K22:K26)</f>
        <v>3.2903017241379313</v>
      </c>
      <c r="L27" s="23">
        <f>SUM(L22:L26)</f>
        <v>5725125</v>
      </c>
      <c r="S27" s="69" t="str">
        <f t="shared" si="85"/>
        <v>OK</v>
      </c>
      <c r="T27" s="16">
        <f t="shared" ref="T27:AY27" si="122">SUM(T22:T26)</f>
        <v>11359.375</v>
      </c>
      <c r="U27" s="16">
        <f t="shared" si="122"/>
        <v>18250.045828823102</v>
      </c>
      <c r="V27" s="16">
        <f t="shared" si="122"/>
        <v>23615.24237319038</v>
      </c>
      <c r="W27" s="16">
        <f t="shared" si="122"/>
        <v>32247.589668269513</v>
      </c>
      <c r="X27" s="16">
        <f t="shared" si="122"/>
        <v>45473.43902953386</v>
      </c>
      <c r="Y27" s="16">
        <f t="shared" si="122"/>
        <v>64747.000291083103</v>
      </c>
      <c r="Z27" s="16">
        <f t="shared" si="122"/>
        <v>91420.719166756229</v>
      </c>
      <c r="AA27" s="16">
        <f t="shared" si="122"/>
        <v>126407.72504592669</v>
      </c>
      <c r="AB27" s="16">
        <f t="shared" si="122"/>
        <v>169780.56000762942</v>
      </c>
      <c r="AC27" s="16">
        <f t="shared" si="122"/>
        <v>220395.60101235914</v>
      </c>
      <c r="AD27" s="16">
        <f t="shared" si="122"/>
        <v>275664.36833633925</v>
      </c>
      <c r="AE27" s="16">
        <f t="shared" si="122"/>
        <v>331591.39887132833</v>
      </c>
      <c r="AF27" s="16">
        <f t="shared" si="122"/>
        <v>383151.15737573872</v>
      </c>
      <c r="AG27" s="16">
        <f t="shared" si="122"/>
        <v>424987.90761317493</v>
      </c>
      <c r="AH27" s="16">
        <f t="shared" si="122"/>
        <v>452317.04277500953</v>
      </c>
      <c r="AI27" s="16">
        <f t="shared" si="122"/>
        <v>461822.28020967566</v>
      </c>
      <c r="AJ27" s="16">
        <f t="shared" si="122"/>
        <v>452317.04277500982</v>
      </c>
      <c r="AK27" s="16">
        <f t="shared" si="122"/>
        <v>424987.90761317464</v>
      </c>
      <c r="AL27" s="16">
        <f t="shared" si="122"/>
        <v>383151.15737573855</v>
      </c>
      <c r="AM27" s="16">
        <f t="shared" si="122"/>
        <v>331591.39887132851</v>
      </c>
      <c r="AN27" s="16">
        <f t="shared" si="122"/>
        <v>275664.36833633913</v>
      </c>
      <c r="AO27" s="16">
        <f t="shared" si="122"/>
        <v>220395.60101235923</v>
      </c>
      <c r="AP27" s="16">
        <f t="shared" si="122"/>
        <v>169780.56000762928</v>
      </c>
      <c r="AQ27" s="16">
        <f t="shared" si="122"/>
        <v>126407.72504592722</v>
      </c>
      <c r="AR27" s="16">
        <f t="shared" si="122"/>
        <v>80061.344166755676</v>
      </c>
      <c r="AS27" s="16">
        <f t="shared" si="122"/>
        <v>53387.625291083219</v>
      </c>
      <c r="AT27" s="16">
        <f t="shared" si="122"/>
        <v>34114.064029534267</v>
      </c>
      <c r="AU27" s="16">
        <f t="shared" si="122"/>
        <v>20888.214668269262</v>
      </c>
      <c r="AV27" s="16">
        <f t="shared" si="122"/>
        <v>12255.867373190258</v>
      </c>
      <c r="AW27" s="16">
        <f t="shared" si="122"/>
        <v>6890.670828823143</v>
      </c>
      <c r="AX27" s="16">
        <f t="shared" si="122"/>
        <v>0</v>
      </c>
      <c r="AY27" s="16">
        <f t="shared" si="122"/>
        <v>0</v>
      </c>
      <c r="AZ27" s="16">
        <f t="shared" ref="AZ27:CE27" si="123">SUM(AZ22:AZ26)</f>
        <v>0</v>
      </c>
      <c r="BA27" s="16">
        <f t="shared" si="123"/>
        <v>0</v>
      </c>
      <c r="BB27" s="16">
        <f t="shared" si="123"/>
        <v>0</v>
      </c>
      <c r="BC27" s="16">
        <f t="shared" si="123"/>
        <v>0</v>
      </c>
      <c r="BD27" s="16">
        <f t="shared" si="123"/>
        <v>0</v>
      </c>
      <c r="BE27" s="16">
        <f t="shared" si="123"/>
        <v>0</v>
      </c>
      <c r="BF27" s="16">
        <f t="shared" si="123"/>
        <v>0</v>
      </c>
      <c r="BG27" s="16">
        <f t="shared" si="123"/>
        <v>0</v>
      </c>
      <c r="BH27" s="16">
        <f t="shared" si="123"/>
        <v>0</v>
      </c>
      <c r="BI27" s="16">
        <f t="shared" si="123"/>
        <v>0</v>
      </c>
      <c r="BJ27" s="16">
        <f t="shared" si="123"/>
        <v>0</v>
      </c>
      <c r="BK27" s="16">
        <f t="shared" si="123"/>
        <v>0</v>
      </c>
      <c r="BL27" s="16">
        <f t="shared" si="123"/>
        <v>0</v>
      </c>
      <c r="BM27" s="16">
        <f t="shared" si="123"/>
        <v>0</v>
      </c>
      <c r="BN27" s="16">
        <f t="shared" si="123"/>
        <v>0</v>
      </c>
      <c r="BO27" s="16">
        <f t="shared" si="123"/>
        <v>0</v>
      </c>
      <c r="BP27" s="16">
        <f t="shared" si="123"/>
        <v>0</v>
      </c>
      <c r="BQ27" s="16">
        <f t="shared" si="123"/>
        <v>0</v>
      </c>
      <c r="BR27" s="16">
        <f t="shared" si="123"/>
        <v>0</v>
      </c>
      <c r="BS27" s="16">
        <f t="shared" si="123"/>
        <v>0</v>
      </c>
      <c r="BT27" s="16">
        <f t="shared" si="123"/>
        <v>0</v>
      </c>
      <c r="BU27" s="16">
        <f t="shared" si="123"/>
        <v>0</v>
      </c>
      <c r="BV27" s="16">
        <f t="shared" si="123"/>
        <v>0</v>
      </c>
      <c r="BW27" s="16">
        <f t="shared" si="123"/>
        <v>0</v>
      </c>
      <c r="BX27" s="16">
        <f t="shared" si="123"/>
        <v>0</v>
      </c>
      <c r="BY27" s="16">
        <f t="shared" si="123"/>
        <v>0</v>
      </c>
      <c r="BZ27" s="16">
        <f t="shared" si="123"/>
        <v>0</v>
      </c>
      <c r="CA27" s="16">
        <f t="shared" si="123"/>
        <v>0</v>
      </c>
      <c r="CB27" s="16">
        <f t="shared" si="123"/>
        <v>0</v>
      </c>
      <c r="CC27" s="16">
        <f t="shared" si="123"/>
        <v>0</v>
      </c>
      <c r="CD27" s="16">
        <f t="shared" si="123"/>
        <v>0</v>
      </c>
      <c r="CE27" s="16">
        <f t="shared" si="123"/>
        <v>0</v>
      </c>
      <c r="CF27" s="16">
        <f t="shared" ref="CF27:DK27" si="124">SUM(CF22:CF26)</f>
        <v>0</v>
      </c>
      <c r="CG27" s="16">
        <f t="shared" si="124"/>
        <v>0</v>
      </c>
      <c r="CH27" s="16">
        <f t="shared" si="124"/>
        <v>0</v>
      </c>
      <c r="CI27" s="16">
        <f t="shared" si="124"/>
        <v>0</v>
      </c>
      <c r="CJ27" s="16">
        <f t="shared" si="124"/>
        <v>0</v>
      </c>
      <c r="CK27" s="16">
        <f t="shared" si="124"/>
        <v>0</v>
      </c>
      <c r="CL27" s="16">
        <f t="shared" si="124"/>
        <v>0</v>
      </c>
      <c r="CM27" s="16">
        <f t="shared" si="124"/>
        <v>0</v>
      </c>
      <c r="CN27" s="16">
        <f t="shared" si="124"/>
        <v>0</v>
      </c>
      <c r="CO27" s="16">
        <f t="shared" si="124"/>
        <v>0</v>
      </c>
      <c r="CP27" s="16">
        <f t="shared" si="124"/>
        <v>0</v>
      </c>
      <c r="CQ27" s="16">
        <f t="shared" si="124"/>
        <v>0</v>
      </c>
      <c r="CR27" s="16">
        <f t="shared" si="124"/>
        <v>0</v>
      </c>
      <c r="CS27" s="16">
        <f t="shared" si="124"/>
        <v>0</v>
      </c>
      <c r="CT27" s="16">
        <f t="shared" si="124"/>
        <v>0</v>
      </c>
      <c r="CU27" s="16">
        <f t="shared" si="124"/>
        <v>0</v>
      </c>
      <c r="CV27" s="16">
        <f t="shared" si="124"/>
        <v>0</v>
      </c>
      <c r="CW27" s="16">
        <f t="shared" si="124"/>
        <v>0</v>
      </c>
      <c r="CX27" s="16">
        <f t="shared" si="124"/>
        <v>0</v>
      </c>
      <c r="CY27" s="16">
        <f t="shared" si="124"/>
        <v>0</v>
      </c>
      <c r="CZ27" s="16">
        <f t="shared" si="124"/>
        <v>0</v>
      </c>
      <c r="DA27" s="16">
        <f t="shared" si="124"/>
        <v>0</v>
      </c>
      <c r="DB27" s="16">
        <f t="shared" si="124"/>
        <v>0</v>
      </c>
      <c r="DC27" s="16">
        <f t="shared" si="124"/>
        <v>0</v>
      </c>
      <c r="DD27" s="16">
        <f t="shared" si="124"/>
        <v>0</v>
      </c>
      <c r="DE27" s="16">
        <f t="shared" si="124"/>
        <v>0</v>
      </c>
      <c r="DF27" s="16">
        <f t="shared" si="124"/>
        <v>0</v>
      </c>
      <c r="DG27" s="16">
        <f t="shared" si="124"/>
        <v>0</v>
      </c>
      <c r="DH27" s="16">
        <f t="shared" si="124"/>
        <v>0</v>
      </c>
      <c r="DI27" s="16">
        <f t="shared" si="124"/>
        <v>0</v>
      </c>
      <c r="DJ27" s="16">
        <f t="shared" si="124"/>
        <v>0</v>
      </c>
      <c r="DK27" s="16">
        <f t="shared" si="124"/>
        <v>0</v>
      </c>
      <c r="DL27" s="16">
        <f t="shared" ref="DL27:EQ27" si="125">SUM(DL22:DL26)</f>
        <v>0</v>
      </c>
      <c r="DM27" s="16">
        <f t="shared" si="125"/>
        <v>0</v>
      </c>
      <c r="DN27" s="16">
        <f t="shared" si="125"/>
        <v>0</v>
      </c>
      <c r="DO27" s="16">
        <f t="shared" si="125"/>
        <v>0</v>
      </c>
      <c r="DP27" s="16">
        <f t="shared" si="125"/>
        <v>0</v>
      </c>
      <c r="DQ27" s="16">
        <f t="shared" si="125"/>
        <v>0</v>
      </c>
      <c r="DR27" s="16">
        <f t="shared" si="125"/>
        <v>0</v>
      </c>
      <c r="DS27" s="16">
        <f t="shared" si="125"/>
        <v>0</v>
      </c>
      <c r="DT27" s="16">
        <f t="shared" si="125"/>
        <v>0</v>
      </c>
      <c r="DU27" s="16">
        <f t="shared" si="125"/>
        <v>0</v>
      </c>
      <c r="DV27" s="16">
        <f t="shared" si="125"/>
        <v>0</v>
      </c>
      <c r="DW27" s="16">
        <f t="shared" si="125"/>
        <v>0</v>
      </c>
      <c r="DX27" s="16">
        <f t="shared" si="125"/>
        <v>0</v>
      </c>
      <c r="DY27" s="16">
        <f t="shared" si="125"/>
        <v>0</v>
      </c>
      <c r="DZ27" s="16">
        <f t="shared" si="125"/>
        <v>0</v>
      </c>
      <c r="EA27" s="16">
        <f t="shared" si="125"/>
        <v>0</v>
      </c>
      <c r="EB27" s="16">
        <f t="shared" si="125"/>
        <v>0</v>
      </c>
      <c r="EC27" s="16">
        <f t="shared" si="125"/>
        <v>0</v>
      </c>
      <c r="ED27" s="16">
        <f t="shared" si="125"/>
        <v>0</v>
      </c>
      <c r="EE27" s="16">
        <f t="shared" si="125"/>
        <v>0</v>
      </c>
      <c r="EF27" s="16">
        <f t="shared" si="125"/>
        <v>0</v>
      </c>
      <c r="EG27" s="16">
        <f t="shared" si="125"/>
        <v>0</v>
      </c>
      <c r="EH27" s="16">
        <f t="shared" si="125"/>
        <v>0</v>
      </c>
      <c r="EI27" s="16">
        <f t="shared" si="125"/>
        <v>0</v>
      </c>
      <c r="EJ27" s="16">
        <f t="shared" si="125"/>
        <v>0</v>
      </c>
      <c r="EK27" s="16">
        <f t="shared" si="125"/>
        <v>0</v>
      </c>
      <c r="EL27" s="16">
        <f t="shared" si="125"/>
        <v>0</v>
      </c>
      <c r="EM27" s="16">
        <f t="shared" si="125"/>
        <v>0</v>
      </c>
      <c r="EN27" s="16">
        <f t="shared" si="125"/>
        <v>0</v>
      </c>
      <c r="EO27" s="16">
        <f t="shared" si="125"/>
        <v>0</v>
      </c>
      <c r="EP27" s="16">
        <f t="shared" si="125"/>
        <v>0</v>
      </c>
      <c r="EQ27" s="16">
        <f t="shared" si="125"/>
        <v>0</v>
      </c>
      <c r="ER27" s="16">
        <f t="shared" ref="ER27:FW27" si="126">SUM(ER22:ER26)</f>
        <v>0</v>
      </c>
      <c r="ES27" s="16">
        <f t="shared" si="126"/>
        <v>0</v>
      </c>
      <c r="ET27" s="16">
        <f t="shared" si="126"/>
        <v>0</v>
      </c>
      <c r="EU27" s="16">
        <f t="shared" si="126"/>
        <v>0</v>
      </c>
      <c r="EV27" s="16">
        <f t="shared" si="126"/>
        <v>0</v>
      </c>
      <c r="EW27" s="16">
        <f t="shared" si="126"/>
        <v>0</v>
      </c>
      <c r="EX27" s="16">
        <f t="shared" si="126"/>
        <v>0</v>
      </c>
      <c r="EY27" s="16">
        <f t="shared" si="126"/>
        <v>0</v>
      </c>
      <c r="EZ27" s="16">
        <f t="shared" si="126"/>
        <v>0</v>
      </c>
      <c r="FA27" s="16">
        <f t="shared" si="126"/>
        <v>0</v>
      </c>
      <c r="FB27" s="16">
        <f t="shared" si="126"/>
        <v>0</v>
      </c>
      <c r="FC27" s="16">
        <f t="shared" si="126"/>
        <v>0</v>
      </c>
      <c r="FD27" s="16">
        <f t="shared" si="126"/>
        <v>0</v>
      </c>
      <c r="FE27" s="16">
        <f t="shared" si="126"/>
        <v>0</v>
      </c>
      <c r="FF27" s="16">
        <f t="shared" si="126"/>
        <v>0</v>
      </c>
      <c r="FG27" s="16">
        <f t="shared" si="126"/>
        <v>0</v>
      </c>
      <c r="FH27" s="16">
        <f t="shared" si="126"/>
        <v>0</v>
      </c>
      <c r="FI27" s="16">
        <f t="shared" si="126"/>
        <v>0</v>
      </c>
      <c r="FJ27" s="16">
        <f t="shared" si="126"/>
        <v>0</v>
      </c>
      <c r="FK27" s="16">
        <f t="shared" si="126"/>
        <v>0</v>
      </c>
      <c r="FL27" s="16">
        <f t="shared" si="126"/>
        <v>0</v>
      </c>
      <c r="FM27" s="16">
        <f t="shared" si="126"/>
        <v>0</v>
      </c>
      <c r="FN27" s="16">
        <f t="shared" si="126"/>
        <v>0</v>
      </c>
      <c r="FO27" s="16">
        <f t="shared" si="126"/>
        <v>0</v>
      </c>
      <c r="FP27" s="16">
        <f t="shared" si="126"/>
        <v>0</v>
      </c>
      <c r="FQ27" s="16">
        <f t="shared" si="126"/>
        <v>0</v>
      </c>
      <c r="FR27" s="16">
        <f t="shared" si="126"/>
        <v>0</v>
      </c>
      <c r="FS27" s="16">
        <f t="shared" si="126"/>
        <v>0</v>
      </c>
      <c r="FT27" s="16">
        <f t="shared" si="126"/>
        <v>0</v>
      </c>
      <c r="FU27" s="16">
        <f t="shared" si="126"/>
        <v>0</v>
      </c>
      <c r="FV27" s="16">
        <f t="shared" si="126"/>
        <v>0</v>
      </c>
      <c r="FW27" s="16">
        <f t="shared" si="126"/>
        <v>0</v>
      </c>
      <c r="FX27" s="16">
        <f t="shared" ref="FX27:GQ27" si="127">SUM(FX22:FX26)</f>
        <v>0</v>
      </c>
      <c r="FY27" s="16">
        <f t="shared" si="127"/>
        <v>0</v>
      </c>
      <c r="FZ27" s="16">
        <f t="shared" si="127"/>
        <v>0</v>
      </c>
      <c r="GA27" s="16">
        <f t="shared" si="127"/>
        <v>0</v>
      </c>
      <c r="GB27" s="16">
        <f t="shared" si="127"/>
        <v>0</v>
      </c>
      <c r="GC27" s="16">
        <f t="shared" si="127"/>
        <v>0</v>
      </c>
      <c r="GD27" s="16">
        <f t="shared" si="127"/>
        <v>0</v>
      </c>
      <c r="GE27" s="16">
        <f t="shared" si="127"/>
        <v>0</v>
      </c>
      <c r="GF27" s="16">
        <f t="shared" si="127"/>
        <v>0</v>
      </c>
      <c r="GG27" s="16">
        <f t="shared" si="127"/>
        <v>0</v>
      </c>
      <c r="GH27" s="16">
        <f t="shared" si="127"/>
        <v>0</v>
      </c>
      <c r="GI27" s="16">
        <f t="shared" si="127"/>
        <v>0</v>
      </c>
      <c r="GJ27" s="16">
        <f t="shared" si="127"/>
        <v>0</v>
      </c>
      <c r="GK27" s="16">
        <f t="shared" si="127"/>
        <v>0</v>
      </c>
      <c r="GL27" s="16">
        <f t="shared" si="127"/>
        <v>0</v>
      </c>
      <c r="GM27" s="16">
        <f t="shared" si="127"/>
        <v>0</v>
      </c>
      <c r="GN27" s="16">
        <f t="shared" si="127"/>
        <v>0</v>
      </c>
      <c r="GO27" s="16">
        <f t="shared" si="127"/>
        <v>0</v>
      </c>
      <c r="GP27" s="16">
        <f t="shared" si="127"/>
        <v>0</v>
      </c>
      <c r="GQ27" s="16">
        <f t="shared" si="127"/>
        <v>0</v>
      </c>
      <c r="GR27" s="9"/>
      <c r="GS27" s="70" t="str">
        <f t="shared" si="77"/>
        <v>Total Hard Costs (Horizontal)</v>
      </c>
      <c r="GT27" s="77">
        <f>SUM(GT22:GT26)</f>
        <v>5725125</v>
      </c>
      <c r="GU27" s="71"/>
      <c r="GV27" s="71"/>
      <c r="GW27" s="71"/>
      <c r="GX27" s="71"/>
      <c r="GY27" s="79" t="b">
        <f t="shared" si="107"/>
        <v>1</v>
      </c>
      <c r="GZ27" s="77">
        <f t="shared" ref="GZ27:IE27" si="128">SUM(GZ22:GZ26)</f>
        <v>445.54488140040445</v>
      </c>
      <c r="HA27" s="77">
        <f t="shared" si="128"/>
        <v>7773.6066329140667</v>
      </c>
      <c r="HB27" s="77">
        <f t="shared" si="128"/>
        <v>13900.093296005749</v>
      </c>
      <c r="HC27" s="77">
        <f t="shared" si="128"/>
        <v>23765.540726625368</v>
      </c>
      <c r="HD27" s="77">
        <f t="shared" si="128"/>
        <v>38845.71143018466</v>
      </c>
      <c r="HE27" s="77">
        <f t="shared" si="128"/>
        <v>60699.551606889654</v>
      </c>
      <c r="HF27" s="77">
        <f t="shared" si="128"/>
        <v>90679.467233615331</v>
      </c>
      <c r="HG27" s="77">
        <f t="shared" si="128"/>
        <v>129538.08844174244</v>
      </c>
      <c r="HH27" s="77">
        <f t="shared" si="128"/>
        <v>177002.24341464814</v>
      </c>
      <c r="HI27" s="77">
        <f t="shared" si="128"/>
        <v>231427.44228332757</v>
      </c>
      <c r="HJ27" s="77">
        <f t="shared" si="128"/>
        <v>289661.09109476785</v>
      </c>
      <c r="HK27" s="77">
        <f t="shared" si="128"/>
        <v>347214.68358911778</v>
      </c>
      <c r="HL27" s="77">
        <f t="shared" si="128"/>
        <v>398774.44209352817</v>
      </c>
      <c r="HM27" s="77">
        <f t="shared" si="128"/>
        <v>438984.63037160353</v>
      </c>
      <c r="HN27" s="77">
        <f t="shared" si="128"/>
        <v>463348.88404597796</v>
      </c>
      <c r="HO27" s="77">
        <f t="shared" si="128"/>
        <v>469043.96361669438</v>
      </c>
      <c r="HP27" s="77">
        <f t="shared" si="128"/>
        <v>455447.40617082553</v>
      </c>
      <c r="HQ27" s="77">
        <f t="shared" si="128"/>
        <v>424246.65568003373</v>
      </c>
      <c r="HR27" s="77">
        <f t="shared" si="128"/>
        <v>379103.70869154512</v>
      </c>
      <c r="HS27" s="77">
        <f t="shared" si="128"/>
        <v>324963.67127197928</v>
      </c>
      <c r="HT27" s="77">
        <f t="shared" si="128"/>
        <v>267182.31939469499</v>
      </c>
      <c r="HU27" s="77">
        <f t="shared" si="128"/>
        <v>210680.45193517458</v>
      </c>
      <c r="HV27" s="77">
        <f t="shared" si="128"/>
        <v>159304.12081172026</v>
      </c>
      <c r="HW27" s="77">
        <f t="shared" si="128"/>
        <v>115493.89492732762</v>
      </c>
      <c r="HX27" s="77">
        <f t="shared" si="128"/>
        <v>80061.344166755676</v>
      </c>
      <c r="HY27" s="77">
        <f t="shared" si="128"/>
        <v>53387.625291083219</v>
      </c>
      <c r="HZ27" s="77">
        <f t="shared" si="128"/>
        <v>34114.064029534267</v>
      </c>
      <c r="IA27" s="77">
        <f t="shared" si="128"/>
        <v>20888.214668269262</v>
      </c>
      <c r="IB27" s="77">
        <f t="shared" si="128"/>
        <v>12255.867373190258</v>
      </c>
      <c r="IC27" s="77">
        <f t="shared" si="128"/>
        <v>6890.670828823143</v>
      </c>
      <c r="ID27" s="77">
        <f t="shared" si="128"/>
        <v>0</v>
      </c>
      <c r="IE27" s="77">
        <f t="shared" si="128"/>
        <v>0</v>
      </c>
      <c r="IF27" s="77">
        <f t="shared" ref="IF27:JK27" si="129">SUM(IF22:IF26)</f>
        <v>0</v>
      </c>
      <c r="IG27" s="77">
        <f t="shared" si="129"/>
        <v>0</v>
      </c>
      <c r="IH27" s="77">
        <f t="shared" si="129"/>
        <v>0</v>
      </c>
      <c r="II27" s="77">
        <f t="shared" si="129"/>
        <v>0</v>
      </c>
      <c r="IJ27" s="77">
        <f t="shared" si="129"/>
        <v>0</v>
      </c>
      <c r="IK27" s="77">
        <f t="shared" si="129"/>
        <v>0</v>
      </c>
      <c r="IL27" s="77">
        <f t="shared" si="129"/>
        <v>0</v>
      </c>
      <c r="IM27" s="77">
        <f t="shared" si="129"/>
        <v>0</v>
      </c>
      <c r="IN27" s="77">
        <f t="shared" si="129"/>
        <v>0</v>
      </c>
      <c r="IO27" s="77">
        <f t="shared" si="129"/>
        <v>0</v>
      </c>
      <c r="IP27" s="77">
        <f t="shared" si="129"/>
        <v>0</v>
      </c>
      <c r="IQ27" s="77">
        <f t="shared" si="129"/>
        <v>0</v>
      </c>
      <c r="IR27" s="77">
        <f t="shared" si="129"/>
        <v>0</v>
      </c>
      <c r="IS27" s="77">
        <f t="shared" si="129"/>
        <v>0</v>
      </c>
      <c r="IT27" s="77">
        <f t="shared" si="129"/>
        <v>0</v>
      </c>
      <c r="IU27" s="77">
        <f t="shared" si="129"/>
        <v>0</v>
      </c>
      <c r="IV27" s="77">
        <f t="shared" si="129"/>
        <v>0</v>
      </c>
      <c r="IW27" s="77">
        <f t="shared" si="129"/>
        <v>0</v>
      </c>
      <c r="IX27" s="77">
        <f t="shared" si="129"/>
        <v>0</v>
      </c>
      <c r="IY27" s="77">
        <f t="shared" si="129"/>
        <v>0</v>
      </c>
      <c r="IZ27" s="77">
        <f t="shared" si="129"/>
        <v>0</v>
      </c>
      <c r="JA27" s="77">
        <f t="shared" si="129"/>
        <v>0</v>
      </c>
      <c r="JB27" s="77">
        <f t="shared" si="129"/>
        <v>0</v>
      </c>
      <c r="JC27" s="77">
        <f t="shared" si="129"/>
        <v>0</v>
      </c>
      <c r="JD27" s="77">
        <f t="shared" si="129"/>
        <v>0</v>
      </c>
      <c r="JE27" s="77">
        <f t="shared" si="129"/>
        <v>0</v>
      </c>
      <c r="JF27" s="77">
        <f t="shared" si="129"/>
        <v>0</v>
      </c>
      <c r="JG27" s="77">
        <f t="shared" si="129"/>
        <v>0</v>
      </c>
      <c r="JH27" s="77">
        <f t="shared" si="129"/>
        <v>0</v>
      </c>
      <c r="JI27" s="77">
        <f t="shared" si="129"/>
        <v>0</v>
      </c>
      <c r="JJ27" s="77">
        <f t="shared" si="129"/>
        <v>0</v>
      </c>
      <c r="JK27" s="77">
        <f t="shared" si="129"/>
        <v>0</v>
      </c>
      <c r="JL27" s="77">
        <f t="shared" ref="JL27:KQ27" si="130">SUM(JL22:JL26)</f>
        <v>0</v>
      </c>
      <c r="JM27" s="77">
        <f t="shared" si="130"/>
        <v>0</v>
      </c>
      <c r="JN27" s="77">
        <f t="shared" si="130"/>
        <v>0</v>
      </c>
      <c r="JO27" s="77">
        <f t="shared" si="130"/>
        <v>0</v>
      </c>
      <c r="JP27" s="77">
        <f t="shared" si="130"/>
        <v>0</v>
      </c>
      <c r="JQ27" s="77">
        <f t="shared" si="130"/>
        <v>0</v>
      </c>
      <c r="JR27" s="77">
        <f t="shared" si="130"/>
        <v>0</v>
      </c>
      <c r="JS27" s="77">
        <f t="shared" si="130"/>
        <v>0</v>
      </c>
      <c r="JT27" s="77">
        <f t="shared" si="130"/>
        <v>0</v>
      </c>
      <c r="JU27" s="77">
        <f t="shared" si="130"/>
        <v>0</v>
      </c>
      <c r="JV27" s="77">
        <f t="shared" si="130"/>
        <v>0</v>
      </c>
      <c r="JW27" s="77">
        <f t="shared" si="130"/>
        <v>0</v>
      </c>
      <c r="JX27" s="77">
        <f t="shared" si="130"/>
        <v>0</v>
      </c>
      <c r="JY27" s="77">
        <f t="shared" si="130"/>
        <v>0</v>
      </c>
      <c r="JZ27" s="77">
        <f t="shared" si="130"/>
        <v>0</v>
      </c>
      <c r="KA27" s="77">
        <f t="shared" si="130"/>
        <v>0</v>
      </c>
      <c r="KB27" s="77">
        <f t="shared" si="130"/>
        <v>0</v>
      </c>
      <c r="KC27" s="77">
        <f t="shared" si="130"/>
        <v>0</v>
      </c>
      <c r="KD27" s="77">
        <f t="shared" si="130"/>
        <v>0</v>
      </c>
      <c r="KE27" s="77">
        <f t="shared" si="130"/>
        <v>0</v>
      </c>
      <c r="KF27" s="77">
        <f t="shared" si="130"/>
        <v>0</v>
      </c>
      <c r="KG27" s="77">
        <f t="shared" si="130"/>
        <v>0</v>
      </c>
      <c r="KH27" s="77">
        <f t="shared" si="130"/>
        <v>0</v>
      </c>
      <c r="KI27" s="77">
        <f t="shared" si="130"/>
        <v>0</v>
      </c>
      <c r="KJ27" s="77">
        <f t="shared" si="130"/>
        <v>0</v>
      </c>
      <c r="KK27" s="77">
        <f t="shared" si="130"/>
        <v>0</v>
      </c>
      <c r="KL27" s="77">
        <f t="shared" si="130"/>
        <v>0</v>
      </c>
      <c r="KM27" s="77">
        <f t="shared" si="130"/>
        <v>0</v>
      </c>
      <c r="KN27" s="77">
        <f t="shared" si="130"/>
        <v>0</v>
      </c>
      <c r="KO27" s="77">
        <f t="shared" si="130"/>
        <v>0</v>
      </c>
      <c r="KP27" s="77">
        <f t="shared" si="130"/>
        <v>0</v>
      </c>
      <c r="KQ27" s="77">
        <f t="shared" si="130"/>
        <v>0</v>
      </c>
      <c r="KR27" s="77">
        <f t="shared" ref="KR27:LW27" si="131">SUM(KR22:KR26)</f>
        <v>0</v>
      </c>
      <c r="KS27" s="77">
        <f t="shared" si="131"/>
        <v>0</v>
      </c>
      <c r="KT27" s="77">
        <f t="shared" si="131"/>
        <v>0</v>
      </c>
      <c r="KU27" s="77">
        <f t="shared" si="131"/>
        <v>0</v>
      </c>
      <c r="KV27" s="77">
        <f t="shared" si="131"/>
        <v>0</v>
      </c>
      <c r="KW27" s="77">
        <f t="shared" si="131"/>
        <v>0</v>
      </c>
      <c r="KX27" s="77">
        <f t="shared" si="131"/>
        <v>0</v>
      </c>
      <c r="KY27" s="77">
        <f t="shared" si="131"/>
        <v>0</v>
      </c>
      <c r="KZ27" s="77">
        <f t="shared" si="131"/>
        <v>0</v>
      </c>
      <c r="LA27" s="77">
        <f t="shared" si="131"/>
        <v>0</v>
      </c>
      <c r="LB27" s="77">
        <f t="shared" si="131"/>
        <v>0</v>
      </c>
      <c r="LC27" s="77">
        <f t="shared" si="131"/>
        <v>0</v>
      </c>
      <c r="LD27" s="77">
        <f t="shared" si="131"/>
        <v>0</v>
      </c>
      <c r="LE27" s="77">
        <f t="shared" si="131"/>
        <v>0</v>
      </c>
      <c r="LF27" s="77">
        <f t="shared" si="131"/>
        <v>0</v>
      </c>
      <c r="LG27" s="77">
        <f t="shared" si="131"/>
        <v>0</v>
      </c>
      <c r="LH27" s="77">
        <f t="shared" si="131"/>
        <v>0</v>
      </c>
      <c r="LI27" s="77">
        <f t="shared" si="131"/>
        <v>0</v>
      </c>
      <c r="LJ27" s="77">
        <f t="shared" si="131"/>
        <v>0</v>
      </c>
      <c r="LK27" s="77">
        <f t="shared" si="131"/>
        <v>0</v>
      </c>
      <c r="LL27" s="77">
        <f t="shared" si="131"/>
        <v>0</v>
      </c>
      <c r="LM27" s="77">
        <f t="shared" si="131"/>
        <v>0</v>
      </c>
      <c r="LN27" s="77">
        <f t="shared" si="131"/>
        <v>0</v>
      </c>
      <c r="LO27" s="77">
        <f t="shared" si="131"/>
        <v>0</v>
      </c>
      <c r="LP27" s="77">
        <f t="shared" si="131"/>
        <v>0</v>
      </c>
      <c r="LQ27" s="77">
        <f t="shared" si="131"/>
        <v>0</v>
      </c>
      <c r="LR27" s="77">
        <f t="shared" si="131"/>
        <v>0</v>
      </c>
      <c r="LS27" s="77">
        <f t="shared" si="131"/>
        <v>0</v>
      </c>
      <c r="LT27" s="77">
        <f t="shared" si="131"/>
        <v>0</v>
      </c>
      <c r="LU27" s="77">
        <f t="shared" si="131"/>
        <v>0</v>
      </c>
      <c r="LV27" s="77">
        <f t="shared" si="131"/>
        <v>0</v>
      </c>
      <c r="LW27" s="77">
        <f t="shared" si="131"/>
        <v>0</v>
      </c>
      <c r="LX27" s="77">
        <f t="shared" ref="LX27:NC27" si="132">SUM(LX22:LX26)</f>
        <v>0</v>
      </c>
      <c r="LY27" s="77">
        <f t="shared" si="132"/>
        <v>0</v>
      </c>
      <c r="LZ27" s="77">
        <f t="shared" si="132"/>
        <v>0</v>
      </c>
      <c r="MA27" s="77">
        <f t="shared" si="132"/>
        <v>0</v>
      </c>
      <c r="MB27" s="77">
        <f t="shared" si="132"/>
        <v>0</v>
      </c>
      <c r="MC27" s="77">
        <f t="shared" si="132"/>
        <v>0</v>
      </c>
      <c r="MD27" s="77">
        <f t="shared" si="132"/>
        <v>0</v>
      </c>
      <c r="ME27" s="77">
        <f t="shared" si="132"/>
        <v>0</v>
      </c>
      <c r="MF27" s="77">
        <f t="shared" si="132"/>
        <v>0</v>
      </c>
      <c r="MG27" s="77">
        <f t="shared" si="132"/>
        <v>0</v>
      </c>
      <c r="MH27" s="77">
        <f t="shared" si="132"/>
        <v>0</v>
      </c>
      <c r="MI27" s="77">
        <f t="shared" si="132"/>
        <v>0</v>
      </c>
      <c r="MJ27" s="77">
        <f t="shared" si="132"/>
        <v>0</v>
      </c>
      <c r="MK27" s="77">
        <f t="shared" si="132"/>
        <v>0</v>
      </c>
      <c r="ML27" s="77">
        <f t="shared" si="132"/>
        <v>0</v>
      </c>
      <c r="MM27" s="77">
        <f t="shared" si="132"/>
        <v>0</v>
      </c>
      <c r="MN27" s="77">
        <f t="shared" si="132"/>
        <v>0</v>
      </c>
      <c r="MO27" s="77">
        <f t="shared" si="132"/>
        <v>0</v>
      </c>
      <c r="MP27" s="77">
        <f t="shared" si="132"/>
        <v>0</v>
      </c>
      <c r="MQ27" s="77">
        <f t="shared" si="132"/>
        <v>0</v>
      </c>
      <c r="MR27" s="77">
        <f t="shared" si="132"/>
        <v>0</v>
      </c>
      <c r="MS27" s="77">
        <f t="shared" si="132"/>
        <v>0</v>
      </c>
      <c r="MT27" s="77">
        <f t="shared" si="132"/>
        <v>0</v>
      </c>
      <c r="MU27" s="77">
        <f t="shared" si="132"/>
        <v>0</v>
      </c>
      <c r="MV27" s="77">
        <f t="shared" si="132"/>
        <v>0</v>
      </c>
      <c r="MW27" s="77">
        <f t="shared" si="132"/>
        <v>0</v>
      </c>
      <c r="MX27" s="77">
        <f t="shared" si="132"/>
        <v>0</v>
      </c>
      <c r="MY27" s="77">
        <f t="shared" si="132"/>
        <v>0</v>
      </c>
      <c r="MZ27" s="77">
        <f t="shared" si="132"/>
        <v>0</v>
      </c>
      <c r="NA27" s="77">
        <f t="shared" si="132"/>
        <v>0</v>
      </c>
      <c r="NB27" s="77">
        <f t="shared" si="132"/>
        <v>0</v>
      </c>
      <c r="NC27" s="77">
        <f t="shared" si="132"/>
        <v>0</v>
      </c>
      <c r="ND27" s="77">
        <f t="shared" ref="ND27:NW27" si="133">SUM(ND22:ND26)</f>
        <v>0</v>
      </c>
      <c r="NE27" s="77">
        <f t="shared" si="133"/>
        <v>0</v>
      </c>
      <c r="NF27" s="77">
        <f t="shared" si="133"/>
        <v>0</v>
      </c>
      <c r="NG27" s="77">
        <f t="shared" si="133"/>
        <v>0</v>
      </c>
      <c r="NH27" s="77">
        <f t="shared" si="133"/>
        <v>0</v>
      </c>
      <c r="NI27" s="77">
        <f t="shared" si="133"/>
        <v>0</v>
      </c>
      <c r="NJ27" s="77">
        <f t="shared" si="133"/>
        <v>0</v>
      </c>
      <c r="NK27" s="77">
        <f t="shared" si="133"/>
        <v>0</v>
      </c>
      <c r="NL27" s="77">
        <f t="shared" si="133"/>
        <v>0</v>
      </c>
      <c r="NM27" s="77">
        <f t="shared" si="133"/>
        <v>0</v>
      </c>
      <c r="NN27" s="77">
        <f t="shared" si="133"/>
        <v>0</v>
      </c>
      <c r="NO27" s="77">
        <f t="shared" si="133"/>
        <v>0</v>
      </c>
      <c r="NP27" s="77">
        <f t="shared" si="133"/>
        <v>0</v>
      </c>
      <c r="NQ27" s="77">
        <f t="shared" si="133"/>
        <v>0</v>
      </c>
      <c r="NR27" s="77">
        <f t="shared" si="133"/>
        <v>0</v>
      </c>
      <c r="NS27" s="77">
        <f t="shared" si="133"/>
        <v>0</v>
      </c>
      <c r="NT27" s="77">
        <f t="shared" si="133"/>
        <v>0</v>
      </c>
      <c r="NU27" s="77">
        <f t="shared" si="133"/>
        <v>0</v>
      </c>
      <c r="NV27" s="77">
        <f t="shared" si="133"/>
        <v>0</v>
      </c>
      <c r="NW27" s="77">
        <f t="shared" si="133"/>
        <v>0</v>
      </c>
      <c r="NX27" s="10"/>
    </row>
    <row r="28" spans="2:388" x14ac:dyDescent="0.3">
      <c r="B28" s="18"/>
      <c r="C28" s="18"/>
      <c r="D28" s="18"/>
      <c r="E28" s="18"/>
      <c r="F28" s="19"/>
      <c r="G28" s="19"/>
      <c r="H28" s="19"/>
      <c r="I28" s="19"/>
      <c r="J28" s="23"/>
      <c r="K28" s="29"/>
      <c r="L28" s="23"/>
      <c r="S28" s="6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130">
        <f>COUNTA(GS30:GS34)</f>
        <v>5</v>
      </c>
      <c r="GT28" s="71"/>
      <c r="GU28" s="71"/>
      <c r="GV28" s="71"/>
      <c r="GW28" s="71"/>
      <c r="GX28" s="71"/>
      <c r="GY28" s="71"/>
      <c r="GZ28" s="71"/>
      <c r="HA28" s="71"/>
      <c r="HB28" s="71"/>
      <c r="HC28" s="71"/>
      <c r="HD28" s="71"/>
      <c r="HE28" s="71"/>
      <c r="HF28" s="71"/>
      <c r="HG28" s="71"/>
      <c r="HH28" s="71"/>
      <c r="HI28" s="71"/>
      <c r="HJ28" s="71"/>
      <c r="HK28" s="71"/>
      <c r="HL28" s="71"/>
      <c r="HM28" s="71"/>
      <c r="HN28" s="71"/>
      <c r="HO28" s="71"/>
      <c r="HP28" s="71"/>
      <c r="HQ28" s="71"/>
      <c r="HR28" s="71"/>
      <c r="HS28" s="71"/>
      <c r="HT28" s="71"/>
      <c r="HU28" s="71"/>
      <c r="HV28" s="71"/>
      <c r="HW28" s="71"/>
      <c r="HX28" s="71"/>
      <c r="HY28" s="71"/>
      <c r="HZ28" s="71"/>
      <c r="IA28" s="71"/>
      <c r="IB28" s="71"/>
      <c r="IC28" s="71"/>
      <c r="ID28" s="71"/>
      <c r="IE28" s="71"/>
      <c r="IF28" s="71"/>
      <c r="IG28" s="71"/>
      <c r="IH28" s="71"/>
      <c r="II28" s="71"/>
      <c r="IJ28" s="71"/>
      <c r="IK28" s="71"/>
      <c r="IL28" s="71"/>
      <c r="IM28" s="71"/>
      <c r="IN28" s="71"/>
      <c r="IO28" s="71"/>
      <c r="IP28" s="71"/>
      <c r="IQ28" s="71"/>
      <c r="IR28" s="71"/>
      <c r="IS28" s="71"/>
      <c r="IT28" s="71"/>
      <c r="IU28" s="71"/>
      <c r="IV28" s="71"/>
      <c r="IW28" s="71"/>
      <c r="IX28" s="71"/>
      <c r="IY28" s="71"/>
      <c r="IZ28" s="71"/>
      <c r="JA28" s="71"/>
      <c r="JB28" s="71"/>
      <c r="JC28" s="71"/>
      <c r="JD28" s="71"/>
      <c r="JE28" s="71"/>
      <c r="JF28" s="71"/>
      <c r="JG28" s="71"/>
      <c r="JH28" s="71"/>
      <c r="JI28" s="71"/>
      <c r="JJ28" s="71"/>
      <c r="JK28" s="71"/>
      <c r="JL28" s="71"/>
      <c r="JM28" s="71"/>
      <c r="JN28" s="71"/>
      <c r="JO28" s="71"/>
      <c r="JP28" s="71"/>
      <c r="JQ28" s="71"/>
      <c r="JR28" s="71"/>
      <c r="JS28" s="71"/>
      <c r="JT28" s="71"/>
      <c r="JU28" s="71"/>
      <c r="JV28" s="71"/>
      <c r="JW28" s="71"/>
      <c r="JX28" s="71"/>
      <c r="JY28" s="71"/>
      <c r="JZ28" s="71"/>
      <c r="KA28" s="71"/>
      <c r="KB28" s="71"/>
      <c r="KC28" s="71"/>
      <c r="KD28" s="71"/>
      <c r="KE28" s="71"/>
      <c r="KF28" s="71"/>
      <c r="KG28" s="71"/>
      <c r="KH28" s="71"/>
      <c r="KI28" s="71"/>
      <c r="KJ28" s="71"/>
      <c r="KK28" s="71"/>
      <c r="KL28" s="71"/>
      <c r="KM28" s="71"/>
      <c r="KN28" s="71"/>
      <c r="KO28" s="71"/>
      <c r="KP28" s="71"/>
      <c r="KQ28" s="71"/>
      <c r="KR28" s="71"/>
      <c r="KS28" s="71"/>
      <c r="KT28" s="71"/>
      <c r="KU28" s="71"/>
      <c r="KV28" s="71"/>
      <c r="KW28" s="71"/>
      <c r="KX28" s="71"/>
      <c r="KY28" s="71"/>
      <c r="KZ28" s="71"/>
      <c r="LA28" s="71"/>
      <c r="LB28" s="71"/>
      <c r="LC28" s="71"/>
      <c r="LD28" s="71"/>
      <c r="LE28" s="71"/>
      <c r="LF28" s="71"/>
      <c r="LG28" s="71"/>
      <c r="LH28" s="71"/>
      <c r="LI28" s="71"/>
      <c r="LJ28" s="71"/>
      <c r="LK28" s="71"/>
      <c r="LL28" s="71"/>
      <c r="LM28" s="71"/>
      <c r="LN28" s="71"/>
      <c r="LO28" s="71"/>
      <c r="LP28" s="71"/>
      <c r="LQ28" s="71"/>
      <c r="LR28" s="71"/>
      <c r="LS28" s="71"/>
      <c r="LT28" s="71"/>
      <c r="LU28" s="71"/>
      <c r="LV28" s="71"/>
      <c r="LW28" s="71"/>
      <c r="LX28" s="71"/>
      <c r="LY28" s="71"/>
      <c r="LZ28" s="71"/>
      <c r="MA28" s="71"/>
      <c r="MB28" s="71"/>
      <c r="MC28" s="71"/>
      <c r="MD28" s="71"/>
      <c r="ME28" s="71"/>
      <c r="MF28" s="71"/>
      <c r="MG28" s="71"/>
      <c r="MH28" s="71"/>
      <c r="MI28" s="71"/>
      <c r="MJ28" s="71"/>
      <c r="MK28" s="71"/>
      <c r="ML28" s="71"/>
      <c r="MM28" s="71"/>
      <c r="MN28" s="71"/>
      <c r="MO28" s="71"/>
      <c r="MP28" s="71"/>
      <c r="MQ28" s="71"/>
      <c r="MR28" s="71"/>
      <c r="MS28" s="71"/>
      <c r="MT28" s="71"/>
      <c r="MU28" s="71"/>
      <c r="MV28" s="71"/>
      <c r="MW28" s="71"/>
      <c r="MX28" s="71"/>
      <c r="MY28" s="71"/>
      <c r="MZ28" s="71"/>
      <c r="NA28" s="71"/>
      <c r="NB28" s="71"/>
      <c r="NC28" s="71"/>
      <c r="ND28" s="71"/>
      <c r="NE28" s="71"/>
      <c r="NF28" s="71"/>
      <c r="NG28" s="71"/>
      <c r="NH28" s="71"/>
      <c r="NI28" s="71"/>
      <c r="NJ28" s="71"/>
      <c r="NK28" s="71"/>
      <c r="NL28" s="71"/>
      <c r="NM28" s="71"/>
      <c r="NN28" s="71"/>
      <c r="NO28" s="71"/>
      <c r="NP28" s="71"/>
      <c r="NQ28" s="71"/>
      <c r="NR28" s="71"/>
      <c r="NS28" s="71"/>
      <c r="NT28" s="71"/>
      <c r="NU28" s="71"/>
      <c r="NV28" s="71"/>
      <c r="NW28" s="71"/>
      <c r="NX28" s="10"/>
    </row>
    <row r="29" spans="2:388" x14ac:dyDescent="0.3">
      <c r="B29" s="24" t="s">
        <v>208</v>
      </c>
      <c r="C29" s="18"/>
      <c r="D29" s="19"/>
      <c r="E29" s="25"/>
      <c r="F29" s="25"/>
      <c r="G29" s="25"/>
      <c r="H29" s="25"/>
      <c r="I29" s="25"/>
      <c r="J29" s="25"/>
      <c r="K29" s="25"/>
      <c r="L29" s="25"/>
      <c r="S29" s="68"/>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9"/>
      <c r="GS29" s="75" t="str">
        <f t="shared" ref="GS29:GS35" si="134">B29</f>
        <v>Hard Costs (Vertical)</v>
      </c>
      <c r="GT29" s="76" t="s">
        <v>190</v>
      </c>
      <c r="GU29" s="76">
        <f t="shared" ref="GU29:GV34" si="135">E29</f>
        <v>0</v>
      </c>
      <c r="GV29" s="76">
        <f t="shared" si="135"/>
        <v>0</v>
      </c>
      <c r="GW29" s="76" t="s">
        <v>192</v>
      </c>
      <c r="GX29" s="76" t="s">
        <v>193</v>
      </c>
      <c r="GY29" s="76" t="s">
        <v>191</v>
      </c>
      <c r="GZ29" s="74">
        <v>1</v>
      </c>
      <c r="HA29" s="74">
        <f>GZ29+1</f>
        <v>2</v>
      </c>
      <c r="HB29" s="74">
        <f t="shared" ref="HB29:JM29" si="136">HA29+1</f>
        <v>3</v>
      </c>
      <c r="HC29" s="74">
        <f t="shared" si="136"/>
        <v>4</v>
      </c>
      <c r="HD29" s="74">
        <f t="shared" si="136"/>
        <v>5</v>
      </c>
      <c r="HE29" s="74">
        <f t="shared" si="136"/>
        <v>6</v>
      </c>
      <c r="HF29" s="74">
        <f t="shared" si="136"/>
        <v>7</v>
      </c>
      <c r="HG29" s="74">
        <f t="shared" si="136"/>
        <v>8</v>
      </c>
      <c r="HH29" s="74">
        <f t="shared" si="136"/>
        <v>9</v>
      </c>
      <c r="HI29" s="74">
        <f t="shared" si="136"/>
        <v>10</v>
      </c>
      <c r="HJ29" s="74">
        <f t="shared" si="136"/>
        <v>11</v>
      </c>
      <c r="HK29" s="74">
        <f t="shared" si="136"/>
        <v>12</v>
      </c>
      <c r="HL29" s="74">
        <f t="shared" si="136"/>
        <v>13</v>
      </c>
      <c r="HM29" s="74">
        <f t="shared" si="136"/>
        <v>14</v>
      </c>
      <c r="HN29" s="74">
        <f t="shared" si="136"/>
        <v>15</v>
      </c>
      <c r="HO29" s="74">
        <f t="shared" si="136"/>
        <v>16</v>
      </c>
      <c r="HP29" s="74">
        <f t="shared" si="136"/>
        <v>17</v>
      </c>
      <c r="HQ29" s="74">
        <f t="shared" si="136"/>
        <v>18</v>
      </c>
      <c r="HR29" s="74">
        <f t="shared" si="136"/>
        <v>19</v>
      </c>
      <c r="HS29" s="74">
        <f t="shared" si="136"/>
        <v>20</v>
      </c>
      <c r="HT29" s="74">
        <f t="shared" si="136"/>
        <v>21</v>
      </c>
      <c r="HU29" s="74">
        <f t="shared" si="136"/>
        <v>22</v>
      </c>
      <c r="HV29" s="74">
        <f t="shared" si="136"/>
        <v>23</v>
      </c>
      <c r="HW29" s="74">
        <f t="shared" si="136"/>
        <v>24</v>
      </c>
      <c r="HX29" s="74">
        <f t="shared" si="136"/>
        <v>25</v>
      </c>
      <c r="HY29" s="74">
        <f t="shared" si="136"/>
        <v>26</v>
      </c>
      <c r="HZ29" s="74">
        <f t="shared" si="136"/>
        <v>27</v>
      </c>
      <c r="IA29" s="74">
        <f t="shared" si="136"/>
        <v>28</v>
      </c>
      <c r="IB29" s="74">
        <f t="shared" si="136"/>
        <v>29</v>
      </c>
      <c r="IC29" s="74">
        <f t="shared" si="136"/>
        <v>30</v>
      </c>
      <c r="ID29" s="74">
        <f t="shared" si="136"/>
        <v>31</v>
      </c>
      <c r="IE29" s="74">
        <f t="shared" si="136"/>
        <v>32</v>
      </c>
      <c r="IF29" s="74">
        <f t="shared" si="136"/>
        <v>33</v>
      </c>
      <c r="IG29" s="74">
        <f t="shared" si="136"/>
        <v>34</v>
      </c>
      <c r="IH29" s="74">
        <f t="shared" si="136"/>
        <v>35</v>
      </c>
      <c r="II29" s="74">
        <f t="shared" si="136"/>
        <v>36</v>
      </c>
      <c r="IJ29" s="74">
        <f t="shared" si="136"/>
        <v>37</v>
      </c>
      <c r="IK29" s="74">
        <f t="shared" si="136"/>
        <v>38</v>
      </c>
      <c r="IL29" s="74">
        <f t="shared" si="136"/>
        <v>39</v>
      </c>
      <c r="IM29" s="74">
        <f t="shared" si="136"/>
        <v>40</v>
      </c>
      <c r="IN29" s="74">
        <f t="shared" si="136"/>
        <v>41</v>
      </c>
      <c r="IO29" s="74">
        <f t="shared" si="136"/>
        <v>42</v>
      </c>
      <c r="IP29" s="74">
        <f t="shared" si="136"/>
        <v>43</v>
      </c>
      <c r="IQ29" s="74">
        <f t="shared" si="136"/>
        <v>44</v>
      </c>
      <c r="IR29" s="74">
        <f t="shared" si="136"/>
        <v>45</v>
      </c>
      <c r="IS29" s="74">
        <f t="shared" si="136"/>
        <v>46</v>
      </c>
      <c r="IT29" s="74">
        <f t="shared" si="136"/>
        <v>47</v>
      </c>
      <c r="IU29" s="74">
        <f t="shared" si="136"/>
        <v>48</v>
      </c>
      <c r="IV29" s="74">
        <f t="shared" si="136"/>
        <v>49</v>
      </c>
      <c r="IW29" s="74">
        <f t="shared" si="136"/>
        <v>50</v>
      </c>
      <c r="IX29" s="74">
        <f t="shared" si="136"/>
        <v>51</v>
      </c>
      <c r="IY29" s="74">
        <f t="shared" si="136"/>
        <v>52</v>
      </c>
      <c r="IZ29" s="74">
        <f t="shared" si="136"/>
        <v>53</v>
      </c>
      <c r="JA29" s="74">
        <f t="shared" si="136"/>
        <v>54</v>
      </c>
      <c r="JB29" s="74">
        <f t="shared" si="136"/>
        <v>55</v>
      </c>
      <c r="JC29" s="74">
        <f t="shared" si="136"/>
        <v>56</v>
      </c>
      <c r="JD29" s="74">
        <f t="shared" si="136"/>
        <v>57</v>
      </c>
      <c r="JE29" s="74">
        <f t="shared" si="136"/>
        <v>58</v>
      </c>
      <c r="JF29" s="74">
        <f t="shared" si="136"/>
        <v>59</v>
      </c>
      <c r="JG29" s="74">
        <f t="shared" si="136"/>
        <v>60</v>
      </c>
      <c r="JH29" s="74">
        <f t="shared" si="136"/>
        <v>61</v>
      </c>
      <c r="JI29" s="74">
        <f t="shared" si="136"/>
        <v>62</v>
      </c>
      <c r="JJ29" s="74">
        <f t="shared" si="136"/>
        <v>63</v>
      </c>
      <c r="JK29" s="74">
        <f t="shared" si="136"/>
        <v>64</v>
      </c>
      <c r="JL29" s="74">
        <f t="shared" si="136"/>
        <v>65</v>
      </c>
      <c r="JM29" s="74">
        <f t="shared" si="136"/>
        <v>66</v>
      </c>
      <c r="JN29" s="74">
        <f t="shared" ref="JN29:LY29" si="137">JM29+1</f>
        <v>67</v>
      </c>
      <c r="JO29" s="74">
        <f t="shared" si="137"/>
        <v>68</v>
      </c>
      <c r="JP29" s="74">
        <f t="shared" si="137"/>
        <v>69</v>
      </c>
      <c r="JQ29" s="74">
        <f t="shared" si="137"/>
        <v>70</v>
      </c>
      <c r="JR29" s="74">
        <f t="shared" si="137"/>
        <v>71</v>
      </c>
      <c r="JS29" s="74">
        <f t="shared" si="137"/>
        <v>72</v>
      </c>
      <c r="JT29" s="74">
        <f t="shared" si="137"/>
        <v>73</v>
      </c>
      <c r="JU29" s="74">
        <f t="shared" si="137"/>
        <v>74</v>
      </c>
      <c r="JV29" s="74">
        <f t="shared" si="137"/>
        <v>75</v>
      </c>
      <c r="JW29" s="74">
        <f t="shared" si="137"/>
        <v>76</v>
      </c>
      <c r="JX29" s="74">
        <f t="shared" si="137"/>
        <v>77</v>
      </c>
      <c r="JY29" s="74">
        <f t="shared" si="137"/>
        <v>78</v>
      </c>
      <c r="JZ29" s="74">
        <f t="shared" si="137"/>
        <v>79</v>
      </c>
      <c r="KA29" s="74">
        <f t="shared" si="137"/>
        <v>80</v>
      </c>
      <c r="KB29" s="74">
        <f t="shared" si="137"/>
        <v>81</v>
      </c>
      <c r="KC29" s="74">
        <f t="shared" si="137"/>
        <v>82</v>
      </c>
      <c r="KD29" s="74">
        <f t="shared" si="137"/>
        <v>83</v>
      </c>
      <c r="KE29" s="74">
        <f t="shared" si="137"/>
        <v>84</v>
      </c>
      <c r="KF29" s="74">
        <f t="shared" si="137"/>
        <v>85</v>
      </c>
      <c r="KG29" s="74">
        <f t="shared" si="137"/>
        <v>86</v>
      </c>
      <c r="KH29" s="74">
        <f t="shared" si="137"/>
        <v>87</v>
      </c>
      <c r="KI29" s="74">
        <f t="shared" si="137"/>
        <v>88</v>
      </c>
      <c r="KJ29" s="74">
        <f t="shared" si="137"/>
        <v>89</v>
      </c>
      <c r="KK29" s="74">
        <f t="shared" si="137"/>
        <v>90</v>
      </c>
      <c r="KL29" s="74">
        <f t="shared" si="137"/>
        <v>91</v>
      </c>
      <c r="KM29" s="74">
        <f t="shared" si="137"/>
        <v>92</v>
      </c>
      <c r="KN29" s="74">
        <f t="shared" si="137"/>
        <v>93</v>
      </c>
      <c r="KO29" s="74">
        <f t="shared" si="137"/>
        <v>94</v>
      </c>
      <c r="KP29" s="74">
        <f t="shared" si="137"/>
        <v>95</v>
      </c>
      <c r="KQ29" s="74">
        <f t="shared" si="137"/>
        <v>96</v>
      </c>
      <c r="KR29" s="74">
        <f t="shared" si="137"/>
        <v>97</v>
      </c>
      <c r="KS29" s="74">
        <f t="shared" si="137"/>
        <v>98</v>
      </c>
      <c r="KT29" s="74">
        <f t="shared" si="137"/>
        <v>99</v>
      </c>
      <c r="KU29" s="74">
        <f t="shared" si="137"/>
        <v>100</v>
      </c>
      <c r="KV29" s="74">
        <f t="shared" si="137"/>
        <v>101</v>
      </c>
      <c r="KW29" s="74">
        <f t="shared" si="137"/>
        <v>102</v>
      </c>
      <c r="KX29" s="74">
        <f t="shared" si="137"/>
        <v>103</v>
      </c>
      <c r="KY29" s="74">
        <f t="shared" si="137"/>
        <v>104</v>
      </c>
      <c r="KZ29" s="74">
        <f t="shared" si="137"/>
        <v>105</v>
      </c>
      <c r="LA29" s="74">
        <f t="shared" si="137"/>
        <v>106</v>
      </c>
      <c r="LB29" s="74">
        <f t="shared" si="137"/>
        <v>107</v>
      </c>
      <c r="LC29" s="74">
        <f t="shared" si="137"/>
        <v>108</v>
      </c>
      <c r="LD29" s="74">
        <f t="shared" si="137"/>
        <v>109</v>
      </c>
      <c r="LE29" s="74">
        <f t="shared" si="137"/>
        <v>110</v>
      </c>
      <c r="LF29" s="74">
        <f t="shared" si="137"/>
        <v>111</v>
      </c>
      <c r="LG29" s="74">
        <f t="shared" si="137"/>
        <v>112</v>
      </c>
      <c r="LH29" s="74">
        <f t="shared" si="137"/>
        <v>113</v>
      </c>
      <c r="LI29" s="74">
        <f t="shared" si="137"/>
        <v>114</v>
      </c>
      <c r="LJ29" s="74">
        <f t="shared" si="137"/>
        <v>115</v>
      </c>
      <c r="LK29" s="74">
        <f t="shared" si="137"/>
        <v>116</v>
      </c>
      <c r="LL29" s="74">
        <f t="shared" si="137"/>
        <v>117</v>
      </c>
      <c r="LM29" s="74">
        <f t="shared" si="137"/>
        <v>118</v>
      </c>
      <c r="LN29" s="74">
        <f t="shared" si="137"/>
        <v>119</v>
      </c>
      <c r="LO29" s="74">
        <f t="shared" si="137"/>
        <v>120</v>
      </c>
      <c r="LP29" s="74">
        <f t="shared" si="137"/>
        <v>121</v>
      </c>
      <c r="LQ29" s="74">
        <f t="shared" si="137"/>
        <v>122</v>
      </c>
      <c r="LR29" s="74">
        <f t="shared" si="137"/>
        <v>123</v>
      </c>
      <c r="LS29" s="74">
        <f t="shared" si="137"/>
        <v>124</v>
      </c>
      <c r="LT29" s="74">
        <f t="shared" si="137"/>
        <v>125</v>
      </c>
      <c r="LU29" s="74">
        <f t="shared" si="137"/>
        <v>126</v>
      </c>
      <c r="LV29" s="74">
        <f t="shared" si="137"/>
        <v>127</v>
      </c>
      <c r="LW29" s="74">
        <f t="shared" si="137"/>
        <v>128</v>
      </c>
      <c r="LX29" s="74">
        <f t="shared" si="137"/>
        <v>129</v>
      </c>
      <c r="LY29" s="74">
        <f t="shared" si="137"/>
        <v>130</v>
      </c>
      <c r="LZ29" s="74">
        <f t="shared" ref="LZ29:NW29" si="138">LY29+1</f>
        <v>131</v>
      </c>
      <c r="MA29" s="74">
        <f t="shared" si="138"/>
        <v>132</v>
      </c>
      <c r="MB29" s="74">
        <f t="shared" si="138"/>
        <v>133</v>
      </c>
      <c r="MC29" s="74">
        <f t="shared" si="138"/>
        <v>134</v>
      </c>
      <c r="MD29" s="74">
        <f t="shared" si="138"/>
        <v>135</v>
      </c>
      <c r="ME29" s="74">
        <f t="shared" si="138"/>
        <v>136</v>
      </c>
      <c r="MF29" s="74">
        <f t="shared" si="138"/>
        <v>137</v>
      </c>
      <c r="MG29" s="74">
        <f t="shared" si="138"/>
        <v>138</v>
      </c>
      <c r="MH29" s="74">
        <f t="shared" si="138"/>
        <v>139</v>
      </c>
      <c r="MI29" s="74">
        <f t="shared" si="138"/>
        <v>140</v>
      </c>
      <c r="MJ29" s="74">
        <f t="shared" si="138"/>
        <v>141</v>
      </c>
      <c r="MK29" s="74">
        <f t="shared" si="138"/>
        <v>142</v>
      </c>
      <c r="ML29" s="74">
        <f t="shared" si="138"/>
        <v>143</v>
      </c>
      <c r="MM29" s="74">
        <f t="shared" si="138"/>
        <v>144</v>
      </c>
      <c r="MN29" s="74">
        <f t="shared" si="138"/>
        <v>145</v>
      </c>
      <c r="MO29" s="74">
        <f t="shared" si="138"/>
        <v>146</v>
      </c>
      <c r="MP29" s="74">
        <f t="shared" si="138"/>
        <v>147</v>
      </c>
      <c r="MQ29" s="74">
        <f t="shared" si="138"/>
        <v>148</v>
      </c>
      <c r="MR29" s="74">
        <f t="shared" si="138"/>
        <v>149</v>
      </c>
      <c r="MS29" s="74">
        <f t="shared" si="138"/>
        <v>150</v>
      </c>
      <c r="MT29" s="74">
        <f t="shared" si="138"/>
        <v>151</v>
      </c>
      <c r="MU29" s="74">
        <f t="shared" si="138"/>
        <v>152</v>
      </c>
      <c r="MV29" s="74">
        <f t="shared" si="138"/>
        <v>153</v>
      </c>
      <c r="MW29" s="74">
        <f t="shared" si="138"/>
        <v>154</v>
      </c>
      <c r="MX29" s="74">
        <f t="shared" si="138"/>
        <v>155</v>
      </c>
      <c r="MY29" s="74">
        <f t="shared" si="138"/>
        <v>156</v>
      </c>
      <c r="MZ29" s="74">
        <f t="shared" si="138"/>
        <v>157</v>
      </c>
      <c r="NA29" s="74">
        <f t="shared" si="138"/>
        <v>158</v>
      </c>
      <c r="NB29" s="74">
        <f t="shared" si="138"/>
        <v>159</v>
      </c>
      <c r="NC29" s="74">
        <f t="shared" si="138"/>
        <v>160</v>
      </c>
      <c r="ND29" s="74">
        <f t="shared" si="138"/>
        <v>161</v>
      </c>
      <c r="NE29" s="74">
        <f t="shared" si="138"/>
        <v>162</v>
      </c>
      <c r="NF29" s="74">
        <f t="shared" si="138"/>
        <v>163</v>
      </c>
      <c r="NG29" s="74">
        <f t="shared" si="138"/>
        <v>164</v>
      </c>
      <c r="NH29" s="74">
        <f t="shared" si="138"/>
        <v>165</v>
      </c>
      <c r="NI29" s="74">
        <f t="shared" si="138"/>
        <v>166</v>
      </c>
      <c r="NJ29" s="74">
        <f t="shared" si="138"/>
        <v>167</v>
      </c>
      <c r="NK29" s="74">
        <f t="shared" si="138"/>
        <v>168</v>
      </c>
      <c r="NL29" s="74">
        <f t="shared" si="138"/>
        <v>169</v>
      </c>
      <c r="NM29" s="74">
        <f t="shared" si="138"/>
        <v>170</v>
      </c>
      <c r="NN29" s="74">
        <f t="shared" si="138"/>
        <v>171</v>
      </c>
      <c r="NO29" s="74">
        <f t="shared" si="138"/>
        <v>172</v>
      </c>
      <c r="NP29" s="74">
        <f t="shared" si="138"/>
        <v>173</v>
      </c>
      <c r="NQ29" s="74">
        <f t="shared" si="138"/>
        <v>174</v>
      </c>
      <c r="NR29" s="74">
        <f t="shared" si="138"/>
        <v>175</v>
      </c>
      <c r="NS29" s="74">
        <f t="shared" si="138"/>
        <v>176</v>
      </c>
      <c r="NT29" s="74">
        <f t="shared" si="138"/>
        <v>177</v>
      </c>
      <c r="NU29" s="74">
        <f t="shared" si="138"/>
        <v>178</v>
      </c>
      <c r="NV29" s="74">
        <f t="shared" si="138"/>
        <v>179</v>
      </c>
      <c r="NW29" s="74">
        <f t="shared" si="138"/>
        <v>180</v>
      </c>
      <c r="NX29" s="10"/>
    </row>
    <row r="30" spans="2:388" x14ac:dyDescent="0.3">
      <c r="B30" s="26" t="s">
        <v>209</v>
      </c>
      <c r="C30" s="18"/>
      <c r="D30" s="19"/>
      <c r="E30" s="27">
        <v>20</v>
      </c>
      <c r="F30" s="27">
        <v>28</v>
      </c>
      <c r="G30" s="21"/>
      <c r="H30" s="28">
        <f t="shared" ref="H30:H35" si="139">F30-E30+1</f>
        <v>9</v>
      </c>
      <c r="I30" s="21" t="s">
        <v>195</v>
      </c>
      <c r="J30" s="23">
        <f t="shared" ref="J30:J34" si="140">L30/$L$8</f>
        <v>2152.1739130434785</v>
      </c>
      <c r="K30" s="29">
        <f t="shared" ref="K30:K34" si="141">L30/$L$7</f>
        <v>0.28448275862068967</v>
      </c>
      <c r="L30" s="30">
        <v>495000</v>
      </c>
      <c r="S30" s="69" t="str">
        <f t="shared" ref="S30:S35" si="142">IF(ROUND(L30,0)=ROUND(SUM(T30:GQ30),0),"OK","ERROR")</f>
        <v>OK</v>
      </c>
      <c r="T30" s="16">
        <f t="shared" ref="T30:AC34" si="143">($I30="S-Curve")*GZ30+AND($I30&lt;&gt;"S-Curve",T$14&gt;=$E30,T$14&lt;=$F30)*($L30/$H30)</f>
        <v>0</v>
      </c>
      <c r="U30" s="16">
        <f t="shared" si="143"/>
        <v>0</v>
      </c>
      <c r="V30" s="16">
        <f t="shared" si="143"/>
        <v>0</v>
      </c>
      <c r="W30" s="16">
        <f t="shared" si="143"/>
        <v>0</v>
      </c>
      <c r="X30" s="16">
        <f t="shared" si="143"/>
        <v>0</v>
      </c>
      <c r="Y30" s="16">
        <f t="shared" si="143"/>
        <v>0</v>
      </c>
      <c r="Z30" s="16">
        <f t="shared" si="143"/>
        <v>0</v>
      </c>
      <c r="AA30" s="16">
        <f t="shared" si="143"/>
        <v>0</v>
      </c>
      <c r="AB30" s="16">
        <f t="shared" si="143"/>
        <v>0</v>
      </c>
      <c r="AC30" s="16">
        <f t="shared" si="143"/>
        <v>0</v>
      </c>
      <c r="AD30" s="16">
        <f t="shared" ref="AD30:AM34" si="144">($I30="S-Curve")*HJ30+AND($I30&lt;&gt;"S-Curve",AD$14&gt;=$E30,AD$14&lt;=$F30)*($L30/$H30)</f>
        <v>0</v>
      </c>
      <c r="AE30" s="16">
        <f t="shared" si="144"/>
        <v>0</v>
      </c>
      <c r="AF30" s="16">
        <f t="shared" si="144"/>
        <v>0</v>
      </c>
      <c r="AG30" s="16">
        <f t="shared" si="144"/>
        <v>0</v>
      </c>
      <c r="AH30" s="16">
        <f t="shared" si="144"/>
        <v>0</v>
      </c>
      <c r="AI30" s="16">
        <f t="shared" si="144"/>
        <v>0</v>
      </c>
      <c r="AJ30" s="16">
        <f t="shared" si="144"/>
        <v>0</v>
      </c>
      <c r="AK30" s="16">
        <f t="shared" si="144"/>
        <v>0</v>
      </c>
      <c r="AL30" s="16">
        <f t="shared" si="144"/>
        <v>0</v>
      </c>
      <c r="AM30" s="16">
        <f t="shared" si="144"/>
        <v>55000</v>
      </c>
      <c r="AN30" s="16">
        <f t="shared" ref="AN30:AW34" si="145">($I30="S-Curve")*HT30+AND($I30&lt;&gt;"S-Curve",AN$14&gt;=$E30,AN$14&lt;=$F30)*($L30/$H30)</f>
        <v>55000</v>
      </c>
      <c r="AO30" s="16">
        <f t="shared" si="145"/>
        <v>55000</v>
      </c>
      <c r="AP30" s="16">
        <f t="shared" si="145"/>
        <v>55000</v>
      </c>
      <c r="AQ30" s="16">
        <f t="shared" si="145"/>
        <v>55000</v>
      </c>
      <c r="AR30" s="16">
        <f t="shared" si="145"/>
        <v>55000</v>
      </c>
      <c r="AS30" s="16">
        <f t="shared" si="145"/>
        <v>55000</v>
      </c>
      <c r="AT30" s="16">
        <f t="shared" si="145"/>
        <v>55000</v>
      </c>
      <c r="AU30" s="16">
        <f t="shared" si="145"/>
        <v>55000</v>
      </c>
      <c r="AV30" s="16">
        <f t="shared" si="145"/>
        <v>0</v>
      </c>
      <c r="AW30" s="16">
        <f t="shared" si="145"/>
        <v>0</v>
      </c>
      <c r="AX30" s="16">
        <f t="shared" ref="AX30:BG34" si="146">($I30="S-Curve")*ID30+AND($I30&lt;&gt;"S-Curve",AX$14&gt;=$E30,AX$14&lt;=$F30)*($L30/$H30)</f>
        <v>0</v>
      </c>
      <c r="AY30" s="16">
        <f t="shared" si="146"/>
        <v>0</v>
      </c>
      <c r="AZ30" s="16">
        <f t="shared" si="146"/>
        <v>0</v>
      </c>
      <c r="BA30" s="16">
        <f t="shared" si="146"/>
        <v>0</v>
      </c>
      <c r="BB30" s="16">
        <f t="shared" si="146"/>
        <v>0</v>
      </c>
      <c r="BC30" s="16">
        <f t="shared" si="146"/>
        <v>0</v>
      </c>
      <c r="BD30" s="16">
        <f t="shared" si="146"/>
        <v>0</v>
      </c>
      <c r="BE30" s="16">
        <f t="shared" si="146"/>
        <v>0</v>
      </c>
      <c r="BF30" s="16">
        <f t="shared" si="146"/>
        <v>0</v>
      </c>
      <c r="BG30" s="16">
        <f t="shared" si="146"/>
        <v>0</v>
      </c>
      <c r="BH30" s="16">
        <f t="shared" ref="BH30:BQ34" si="147">($I30="S-Curve")*IN30+AND($I30&lt;&gt;"S-Curve",BH$14&gt;=$E30,BH$14&lt;=$F30)*($L30/$H30)</f>
        <v>0</v>
      </c>
      <c r="BI30" s="16">
        <f t="shared" si="147"/>
        <v>0</v>
      </c>
      <c r="BJ30" s="16">
        <f t="shared" si="147"/>
        <v>0</v>
      </c>
      <c r="BK30" s="16">
        <f t="shared" si="147"/>
        <v>0</v>
      </c>
      <c r="BL30" s="16">
        <f t="shared" si="147"/>
        <v>0</v>
      </c>
      <c r="BM30" s="16">
        <f t="shared" si="147"/>
        <v>0</v>
      </c>
      <c r="BN30" s="16">
        <f t="shared" si="147"/>
        <v>0</v>
      </c>
      <c r="BO30" s="16">
        <f t="shared" si="147"/>
        <v>0</v>
      </c>
      <c r="BP30" s="16">
        <f t="shared" si="147"/>
        <v>0</v>
      </c>
      <c r="BQ30" s="16">
        <f t="shared" si="147"/>
        <v>0</v>
      </c>
      <c r="BR30" s="16">
        <f t="shared" ref="BR30:CA34" si="148">($I30="S-Curve")*IX30+AND($I30&lt;&gt;"S-Curve",BR$14&gt;=$E30,BR$14&lt;=$F30)*($L30/$H30)</f>
        <v>0</v>
      </c>
      <c r="BS30" s="16">
        <f t="shared" si="148"/>
        <v>0</v>
      </c>
      <c r="BT30" s="16">
        <f t="shared" si="148"/>
        <v>0</v>
      </c>
      <c r="BU30" s="16">
        <f t="shared" si="148"/>
        <v>0</v>
      </c>
      <c r="BV30" s="16">
        <f t="shared" si="148"/>
        <v>0</v>
      </c>
      <c r="BW30" s="16">
        <f t="shared" si="148"/>
        <v>0</v>
      </c>
      <c r="BX30" s="16">
        <f t="shared" si="148"/>
        <v>0</v>
      </c>
      <c r="BY30" s="16">
        <f t="shared" si="148"/>
        <v>0</v>
      </c>
      <c r="BZ30" s="16">
        <f t="shared" si="148"/>
        <v>0</v>
      </c>
      <c r="CA30" s="16">
        <f t="shared" si="148"/>
        <v>0</v>
      </c>
      <c r="CB30" s="16">
        <f t="shared" ref="CB30:CK34" si="149">($I30="S-Curve")*JH30+AND($I30&lt;&gt;"S-Curve",CB$14&gt;=$E30,CB$14&lt;=$F30)*($L30/$H30)</f>
        <v>0</v>
      </c>
      <c r="CC30" s="16">
        <f t="shared" si="149"/>
        <v>0</v>
      </c>
      <c r="CD30" s="16">
        <f t="shared" si="149"/>
        <v>0</v>
      </c>
      <c r="CE30" s="16">
        <f t="shared" si="149"/>
        <v>0</v>
      </c>
      <c r="CF30" s="16">
        <f t="shared" si="149"/>
        <v>0</v>
      </c>
      <c r="CG30" s="16">
        <f t="shared" si="149"/>
        <v>0</v>
      </c>
      <c r="CH30" s="16">
        <f t="shared" si="149"/>
        <v>0</v>
      </c>
      <c r="CI30" s="16">
        <f t="shared" si="149"/>
        <v>0</v>
      </c>
      <c r="CJ30" s="16">
        <f t="shared" si="149"/>
        <v>0</v>
      </c>
      <c r="CK30" s="16">
        <f t="shared" si="149"/>
        <v>0</v>
      </c>
      <c r="CL30" s="16">
        <f t="shared" ref="CL30:CU34" si="150">($I30="S-Curve")*JR30+AND($I30&lt;&gt;"S-Curve",CL$14&gt;=$E30,CL$14&lt;=$F30)*($L30/$H30)</f>
        <v>0</v>
      </c>
      <c r="CM30" s="16">
        <f t="shared" si="150"/>
        <v>0</v>
      </c>
      <c r="CN30" s="16">
        <f t="shared" si="150"/>
        <v>0</v>
      </c>
      <c r="CO30" s="16">
        <f t="shared" si="150"/>
        <v>0</v>
      </c>
      <c r="CP30" s="16">
        <f t="shared" si="150"/>
        <v>0</v>
      </c>
      <c r="CQ30" s="16">
        <f t="shared" si="150"/>
        <v>0</v>
      </c>
      <c r="CR30" s="16">
        <f t="shared" si="150"/>
        <v>0</v>
      </c>
      <c r="CS30" s="16">
        <f t="shared" si="150"/>
        <v>0</v>
      </c>
      <c r="CT30" s="16">
        <f t="shared" si="150"/>
        <v>0</v>
      </c>
      <c r="CU30" s="16">
        <f t="shared" si="150"/>
        <v>0</v>
      </c>
      <c r="CV30" s="16">
        <f t="shared" ref="CV30:DE34" si="151">($I30="S-Curve")*KB30+AND($I30&lt;&gt;"S-Curve",CV$14&gt;=$E30,CV$14&lt;=$F30)*($L30/$H30)</f>
        <v>0</v>
      </c>
      <c r="CW30" s="16">
        <f t="shared" si="151"/>
        <v>0</v>
      </c>
      <c r="CX30" s="16">
        <f t="shared" si="151"/>
        <v>0</v>
      </c>
      <c r="CY30" s="16">
        <f t="shared" si="151"/>
        <v>0</v>
      </c>
      <c r="CZ30" s="16">
        <f t="shared" si="151"/>
        <v>0</v>
      </c>
      <c r="DA30" s="16">
        <f t="shared" si="151"/>
        <v>0</v>
      </c>
      <c r="DB30" s="16">
        <f t="shared" si="151"/>
        <v>0</v>
      </c>
      <c r="DC30" s="16">
        <f t="shared" si="151"/>
        <v>0</v>
      </c>
      <c r="DD30" s="16">
        <f t="shared" si="151"/>
        <v>0</v>
      </c>
      <c r="DE30" s="16">
        <f t="shared" si="151"/>
        <v>0</v>
      </c>
      <c r="DF30" s="16">
        <f t="shared" ref="DF30:DO34" si="152">($I30="S-Curve")*KL30+AND($I30&lt;&gt;"S-Curve",DF$14&gt;=$E30,DF$14&lt;=$F30)*($L30/$H30)</f>
        <v>0</v>
      </c>
      <c r="DG30" s="16">
        <f t="shared" si="152"/>
        <v>0</v>
      </c>
      <c r="DH30" s="16">
        <f t="shared" si="152"/>
        <v>0</v>
      </c>
      <c r="DI30" s="16">
        <f t="shared" si="152"/>
        <v>0</v>
      </c>
      <c r="DJ30" s="16">
        <f t="shared" si="152"/>
        <v>0</v>
      </c>
      <c r="DK30" s="16">
        <f t="shared" si="152"/>
        <v>0</v>
      </c>
      <c r="DL30" s="16">
        <f t="shared" si="152"/>
        <v>0</v>
      </c>
      <c r="DM30" s="16">
        <f t="shared" si="152"/>
        <v>0</v>
      </c>
      <c r="DN30" s="16">
        <f t="shared" si="152"/>
        <v>0</v>
      </c>
      <c r="DO30" s="16">
        <f t="shared" si="152"/>
        <v>0</v>
      </c>
      <c r="DP30" s="16">
        <f t="shared" ref="DP30:DY34" si="153">($I30="S-Curve")*KV30+AND($I30&lt;&gt;"S-Curve",DP$14&gt;=$E30,DP$14&lt;=$F30)*($L30/$H30)</f>
        <v>0</v>
      </c>
      <c r="DQ30" s="16">
        <f t="shared" si="153"/>
        <v>0</v>
      </c>
      <c r="DR30" s="16">
        <f t="shared" si="153"/>
        <v>0</v>
      </c>
      <c r="DS30" s="16">
        <f t="shared" si="153"/>
        <v>0</v>
      </c>
      <c r="DT30" s="16">
        <f t="shared" si="153"/>
        <v>0</v>
      </c>
      <c r="DU30" s="16">
        <f t="shared" si="153"/>
        <v>0</v>
      </c>
      <c r="DV30" s="16">
        <f t="shared" si="153"/>
        <v>0</v>
      </c>
      <c r="DW30" s="16">
        <f t="shared" si="153"/>
        <v>0</v>
      </c>
      <c r="DX30" s="16">
        <f t="shared" si="153"/>
        <v>0</v>
      </c>
      <c r="DY30" s="16">
        <f t="shared" si="153"/>
        <v>0</v>
      </c>
      <c r="DZ30" s="16">
        <f t="shared" ref="DZ30:EI34" si="154">($I30="S-Curve")*LF30+AND($I30&lt;&gt;"S-Curve",DZ$14&gt;=$E30,DZ$14&lt;=$F30)*($L30/$H30)</f>
        <v>0</v>
      </c>
      <c r="EA30" s="16">
        <f t="shared" si="154"/>
        <v>0</v>
      </c>
      <c r="EB30" s="16">
        <f t="shared" si="154"/>
        <v>0</v>
      </c>
      <c r="EC30" s="16">
        <f t="shared" si="154"/>
        <v>0</v>
      </c>
      <c r="ED30" s="16">
        <f t="shared" si="154"/>
        <v>0</v>
      </c>
      <c r="EE30" s="16">
        <f t="shared" si="154"/>
        <v>0</v>
      </c>
      <c r="EF30" s="16">
        <f t="shared" si="154"/>
        <v>0</v>
      </c>
      <c r="EG30" s="16">
        <f t="shared" si="154"/>
        <v>0</v>
      </c>
      <c r="EH30" s="16">
        <f t="shared" si="154"/>
        <v>0</v>
      </c>
      <c r="EI30" s="16">
        <f t="shared" si="154"/>
        <v>0</v>
      </c>
      <c r="EJ30" s="16">
        <f t="shared" ref="EJ30:ES34" si="155">($I30="S-Curve")*LP30+AND($I30&lt;&gt;"S-Curve",EJ$14&gt;=$E30,EJ$14&lt;=$F30)*($L30/$H30)</f>
        <v>0</v>
      </c>
      <c r="EK30" s="16">
        <f t="shared" si="155"/>
        <v>0</v>
      </c>
      <c r="EL30" s="16">
        <f t="shared" si="155"/>
        <v>0</v>
      </c>
      <c r="EM30" s="16">
        <f t="shared" si="155"/>
        <v>0</v>
      </c>
      <c r="EN30" s="16">
        <f t="shared" si="155"/>
        <v>0</v>
      </c>
      <c r="EO30" s="16">
        <f t="shared" si="155"/>
        <v>0</v>
      </c>
      <c r="EP30" s="16">
        <f t="shared" si="155"/>
        <v>0</v>
      </c>
      <c r="EQ30" s="16">
        <f t="shared" si="155"/>
        <v>0</v>
      </c>
      <c r="ER30" s="16">
        <f t="shared" si="155"/>
        <v>0</v>
      </c>
      <c r="ES30" s="16">
        <f t="shared" si="155"/>
        <v>0</v>
      </c>
      <c r="ET30" s="16">
        <f t="shared" ref="ET30:FC34" si="156">($I30="S-Curve")*LZ30+AND($I30&lt;&gt;"S-Curve",ET$14&gt;=$E30,ET$14&lt;=$F30)*($L30/$H30)</f>
        <v>0</v>
      </c>
      <c r="EU30" s="16">
        <f t="shared" si="156"/>
        <v>0</v>
      </c>
      <c r="EV30" s="16">
        <f t="shared" si="156"/>
        <v>0</v>
      </c>
      <c r="EW30" s="16">
        <f t="shared" si="156"/>
        <v>0</v>
      </c>
      <c r="EX30" s="16">
        <f t="shared" si="156"/>
        <v>0</v>
      </c>
      <c r="EY30" s="16">
        <f t="shared" si="156"/>
        <v>0</v>
      </c>
      <c r="EZ30" s="16">
        <f t="shared" si="156"/>
        <v>0</v>
      </c>
      <c r="FA30" s="16">
        <f t="shared" si="156"/>
        <v>0</v>
      </c>
      <c r="FB30" s="16">
        <f t="shared" si="156"/>
        <v>0</v>
      </c>
      <c r="FC30" s="16">
        <f t="shared" si="156"/>
        <v>0</v>
      </c>
      <c r="FD30" s="16">
        <f t="shared" ref="FD30:FM34" si="157">($I30="S-Curve")*MJ30+AND($I30&lt;&gt;"S-Curve",FD$14&gt;=$E30,FD$14&lt;=$F30)*($L30/$H30)</f>
        <v>0</v>
      </c>
      <c r="FE30" s="16">
        <f t="shared" si="157"/>
        <v>0</v>
      </c>
      <c r="FF30" s="16">
        <f t="shared" si="157"/>
        <v>0</v>
      </c>
      <c r="FG30" s="16">
        <f t="shared" si="157"/>
        <v>0</v>
      </c>
      <c r="FH30" s="16">
        <f t="shared" si="157"/>
        <v>0</v>
      </c>
      <c r="FI30" s="16">
        <f t="shared" si="157"/>
        <v>0</v>
      </c>
      <c r="FJ30" s="16">
        <f t="shared" si="157"/>
        <v>0</v>
      </c>
      <c r="FK30" s="16">
        <f t="shared" si="157"/>
        <v>0</v>
      </c>
      <c r="FL30" s="16">
        <f t="shared" si="157"/>
        <v>0</v>
      </c>
      <c r="FM30" s="16">
        <f t="shared" si="157"/>
        <v>0</v>
      </c>
      <c r="FN30" s="16">
        <f t="shared" ref="FN30:FW34" si="158">($I30="S-Curve")*MT30+AND($I30&lt;&gt;"S-Curve",FN$14&gt;=$E30,FN$14&lt;=$F30)*($L30/$H30)</f>
        <v>0</v>
      </c>
      <c r="FO30" s="16">
        <f t="shared" si="158"/>
        <v>0</v>
      </c>
      <c r="FP30" s="16">
        <f t="shared" si="158"/>
        <v>0</v>
      </c>
      <c r="FQ30" s="16">
        <f t="shared" si="158"/>
        <v>0</v>
      </c>
      <c r="FR30" s="16">
        <f t="shared" si="158"/>
        <v>0</v>
      </c>
      <c r="FS30" s="16">
        <f t="shared" si="158"/>
        <v>0</v>
      </c>
      <c r="FT30" s="16">
        <f t="shared" si="158"/>
        <v>0</v>
      </c>
      <c r="FU30" s="16">
        <f t="shared" si="158"/>
        <v>0</v>
      </c>
      <c r="FV30" s="16">
        <f t="shared" si="158"/>
        <v>0</v>
      </c>
      <c r="FW30" s="16">
        <f t="shared" si="158"/>
        <v>0</v>
      </c>
      <c r="FX30" s="16">
        <f t="shared" ref="FX30:GG34" si="159">($I30="S-Curve")*ND30+AND($I30&lt;&gt;"S-Curve",FX$14&gt;=$E30,FX$14&lt;=$F30)*($L30/$H30)</f>
        <v>0</v>
      </c>
      <c r="FY30" s="16">
        <f t="shared" si="159"/>
        <v>0</v>
      </c>
      <c r="FZ30" s="16">
        <f t="shared" si="159"/>
        <v>0</v>
      </c>
      <c r="GA30" s="16">
        <f t="shared" si="159"/>
        <v>0</v>
      </c>
      <c r="GB30" s="16">
        <f t="shared" si="159"/>
        <v>0</v>
      </c>
      <c r="GC30" s="16">
        <f t="shared" si="159"/>
        <v>0</v>
      </c>
      <c r="GD30" s="16">
        <f t="shared" si="159"/>
        <v>0</v>
      </c>
      <c r="GE30" s="16">
        <f t="shared" si="159"/>
        <v>0</v>
      </c>
      <c r="GF30" s="16">
        <f t="shared" si="159"/>
        <v>0</v>
      </c>
      <c r="GG30" s="16">
        <f t="shared" si="159"/>
        <v>0</v>
      </c>
      <c r="GH30" s="16">
        <f t="shared" ref="GH30:GQ34" si="160">($I30="S-Curve")*NN30+AND($I30&lt;&gt;"S-Curve",GH$14&gt;=$E30,GH$14&lt;=$F30)*($L30/$H30)</f>
        <v>0</v>
      </c>
      <c r="GI30" s="16">
        <f t="shared" si="160"/>
        <v>0</v>
      </c>
      <c r="GJ30" s="16">
        <f t="shared" si="160"/>
        <v>0</v>
      </c>
      <c r="GK30" s="16">
        <f t="shared" si="160"/>
        <v>0</v>
      </c>
      <c r="GL30" s="16">
        <f t="shared" si="160"/>
        <v>0</v>
      </c>
      <c r="GM30" s="16">
        <f t="shared" si="160"/>
        <v>0</v>
      </c>
      <c r="GN30" s="16">
        <f t="shared" si="160"/>
        <v>0</v>
      </c>
      <c r="GO30" s="16">
        <f t="shared" si="160"/>
        <v>0</v>
      </c>
      <c r="GP30" s="16">
        <f t="shared" si="160"/>
        <v>0</v>
      </c>
      <c r="GQ30" s="16">
        <f t="shared" si="160"/>
        <v>0</v>
      </c>
      <c r="GR30" s="9"/>
      <c r="GS30" s="70" t="str">
        <f t="shared" si="134"/>
        <v>Amentity Construction Costs (Vertical)</v>
      </c>
      <c r="GT30" s="77">
        <f t="shared" ref="GT30:GT34" si="161">L30</f>
        <v>495000</v>
      </c>
      <c r="GU30" s="78">
        <f t="shared" si="135"/>
        <v>20</v>
      </c>
      <c r="GV30" s="78">
        <f t="shared" si="135"/>
        <v>28</v>
      </c>
      <c r="GW30" s="78">
        <f t="shared" ref="GW30:GW34" si="162">H30</f>
        <v>9</v>
      </c>
      <c r="GX30" s="79">
        <f t="shared" ref="GX30:GX34" si="163">GW30/6</f>
        <v>1.5</v>
      </c>
      <c r="GY30" s="79" t="b">
        <f t="shared" ref="GY30:GY35" si="164">ROUND(GT30,0)=ROUND(SUM(GZ30:NW30),0)</f>
        <v>1</v>
      </c>
      <c r="GZ30" s="77">
        <f t="shared" ref="GZ30:GZ34" si="165">AND(GZ$14&gt;=$GU30,GZ$14&lt;=$GV30)*((_xlfn.NORM.DIST(GZ$14-$GU30+1,$GW30/2,$GX30,TRUE)-_xlfn.NORM.DIST(GZ$14-$GU30,$GW30/2,$GX30,TRUE))/(1-2*_xlfn.NORM.DIST(0,$GW30/2,$GX30,TRUE))*$GT30)</f>
        <v>0</v>
      </c>
      <c r="HA30" s="77">
        <f t="shared" ref="HA30:HP34" si="166">AND(HA$14&gt;=$GU30,HA$14&lt;=$GV30)*((_xlfn.NORM.DIST(HA$14-$GU30+1,$GW30/2,$GX30,TRUE)-_xlfn.NORM.DIST(HA$14-$GU30,$GW30/2,$GX30,TRUE))/(1-2*_xlfn.NORM.DIST(0,$GW30/2,$GX30,TRUE))*$GT30)</f>
        <v>0</v>
      </c>
      <c r="HB30" s="77">
        <f t="shared" si="166"/>
        <v>0</v>
      </c>
      <c r="HC30" s="77">
        <f t="shared" si="166"/>
        <v>0</v>
      </c>
      <c r="HD30" s="77">
        <f t="shared" si="166"/>
        <v>0</v>
      </c>
      <c r="HE30" s="77">
        <f t="shared" si="166"/>
        <v>0</v>
      </c>
      <c r="HF30" s="77">
        <f t="shared" si="166"/>
        <v>0</v>
      </c>
      <c r="HG30" s="77">
        <f t="shared" si="166"/>
        <v>0</v>
      </c>
      <c r="HH30" s="77">
        <f t="shared" si="166"/>
        <v>0</v>
      </c>
      <c r="HI30" s="77">
        <f t="shared" si="166"/>
        <v>0</v>
      </c>
      <c r="HJ30" s="77">
        <f t="shared" si="166"/>
        <v>0</v>
      </c>
      <c r="HK30" s="77">
        <f t="shared" si="166"/>
        <v>0</v>
      </c>
      <c r="HL30" s="77">
        <f t="shared" si="166"/>
        <v>0</v>
      </c>
      <c r="HM30" s="77">
        <f t="shared" si="166"/>
        <v>0</v>
      </c>
      <c r="HN30" s="77">
        <f t="shared" si="166"/>
        <v>0</v>
      </c>
      <c r="HO30" s="77">
        <f t="shared" si="166"/>
        <v>0</v>
      </c>
      <c r="HP30" s="77">
        <f t="shared" si="166"/>
        <v>0</v>
      </c>
      <c r="HQ30" s="77">
        <f t="shared" ref="HQ30:IF34" si="167">AND(HQ$14&gt;=$GU30,HQ$14&lt;=$GV30)*((_xlfn.NORM.DIST(HQ$14-$GU30+1,$GW30/2,$GX30,TRUE)-_xlfn.NORM.DIST(HQ$14-$GU30,$GW30/2,$GX30,TRUE))/(1-2*_xlfn.NORM.DIST(0,$GW30/2,$GX30,TRUE))*$GT30)</f>
        <v>0</v>
      </c>
      <c r="HR30" s="77">
        <f t="shared" si="167"/>
        <v>0</v>
      </c>
      <c r="HS30" s="77">
        <f t="shared" si="167"/>
        <v>4201.7319649403653</v>
      </c>
      <c r="HT30" s="77">
        <f t="shared" si="167"/>
        <v>18848.523874418257</v>
      </c>
      <c r="HU30" s="77">
        <f t="shared" si="167"/>
        <v>55026.687154381587</v>
      </c>
      <c r="HV30" s="77">
        <f t="shared" si="167"/>
        <v>104621.56959562816</v>
      </c>
      <c r="HW30" s="77">
        <f t="shared" si="167"/>
        <v>129602.97482126331</v>
      </c>
      <c r="HX30" s="77">
        <f t="shared" si="167"/>
        <v>104621.56959562816</v>
      </c>
      <c r="HY30" s="77">
        <f t="shared" si="167"/>
        <v>55026.687154381572</v>
      </c>
      <c r="HZ30" s="77">
        <f t="shared" si="167"/>
        <v>18848.523874418264</v>
      </c>
      <c r="IA30" s="77">
        <f t="shared" si="167"/>
        <v>4201.7319649403498</v>
      </c>
      <c r="IB30" s="77">
        <f t="shared" si="167"/>
        <v>0</v>
      </c>
      <c r="IC30" s="77">
        <f t="shared" si="167"/>
        <v>0</v>
      </c>
      <c r="ID30" s="77">
        <f t="shared" si="167"/>
        <v>0</v>
      </c>
      <c r="IE30" s="77">
        <f t="shared" si="167"/>
        <v>0</v>
      </c>
      <c r="IF30" s="77">
        <f t="shared" si="167"/>
        <v>0</v>
      </c>
      <c r="IG30" s="77">
        <f t="shared" ref="IG30:IV34" si="168">AND(IG$14&gt;=$GU30,IG$14&lt;=$GV30)*((_xlfn.NORM.DIST(IG$14-$GU30+1,$GW30/2,$GX30,TRUE)-_xlfn.NORM.DIST(IG$14-$GU30,$GW30/2,$GX30,TRUE))/(1-2*_xlfn.NORM.DIST(0,$GW30/2,$GX30,TRUE))*$GT30)</f>
        <v>0</v>
      </c>
      <c r="IH30" s="77">
        <f t="shared" si="168"/>
        <v>0</v>
      </c>
      <c r="II30" s="77">
        <f t="shared" si="168"/>
        <v>0</v>
      </c>
      <c r="IJ30" s="77">
        <f t="shared" si="168"/>
        <v>0</v>
      </c>
      <c r="IK30" s="77">
        <f t="shared" si="168"/>
        <v>0</v>
      </c>
      <c r="IL30" s="77">
        <f t="shared" si="168"/>
        <v>0</v>
      </c>
      <c r="IM30" s="77">
        <f t="shared" si="168"/>
        <v>0</v>
      </c>
      <c r="IN30" s="77">
        <f t="shared" si="168"/>
        <v>0</v>
      </c>
      <c r="IO30" s="77">
        <f t="shared" si="168"/>
        <v>0</v>
      </c>
      <c r="IP30" s="77">
        <f t="shared" si="168"/>
        <v>0</v>
      </c>
      <c r="IQ30" s="77">
        <f t="shared" si="168"/>
        <v>0</v>
      </c>
      <c r="IR30" s="77">
        <f t="shared" si="168"/>
        <v>0</v>
      </c>
      <c r="IS30" s="77">
        <f t="shared" si="168"/>
        <v>0</v>
      </c>
      <c r="IT30" s="77">
        <f t="shared" si="168"/>
        <v>0</v>
      </c>
      <c r="IU30" s="77">
        <f t="shared" si="168"/>
        <v>0</v>
      </c>
      <c r="IV30" s="77">
        <f t="shared" si="168"/>
        <v>0</v>
      </c>
      <c r="IW30" s="77">
        <f t="shared" ref="IW30:JL34" si="169">AND(IW$14&gt;=$GU30,IW$14&lt;=$GV30)*((_xlfn.NORM.DIST(IW$14-$GU30+1,$GW30/2,$GX30,TRUE)-_xlfn.NORM.DIST(IW$14-$GU30,$GW30/2,$GX30,TRUE))/(1-2*_xlfn.NORM.DIST(0,$GW30/2,$GX30,TRUE))*$GT30)</f>
        <v>0</v>
      </c>
      <c r="IX30" s="77">
        <f t="shared" si="169"/>
        <v>0</v>
      </c>
      <c r="IY30" s="77">
        <f t="shared" si="169"/>
        <v>0</v>
      </c>
      <c r="IZ30" s="77">
        <f t="shared" si="169"/>
        <v>0</v>
      </c>
      <c r="JA30" s="77">
        <f t="shared" si="169"/>
        <v>0</v>
      </c>
      <c r="JB30" s="77">
        <f t="shared" si="169"/>
        <v>0</v>
      </c>
      <c r="JC30" s="77">
        <f t="shared" si="169"/>
        <v>0</v>
      </c>
      <c r="JD30" s="77">
        <f t="shared" si="169"/>
        <v>0</v>
      </c>
      <c r="JE30" s="77">
        <f t="shared" si="169"/>
        <v>0</v>
      </c>
      <c r="JF30" s="77">
        <f t="shared" si="169"/>
        <v>0</v>
      </c>
      <c r="JG30" s="77">
        <f t="shared" si="169"/>
        <v>0</v>
      </c>
      <c r="JH30" s="77">
        <f t="shared" si="169"/>
        <v>0</v>
      </c>
      <c r="JI30" s="77">
        <f t="shared" si="169"/>
        <v>0</v>
      </c>
      <c r="JJ30" s="77">
        <f t="shared" si="169"/>
        <v>0</v>
      </c>
      <c r="JK30" s="77">
        <f t="shared" si="169"/>
        <v>0</v>
      </c>
      <c r="JL30" s="77">
        <f t="shared" si="169"/>
        <v>0</v>
      </c>
      <c r="JM30" s="77">
        <f t="shared" ref="JM30:KB34" si="170">AND(JM$14&gt;=$GU30,JM$14&lt;=$GV30)*((_xlfn.NORM.DIST(JM$14-$GU30+1,$GW30/2,$GX30,TRUE)-_xlfn.NORM.DIST(JM$14-$GU30,$GW30/2,$GX30,TRUE))/(1-2*_xlfn.NORM.DIST(0,$GW30/2,$GX30,TRUE))*$GT30)</f>
        <v>0</v>
      </c>
      <c r="JN30" s="77">
        <f t="shared" si="170"/>
        <v>0</v>
      </c>
      <c r="JO30" s="77">
        <f t="shared" si="170"/>
        <v>0</v>
      </c>
      <c r="JP30" s="77">
        <f t="shared" si="170"/>
        <v>0</v>
      </c>
      <c r="JQ30" s="77">
        <f t="shared" si="170"/>
        <v>0</v>
      </c>
      <c r="JR30" s="77">
        <f t="shared" si="170"/>
        <v>0</v>
      </c>
      <c r="JS30" s="77">
        <f t="shared" si="170"/>
        <v>0</v>
      </c>
      <c r="JT30" s="77">
        <f t="shared" si="170"/>
        <v>0</v>
      </c>
      <c r="JU30" s="77">
        <f t="shared" si="170"/>
        <v>0</v>
      </c>
      <c r="JV30" s="77">
        <f t="shared" si="170"/>
        <v>0</v>
      </c>
      <c r="JW30" s="77">
        <f t="shared" si="170"/>
        <v>0</v>
      </c>
      <c r="JX30" s="77">
        <f t="shared" si="170"/>
        <v>0</v>
      </c>
      <c r="JY30" s="77">
        <f t="shared" si="170"/>
        <v>0</v>
      </c>
      <c r="JZ30" s="77">
        <f t="shared" si="170"/>
        <v>0</v>
      </c>
      <c r="KA30" s="77">
        <f t="shared" si="170"/>
        <v>0</v>
      </c>
      <c r="KB30" s="77">
        <f t="shared" si="170"/>
        <v>0</v>
      </c>
      <c r="KC30" s="77">
        <f t="shared" ref="KC30:KR34" si="171">AND(KC$14&gt;=$GU30,KC$14&lt;=$GV30)*((_xlfn.NORM.DIST(KC$14-$GU30+1,$GW30/2,$GX30,TRUE)-_xlfn.NORM.DIST(KC$14-$GU30,$GW30/2,$GX30,TRUE))/(1-2*_xlfn.NORM.DIST(0,$GW30/2,$GX30,TRUE))*$GT30)</f>
        <v>0</v>
      </c>
      <c r="KD30" s="77">
        <f t="shared" si="171"/>
        <v>0</v>
      </c>
      <c r="KE30" s="77">
        <f t="shared" si="171"/>
        <v>0</v>
      </c>
      <c r="KF30" s="77">
        <f t="shared" si="171"/>
        <v>0</v>
      </c>
      <c r="KG30" s="77">
        <f t="shared" si="171"/>
        <v>0</v>
      </c>
      <c r="KH30" s="77">
        <f t="shared" si="171"/>
        <v>0</v>
      </c>
      <c r="KI30" s="77">
        <f t="shared" si="171"/>
        <v>0</v>
      </c>
      <c r="KJ30" s="77">
        <f t="shared" si="171"/>
        <v>0</v>
      </c>
      <c r="KK30" s="77">
        <f t="shared" si="171"/>
        <v>0</v>
      </c>
      <c r="KL30" s="77">
        <f t="shared" si="171"/>
        <v>0</v>
      </c>
      <c r="KM30" s="77">
        <f t="shared" si="171"/>
        <v>0</v>
      </c>
      <c r="KN30" s="77">
        <f t="shared" si="171"/>
        <v>0</v>
      </c>
      <c r="KO30" s="77">
        <f t="shared" si="171"/>
        <v>0</v>
      </c>
      <c r="KP30" s="77">
        <f t="shared" si="171"/>
        <v>0</v>
      </c>
      <c r="KQ30" s="77">
        <f t="shared" si="171"/>
        <v>0</v>
      </c>
      <c r="KR30" s="77">
        <f t="shared" si="171"/>
        <v>0</v>
      </c>
      <c r="KS30" s="77">
        <f t="shared" ref="KS30:LH34" si="172">AND(KS$14&gt;=$GU30,KS$14&lt;=$GV30)*((_xlfn.NORM.DIST(KS$14-$GU30+1,$GW30/2,$GX30,TRUE)-_xlfn.NORM.DIST(KS$14-$GU30,$GW30/2,$GX30,TRUE))/(1-2*_xlfn.NORM.DIST(0,$GW30/2,$GX30,TRUE))*$GT30)</f>
        <v>0</v>
      </c>
      <c r="KT30" s="77">
        <f t="shared" si="172"/>
        <v>0</v>
      </c>
      <c r="KU30" s="77">
        <f t="shared" si="172"/>
        <v>0</v>
      </c>
      <c r="KV30" s="77">
        <f t="shared" si="172"/>
        <v>0</v>
      </c>
      <c r="KW30" s="77">
        <f t="shared" si="172"/>
        <v>0</v>
      </c>
      <c r="KX30" s="77">
        <f t="shared" si="172"/>
        <v>0</v>
      </c>
      <c r="KY30" s="77">
        <f t="shared" si="172"/>
        <v>0</v>
      </c>
      <c r="KZ30" s="77">
        <f t="shared" si="172"/>
        <v>0</v>
      </c>
      <c r="LA30" s="77">
        <f t="shared" si="172"/>
        <v>0</v>
      </c>
      <c r="LB30" s="77">
        <f t="shared" si="172"/>
        <v>0</v>
      </c>
      <c r="LC30" s="77">
        <f t="shared" si="172"/>
        <v>0</v>
      </c>
      <c r="LD30" s="77">
        <f t="shared" si="172"/>
        <v>0</v>
      </c>
      <c r="LE30" s="77">
        <f t="shared" si="172"/>
        <v>0</v>
      </c>
      <c r="LF30" s="77">
        <f t="shared" si="172"/>
        <v>0</v>
      </c>
      <c r="LG30" s="77">
        <f t="shared" si="172"/>
        <v>0</v>
      </c>
      <c r="LH30" s="77">
        <f t="shared" si="172"/>
        <v>0</v>
      </c>
      <c r="LI30" s="77">
        <f t="shared" ref="LI30:LX34" si="173">AND(LI$14&gt;=$GU30,LI$14&lt;=$GV30)*((_xlfn.NORM.DIST(LI$14-$GU30+1,$GW30/2,$GX30,TRUE)-_xlfn.NORM.DIST(LI$14-$GU30,$GW30/2,$GX30,TRUE))/(1-2*_xlfn.NORM.DIST(0,$GW30/2,$GX30,TRUE))*$GT30)</f>
        <v>0</v>
      </c>
      <c r="LJ30" s="77">
        <f t="shared" si="173"/>
        <v>0</v>
      </c>
      <c r="LK30" s="77">
        <f t="shared" si="173"/>
        <v>0</v>
      </c>
      <c r="LL30" s="77">
        <f t="shared" si="173"/>
        <v>0</v>
      </c>
      <c r="LM30" s="77">
        <f t="shared" si="173"/>
        <v>0</v>
      </c>
      <c r="LN30" s="77">
        <f t="shared" si="173"/>
        <v>0</v>
      </c>
      <c r="LO30" s="77">
        <f t="shared" si="173"/>
        <v>0</v>
      </c>
      <c r="LP30" s="77">
        <f t="shared" si="173"/>
        <v>0</v>
      </c>
      <c r="LQ30" s="77">
        <f t="shared" si="173"/>
        <v>0</v>
      </c>
      <c r="LR30" s="77">
        <f t="shared" si="173"/>
        <v>0</v>
      </c>
      <c r="LS30" s="77">
        <f t="shared" si="173"/>
        <v>0</v>
      </c>
      <c r="LT30" s="77">
        <f t="shared" si="173"/>
        <v>0</v>
      </c>
      <c r="LU30" s="77">
        <f t="shared" si="173"/>
        <v>0</v>
      </c>
      <c r="LV30" s="77">
        <f t="shared" si="173"/>
        <v>0</v>
      </c>
      <c r="LW30" s="77">
        <f t="shared" si="173"/>
        <v>0</v>
      </c>
      <c r="LX30" s="77">
        <f t="shared" si="173"/>
        <v>0</v>
      </c>
      <c r="LY30" s="77">
        <f t="shared" ref="LY30:MN34" si="174">AND(LY$14&gt;=$GU30,LY$14&lt;=$GV30)*((_xlfn.NORM.DIST(LY$14-$GU30+1,$GW30/2,$GX30,TRUE)-_xlfn.NORM.DIST(LY$14-$GU30,$GW30/2,$GX30,TRUE))/(1-2*_xlfn.NORM.DIST(0,$GW30/2,$GX30,TRUE))*$GT30)</f>
        <v>0</v>
      </c>
      <c r="LZ30" s="77">
        <f t="shared" si="174"/>
        <v>0</v>
      </c>
      <c r="MA30" s="77">
        <f t="shared" si="174"/>
        <v>0</v>
      </c>
      <c r="MB30" s="77">
        <f t="shared" si="174"/>
        <v>0</v>
      </c>
      <c r="MC30" s="77">
        <f t="shared" si="174"/>
        <v>0</v>
      </c>
      <c r="MD30" s="77">
        <f t="shared" si="174"/>
        <v>0</v>
      </c>
      <c r="ME30" s="77">
        <f t="shared" si="174"/>
        <v>0</v>
      </c>
      <c r="MF30" s="77">
        <f t="shared" si="174"/>
        <v>0</v>
      </c>
      <c r="MG30" s="77">
        <f t="shared" si="174"/>
        <v>0</v>
      </c>
      <c r="MH30" s="77">
        <f t="shared" si="174"/>
        <v>0</v>
      </c>
      <c r="MI30" s="77">
        <f t="shared" si="174"/>
        <v>0</v>
      </c>
      <c r="MJ30" s="77">
        <f t="shared" si="174"/>
        <v>0</v>
      </c>
      <c r="MK30" s="77">
        <f t="shared" si="174"/>
        <v>0</v>
      </c>
      <c r="ML30" s="77">
        <f t="shared" si="174"/>
        <v>0</v>
      </c>
      <c r="MM30" s="77">
        <f t="shared" si="174"/>
        <v>0</v>
      </c>
      <c r="MN30" s="77">
        <f t="shared" si="174"/>
        <v>0</v>
      </c>
      <c r="MO30" s="77">
        <f t="shared" ref="MO30:ND34" si="175">AND(MO$14&gt;=$GU30,MO$14&lt;=$GV30)*((_xlfn.NORM.DIST(MO$14-$GU30+1,$GW30/2,$GX30,TRUE)-_xlfn.NORM.DIST(MO$14-$GU30,$GW30/2,$GX30,TRUE))/(1-2*_xlfn.NORM.DIST(0,$GW30/2,$GX30,TRUE))*$GT30)</f>
        <v>0</v>
      </c>
      <c r="MP30" s="77">
        <f t="shared" si="175"/>
        <v>0</v>
      </c>
      <c r="MQ30" s="77">
        <f t="shared" si="175"/>
        <v>0</v>
      </c>
      <c r="MR30" s="77">
        <f t="shared" si="175"/>
        <v>0</v>
      </c>
      <c r="MS30" s="77">
        <f t="shared" si="175"/>
        <v>0</v>
      </c>
      <c r="MT30" s="77">
        <f t="shared" si="175"/>
        <v>0</v>
      </c>
      <c r="MU30" s="77">
        <f t="shared" si="175"/>
        <v>0</v>
      </c>
      <c r="MV30" s="77">
        <f t="shared" si="175"/>
        <v>0</v>
      </c>
      <c r="MW30" s="77">
        <f t="shared" si="175"/>
        <v>0</v>
      </c>
      <c r="MX30" s="77">
        <f t="shared" si="175"/>
        <v>0</v>
      </c>
      <c r="MY30" s="77">
        <f t="shared" si="175"/>
        <v>0</v>
      </c>
      <c r="MZ30" s="77">
        <f t="shared" si="175"/>
        <v>0</v>
      </c>
      <c r="NA30" s="77">
        <f t="shared" si="175"/>
        <v>0</v>
      </c>
      <c r="NB30" s="77">
        <f t="shared" si="175"/>
        <v>0</v>
      </c>
      <c r="NC30" s="77">
        <f t="shared" si="175"/>
        <v>0</v>
      </c>
      <c r="ND30" s="77">
        <f t="shared" si="175"/>
        <v>0</v>
      </c>
      <c r="NE30" s="77">
        <f t="shared" ref="NE30:NT34" si="176">AND(NE$14&gt;=$GU30,NE$14&lt;=$GV30)*((_xlfn.NORM.DIST(NE$14-$GU30+1,$GW30/2,$GX30,TRUE)-_xlfn.NORM.DIST(NE$14-$GU30,$GW30/2,$GX30,TRUE))/(1-2*_xlfn.NORM.DIST(0,$GW30/2,$GX30,TRUE))*$GT30)</f>
        <v>0</v>
      </c>
      <c r="NF30" s="77">
        <f t="shared" si="176"/>
        <v>0</v>
      </c>
      <c r="NG30" s="77">
        <f t="shared" si="176"/>
        <v>0</v>
      </c>
      <c r="NH30" s="77">
        <f t="shared" si="176"/>
        <v>0</v>
      </c>
      <c r="NI30" s="77">
        <f t="shared" si="176"/>
        <v>0</v>
      </c>
      <c r="NJ30" s="77">
        <f t="shared" si="176"/>
        <v>0</v>
      </c>
      <c r="NK30" s="77">
        <f t="shared" si="176"/>
        <v>0</v>
      </c>
      <c r="NL30" s="77">
        <f t="shared" si="176"/>
        <v>0</v>
      </c>
      <c r="NM30" s="77">
        <f t="shared" si="176"/>
        <v>0</v>
      </c>
      <c r="NN30" s="77">
        <f t="shared" si="176"/>
        <v>0</v>
      </c>
      <c r="NO30" s="77">
        <f t="shared" si="176"/>
        <v>0</v>
      </c>
      <c r="NP30" s="77">
        <f t="shared" si="176"/>
        <v>0</v>
      </c>
      <c r="NQ30" s="77">
        <f t="shared" si="176"/>
        <v>0</v>
      </c>
      <c r="NR30" s="77">
        <f t="shared" si="176"/>
        <v>0</v>
      </c>
      <c r="NS30" s="77">
        <f t="shared" si="176"/>
        <v>0</v>
      </c>
      <c r="NT30" s="77">
        <f t="shared" si="176"/>
        <v>0</v>
      </c>
      <c r="NU30" s="77">
        <f t="shared" ref="NU30:NW34" si="177">AND(NU$14&gt;=$GU30,NU$14&lt;=$GV30)*((_xlfn.NORM.DIST(NU$14-$GU30+1,$GW30/2,$GX30,TRUE)-_xlfn.NORM.DIST(NU$14-$GU30,$GW30/2,$GX30,TRUE))/(1-2*_xlfn.NORM.DIST(0,$GW30/2,$GX30,TRUE))*$GT30)</f>
        <v>0</v>
      </c>
      <c r="NV30" s="77">
        <f t="shared" si="177"/>
        <v>0</v>
      </c>
      <c r="NW30" s="77">
        <f t="shared" si="177"/>
        <v>0</v>
      </c>
      <c r="NX30" s="10"/>
    </row>
    <row r="31" spans="2:388" x14ac:dyDescent="0.3">
      <c r="B31" s="26" t="s">
        <v>210</v>
      </c>
      <c r="C31" s="18"/>
      <c r="D31" s="19"/>
      <c r="E31" s="27">
        <v>8</v>
      </c>
      <c r="F31" s="27">
        <v>9</v>
      </c>
      <c r="G31" s="21"/>
      <c r="H31" s="28">
        <f t="shared" si="139"/>
        <v>2</v>
      </c>
      <c r="I31" s="21" t="s">
        <v>195</v>
      </c>
      <c r="J31" s="23">
        <f t="shared" si="140"/>
        <v>341.30434782608694</v>
      </c>
      <c r="K31" s="29">
        <f t="shared" si="141"/>
        <v>4.511494252873563E-2</v>
      </c>
      <c r="L31" s="30">
        <v>78500</v>
      </c>
      <c r="S31" s="69" t="str">
        <f t="shared" si="142"/>
        <v>OK</v>
      </c>
      <c r="T31" s="16">
        <f t="shared" si="143"/>
        <v>0</v>
      </c>
      <c r="U31" s="16">
        <f t="shared" si="143"/>
        <v>0</v>
      </c>
      <c r="V31" s="16">
        <f t="shared" si="143"/>
        <v>0</v>
      </c>
      <c r="W31" s="16">
        <f t="shared" si="143"/>
        <v>0</v>
      </c>
      <c r="X31" s="16">
        <f t="shared" si="143"/>
        <v>0</v>
      </c>
      <c r="Y31" s="16">
        <f t="shared" si="143"/>
        <v>0</v>
      </c>
      <c r="Z31" s="16">
        <f t="shared" si="143"/>
        <v>0</v>
      </c>
      <c r="AA31" s="16">
        <f t="shared" si="143"/>
        <v>39250</v>
      </c>
      <c r="AB31" s="16">
        <f t="shared" si="143"/>
        <v>39250</v>
      </c>
      <c r="AC31" s="16">
        <f t="shared" si="143"/>
        <v>0</v>
      </c>
      <c r="AD31" s="16">
        <f t="shared" si="144"/>
        <v>0</v>
      </c>
      <c r="AE31" s="16">
        <f t="shared" si="144"/>
        <v>0</v>
      </c>
      <c r="AF31" s="16">
        <f t="shared" si="144"/>
        <v>0</v>
      </c>
      <c r="AG31" s="16">
        <f t="shared" si="144"/>
        <v>0</v>
      </c>
      <c r="AH31" s="16">
        <f t="shared" si="144"/>
        <v>0</v>
      </c>
      <c r="AI31" s="16">
        <f t="shared" si="144"/>
        <v>0</v>
      </c>
      <c r="AJ31" s="16">
        <f t="shared" si="144"/>
        <v>0</v>
      </c>
      <c r="AK31" s="16">
        <f t="shared" si="144"/>
        <v>0</v>
      </c>
      <c r="AL31" s="16">
        <f t="shared" si="144"/>
        <v>0</v>
      </c>
      <c r="AM31" s="16">
        <f t="shared" si="144"/>
        <v>0</v>
      </c>
      <c r="AN31" s="16">
        <f t="shared" si="145"/>
        <v>0</v>
      </c>
      <c r="AO31" s="16">
        <f t="shared" si="145"/>
        <v>0</v>
      </c>
      <c r="AP31" s="16">
        <f t="shared" si="145"/>
        <v>0</v>
      </c>
      <c r="AQ31" s="16">
        <f t="shared" si="145"/>
        <v>0</v>
      </c>
      <c r="AR31" s="16">
        <f t="shared" si="145"/>
        <v>0</v>
      </c>
      <c r="AS31" s="16">
        <f t="shared" si="145"/>
        <v>0</v>
      </c>
      <c r="AT31" s="16">
        <f t="shared" si="145"/>
        <v>0</v>
      </c>
      <c r="AU31" s="16">
        <f t="shared" si="145"/>
        <v>0</v>
      </c>
      <c r="AV31" s="16">
        <f t="shared" si="145"/>
        <v>0</v>
      </c>
      <c r="AW31" s="16">
        <f t="shared" si="145"/>
        <v>0</v>
      </c>
      <c r="AX31" s="16">
        <f t="shared" si="146"/>
        <v>0</v>
      </c>
      <c r="AY31" s="16">
        <f t="shared" si="146"/>
        <v>0</v>
      </c>
      <c r="AZ31" s="16">
        <f t="shared" si="146"/>
        <v>0</v>
      </c>
      <c r="BA31" s="16">
        <f t="shared" si="146"/>
        <v>0</v>
      </c>
      <c r="BB31" s="16">
        <f t="shared" si="146"/>
        <v>0</v>
      </c>
      <c r="BC31" s="16">
        <f t="shared" si="146"/>
        <v>0</v>
      </c>
      <c r="BD31" s="16">
        <f t="shared" si="146"/>
        <v>0</v>
      </c>
      <c r="BE31" s="16">
        <f t="shared" si="146"/>
        <v>0</v>
      </c>
      <c r="BF31" s="16">
        <f t="shared" si="146"/>
        <v>0</v>
      </c>
      <c r="BG31" s="16">
        <f t="shared" si="146"/>
        <v>0</v>
      </c>
      <c r="BH31" s="16">
        <f t="shared" si="147"/>
        <v>0</v>
      </c>
      <c r="BI31" s="16">
        <f t="shared" si="147"/>
        <v>0</v>
      </c>
      <c r="BJ31" s="16">
        <f t="shared" si="147"/>
        <v>0</v>
      </c>
      <c r="BK31" s="16">
        <f t="shared" si="147"/>
        <v>0</v>
      </c>
      <c r="BL31" s="16">
        <f t="shared" si="147"/>
        <v>0</v>
      </c>
      <c r="BM31" s="16">
        <f t="shared" si="147"/>
        <v>0</v>
      </c>
      <c r="BN31" s="16">
        <f t="shared" si="147"/>
        <v>0</v>
      </c>
      <c r="BO31" s="16">
        <f t="shared" si="147"/>
        <v>0</v>
      </c>
      <c r="BP31" s="16">
        <f t="shared" si="147"/>
        <v>0</v>
      </c>
      <c r="BQ31" s="16">
        <f t="shared" si="147"/>
        <v>0</v>
      </c>
      <c r="BR31" s="16">
        <f t="shared" si="148"/>
        <v>0</v>
      </c>
      <c r="BS31" s="16">
        <f t="shared" si="148"/>
        <v>0</v>
      </c>
      <c r="BT31" s="16">
        <f t="shared" si="148"/>
        <v>0</v>
      </c>
      <c r="BU31" s="16">
        <f t="shared" si="148"/>
        <v>0</v>
      </c>
      <c r="BV31" s="16">
        <f t="shared" si="148"/>
        <v>0</v>
      </c>
      <c r="BW31" s="16">
        <f t="shared" si="148"/>
        <v>0</v>
      </c>
      <c r="BX31" s="16">
        <f t="shared" si="148"/>
        <v>0</v>
      </c>
      <c r="BY31" s="16">
        <f t="shared" si="148"/>
        <v>0</v>
      </c>
      <c r="BZ31" s="16">
        <f t="shared" si="148"/>
        <v>0</v>
      </c>
      <c r="CA31" s="16">
        <f t="shared" si="148"/>
        <v>0</v>
      </c>
      <c r="CB31" s="16">
        <f t="shared" si="149"/>
        <v>0</v>
      </c>
      <c r="CC31" s="16">
        <f t="shared" si="149"/>
        <v>0</v>
      </c>
      <c r="CD31" s="16">
        <f t="shared" si="149"/>
        <v>0</v>
      </c>
      <c r="CE31" s="16">
        <f t="shared" si="149"/>
        <v>0</v>
      </c>
      <c r="CF31" s="16">
        <f t="shared" si="149"/>
        <v>0</v>
      </c>
      <c r="CG31" s="16">
        <f t="shared" si="149"/>
        <v>0</v>
      </c>
      <c r="CH31" s="16">
        <f t="shared" si="149"/>
        <v>0</v>
      </c>
      <c r="CI31" s="16">
        <f t="shared" si="149"/>
        <v>0</v>
      </c>
      <c r="CJ31" s="16">
        <f t="shared" si="149"/>
        <v>0</v>
      </c>
      <c r="CK31" s="16">
        <f t="shared" si="149"/>
        <v>0</v>
      </c>
      <c r="CL31" s="16">
        <f t="shared" si="150"/>
        <v>0</v>
      </c>
      <c r="CM31" s="16">
        <f t="shared" si="150"/>
        <v>0</v>
      </c>
      <c r="CN31" s="16">
        <f t="shared" si="150"/>
        <v>0</v>
      </c>
      <c r="CO31" s="16">
        <f t="shared" si="150"/>
        <v>0</v>
      </c>
      <c r="CP31" s="16">
        <f t="shared" si="150"/>
        <v>0</v>
      </c>
      <c r="CQ31" s="16">
        <f t="shared" si="150"/>
        <v>0</v>
      </c>
      <c r="CR31" s="16">
        <f t="shared" si="150"/>
        <v>0</v>
      </c>
      <c r="CS31" s="16">
        <f t="shared" si="150"/>
        <v>0</v>
      </c>
      <c r="CT31" s="16">
        <f t="shared" si="150"/>
        <v>0</v>
      </c>
      <c r="CU31" s="16">
        <f t="shared" si="150"/>
        <v>0</v>
      </c>
      <c r="CV31" s="16">
        <f t="shared" si="151"/>
        <v>0</v>
      </c>
      <c r="CW31" s="16">
        <f t="shared" si="151"/>
        <v>0</v>
      </c>
      <c r="CX31" s="16">
        <f t="shared" si="151"/>
        <v>0</v>
      </c>
      <c r="CY31" s="16">
        <f t="shared" si="151"/>
        <v>0</v>
      </c>
      <c r="CZ31" s="16">
        <f t="shared" si="151"/>
        <v>0</v>
      </c>
      <c r="DA31" s="16">
        <f t="shared" si="151"/>
        <v>0</v>
      </c>
      <c r="DB31" s="16">
        <f t="shared" si="151"/>
        <v>0</v>
      </c>
      <c r="DC31" s="16">
        <f t="shared" si="151"/>
        <v>0</v>
      </c>
      <c r="DD31" s="16">
        <f t="shared" si="151"/>
        <v>0</v>
      </c>
      <c r="DE31" s="16">
        <f t="shared" si="151"/>
        <v>0</v>
      </c>
      <c r="DF31" s="16">
        <f t="shared" si="152"/>
        <v>0</v>
      </c>
      <c r="DG31" s="16">
        <f t="shared" si="152"/>
        <v>0</v>
      </c>
      <c r="DH31" s="16">
        <f t="shared" si="152"/>
        <v>0</v>
      </c>
      <c r="DI31" s="16">
        <f t="shared" si="152"/>
        <v>0</v>
      </c>
      <c r="DJ31" s="16">
        <f t="shared" si="152"/>
        <v>0</v>
      </c>
      <c r="DK31" s="16">
        <f t="shared" si="152"/>
        <v>0</v>
      </c>
      <c r="DL31" s="16">
        <f t="shared" si="152"/>
        <v>0</v>
      </c>
      <c r="DM31" s="16">
        <f t="shared" si="152"/>
        <v>0</v>
      </c>
      <c r="DN31" s="16">
        <f t="shared" si="152"/>
        <v>0</v>
      </c>
      <c r="DO31" s="16">
        <f t="shared" si="152"/>
        <v>0</v>
      </c>
      <c r="DP31" s="16">
        <f t="shared" si="153"/>
        <v>0</v>
      </c>
      <c r="DQ31" s="16">
        <f t="shared" si="153"/>
        <v>0</v>
      </c>
      <c r="DR31" s="16">
        <f t="shared" si="153"/>
        <v>0</v>
      </c>
      <c r="DS31" s="16">
        <f t="shared" si="153"/>
        <v>0</v>
      </c>
      <c r="DT31" s="16">
        <f t="shared" si="153"/>
        <v>0</v>
      </c>
      <c r="DU31" s="16">
        <f t="shared" si="153"/>
        <v>0</v>
      </c>
      <c r="DV31" s="16">
        <f t="shared" si="153"/>
        <v>0</v>
      </c>
      <c r="DW31" s="16">
        <f t="shared" si="153"/>
        <v>0</v>
      </c>
      <c r="DX31" s="16">
        <f t="shared" si="153"/>
        <v>0</v>
      </c>
      <c r="DY31" s="16">
        <f t="shared" si="153"/>
        <v>0</v>
      </c>
      <c r="DZ31" s="16">
        <f t="shared" si="154"/>
        <v>0</v>
      </c>
      <c r="EA31" s="16">
        <f t="shared" si="154"/>
        <v>0</v>
      </c>
      <c r="EB31" s="16">
        <f t="shared" si="154"/>
        <v>0</v>
      </c>
      <c r="EC31" s="16">
        <f t="shared" si="154"/>
        <v>0</v>
      </c>
      <c r="ED31" s="16">
        <f t="shared" si="154"/>
        <v>0</v>
      </c>
      <c r="EE31" s="16">
        <f t="shared" si="154"/>
        <v>0</v>
      </c>
      <c r="EF31" s="16">
        <f t="shared" si="154"/>
        <v>0</v>
      </c>
      <c r="EG31" s="16">
        <f t="shared" si="154"/>
        <v>0</v>
      </c>
      <c r="EH31" s="16">
        <f t="shared" si="154"/>
        <v>0</v>
      </c>
      <c r="EI31" s="16">
        <f t="shared" si="154"/>
        <v>0</v>
      </c>
      <c r="EJ31" s="16">
        <f t="shared" si="155"/>
        <v>0</v>
      </c>
      <c r="EK31" s="16">
        <f t="shared" si="155"/>
        <v>0</v>
      </c>
      <c r="EL31" s="16">
        <f t="shared" si="155"/>
        <v>0</v>
      </c>
      <c r="EM31" s="16">
        <f t="shared" si="155"/>
        <v>0</v>
      </c>
      <c r="EN31" s="16">
        <f t="shared" si="155"/>
        <v>0</v>
      </c>
      <c r="EO31" s="16">
        <f t="shared" si="155"/>
        <v>0</v>
      </c>
      <c r="EP31" s="16">
        <f t="shared" si="155"/>
        <v>0</v>
      </c>
      <c r="EQ31" s="16">
        <f t="shared" si="155"/>
        <v>0</v>
      </c>
      <c r="ER31" s="16">
        <f t="shared" si="155"/>
        <v>0</v>
      </c>
      <c r="ES31" s="16">
        <f t="shared" si="155"/>
        <v>0</v>
      </c>
      <c r="ET31" s="16">
        <f t="shared" si="156"/>
        <v>0</v>
      </c>
      <c r="EU31" s="16">
        <f t="shared" si="156"/>
        <v>0</v>
      </c>
      <c r="EV31" s="16">
        <f t="shared" si="156"/>
        <v>0</v>
      </c>
      <c r="EW31" s="16">
        <f t="shared" si="156"/>
        <v>0</v>
      </c>
      <c r="EX31" s="16">
        <f t="shared" si="156"/>
        <v>0</v>
      </c>
      <c r="EY31" s="16">
        <f t="shared" si="156"/>
        <v>0</v>
      </c>
      <c r="EZ31" s="16">
        <f t="shared" si="156"/>
        <v>0</v>
      </c>
      <c r="FA31" s="16">
        <f t="shared" si="156"/>
        <v>0</v>
      </c>
      <c r="FB31" s="16">
        <f t="shared" si="156"/>
        <v>0</v>
      </c>
      <c r="FC31" s="16">
        <f t="shared" si="156"/>
        <v>0</v>
      </c>
      <c r="FD31" s="16">
        <f t="shared" si="157"/>
        <v>0</v>
      </c>
      <c r="FE31" s="16">
        <f t="shared" si="157"/>
        <v>0</v>
      </c>
      <c r="FF31" s="16">
        <f t="shared" si="157"/>
        <v>0</v>
      </c>
      <c r="FG31" s="16">
        <f t="shared" si="157"/>
        <v>0</v>
      </c>
      <c r="FH31" s="16">
        <f t="shared" si="157"/>
        <v>0</v>
      </c>
      <c r="FI31" s="16">
        <f t="shared" si="157"/>
        <v>0</v>
      </c>
      <c r="FJ31" s="16">
        <f t="shared" si="157"/>
        <v>0</v>
      </c>
      <c r="FK31" s="16">
        <f t="shared" si="157"/>
        <v>0</v>
      </c>
      <c r="FL31" s="16">
        <f t="shared" si="157"/>
        <v>0</v>
      </c>
      <c r="FM31" s="16">
        <f t="shared" si="157"/>
        <v>0</v>
      </c>
      <c r="FN31" s="16">
        <f t="shared" si="158"/>
        <v>0</v>
      </c>
      <c r="FO31" s="16">
        <f t="shared" si="158"/>
        <v>0</v>
      </c>
      <c r="FP31" s="16">
        <f t="shared" si="158"/>
        <v>0</v>
      </c>
      <c r="FQ31" s="16">
        <f t="shared" si="158"/>
        <v>0</v>
      </c>
      <c r="FR31" s="16">
        <f t="shared" si="158"/>
        <v>0</v>
      </c>
      <c r="FS31" s="16">
        <f t="shared" si="158"/>
        <v>0</v>
      </c>
      <c r="FT31" s="16">
        <f t="shared" si="158"/>
        <v>0</v>
      </c>
      <c r="FU31" s="16">
        <f t="shared" si="158"/>
        <v>0</v>
      </c>
      <c r="FV31" s="16">
        <f t="shared" si="158"/>
        <v>0</v>
      </c>
      <c r="FW31" s="16">
        <f t="shared" si="158"/>
        <v>0</v>
      </c>
      <c r="FX31" s="16">
        <f t="shared" si="159"/>
        <v>0</v>
      </c>
      <c r="FY31" s="16">
        <f t="shared" si="159"/>
        <v>0</v>
      </c>
      <c r="FZ31" s="16">
        <f t="shared" si="159"/>
        <v>0</v>
      </c>
      <c r="GA31" s="16">
        <f t="shared" si="159"/>
        <v>0</v>
      </c>
      <c r="GB31" s="16">
        <f t="shared" si="159"/>
        <v>0</v>
      </c>
      <c r="GC31" s="16">
        <f t="shared" si="159"/>
        <v>0</v>
      </c>
      <c r="GD31" s="16">
        <f t="shared" si="159"/>
        <v>0</v>
      </c>
      <c r="GE31" s="16">
        <f t="shared" si="159"/>
        <v>0</v>
      </c>
      <c r="GF31" s="16">
        <f t="shared" si="159"/>
        <v>0</v>
      </c>
      <c r="GG31" s="16">
        <f t="shared" si="159"/>
        <v>0</v>
      </c>
      <c r="GH31" s="16">
        <f t="shared" si="160"/>
        <v>0</v>
      </c>
      <c r="GI31" s="16">
        <f t="shared" si="160"/>
        <v>0</v>
      </c>
      <c r="GJ31" s="16">
        <f t="shared" si="160"/>
        <v>0</v>
      </c>
      <c r="GK31" s="16">
        <f t="shared" si="160"/>
        <v>0</v>
      </c>
      <c r="GL31" s="16">
        <f t="shared" si="160"/>
        <v>0</v>
      </c>
      <c r="GM31" s="16">
        <f t="shared" si="160"/>
        <v>0</v>
      </c>
      <c r="GN31" s="16">
        <f t="shared" si="160"/>
        <v>0</v>
      </c>
      <c r="GO31" s="16">
        <f t="shared" si="160"/>
        <v>0</v>
      </c>
      <c r="GP31" s="16">
        <f t="shared" si="160"/>
        <v>0</v>
      </c>
      <c r="GQ31" s="16">
        <f t="shared" si="160"/>
        <v>0</v>
      </c>
      <c r="GR31" s="9"/>
      <c r="GS31" s="70" t="str">
        <f t="shared" si="134"/>
        <v>Mail Kisok (Vertical)</v>
      </c>
      <c r="GT31" s="77">
        <f t="shared" si="161"/>
        <v>78500</v>
      </c>
      <c r="GU31" s="78">
        <f t="shared" si="135"/>
        <v>8</v>
      </c>
      <c r="GV31" s="78">
        <f t="shared" si="135"/>
        <v>9</v>
      </c>
      <c r="GW31" s="78">
        <f t="shared" si="162"/>
        <v>2</v>
      </c>
      <c r="GX31" s="79">
        <f t="shared" si="163"/>
        <v>0.33333333333333331</v>
      </c>
      <c r="GY31" s="79" t="b">
        <f t="shared" si="164"/>
        <v>1</v>
      </c>
      <c r="GZ31" s="77">
        <f t="shared" si="165"/>
        <v>0</v>
      </c>
      <c r="HA31" s="77">
        <f t="shared" si="166"/>
        <v>0</v>
      </c>
      <c r="HB31" s="77">
        <f t="shared" si="166"/>
        <v>0</v>
      </c>
      <c r="HC31" s="77">
        <f t="shared" si="166"/>
        <v>0</v>
      </c>
      <c r="HD31" s="77">
        <f t="shared" si="166"/>
        <v>0</v>
      </c>
      <c r="HE31" s="77">
        <f t="shared" si="166"/>
        <v>0</v>
      </c>
      <c r="HF31" s="77">
        <f t="shared" si="166"/>
        <v>0</v>
      </c>
      <c r="HG31" s="77">
        <f t="shared" si="166"/>
        <v>39250</v>
      </c>
      <c r="HH31" s="77">
        <f t="shared" si="166"/>
        <v>39250</v>
      </c>
      <c r="HI31" s="77">
        <f t="shared" si="166"/>
        <v>0</v>
      </c>
      <c r="HJ31" s="77">
        <f t="shared" si="166"/>
        <v>0</v>
      </c>
      <c r="HK31" s="77">
        <f t="shared" si="166"/>
        <v>0</v>
      </c>
      <c r="HL31" s="77">
        <f t="shared" si="166"/>
        <v>0</v>
      </c>
      <c r="HM31" s="77">
        <f t="shared" si="166"/>
        <v>0</v>
      </c>
      <c r="HN31" s="77">
        <f t="shared" si="166"/>
        <v>0</v>
      </c>
      <c r="HO31" s="77">
        <f t="shared" si="166"/>
        <v>0</v>
      </c>
      <c r="HP31" s="77">
        <f t="shared" si="166"/>
        <v>0</v>
      </c>
      <c r="HQ31" s="77">
        <f t="shared" si="167"/>
        <v>0</v>
      </c>
      <c r="HR31" s="77">
        <f t="shared" si="167"/>
        <v>0</v>
      </c>
      <c r="HS31" s="77">
        <f t="shared" si="167"/>
        <v>0</v>
      </c>
      <c r="HT31" s="77">
        <f t="shared" si="167"/>
        <v>0</v>
      </c>
      <c r="HU31" s="77">
        <f t="shared" si="167"/>
        <v>0</v>
      </c>
      <c r="HV31" s="77">
        <f t="shared" si="167"/>
        <v>0</v>
      </c>
      <c r="HW31" s="77">
        <f t="shared" si="167"/>
        <v>0</v>
      </c>
      <c r="HX31" s="77">
        <f t="shared" si="167"/>
        <v>0</v>
      </c>
      <c r="HY31" s="77">
        <f t="shared" si="167"/>
        <v>0</v>
      </c>
      <c r="HZ31" s="77">
        <f t="shared" si="167"/>
        <v>0</v>
      </c>
      <c r="IA31" s="77">
        <f t="shared" si="167"/>
        <v>0</v>
      </c>
      <c r="IB31" s="77">
        <f t="shared" si="167"/>
        <v>0</v>
      </c>
      <c r="IC31" s="77">
        <f t="shared" si="167"/>
        <v>0</v>
      </c>
      <c r="ID31" s="77">
        <f t="shared" si="167"/>
        <v>0</v>
      </c>
      <c r="IE31" s="77">
        <f t="shared" si="167"/>
        <v>0</v>
      </c>
      <c r="IF31" s="77">
        <f t="shared" si="167"/>
        <v>0</v>
      </c>
      <c r="IG31" s="77">
        <f t="shared" si="168"/>
        <v>0</v>
      </c>
      <c r="IH31" s="77">
        <f t="shared" si="168"/>
        <v>0</v>
      </c>
      <c r="II31" s="77">
        <f t="shared" si="168"/>
        <v>0</v>
      </c>
      <c r="IJ31" s="77">
        <f t="shared" si="168"/>
        <v>0</v>
      </c>
      <c r="IK31" s="77">
        <f t="shared" si="168"/>
        <v>0</v>
      </c>
      <c r="IL31" s="77">
        <f t="shared" si="168"/>
        <v>0</v>
      </c>
      <c r="IM31" s="77">
        <f t="shared" si="168"/>
        <v>0</v>
      </c>
      <c r="IN31" s="77">
        <f t="shared" si="168"/>
        <v>0</v>
      </c>
      <c r="IO31" s="77">
        <f t="shared" si="168"/>
        <v>0</v>
      </c>
      <c r="IP31" s="77">
        <f t="shared" si="168"/>
        <v>0</v>
      </c>
      <c r="IQ31" s="77">
        <f t="shared" si="168"/>
        <v>0</v>
      </c>
      <c r="IR31" s="77">
        <f t="shared" si="168"/>
        <v>0</v>
      </c>
      <c r="IS31" s="77">
        <f t="shared" si="168"/>
        <v>0</v>
      </c>
      <c r="IT31" s="77">
        <f t="shared" si="168"/>
        <v>0</v>
      </c>
      <c r="IU31" s="77">
        <f t="shared" si="168"/>
        <v>0</v>
      </c>
      <c r="IV31" s="77">
        <f t="shared" si="168"/>
        <v>0</v>
      </c>
      <c r="IW31" s="77">
        <f t="shared" si="169"/>
        <v>0</v>
      </c>
      <c r="IX31" s="77">
        <f t="shared" si="169"/>
        <v>0</v>
      </c>
      <c r="IY31" s="77">
        <f t="shared" si="169"/>
        <v>0</v>
      </c>
      <c r="IZ31" s="77">
        <f t="shared" si="169"/>
        <v>0</v>
      </c>
      <c r="JA31" s="77">
        <f t="shared" si="169"/>
        <v>0</v>
      </c>
      <c r="JB31" s="77">
        <f t="shared" si="169"/>
        <v>0</v>
      </c>
      <c r="JC31" s="77">
        <f t="shared" si="169"/>
        <v>0</v>
      </c>
      <c r="JD31" s="77">
        <f t="shared" si="169"/>
        <v>0</v>
      </c>
      <c r="JE31" s="77">
        <f t="shared" si="169"/>
        <v>0</v>
      </c>
      <c r="JF31" s="77">
        <f t="shared" si="169"/>
        <v>0</v>
      </c>
      <c r="JG31" s="77">
        <f t="shared" si="169"/>
        <v>0</v>
      </c>
      <c r="JH31" s="77">
        <f t="shared" si="169"/>
        <v>0</v>
      </c>
      <c r="JI31" s="77">
        <f t="shared" si="169"/>
        <v>0</v>
      </c>
      <c r="JJ31" s="77">
        <f t="shared" si="169"/>
        <v>0</v>
      </c>
      <c r="JK31" s="77">
        <f t="shared" si="169"/>
        <v>0</v>
      </c>
      <c r="JL31" s="77">
        <f t="shared" si="169"/>
        <v>0</v>
      </c>
      <c r="JM31" s="77">
        <f t="shared" si="170"/>
        <v>0</v>
      </c>
      <c r="JN31" s="77">
        <f t="shared" si="170"/>
        <v>0</v>
      </c>
      <c r="JO31" s="77">
        <f t="shared" si="170"/>
        <v>0</v>
      </c>
      <c r="JP31" s="77">
        <f t="shared" si="170"/>
        <v>0</v>
      </c>
      <c r="JQ31" s="77">
        <f t="shared" si="170"/>
        <v>0</v>
      </c>
      <c r="JR31" s="77">
        <f t="shared" si="170"/>
        <v>0</v>
      </c>
      <c r="JS31" s="77">
        <f t="shared" si="170"/>
        <v>0</v>
      </c>
      <c r="JT31" s="77">
        <f t="shared" si="170"/>
        <v>0</v>
      </c>
      <c r="JU31" s="77">
        <f t="shared" si="170"/>
        <v>0</v>
      </c>
      <c r="JV31" s="77">
        <f t="shared" si="170"/>
        <v>0</v>
      </c>
      <c r="JW31" s="77">
        <f t="shared" si="170"/>
        <v>0</v>
      </c>
      <c r="JX31" s="77">
        <f t="shared" si="170"/>
        <v>0</v>
      </c>
      <c r="JY31" s="77">
        <f t="shared" si="170"/>
        <v>0</v>
      </c>
      <c r="JZ31" s="77">
        <f t="shared" si="170"/>
        <v>0</v>
      </c>
      <c r="KA31" s="77">
        <f t="shared" si="170"/>
        <v>0</v>
      </c>
      <c r="KB31" s="77">
        <f t="shared" si="170"/>
        <v>0</v>
      </c>
      <c r="KC31" s="77">
        <f t="shared" si="171"/>
        <v>0</v>
      </c>
      <c r="KD31" s="77">
        <f t="shared" si="171"/>
        <v>0</v>
      </c>
      <c r="KE31" s="77">
        <f t="shared" si="171"/>
        <v>0</v>
      </c>
      <c r="KF31" s="77">
        <f t="shared" si="171"/>
        <v>0</v>
      </c>
      <c r="KG31" s="77">
        <f t="shared" si="171"/>
        <v>0</v>
      </c>
      <c r="KH31" s="77">
        <f t="shared" si="171"/>
        <v>0</v>
      </c>
      <c r="KI31" s="77">
        <f t="shared" si="171"/>
        <v>0</v>
      </c>
      <c r="KJ31" s="77">
        <f t="shared" si="171"/>
        <v>0</v>
      </c>
      <c r="KK31" s="77">
        <f t="shared" si="171"/>
        <v>0</v>
      </c>
      <c r="KL31" s="77">
        <f t="shared" si="171"/>
        <v>0</v>
      </c>
      <c r="KM31" s="77">
        <f t="shared" si="171"/>
        <v>0</v>
      </c>
      <c r="KN31" s="77">
        <f t="shared" si="171"/>
        <v>0</v>
      </c>
      <c r="KO31" s="77">
        <f t="shared" si="171"/>
        <v>0</v>
      </c>
      <c r="KP31" s="77">
        <f t="shared" si="171"/>
        <v>0</v>
      </c>
      <c r="KQ31" s="77">
        <f t="shared" si="171"/>
        <v>0</v>
      </c>
      <c r="KR31" s="77">
        <f t="shared" si="171"/>
        <v>0</v>
      </c>
      <c r="KS31" s="77">
        <f t="shared" si="172"/>
        <v>0</v>
      </c>
      <c r="KT31" s="77">
        <f t="shared" si="172"/>
        <v>0</v>
      </c>
      <c r="KU31" s="77">
        <f t="shared" si="172"/>
        <v>0</v>
      </c>
      <c r="KV31" s="77">
        <f t="shared" si="172"/>
        <v>0</v>
      </c>
      <c r="KW31" s="77">
        <f t="shared" si="172"/>
        <v>0</v>
      </c>
      <c r="KX31" s="77">
        <f t="shared" si="172"/>
        <v>0</v>
      </c>
      <c r="KY31" s="77">
        <f t="shared" si="172"/>
        <v>0</v>
      </c>
      <c r="KZ31" s="77">
        <f t="shared" si="172"/>
        <v>0</v>
      </c>
      <c r="LA31" s="77">
        <f t="shared" si="172"/>
        <v>0</v>
      </c>
      <c r="LB31" s="77">
        <f t="shared" si="172"/>
        <v>0</v>
      </c>
      <c r="LC31" s="77">
        <f t="shared" si="172"/>
        <v>0</v>
      </c>
      <c r="LD31" s="77">
        <f t="shared" si="172"/>
        <v>0</v>
      </c>
      <c r="LE31" s="77">
        <f t="shared" si="172"/>
        <v>0</v>
      </c>
      <c r="LF31" s="77">
        <f t="shared" si="172"/>
        <v>0</v>
      </c>
      <c r="LG31" s="77">
        <f t="shared" si="172"/>
        <v>0</v>
      </c>
      <c r="LH31" s="77">
        <f t="shared" si="172"/>
        <v>0</v>
      </c>
      <c r="LI31" s="77">
        <f t="shared" si="173"/>
        <v>0</v>
      </c>
      <c r="LJ31" s="77">
        <f t="shared" si="173"/>
        <v>0</v>
      </c>
      <c r="LK31" s="77">
        <f t="shared" si="173"/>
        <v>0</v>
      </c>
      <c r="LL31" s="77">
        <f t="shared" si="173"/>
        <v>0</v>
      </c>
      <c r="LM31" s="77">
        <f t="shared" si="173"/>
        <v>0</v>
      </c>
      <c r="LN31" s="77">
        <f t="shared" si="173"/>
        <v>0</v>
      </c>
      <c r="LO31" s="77">
        <f t="shared" si="173"/>
        <v>0</v>
      </c>
      <c r="LP31" s="77">
        <f t="shared" si="173"/>
        <v>0</v>
      </c>
      <c r="LQ31" s="77">
        <f t="shared" si="173"/>
        <v>0</v>
      </c>
      <c r="LR31" s="77">
        <f t="shared" si="173"/>
        <v>0</v>
      </c>
      <c r="LS31" s="77">
        <f t="shared" si="173"/>
        <v>0</v>
      </c>
      <c r="LT31" s="77">
        <f t="shared" si="173"/>
        <v>0</v>
      </c>
      <c r="LU31" s="77">
        <f t="shared" si="173"/>
        <v>0</v>
      </c>
      <c r="LV31" s="77">
        <f t="shared" si="173"/>
        <v>0</v>
      </c>
      <c r="LW31" s="77">
        <f t="shared" si="173"/>
        <v>0</v>
      </c>
      <c r="LX31" s="77">
        <f t="shared" si="173"/>
        <v>0</v>
      </c>
      <c r="LY31" s="77">
        <f t="shared" si="174"/>
        <v>0</v>
      </c>
      <c r="LZ31" s="77">
        <f t="shared" si="174"/>
        <v>0</v>
      </c>
      <c r="MA31" s="77">
        <f t="shared" si="174"/>
        <v>0</v>
      </c>
      <c r="MB31" s="77">
        <f t="shared" si="174"/>
        <v>0</v>
      </c>
      <c r="MC31" s="77">
        <f t="shared" si="174"/>
        <v>0</v>
      </c>
      <c r="MD31" s="77">
        <f t="shared" si="174"/>
        <v>0</v>
      </c>
      <c r="ME31" s="77">
        <f t="shared" si="174"/>
        <v>0</v>
      </c>
      <c r="MF31" s="77">
        <f t="shared" si="174"/>
        <v>0</v>
      </c>
      <c r="MG31" s="77">
        <f t="shared" si="174"/>
        <v>0</v>
      </c>
      <c r="MH31" s="77">
        <f t="shared" si="174"/>
        <v>0</v>
      </c>
      <c r="MI31" s="77">
        <f t="shared" si="174"/>
        <v>0</v>
      </c>
      <c r="MJ31" s="77">
        <f t="shared" si="174"/>
        <v>0</v>
      </c>
      <c r="MK31" s="77">
        <f t="shared" si="174"/>
        <v>0</v>
      </c>
      <c r="ML31" s="77">
        <f t="shared" si="174"/>
        <v>0</v>
      </c>
      <c r="MM31" s="77">
        <f t="shared" si="174"/>
        <v>0</v>
      </c>
      <c r="MN31" s="77">
        <f t="shared" si="174"/>
        <v>0</v>
      </c>
      <c r="MO31" s="77">
        <f t="shared" si="175"/>
        <v>0</v>
      </c>
      <c r="MP31" s="77">
        <f t="shared" si="175"/>
        <v>0</v>
      </c>
      <c r="MQ31" s="77">
        <f t="shared" si="175"/>
        <v>0</v>
      </c>
      <c r="MR31" s="77">
        <f t="shared" si="175"/>
        <v>0</v>
      </c>
      <c r="MS31" s="77">
        <f t="shared" si="175"/>
        <v>0</v>
      </c>
      <c r="MT31" s="77">
        <f t="shared" si="175"/>
        <v>0</v>
      </c>
      <c r="MU31" s="77">
        <f t="shared" si="175"/>
        <v>0</v>
      </c>
      <c r="MV31" s="77">
        <f t="shared" si="175"/>
        <v>0</v>
      </c>
      <c r="MW31" s="77">
        <f t="shared" si="175"/>
        <v>0</v>
      </c>
      <c r="MX31" s="77">
        <f t="shared" si="175"/>
        <v>0</v>
      </c>
      <c r="MY31" s="77">
        <f t="shared" si="175"/>
        <v>0</v>
      </c>
      <c r="MZ31" s="77">
        <f t="shared" si="175"/>
        <v>0</v>
      </c>
      <c r="NA31" s="77">
        <f t="shared" si="175"/>
        <v>0</v>
      </c>
      <c r="NB31" s="77">
        <f t="shared" si="175"/>
        <v>0</v>
      </c>
      <c r="NC31" s="77">
        <f t="shared" si="175"/>
        <v>0</v>
      </c>
      <c r="ND31" s="77">
        <f t="shared" si="175"/>
        <v>0</v>
      </c>
      <c r="NE31" s="77">
        <f t="shared" si="176"/>
        <v>0</v>
      </c>
      <c r="NF31" s="77">
        <f t="shared" si="176"/>
        <v>0</v>
      </c>
      <c r="NG31" s="77">
        <f t="shared" si="176"/>
        <v>0</v>
      </c>
      <c r="NH31" s="77">
        <f t="shared" si="176"/>
        <v>0</v>
      </c>
      <c r="NI31" s="77">
        <f t="shared" si="176"/>
        <v>0</v>
      </c>
      <c r="NJ31" s="77">
        <f t="shared" si="176"/>
        <v>0</v>
      </c>
      <c r="NK31" s="77">
        <f t="shared" si="176"/>
        <v>0</v>
      </c>
      <c r="NL31" s="77">
        <f t="shared" si="176"/>
        <v>0</v>
      </c>
      <c r="NM31" s="77">
        <f t="shared" si="176"/>
        <v>0</v>
      </c>
      <c r="NN31" s="77">
        <f t="shared" si="176"/>
        <v>0</v>
      </c>
      <c r="NO31" s="77">
        <f t="shared" si="176"/>
        <v>0</v>
      </c>
      <c r="NP31" s="77">
        <f t="shared" si="176"/>
        <v>0</v>
      </c>
      <c r="NQ31" s="77">
        <f t="shared" si="176"/>
        <v>0</v>
      </c>
      <c r="NR31" s="77">
        <f t="shared" si="176"/>
        <v>0</v>
      </c>
      <c r="NS31" s="77">
        <f t="shared" si="176"/>
        <v>0</v>
      </c>
      <c r="NT31" s="77">
        <f t="shared" si="176"/>
        <v>0</v>
      </c>
      <c r="NU31" s="77">
        <f t="shared" si="177"/>
        <v>0</v>
      </c>
      <c r="NV31" s="77">
        <f t="shared" si="177"/>
        <v>0</v>
      </c>
      <c r="NW31" s="77">
        <f t="shared" si="177"/>
        <v>0</v>
      </c>
      <c r="NX31" s="10"/>
    </row>
    <row r="32" spans="2:388" x14ac:dyDescent="0.3">
      <c r="B32" s="26" t="s">
        <v>211</v>
      </c>
      <c r="C32" s="18"/>
      <c r="D32" s="19"/>
      <c r="E32" s="27">
        <v>8</v>
      </c>
      <c r="F32" s="27">
        <v>29</v>
      </c>
      <c r="G32" s="21"/>
      <c r="H32" s="28">
        <f t="shared" si="139"/>
        <v>22</v>
      </c>
      <c r="I32" s="21" t="s">
        <v>195</v>
      </c>
      <c r="J32" s="23">
        <f t="shared" si="140"/>
        <v>800</v>
      </c>
      <c r="K32" s="29">
        <f t="shared" si="141"/>
        <v>0.10574712643678161</v>
      </c>
      <c r="L32" s="30">
        <f>800*D90</f>
        <v>184000</v>
      </c>
      <c r="S32" s="69" t="str">
        <f t="shared" si="142"/>
        <v>OK</v>
      </c>
      <c r="T32" s="16">
        <f t="shared" ref="T32:AC33" si="178">($I32="S-Curve")*GZ32+AND($I32&lt;&gt;"S-Curve",T$14&gt;=$E32,T$14&lt;=$F32)*($L32/$H32)</f>
        <v>0</v>
      </c>
      <c r="U32" s="16">
        <f t="shared" si="178"/>
        <v>0</v>
      </c>
      <c r="V32" s="16">
        <f t="shared" si="178"/>
        <v>0</v>
      </c>
      <c r="W32" s="16">
        <f t="shared" si="178"/>
        <v>0</v>
      </c>
      <c r="X32" s="16">
        <f t="shared" si="178"/>
        <v>0</v>
      </c>
      <c r="Y32" s="16">
        <f t="shared" si="178"/>
        <v>0</v>
      </c>
      <c r="Z32" s="16">
        <f t="shared" si="178"/>
        <v>0</v>
      </c>
      <c r="AA32" s="16">
        <f t="shared" si="178"/>
        <v>8363.636363636364</v>
      </c>
      <c r="AB32" s="16">
        <f t="shared" si="178"/>
        <v>8363.636363636364</v>
      </c>
      <c r="AC32" s="16">
        <f t="shared" si="178"/>
        <v>8363.636363636364</v>
      </c>
      <c r="AD32" s="16">
        <f t="shared" si="144"/>
        <v>8363.636363636364</v>
      </c>
      <c r="AE32" s="16">
        <f t="shared" si="144"/>
        <v>8363.636363636364</v>
      </c>
      <c r="AF32" s="16">
        <f t="shared" si="144"/>
        <v>8363.636363636364</v>
      </c>
      <c r="AG32" s="16">
        <f t="shared" si="144"/>
        <v>8363.636363636364</v>
      </c>
      <c r="AH32" s="16">
        <f t="shared" si="144"/>
        <v>8363.636363636364</v>
      </c>
      <c r="AI32" s="16">
        <f t="shared" si="144"/>
        <v>8363.636363636364</v>
      </c>
      <c r="AJ32" s="16">
        <f t="shared" si="144"/>
        <v>8363.636363636364</v>
      </c>
      <c r="AK32" s="16">
        <f t="shared" si="144"/>
        <v>8363.636363636364</v>
      </c>
      <c r="AL32" s="16">
        <f t="shared" si="144"/>
        <v>8363.636363636364</v>
      </c>
      <c r="AM32" s="16">
        <f t="shared" si="144"/>
        <v>8363.636363636364</v>
      </c>
      <c r="AN32" s="16">
        <f t="shared" si="145"/>
        <v>8363.636363636364</v>
      </c>
      <c r="AO32" s="16">
        <f t="shared" si="145"/>
        <v>8363.636363636364</v>
      </c>
      <c r="AP32" s="16">
        <f t="shared" si="145"/>
        <v>8363.636363636364</v>
      </c>
      <c r="AQ32" s="16">
        <f t="shared" si="145"/>
        <v>8363.636363636364</v>
      </c>
      <c r="AR32" s="16">
        <f t="shared" si="145"/>
        <v>8363.636363636364</v>
      </c>
      <c r="AS32" s="16">
        <f t="shared" si="145"/>
        <v>8363.636363636364</v>
      </c>
      <c r="AT32" s="16">
        <f t="shared" si="145"/>
        <v>8363.636363636364</v>
      </c>
      <c r="AU32" s="16">
        <f t="shared" si="145"/>
        <v>8363.636363636364</v>
      </c>
      <c r="AV32" s="16">
        <f t="shared" si="145"/>
        <v>8363.636363636364</v>
      </c>
      <c r="AW32" s="16">
        <f t="shared" si="145"/>
        <v>0</v>
      </c>
      <c r="AX32" s="16">
        <f t="shared" si="146"/>
        <v>0</v>
      </c>
      <c r="AY32" s="16">
        <f t="shared" si="146"/>
        <v>0</v>
      </c>
      <c r="AZ32" s="16">
        <f t="shared" si="146"/>
        <v>0</v>
      </c>
      <c r="BA32" s="16">
        <f t="shared" si="146"/>
        <v>0</v>
      </c>
      <c r="BB32" s="16">
        <f t="shared" si="146"/>
        <v>0</v>
      </c>
      <c r="BC32" s="16">
        <f t="shared" si="146"/>
        <v>0</v>
      </c>
      <c r="BD32" s="16">
        <f t="shared" si="146"/>
        <v>0</v>
      </c>
      <c r="BE32" s="16">
        <f t="shared" si="146"/>
        <v>0</v>
      </c>
      <c r="BF32" s="16">
        <f t="shared" si="146"/>
        <v>0</v>
      </c>
      <c r="BG32" s="16">
        <f t="shared" si="146"/>
        <v>0</v>
      </c>
      <c r="BH32" s="16">
        <f t="shared" si="147"/>
        <v>0</v>
      </c>
      <c r="BI32" s="16">
        <f t="shared" si="147"/>
        <v>0</v>
      </c>
      <c r="BJ32" s="16">
        <f t="shared" si="147"/>
        <v>0</v>
      </c>
      <c r="BK32" s="16">
        <f t="shared" si="147"/>
        <v>0</v>
      </c>
      <c r="BL32" s="16">
        <f t="shared" si="147"/>
        <v>0</v>
      </c>
      <c r="BM32" s="16">
        <f t="shared" si="147"/>
        <v>0</v>
      </c>
      <c r="BN32" s="16">
        <f t="shared" si="147"/>
        <v>0</v>
      </c>
      <c r="BO32" s="16">
        <f t="shared" si="147"/>
        <v>0</v>
      </c>
      <c r="BP32" s="16">
        <f t="shared" si="147"/>
        <v>0</v>
      </c>
      <c r="BQ32" s="16">
        <f t="shared" si="147"/>
        <v>0</v>
      </c>
      <c r="BR32" s="16">
        <f t="shared" si="148"/>
        <v>0</v>
      </c>
      <c r="BS32" s="16">
        <f t="shared" si="148"/>
        <v>0</v>
      </c>
      <c r="BT32" s="16">
        <f t="shared" si="148"/>
        <v>0</v>
      </c>
      <c r="BU32" s="16">
        <f t="shared" si="148"/>
        <v>0</v>
      </c>
      <c r="BV32" s="16">
        <f t="shared" si="148"/>
        <v>0</v>
      </c>
      <c r="BW32" s="16">
        <f t="shared" si="148"/>
        <v>0</v>
      </c>
      <c r="BX32" s="16">
        <f t="shared" si="148"/>
        <v>0</v>
      </c>
      <c r="BY32" s="16">
        <f t="shared" si="148"/>
        <v>0</v>
      </c>
      <c r="BZ32" s="16">
        <f t="shared" si="148"/>
        <v>0</v>
      </c>
      <c r="CA32" s="16">
        <f t="shared" si="148"/>
        <v>0</v>
      </c>
      <c r="CB32" s="16">
        <f t="shared" si="149"/>
        <v>0</v>
      </c>
      <c r="CC32" s="16">
        <f t="shared" si="149"/>
        <v>0</v>
      </c>
      <c r="CD32" s="16">
        <f t="shared" si="149"/>
        <v>0</v>
      </c>
      <c r="CE32" s="16">
        <f t="shared" si="149"/>
        <v>0</v>
      </c>
      <c r="CF32" s="16">
        <f t="shared" si="149"/>
        <v>0</v>
      </c>
      <c r="CG32" s="16">
        <f t="shared" si="149"/>
        <v>0</v>
      </c>
      <c r="CH32" s="16">
        <f t="shared" si="149"/>
        <v>0</v>
      </c>
      <c r="CI32" s="16">
        <f t="shared" si="149"/>
        <v>0</v>
      </c>
      <c r="CJ32" s="16">
        <f t="shared" si="149"/>
        <v>0</v>
      </c>
      <c r="CK32" s="16">
        <f t="shared" si="149"/>
        <v>0</v>
      </c>
      <c r="CL32" s="16">
        <f t="shared" si="150"/>
        <v>0</v>
      </c>
      <c r="CM32" s="16">
        <f t="shared" si="150"/>
        <v>0</v>
      </c>
      <c r="CN32" s="16">
        <f t="shared" si="150"/>
        <v>0</v>
      </c>
      <c r="CO32" s="16">
        <f t="shared" si="150"/>
        <v>0</v>
      </c>
      <c r="CP32" s="16">
        <f t="shared" si="150"/>
        <v>0</v>
      </c>
      <c r="CQ32" s="16">
        <f t="shared" si="150"/>
        <v>0</v>
      </c>
      <c r="CR32" s="16">
        <f t="shared" si="150"/>
        <v>0</v>
      </c>
      <c r="CS32" s="16">
        <f t="shared" si="150"/>
        <v>0</v>
      </c>
      <c r="CT32" s="16">
        <f t="shared" si="150"/>
        <v>0</v>
      </c>
      <c r="CU32" s="16">
        <f t="shared" si="150"/>
        <v>0</v>
      </c>
      <c r="CV32" s="16">
        <f t="shared" si="151"/>
        <v>0</v>
      </c>
      <c r="CW32" s="16">
        <f t="shared" si="151"/>
        <v>0</v>
      </c>
      <c r="CX32" s="16">
        <f t="shared" si="151"/>
        <v>0</v>
      </c>
      <c r="CY32" s="16">
        <f t="shared" si="151"/>
        <v>0</v>
      </c>
      <c r="CZ32" s="16">
        <f t="shared" si="151"/>
        <v>0</v>
      </c>
      <c r="DA32" s="16">
        <f t="shared" si="151"/>
        <v>0</v>
      </c>
      <c r="DB32" s="16">
        <f t="shared" si="151"/>
        <v>0</v>
      </c>
      <c r="DC32" s="16">
        <f t="shared" si="151"/>
        <v>0</v>
      </c>
      <c r="DD32" s="16">
        <f t="shared" si="151"/>
        <v>0</v>
      </c>
      <c r="DE32" s="16">
        <f t="shared" si="151"/>
        <v>0</v>
      </c>
      <c r="DF32" s="16">
        <f t="shared" si="152"/>
        <v>0</v>
      </c>
      <c r="DG32" s="16">
        <f t="shared" si="152"/>
        <v>0</v>
      </c>
      <c r="DH32" s="16">
        <f t="shared" si="152"/>
        <v>0</v>
      </c>
      <c r="DI32" s="16">
        <f t="shared" si="152"/>
        <v>0</v>
      </c>
      <c r="DJ32" s="16">
        <f t="shared" si="152"/>
        <v>0</v>
      </c>
      <c r="DK32" s="16">
        <f t="shared" si="152"/>
        <v>0</v>
      </c>
      <c r="DL32" s="16">
        <f t="shared" si="152"/>
        <v>0</v>
      </c>
      <c r="DM32" s="16">
        <f t="shared" si="152"/>
        <v>0</v>
      </c>
      <c r="DN32" s="16">
        <f t="shared" si="152"/>
        <v>0</v>
      </c>
      <c r="DO32" s="16">
        <f t="shared" si="152"/>
        <v>0</v>
      </c>
      <c r="DP32" s="16">
        <f t="shared" si="153"/>
        <v>0</v>
      </c>
      <c r="DQ32" s="16">
        <f t="shared" si="153"/>
        <v>0</v>
      </c>
      <c r="DR32" s="16">
        <f t="shared" si="153"/>
        <v>0</v>
      </c>
      <c r="DS32" s="16">
        <f t="shared" si="153"/>
        <v>0</v>
      </c>
      <c r="DT32" s="16">
        <f t="shared" si="153"/>
        <v>0</v>
      </c>
      <c r="DU32" s="16">
        <f t="shared" si="153"/>
        <v>0</v>
      </c>
      <c r="DV32" s="16">
        <f t="shared" si="153"/>
        <v>0</v>
      </c>
      <c r="DW32" s="16">
        <f t="shared" si="153"/>
        <v>0</v>
      </c>
      <c r="DX32" s="16">
        <f t="shared" si="153"/>
        <v>0</v>
      </c>
      <c r="DY32" s="16">
        <f t="shared" si="153"/>
        <v>0</v>
      </c>
      <c r="DZ32" s="16">
        <f t="shared" si="154"/>
        <v>0</v>
      </c>
      <c r="EA32" s="16">
        <f t="shared" si="154"/>
        <v>0</v>
      </c>
      <c r="EB32" s="16">
        <f t="shared" si="154"/>
        <v>0</v>
      </c>
      <c r="EC32" s="16">
        <f t="shared" si="154"/>
        <v>0</v>
      </c>
      <c r="ED32" s="16">
        <f t="shared" si="154"/>
        <v>0</v>
      </c>
      <c r="EE32" s="16">
        <f t="shared" si="154"/>
        <v>0</v>
      </c>
      <c r="EF32" s="16">
        <f t="shared" si="154"/>
        <v>0</v>
      </c>
      <c r="EG32" s="16">
        <f t="shared" si="154"/>
        <v>0</v>
      </c>
      <c r="EH32" s="16">
        <f t="shared" si="154"/>
        <v>0</v>
      </c>
      <c r="EI32" s="16">
        <f t="shared" si="154"/>
        <v>0</v>
      </c>
      <c r="EJ32" s="16">
        <f t="shared" si="155"/>
        <v>0</v>
      </c>
      <c r="EK32" s="16">
        <f t="shared" si="155"/>
        <v>0</v>
      </c>
      <c r="EL32" s="16">
        <f t="shared" si="155"/>
        <v>0</v>
      </c>
      <c r="EM32" s="16">
        <f t="shared" si="155"/>
        <v>0</v>
      </c>
      <c r="EN32" s="16">
        <f t="shared" si="155"/>
        <v>0</v>
      </c>
      <c r="EO32" s="16">
        <f t="shared" si="155"/>
        <v>0</v>
      </c>
      <c r="EP32" s="16">
        <f t="shared" si="155"/>
        <v>0</v>
      </c>
      <c r="EQ32" s="16">
        <f t="shared" si="155"/>
        <v>0</v>
      </c>
      <c r="ER32" s="16">
        <f t="shared" si="155"/>
        <v>0</v>
      </c>
      <c r="ES32" s="16">
        <f t="shared" si="155"/>
        <v>0</v>
      </c>
      <c r="ET32" s="16">
        <f t="shared" si="156"/>
        <v>0</v>
      </c>
      <c r="EU32" s="16">
        <f t="shared" si="156"/>
        <v>0</v>
      </c>
      <c r="EV32" s="16">
        <f t="shared" si="156"/>
        <v>0</v>
      </c>
      <c r="EW32" s="16">
        <f t="shared" si="156"/>
        <v>0</v>
      </c>
      <c r="EX32" s="16">
        <f t="shared" si="156"/>
        <v>0</v>
      </c>
      <c r="EY32" s="16">
        <f t="shared" si="156"/>
        <v>0</v>
      </c>
      <c r="EZ32" s="16">
        <f t="shared" si="156"/>
        <v>0</v>
      </c>
      <c r="FA32" s="16">
        <f t="shared" si="156"/>
        <v>0</v>
      </c>
      <c r="FB32" s="16">
        <f t="shared" si="156"/>
        <v>0</v>
      </c>
      <c r="FC32" s="16">
        <f t="shared" si="156"/>
        <v>0</v>
      </c>
      <c r="FD32" s="16">
        <f t="shared" si="157"/>
        <v>0</v>
      </c>
      <c r="FE32" s="16">
        <f t="shared" si="157"/>
        <v>0</v>
      </c>
      <c r="FF32" s="16">
        <f t="shared" si="157"/>
        <v>0</v>
      </c>
      <c r="FG32" s="16">
        <f t="shared" si="157"/>
        <v>0</v>
      </c>
      <c r="FH32" s="16">
        <f t="shared" si="157"/>
        <v>0</v>
      </c>
      <c r="FI32" s="16">
        <f t="shared" si="157"/>
        <v>0</v>
      </c>
      <c r="FJ32" s="16">
        <f t="shared" si="157"/>
        <v>0</v>
      </c>
      <c r="FK32" s="16">
        <f t="shared" si="157"/>
        <v>0</v>
      </c>
      <c r="FL32" s="16">
        <f t="shared" si="157"/>
        <v>0</v>
      </c>
      <c r="FM32" s="16">
        <f t="shared" si="157"/>
        <v>0</v>
      </c>
      <c r="FN32" s="16">
        <f t="shared" si="158"/>
        <v>0</v>
      </c>
      <c r="FO32" s="16">
        <f t="shared" si="158"/>
        <v>0</v>
      </c>
      <c r="FP32" s="16">
        <f t="shared" si="158"/>
        <v>0</v>
      </c>
      <c r="FQ32" s="16">
        <f t="shared" si="158"/>
        <v>0</v>
      </c>
      <c r="FR32" s="16">
        <f t="shared" si="158"/>
        <v>0</v>
      </c>
      <c r="FS32" s="16">
        <f t="shared" si="158"/>
        <v>0</v>
      </c>
      <c r="FT32" s="16">
        <f t="shared" si="158"/>
        <v>0</v>
      </c>
      <c r="FU32" s="16">
        <f t="shared" si="158"/>
        <v>0</v>
      </c>
      <c r="FV32" s="16">
        <f t="shared" si="158"/>
        <v>0</v>
      </c>
      <c r="FW32" s="16">
        <f t="shared" si="158"/>
        <v>0</v>
      </c>
      <c r="FX32" s="16">
        <f t="shared" si="159"/>
        <v>0</v>
      </c>
      <c r="FY32" s="16">
        <f t="shared" si="159"/>
        <v>0</v>
      </c>
      <c r="FZ32" s="16">
        <f t="shared" si="159"/>
        <v>0</v>
      </c>
      <c r="GA32" s="16">
        <f t="shared" si="159"/>
        <v>0</v>
      </c>
      <c r="GB32" s="16">
        <f t="shared" si="159"/>
        <v>0</v>
      </c>
      <c r="GC32" s="16">
        <f t="shared" si="159"/>
        <v>0</v>
      </c>
      <c r="GD32" s="16">
        <f t="shared" si="159"/>
        <v>0</v>
      </c>
      <c r="GE32" s="16">
        <f t="shared" si="159"/>
        <v>0</v>
      </c>
      <c r="GF32" s="16">
        <f t="shared" si="159"/>
        <v>0</v>
      </c>
      <c r="GG32" s="16">
        <f t="shared" si="159"/>
        <v>0</v>
      </c>
      <c r="GH32" s="16">
        <f t="shared" si="160"/>
        <v>0</v>
      </c>
      <c r="GI32" s="16">
        <f t="shared" si="160"/>
        <v>0</v>
      </c>
      <c r="GJ32" s="16">
        <f t="shared" si="160"/>
        <v>0</v>
      </c>
      <c r="GK32" s="16">
        <f t="shared" si="160"/>
        <v>0</v>
      </c>
      <c r="GL32" s="16">
        <f t="shared" si="160"/>
        <v>0</v>
      </c>
      <c r="GM32" s="16">
        <f t="shared" si="160"/>
        <v>0</v>
      </c>
      <c r="GN32" s="16">
        <f t="shared" si="160"/>
        <v>0</v>
      </c>
      <c r="GO32" s="16">
        <f t="shared" si="160"/>
        <v>0</v>
      </c>
      <c r="GP32" s="16">
        <f t="shared" si="160"/>
        <v>0</v>
      </c>
      <c r="GQ32" s="16">
        <f t="shared" si="160"/>
        <v>0</v>
      </c>
      <c r="GR32" s="9"/>
      <c r="GS32" s="70" t="str">
        <f>B32</f>
        <v>Landscaping  (Vertical)</v>
      </c>
      <c r="GT32" s="77">
        <f t="shared" si="161"/>
        <v>184000</v>
      </c>
      <c r="GU32" s="78">
        <f t="shared" si="135"/>
        <v>8</v>
      </c>
      <c r="GV32" s="78">
        <f t="shared" si="135"/>
        <v>29</v>
      </c>
      <c r="GW32" s="78">
        <f t="shared" si="162"/>
        <v>22</v>
      </c>
      <c r="GX32" s="79">
        <f t="shared" si="163"/>
        <v>3.6666666666666665</v>
      </c>
      <c r="GY32" s="79" t="b">
        <f t="shared" si="164"/>
        <v>1</v>
      </c>
      <c r="GZ32" s="77">
        <f t="shared" si="165"/>
        <v>0</v>
      </c>
      <c r="HA32" s="77">
        <f t="shared" si="166"/>
        <v>0</v>
      </c>
      <c r="HB32" s="77">
        <f t="shared" si="166"/>
        <v>0</v>
      </c>
      <c r="HC32" s="77">
        <f t="shared" si="166"/>
        <v>0</v>
      </c>
      <c r="HD32" s="77">
        <f t="shared" si="166"/>
        <v>0</v>
      </c>
      <c r="HE32" s="77">
        <f t="shared" si="166"/>
        <v>0</v>
      </c>
      <c r="HF32" s="77">
        <f t="shared" si="166"/>
        <v>0</v>
      </c>
      <c r="HG32" s="77">
        <f t="shared" si="166"/>
        <v>340.05097246588207</v>
      </c>
      <c r="HH32" s="77">
        <f t="shared" si="166"/>
        <v>712.18664785806232</v>
      </c>
      <c r="HI32" s="77">
        <f t="shared" si="166"/>
        <v>1385.2737073621784</v>
      </c>
      <c r="HJ32" s="77">
        <f t="shared" si="166"/>
        <v>2502.4780041856238</v>
      </c>
      <c r="HK32" s="77">
        <f t="shared" si="166"/>
        <v>4198.5440623055902</v>
      </c>
      <c r="HL32" s="77">
        <f t="shared" si="166"/>
        <v>6542.167874080772</v>
      </c>
      <c r="HM32" s="77">
        <f t="shared" si="166"/>
        <v>9467.598334206923</v>
      </c>
      <c r="HN32" s="77">
        <f t="shared" si="166"/>
        <v>12724.879565149833</v>
      </c>
      <c r="HO32" s="77">
        <f t="shared" si="166"/>
        <v>15884.13937187081</v>
      </c>
      <c r="HP32" s="77">
        <f t="shared" si="166"/>
        <v>18414.934493685425</v>
      </c>
      <c r="HQ32" s="77">
        <f t="shared" si="167"/>
        <v>19827.746966828901</v>
      </c>
      <c r="HR32" s="77">
        <f t="shared" si="167"/>
        <v>19827.746966828901</v>
      </c>
      <c r="HS32" s="77">
        <f t="shared" si="167"/>
        <v>18414.934493685436</v>
      </c>
      <c r="HT32" s="77">
        <f t="shared" si="167"/>
        <v>15884.139371870799</v>
      </c>
      <c r="HU32" s="77">
        <f t="shared" si="167"/>
        <v>12724.879565149828</v>
      </c>
      <c r="HV32" s="77">
        <f t="shared" si="167"/>
        <v>9467.5983342069358</v>
      </c>
      <c r="HW32" s="77">
        <f t="shared" si="167"/>
        <v>6542.1678740807538</v>
      </c>
      <c r="HX32" s="77">
        <f t="shared" si="167"/>
        <v>4198.5440623056029</v>
      </c>
      <c r="HY32" s="77">
        <f t="shared" si="167"/>
        <v>2502.4780041856247</v>
      </c>
      <c r="HZ32" s="77">
        <f t="shared" si="167"/>
        <v>1385.2737073621797</v>
      </c>
      <c r="IA32" s="77">
        <f t="shared" si="167"/>
        <v>712.18664785805254</v>
      </c>
      <c r="IB32" s="77">
        <f t="shared" si="167"/>
        <v>340.05097246588525</v>
      </c>
      <c r="IC32" s="77">
        <f t="shared" si="167"/>
        <v>0</v>
      </c>
      <c r="ID32" s="77">
        <f t="shared" si="167"/>
        <v>0</v>
      </c>
      <c r="IE32" s="77">
        <f t="shared" si="167"/>
        <v>0</v>
      </c>
      <c r="IF32" s="77">
        <f t="shared" si="167"/>
        <v>0</v>
      </c>
      <c r="IG32" s="77">
        <f t="shared" si="168"/>
        <v>0</v>
      </c>
      <c r="IH32" s="77">
        <f t="shared" si="168"/>
        <v>0</v>
      </c>
      <c r="II32" s="77">
        <f t="shared" si="168"/>
        <v>0</v>
      </c>
      <c r="IJ32" s="77">
        <f t="shared" si="168"/>
        <v>0</v>
      </c>
      <c r="IK32" s="77">
        <f t="shared" si="168"/>
        <v>0</v>
      </c>
      <c r="IL32" s="77">
        <f t="shared" si="168"/>
        <v>0</v>
      </c>
      <c r="IM32" s="77">
        <f t="shared" si="168"/>
        <v>0</v>
      </c>
      <c r="IN32" s="77">
        <f t="shared" si="168"/>
        <v>0</v>
      </c>
      <c r="IO32" s="77">
        <f t="shared" si="168"/>
        <v>0</v>
      </c>
      <c r="IP32" s="77">
        <f t="shared" si="168"/>
        <v>0</v>
      </c>
      <c r="IQ32" s="77">
        <f t="shared" si="168"/>
        <v>0</v>
      </c>
      <c r="IR32" s="77">
        <f t="shared" si="168"/>
        <v>0</v>
      </c>
      <c r="IS32" s="77">
        <f t="shared" si="168"/>
        <v>0</v>
      </c>
      <c r="IT32" s="77">
        <f t="shared" si="168"/>
        <v>0</v>
      </c>
      <c r="IU32" s="77">
        <f t="shared" si="168"/>
        <v>0</v>
      </c>
      <c r="IV32" s="77">
        <f t="shared" si="168"/>
        <v>0</v>
      </c>
      <c r="IW32" s="77">
        <f t="shared" si="169"/>
        <v>0</v>
      </c>
      <c r="IX32" s="77">
        <f t="shared" si="169"/>
        <v>0</v>
      </c>
      <c r="IY32" s="77">
        <f t="shared" si="169"/>
        <v>0</v>
      </c>
      <c r="IZ32" s="77">
        <f t="shared" si="169"/>
        <v>0</v>
      </c>
      <c r="JA32" s="77">
        <f t="shared" si="169"/>
        <v>0</v>
      </c>
      <c r="JB32" s="77">
        <f t="shared" si="169"/>
        <v>0</v>
      </c>
      <c r="JC32" s="77">
        <f t="shared" si="169"/>
        <v>0</v>
      </c>
      <c r="JD32" s="77">
        <f t="shared" si="169"/>
        <v>0</v>
      </c>
      <c r="JE32" s="77">
        <f t="shared" si="169"/>
        <v>0</v>
      </c>
      <c r="JF32" s="77">
        <f t="shared" si="169"/>
        <v>0</v>
      </c>
      <c r="JG32" s="77">
        <f t="shared" si="169"/>
        <v>0</v>
      </c>
      <c r="JH32" s="77">
        <f t="shared" si="169"/>
        <v>0</v>
      </c>
      <c r="JI32" s="77">
        <f t="shared" si="169"/>
        <v>0</v>
      </c>
      <c r="JJ32" s="77">
        <f t="shared" si="169"/>
        <v>0</v>
      </c>
      <c r="JK32" s="77">
        <f t="shared" si="169"/>
        <v>0</v>
      </c>
      <c r="JL32" s="77">
        <f t="shared" si="169"/>
        <v>0</v>
      </c>
      <c r="JM32" s="77">
        <f t="shared" si="170"/>
        <v>0</v>
      </c>
      <c r="JN32" s="77">
        <f t="shared" si="170"/>
        <v>0</v>
      </c>
      <c r="JO32" s="77">
        <f t="shared" si="170"/>
        <v>0</v>
      </c>
      <c r="JP32" s="77">
        <f t="shared" si="170"/>
        <v>0</v>
      </c>
      <c r="JQ32" s="77">
        <f t="shared" si="170"/>
        <v>0</v>
      </c>
      <c r="JR32" s="77">
        <f t="shared" si="170"/>
        <v>0</v>
      </c>
      <c r="JS32" s="77">
        <f t="shared" si="170"/>
        <v>0</v>
      </c>
      <c r="JT32" s="77">
        <f t="shared" si="170"/>
        <v>0</v>
      </c>
      <c r="JU32" s="77">
        <f t="shared" si="170"/>
        <v>0</v>
      </c>
      <c r="JV32" s="77">
        <f t="shared" si="170"/>
        <v>0</v>
      </c>
      <c r="JW32" s="77">
        <f t="shared" si="170"/>
        <v>0</v>
      </c>
      <c r="JX32" s="77">
        <f t="shared" si="170"/>
        <v>0</v>
      </c>
      <c r="JY32" s="77">
        <f t="shared" si="170"/>
        <v>0</v>
      </c>
      <c r="JZ32" s="77">
        <f t="shared" si="170"/>
        <v>0</v>
      </c>
      <c r="KA32" s="77">
        <f t="shared" si="170"/>
        <v>0</v>
      </c>
      <c r="KB32" s="77">
        <f t="shared" si="170"/>
        <v>0</v>
      </c>
      <c r="KC32" s="77">
        <f t="shared" si="171"/>
        <v>0</v>
      </c>
      <c r="KD32" s="77">
        <f t="shared" si="171"/>
        <v>0</v>
      </c>
      <c r="KE32" s="77">
        <f t="shared" si="171"/>
        <v>0</v>
      </c>
      <c r="KF32" s="77">
        <f t="shared" si="171"/>
        <v>0</v>
      </c>
      <c r="KG32" s="77">
        <f t="shared" si="171"/>
        <v>0</v>
      </c>
      <c r="KH32" s="77">
        <f t="shared" si="171"/>
        <v>0</v>
      </c>
      <c r="KI32" s="77">
        <f t="shared" si="171"/>
        <v>0</v>
      </c>
      <c r="KJ32" s="77">
        <f t="shared" si="171"/>
        <v>0</v>
      </c>
      <c r="KK32" s="77">
        <f t="shared" si="171"/>
        <v>0</v>
      </c>
      <c r="KL32" s="77">
        <f t="shared" si="171"/>
        <v>0</v>
      </c>
      <c r="KM32" s="77">
        <f t="shared" si="171"/>
        <v>0</v>
      </c>
      <c r="KN32" s="77">
        <f t="shared" si="171"/>
        <v>0</v>
      </c>
      <c r="KO32" s="77">
        <f t="shared" si="171"/>
        <v>0</v>
      </c>
      <c r="KP32" s="77">
        <f t="shared" si="171"/>
        <v>0</v>
      </c>
      <c r="KQ32" s="77">
        <f t="shared" si="171"/>
        <v>0</v>
      </c>
      <c r="KR32" s="77">
        <f t="shared" si="171"/>
        <v>0</v>
      </c>
      <c r="KS32" s="77">
        <f t="shared" si="172"/>
        <v>0</v>
      </c>
      <c r="KT32" s="77">
        <f t="shared" si="172"/>
        <v>0</v>
      </c>
      <c r="KU32" s="77">
        <f t="shared" si="172"/>
        <v>0</v>
      </c>
      <c r="KV32" s="77">
        <f t="shared" si="172"/>
        <v>0</v>
      </c>
      <c r="KW32" s="77">
        <f t="shared" si="172"/>
        <v>0</v>
      </c>
      <c r="KX32" s="77">
        <f t="shared" si="172"/>
        <v>0</v>
      </c>
      <c r="KY32" s="77">
        <f t="shared" si="172"/>
        <v>0</v>
      </c>
      <c r="KZ32" s="77">
        <f t="shared" si="172"/>
        <v>0</v>
      </c>
      <c r="LA32" s="77">
        <f t="shared" si="172"/>
        <v>0</v>
      </c>
      <c r="LB32" s="77">
        <f t="shared" si="172"/>
        <v>0</v>
      </c>
      <c r="LC32" s="77">
        <f t="shared" si="172"/>
        <v>0</v>
      </c>
      <c r="LD32" s="77">
        <f t="shared" si="172"/>
        <v>0</v>
      </c>
      <c r="LE32" s="77">
        <f t="shared" si="172"/>
        <v>0</v>
      </c>
      <c r="LF32" s="77">
        <f t="shared" si="172"/>
        <v>0</v>
      </c>
      <c r="LG32" s="77">
        <f t="shared" si="172"/>
        <v>0</v>
      </c>
      <c r="LH32" s="77">
        <f t="shared" si="172"/>
        <v>0</v>
      </c>
      <c r="LI32" s="77">
        <f t="shared" si="173"/>
        <v>0</v>
      </c>
      <c r="LJ32" s="77">
        <f t="shared" si="173"/>
        <v>0</v>
      </c>
      <c r="LK32" s="77">
        <f t="shared" si="173"/>
        <v>0</v>
      </c>
      <c r="LL32" s="77">
        <f t="shared" si="173"/>
        <v>0</v>
      </c>
      <c r="LM32" s="77">
        <f t="shared" si="173"/>
        <v>0</v>
      </c>
      <c r="LN32" s="77">
        <f t="shared" si="173"/>
        <v>0</v>
      </c>
      <c r="LO32" s="77">
        <f t="shared" si="173"/>
        <v>0</v>
      </c>
      <c r="LP32" s="77">
        <f t="shared" si="173"/>
        <v>0</v>
      </c>
      <c r="LQ32" s="77">
        <f t="shared" si="173"/>
        <v>0</v>
      </c>
      <c r="LR32" s="77">
        <f t="shared" si="173"/>
        <v>0</v>
      </c>
      <c r="LS32" s="77">
        <f t="shared" si="173"/>
        <v>0</v>
      </c>
      <c r="LT32" s="77">
        <f t="shared" si="173"/>
        <v>0</v>
      </c>
      <c r="LU32" s="77">
        <f t="shared" si="173"/>
        <v>0</v>
      </c>
      <c r="LV32" s="77">
        <f t="shared" si="173"/>
        <v>0</v>
      </c>
      <c r="LW32" s="77">
        <f t="shared" si="173"/>
        <v>0</v>
      </c>
      <c r="LX32" s="77">
        <f t="shared" si="173"/>
        <v>0</v>
      </c>
      <c r="LY32" s="77">
        <f t="shared" si="174"/>
        <v>0</v>
      </c>
      <c r="LZ32" s="77">
        <f t="shared" si="174"/>
        <v>0</v>
      </c>
      <c r="MA32" s="77">
        <f t="shared" si="174"/>
        <v>0</v>
      </c>
      <c r="MB32" s="77">
        <f t="shared" si="174"/>
        <v>0</v>
      </c>
      <c r="MC32" s="77">
        <f t="shared" si="174"/>
        <v>0</v>
      </c>
      <c r="MD32" s="77">
        <f t="shared" si="174"/>
        <v>0</v>
      </c>
      <c r="ME32" s="77">
        <f t="shared" si="174"/>
        <v>0</v>
      </c>
      <c r="MF32" s="77">
        <f t="shared" si="174"/>
        <v>0</v>
      </c>
      <c r="MG32" s="77">
        <f t="shared" si="174"/>
        <v>0</v>
      </c>
      <c r="MH32" s="77">
        <f t="shared" si="174"/>
        <v>0</v>
      </c>
      <c r="MI32" s="77">
        <f t="shared" si="174"/>
        <v>0</v>
      </c>
      <c r="MJ32" s="77">
        <f t="shared" si="174"/>
        <v>0</v>
      </c>
      <c r="MK32" s="77">
        <f t="shared" si="174"/>
        <v>0</v>
      </c>
      <c r="ML32" s="77">
        <f t="shared" si="174"/>
        <v>0</v>
      </c>
      <c r="MM32" s="77">
        <f t="shared" si="174"/>
        <v>0</v>
      </c>
      <c r="MN32" s="77">
        <f t="shared" si="174"/>
        <v>0</v>
      </c>
      <c r="MO32" s="77">
        <f t="shared" si="175"/>
        <v>0</v>
      </c>
      <c r="MP32" s="77">
        <f t="shared" si="175"/>
        <v>0</v>
      </c>
      <c r="MQ32" s="77">
        <f t="shared" si="175"/>
        <v>0</v>
      </c>
      <c r="MR32" s="77">
        <f t="shared" si="175"/>
        <v>0</v>
      </c>
      <c r="MS32" s="77">
        <f t="shared" si="175"/>
        <v>0</v>
      </c>
      <c r="MT32" s="77">
        <f t="shared" si="175"/>
        <v>0</v>
      </c>
      <c r="MU32" s="77">
        <f t="shared" si="175"/>
        <v>0</v>
      </c>
      <c r="MV32" s="77">
        <f t="shared" si="175"/>
        <v>0</v>
      </c>
      <c r="MW32" s="77">
        <f t="shared" si="175"/>
        <v>0</v>
      </c>
      <c r="MX32" s="77">
        <f t="shared" si="175"/>
        <v>0</v>
      </c>
      <c r="MY32" s="77">
        <f t="shared" si="175"/>
        <v>0</v>
      </c>
      <c r="MZ32" s="77">
        <f t="shared" si="175"/>
        <v>0</v>
      </c>
      <c r="NA32" s="77">
        <f t="shared" si="175"/>
        <v>0</v>
      </c>
      <c r="NB32" s="77">
        <f t="shared" si="175"/>
        <v>0</v>
      </c>
      <c r="NC32" s="77">
        <f t="shared" si="175"/>
        <v>0</v>
      </c>
      <c r="ND32" s="77">
        <f t="shared" si="175"/>
        <v>0</v>
      </c>
      <c r="NE32" s="77">
        <f t="shared" si="176"/>
        <v>0</v>
      </c>
      <c r="NF32" s="77">
        <f t="shared" si="176"/>
        <v>0</v>
      </c>
      <c r="NG32" s="77">
        <f t="shared" si="176"/>
        <v>0</v>
      </c>
      <c r="NH32" s="77">
        <f t="shared" si="176"/>
        <v>0</v>
      </c>
      <c r="NI32" s="77">
        <f t="shared" si="176"/>
        <v>0</v>
      </c>
      <c r="NJ32" s="77">
        <f t="shared" si="176"/>
        <v>0</v>
      </c>
      <c r="NK32" s="77">
        <f t="shared" si="176"/>
        <v>0</v>
      </c>
      <c r="NL32" s="77">
        <f t="shared" si="176"/>
        <v>0</v>
      </c>
      <c r="NM32" s="77">
        <f t="shared" si="176"/>
        <v>0</v>
      </c>
      <c r="NN32" s="77">
        <f t="shared" si="176"/>
        <v>0</v>
      </c>
      <c r="NO32" s="77">
        <f t="shared" si="176"/>
        <v>0</v>
      </c>
      <c r="NP32" s="77">
        <f t="shared" si="176"/>
        <v>0</v>
      </c>
      <c r="NQ32" s="77">
        <f t="shared" si="176"/>
        <v>0</v>
      </c>
      <c r="NR32" s="77">
        <f t="shared" si="176"/>
        <v>0</v>
      </c>
      <c r="NS32" s="77">
        <f t="shared" si="176"/>
        <v>0</v>
      </c>
      <c r="NT32" s="77">
        <f t="shared" si="176"/>
        <v>0</v>
      </c>
      <c r="NU32" s="77">
        <f t="shared" si="177"/>
        <v>0</v>
      </c>
      <c r="NV32" s="77">
        <f t="shared" si="177"/>
        <v>0</v>
      </c>
      <c r="NW32" s="77">
        <f t="shared" si="177"/>
        <v>0</v>
      </c>
      <c r="NX32" s="10"/>
    </row>
    <row r="33" spans="2:388" x14ac:dyDescent="0.3">
      <c r="B33" s="26" t="s">
        <v>212</v>
      </c>
      <c r="C33" s="18"/>
      <c r="D33" s="19"/>
      <c r="E33" s="27">
        <v>1</v>
      </c>
      <c r="F33" s="27">
        <v>1</v>
      </c>
      <c r="G33" s="21"/>
      <c r="H33" s="28">
        <f t="shared" si="139"/>
        <v>1</v>
      </c>
      <c r="I33" s="21" t="s">
        <v>195</v>
      </c>
      <c r="J33" s="23">
        <f t="shared" si="140"/>
        <v>164.67391304347825</v>
      </c>
      <c r="K33" s="29">
        <f t="shared" si="141"/>
        <v>2.1767241379310343E-2</v>
      </c>
      <c r="L33" s="30">
        <f>(L30+L31+L32)*5%</f>
        <v>37875</v>
      </c>
      <c r="S33" s="69" t="str">
        <f t="shared" si="142"/>
        <v>OK</v>
      </c>
      <c r="T33" s="16">
        <f t="shared" si="178"/>
        <v>37875</v>
      </c>
      <c r="U33" s="16">
        <f t="shared" si="178"/>
        <v>0</v>
      </c>
      <c r="V33" s="16">
        <f t="shared" si="178"/>
        <v>0</v>
      </c>
      <c r="W33" s="16">
        <f t="shared" si="178"/>
        <v>0</v>
      </c>
      <c r="X33" s="16">
        <f t="shared" si="178"/>
        <v>0</v>
      </c>
      <c r="Y33" s="16">
        <f t="shared" si="178"/>
        <v>0</v>
      </c>
      <c r="Z33" s="16">
        <f t="shared" si="178"/>
        <v>0</v>
      </c>
      <c r="AA33" s="16">
        <f t="shared" si="178"/>
        <v>0</v>
      </c>
      <c r="AB33" s="16">
        <f t="shared" si="178"/>
        <v>0</v>
      </c>
      <c r="AC33" s="16">
        <f t="shared" si="178"/>
        <v>0</v>
      </c>
      <c r="AD33" s="16">
        <f t="shared" si="144"/>
        <v>0</v>
      </c>
      <c r="AE33" s="16">
        <f t="shared" si="144"/>
        <v>0</v>
      </c>
      <c r="AF33" s="16">
        <f t="shared" si="144"/>
        <v>0</v>
      </c>
      <c r="AG33" s="16">
        <f t="shared" si="144"/>
        <v>0</v>
      </c>
      <c r="AH33" s="16">
        <f t="shared" si="144"/>
        <v>0</v>
      </c>
      <c r="AI33" s="16">
        <f t="shared" si="144"/>
        <v>0</v>
      </c>
      <c r="AJ33" s="16">
        <f t="shared" si="144"/>
        <v>0</v>
      </c>
      <c r="AK33" s="16">
        <f t="shared" si="144"/>
        <v>0</v>
      </c>
      <c r="AL33" s="16">
        <f t="shared" si="144"/>
        <v>0</v>
      </c>
      <c r="AM33" s="16">
        <f t="shared" si="144"/>
        <v>0</v>
      </c>
      <c r="AN33" s="16">
        <f t="shared" si="145"/>
        <v>0</v>
      </c>
      <c r="AO33" s="16">
        <f t="shared" si="145"/>
        <v>0</v>
      </c>
      <c r="AP33" s="16">
        <f t="shared" si="145"/>
        <v>0</v>
      </c>
      <c r="AQ33" s="16">
        <f t="shared" si="145"/>
        <v>0</v>
      </c>
      <c r="AR33" s="16">
        <f t="shared" si="145"/>
        <v>0</v>
      </c>
      <c r="AS33" s="16">
        <f t="shared" si="145"/>
        <v>0</v>
      </c>
      <c r="AT33" s="16">
        <f t="shared" si="145"/>
        <v>0</v>
      </c>
      <c r="AU33" s="16">
        <f t="shared" si="145"/>
        <v>0</v>
      </c>
      <c r="AV33" s="16">
        <f t="shared" si="145"/>
        <v>0</v>
      </c>
      <c r="AW33" s="16">
        <f t="shared" si="145"/>
        <v>0</v>
      </c>
      <c r="AX33" s="16">
        <f t="shared" si="146"/>
        <v>0</v>
      </c>
      <c r="AY33" s="16">
        <f t="shared" si="146"/>
        <v>0</v>
      </c>
      <c r="AZ33" s="16">
        <f t="shared" si="146"/>
        <v>0</v>
      </c>
      <c r="BA33" s="16">
        <f t="shared" si="146"/>
        <v>0</v>
      </c>
      <c r="BB33" s="16">
        <f t="shared" si="146"/>
        <v>0</v>
      </c>
      <c r="BC33" s="16">
        <f t="shared" si="146"/>
        <v>0</v>
      </c>
      <c r="BD33" s="16">
        <f t="shared" si="146"/>
        <v>0</v>
      </c>
      <c r="BE33" s="16">
        <f t="shared" si="146"/>
        <v>0</v>
      </c>
      <c r="BF33" s="16">
        <f t="shared" si="146"/>
        <v>0</v>
      </c>
      <c r="BG33" s="16">
        <f t="shared" si="146"/>
        <v>0</v>
      </c>
      <c r="BH33" s="16">
        <f t="shared" si="147"/>
        <v>0</v>
      </c>
      <c r="BI33" s="16">
        <f t="shared" si="147"/>
        <v>0</v>
      </c>
      <c r="BJ33" s="16">
        <f t="shared" si="147"/>
        <v>0</v>
      </c>
      <c r="BK33" s="16">
        <f t="shared" si="147"/>
        <v>0</v>
      </c>
      <c r="BL33" s="16">
        <f t="shared" si="147"/>
        <v>0</v>
      </c>
      <c r="BM33" s="16">
        <f t="shared" si="147"/>
        <v>0</v>
      </c>
      <c r="BN33" s="16">
        <f t="shared" si="147"/>
        <v>0</v>
      </c>
      <c r="BO33" s="16">
        <f t="shared" si="147"/>
        <v>0</v>
      </c>
      <c r="BP33" s="16">
        <f t="shared" si="147"/>
        <v>0</v>
      </c>
      <c r="BQ33" s="16">
        <f t="shared" si="147"/>
        <v>0</v>
      </c>
      <c r="BR33" s="16">
        <f t="shared" si="148"/>
        <v>0</v>
      </c>
      <c r="BS33" s="16">
        <f t="shared" si="148"/>
        <v>0</v>
      </c>
      <c r="BT33" s="16">
        <f t="shared" si="148"/>
        <v>0</v>
      </c>
      <c r="BU33" s="16">
        <f t="shared" si="148"/>
        <v>0</v>
      </c>
      <c r="BV33" s="16">
        <f t="shared" si="148"/>
        <v>0</v>
      </c>
      <c r="BW33" s="16">
        <f t="shared" si="148"/>
        <v>0</v>
      </c>
      <c r="BX33" s="16">
        <f t="shared" si="148"/>
        <v>0</v>
      </c>
      <c r="BY33" s="16">
        <f t="shared" si="148"/>
        <v>0</v>
      </c>
      <c r="BZ33" s="16">
        <f t="shared" si="148"/>
        <v>0</v>
      </c>
      <c r="CA33" s="16">
        <f t="shared" si="148"/>
        <v>0</v>
      </c>
      <c r="CB33" s="16">
        <f t="shared" si="149"/>
        <v>0</v>
      </c>
      <c r="CC33" s="16">
        <f t="shared" si="149"/>
        <v>0</v>
      </c>
      <c r="CD33" s="16">
        <f t="shared" si="149"/>
        <v>0</v>
      </c>
      <c r="CE33" s="16">
        <f t="shared" si="149"/>
        <v>0</v>
      </c>
      <c r="CF33" s="16">
        <f t="shared" si="149"/>
        <v>0</v>
      </c>
      <c r="CG33" s="16">
        <f t="shared" si="149"/>
        <v>0</v>
      </c>
      <c r="CH33" s="16">
        <f t="shared" si="149"/>
        <v>0</v>
      </c>
      <c r="CI33" s="16">
        <f t="shared" si="149"/>
        <v>0</v>
      </c>
      <c r="CJ33" s="16">
        <f t="shared" si="149"/>
        <v>0</v>
      </c>
      <c r="CK33" s="16">
        <f t="shared" si="149"/>
        <v>0</v>
      </c>
      <c r="CL33" s="16">
        <f t="shared" si="150"/>
        <v>0</v>
      </c>
      <c r="CM33" s="16">
        <f t="shared" si="150"/>
        <v>0</v>
      </c>
      <c r="CN33" s="16">
        <f t="shared" si="150"/>
        <v>0</v>
      </c>
      <c r="CO33" s="16">
        <f t="shared" si="150"/>
        <v>0</v>
      </c>
      <c r="CP33" s="16">
        <f t="shared" si="150"/>
        <v>0</v>
      </c>
      <c r="CQ33" s="16">
        <f t="shared" si="150"/>
        <v>0</v>
      </c>
      <c r="CR33" s="16">
        <f t="shared" si="150"/>
        <v>0</v>
      </c>
      <c r="CS33" s="16">
        <f t="shared" si="150"/>
        <v>0</v>
      </c>
      <c r="CT33" s="16">
        <f t="shared" si="150"/>
        <v>0</v>
      </c>
      <c r="CU33" s="16">
        <f t="shared" si="150"/>
        <v>0</v>
      </c>
      <c r="CV33" s="16">
        <f t="shared" si="151"/>
        <v>0</v>
      </c>
      <c r="CW33" s="16">
        <f t="shared" si="151"/>
        <v>0</v>
      </c>
      <c r="CX33" s="16">
        <f t="shared" si="151"/>
        <v>0</v>
      </c>
      <c r="CY33" s="16">
        <f t="shared" si="151"/>
        <v>0</v>
      </c>
      <c r="CZ33" s="16">
        <f t="shared" si="151"/>
        <v>0</v>
      </c>
      <c r="DA33" s="16">
        <f t="shared" si="151"/>
        <v>0</v>
      </c>
      <c r="DB33" s="16">
        <f t="shared" si="151"/>
        <v>0</v>
      </c>
      <c r="DC33" s="16">
        <f t="shared" si="151"/>
        <v>0</v>
      </c>
      <c r="DD33" s="16">
        <f t="shared" si="151"/>
        <v>0</v>
      </c>
      <c r="DE33" s="16">
        <f t="shared" si="151"/>
        <v>0</v>
      </c>
      <c r="DF33" s="16">
        <f t="shared" si="152"/>
        <v>0</v>
      </c>
      <c r="DG33" s="16">
        <f t="shared" si="152"/>
        <v>0</v>
      </c>
      <c r="DH33" s="16">
        <f t="shared" si="152"/>
        <v>0</v>
      </c>
      <c r="DI33" s="16">
        <f t="shared" si="152"/>
        <v>0</v>
      </c>
      <c r="DJ33" s="16">
        <f t="shared" si="152"/>
        <v>0</v>
      </c>
      <c r="DK33" s="16">
        <f t="shared" si="152"/>
        <v>0</v>
      </c>
      <c r="DL33" s="16">
        <f t="shared" si="152"/>
        <v>0</v>
      </c>
      <c r="DM33" s="16">
        <f t="shared" si="152"/>
        <v>0</v>
      </c>
      <c r="DN33" s="16">
        <f t="shared" si="152"/>
        <v>0</v>
      </c>
      <c r="DO33" s="16">
        <f t="shared" si="152"/>
        <v>0</v>
      </c>
      <c r="DP33" s="16">
        <f t="shared" si="153"/>
        <v>0</v>
      </c>
      <c r="DQ33" s="16">
        <f t="shared" si="153"/>
        <v>0</v>
      </c>
      <c r="DR33" s="16">
        <f t="shared" si="153"/>
        <v>0</v>
      </c>
      <c r="DS33" s="16">
        <f t="shared" si="153"/>
        <v>0</v>
      </c>
      <c r="DT33" s="16">
        <f t="shared" si="153"/>
        <v>0</v>
      </c>
      <c r="DU33" s="16">
        <f t="shared" si="153"/>
        <v>0</v>
      </c>
      <c r="DV33" s="16">
        <f t="shared" si="153"/>
        <v>0</v>
      </c>
      <c r="DW33" s="16">
        <f t="shared" si="153"/>
        <v>0</v>
      </c>
      <c r="DX33" s="16">
        <f t="shared" si="153"/>
        <v>0</v>
      </c>
      <c r="DY33" s="16">
        <f t="shared" si="153"/>
        <v>0</v>
      </c>
      <c r="DZ33" s="16">
        <f t="shared" si="154"/>
        <v>0</v>
      </c>
      <c r="EA33" s="16">
        <f t="shared" si="154"/>
        <v>0</v>
      </c>
      <c r="EB33" s="16">
        <f t="shared" si="154"/>
        <v>0</v>
      </c>
      <c r="EC33" s="16">
        <f t="shared" si="154"/>
        <v>0</v>
      </c>
      <c r="ED33" s="16">
        <f t="shared" si="154"/>
        <v>0</v>
      </c>
      <c r="EE33" s="16">
        <f t="shared" si="154"/>
        <v>0</v>
      </c>
      <c r="EF33" s="16">
        <f t="shared" si="154"/>
        <v>0</v>
      </c>
      <c r="EG33" s="16">
        <f t="shared" si="154"/>
        <v>0</v>
      </c>
      <c r="EH33" s="16">
        <f t="shared" si="154"/>
        <v>0</v>
      </c>
      <c r="EI33" s="16">
        <f t="shared" si="154"/>
        <v>0</v>
      </c>
      <c r="EJ33" s="16">
        <f t="shared" si="155"/>
        <v>0</v>
      </c>
      <c r="EK33" s="16">
        <f t="shared" si="155"/>
        <v>0</v>
      </c>
      <c r="EL33" s="16">
        <f t="shared" si="155"/>
        <v>0</v>
      </c>
      <c r="EM33" s="16">
        <f t="shared" si="155"/>
        <v>0</v>
      </c>
      <c r="EN33" s="16">
        <f t="shared" si="155"/>
        <v>0</v>
      </c>
      <c r="EO33" s="16">
        <f t="shared" si="155"/>
        <v>0</v>
      </c>
      <c r="EP33" s="16">
        <f t="shared" si="155"/>
        <v>0</v>
      </c>
      <c r="EQ33" s="16">
        <f t="shared" si="155"/>
        <v>0</v>
      </c>
      <c r="ER33" s="16">
        <f t="shared" si="155"/>
        <v>0</v>
      </c>
      <c r="ES33" s="16">
        <f t="shared" si="155"/>
        <v>0</v>
      </c>
      <c r="ET33" s="16">
        <f t="shared" si="156"/>
        <v>0</v>
      </c>
      <c r="EU33" s="16">
        <f t="shared" si="156"/>
        <v>0</v>
      </c>
      <c r="EV33" s="16">
        <f t="shared" si="156"/>
        <v>0</v>
      </c>
      <c r="EW33" s="16">
        <f t="shared" si="156"/>
        <v>0</v>
      </c>
      <c r="EX33" s="16">
        <f t="shared" si="156"/>
        <v>0</v>
      </c>
      <c r="EY33" s="16">
        <f t="shared" si="156"/>
        <v>0</v>
      </c>
      <c r="EZ33" s="16">
        <f t="shared" si="156"/>
        <v>0</v>
      </c>
      <c r="FA33" s="16">
        <f t="shared" si="156"/>
        <v>0</v>
      </c>
      <c r="FB33" s="16">
        <f t="shared" si="156"/>
        <v>0</v>
      </c>
      <c r="FC33" s="16">
        <f t="shared" si="156"/>
        <v>0</v>
      </c>
      <c r="FD33" s="16">
        <f t="shared" si="157"/>
        <v>0</v>
      </c>
      <c r="FE33" s="16">
        <f t="shared" si="157"/>
        <v>0</v>
      </c>
      <c r="FF33" s="16">
        <f t="shared" si="157"/>
        <v>0</v>
      </c>
      <c r="FG33" s="16">
        <f t="shared" si="157"/>
        <v>0</v>
      </c>
      <c r="FH33" s="16">
        <f t="shared" si="157"/>
        <v>0</v>
      </c>
      <c r="FI33" s="16">
        <f t="shared" si="157"/>
        <v>0</v>
      </c>
      <c r="FJ33" s="16">
        <f t="shared" si="157"/>
        <v>0</v>
      </c>
      <c r="FK33" s="16">
        <f t="shared" si="157"/>
        <v>0</v>
      </c>
      <c r="FL33" s="16">
        <f t="shared" si="157"/>
        <v>0</v>
      </c>
      <c r="FM33" s="16">
        <f t="shared" si="157"/>
        <v>0</v>
      </c>
      <c r="FN33" s="16">
        <f t="shared" si="158"/>
        <v>0</v>
      </c>
      <c r="FO33" s="16">
        <f t="shared" si="158"/>
        <v>0</v>
      </c>
      <c r="FP33" s="16">
        <f t="shared" si="158"/>
        <v>0</v>
      </c>
      <c r="FQ33" s="16">
        <f t="shared" si="158"/>
        <v>0</v>
      </c>
      <c r="FR33" s="16">
        <f t="shared" si="158"/>
        <v>0</v>
      </c>
      <c r="FS33" s="16">
        <f t="shared" si="158"/>
        <v>0</v>
      </c>
      <c r="FT33" s="16">
        <f t="shared" si="158"/>
        <v>0</v>
      </c>
      <c r="FU33" s="16">
        <f t="shared" si="158"/>
        <v>0</v>
      </c>
      <c r="FV33" s="16">
        <f t="shared" si="158"/>
        <v>0</v>
      </c>
      <c r="FW33" s="16">
        <f t="shared" si="158"/>
        <v>0</v>
      </c>
      <c r="FX33" s="16">
        <f t="shared" si="159"/>
        <v>0</v>
      </c>
      <c r="FY33" s="16">
        <f t="shared" si="159"/>
        <v>0</v>
      </c>
      <c r="FZ33" s="16">
        <f t="shared" si="159"/>
        <v>0</v>
      </c>
      <c r="GA33" s="16">
        <f t="shared" si="159"/>
        <v>0</v>
      </c>
      <c r="GB33" s="16">
        <f t="shared" si="159"/>
        <v>0</v>
      </c>
      <c r="GC33" s="16">
        <f t="shared" si="159"/>
        <v>0</v>
      </c>
      <c r="GD33" s="16">
        <f t="shared" si="159"/>
        <v>0</v>
      </c>
      <c r="GE33" s="16">
        <f t="shared" si="159"/>
        <v>0</v>
      </c>
      <c r="GF33" s="16">
        <f t="shared" si="159"/>
        <v>0</v>
      </c>
      <c r="GG33" s="16">
        <f t="shared" si="159"/>
        <v>0</v>
      </c>
      <c r="GH33" s="16">
        <f t="shared" si="160"/>
        <v>0</v>
      </c>
      <c r="GI33" s="16">
        <f t="shared" si="160"/>
        <v>0</v>
      </c>
      <c r="GJ33" s="16">
        <f t="shared" si="160"/>
        <v>0</v>
      </c>
      <c r="GK33" s="16">
        <f t="shared" si="160"/>
        <v>0</v>
      </c>
      <c r="GL33" s="16">
        <f t="shared" si="160"/>
        <v>0</v>
      </c>
      <c r="GM33" s="16">
        <f t="shared" si="160"/>
        <v>0</v>
      </c>
      <c r="GN33" s="16">
        <f t="shared" si="160"/>
        <v>0</v>
      </c>
      <c r="GO33" s="16">
        <f t="shared" si="160"/>
        <v>0</v>
      </c>
      <c r="GP33" s="16">
        <f t="shared" si="160"/>
        <v>0</v>
      </c>
      <c r="GQ33" s="16">
        <f t="shared" si="160"/>
        <v>0</v>
      </c>
      <c r="GR33" s="9"/>
      <c r="GS33" s="70" t="str">
        <f>B33</f>
        <v>Contingency (Vertical)</v>
      </c>
      <c r="GT33" s="77">
        <f t="shared" si="161"/>
        <v>37875</v>
      </c>
      <c r="GU33" s="78">
        <f t="shared" si="135"/>
        <v>1</v>
      </c>
      <c r="GV33" s="78">
        <f t="shared" si="135"/>
        <v>1</v>
      </c>
      <c r="GW33" s="78">
        <f t="shared" si="162"/>
        <v>1</v>
      </c>
      <c r="GX33" s="79">
        <f t="shared" si="163"/>
        <v>0.16666666666666666</v>
      </c>
      <c r="GY33" s="79" t="b">
        <f t="shared" si="164"/>
        <v>1</v>
      </c>
      <c r="GZ33" s="77">
        <f t="shared" si="165"/>
        <v>37875</v>
      </c>
      <c r="HA33" s="77">
        <f t="shared" si="166"/>
        <v>0</v>
      </c>
      <c r="HB33" s="77">
        <f t="shared" si="166"/>
        <v>0</v>
      </c>
      <c r="HC33" s="77">
        <f t="shared" si="166"/>
        <v>0</v>
      </c>
      <c r="HD33" s="77">
        <f t="shared" si="166"/>
        <v>0</v>
      </c>
      <c r="HE33" s="77">
        <f t="shared" si="166"/>
        <v>0</v>
      </c>
      <c r="HF33" s="77">
        <f t="shared" si="166"/>
        <v>0</v>
      </c>
      <c r="HG33" s="77">
        <f t="shared" si="166"/>
        <v>0</v>
      </c>
      <c r="HH33" s="77">
        <f t="shared" si="166"/>
        <v>0</v>
      </c>
      <c r="HI33" s="77">
        <f t="shared" si="166"/>
        <v>0</v>
      </c>
      <c r="HJ33" s="77">
        <f t="shared" si="166"/>
        <v>0</v>
      </c>
      <c r="HK33" s="77">
        <f t="shared" si="166"/>
        <v>0</v>
      </c>
      <c r="HL33" s="77">
        <f t="shared" si="166"/>
        <v>0</v>
      </c>
      <c r="HM33" s="77">
        <f t="shared" si="166"/>
        <v>0</v>
      </c>
      <c r="HN33" s="77">
        <f t="shared" si="166"/>
        <v>0</v>
      </c>
      <c r="HO33" s="77">
        <f t="shared" si="166"/>
        <v>0</v>
      </c>
      <c r="HP33" s="77">
        <f t="shared" si="166"/>
        <v>0</v>
      </c>
      <c r="HQ33" s="77">
        <f t="shared" si="167"/>
        <v>0</v>
      </c>
      <c r="HR33" s="77">
        <f t="shared" si="167"/>
        <v>0</v>
      </c>
      <c r="HS33" s="77">
        <f t="shared" si="167"/>
        <v>0</v>
      </c>
      <c r="HT33" s="77">
        <f t="shared" si="167"/>
        <v>0</v>
      </c>
      <c r="HU33" s="77">
        <f t="shared" si="167"/>
        <v>0</v>
      </c>
      <c r="HV33" s="77">
        <f t="shared" si="167"/>
        <v>0</v>
      </c>
      <c r="HW33" s="77">
        <f t="shared" si="167"/>
        <v>0</v>
      </c>
      <c r="HX33" s="77">
        <f t="shared" si="167"/>
        <v>0</v>
      </c>
      <c r="HY33" s="77">
        <f t="shared" si="167"/>
        <v>0</v>
      </c>
      <c r="HZ33" s="77">
        <f t="shared" si="167"/>
        <v>0</v>
      </c>
      <c r="IA33" s="77">
        <f t="shared" si="167"/>
        <v>0</v>
      </c>
      <c r="IB33" s="77">
        <f t="shared" si="167"/>
        <v>0</v>
      </c>
      <c r="IC33" s="77">
        <f t="shared" si="167"/>
        <v>0</v>
      </c>
      <c r="ID33" s="77">
        <f t="shared" si="167"/>
        <v>0</v>
      </c>
      <c r="IE33" s="77">
        <f t="shared" si="167"/>
        <v>0</v>
      </c>
      <c r="IF33" s="77">
        <f t="shared" si="167"/>
        <v>0</v>
      </c>
      <c r="IG33" s="77">
        <f t="shared" si="168"/>
        <v>0</v>
      </c>
      <c r="IH33" s="77">
        <f t="shared" si="168"/>
        <v>0</v>
      </c>
      <c r="II33" s="77">
        <f t="shared" si="168"/>
        <v>0</v>
      </c>
      <c r="IJ33" s="77">
        <f t="shared" si="168"/>
        <v>0</v>
      </c>
      <c r="IK33" s="77">
        <f t="shared" si="168"/>
        <v>0</v>
      </c>
      <c r="IL33" s="77">
        <f t="shared" si="168"/>
        <v>0</v>
      </c>
      <c r="IM33" s="77">
        <f t="shared" si="168"/>
        <v>0</v>
      </c>
      <c r="IN33" s="77">
        <f t="shared" si="168"/>
        <v>0</v>
      </c>
      <c r="IO33" s="77">
        <f t="shared" si="168"/>
        <v>0</v>
      </c>
      <c r="IP33" s="77">
        <f t="shared" si="168"/>
        <v>0</v>
      </c>
      <c r="IQ33" s="77">
        <f t="shared" si="168"/>
        <v>0</v>
      </c>
      <c r="IR33" s="77">
        <f t="shared" si="168"/>
        <v>0</v>
      </c>
      <c r="IS33" s="77">
        <f t="shared" si="168"/>
        <v>0</v>
      </c>
      <c r="IT33" s="77">
        <f t="shared" si="168"/>
        <v>0</v>
      </c>
      <c r="IU33" s="77">
        <f t="shared" si="168"/>
        <v>0</v>
      </c>
      <c r="IV33" s="77">
        <f t="shared" si="168"/>
        <v>0</v>
      </c>
      <c r="IW33" s="77">
        <f t="shared" si="169"/>
        <v>0</v>
      </c>
      <c r="IX33" s="77">
        <f t="shared" si="169"/>
        <v>0</v>
      </c>
      <c r="IY33" s="77">
        <f t="shared" si="169"/>
        <v>0</v>
      </c>
      <c r="IZ33" s="77">
        <f t="shared" si="169"/>
        <v>0</v>
      </c>
      <c r="JA33" s="77">
        <f t="shared" si="169"/>
        <v>0</v>
      </c>
      <c r="JB33" s="77">
        <f t="shared" si="169"/>
        <v>0</v>
      </c>
      <c r="JC33" s="77">
        <f t="shared" si="169"/>
        <v>0</v>
      </c>
      <c r="JD33" s="77">
        <f t="shared" si="169"/>
        <v>0</v>
      </c>
      <c r="JE33" s="77">
        <f t="shared" si="169"/>
        <v>0</v>
      </c>
      <c r="JF33" s="77">
        <f t="shared" si="169"/>
        <v>0</v>
      </c>
      <c r="JG33" s="77">
        <f t="shared" si="169"/>
        <v>0</v>
      </c>
      <c r="JH33" s="77">
        <f t="shared" si="169"/>
        <v>0</v>
      </c>
      <c r="JI33" s="77">
        <f t="shared" si="169"/>
        <v>0</v>
      </c>
      <c r="JJ33" s="77">
        <f t="shared" si="169"/>
        <v>0</v>
      </c>
      <c r="JK33" s="77">
        <f t="shared" si="169"/>
        <v>0</v>
      </c>
      <c r="JL33" s="77">
        <f t="shared" si="169"/>
        <v>0</v>
      </c>
      <c r="JM33" s="77">
        <f t="shared" si="170"/>
        <v>0</v>
      </c>
      <c r="JN33" s="77">
        <f t="shared" si="170"/>
        <v>0</v>
      </c>
      <c r="JO33" s="77">
        <f t="shared" si="170"/>
        <v>0</v>
      </c>
      <c r="JP33" s="77">
        <f t="shared" si="170"/>
        <v>0</v>
      </c>
      <c r="JQ33" s="77">
        <f t="shared" si="170"/>
        <v>0</v>
      </c>
      <c r="JR33" s="77">
        <f t="shared" si="170"/>
        <v>0</v>
      </c>
      <c r="JS33" s="77">
        <f t="shared" si="170"/>
        <v>0</v>
      </c>
      <c r="JT33" s="77">
        <f t="shared" si="170"/>
        <v>0</v>
      </c>
      <c r="JU33" s="77">
        <f t="shared" si="170"/>
        <v>0</v>
      </c>
      <c r="JV33" s="77">
        <f t="shared" si="170"/>
        <v>0</v>
      </c>
      <c r="JW33" s="77">
        <f t="shared" si="170"/>
        <v>0</v>
      </c>
      <c r="JX33" s="77">
        <f t="shared" si="170"/>
        <v>0</v>
      </c>
      <c r="JY33" s="77">
        <f t="shared" si="170"/>
        <v>0</v>
      </c>
      <c r="JZ33" s="77">
        <f t="shared" si="170"/>
        <v>0</v>
      </c>
      <c r="KA33" s="77">
        <f t="shared" si="170"/>
        <v>0</v>
      </c>
      <c r="KB33" s="77">
        <f t="shared" si="170"/>
        <v>0</v>
      </c>
      <c r="KC33" s="77">
        <f t="shared" si="171"/>
        <v>0</v>
      </c>
      <c r="KD33" s="77">
        <f t="shared" si="171"/>
        <v>0</v>
      </c>
      <c r="KE33" s="77">
        <f t="shared" si="171"/>
        <v>0</v>
      </c>
      <c r="KF33" s="77">
        <f t="shared" si="171"/>
        <v>0</v>
      </c>
      <c r="KG33" s="77">
        <f t="shared" si="171"/>
        <v>0</v>
      </c>
      <c r="KH33" s="77">
        <f t="shared" si="171"/>
        <v>0</v>
      </c>
      <c r="KI33" s="77">
        <f t="shared" si="171"/>
        <v>0</v>
      </c>
      <c r="KJ33" s="77">
        <f t="shared" si="171"/>
        <v>0</v>
      </c>
      <c r="KK33" s="77">
        <f t="shared" si="171"/>
        <v>0</v>
      </c>
      <c r="KL33" s="77">
        <f t="shared" si="171"/>
        <v>0</v>
      </c>
      <c r="KM33" s="77">
        <f t="shared" si="171"/>
        <v>0</v>
      </c>
      <c r="KN33" s="77">
        <f t="shared" si="171"/>
        <v>0</v>
      </c>
      <c r="KO33" s="77">
        <f t="shared" si="171"/>
        <v>0</v>
      </c>
      <c r="KP33" s="77">
        <f t="shared" si="171"/>
        <v>0</v>
      </c>
      <c r="KQ33" s="77">
        <f t="shared" si="171"/>
        <v>0</v>
      </c>
      <c r="KR33" s="77">
        <f t="shared" si="171"/>
        <v>0</v>
      </c>
      <c r="KS33" s="77">
        <f t="shared" si="172"/>
        <v>0</v>
      </c>
      <c r="KT33" s="77">
        <f t="shared" si="172"/>
        <v>0</v>
      </c>
      <c r="KU33" s="77">
        <f t="shared" si="172"/>
        <v>0</v>
      </c>
      <c r="KV33" s="77">
        <f t="shared" si="172"/>
        <v>0</v>
      </c>
      <c r="KW33" s="77">
        <f t="shared" si="172"/>
        <v>0</v>
      </c>
      <c r="KX33" s="77">
        <f t="shared" si="172"/>
        <v>0</v>
      </c>
      <c r="KY33" s="77">
        <f t="shared" si="172"/>
        <v>0</v>
      </c>
      <c r="KZ33" s="77">
        <f t="shared" si="172"/>
        <v>0</v>
      </c>
      <c r="LA33" s="77">
        <f t="shared" si="172"/>
        <v>0</v>
      </c>
      <c r="LB33" s="77">
        <f t="shared" si="172"/>
        <v>0</v>
      </c>
      <c r="LC33" s="77">
        <f t="shared" si="172"/>
        <v>0</v>
      </c>
      <c r="LD33" s="77">
        <f t="shared" si="172"/>
        <v>0</v>
      </c>
      <c r="LE33" s="77">
        <f t="shared" si="172"/>
        <v>0</v>
      </c>
      <c r="LF33" s="77">
        <f t="shared" si="172"/>
        <v>0</v>
      </c>
      <c r="LG33" s="77">
        <f t="shared" si="172"/>
        <v>0</v>
      </c>
      <c r="LH33" s="77">
        <f t="shared" si="172"/>
        <v>0</v>
      </c>
      <c r="LI33" s="77">
        <f t="shared" si="173"/>
        <v>0</v>
      </c>
      <c r="LJ33" s="77">
        <f t="shared" si="173"/>
        <v>0</v>
      </c>
      <c r="LK33" s="77">
        <f t="shared" si="173"/>
        <v>0</v>
      </c>
      <c r="LL33" s="77">
        <f t="shared" si="173"/>
        <v>0</v>
      </c>
      <c r="LM33" s="77">
        <f t="shared" si="173"/>
        <v>0</v>
      </c>
      <c r="LN33" s="77">
        <f t="shared" si="173"/>
        <v>0</v>
      </c>
      <c r="LO33" s="77">
        <f t="shared" si="173"/>
        <v>0</v>
      </c>
      <c r="LP33" s="77">
        <f t="shared" si="173"/>
        <v>0</v>
      </c>
      <c r="LQ33" s="77">
        <f t="shared" si="173"/>
        <v>0</v>
      </c>
      <c r="LR33" s="77">
        <f t="shared" si="173"/>
        <v>0</v>
      </c>
      <c r="LS33" s="77">
        <f t="shared" si="173"/>
        <v>0</v>
      </c>
      <c r="LT33" s="77">
        <f t="shared" si="173"/>
        <v>0</v>
      </c>
      <c r="LU33" s="77">
        <f t="shared" si="173"/>
        <v>0</v>
      </c>
      <c r="LV33" s="77">
        <f t="shared" si="173"/>
        <v>0</v>
      </c>
      <c r="LW33" s="77">
        <f t="shared" si="173"/>
        <v>0</v>
      </c>
      <c r="LX33" s="77">
        <f t="shared" si="173"/>
        <v>0</v>
      </c>
      <c r="LY33" s="77">
        <f t="shared" si="174"/>
        <v>0</v>
      </c>
      <c r="LZ33" s="77">
        <f t="shared" si="174"/>
        <v>0</v>
      </c>
      <c r="MA33" s="77">
        <f t="shared" si="174"/>
        <v>0</v>
      </c>
      <c r="MB33" s="77">
        <f t="shared" si="174"/>
        <v>0</v>
      </c>
      <c r="MC33" s="77">
        <f t="shared" si="174"/>
        <v>0</v>
      </c>
      <c r="MD33" s="77">
        <f t="shared" si="174"/>
        <v>0</v>
      </c>
      <c r="ME33" s="77">
        <f t="shared" si="174"/>
        <v>0</v>
      </c>
      <c r="MF33" s="77">
        <f t="shared" si="174"/>
        <v>0</v>
      </c>
      <c r="MG33" s="77">
        <f t="shared" si="174"/>
        <v>0</v>
      </c>
      <c r="MH33" s="77">
        <f t="shared" si="174"/>
        <v>0</v>
      </c>
      <c r="MI33" s="77">
        <f t="shared" si="174"/>
        <v>0</v>
      </c>
      <c r="MJ33" s="77">
        <f t="shared" si="174"/>
        <v>0</v>
      </c>
      <c r="MK33" s="77">
        <f t="shared" si="174"/>
        <v>0</v>
      </c>
      <c r="ML33" s="77">
        <f t="shared" si="174"/>
        <v>0</v>
      </c>
      <c r="MM33" s="77">
        <f t="shared" si="174"/>
        <v>0</v>
      </c>
      <c r="MN33" s="77">
        <f t="shared" si="174"/>
        <v>0</v>
      </c>
      <c r="MO33" s="77">
        <f t="shared" si="175"/>
        <v>0</v>
      </c>
      <c r="MP33" s="77">
        <f t="shared" si="175"/>
        <v>0</v>
      </c>
      <c r="MQ33" s="77">
        <f t="shared" si="175"/>
        <v>0</v>
      </c>
      <c r="MR33" s="77">
        <f t="shared" si="175"/>
        <v>0</v>
      </c>
      <c r="MS33" s="77">
        <f t="shared" si="175"/>
        <v>0</v>
      </c>
      <c r="MT33" s="77">
        <f t="shared" si="175"/>
        <v>0</v>
      </c>
      <c r="MU33" s="77">
        <f t="shared" si="175"/>
        <v>0</v>
      </c>
      <c r="MV33" s="77">
        <f t="shared" si="175"/>
        <v>0</v>
      </c>
      <c r="MW33" s="77">
        <f t="shared" si="175"/>
        <v>0</v>
      </c>
      <c r="MX33" s="77">
        <f t="shared" si="175"/>
        <v>0</v>
      </c>
      <c r="MY33" s="77">
        <f t="shared" si="175"/>
        <v>0</v>
      </c>
      <c r="MZ33" s="77">
        <f t="shared" si="175"/>
        <v>0</v>
      </c>
      <c r="NA33" s="77">
        <f t="shared" si="175"/>
        <v>0</v>
      </c>
      <c r="NB33" s="77">
        <f t="shared" si="175"/>
        <v>0</v>
      </c>
      <c r="NC33" s="77">
        <f t="shared" si="175"/>
        <v>0</v>
      </c>
      <c r="ND33" s="77">
        <f t="shared" si="175"/>
        <v>0</v>
      </c>
      <c r="NE33" s="77">
        <f t="shared" si="176"/>
        <v>0</v>
      </c>
      <c r="NF33" s="77">
        <f t="shared" si="176"/>
        <v>0</v>
      </c>
      <c r="NG33" s="77">
        <f t="shared" si="176"/>
        <v>0</v>
      </c>
      <c r="NH33" s="77">
        <f t="shared" si="176"/>
        <v>0</v>
      </c>
      <c r="NI33" s="77">
        <f t="shared" si="176"/>
        <v>0</v>
      </c>
      <c r="NJ33" s="77">
        <f t="shared" si="176"/>
        <v>0</v>
      </c>
      <c r="NK33" s="77">
        <f t="shared" si="176"/>
        <v>0</v>
      </c>
      <c r="NL33" s="77">
        <f t="shared" si="176"/>
        <v>0</v>
      </c>
      <c r="NM33" s="77">
        <f t="shared" si="176"/>
        <v>0</v>
      </c>
      <c r="NN33" s="77">
        <f t="shared" si="176"/>
        <v>0</v>
      </c>
      <c r="NO33" s="77">
        <f t="shared" si="176"/>
        <v>0</v>
      </c>
      <c r="NP33" s="77">
        <f t="shared" si="176"/>
        <v>0</v>
      </c>
      <c r="NQ33" s="77">
        <f t="shared" si="176"/>
        <v>0</v>
      </c>
      <c r="NR33" s="77">
        <f t="shared" si="176"/>
        <v>0</v>
      </c>
      <c r="NS33" s="77">
        <f t="shared" si="176"/>
        <v>0</v>
      </c>
      <c r="NT33" s="77">
        <f t="shared" si="176"/>
        <v>0</v>
      </c>
      <c r="NU33" s="77">
        <f t="shared" si="177"/>
        <v>0</v>
      </c>
      <c r="NV33" s="77">
        <f t="shared" si="177"/>
        <v>0</v>
      </c>
      <c r="NW33" s="77">
        <f t="shared" si="177"/>
        <v>0</v>
      </c>
      <c r="NX33" s="10"/>
    </row>
    <row r="34" spans="2:388" ht="15.5" x14ac:dyDescent="0.45">
      <c r="B34" s="26" t="s">
        <v>200</v>
      </c>
      <c r="C34" s="18"/>
      <c r="D34" s="19"/>
      <c r="E34" s="27">
        <v>1</v>
      </c>
      <c r="F34" s="27">
        <v>1</v>
      </c>
      <c r="G34" s="21"/>
      <c r="H34" s="28">
        <f t="shared" si="139"/>
        <v>1</v>
      </c>
      <c r="I34" s="21" t="s">
        <v>195</v>
      </c>
      <c r="J34" s="31">
        <f t="shared" si="140"/>
        <v>0</v>
      </c>
      <c r="K34" s="32">
        <f t="shared" si="141"/>
        <v>0</v>
      </c>
      <c r="L34" s="33">
        <v>0</v>
      </c>
      <c r="S34" s="69" t="str">
        <f t="shared" si="142"/>
        <v>OK</v>
      </c>
      <c r="T34" s="17">
        <f t="shared" si="143"/>
        <v>0</v>
      </c>
      <c r="U34" s="17">
        <f t="shared" si="143"/>
        <v>0</v>
      </c>
      <c r="V34" s="17">
        <f t="shared" si="143"/>
        <v>0</v>
      </c>
      <c r="W34" s="17">
        <f t="shared" si="143"/>
        <v>0</v>
      </c>
      <c r="X34" s="17">
        <f t="shared" si="143"/>
        <v>0</v>
      </c>
      <c r="Y34" s="17">
        <f t="shared" si="143"/>
        <v>0</v>
      </c>
      <c r="Z34" s="17">
        <f t="shared" si="143"/>
        <v>0</v>
      </c>
      <c r="AA34" s="17">
        <f t="shared" si="143"/>
        <v>0</v>
      </c>
      <c r="AB34" s="17">
        <f t="shared" si="143"/>
        <v>0</v>
      </c>
      <c r="AC34" s="17">
        <f t="shared" si="143"/>
        <v>0</v>
      </c>
      <c r="AD34" s="17">
        <f t="shared" si="144"/>
        <v>0</v>
      </c>
      <c r="AE34" s="17">
        <f t="shared" si="144"/>
        <v>0</v>
      </c>
      <c r="AF34" s="17">
        <f t="shared" si="144"/>
        <v>0</v>
      </c>
      <c r="AG34" s="17">
        <f t="shared" si="144"/>
        <v>0</v>
      </c>
      <c r="AH34" s="17">
        <f t="shared" si="144"/>
        <v>0</v>
      </c>
      <c r="AI34" s="17">
        <f t="shared" si="144"/>
        <v>0</v>
      </c>
      <c r="AJ34" s="17">
        <f t="shared" si="144"/>
        <v>0</v>
      </c>
      <c r="AK34" s="17">
        <f t="shared" si="144"/>
        <v>0</v>
      </c>
      <c r="AL34" s="17">
        <f t="shared" si="144"/>
        <v>0</v>
      </c>
      <c r="AM34" s="17">
        <f t="shared" si="144"/>
        <v>0</v>
      </c>
      <c r="AN34" s="17">
        <f t="shared" si="145"/>
        <v>0</v>
      </c>
      <c r="AO34" s="17">
        <f t="shared" si="145"/>
        <v>0</v>
      </c>
      <c r="AP34" s="17">
        <f t="shared" si="145"/>
        <v>0</v>
      </c>
      <c r="AQ34" s="17">
        <f t="shared" si="145"/>
        <v>0</v>
      </c>
      <c r="AR34" s="17">
        <f t="shared" si="145"/>
        <v>0</v>
      </c>
      <c r="AS34" s="17">
        <f t="shared" si="145"/>
        <v>0</v>
      </c>
      <c r="AT34" s="17">
        <f t="shared" si="145"/>
        <v>0</v>
      </c>
      <c r="AU34" s="17">
        <f t="shared" si="145"/>
        <v>0</v>
      </c>
      <c r="AV34" s="17">
        <f t="shared" si="145"/>
        <v>0</v>
      </c>
      <c r="AW34" s="17">
        <f t="shared" si="145"/>
        <v>0</v>
      </c>
      <c r="AX34" s="17">
        <f t="shared" si="146"/>
        <v>0</v>
      </c>
      <c r="AY34" s="17">
        <f t="shared" si="146"/>
        <v>0</v>
      </c>
      <c r="AZ34" s="17">
        <f t="shared" si="146"/>
        <v>0</v>
      </c>
      <c r="BA34" s="17">
        <f t="shared" si="146"/>
        <v>0</v>
      </c>
      <c r="BB34" s="17">
        <f t="shared" si="146"/>
        <v>0</v>
      </c>
      <c r="BC34" s="17">
        <f t="shared" si="146"/>
        <v>0</v>
      </c>
      <c r="BD34" s="17">
        <f t="shared" si="146"/>
        <v>0</v>
      </c>
      <c r="BE34" s="17">
        <f t="shared" si="146"/>
        <v>0</v>
      </c>
      <c r="BF34" s="17">
        <f t="shared" si="146"/>
        <v>0</v>
      </c>
      <c r="BG34" s="17">
        <f t="shared" si="146"/>
        <v>0</v>
      </c>
      <c r="BH34" s="17">
        <f t="shared" si="147"/>
        <v>0</v>
      </c>
      <c r="BI34" s="17">
        <f t="shared" si="147"/>
        <v>0</v>
      </c>
      <c r="BJ34" s="17">
        <f t="shared" si="147"/>
        <v>0</v>
      </c>
      <c r="BK34" s="17">
        <f t="shared" si="147"/>
        <v>0</v>
      </c>
      <c r="BL34" s="17">
        <f t="shared" si="147"/>
        <v>0</v>
      </c>
      <c r="BM34" s="17">
        <f t="shared" si="147"/>
        <v>0</v>
      </c>
      <c r="BN34" s="17">
        <f t="shared" si="147"/>
        <v>0</v>
      </c>
      <c r="BO34" s="17">
        <f t="shared" si="147"/>
        <v>0</v>
      </c>
      <c r="BP34" s="17">
        <f t="shared" si="147"/>
        <v>0</v>
      </c>
      <c r="BQ34" s="17">
        <f t="shared" si="147"/>
        <v>0</v>
      </c>
      <c r="BR34" s="17">
        <f t="shared" si="148"/>
        <v>0</v>
      </c>
      <c r="BS34" s="17">
        <f t="shared" si="148"/>
        <v>0</v>
      </c>
      <c r="BT34" s="17">
        <f t="shared" si="148"/>
        <v>0</v>
      </c>
      <c r="BU34" s="17">
        <f t="shared" si="148"/>
        <v>0</v>
      </c>
      <c r="BV34" s="17">
        <f t="shared" si="148"/>
        <v>0</v>
      </c>
      <c r="BW34" s="17">
        <f t="shared" si="148"/>
        <v>0</v>
      </c>
      <c r="BX34" s="17">
        <f t="shared" si="148"/>
        <v>0</v>
      </c>
      <c r="BY34" s="17">
        <f t="shared" si="148"/>
        <v>0</v>
      </c>
      <c r="BZ34" s="17">
        <f t="shared" si="148"/>
        <v>0</v>
      </c>
      <c r="CA34" s="17">
        <f t="shared" si="148"/>
        <v>0</v>
      </c>
      <c r="CB34" s="17">
        <f t="shared" si="149"/>
        <v>0</v>
      </c>
      <c r="CC34" s="17">
        <f t="shared" si="149"/>
        <v>0</v>
      </c>
      <c r="CD34" s="17">
        <f t="shared" si="149"/>
        <v>0</v>
      </c>
      <c r="CE34" s="17">
        <f t="shared" si="149"/>
        <v>0</v>
      </c>
      <c r="CF34" s="17">
        <f t="shared" si="149"/>
        <v>0</v>
      </c>
      <c r="CG34" s="17">
        <f t="shared" si="149"/>
        <v>0</v>
      </c>
      <c r="CH34" s="17">
        <f t="shared" si="149"/>
        <v>0</v>
      </c>
      <c r="CI34" s="17">
        <f t="shared" si="149"/>
        <v>0</v>
      </c>
      <c r="CJ34" s="17">
        <f t="shared" si="149"/>
        <v>0</v>
      </c>
      <c r="CK34" s="17">
        <f t="shared" si="149"/>
        <v>0</v>
      </c>
      <c r="CL34" s="17">
        <f t="shared" si="150"/>
        <v>0</v>
      </c>
      <c r="CM34" s="17">
        <f t="shared" si="150"/>
        <v>0</v>
      </c>
      <c r="CN34" s="17">
        <f t="shared" si="150"/>
        <v>0</v>
      </c>
      <c r="CO34" s="17">
        <f t="shared" si="150"/>
        <v>0</v>
      </c>
      <c r="CP34" s="17">
        <f t="shared" si="150"/>
        <v>0</v>
      </c>
      <c r="CQ34" s="17">
        <f t="shared" si="150"/>
        <v>0</v>
      </c>
      <c r="CR34" s="17">
        <f t="shared" si="150"/>
        <v>0</v>
      </c>
      <c r="CS34" s="17">
        <f t="shared" si="150"/>
        <v>0</v>
      </c>
      <c r="CT34" s="17">
        <f t="shared" si="150"/>
        <v>0</v>
      </c>
      <c r="CU34" s="17">
        <f t="shared" si="150"/>
        <v>0</v>
      </c>
      <c r="CV34" s="17">
        <f t="shared" si="151"/>
        <v>0</v>
      </c>
      <c r="CW34" s="17">
        <f t="shared" si="151"/>
        <v>0</v>
      </c>
      <c r="CX34" s="17">
        <f t="shared" si="151"/>
        <v>0</v>
      </c>
      <c r="CY34" s="17">
        <f t="shared" si="151"/>
        <v>0</v>
      </c>
      <c r="CZ34" s="17">
        <f t="shared" si="151"/>
        <v>0</v>
      </c>
      <c r="DA34" s="17">
        <f t="shared" si="151"/>
        <v>0</v>
      </c>
      <c r="DB34" s="17">
        <f t="shared" si="151"/>
        <v>0</v>
      </c>
      <c r="DC34" s="17">
        <f t="shared" si="151"/>
        <v>0</v>
      </c>
      <c r="DD34" s="17">
        <f t="shared" si="151"/>
        <v>0</v>
      </c>
      <c r="DE34" s="17">
        <f t="shared" si="151"/>
        <v>0</v>
      </c>
      <c r="DF34" s="17">
        <f t="shared" si="152"/>
        <v>0</v>
      </c>
      <c r="DG34" s="17">
        <f t="shared" si="152"/>
        <v>0</v>
      </c>
      <c r="DH34" s="17">
        <f t="shared" si="152"/>
        <v>0</v>
      </c>
      <c r="DI34" s="17">
        <f t="shared" si="152"/>
        <v>0</v>
      </c>
      <c r="DJ34" s="17">
        <f t="shared" si="152"/>
        <v>0</v>
      </c>
      <c r="DK34" s="17">
        <f t="shared" si="152"/>
        <v>0</v>
      </c>
      <c r="DL34" s="17">
        <f t="shared" si="152"/>
        <v>0</v>
      </c>
      <c r="DM34" s="17">
        <f t="shared" si="152"/>
        <v>0</v>
      </c>
      <c r="DN34" s="17">
        <f t="shared" si="152"/>
        <v>0</v>
      </c>
      <c r="DO34" s="17">
        <f t="shared" si="152"/>
        <v>0</v>
      </c>
      <c r="DP34" s="17">
        <f t="shared" si="153"/>
        <v>0</v>
      </c>
      <c r="DQ34" s="17">
        <f t="shared" si="153"/>
        <v>0</v>
      </c>
      <c r="DR34" s="17">
        <f t="shared" si="153"/>
        <v>0</v>
      </c>
      <c r="DS34" s="17">
        <f t="shared" si="153"/>
        <v>0</v>
      </c>
      <c r="DT34" s="17">
        <f t="shared" si="153"/>
        <v>0</v>
      </c>
      <c r="DU34" s="17">
        <f t="shared" si="153"/>
        <v>0</v>
      </c>
      <c r="DV34" s="17">
        <f t="shared" si="153"/>
        <v>0</v>
      </c>
      <c r="DW34" s="17">
        <f t="shared" si="153"/>
        <v>0</v>
      </c>
      <c r="DX34" s="17">
        <f t="shared" si="153"/>
        <v>0</v>
      </c>
      <c r="DY34" s="17">
        <f t="shared" si="153"/>
        <v>0</v>
      </c>
      <c r="DZ34" s="17">
        <f t="shared" si="154"/>
        <v>0</v>
      </c>
      <c r="EA34" s="17">
        <f t="shared" si="154"/>
        <v>0</v>
      </c>
      <c r="EB34" s="17">
        <f t="shared" si="154"/>
        <v>0</v>
      </c>
      <c r="EC34" s="17">
        <f t="shared" si="154"/>
        <v>0</v>
      </c>
      <c r="ED34" s="17">
        <f t="shared" si="154"/>
        <v>0</v>
      </c>
      <c r="EE34" s="17">
        <f t="shared" si="154"/>
        <v>0</v>
      </c>
      <c r="EF34" s="17">
        <f t="shared" si="154"/>
        <v>0</v>
      </c>
      <c r="EG34" s="17">
        <f t="shared" si="154"/>
        <v>0</v>
      </c>
      <c r="EH34" s="17">
        <f t="shared" si="154"/>
        <v>0</v>
      </c>
      <c r="EI34" s="17">
        <f t="shared" si="154"/>
        <v>0</v>
      </c>
      <c r="EJ34" s="17">
        <f t="shared" si="155"/>
        <v>0</v>
      </c>
      <c r="EK34" s="17">
        <f t="shared" si="155"/>
        <v>0</v>
      </c>
      <c r="EL34" s="17">
        <f t="shared" si="155"/>
        <v>0</v>
      </c>
      <c r="EM34" s="17">
        <f t="shared" si="155"/>
        <v>0</v>
      </c>
      <c r="EN34" s="17">
        <f t="shared" si="155"/>
        <v>0</v>
      </c>
      <c r="EO34" s="17">
        <f t="shared" si="155"/>
        <v>0</v>
      </c>
      <c r="EP34" s="17">
        <f t="shared" si="155"/>
        <v>0</v>
      </c>
      <c r="EQ34" s="17">
        <f t="shared" si="155"/>
        <v>0</v>
      </c>
      <c r="ER34" s="17">
        <f t="shared" si="155"/>
        <v>0</v>
      </c>
      <c r="ES34" s="17">
        <f t="shared" si="155"/>
        <v>0</v>
      </c>
      <c r="ET34" s="17">
        <f t="shared" si="156"/>
        <v>0</v>
      </c>
      <c r="EU34" s="17">
        <f t="shared" si="156"/>
        <v>0</v>
      </c>
      <c r="EV34" s="17">
        <f t="shared" si="156"/>
        <v>0</v>
      </c>
      <c r="EW34" s="17">
        <f t="shared" si="156"/>
        <v>0</v>
      </c>
      <c r="EX34" s="17">
        <f t="shared" si="156"/>
        <v>0</v>
      </c>
      <c r="EY34" s="17">
        <f t="shared" si="156"/>
        <v>0</v>
      </c>
      <c r="EZ34" s="17">
        <f t="shared" si="156"/>
        <v>0</v>
      </c>
      <c r="FA34" s="17">
        <f t="shared" si="156"/>
        <v>0</v>
      </c>
      <c r="FB34" s="17">
        <f t="shared" si="156"/>
        <v>0</v>
      </c>
      <c r="FC34" s="17">
        <f t="shared" si="156"/>
        <v>0</v>
      </c>
      <c r="FD34" s="17">
        <f t="shared" si="157"/>
        <v>0</v>
      </c>
      <c r="FE34" s="17">
        <f t="shared" si="157"/>
        <v>0</v>
      </c>
      <c r="FF34" s="17">
        <f t="shared" si="157"/>
        <v>0</v>
      </c>
      <c r="FG34" s="17">
        <f t="shared" si="157"/>
        <v>0</v>
      </c>
      <c r="FH34" s="17">
        <f t="shared" si="157"/>
        <v>0</v>
      </c>
      <c r="FI34" s="17">
        <f t="shared" si="157"/>
        <v>0</v>
      </c>
      <c r="FJ34" s="17">
        <f t="shared" si="157"/>
        <v>0</v>
      </c>
      <c r="FK34" s="17">
        <f t="shared" si="157"/>
        <v>0</v>
      </c>
      <c r="FL34" s="17">
        <f t="shared" si="157"/>
        <v>0</v>
      </c>
      <c r="FM34" s="17">
        <f t="shared" si="157"/>
        <v>0</v>
      </c>
      <c r="FN34" s="17">
        <f t="shared" si="158"/>
        <v>0</v>
      </c>
      <c r="FO34" s="17">
        <f t="shared" si="158"/>
        <v>0</v>
      </c>
      <c r="FP34" s="17">
        <f t="shared" si="158"/>
        <v>0</v>
      </c>
      <c r="FQ34" s="17">
        <f t="shared" si="158"/>
        <v>0</v>
      </c>
      <c r="FR34" s="17">
        <f t="shared" si="158"/>
        <v>0</v>
      </c>
      <c r="FS34" s="17">
        <f t="shared" si="158"/>
        <v>0</v>
      </c>
      <c r="FT34" s="17">
        <f t="shared" si="158"/>
        <v>0</v>
      </c>
      <c r="FU34" s="17">
        <f t="shared" si="158"/>
        <v>0</v>
      </c>
      <c r="FV34" s="17">
        <f t="shared" si="158"/>
        <v>0</v>
      </c>
      <c r="FW34" s="17">
        <f t="shared" si="158"/>
        <v>0</v>
      </c>
      <c r="FX34" s="17">
        <f t="shared" si="159"/>
        <v>0</v>
      </c>
      <c r="FY34" s="17">
        <f t="shared" si="159"/>
        <v>0</v>
      </c>
      <c r="FZ34" s="17">
        <f t="shared" si="159"/>
        <v>0</v>
      </c>
      <c r="GA34" s="17">
        <f t="shared" si="159"/>
        <v>0</v>
      </c>
      <c r="GB34" s="17">
        <f t="shared" si="159"/>
        <v>0</v>
      </c>
      <c r="GC34" s="17">
        <f t="shared" si="159"/>
        <v>0</v>
      </c>
      <c r="GD34" s="17">
        <f t="shared" si="159"/>
        <v>0</v>
      </c>
      <c r="GE34" s="17">
        <f t="shared" si="159"/>
        <v>0</v>
      </c>
      <c r="GF34" s="17">
        <f t="shared" si="159"/>
        <v>0</v>
      </c>
      <c r="GG34" s="17">
        <f t="shared" si="159"/>
        <v>0</v>
      </c>
      <c r="GH34" s="17">
        <f t="shared" si="160"/>
        <v>0</v>
      </c>
      <c r="GI34" s="17">
        <f t="shared" si="160"/>
        <v>0</v>
      </c>
      <c r="GJ34" s="17">
        <f t="shared" si="160"/>
        <v>0</v>
      </c>
      <c r="GK34" s="17">
        <f t="shared" si="160"/>
        <v>0</v>
      </c>
      <c r="GL34" s="17">
        <f t="shared" si="160"/>
        <v>0</v>
      </c>
      <c r="GM34" s="17">
        <f t="shared" si="160"/>
        <v>0</v>
      </c>
      <c r="GN34" s="17">
        <f t="shared" si="160"/>
        <v>0</v>
      </c>
      <c r="GO34" s="17">
        <f t="shared" si="160"/>
        <v>0</v>
      </c>
      <c r="GP34" s="17">
        <f t="shared" si="160"/>
        <v>0</v>
      </c>
      <c r="GQ34" s="17">
        <f t="shared" si="160"/>
        <v>0</v>
      </c>
      <c r="GR34" s="9"/>
      <c r="GS34" s="70" t="str">
        <f t="shared" si="134"/>
        <v>[Item]</v>
      </c>
      <c r="GT34" s="77">
        <f t="shared" si="161"/>
        <v>0</v>
      </c>
      <c r="GU34" s="78">
        <f t="shared" si="135"/>
        <v>1</v>
      </c>
      <c r="GV34" s="78">
        <f t="shared" si="135"/>
        <v>1</v>
      </c>
      <c r="GW34" s="78">
        <f t="shared" si="162"/>
        <v>1</v>
      </c>
      <c r="GX34" s="79">
        <f t="shared" si="163"/>
        <v>0.16666666666666666</v>
      </c>
      <c r="GY34" s="79" t="b">
        <f t="shared" si="164"/>
        <v>1</v>
      </c>
      <c r="GZ34" s="77">
        <f t="shared" si="165"/>
        <v>0</v>
      </c>
      <c r="HA34" s="77">
        <f t="shared" si="166"/>
        <v>0</v>
      </c>
      <c r="HB34" s="77">
        <f t="shared" si="166"/>
        <v>0</v>
      </c>
      <c r="HC34" s="77">
        <f t="shared" si="166"/>
        <v>0</v>
      </c>
      <c r="HD34" s="77">
        <f t="shared" si="166"/>
        <v>0</v>
      </c>
      <c r="HE34" s="77">
        <f t="shared" si="166"/>
        <v>0</v>
      </c>
      <c r="HF34" s="77">
        <f t="shared" si="166"/>
        <v>0</v>
      </c>
      <c r="HG34" s="77">
        <f t="shared" si="166"/>
        <v>0</v>
      </c>
      <c r="HH34" s="77">
        <f t="shared" si="166"/>
        <v>0</v>
      </c>
      <c r="HI34" s="77">
        <f t="shared" si="166"/>
        <v>0</v>
      </c>
      <c r="HJ34" s="77">
        <f t="shared" si="166"/>
        <v>0</v>
      </c>
      <c r="HK34" s="77">
        <f t="shared" si="166"/>
        <v>0</v>
      </c>
      <c r="HL34" s="77">
        <f t="shared" si="166"/>
        <v>0</v>
      </c>
      <c r="HM34" s="77">
        <f t="shared" si="166"/>
        <v>0</v>
      </c>
      <c r="HN34" s="77">
        <f t="shared" si="166"/>
        <v>0</v>
      </c>
      <c r="HO34" s="77">
        <f t="shared" si="166"/>
        <v>0</v>
      </c>
      <c r="HP34" s="77">
        <f t="shared" si="166"/>
        <v>0</v>
      </c>
      <c r="HQ34" s="77">
        <f t="shared" si="167"/>
        <v>0</v>
      </c>
      <c r="HR34" s="77">
        <f t="shared" si="167"/>
        <v>0</v>
      </c>
      <c r="HS34" s="77">
        <f t="shared" si="167"/>
        <v>0</v>
      </c>
      <c r="HT34" s="77">
        <f t="shared" si="167"/>
        <v>0</v>
      </c>
      <c r="HU34" s="77">
        <f t="shared" si="167"/>
        <v>0</v>
      </c>
      <c r="HV34" s="77">
        <f t="shared" si="167"/>
        <v>0</v>
      </c>
      <c r="HW34" s="77">
        <f t="shared" si="167"/>
        <v>0</v>
      </c>
      <c r="HX34" s="77">
        <f t="shared" si="167"/>
        <v>0</v>
      </c>
      <c r="HY34" s="77">
        <f t="shared" si="167"/>
        <v>0</v>
      </c>
      <c r="HZ34" s="77">
        <f t="shared" si="167"/>
        <v>0</v>
      </c>
      <c r="IA34" s="77">
        <f t="shared" si="167"/>
        <v>0</v>
      </c>
      <c r="IB34" s="77">
        <f t="shared" si="167"/>
        <v>0</v>
      </c>
      <c r="IC34" s="77">
        <f t="shared" si="167"/>
        <v>0</v>
      </c>
      <c r="ID34" s="77">
        <f t="shared" si="167"/>
        <v>0</v>
      </c>
      <c r="IE34" s="77">
        <f t="shared" si="167"/>
        <v>0</v>
      </c>
      <c r="IF34" s="77">
        <f t="shared" si="167"/>
        <v>0</v>
      </c>
      <c r="IG34" s="77">
        <f t="shared" si="168"/>
        <v>0</v>
      </c>
      <c r="IH34" s="77">
        <f t="shared" si="168"/>
        <v>0</v>
      </c>
      <c r="II34" s="77">
        <f t="shared" si="168"/>
        <v>0</v>
      </c>
      <c r="IJ34" s="77">
        <f t="shared" si="168"/>
        <v>0</v>
      </c>
      <c r="IK34" s="77">
        <f t="shared" si="168"/>
        <v>0</v>
      </c>
      <c r="IL34" s="77">
        <f t="shared" si="168"/>
        <v>0</v>
      </c>
      <c r="IM34" s="77">
        <f t="shared" si="168"/>
        <v>0</v>
      </c>
      <c r="IN34" s="77">
        <f t="shared" si="168"/>
        <v>0</v>
      </c>
      <c r="IO34" s="77">
        <f t="shared" si="168"/>
        <v>0</v>
      </c>
      <c r="IP34" s="77">
        <f t="shared" si="168"/>
        <v>0</v>
      </c>
      <c r="IQ34" s="77">
        <f t="shared" si="168"/>
        <v>0</v>
      </c>
      <c r="IR34" s="77">
        <f t="shared" si="168"/>
        <v>0</v>
      </c>
      <c r="IS34" s="77">
        <f t="shared" si="168"/>
        <v>0</v>
      </c>
      <c r="IT34" s="77">
        <f t="shared" si="168"/>
        <v>0</v>
      </c>
      <c r="IU34" s="77">
        <f t="shared" si="168"/>
        <v>0</v>
      </c>
      <c r="IV34" s="77">
        <f t="shared" si="168"/>
        <v>0</v>
      </c>
      <c r="IW34" s="77">
        <f t="shared" si="169"/>
        <v>0</v>
      </c>
      <c r="IX34" s="77">
        <f t="shared" si="169"/>
        <v>0</v>
      </c>
      <c r="IY34" s="77">
        <f t="shared" si="169"/>
        <v>0</v>
      </c>
      <c r="IZ34" s="77">
        <f t="shared" si="169"/>
        <v>0</v>
      </c>
      <c r="JA34" s="77">
        <f t="shared" si="169"/>
        <v>0</v>
      </c>
      <c r="JB34" s="77">
        <f t="shared" si="169"/>
        <v>0</v>
      </c>
      <c r="JC34" s="77">
        <f t="shared" si="169"/>
        <v>0</v>
      </c>
      <c r="JD34" s="77">
        <f t="shared" si="169"/>
        <v>0</v>
      </c>
      <c r="JE34" s="77">
        <f t="shared" si="169"/>
        <v>0</v>
      </c>
      <c r="JF34" s="77">
        <f t="shared" si="169"/>
        <v>0</v>
      </c>
      <c r="JG34" s="77">
        <f t="shared" si="169"/>
        <v>0</v>
      </c>
      <c r="JH34" s="77">
        <f t="shared" si="169"/>
        <v>0</v>
      </c>
      <c r="JI34" s="77">
        <f t="shared" si="169"/>
        <v>0</v>
      </c>
      <c r="JJ34" s="77">
        <f t="shared" si="169"/>
        <v>0</v>
      </c>
      <c r="JK34" s="77">
        <f t="shared" si="169"/>
        <v>0</v>
      </c>
      <c r="JL34" s="77">
        <f t="shared" si="169"/>
        <v>0</v>
      </c>
      <c r="JM34" s="77">
        <f t="shared" si="170"/>
        <v>0</v>
      </c>
      <c r="JN34" s="77">
        <f t="shared" si="170"/>
        <v>0</v>
      </c>
      <c r="JO34" s="77">
        <f t="shared" si="170"/>
        <v>0</v>
      </c>
      <c r="JP34" s="77">
        <f t="shared" si="170"/>
        <v>0</v>
      </c>
      <c r="JQ34" s="77">
        <f t="shared" si="170"/>
        <v>0</v>
      </c>
      <c r="JR34" s="77">
        <f t="shared" si="170"/>
        <v>0</v>
      </c>
      <c r="JS34" s="77">
        <f t="shared" si="170"/>
        <v>0</v>
      </c>
      <c r="JT34" s="77">
        <f t="shared" si="170"/>
        <v>0</v>
      </c>
      <c r="JU34" s="77">
        <f t="shared" si="170"/>
        <v>0</v>
      </c>
      <c r="JV34" s="77">
        <f t="shared" si="170"/>
        <v>0</v>
      </c>
      <c r="JW34" s="77">
        <f t="shared" si="170"/>
        <v>0</v>
      </c>
      <c r="JX34" s="77">
        <f t="shared" si="170"/>
        <v>0</v>
      </c>
      <c r="JY34" s="77">
        <f t="shared" si="170"/>
        <v>0</v>
      </c>
      <c r="JZ34" s="77">
        <f t="shared" si="170"/>
        <v>0</v>
      </c>
      <c r="KA34" s="77">
        <f t="shared" si="170"/>
        <v>0</v>
      </c>
      <c r="KB34" s="77">
        <f t="shared" si="170"/>
        <v>0</v>
      </c>
      <c r="KC34" s="77">
        <f t="shared" si="171"/>
        <v>0</v>
      </c>
      <c r="KD34" s="77">
        <f t="shared" si="171"/>
        <v>0</v>
      </c>
      <c r="KE34" s="77">
        <f t="shared" si="171"/>
        <v>0</v>
      </c>
      <c r="KF34" s="77">
        <f t="shared" si="171"/>
        <v>0</v>
      </c>
      <c r="KG34" s="77">
        <f t="shared" si="171"/>
        <v>0</v>
      </c>
      <c r="KH34" s="77">
        <f t="shared" si="171"/>
        <v>0</v>
      </c>
      <c r="KI34" s="77">
        <f t="shared" si="171"/>
        <v>0</v>
      </c>
      <c r="KJ34" s="77">
        <f t="shared" si="171"/>
        <v>0</v>
      </c>
      <c r="KK34" s="77">
        <f t="shared" si="171"/>
        <v>0</v>
      </c>
      <c r="KL34" s="77">
        <f t="shared" si="171"/>
        <v>0</v>
      </c>
      <c r="KM34" s="77">
        <f t="shared" si="171"/>
        <v>0</v>
      </c>
      <c r="KN34" s="77">
        <f t="shared" si="171"/>
        <v>0</v>
      </c>
      <c r="KO34" s="77">
        <f t="shared" si="171"/>
        <v>0</v>
      </c>
      <c r="KP34" s="77">
        <f t="shared" si="171"/>
        <v>0</v>
      </c>
      <c r="KQ34" s="77">
        <f t="shared" si="171"/>
        <v>0</v>
      </c>
      <c r="KR34" s="77">
        <f t="shared" si="171"/>
        <v>0</v>
      </c>
      <c r="KS34" s="77">
        <f t="shared" si="172"/>
        <v>0</v>
      </c>
      <c r="KT34" s="77">
        <f t="shared" si="172"/>
        <v>0</v>
      </c>
      <c r="KU34" s="77">
        <f t="shared" si="172"/>
        <v>0</v>
      </c>
      <c r="KV34" s="77">
        <f t="shared" si="172"/>
        <v>0</v>
      </c>
      <c r="KW34" s="77">
        <f t="shared" si="172"/>
        <v>0</v>
      </c>
      <c r="KX34" s="77">
        <f t="shared" si="172"/>
        <v>0</v>
      </c>
      <c r="KY34" s="77">
        <f t="shared" si="172"/>
        <v>0</v>
      </c>
      <c r="KZ34" s="77">
        <f t="shared" si="172"/>
        <v>0</v>
      </c>
      <c r="LA34" s="77">
        <f t="shared" si="172"/>
        <v>0</v>
      </c>
      <c r="LB34" s="77">
        <f t="shared" si="172"/>
        <v>0</v>
      </c>
      <c r="LC34" s="77">
        <f t="shared" si="172"/>
        <v>0</v>
      </c>
      <c r="LD34" s="77">
        <f t="shared" si="172"/>
        <v>0</v>
      </c>
      <c r="LE34" s="77">
        <f t="shared" si="172"/>
        <v>0</v>
      </c>
      <c r="LF34" s="77">
        <f t="shared" si="172"/>
        <v>0</v>
      </c>
      <c r="LG34" s="77">
        <f t="shared" si="172"/>
        <v>0</v>
      </c>
      <c r="LH34" s="77">
        <f t="shared" si="172"/>
        <v>0</v>
      </c>
      <c r="LI34" s="77">
        <f t="shared" si="173"/>
        <v>0</v>
      </c>
      <c r="LJ34" s="77">
        <f t="shared" si="173"/>
        <v>0</v>
      </c>
      <c r="LK34" s="77">
        <f t="shared" si="173"/>
        <v>0</v>
      </c>
      <c r="LL34" s="77">
        <f t="shared" si="173"/>
        <v>0</v>
      </c>
      <c r="LM34" s="77">
        <f t="shared" si="173"/>
        <v>0</v>
      </c>
      <c r="LN34" s="77">
        <f t="shared" si="173"/>
        <v>0</v>
      </c>
      <c r="LO34" s="77">
        <f t="shared" si="173"/>
        <v>0</v>
      </c>
      <c r="LP34" s="77">
        <f t="shared" si="173"/>
        <v>0</v>
      </c>
      <c r="LQ34" s="77">
        <f t="shared" si="173"/>
        <v>0</v>
      </c>
      <c r="LR34" s="77">
        <f t="shared" si="173"/>
        <v>0</v>
      </c>
      <c r="LS34" s="77">
        <f t="shared" si="173"/>
        <v>0</v>
      </c>
      <c r="LT34" s="77">
        <f t="shared" si="173"/>
        <v>0</v>
      </c>
      <c r="LU34" s="77">
        <f t="shared" si="173"/>
        <v>0</v>
      </c>
      <c r="LV34" s="77">
        <f t="shared" si="173"/>
        <v>0</v>
      </c>
      <c r="LW34" s="77">
        <f t="shared" si="173"/>
        <v>0</v>
      </c>
      <c r="LX34" s="77">
        <f t="shared" si="173"/>
        <v>0</v>
      </c>
      <c r="LY34" s="77">
        <f t="shared" si="174"/>
        <v>0</v>
      </c>
      <c r="LZ34" s="77">
        <f t="shared" si="174"/>
        <v>0</v>
      </c>
      <c r="MA34" s="77">
        <f t="shared" si="174"/>
        <v>0</v>
      </c>
      <c r="MB34" s="77">
        <f t="shared" si="174"/>
        <v>0</v>
      </c>
      <c r="MC34" s="77">
        <f t="shared" si="174"/>
        <v>0</v>
      </c>
      <c r="MD34" s="77">
        <f t="shared" si="174"/>
        <v>0</v>
      </c>
      <c r="ME34" s="77">
        <f t="shared" si="174"/>
        <v>0</v>
      </c>
      <c r="MF34" s="77">
        <f t="shared" si="174"/>
        <v>0</v>
      </c>
      <c r="MG34" s="77">
        <f t="shared" si="174"/>
        <v>0</v>
      </c>
      <c r="MH34" s="77">
        <f t="shared" si="174"/>
        <v>0</v>
      </c>
      <c r="MI34" s="77">
        <f t="shared" si="174"/>
        <v>0</v>
      </c>
      <c r="MJ34" s="77">
        <f t="shared" si="174"/>
        <v>0</v>
      </c>
      <c r="MK34" s="77">
        <f t="shared" si="174"/>
        <v>0</v>
      </c>
      <c r="ML34" s="77">
        <f t="shared" si="174"/>
        <v>0</v>
      </c>
      <c r="MM34" s="77">
        <f t="shared" si="174"/>
        <v>0</v>
      </c>
      <c r="MN34" s="77">
        <f t="shared" si="174"/>
        <v>0</v>
      </c>
      <c r="MO34" s="77">
        <f t="shared" si="175"/>
        <v>0</v>
      </c>
      <c r="MP34" s="77">
        <f t="shared" si="175"/>
        <v>0</v>
      </c>
      <c r="MQ34" s="77">
        <f t="shared" si="175"/>
        <v>0</v>
      </c>
      <c r="MR34" s="77">
        <f t="shared" si="175"/>
        <v>0</v>
      </c>
      <c r="MS34" s="77">
        <f t="shared" si="175"/>
        <v>0</v>
      </c>
      <c r="MT34" s="77">
        <f t="shared" si="175"/>
        <v>0</v>
      </c>
      <c r="MU34" s="77">
        <f t="shared" si="175"/>
        <v>0</v>
      </c>
      <c r="MV34" s="77">
        <f t="shared" si="175"/>
        <v>0</v>
      </c>
      <c r="MW34" s="77">
        <f t="shared" si="175"/>
        <v>0</v>
      </c>
      <c r="MX34" s="77">
        <f t="shared" si="175"/>
        <v>0</v>
      </c>
      <c r="MY34" s="77">
        <f t="shared" si="175"/>
        <v>0</v>
      </c>
      <c r="MZ34" s="77">
        <f t="shared" si="175"/>
        <v>0</v>
      </c>
      <c r="NA34" s="77">
        <f t="shared" si="175"/>
        <v>0</v>
      </c>
      <c r="NB34" s="77">
        <f t="shared" si="175"/>
        <v>0</v>
      </c>
      <c r="NC34" s="77">
        <f t="shared" si="175"/>
        <v>0</v>
      </c>
      <c r="ND34" s="77">
        <f t="shared" si="175"/>
        <v>0</v>
      </c>
      <c r="NE34" s="77">
        <f t="shared" si="176"/>
        <v>0</v>
      </c>
      <c r="NF34" s="77">
        <f t="shared" si="176"/>
        <v>0</v>
      </c>
      <c r="NG34" s="77">
        <f t="shared" si="176"/>
        <v>0</v>
      </c>
      <c r="NH34" s="77">
        <f t="shared" si="176"/>
        <v>0</v>
      </c>
      <c r="NI34" s="77">
        <f t="shared" si="176"/>
        <v>0</v>
      </c>
      <c r="NJ34" s="77">
        <f t="shared" si="176"/>
        <v>0</v>
      </c>
      <c r="NK34" s="77">
        <f t="shared" si="176"/>
        <v>0</v>
      </c>
      <c r="NL34" s="77">
        <f t="shared" si="176"/>
        <v>0</v>
      </c>
      <c r="NM34" s="77">
        <f t="shared" si="176"/>
        <v>0</v>
      </c>
      <c r="NN34" s="77">
        <f t="shared" si="176"/>
        <v>0</v>
      </c>
      <c r="NO34" s="77">
        <f t="shared" si="176"/>
        <v>0</v>
      </c>
      <c r="NP34" s="77">
        <f t="shared" si="176"/>
        <v>0</v>
      </c>
      <c r="NQ34" s="77">
        <f t="shared" si="176"/>
        <v>0</v>
      </c>
      <c r="NR34" s="77">
        <f t="shared" si="176"/>
        <v>0</v>
      </c>
      <c r="NS34" s="77">
        <f t="shared" si="176"/>
        <v>0</v>
      </c>
      <c r="NT34" s="77">
        <f t="shared" si="176"/>
        <v>0</v>
      </c>
      <c r="NU34" s="77">
        <f t="shared" si="177"/>
        <v>0</v>
      </c>
      <c r="NV34" s="77">
        <f t="shared" si="177"/>
        <v>0</v>
      </c>
      <c r="NW34" s="77">
        <f t="shared" si="177"/>
        <v>0</v>
      </c>
      <c r="NX34" s="10"/>
    </row>
    <row r="35" spans="2:388" x14ac:dyDescent="0.3">
      <c r="B35" s="18" t="str">
        <f>"Total "&amp;B29</f>
        <v>Total Hard Costs (Vertical)</v>
      </c>
      <c r="C35" s="18"/>
      <c r="D35" s="19"/>
      <c r="E35" s="34">
        <f>MIN(E30:E34)</f>
        <v>1</v>
      </c>
      <c r="F35" s="34">
        <f>MAX(F30:F34)</f>
        <v>29</v>
      </c>
      <c r="G35" s="19"/>
      <c r="H35" s="28">
        <f t="shared" si="139"/>
        <v>29</v>
      </c>
      <c r="I35" s="19"/>
      <c r="J35" s="23">
        <f>SUM(J30:J34)</f>
        <v>3458.152173913044</v>
      </c>
      <c r="K35" s="29">
        <f>SUM(K30:K34)</f>
        <v>0.45711206896551732</v>
      </c>
      <c r="L35" s="23">
        <f>SUM(L30:L34)</f>
        <v>795375</v>
      </c>
      <c r="S35" s="69" t="str">
        <f t="shared" si="142"/>
        <v>OK</v>
      </c>
      <c r="T35" s="16">
        <f t="shared" ref="T35:AY35" si="179">SUM(T30:T34)</f>
        <v>37875</v>
      </c>
      <c r="U35" s="16">
        <f t="shared" si="179"/>
        <v>0</v>
      </c>
      <c r="V35" s="16">
        <f t="shared" si="179"/>
        <v>0</v>
      </c>
      <c r="W35" s="16">
        <f t="shared" si="179"/>
        <v>0</v>
      </c>
      <c r="X35" s="16">
        <f t="shared" si="179"/>
        <v>0</v>
      </c>
      <c r="Y35" s="16">
        <f t="shared" si="179"/>
        <v>0</v>
      </c>
      <c r="Z35" s="16">
        <f t="shared" si="179"/>
        <v>0</v>
      </c>
      <c r="AA35" s="16">
        <f t="shared" si="179"/>
        <v>47613.636363636368</v>
      </c>
      <c r="AB35" s="16">
        <f t="shared" si="179"/>
        <v>47613.636363636368</v>
      </c>
      <c r="AC35" s="16">
        <f t="shared" si="179"/>
        <v>8363.636363636364</v>
      </c>
      <c r="AD35" s="16">
        <f t="shared" si="179"/>
        <v>8363.636363636364</v>
      </c>
      <c r="AE35" s="16">
        <f t="shared" si="179"/>
        <v>8363.636363636364</v>
      </c>
      <c r="AF35" s="16">
        <f t="shared" si="179"/>
        <v>8363.636363636364</v>
      </c>
      <c r="AG35" s="16">
        <f t="shared" si="179"/>
        <v>8363.636363636364</v>
      </c>
      <c r="AH35" s="16">
        <f t="shared" si="179"/>
        <v>8363.636363636364</v>
      </c>
      <c r="AI35" s="16">
        <f t="shared" si="179"/>
        <v>8363.636363636364</v>
      </c>
      <c r="AJ35" s="16">
        <f t="shared" si="179"/>
        <v>8363.636363636364</v>
      </c>
      <c r="AK35" s="16">
        <f t="shared" si="179"/>
        <v>8363.636363636364</v>
      </c>
      <c r="AL35" s="16">
        <f t="shared" si="179"/>
        <v>8363.636363636364</v>
      </c>
      <c r="AM35" s="16">
        <f t="shared" si="179"/>
        <v>63363.636363636368</v>
      </c>
      <c r="AN35" s="16">
        <f t="shared" si="179"/>
        <v>63363.636363636368</v>
      </c>
      <c r="AO35" s="16">
        <f t="shared" si="179"/>
        <v>63363.636363636368</v>
      </c>
      <c r="AP35" s="16">
        <f t="shared" si="179"/>
        <v>63363.636363636368</v>
      </c>
      <c r="AQ35" s="16">
        <f t="shared" si="179"/>
        <v>63363.636363636368</v>
      </c>
      <c r="AR35" s="16">
        <f t="shared" si="179"/>
        <v>63363.636363636368</v>
      </c>
      <c r="AS35" s="16">
        <f t="shared" si="179"/>
        <v>63363.636363636368</v>
      </c>
      <c r="AT35" s="16">
        <f t="shared" si="179"/>
        <v>63363.636363636368</v>
      </c>
      <c r="AU35" s="16">
        <f t="shared" si="179"/>
        <v>63363.636363636368</v>
      </c>
      <c r="AV35" s="16">
        <f t="shared" si="179"/>
        <v>8363.636363636364</v>
      </c>
      <c r="AW35" s="16">
        <f t="shared" si="179"/>
        <v>0</v>
      </c>
      <c r="AX35" s="16">
        <f t="shared" si="179"/>
        <v>0</v>
      </c>
      <c r="AY35" s="16">
        <f t="shared" si="179"/>
        <v>0</v>
      </c>
      <c r="AZ35" s="16">
        <f t="shared" ref="AZ35:CE35" si="180">SUM(AZ30:AZ34)</f>
        <v>0</v>
      </c>
      <c r="BA35" s="16">
        <f t="shared" si="180"/>
        <v>0</v>
      </c>
      <c r="BB35" s="16">
        <f t="shared" si="180"/>
        <v>0</v>
      </c>
      <c r="BC35" s="16">
        <f t="shared" si="180"/>
        <v>0</v>
      </c>
      <c r="BD35" s="16">
        <f t="shared" si="180"/>
        <v>0</v>
      </c>
      <c r="BE35" s="16">
        <f t="shared" si="180"/>
        <v>0</v>
      </c>
      <c r="BF35" s="16">
        <f t="shared" si="180"/>
        <v>0</v>
      </c>
      <c r="BG35" s="16">
        <f t="shared" si="180"/>
        <v>0</v>
      </c>
      <c r="BH35" s="16">
        <f t="shared" si="180"/>
        <v>0</v>
      </c>
      <c r="BI35" s="16">
        <f t="shared" si="180"/>
        <v>0</v>
      </c>
      <c r="BJ35" s="16">
        <f t="shared" si="180"/>
        <v>0</v>
      </c>
      <c r="BK35" s="16">
        <f t="shared" si="180"/>
        <v>0</v>
      </c>
      <c r="BL35" s="16">
        <f t="shared" si="180"/>
        <v>0</v>
      </c>
      <c r="BM35" s="16">
        <f t="shared" si="180"/>
        <v>0</v>
      </c>
      <c r="BN35" s="16">
        <f t="shared" si="180"/>
        <v>0</v>
      </c>
      <c r="BO35" s="16">
        <f t="shared" si="180"/>
        <v>0</v>
      </c>
      <c r="BP35" s="16">
        <f t="shared" si="180"/>
        <v>0</v>
      </c>
      <c r="BQ35" s="16">
        <f t="shared" si="180"/>
        <v>0</v>
      </c>
      <c r="BR35" s="16">
        <f t="shared" si="180"/>
        <v>0</v>
      </c>
      <c r="BS35" s="16">
        <f t="shared" si="180"/>
        <v>0</v>
      </c>
      <c r="BT35" s="16">
        <f t="shared" si="180"/>
        <v>0</v>
      </c>
      <c r="BU35" s="16">
        <f t="shared" si="180"/>
        <v>0</v>
      </c>
      <c r="BV35" s="16">
        <f t="shared" si="180"/>
        <v>0</v>
      </c>
      <c r="BW35" s="16">
        <f t="shared" si="180"/>
        <v>0</v>
      </c>
      <c r="BX35" s="16">
        <f t="shared" si="180"/>
        <v>0</v>
      </c>
      <c r="BY35" s="16">
        <f t="shared" si="180"/>
        <v>0</v>
      </c>
      <c r="BZ35" s="16">
        <f t="shared" si="180"/>
        <v>0</v>
      </c>
      <c r="CA35" s="16">
        <f t="shared" si="180"/>
        <v>0</v>
      </c>
      <c r="CB35" s="16">
        <f t="shared" si="180"/>
        <v>0</v>
      </c>
      <c r="CC35" s="16">
        <f t="shared" si="180"/>
        <v>0</v>
      </c>
      <c r="CD35" s="16">
        <f t="shared" si="180"/>
        <v>0</v>
      </c>
      <c r="CE35" s="16">
        <f t="shared" si="180"/>
        <v>0</v>
      </c>
      <c r="CF35" s="16">
        <f t="shared" ref="CF35:DK35" si="181">SUM(CF30:CF34)</f>
        <v>0</v>
      </c>
      <c r="CG35" s="16">
        <f t="shared" si="181"/>
        <v>0</v>
      </c>
      <c r="CH35" s="16">
        <f t="shared" si="181"/>
        <v>0</v>
      </c>
      <c r="CI35" s="16">
        <f t="shared" si="181"/>
        <v>0</v>
      </c>
      <c r="CJ35" s="16">
        <f t="shared" si="181"/>
        <v>0</v>
      </c>
      <c r="CK35" s="16">
        <f t="shared" si="181"/>
        <v>0</v>
      </c>
      <c r="CL35" s="16">
        <f t="shared" si="181"/>
        <v>0</v>
      </c>
      <c r="CM35" s="16">
        <f t="shared" si="181"/>
        <v>0</v>
      </c>
      <c r="CN35" s="16">
        <f t="shared" si="181"/>
        <v>0</v>
      </c>
      <c r="CO35" s="16">
        <f t="shared" si="181"/>
        <v>0</v>
      </c>
      <c r="CP35" s="16">
        <f t="shared" si="181"/>
        <v>0</v>
      </c>
      <c r="CQ35" s="16">
        <f t="shared" si="181"/>
        <v>0</v>
      </c>
      <c r="CR35" s="16">
        <f t="shared" si="181"/>
        <v>0</v>
      </c>
      <c r="CS35" s="16">
        <f t="shared" si="181"/>
        <v>0</v>
      </c>
      <c r="CT35" s="16">
        <f t="shared" si="181"/>
        <v>0</v>
      </c>
      <c r="CU35" s="16">
        <f t="shared" si="181"/>
        <v>0</v>
      </c>
      <c r="CV35" s="16">
        <f t="shared" si="181"/>
        <v>0</v>
      </c>
      <c r="CW35" s="16">
        <f t="shared" si="181"/>
        <v>0</v>
      </c>
      <c r="CX35" s="16">
        <f t="shared" si="181"/>
        <v>0</v>
      </c>
      <c r="CY35" s="16">
        <f t="shared" si="181"/>
        <v>0</v>
      </c>
      <c r="CZ35" s="16">
        <f t="shared" si="181"/>
        <v>0</v>
      </c>
      <c r="DA35" s="16">
        <f t="shared" si="181"/>
        <v>0</v>
      </c>
      <c r="DB35" s="16">
        <f t="shared" si="181"/>
        <v>0</v>
      </c>
      <c r="DC35" s="16">
        <f t="shared" si="181"/>
        <v>0</v>
      </c>
      <c r="DD35" s="16">
        <f t="shared" si="181"/>
        <v>0</v>
      </c>
      <c r="DE35" s="16">
        <f t="shared" si="181"/>
        <v>0</v>
      </c>
      <c r="DF35" s="16">
        <f t="shared" si="181"/>
        <v>0</v>
      </c>
      <c r="DG35" s="16">
        <f t="shared" si="181"/>
        <v>0</v>
      </c>
      <c r="DH35" s="16">
        <f t="shared" si="181"/>
        <v>0</v>
      </c>
      <c r="DI35" s="16">
        <f t="shared" si="181"/>
        <v>0</v>
      </c>
      <c r="DJ35" s="16">
        <f t="shared" si="181"/>
        <v>0</v>
      </c>
      <c r="DK35" s="16">
        <f t="shared" si="181"/>
        <v>0</v>
      </c>
      <c r="DL35" s="16">
        <f t="shared" ref="DL35:EQ35" si="182">SUM(DL30:DL34)</f>
        <v>0</v>
      </c>
      <c r="DM35" s="16">
        <f t="shared" si="182"/>
        <v>0</v>
      </c>
      <c r="DN35" s="16">
        <f t="shared" si="182"/>
        <v>0</v>
      </c>
      <c r="DO35" s="16">
        <f t="shared" si="182"/>
        <v>0</v>
      </c>
      <c r="DP35" s="16">
        <f t="shared" si="182"/>
        <v>0</v>
      </c>
      <c r="DQ35" s="16">
        <f t="shared" si="182"/>
        <v>0</v>
      </c>
      <c r="DR35" s="16">
        <f t="shared" si="182"/>
        <v>0</v>
      </c>
      <c r="DS35" s="16">
        <f t="shared" si="182"/>
        <v>0</v>
      </c>
      <c r="DT35" s="16">
        <f t="shared" si="182"/>
        <v>0</v>
      </c>
      <c r="DU35" s="16">
        <f t="shared" si="182"/>
        <v>0</v>
      </c>
      <c r="DV35" s="16">
        <f t="shared" si="182"/>
        <v>0</v>
      </c>
      <c r="DW35" s="16">
        <f t="shared" si="182"/>
        <v>0</v>
      </c>
      <c r="DX35" s="16">
        <f t="shared" si="182"/>
        <v>0</v>
      </c>
      <c r="DY35" s="16">
        <f t="shared" si="182"/>
        <v>0</v>
      </c>
      <c r="DZ35" s="16">
        <f t="shared" si="182"/>
        <v>0</v>
      </c>
      <c r="EA35" s="16">
        <f t="shared" si="182"/>
        <v>0</v>
      </c>
      <c r="EB35" s="16">
        <f t="shared" si="182"/>
        <v>0</v>
      </c>
      <c r="EC35" s="16">
        <f t="shared" si="182"/>
        <v>0</v>
      </c>
      <c r="ED35" s="16">
        <f t="shared" si="182"/>
        <v>0</v>
      </c>
      <c r="EE35" s="16">
        <f t="shared" si="182"/>
        <v>0</v>
      </c>
      <c r="EF35" s="16">
        <f t="shared" si="182"/>
        <v>0</v>
      </c>
      <c r="EG35" s="16">
        <f t="shared" si="182"/>
        <v>0</v>
      </c>
      <c r="EH35" s="16">
        <f t="shared" si="182"/>
        <v>0</v>
      </c>
      <c r="EI35" s="16">
        <f t="shared" si="182"/>
        <v>0</v>
      </c>
      <c r="EJ35" s="16">
        <f t="shared" si="182"/>
        <v>0</v>
      </c>
      <c r="EK35" s="16">
        <f t="shared" si="182"/>
        <v>0</v>
      </c>
      <c r="EL35" s="16">
        <f t="shared" si="182"/>
        <v>0</v>
      </c>
      <c r="EM35" s="16">
        <f t="shared" si="182"/>
        <v>0</v>
      </c>
      <c r="EN35" s="16">
        <f t="shared" si="182"/>
        <v>0</v>
      </c>
      <c r="EO35" s="16">
        <f t="shared" si="182"/>
        <v>0</v>
      </c>
      <c r="EP35" s="16">
        <f t="shared" si="182"/>
        <v>0</v>
      </c>
      <c r="EQ35" s="16">
        <f t="shared" si="182"/>
        <v>0</v>
      </c>
      <c r="ER35" s="16">
        <f t="shared" ref="ER35:FW35" si="183">SUM(ER30:ER34)</f>
        <v>0</v>
      </c>
      <c r="ES35" s="16">
        <f t="shared" si="183"/>
        <v>0</v>
      </c>
      <c r="ET35" s="16">
        <f t="shared" si="183"/>
        <v>0</v>
      </c>
      <c r="EU35" s="16">
        <f t="shared" si="183"/>
        <v>0</v>
      </c>
      <c r="EV35" s="16">
        <f t="shared" si="183"/>
        <v>0</v>
      </c>
      <c r="EW35" s="16">
        <f t="shared" si="183"/>
        <v>0</v>
      </c>
      <c r="EX35" s="16">
        <f t="shared" si="183"/>
        <v>0</v>
      </c>
      <c r="EY35" s="16">
        <f t="shared" si="183"/>
        <v>0</v>
      </c>
      <c r="EZ35" s="16">
        <f t="shared" si="183"/>
        <v>0</v>
      </c>
      <c r="FA35" s="16">
        <f t="shared" si="183"/>
        <v>0</v>
      </c>
      <c r="FB35" s="16">
        <f t="shared" si="183"/>
        <v>0</v>
      </c>
      <c r="FC35" s="16">
        <f t="shared" si="183"/>
        <v>0</v>
      </c>
      <c r="FD35" s="16">
        <f t="shared" si="183"/>
        <v>0</v>
      </c>
      <c r="FE35" s="16">
        <f t="shared" si="183"/>
        <v>0</v>
      </c>
      <c r="FF35" s="16">
        <f t="shared" si="183"/>
        <v>0</v>
      </c>
      <c r="FG35" s="16">
        <f t="shared" si="183"/>
        <v>0</v>
      </c>
      <c r="FH35" s="16">
        <f t="shared" si="183"/>
        <v>0</v>
      </c>
      <c r="FI35" s="16">
        <f t="shared" si="183"/>
        <v>0</v>
      </c>
      <c r="FJ35" s="16">
        <f t="shared" si="183"/>
        <v>0</v>
      </c>
      <c r="FK35" s="16">
        <f t="shared" si="183"/>
        <v>0</v>
      </c>
      <c r="FL35" s="16">
        <f t="shared" si="183"/>
        <v>0</v>
      </c>
      <c r="FM35" s="16">
        <f t="shared" si="183"/>
        <v>0</v>
      </c>
      <c r="FN35" s="16">
        <f t="shared" si="183"/>
        <v>0</v>
      </c>
      <c r="FO35" s="16">
        <f t="shared" si="183"/>
        <v>0</v>
      </c>
      <c r="FP35" s="16">
        <f t="shared" si="183"/>
        <v>0</v>
      </c>
      <c r="FQ35" s="16">
        <f t="shared" si="183"/>
        <v>0</v>
      </c>
      <c r="FR35" s="16">
        <f t="shared" si="183"/>
        <v>0</v>
      </c>
      <c r="FS35" s="16">
        <f t="shared" si="183"/>
        <v>0</v>
      </c>
      <c r="FT35" s="16">
        <f t="shared" si="183"/>
        <v>0</v>
      </c>
      <c r="FU35" s="16">
        <f t="shared" si="183"/>
        <v>0</v>
      </c>
      <c r="FV35" s="16">
        <f t="shared" si="183"/>
        <v>0</v>
      </c>
      <c r="FW35" s="16">
        <f t="shared" si="183"/>
        <v>0</v>
      </c>
      <c r="FX35" s="16">
        <f t="shared" ref="FX35:GQ35" si="184">SUM(FX30:FX34)</f>
        <v>0</v>
      </c>
      <c r="FY35" s="16">
        <f t="shared" si="184"/>
        <v>0</v>
      </c>
      <c r="FZ35" s="16">
        <f t="shared" si="184"/>
        <v>0</v>
      </c>
      <c r="GA35" s="16">
        <f t="shared" si="184"/>
        <v>0</v>
      </c>
      <c r="GB35" s="16">
        <f t="shared" si="184"/>
        <v>0</v>
      </c>
      <c r="GC35" s="16">
        <f t="shared" si="184"/>
        <v>0</v>
      </c>
      <c r="GD35" s="16">
        <f t="shared" si="184"/>
        <v>0</v>
      </c>
      <c r="GE35" s="16">
        <f t="shared" si="184"/>
        <v>0</v>
      </c>
      <c r="GF35" s="16">
        <f t="shared" si="184"/>
        <v>0</v>
      </c>
      <c r="GG35" s="16">
        <f t="shared" si="184"/>
        <v>0</v>
      </c>
      <c r="GH35" s="16">
        <f t="shared" si="184"/>
        <v>0</v>
      </c>
      <c r="GI35" s="16">
        <f t="shared" si="184"/>
        <v>0</v>
      </c>
      <c r="GJ35" s="16">
        <f t="shared" si="184"/>
        <v>0</v>
      </c>
      <c r="GK35" s="16">
        <f t="shared" si="184"/>
        <v>0</v>
      </c>
      <c r="GL35" s="16">
        <f t="shared" si="184"/>
        <v>0</v>
      </c>
      <c r="GM35" s="16">
        <f t="shared" si="184"/>
        <v>0</v>
      </c>
      <c r="GN35" s="16">
        <f t="shared" si="184"/>
        <v>0</v>
      </c>
      <c r="GO35" s="16">
        <f t="shared" si="184"/>
        <v>0</v>
      </c>
      <c r="GP35" s="16">
        <f t="shared" si="184"/>
        <v>0</v>
      </c>
      <c r="GQ35" s="16">
        <f t="shared" si="184"/>
        <v>0</v>
      </c>
      <c r="GR35" s="9"/>
      <c r="GS35" s="70" t="str">
        <f t="shared" si="134"/>
        <v>Total Hard Costs (Vertical)</v>
      </c>
      <c r="GT35" s="77">
        <f>SUM(GT30:GT34)</f>
        <v>795375</v>
      </c>
      <c r="GU35" s="71"/>
      <c r="GV35" s="71"/>
      <c r="GW35" s="71"/>
      <c r="GX35" s="71"/>
      <c r="GY35" s="79" t="b">
        <f t="shared" si="164"/>
        <v>1</v>
      </c>
      <c r="GZ35" s="77">
        <f t="shared" ref="GZ35:IE35" si="185">SUM(GZ30:GZ34)</f>
        <v>37875</v>
      </c>
      <c r="HA35" s="77">
        <f t="shared" si="185"/>
        <v>0</v>
      </c>
      <c r="HB35" s="77">
        <f t="shared" si="185"/>
        <v>0</v>
      </c>
      <c r="HC35" s="77">
        <f t="shared" si="185"/>
        <v>0</v>
      </c>
      <c r="HD35" s="77">
        <f t="shared" si="185"/>
        <v>0</v>
      </c>
      <c r="HE35" s="77">
        <f t="shared" si="185"/>
        <v>0</v>
      </c>
      <c r="HF35" s="77">
        <f t="shared" si="185"/>
        <v>0</v>
      </c>
      <c r="HG35" s="77">
        <f t="shared" si="185"/>
        <v>39590.050972465884</v>
      </c>
      <c r="HH35" s="77">
        <f t="shared" si="185"/>
        <v>39962.186647858063</v>
      </c>
      <c r="HI35" s="77">
        <f t="shared" si="185"/>
        <v>1385.2737073621784</v>
      </c>
      <c r="HJ35" s="77">
        <f t="shared" si="185"/>
        <v>2502.4780041856238</v>
      </c>
      <c r="HK35" s="77">
        <f t="shared" si="185"/>
        <v>4198.5440623055902</v>
      </c>
      <c r="HL35" s="77">
        <f t="shared" si="185"/>
        <v>6542.167874080772</v>
      </c>
      <c r="HM35" s="77">
        <f t="shared" si="185"/>
        <v>9467.598334206923</v>
      </c>
      <c r="HN35" s="77">
        <f t="shared" si="185"/>
        <v>12724.879565149833</v>
      </c>
      <c r="HO35" s="77">
        <f t="shared" si="185"/>
        <v>15884.13937187081</v>
      </c>
      <c r="HP35" s="77">
        <f t="shared" si="185"/>
        <v>18414.934493685425</v>
      </c>
      <c r="HQ35" s="77">
        <f t="shared" si="185"/>
        <v>19827.746966828901</v>
      </c>
      <c r="HR35" s="77">
        <f t="shared" si="185"/>
        <v>19827.746966828901</v>
      </c>
      <c r="HS35" s="77">
        <f t="shared" si="185"/>
        <v>22616.666458625801</v>
      </c>
      <c r="HT35" s="77">
        <f t="shared" si="185"/>
        <v>34732.663246289056</v>
      </c>
      <c r="HU35" s="77">
        <f t="shared" si="185"/>
        <v>67751.566719531416</v>
      </c>
      <c r="HV35" s="77">
        <f t="shared" si="185"/>
        <v>114089.16792983509</v>
      </c>
      <c r="HW35" s="77">
        <f t="shared" si="185"/>
        <v>136145.14269534405</v>
      </c>
      <c r="HX35" s="77">
        <f t="shared" si="185"/>
        <v>108820.11365793376</v>
      </c>
      <c r="HY35" s="77">
        <f t="shared" si="185"/>
        <v>57529.165158567193</v>
      </c>
      <c r="HZ35" s="77">
        <f t="shared" si="185"/>
        <v>20233.797581780444</v>
      </c>
      <c r="IA35" s="77">
        <f t="shared" si="185"/>
        <v>4913.9186127984021</v>
      </c>
      <c r="IB35" s="77">
        <f t="shared" si="185"/>
        <v>340.05097246588525</v>
      </c>
      <c r="IC35" s="77">
        <f t="shared" si="185"/>
        <v>0</v>
      </c>
      <c r="ID35" s="77">
        <f t="shared" si="185"/>
        <v>0</v>
      </c>
      <c r="IE35" s="77">
        <f t="shared" si="185"/>
        <v>0</v>
      </c>
      <c r="IF35" s="77">
        <f t="shared" ref="IF35:JK35" si="186">SUM(IF30:IF34)</f>
        <v>0</v>
      </c>
      <c r="IG35" s="77">
        <f t="shared" si="186"/>
        <v>0</v>
      </c>
      <c r="IH35" s="77">
        <f t="shared" si="186"/>
        <v>0</v>
      </c>
      <c r="II35" s="77">
        <f t="shared" si="186"/>
        <v>0</v>
      </c>
      <c r="IJ35" s="77">
        <f t="shared" si="186"/>
        <v>0</v>
      </c>
      <c r="IK35" s="77">
        <f t="shared" si="186"/>
        <v>0</v>
      </c>
      <c r="IL35" s="77">
        <f t="shared" si="186"/>
        <v>0</v>
      </c>
      <c r="IM35" s="77">
        <f t="shared" si="186"/>
        <v>0</v>
      </c>
      <c r="IN35" s="77">
        <f t="shared" si="186"/>
        <v>0</v>
      </c>
      <c r="IO35" s="77">
        <f t="shared" si="186"/>
        <v>0</v>
      </c>
      <c r="IP35" s="77">
        <f t="shared" si="186"/>
        <v>0</v>
      </c>
      <c r="IQ35" s="77">
        <f t="shared" si="186"/>
        <v>0</v>
      </c>
      <c r="IR35" s="77">
        <f t="shared" si="186"/>
        <v>0</v>
      </c>
      <c r="IS35" s="77">
        <f t="shared" si="186"/>
        <v>0</v>
      </c>
      <c r="IT35" s="77">
        <f t="shared" si="186"/>
        <v>0</v>
      </c>
      <c r="IU35" s="77">
        <f t="shared" si="186"/>
        <v>0</v>
      </c>
      <c r="IV35" s="77">
        <f t="shared" si="186"/>
        <v>0</v>
      </c>
      <c r="IW35" s="77">
        <f t="shared" si="186"/>
        <v>0</v>
      </c>
      <c r="IX35" s="77">
        <f t="shared" si="186"/>
        <v>0</v>
      </c>
      <c r="IY35" s="77">
        <f t="shared" si="186"/>
        <v>0</v>
      </c>
      <c r="IZ35" s="77">
        <f t="shared" si="186"/>
        <v>0</v>
      </c>
      <c r="JA35" s="77">
        <f t="shared" si="186"/>
        <v>0</v>
      </c>
      <c r="JB35" s="77">
        <f t="shared" si="186"/>
        <v>0</v>
      </c>
      <c r="JC35" s="77">
        <f t="shared" si="186"/>
        <v>0</v>
      </c>
      <c r="JD35" s="77">
        <f t="shared" si="186"/>
        <v>0</v>
      </c>
      <c r="JE35" s="77">
        <f t="shared" si="186"/>
        <v>0</v>
      </c>
      <c r="JF35" s="77">
        <f t="shared" si="186"/>
        <v>0</v>
      </c>
      <c r="JG35" s="77">
        <f t="shared" si="186"/>
        <v>0</v>
      </c>
      <c r="JH35" s="77">
        <f t="shared" si="186"/>
        <v>0</v>
      </c>
      <c r="JI35" s="77">
        <f t="shared" si="186"/>
        <v>0</v>
      </c>
      <c r="JJ35" s="77">
        <f t="shared" si="186"/>
        <v>0</v>
      </c>
      <c r="JK35" s="77">
        <f t="shared" si="186"/>
        <v>0</v>
      </c>
      <c r="JL35" s="77">
        <f t="shared" ref="JL35:KQ35" si="187">SUM(JL30:JL34)</f>
        <v>0</v>
      </c>
      <c r="JM35" s="77">
        <f t="shared" si="187"/>
        <v>0</v>
      </c>
      <c r="JN35" s="77">
        <f t="shared" si="187"/>
        <v>0</v>
      </c>
      <c r="JO35" s="77">
        <f t="shared" si="187"/>
        <v>0</v>
      </c>
      <c r="JP35" s="77">
        <f t="shared" si="187"/>
        <v>0</v>
      </c>
      <c r="JQ35" s="77">
        <f t="shared" si="187"/>
        <v>0</v>
      </c>
      <c r="JR35" s="77">
        <f t="shared" si="187"/>
        <v>0</v>
      </c>
      <c r="JS35" s="77">
        <f t="shared" si="187"/>
        <v>0</v>
      </c>
      <c r="JT35" s="77">
        <f t="shared" si="187"/>
        <v>0</v>
      </c>
      <c r="JU35" s="77">
        <f t="shared" si="187"/>
        <v>0</v>
      </c>
      <c r="JV35" s="77">
        <f t="shared" si="187"/>
        <v>0</v>
      </c>
      <c r="JW35" s="77">
        <f t="shared" si="187"/>
        <v>0</v>
      </c>
      <c r="JX35" s="77">
        <f t="shared" si="187"/>
        <v>0</v>
      </c>
      <c r="JY35" s="77">
        <f t="shared" si="187"/>
        <v>0</v>
      </c>
      <c r="JZ35" s="77">
        <f t="shared" si="187"/>
        <v>0</v>
      </c>
      <c r="KA35" s="77">
        <f t="shared" si="187"/>
        <v>0</v>
      </c>
      <c r="KB35" s="77">
        <f t="shared" si="187"/>
        <v>0</v>
      </c>
      <c r="KC35" s="77">
        <f t="shared" si="187"/>
        <v>0</v>
      </c>
      <c r="KD35" s="77">
        <f t="shared" si="187"/>
        <v>0</v>
      </c>
      <c r="KE35" s="77">
        <f t="shared" si="187"/>
        <v>0</v>
      </c>
      <c r="KF35" s="77">
        <f t="shared" si="187"/>
        <v>0</v>
      </c>
      <c r="KG35" s="77">
        <f t="shared" si="187"/>
        <v>0</v>
      </c>
      <c r="KH35" s="77">
        <f t="shared" si="187"/>
        <v>0</v>
      </c>
      <c r="KI35" s="77">
        <f t="shared" si="187"/>
        <v>0</v>
      </c>
      <c r="KJ35" s="77">
        <f t="shared" si="187"/>
        <v>0</v>
      </c>
      <c r="KK35" s="77">
        <f t="shared" si="187"/>
        <v>0</v>
      </c>
      <c r="KL35" s="77">
        <f t="shared" si="187"/>
        <v>0</v>
      </c>
      <c r="KM35" s="77">
        <f t="shared" si="187"/>
        <v>0</v>
      </c>
      <c r="KN35" s="77">
        <f t="shared" si="187"/>
        <v>0</v>
      </c>
      <c r="KO35" s="77">
        <f t="shared" si="187"/>
        <v>0</v>
      </c>
      <c r="KP35" s="77">
        <f t="shared" si="187"/>
        <v>0</v>
      </c>
      <c r="KQ35" s="77">
        <f t="shared" si="187"/>
        <v>0</v>
      </c>
      <c r="KR35" s="77">
        <f t="shared" ref="KR35:LW35" si="188">SUM(KR30:KR34)</f>
        <v>0</v>
      </c>
      <c r="KS35" s="77">
        <f t="shared" si="188"/>
        <v>0</v>
      </c>
      <c r="KT35" s="77">
        <f t="shared" si="188"/>
        <v>0</v>
      </c>
      <c r="KU35" s="77">
        <f t="shared" si="188"/>
        <v>0</v>
      </c>
      <c r="KV35" s="77">
        <f t="shared" si="188"/>
        <v>0</v>
      </c>
      <c r="KW35" s="77">
        <f t="shared" si="188"/>
        <v>0</v>
      </c>
      <c r="KX35" s="77">
        <f t="shared" si="188"/>
        <v>0</v>
      </c>
      <c r="KY35" s="77">
        <f t="shared" si="188"/>
        <v>0</v>
      </c>
      <c r="KZ35" s="77">
        <f t="shared" si="188"/>
        <v>0</v>
      </c>
      <c r="LA35" s="77">
        <f t="shared" si="188"/>
        <v>0</v>
      </c>
      <c r="LB35" s="77">
        <f t="shared" si="188"/>
        <v>0</v>
      </c>
      <c r="LC35" s="77">
        <f t="shared" si="188"/>
        <v>0</v>
      </c>
      <c r="LD35" s="77">
        <f t="shared" si="188"/>
        <v>0</v>
      </c>
      <c r="LE35" s="77">
        <f t="shared" si="188"/>
        <v>0</v>
      </c>
      <c r="LF35" s="77">
        <f t="shared" si="188"/>
        <v>0</v>
      </c>
      <c r="LG35" s="77">
        <f t="shared" si="188"/>
        <v>0</v>
      </c>
      <c r="LH35" s="77">
        <f t="shared" si="188"/>
        <v>0</v>
      </c>
      <c r="LI35" s="77">
        <f t="shared" si="188"/>
        <v>0</v>
      </c>
      <c r="LJ35" s="77">
        <f t="shared" si="188"/>
        <v>0</v>
      </c>
      <c r="LK35" s="77">
        <f t="shared" si="188"/>
        <v>0</v>
      </c>
      <c r="LL35" s="77">
        <f t="shared" si="188"/>
        <v>0</v>
      </c>
      <c r="LM35" s="77">
        <f t="shared" si="188"/>
        <v>0</v>
      </c>
      <c r="LN35" s="77">
        <f t="shared" si="188"/>
        <v>0</v>
      </c>
      <c r="LO35" s="77">
        <f t="shared" si="188"/>
        <v>0</v>
      </c>
      <c r="LP35" s="77">
        <f t="shared" si="188"/>
        <v>0</v>
      </c>
      <c r="LQ35" s="77">
        <f t="shared" si="188"/>
        <v>0</v>
      </c>
      <c r="LR35" s="77">
        <f t="shared" si="188"/>
        <v>0</v>
      </c>
      <c r="LS35" s="77">
        <f t="shared" si="188"/>
        <v>0</v>
      </c>
      <c r="LT35" s="77">
        <f t="shared" si="188"/>
        <v>0</v>
      </c>
      <c r="LU35" s="77">
        <f t="shared" si="188"/>
        <v>0</v>
      </c>
      <c r="LV35" s="77">
        <f t="shared" si="188"/>
        <v>0</v>
      </c>
      <c r="LW35" s="77">
        <f t="shared" si="188"/>
        <v>0</v>
      </c>
      <c r="LX35" s="77">
        <f t="shared" ref="LX35:NC35" si="189">SUM(LX30:LX34)</f>
        <v>0</v>
      </c>
      <c r="LY35" s="77">
        <f t="shared" si="189"/>
        <v>0</v>
      </c>
      <c r="LZ35" s="77">
        <f t="shared" si="189"/>
        <v>0</v>
      </c>
      <c r="MA35" s="77">
        <f t="shared" si="189"/>
        <v>0</v>
      </c>
      <c r="MB35" s="77">
        <f t="shared" si="189"/>
        <v>0</v>
      </c>
      <c r="MC35" s="77">
        <f t="shared" si="189"/>
        <v>0</v>
      </c>
      <c r="MD35" s="77">
        <f t="shared" si="189"/>
        <v>0</v>
      </c>
      <c r="ME35" s="77">
        <f t="shared" si="189"/>
        <v>0</v>
      </c>
      <c r="MF35" s="77">
        <f t="shared" si="189"/>
        <v>0</v>
      </c>
      <c r="MG35" s="77">
        <f t="shared" si="189"/>
        <v>0</v>
      </c>
      <c r="MH35" s="77">
        <f t="shared" si="189"/>
        <v>0</v>
      </c>
      <c r="MI35" s="77">
        <f t="shared" si="189"/>
        <v>0</v>
      </c>
      <c r="MJ35" s="77">
        <f t="shared" si="189"/>
        <v>0</v>
      </c>
      <c r="MK35" s="77">
        <f t="shared" si="189"/>
        <v>0</v>
      </c>
      <c r="ML35" s="77">
        <f t="shared" si="189"/>
        <v>0</v>
      </c>
      <c r="MM35" s="77">
        <f t="shared" si="189"/>
        <v>0</v>
      </c>
      <c r="MN35" s="77">
        <f t="shared" si="189"/>
        <v>0</v>
      </c>
      <c r="MO35" s="77">
        <f t="shared" si="189"/>
        <v>0</v>
      </c>
      <c r="MP35" s="77">
        <f t="shared" si="189"/>
        <v>0</v>
      </c>
      <c r="MQ35" s="77">
        <f t="shared" si="189"/>
        <v>0</v>
      </c>
      <c r="MR35" s="77">
        <f t="shared" si="189"/>
        <v>0</v>
      </c>
      <c r="MS35" s="77">
        <f t="shared" si="189"/>
        <v>0</v>
      </c>
      <c r="MT35" s="77">
        <f t="shared" si="189"/>
        <v>0</v>
      </c>
      <c r="MU35" s="77">
        <f t="shared" si="189"/>
        <v>0</v>
      </c>
      <c r="MV35" s="77">
        <f t="shared" si="189"/>
        <v>0</v>
      </c>
      <c r="MW35" s="77">
        <f t="shared" si="189"/>
        <v>0</v>
      </c>
      <c r="MX35" s="77">
        <f t="shared" si="189"/>
        <v>0</v>
      </c>
      <c r="MY35" s="77">
        <f t="shared" si="189"/>
        <v>0</v>
      </c>
      <c r="MZ35" s="77">
        <f t="shared" si="189"/>
        <v>0</v>
      </c>
      <c r="NA35" s="77">
        <f t="shared" si="189"/>
        <v>0</v>
      </c>
      <c r="NB35" s="77">
        <f t="shared" si="189"/>
        <v>0</v>
      </c>
      <c r="NC35" s="77">
        <f t="shared" si="189"/>
        <v>0</v>
      </c>
      <c r="ND35" s="77">
        <f t="shared" ref="ND35:NW35" si="190">SUM(ND30:ND34)</f>
        <v>0</v>
      </c>
      <c r="NE35" s="77">
        <f t="shared" si="190"/>
        <v>0</v>
      </c>
      <c r="NF35" s="77">
        <f t="shared" si="190"/>
        <v>0</v>
      </c>
      <c r="NG35" s="77">
        <f t="shared" si="190"/>
        <v>0</v>
      </c>
      <c r="NH35" s="77">
        <f t="shared" si="190"/>
        <v>0</v>
      </c>
      <c r="NI35" s="77">
        <f t="shared" si="190"/>
        <v>0</v>
      </c>
      <c r="NJ35" s="77">
        <f t="shared" si="190"/>
        <v>0</v>
      </c>
      <c r="NK35" s="77">
        <f t="shared" si="190"/>
        <v>0</v>
      </c>
      <c r="NL35" s="77">
        <f t="shared" si="190"/>
        <v>0</v>
      </c>
      <c r="NM35" s="77">
        <f t="shared" si="190"/>
        <v>0</v>
      </c>
      <c r="NN35" s="77">
        <f t="shared" si="190"/>
        <v>0</v>
      </c>
      <c r="NO35" s="77">
        <f t="shared" si="190"/>
        <v>0</v>
      </c>
      <c r="NP35" s="77">
        <f t="shared" si="190"/>
        <v>0</v>
      </c>
      <c r="NQ35" s="77">
        <f t="shared" si="190"/>
        <v>0</v>
      </c>
      <c r="NR35" s="77">
        <f t="shared" si="190"/>
        <v>0</v>
      </c>
      <c r="NS35" s="77">
        <f t="shared" si="190"/>
        <v>0</v>
      </c>
      <c r="NT35" s="77">
        <f t="shared" si="190"/>
        <v>0</v>
      </c>
      <c r="NU35" s="77">
        <f t="shared" si="190"/>
        <v>0</v>
      </c>
      <c r="NV35" s="77">
        <f t="shared" si="190"/>
        <v>0</v>
      </c>
      <c r="NW35" s="77">
        <f t="shared" si="190"/>
        <v>0</v>
      </c>
      <c r="NX35" s="10"/>
    </row>
    <row r="36" spans="2:388" x14ac:dyDescent="0.3">
      <c r="B36" s="18"/>
      <c r="C36" s="18"/>
      <c r="D36" s="18"/>
      <c r="E36" s="18"/>
      <c r="F36" s="19"/>
      <c r="G36" s="19"/>
      <c r="H36" s="19"/>
      <c r="I36" s="19"/>
      <c r="J36" s="23"/>
      <c r="K36" s="29"/>
      <c r="L36" s="23"/>
      <c r="S36" s="6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130">
        <f>COUNTA(GS38:GS43)</f>
        <v>6</v>
      </c>
      <c r="GT36" s="71"/>
      <c r="GU36" s="71"/>
      <c r="GV36" s="71"/>
      <c r="GW36" s="71"/>
      <c r="GX36" s="71"/>
      <c r="GY36" s="71"/>
      <c r="GZ36" s="71"/>
      <c r="HA36" s="71"/>
      <c r="HB36" s="71"/>
      <c r="HC36" s="71"/>
      <c r="HD36" s="71"/>
      <c r="HE36" s="71"/>
      <c r="HF36" s="71"/>
      <c r="HG36" s="71"/>
      <c r="HH36" s="71"/>
      <c r="HI36" s="71"/>
      <c r="HJ36" s="71"/>
      <c r="HK36" s="71"/>
      <c r="HL36" s="71"/>
      <c r="HM36" s="71"/>
      <c r="HN36" s="71"/>
      <c r="HO36" s="71"/>
      <c r="HP36" s="71"/>
      <c r="HQ36" s="71"/>
      <c r="HR36" s="71"/>
      <c r="HS36" s="71"/>
      <c r="HT36" s="71"/>
      <c r="HU36" s="71"/>
      <c r="HV36" s="71"/>
      <c r="HW36" s="71"/>
      <c r="HX36" s="71"/>
      <c r="HY36" s="71"/>
      <c r="HZ36" s="71"/>
      <c r="IA36" s="71"/>
      <c r="IB36" s="71"/>
      <c r="IC36" s="71"/>
      <c r="ID36" s="71"/>
      <c r="IE36" s="71"/>
      <c r="IF36" s="71"/>
      <c r="IG36" s="71"/>
      <c r="IH36" s="71"/>
      <c r="II36" s="71"/>
      <c r="IJ36" s="71"/>
      <c r="IK36" s="71"/>
      <c r="IL36" s="71"/>
      <c r="IM36" s="71"/>
      <c r="IN36" s="71"/>
      <c r="IO36" s="71"/>
      <c r="IP36" s="71"/>
      <c r="IQ36" s="71"/>
      <c r="IR36" s="71"/>
      <c r="IS36" s="71"/>
      <c r="IT36" s="71"/>
      <c r="IU36" s="71"/>
      <c r="IV36" s="71"/>
      <c r="IW36" s="71"/>
      <c r="IX36" s="71"/>
      <c r="IY36" s="71"/>
      <c r="IZ36" s="71"/>
      <c r="JA36" s="71"/>
      <c r="JB36" s="71"/>
      <c r="JC36" s="71"/>
      <c r="JD36" s="71"/>
      <c r="JE36" s="71"/>
      <c r="JF36" s="71"/>
      <c r="JG36" s="71"/>
      <c r="JH36" s="71"/>
      <c r="JI36" s="71"/>
      <c r="JJ36" s="71"/>
      <c r="JK36" s="71"/>
      <c r="JL36" s="71"/>
      <c r="JM36" s="71"/>
      <c r="JN36" s="71"/>
      <c r="JO36" s="71"/>
      <c r="JP36" s="71"/>
      <c r="JQ36" s="71"/>
      <c r="JR36" s="71"/>
      <c r="JS36" s="71"/>
      <c r="JT36" s="71"/>
      <c r="JU36" s="71"/>
      <c r="JV36" s="71"/>
      <c r="JW36" s="71"/>
      <c r="JX36" s="71"/>
      <c r="JY36" s="71"/>
      <c r="JZ36" s="71"/>
      <c r="KA36" s="71"/>
      <c r="KB36" s="71"/>
      <c r="KC36" s="71"/>
      <c r="KD36" s="71"/>
      <c r="KE36" s="71"/>
      <c r="KF36" s="71"/>
      <c r="KG36" s="71"/>
      <c r="KH36" s="71"/>
      <c r="KI36" s="71"/>
      <c r="KJ36" s="71"/>
      <c r="KK36" s="71"/>
      <c r="KL36" s="71"/>
      <c r="KM36" s="71"/>
      <c r="KN36" s="71"/>
      <c r="KO36" s="71"/>
      <c r="KP36" s="71"/>
      <c r="KQ36" s="71"/>
      <c r="KR36" s="71"/>
      <c r="KS36" s="71"/>
      <c r="KT36" s="71"/>
      <c r="KU36" s="71"/>
      <c r="KV36" s="71"/>
      <c r="KW36" s="71"/>
      <c r="KX36" s="71"/>
      <c r="KY36" s="71"/>
      <c r="KZ36" s="71"/>
      <c r="LA36" s="71"/>
      <c r="LB36" s="71"/>
      <c r="LC36" s="71"/>
      <c r="LD36" s="71"/>
      <c r="LE36" s="71"/>
      <c r="LF36" s="71"/>
      <c r="LG36" s="71"/>
      <c r="LH36" s="71"/>
      <c r="LI36" s="71"/>
      <c r="LJ36" s="71"/>
      <c r="LK36" s="71"/>
      <c r="LL36" s="71"/>
      <c r="LM36" s="71"/>
      <c r="LN36" s="71"/>
      <c r="LO36" s="71"/>
      <c r="LP36" s="71"/>
      <c r="LQ36" s="71"/>
      <c r="LR36" s="71"/>
      <c r="LS36" s="71"/>
      <c r="LT36" s="71"/>
      <c r="LU36" s="71"/>
      <c r="LV36" s="71"/>
      <c r="LW36" s="71"/>
      <c r="LX36" s="71"/>
      <c r="LY36" s="71"/>
      <c r="LZ36" s="71"/>
      <c r="MA36" s="71"/>
      <c r="MB36" s="71"/>
      <c r="MC36" s="71"/>
      <c r="MD36" s="71"/>
      <c r="ME36" s="71"/>
      <c r="MF36" s="71"/>
      <c r="MG36" s="71"/>
      <c r="MH36" s="71"/>
      <c r="MI36" s="71"/>
      <c r="MJ36" s="71"/>
      <c r="MK36" s="71"/>
      <c r="ML36" s="71"/>
      <c r="MM36" s="71"/>
      <c r="MN36" s="71"/>
      <c r="MO36" s="71"/>
      <c r="MP36" s="71"/>
      <c r="MQ36" s="71"/>
      <c r="MR36" s="71"/>
      <c r="MS36" s="71"/>
      <c r="MT36" s="71"/>
      <c r="MU36" s="71"/>
      <c r="MV36" s="71"/>
      <c r="MW36" s="71"/>
      <c r="MX36" s="71"/>
      <c r="MY36" s="71"/>
      <c r="MZ36" s="71"/>
      <c r="NA36" s="71"/>
      <c r="NB36" s="71"/>
      <c r="NC36" s="71"/>
      <c r="ND36" s="71"/>
      <c r="NE36" s="71"/>
      <c r="NF36" s="71"/>
      <c r="NG36" s="71"/>
      <c r="NH36" s="71"/>
      <c r="NI36" s="71"/>
      <c r="NJ36" s="71"/>
      <c r="NK36" s="71"/>
      <c r="NL36" s="71"/>
      <c r="NM36" s="71"/>
      <c r="NN36" s="71"/>
      <c r="NO36" s="71"/>
      <c r="NP36" s="71"/>
      <c r="NQ36" s="71"/>
      <c r="NR36" s="71"/>
      <c r="NS36" s="71"/>
      <c r="NT36" s="71"/>
      <c r="NU36" s="71"/>
      <c r="NV36" s="71"/>
      <c r="NW36" s="71"/>
      <c r="NX36" s="10"/>
    </row>
    <row r="37" spans="2:388" x14ac:dyDescent="0.3">
      <c r="B37" s="24" t="s">
        <v>146</v>
      </c>
      <c r="C37" s="18"/>
      <c r="D37" s="19"/>
      <c r="E37" s="25"/>
      <c r="F37" s="25"/>
      <c r="G37" s="25"/>
      <c r="H37" s="25"/>
      <c r="I37" s="25"/>
      <c r="J37" s="25"/>
      <c r="K37" s="25"/>
      <c r="L37" s="25"/>
      <c r="S37" s="68"/>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c r="CO37" s="13"/>
      <c r="CP37" s="13"/>
      <c r="CQ37" s="13"/>
      <c r="CR37" s="13"/>
      <c r="CS37" s="13"/>
      <c r="CT37" s="13"/>
      <c r="CU37" s="13"/>
      <c r="CV37" s="13"/>
      <c r="CW37" s="13"/>
      <c r="CX37" s="13"/>
      <c r="CY37" s="13"/>
      <c r="CZ37" s="13"/>
      <c r="DA37" s="13"/>
      <c r="DB37" s="13"/>
      <c r="DC37" s="13"/>
      <c r="DD37" s="13"/>
      <c r="DE37" s="13"/>
      <c r="DF37" s="13"/>
      <c r="DG37" s="13"/>
      <c r="DH37" s="13"/>
      <c r="DI37" s="13"/>
      <c r="DJ37" s="13"/>
      <c r="DK37" s="13"/>
      <c r="DL37" s="13"/>
      <c r="DM37" s="13"/>
      <c r="DN37" s="13"/>
      <c r="DO37" s="13"/>
      <c r="DP37" s="13"/>
      <c r="DQ37" s="13"/>
      <c r="DR37" s="13"/>
      <c r="DS37" s="13"/>
      <c r="DT37" s="13"/>
      <c r="DU37" s="13"/>
      <c r="DV37" s="13"/>
      <c r="DW37" s="13"/>
      <c r="DX37" s="13"/>
      <c r="DY37" s="13"/>
      <c r="DZ37" s="13"/>
      <c r="EA37" s="13"/>
      <c r="EB37" s="13"/>
      <c r="EC37" s="13"/>
      <c r="ED37" s="13"/>
      <c r="EE37" s="13"/>
      <c r="EF37" s="13"/>
      <c r="EG37" s="13"/>
      <c r="EH37" s="13"/>
      <c r="EI37" s="13"/>
      <c r="EJ37" s="13"/>
      <c r="EK37" s="13"/>
      <c r="EL37" s="13"/>
      <c r="EM37" s="13"/>
      <c r="EN37" s="13"/>
      <c r="EO37" s="13"/>
      <c r="EP37" s="13"/>
      <c r="EQ37" s="13"/>
      <c r="ER37" s="13"/>
      <c r="ES37" s="13"/>
      <c r="ET37" s="13"/>
      <c r="EU37" s="13"/>
      <c r="EV37" s="13"/>
      <c r="EW37" s="13"/>
      <c r="EX37" s="13"/>
      <c r="EY37" s="13"/>
      <c r="EZ37" s="13"/>
      <c r="FA37" s="13"/>
      <c r="FB37" s="13"/>
      <c r="FC37" s="13"/>
      <c r="FD37" s="13"/>
      <c r="FE37" s="13"/>
      <c r="FF37" s="13"/>
      <c r="FG37" s="13"/>
      <c r="FH37" s="13"/>
      <c r="FI37" s="13"/>
      <c r="FJ37" s="13"/>
      <c r="FK37" s="13"/>
      <c r="FL37" s="13"/>
      <c r="FM37" s="13"/>
      <c r="FN37" s="13"/>
      <c r="FO37" s="13"/>
      <c r="FP37" s="13"/>
      <c r="FQ37" s="13"/>
      <c r="FR37" s="13"/>
      <c r="FS37" s="13"/>
      <c r="FT37" s="13"/>
      <c r="FU37" s="13"/>
      <c r="FV37" s="13"/>
      <c r="FW37" s="13"/>
      <c r="FX37" s="13"/>
      <c r="FY37" s="13"/>
      <c r="FZ37" s="13"/>
      <c r="GA37" s="13"/>
      <c r="GB37" s="13"/>
      <c r="GC37" s="13"/>
      <c r="GD37" s="13"/>
      <c r="GE37" s="13"/>
      <c r="GF37" s="13"/>
      <c r="GG37" s="13"/>
      <c r="GH37" s="13"/>
      <c r="GI37" s="13"/>
      <c r="GJ37" s="13"/>
      <c r="GK37" s="13"/>
      <c r="GL37" s="13"/>
      <c r="GM37" s="13"/>
      <c r="GN37" s="13"/>
      <c r="GO37" s="13"/>
      <c r="GP37" s="13"/>
      <c r="GQ37" s="13"/>
      <c r="GR37" s="9"/>
      <c r="GS37" s="75" t="str">
        <f t="shared" ref="GS37:GS44" si="191">B37</f>
        <v>Soft Costs</v>
      </c>
      <c r="GT37" s="76" t="s">
        <v>190</v>
      </c>
      <c r="GU37" s="76">
        <f t="shared" ref="GU37:GV43" si="192">E37</f>
        <v>0</v>
      </c>
      <c r="GV37" s="76">
        <f t="shared" si="192"/>
        <v>0</v>
      </c>
      <c r="GW37" s="76" t="s">
        <v>192</v>
      </c>
      <c r="GX37" s="76" t="s">
        <v>193</v>
      </c>
      <c r="GY37" s="76" t="s">
        <v>191</v>
      </c>
      <c r="GZ37" s="74">
        <v>1</v>
      </c>
      <c r="HA37" s="74">
        <f>GZ37+1</f>
        <v>2</v>
      </c>
      <c r="HB37" s="74">
        <f t="shared" ref="HB37:JM37" si="193">HA37+1</f>
        <v>3</v>
      </c>
      <c r="HC37" s="74">
        <f t="shared" si="193"/>
        <v>4</v>
      </c>
      <c r="HD37" s="74">
        <f t="shared" si="193"/>
        <v>5</v>
      </c>
      <c r="HE37" s="74">
        <f t="shared" si="193"/>
        <v>6</v>
      </c>
      <c r="HF37" s="74">
        <f t="shared" si="193"/>
        <v>7</v>
      </c>
      <c r="HG37" s="74">
        <f t="shared" si="193"/>
        <v>8</v>
      </c>
      <c r="HH37" s="74">
        <f t="shared" si="193"/>
        <v>9</v>
      </c>
      <c r="HI37" s="74">
        <f t="shared" si="193"/>
        <v>10</v>
      </c>
      <c r="HJ37" s="74">
        <f t="shared" si="193"/>
        <v>11</v>
      </c>
      <c r="HK37" s="74">
        <f t="shared" si="193"/>
        <v>12</v>
      </c>
      <c r="HL37" s="74">
        <f t="shared" si="193"/>
        <v>13</v>
      </c>
      <c r="HM37" s="74">
        <f t="shared" si="193"/>
        <v>14</v>
      </c>
      <c r="HN37" s="74">
        <f t="shared" si="193"/>
        <v>15</v>
      </c>
      <c r="HO37" s="74">
        <f t="shared" si="193"/>
        <v>16</v>
      </c>
      <c r="HP37" s="74">
        <f t="shared" si="193"/>
        <v>17</v>
      </c>
      <c r="HQ37" s="74">
        <f t="shared" si="193"/>
        <v>18</v>
      </c>
      <c r="HR37" s="74">
        <f t="shared" si="193"/>
        <v>19</v>
      </c>
      <c r="HS37" s="74">
        <f t="shared" si="193"/>
        <v>20</v>
      </c>
      <c r="HT37" s="74">
        <f t="shared" si="193"/>
        <v>21</v>
      </c>
      <c r="HU37" s="74">
        <f t="shared" si="193"/>
        <v>22</v>
      </c>
      <c r="HV37" s="74">
        <f t="shared" si="193"/>
        <v>23</v>
      </c>
      <c r="HW37" s="74">
        <f t="shared" si="193"/>
        <v>24</v>
      </c>
      <c r="HX37" s="74">
        <f t="shared" si="193"/>
        <v>25</v>
      </c>
      <c r="HY37" s="74">
        <f t="shared" si="193"/>
        <v>26</v>
      </c>
      <c r="HZ37" s="74">
        <f t="shared" si="193"/>
        <v>27</v>
      </c>
      <c r="IA37" s="74">
        <f t="shared" si="193"/>
        <v>28</v>
      </c>
      <c r="IB37" s="74">
        <f t="shared" si="193"/>
        <v>29</v>
      </c>
      <c r="IC37" s="74">
        <f t="shared" si="193"/>
        <v>30</v>
      </c>
      <c r="ID37" s="74">
        <f t="shared" si="193"/>
        <v>31</v>
      </c>
      <c r="IE37" s="74">
        <f t="shared" si="193"/>
        <v>32</v>
      </c>
      <c r="IF37" s="74">
        <f t="shared" si="193"/>
        <v>33</v>
      </c>
      <c r="IG37" s="74">
        <f t="shared" si="193"/>
        <v>34</v>
      </c>
      <c r="IH37" s="74">
        <f t="shared" si="193"/>
        <v>35</v>
      </c>
      <c r="II37" s="74">
        <f t="shared" si="193"/>
        <v>36</v>
      </c>
      <c r="IJ37" s="74">
        <f t="shared" si="193"/>
        <v>37</v>
      </c>
      <c r="IK37" s="74">
        <f t="shared" si="193"/>
        <v>38</v>
      </c>
      <c r="IL37" s="74">
        <f t="shared" si="193"/>
        <v>39</v>
      </c>
      <c r="IM37" s="74">
        <f t="shared" si="193"/>
        <v>40</v>
      </c>
      <c r="IN37" s="74">
        <f t="shared" si="193"/>
        <v>41</v>
      </c>
      <c r="IO37" s="74">
        <f t="shared" si="193"/>
        <v>42</v>
      </c>
      <c r="IP37" s="74">
        <f t="shared" si="193"/>
        <v>43</v>
      </c>
      <c r="IQ37" s="74">
        <f t="shared" si="193"/>
        <v>44</v>
      </c>
      <c r="IR37" s="74">
        <f t="shared" si="193"/>
        <v>45</v>
      </c>
      <c r="IS37" s="74">
        <f t="shared" si="193"/>
        <v>46</v>
      </c>
      <c r="IT37" s="74">
        <f t="shared" si="193"/>
        <v>47</v>
      </c>
      <c r="IU37" s="74">
        <f t="shared" si="193"/>
        <v>48</v>
      </c>
      <c r="IV37" s="74">
        <f t="shared" si="193"/>
        <v>49</v>
      </c>
      <c r="IW37" s="74">
        <f t="shared" si="193"/>
        <v>50</v>
      </c>
      <c r="IX37" s="74">
        <f t="shared" si="193"/>
        <v>51</v>
      </c>
      <c r="IY37" s="74">
        <f t="shared" si="193"/>
        <v>52</v>
      </c>
      <c r="IZ37" s="74">
        <f t="shared" si="193"/>
        <v>53</v>
      </c>
      <c r="JA37" s="74">
        <f t="shared" si="193"/>
        <v>54</v>
      </c>
      <c r="JB37" s="74">
        <f t="shared" si="193"/>
        <v>55</v>
      </c>
      <c r="JC37" s="74">
        <f t="shared" si="193"/>
        <v>56</v>
      </c>
      <c r="JD37" s="74">
        <f t="shared" si="193"/>
        <v>57</v>
      </c>
      <c r="JE37" s="74">
        <f t="shared" si="193"/>
        <v>58</v>
      </c>
      <c r="JF37" s="74">
        <f t="shared" si="193"/>
        <v>59</v>
      </c>
      <c r="JG37" s="74">
        <f t="shared" si="193"/>
        <v>60</v>
      </c>
      <c r="JH37" s="74">
        <f t="shared" si="193"/>
        <v>61</v>
      </c>
      <c r="JI37" s="74">
        <f t="shared" si="193"/>
        <v>62</v>
      </c>
      <c r="JJ37" s="74">
        <f t="shared" si="193"/>
        <v>63</v>
      </c>
      <c r="JK37" s="74">
        <f t="shared" si="193"/>
        <v>64</v>
      </c>
      <c r="JL37" s="74">
        <f t="shared" si="193"/>
        <v>65</v>
      </c>
      <c r="JM37" s="74">
        <f t="shared" si="193"/>
        <v>66</v>
      </c>
      <c r="JN37" s="74">
        <f t="shared" ref="JN37:LY37" si="194">JM37+1</f>
        <v>67</v>
      </c>
      <c r="JO37" s="74">
        <f t="shared" si="194"/>
        <v>68</v>
      </c>
      <c r="JP37" s="74">
        <f t="shared" si="194"/>
        <v>69</v>
      </c>
      <c r="JQ37" s="74">
        <f t="shared" si="194"/>
        <v>70</v>
      </c>
      <c r="JR37" s="74">
        <f t="shared" si="194"/>
        <v>71</v>
      </c>
      <c r="JS37" s="74">
        <f t="shared" si="194"/>
        <v>72</v>
      </c>
      <c r="JT37" s="74">
        <f t="shared" si="194"/>
        <v>73</v>
      </c>
      <c r="JU37" s="74">
        <f t="shared" si="194"/>
        <v>74</v>
      </c>
      <c r="JV37" s="74">
        <f t="shared" si="194"/>
        <v>75</v>
      </c>
      <c r="JW37" s="74">
        <f t="shared" si="194"/>
        <v>76</v>
      </c>
      <c r="JX37" s="74">
        <f t="shared" si="194"/>
        <v>77</v>
      </c>
      <c r="JY37" s="74">
        <f t="shared" si="194"/>
        <v>78</v>
      </c>
      <c r="JZ37" s="74">
        <f t="shared" si="194"/>
        <v>79</v>
      </c>
      <c r="KA37" s="74">
        <f t="shared" si="194"/>
        <v>80</v>
      </c>
      <c r="KB37" s="74">
        <f t="shared" si="194"/>
        <v>81</v>
      </c>
      <c r="KC37" s="74">
        <f t="shared" si="194"/>
        <v>82</v>
      </c>
      <c r="KD37" s="74">
        <f t="shared" si="194"/>
        <v>83</v>
      </c>
      <c r="KE37" s="74">
        <f t="shared" si="194"/>
        <v>84</v>
      </c>
      <c r="KF37" s="74">
        <f t="shared" si="194"/>
        <v>85</v>
      </c>
      <c r="KG37" s="74">
        <f t="shared" si="194"/>
        <v>86</v>
      </c>
      <c r="KH37" s="74">
        <f t="shared" si="194"/>
        <v>87</v>
      </c>
      <c r="KI37" s="74">
        <f t="shared" si="194"/>
        <v>88</v>
      </c>
      <c r="KJ37" s="74">
        <f t="shared" si="194"/>
        <v>89</v>
      </c>
      <c r="KK37" s="74">
        <f t="shared" si="194"/>
        <v>90</v>
      </c>
      <c r="KL37" s="74">
        <f t="shared" si="194"/>
        <v>91</v>
      </c>
      <c r="KM37" s="74">
        <f t="shared" si="194"/>
        <v>92</v>
      </c>
      <c r="KN37" s="74">
        <f t="shared" si="194"/>
        <v>93</v>
      </c>
      <c r="KO37" s="74">
        <f t="shared" si="194"/>
        <v>94</v>
      </c>
      <c r="KP37" s="74">
        <f t="shared" si="194"/>
        <v>95</v>
      </c>
      <c r="KQ37" s="74">
        <f t="shared" si="194"/>
        <v>96</v>
      </c>
      <c r="KR37" s="74">
        <f t="shared" si="194"/>
        <v>97</v>
      </c>
      <c r="KS37" s="74">
        <f t="shared" si="194"/>
        <v>98</v>
      </c>
      <c r="KT37" s="74">
        <f t="shared" si="194"/>
        <v>99</v>
      </c>
      <c r="KU37" s="74">
        <f t="shared" si="194"/>
        <v>100</v>
      </c>
      <c r="KV37" s="74">
        <f t="shared" si="194"/>
        <v>101</v>
      </c>
      <c r="KW37" s="74">
        <f t="shared" si="194"/>
        <v>102</v>
      </c>
      <c r="KX37" s="74">
        <f t="shared" si="194"/>
        <v>103</v>
      </c>
      <c r="KY37" s="74">
        <f t="shared" si="194"/>
        <v>104</v>
      </c>
      <c r="KZ37" s="74">
        <f t="shared" si="194"/>
        <v>105</v>
      </c>
      <c r="LA37" s="74">
        <f t="shared" si="194"/>
        <v>106</v>
      </c>
      <c r="LB37" s="74">
        <f t="shared" si="194"/>
        <v>107</v>
      </c>
      <c r="LC37" s="74">
        <f t="shared" si="194"/>
        <v>108</v>
      </c>
      <c r="LD37" s="74">
        <f t="shared" si="194"/>
        <v>109</v>
      </c>
      <c r="LE37" s="74">
        <f t="shared" si="194"/>
        <v>110</v>
      </c>
      <c r="LF37" s="74">
        <f t="shared" si="194"/>
        <v>111</v>
      </c>
      <c r="LG37" s="74">
        <f t="shared" si="194"/>
        <v>112</v>
      </c>
      <c r="LH37" s="74">
        <f t="shared" si="194"/>
        <v>113</v>
      </c>
      <c r="LI37" s="74">
        <f t="shared" si="194"/>
        <v>114</v>
      </c>
      <c r="LJ37" s="74">
        <f t="shared" si="194"/>
        <v>115</v>
      </c>
      <c r="LK37" s="74">
        <f t="shared" si="194"/>
        <v>116</v>
      </c>
      <c r="LL37" s="74">
        <f t="shared" si="194"/>
        <v>117</v>
      </c>
      <c r="LM37" s="74">
        <f t="shared" si="194"/>
        <v>118</v>
      </c>
      <c r="LN37" s="74">
        <f t="shared" si="194"/>
        <v>119</v>
      </c>
      <c r="LO37" s="74">
        <f t="shared" si="194"/>
        <v>120</v>
      </c>
      <c r="LP37" s="74">
        <f t="shared" si="194"/>
        <v>121</v>
      </c>
      <c r="LQ37" s="74">
        <f t="shared" si="194"/>
        <v>122</v>
      </c>
      <c r="LR37" s="74">
        <f t="shared" si="194"/>
        <v>123</v>
      </c>
      <c r="LS37" s="74">
        <f t="shared" si="194"/>
        <v>124</v>
      </c>
      <c r="LT37" s="74">
        <f t="shared" si="194"/>
        <v>125</v>
      </c>
      <c r="LU37" s="74">
        <f t="shared" si="194"/>
        <v>126</v>
      </c>
      <c r="LV37" s="74">
        <f t="shared" si="194"/>
        <v>127</v>
      </c>
      <c r="LW37" s="74">
        <f t="shared" si="194"/>
        <v>128</v>
      </c>
      <c r="LX37" s="74">
        <f t="shared" si="194"/>
        <v>129</v>
      </c>
      <c r="LY37" s="74">
        <f t="shared" si="194"/>
        <v>130</v>
      </c>
      <c r="LZ37" s="74">
        <f t="shared" ref="LZ37:NW37" si="195">LY37+1</f>
        <v>131</v>
      </c>
      <c r="MA37" s="74">
        <f t="shared" si="195"/>
        <v>132</v>
      </c>
      <c r="MB37" s="74">
        <f t="shared" si="195"/>
        <v>133</v>
      </c>
      <c r="MC37" s="74">
        <f t="shared" si="195"/>
        <v>134</v>
      </c>
      <c r="MD37" s="74">
        <f t="shared" si="195"/>
        <v>135</v>
      </c>
      <c r="ME37" s="74">
        <f t="shared" si="195"/>
        <v>136</v>
      </c>
      <c r="MF37" s="74">
        <f t="shared" si="195"/>
        <v>137</v>
      </c>
      <c r="MG37" s="74">
        <f t="shared" si="195"/>
        <v>138</v>
      </c>
      <c r="MH37" s="74">
        <f t="shared" si="195"/>
        <v>139</v>
      </c>
      <c r="MI37" s="74">
        <f t="shared" si="195"/>
        <v>140</v>
      </c>
      <c r="MJ37" s="74">
        <f t="shared" si="195"/>
        <v>141</v>
      </c>
      <c r="MK37" s="74">
        <f t="shared" si="195"/>
        <v>142</v>
      </c>
      <c r="ML37" s="74">
        <f t="shared" si="195"/>
        <v>143</v>
      </c>
      <c r="MM37" s="74">
        <f t="shared" si="195"/>
        <v>144</v>
      </c>
      <c r="MN37" s="74">
        <f t="shared" si="195"/>
        <v>145</v>
      </c>
      <c r="MO37" s="74">
        <f t="shared" si="195"/>
        <v>146</v>
      </c>
      <c r="MP37" s="74">
        <f t="shared" si="195"/>
        <v>147</v>
      </c>
      <c r="MQ37" s="74">
        <f t="shared" si="195"/>
        <v>148</v>
      </c>
      <c r="MR37" s="74">
        <f t="shared" si="195"/>
        <v>149</v>
      </c>
      <c r="MS37" s="74">
        <f t="shared" si="195"/>
        <v>150</v>
      </c>
      <c r="MT37" s="74">
        <f t="shared" si="195"/>
        <v>151</v>
      </c>
      <c r="MU37" s="74">
        <f t="shared" si="195"/>
        <v>152</v>
      </c>
      <c r="MV37" s="74">
        <f t="shared" si="195"/>
        <v>153</v>
      </c>
      <c r="MW37" s="74">
        <f t="shared" si="195"/>
        <v>154</v>
      </c>
      <c r="MX37" s="74">
        <f t="shared" si="195"/>
        <v>155</v>
      </c>
      <c r="MY37" s="74">
        <f t="shared" si="195"/>
        <v>156</v>
      </c>
      <c r="MZ37" s="74">
        <f t="shared" si="195"/>
        <v>157</v>
      </c>
      <c r="NA37" s="74">
        <f t="shared" si="195"/>
        <v>158</v>
      </c>
      <c r="NB37" s="74">
        <f t="shared" si="195"/>
        <v>159</v>
      </c>
      <c r="NC37" s="74">
        <f t="shared" si="195"/>
        <v>160</v>
      </c>
      <c r="ND37" s="74">
        <f t="shared" si="195"/>
        <v>161</v>
      </c>
      <c r="NE37" s="74">
        <f t="shared" si="195"/>
        <v>162</v>
      </c>
      <c r="NF37" s="74">
        <f t="shared" si="195"/>
        <v>163</v>
      </c>
      <c r="NG37" s="74">
        <f t="shared" si="195"/>
        <v>164</v>
      </c>
      <c r="NH37" s="74">
        <f t="shared" si="195"/>
        <v>165</v>
      </c>
      <c r="NI37" s="74">
        <f t="shared" si="195"/>
        <v>166</v>
      </c>
      <c r="NJ37" s="74">
        <f t="shared" si="195"/>
        <v>167</v>
      </c>
      <c r="NK37" s="74">
        <f t="shared" si="195"/>
        <v>168</v>
      </c>
      <c r="NL37" s="74">
        <f t="shared" si="195"/>
        <v>169</v>
      </c>
      <c r="NM37" s="74">
        <f t="shared" si="195"/>
        <v>170</v>
      </c>
      <c r="NN37" s="74">
        <f t="shared" si="195"/>
        <v>171</v>
      </c>
      <c r="NO37" s="74">
        <f t="shared" si="195"/>
        <v>172</v>
      </c>
      <c r="NP37" s="74">
        <f t="shared" si="195"/>
        <v>173</v>
      </c>
      <c r="NQ37" s="74">
        <f t="shared" si="195"/>
        <v>174</v>
      </c>
      <c r="NR37" s="74">
        <f t="shared" si="195"/>
        <v>175</v>
      </c>
      <c r="NS37" s="74">
        <f t="shared" si="195"/>
        <v>176</v>
      </c>
      <c r="NT37" s="74">
        <f t="shared" si="195"/>
        <v>177</v>
      </c>
      <c r="NU37" s="74">
        <f t="shared" si="195"/>
        <v>178</v>
      </c>
      <c r="NV37" s="74">
        <f t="shared" si="195"/>
        <v>179</v>
      </c>
      <c r="NW37" s="74">
        <f t="shared" si="195"/>
        <v>180</v>
      </c>
      <c r="NX37" s="10"/>
    </row>
    <row r="38" spans="2:388" x14ac:dyDescent="0.3">
      <c r="B38" s="26" t="s">
        <v>213</v>
      </c>
      <c r="C38" s="18"/>
      <c r="D38" s="19"/>
      <c r="E38" s="27">
        <v>2</v>
      </c>
      <c r="F38" s="27">
        <v>36</v>
      </c>
      <c r="G38" s="21"/>
      <c r="H38" s="28">
        <f t="shared" ref="H38:H44" si="196">F38-E38+1</f>
        <v>35</v>
      </c>
      <c r="I38" s="21" t="s">
        <v>195</v>
      </c>
      <c r="J38" s="23">
        <f t="shared" ref="J38:J43" si="197">L38/$L$8</f>
        <v>1100</v>
      </c>
      <c r="K38" s="29">
        <f t="shared" ref="K38:K43" si="198">L38/$L$7</f>
        <v>0.14540229885057471</v>
      </c>
      <c r="L38" s="30">
        <f>D90*1100</f>
        <v>253000</v>
      </c>
      <c r="N38" s="9" t="s">
        <v>214</v>
      </c>
      <c r="S38" s="69" t="str">
        <f t="shared" ref="S38:S44" si="199">IF(ROUND(L38,0)=ROUND(SUM(T38:GQ38),0),"OK","ERROR")</f>
        <v>OK</v>
      </c>
      <c r="T38" s="16">
        <f t="shared" ref="T38:AC43" si="200">($I38="S-Curve")*GZ38+AND($I38&lt;&gt;"S-Curve",T$14&gt;=$E38,T$14&lt;=$F38)*($L38/$H38)</f>
        <v>0</v>
      </c>
      <c r="U38" s="16">
        <f t="shared" si="200"/>
        <v>7228.5714285714284</v>
      </c>
      <c r="V38" s="16">
        <f t="shared" si="200"/>
        <v>7228.5714285714284</v>
      </c>
      <c r="W38" s="16">
        <f t="shared" si="200"/>
        <v>7228.5714285714284</v>
      </c>
      <c r="X38" s="16">
        <f t="shared" si="200"/>
        <v>7228.5714285714284</v>
      </c>
      <c r="Y38" s="16">
        <f t="shared" si="200"/>
        <v>7228.5714285714284</v>
      </c>
      <c r="Z38" s="16">
        <f t="shared" si="200"/>
        <v>7228.5714285714284</v>
      </c>
      <c r="AA38" s="16">
        <f t="shared" si="200"/>
        <v>7228.5714285714284</v>
      </c>
      <c r="AB38" s="16">
        <f t="shared" si="200"/>
        <v>7228.5714285714284</v>
      </c>
      <c r="AC38" s="16">
        <f t="shared" si="200"/>
        <v>7228.5714285714284</v>
      </c>
      <c r="AD38" s="16">
        <f t="shared" ref="AD38:AM43" si="201">($I38="S-Curve")*HJ38+AND($I38&lt;&gt;"S-Curve",AD$14&gt;=$E38,AD$14&lt;=$F38)*($L38/$H38)</f>
        <v>7228.5714285714284</v>
      </c>
      <c r="AE38" s="16">
        <f t="shared" si="201"/>
        <v>7228.5714285714284</v>
      </c>
      <c r="AF38" s="16">
        <f t="shared" si="201"/>
        <v>7228.5714285714284</v>
      </c>
      <c r="AG38" s="16">
        <f t="shared" si="201"/>
        <v>7228.5714285714284</v>
      </c>
      <c r="AH38" s="16">
        <f t="shared" si="201"/>
        <v>7228.5714285714284</v>
      </c>
      <c r="AI38" s="16">
        <f t="shared" si="201"/>
        <v>7228.5714285714284</v>
      </c>
      <c r="AJ38" s="16">
        <f t="shared" si="201"/>
        <v>7228.5714285714284</v>
      </c>
      <c r="AK38" s="16">
        <f t="shared" si="201"/>
        <v>7228.5714285714284</v>
      </c>
      <c r="AL38" s="16">
        <f t="shared" si="201"/>
        <v>7228.5714285714284</v>
      </c>
      <c r="AM38" s="16">
        <f t="shared" si="201"/>
        <v>7228.5714285714284</v>
      </c>
      <c r="AN38" s="16">
        <f t="shared" ref="AN38:AW43" si="202">($I38="S-Curve")*HT38+AND($I38&lt;&gt;"S-Curve",AN$14&gt;=$E38,AN$14&lt;=$F38)*($L38/$H38)</f>
        <v>7228.5714285714284</v>
      </c>
      <c r="AO38" s="16">
        <f t="shared" si="202"/>
        <v>7228.5714285714284</v>
      </c>
      <c r="AP38" s="16">
        <f t="shared" si="202"/>
        <v>7228.5714285714284</v>
      </c>
      <c r="AQ38" s="16">
        <f t="shared" si="202"/>
        <v>7228.5714285714284</v>
      </c>
      <c r="AR38" s="16">
        <f t="shared" si="202"/>
        <v>7228.5714285714284</v>
      </c>
      <c r="AS38" s="16">
        <f t="shared" si="202"/>
        <v>7228.5714285714284</v>
      </c>
      <c r="AT38" s="16">
        <f t="shared" si="202"/>
        <v>7228.5714285714284</v>
      </c>
      <c r="AU38" s="16">
        <f t="shared" si="202"/>
        <v>7228.5714285714284</v>
      </c>
      <c r="AV38" s="16">
        <f t="shared" si="202"/>
        <v>7228.5714285714284</v>
      </c>
      <c r="AW38" s="16">
        <f t="shared" si="202"/>
        <v>7228.5714285714284</v>
      </c>
      <c r="AX38" s="16">
        <f t="shared" ref="AX38:BG43" si="203">($I38="S-Curve")*ID38+AND($I38&lt;&gt;"S-Curve",AX$14&gt;=$E38,AX$14&lt;=$F38)*($L38/$H38)</f>
        <v>7228.5714285714284</v>
      </c>
      <c r="AY38" s="16">
        <f t="shared" si="203"/>
        <v>7228.5714285714284</v>
      </c>
      <c r="AZ38" s="16">
        <f t="shared" si="203"/>
        <v>7228.5714285714284</v>
      </c>
      <c r="BA38" s="16">
        <f t="shared" si="203"/>
        <v>7228.5714285714284</v>
      </c>
      <c r="BB38" s="16">
        <f t="shared" si="203"/>
        <v>7228.5714285714284</v>
      </c>
      <c r="BC38" s="16">
        <f t="shared" si="203"/>
        <v>7228.5714285714284</v>
      </c>
      <c r="BD38" s="16">
        <f t="shared" si="203"/>
        <v>0</v>
      </c>
      <c r="BE38" s="16">
        <f t="shared" si="203"/>
        <v>0</v>
      </c>
      <c r="BF38" s="16">
        <f t="shared" si="203"/>
        <v>0</v>
      </c>
      <c r="BG38" s="16">
        <f t="shared" si="203"/>
        <v>0</v>
      </c>
      <c r="BH38" s="16">
        <f t="shared" ref="BH38:BQ43" si="204">($I38="S-Curve")*IN38+AND($I38&lt;&gt;"S-Curve",BH$14&gt;=$E38,BH$14&lt;=$F38)*($L38/$H38)</f>
        <v>0</v>
      </c>
      <c r="BI38" s="16">
        <f t="shared" si="204"/>
        <v>0</v>
      </c>
      <c r="BJ38" s="16">
        <f t="shared" si="204"/>
        <v>0</v>
      </c>
      <c r="BK38" s="16">
        <f t="shared" si="204"/>
        <v>0</v>
      </c>
      <c r="BL38" s="16">
        <f t="shared" si="204"/>
        <v>0</v>
      </c>
      <c r="BM38" s="16">
        <f t="shared" si="204"/>
        <v>0</v>
      </c>
      <c r="BN38" s="16">
        <f t="shared" si="204"/>
        <v>0</v>
      </c>
      <c r="BO38" s="16">
        <f t="shared" si="204"/>
        <v>0</v>
      </c>
      <c r="BP38" s="16">
        <f t="shared" si="204"/>
        <v>0</v>
      </c>
      <c r="BQ38" s="16">
        <f t="shared" si="204"/>
        <v>0</v>
      </c>
      <c r="BR38" s="16">
        <f t="shared" ref="BR38:CA43" si="205">($I38="S-Curve")*IX38+AND($I38&lt;&gt;"S-Curve",BR$14&gt;=$E38,BR$14&lt;=$F38)*($L38/$H38)</f>
        <v>0</v>
      </c>
      <c r="BS38" s="16">
        <f t="shared" si="205"/>
        <v>0</v>
      </c>
      <c r="BT38" s="16">
        <f t="shared" si="205"/>
        <v>0</v>
      </c>
      <c r="BU38" s="16">
        <f t="shared" si="205"/>
        <v>0</v>
      </c>
      <c r="BV38" s="16">
        <f t="shared" si="205"/>
        <v>0</v>
      </c>
      <c r="BW38" s="16">
        <f t="shared" si="205"/>
        <v>0</v>
      </c>
      <c r="BX38" s="16">
        <f t="shared" si="205"/>
        <v>0</v>
      </c>
      <c r="BY38" s="16">
        <f t="shared" si="205"/>
        <v>0</v>
      </c>
      <c r="BZ38" s="16">
        <f t="shared" si="205"/>
        <v>0</v>
      </c>
      <c r="CA38" s="16">
        <f t="shared" si="205"/>
        <v>0</v>
      </c>
      <c r="CB38" s="16">
        <f t="shared" ref="CB38:CK43" si="206">($I38="S-Curve")*JH38+AND($I38&lt;&gt;"S-Curve",CB$14&gt;=$E38,CB$14&lt;=$F38)*($L38/$H38)</f>
        <v>0</v>
      </c>
      <c r="CC38" s="16">
        <f t="shared" si="206"/>
        <v>0</v>
      </c>
      <c r="CD38" s="16">
        <f t="shared" si="206"/>
        <v>0</v>
      </c>
      <c r="CE38" s="16">
        <f t="shared" si="206"/>
        <v>0</v>
      </c>
      <c r="CF38" s="16">
        <f t="shared" si="206"/>
        <v>0</v>
      </c>
      <c r="CG38" s="16">
        <f t="shared" si="206"/>
        <v>0</v>
      </c>
      <c r="CH38" s="16">
        <f t="shared" si="206"/>
        <v>0</v>
      </c>
      <c r="CI38" s="16">
        <f t="shared" si="206"/>
        <v>0</v>
      </c>
      <c r="CJ38" s="16">
        <f t="shared" si="206"/>
        <v>0</v>
      </c>
      <c r="CK38" s="16">
        <f t="shared" si="206"/>
        <v>0</v>
      </c>
      <c r="CL38" s="16">
        <f t="shared" ref="CL38:CU43" si="207">($I38="S-Curve")*JR38+AND($I38&lt;&gt;"S-Curve",CL$14&gt;=$E38,CL$14&lt;=$F38)*($L38/$H38)</f>
        <v>0</v>
      </c>
      <c r="CM38" s="16">
        <f t="shared" si="207"/>
        <v>0</v>
      </c>
      <c r="CN38" s="16">
        <f t="shared" si="207"/>
        <v>0</v>
      </c>
      <c r="CO38" s="16">
        <f t="shared" si="207"/>
        <v>0</v>
      </c>
      <c r="CP38" s="16">
        <f t="shared" si="207"/>
        <v>0</v>
      </c>
      <c r="CQ38" s="16">
        <f t="shared" si="207"/>
        <v>0</v>
      </c>
      <c r="CR38" s="16">
        <f t="shared" si="207"/>
        <v>0</v>
      </c>
      <c r="CS38" s="16">
        <f t="shared" si="207"/>
        <v>0</v>
      </c>
      <c r="CT38" s="16">
        <f t="shared" si="207"/>
        <v>0</v>
      </c>
      <c r="CU38" s="16">
        <f t="shared" si="207"/>
        <v>0</v>
      </c>
      <c r="CV38" s="16">
        <f t="shared" ref="CV38:DE43" si="208">($I38="S-Curve")*KB38+AND($I38&lt;&gt;"S-Curve",CV$14&gt;=$E38,CV$14&lt;=$F38)*($L38/$H38)</f>
        <v>0</v>
      </c>
      <c r="CW38" s="16">
        <f t="shared" si="208"/>
        <v>0</v>
      </c>
      <c r="CX38" s="16">
        <f t="shared" si="208"/>
        <v>0</v>
      </c>
      <c r="CY38" s="16">
        <f t="shared" si="208"/>
        <v>0</v>
      </c>
      <c r="CZ38" s="16">
        <f t="shared" si="208"/>
        <v>0</v>
      </c>
      <c r="DA38" s="16">
        <f t="shared" si="208"/>
        <v>0</v>
      </c>
      <c r="DB38" s="16">
        <f t="shared" si="208"/>
        <v>0</v>
      </c>
      <c r="DC38" s="16">
        <f t="shared" si="208"/>
        <v>0</v>
      </c>
      <c r="DD38" s="16">
        <f t="shared" si="208"/>
        <v>0</v>
      </c>
      <c r="DE38" s="16">
        <f t="shared" si="208"/>
        <v>0</v>
      </c>
      <c r="DF38" s="16">
        <f t="shared" ref="DF38:DO43" si="209">($I38="S-Curve")*KL38+AND($I38&lt;&gt;"S-Curve",DF$14&gt;=$E38,DF$14&lt;=$F38)*($L38/$H38)</f>
        <v>0</v>
      </c>
      <c r="DG38" s="16">
        <f t="shared" si="209"/>
        <v>0</v>
      </c>
      <c r="DH38" s="16">
        <f t="shared" si="209"/>
        <v>0</v>
      </c>
      <c r="DI38" s="16">
        <f t="shared" si="209"/>
        <v>0</v>
      </c>
      <c r="DJ38" s="16">
        <f t="shared" si="209"/>
        <v>0</v>
      </c>
      <c r="DK38" s="16">
        <f t="shared" si="209"/>
        <v>0</v>
      </c>
      <c r="DL38" s="16">
        <f t="shared" si="209"/>
        <v>0</v>
      </c>
      <c r="DM38" s="16">
        <f t="shared" si="209"/>
        <v>0</v>
      </c>
      <c r="DN38" s="16">
        <f t="shared" si="209"/>
        <v>0</v>
      </c>
      <c r="DO38" s="16">
        <f t="shared" si="209"/>
        <v>0</v>
      </c>
      <c r="DP38" s="16">
        <f t="shared" ref="DP38:DY43" si="210">($I38="S-Curve")*KV38+AND($I38&lt;&gt;"S-Curve",DP$14&gt;=$E38,DP$14&lt;=$F38)*($L38/$H38)</f>
        <v>0</v>
      </c>
      <c r="DQ38" s="16">
        <f t="shared" si="210"/>
        <v>0</v>
      </c>
      <c r="DR38" s="16">
        <f t="shared" si="210"/>
        <v>0</v>
      </c>
      <c r="DS38" s="16">
        <f t="shared" si="210"/>
        <v>0</v>
      </c>
      <c r="DT38" s="16">
        <f t="shared" si="210"/>
        <v>0</v>
      </c>
      <c r="DU38" s="16">
        <f t="shared" si="210"/>
        <v>0</v>
      </c>
      <c r="DV38" s="16">
        <f t="shared" si="210"/>
        <v>0</v>
      </c>
      <c r="DW38" s="16">
        <f t="shared" si="210"/>
        <v>0</v>
      </c>
      <c r="DX38" s="16">
        <f t="shared" si="210"/>
        <v>0</v>
      </c>
      <c r="DY38" s="16">
        <f t="shared" si="210"/>
        <v>0</v>
      </c>
      <c r="DZ38" s="16">
        <f t="shared" ref="DZ38:EI43" si="211">($I38="S-Curve")*LF38+AND($I38&lt;&gt;"S-Curve",DZ$14&gt;=$E38,DZ$14&lt;=$F38)*($L38/$H38)</f>
        <v>0</v>
      </c>
      <c r="EA38" s="16">
        <f t="shared" si="211"/>
        <v>0</v>
      </c>
      <c r="EB38" s="16">
        <f t="shared" si="211"/>
        <v>0</v>
      </c>
      <c r="EC38" s="16">
        <f t="shared" si="211"/>
        <v>0</v>
      </c>
      <c r="ED38" s="16">
        <f t="shared" si="211"/>
        <v>0</v>
      </c>
      <c r="EE38" s="16">
        <f t="shared" si="211"/>
        <v>0</v>
      </c>
      <c r="EF38" s="16">
        <f t="shared" si="211"/>
        <v>0</v>
      </c>
      <c r="EG38" s="16">
        <f t="shared" si="211"/>
        <v>0</v>
      </c>
      <c r="EH38" s="16">
        <f t="shared" si="211"/>
        <v>0</v>
      </c>
      <c r="EI38" s="16">
        <f t="shared" si="211"/>
        <v>0</v>
      </c>
      <c r="EJ38" s="16">
        <f t="shared" ref="EJ38:ES43" si="212">($I38="S-Curve")*LP38+AND($I38&lt;&gt;"S-Curve",EJ$14&gt;=$E38,EJ$14&lt;=$F38)*($L38/$H38)</f>
        <v>0</v>
      </c>
      <c r="EK38" s="16">
        <f t="shared" si="212"/>
        <v>0</v>
      </c>
      <c r="EL38" s="16">
        <f t="shared" si="212"/>
        <v>0</v>
      </c>
      <c r="EM38" s="16">
        <f t="shared" si="212"/>
        <v>0</v>
      </c>
      <c r="EN38" s="16">
        <f t="shared" si="212"/>
        <v>0</v>
      </c>
      <c r="EO38" s="16">
        <f t="shared" si="212"/>
        <v>0</v>
      </c>
      <c r="EP38" s="16">
        <f t="shared" si="212"/>
        <v>0</v>
      </c>
      <c r="EQ38" s="16">
        <f t="shared" si="212"/>
        <v>0</v>
      </c>
      <c r="ER38" s="16">
        <f t="shared" si="212"/>
        <v>0</v>
      </c>
      <c r="ES38" s="16">
        <f t="shared" si="212"/>
        <v>0</v>
      </c>
      <c r="ET38" s="16">
        <f t="shared" ref="ET38:FC43" si="213">($I38="S-Curve")*LZ38+AND($I38&lt;&gt;"S-Curve",ET$14&gt;=$E38,ET$14&lt;=$F38)*($L38/$H38)</f>
        <v>0</v>
      </c>
      <c r="EU38" s="16">
        <f t="shared" si="213"/>
        <v>0</v>
      </c>
      <c r="EV38" s="16">
        <f t="shared" si="213"/>
        <v>0</v>
      </c>
      <c r="EW38" s="16">
        <f t="shared" si="213"/>
        <v>0</v>
      </c>
      <c r="EX38" s="16">
        <f t="shared" si="213"/>
        <v>0</v>
      </c>
      <c r="EY38" s="16">
        <f t="shared" si="213"/>
        <v>0</v>
      </c>
      <c r="EZ38" s="16">
        <f t="shared" si="213"/>
        <v>0</v>
      </c>
      <c r="FA38" s="16">
        <f t="shared" si="213"/>
        <v>0</v>
      </c>
      <c r="FB38" s="16">
        <f t="shared" si="213"/>
        <v>0</v>
      </c>
      <c r="FC38" s="16">
        <f t="shared" si="213"/>
        <v>0</v>
      </c>
      <c r="FD38" s="16">
        <f t="shared" ref="FD38:FM43" si="214">($I38="S-Curve")*MJ38+AND($I38&lt;&gt;"S-Curve",FD$14&gt;=$E38,FD$14&lt;=$F38)*($L38/$H38)</f>
        <v>0</v>
      </c>
      <c r="FE38" s="16">
        <f t="shared" si="214"/>
        <v>0</v>
      </c>
      <c r="FF38" s="16">
        <f t="shared" si="214"/>
        <v>0</v>
      </c>
      <c r="FG38" s="16">
        <f t="shared" si="214"/>
        <v>0</v>
      </c>
      <c r="FH38" s="16">
        <f t="shared" si="214"/>
        <v>0</v>
      </c>
      <c r="FI38" s="16">
        <f t="shared" si="214"/>
        <v>0</v>
      </c>
      <c r="FJ38" s="16">
        <f t="shared" si="214"/>
        <v>0</v>
      </c>
      <c r="FK38" s="16">
        <f t="shared" si="214"/>
        <v>0</v>
      </c>
      <c r="FL38" s="16">
        <f t="shared" si="214"/>
        <v>0</v>
      </c>
      <c r="FM38" s="16">
        <f t="shared" si="214"/>
        <v>0</v>
      </c>
      <c r="FN38" s="16">
        <f t="shared" ref="FN38:FW43" si="215">($I38="S-Curve")*MT38+AND($I38&lt;&gt;"S-Curve",FN$14&gt;=$E38,FN$14&lt;=$F38)*($L38/$H38)</f>
        <v>0</v>
      </c>
      <c r="FO38" s="16">
        <f t="shared" si="215"/>
        <v>0</v>
      </c>
      <c r="FP38" s="16">
        <f t="shared" si="215"/>
        <v>0</v>
      </c>
      <c r="FQ38" s="16">
        <f t="shared" si="215"/>
        <v>0</v>
      </c>
      <c r="FR38" s="16">
        <f t="shared" si="215"/>
        <v>0</v>
      </c>
      <c r="FS38" s="16">
        <f t="shared" si="215"/>
        <v>0</v>
      </c>
      <c r="FT38" s="16">
        <f t="shared" si="215"/>
        <v>0</v>
      </c>
      <c r="FU38" s="16">
        <f t="shared" si="215"/>
        <v>0</v>
      </c>
      <c r="FV38" s="16">
        <f t="shared" si="215"/>
        <v>0</v>
      </c>
      <c r="FW38" s="16">
        <f t="shared" si="215"/>
        <v>0</v>
      </c>
      <c r="FX38" s="16">
        <f t="shared" ref="FX38:GG43" si="216">($I38="S-Curve")*ND38+AND($I38&lt;&gt;"S-Curve",FX$14&gt;=$E38,FX$14&lt;=$F38)*($L38/$H38)</f>
        <v>0</v>
      </c>
      <c r="FY38" s="16">
        <f t="shared" si="216"/>
        <v>0</v>
      </c>
      <c r="FZ38" s="16">
        <f t="shared" si="216"/>
        <v>0</v>
      </c>
      <c r="GA38" s="16">
        <f t="shared" si="216"/>
        <v>0</v>
      </c>
      <c r="GB38" s="16">
        <f t="shared" si="216"/>
        <v>0</v>
      </c>
      <c r="GC38" s="16">
        <f t="shared" si="216"/>
        <v>0</v>
      </c>
      <c r="GD38" s="16">
        <f t="shared" si="216"/>
        <v>0</v>
      </c>
      <c r="GE38" s="16">
        <f t="shared" si="216"/>
        <v>0</v>
      </c>
      <c r="GF38" s="16">
        <f t="shared" si="216"/>
        <v>0</v>
      </c>
      <c r="GG38" s="16">
        <f t="shared" si="216"/>
        <v>0</v>
      </c>
      <c r="GH38" s="16">
        <f t="shared" ref="GH38:GQ43" si="217">($I38="S-Curve")*NN38+AND($I38&lt;&gt;"S-Curve",GH$14&gt;=$E38,GH$14&lt;=$F38)*($L38/$H38)</f>
        <v>0</v>
      </c>
      <c r="GI38" s="16">
        <f t="shared" si="217"/>
        <v>0</v>
      </c>
      <c r="GJ38" s="16">
        <f t="shared" si="217"/>
        <v>0</v>
      </c>
      <c r="GK38" s="16">
        <f t="shared" si="217"/>
        <v>0</v>
      </c>
      <c r="GL38" s="16">
        <f t="shared" si="217"/>
        <v>0</v>
      </c>
      <c r="GM38" s="16">
        <f t="shared" si="217"/>
        <v>0</v>
      </c>
      <c r="GN38" s="16">
        <f t="shared" si="217"/>
        <v>0</v>
      </c>
      <c r="GO38" s="16">
        <f t="shared" si="217"/>
        <v>0</v>
      </c>
      <c r="GP38" s="16">
        <f t="shared" si="217"/>
        <v>0</v>
      </c>
      <c r="GQ38" s="16">
        <f t="shared" si="217"/>
        <v>0</v>
      </c>
      <c r="GR38" s="9"/>
      <c r="GS38" s="70" t="str">
        <f t="shared" si="191"/>
        <v>Architecture &amp; Engineering</v>
      </c>
      <c r="GT38" s="77">
        <f t="shared" ref="GT38:GT43" si="218">L38</f>
        <v>253000</v>
      </c>
      <c r="GU38" s="78">
        <f t="shared" si="192"/>
        <v>2</v>
      </c>
      <c r="GV38" s="78">
        <f t="shared" si="192"/>
        <v>36</v>
      </c>
      <c r="GW38" s="78">
        <f t="shared" ref="GW38:GW43" si="219">H38</f>
        <v>35</v>
      </c>
      <c r="GX38" s="79">
        <f t="shared" ref="GX38:GX43" si="220">GW38/6</f>
        <v>5.833333333333333</v>
      </c>
      <c r="GY38" s="79" t="b">
        <f>ROUND(GT38,0)=ROUND(SUM(GZ38:NW38),0)</f>
        <v>1</v>
      </c>
      <c r="GZ38" s="77">
        <f t="shared" ref="GZ38:GZ43" si="221">AND(GZ$14&gt;=$GU38,GZ$14&lt;=$GV38)*((_xlfn.NORM.DIST(GZ$14-$GU38+1,$GW38/2,$GX38,TRUE)-_xlfn.NORM.DIST(GZ$14-$GU38,$GW38/2,$GX38,TRUE))/(1-2*_xlfn.NORM.DIST(0,$GW38/2,$GX38,TRUE))*$GT38)</f>
        <v>0</v>
      </c>
      <c r="HA38" s="77">
        <f t="shared" ref="HA38:HP43" si="222">AND(HA$14&gt;=$GU38,HA$14&lt;=$GV38)*((_xlfn.NORM.DIST(HA$14-$GU38+1,$GW38/2,$GX38,TRUE)-_xlfn.NORM.DIST(HA$14-$GU38,$GW38/2,$GX38,TRUE))/(1-2*_xlfn.NORM.DIST(0,$GW38/2,$GX38,TRUE))*$GT38)</f>
        <v>250.61918219964983</v>
      </c>
      <c r="HB38" s="77">
        <f t="shared" si="222"/>
        <v>406.52719227133065</v>
      </c>
      <c r="HC38" s="77">
        <f t="shared" si="222"/>
        <v>640.37274037478096</v>
      </c>
      <c r="HD38" s="77">
        <f t="shared" si="222"/>
        <v>979.58935552657397</v>
      </c>
      <c r="HE38" s="77">
        <f t="shared" si="222"/>
        <v>1455.2020626778101</v>
      </c>
      <c r="HF38" s="77">
        <f t="shared" si="222"/>
        <v>2099.2811458986366</v>
      </c>
      <c r="HG38" s="77">
        <f t="shared" si="222"/>
        <v>2940.938898135872</v>
      </c>
      <c r="HH38" s="77">
        <f t="shared" si="222"/>
        <v>4001.0089338789585</v>
      </c>
      <c r="HI38" s="77">
        <f t="shared" si="222"/>
        <v>5285.9273760575597</v>
      </c>
      <c r="HJ38" s="77">
        <f t="shared" si="222"/>
        <v>6781.7385008519641</v>
      </c>
      <c r="HK38" s="77">
        <f t="shared" si="222"/>
        <v>8449.4625781257801</v>
      </c>
      <c r="HL38" s="77">
        <f t="shared" si="222"/>
        <v>10223.164608556508</v>
      </c>
      <c r="HM38" s="77">
        <f t="shared" si="222"/>
        <v>12011.848819198278</v>
      </c>
      <c r="HN38" s="77">
        <f t="shared" si="222"/>
        <v>13705.743924540713</v>
      </c>
      <c r="HO38" s="77">
        <f t="shared" si="222"/>
        <v>15186.70765988446</v>
      </c>
      <c r="HP38" s="77">
        <f t="shared" si="222"/>
        <v>16341.537919071441</v>
      </c>
      <c r="HQ38" s="77">
        <f t="shared" ref="HQ38:IF43" si="223">AND(HQ$14&gt;=$GU38,HQ$14&lt;=$GV38)*((_xlfn.NORM.DIST(HQ$14-$GU38+1,$GW38/2,$GX38,TRUE)-_xlfn.NORM.DIST(HQ$14-$GU38,$GW38/2,$GX38,TRUE))/(1-2*_xlfn.NORM.DIST(0,$GW38/2,$GX38,TRUE))*$GT38)</f>
        <v>17076.171157434066</v>
      </c>
      <c r="HR38" s="77">
        <f t="shared" si="223"/>
        <v>17328.315890631231</v>
      </c>
      <c r="HS38" s="77">
        <f t="shared" si="223"/>
        <v>17076.171157434081</v>
      </c>
      <c r="HT38" s="77">
        <f t="shared" si="223"/>
        <v>16341.537919071427</v>
      </c>
      <c r="HU38" s="77">
        <f t="shared" si="223"/>
        <v>15186.70765988446</v>
      </c>
      <c r="HV38" s="77">
        <f t="shared" si="223"/>
        <v>13705.743924540706</v>
      </c>
      <c r="HW38" s="77">
        <f t="shared" si="223"/>
        <v>12011.8488191983</v>
      </c>
      <c r="HX38" s="77">
        <f t="shared" si="223"/>
        <v>10223.164608556501</v>
      </c>
      <c r="HY38" s="77">
        <f t="shared" si="223"/>
        <v>8449.4625781257691</v>
      </c>
      <c r="HZ38" s="77">
        <f t="shared" si="223"/>
        <v>6781.7385008519677</v>
      </c>
      <c r="IA38" s="77">
        <f t="shared" si="223"/>
        <v>5285.9273760575597</v>
      </c>
      <c r="IB38" s="77">
        <f t="shared" si="223"/>
        <v>4001.0089338789639</v>
      </c>
      <c r="IC38" s="77">
        <f t="shared" si="223"/>
        <v>2940.9388981358729</v>
      </c>
      <c r="ID38" s="77">
        <f t="shared" si="223"/>
        <v>2099.2811458986425</v>
      </c>
      <c r="IE38" s="77">
        <f t="shared" si="223"/>
        <v>1455.2020626777908</v>
      </c>
      <c r="IF38" s="77">
        <f t="shared" si="223"/>
        <v>979.58935552658977</v>
      </c>
      <c r="IG38" s="77">
        <f t="shared" ref="IG38:IV43" si="224">AND(IG$14&gt;=$GU38,IG$14&lt;=$GV38)*((_xlfn.NORM.DIST(IG$14-$GU38+1,$GW38/2,$GX38,TRUE)-_xlfn.NORM.DIST(IG$14-$GU38,$GW38/2,$GX38,TRUE))/(1-2*_xlfn.NORM.DIST(0,$GW38/2,$GX38,TRUE))*$GT38)</f>
        <v>640.37274037476243</v>
      </c>
      <c r="IH38" s="77">
        <f t="shared" si="224"/>
        <v>406.52719227134509</v>
      </c>
      <c r="II38" s="77">
        <f t="shared" si="224"/>
        <v>250.61918219964249</v>
      </c>
      <c r="IJ38" s="77">
        <f t="shared" si="224"/>
        <v>0</v>
      </c>
      <c r="IK38" s="77">
        <f t="shared" si="224"/>
        <v>0</v>
      </c>
      <c r="IL38" s="77">
        <f t="shared" si="224"/>
        <v>0</v>
      </c>
      <c r="IM38" s="77">
        <f t="shared" si="224"/>
        <v>0</v>
      </c>
      <c r="IN38" s="77">
        <f t="shared" si="224"/>
        <v>0</v>
      </c>
      <c r="IO38" s="77">
        <f t="shared" si="224"/>
        <v>0</v>
      </c>
      <c r="IP38" s="77">
        <f t="shared" si="224"/>
        <v>0</v>
      </c>
      <c r="IQ38" s="77">
        <f t="shared" si="224"/>
        <v>0</v>
      </c>
      <c r="IR38" s="77">
        <f t="shared" si="224"/>
        <v>0</v>
      </c>
      <c r="IS38" s="77">
        <f t="shared" si="224"/>
        <v>0</v>
      </c>
      <c r="IT38" s="77">
        <f t="shared" si="224"/>
        <v>0</v>
      </c>
      <c r="IU38" s="77">
        <f t="shared" si="224"/>
        <v>0</v>
      </c>
      <c r="IV38" s="77">
        <f t="shared" si="224"/>
        <v>0</v>
      </c>
      <c r="IW38" s="77">
        <f t="shared" ref="IW38:JL43" si="225">AND(IW$14&gt;=$GU38,IW$14&lt;=$GV38)*((_xlfn.NORM.DIST(IW$14-$GU38+1,$GW38/2,$GX38,TRUE)-_xlfn.NORM.DIST(IW$14-$GU38,$GW38/2,$GX38,TRUE))/(1-2*_xlfn.NORM.DIST(0,$GW38/2,$GX38,TRUE))*$GT38)</f>
        <v>0</v>
      </c>
      <c r="IX38" s="77">
        <f t="shared" si="225"/>
        <v>0</v>
      </c>
      <c r="IY38" s="77">
        <f t="shared" si="225"/>
        <v>0</v>
      </c>
      <c r="IZ38" s="77">
        <f t="shared" si="225"/>
        <v>0</v>
      </c>
      <c r="JA38" s="77">
        <f t="shared" si="225"/>
        <v>0</v>
      </c>
      <c r="JB38" s="77">
        <f t="shared" si="225"/>
        <v>0</v>
      </c>
      <c r="JC38" s="77">
        <f t="shared" si="225"/>
        <v>0</v>
      </c>
      <c r="JD38" s="77">
        <f t="shared" si="225"/>
        <v>0</v>
      </c>
      <c r="JE38" s="77">
        <f t="shared" si="225"/>
        <v>0</v>
      </c>
      <c r="JF38" s="77">
        <f t="shared" si="225"/>
        <v>0</v>
      </c>
      <c r="JG38" s="77">
        <f t="shared" si="225"/>
        <v>0</v>
      </c>
      <c r="JH38" s="77">
        <f t="shared" si="225"/>
        <v>0</v>
      </c>
      <c r="JI38" s="77">
        <f t="shared" si="225"/>
        <v>0</v>
      </c>
      <c r="JJ38" s="77">
        <f t="shared" si="225"/>
        <v>0</v>
      </c>
      <c r="JK38" s="77">
        <f t="shared" si="225"/>
        <v>0</v>
      </c>
      <c r="JL38" s="77">
        <f t="shared" si="225"/>
        <v>0</v>
      </c>
      <c r="JM38" s="77">
        <f t="shared" ref="JM38:KB43" si="226">AND(JM$14&gt;=$GU38,JM$14&lt;=$GV38)*((_xlfn.NORM.DIST(JM$14-$GU38+1,$GW38/2,$GX38,TRUE)-_xlfn.NORM.DIST(JM$14-$GU38,$GW38/2,$GX38,TRUE))/(1-2*_xlfn.NORM.DIST(0,$GW38/2,$GX38,TRUE))*$GT38)</f>
        <v>0</v>
      </c>
      <c r="JN38" s="77">
        <f t="shared" si="226"/>
        <v>0</v>
      </c>
      <c r="JO38" s="77">
        <f t="shared" si="226"/>
        <v>0</v>
      </c>
      <c r="JP38" s="77">
        <f t="shared" si="226"/>
        <v>0</v>
      </c>
      <c r="JQ38" s="77">
        <f t="shared" si="226"/>
        <v>0</v>
      </c>
      <c r="JR38" s="77">
        <f t="shared" si="226"/>
        <v>0</v>
      </c>
      <c r="JS38" s="77">
        <f t="shared" si="226"/>
        <v>0</v>
      </c>
      <c r="JT38" s="77">
        <f t="shared" si="226"/>
        <v>0</v>
      </c>
      <c r="JU38" s="77">
        <f t="shared" si="226"/>
        <v>0</v>
      </c>
      <c r="JV38" s="77">
        <f t="shared" si="226"/>
        <v>0</v>
      </c>
      <c r="JW38" s="77">
        <f t="shared" si="226"/>
        <v>0</v>
      </c>
      <c r="JX38" s="77">
        <f t="shared" si="226"/>
        <v>0</v>
      </c>
      <c r="JY38" s="77">
        <f t="shared" si="226"/>
        <v>0</v>
      </c>
      <c r="JZ38" s="77">
        <f t="shared" si="226"/>
        <v>0</v>
      </c>
      <c r="KA38" s="77">
        <f t="shared" si="226"/>
        <v>0</v>
      </c>
      <c r="KB38" s="77">
        <f t="shared" si="226"/>
        <v>0</v>
      </c>
      <c r="KC38" s="77">
        <f t="shared" ref="KC38:KR43" si="227">AND(KC$14&gt;=$GU38,KC$14&lt;=$GV38)*((_xlfn.NORM.DIST(KC$14-$GU38+1,$GW38/2,$GX38,TRUE)-_xlfn.NORM.DIST(KC$14-$GU38,$GW38/2,$GX38,TRUE))/(1-2*_xlfn.NORM.DIST(0,$GW38/2,$GX38,TRUE))*$GT38)</f>
        <v>0</v>
      </c>
      <c r="KD38" s="77">
        <f t="shared" si="227"/>
        <v>0</v>
      </c>
      <c r="KE38" s="77">
        <f t="shared" si="227"/>
        <v>0</v>
      </c>
      <c r="KF38" s="77">
        <f t="shared" si="227"/>
        <v>0</v>
      </c>
      <c r="KG38" s="77">
        <f t="shared" si="227"/>
        <v>0</v>
      </c>
      <c r="KH38" s="77">
        <f t="shared" si="227"/>
        <v>0</v>
      </c>
      <c r="KI38" s="77">
        <f t="shared" si="227"/>
        <v>0</v>
      </c>
      <c r="KJ38" s="77">
        <f t="shared" si="227"/>
        <v>0</v>
      </c>
      <c r="KK38" s="77">
        <f t="shared" si="227"/>
        <v>0</v>
      </c>
      <c r="KL38" s="77">
        <f t="shared" si="227"/>
        <v>0</v>
      </c>
      <c r="KM38" s="77">
        <f t="shared" si="227"/>
        <v>0</v>
      </c>
      <c r="KN38" s="77">
        <f t="shared" si="227"/>
        <v>0</v>
      </c>
      <c r="KO38" s="77">
        <f t="shared" si="227"/>
        <v>0</v>
      </c>
      <c r="KP38" s="77">
        <f t="shared" si="227"/>
        <v>0</v>
      </c>
      <c r="KQ38" s="77">
        <f t="shared" si="227"/>
        <v>0</v>
      </c>
      <c r="KR38" s="77">
        <f t="shared" si="227"/>
        <v>0</v>
      </c>
      <c r="KS38" s="77">
        <f t="shared" ref="KS38:LH43" si="228">AND(KS$14&gt;=$GU38,KS$14&lt;=$GV38)*((_xlfn.NORM.DIST(KS$14-$GU38+1,$GW38/2,$GX38,TRUE)-_xlfn.NORM.DIST(KS$14-$GU38,$GW38/2,$GX38,TRUE))/(1-2*_xlfn.NORM.DIST(0,$GW38/2,$GX38,TRUE))*$GT38)</f>
        <v>0</v>
      </c>
      <c r="KT38" s="77">
        <f t="shared" si="228"/>
        <v>0</v>
      </c>
      <c r="KU38" s="77">
        <f t="shared" si="228"/>
        <v>0</v>
      </c>
      <c r="KV38" s="77">
        <f t="shared" si="228"/>
        <v>0</v>
      </c>
      <c r="KW38" s="77">
        <f t="shared" si="228"/>
        <v>0</v>
      </c>
      <c r="KX38" s="77">
        <f t="shared" si="228"/>
        <v>0</v>
      </c>
      <c r="KY38" s="77">
        <f t="shared" si="228"/>
        <v>0</v>
      </c>
      <c r="KZ38" s="77">
        <f t="shared" si="228"/>
        <v>0</v>
      </c>
      <c r="LA38" s="77">
        <f t="shared" si="228"/>
        <v>0</v>
      </c>
      <c r="LB38" s="77">
        <f t="shared" si="228"/>
        <v>0</v>
      </c>
      <c r="LC38" s="77">
        <f t="shared" si="228"/>
        <v>0</v>
      </c>
      <c r="LD38" s="77">
        <f t="shared" si="228"/>
        <v>0</v>
      </c>
      <c r="LE38" s="77">
        <f t="shared" si="228"/>
        <v>0</v>
      </c>
      <c r="LF38" s="77">
        <f t="shared" si="228"/>
        <v>0</v>
      </c>
      <c r="LG38" s="77">
        <f t="shared" si="228"/>
        <v>0</v>
      </c>
      <c r="LH38" s="77">
        <f t="shared" si="228"/>
        <v>0</v>
      </c>
      <c r="LI38" s="77">
        <f t="shared" ref="LI38:LX43" si="229">AND(LI$14&gt;=$GU38,LI$14&lt;=$GV38)*((_xlfn.NORM.DIST(LI$14-$GU38+1,$GW38/2,$GX38,TRUE)-_xlfn.NORM.DIST(LI$14-$GU38,$GW38/2,$GX38,TRUE))/(1-2*_xlfn.NORM.DIST(0,$GW38/2,$GX38,TRUE))*$GT38)</f>
        <v>0</v>
      </c>
      <c r="LJ38" s="77">
        <f t="shared" si="229"/>
        <v>0</v>
      </c>
      <c r="LK38" s="77">
        <f t="shared" si="229"/>
        <v>0</v>
      </c>
      <c r="LL38" s="77">
        <f t="shared" si="229"/>
        <v>0</v>
      </c>
      <c r="LM38" s="77">
        <f t="shared" si="229"/>
        <v>0</v>
      </c>
      <c r="LN38" s="77">
        <f t="shared" si="229"/>
        <v>0</v>
      </c>
      <c r="LO38" s="77">
        <f t="shared" si="229"/>
        <v>0</v>
      </c>
      <c r="LP38" s="77">
        <f t="shared" si="229"/>
        <v>0</v>
      </c>
      <c r="LQ38" s="77">
        <f t="shared" si="229"/>
        <v>0</v>
      </c>
      <c r="LR38" s="77">
        <f t="shared" si="229"/>
        <v>0</v>
      </c>
      <c r="LS38" s="77">
        <f t="shared" si="229"/>
        <v>0</v>
      </c>
      <c r="LT38" s="77">
        <f t="shared" si="229"/>
        <v>0</v>
      </c>
      <c r="LU38" s="77">
        <f t="shared" si="229"/>
        <v>0</v>
      </c>
      <c r="LV38" s="77">
        <f t="shared" si="229"/>
        <v>0</v>
      </c>
      <c r="LW38" s="77">
        <f t="shared" si="229"/>
        <v>0</v>
      </c>
      <c r="LX38" s="77">
        <f t="shared" si="229"/>
        <v>0</v>
      </c>
      <c r="LY38" s="77">
        <f t="shared" ref="LY38:MN43" si="230">AND(LY$14&gt;=$GU38,LY$14&lt;=$GV38)*((_xlfn.NORM.DIST(LY$14-$GU38+1,$GW38/2,$GX38,TRUE)-_xlfn.NORM.DIST(LY$14-$GU38,$GW38/2,$GX38,TRUE))/(1-2*_xlfn.NORM.DIST(0,$GW38/2,$GX38,TRUE))*$GT38)</f>
        <v>0</v>
      </c>
      <c r="LZ38" s="77">
        <f t="shared" si="230"/>
        <v>0</v>
      </c>
      <c r="MA38" s="77">
        <f t="shared" si="230"/>
        <v>0</v>
      </c>
      <c r="MB38" s="77">
        <f t="shared" si="230"/>
        <v>0</v>
      </c>
      <c r="MC38" s="77">
        <f t="shared" si="230"/>
        <v>0</v>
      </c>
      <c r="MD38" s="77">
        <f t="shared" si="230"/>
        <v>0</v>
      </c>
      <c r="ME38" s="77">
        <f t="shared" si="230"/>
        <v>0</v>
      </c>
      <c r="MF38" s="77">
        <f t="shared" si="230"/>
        <v>0</v>
      </c>
      <c r="MG38" s="77">
        <f t="shared" si="230"/>
        <v>0</v>
      </c>
      <c r="MH38" s="77">
        <f t="shared" si="230"/>
        <v>0</v>
      </c>
      <c r="MI38" s="77">
        <f t="shared" si="230"/>
        <v>0</v>
      </c>
      <c r="MJ38" s="77">
        <f t="shared" si="230"/>
        <v>0</v>
      </c>
      <c r="MK38" s="77">
        <f t="shared" si="230"/>
        <v>0</v>
      </c>
      <c r="ML38" s="77">
        <f t="shared" si="230"/>
        <v>0</v>
      </c>
      <c r="MM38" s="77">
        <f t="shared" si="230"/>
        <v>0</v>
      </c>
      <c r="MN38" s="77">
        <f t="shared" si="230"/>
        <v>0</v>
      </c>
      <c r="MO38" s="77">
        <f t="shared" ref="MO38:ND43" si="231">AND(MO$14&gt;=$GU38,MO$14&lt;=$GV38)*((_xlfn.NORM.DIST(MO$14-$GU38+1,$GW38/2,$GX38,TRUE)-_xlfn.NORM.DIST(MO$14-$GU38,$GW38/2,$GX38,TRUE))/(1-2*_xlfn.NORM.DIST(0,$GW38/2,$GX38,TRUE))*$GT38)</f>
        <v>0</v>
      </c>
      <c r="MP38" s="77">
        <f t="shared" si="231"/>
        <v>0</v>
      </c>
      <c r="MQ38" s="77">
        <f t="shared" si="231"/>
        <v>0</v>
      </c>
      <c r="MR38" s="77">
        <f t="shared" si="231"/>
        <v>0</v>
      </c>
      <c r="MS38" s="77">
        <f t="shared" si="231"/>
        <v>0</v>
      </c>
      <c r="MT38" s="77">
        <f t="shared" si="231"/>
        <v>0</v>
      </c>
      <c r="MU38" s="77">
        <f t="shared" si="231"/>
        <v>0</v>
      </c>
      <c r="MV38" s="77">
        <f t="shared" si="231"/>
        <v>0</v>
      </c>
      <c r="MW38" s="77">
        <f t="shared" si="231"/>
        <v>0</v>
      </c>
      <c r="MX38" s="77">
        <f t="shared" si="231"/>
        <v>0</v>
      </c>
      <c r="MY38" s="77">
        <f t="shared" si="231"/>
        <v>0</v>
      </c>
      <c r="MZ38" s="77">
        <f t="shared" si="231"/>
        <v>0</v>
      </c>
      <c r="NA38" s="77">
        <f t="shared" si="231"/>
        <v>0</v>
      </c>
      <c r="NB38" s="77">
        <f t="shared" si="231"/>
        <v>0</v>
      </c>
      <c r="NC38" s="77">
        <f t="shared" si="231"/>
        <v>0</v>
      </c>
      <c r="ND38" s="77">
        <f t="shared" si="231"/>
        <v>0</v>
      </c>
      <c r="NE38" s="77">
        <f t="shared" ref="NE38:NT43" si="232">AND(NE$14&gt;=$GU38,NE$14&lt;=$GV38)*((_xlfn.NORM.DIST(NE$14-$GU38+1,$GW38/2,$GX38,TRUE)-_xlfn.NORM.DIST(NE$14-$GU38,$GW38/2,$GX38,TRUE))/(1-2*_xlfn.NORM.DIST(0,$GW38/2,$GX38,TRUE))*$GT38)</f>
        <v>0</v>
      </c>
      <c r="NF38" s="77">
        <f t="shared" si="232"/>
        <v>0</v>
      </c>
      <c r="NG38" s="77">
        <f t="shared" si="232"/>
        <v>0</v>
      </c>
      <c r="NH38" s="77">
        <f t="shared" si="232"/>
        <v>0</v>
      </c>
      <c r="NI38" s="77">
        <f t="shared" si="232"/>
        <v>0</v>
      </c>
      <c r="NJ38" s="77">
        <f t="shared" si="232"/>
        <v>0</v>
      </c>
      <c r="NK38" s="77">
        <f t="shared" si="232"/>
        <v>0</v>
      </c>
      <c r="NL38" s="77">
        <f t="shared" si="232"/>
        <v>0</v>
      </c>
      <c r="NM38" s="77">
        <f t="shared" si="232"/>
        <v>0</v>
      </c>
      <c r="NN38" s="77">
        <f t="shared" si="232"/>
        <v>0</v>
      </c>
      <c r="NO38" s="77">
        <f t="shared" si="232"/>
        <v>0</v>
      </c>
      <c r="NP38" s="77">
        <f t="shared" si="232"/>
        <v>0</v>
      </c>
      <c r="NQ38" s="77">
        <f t="shared" si="232"/>
        <v>0</v>
      </c>
      <c r="NR38" s="77">
        <f t="shared" si="232"/>
        <v>0</v>
      </c>
      <c r="NS38" s="77">
        <f t="shared" si="232"/>
        <v>0</v>
      </c>
      <c r="NT38" s="77">
        <f t="shared" si="232"/>
        <v>0</v>
      </c>
      <c r="NU38" s="77">
        <f t="shared" ref="NU38:NW43" si="233">AND(NU$14&gt;=$GU38,NU$14&lt;=$GV38)*((_xlfn.NORM.DIST(NU$14-$GU38+1,$GW38/2,$GX38,TRUE)-_xlfn.NORM.DIST(NU$14-$GU38,$GW38/2,$GX38,TRUE))/(1-2*_xlfn.NORM.DIST(0,$GW38/2,$GX38,TRUE))*$GT38)</f>
        <v>0</v>
      </c>
      <c r="NV38" s="77">
        <f t="shared" si="233"/>
        <v>0</v>
      </c>
      <c r="NW38" s="77">
        <f t="shared" si="233"/>
        <v>0</v>
      </c>
      <c r="NX38" s="10"/>
    </row>
    <row r="39" spans="2:388" x14ac:dyDescent="0.3">
      <c r="B39" s="26" t="s">
        <v>337</v>
      </c>
      <c r="C39" s="18"/>
      <c r="D39" s="19"/>
      <c r="E39" s="27">
        <v>2</v>
      </c>
      <c r="F39" s="27">
        <v>8</v>
      </c>
      <c r="G39" s="21"/>
      <c r="H39" s="28">
        <f t="shared" si="196"/>
        <v>7</v>
      </c>
      <c r="I39" s="21" t="s">
        <v>195</v>
      </c>
      <c r="J39" s="23">
        <f t="shared" si="197"/>
        <v>1086.9565217391305</v>
      </c>
      <c r="K39" s="29">
        <f t="shared" si="198"/>
        <v>0.14367816091954022</v>
      </c>
      <c r="L39" s="30">
        <v>250000</v>
      </c>
      <c r="N39" s="9" t="s">
        <v>215</v>
      </c>
      <c r="S39" s="69" t="str">
        <f t="shared" si="199"/>
        <v>OK</v>
      </c>
      <c r="T39" s="16">
        <f t="shared" si="200"/>
        <v>0</v>
      </c>
      <c r="U39" s="16">
        <f t="shared" si="200"/>
        <v>35714.285714285717</v>
      </c>
      <c r="V39" s="16">
        <f t="shared" si="200"/>
        <v>35714.285714285717</v>
      </c>
      <c r="W39" s="16">
        <f t="shared" si="200"/>
        <v>35714.285714285717</v>
      </c>
      <c r="X39" s="16">
        <f t="shared" si="200"/>
        <v>35714.285714285717</v>
      </c>
      <c r="Y39" s="16">
        <f t="shared" si="200"/>
        <v>35714.285714285717</v>
      </c>
      <c r="Z39" s="16">
        <f t="shared" si="200"/>
        <v>35714.285714285717</v>
      </c>
      <c r="AA39" s="16">
        <f t="shared" si="200"/>
        <v>35714.285714285717</v>
      </c>
      <c r="AB39" s="16">
        <f t="shared" si="200"/>
        <v>0</v>
      </c>
      <c r="AC39" s="16">
        <f t="shared" si="200"/>
        <v>0</v>
      </c>
      <c r="AD39" s="16">
        <f t="shared" si="201"/>
        <v>0</v>
      </c>
      <c r="AE39" s="16">
        <f t="shared" si="201"/>
        <v>0</v>
      </c>
      <c r="AF39" s="16">
        <f t="shared" si="201"/>
        <v>0</v>
      </c>
      <c r="AG39" s="16">
        <f t="shared" si="201"/>
        <v>0</v>
      </c>
      <c r="AH39" s="16">
        <f t="shared" si="201"/>
        <v>0</v>
      </c>
      <c r="AI39" s="16">
        <f t="shared" si="201"/>
        <v>0</v>
      </c>
      <c r="AJ39" s="16">
        <f t="shared" si="201"/>
        <v>0</v>
      </c>
      <c r="AK39" s="16">
        <f t="shared" si="201"/>
        <v>0</v>
      </c>
      <c r="AL39" s="16">
        <f t="shared" si="201"/>
        <v>0</v>
      </c>
      <c r="AM39" s="16">
        <f t="shared" si="201"/>
        <v>0</v>
      </c>
      <c r="AN39" s="16">
        <f t="shared" si="202"/>
        <v>0</v>
      </c>
      <c r="AO39" s="16">
        <f t="shared" si="202"/>
        <v>0</v>
      </c>
      <c r="AP39" s="16">
        <f t="shared" si="202"/>
        <v>0</v>
      </c>
      <c r="AQ39" s="16">
        <f t="shared" si="202"/>
        <v>0</v>
      </c>
      <c r="AR39" s="16">
        <f t="shared" si="202"/>
        <v>0</v>
      </c>
      <c r="AS39" s="16">
        <f t="shared" si="202"/>
        <v>0</v>
      </c>
      <c r="AT39" s="16">
        <f t="shared" si="202"/>
        <v>0</v>
      </c>
      <c r="AU39" s="16">
        <f t="shared" si="202"/>
        <v>0</v>
      </c>
      <c r="AV39" s="16">
        <f t="shared" si="202"/>
        <v>0</v>
      </c>
      <c r="AW39" s="16">
        <f t="shared" si="202"/>
        <v>0</v>
      </c>
      <c r="AX39" s="16">
        <f t="shared" si="203"/>
        <v>0</v>
      </c>
      <c r="AY39" s="16">
        <f t="shared" si="203"/>
        <v>0</v>
      </c>
      <c r="AZ39" s="16">
        <f t="shared" si="203"/>
        <v>0</v>
      </c>
      <c r="BA39" s="16">
        <f t="shared" si="203"/>
        <v>0</v>
      </c>
      <c r="BB39" s="16">
        <f t="shared" si="203"/>
        <v>0</v>
      </c>
      <c r="BC39" s="16">
        <f t="shared" si="203"/>
        <v>0</v>
      </c>
      <c r="BD39" s="16">
        <f t="shared" si="203"/>
        <v>0</v>
      </c>
      <c r="BE39" s="16">
        <f t="shared" si="203"/>
        <v>0</v>
      </c>
      <c r="BF39" s="16">
        <f t="shared" si="203"/>
        <v>0</v>
      </c>
      <c r="BG39" s="16">
        <f t="shared" si="203"/>
        <v>0</v>
      </c>
      <c r="BH39" s="16">
        <f t="shared" si="204"/>
        <v>0</v>
      </c>
      <c r="BI39" s="16">
        <f t="shared" si="204"/>
        <v>0</v>
      </c>
      <c r="BJ39" s="16">
        <f t="shared" si="204"/>
        <v>0</v>
      </c>
      <c r="BK39" s="16">
        <f t="shared" si="204"/>
        <v>0</v>
      </c>
      <c r="BL39" s="16">
        <f t="shared" si="204"/>
        <v>0</v>
      </c>
      <c r="BM39" s="16">
        <f t="shared" si="204"/>
        <v>0</v>
      </c>
      <c r="BN39" s="16">
        <f t="shared" si="204"/>
        <v>0</v>
      </c>
      <c r="BO39" s="16">
        <f t="shared" si="204"/>
        <v>0</v>
      </c>
      <c r="BP39" s="16">
        <f t="shared" si="204"/>
        <v>0</v>
      </c>
      <c r="BQ39" s="16">
        <f t="shared" si="204"/>
        <v>0</v>
      </c>
      <c r="BR39" s="16">
        <f t="shared" si="205"/>
        <v>0</v>
      </c>
      <c r="BS39" s="16">
        <f t="shared" si="205"/>
        <v>0</v>
      </c>
      <c r="BT39" s="16">
        <f t="shared" si="205"/>
        <v>0</v>
      </c>
      <c r="BU39" s="16">
        <f t="shared" si="205"/>
        <v>0</v>
      </c>
      <c r="BV39" s="16">
        <f t="shared" si="205"/>
        <v>0</v>
      </c>
      <c r="BW39" s="16">
        <f t="shared" si="205"/>
        <v>0</v>
      </c>
      <c r="BX39" s="16">
        <f t="shared" si="205"/>
        <v>0</v>
      </c>
      <c r="BY39" s="16">
        <f t="shared" si="205"/>
        <v>0</v>
      </c>
      <c r="BZ39" s="16">
        <f t="shared" si="205"/>
        <v>0</v>
      </c>
      <c r="CA39" s="16">
        <f t="shared" si="205"/>
        <v>0</v>
      </c>
      <c r="CB39" s="16">
        <f t="shared" si="206"/>
        <v>0</v>
      </c>
      <c r="CC39" s="16">
        <f t="shared" si="206"/>
        <v>0</v>
      </c>
      <c r="CD39" s="16">
        <f t="shared" si="206"/>
        <v>0</v>
      </c>
      <c r="CE39" s="16">
        <f t="shared" si="206"/>
        <v>0</v>
      </c>
      <c r="CF39" s="16">
        <f t="shared" si="206"/>
        <v>0</v>
      </c>
      <c r="CG39" s="16">
        <f t="shared" si="206"/>
        <v>0</v>
      </c>
      <c r="CH39" s="16">
        <f t="shared" si="206"/>
        <v>0</v>
      </c>
      <c r="CI39" s="16">
        <f t="shared" si="206"/>
        <v>0</v>
      </c>
      <c r="CJ39" s="16">
        <f t="shared" si="206"/>
        <v>0</v>
      </c>
      <c r="CK39" s="16">
        <f t="shared" si="206"/>
        <v>0</v>
      </c>
      <c r="CL39" s="16">
        <f t="shared" si="207"/>
        <v>0</v>
      </c>
      <c r="CM39" s="16">
        <f t="shared" si="207"/>
        <v>0</v>
      </c>
      <c r="CN39" s="16">
        <f t="shared" si="207"/>
        <v>0</v>
      </c>
      <c r="CO39" s="16">
        <f t="shared" si="207"/>
        <v>0</v>
      </c>
      <c r="CP39" s="16">
        <f t="shared" si="207"/>
        <v>0</v>
      </c>
      <c r="CQ39" s="16">
        <f t="shared" si="207"/>
        <v>0</v>
      </c>
      <c r="CR39" s="16">
        <f t="shared" si="207"/>
        <v>0</v>
      </c>
      <c r="CS39" s="16">
        <f t="shared" si="207"/>
        <v>0</v>
      </c>
      <c r="CT39" s="16">
        <f t="shared" si="207"/>
        <v>0</v>
      </c>
      <c r="CU39" s="16">
        <f t="shared" si="207"/>
        <v>0</v>
      </c>
      <c r="CV39" s="16">
        <f t="shared" si="208"/>
        <v>0</v>
      </c>
      <c r="CW39" s="16">
        <f t="shared" si="208"/>
        <v>0</v>
      </c>
      <c r="CX39" s="16">
        <f t="shared" si="208"/>
        <v>0</v>
      </c>
      <c r="CY39" s="16">
        <f t="shared" si="208"/>
        <v>0</v>
      </c>
      <c r="CZ39" s="16">
        <f t="shared" si="208"/>
        <v>0</v>
      </c>
      <c r="DA39" s="16">
        <f t="shared" si="208"/>
        <v>0</v>
      </c>
      <c r="DB39" s="16">
        <f t="shared" si="208"/>
        <v>0</v>
      </c>
      <c r="DC39" s="16">
        <f t="shared" si="208"/>
        <v>0</v>
      </c>
      <c r="DD39" s="16">
        <f t="shared" si="208"/>
        <v>0</v>
      </c>
      <c r="DE39" s="16">
        <f t="shared" si="208"/>
        <v>0</v>
      </c>
      <c r="DF39" s="16">
        <f t="shared" si="209"/>
        <v>0</v>
      </c>
      <c r="DG39" s="16">
        <f t="shared" si="209"/>
        <v>0</v>
      </c>
      <c r="DH39" s="16">
        <f t="shared" si="209"/>
        <v>0</v>
      </c>
      <c r="DI39" s="16">
        <f t="shared" si="209"/>
        <v>0</v>
      </c>
      <c r="DJ39" s="16">
        <f t="shared" si="209"/>
        <v>0</v>
      </c>
      <c r="DK39" s="16">
        <f t="shared" si="209"/>
        <v>0</v>
      </c>
      <c r="DL39" s="16">
        <f t="shared" si="209"/>
        <v>0</v>
      </c>
      <c r="DM39" s="16">
        <f t="shared" si="209"/>
        <v>0</v>
      </c>
      <c r="DN39" s="16">
        <f t="shared" si="209"/>
        <v>0</v>
      </c>
      <c r="DO39" s="16">
        <f t="shared" si="209"/>
        <v>0</v>
      </c>
      <c r="DP39" s="16">
        <f t="shared" si="210"/>
        <v>0</v>
      </c>
      <c r="DQ39" s="16">
        <f t="shared" si="210"/>
        <v>0</v>
      </c>
      <c r="DR39" s="16">
        <f t="shared" si="210"/>
        <v>0</v>
      </c>
      <c r="DS39" s="16">
        <f t="shared" si="210"/>
        <v>0</v>
      </c>
      <c r="DT39" s="16">
        <f t="shared" si="210"/>
        <v>0</v>
      </c>
      <c r="DU39" s="16">
        <f t="shared" si="210"/>
        <v>0</v>
      </c>
      <c r="DV39" s="16">
        <f t="shared" si="210"/>
        <v>0</v>
      </c>
      <c r="DW39" s="16">
        <f t="shared" si="210"/>
        <v>0</v>
      </c>
      <c r="DX39" s="16">
        <f t="shared" si="210"/>
        <v>0</v>
      </c>
      <c r="DY39" s="16">
        <f t="shared" si="210"/>
        <v>0</v>
      </c>
      <c r="DZ39" s="16">
        <f t="shared" si="211"/>
        <v>0</v>
      </c>
      <c r="EA39" s="16">
        <f t="shared" si="211"/>
        <v>0</v>
      </c>
      <c r="EB39" s="16">
        <f t="shared" si="211"/>
        <v>0</v>
      </c>
      <c r="EC39" s="16">
        <f t="shared" si="211"/>
        <v>0</v>
      </c>
      <c r="ED39" s="16">
        <f t="shared" si="211"/>
        <v>0</v>
      </c>
      <c r="EE39" s="16">
        <f t="shared" si="211"/>
        <v>0</v>
      </c>
      <c r="EF39" s="16">
        <f t="shared" si="211"/>
        <v>0</v>
      </c>
      <c r="EG39" s="16">
        <f t="shared" si="211"/>
        <v>0</v>
      </c>
      <c r="EH39" s="16">
        <f t="shared" si="211"/>
        <v>0</v>
      </c>
      <c r="EI39" s="16">
        <f t="shared" si="211"/>
        <v>0</v>
      </c>
      <c r="EJ39" s="16">
        <f t="shared" si="212"/>
        <v>0</v>
      </c>
      <c r="EK39" s="16">
        <f t="shared" si="212"/>
        <v>0</v>
      </c>
      <c r="EL39" s="16">
        <f t="shared" si="212"/>
        <v>0</v>
      </c>
      <c r="EM39" s="16">
        <f t="shared" si="212"/>
        <v>0</v>
      </c>
      <c r="EN39" s="16">
        <f t="shared" si="212"/>
        <v>0</v>
      </c>
      <c r="EO39" s="16">
        <f t="shared" si="212"/>
        <v>0</v>
      </c>
      <c r="EP39" s="16">
        <f t="shared" si="212"/>
        <v>0</v>
      </c>
      <c r="EQ39" s="16">
        <f t="shared" si="212"/>
        <v>0</v>
      </c>
      <c r="ER39" s="16">
        <f t="shared" si="212"/>
        <v>0</v>
      </c>
      <c r="ES39" s="16">
        <f t="shared" si="212"/>
        <v>0</v>
      </c>
      <c r="ET39" s="16">
        <f t="shared" si="213"/>
        <v>0</v>
      </c>
      <c r="EU39" s="16">
        <f t="shared" si="213"/>
        <v>0</v>
      </c>
      <c r="EV39" s="16">
        <f t="shared" si="213"/>
        <v>0</v>
      </c>
      <c r="EW39" s="16">
        <f t="shared" si="213"/>
        <v>0</v>
      </c>
      <c r="EX39" s="16">
        <f t="shared" si="213"/>
        <v>0</v>
      </c>
      <c r="EY39" s="16">
        <f t="shared" si="213"/>
        <v>0</v>
      </c>
      <c r="EZ39" s="16">
        <f t="shared" si="213"/>
        <v>0</v>
      </c>
      <c r="FA39" s="16">
        <f t="shared" si="213"/>
        <v>0</v>
      </c>
      <c r="FB39" s="16">
        <f t="shared" si="213"/>
        <v>0</v>
      </c>
      <c r="FC39" s="16">
        <f t="shared" si="213"/>
        <v>0</v>
      </c>
      <c r="FD39" s="16">
        <f t="shared" si="214"/>
        <v>0</v>
      </c>
      <c r="FE39" s="16">
        <f t="shared" si="214"/>
        <v>0</v>
      </c>
      <c r="FF39" s="16">
        <f t="shared" si="214"/>
        <v>0</v>
      </c>
      <c r="FG39" s="16">
        <f t="shared" si="214"/>
        <v>0</v>
      </c>
      <c r="FH39" s="16">
        <f t="shared" si="214"/>
        <v>0</v>
      </c>
      <c r="FI39" s="16">
        <f t="shared" si="214"/>
        <v>0</v>
      </c>
      <c r="FJ39" s="16">
        <f t="shared" si="214"/>
        <v>0</v>
      </c>
      <c r="FK39" s="16">
        <f t="shared" si="214"/>
        <v>0</v>
      </c>
      <c r="FL39" s="16">
        <f t="shared" si="214"/>
        <v>0</v>
      </c>
      <c r="FM39" s="16">
        <f t="shared" si="214"/>
        <v>0</v>
      </c>
      <c r="FN39" s="16">
        <f t="shared" si="215"/>
        <v>0</v>
      </c>
      <c r="FO39" s="16">
        <f t="shared" si="215"/>
        <v>0</v>
      </c>
      <c r="FP39" s="16">
        <f t="shared" si="215"/>
        <v>0</v>
      </c>
      <c r="FQ39" s="16">
        <f t="shared" si="215"/>
        <v>0</v>
      </c>
      <c r="FR39" s="16">
        <f t="shared" si="215"/>
        <v>0</v>
      </c>
      <c r="FS39" s="16">
        <f t="shared" si="215"/>
        <v>0</v>
      </c>
      <c r="FT39" s="16">
        <f t="shared" si="215"/>
        <v>0</v>
      </c>
      <c r="FU39" s="16">
        <f t="shared" si="215"/>
        <v>0</v>
      </c>
      <c r="FV39" s="16">
        <f t="shared" si="215"/>
        <v>0</v>
      </c>
      <c r="FW39" s="16">
        <f t="shared" si="215"/>
        <v>0</v>
      </c>
      <c r="FX39" s="16">
        <f t="shared" si="216"/>
        <v>0</v>
      </c>
      <c r="FY39" s="16">
        <f t="shared" si="216"/>
        <v>0</v>
      </c>
      <c r="FZ39" s="16">
        <f t="shared" si="216"/>
        <v>0</v>
      </c>
      <c r="GA39" s="16">
        <f t="shared" si="216"/>
        <v>0</v>
      </c>
      <c r="GB39" s="16">
        <f t="shared" si="216"/>
        <v>0</v>
      </c>
      <c r="GC39" s="16">
        <f t="shared" si="216"/>
        <v>0</v>
      </c>
      <c r="GD39" s="16">
        <f t="shared" si="216"/>
        <v>0</v>
      </c>
      <c r="GE39" s="16">
        <f t="shared" si="216"/>
        <v>0</v>
      </c>
      <c r="GF39" s="16">
        <f t="shared" si="216"/>
        <v>0</v>
      </c>
      <c r="GG39" s="16">
        <f t="shared" si="216"/>
        <v>0</v>
      </c>
      <c r="GH39" s="16">
        <f t="shared" si="217"/>
        <v>0</v>
      </c>
      <c r="GI39" s="16">
        <f t="shared" si="217"/>
        <v>0</v>
      </c>
      <c r="GJ39" s="16">
        <f t="shared" si="217"/>
        <v>0</v>
      </c>
      <c r="GK39" s="16">
        <f t="shared" si="217"/>
        <v>0</v>
      </c>
      <c r="GL39" s="16">
        <f t="shared" si="217"/>
        <v>0</v>
      </c>
      <c r="GM39" s="16">
        <f t="shared" si="217"/>
        <v>0</v>
      </c>
      <c r="GN39" s="16">
        <f t="shared" si="217"/>
        <v>0</v>
      </c>
      <c r="GO39" s="16">
        <f t="shared" si="217"/>
        <v>0</v>
      </c>
      <c r="GP39" s="16">
        <f t="shared" si="217"/>
        <v>0</v>
      </c>
      <c r="GQ39" s="16">
        <f t="shared" si="217"/>
        <v>0</v>
      </c>
      <c r="GR39" s="9"/>
      <c r="GS39" s="70" t="str">
        <f t="shared" si="191"/>
        <v>Entitlement and carry Cost</v>
      </c>
      <c r="GT39" s="77">
        <f t="shared" si="218"/>
        <v>250000</v>
      </c>
      <c r="GU39" s="78">
        <f t="shared" si="192"/>
        <v>2</v>
      </c>
      <c r="GV39" s="78">
        <f t="shared" si="192"/>
        <v>8</v>
      </c>
      <c r="GW39" s="78">
        <f t="shared" si="219"/>
        <v>7</v>
      </c>
      <c r="GX39" s="79">
        <f t="shared" si="220"/>
        <v>1.1666666666666667</v>
      </c>
      <c r="GY39" s="79" t="b">
        <f t="shared" ref="GY39:GY44" si="234">ROUND(GT39,0)=ROUND(SUM(GZ39:NW39),0)</f>
        <v>1</v>
      </c>
      <c r="GZ39" s="77">
        <f t="shared" si="221"/>
        <v>0</v>
      </c>
      <c r="HA39" s="77">
        <f t="shared" si="222"/>
        <v>3688.0538864131872</v>
      </c>
      <c r="HB39" s="77">
        <f t="shared" si="222"/>
        <v>20858.59175377767</v>
      </c>
      <c r="HC39" s="77">
        <f t="shared" si="222"/>
        <v>58870.481808602497</v>
      </c>
      <c r="HD39" s="77">
        <f t="shared" si="222"/>
        <v>83165.74510241329</v>
      </c>
      <c r="HE39" s="77">
        <f t="shared" si="222"/>
        <v>58870.481808602504</v>
      </c>
      <c r="HF39" s="77">
        <f t="shared" si="222"/>
        <v>20858.591753777673</v>
      </c>
      <c r="HG39" s="77">
        <f t="shared" si="222"/>
        <v>3688.0538864131727</v>
      </c>
      <c r="HH39" s="77">
        <f t="shared" si="222"/>
        <v>0</v>
      </c>
      <c r="HI39" s="77">
        <f t="shared" si="222"/>
        <v>0</v>
      </c>
      <c r="HJ39" s="77">
        <f t="shared" si="222"/>
        <v>0</v>
      </c>
      <c r="HK39" s="77">
        <f t="shared" si="222"/>
        <v>0</v>
      </c>
      <c r="HL39" s="77">
        <f t="shared" si="222"/>
        <v>0</v>
      </c>
      <c r="HM39" s="77">
        <f t="shared" si="222"/>
        <v>0</v>
      </c>
      <c r="HN39" s="77">
        <f t="shared" si="222"/>
        <v>0</v>
      </c>
      <c r="HO39" s="77">
        <f t="shared" si="222"/>
        <v>0</v>
      </c>
      <c r="HP39" s="77">
        <f t="shared" si="222"/>
        <v>0</v>
      </c>
      <c r="HQ39" s="77">
        <f t="shared" si="223"/>
        <v>0</v>
      </c>
      <c r="HR39" s="77">
        <f t="shared" si="223"/>
        <v>0</v>
      </c>
      <c r="HS39" s="77">
        <f t="shared" si="223"/>
        <v>0</v>
      </c>
      <c r="HT39" s="77">
        <f t="shared" si="223"/>
        <v>0</v>
      </c>
      <c r="HU39" s="77">
        <f t="shared" si="223"/>
        <v>0</v>
      </c>
      <c r="HV39" s="77">
        <f t="shared" si="223"/>
        <v>0</v>
      </c>
      <c r="HW39" s="77">
        <f t="shared" si="223"/>
        <v>0</v>
      </c>
      <c r="HX39" s="77">
        <f t="shared" si="223"/>
        <v>0</v>
      </c>
      <c r="HY39" s="77">
        <f t="shared" si="223"/>
        <v>0</v>
      </c>
      <c r="HZ39" s="77">
        <f t="shared" si="223"/>
        <v>0</v>
      </c>
      <c r="IA39" s="77">
        <f t="shared" si="223"/>
        <v>0</v>
      </c>
      <c r="IB39" s="77">
        <f t="shared" si="223"/>
        <v>0</v>
      </c>
      <c r="IC39" s="77">
        <f t="shared" si="223"/>
        <v>0</v>
      </c>
      <c r="ID39" s="77">
        <f t="shared" si="223"/>
        <v>0</v>
      </c>
      <c r="IE39" s="77">
        <f t="shared" si="223"/>
        <v>0</v>
      </c>
      <c r="IF39" s="77">
        <f t="shared" si="223"/>
        <v>0</v>
      </c>
      <c r="IG39" s="77">
        <f t="shared" si="224"/>
        <v>0</v>
      </c>
      <c r="IH39" s="77">
        <f t="shared" si="224"/>
        <v>0</v>
      </c>
      <c r="II39" s="77">
        <f t="shared" si="224"/>
        <v>0</v>
      </c>
      <c r="IJ39" s="77">
        <f t="shared" si="224"/>
        <v>0</v>
      </c>
      <c r="IK39" s="77">
        <f t="shared" si="224"/>
        <v>0</v>
      </c>
      <c r="IL39" s="77">
        <f t="shared" si="224"/>
        <v>0</v>
      </c>
      <c r="IM39" s="77">
        <f t="shared" si="224"/>
        <v>0</v>
      </c>
      <c r="IN39" s="77">
        <f t="shared" si="224"/>
        <v>0</v>
      </c>
      <c r="IO39" s="77">
        <f t="shared" si="224"/>
        <v>0</v>
      </c>
      <c r="IP39" s="77">
        <f t="shared" si="224"/>
        <v>0</v>
      </c>
      <c r="IQ39" s="77">
        <f t="shared" si="224"/>
        <v>0</v>
      </c>
      <c r="IR39" s="77">
        <f t="shared" si="224"/>
        <v>0</v>
      </c>
      <c r="IS39" s="77">
        <f t="shared" si="224"/>
        <v>0</v>
      </c>
      <c r="IT39" s="77">
        <f t="shared" si="224"/>
        <v>0</v>
      </c>
      <c r="IU39" s="77">
        <f t="shared" si="224"/>
        <v>0</v>
      </c>
      <c r="IV39" s="77">
        <f t="shared" si="224"/>
        <v>0</v>
      </c>
      <c r="IW39" s="77">
        <f t="shared" si="225"/>
        <v>0</v>
      </c>
      <c r="IX39" s="77">
        <f t="shared" si="225"/>
        <v>0</v>
      </c>
      <c r="IY39" s="77">
        <f t="shared" si="225"/>
        <v>0</v>
      </c>
      <c r="IZ39" s="77">
        <f t="shared" si="225"/>
        <v>0</v>
      </c>
      <c r="JA39" s="77">
        <f t="shared" si="225"/>
        <v>0</v>
      </c>
      <c r="JB39" s="77">
        <f t="shared" si="225"/>
        <v>0</v>
      </c>
      <c r="JC39" s="77">
        <f t="shared" si="225"/>
        <v>0</v>
      </c>
      <c r="JD39" s="77">
        <f t="shared" si="225"/>
        <v>0</v>
      </c>
      <c r="JE39" s="77">
        <f t="shared" si="225"/>
        <v>0</v>
      </c>
      <c r="JF39" s="77">
        <f t="shared" si="225"/>
        <v>0</v>
      </c>
      <c r="JG39" s="77">
        <f t="shared" si="225"/>
        <v>0</v>
      </c>
      <c r="JH39" s="77">
        <f t="shared" si="225"/>
        <v>0</v>
      </c>
      <c r="JI39" s="77">
        <f t="shared" si="225"/>
        <v>0</v>
      </c>
      <c r="JJ39" s="77">
        <f t="shared" si="225"/>
        <v>0</v>
      </c>
      <c r="JK39" s="77">
        <f t="shared" si="225"/>
        <v>0</v>
      </c>
      <c r="JL39" s="77">
        <f t="shared" si="225"/>
        <v>0</v>
      </c>
      <c r="JM39" s="77">
        <f t="shared" si="226"/>
        <v>0</v>
      </c>
      <c r="JN39" s="77">
        <f t="shared" si="226"/>
        <v>0</v>
      </c>
      <c r="JO39" s="77">
        <f t="shared" si="226"/>
        <v>0</v>
      </c>
      <c r="JP39" s="77">
        <f t="shared" si="226"/>
        <v>0</v>
      </c>
      <c r="JQ39" s="77">
        <f t="shared" si="226"/>
        <v>0</v>
      </c>
      <c r="JR39" s="77">
        <f t="shared" si="226"/>
        <v>0</v>
      </c>
      <c r="JS39" s="77">
        <f t="shared" si="226"/>
        <v>0</v>
      </c>
      <c r="JT39" s="77">
        <f t="shared" si="226"/>
        <v>0</v>
      </c>
      <c r="JU39" s="77">
        <f t="shared" si="226"/>
        <v>0</v>
      </c>
      <c r="JV39" s="77">
        <f t="shared" si="226"/>
        <v>0</v>
      </c>
      <c r="JW39" s="77">
        <f t="shared" si="226"/>
        <v>0</v>
      </c>
      <c r="JX39" s="77">
        <f t="shared" si="226"/>
        <v>0</v>
      </c>
      <c r="JY39" s="77">
        <f t="shared" si="226"/>
        <v>0</v>
      </c>
      <c r="JZ39" s="77">
        <f t="shared" si="226"/>
        <v>0</v>
      </c>
      <c r="KA39" s="77">
        <f t="shared" si="226"/>
        <v>0</v>
      </c>
      <c r="KB39" s="77">
        <f t="shared" si="226"/>
        <v>0</v>
      </c>
      <c r="KC39" s="77">
        <f t="shared" si="227"/>
        <v>0</v>
      </c>
      <c r="KD39" s="77">
        <f t="shared" si="227"/>
        <v>0</v>
      </c>
      <c r="KE39" s="77">
        <f t="shared" si="227"/>
        <v>0</v>
      </c>
      <c r="KF39" s="77">
        <f t="shared" si="227"/>
        <v>0</v>
      </c>
      <c r="KG39" s="77">
        <f t="shared" si="227"/>
        <v>0</v>
      </c>
      <c r="KH39" s="77">
        <f t="shared" si="227"/>
        <v>0</v>
      </c>
      <c r="KI39" s="77">
        <f t="shared" si="227"/>
        <v>0</v>
      </c>
      <c r="KJ39" s="77">
        <f t="shared" si="227"/>
        <v>0</v>
      </c>
      <c r="KK39" s="77">
        <f t="shared" si="227"/>
        <v>0</v>
      </c>
      <c r="KL39" s="77">
        <f t="shared" si="227"/>
        <v>0</v>
      </c>
      <c r="KM39" s="77">
        <f t="shared" si="227"/>
        <v>0</v>
      </c>
      <c r="KN39" s="77">
        <f t="shared" si="227"/>
        <v>0</v>
      </c>
      <c r="KO39" s="77">
        <f t="shared" si="227"/>
        <v>0</v>
      </c>
      <c r="KP39" s="77">
        <f t="shared" si="227"/>
        <v>0</v>
      </c>
      <c r="KQ39" s="77">
        <f t="shared" si="227"/>
        <v>0</v>
      </c>
      <c r="KR39" s="77">
        <f t="shared" si="227"/>
        <v>0</v>
      </c>
      <c r="KS39" s="77">
        <f t="shared" si="228"/>
        <v>0</v>
      </c>
      <c r="KT39" s="77">
        <f t="shared" si="228"/>
        <v>0</v>
      </c>
      <c r="KU39" s="77">
        <f t="shared" si="228"/>
        <v>0</v>
      </c>
      <c r="KV39" s="77">
        <f t="shared" si="228"/>
        <v>0</v>
      </c>
      <c r="KW39" s="77">
        <f t="shared" si="228"/>
        <v>0</v>
      </c>
      <c r="KX39" s="77">
        <f t="shared" si="228"/>
        <v>0</v>
      </c>
      <c r="KY39" s="77">
        <f t="shared" si="228"/>
        <v>0</v>
      </c>
      <c r="KZ39" s="77">
        <f t="shared" si="228"/>
        <v>0</v>
      </c>
      <c r="LA39" s="77">
        <f t="shared" si="228"/>
        <v>0</v>
      </c>
      <c r="LB39" s="77">
        <f t="shared" si="228"/>
        <v>0</v>
      </c>
      <c r="LC39" s="77">
        <f t="shared" si="228"/>
        <v>0</v>
      </c>
      <c r="LD39" s="77">
        <f t="shared" si="228"/>
        <v>0</v>
      </c>
      <c r="LE39" s="77">
        <f t="shared" si="228"/>
        <v>0</v>
      </c>
      <c r="LF39" s="77">
        <f t="shared" si="228"/>
        <v>0</v>
      </c>
      <c r="LG39" s="77">
        <f t="shared" si="228"/>
        <v>0</v>
      </c>
      <c r="LH39" s="77">
        <f t="shared" si="228"/>
        <v>0</v>
      </c>
      <c r="LI39" s="77">
        <f t="shared" si="229"/>
        <v>0</v>
      </c>
      <c r="LJ39" s="77">
        <f t="shared" si="229"/>
        <v>0</v>
      </c>
      <c r="LK39" s="77">
        <f t="shared" si="229"/>
        <v>0</v>
      </c>
      <c r="LL39" s="77">
        <f t="shared" si="229"/>
        <v>0</v>
      </c>
      <c r="LM39" s="77">
        <f t="shared" si="229"/>
        <v>0</v>
      </c>
      <c r="LN39" s="77">
        <f t="shared" si="229"/>
        <v>0</v>
      </c>
      <c r="LO39" s="77">
        <f t="shared" si="229"/>
        <v>0</v>
      </c>
      <c r="LP39" s="77">
        <f t="shared" si="229"/>
        <v>0</v>
      </c>
      <c r="LQ39" s="77">
        <f t="shared" si="229"/>
        <v>0</v>
      </c>
      <c r="LR39" s="77">
        <f t="shared" si="229"/>
        <v>0</v>
      </c>
      <c r="LS39" s="77">
        <f t="shared" si="229"/>
        <v>0</v>
      </c>
      <c r="LT39" s="77">
        <f t="shared" si="229"/>
        <v>0</v>
      </c>
      <c r="LU39" s="77">
        <f t="shared" si="229"/>
        <v>0</v>
      </c>
      <c r="LV39" s="77">
        <f t="shared" si="229"/>
        <v>0</v>
      </c>
      <c r="LW39" s="77">
        <f t="shared" si="229"/>
        <v>0</v>
      </c>
      <c r="LX39" s="77">
        <f t="shared" si="229"/>
        <v>0</v>
      </c>
      <c r="LY39" s="77">
        <f t="shared" si="230"/>
        <v>0</v>
      </c>
      <c r="LZ39" s="77">
        <f t="shared" si="230"/>
        <v>0</v>
      </c>
      <c r="MA39" s="77">
        <f t="shared" si="230"/>
        <v>0</v>
      </c>
      <c r="MB39" s="77">
        <f t="shared" si="230"/>
        <v>0</v>
      </c>
      <c r="MC39" s="77">
        <f t="shared" si="230"/>
        <v>0</v>
      </c>
      <c r="MD39" s="77">
        <f t="shared" si="230"/>
        <v>0</v>
      </c>
      <c r="ME39" s="77">
        <f t="shared" si="230"/>
        <v>0</v>
      </c>
      <c r="MF39" s="77">
        <f t="shared" si="230"/>
        <v>0</v>
      </c>
      <c r="MG39" s="77">
        <f t="shared" si="230"/>
        <v>0</v>
      </c>
      <c r="MH39" s="77">
        <f t="shared" si="230"/>
        <v>0</v>
      </c>
      <c r="MI39" s="77">
        <f t="shared" si="230"/>
        <v>0</v>
      </c>
      <c r="MJ39" s="77">
        <f t="shared" si="230"/>
        <v>0</v>
      </c>
      <c r="MK39" s="77">
        <f t="shared" si="230"/>
        <v>0</v>
      </c>
      <c r="ML39" s="77">
        <f t="shared" si="230"/>
        <v>0</v>
      </c>
      <c r="MM39" s="77">
        <f t="shared" si="230"/>
        <v>0</v>
      </c>
      <c r="MN39" s="77">
        <f t="shared" si="230"/>
        <v>0</v>
      </c>
      <c r="MO39" s="77">
        <f t="shared" si="231"/>
        <v>0</v>
      </c>
      <c r="MP39" s="77">
        <f t="shared" si="231"/>
        <v>0</v>
      </c>
      <c r="MQ39" s="77">
        <f t="shared" si="231"/>
        <v>0</v>
      </c>
      <c r="MR39" s="77">
        <f t="shared" si="231"/>
        <v>0</v>
      </c>
      <c r="MS39" s="77">
        <f t="shared" si="231"/>
        <v>0</v>
      </c>
      <c r="MT39" s="77">
        <f t="shared" si="231"/>
        <v>0</v>
      </c>
      <c r="MU39" s="77">
        <f t="shared" si="231"/>
        <v>0</v>
      </c>
      <c r="MV39" s="77">
        <f t="shared" si="231"/>
        <v>0</v>
      </c>
      <c r="MW39" s="77">
        <f t="shared" si="231"/>
        <v>0</v>
      </c>
      <c r="MX39" s="77">
        <f t="shared" si="231"/>
        <v>0</v>
      </c>
      <c r="MY39" s="77">
        <f t="shared" si="231"/>
        <v>0</v>
      </c>
      <c r="MZ39" s="77">
        <f t="shared" si="231"/>
        <v>0</v>
      </c>
      <c r="NA39" s="77">
        <f t="shared" si="231"/>
        <v>0</v>
      </c>
      <c r="NB39" s="77">
        <f t="shared" si="231"/>
        <v>0</v>
      </c>
      <c r="NC39" s="77">
        <f t="shared" si="231"/>
        <v>0</v>
      </c>
      <c r="ND39" s="77">
        <f t="shared" si="231"/>
        <v>0</v>
      </c>
      <c r="NE39" s="77">
        <f t="shared" si="232"/>
        <v>0</v>
      </c>
      <c r="NF39" s="77">
        <f t="shared" si="232"/>
        <v>0</v>
      </c>
      <c r="NG39" s="77">
        <f t="shared" si="232"/>
        <v>0</v>
      </c>
      <c r="NH39" s="77">
        <f t="shared" si="232"/>
        <v>0</v>
      </c>
      <c r="NI39" s="77">
        <f t="shared" si="232"/>
        <v>0</v>
      </c>
      <c r="NJ39" s="77">
        <f t="shared" si="232"/>
        <v>0</v>
      </c>
      <c r="NK39" s="77">
        <f t="shared" si="232"/>
        <v>0</v>
      </c>
      <c r="NL39" s="77">
        <f t="shared" si="232"/>
        <v>0</v>
      </c>
      <c r="NM39" s="77">
        <f t="shared" si="232"/>
        <v>0</v>
      </c>
      <c r="NN39" s="77">
        <f t="shared" si="232"/>
        <v>0</v>
      </c>
      <c r="NO39" s="77">
        <f t="shared" si="232"/>
        <v>0</v>
      </c>
      <c r="NP39" s="77">
        <f t="shared" si="232"/>
        <v>0</v>
      </c>
      <c r="NQ39" s="77">
        <f t="shared" si="232"/>
        <v>0</v>
      </c>
      <c r="NR39" s="77">
        <f t="shared" si="232"/>
        <v>0</v>
      </c>
      <c r="NS39" s="77">
        <f t="shared" si="232"/>
        <v>0</v>
      </c>
      <c r="NT39" s="77">
        <f t="shared" si="232"/>
        <v>0</v>
      </c>
      <c r="NU39" s="77">
        <f t="shared" si="233"/>
        <v>0</v>
      </c>
      <c r="NV39" s="77">
        <f t="shared" si="233"/>
        <v>0</v>
      </c>
      <c r="NW39" s="77">
        <f t="shared" si="233"/>
        <v>0</v>
      </c>
      <c r="NX39" s="10"/>
    </row>
    <row r="40" spans="2:388" x14ac:dyDescent="0.3">
      <c r="B40" s="26" t="s">
        <v>216</v>
      </c>
      <c r="C40" s="18"/>
      <c r="D40" s="19"/>
      <c r="E40" s="27">
        <v>2</v>
      </c>
      <c r="F40" s="27">
        <v>38</v>
      </c>
      <c r="G40" s="21"/>
      <c r="H40" s="28">
        <f t="shared" si="196"/>
        <v>37</v>
      </c>
      <c r="I40" s="21" t="s">
        <v>195</v>
      </c>
      <c r="J40" s="23">
        <f t="shared" si="197"/>
        <v>1086.9565217391305</v>
      </c>
      <c r="K40" s="29">
        <f t="shared" si="198"/>
        <v>0.14367816091954022</v>
      </c>
      <c r="L40" s="30">
        <v>250000</v>
      </c>
      <c r="N40" s="9" t="s">
        <v>217</v>
      </c>
      <c r="S40" s="69" t="str">
        <f t="shared" si="199"/>
        <v>OK</v>
      </c>
      <c r="T40" s="16">
        <f t="shared" si="200"/>
        <v>0</v>
      </c>
      <c r="U40" s="16">
        <f t="shared" si="200"/>
        <v>6756.7567567567567</v>
      </c>
      <c r="V40" s="16">
        <f t="shared" si="200"/>
        <v>6756.7567567567567</v>
      </c>
      <c r="W40" s="16">
        <f t="shared" si="200"/>
        <v>6756.7567567567567</v>
      </c>
      <c r="X40" s="16">
        <f t="shared" si="200"/>
        <v>6756.7567567567567</v>
      </c>
      <c r="Y40" s="16">
        <f t="shared" si="200"/>
        <v>6756.7567567567567</v>
      </c>
      <c r="Z40" s="16">
        <f t="shared" si="200"/>
        <v>6756.7567567567567</v>
      </c>
      <c r="AA40" s="16">
        <f t="shared" si="200"/>
        <v>6756.7567567567567</v>
      </c>
      <c r="AB40" s="16">
        <f t="shared" si="200"/>
        <v>6756.7567567567567</v>
      </c>
      <c r="AC40" s="16">
        <f t="shared" si="200"/>
        <v>6756.7567567567567</v>
      </c>
      <c r="AD40" s="16">
        <f t="shared" si="201"/>
        <v>6756.7567567567567</v>
      </c>
      <c r="AE40" s="16">
        <f t="shared" si="201"/>
        <v>6756.7567567567567</v>
      </c>
      <c r="AF40" s="16">
        <f t="shared" si="201"/>
        <v>6756.7567567567567</v>
      </c>
      <c r="AG40" s="16">
        <f t="shared" si="201"/>
        <v>6756.7567567567567</v>
      </c>
      <c r="AH40" s="16">
        <f t="shared" si="201"/>
        <v>6756.7567567567567</v>
      </c>
      <c r="AI40" s="16">
        <f t="shared" si="201"/>
        <v>6756.7567567567567</v>
      </c>
      <c r="AJ40" s="16">
        <f t="shared" si="201"/>
        <v>6756.7567567567567</v>
      </c>
      <c r="AK40" s="16">
        <f t="shared" si="201"/>
        <v>6756.7567567567567</v>
      </c>
      <c r="AL40" s="16">
        <f t="shared" si="201"/>
        <v>6756.7567567567567</v>
      </c>
      <c r="AM40" s="16">
        <f t="shared" si="201"/>
        <v>6756.7567567567567</v>
      </c>
      <c r="AN40" s="16">
        <f t="shared" si="202"/>
        <v>6756.7567567567567</v>
      </c>
      <c r="AO40" s="16">
        <f t="shared" si="202"/>
        <v>6756.7567567567567</v>
      </c>
      <c r="AP40" s="16">
        <f t="shared" si="202"/>
        <v>6756.7567567567567</v>
      </c>
      <c r="AQ40" s="16">
        <f t="shared" si="202"/>
        <v>6756.7567567567567</v>
      </c>
      <c r="AR40" s="16">
        <f t="shared" si="202"/>
        <v>6756.7567567567567</v>
      </c>
      <c r="AS40" s="16">
        <f t="shared" si="202"/>
        <v>6756.7567567567567</v>
      </c>
      <c r="AT40" s="16">
        <f t="shared" si="202"/>
        <v>6756.7567567567567</v>
      </c>
      <c r="AU40" s="16">
        <f t="shared" si="202"/>
        <v>6756.7567567567567</v>
      </c>
      <c r="AV40" s="16">
        <f t="shared" si="202"/>
        <v>6756.7567567567567</v>
      </c>
      <c r="AW40" s="16">
        <f t="shared" si="202"/>
        <v>6756.7567567567567</v>
      </c>
      <c r="AX40" s="16">
        <f t="shared" si="203"/>
        <v>6756.7567567567567</v>
      </c>
      <c r="AY40" s="16">
        <f t="shared" si="203"/>
        <v>6756.7567567567567</v>
      </c>
      <c r="AZ40" s="16">
        <f t="shared" si="203"/>
        <v>6756.7567567567567</v>
      </c>
      <c r="BA40" s="16">
        <f t="shared" si="203"/>
        <v>6756.7567567567567</v>
      </c>
      <c r="BB40" s="16">
        <f t="shared" si="203"/>
        <v>6756.7567567567567</v>
      </c>
      <c r="BC40" s="16">
        <f t="shared" si="203"/>
        <v>6756.7567567567567</v>
      </c>
      <c r="BD40" s="16">
        <f t="shared" si="203"/>
        <v>6756.7567567567567</v>
      </c>
      <c r="BE40" s="16">
        <f t="shared" si="203"/>
        <v>6756.7567567567567</v>
      </c>
      <c r="BF40" s="16">
        <f t="shared" si="203"/>
        <v>0</v>
      </c>
      <c r="BG40" s="16">
        <f t="shared" si="203"/>
        <v>0</v>
      </c>
      <c r="BH40" s="16">
        <f t="shared" si="204"/>
        <v>0</v>
      </c>
      <c r="BI40" s="16">
        <f t="shared" si="204"/>
        <v>0</v>
      </c>
      <c r="BJ40" s="16">
        <f t="shared" si="204"/>
        <v>0</v>
      </c>
      <c r="BK40" s="16">
        <f t="shared" si="204"/>
        <v>0</v>
      </c>
      <c r="BL40" s="16">
        <f t="shared" si="204"/>
        <v>0</v>
      </c>
      <c r="BM40" s="16">
        <f t="shared" si="204"/>
        <v>0</v>
      </c>
      <c r="BN40" s="16">
        <f t="shared" si="204"/>
        <v>0</v>
      </c>
      <c r="BO40" s="16">
        <f t="shared" si="204"/>
        <v>0</v>
      </c>
      <c r="BP40" s="16">
        <f t="shared" si="204"/>
        <v>0</v>
      </c>
      <c r="BQ40" s="16">
        <f t="shared" si="204"/>
        <v>0</v>
      </c>
      <c r="BR40" s="16">
        <f t="shared" si="205"/>
        <v>0</v>
      </c>
      <c r="BS40" s="16">
        <f t="shared" si="205"/>
        <v>0</v>
      </c>
      <c r="BT40" s="16">
        <f t="shared" si="205"/>
        <v>0</v>
      </c>
      <c r="BU40" s="16">
        <f t="shared" si="205"/>
        <v>0</v>
      </c>
      <c r="BV40" s="16">
        <f t="shared" si="205"/>
        <v>0</v>
      </c>
      <c r="BW40" s="16">
        <f t="shared" si="205"/>
        <v>0</v>
      </c>
      <c r="BX40" s="16">
        <f t="shared" si="205"/>
        <v>0</v>
      </c>
      <c r="BY40" s="16">
        <f t="shared" si="205"/>
        <v>0</v>
      </c>
      <c r="BZ40" s="16">
        <f t="shared" si="205"/>
        <v>0</v>
      </c>
      <c r="CA40" s="16">
        <f t="shared" si="205"/>
        <v>0</v>
      </c>
      <c r="CB40" s="16">
        <f t="shared" si="206"/>
        <v>0</v>
      </c>
      <c r="CC40" s="16">
        <f t="shared" si="206"/>
        <v>0</v>
      </c>
      <c r="CD40" s="16">
        <f t="shared" si="206"/>
        <v>0</v>
      </c>
      <c r="CE40" s="16">
        <f t="shared" si="206"/>
        <v>0</v>
      </c>
      <c r="CF40" s="16">
        <f t="shared" si="206"/>
        <v>0</v>
      </c>
      <c r="CG40" s="16">
        <f t="shared" si="206"/>
        <v>0</v>
      </c>
      <c r="CH40" s="16">
        <f t="shared" si="206"/>
        <v>0</v>
      </c>
      <c r="CI40" s="16">
        <f t="shared" si="206"/>
        <v>0</v>
      </c>
      <c r="CJ40" s="16">
        <f t="shared" si="206"/>
        <v>0</v>
      </c>
      <c r="CK40" s="16">
        <f t="shared" si="206"/>
        <v>0</v>
      </c>
      <c r="CL40" s="16">
        <f t="shared" si="207"/>
        <v>0</v>
      </c>
      <c r="CM40" s="16">
        <f t="shared" si="207"/>
        <v>0</v>
      </c>
      <c r="CN40" s="16">
        <f t="shared" si="207"/>
        <v>0</v>
      </c>
      <c r="CO40" s="16">
        <f t="shared" si="207"/>
        <v>0</v>
      </c>
      <c r="CP40" s="16">
        <f t="shared" si="207"/>
        <v>0</v>
      </c>
      <c r="CQ40" s="16">
        <f t="shared" si="207"/>
        <v>0</v>
      </c>
      <c r="CR40" s="16">
        <f t="shared" si="207"/>
        <v>0</v>
      </c>
      <c r="CS40" s="16">
        <f t="shared" si="207"/>
        <v>0</v>
      </c>
      <c r="CT40" s="16">
        <f t="shared" si="207"/>
        <v>0</v>
      </c>
      <c r="CU40" s="16">
        <f t="shared" si="207"/>
        <v>0</v>
      </c>
      <c r="CV40" s="16">
        <f t="shared" si="208"/>
        <v>0</v>
      </c>
      <c r="CW40" s="16">
        <f t="shared" si="208"/>
        <v>0</v>
      </c>
      <c r="CX40" s="16">
        <f t="shared" si="208"/>
        <v>0</v>
      </c>
      <c r="CY40" s="16">
        <f t="shared" si="208"/>
        <v>0</v>
      </c>
      <c r="CZ40" s="16">
        <f t="shared" si="208"/>
        <v>0</v>
      </c>
      <c r="DA40" s="16">
        <f t="shared" si="208"/>
        <v>0</v>
      </c>
      <c r="DB40" s="16">
        <f t="shared" si="208"/>
        <v>0</v>
      </c>
      <c r="DC40" s="16">
        <f t="shared" si="208"/>
        <v>0</v>
      </c>
      <c r="DD40" s="16">
        <f t="shared" si="208"/>
        <v>0</v>
      </c>
      <c r="DE40" s="16">
        <f t="shared" si="208"/>
        <v>0</v>
      </c>
      <c r="DF40" s="16">
        <f t="shared" si="209"/>
        <v>0</v>
      </c>
      <c r="DG40" s="16">
        <f t="shared" si="209"/>
        <v>0</v>
      </c>
      <c r="DH40" s="16">
        <f t="shared" si="209"/>
        <v>0</v>
      </c>
      <c r="DI40" s="16">
        <f t="shared" si="209"/>
        <v>0</v>
      </c>
      <c r="DJ40" s="16">
        <f t="shared" si="209"/>
        <v>0</v>
      </c>
      <c r="DK40" s="16">
        <f t="shared" si="209"/>
        <v>0</v>
      </c>
      <c r="DL40" s="16">
        <f t="shared" si="209"/>
        <v>0</v>
      </c>
      <c r="DM40" s="16">
        <f t="shared" si="209"/>
        <v>0</v>
      </c>
      <c r="DN40" s="16">
        <f t="shared" si="209"/>
        <v>0</v>
      </c>
      <c r="DO40" s="16">
        <f t="shared" si="209"/>
        <v>0</v>
      </c>
      <c r="DP40" s="16">
        <f t="shared" si="210"/>
        <v>0</v>
      </c>
      <c r="DQ40" s="16">
        <f t="shared" si="210"/>
        <v>0</v>
      </c>
      <c r="DR40" s="16">
        <f t="shared" si="210"/>
        <v>0</v>
      </c>
      <c r="DS40" s="16">
        <f t="shared" si="210"/>
        <v>0</v>
      </c>
      <c r="DT40" s="16">
        <f t="shared" si="210"/>
        <v>0</v>
      </c>
      <c r="DU40" s="16">
        <f t="shared" si="210"/>
        <v>0</v>
      </c>
      <c r="DV40" s="16">
        <f t="shared" si="210"/>
        <v>0</v>
      </c>
      <c r="DW40" s="16">
        <f t="shared" si="210"/>
        <v>0</v>
      </c>
      <c r="DX40" s="16">
        <f t="shared" si="210"/>
        <v>0</v>
      </c>
      <c r="DY40" s="16">
        <f t="shared" si="210"/>
        <v>0</v>
      </c>
      <c r="DZ40" s="16">
        <f t="shared" si="211"/>
        <v>0</v>
      </c>
      <c r="EA40" s="16">
        <f t="shared" si="211"/>
        <v>0</v>
      </c>
      <c r="EB40" s="16">
        <f t="shared" si="211"/>
        <v>0</v>
      </c>
      <c r="EC40" s="16">
        <f t="shared" si="211"/>
        <v>0</v>
      </c>
      <c r="ED40" s="16">
        <f t="shared" si="211"/>
        <v>0</v>
      </c>
      <c r="EE40" s="16">
        <f t="shared" si="211"/>
        <v>0</v>
      </c>
      <c r="EF40" s="16">
        <f t="shared" si="211"/>
        <v>0</v>
      </c>
      <c r="EG40" s="16">
        <f t="shared" si="211"/>
        <v>0</v>
      </c>
      <c r="EH40" s="16">
        <f t="shared" si="211"/>
        <v>0</v>
      </c>
      <c r="EI40" s="16">
        <f t="shared" si="211"/>
        <v>0</v>
      </c>
      <c r="EJ40" s="16">
        <f t="shared" si="212"/>
        <v>0</v>
      </c>
      <c r="EK40" s="16">
        <f t="shared" si="212"/>
        <v>0</v>
      </c>
      <c r="EL40" s="16">
        <f t="shared" si="212"/>
        <v>0</v>
      </c>
      <c r="EM40" s="16">
        <f t="shared" si="212"/>
        <v>0</v>
      </c>
      <c r="EN40" s="16">
        <f t="shared" si="212"/>
        <v>0</v>
      </c>
      <c r="EO40" s="16">
        <f t="shared" si="212"/>
        <v>0</v>
      </c>
      <c r="EP40" s="16">
        <f t="shared" si="212"/>
        <v>0</v>
      </c>
      <c r="EQ40" s="16">
        <f t="shared" si="212"/>
        <v>0</v>
      </c>
      <c r="ER40" s="16">
        <f t="shared" si="212"/>
        <v>0</v>
      </c>
      <c r="ES40" s="16">
        <f t="shared" si="212"/>
        <v>0</v>
      </c>
      <c r="ET40" s="16">
        <f t="shared" si="213"/>
        <v>0</v>
      </c>
      <c r="EU40" s="16">
        <f t="shared" si="213"/>
        <v>0</v>
      </c>
      <c r="EV40" s="16">
        <f t="shared" si="213"/>
        <v>0</v>
      </c>
      <c r="EW40" s="16">
        <f t="shared" si="213"/>
        <v>0</v>
      </c>
      <c r="EX40" s="16">
        <f t="shared" si="213"/>
        <v>0</v>
      </c>
      <c r="EY40" s="16">
        <f t="shared" si="213"/>
        <v>0</v>
      </c>
      <c r="EZ40" s="16">
        <f t="shared" si="213"/>
        <v>0</v>
      </c>
      <c r="FA40" s="16">
        <f t="shared" si="213"/>
        <v>0</v>
      </c>
      <c r="FB40" s="16">
        <f t="shared" si="213"/>
        <v>0</v>
      </c>
      <c r="FC40" s="16">
        <f t="shared" si="213"/>
        <v>0</v>
      </c>
      <c r="FD40" s="16">
        <f t="shared" si="214"/>
        <v>0</v>
      </c>
      <c r="FE40" s="16">
        <f t="shared" si="214"/>
        <v>0</v>
      </c>
      <c r="FF40" s="16">
        <f t="shared" si="214"/>
        <v>0</v>
      </c>
      <c r="FG40" s="16">
        <f t="shared" si="214"/>
        <v>0</v>
      </c>
      <c r="FH40" s="16">
        <f t="shared" si="214"/>
        <v>0</v>
      </c>
      <c r="FI40" s="16">
        <f t="shared" si="214"/>
        <v>0</v>
      </c>
      <c r="FJ40" s="16">
        <f t="shared" si="214"/>
        <v>0</v>
      </c>
      <c r="FK40" s="16">
        <f t="shared" si="214"/>
        <v>0</v>
      </c>
      <c r="FL40" s="16">
        <f t="shared" si="214"/>
        <v>0</v>
      </c>
      <c r="FM40" s="16">
        <f t="shared" si="214"/>
        <v>0</v>
      </c>
      <c r="FN40" s="16">
        <f t="shared" si="215"/>
        <v>0</v>
      </c>
      <c r="FO40" s="16">
        <f t="shared" si="215"/>
        <v>0</v>
      </c>
      <c r="FP40" s="16">
        <f t="shared" si="215"/>
        <v>0</v>
      </c>
      <c r="FQ40" s="16">
        <f t="shared" si="215"/>
        <v>0</v>
      </c>
      <c r="FR40" s="16">
        <f t="shared" si="215"/>
        <v>0</v>
      </c>
      <c r="FS40" s="16">
        <f t="shared" si="215"/>
        <v>0</v>
      </c>
      <c r="FT40" s="16">
        <f t="shared" si="215"/>
        <v>0</v>
      </c>
      <c r="FU40" s="16">
        <f t="shared" si="215"/>
        <v>0</v>
      </c>
      <c r="FV40" s="16">
        <f t="shared" si="215"/>
        <v>0</v>
      </c>
      <c r="FW40" s="16">
        <f t="shared" si="215"/>
        <v>0</v>
      </c>
      <c r="FX40" s="16">
        <f t="shared" si="216"/>
        <v>0</v>
      </c>
      <c r="FY40" s="16">
        <f t="shared" si="216"/>
        <v>0</v>
      </c>
      <c r="FZ40" s="16">
        <f t="shared" si="216"/>
        <v>0</v>
      </c>
      <c r="GA40" s="16">
        <f t="shared" si="216"/>
        <v>0</v>
      </c>
      <c r="GB40" s="16">
        <f t="shared" si="216"/>
        <v>0</v>
      </c>
      <c r="GC40" s="16">
        <f t="shared" si="216"/>
        <v>0</v>
      </c>
      <c r="GD40" s="16">
        <f t="shared" si="216"/>
        <v>0</v>
      </c>
      <c r="GE40" s="16">
        <f t="shared" si="216"/>
        <v>0</v>
      </c>
      <c r="GF40" s="16">
        <f t="shared" si="216"/>
        <v>0</v>
      </c>
      <c r="GG40" s="16">
        <f t="shared" si="216"/>
        <v>0</v>
      </c>
      <c r="GH40" s="16">
        <f t="shared" si="217"/>
        <v>0</v>
      </c>
      <c r="GI40" s="16">
        <f t="shared" si="217"/>
        <v>0</v>
      </c>
      <c r="GJ40" s="16">
        <f t="shared" si="217"/>
        <v>0</v>
      </c>
      <c r="GK40" s="16">
        <f t="shared" si="217"/>
        <v>0</v>
      </c>
      <c r="GL40" s="16">
        <f t="shared" si="217"/>
        <v>0</v>
      </c>
      <c r="GM40" s="16">
        <f t="shared" si="217"/>
        <v>0</v>
      </c>
      <c r="GN40" s="16">
        <f t="shared" si="217"/>
        <v>0</v>
      </c>
      <c r="GO40" s="16">
        <f t="shared" si="217"/>
        <v>0</v>
      </c>
      <c r="GP40" s="16">
        <f t="shared" si="217"/>
        <v>0</v>
      </c>
      <c r="GQ40" s="16">
        <f t="shared" si="217"/>
        <v>0</v>
      </c>
      <c r="GR40" s="9"/>
      <c r="GS40" s="70" t="str">
        <f>B40</f>
        <v>Taxes and Insurance</v>
      </c>
      <c r="GT40" s="77">
        <f t="shared" si="218"/>
        <v>250000</v>
      </c>
      <c r="GU40" s="78">
        <f t="shared" si="192"/>
        <v>2</v>
      </c>
      <c r="GV40" s="78">
        <f t="shared" si="192"/>
        <v>38</v>
      </c>
      <c r="GW40" s="78">
        <f t="shared" si="219"/>
        <v>37</v>
      </c>
      <c r="GX40" s="79">
        <f t="shared" si="220"/>
        <v>6.166666666666667</v>
      </c>
      <c r="GY40" s="79" t="b">
        <f>ROUND(GT40,0)=ROUND(SUM(GZ40:NW40),0)</f>
        <v>1</v>
      </c>
      <c r="GZ40" s="77">
        <f t="shared" si="221"/>
        <v>0</v>
      </c>
      <c r="HA40" s="77">
        <f t="shared" si="222"/>
        <v>230.90202853323279</v>
      </c>
      <c r="HB40" s="77">
        <f t="shared" si="222"/>
        <v>365.46824312835048</v>
      </c>
      <c r="HC40" s="77">
        <f t="shared" si="222"/>
        <v>563.47654861193837</v>
      </c>
      <c r="HD40" s="77">
        <f t="shared" si="222"/>
        <v>846.26499555198745</v>
      </c>
      <c r="HE40" s="77">
        <f t="shared" si="222"/>
        <v>1238.0587857874114</v>
      </c>
      <c r="HF40" s="77">
        <f t="shared" si="222"/>
        <v>1764.3329215512019</v>
      </c>
      <c r="HG40" s="77">
        <f t="shared" si="222"/>
        <v>2449.1997971876121</v>
      </c>
      <c r="HH40" s="77">
        <f t="shared" si="222"/>
        <v>3311.8626586813243</v>
      </c>
      <c r="HI40" s="77">
        <f t="shared" si="222"/>
        <v>4362.3938130063989</v>
      </c>
      <c r="HJ40" s="77">
        <f t="shared" si="222"/>
        <v>5597.3425182781248</v>
      </c>
      <c r="HK40" s="77">
        <f t="shared" si="222"/>
        <v>6995.8965548710858</v>
      </c>
      <c r="HL40" s="77">
        <f t="shared" si="222"/>
        <v>8517.4456350369601</v>
      </c>
      <c r="HM40" s="77">
        <f t="shared" si="222"/>
        <v>10101.360479718105</v>
      </c>
      <c r="HN40" s="77">
        <f t="shared" si="222"/>
        <v>11669.570948985924</v>
      </c>
      <c r="HO40" s="77">
        <f t="shared" si="222"/>
        <v>13132.107732011524</v>
      </c>
      <c r="HP40" s="77">
        <f t="shared" si="222"/>
        <v>14395.22713637909</v>
      </c>
      <c r="HQ40" s="77">
        <f t="shared" si="223"/>
        <v>15371.177922947038</v>
      </c>
      <c r="HR40" s="77">
        <f t="shared" si="223"/>
        <v>15988.227692614342</v>
      </c>
      <c r="HS40" s="77">
        <f t="shared" si="223"/>
        <v>16199.367174236704</v>
      </c>
      <c r="HT40" s="77">
        <f t="shared" si="223"/>
        <v>15988.227692614355</v>
      </c>
      <c r="HU40" s="77">
        <f t="shared" si="223"/>
        <v>15371.17792294701</v>
      </c>
      <c r="HV40" s="77">
        <f t="shared" si="223"/>
        <v>14395.227136379119</v>
      </c>
      <c r="HW40" s="77">
        <f t="shared" si="223"/>
        <v>13132.107732011502</v>
      </c>
      <c r="HX40" s="77">
        <f t="shared" si="223"/>
        <v>11669.570948985924</v>
      </c>
      <c r="HY40" s="77">
        <f t="shared" si="223"/>
        <v>10101.360479718127</v>
      </c>
      <c r="HZ40" s="77">
        <f t="shared" si="223"/>
        <v>8517.4456350369401</v>
      </c>
      <c r="IA40" s="77">
        <f t="shared" si="223"/>
        <v>6995.8965548710858</v>
      </c>
      <c r="IB40" s="77">
        <f t="shared" si="223"/>
        <v>5597.342518278143</v>
      </c>
      <c r="IC40" s="77">
        <f t="shared" si="223"/>
        <v>4362.3938130063871</v>
      </c>
      <c r="ID40" s="77">
        <f t="shared" si="223"/>
        <v>3311.8626586813252</v>
      </c>
      <c r="IE40" s="77">
        <f t="shared" si="223"/>
        <v>2449.1997971876226</v>
      </c>
      <c r="IF40" s="77">
        <f t="shared" si="223"/>
        <v>1764.3329215511908</v>
      </c>
      <c r="IG40" s="77">
        <f t="shared" si="224"/>
        <v>1238.0587857874157</v>
      </c>
      <c r="IH40" s="77">
        <f t="shared" si="224"/>
        <v>846.26499555197358</v>
      </c>
      <c r="II40" s="77">
        <f t="shared" si="224"/>
        <v>563.47654861195463</v>
      </c>
      <c r="IJ40" s="77">
        <f t="shared" si="224"/>
        <v>365.46824312833894</v>
      </c>
      <c r="IK40" s="77">
        <f t="shared" si="224"/>
        <v>230.90202853323643</v>
      </c>
      <c r="IL40" s="77">
        <f t="shared" si="224"/>
        <v>0</v>
      </c>
      <c r="IM40" s="77">
        <f t="shared" si="224"/>
        <v>0</v>
      </c>
      <c r="IN40" s="77">
        <f t="shared" si="224"/>
        <v>0</v>
      </c>
      <c r="IO40" s="77">
        <f t="shared" si="224"/>
        <v>0</v>
      </c>
      <c r="IP40" s="77">
        <f t="shared" si="224"/>
        <v>0</v>
      </c>
      <c r="IQ40" s="77">
        <f t="shared" si="224"/>
        <v>0</v>
      </c>
      <c r="IR40" s="77">
        <f t="shared" si="224"/>
        <v>0</v>
      </c>
      <c r="IS40" s="77">
        <f t="shared" si="224"/>
        <v>0</v>
      </c>
      <c r="IT40" s="77">
        <f t="shared" si="224"/>
        <v>0</v>
      </c>
      <c r="IU40" s="77">
        <f t="shared" si="224"/>
        <v>0</v>
      </c>
      <c r="IV40" s="77">
        <f t="shared" si="224"/>
        <v>0</v>
      </c>
      <c r="IW40" s="77">
        <f t="shared" si="225"/>
        <v>0</v>
      </c>
      <c r="IX40" s="77">
        <f t="shared" si="225"/>
        <v>0</v>
      </c>
      <c r="IY40" s="77">
        <f t="shared" si="225"/>
        <v>0</v>
      </c>
      <c r="IZ40" s="77">
        <f t="shared" si="225"/>
        <v>0</v>
      </c>
      <c r="JA40" s="77">
        <f t="shared" si="225"/>
        <v>0</v>
      </c>
      <c r="JB40" s="77">
        <f t="shared" si="225"/>
        <v>0</v>
      </c>
      <c r="JC40" s="77">
        <f t="shared" si="225"/>
        <v>0</v>
      </c>
      <c r="JD40" s="77">
        <f t="shared" si="225"/>
        <v>0</v>
      </c>
      <c r="JE40" s="77">
        <f t="shared" si="225"/>
        <v>0</v>
      </c>
      <c r="JF40" s="77">
        <f t="shared" si="225"/>
        <v>0</v>
      </c>
      <c r="JG40" s="77">
        <f t="shared" si="225"/>
        <v>0</v>
      </c>
      <c r="JH40" s="77">
        <f t="shared" si="225"/>
        <v>0</v>
      </c>
      <c r="JI40" s="77">
        <f t="shared" si="225"/>
        <v>0</v>
      </c>
      <c r="JJ40" s="77">
        <f t="shared" si="225"/>
        <v>0</v>
      </c>
      <c r="JK40" s="77">
        <f t="shared" si="225"/>
        <v>0</v>
      </c>
      <c r="JL40" s="77">
        <f t="shared" si="225"/>
        <v>0</v>
      </c>
      <c r="JM40" s="77">
        <f t="shared" si="226"/>
        <v>0</v>
      </c>
      <c r="JN40" s="77">
        <f t="shared" si="226"/>
        <v>0</v>
      </c>
      <c r="JO40" s="77">
        <f t="shared" si="226"/>
        <v>0</v>
      </c>
      <c r="JP40" s="77">
        <f t="shared" si="226"/>
        <v>0</v>
      </c>
      <c r="JQ40" s="77">
        <f t="shared" si="226"/>
        <v>0</v>
      </c>
      <c r="JR40" s="77">
        <f t="shared" si="226"/>
        <v>0</v>
      </c>
      <c r="JS40" s="77">
        <f t="shared" si="226"/>
        <v>0</v>
      </c>
      <c r="JT40" s="77">
        <f t="shared" si="226"/>
        <v>0</v>
      </c>
      <c r="JU40" s="77">
        <f t="shared" si="226"/>
        <v>0</v>
      </c>
      <c r="JV40" s="77">
        <f t="shared" si="226"/>
        <v>0</v>
      </c>
      <c r="JW40" s="77">
        <f t="shared" si="226"/>
        <v>0</v>
      </c>
      <c r="JX40" s="77">
        <f t="shared" si="226"/>
        <v>0</v>
      </c>
      <c r="JY40" s="77">
        <f t="shared" si="226"/>
        <v>0</v>
      </c>
      <c r="JZ40" s="77">
        <f t="shared" si="226"/>
        <v>0</v>
      </c>
      <c r="KA40" s="77">
        <f t="shared" si="226"/>
        <v>0</v>
      </c>
      <c r="KB40" s="77">
        <f t="shared" si="226"/>
        <v>0</v>
      </c>
      <c r="KC40" s="77">
        <f t="shared" si="227"/>
        <v>0</v>
      </c>
      <c r="KD40" s="77">
        <f t="shared" si="227"/>
        <v>0</v>
      </c>
      <c r="KE40" s="77">
        <f t="shared" si="227"/>
        <v>0</v>
      </c>
      <c r="KF40" s="77">
        <f t="shared" si="227"/>
        <v>0</v>
      </c>
      <c r="KG40" s="77">
        <f t="shared" si="227"/>
        <v>0</v>
      </c>
      <c r="KH40" s="77">
        <f t="shared" si="227"/>
        <v>0</v>
      </c>
      <c r="KI40" s="77">
        <f t="shared" si="227"/>
        <v>0</v>
      </c>
      <c r="KJ40" s="77">
        <f t="shared" si="227"/>
        <v>0</v>
      </c>
      <c r="KK40" s="77">
        <f t="shared" si="227"/>
        <v>0</v>
      </c>
      <c r="KL40" s="77">
        <f t="shared" si="227"/>
        <v>0</v>
      </c>
      <c r="KM40" s="77">
        <f t="shared" si="227"/>
        <v>0</v>
      </c>
      <c r="KN40" s="77">
        <f t="shared" si="227"/>
        <v>0</v>
      </c>
      <c r="KO40" s="77">
        <f t="shared" si="227"/>
        <v>0</v>
      </c>
      <c r="KP40" s="77">
        <f t="shared" si="227"/>
        <v>0</v>
      </c>
      <c r="KQ40" s="77">
        <f t="shared" si="227"/>
        <v>0</v>
      </c>
      <c r="KR40" s="77">
        <f t="shared" si="227"/>
        <v>0</v>
      </c>
      <c r="KS40" s="77">
        <f t="shared" si="228"/>
        <v>0</v>
      </c>
      <c r="KT40" s="77">
        <f t="shared" si="228"/>
        <v>0</v>
      </c>
      <c r="KU40" s="77">
        <f t="shared" si="228"/>
        <v>0</v>
      </c>
      <c r="KV40" s="77">
        <f t="shared" si="228"/>
        <v>0</v>
      </c>
      <c r="KW40" s="77">
        <f t="shared" si="228"/>
        <v>0</v>
      </c>
      <c r="KX40" s="77">
        <f t="shared" si="228"/>
        <v>0</v>
      </c>
      <c r="KY40" s="77">
        <f t="shared" si="228"/>
        <v>0</v>
      </c>
      <c r="KZ40" s="77">
        <f t="shared" si="228"/>
        <v>0</v>
      </c>
      <c r="LA40" s="77">
        <f t="shared" si="228"/>
        <v>0</v>
      </c>
      <c r="LB40" s="77">
        <f t="shared" si="228"/>
        <v>0</v>
      </c>
      <c r="LC40" s="77">
        <f t="shared" si="228"/>
        <v>0</v>
      </c>
      <c r="LD40" s="77">
        <f t="shared" si="228"/>
        <v>0</v>
      </c>
      <c r="LE40" s="77">
        <f t="shared" si="228"/>
        <v>0</v>
      </c>
      <c r="LF40" s="77">
        <f t="shared" si="228"/>
        <v>0</v>
      </c>
      <c r="LG40" s="77">
        <f t="shared" si="228"/>
        <v>0</v>
      </c>
      <c r="LH40" s="77">
        <f t="shared" si="228"/>
        <v>0</v>
      </c>
      <c r="LI40" s="77">
        <f t="shared" si="229"/>
        <v>0</v>
      </c>
      <c r="LJ40" s="77">
        <f t="shared" si="229"/>
        <v>0</v>
      </c>
      <c r="LK40" s="77">
        <f t="shared" si="229"/>
        <v>0</v>
      </c>
      <c r="LL40" s="77">
        <f t="shared" si="229"/>
        <v>0</v>
      </c>
      <c r="LM40" s="77">
        <f t="shared" si="229"/>
        <v>0</v>
      </c>
      <c r="LN40" s="77">
        <f t="shared" si="229"/>
        <v>0</v>
      </c>
      <c r="LO40" s="77">
        <f t="shared" si="229"/>
        <v>0</v>
      </c>
      <c r="LP40" s="77">
        <f t="shared" si="229"/>
        <v>0</v>
      </c>
      <c r="LQ40" s="77">
        <f t="shared" si="229"/>
        <v>0</v>
      </c>
      <c r="LR40" s="77">
        <f t="shared" si="229"/>
        <v>0</v>
      </c>
      <c r="LS40" s="77">
        <f t="shared" si="229"/>
        <v>0</v>
      </c>
      <c r="LT40" s="77">
        <f t="shared" si="229"/>
        <v>0</v>
      </c>
      <c r="LU40" s="77">
        <f t="shared" si="229"/>
        <v>0</v>
      </c>
      <c r="LV40" s="77">
        <f t="shared" si="229"/>
        <v>0</v>
      </c>
      <c r="LW40" s="77">
        <f t="shared" si="229"/>
        <v>0</v>
      </c>
      <c r="LX40" s="77">
        <f t="shared" si="229"/>
        <v>0</v>
      </c>
      <c r="LY40" s="77">
        <f t="shared" si="230"/>
        <v>0</v>
      </c>
      <c r="LZ40" s="77">
        <f t="shared" si="230"/>
        <v>0</v>
      </c>
      <c r="MA40" s="77">
        <f t="shared" si="230"/>
        <v>0</v>
      </c>
      <c r="MB40" s="77">
        <f t="shared" si="230"/>
        <v>0</v>
      </c>
      <c r="MC40" s="77">
        <f t="shared" si="230"/>
        <v>0</v>
      </c>
      <c r="MD40" s="77">
        <f t="shared" si="230"/>
        <v>0</v>
      </c>
      <c r="ME40" s="77">
        <f t="shared" si="230"/>
        <v>0</v>
      </c>
      <c r="MF40" s="77">
        <f t="shared" si="230"/>
        <v>0</v>
      </c>
      <c r="MG40" s="77">
        <f t="shared" si="230"/>
        <v>0</v>
      </c>
      <c r="MH40" s="77">
        <f t="shared" si="230"/>
        <v>0</v>
      </c>
      <c r="MI40" s="77">
        <f t="shared" si="230"/>
        <v>0</v>
      </c>
      <c r="MJ40" s="77">
        <f t="shared" si="230"/>
        <v>0</v>
      </c>
      <c r="MK40" s="77">
        <f t="shared" si="230"/>
        <v>0</v>
      </c>
      <c r="ML40" s="77">
        <f t="shared" si="230"/>
        <v>0</v>
      </c>
      <c r="MM40" s="77">
        <f t="shared" si="230"/>
        <v>0</v>
      </c>
      <c r="MN40" s="77">
        <f t="shared" si="230"/>
        <v>0</v>
      </c>
      <c r="MO40" s="77">
        <f t="shared" si="231"/>
        <v>0</v>
      </c>
      <c r="MP40" s="77">
        <f t="shared" si="231"/>
        <v>0</v>
      </c>
      <c r="MQ40" s="77">
        <f t="shared" si="231"/>
        <v>0</v>
      </c>
      <c r="MR40" s="77">
        <f t="shared" si="231"/>
        <v>0</v>
      </c>
      <c r="MS40" s="77">
        <f t="shared" si="231"/>
        <v>0</v>
      </c>
      <c r="MT40" s="77">
        <f t="shared" si="231"/>
        <v>0</v>
      </c>
      <c r="MU40" s="77">
        <f t="shared" si="231"/>
        <v>0</v>
      </c>
      <c r="MV40" s="77">
        <f t="shared" si="231"/>
        <v>0</v>
      </c>
      <c r="MW40" s="77">
        <f t="shared" si="231"/>
        <v>0</v>
      </c>
      <c r="MX40" s="77">
        <f t="shared" si="231"/>
        <v>0</v>
      </c>
      <c r="MY40" s="77">
        <f t="shared" si="231"/>
        <v>0</v>
      </c>
      <c r="MZ40" s="77">
        <f t="shared" si="231"/>
        <v>0</v>
      </c>
      <c r="NA40" s="77">
        <f t="shared" si="231"/>
        <v>0</v>
      </c>
      <c r="NB40" s="77">
        <f t="shared" si="231"/>
        <v>0</v>
      </c>
      <c r="NC40" s="77">
        <f t="shared" si="231"/>
        <v>0</v>
      </c>
      <c r="ND40" s="77">
        <f t="shared" si="231"/>
        <v>0</v>
      </c>
      <c r="NE40" s="77">
        <f t="shared" si="232"/>
        <v>0</v>
      </c>
      <c r="NF40" s="77">
        <f t="shared" si="232"/>
        <v>0</v>
      </c>
      <c r="NG40" s="77">
        <f t="shared" si="232"/>
        <v>0</v>
      </c>
      <c r="NH40" s="77">
        <f t="shared" si="232"/>
        <v>0</v>
      </c>
      <c r="NI40" s="77">
        <f t="shared" si="232"/>
        <v>0</v>
      </c>
      <c r="NJ40" s="77">
        <f t="shared" si="232"/>
        <v>0</v>
      </c>
      <c r="NK40" s="77">
        <f t="shared" si="232"/>
        <v>0</v>
      </c>
      <c r="NL40" s="77">
        <f t="shared" si="232"/>
        <v>0</v>
      </c>
      <c r="NM40" s="77">
        <f t="shared" si="232"/>
        <v>0</v>
      </c>
      <c r="NN40" s="77">
        <f t="shared" si="232"/>
        <v>0</v>
      </c>
      <c r="NO40" s="77">
        <f t="shared" si="232"/>
        <v>0</v>
      </c>
      <c r="NP40" s="77">
        <f t="shared" si="232"/>
        <v>0</v>
      </c>
      <c r="NQ40" s="77">
        <f t="shared" si="232"/>
        <v>0</v>
      </c>
      <c r="NR40" s="77">
        <f t="shared" si="232"/>
        <v>0</v>
      </c>
      <c r="NS40" s="77">
        <f t="shared" si="232"/>
        <v>0</v>
      </c>
      <c r="NT40" s="77">
        <f t="shared" si="232"/>
        <v>0</v>
      </c>
      <c r="NU40" s="77">
        <f t="shared" si="233"/>
        <v>0</v>
      </c>
      <c r="NV40" s="77">
        <f t="shared" si="233"/>
        <v>0</v>
      </c>
      <c r="NW40" s="77">
        <f t="shared" si="233"/>
        <v>0</v>
      </c>
      <c r="NX40" s="10"/>
    </row>
    <row r="41" spans="2:388" x14ac:dyDescent="0.3">
      <c r="B41" s="26" t="s">
        <v>218</v>
      </c>
      <c r="C41" s="18"/>
      <c r="D41" s="19"/>
      <c r="E41" s="27">
        <v>2</v>
      </c>
      <c r="F41" s="27">
        <v>38</v>
      </c>
      <c r="G41" s="21"/>
      <c r="H41" s="28">
        <f t="shared" si="196"/>
        <v>37</v>
      </c>
      <c r="I41" s="21" t="s">
        <v>195</v>
      </c>
      <c r="J41" s="23">
        <f t="shared" si="197"/>
        <v>1086.9565217391305</v>
      </c>
      <c r="K41" s="29">
        <f t="shared" si="198"/>
        <v>0.14367816091954022</v>
      </c>
      <c r="L41" s="30">
        <f>250000</f>
        <v>250000</v>
      </c>
      <c r="N41" s="9" t="s">
        <v>219</v>
      </c>
      <c r="S41" s="69" t="str">
        <f t="shared" si="199"/>
        <v>OK</v>
      </c>
      <c r="T41" s="16">
        <f t="shared" si="200"/>
        <v>0</v>
      </c>
      <c r="U41" s="16">
        <f t="shared" si="200"/>
        <v>6756.7567567567567</v>
      </c>
      <c r="V41" s="16">
        <f t="shared" si="200"/>
        <v>6756.7567567567567</v>
      </c>
      <c r="W41" s="16">
        <f t="shared" si="200"/>
        <v>6756.7567567567567</v>
      </c>
      <c r="X41" s="16">
        <f t="shared" si="200"/>
        <v>6756.7567567567567</v>
      </c>
      <c r="Y41" s="16">
        <f t="shared" si="200"/>
        <v>6756.7567567567567</v>
      </c>
      <c r="Z41" s="16">
        <f t="shared" si="200"/>
        <v>6756.7567567567567</v>
      </c>
      <c r="AA41" s="16">
        <f t="shared" si="200"/>
        <v>6756.7567567567567</v>
      </c>
      <c r="AB41" s="16">
        <f t="shared" si="200"/>
        <v>6756.7567567567567</v>
      </c>
      <c r="AC41" s="16">
        <f t="shared" si="200"/>
        <v>6756.7567567567567</v>
      </c>
      <c r="AD41" s="16">
        <f t="shared" si="201"/>
        <v>6756.7567567567567</v>
      </c>
      <c r="AE41" s="16">
        <f t="shared" si="201"/>
        <v>6756.7567567567567</v>
      </c>
      <c r="AF41" s="16">
        <f t="shared" si="201"/>
        <v>6756.7567567567567</v>
      </c>
      <c r="AG41" s="16">
        <f t="shared" si="201"/>
        <v>6756.7567567567567</v>
      </c>
      <c r="AH41" s="16">
        <f t="shared" si="201"/>
        <v>6756.7567567567567</v>
      </c>
      <c r="AI41" s="16">
        <f t="shared" si="201"/>
        <v>6756.7567567567567</v>
      </c>
      <c r="AJ41" s="16">
        <f t="shared" si="201"/>
        <v>6756.7567567567567</v>
      </c>
      <c r="AK41" s="16">
        <f t="shared" si="201"/>
        <v>6756.7567567567567</v>
      </c>
      <c r="AL41" s="16">
        <f t="shared" si="201"/>
        <v>6756.7567567567567</v>
      </c>
      <c r="AM41" s="16">
        <f t="shared" si="201"/>
        <v>6756.7567567567567</v>
      </c>
      <c r="AN41" s="16">
        <f t="shared" si="202"/>
        <v>6756.7567567567567</v>
      </c>
      <c r="AO41" s="16">
        <f t="shared" si="202"/>
        <v>6756.7567567567567</v>
      </c>
      <c r="AP41" s="16">
        <f t="shared" si="202"/>
        <v>6756.7567567567567</v>
      </c>
      <c r="AQ41" s="16">
        <f t="shared" si="202"/>
        <v>6756.7567567567567</v>
      </c>
      <c r="AR41" s="16">
        <f t="shared" si="202"/>
        <v>6756.7567567567567</v>
      </c>
      <c r="AS41" s="16">
        <f t="shared" si="202"/>
        <v>6756.7567567567567</v>
      </c>
      <c r="AT41" s="16">
        <f t="shared" si="202"/>
        <v>6756.7567567567567</v>
      </c>
      <c r="AU41" s="16">
        <f t="shared" si="202"/>
        <v>6756.7567567567567</v>
      </c>
      <c r="AV41" s="16">
        <f t="shared" si="202"/>
        <v>6756.7567567567567</v>
      </c>
      <c r="AW41" s="16">
        <f t="shared" si="202"/>
        <v>6756.7567567567567</v>
      </c>
      <c r="AX41" s="16">
        <f t="shared" si="203"/>
        <v>6756.7567567567567</v>
      </c>
      <c r="AY41" s="16">
        <f t="shared" si="203"/>
        <v>6756.7567567567567</v>
      </c>
      <c r="AZ41" s="16">
        <f t="shared" si="203"/>
        <v>6756.7567567567567</v>
      </c>
      <c r="BA41" s="16">
        <f t="shared" si="203"/>
        <v>6756.7567567567567</v>
      </c>
      <c r="BB41" s="16">
        <f t="shared" si="203"/>
        <v>6756.7567567567567</v>
      </c>
      <c r="BC41" s="16">
        <f t="shared" si="203"/>
        <v>6756.7567567567567</v>
      </c>
      <c r="BD41" s="16">
        <f t="shared" si="203"/>
        <v>6756.7567567567567</v>
      </c>
      <c r="BE41" s="16">
        <f t="shared" si="203"/>
        <v>6756.7567567567567</v>
      </c>
      <c r="BF41" s="16">
        <f t="shared" si="203"/>
        <v>0</v>
      </c>
      <c r="BG41" s="16">
        <f t="shared" si="203"/>
        <v>0</v>
      </c>
      <c r="BH41" s="16">
        <f t="shared" si="204"/>
        <v>0</v>
      </c>
      <c r="BI41" s="16">
        <f t="shared" si="204"/>
        <v>0</v>
      </c>
      <c r="BJ41" s="16">
        <f t="shared" si="204"/>
        <v>0</v>
      </c>
      <c r="BK41" s="16">
        <f t="shared" si="204"/>
        <v>0</v>
      </c>
      <c r="BL41" s="16">
        <f t="shared" si="204"/>
        <v>0</v>
      </c>
      <c r="BM41" s="16">
        <f t="shared" si="204"/>
        <v>0</v>
      </c>
      <c r="BN41" s="16">
        <f t="shared" si="204"/>
        <v>0</v>
      </c>
      <c r="BO41" s="16">
        <f t="shared" si="204"/>
        <v>0</v>
      </c>
      <c r="BP41" s="16">
        <f t="shared" si="204"/>
        <v>0</v>
      </c>
      <c r="BQ41" s="16">
        <f t="shared" si="204"/>
        <v>0</v>
      </c>
      <c r="BR41" s="16">
        <f t="shared" si="205"/>
        <v>0</v>
      </c>
      <c r="BS41" s="16">
        <f t="shared" si="205"/>
        <v>0</v>
      </c>
      <c r="BT41" s="16">
        <f t="shared" si="205"/>
        <v>0</v>
      </c>
      <c r="BU41" s="16">
        <f t="shared" si="205"/>
        <v>0</v>
      </c>
      <c r="BV41" s="16">
        <f t="shared" si="205"/>
        <v>0</v>
      </c>
      <c r="BW41" s="16">
        <f t="shared" si="205"/>
        <v>0</v>
      </c>
      <c r="BX41" s="16">
        <f t="shared" si="205"/>
        <v>0</v>
      </c>
      <c r="BY41" s="16">
        <f t="shared" si="205"/>
        <v>0</v>
      </c>
      <c r="BZ41" s="16">
        <f t="shared" si="205"/>
        <v>0</v>
      </c>
      <c r="CA41" s="16">
        <f t="shared" si="205"/>
        <v>0</v>
      </c>
      <c r="CB41" s="16">
        <f t="shared" si="206"/>
        <v>0</v>
      </c>
      <c r="CC41" s="16">
        <f t="shared" si="206"/>
        <v>0</v>
      </c>
      <c r="CD41" s="16">
        <f t="shared" si="206"/>
        <v>0</v>
      </c>
      <c r="CE41" s="16">
        <f t="shared" si="206"/>
        <v>0</v>
      </c>
      <c r="CF41" s="16">
        <f t="shared" si="206"/>
        <v>0</v>
      </c>
      <c r="CG41" s="16">
        <f t="shared" si="206"/>
        <v>0</v>
      </c>
      <c r="CH41" s="16">
        <f t="shared" si="206"/>
        <v>0</v>
      </c>
      <c r="CI41" s="16">
        <f t="shared" si="206"/>
        <v>0</v>
      </c>
      <c r="CJ41" s="16">
        <f t="shared" si="206"/>
        <v>0</v>
      </c>
      <c r="CK41" s="16">
        <f t="shared" si="206"/>
        <v>0</v>
      </c>
      <c r="CL41" s="16">
        <f t="shared" si="207"/>
        <v>0</v>
      </c>
      <c r="CM41" s="16">
        <f t="shared" si="207"/>
        <v>0</v>
      </c>
      <c r="CN41" s="16">
        <f t="shared" si="207"/>
        <v>0</v>
      </c>
      <c r="CO41" s="16">
        <f t="shared" si="207"/>
        <v>0</v>
      </c>
      <c r="CP41" s="16">
        <f t="shared" si="207"/>
        <v>0</v>
      </c>
      <c r="CQ41" s="16">
        <f t="shared" si="207"/>
        <v>0</v>
      </c>
      <c r="CR41" s="16">
        <f t="shared" si="207"/>
        <v>0</v>
      </c>
      <c r="CS41" s="16">
        <f t="shared" si="207"/>
        <v>0</v>
      </c>
      <c r="CT41" s="16">
        <f t="shared" si="207"/>
        <v>0</v>
      </c>
      <c r="CU41" s="16">
        <f t="shared" si="207"/>
        <v>0</v>
      </c>
      <c r="CV41" s="16">
        <f t="shared" si="208"/>
        <v>0</v>
      </c>
      <c r="CW41" s="16">
        <f t="shared" si="208"/>
        <v>0</v>
      </c>
      <c r="CX41" s="16">
        <f t="shared" si="208"/>
        <v>0</v>
      </c>
      <c r="CY41" s="16">
        <f t="shared" si="208"/>
        <v>0</v>
      </c>
      <c r="CZ41" s="16">
        <f t="shared" si="208"/>
        <v>0</v>
      </c>
      <c r="DA41" s="16">
        <f t="shared" si="208"/>
        <v>0</v>
      </c>
      <c r="DB41" s="16">
        <f t="shared" si="208"/>
        <v>0</v>
      </c>
      <c r="DC41" s="16">
        <f t="shared" si="208"/>
        <v>0</v>
      </c>
      <c r="DD41" s="16">
        <f t="shared" si="208"/>
        <v>0</v>
      </c>
      <c r="DE41" s="16">
        <f t="shared" si="208"/>
        <v>0</v>
      </c>
      <c r="DF41" s="16">
        <f t="shared" si="209"/>
        <v>0</v>
      </c>
      <c r="DG41" s="16">
        <f t="shared" si="209"/>
        <v>0</v>
      </c>
      <c r="DH41" s="16">
        <f t="shared" si="209"/>
        <v>0</v>
      </c>
      <c r="DI41" s="16">
        <f t="shared" si="209"/>
        <v>0</v>
      </c>
      <c r="DJ41" s="16">
        <f t="shared" si="209"/>
        <v>0</v>
      </c>
      <c r="DK41" s="16">
        <f t="shared" si="209"/>
        <v>0</v>
      </c>
      <c r="DL41" s="16">
        <f t="shared" si="209"/>
        <v>0</v>
      </c>
      <c r="DM41" s="16">
        <f t="shared" si="209"/>
        <v>0</v>
      </c>
      <c r="DN41" s="16">
        <f t="shared" si="209"/>
        <v>0</v>
      </c>
      <c r="DO41" s="16">
        <f t="shared" si="209"/>
        <v>0</v>
      </c>
      <c r="DP41" s="16">
        <f t="shared" si="210"/>
        <v>0</v>
      </c>
      <c r="DQ41" s="16">
        <f t="shared" si="210"/>
        <v>0</v>
      </c>
      <c r="DR41" s="16">
        <f t="shared" si="210"/>
        <v>0</v>
      </c>
      <c r="DS41" s="16">
        <f t="shared" si="210"/>
        <v>0</v>
      </c>
      <c r="DT41" s="16">
        <f t="shared" si="210"/>
        <v>0</v>
      </c>
      <c r="DU41" s="16">
        <f t="shared" si="210"/>
        <v>0</v>
      </c>
      <c r="DV41" s="16">
        <f t="shared" si="210"/>
        <v>0</v>
      </c>
      <c r="DW41" s="16">
        <f t="shared" si="210"/>
        <v>0</v>
      </c>
      <c r="DX41" s="16">
        <f t="shared" si="210"/>
        <v>0</v>
      </c>
      <c r="DY41" s="16">
        <f t="shared" si="210"/>
        <v>0</v>
      </c>
      <c r="DZ41" s="16">
        <f t="shared" si="211"/>
        <v>0</v>
      </c>
      <c r="EA41" s="16">
        <f t="shared" si="211"/>
        <v>0</v>
      </c>
      <c r="EB41" s="16">
        <f t="shared" si="211"/>
        <v>0</v>
      </c>
      <c r="EC41" s="16">
        <f t="shared" si="211"/>
        <v>0</v>
      </c>
      <c r="ED41" s="16">
        <f t="shared" si="211"/>
        <v>0</v>
      </c>
      <c r="EE41" s="16">
        <f t="shared" si="211"/>
        <v>0</v>
      </c>
      <c r="EF41" s="16">
        <f t="shared" si="211"/>
        <v>0</v>
      </c>
      <c r="EG41" s="16">
        <f t="shared" si="211"/>
        <v>0</v>
      </c>
      <c r="EH41" s="16">
        <f t="shared" si="211"/>
        <v>0</v>
      </c>
      <c r="EI41" s="16">
        <f t="shared" si="211"/>
        <v>0</v>
      </c>
      <c r="EJ41" s="16">
        <f t="shared" si="212"/>
        <v>0</v>
      </c>
      <c r="EK41" s="16">
        <f t="shared" si="212"/>
        <v>0</v>
      </c>
      <c r="EL41" s="16">
        <f t="shared" si="212"/>
        <v>0</v>
      </c>
      <c r="EM41" s="16">
        <f t="shared" si="212"/>
        <v>0</v>
      </c>
      <c r="EN41" s="16">
        <f t="shared" si="212"/>
        <v>0</v>
      </c>
      <c r="EO41" s="16">
        <f t="shared" si="212"/>
        <v>0</v>
      </c>
      <c r="EP41" s="16">
        <f t="shared" si="212"/>
        <v>0</v>
      </c>
      <c r="EQ41" s="16">
        <f t="shared" si="212"/>
        <v>0</v>
      </c>
      <c r="ER41" s="16">
        <f t="shared" si="212"/>
        <v>0</v>
      </c>
      <c r="ES41" s="16">
        <f t="shared" si="212"/>
        <v>0</v>
      </c>
      <c r="ET41" s="16">
        <f t="shared" si="213"/>
        <v>0</v>
      </c>
      <c r="EU41" s="16">
        <f t="shared" si="213"/>
        <v>0</v>
      </c>
      <c r="EV41" s="16">
        <f t="shared" si="213"/>
        <v>0</v>
      </c>
      <c r="EW41" s="16">
        <f t="shared" si="213"/>
        <v>0</v>
      </c>
      <c r="EX41" s="16">
        <f t="shared" si="213"/>
        <v>0</v>
      </c>
      <c r="EY41" s="16">
        <f t="shared" si="213"/>
        <v>0</v>
      </c>
      <c r="EZ41" s="16">
        <f t="shared" si="213"/>
        <v>0</v>
      </c>
      <c r="FA41" s="16">
        <f t="shared" si="213"/>
        <v>0</v>
      </c>
      <c r="FB41" s="16">
        <f t="shared" si="213"/>
        <v>0</v>
      </c>
      <c r="FC41" s="16">
        <f t="shared" si="213"/>
        <v>0</v>
      </c>
      <c r="FD41" s="16">
        <f t="shared" si="214"/>
        <v>0</v>
      </c>
      <c r="FE41" s="16">
        <f t="shared" si="214"/>
        <v>0</v>
      </c>
      <c r="FF41" s="16">
        <f t="shared" si="214"/>
        <v>0</v>
      </c>
      <c r="FG41" s="16">
        <f t="shared" si="214"/>
        <v>0</v>
      </c>
      <c r="FH41" s="16">
        <f t="shared" si="214"/>
        <v>0</v>
      </c>
      <c r="FI41" s="16">
        <f t="shared" si="214"/>
        <v>0</v>
      </c>
      <c r="FJ41" s="16">
        <f t="shared" si="214"/>
        <v>0</v>
      </c>
      <c r="FK41" s="16">
        <f t="shared" si="214"/>
        <v>0</v>
      </c>
      <c r="FL41" s="16">
        <f t="shared" si="214"/>
        <v>0</v>
      </c>
      <c r="FM41" s="16">
        <f t="shared" si="214"/>
        <v>0</v>
      </c>
      <c r="FN41" s="16">
        <f t="shared" si="215"/>
        <v>0</v>
      </c>
      <c r="FO41" s="16">
        <f t="shared" si="215"/>
        <v>0</v>
      </c>
      <c r="FP41" s="16">
        <f t="shared" si="215"/>
        <v>0</v>
      </c>
      <c r="FQ41" s="16">
        <f t="shared" si="215"/>
        <v>0</v>
      </c>
      <c r="FR41" s="16">
        <f t="shared" si="215"/>
        <v>0</v>
      </c>
      <c r="FS41" s="16">
        <f t="shared" si="215"/>
        <v>0</v>
      </c>
      <c r="FT41" s="16">
        <f t="shared" si="215"/>
        <v>0</v>
      </c>
      <c r="FU41" s="16">
        <f t="shared" si="215"/>
        <v>0</v>
      </c>
      <c r="FV41" s="16">
        <f t="shared" si="215"/>
        <v>0</v>
      </c>
      <c r="FW41" s="16">
        <f t="shared" si="215"/>
        <v>0</v>
      </c>
      <c r="FX41" s="16">
        <f t="shared" si="216"/>
        <v>0</v>
      </c>
      <c r="FY41" s="16">
        <f t="shared" si="216"/>
        <v>0</v>
      </c>
      <c r="FZ41" s="16">
        <f t="shared" si="216"/>
        <v>0</v>
      </c>
      <c r="GA41" s="16">
        <f t="shared" si="216"/>
        <v>0</v>
      </c>
      <c r="GB41" s="16">
        <f t="shared" si="216"/>
        <v>0</v>
      </c>
      <c r="GC41" s="16">
        <f t="shared" si="216"/>
        <v>0</v>
      </c>
      <c r="GD41" s="16">
        <f t="shared" si="216"/>
        <v>0</v>
      </c>
      <c r="GE41" s="16">
        <f t="shared" si="216"/>
        <v>0</v>
      </c>
      <c r="GF41" s="16">
        <f t="shared" si="216"/>
        <v>0</v>
      </c>
      <c r="GG41" s="16">
        <f t="shared" si="216"/>
        <v>0</v>
      </c>
      <c r="GH41" s="16">
        <f t="shared" si="217"/>
        <v>0</v>
      </c>
      <c r="GI41" s="16">
        <f t="shared" si="217"/>
        <v>0</v>
      </c>
      <c r="GJ41" s="16">
        <f t="shared" si="217"/>
        <v>0</v>
      </c>
      <c r="GK41" s="16">
        <f t="shared" si="217"/>
        <v>0</v>
      </c>
      <c r="GL41" s="16">
        <f t="shared" si="217"/>
        <v>0</v>
      </c>
      <c r="GM41" s="16">
        <f t="shared" si="217"/>
        <v>0</v>
      </c>
      <c r="GN41" s="16">
        <f t="shared" si="217"/>
        <v>0</v>
      </c>
      <c r="GO41" s="16">
        <f t="shared" si="217"/>
        <v>0</v>
      </c>
      <c r="GP41" s="16">
        <f t="shared" si="217"/>
        <v>0</v>
      </c>
      <c r="GQ41" s="16">
        <f t="shared" si="217"/>
        <v>0</v>
      </c>
      <c r="GR41" s="9"/>
      <c r="GS41" s="70" t="str">
        <f t="shared" si="191"/>
        <v>Construction Management</v>
      </c>
      <c r="GT41" s="77">
        <f t="shared" si="218"/>
        <v>250000</v>
      </c>
      <c r="GU41" s="78">
        <f t="shared" si="192"/>
        <v>2</v>
      </c>
      <c r="GV41" s="78">
        <f t="shared" si="192"/>
        <v>38</v>
      </c>
      <c r="GW41" s="78">
        <f t="shared" si="219"/>
        <v>37</v>
      </c>
      <c r="GX41" s="79">
        <f t="shared" si="220"/>
        <v>6.166666666666667</v>
      </c>
      <c r="GY41" s="79" t="b">
        <f>ROUND(GT41,0)=ROUND(SUM(GZ41:NW41),0)</f>
        <v>1</v>
      </c>
      <c r="GZ41" s="77">
        <f t="shared" si="221"/>
        <v>0</v>
      </c>
      <c r="HA41" s="77">
        <f t="shared" si="222"/>
        <v>230.90202853323279</v>
      </c>
      <c r="HB41" s="77">
        <f t="shared" si="222"/>
        <v>365.46824312835048</v>
      </c>
      <c r="HC41" s="77">
        <f t="shared" si="222"/>
        <v>563.47654861193837</v>
      </c>
      <c r="HD41" s="77">
        <f t="shared" si="222"/>
        <v>846.26499555198745</v>
      </c>
      <c r="HE41" s="77">
        <f t="shared" si="222"/>
        <v>1238.0587857874114</v>
      </c>
      <c r="HF41" s="77">
        <f t="shared" si="222"/>
        <v>1764.3329215512019</v>
      </c>
      <c r="HG41" s="77">
        <f t="shared" si="222"/>
        <v>2449.1997971876121</v>
      </c>
      <c r="HH41" s="77">
        <f t="shared" si="222"/>
        <v>3311.8626586813243</v>
      </c>
      <c r="HI41" s="77">
        <f t="shared" si="222"/>
        <v>4362.3938130063989</v>
      </c>
      <c r="HJ41" s="77">
        <f t="shared" si="222"/>
        <v>5597.3425182781248</v>
      </c>
      <c r="HK41" s="77">
        <f t="shared" si="222"/>
        <v>6995.8965548710858</v>
      </c>
      <c r="HL41" s="77">
        <f t="shared" si="222"/>
        <v>8517.4456350369601</v>
      </c>
      <c r="HM41" s="77">
        <f t="shared" si="222"/>
        <v>10101.360479718105</v>
      </c>
      <c r="HN41" s="77">
        <f t="shared" si="222"/>
        <v>11669.570948985924</v>
      </c>
      <c r="HO41" s="77">
        <f t="shared" si="222"/>
        <v>13132.107732011524</v>
      </c>
      <c r="HP41" s="77">
        <f t="shared" si="222"/>
        <v>14395.22713637909</v>
      </c>
      <c r="HQ41" s="77">
        <f t="shared" si="223"/>
        <v>15371.177922947038</v>
      </c>
      <c r="HR41" s="77">
        <f t="shared" si="223"/>
        <v>15988.227692614342</v>
      </c>
      <c r="HS41" s="77">
        <f t="shared" si="223"/>
        <v>16199.367174236704</v>
      </c>
      <c r="HT41" s="77">
        <f t="shared" si="223"/>
        <v>15988.227692614355</v>
      </c>
      <c r="HU41" s="77">
        <f t="shared" si="223"/>
        <v>15371.17792294701</v>
      </c>
      <c r="HV41" s="77">
        <f t="shared" si="223"/>
        <v>14395.227136379119</v>
      </c>
      <c r="HW41" s="77">
        <f t="shared" si="223"/>
        <v>13132.107732011502</v>
      </c>
      <c r="HX41" s="77">
        <f t="shared" si="223"/>
        <v>11669.570948985924</v>
      </c>
      <c r="HY41" s="77">
        <f t="shared" si="223"/>
        <v>10101.360479718127</v>
      </c>
      <c r="HZ41" s="77">
        <f t="shared" si="223"/>
        <v>8517.4456350369401</v>
      </c>
      <c r="IA41" s="77">
        <f t="shared" si="223"/>
        <v>6995.8965548710858</v>
      </c>
      <c r="IB41" s="77">
        <f t="shared" si="223"/>
        <v>5597.342518278143</v>
      </c>
      <c r="IC41" s="77">
        <f t="shared" si="223"/>
        <v>4362.3938130063871</v>
      </c>
      <c r="ID41" s="77">
        <f t="shared" si="223"/>
        <v>3311.8626586813252</v>
      </c>
      <c r="IE41" s="77">
        <f t="shared" si="223"/>
        <v>2449.1997971876226</v>
      </c>
      <c r="IF41" s="77">
        <f t="shared" si="223"/>
        <v>1764.3329215511908</v>
      </c>
      <c r="IG41" s="77">
        <f t="shared" si="224"/>
        <v>1238.0587857874157</v>
      </c>
      <c r="IH41" s="77">
        <f t="shared" si="224"/>
        <v>846.26499555197358</v>
      </c>
      <c r="II41" s="77">
        <f t="shared" si="224"/>
        <v>563.47654861195463</v>
      </c>
      <c r="IJ41" s="77">
        <f t="shared" si="224"/>
        <v>365.46824312833894</v>
      </c>
      <c r="IK41" s="77">
        <f t="shared" si="224"/>
        <v>230.90202853323643</v>
      </c>
      <c r="IL41" s="77">
        <f t="shared" si="224"/>
        <v>0</v>
      </c>
      <c r="IM41" s="77">
        <f t="shared" si="224"/>
        <v>0</v>
      </c>
      <c r="IN41" s="77">
        <f t="shared" si="224"/>
        <v>0</v>
      </c>
      <c r="IO41" s="77">
        <f t="shared" si="224"/>
        <v>0</v>
      </c>
      <c r="IP41" s="77">
        <f t="shared" si="224"/>
        <v>0</v>
      </c>
      <c r="IQ41" s="77">
        <f t="shared" si="224"/>
        <v>0</v>
      </c>
      <c r="IR41" s="77">
        <f t="shared" si="224"/>
        <v>0</v>
      </c>
      <c r="IS41" s="77">
        <f t="shared" si="224"/>
        <v>0</v>
      </c>
      <c r="IT41" s="77">
        <f t="shared" si="224"/>
        <v>0</v>
      </c>
      <c r="IU41" s="77">
        <f t="shared" si="224"/>
        <v>0</v>
      </c>
      <c r="IV41" s="77">
        <f t="shared" si="224"/>
        <v>0</v>
      </c>
      <c r="IW41" s="77">
        <f t="shared" si="225"/>
        <v>0</v>
      </c>
      <c r="IX41" s="77">
        <f t="shared" si="225"/>
        <v>0</v>
      </c>
      <c r="IY41" s="77">
        <f t="shared" si="225"/>
        <v>0</v>
      </c>
      <c r="IZ41" s="77">
        <f t="shared" si="225"/>
        <v>0</v>
      </c>
      <c r="JA41" s="77">
        <f t="shared" si="225"/>
        <v>0</v>
      </c>
      <c r="JB41" s="77">
        <f t="shared" si="225"/>
        <v>0</v>
      </c>
      <c r="JC41" s="77">
        <f t="shared" si="225"/>
        <v>0</v>
      </c>
      <c r="JD41" s="77">
        <f t="shared" si="225"/>
        <v>0</v>
      </c>
      <c r="JE41" s="77">
        <f t="shared" si="225"/>
        <v>0</v>
      </c>
      <c r="JF41" s="77">
        <f t="shared" si="225"/>
        <v>0</v>
      </c>
      <c r="JG41" s="77">
        <f t="shared" si="225"/>
        <v>0</v>
      </c>
      <c r="JH41" s="77">
        <f t="shared" si="225"/>
        <v>0</v>
      </c>
      <c r="JI41" s="77">
        <f t="shared" si="225"/>
        <v>0</v>
      </c>
      <c r="JJ41" s="77">
        <f t="shared" si="225"/>
        <v>0</v>
      </c>
      <c r="JK41" s="77">
        <f t="shared" si="225"/>
        <v>0</v>
      </c>
      <c r="JL41" s="77">
        <f t="shared" si="225"/>
        <v>0</v>
      </c>
      <c r="JM41" s="77">
        <f t="shared" si="226"/>
        <v>0</v>
      </c>
      <c r="JN41" s="77">
        <f t="shared" si="226"/>
        <v>0</v>
      </c>
      <c r="JO41" s="77">
        <f t="shared" si="226"/>
        <v>0</v>
      </c>
      <c r="JP41" s="77">
        <f t="shared" si="226"/>
        <v>0</v>
      </c>
      <c r="JQ41" s="77">
        <f t="shared" si="226"/>
        <v>0</v>
      </c>
      <c r="JR41" s="77">
        <f t="shared" si="226"/>
        <v>0</v>
      </c>
      <c r="JS41" s="77">
        <f t="shared" si="226"/>
        <v>0</v>
      </c>
      <c r="JT41" s="77">
        <f t="shared" si="226"/>
        <v>0</v>
      </c>
      <c r="JU41" s="77">
        <f t="shared" si="226"/>
        <v>0</v>
      </c>
      <c r="JV41" s="77">
        <f t="shared" si="226"/>
        <v>0</v>
      </c>
      <c r="JW41" s="77">
        <f t="shared" si="226"/>
        <v>0</v>
      </c>
      <c r="JX41" s="77">
        <f t="shared" si="226"/>
        <v>0</v>
      </c>
      <c r="JY41" s="77">
        <f t="shared" si="226"/>
        <v>0</v>
      </c>
      <c r="JZ41" s="77">
        <f t="shared" si="226"/>
        <v>0</v>
      </c>
      <c r="KA41" s="77">
        <f t="shared" si="226"/>
        <v>0</v>
      </c>
      <c r="KB41" s="77">
        <f t="shared" si="226"/>
        <v>0</v>
      </c>
      <c r="KC41" s="77">
        <f t="shared" si="227"/>
        <v>0</v>
      </c>
      <c r="KD41" s="77">
        <f t="shared" si="227"/>
        <v>0</v>
      </c>
      <c r="KE41" s="77">
        <f t="shared" si="227"/>
        <v>0</v>
      </c>
      <c r="KF41" s="77">
        <f t="shared" si="227"/>
        <v>0</v>
      </c>
      <c r="KG41" s="77">
        <f t="shared" si="227"/>
        <v>0</v>
      </c>
      <c r="KH41" s="77">
        <f t="shared" si="227"/>
        <v>0</v>
      </c>
      <c r="KI41" s="77">
        <f t="shared" si="227"/>
        <v>0</v>
      </c>
      <c r="KJ41" s="77">
        <f t="shared" si="227"/>
        <v>0</v>
      </c>
      <c r="KK41" s="77">
        <f t="shared" si="227"/>
        <v>0</v>
      </c>
      <c r="KL41" s="77">
        <f t="shared" si="227"/>
        <v>0</v>
      </c>
      <c r="KM41" s="77">
        <f t="shared" si="227"/>
        <v>0</v>
      </c>
      <c r="KN41" s="77">
        <f t="shared" si="227"/>
        <v>0</v>
      </c>
      <c r="KO41" s="77">
        <f t="shared" si="227"/>
        <v>0</v>
      </c>
      <c r="KP41" s="77">
        <f t="shared" si="227"/>
        <v>0</v>
      </c>
      <c r="KQ41" s="77">
        <f t="shared" si="227"/>
        <v>0</v>
      </c>
      <c r="KR41" s="77">
        <f t="shared" si="227"/>
        <v>0</v>
      </c>
      <c r="KS41" s="77">
        <f t="shared" si="228"/>
        <v>0</v>
      </c>
      <c r="KT41" s="77">
        <f t="shared" si="228"/>
        <v>0</v>
      </c>
      <c r="KU41" s="77">
        <f t="shared" si="228"/>
        <v>0</v>
      </c>
      <c r="KV41" s="77">
        <f t="shared" si="228"/>
        <v>0</v>
      </c>
      <c r="KW41" s="77">
        <f t="shared" si="228"/>
        <v>0</v>
      </c>
      <c r="KX41" s="77">
        <f t="shared" si="228"/>
        <v>0</v>
      </c>
      <c r="KY41" s="77">
        <f t="shared" si="228"/>
        <v>0</v>
      </c>
      <c r="KZ41" s="77">
        <f t="shared" si="228"/>
        <v>0</v>
      </c>
      <c r="LA41" s="77">
        <f t="shared" si="228"/>
        <v>0</v>
      </c>
      <c r="LB41" s="77">
        <f t="shared" si="228"/>
        <v>0</v>
      </c>
      <c r="LC41" s="77">
        <f t="shared" si="228"/>
        <v>0</v>
      </c>
      <c r="LD41" s="77">
        <f t="shared" si="228"/>
        <v>0</v>
      </c>
      <c r="LE41" s="77">
        <f t="shared" si="228"/>
        <v>0</v>
      </c>
      <c r="LF41" s="77">
        <f t="shared" si="228"/>
        <v>0</v>
      </c>
      <c r="LG41" s="77">
        <f t="shared" si="228"/>
        <v>0</v>
      </c>
      <c r="LH41" s="77">
        <f t="shared" si="228"/>
        <v>0</v>
      </c>
      <c r="LI41" s="77">
        <f t="shared" si="229"/>
        <v>0</v>
      </c>
      <c r="LJ41" s="77">
        <f t="shared" si="229"/>
        <v>0</v>
      </c>
      <c r="LK41" s="77">
        <f t="shared" si="229"/>
        <v>0</v>
      </c>
      <c r="LL41" s="77">
        <f t="shared" si="229"/>
        <v>0</v>
      </c>
      <c r="LM41" s="77">
        <f t="shared" si="229"/>
        <v>0</v>
      </c>
      <c r="LN41" s="77">
        <f t="shared" si="229"/>
        <v>0</v>
      </c>
      <c r="LO41" s="77">
        <f t="shared" si="229"/>
        <v>0</v>
      </c>
      <c r="LP41" s="77">
        <f t="shared" si="229"/>
        <v>0</v>
      </c>
      <c r="LQ41" s="77">
        <f t="shared" si="229"/>
        <v>0</v>
      </c>
      <c r="LR41" s="77">
        <f t="shared" si="229"/>
        <v>0</v>
      </c>
      <c r="LS41" s="77">
        <f t="shared" si="229"/>
        <v>0</v>
      </c>
      <c r="LT41" s="77">
        <f t="shared" si="229"/>
        <v>0</v>
      </c>
      <c r="LU41" s="77">
        <f t="shared" si="229"/>
        <v>0</v>
      </c>
      <c r="LV41" s="77">
        <f t="shared" si="229"/>
        <v>0</v>
      </c>
      <c r="LW41" s="77">
        <f t="shared" si="229"/>
        <v>0</v>
      </c>
      <c r="LX41" s="77">
        <f t="shared" si="229"/>
        <v>0</v>
      </c>
      <c r="LY41" s="77">
        <f t="shared" si="230"/>
        <v>0</v>
      </c>
      <c r="LZ41" s="77">
        <f t="shared" si="230"/>
        <v>0</v>
      </c>
      <c r="MA41" s="77">
        <f t="shared" si="230"/>
        <v>0</v>
      </c>
      <c r="MB41" s="77">
        <f t="shared" si="230"/>
        <v>0</v>
      </c>
      <c r="MC41" s="77">
        <f t="shared" si="230"/>
        <v>0</v>
      </c>
      <c r="MD41" s="77">
        <f t="shared" si="230"/>
        <v>0</v>
      </c>
      <c r="ME41" s="77">
        <f t="shared" si="230"/>
        <v>0</v>
      </c>
      <c r="MF41" s="77">
        <f t="shared" si="230"/>
        <v>0</v>
      </c>
      <c r="MG41" s="77">
        <f t="shared" si="230"/>
        <v>0</v>
      </c>
      <c r="MH41" s="77">
        <f t="shared" si="230"/>
        <v>0</v>
      </c>
      <c r="MI41" s="77">
        <f t="shared" si="230"/>
        <v>0</v>
      </c>
      <c r="MJ41" s="77">
        <f t="shared" si="230"/>
        <v>0</v>
      </c>
      <c r="MK41" s="77">
        <f t="shared" si="230"/>
        <v>0</v>
      </c>
      <c r="ML41" s="77">
        <f t="shared" si="230"/>
        <v>0</v>
      </c>
      <c r="MM41" s="77">
        <f t="shared" si="230"/>
        <v>0</v>
      </c>
      <c r="MN41" s="77">
        <f t="shared" si="230"/>
        <v>0</v>
      </c>
      <c r="MO41" s="77">
        <f t="shared" si="231"/>
        <v>0</v>
      </c>
      <c r="MP41" s="77">
        <f t="shared" si="231"/>
        <v>0</v>
      </c>
      <c r="MQ41" s="77">
        <f t="shared" si="231"/>
        <v>0</v>
      </c>
      <c r="MR41" s="77">
        <f t="shared" si="231"/>
        <v>0</v>
      </c>
      <c r="MS41" s="77">
        <f t="shared" si="231"/>
        <v>0</v>
      </c>
      <c r="MT41" s="77">
        <f t="shared" si="231"/>
        <v>0</v>
      </c>
      <c r="MU41" s="77">
        <f t="shared" si="231"/>
        <v>0</v>
      </c>
      <c r="MV41" s="77">
        <f t="shared" si="231"/>
        <v>0</v>
      </c>
      <c r="MW41" s="77">
        <f t="shared" si="231"/>
        <v>0</v>
      </c>
      <c r="MX41" s="77">
        <f t="shared" si="231"/>
        <v>0</v>
      </c>
      <c r="MY41" s="77">
        <f t="shared" si="231"/>
        <v>0</v>
      </c>
      <c r="MZ41" s="77">
        <f t="shared" si="231"/>
        <v>0</v>
      </c>
      <c r="NA41" s="77">
        <f t="shared" si="231"/>
        <v>0</v>
      </c>
      <c r="NB41" s="77">
        <f t="shared" si="231"/>
        <v>0</v>
      </c>
      <c r="NC41" s="77">
        <f t="shared" si="231"/>
        <v>0</v>
      </c>
      <c r="ND41" s="77">
        <f t="shared" si="231"/>
        <v>0</v>
      </c>
      <c r="NE41" s="77">
        <f t="shared" si="232"/>
        <v>0</v>
      </c>
      <c r="NF41" s="77">
        <f t="shared" si="232"/>
        <v>0</v>
      </c>
      <c r="NG41" s="77">
        <f t="shared" si="232"/>
        <v>0</v>
      </c>
      <c r="NH41" s="77">
        <f t="shared" si="232"/>
        <v>0</v>
      </c>
      <c r="NI41" s="77">
        <f t="shared" si="232"/>
        <v>0</v>
      </c>
      <c r="NJ41" s="77">
        <f t="shared" si="232"/>
        <v>0</v>
      </c>
      <c r="NK41" s="77">
        <f t="shared" si="232"/>
        <v>0</v>
      </c>
      <c r="NL41" s="77">
        <f t="shared" si="232"/>
        <v>0</v>
      </c>
      <c r="NM41" s="77">
        <f t="shared" si="232"/>
        <v>0</v>
      </c>
      <c r="NN41" s="77">
        <f t="shared" si="232"/>
        <v>0</v>
      </c>
      <c r="NO41" s="77">
        <f t="shared" si="232"/>
        <v>0</v>
      </c>
      <c r="NP41" s="77">
        <f t="shared" si="232"/>
        <v>0</v>
      </c>
      <c r="NQ41" s="77">
        <f t="shared" si="232"/>
        <v>0</v>
      </c>
      <c r="NR41" s="77">
        <f t="shared" si="232"/>
        <v>0</v>
      </c>
      <c r="NS41" s="77">
        <f t="shared" si="232"/>
        <v>0</v>
      </c>
      <c r="NT41" s="77">
        <f t="shared" si="232"/>
        <v>0</v>
      </c>
      <c r="NU41" s="77">
        <f t="shared" si="233"/>
        <v>0</v>
      </c>
      <c r="NV41" s="77">
        <f t="shared" si="233"/>
        <v>0</v>
      </c>
      <c r="NW41" s="77">
        <f t="shared" si="233"/>
        <v>0</v>
      </c>
      <c r="NX41" s="10"/>
    </row>
    <row r="42" spans="2:388" x14ac:dyDescent="0.3">
      <c r="B42" s="26" t="s">
        <v>220</v>
      </c>
      <c r="C42" s="18"/>
      <c r="D42" s="19"/>
      <c r="E42" s="27">
        <v>1</v>
      </c>
      <c r="F42" s="27">
        <v>38</v>
      </c>
      <c r="G42" s="21"/>
      <c r="H42" s="28">
        <f>F42-E42+1</f>
        <v>38</v>
      </c>
      <c r="I42" s="21" t="s">
        <v>195</v>
      </c>
      <c r="J42" s="23">
        <f>L42/$L$8</f>
        <v>1304.3478260869565</v>
      </c>
      <c r="K42" s="29">
        <f>L42/$L$7</f>
        <v>0.17241379310344829</v>
      </c>
      <c r="L42" s="30">
        <v>300000</v>
      </c>
      <c r="S42" s="69" t="str">
        <f>IF(ROUND(L42,0)=ROUND(SUM(T42:GQ42),0),"OK","ERROR")</f>
        <v>OK</v>
      </c>
      <c r="T42" s="16">
        <f t="shared" ref="T42:AY42" si="235">($I42="S-Curve")*GZ42+AND($I42&lt;&gt;"S-Curve",T$14&gt;=$E42,T$14&lt;=$F42)*($L42/$H42)</f>
        <v>7894.7368421052633</v>
      </c>
      <c r="U42" s="16">
        <f t="shared" si="235"/>
        <v>7894.7368421052633</v>
      </c>
      <c r="V42" s="16">
        <f t="shared" si="235"/>
        <v>7894.7368421052633</v>
      </c>
      <c r="W42" s="16">
        <f t="shared" si="235"/>
        <v>7894.7368421052633</v>
      </c>
      <c r="X42" s="16">
        <f t="shared" si="235"/>
        <v>7894.7368421052633</v>
      </c>
      <c r="Y42" s="16">
        <f t="shared" si="235"/>
        <v>7894.7368421052633</v>
      </c>
      <c r="Z42" s="16">
        <f t="shared" si="235"/>
        <v>7894.7368421052633</v>
      </c>
      <c r="AA42" s="16">
        <f t="shared" si="235"/>
        <v>7894.7368421052633</v>
      </c>
      <c r="AB42" s="16">
        <f t="shared" si="235"/>
        <v>7894.7368421052633</v>
      </c>
      <c r="AC42" s="16">
        <f t="shared" si="235"/>
        <v>7894.7368421052633</v>
      </c>
      <c r="AD42" s="16">
        <f t="shared" si="235"/>
        <v>7894.7368421052633</v>
      </c>
      <c r="AE42" s="16">
        <f t="shared" si="235"/>
        <v>7894.7368421052633</v>
      </c>
      <c r="AF42" s="16">
        <f t="shared" si="235"/>
        <v>7894.7368421052633</v>
      </c>
      <c r="AG42" s="16">
        <f t="shared" si="235"/>
        <v>7894.7368421052633</v>
      </c>
      <c r="AH42" s="16">
        <f t="shared" si="235"/>
        <v>7894.7368421052633</v>
      </c>
      <c r="AI42" s="16">
        <f t="shared" si="235"/>
        <v>7894.7368421052633</v>
      </c>
      <c r="AJ42" s="16">
        <f t="shared" si="235"/>
        <v>7894.7368421052633</v>
      </c>
      <c r="AK42" s="16">
        <f t="shared" si="235"/>
        <v>7894.7368421052633</v>
      </c>
      <c r="AL42" s="16">
        <f t="shared" si="235"/>
        <v>7894.7368421052633</v>
      </c>
      <c r="AM42" s="16">
        <f t="shared" si="235"/>
        <v>7894.7368421052633</v>
      </c>
      <c r="AN42" s="16">
        <f t="shared" si="235"/>
        <v>7894.7368421052633</v>
      </c>
      <c r="AO42" s="16">
        <f t="shared" si="235"/>
        <v>7894.7368421052633</v>
      </c>
      <c r="AP42" s="16">
        <f t="shared" si="235"/>
        <v>7894.7368421052633</v>
      </c>
      <c r="AQ42" s="16">
        <f t="shared" si="235"/>
        <v>7894.7368421052633</v>
      </c>
      <c r="AR42" s="16">
        <f t="shared" si="235"/>
        <v>7894.7368421052633</v>
      </c>
      <c r="AS42" s="16">
        <f t="shared" si="235"/>
        <v>7894.7368421052633</v>
      </c>
      <c r="AT42" s="16">
        <f t="shared" si="235"/>
        <v>7894.7368421052633</v>
      </c>
      <c r="AU42" s="16">
        <f t="shared" si="235"/>
        <v>7894.7368421052633</v>
      </c>
      <c r="AV42" s="16">
        <f t="shared" si="235"/>
        <v>7894.7368421052633</v>
      </c>
      <c r="AW42" s="16">
        <f t="shared" si="235"/>
        <v>7894.7368421052633</v>
      </c>
      <c r="AX42" s="16">
        <f t="shared" si="235"/>
        <v>7894.7368421052633</v>
      </c>
      <c r="AY42" s="16">
        <f t="shared" si="235"/>
        <v>7894.7368421052633</v>
      </c>
      <c r="AZ42" s="16">
        <f t="shared" si="203"/>
        <v>7894.7368421052633</v>
      </c>
      <c r="BA42" s="16">
        <f t="shared" si="203"/>
        <v>7894.7368421052633</v>
      </c>
      <c r="BB42" s="16">
        <f t="shared" si="203"/>
        <v>7894.7368421052633</v>
      </c>
      <c r="BC42" s="16">
        <f t="shared" si="203"/>
        <v>7894.7368421052633</v>
      </c>
      <c r="BD42" s="16">
        <f t="shared" si="203"/>
        <v>7894.7368421052633</v>
      </c>
      <c r="BE42" s="16">
        <f t="shared" si="203"/>
        <v>7894.7368421052633</v>
      </c>
      <c r="BF42" s="16">
        <f t="shared" si="203"/>
        <v>0</v>
      </c>
      <c r="BG42" s="16">
        <f t="shared" si="203"/>
        <v>0</v>
      </c>
      <c r="BH42" s="16">
        <f t="shared" si="204"/>
        <v>0</v>
      </c>
      <c r="BI42" s="16">
        <f t="shared" si="204"/>
        <v>0</v>
      </c>
      <c r="BJ42" s="16">
        <f t="shared" si="204"/>
        <v>0</v>
      </c>
      <c r="BK42" s="16">
        <f t="shared" si="204"/>
        <v>0</v>
      </c>
      <c r="BL42" s="16">
        <f t="shared" si="204"/>
        <v>0</v>
      </c>
      <c r="BM42" s="16">
        <f t="shared" si="204"/>
        <v>0</v>
      </c>
      <c r="BN42" s="16">
        <f t="shared" si="204"/>
        <v>0</v>
      </c>
      <c r="BO42" s="16">
        <f t="shared" si="204"/>
        <v>0</v>
      </c>
      <c r="BP42" s="16">
        <f t="shared" si="204"/>
        <v>0</v>
      </c>
      <c r="BQ42" s="16">
        <f t="shared" si="204"/>
        <v>0</v>
      </c>
      <c r="BR42" s="16">
        <f t="shared" si="205"/>
        <v>0</v>
      </c>
      <c r="BS42" s="16">
        <f t="shared" si="205"/>
        <v>0</v>
      </c>
      <c r="BT42" s="16">
        <f t="shared" si="205"/>
        <v>0</v>
      </c>
      <c r="BU42" s="16">
        <f t="shared" si="205"/>
        <v>0</v>
      </c>
      <c r="BV42" s="16">
        <f t="shared" si="205"/>
        <v>0</v>
      </c>
      <c r="BW42" s="16">
        <f t="shared" si="205"/>
        <v>0</v>
      </c>
      <c r="BX42" s="16">
        <f t="shared" si="205"/>
        <v>0</v>
      </c>
      <c r="BY42" s="16">
        <f t="shared" si="205"/>
        <v>0</v>
      </c>
      <c r="BZ42" s="16">
        <f t="shared" si="205"/>
        <v>0</v>
      </c>
      <c r="CA42" s="16">
        <f t="shared" si="205"/>
        <v>0</v>
      </c>
      <c r="CB42" s="16">
        <f t="shared" si="206"/>
        <v>0</v>
      </c>
      <c r="CC42" s="16">
        <f t="shared" si="206"/>
        <v>0</v>
      </c>
      <c r="CD42" s="16">
        <f t="shared" si="206"/>
        <v>0</v>
      </c>
      <c r="CE42" s="16">
        <f t="shared" si="206"/>
        <v>0</v>
      </c>
      <c r="CF42" s="16">
        <f t="shared" si="206"/>
        <v>0</v>
      </c>
      <c r="CG42" s="16">
        <f t="shared" si="206"/>
        <v>0</v>
      </c>
      <c r="CH42" s="16">
        <f t="shared" si="206"/>
        <v>0</v>
      </c>
      <c r="CI42" s="16">
        <f t="shared" si="206"/>
        <v>0</v>
      </c>
      <c r="CJ42" s="16">
        <f t="shared" si="206"/>
        <v>0</v>
      </c>
      <c r="CK42" s="16">
        <f t="shared" si="206"/>
        <v>0</v>
      </c>
      <c r="CL42" s="16">
        <f t="shared" si="207"/>
        <v>0</v>
      </c>
      <c r="CM42" s="16">
        <f t="shared" si="207"/>
        <v>0</v>
      </c>
      <c r="CN42" s="16">
        <f t="shared" si="207"/>
        <v>0</v>
      </c>
      <c r="CO42" s="16">
        <f t="shared" si="207"/>
        <v>0</v>
      </c>
      <c r="CP42" s="16">
        <f t="shared" si="207"/>
        <v>0</v>
      </c>
      <c r="CQ42" s="16">
        <f t="shared" si="207"/>
        <v>0</v>
      </c>
      <c r="CR42" s="16">
        <f t="shared" si="207"/>
        <v>0</v>
      </c>
      <c r="CS42" s="16">
        <f t="shared" si="207"/>
        <v>0</v>
      </c>
      <c r="CT42" s="16">
        <f t="shared" si="207"/>
        <v>0</v>
      </c>
      <c r="CU42" s="16">
        <f t="shared" si="207"/>
        <v>0</v>
      </c>
      <c r="CV42" s="16">
        <f t="shared" si="208"/>
        <v>0</v>
      </c>
      <c r="CW42" s="16">
        <f t="shared" si="208"/>
        <v>0</v>
      </c>
      <c r="CX42" s="16">
        <f t="shared" si="208"/>
        <v>0</v>
      </c>
      <c r="CY42" s="16">
        <f t="shared" si="208"/>
        <v>0</v>
      </c>
      <c r="CZ42" s="16">
        <f t="shared" si="208"/>
        <v>0</v>
      </c>
      <c r="DA42" s="16">
        <f t="shared" si="208"/>
        <v>0</v>
      </c>
      <c r="DB42" s="16">
        <f t="shared" si="208"/>
        <v>0</v>
      </c>
      <c r="DC42" s="16">
        <f t="shared" si="208"/>
        <v>0</v>
      </c>
      <c r="DD42" s="16">
        <f t="shared" si="208"/>
        <v>0</v>
      </c>
      <c r="DE42" s="16">
        <f t="shared" si="208"/>
        <v>0</v>
      </c>
      <c r="DF42" s="16">
        <f t="shared" si="209"/>
        <v>0</v>
      </c>
      <c r="DG42" s="16">
        <f t="shared" si="209"/>
        <v>0</v>
      </c>
      <c r="DH42" s="16">
        <f t="shared" si="209"/>
        <v>0</v>
      </c>
      <c r="DI42" s="16">
        <f t="shared" si="209"/>
        <v>0</v>
      </c>
      <c r="DJ42" s="16">
        <f t="shared" si="209"/>
        <v>0</v>
      </c>
      <c r="DK42" s="16">
        <f t="shared" si="209"/>
        <v>0</v>
      </c>
      <c r="DL42" s="16">
        <f t="shared" si="209"/>
        <v>0</v>
      </c>
      <c r="DM42" s="16">
        <f t="shared" si="209"/>
        <v>0</v>
      </c>
      <c r="DN42" s="16">
        <f t="shared" si="209"/>
        <v>0</v>
      </c>
      <c r="DO42" s="16">
        <f t="shared" si="209"/>
        <v>0</v>
      </c>
      <c r="DP42" s="16">
        <f t="shared" si="210"/>
        <v>0</v>
      </c>
      <c r="DQ42" s="16">
        <f t="shared" si="210"/>
        <v>0</v>
      </c>
      <c r="DR42" s="16">
        <f t="shared" si="210"/>
        <v>0</v>
      </c>
      <c r="DS42" s="16">
        <f t="shared" si="210"/>
        <v>0</v>
      </c>
      <c r="DT42" s="16">
        <f t="shared" si="210"/>
        <v>0</v>
      </c>
      <c r="DU42" s="16">
        <f t="shared" si="210"/>
        <v>0</v>
      </c>
      <c r="DV42" s="16">
        <f t="shared" si="210"/>
        <v>0</v>
      </c>
      <c r="DW42" s="16">
        <f t="shared" si="210"/>
        <v>0</v>
      </c>
      <c r="DX42" s="16">
        <f t="shared" si="210"/>
        <v>0</v>
      </c>
      <c r="DY42" s="16">
        <f t="shared" si="210"/>
        <v>0</v>
      </c>
      <c r="DZ42" s="16">
        <f t="shared" si="211"/>
        <v>0</v>
      </c>
      <c r="EA42" s="16">
        <f t="shared" si="211"/>
        <v>0</v>
      </c>
      <c r="EB42" s="16">
        <f t="shared" si="211"/>
        <v>0</v>
      </c>
      <c r="EC42" s="16">
        <f t="shared" si="211"/>
        <v>0</v>
      </c>
      <c r="ED42" s="16">
        <f t="shared" si="211"/>
        <v>0</v>
      </c>
      <c r="EE42" s="16">
        <f t="shared" si="211"/>
        <v>0</v>
      </c>
      <c r="EF42" s="16">
        <f t="shared" si="211"/>
        <v>0</v>
      </c>
      <c r="EG42" s="16">
        <f t="shared" si="211"/>
        <v>0</v>
      </c>
      <c r="EH42" s="16">
        <f t="shared" si="211"/>
        <v>0</v>
      </c>
      <c r="EI42" s="16">
        <f t="shared" si="211"/>
        <v>0</v>
      </c>
      <c r="EJ42" s="16">
        <f t="shared" si="212"/>
        <v>0</v>
      </c>
      <c r="EK42" s="16">
        <f t="shared" si="212"/>
        <v>0</v>
      </c>
      <c r="EL42" s="16">
        <f t="shared" si="212"/>
        <v>0</v>
      </c>
      <c r="EM42" s="16">
        <f t="shared" si="212"/>
        <v>0</v>
      </c>
      <c r="EN42" s="16">
        <f t="shared" si="212"/>
        <v>0</v>
      </c>
      <c r="EO42" s="16">
        <f t="shared" si="212"/>
        <v>0</v>
      </c>
      <c r="EP42" s="16">
        <f t="shared" si="212"/>
        <v>0</v>
      </c>
      <c r="EQ42" s="16">
        <f t="shared" si="212"/>
        <v>0</v>
      </c>
      <c r="ER42" s="16">
        <f t="shared" si="212"/>
        <v>0</v>
      </c>
      <c r="ES42" s="16">
        <f t="shared" si="212"/>
        <v>0</v>
      </c>
      <c r="ET42" s="16">
        <f t="shared" si="213"/>
        <v>0</v>
      </c>
      <c r="EU42" s="16">
        <f t="shared" si="213"/>
        <v>0</v>
      </c>
      <c r="EV42" s="16">
        <f t="shared" si="213"/>
        <v>0</v>
      </c>
      <c r="EW42" s="16">
        <f t="shared" si="213"/>
        <v>0</v>
      </c>
      <c r="EX42" s="16">
        <f t="shared" si="213"/>
        <v>0</v>
      </c>
      <c r="EY42" s="16">
        <f t="shared" si="213"/>
        <v>0</v>
      </c>
      <c r="EZ42" s="16">
        <f t="shared" si="213"/>
        <v>0</v>
      </c>
      <c r="FA42" s="16">
        <f t="shared" si="213"/>
        <v>0</v>
      </c>
      <c r="FB42" s="16">
        <f t="shared" si="213"/>
        <v>0</v>
      </c>
      <c r="FC42" s="16">
        <f t="shared" si="213"/>
        <v>0</v>
      </c>
      <c r="FD42" s="16">
        <f t="shared" si="214"/>
        <v>0</v>
      </c>
      <c r="FE42" s="16">
        <f t="shared" si="214"/>
        <v>0</v>
      </c>
      <c r="FF42" s="16">
        <f t="shared" si="214"/>
        <v>0</v>
      </c>
      <c r="FG42" s="16">
        <f t="shared" si="214"/>
        <v>0</v>
      </c>
      <c r="FH42" s="16">
        <f t="shared" si="214"/>
        <v>0</v>
      </c>
      <c r="FI42" s="16">
        <f t="shared" si="214"/>
        <v>0</v>
      </c>
      <c r="FJ42" s="16">
        <f t="shared" si="214"/>
        <v>0</v>
      </c>
      <c r="FK42" s="16">
        <f t="shared" si="214"/>
        <v>0</v>
      </c>
      <c r="FL42" s="16">
        <f t="shared" si="214"/>
        <v>0</v>
      </c>
      <c r="FM42" s="16">
        <f t="shared" si="214"/>
        <v>0</v>
      </c>
      <c r="FN42" s="16">
        <f t="shared" si="215"/>
        <v>0</v>
      </c>
      <c r="FO42" s="16">
        <f t="shared" si="215"/>
        <v>0</v>
      </c>
      <c r="FP42" s="16">
        <f t="shared" si="215"/>
        <v>0</v>
      </c>
      <c r="FQ42" s="16">
        <f t="shared" si="215"/>
        <v>0</v>
      </c>
      <c r="FR42" s="16">
        <f t="shared" si="215"/>
        <v>0</v>
      </c>
      <c r="FS42" s="16">
        <f t="shared" si="215"/>
        <v>0</v>
      </c>
      <c r="FT42" s="16">
        <f t="shared" si="215"/>
        <v>0</v>
      </c>
      <c r="FU42" s="16">
        <f t="shared" si="215"/>
        <v>0</v>
      </c>
      <c r="FV42" s="16">
        <f t="shared" si="215"/>
        <v>0</v>
      </c>
      <c r="FW42" s="16">
        <f t="shared" si="215"/>
        <v>0</v>
      </c>
      <c r="FX42" s="16">
        <f t="shared" si="216"/>
        <v>0</v>
      </c>
      <c r="FY42" s="16">
        <f t="shared" si="216"/>
        <v>0</v>
      </c>
      <c r="FZ42" s="16">
        <f t="shared" si="216"/>
        <v>0</v>
      </c>
      <c r="GA42" s="16">
        <f t="shared" si="216"/>
        <v>0</v>
      </c>
      <c r="GB42" s="16">
        <f t="shared" si="216"/>
        <v>0</v>
      </c>
      <c r="GC42" s="16">
        <f t="shared" si="216"/>
        <v>0</v>
      </c>
      <c r="GD42" s="16">
        <f t="shared" si="216"/>
        <v>0</v>
      </c>
      <c r="GE42" s="16">
        <f t="shared" si="216"/>
        <v>0</v>
      </c>
      <c r="GF42" s="16">
        <f t="shared" si="216"/>
        <v>0</v>
      </c>
      <c r="GG42" s="16">
        <f t="shared" si="216"/>
        <v>0</v>
      </c>
      <c r="GH42" s="16">
        <f t="shared" si="217"/>
        <v>0</v>
      </c>
      <c r="GI42" s="16">
        <f t="shared" si="217"/>
        <v>0</v>
      </c>
      <c r="GJ42" s="16">
        <f t="shared" si="217"/>
        <v>0</v>
      </c>
      <c r="GK42" s="16">
        <f t="shared" si="217"/>
        <v>0</v>
      </c>
      <c r="GL42" s="16">
        <f t="shared" si="217"/>
        <v>0</v>
      </c>
      <c r="GM42" s="16">
        <f t="shared" si="217"/>
        <v>0</v>
      </c>
      <c r="GN42" s="16">
        <f t="shared" si="217"/>
        <v>0</v>
      </c>
      <c r="GO42" s="16">
        <f t="shared" si="217"/>
        <v>0</v>
      </c>
      <c r="GP42" s="16">
        <f t="shared" si="217"/>
        <v>0</v>
      </c>
      <c r="GQ42" s="16">
        <f t="shared" si="217"/>
        <v>0</v>
      </c>
      <c r="GR42" s="9"/>
      <c r="GS42" s="70" t="str">
        <f>B42</f>
        <v>Development Fees</v>
      </c>
      <c r="GT42" s="77">
        <f>L42</f>
        <v>300000</v>
      </c>
      <c r="GU42" s="78">
        <f t="shared" si="192"/>
        <v>1</v>
      </c>
      <c r="GV42" s="78">
        <f t="shared" si="192"/>
        <v>38</v>
      </c>
      <c r="GW42" s="78">
        <f>H42</f>
        <v>38</v>
      </c>
      <c r="GX42" s="79">
        <f>GW42/6</f>
        <v>6.333333333333333</v>
      </c>
      <c r="GY42" s="79" t="b">
        <f>ROUND(GT42,0)=ROUND(SUM(GZ42:NW42),0)</f>
        <v>1</v>
      </c>
      <c r="GZ42" s="77">
        <f t="shared" si="221"/>
        <v>268.00452213551267</v>
      </c>
      <c r="HA42" s="77">
        <f t="shared" si="222"/>
        <v>419.40158056487599</v>
      </c>
      <c r="HB42" s="77">
        <f t="shared" si="222"/>
        <v>640.19603622620355</v>
      </c>
      <c r="HC42" s="77">
        <f t="shared" si="222"/>
        <v>953.21506972695647</v>
      </c>
      <c r="HD42" s="77">
        <f t="shared" si="222"/>
        <v>1384.4071740628176</v>
      </c>
      <c r="HE42" s="77">
        <f t="shared" si="222"/>
        <v>1961.2448948042961</v>
      </c>
      <c r="HF42" s="77">
        <f t="shared" si="222"/>
        <v>2710.1596425242119</v>
      </c>
      <c r="HG42" s="77">
        <f t="shared" si="222"/>
        <v>3653.0280107682647</v>
      </c>
      <c r="HH42" s="77">
        <f t="shared" si="222"/>
        <v>4802.9296802524314</v>
      </c>
      <c r="HI42" s="77">
        <f t="shared" si="222"/>
        <v>6159.6291653099825</v>
      </c>
      <c r="HJ42" s="77">
        <f t="shared" si="222"/>
        <v>7705.450442874805</v>
      </c>
      <c r="HK42" s="77">
        <f t="shared" si="222"/>
        <v>9402.3548062466016</v>
      </c>
      <c r="HL42" s="77">
        <f t="shared" si="222"/>
        <v>11191.038498917393</v>
      </c>
      <c r="HM42" s="77">
        <f t="shared" si="222"/>
        <v>12992.696799891761</v>
      </c>
      <c r="HN42" s="77">
        <f t="shared" si="222"/>
        <v>14713.750450778638</v>
      </c>
      <c r="HO42" s="77">
        <f t="shared" si="222"/>
        <v>16253.340863518291</v>
      </c>
      <c r="HP42" s="77">
        <f t="shared" si="222"/>
        <v>17512.860231359427</v>
      </c>
      <c r="HQ42" s="77">
        <f t="shared" si="223"/>
        <v>18406.308838353725</v>
      </c>
      <c r="HR42" s="77">
        <f t="shared" si="223"/>
        <v>18869.983291683806</v>
      </c>
      <c r="HS42" s="77">
        <f t="shared" si="223"/>
        <v>18869.983291683828</v>
      </c>
      <c r="HT42" s="77">
        <f t="shared" si="223"/>
        <v>18406.308838353692</v>
      </c>
      <c r="HU42" s="77">
        <f t="shared" si="223"/>
        <v>17512.860231359442</v>
      </c>
      <c r="HV42" s="77">
        <f t="shared" si="223"/>
        <v>16253.340863518291</v>
      </c>
      <c r="HW42" s="77">
        <f t="shared" si="223"/>
        <v>14713.750450778638</v>
      </c>
      <c r="HX42" s="77">
        <f t="shared" si="223"/>
        <v>12992.696799891761</v>
      </c>
      <c r="HY42" s="77">
        <f t="shared" si="223"/>
        <v>11191.0384989174</v>
      </c>
      <c r="HZ42" s="77">
        <f t="shared" si="223"/>
        <v>9402.3548062466016</v>
      </c>
      <c r="IA42" s="77">
        <f t="shared" si="223"/>
        <v>7705.4504428747841</v>
      </c>
      <c r="IB42" s="77">
        <f t="shared" si="223"/>
        <v>6159.6291653099843</v>
      </c>
      <c r="IC42" s="77">
        <f t="shared" si="223"/>
        <v>4802.9296802524268</v>
      </c>
      <c r="ID42" s="77">
        <f t="shared" si="223"/>
        <v>3653.0280107682806</v>
      </c>
      <c r="IE42" s="77">
        <f t="shared" si="223"/>
        <v>2710.1596425242096</v>
      </c>
      <c r="IF42" s="77">
        <f t="shared" si="223"/>
        <v>1961.2448948042804</v>
      </c>
      <c r="IG42" s="77">
        <f t="shared" si="224"/>
        <v>1384.4071740628228</v>
      </c>
      <c r="IH42" s="77">
        <f t="shared" si="224"/>
        <v>953.21506972696432</v>
      </c>
      <c r="II42" s="77">
        <f t="shared" si="224"/>
        <v>640.19603622620116</v>
      </c>
      <c r="IJ42" s="77">
        <f t="shared" si="224"/>
        <v>419.40158056487672</v>
      </c>
      <c r="IK42" s="77">
        <f t="shared" si="224"/>
        <v>268.00452213551495</v>
      </c>
      <c r="IL42" s="77">
        <f t="shared" si="224"/>
        <v>0</v>
      </c>
      <c r="IM42" s="77">
        <f t="shared" si="224"/>
        <v>0</v>
      </c>
      <c r="IN42" s="77">
        <f t="shared" si="224"/>
        <v>0</v>
      </c>
      <c r="IO42" s="77">
        <f t="shared" si="224"/>
        <v>0</v>
      </c>
      <c r="IP42" s="77">
        <f t="shared" si="224"/>
        <v>0</v>
      </c>
      <c r="IQ42" s="77">
        <f t="shared" si="224"/>
        <v>0</v>
      </c>
      <c r="IR42" s="77">
        <f t="shared" si="224"/>
        <v>0</v>
      </c>
      <c r="IS42" s="77">
        <f t="shared" si="224"/>
        <v>0</v>
      </c>
      <c r="IT42" s="77">
        <f t="shared" si="224"/>
        <v>0</v>
      </c>
      <c r="IU42" s="77">
        <f t="shared" si="224"/>
        <v>0</v>
      </c>
      <c r="IV42" s="77">
        <f t="shared" si="224"/>
        <v>0</v>
      </c>
      <c r="IW42" s="77">
        <f t="shared" si="225"/>
        <v>0</v>
      </c>
      <c r="IX42" s="77">
        <f t="shared" si="225"/>
        <v>0</v>
      </c>
      <c r="IY42" s="77">
        <f t="shared" si="225"/>
        <v>0</v>
      </c>
      <c r="IZ42" s="77">
        <f t="shared" si="225"/>
        <v>0</v>
      </c>
      <c r="JA42" s="77">
        <f t="shared" si="225"/>
        <v>0</v>
      </c>
      <c r="JB42" s="77">
        <f t="shared" si="225"/>
        <v>0</v>
      </c>
      <c r="JC42" s="77">
        <f t="shared" si="225"/>
        <v>0</v>
      </c>
      <c r="JD42" s="77">
        <f t="shared" si="225"/>
        <v>0</v>
      </c>
      <c r="JE42" s="77">
        <f t="shared" si="225"/>
        <v>0</v>
      </c>
      <c r="JF42" s="77">
        <f t="shared" si="225"/>
        <v>0</v>
      </c>
      <c r="JG42" s="77">
        <f t="shared" si="225"/>
        <v>0</v>
      </c>
      <c r="JH42" s="77">
        <f t="shared" si="225"/>
        <v>0</v>
      </c>
      <c r="JI42" s="77">
        <f t="shared" si="225"/>
        <v>0</v>
      </c>
      <c r="JJ42" s="77">
        <f t="shared" si="225"/>
        <v>0</v>
      </c>
      <c r="JK42" s="77">
        <f t="shared" si="225"/>
        <v>0</v>
      </c>
      <c r="JL42" s="77">
        <f t="shared" si="225"/>
        <v>0</v>
      </c>
      <c r="JM42" s="77">
        <f t="shared" si="226"/>
        <v>0</v>
      </c>
      <c r="JN42" s="77">
        <f t="shared" si="226"/>
        <v>0</v>
      </c>
      <c r="JO42" s="77">
        <f t="shared" si="226"/>
        <v>0</v>
      </c>
      <c r="JP42" s="77">
        <f t="shared" si="226"/>
        <v>0</v>
      </c>
      <c r="JQ42" s="77">
        <f t="shared" si="226"/>
        <v>0</v>
      </c>
      <c r="JR42" s="77">
        <f t="shared" si="226"/>
        <v>0</v>
      </c>
      <c r="JS42" s="77">
        <f t="shared" si="226"/>
        <v>0</v>
      </c>
      <c r="JT42" s="77">
        <f t="shared" si="226"/>
        <v>0</v>
      </c>
      <c r="JU42" s="77">
        <f t="shared" si="226"/>
        <v>0</v>
      </c>
      <c r="JV42" s="77">
        <f t="shared" si="226"/>
        <v>0</v>
      </c>
      <c r="JW42" s="77">
        <f t="shared" si="226"/>
        <v>0</v>
      </c>
      <c r="JX42" s="77">
        <f t="shared" si="226"/>
        <v>0</v>
      </c>
      <c r="JY42" s="77">
        <f t="shared" si="226"/>
        <v>0</v>
      </c>
      <c r="JZ42" s="77">
        <f t="shared" si="226"/>
        <v>0</v>
      </c>
      <c r="KA42" s="77">
        <f t="shared" si="226"/>
        <v>0</v>
      </c>
      <c r="KB42" s="77">
        <f t="shared" si="226"/>
        <v>0</v>
      </c>
      <c r="KC42" s="77">
        <f t="shared" si="227"/>
        <v>0</v>
      </c>
      <c r="KD42" s="77">
        <f t="shared" si="227"/>
        <v>0</v>
      </c>
      <c r="KE42" s="77">
        <f t="shared" si="227"/>
        <v>0</v>
      </c>
      <c r="KF42" s="77">
        <f t="shared" si="227"/>
        <v>0</v>
      </c>
      <c r="KG42" s="77">
        <f t="shared" si="227"/>
        <v>0</v>
      </c>
      <c r="KH42" s="77">
        <f t="shared" si="227"/>
        <v>0</v>
      </c>
      <c r="KI42" s="77">
        <f t="shared" si="227"/>
        <v>0</v>
      </c>
      <c r="KJ42" s="77">
        <f t="shared" si="227"/>
        <v>0</v>
      </c>
      <c r="KK42" s="77">
        <f t="shared" si="227"/>
        <v>0</v>
      </c>
      <c r="KL42" s="77">
        <f t="shared" si="227"/>
        <v>0</v>
      </c>
      <c r="KM42" s="77">
        <f t="shared" si="227"/>
        <v>0</v>
      </c>
      <c r="KN42" s="77">
        <f t="shared" si="227"/>
        <v>0</v>
      </c>
      <c r="KO42" s="77">
        <f t="shared" si="227"/>
        <v>0</v>
      </c>
      <c r="KP42" s="77">
        <f t="shared" si="227"/>
        <v>0</v>
      </c>
      <c r="KQ42" s="77">
        <f t="shared" si="227"/>
        <v>0</v>
      </c>
      <c r="KR42" s="77">
        <f t="shared" si="227"/>
        <v>0</v>
      </c>
      <c r="KS42" s="77">
        <f t="shared" si="228"/>
        <v>0</v>
      </c>
      <c r="KT42" s="77">
        <f t="shared" si="228"/>
        <v>0</v>
      </c>
      <c r="KU42" s="77">
        <f t="shared" si="228"/>
        <v>0</v>
      </c>
      <c r="KV42" s="77">
        <f t="shared" si="228"/>
        <v>0</v>
      </c>
      <c r="KW42" s="77">
        <f t="shared" si="228"/>
        <v>0</v>
      </c>
      <c r="KX42" s="77">
        <f t="shared" si="228"/>
        <v>0</v>
      </c>
      <c r="KY42" s="77">
        <f t="shared" si="228"/>
        <v>0</v>
      </c>
      <c r="KZ42" s="77">
        <f t="shared" si="228"/>
        <v>0</v>
      </c>
      <c r="LA42" s="77">
        <f t="shared" si="228"/>
        <v>0</v>
      </c>
      <c r="LB42" s="77">
        <f t="shared" si="228"/>
        <v>0</v>
      </c>
      <c r="LC42" s="77">
        <f t="shared" si="228"/>
        <v>0</v>
      </c>
      <c r="LD42" s="77">
        <f t="shared" si="228"/>
        <v>0</v>
      </c>
      <c r="LE42" s="77">
        <f t="shared" si="228"/>
        <v>0</v>
      </c>
      <c r="LF42" s="77">
        <f t="shared" si="228"/>
        <v>0</v>
      </c>
      <c r="LG42" s="77">
        <f t="shared" si="228"/>
        <v>0</v>
      </c>
      <c r="LH42" s="77">
        <f t="shared" si="228"/>
        <v>0</v>
      </c>
      <c r="LI42" s="77">
        <f t="shared" si="229"/>
        <v>0</v>
      </c>
      <c r="LJ42" s="77">
        <f t="shared" si="229"/>
        <v>0</v>
      </c>
      <c r="LK42" s="77">
        <f t="shared" si="229"/>
        <v>0</v>
      </c>
      <c r="LL42" s="77">
        <f t="shared" si="229"/>
        <v>0</v>
      </c>
      <c r="LM42" s="77">
        <f t="shared" si="229"/>
        <v>0</v>
      </c>
      <c r="LN42" s="77">
        <f t="shared" si="229"/>
        <v>0</v>
      </c>
      <c r="LO42" s="77">
        <f t="shared" si="229"/>
        <v>0</v>
      </c>
      <c r="LP42" s="77">
        <f t="shared" si="229"/>
        <v>0</v>
      </c>
      <c r="LQ42" s="77">
        <f t="shared" si="229"/>
        <v>0</v>
      </c>
      <c r="LR42" s="77">
        <f t="shared" si="229"/>
        <v>0</v>
      </c>
      <c r="LS42" s="77">
        <f t="shared" si="229"/>
        <v>0</v>
      </c>
      <c r="LT42" s="77">
        <f t="shared" si="229"/>
        <v>0</v>
      </c>
      <c r="LU42" s="77">
        <f t="shared" si="229"/>
        <v>0</v>
      </c>
      <c r="LV42" s="77">
        <f t="shared" si="229"/>
        <v>0</v>
      </c>
      <c r="LW42" s="77">
        <f t="shared" si="229"/>
        <v>0</v>
      </c>
      <c r="LX42" s="77">
        <f t="shared" si="229"/>
        <v>0</v>
      </c>
      <c r="LY42" s="77">
        <f t="shared" si="230"/>
        <v>0</v>
      </c>
      <c r="LZ42" s="77">
        <f t="shared" si="230"/>
        <v>0</v>
      </c>
      <c r="MA42" s="77">
        <f t="shared" si="230"/>
        <v>0</v>
      </c>
      <c r="MB42" s="77">
        <f t="shared" si="230"/>
        <v>0</v>
      </c>
      <c r="MC42" s="77">
        <f t="shared" si="230"/>
        <v>0</v>
      </c>
      <c r="MD42" s="77">
        <f t="shared" si="230"/>
        <v>0</v>
      </c>
      <c r="ME42" s="77">
        <f t="shared" si="230"/>
        <v>0</v>
      </c>
      <c r="MF42" s="77">
        <f t="shared" si="230"/>
        <v>0</v>
      </c>
      <c r="MG42" s="77">
        <f t="shared" si="230"/>
        <v>0</v>
      </c>
      <c r="MH42" s="77">
        <f t="shared" si="230"/>
        <v>0</v>
      </c>
      <c r="MI42" s="77">
        <f t="shared" si="230"/>
        <v>0</v>
      </c>
      <c r="MJ42" s="77">
        <f t="shared" si="230"/>
        <v>0</v>
      </c>
      <c r="MK42" s="77">
        <f t="shared" si="230"/>
        <v>0</v>
      </c>
      <c r="ML42" s="77">
        <f t="shared" si="230"/>
        <v>0</v>
      </c>
      <c r="MM42" s="77">
        <f t="shared" si="230"/>
        <v>0</v>
      </c>
      <c r="MN42" s="77">
        <f t="shared" si="230"/>
        <v>0</v>
      </c>
      <c r="MO42" s="77">
        <f t="shared" si="231"/>
        <v>0</v>
      </c>
      <c r="MP42" s="77">
        <f t="shared" si="231"/>
        <v>0</v>
      </c>
      <c r="MQ42" s="77">
        <f t="shared" si="231"/>
        <v>0</v>
      </c>
      <c r="MR42" s="77">
        <f t="shared" si="231"/>
        <v>0</v>
      </c>
      <c r="MS42" s="77">
        <f t="shared" si="231"/>
        <v>0</v>
      </c>
      <c r="MT42" s="77">
        <f t="shared" si="231"/>
        <v>0</v>
      </c>
      <c r="MU42" s="77">
        <f t="shared" si="231"/>
        <v>0</v>
      </c>
      <c r="MV42" s="77">
        <f t="shared" si="231"/>
        <v>0</v>
      </c>
      <c r="MW42" s="77">
        <f t="shared" si="231"/>
        <v>0</v>
      </c>
      <c r="MX42" s="77">
        <f t="shared" si="231"/>
        <v>0</v>
      </c>
      <c r="MY42" s="77">
        <f t="shared" si="231"/>
        <v>0</v>
      </c>
      <c r="MZ42" s="77">
        <f t="shared" si="231"/>
        <v>0</v>
      </c>
      <c r="NA42" s="77">
        <f t="shared" si="231"/>
        <v>0</v>
      </c>
      <c r="NB42" s="77">
        <f t="shared" si="231"/>
        <v>0</v>
      </c>
      <c r="NC42" s="77">
        <f t="shared" si="231"/>
        <v>0</v>
      </c>
      <c r="ND42" s="77">
        <f t="shared" si="231"/>
        <v>0</v>
      </c>
      <c r="NE42" s="77">
        <f t="shared" si="232"/>
        <v>0</v>
      </c>
      <c r="NF42" s="77">
        <f t="shared" si="232"/>
        <v>0</v>
      </c>
      <c r="NG42" s="77">
        <f t="shared" si="232"/>
        <v>0</v>
      </c>
      <c r="NH42" s="77">
        <f t="shared" si="232"/>
        <v>0</v>
      </c>
      <c r="NI42" s="77">
        <f t="shared" si="232"/>
        <v>0</v>
      </c>
      <c r="NJ42" s="77">
        <f t="shared" si="232"/>
        <v>0</v>
      </c>
      <c r="NK42" s="77">
        <f t="shared" si="232"/>
        <v>0</v>
      </c>
      <c r="NL42" s="77">
        <f t="shared" si="232"/>
        <v>0</v>
      </c>
      <c r="NM42" s="77">
        <f t="shared" si="232"/>
        <v>0</v>
      </c>
      <c r="NN42" s="77">
        <f t="shared" si="232"/>
        <v>0</v>
      </c>
      <c r="NO42" s="77">
        <f t="shared" si="232"/>
        <v>0</v>
      </c>
      <c r="NP42" s="77">
        <f t="shared" si="232"/>
        <v>0</v>
      </c>
      <c r="NQ42" s="77">
        <f t="shared" si="232"/>
        <v>0</v>
      </c>
      <c r="NR42" s="77">
        <f t="shared" si="232"/>
        <v>0</v>
      </c>
      <c r="NS42" s="77">
        <f t="shared" si="232"/>
        <v>0</v>
      </c>
      <c r="NT42" s="77">
        <f t="shared" si="232"/>
        <v>0</v>
      </c>
      <c r="NU42" s="77">
        <f t="shared" si="233"/>
        <v>0</v>
      </c>
      <c r="NV42" s="77">
        <f t="shared" si="233"/>
        <v>0</v>
      </c>
      <c r="NW42" s="77">
        <f t="shared" si="233"/>
        <v>0</v>
      </c>
      <c r="NX42" s="10"/>
    </row>
    <row r="43" spans="2:388" ht="15.5" x14ac:dyDescent="0.45">
      <c r="B43" s="26" t="s">
        <v>221</v>
      </c>
      <c r="C43" s="18"/>
      <c r="D43" s="19"/>
      <c r="E43" s="27">
        <v>1</v>
      </c>
      <c r="F43" s="27">
        <v>38</v>
      </c>
      <c r="G43" s="21"/>
      <c r="H43" s="28">
        <f t="shared" si="196"/>
        <v>38</v>
      </c>
      <c r="I43" s="21" t="s">
        <v>195</v>
      </c>
      <c r="J43" s="31">
        <f t="shared" si="197"/>
        <v>543.47826086956525</v>
      </c>
      <c r="K43" s="32">
        <f t="shared" si="198"/>
        <v>7.183908045977011E-2</v>
      </c>
      <c r="L43" s="33">
        <v>125000</v>
      </c>
      <c r="S43" s="69" t="str">
        <f t="shared" si="199"/>
        <v>OK</v>
      </c>
      <c r="T43" s="17">
        <f t="shared" si="200"/>
        <v>3289.4736842105262</v>
      </c>
      <c r="U43" s="17">
        <f t="shared" si="200"/>
        <v>3289.4736842105262</v>
      </c>
      <c r="V43" s="17">
        <f t="shared" si="200"/>
        <v>3289.4736842105262</v>
      </c>
      <c r="W43" s="17">
        <f t="shared" si="200"/>
        <v>3289.4736842105262</v>
      </c>
      <c r="X43" s="17">
        <f t="shared" si="200"/>
        <v>3289.4736842105262</v>
      </c>
      <c r="Y43" s="17">
        <f t="shared" si="200"/>
        <v>3289.4736842105262</v>
      </c>
      <c r="Z43" s="17">
        <f t="shared" si="200"/>
        <v>3289.4736842105262</v>
      </c>
      <c r="AA43" s="17">
        <f t="shared" si="200"/>
        <v>3289.4736842105262</v>
      </c>
      <c r="AB43" s="17">
        <f t="shared" si="200"/>
        <v>3289.4736842105262</v>
      </c>
      <c r="AC43" s="17">
        <f t="shared" si="200"/>
        <v>3289.4736842105262</v>
      </c>
      <c r="AD43" s="17">
        <f t="shared" si="201"/>
        <v>3289.4736842105262</v>
      </c>
      <c r="AE43" s="17">
        <f t="shared" si="201"/>
        <v>3289.4736842105262</v>
      </c>
      <c r="AF43" s="17">
        <f t="shared" si="201"/>
        <v>3289.4736842105262</v>
      </c>
      <c r="AG43" s="17">
        <f t="shared" si="201"/>
        <v>3289.4736842105262</v>
      </c>
      <c r="AH43" s="17">
        <f t="shared" si="201"/>
        <v>3289.4736842105262</v>
      </c>
      <c r="AI43" s="17">
        <f t="shared" si="201"/>
        <v>3289.4736842105262</v>
      </c>
      <c r="AJ43" s="17">
        <f t="shared" si="201"/>
        <v>3289.4736842105262</v>
      </c>
      <c r="AK43" s="17">
        <f t="shared" si="201"/>
        <v>3289.4736842105262</v>
      </c>
      <c r="AL43" s="17">
        <f t="shared" si="201"/>
        <v>3289.4736842105262</v>
      </c>
      <c r="AM43" s="17">
        <f t="shared" si="201"/>
        <v>3289.4736842105262</v>
      </c>
      <c r="AN43" s="17">
        <f t="shared" si="202"/>
        <v>3289.4736842105262</v>
      </c>
      <c r="AO43" s="17">
        <f t="shared" si="202"/>
        <v>3289.4736842105262</v>
      </c>
      <c r="AP43" s="17">
        <f t="shared" si="202"/>
        <v>3289.4736842105262</v>
      </c>
      <c r="AQ43" s="17">
        <f t="shared" si="202"/>
        <v>3289.4736842105262</v>
      </c>
      <c r="AR43" s="17">
        <f t="shared" si="202"/>
        <v>3289.4736842105262</v>
      </c>
      <c r="AS43" s="17">
        <f t="shared" si="202"/>
        <v>3289.4736842105262</v>
      </c>
      <c r="AT43" s="17">
        <f t="shared" si="202"/>
        <v>3289.4736842105262</v>
      </c>
      <c r="AU43" s="17">
        <f t="shared" si="202"/>
        <v>3289.4736842105262</v>
      </c>
      <c r="AV43" s="17">
        <f t="shared" si="202"/>
        <v>3289.4736842105262</v>
      </c>
      <c r="AW43" s="17">
        <f t="shared" si="202"/>
        <v>3289.4736842105262</v>
      </c>
      <c r="AX43" s="17">
        <f t="shared" si="203"/>
        <v>3289.4736842105262</v>
      </c>
      <c r="AY43" s="17">
        <f t="shared" si="203"/>
        <v>3289.4736842105262</v>
      </c>
      <c r="AZ43" s="17">
        <f t="shared" si="203"/>
        <v>3289.4736842105262</v>
      </c>
      <c r="BA43" s="17">
        <f t="shared" si="203"/>
        <v>3289.4736842105262</v>
      </c>
      <c r="BB43" s="17">
        <f t="shared" si="203"/>
        <v>3289.4736842105262</v>
      </c>
      <c r="BC43" s="17">
        <f t="shared" si="203"/>
        <v>3289.4736842105262</v>
      </c>
      <c r="BD43" s="17">
        <f t="shared" si="203"/>
        <v>3289.4736842105262</v>
      </c>
      <c r="BE43" s="17">
        <f t="shared" si="203"/>
        <v>3289.4736842105262</v>
      </c>
      <c r="BF43" s="17">
        <f t="shared" si="203"/>
        <v>0</v>
      </c>
      <c r="BG43" s="17">
        <f t="shared" si="203"/>
        <v>0</v>
      </c>
      <c r="BH43" s="17">
        <f t="shared" si="204"/>
        <v>0</v>
      </c>
      <c r="BI43" s="17">
        <f t="shared" si="204"/>
        <v>0</v>
      </c>
      <c r="BJ43" s="17">
        <f t="shared" si="204"/>
        <v>0</v>
      </c>
      <c r="BK43" s="17">
        <f t="shared" si="204"/>
        <v>0</v>
      </c>
      <c r="BL43" s="17">
        <f t="shared" si="204"/>
        <v>0</v>
      </c>
      <c r="BM43" s="17">
        <f t="shared" si="204"/>
        <v>0</v>
      </c>
      <c r="BN43" s="17">
        <f t="shared" si="204"/>
        <v>0</v>
      </c>
      <c r="BO43" s="17">
        <f t="shared" si="204"/>
        <v>0</v>
      </c>
      <c r="BP43" s="17">
        <f t="shared" si="204"/>
        <v>0</v>
      </c>
      <c r="BQ43" s="17">
        <f t="shared" si="204"/>
        <v>0</v>
      </c>
      <c r="BR43" s="17">
        <f t="shared" si="205"/>
        <v>0</v>
      </c>
      <c r="BS43" s="17">
        <f t="shared" si="205"/>
        <v>0</v>
      </c>
      <c r="BT43" s="17">
        <f t="shared" si="205"/>
        <v>0</v>
      </c>
      <c r="BU43" s="17">
        <f t="shared" si="205"/>
        <v>0</v>
      </c>
      <c r="BV43" s="17">
        <f t="shared" si="205"/>
        <v>0</v>
      </c>
      <c r="BW43" s="17">
        <f t="shared" si="205"/>
        <v>0</v>
      </c>
      <c r="BX43" s="17">
        <f t="shared" si="205"/>
        <v>0</v>
      </c>
      <c r="BY43" s="17">
        <f t="shared" si="205"/>
        <v>0</v>
      </c>
      <c r="BZ43" s="17">
        <f t="shared" si="205"/>
        <v>0</v>
      </c>
      <c r="CA43" s="17">
        <f t="shared" si="205"/>
        <v>0</v>
      </c>
      <c r="CB43" s="17">
        <f t="shared" si="206"/>
        <v>0</v>
      </c>
      <c r="CC43" s="17">
        <f t="shared" si="206"/>
        <v>0</v>
      </c>
      <c r="CD43" s="17">
        <f t="shared" si="206"/>
        <v>0</v>
      </c>
      <c r="CE43" s="17">
        <f t="shared" si="206"/>
        <v>0</v>
      </c>
      <c r="CF43" s="17">
        <f t="shared" si="206"/>
        <v>0</v>
      </c>
      <c r="CG43" s="17">
        <f t="shared" si="206"/>
        <v>0</v>
      </c>
      <c r="CH43" s="17">
        <f t="shared" si="206"/>
        <v>0</v>
      </c>
      <c r="CI43" s="17">
        <f t="shared" si="206"/>
        <v>0</v>
      </c>
      <c r="CJ43" s="17">
        <f t="shared" si="206"/>
        <v>0</v>
      </c>
      <c r="CK43" s="17">
        <f t="shared" si="206"/>
        <v>0</v>
      </c>
      <c r="CL43" s="17">
        <f t="shared" si="207"/>
        <v>0</v>
      </c>
      <c r="CM43" s="17">
        <f t="shared" si="207"/>
        <v>0</v>
      </c>
      <c r="CN43" s="17">
        <f t="shared" si="207"/>
        <v>0</v>
      </c>
      <c r="CO43" s="17">
        <f t="shared" si="207"/>
        <v>0</v>
      </c>
      <c r="CP43" s="17">
        <f t="shared" si="207"/>
        <v>0</v>
      </c>
      <c r="CQ43" s="17">
        <f t="shared" si="207"/>
        <v>0</v>
      </c>
      <c r="CR43" s="17">
        <f t="shared" si="207"/>
        <v>0</v>
      </c>
      <c r="CS43" s="17">
        <f t="shared" si="207"/>
        <v>0</v>
      </c>
      <c r="CT43" s="17">
        <f t="shared" si="207"/>
        <v>0</v>
      </c>
      <c r="CU43" s="17">
        <f t="shared" si="207"/>
        <v>0</v>
      </c>
      <c r="CV43" s="17">
        <f t="shared" si="208"/>
        <v>0</v>
      </c>
      <c r="CW43" s="17">
        <f t="shared" si="208"/>
        <v>0</v>
      </c>
      <c r="CX43" s="17">
        <f t="shared" si="208"/>
        <v>0</v>
      </c>
      <c r="CY43" s="17">
        <f t="shared" si="208"/>
        <v>0</v>
      </c>
      <c r="CZ43" s="17">
        <f t="shared" si="208"/>
        <v>0</v>
      </c>
      <c r="DA43" s="17">
        <f t="shared" si="208"/>
        <v>0</v>
      </c>
      <c r="DB43" s="17">
        <f t="shared" si="208"/>
        <v>0</v>
      </c>
      <c r="DC43" s="17">
        <f t="shared" si="208"/>
        <v>0</v>
      </c>
      <c r="DD43" s="17">
        <f t="shared" si="208"/>
        <v>0</v>
      </c>
      <c r="DE43" s="17">
        <f t="shared" si="208"/>
        <v>0</v>
      </c>
      <c r="DF43" s="17">
        <f t="shared" si="209"/>
        <v>0</v>
      </c>
      <c r="DG43" s="17">
        <f t="shared" si="209"/>
        <v>0</v>
      </c>
      <c r="DH43" s="17">
        <f t="shared" si="209"/>
        <v>0</v>
      </c>
      <c r="DI43" s="17">
        <f t="shared" si="209"/>
        <v>0</v>
      </c>
      <c r="DJ43" s="17">
        <f t="shared" si="209"/>
        <v>0</v>
      </c>
      <c r="DK43" s="17">
        <f t="shared" si="209"/>
        <v>0</v>
      </c>
      <c r="DL43" s="17">
        <f t="shared" si="209"/>
        <v>0</v>
      </c>
      <c r="DM43" s="17">
        <f t="shared" si="209"/>
        <v>0</v>
      </c>
      <c r="DN43" s="17">
        <f t="shared" si="209"/>
        <v>0</v>
      </c>
      <c r="DO43" s="17">
        <f t="shared" si="209"/>
        <v>0</v>
      </c>
      <c r="DP43" s="17">
        <f t="shared" si="210"/>
        <v>0</v>
      </c>
      <c r="DQ43" s="17">
        <f t="shared" si="210"/>
        <v>0</v>
      </c>
      <c r="DR43" s="17">
        <f t="shared" si="210"/>
        <v>0</v>
      </c>
      <c r="DS43" s="17">
        <f t="shared" si="210"/>
        <v>0</v>
      </c>
      <c r="DT43" s="17">
        <f t="shared" si="210"/>
        <v>0</v>
      </c>
      <c r="DU43" s="17">
        <f t="shared" si="210"/>
        <v>0</v>
      </c>
      <c r="DV43" s="17">
        <f t="shared" si="210"/>
        <v>0</v>
      </c>
      <c r="DW43" s="17">
        <f t="shared" si="210"/>
        <v>0</v>
      </c>
      <c r="DX43" s="17">
        <f t="shared" si="210"/>
        <v>0</v>
      </c>
      <c r="DY43" s="17">
        <f t="shared" si="210"/>
        <v>0</v>
      </c>
      <c r="DZ43" s="17">
        <f t="shared" si="211"/>
        <v>0</v>
      </c>
      <c r="EA43" s="17">
        <f t="shared" si="211"/>
        <v>0</v>
      </c>
      <c r="EB43" s="17">
        <f t="shared" si="211"/>
        <v>0</v>
      </c>
      <c r="EC43" s="17">
        <f t="shared" si="211"/>
        <v>0</v>
      </c>
      <c r="ED43" s="17">
        <f t="shared" si="211"/>
        <v>0</v>
      </c>
      <c r="EE43" s="17">
        <f t="shared" si="211"/>
        <v>0</v>
      </c>
      <c r="EF43" s="17">
        <f t="shared" si="211"/>
        <v>0</v>
      </c>
      <c r="EG43" s="17">
        <f t="shared" si="211"/>
        <v>0</v>
      </c>
      <c r="EH43" s="17">
        <f t="shared" si="211"/>
        <v>0</v>
      </c>
      <c r="EI43" s="17">
        <f t="shared" si="211"/>
        <v>0</v>
      </c>
      <c r="EJ43" s="17">
        <f t="shared" si="212"/>
        <v>0</v>
      </c>
      <c r="EK43" s="17">
        <f t="shared" si="212"/>
        <v>0</v>
      </c>
      <c r="EL43" s="17">
        <f t="shared" si="212"/>
        <v>0</v>
      </c>
      <c r="EM43" s="17">
        <f t="shared" si="212"/>
        <v>0</v>
      </c>
      <c r="EN43" s="17">
        <f t="shared" si="212"/>
        <v>0</v>
      </c>
      <c r="EO43" s="17">
        <f t="shared" si="212"/>
        <v>0</v>
      </c>
      <c r="EP43" s="17">
        <f t="shared" si="212"/>
        <v>0</v>
      </c>
      <c r="EQ43" s="17">
        <f t="shared" si="212"/>
        <v>0</v>
      </c>
      <c r="ER43" s="17">
        <f t="shared" si="212"/>
        <v>0</v>
      </c>
      <c r="ES43" s="17">
        <f t="shared" si="212"/>
        <v>0</v>
      </c>
      <c r="ET43" s="17">
        <f t="shared" si="213"/>
        <v>0</v>
      </c>
      <c r="EU43" s="17">
        <f t="shared" si="213"/>
        <v>0</v>
      </c>
      <c r="EV43" s="17">
        <f t="shared" si="213"/>
        <v>0</v>
      </c>
      <c r="EW43" s="17">
        <f t="shared" si="213"/>
        <v>0</v>
      </c>
      <c r="EX43" s="17">
        <f t="shared" si="213"/>
        <v>0</v>
      </c>
      <c r="EY43" s="17">
        <f t="shared" si="213"/>
        <v>0</v>
      </c>
      <c r="EZ43" s="17">
        <f t="shared" si="213"/>
        <v>0</v>
      </c>
      <c r="FA43" s="17">
        <f t="shared" si="213"/>
        <v>0</v>
      </c>
      <c r="FB43" s="17">
        <f t="shared" si="213"/>
        <v>0</v>
      </c>
      <c r="FC43" s="17">
        <f t="shared" si="213"/>
        <v>0</v>
      </c>
      <c r="FD43" s="17">
        <f t="shared" si="214"/>
        <v>0</v>
      </c>
      <c r="FE43" s="17">
        <f t="shared" si="214"/>
        <v>0</v>
      </c>
      <c r="FF43" s="17">
        <f t="shared" si="214"/>
        <v>0</v>
      </c>
      <c r="FG43" s="17">
        <f t="shared" si="214"/>
        <v>0</v>
      </c>
      <c r="FH43" s="17">
        <f t="shared" si="214"/>
        <v>0</v>
      </c>
      <c r="FI43" s="17">
        <f t="shared" si="214"/>
        <v>0</v>
      </c>
      <c r="FJ43" s="17">
        <f t="shared" si="214"/>
        <v>0</v>
      </c>
      <c r="FK43" s="17">
        <f t="shared" si="214"/>
        <v>0</v>
      </c>
      <c r="FL43" s="17">
        <f t="shared" si="214"/>
        <v>0</v>
      </c>
      <c r="FM43" s="17">
        <f t="shared" si="214"/>
        <v>0</v>
      </c>
      <c r="FN43" s="17">
        <f t="shared" si="215"/>
        <v>0</v>
      </c>
      <c r="FO43" s="17">
        <f t="shared" si="215"/>
        <v>0</v>
      </c>
      <c r="FP43" s="17">
        <f t="shared" si="215"/>
        <v>0</v>
      </c>
      <c r="FQ43" s="17">
        <f t="shared" si="215"/>
        <v>0</v>
      </c>
      <c r="FR43" s="17">
        <f t="shared" si="215"/>
        <v>0</v>
      </c>
      <c r="FS43" s="17">
        <f t="shared" si="215"/>
        <v>0</v>
      </c>
      <c r="FT43" s="17">
        <f t="shared" si="215"/>
        <v>0</v>
      </c>
      <c r="FU43" s="17">
        <f t="shared" si="215"/>
        <v>0</v>
      </c>
      <c r="FV43" s="17">
        <f t="shared" si="215"/>
        <v>0</v>
      </c>
      <c r="FW43" s="17">
        <f t="shared" si="215"/>
        <v>0</v>
      </c>
      <c r="FX43" s="17">
        <f t="shared" si="216"/>
        <v>0</v>
      </c>
      <c r="FY43" s="17">
        <f t="shared" si="216"/>
        <v>0</v>
      </c>
      <c r="FZ43" s="17">
        <f t="shared" si="216"/>
        <v>0</v>
      </c>
      <c r="GA43" s="17">
        <f t="shared" si="216"/>
        <v>0</v>
      </c>
      <c r="GB43" s="17">
        <f t="shared" si="216"/>
        <v>0</v>
      </c>
      <c r="GC43" s="17">
        <f t="shared" si="216"/>
        <v>0</v>
      </c>
      <c r="GD43" s="17">
        <f t="shared" si="216"/>
        <v>0</v>
      </c>
      <c r="GE43" s="17">
        <f t="shared" si="216"/>
        <v>0</v>
      </c>
      <c r="GF43" s="17">
        <f t="shared" si="216"/>
        <v>0</v>
      </c>
      <c r="GG43" s="17">
        <f t="shared" si="216"/>
        <v>0</v>
      </c>
      <c r="GH43" s="17">
        <f t="shared" si="217"/>
        <v>0</v>
      </c>
      <c r="GI43" s="17">
        <f t="shared" si="217"/>
        <v>0</v>
      </c>
      <c r="GJ43" s="17">
        <f t="shared" si="217"/>
        <v>0</v>
      </c>
      <c r="GK43" s="17">
        <f t="shared" si="217"/>
        <v>0</v>
      </c>
      <c r="GL43" s="17">
        <f t="shared" si="217"/>
        <v>0</v>
      </c>
      <c r="GM43" s="17">
        <f t="shared" si="217"/>
        <v>0</v>
      </c>
      <c r="GN43" s="17">
        <f t="shared" si="217"/>
        <v>0</v>
      </c>
      <c r="GO43" s="17">
        <f t="shared" si="217"/>
        <v>0</v>
      </c>
      <c r="GP43" s="17">
        <f t="shared" si="217"/>
        <v>0</v>
      </c>
      <c r="GQ43" s="17">
        <f t="shared" si="217"/>
        <v>0</v>
      </c>
      <c r="GR43" s="9"/>
      <c r="GS43" s="70" t="str">
        <f t="shared" si="191"/>
        <v>Soft Cost Contingency</v>
      </c>
      <c r="GT43" s="77">
        <f t="shared" si="218"/>
        <v>125000</v>
      </c>
      <c r="GU43" s="78">
        <f t="shared" si="192"/>
        <v>1</v>
      </c>
      <c r="GV43" s="78">
        <f t="shared" si="192"/>
        <v>38</v>
      </c>
      <c r="GW43" s="78">
        <f t="shared" si="219"/>
        <v>38</v>
      </c>
      <c r="GX43" s="79">
        <f t="shared" si="220"/>
        <v>6.333333333333333</v>
      </c>
      <c r="GY43" s="79" t="b">
        <f t="shared" si="234"/>
        <v>1</v>
      </c>
      <c r="GZ43" s="77">
        <f t="shared" si="221"/>
        <v>111.66855088979696</v>
      </c>
      <c r="HA43" s="77">
        <f t="shared" si="222"/>
        <v>174.75065856869833</v>
      </c>
      <c r="HB43" s="77">
        <f t="shared" si="222"/>
        <v>266.7483484275848</v>
      </c>
      <c r="HC43" s="77">
        <f t="shared" si="222"/>
        <v>397.17294571956523</v>
      </c>
      <c r="HD43" s="77">
        <f t="shared" si="222"/>
        <v>576.83632252617406</v>
      </c>
      <c r="HE43" s="77">
        <f t="shared" si="222"/>
        <v>817.1853728351233</v>
      </c>
      <c r="HF43" s="77">
        <f t="shared" si="222"/>
        <v>1129.2331843850882</v>
      </c>
      <c r="HG43" s="77">
        <f t="shared" si="222"/>
        <v>1522.095004486777</v>
      </c>
      <c r="HH43" s="77">
        <f t="shared" si="222"/>
        <v>2001.2207001051797</v>
      </c>
      <c r="HI43" s="77">
        <f t="shared" si="222"/>
        <v>2566.5121522124928</v>
      </c>
      <c r="HJ43" s="77">
        <f t="shared" si="222"/>
        <v>3210.6043511978351</v>
      </c>
      <c r="HK43" s="77">
        <f t="shared" si="222"/>
        <v>3917.647835936084</v>
      </c>
      <c r="HL43" s="77">
        <f t="shared" si="222"/>
        <v>4662.9327078822462</v>
      </c>
      <c r="HM43" s="77">
        <f t="shared" si="222"/>
        <v>5413.6236666215673</v>
      </c>
      <c r="HN43" s="77">
        <f t="shared" si="222"/>
        <v>6130.729354491099</v>
      </c>
      <c r="HO43" s="77">
        <f t="shared" si="222"/>
        <v>6772.2253597992885</v>
      </c>
      <c r="HP43" s="77">
        <f t="shared" si="222"/>
        <v>7297.0250963997605</v>
      </c>
      <c r="HQ43" s="77">
        <f t="shared" si="223"/>
        <v>7669.2953493140521</v>
      </c>
      <c r="HR43" s="77">
        <f t="shared" si="223"/>
        <v>7862.4930382015855</v>
      </c>
      <c r="HS43" s="77">
        <f t="shared" si="223"/>
        <v>7862.4930382015946</v>
      </c>
      <c r="HT43" s="77">
        <f t="shared" si="223"/>
        <v>7669.2953493140385</v>
      </c>
      <c r="HU43" s="77">
        <f t="shared" si="223"/>
        <v>7297.0250963997678</v>
      </c>
      <c r="HV43" s="77">
        <f t="shared" si="223"/>
        <v>6772.2253597992885</v>
      </c>
      <c r="HW43" s="77">
        <f t="shared" si="223"/>
        <v>6130.729354491099</v>
      </c>
      <c r="HX43" s="77">
        <f t="shared" si="223"/>
        <v>5413.6236666215673</v>
      </c>
      <c r="HY43" s="77">
        <f t="shared" si="223"/>
        <v>4662.9327078822498</v>
      </c>
      <c r="HZ43" s="77">
        <f t="shared" si="223"/>
        <v>3917.647835936084</v>
      </c>
      <c r="IA43" s="77">
        <f t="shared" si="223"/>
        <v>3210.6043511978264</v>
      </c>
      <c r="IB43" s="77">
        <f t="shared" si="223"/>
        <v>2566.5121522124932</v>
      </c>
      <c r="IC43" s="77">
        <f t="shared" si="223"/>
        <v>2001.2207001051779</v>
      </c>
      <c r="ID43" s="77">
        <f t="shared" si="223"/>
        <v>1522.0950044867836</v>
      </c>
      <c r="IE43" s="77">
        <f t="shared" si="223"/>
        <v>1129.2331843850873</v>
      </c>
      <c r="IF43" s="77">
        <f t="shared" si="223"/>
        <v>817.18537283511682</v>
      </c>
      <c r="IG43" s="77">
        <f t="shared" si="224"/>
        <v>576.83632252617622</v>
      </c>
      <c r="IH43" s="77">
        <f t="shared" si="224"/>
        <v>397.17294571956847</v>
      </c>
      <c r="II43" s="77">
        <f t="shared" si="224"/>
        <v>266.74834842758378</v>
      </c>
      <c r="IJ43" s="77">
        <f t="shared" si="224"/>
        <v>174.75065856869864</v>
      </c>
      <c r="IK43" s="77">
        <f t="shared" si="224"/>
        <v>111.6685508897979</v>
      </c>
      <c r="IL43" s="77">
        <f t="shared" si="224"/>
        <v>0</v>
      </c>
      <c r="IM43" s="77">
        <f t="shared" si="224"/>
        <v>0</v>
      </c>
      <c r="IN43" s="77">
        <f t="shared" si="224"/>
        <v>0</v>
      </c>
      <c r="IO43" s="77">
        <f t="shared" si="224"/>
        <v>0</v>
      </c>
      <c r="IP43" s="77">
        <f t="shared" si="224"/>
        <v>0</v>
      </c>
      <c r="IQ43" s="77">
        <f t="shared" si="224"/>
        <v>0</v>
      </c>
      <c r="IR43" s="77">
        <f t="shared" si="224"/>
        <v>0</v>
      </c>
      <c r="IS43" s="77">
        <f t="shared" si="224"/>
        <v>0</v>
      </c>
      <c r="IT43" s="77">
        <f t="shared" si="224"/>
        <v>0</v>
      </c>
      <c r="IU43" s="77">
        <f t="shared" si="224"/>
        <v>0</v>
      </c>
      <c r="IV43" s="77">
        <f t="shared" si="224"/>
        <v>0</v>
      </c>
      <c r="IW43" s="77">
        <f t="shared" si="225"/>
        <v>0</v>
      </c>
      <c r="IX43" s="77">
        <f t="shared" si="225"/>
        <v>0</v>
      </c>
      <c r="IY43" s="77">
        <f t="shared" si="225"/>
        <v>0</v>
      </c>
      <c r="IZ43" s="77">
        <f t="shared" si="225"/>
        <v>0</v>
      </c>
      <c r="JA43" s="77">
        <f t="shared" si="225"/>
        <v>0</v>
      </c>
      <c r="JB43" s="77">
        <f t="shared" si="225"/>
        <v>0</v>
      </c>
      <c r="JC43" s="77">
        <f t="shared" si="225"/>
        <v>0</v>
      </c>
      <c r="JD43" s="77">
        <f t="shared" si="225"/>
        <v>0</v>
      </c>
      <c r="JE43" s="77">
        <f t="shared" si="225"/>
        <v>0</v>
      </c>
      <c r="JF43" s="77">
        <f t="shared" si="225"/>
        <v>0</v>
      </c>
      <c r="JG43" s="77">
        <f t="shared" si="225"/>
        <v>0</v>
      </c>
      <c r="JH43" s="77">
        <f t="shared" si="225"/>
        <v>0</v>
      </c>
      <c r="JI43" s="77">
        <f t="shared" si="225"/>
        <v>0</v>
      </c>
      <c r="JJ43" s="77">
        <f t="shared" si="225"/>
        <v>0</v>
      </c>
      <c r="JK43" s="77">
        <f t="shared" si="225"/>
        <v>0</v>
      </c>
      <c r="JL43" s="77">
        <f t="shared" si="225"/>
        <v>0</v>
      </c>
      <c r="JM43" s="77">
        <f t="shared" si="226"/>
        <v>0</v>
      </c>
      <c r="JN43" s="77">
        <f t="shared" si="226"/>
        <v>0</v>
      </c>
      <c r="JO43" s="77">
        <f t="shared" si="226"/>
        <v>0</v>
      </c>
      <c r="JP43" s="77">
        <f t="shared" si="226"/>
        <v>0</v>
      </c>
      <c r="JQ43" s="77">
        <f t="shared" si="226"/>
        <v>0</v>
      </c>
      <c r="JR43" s="77">
        <f t="shared" si="226"/>
        <v>0</v>
      </c>
      <c r="JS43" s="77">
        <f t="shared" si="226"/>
        <v>0</v>
      </c>
      <c r="JT43" s="77">
        <f t="shared" si="226"/>
        <v>0</v>
      </c>
      <c r="JU43" s="77">
        <f t="shared" si="226"/>
        <v>0</v>
      </c>
      <c r="JV43" s="77">
        <f t="shared" si="226"/>
        <v>0</v>
      </c>
      <c r="JW43" s="77">
        <f t="shared" si="226"/>
        <v>0</v>
      </c>
      <c r="JX43" s="77">
        <f t="shared" si="226"/>
        <v>0</v>
      </c>
      <c r="JY43" s="77">
        <f t="shared" si="226"/>
        <v>0</v>
      </c>
      <c r="JZ43" s="77">
        <f t="shared" si="226"/>
        <v>0</v>
      </c>
      <c r="KA43" s="77">
        <f t="shared" si="226"/>
        <v>0</v>
      </c>
      <c r="KB43" s="77">
        <f t="shared" si="226"/>
        <v>0</v>
      </c>
      <c r="KC43" s="77">
        <f t="shared" si="227"/>
        <v>0</v>
      </c>
      <c r="KD43" s="77">
        <f t="shared" si="227"/>
        <v>0</v>
      </c>
      <c r="KE43" s="77">
        <f t="shared" si="227"/>
        <v>0</v>
      </c>
      <c r="KF43" s="77">
        <f t="shared" si="227"/>
        <v>0</v>
      </c>
      <c r="KG43" s="77">
        <f t="shared" si="227"/>
        <v>0</v>
      </c>
      <c r="KH43" s="77">
        <f t="shared" si="227"/>
        <v>0</v>
      </c>
      <c r="KI43" s="77">
        <f t="shared" si="227"/>
        <v>0</v>
      </c>
      <c r="KJ43" s="77">
        <f t="shared" si="227"/>
        <v>0</v>
      </c>
      <c r="KK43" s="77">
        <f t="shared" si="227"/>
        <v>0</v>
      </c>
      <c r="KL43" s="77">
        <f t="shared" si="227"/>
        <v>0</v>
      </c>
      <c r="KM43" s="77">
        <f t="shared" si="227"/>
        <v>0</v>
      </c>
      <c r="KN43" s="77">
        <f t="shared" si="227"/>
        <v>0</v>
      </c>
      <c r="KO43" s="77">
        <f t="shared" si="227"/>
        <v>0</v>
      </c>
      <c r="KP43" s="77">
        <f t="shared" si="227"/>
        <v>0</v>
      </c>
      <c r="KQ43" s="77">
        <f t="shared" si="227"/>
        <v>0</v>
      </c>
      <c r="KR43" s="77">
        <f t="shared" si="227"/>
        <v>0</v>
      </c>
      <c r="KS43" s="77">
        <f t="shared" si="228"/>
        <v>0</v>
      </c>
      <c r="KT43" s="77">
        <f t="shared" si="228"/>
        <v>0</v>
      </c>
      <c r="KU43" s="77">
        <f t="shared" si="228"/>
        <v>0</v>
      </c>
      <c r="KV43" s="77">
        <f t="shared" si="228"/>
        <v>0</v>
      </c>
      <c r="KW43" s="77">
        <f t="shared" si="228"/>
        <v>0</v>
      </c>
      <c r="KX43" s="77">
        <f t="shared" si="228"/>
        <v>0</v>
      </c>
      <c r="KY43" s="77">
        <f t="shared" si="228"/>
        <v>0</v>
      </c>
      <c r="KZ43" s="77">
        <f t="shared" si="228"/>
        <v>0</v>
      </c>
      <c r="LA43" s="77">
        <f t="shared" si="228"/>
        <v>0</v>
      </c>
      <c r="LB43" s="77">
        <f t="shared" si="228"/>
        <v>0</v>
      </c>
      <c r="LC43" s="77">
        <f t="shared" si="228"/>
        <v>0</v>
      </c>
      <c r="LD43" s="77">
        <f t="shared" si="228"/>
        <v>0</v>
      </c>
      <c r="LE43" s="77">
        <f t="shared" si="228"/>
        <v>0</v>
      </c>
      <c r="LF43" s="77">
        <f t="shared" si="228"/>
        <v>0</v>
      </c>
      <c r="LG43" s="77">
        <f t="shared" si="228"/>
        <v>0</v>
      </c>
      <c r="LH43" s="77">
        <f t="shared" si="228"/>
        <v>0</v>
      </c>
      <c r="LI43" s="77">
        <f t="shared" si="229"/>
        <v>0</v>
      </c>
      <c r="LJ43" s="77">
        <f t="shared" si="229"/>
        <v>0</v>
      </c>
      <c r="LK43" s="77">
        <f t="shared" si="229"/>
        <v>0</v>
      </c>
      <c r="LL43" s="77">
        <f t="shared" si="229"/>
        <v>0</v>
      </c>
      <c r="LM43" s="77">
        <f t="shared" si="229"/>
        <v>0</v>
      </c>
      <c r="LN43" s="77">
        <f t="shared" si="229"/>
        <v>0</v>
      </c>
      <c r="LO43" s="77">
        <f t="shared" si="229"/>
        <v>0</v>
      </c>
      <c r="LP43" s="77">
        <f t="shared" si="229"/>
        <v>0</v>
      </c>
      <c r="LQ43" s="77">
        <f t="shared" si="229"/>
        <v>0</v>
      </c>
      <c r="LR43" s="77">
        <f t="shared" si="229"/>
        <v>0</v>
      </c>
      <c r="LS43" s="77">
        <f t="shared" si="229"/>
        <v>0</v>
      </c>
      <c r="LT43" s="77">
        <f t="shared" si="229"/>
        <v>0</v>
      </c>
      <c r="LU43" s="77">
        <f t="shared" si="229"/>
        <v>0</v>
      </c>
      <c r="LV43" s="77">
        <f t="shared" si="229"/>
        <v>0</v>
      </c>
      <c r="LW43" s="77">
        <f t="shared" si="229"/>
        <v>0</v>
      </c>
      <c r="LX43" s="77">
        <f t="shared" si="229"/>
        <v>0</v>
      </c>
      <c r="LY43" s="77">
        <f t="shared" si="230"/>
        <v>0</v>
      </c>
      <c r="LZ43" s="77">
        <f t="shared" si="230"/>
        <v>0</v>
      </c>
      <c r="MA43" s="77">
        <f t="shared" si="230"/>
        <v>0</v>
      </c>
      <c r="MB43" s="77">
        <f t="shared" si="230"/>
        <v>0</v>
      </c>
      <c r="MC43" s="77">
        <f t="shared" si="230"/>
        <v>0</v>
      </c>
      <c r="MD43" s="77">
        <f t="shared" si="230"/>
        <v>0</v>
      </c>
      <c r="ME43" s="77">
        <f t="shared" si="230"/>
        <v>0</v>
      </c>
      <c r="MF43" s="77">
        <f t="shared" si="230"/>
        <v>0</v>
      </c>
      <c r="MG43" s="77">
        <f t="shared" si="230"/>
        <v>0</v>
      </c>
      <c r="MH43" s="77">
        <f t="shared" si="230"/>
        <v>0</v>
      </c>
      <c r="MI43" s="77">
        <f t="shared" si="230"/>
        <v>0</v>
      </c>
      <c r="MJ43" s="77">
        <f t="shared" si="230"/>
        <v>0</v>
      </c>
      <c r="MK43" s="77">
        <f t="shared" si="230"/>
        <v>0</v>
      </c>
      <c r="ML43" s="77">
        <f t="shared" si="230"/>
        <v>0</v>
      </c>
      <c r="MM43" s="77">
        <f t="shared" si="230"/>
        <v>0</v>
      </c>
      <c r="MN43" s="77">
        <f t="shared" si="230"/>
        <v>0</v>
      </c>
      <c r="MO43" s="77">
        <f t="shared" si="231"/>
        <v>0</v>
      </c>
      <c r="MP43" s="77">
        <f t="shared" si="231"/>
        <v>0</v>
      </c>
      <c r="MQ43" s="77">
        <f t="shared" si="231"/>
        <v>0</v>
      </c>
      <c r="MR43" s="77">
        <f t="shared" si="231"/>
        <v>0</v>
      </c>
      <c r="MS43" s="77">
        <f t="shared" si="231"/>
        <v>0</v>
      </c>
      <c r="MT43" s="77">
        <f t="shared" si="231"/>
        <v>0</v>
      </c>
      <c r="MU43" s="77">
        <f t="shared" si="231"/>
        <v>0</v>
      </c>
      <c r="MV43" s="77">
        <f t="shared" si="231"/>
        <v>0</v>
      </c>
      <c r="MW43" s="77">
        <f t="shared" si="231"/>
        <v>0</v>
      </c>
      <c r="MX43" s="77">
        <f t="shared" si="231"/>
        <v>0</v>
      </c>
      <c r="MY43" s="77">
        <f t="shared" si="231"/>
        <v>0</v>
      </c>
      <c r="MZ43" s="77">
        <f t="shared" si="231"/>
        <v>0</v>
      </c>
      <c r="NA43" s="77">
        <f t="shared" si="231"/>
        <v>0</v>
      </c>
      <c r="NB43" s="77">
        <f t="shared" si="231"/>
        <v>0</v>
      </c>
      <c r="NC43" s="77">
        <f t="shared" si="231"/>
        <v>0</v>
      </c>
      <c r="ND43" s="77">
        <f t="shared" si="231"/>
        <v>0</v>
      </c>
      <c r="NE43" s="77">
        <f t="shared" si="232"/>
        <v>0</v>
      </c>
      <c r="NF43" s="77">
        <f t="shared" si="232"/>
        <v>0</v>
      </c>
      <c r="NG43" s="77">
        <f t="shared" si="232"/>
        <v>0</v>
      </c>
      <c r="NH43" s="77">
        <f t="shared" si="232"/>
        <v>0</v>
      </c>
      <c r="NI43" s="77">
        <f t="shared" si="232"/>
        <v>0</v>
      </c>
      <c r="NJ43" s="77">
        <f t="shared" si="232"/>
        <v>0</v>
      </c>
      <c r="NK43" s="77">
        <f t="shared" si="232"/>
        <v>0</v>
      </c>
      <c r="NL43" s="77">
        <f t="shared" si="232"/>
        <v>0</v>
      </c>
      <c r="NM43" s="77">
        <f t="shared" si="232"/>
        <v>0</v>
      </c>
      <c r="NN43" s="77">
        <f t="shared" si="232"/>
        <v>0</v>
      </c>
      <c r="NO43" s="77">
        <f t="shared" si="232"/>
        <v>0</v>
      </c>
      <c r="NP43" s="77">
        <f t="shared" si="232"/>
        <v>0</v>
      </c>
      <c r="NQ43" s="77">
        <f t="shared" si="232"/>
        <v>0</v>
      </c>
      <c r="NR43" s="77">
        <f t="shared" si="232"/>
        <v>0</v>
      </c>
      <c r="NS43" s="77">
        <f t="shared" si="232"/>
        <v>0</v>
      </c>
      <c r="NT43" s="77">
        <f t="shared" si="232"/>
        <v>0</v>
      </c>
      <c r="NU43" s="77">
        <f t="shared" si="233"/>
        <v>0</v>
      </c>
      <c r="NV43" s="77">
        <f t="shared" si="233"/>
        <v>0</v>
      </c>
      <c r="NW43" s="77">
        <f t="shared" si="233"/>
        <v>0</v>
      </c>
      <c r="NX43" s="10"/>
    </row>
    <row r="44" spans="2:388" x14ac:dyDescent="0.3">
      <c r="B44" s="18" t="str">
        <f>"Total "&amp;B37</f>
        <v>Total Soft Costs</v>
      </c>
      <c r="C44" s="18"/>
      <c r="D44" s="19"/>
      <c r="E44" s="34">
        <f>MIN(E38:E43)</f>
        <v>1</v>
      </c>
      <c r="F44" s="34">
        <f>MAX(F38:F43)</f>
        <v>38</v>
      </c>
      <c r="G44" s="19"/>
      <c r="H44" s="28">
        <f t="shared" si="196"/>
        <v>38</v>
      </c>
      <c r="I44" s="19"/>
      <c r="J44" s="23">
        <f>SUM(J38:J43)</f>
        <v>6208.695652173913</v>
      </c>
      <c r="K44" s="29">
        <f>SUM(K38:K43)</f>
        <v>0.82068965517241366</v>
      </c>
      <c r="L44" s="23">
        <f>SUM(L38:L43)</f>
        <v>1428000</v>
      </c>
      <c r="S44" s="69" t="str">
        <f t="shared" si="199"/>
        <v>OK</v>
      </c>
      <c r="T44" s="16">
        <f t="shared" ref="T44:AY44" si="236">SUM(T38:T43)</f>
        <v>11184.21052631579</v>
      </c>
      <c r="U44" s="16">
        <f t="shared" si="236"/>
        <v>67640.581182686452</v>
      </c>
      <c r="V44" s="16">
        <f t="shared" si="236"/>
        <v>67640.581182686452</v>
      </c>
      <c r="W44" s="16">
        <f t="shared" si="236"/>
        <v>67640.581182686452</v>
      </c>
      <c r="X44" s="16">
        <f t="shared" si="236"/>
        <v>67640.581182686452</v>
      </c>
      <c r="Y44" s="16">
        <f t="shared" si="236"/>
        <v>67640.581182686452</v>
      </c>
      <c r="Z44" s="16">
        <f t="shared" si="236"/>
        <v>67640.581182686452</v>
      </c>
      <c r="AA44" s="16">
        <f t="shared" si="236"/>
        <v>67640.581182686452</v>
      </c>
      <c r="AB44" s="16">
        <f t="shared" si="236"/>
        <v>31926.295468400731</v>
      </c>
      <c r="AC44" s="16">
        <f t="shared" si="236"/>
        <v>31926.295468400731</v>
      </c>
      <c r="AD44" s="16">
        <f t="shared" si="236"/>
        <v>31926.295468400731</v>
      </c>
      <c r="AE44" s="16">
        <f t="shared" si="236"/>
        <v>31926.295468400731</v>
      </c>
      <c r="AF44" s="16">
        <f t="shared" si="236"/>
        <v>31926.295468400731</v>
      </c>
      <c r="AG44" s="16">
        <f t="shared" si="236"/>
        <v>31926.295468400731</v>
      </c>
      <c r="AH44" s="16">
        <f t="shared" si="236"/>
        <v>31926.295468400731</v>
      </c>
      <c r="AI44" s="16">
        <f t="shared" si="236"/>
        <v>31926.295468400731</v>
      </c>
      <c r="AJ44" s="16">
        <f t="shared" si="236"/>
        <v>31926.295468400731</v>
      </c>
      <c r="AK44" s="16">
        <f t="shared" si="236"/>
        <v>31926.295468400731</v>
      </c>
      <c r="AL44" s="16">
        <f t="shared" si="236"/>
        <v>31926.295468400731</v>
      </c>
      <c r="AM44" s="16">
        <f t="shared" si="236"/>
        <v>31926.295468400731</v>
      </c>
      <c r="AN44" s="16">
        <f t="shared" si="236"/>
        <v>31926.295468400731</v>
      </c>
      <c r="AO44" s="16">
        <f t="shared" si="236"/>
        <v>31926.295468400731</v>
      </c>
      <c r="AP44" s="16">
        <f t="shared" si="236"/>
        <v>31926.295468400731</v>
      </c>
      <c r="AQ44" s="16">
        <f t="shared" si="236"/>
        <v>31926.295468400731</v>
      </c>
      <c r="AR44" s="16">
        <f t="shared" si="236"/>
        <v>31926.295468400731</v>
      </c>
      <c r="AS44" s="16">
        <f t="shared" si="236"/>
        <v>31926.295468400731</v>
      </c>
      <c r="AT44" s="16">
        <f t="shared" si="236"/>
        <v>31926.295468400731</v>
      </c>
      <c r="AU44" s="16">
        <f t="shared" si="236"/>
        <v>31926.295468400731</v>
      </c>
      <c r="AV44" s="16">
        <f t="shared" si="236"/>
        <v>31926.295468400731</v>
      </c>
      <c r="AW44" s="16">
        <f t="shared" si="236"/>
        <v>31926.295468400731</v>
      </c>
      <c r="AX44" s="16">
        <f t="shared" si="236"/>
        <v>31926.295468400731</v>
      </c>
      <c r="AY44" s="16">
        <f t="shared" si="236"/>
        <v>31926.295468400731</v>
      </c>
      <c r="AZ44" s="16">
        <f t="shared" ref="AZ44:CE44" si="237">SUM(AZ38:AZ43)</f>
        <v>31926.295468400731</v>
      </c>
      <c r="BA44" s="16">
        <f t="shared" si="237"/>
        <v>31926.295468400731</v>
      </c>
      <c r="BB44" s="16">
        <f t="shared" si="237"/>
        <v>31926.295468400731</v>
      </c>
      <c r="BC44" s="16">
        <f t="shared" si="237"/>
        <v>31926.295468400731</v>
      </c>
      <c r="BD44" s="16">
        <f t="shared" si="237"/>
        <v>24697.724039829303</v>
      </c>
      <c r="BE44" s="16">
        <f t="shared" si="237"/>
        <v>24697.724039829303</v>
      </c>
      <c r="BF44" s="16">
        <f t="shared" si="237"/>
        <v>0</v>
      </c>
      <c r="BG44" s="16">
        <f t="shared" si="237"/>
        <v>0</v>
      </c>
      <c r="BH44" s="16">
        <f t="shared" si="237"/>
        <v>0</v>
      </c>
      <c r="BI44" s="16">
        <f t="shared" si="237"/>
        <v>0</v>
      </c>
      <c r="BJ44" s="16">
        <f t="shared" si="237"/>
        <v>0</v>
      </c>
      <c r="BK44" s="16">
        <f t="shared" si="237"/>
        <v>0</v>
      </c>
      <c r="BL44" s="16">
        <f t="shared" si="237"/>
        <v>0</v>
      </c>
      <c r="BM44" s="16">
        <f t="shared" si="237"/>
        <v>0</v>
      </c>
      <c r="BN44" s="16">
        <f t="shared" si="237"/>
        <v>0</v>
      </c>
      <c r="BO44" s="16">
        <f t="shared" si="237"/>
        <v>0</v>
      </c>
      <c r="BP44" s="16">
        <f t="shared" si="237"/>
        <v>0</v>
      </c>
      <c r="BQ44" s="16">
        <f t="shared" si="237"/>
        <v>0</v>
      </c>
      <c r="BR44" s="16">
        <f t="shared" si="237"/>
        <v>0</v>
      </c>
      <c r="BS44" s="16">
        <f t="shared" si="237"/>
        <v>0</v>
      </c>
      <c r="BT44" s="16">
        <f t="shared" si="237"/>
        <v>0</v>
      </c>
      <c r="BU44" s="16">
        <f t="shared" si="237"/>
        <v>0</v>
      </c>
      <c r="BV44" s="16">
        <f t="shared" si="237"/>
        <v>0</v>
      </c>
      <c r="BW44" s="16">
        <f t="shared" si="237"/>
        <v>0</v>
      </c>
      <c r="BX44" s="16">
        <f t="shared" si="237"/>
        <v>0</v>
      </c>
      <c r="BY44" s="16">
        <f t="shared" si="237"/>
        <v>0</v>
      </c>
      <c r="BZ44" s="16">
        <f t="shared" si="237"/>
        <v>0</v>
      </c>
      <c r="CA44" s="16">
        <f t="shared" si="237"/>
        <v>0</v>
      </c>
      <c r="CB44" s="16">
        <f t="shared" si="237"/>
        <v>0</v>
      </c>
      <c r="CC44" s="16">
        <f t="shared" si="237"/>
        <v>0</v>
      </c>
      <c r="CD44" s="16">
        <f t="shared" si="237"/>
        <v>0</v>
      </c>
      <c r="CE44" s="16">
        <f t="shared" si="237"/>
        <v>0</v>
      </c>
      <c r="CF44" s="16">
        <f t="shared" ref="CF44:DK44" si="238">SUM(CF38:CF43)</f>
        <v>0</v>
      </c>
      <c r="CG44" s="16">
        <f t="shared" si="238"/>
        <v>0</v>
      </c>
      <c r="CH44" s="16">
        <f t="shared" si="238"/>
        <v>0</v>
      </c>
      <c r="CI44" s="16">
        <f t="shared" si="238"/>
        <v>0</v>
      </c>
      <c r="CJ44" s="16">
        <f t="shared" si="238"/>
        <v>0</v>
      </c>
      <c r="CK44" s="16">
        <f t="shared" si="238"/>
        <v>0</v>
      </c>
      <c r="CL44" s="16">
        <f t="shared" si="238"/>
        <v>0</v>
      </c>
      <c r="CM44" s="16">
        <f t="shared" si="238"/>
        <v>0</v>
      </c>
      <c r="CN44" s="16">
        <f t="shared" si="238"/>
        <v>0</v>
      </c>
      <c r="CO44" s="16">
        <f t="shared" si="238"/>
        <v>0</v>
      </c>
      <c r="CP44" s="16">
        <f t="shared" si="238"/>
        <v>0</v>
      </c>
      <c r="CQ44" s="16">
        <f t="shared" si="238"/>
        <v>0</v>
      </c>
      <c r="CR44" s="16">
        <f t="shared" si="238"/>
        <v>0</v>
      </c>
      <c r="CS44" s="16">
        <f t="shared" si="238"/>
        <v>0</v>
      </c>
      <c r="CT44" s="16">
        <f t="shared" si="238"/>
        <v>0</v>
      </c>
      <c r="CU44" s="16">
        <f t="shared" si="238"/>
        <v>0</v>
      </c>
      <c r="CV44" s="16">
        <f t="shared" si="238"/>
        <v>0</v>
      </c>
      <c r="CW44" s="16">
        <f t="shared" si="238"/>
        <v>0</v>
      </c>
      <c r="CX44" s="16">
        <f t="shared" si="238"/>
        <v>0</v>
      </c>
      <c r="CY44" s="16">
        <f t="shared" si="238"/>
        <v>0</v>
      </c>
      <c r="CZ44" s="16">
        <f t="shared" si="238"/>
        <v>0</v>
      </c>
      <c r="DA44" s="16">
        <f t="shared" si="238"/>
        <v>0</v>
      </c>
      <c r="DB44" s="16">
        <f t="shared" si="238"/>
        <v>0</v>
      </c>
      <c r="DC44" s="16">
        <f t="shared" si="238"/>
        <v>0</v>
      </c>
      <c r="DD44" s="16">
        <f t="shared" si="238"/>
        <v>0</v>
      </c>
      <c r="DE44" s="16">
        <f t="shared" si="238"/>
        <v>0</v>
      </c>
      <c r="DF44" s="16">
        <f t="shared" si="238"/>
        <v>0</v>
      </c>
      <c r="DG44" s="16">
        <f t="shared" si="238"/>
        <v>0</v>
      </c>
      <c r="DH44" s="16">
        <f t="shared" si="238"/>
        <v>0</v>
      </c>
      <c r="DI44" s="16">
        <f t="shared" si="238"/>
        <v>0</v>
      </c>
      <c r="DJ44" s="16">
        <f t="shared" si="238"/>
        <v>0</v>
      </c>
      <c r="DK44" s="16">
        <f t="shared" si="238"/>
        <v>0</v>
      </c>
      <c r="DL44" s="16">
        <f t="shared" ref="DL44:EQ44" si="239">SUM(DL38:DL43)</f>
        <v>0</v>
      </c>
      <c r="DM44" s="16">
        <f t="shared" si="239"/>
        <v>0</v>
      </c>
      <c r="DN44" s="16">
        <f t="shared" si="239"/>
        <v>0</v>
      </c>
      <c r="DO44" s="16">
        <f t="shared" si="239"/>
        <v>0</v>
      </c>
      <c r="DP44" s="16">
        <f t="shared" si="239"/>
        <v>0</v>
      </c>
      <c r="DQ44" s="16">
        <f t="shared" si="239"/>
        <v>0</v>
      </c>
      <c r="DR44" s="16">
        <f t="shared" si="239"/>
        <v>0</v>
      </c>
      <c r="DS44" s="16">
        <f t="shared" si="239"/>
        <v>0</v>
      </c>
      <c r="DT44" s="16">
        <f t="shared" si="239"/>
        <v>0</v>
      </c>
      <c r="DU44" s="16">
        <f t="shared" si="239"/>
        <v>0</v>
      </c>
      <c r="DV44" s="16">
        <f t="shared" si="239"/>
        <v>0</v>
      </c>
      <c r="DW44" s="16">
        <f t="shared" si="239"/>
        <v>0</v>
      </c>
      <c r="DX44" s="16">
        <f t="shared" si="239"/>
        <v>0</v>
      </c>
      <c r="DY44" s="16">
        <f t="shared" si="239"/>
        <v>0</v>
      </c>
      <c r="DZ44" s="16">
        <f t="shared" si="239"/>
        <v>0</v>
      </c>
      <c r="EA44" s="16">
        <f t="shared" si="239"/>
        <v>0</v>
      </c>
      <c r="EB44" s="16">
        <f t="shared" si="239"/>
        <v>0</v>
      </c>
      <c r="EC44" s="16">
        <f t="shared" si="239"/>
        <v>0</v>
      </c>
      <c r="ED44" s="16">
        <f t="shared" si="239"/>
        <v>0</v>
      </c>
      <c r="EE44" s="16">
        <f t="shared" si="239"/>
        <v>0</v>
      </c>
      <c r="EF44" s="16">
        <f t="shared" si="239"/>
        <v>0</v>
      </c>
      <c r="EG44" s="16">
        <f t="shared" si="239"/>
        <v>0</v>
      </c>
      <c r="EH44" s="16">
        <f t="shared" si="239"/>
        <v>0</v>
      </c>
      <c r="EI44" s="16">
        <f t="shared" si="239"/>
        <v>0</v>
      </c>
      <c r="EJ44" s="16">
        <f t="shared" si="239"/>
        <v>0</v>
      </c>
      <c r="EK44" s="16">
        <f t="shared" si="239"/>
        <v>0</v>
      </c>
      <c r="EL44" s="16">
        <f t="shared" si="239"/>
        <v>0</v>
      </c>
      <c r="EM44" s="16">
        <f t="shared" si="239"/>
        <v>0</v>
      </c>
      <c r="EN44" s="16">
        <f t="shared" si="239"/>
        <v>0</v>
      </c>
      <c r="EO44" s="16">
        <f t="shared" si="239"/>
        <v>0</v>
      </c>
      <c r="EP44" s="16">
        <f t="shared" si="239"/>
        <v>0</v>
      </c>
      <c r="EQ44" s="16">
        <f t="shared" si="239"/>
        <v>0</v>
      </c>
      <c r="ER44" s="16">
        <f t="shared" ref="ER44:FW44" si="240">SUM(ER38:ER43)</f>
        <v>0</v>
      </c>
      <c r="ES44" s="16">
        <f t="shared" si="240"/>
        <v>0</v>
      </c>
      <c r="ET44" s="16">
        <f t="shared" si="240"/>
        <v>0</v>
      </c>
      <c r="EU44" s="16">
        <f t="shared" si="240"/>
        <v>0</v>
      </c>
      <c r="EV44" s="16">
        <f t="shared" si="240"/>
        <v>0</v>
      </c>
      <c r="EW44" s="16">
        <f t="shared" si="240"/>
        <v>0</v>
      </c>
      <c r="EX44" s="16">
        <f t="shared" si="240"/>
        <v>0</v>
      </c>
      <c r="EY44" s="16">
        <f t="shared" si="240"/>
        <v>0</v>
      </c>
      <c r="EZ44" s="16">
        <f t="shared" si="240"/>
        <v>0</v>
      </c>
      <c r="FA44" s="16">
        <f t="shared" si="240"/>
        <v>0</v>
      </c>
      <c r="FB44" s="16">
        <f t="shared" si="240"/>
        <v>0</v>
      </c>
      <c r="FC44" s="16">
        <f t="shared" si="240"/>
        <v>0</v>
      </c>
      <c r="FD44" s="16">
        <f t="shared" si="240"/>
        <v>0</v>
      </c>
      <c r="FE44" s="16">
        <f t="shared" si="240"/>
        <v>0</v>
      </c>
      <c r="FF44" s="16">
        <f t="shared" si="240"/>
        <v>0</v>
      </c>
      <c r="FG44" s="16">
        <f t="shared" si="240"/>
        <v>0</v>
      </c>
      <c r="FH44" s="16">
        <f t="shared" si="240"/>
        <v>0</v>
      </c>
      <c r="FI44" s="16">
        <f t="shared" si="240"/>
        <v>0</v>
      </c>
      <c r="FJ44" s="16">
        <f t="shared" si="240"/>
        <v>0</v>
      </c>
      <c r="FK44" s="16">
        <f t="shared" si="240"/>
        <v>0</v>
      </c>
      <c r="FL44" s="16">
        <f t="shared" si="240"/>
        <v>0</v>
      </c>
      <c r="FM44" s="16">
        <f t="shared" si="240"/>
        <v>0</v>
      </c>
      <c r="FN44" s="16">
        <f t="shared" si="240"/>
        <v>0</v>
      </c>
      <c r="FO44" s="16">
        <f t="shared" si="240"/>
        <v>0</v>
      </c>
      <c r="FP44" s="16">
        <f t="shared" si="240"/>
        <v>0</v>
      </c>
      <c r="FQ44" s="16">
        <f t="shared" si="240"/>
        <v>0</v>
      </c>
      <c r="FR44" s="16">
        <f t="shared" si="240"/>
        <v>0</v>
      </c>
      <c r="FS44" s="16">
        <f t="shared" si="240"/>
        <v>0</v>
      </c>
      <c r="FT44" s="16">
        <f t="shared" si="240"/>
        <v>0</v>
      </c>
      <c r="FU44" s="16">
        <f t="shared" si="240"/>
        <v>0</v>
      </c>
      <c r="FV44" s="16">
        <f t="shared" si="240"/>
        <v>0</v>
      </c>
      <c r="FW44" s="16">
        <f t="shared" si="240"/>
        <v>0</v>
      </c>
      <c r="FX44" s="16">
        <f t="shared" ref="FX44:GQ44" si="241">SUM(FX38:FX43)</f>
        <v>0</v>
      </c>
      <c r="FY44" s="16">
        <f t="shared" si="241"/>
        <v>0</v>
      </c>
      <c r="FZ44" s="16">
        <f t="shared" si="241"/>
        <v>0</v>
      </c>
      <c r="GA44" s="16">
        <f t="shared" si="241"/>
        <v>0</v>
      </c>
      <c r="GB44" s="16">
        <f t="shared" si="241"/>
        <v>0</v>
      </c>
      <c r="GC44" s="16">
        <f t="shared" si="241"/>
        <v>0</v>
      </c>
      <c r="GD44" s="16">
        <f t="shared" si="241"/>
        <v>0</v>
      </c>
      <c r="GE44" s="16">
        <f t="shared" si="241"/>
        <v>0</v>
      </c>
      <c r="GF44" s="16">
        <f t="shared" si="241"/>
        <v>0</v>
      </c>
      <c r="GG44" s="16">
        <f t="shared" si="241"/>
        <v>0</v>
      </c>
      <c r="GH44" s="16">
        <f t="shared" si="241"/>
        <v>0</v>
      </c>
      <c r="GI44" s="16">
        <f t="shared" si="241"/>
        <v>0</v>
      </c>
      <c r="GJ44" s="16">
        <f t="shared" si="241"/>
        <v>0</v>
      </c>
      <c r="GK44" s="16">
        <f t="shared" si="241"/>
        <v>0</v>
      </c>
      <c r="GL44" s="16">
        <f t="shared" si="241"/>
        <v>0</v>
      </c>
      <c r="GM44" s="16">
        <f t="shared" si="241"/>
        <v>0</v>
      </c>
      <c r="GN44" s="16">
        <f t="shared" si="241"/>
        <v>0</v>
      </c>
      <c r="GO44" s="16">
        <f t="shared" si="241"/>
        <v>0</v>
      </c>
      <c r="GP44" s="16">
        <f t="shared" si="241"/>
        <v>0</v>
      </c>
      <c r="GQ44" s="16">
        <f t="shared" si="241"/>
        <v>0</v>
      </c>
      <c r="GR44" s="9"/>
      <c r="GS44" s="70" t="str">
        <f t="shared" si="191"/>
        <v>Total Soft Costs</v>
      </c>
      <c r="GT44" s="77">
        <f>SUM(GT38:GT43)</f>
        <v>1428000</v>
      </c>
      <c r="GU44" s="71"/>
      <c r="GV44" s="71"/>
      <c r="GW44" s="71"/>
      <c r="GX44" s="71"/>
      <c r="GY44" s="79" t="b">
        <f t="shared" si="234"/>
        <v>1</v>
      </c>
      <c r="GZ44" s="77">
        <f t="shared" ref="GZ44:IE44" si="242">SUM(GZ38:GZ43)</f>
        <v>379.67307302530963</v>
      </c>
      <c r="HA44" s="77">
        <f t="shared" si="242"/>
        <v>4994.6293648128776</v>
      </c>
      <c r="HB44" s="77">
        <f t="shared" si="242"/>
        <v>22902.999816959487</v>
      </c>
      <c r="HC44" s="77">
        <f t="shared" si="242"/>
        <v>61988.195661647675</v>
      </c>
      <c r="HD44" s="77">
        <f t="shared" si="242"/>
        <v>87799.10794563283</v>
      </c>
      <c r="HE44" s="77">
        <f t="shared" si="242"/>
        <v>65580.231710494554</v>
      </c>
      <c r="HF44" s="77">
        <f t="shared" si="242"/>
        <v>30325.931569688015</v>
      </c>
      <c r="HG44" s="77">
        <f t="shared" si="242"/>
        <v>16702.515394179311</v>
      </c>
      <c r="HH44" s="77">
        <f t="shared" si="242"/>
        <v>17428.88463159922</v>
      </c>
      <c r="HI44" s="77">
        <f t="shared" si="242"/>
        <v>22736.856319592833</v>
      </c>
      <c r="HJ44" s="77">
        <f t="shared" si="242"/>
        <v>28892.478331480852</v>
      </c>
      <c r="HK44" s="77">
        <f t="shared" si="242"/>
        <v>35761.258330050638</v>
      </c>
      <c r="HL44" s="77">
        <f t="shared" si="242"/>
        <v>43112.027085430062</v>
      </c>
      <c r="HM44" s="77">
        <f t="shared" si="242"/>
        <v>50620.890245147821</v>
      </c>
      <c r="HN44" s="77">
        <f t="shared" si="242"/>
        <v>57889.365627782296</v>
      </c>
      <c r="HO44" s="77">
        <f t="shared" si="242"/>
        <v>64476.489347225091</v>
      </c>
      <c r="HP44" s="77">
        <f t="shared" si="242"/>
        <v>69941.877519588801</v>
      </c>
      <c r="HQ44" s="77">
        <f t="shared" si="242"/>
        <v>73894.131190995919</v>
      </c>
      <c r="HR44" s="77">
        <f t="shared" si="242"/>
        <v>76037.247605745302</v>
      </c>
      <c r="HS44" s="77">
        <f t="shared" si="242"/>
        <v>76207.381835792912</v>
      </c>
      <c r="HT44" s="77">
        <f t="shared" si="242"/>
        <v>74393.59749196787</v>
      </c>
      <c r="HU44" s="77">
        <f t="shared" si="242"/>
        <v>70738.948833537695</v>
      </c>
      <c r="HV44" s="77">
        <f t="shared" si="242"/>
        <v>65521.764420616528</v>
      </c>
      <c r="HW44" s="77">
        <f t="shared" si="242"/>
        <v>59120.544088491042</v>
      </c>
      <c r="HX44" s="77">
        <f t="shared" si="242"/>
        <v>51968.626973041675</v>
      </c>
      <c r="HY44" s="77">
        <f t="shared" si="242"/>
        <v>44506.154744361673</v>
      </c>
      <c r="HZ44" s="77">
        <f t="shared" si="242"/>
        <v>37136.632413108535</v>
      </c>
      <c r="IA44" s="77">
        <f t="shared" si="242"/>
        <v>30193.775279872345</v>
      </c>
      <c r="IB44" s="77">
        <f t="shared" si="242"/>
        <v>23921.835287957729</v>
      </c>
      <c r="IC44" s="77">
        <f t="shared" si="242"/>
        <v>18469.876904506255</v>
      </c>
      <c r="ID44" s="77">
        <f t="shared" si="242"/>
        <v>13898.129478516357</v>
      </c>
      <c r="IE44" s="77">
        <f t="shared" si="242"/>
        <v>10192.994483962333</v>
      </c>
      <c r="IF44" s="77">
        <f t="shared" ref="IF44:JK44" si="243">SUM(IF38:IF43)</f>
        <v>7286.6854662683681</v>
      </c>
      <c r="IG44" s="77">
        <f t="shared" si="243"/>
        <v>5077.7338085385927</v>
      </c>
      <c r="IH44" s="77">
        <f t="shared" si="243"/>
        <v>3449.4451988218252</v>
      </c>
      <c r="II44" s="77">
        <f t="shared" si="243"/>
        <v>2284.5166640773368</v>
      </c>
      <c r="IJ44" s="77">
        <f t="shared" si="243"/>
        <v>1325.0887253902531</v>
      </c>
      <c r="IK44" s="77">
        <f t="shared" si="243"/>
        <v>841.47713009178574</v>
      </c>
      <c r="IL44" s="77">
        <f t="shared" si="243"/>
        <v>0</v>
      </c>
      <c r="IM44" s="77">
        <f t="shared" si="243"/>
        <v>0</v>
      </c>
      <c r="IN44" s="77">
        <f t="shared" si="243"/>
        <v>0</v>
      </c>
      <c r="IO44" s="77">
        <f t="shared" si="243"/>
        <v>0</v>
      </c>
      <c r="IP44" s="77">
        <f t="shared" si="243"/>
        <v>0</v>
      </c>
      <c r="IQ44" s="77">
        <f t="shared" si="243"/>
        <v>0</v>
      </c>
      <c r="IR44" s="77">
        <f t="shared" si="243"/>
        <v>0</v>
      </c>
      <c r="IS44" s="77">
        <f t="shared" si="243"/>
        <v>0</v>
      </c>
      <c r="IT44" s="77">
        <f t="shared" si="243"/>
        <v>0</v>
      </c>
      <c r="IU44" s="77">
        <f t="shared" si="243"/>
        <v>0</v>
      </c>
      <c r="IV44" s="77">
        <f t="shared" si="243"/>
        <v>0</v>
      </c>
      <c r="IW44" s="77">
        <f t="shared" si="243"/>
        <v>0</v>
      </c>
      <c r="IX44" s="77">
        <f t="shared" si="243"/>
        <v>0</v>
      </c>
      <c r="IY44" s="77">
        <f t="shared" si="243"/>
        <v>0</v>
      </c>
      <c r="IZ44" s="77">
        <f t="shared" si="243"/>
        <v>0</v>
      </c>
      <c r="JA44" s="77">
        <f t="shared" si="243"/>
        <v>0</v>
      </c>
      <c r="JB44" s="77">
        <f t="shared" si="243"/>
        <v>0</v>
      </c>
      <c r="JC44" s="77">
        <f t="shared" si="243"/>
        <v>0</v>
      </c>
      <c r="JD44" s="77">
        <f t="shared" si="243"/>
        <v>0</v>
      </c>
      <c r="JE44" s="77">
        <f t="shared" si="243"/>
        <v>0</v>
      </c>
      <c r="JF44" s="77">
        <f t="shared" si="243"/>
        <v>0</v>
      </c>
      <c r="JG44" s="77">
        <f t="shared" si="243"/>
        <v>0</v>
      </c>
      <c r="JH44" s="77">
        <f t="shared" si="243"/>
        <v>0</v>
      </c>
      <c r="JI44" s="77">
        <f t="shared" si="243"/>
        <v>0</v>
      </c>
      <c r="JJ44" s="77">
        <f t="shared" si="243"/>
        <v>0</v>
      </c>
      <c r="JK44" s="77">
        <f t="shared" si="243"/>
        <v>0</v>
      </c>
      <c r="JL44" s="77">
        <f t="shared" ref="JL44:KQ44" si="244">SUM(JL38:JL43)</f>
        <v>0</v>
      </c>
      <c r="JM44" s="77">
        <f t="shared" si="244"/>
        <v>0</v>
      </c>
      <c r="JN44" s="77">
        <f t="shared" si="244"/>
        <v>0</v>
      </c>
      <c r="JO44" s="77">
        <f t="shared" si="244"/>
        <v>0</v>
      </c>
      <c r="JP44" s="77">
        <f t="shared" si="244"/>
        <v>0</v>
      </c>
      <c r="JQ44" s="77">
        <f t="shared" si="244"/>
        <v>0</v>
      </c>
      <c r="JR44" s="77">
        <f t="shared" si="244"/>
        <v>0</v>
      </c>
      <c r="JS44" s="77">
        <f t="shared" si="244"/>
        <v>0</v>
      </c>
      <c r="JT44" s="77">
        <f t="shared" si="244"/>
        <v>0</v>
      </c>
      <c r="JU44" s="77">
        <f t="shared" si="244"/>
        <v>0</v>
      </c>
      <c r="JV44" s="77">
        <f t="shared" si="244"/>
        <v>0</v>
      </c>
      <c r="JW44" s="77">
        <f t="shared" si="244"/>
        <v>0</v>
      </c>
      <c r="JX44" s="77">
        <f t="shared" si="244"/>
        <v>0</v>
      </c>
      <c r="JY44" s="77">
        <f t="shared" si="244"/>
        <v>0</v>
      </c>
      <c r="JZ44" s="77">
        <f t="shared" si="244"/>
        <v>0</v>
      </c>
      <c r="KA44" s="77">
        <f t="shared" si="244"/>
        <v>0</v>
      </c>
      <c r="KB44" s="77">
        <f t="shared" si="244"/>
        <v>0</v>
      </c>
      <c r="KC44" s="77">
        <f t="shared" si="244"/>
        <v>0</v>
      </c>
      <c r="KD44" s="77">
        <f t="shared" si="244"/>
        <v>0</v>
      </c>
      <c r="KE44" s="77">
        <f t="shared" si="244"/>
        <v>0</v>
      </c>
      <c r="KF44" s="77">
        <f t="shared" si="244"/>
        <v>0</v>
      </c>
      <c r="KG44" s="77">
        <f t="shared" si="244"/>
        <v>0</v>
      </c>
      <c r="KH44" s="77">
        <f t="shared" si="244"/>
        <v>0</v>
      </c>
      <c r="KI44" s="77">
        <f t="shared" si="244"/>
        <v>0</v>
      </c>
      <c r="KJ44" s="77">
        <f t="shared" si="244"/>
        <v>0</v>
      </c>
      <c r="KK44" s="77">
        <f t="shared" si="244"/>
        <v>0</v>
      </c>
      <c r="KL44" s="77">
        <f t="shared" si="244"/>
        <v>0</v>
      </c>
      <c r="KM44" s="77">
        <f t="shared" si="244"/>
        <v>0</v>
      </c>
      <c r="KN44" s="77">
        <f t="shared" si="244"/>
        <v>0</v>
      </c>
      <c r="KO44" s="77">
        <f t="shared" si="244"/>
        <v>0</v>
      </c>
      <c r="KP44" s="77">
        <f t="shared" si="244"/>
        <v>0</v>
      </c>
      <c r="KQ44" s="77">
        <f t="shared" si="244"/>
        <v>0</v>
      </c>
      <c r="KR44" s="77">
        <f t="shared" ref="KR44:LW44" si="245">SUM(KR38:KR43)</f>
        <v>0</v>
      </c>
      <c r="KS44" s="77">
        <f t="shared" si="245"/>
        <v>0</v>
      </c>
      <c r="KT44" s="77">
        <f t="shared" si="245"/>
        <v>0</v>
      </c>
      <c r="KU44" s="77">
        <f t="shared" si="245"/>
        <v>0</v>
      </c>
      <c r="KV44" s="77">
        <f t="shared" si="245"/>
        <v>0</v>
      </c>
      <c r="KW44" s="77">
        <f t="shared" si="245"/>
        <v>0</v>
      </c>
      <c r="KX44" s="77">
        <f t="shared" si="245"/>
        <v>0</v>
      </c>
      <c r="KY44" s="77">
        <f t="shared" si="245"/>
        <v>0</v>
      </c>
      <c r="KZ44" s="77">
        <f t="shared" si="245"/>
        <v>0</v>
      </c>
      <c r="LA44" s="77">
        <f t="shared" si="245"/>
        <v>0</v>
      </c>
      <c r="LB44" s="77">
        <f t="shared" si="245"/>
        <v>0</v>
      </c>
      <c r="LC44" s="77">
        <f t="shared" si="245"/>
        <v>0</v>
      </c>
      <c r="LD44" s="77">
        <f t="shared" si="245"/>
        <v>0</v>
      </c>
      <c r="LE44" s="77">
        <f t="shared" si="245"/>
        <v>0</v>
      </c>
      <c r="LF44" s="77">
        <f t="shared" si="245"/>
        <v>0</v>
      </c>
      <c r="LG44" s="77">
        <f t="shared" si="245"/>
        <v>0</v>
      </c>
      <c r="LH44" s="77">
        <f t="shared" si="245"/>
        <v>0</v>
      </c>
      <c r="LI44" s="77">
        <f t="shared" si="245"/>
        <v>0</v>
      </c>
      <c r="LJ44" s="77">
        <f t="shared" si="245"/>
        <v>0</v>
      </c>
      <c r="LK44" s="77">
        <f t="shared" si="245"/>
        <v>0</v>
      </c>
      <c r="LL44" s="77">
        <f t="shared" si="245"/>
        <v>0</v>
      </c>
      <c r="LM44" s="77">
        <f t="shared" si="245"/>
        <v>0</v>
      </c>
      <c r="LN44" s="77">
        <f t="shared" si="245"/>
        <v>0</v>
      </c>
      <c r="LO44" s="77">
        <f t="shared" si="245"/>
        <v>0</v>
      </c>
      <c r="LP44" s="77">
        <f t="shared" si="245"/>
        <v>0</v>
      </c>
      <c r="LQ44" s="77">
        <f t="shared" si="245"/>
        <v>0</v>
      </c>
      <c r="LR44" s="77">
        <f t="shared" si="245"/>
        <v>0</v>
      </c>
      <c r="LS44" s="77">
        <f t="shared" si="245"/>
        <v>0</v>
      </c>
      <c r="LT44" s="77">
        <f t="shared" si="245"/>
        <v>0</v>
      </c>
      <c r="LU44" s="77">
        <f t="shared" si="245"/>
        <v>0</v>
      </c>
      <c r="LV44" s="77">
        <f t="shared" si="245"/>
        <v>0</v>
      </c>
      <c r="LW44" s="77">
        <f t="shared" si="245"/>
        <v>0</v>
      </c>
      <c r="LX44" s="77">
        <f t="shared" ref="LX44:NC44" si="246">SUM(LX38:LX43)</f>
        <v>0</v>
      </c>
      <c r="LY44" s="77">
        <f t="shared" si="246"/>
        <v>0</v>
      </c>
      <c r="LZ44" s="77">
        <f t="shared" si="246"/>
        <v>0</v>
      </c>
      <c r="MA44" s="77">
        <f t="shared" si="246"/>
        <v>0</v>
      </c>
      <c r="MB44" s="77">
        <f t="shared" si="246"/>
        <v>0</v>
      </c>
      <c r="MC44" s="77">
        <f t="shared" si="246"/>
        <v>0</v>
      </c>
      <c r="MD44" s="77">
        <f t="shared" si="246"/>
        <v>0</v>
      </c>
      <c r="ME44" s="77">
        <f t="shared" si="246"/>
        <v>0</v>
      </c>
      <c r="MF44" s="77">
        <f t="shared" si="246"/>
        <v>0</v>
      </c>
      <c r="MG44" s="77">
        <f t="shared" si="246"/>
        <v>0</v>
      </c>
      <c r="MH44" s="77">
        <f t="shared" si="246"/>
        <v>0</v>
      </c>
      <c r="MI44" s="77">
        <f t="shared" si="246"/>
        <v>0</v>
      </c>
      <c r="MJ44" s="77">
        <f t="shared" si="246"/>
        <v>0</v>
      </c>
      <c r="MK44" s="77">
        <f t="shared" si="246"/>
        <v>0</v>
      </c>
      <c r="ML44" s="77">
        <f t="shared" si="246"/>
        <v>0</v>
      </c>
      <c r="MM44" s="77">
        <f t="shared" si="246"/>
        <v>0</v>
      </c>
      <c r="MN44" s="77">
        <f t="shared" si="246"/>
        <v>0</v>
      </c>
      <c r="MO44" s="77">
        <f t="shared" si="246"/>
        <v>0</v>
      </c>
      <c r="MP44" s="77">
        <f t="shared" si="246"/>
        <v>0</v>
      </c>
      <c r="MQ44" s="77">
        <f t="shared" si="246"/>
        <v>0</v>
      </c>
      <c r="MR44" s="77">
        <f t="shared" si="246"/>
        <v>0</v>
      </c>
      <c r="MS44" s="77">
        <f t="shared" si="246"/>
        <v>0</v>
      </c>
      <c r="MT44" s="77">
        <f t="shared" si="246"/>
        <v>0</v>
      </c>
      <c r="MU44" s="77">
        <f t="shared" si="246"/>
        <v>0</v>
      </c>
      <c r="MV44" s="77">
        <f t="shared" si="246"/>
        <v>0</v>
      </c>
      <c r="MW44" s="77">
        <f t="shared" si="246"/>
        <v>0</v>
      </c>
      <c r="MX44" s="77">
        <f t="shared" si="246"/>
        <v>0</v>
      </c>
      <c r="MY44" s="77">
        <f t="shared" si="246"/>
        <v>0</v>
      </c>
      <c r="MZ44" s="77">
        <f t="shared" si="246"/>
        <v>0</v>
      </c>
      <c r="NA44" s="77">
        <f t="shared" si="246"/>
        <v>0</v>
      </c>
      <c r="NB44" s="77">
        <f t="shared" si="246"/>
        <v>0</v>
      </c>
      <c r="NC44" s="77">
        <f t="shared" si="246"/>
        <v>0</v>
      </c>
      <c r="ND44" s="77">
        <f t="shared" ref="ND44:NW44" si="247">SUM(ND38:ND43)</f>
        <v>0</v>
      </c>
      <c r="NE44" s="77">
        <f t="shared" si="247"/>
        <v>0</v>
      </c>
      <c r="NF44" s="77">
        <f t="shared" si="247"/>
        <v>0</v>
      </c>
      <c r="NG44" s="77">
        <f t="shared" si="247"/>
        <v>0</v>
      </c>
      <c r="NH44" s="77">
        <f t="shared" si="247"/>
        <v>0</v>
      </c>
      <c r="NI44" s="77">
        <f t="shared" si="247"/>
        <v>0</v>
      </c>
      <c r="NJ44" s="77">
        <f t="shared" si="247"/>
        <v>0</v>
      </c>
      <c r="NK44" s="77">
        <f t="shared" si="247"/>
        <v>0</v>
      </c>
      <c r="NL44" s="77">
        <f t="shared" si="247"/>
        <v>0</v>
      </c>
      <c r="NM44" s="77">
        <f t="shared" si="247"/>
        <v>0</v>
      </c>
      <c r="NN44" s="77">
        <f t="shared" si="247"/>
        <v>0</v>
      </c>
      <c r="NO44" s="77">
        <f t="shared" si="247"/>
        <v>0</v>
      </c>
      <c r="NP44" s="77">
        <f t="shared" si="247"/>
        <v>0</v>
      </c>
      <c r="NQ44" s="77">
        <f t="shared" si="247"/>
        <v>0</v>
      </c>
      <c r="NR44" s="77">
        <f t="shared" si="247"/>
        <v>0</v>
      </c>
      <c r="NS44" s="77">
        <f t="shared" si="247"/>
        <v>0</v>
      </c>
      <c r="NT44" s="77">
        <f t="shared" si="247"/>
        <v>0</v>
      </c>
      <c r="NU44" s="77">
        <f t="shared" si="247"/>
        <v>0</v>
      </c>
      <c r="NV44" s="77">
        <f t="shared" si="247"/>
        <v>0</v>
      </c>
      <c r="NW44" s="77">
        <f t="shared" si="247"/>
        <v>0</v>
      </c>
      <c r="NX44" s="10"/>
    </row>
    <row r="45" spans="2:388" x14ac:dyDescent="0.3">
      <c r="B45" s="18"/>
      <c r="C45" s="18"/>
      <c r="D45" s="18"/>
      <c r="E45" s="19"/>
      <c r="F45" s="19"/>
      <c r="G45" s="19"/>
      <c r="H45" s="19"/>
      <c r="I45" s="19"/>
      <c r="J45" s="23"/>
      <c r="K45" s="29"/>
      <c r="L45" s="23"/>
      <c r="S45" s="6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70"/>
      <c r="GT45" s="71"/>
      <c r="GU45" s="71"/>
      <c r="GV45" s="71"/>
      <c r="GW45" s="71"/>
      <c r="GX45" s="71"/>
      <c r="GY45" s="71"/>
      <c r="GZ45" s="71"/>
      <c r="HA45" s="71"/>
      <c r="HB45" s="71"/>
      <c r="HC45" s="71"/>
      <c r="HD45" s="71"/>
      <c r="HE45" s="71"/>
      <c r="HF45" s="71"/>
      <c r="HG45" s="71"/>
      <c r="HH45" s="71"/>
      <c r="HI45" s="71"/>
      <c r="HJ45" s="71"/>
      <c r="HK45" s="71"/>
      <c r="HL45" s="71"/>
      <c r="HM45" s="71"/>
      <c r="HN45" s="71"/>
      <c r="HO45" s="71"/>
      <c r="HP45" s="71"/>
      <c r="HQ45" s="71"/>
      <c r="HR45" s="71"/>
      <c r="HS45" s="71"/>
      <c r="HT45" s="71"/>
      <c r="HU45" s="71"/>
      <c r="HV45" s="71"/>
      <c r="HW45" s="71"/>
      <c r="HX45" s="71"/>
      <c r="HY45" s="71"/>
      <c r="HZ45" s="71"/>
      <c r="IA45" s="71"/>
      <c r="IB45" s="71"/>
      <c r="IC45" s="71"/>
      <c r="ID45" s="71"/>
      <c r="IE45" s="71"/>
      <c r="IF45" s="71"/>
      <c r="IG45" s="71"/>
      <c r="IH45" s="71"/>
      <c r="II45" s="71"/>
      <c r="IJ45" s="71"/>
      <c r="IK45" s="71"/>
      <c r="IL45" s="71"/>
      <c r="IM45" s="71"/>
      <c r="IN45" s="71"/>
      <c r="IO45" s="71"/>
      <c r="IP45" s="71"/>
      <c r="IQ45" s="71"/>
      <c r="IR45" s="71"/>
      <c r="IS45" s="71"/>
      <c r="IT45" s="71"/>
      <c r="IU45" s="71"/>
      <c r="IV45" s="71"/>
      <c r="IW45" s="71"/>
      <c r="IX45" s="71"/>
      <c r="IY45" s="71"/>
      <c r="IZ45" s="71"/>
      <c r="JA45" s="71"/>
      <c r="JB45" s="71"/>
      <c r="JC45" s="71"/>
      <c r="JD45" s="71"/>
      <c r="JE45" s="71"/>
      <c r="JF45" s="71"/>
      <c r="JG45" s="71"/>
      <c r="JH45" s="71"/>
      <c r="JI45" s="71"/>
      <c r="JJ45" s="71"/>
      <c r="JK45" s="71"/>
      <c r="JL45" s="71"/>
      <c r="JM45" s="71"/>
      <c r="JN45" s="71"/>
      <c r="JO45" s="71"/>
      <c r="JP45" s="71"/>
      <c r="JQ45" s="71"/>
      <c r="JR45" s="71"/>
      <c r="JS45" s="71"/>
      <c r="JT45" s="71"/>
      <c r="JU45" s="71"/>
      <c r="JV45" s="71"/>
      <c r="JW45" s="71"/>
      <c r="JX45" s="71"/>
      <c r="JY45" s="71"/>
      <c r="JZ45" s="71"/>
      <c r="KA45" s="71"/>
      <c r="KB45" s="71"/>
      <c r="KC45" s="71"/>
      <c r="KD45" s="71"/>
      <c r="KE45" s="71"/>
      <c r="KF45" s="71"/>
      <c r="KG45" s="71"/>
      <c r="KH45" s="71"/>
      <c r="KI45" s="71"/>
      <c r="KJ45" s="71"/>
      <c r="KK45" s="71"/>
      <c r="KL45" s="71"/>
      <c r="KM45" s="71"/>
      <c r="KN45" s="71"/>
      <c r="KO45" s="71"/>
      <c r="KP45" s="71"/>
      <c r="KQ45" s="71"/>
      <c r="KR45" s="71"/>
      <c r="KS45" s="71"/>
      <c r="KT45" s="71"/>
      <c r="KU45" s="71"/>
      <c r="KV45" s="71"/>
      <c r="KW45" s="71"/>
      <c r="KX45" s="71"/>
      <c r="KY45" s="71"/>
      <c r="KZ45" s="71"/>
      <c r="LA45" s="71"/>
      <c r="LB45" s="71"/>
      <c r="LC45" s="71"/>
      <c r="LD45" s="71"/>
      <c r="LE45" s="71"/>
      <c r="LF45" s="71"/>
      <c r="LG45" s="71"/>
      <c r="LH45" s="71"/>
      <c r="LI45" s="71"/>
      <c r="LJ45" s="71"/>
      <c r="LK45" s="71"/>
      <c r="LL45" s="71"/>
      <c r="LM45" s="71"/>
      <c r="LN45" s="71"/>
      <c r="LO45" s="71"/>
      <c r="LP45" s="71"/>
      <c r="LQ45" s="71"/>
      <c r="LR45" s="71"/>
      <c r="LS45" s="71"/>
      <c r="LT45" s="71"/>
      <c r="LU45" s="71"/>
      <c r="LV45" s="71"/>
      <c r="LW45" s="71"/>
      <c r="LX45" s="71"/>
      <c r="LY45" s="71"/>
      <c r="LZ45" s="71"/>
      <c r="MA45" s="71"/>
      <c r="MB45" s="71"/>
      <c r="MC45" s="71"/>
      <c r="MD45" s="71"/>
      <c r="ME45" s="71"/>
      <c r="MF45" s="71"/>
      <c r="MG45" s="71"/>
      <c r="MH45" s="71"/>
      <c r="MI45" s="71"/>
      <c r="MJ45" s="71"/>
      <c r="MK45" s="71"/>
      <c r="ML45" s="71"/>
      <c r="MM45" s="71"/>
      <c r="MN45" s="71"/>
      <c r="MO45" s="71"/>
      <c r="MP45" s="71"/>
      <c r="MQ45" s="71"/>
      <c r="MR45" s="71"/>
      <c r="MS45" s="71"/>
      <c r="MT45" s="71"/>
      <c r="MU45" s="71"/>
      <c r="MV45" s="71"/>
      <c r="MW45" s="71"/>
      <c r="MX45" s="71"/>
      <c r="MY45" s="71"/>
      <c r="MZ45" s="71"/>
      <c r="NA45" s="71"/>
      <c r="NB45" s="71"/>
      <c r="NC45" s="71"/>
      <c r="ND45" s="71"/>
      <c r="NE45" s="71"/>
      <c r="NF45" s="71"/>
      <c r="NG45" s="71"/>
      <c r="NH45" s="71"/>
      <c r="NI45" s="71"/>
      <c r="NJ45" s="71"/>
      <c r="NK45" s="71"/>
      <c r="NL45" s="71"/>
      <c r="NM45" s="71"/>
      <c r="NN45" s="71"/>
      <c r="NO45" s="71"/>
      <c r="NP45" s="71"/>
      <c r="NQ45" s="71"/>
      <c r="NR45" s="71"/>
      <c r="NS45" s="71"/>
      <c r="NT45" s="71"/>
      <c r="NU45" s="71"/>
      <c r="NV45" s="71"/>
      <c r="NW45" s="71"/>
      <c r="NX45" s="10"/>
    </row>
    <row r="46" spans="2:388" ht="15.5" x14ac:dyDescent="0.45">
      <c r="B46" s="18" t="s">
        <v>222</v>
      </c>
      <c r="C46" s="18"/>
      <c r="D46" s="18"/>
      <c r="E46" s="34">
        <f>MIN(E44,E35,E27,E19)</f>
        <v>1</v>
      </c>
      <c r="F46" s="34">
        <f>MAX(F44,F35,F27,F19)</f>
        <v>38</v>
      </c>
      <c r="G46" s="19"/>
      <c r="H46" s="28">
        <f>F46-E46+1</f>
        <v>38</v>
      </c>
      <c r="I46" s="19"/>
      <c r="J46" s="23">
        <f>L46/$L$8</f>
        <v>47093.478260869568</v>
      </c>
      <c r="K46" s="29">
        <f>L46/$L$7</f>
        <v>6.2249999999999996</v>
      </c>
      <c r="L46" s="23">
        <f>L44+L35+L27+L19</f>
        <v>10831500</v>
      </c>
      <c r="S46" s="69" t="str">
        <f>IF(ROUND(L46,0)=ROUND(SUM(T46:GQ46),0),"OK","ERROR")</f>
        <v>OK</v>
      </c>
      <c r="T46" s="14">
        <f t="shared" ref="T46:AY46" si="248">T44+T35+T27+T19</f>
        <v>2943418.585526316</v>
      </c>
      <c r="U46" s="14">
        <f t="shared" si="248"/>
        <v>85890.627011509554</v>
      </c>
      <c r="V46" s="14">
        <f t="shared" si="248"/>
        <v>91255.823555876836</v>
      </c>
      <c r="W46" s="14">
        <f t="shared" si="248"/>
        <v>99888.170850955968</v>
      </c>
      <c r="X46" s="14">
        <f t="shared" si="248"/>
        <v>113114.02021222032</v>
      </c>
      <c r="Y46" s="14">
        <f t="shared" si="248"/>
        <v>132387.58147376956</v>
      </c>
      <c r="Z46" s="14">
        <f t="shared" si="248"/>
        <v>159061.3003494427</v>
      </c>
      <c r="AA46" s="14">
        <f t="shared" si="248"/>
        <v>241661.94259224951</v>
      </c>
      <c r="AB46" s="14">
        <f t="shared" si="248"/>
        <v>249320.4918396665</v>
      </c>
      <c r="AC46" s="14">
        <f t="shared" si="248"/>
        <v>260685.53284439625</v>
      </c>
      <c r="AD46" s="14">
        <f t="shared" si="248"/>
        <v>315954.30016837636</v>
      </c>
      <c r="AE46" s="14">
        <f t="shared" si="248"/>
        <v>371881.33070336544</v>
      </c>
      <c r="AF46" s="14">
        <f t="shared" si="248"/>
        <v>423441.08920777583</v>
      </c>
      <c r="AG46" s="14">
        <f t="shared" si="248"/>
        <v>465277.83944521204</v>
      </c>
      <c r="AH46" s="14">
        <f t="shared" si="248"/>
        <v>492606.97460704664</v>
      </c>
      <c r="AI46" s="14">
        <f t="shared" si="248"/>
        <v>502112.21204171277</v>
      </c>
      <c r="AJ46" s="14">
        <f t="shared" si="248"/>
        <v>492606.97460704693</v>
      </c>
      <c r="AK46" s="14">
        <f t="shared" si="248"/>
        <v>465277.83944521175</v>
      </c>
      <c r="AL46" s="14">
        <f t="shared" si="248"/>
        <v>423441.08920777566</v>
      </c>
      <c r="AM46" s="14">
        <f t="shared" si="248"/>
        <v>426881.33070336562</v>
      </c>
      <c r="AN46" s="14">
        <f t="shared" si="248"/>
        <v>370954.30016837624</v>
      </c>
      <c r="AO46" s="14">
        <f t="shared" si="248"/>
        <v>315685.53284439631</v>
      </c>
      <c r="AP46" s="14">
        <f t="shared" si="248"/>
        <v>265070.49183966639</v>
      </c>
      <c r="AQ46" s="14">
        <f t="shared" si="248"/>
        <v>221697.65687796433</v>
      </c>
      <c r="AR46" s="14">
        <f t="shared" si="248"/>
        <v>175351.27599879279</v>
      </c>
      <c r="AS46" s="14">
        <f t="shared" si="248"/>
        <v>148677.55712312032</v>
      </c>
      <c r="AT46" s="14">
        <f t="shared" si="248"/>
        <v>129403.99586157137</v>
      </c>
      <c r="AU46" s="14">
        <f t="shared" si="248"/>
        <v>116178.14650030635</v>
      </c>
      <c r="AV46" s="14">
        <f t="shared" si="248"/>
        <v>52545.799205227355</v>
      </c>
      <c r="AW46" s="14">
        <f t="shared" si="248"/>
        <v>38816.966297223873</v>
      </c>
      <c r="AX46" s="14">
        <f t="shared" si="248"/>
        <v>31926.295468400731</v>
      </c>
      <c r="AY46" s="14">
        <f t="shared" si="248"/>
        <v>31926.295468400731</v>
      </c>
      <c r="AZ46" s="14">
        <f t="shared" ref="AZ46:CE46" si="249">AZ44+AZ35+AZ27+AZ19</f>
        <v>31926.295468400731</v>
      </c>
      <c r="BA46" s="14">
        <f t="shared" si="249"/>
        <v>31926.295468400731</v>
      </c>
      <c r="BB46" s="14">
        <f t="shared" si="249"/>
        <v>31926.295468400731</v>
      </c>
      <c r="BC46" s="14">
        <f t="shared" si="249"/>
        <v>31926.295468400731</v>
      </c>
      <c r="BD46" s="14">
        <f t="shared" si="249"/>
        <v>24697.724039829303</v>
      </c>
      <c r="BE46" s="14">
        <f t="shared" si="249"/>
        <v>24697.724039829303</v>
      </c>
      <c r="BF46" s="14">
        <f t="shared" si="249"/>
        <v>0</v>
      </c>
      <c r="BG46" s="14">
        <f t="shared" si="249"/>
        <v>0</v>
      </c>
      <c r="BH46" s="14">
        <f t="shared" si="249"/>
        <v>0</v>
      </c>
      <c r="BI46" s="14">
        <f t="shared" si="249"/>
        <v>0</v>
      </c>
      <c r="BJ46" s="14">
        <f t="shared" si="249"/>
        <v>0</v>
      </c>
      <c r="BK46" s="14">
        <f t="shared" si="249"/>
        <v>0</v>
      </c>
      <c r="BL46" s="14">
        <f t="shared" si="249"/>
        <v>0</v>
      </c>
      <c r="BM46" s="14">
        <f t="shared" si="249"/>
        <v>0</v>
      </c>
      <c r="BN46" s="14">
        <f t="shared" si="249"/>
        <v>0</v>
      </c>
      <c r="BO46" s="14">
        <f t="shared" si="249"/>
        <v>0</v>
      </c>
      <c r="BP46" s="14">
        <f t="shared" si="249"/>
        <v>0</v>
      </c>
      <c r="BQ46" s="14">
        <f t="shared" si="249"/>
        <v>0</v>
      </c>
      <c r="BR46" s="14">
        <f t="shared" si="249"/>
        <v>0</v>
      </c>
      <c r="BS46" s="14">
        <f t="shared" si="249"/>
        <v>0</v>
      </c>
      <c r="BT46" s="14">
        <f t="shared" si="249"/>
        <v>0</v>
      </c>
      <c r="BU46" s="14">
        <f t="shared" si="249"/>
        <v>0</v>
      </c>
      <c r="BV46" s="14">
        <f t="shared" si="249"/>
        <v>0</v>
      </c>
      <c r="BW46" s="14">
        <f t="shared" si="249"/>
        <v>0</v>
      </c>
      <c r="BX46" s="14">
        <f t="shared" si="249"/>
        <v>0</v>
      </c>
      <c r="BY46" s="14">
        <f t="shared" si="249"/>
        <v>0</v>
      </c>
      <c r="BZ46" s="14">
        <f t="shared" si="249"/>
        <v>0</v>
      </c>
      <c r="CA46" s="14">
        <f t="shared" si="249"/>
        <v>0</v>
      </c>
      <c r="CB46" s="14">
        <f t="shared" si="249"/>
        <v>0</v>
      </c>
      <c r="CC46" s="14">
        <f t="shared" si="249"/>
        <v>0</v>
      </c>
      <c r="CD46" s="14">
        <f t="shared" si="249"/>
        <v>0</v>
      </c>
      <c r="CE46" s="14">
        <f t="shared" si="249"/>
        <v>0</v>
      </c>
      <c r="CF46" s="14">
        <f t="shared" ref="CF46:DK46" si="250">CF44+CF35+CF27+CF19</f>
        <v>0</v>
      </c>
      <c r="CG46" s="14">
        <f t="shared" si="250"/>
        <v>0</v>
      </c>
      <c r="CH46" s="14">
        <f t="shared" si="250"/>
        <v>0</v>
      </c>
      <c r="CI46" s="14">
        <f t="shared" si="250"/>
        <v>0</v>
      </c>
      <c r="CJ46" s="14">
        <f t="shared" si="250"/>
        <v>0</v>
      </c>
      <c r="CK46" s="14">
        <f t="shared" si="250"/>
        <v>0</v>
      </c>
      <c r="CL46" s="14">
        <f t="shared" si="250"/>
        <v>0</v>
      </c>
      <c r="CM46" s="14">
        <f t="shared" si="250"/>
        <v>0</v>
      </c>
      <c r="CN46" s="14">
        <f t="shared" si="250"/>
        <v>0</v>
      </c>
      <c r="CO46" s="14">
        <f t="shared" si="250"/>
        <v>0</v>
      </c>
      <c r="CP46" s="14">
        <f t="shared" si="250"/>
        <v>0</v>
      </c>
      <c r="CQ46" s="14">
        <f t="shared" si="250"/>
        <v>0</v>
      </c>
      <c r="CR46" s="14">
        <f t="shared" si="250"/>
        <v>0</v>
      </c>
      <c r="CS46" s="14">
        <f t="shared" si="250"/>
        <v>0</v>
      </c>
      <c r="CT46" s="14">
        <f t="shared" si="250"/>
        <v>0</v>
      </c>
      <c r="CU46" s="14">
        <f t="shared" si="250"/>
        <v>0</v>
      </c>
      <c r="CV46" s="14">
        <f t="shared" si="250"/>
        <v>0</v>
      </c>
      <c r="CW46" s="14">
        <f t="shared" si="250"/>
        <v>0</v>
      </c>
      <c r="CX46" s="14">
        <f t="shared" si="250"/>
        <v>0</v>
      </c>
      <c r="CY46" s="14">
        <f t="shared" si="250"/>
        <v>0</v>
      </c>
      <c r="CZ46" s="14">
        <f t="shared" si="250"/>
        <v>0</v>
      </c>
      <c r="DA46" s="14">
        <f t="shared" si="250"/>
        <v>0</v>
      </c>
      <c r="DB46" s="14">
        <f t="shared" si="250"/>
        <v>0</v>
      </c>
      <c r="DC46" s="14">
        <f t="shared" si="250"/>
        <v>0</v>
      </c>
      <c r="DD46" s="14">
        <f t="shared" si="250"/>
        <v>0</v>
      </c>
      <c r="DE46" s="14">
        <f t="shared" si="250"/>
        <v>0</v>
      </c>
      <c r="DF46" s="14">
        <f t="shared" si="250"/>
        <v>0</v>
      </c>
      <c r="DG46" s="14">
        <f t="shared" si="250"/>
        <v>0</v>
      </c>
      <c r="DH46" s="14">
        <f t="shared" si="250"/>
        <v>0</v>
      </c>
      <c r="DI46" s="14">
        <f t="shared" si="250"/>
        <v>0</v>
      </c>
      <c r="DJ46" s="14">
        <f t="shared" si="250"/>
        <v>0</v>
      </c>
      <c r="DK46" s="14">
        <f t="shared" si="250"/>
        <v>0</v>
      </c>
      <c r="DL46" s="14">
        <f t="shared" ref="DL46:EQ46" si="251">DL44+DL35+DL27+DL19</f>
        <v>0</v>
      </c>
      <c r="DM46" s="14">
        <f t="shared" si="251"/>
        <v>0</v>
      </c>
      <c r="DN46" s="14">
        <f t="shared" si="251"/>
        <v>0</v>
      </c>
      <c r="DO46" s="14">
        <f t="shared" si="251"/>
        <v>0</v>
      </c>
      <c r="DP46" s="14">
        <f t="shared" si="251"/>
        <v>0</v>
      </c>
      <c r="DQ46" s="14">
        <f t="shared" si="251"/>
        <v>0</v>
      </c>
      <c r="DR46" s="14">
        <f t="shared" si="251"/>
        <v>0</v>
      </c>
      <c r="DS46" s="14">
        <f t="shared" si="251"/>
        <v>0</v>
      </c>
      <c r="DT46" s="14">
        <f t="shared" si="251"/>
        <v>0</v>
      </c>
      <c r="DU46" s="14">
        <f t="shared" si="251"/>
        <v>0</v>
      </c>
      <c r="DV46" s="14">
        <f t="shared" si="251"/>
        <v>0</v>
      </c>
      <c r="DW46" s="14">
        <f t="shared" si="251"/>
        <v>0</v>
      </c>
      <c r="DX46" s="14">
        <f t="shared" si="251"/>
        <v>0</v>
      </c>
      <c r="DY46" s="14">
        <f t="shared" si="251"/>
        <v>0</v>
      </c>
      <c r="DZ46" s="14">
        <f t="shared" si="251"/>
        <v>0</v>
      </c>
      <c r="EA46" s="14">
        <f t="shared" si="251"/>
        <v>0</v>
      </c>
      <c r="EB46" s="14">
        <f t="shared" si="251"/>
        <v>0</v>
      </c>
      <c r="EC46" s="14">
        <f t="shared" si="251"/>
        <v>0</v>
      </c>
      <c r="ED46" s="14">
        <f t="shared" si="251"/>
        <v>0</v>
      </c>
      <c r="EE46" s="14">
        <f t="shared" si="251"/>
        <v>0</v>
      </c>
      <c r="EF46" s="14">
        <f t="shared" si="251"/>
        <v>0</v>
      </c>
      <c r="EG46" s="14">
        <f t="shared" si="251"/>
        <v>0</v>
      </c>
      <c r="EH46" s="14">
        <f t="shared" si="251"/>
        <v>0</v>
      </c>
      <c r="EI46" s="14">
        <f t="shared" si="251"/>
        <v>0</v>
      </c>
      <c r="EJ46" s="14">
        <f t="shared" si="251"/>
        <v>0</v>
      </c>
      <c r="EK46" s="14">
        <f t="shared" si="251"/>
        <v>0</v>
      </c>
      <c r="EL46" s="14">
        <f t="shared" si="251"/>
        <v>0</v>
      </c>
      <c r="EM46" s="14">
        <f t="shared" si="251"/>
        <v>0</v>
      </c>
      <c r="EN46" s="14">
        <f t="shared" si="251"/>
        <v>0</v>
      </c>
      <c r="EO46" s="14">
        <f t="shared" si="251"/>
        <v>0</v>
      </c>
      <c r="EP46" s="14">
        <f t="shared" si="251"/>
        <v>0</v>
      </c>
      <c r="EQ46" s="14">
        <f t="shared" si="251"/>
        <v>0</v>
      </c>
      <c r="ER46" s="14">
        <f t="shared" ref="ER46:FW46" si="252">ER44+ER35+ER27+ER19</f>
        <v>0</v>
      </c>
      <c r="ES46" s="14">
        <f t="shared" si="252"/>
        <v>0</v>
      </c>
      <c r="ET46" s="14">
        <f t="shared" si="252"/>
        <v>0</v>
      </c>
      <c r="EU46" s="14">
        <f t="shared" si="252"/>
        <v>0</v>
      </c>
      <c r="EV46" s="14">
        <f t="shared" si="252"/>
        <v>0</v>
      </c>
      <c r="EW46" s="14">
        <f t="shared" si="252"/>
        <v>0</v>
      </c>
      <c r="EX46" s="14">
        <f t="shared" si="252"/>
        <v>0</v>
      </c>
      <c r="EY46" s="14">
        <f t="shared" si="252"/>
        <v>0</v>
      </c>
      <c r="EZ46" s="14">
        <f t="shared" si="252"/>
        <v>0</v>
      </c>
      <c r="FA46" s="14">
        <f t="shared" si="252"/>
        <v>0</v>
      </c>
      <c r="FB46" s="14">
        <f t="shared" si="252"/>
        <v>0</v>
      </c>
      <c r="FC46" s="14">
        <f t="shared" si="252"/>
        <v>0</v>
      </c>
      <c r="FD46" s="14">
        <f t="shared" si="252"/>
        <v>0</v>
      </c>
      <c r="FE46" s="14">
        <f t="shared" si="252"/>
        <v>0</v>
      </c>
      <c r="FF46" s="14">
        <f t="shared" si="252"/>
        <v>0</v>
      </c>
      <c r="FG46" s="14">
        <f t="shared" si="252"/>
        <v>0</v>
      </c>
      <c r="FH46" s="14">
        <f t="shared" si="252"/>
        <v>0</v>
      </c>
      <c r="FI46" s="14">
        <f t="shared" si="252"/>
        <v>0</v>
      </c>
      <c r="FJ46" s="14">
        <f t="shared" si="252"/>
        <v>0</v>
      </c>
      <c r="FK46" s="14">
        <f t="shared" si="252"/>
        <v>0</v>
      </c>
      <c r="FL46" s="14">
        <f t="shared" si="252"/>
        <v>0</v>
      </c>
      <c r="FM46" s="14">
        <f t="shared" si="252"/>
        <v>0</v>
      </c>
      <c r="FN46" s="14">
        <f t="shared" si="252"/>
        <v>0</v>
      </c>
      <c r="FO46" s="14">
        <f t="shared" si="252"/>
        <v>0</v>
      </c>
      <c r="FP46" s="14">
        <f t="shared" si="252"/>
        <v>0</v>
      </c>
      <c r="FQ46" s="14">
        <f t="shared" si="252"/>
        <v>0</v>
      </c>
      <c r="FR46" s="14">
        <f t="shared" si="252"/>
        <v>0</v>
      </c>
      <c r="FS46" s="14">
        <f t="shared" si="252"/>
        <v>0</v>
      </c>
      <c r="FT46" s="14">
        <f t="shared" si="252"/>
        <v>0</v>
      </c>
      <c r="FU46" s="14">
        <f t="shared" si="252"/>
        <v>0</v>
      </c>
      <c r="FV46" s="14">
        <f t="shared" si="252"/>
        <v>0</v>
      </c>
      <c r="FW46" s="14">
        <f t="shared" si="252"/>
        <v>0</v>
      </c>
      <c r="FX46" s="14">
        <f t="shared" ref="FX46:GQ46" si="253">FX44+FX35+FX27+FX19</f>
        <v>0</v>
      </c>
      <c r="FY46" s="14">
        <f t="shared" si="253"/>
        <v>0</v>
      </c>
      <c r="FZ46" s="14">
        <f t="shared" si="253"/>
        <v>0</v>
      </c>
      <c r="GA46" s="14">
        <f t="shared" si="253"/>
        <v>0</v>
      </c>
      <c r="GB46" s="14">
        <f t="shared" si="253"/>
        <v>0</v>
      </c>
      <c r="GC46" s="14">
        <f t="shared" si="253"/>
        <v>0</v>
      </c>
      <c r="GD46" s="14">
        <f t="shared" si="253"/>
        <v>0</v>
      </c>
      <c r="GE46" s="14">
        <f t="shared" si="253"/>
        <v>0</v>
      </c>
      <c r="GF46" s="14">
        <f t="shared" si="253"/>
        <v>0</v>
      </c>
      <c r="GG46" s="14">
        <f t="shared" si="253"/>
        <v>0</v>
      </c>
      <c r="GH46" s="14">
        <f t="shared" si="253"/>
        <v>0</v>
      </c>
      <c r="GI46" s="14">
        <f t="shared" si="253"/>
        <v>0</v>
      </c>
      <c r="GJ46" s="14">
        <f t="shared" si="253"/>
        <v>0</v>
      </c>
      <c r="GK46" s="14">
        <f t="shared" si="253"/>
        <v>0</v>
      </c>
      <c r="GL46" s="14">
        <f t="shared" si="253"/>
        <v>0</v>
      </c>
      <c r="GM46" s="14">
        <f t="shared" si="253"/>
        <v>0</v>
      </c>
      <c r="GN46" s="14">
        <f t="shared" si="253"/>
        <v>0</v>
      </c>
      <c r="GO46" s="14">
        <f t="shared" si="253"/>
        <v>0</v>
      </c>
      <c r="GP46" s="14">
        <f t="shared" si="253"/>
        <v>0</v>
      </c>
      <c r="GQ46" s="14">
        <f t="shared" si="253"/>
        <v>0</v>
      </c>
      <c r="GR46" s="9"/>
      <c r="GS46" s="80" t="s">
        <v>223</v>
      </c>
      <c r="GT46" s="77"/>
      <c r="GU46" s="77"/>
      <c r="GV46" s="77"/>
      <c r="GW46" s="77"/>
      <c r="GX46" s="81" t="s">
        <v>224</v>
      </c>
      <c r="GY46" s="71"/>
      <c r="GZ46" s="82">
        <v>1</v>
      </c>
      <c r="HA46" s="82">
        <f t="shared" ref="HA46:IF46" si="254">GZ46+1</f>
        <v>2</v>
      </c>
      <c r="HB46" s="82">
        <f t="shared" si="254"/>
        <v>3</v>
      </c>
      <c r="HC46" s="82">
        <f t="shared" si="254"/>
        <v>4</v>
      </c>
      <c r="HD46" s="82">
        <f t="shared" si="254"/>
        <v>5</v>
      </c>
      <c r="HE46" s="82">
        <f t="shared" si="254"/>
        <v>6</v>
      </c>
      <c r="HF46" s="82">
        <f t="shared" si="254"/>
        <v>7</v>
      </c>
      <c r="HG46" s="82">
        <f t="shared" si="254"/>
        <v>8</v>
      </c>
      <c r="HH46" s="82">
        <f t="shared" si="254"/>
        <v>9</v>
      </c>
      <c r="HI46" s="82">
        <f t="shared" si="254"/>
        <v>10</v>
      </c>
      <c r="HJ46" s="82">
        <f t="shared" si="254"/>
        <v>11</v>
      </c>
      <c r="HK46" s="82">
        <f t="shared" si="254"/>
        <v>12</v>
      </c>
      <c r="HL46" s="82">
        <f t="shared" si="254"/>
        <v>13</v>
      </c>
      <c r="HM46" s="82">
        <f t="shared" si="254"/>
        <v>14</v>
      </c>
      <c r="HN46" s="82">
        <f t="shared" si="254"/>
        <v>15</v>
      </c>
      <c r="HO46" s="82">
        <f t="shared" si="254"/>
        <v>16</v>
      </c>
      <c r="HP46" s="82">
        <f t="shared" si="254"/>
        <v>17</v>
      </c>
      <c r="HQ46" s="82">
        <f t="shared" si="254"/>
        <v>18</v>
      </c>
      <c r="HR46" s="82">
        <f t="shared" si="254"/>
        <v>19</v>
      </c>
      <c r="HS46" s="82">
        <f t="shared" si="254"/>
        <v>20</v>
      </c>
      <c r="HT46" s="82">
        <f t="shared" si="254"/>
        <v>21</v>
      </c>
      <c r="HU46" s="82">
        <f t="shared" si="254"/>
        <v>22</v>
      </c>
      <c r="HV46" s="82">
        <f t="shared" si="254"/>
        <v>23</v>
      </c>
      <c r="HW46" s="82">
        <f t="shared" si="254"/>
        <v>24</v>
      </c>
      <c r="HX46" s="82">
        <f t="shared" si="254"/>
        <v>25</v>
      </c>
      <c r="HY46" s="82">
        <f t="shared" si="254"/>
        <v>26</v>
      </c>
      <c r="HZ46" s="82">
        <f t="shared" si="254"/>
        <v>27</v>
      </c>
      <c r="IA46" s="82">
        <f t="shared" si="254"/>
        <v>28</v>
      </c>
      <c r="IB46" s="82">
        <f t="shared" si="254"/>
        <v>29</v>
      </c>
      <c r="IC46" s="82">
        <f t="shared" si="254"/>
        <v>30</v>
      </c>
      <c r="ID46" s="82">
        <f t="shared" si="254"/>
        <v>31</v>
      </c>
      <c r="IE46" s="82">
        <f t="shared" si="254"/>
        <v>32</v>
      </c>
      <c r="IF46" s="82">
        <f t="shared" si="254"/>
        <v>33</v>
      </c>
      <c r="IG46" s="82">
        <f t="shared" ref="IG46:JL46" si="255">IF46+1</f>
        <v>34</v>
      </c>
      <c r="IH46" s="82">
        <f t="shared" si="255"/>
        <v>35</v>
      </c>
      <c r="II46" s="82">
        <f t="shared" si="255"/>
        <v>36</v>
      </c>
      <c r="IJ46" s="82">
        <f t="shared" si="255"/>
        <v>37</v>
      </c>
      <c r="IK46" s="82">
        <f t="shared" si="255"/>
        <v>38</v>
      </c>
      <c r="IL46" s="82">
        <f t="shared" si="255"/>
        <v>39</v>
      </c>
      <c r="IM46" s="82">
        <f t="shared" si="255"/>
        <v>40</v>
      </c>
      <c r="IN46" s="82">
        <f t="shared" si="255"/>
        <v>41</v>
      </c>
      <c r="IO46" s="82">
        <f t="shared" si="255"/>
        <v>42</v>
      </c>
      <c r="IP46" s="82">
        <f t="shared" si="255"/>
        <v>43</v>
      </c>
      <c r="IQ46" s="82">
        <f t="shared" si="255"/>
        <v>44</v>
      </c>
      <c r="IR46" s="82">
        <f t="shared" si="255"/>
        <v>45</v>
      </c>
      <c r="IS46" s="82">
        <f t="shared" si="255"/>
        <v>46</v>
      </c>
      <c r="IT46" s="82">
        <f t="shared" si="255"/>
        <v>47</v>
      </c>
      <c r="IU46" s="82">
        <f t="shared" si="255"/>
        <v>48</v>
      </c>
      <c r="IV46" s="82">
        <f t="shared" si="255"/>
        <v>49</v>
      </c>
      <c r="IW46" s="82">
        <f t="shared" si="255"/>
        <v>50</v>
      </c>
      <c r="IX46" s="82">
        <f t="shared" si="255"/>
        <v>51</v>
      </c>
      <c r="IY46" s="82">
        <f t="shared" si="255"/>
        <v>52</v>
      </c>
      <c r="IZ46" s="82">
        <f t="shared" si="255"/>
        <v>53</v>
      </c>
      <c r="JA46" s="82">
        <f t="shared" si="255"/>
        <v>54</v>
      </c>
      <c r="JB46" s="82">
        <f t="shared" si="255"/>
        <v>55</v>
      </c>
      <c r="JC46" s="82">
        <f t="shared" si="255"/>
        <v>56</v>
      </c>
      <c r="JD46" s="82">
        <f t="shared" si="255"/>
        <v>57</v>
      </c>
      <c r="JE46" s="82">
        <f t="shared" si="255"/>
        <v>58</v>
      </c>
      <c r="JF46" s="82">
        <f t="shared" si="255"/>
        <v>59</v>
      </c>
      <c r="JG46" s="82">
        <f t="shared" si="255"/>
        <v>60</v>
      </c>
      <c r="JH46" s="82">
        <f t="shared" si="255"/>
        <v>61</v>
      </c>
      <c r="JI46" s="82">
        <f t="shared" si="255"/>
        <v>62</v>
      </c>
      <c r="JJ46" s="82">
        <f t="shared" si="255"/>
        <v>63</v>
      </c>
      <c r="JK46" s="82">
        <f t="shared" si="255"/>
        <v>64</v>
      </c>
      <c r="JL46" s="82">
        <f t="shared" si="255"/>
        <v>65</v>
      </c>
      <c r="JM46" s="82">
        <f t="shared" ref="JM46:KR46" si="256">JL46+1</f>
        <v>66</v>
      </c>
      <c r="JN46" s="82">
        <f t="shared" si="256"/>
        <v>67</v>
      </c>
      <c r="JO46" s="82">
        <f t="shared" si="256"/>
        <v>68</v>
      </c>
      <c r="JP46" s="82">
        <f t="shared" si="256"/>
        <v>69</v>
      </c>
      <c r="JQ46" s="82">
        <f t="shared" si="256"/>
        <v>70</v>
      </c>
      <c r="JR46" s="82">
        <f t="shared" si="256"/>
        <v>71</v>
      </c>
      <c r="JS46" s="82">
        <f t="shared" si="256"/>
        <v>72</v>
      </c>
      <c r="JT46" s="82">
        <f t="shared" si="256"/>
        <v>73</v>
      </c>
      <c r="JU46" s="82">
        <f t="shared" si="256"/>
        <v>74</v>
      </c>
      <c r="JV46" s="82">
        <f t="shared" si="256"/>
        <v>75</v>
      </c>
      <c r="JW46" s="82">
        <f t="shared" si="256"/>
        <v>76</v>
      </c>
      <c r="JX46" s="82">
        <f t="shared" si="256"/>
        <v>77</v>
      </c>
      <c r="JY46" s="82">
        <f t="shared" si="256"/>
        <v>78</v>
      </c>
      <c r="JZ46" s="82">
        <f t="shared" si="256"/>
        <v>79</v>
      </c>
      <c r="KA46" s="82">
        <f t="shared" si="256"/>
        <v>80</v>
      </c>
      <c r="KB46" s="82">
        <f t="shared" si="256"/>
        <v>81</v>
      </c>
      <c r="KC46" s="82">
        <f t="shared" si="256"/>
        <v>82</v>
      </c>
      <c r="KD46" s="82">
        <f t="shared" si="256"/>
        <v>83</v>
      </c>
      <c r="KE46" s="82">
        <f t="shared" si="256"/>
        <v>84</v>
      </c>
      <c r="KF46" s="82">
        <f t="shared" si="256"/>
        <v>85</v>
      </c>
      <c r="KG46" s="82">
        <f t="shared" si="256"/>
        <v>86</v>
      </c>
      <c r="KH46" s="82">
        <f t="shared" si="256"/>
        <v>87</v>
      </c>
      <c r="KI46" s="82">
        <f t="shared" si="256"/>
        <v>88</v>
      </c>
      <c r="KJ46" s="82">
        <f t="shared" si="256"/>
        <v>89</v>
      </c>
      <c r="KK46" s="82">
        <f t="shared" si="256"/>
        <v>90</v>
      </c>
      <c r="KL46" s="82">
        <f t="shared" si="256"/>
        <v>91</v>
      </c>
      <c r="KM46" s="82">
        <f t="shared" si="256"/>
        <v>92</v>
      </c>
      <c r="KN46" s="82">
        <f t="shared" si="256"/>
        <v>93</v>
      </c>
      <c r="KO46" s="82">
        <f t="shared" si="256"/>
        <v>94</v>
      </c>
      <c r="KP46" s="82">
        <f t="shared" si="256"/>
        <v>95</v>
      </c>
      <c r="KQ46" s="82">
        <f t="shared" si="256"/>
        <v>96</v>
      </c>
      <c r="KR46" s="82">
        <f t="shared" si="256"/>
        <v>97</v>
      </c>
      <c r="KS46" s="82">
        <f t="shared" ref="KS46:LX46" si="257">KR46+1</f>
        <v>98</v>
      </c>
      <c r="KT46" s="82">
        <f t="shared" si="257"/>
        <v>99</v>
      </c>
      <c r="KU46" s="82">
        <f t="shared" si="257"/>
        <v>100</v>
      </c>
      <c r="KV46" s="82">
        <f t="shared" si="257"/>
        <v>101</v>
      </c>
      <c r="KW46" s="82">
        <f t="shared" si="257"/>
        <v>102</v>
      </c>
      <c r="KX46" s="82">
        <f t="shared" si="257"/>
        <v>103</v>
      </c>
      <c r="KY46" s="82">
        <f t="shared" si="257"/>
        <v>104</v>
      </c>
      <c r="KZ46" s="82">
        <f t="shared" si="257"/>
        <v>105</v>
      </c>
      <c r="LA46" s="82">
        <f t="shared" si="257"/>
        <v>106</v>
      </c>
      <c r="LB46" s="82">
        <f t="shared" si="257"/>
        <v>107</v>
      </c>
      <c r="LC46" s="82">
        <f t="shared" si="257"/>
        <v>108</v>
      </c>
      <c r="LD46" s="82">
        <f t="shared" si="257"/>
        <v>109</v>
      </c>
      <c r="LE46" s="82">
        <f t="shared" si="257"/>
        <v>110</v>
      </c>
      <c r="LF46" s="82">
        <f t="shared" si="257"/>
        <v>111</v>
      </c>
      <c r="LG46" s="82">
        <f t="shared" si="257"/>
        <v>112</v>
      </c>
      <c r="LH46" s="82">
        <f t="shared" si="257"/>
        <v>113</v>
      </c>
      <c r="LI46" s="82">
        <f t="shared" si="257"/>
        <v>114</v>
      </c>
      <c r="LJ46" s="82">
        <f t="shared" si="257"/>
        <v>115</v>
      </c>
      <c r="LK46" s="82">
        <f t="shared" si="257"/>
        <v>116</v>
      </c>
      <c r="LL46" s="82">
        <f t="shared" si="257"/>
        <v>117</v>
      </c>
      <c r="LM46" s="82">
        <f t="shared" si="257"/>
        <v>118</v>
      </c>
      <c r="LN46" s="82">
        <f t="shared" si="257"/>
        <v>119</v>
      </c>
      <c r="LO46" s="82">
        <f t="shared" si="257"/>
        <v>120</v>
      </c>
      <c r="LP46" s="82">
        <f t="shared" si="257"/>
        <v>121</v>
      </c>
      <c r="LQ46" s="82">
        <f t="shared" si="257"/>
        <v>122</v>
      </c>
      <c r="LR46" s="82">
        <f t="shared" si="257"/>
        <v>123</v>
      </c>
      <c r="LS46" s="82">
        <f t="shared" si="257"/>
        <v>124</v>
      </c>
      <c r="LT46" s="82">
        <f t="shared" si="257"/>
        <v>125</v>
      </c>
      <c r="LU46" s="82">
        <f t="shared" si="257"/>
        <v>126</v>
      </c>
      <c r="LV46" s="82">
        <f t="shared" si="257"/>
        <v>127</v>
      </c>
      <c r="LW46" s="82">
        <f t="shared" si="257"/>
        <v>128</v>
      </c>
      <c r="LX46" s="82">
        <f t="shared" si="257"/>
        <v>129</v>
      </c>
      <c r="LY46" s="82">
        <f t="shared" ref="LY46:ND46" si="258">LX46+1</f>
        <v>130</v>
      </c>
      <c r="LZ46" s="82">
        <f t="shared" si="258"/>
        <v>131</v>
      </c>
      <c r="MA46" s="82">
        <f t="shared" si="258"/>
        <v>132</v>
      </c>
      <c r="MB46" s="82">
        <f t="shared" si="258"/>
        <v>133</v>
      </c>
      <c r="MC46" s="82">
        <f t="shared" si="258"/>
        <v>134</v>
      </c>
      <c r="MD46" s="82">
        <f t="shared" si="258"/>
        <v>135</v>
      </c>
      <c r="ME46" s="82">
        <f t="shared" si="258"/>
        <v>136</v>
      </c>
      <c r="MF46" s="82">
        <f t="shared" si="258"/>
        <v>137</v>
      </c>
      <c r="MG46" s="82">
        <f t="shared" si="258"/>
        <v>138</v>
      </c>
      <c r="MH46" s="82">
        <f t="shared" si="258"/>
        <v>139</v>
      </c>
      <c r="MI46" s="82">
        <f t="shared" si="258"/>
        <v>140</v>
      </c>
      <c r="MJ46" s="82">
        <f t="shared" si="258"/>
        <v>141</v>
      </c>
      <c r="MK46" s="82">
        <f t="shared" si="258"/>
        <v>142</v>
      </c>
      <c r="ML46" s="82">
        <f t="shared" si="258"/>
        <v>143</v>
      </c>
      <c r="MM46" s="82">
        <f t="shared" si="258"/>
        <v>144</v>
      </c>
      <c r="MN46" s="82">
        <f t="shared" si="258"/>
        <v>145</v>
      </c>
      <c r="MO46" s="82">
        <f t="shared" si="258"/>
        <v>146</v>
      </c>
      <c r="MP46" s="82">
        <f t="shared" si="258"/>
        <v>147</v>
      </c>
      <c r="MQ46" s="82">
        <f t="shared" si="258"/>
        <v>148</v>
      </c>
      <c r="MR46" s="82">
        <f t="shared" si="258"/>
        <v>149</v>
      </c>
      <c r="MS46" s="82">
        <f t="shared" si="258"/>
        <v>150</v>
      </c>
      <c r="MT46" s="82">
        <f t="shared" si="258"/>
        <v>151</v>
      </c>
      <c r="MU46" s="82">
        <f t="shared" si="258"/>
        <v>152</v>
      </c>
      <c r="MV46" s="82">
        <f t="shared" si="258"/>
        <v>153</v>
      </c>
      <c r="MW46" s="82">
        <f t="shared" si="258"/>
        <v>154</v>
      </c>
      <c r="MX46" s="82">
        <f t="shared" si="258"/>
        <v>155</v>
      </c>
      <c r="MY46" s="82">
        <f t="shared" si="258"/>
        <v>156</v>
      </c>
      <c r="MZ46" s="82">
        <f t="shared" si="258"/>
        <v>157</v>
      </c>
      <c r="NA46" s="82">
        <f t="shared" si="258"/>
        <v>158</v>
      </c>
      <c r="NB46" s="82">
        <f t="shared" si="258"/>
        <v>159</v>
      </c>
      <c r="NC46" s="82">
        <f t="shared" si="258"/>
        <v>160</v>
      </c>
      <c r="ND46" s="82">
        <f t="shared" si="258"/>
        <v>161</v>
      </c>
      <c r="NE46" s="82">
        <f t="shared" ref="NE46:NW46" si="259">ND46+1</f>
        <v>162</v>
      </c>
      <c r="NF46" s="82">
        <f t="shared" si="259"/>
        <v>163</v>
      </c>
      <c r="NG46" s="82">
        <f t="shared" si="259"/>
        <v>164</v>
      </c>
      <c r="NH46" s="82">
        <f t="shared" si="259"/>
        <v>165</v>
      </c>
      <c r="NI46" s="82">
        <f t="shared" si="259"/>
        <v>166</v>
      </c>
      <c r="NJ46" s="82">
        <f t="shared" si="259"/>
        <v>167</v>
      </c>
      <c r="NK46" s="82">
        <f t="shared" si="259"/>
        <v>168</v>
      </c>
      <c r="NL46" s="82">
        <f t="shared" si="259"/>
        <v>169</v>
      </c>
      <c r="NM46" s="82">
        <f t="shared" si="259"/>
        <v>170</v>
      </c>
      <c r="NN46" s="82">
        <f t="shared" si="259"/>
        <v>171</v>
      </c>
      <c r="NO46" s="82">
        <f t="shared" si="259"/>
        <v>172</v>
      </c>
      <c r="NP46" s="82">
        <f t="shared" si="259"/>
        <v>173</v>
      </c>
      <c r="NQ46" s="82">
        <f t="shared" si="259"/>
        <v>174</v>
      </c>
      <c r="NR46" s="82">
        <f t="shared" si="259"/>
        <v>175</v>
      </c>
      <c r="NS46" s="82">
        <f t="shared" si="259"/>
        <v>176</v>
      </c>
      <c r="NT46" s="82">
        <f t="shared" si="259"/>
        <v>177</v>
      </c>
      <c r="NU46" s="82">
        <f t="shared" si="259"/>
        <v>178</v>
      </c>
      <c r="NV46" s="82">
        <f t="shared" si="259"/>
        <v>179</v>
      </c>
      <c r="NW46" s="82">
        <f t="shared" si="259"/>
        <v>180</v>
      </c>
    </row>
    <row r="47" spans="2:388" x14ac:dyDescent="0.3">
      <c r="B47" s="18"/>
      <c r="C47" s="18"/>
      <c r="D47" s="18"/>
      <c r="E47" s="19"/>
      <c r="F47" s="19"/>
      <c r="G47" s="19"/>
      <c r="H47" s="19"/>
      <c r="I47" s="19"/>
      <c r="J47" s="23"/>
      <c r="K47" s="29"/>
      <c r="L47" s="23"/>
      <c r="GS47" s="80" t="s">
        <v>225</v>
      </c>
      <c r="GT47" s="77"/>
      <c r="GU47" s="77"/>
      <c r="GV47" s="77"/>
      <c r="GW47" s="77"/>
      <c r="GX47" s="77">
        <f>SUM(GZ47:NW47)</f>
        <v>10831500.000000002</v>
      </c>
      <c r="GY47" s="71"/>
      <c r="GZ47" s="77">
        <f t="shared" ref="GZ47:IE47" si="260">T46</f>
        <v>2943418.585526316</v>
      </c>
      <c r="HA47" s="77">
        <f t="shared" si="260"/>
        <v>85890.627011509554</v>
      </c>
      <c r="HB47" s="77">
        <f t="shared" si="260"/>
        <v>91255.823555876836</v>
      </c>
      <c r="HC47" s="77">
        <f t="shared" si="260"/>
        <v>99888.170850955968</v>
      </c>
      <c r="HD47" s="77">
        <f t="shared" si="260"/>
        <v>113114.02021222032</v>
      </c>
      <c r="HE47" s="77">
        <f t="shared" si="260"/>
        <v>132387.58147376956</v>
      </c>
      <c r="HF47" s="77">
        <f t="shared" si="260"/>
        <v>159061.3003494427</v>
      </c>
      <c r="HG47" s="77">
        <f t="shared" si="260"/>
        <v>241661.94259224951</v>
      </c>
      <c r="HH47" s="77">
        <f t="shared" si="260"/>
        <v>249320.4918396665</v>
      </c>
      <c r="HI47" s="77">
        <f t="shared" si="260"/>
        <v>260685.53284439625</v>
      </c>
      <c r="HJ47" s="77">
        <f t="shared" si="260"/>
        <v>315954.30016837636</v>
      </c>
      <c r="HK47" s="77">
        <f t="shared" si="260"/>
        <v>371881.33070336544</v>
      </c>
      <c r="HL47" s="77">
        <f t="shared" si="260"/>
        <v>423441.08920777583</v>
      </c>
      <c r="HM47" s="77">
        <f t="shared" si="260"/>
        <v>465277.83944521204</v>
      </c>
      <c r="HN47" s="77">
        <f t="shared" si="260"/>
        <v>492606.97460704664</v>
      </c>
      <c r="HO47" s="77">
        <f t="shared" si="260"/>
        <v>502112.21204171277</v>
      </c>
      <c r="HP47" s="77">
        <f t="shared" si="260"/>
        <v>492606.97460704693</v>
      </c>
      <c r="HQ47" s="77">
        <f t="shared" si="260"/>
        <v>465277.83944521175</v>
      </c>
      <c r="HR47" s="77">
        <f t="shared" si="260"/>
        <v>423441.08920777566</v>
      </c>
      <c r="HS47" s="77">
        <f t="shared" si="260"/>
        <v>426881.33070336562</v>
      </c>
      <c r="HT47" s="77">
        <f t="shared" si="260"/>
        <v>370954.30016837624</v>
      </c>
      <c r="HU47" s="77">
        <f t="shared" si="260"/>
        <v>315685.53284439631</v>
      </c>
      <c r="HV47" s="77">
        <f t="shared" si="260"/>
        <v>265070.49183966639</v>
      </c>
      <c r="HW47" s="77">
        <f t="shared" si="260"/>
        <v>221697.65687796433</v>
      </c>
      <c r="HX47" s="77">
        <f t="shared" si="260"/>
        <v>175351.27599879279</v>
      </c>
      <c r="HY47" s="77">
        <f t="shared" si="260"/>
        <v>148677.55712312032</v>
      </c>
      <c r="HZ47" s="77">
        <f t="shared" si="260"/>
        <v>129403.99586157137</v>
      </c>
      <c r="IA47" s="77">
        <f t="shared" si="260"/>
        <v>116178.14650030635</v>
      </c>
      <c r="IB47" s="77">
        <f t="shared" si="260"/>
        <v>52545.799205227355</v>
      </c>
      <c r="IC47" s="77">
        <f t="shared" si="260"/>
        <v>38816.966297223873</v>
      </c>
      <c r="ID47" s="77">
        <f t="shared" si="260"/>
        <v>31926.295468400731</v>
      </c>
      <c r="IE47" s="77">
        <f t="shared" si="260"/>
        <v>31926.295468400731</v>
      </c>
      <c r="IF47" s="77">
        <f t="shared" ref="IF47:JK47" si="261">AZ46</f>
        <v>31926.295468400731</v>
      </c>
      <c r="IG47" s="77">
        <f t="shared" si="261"/>
        <v>31926.295468400731</v>
      </c>
      <c r="IH47" s="77">
        <f t="shared" si="261"/>
        <v>31926.295468400731</v>
      </c>
      <c r="II47" s="77">
        <f t="shared" si="261"/>
        <v>31926.295468400731</v>
      </c>
      <c r="IJ47" s="77">
        <f t="shared" si="261"/>
        <v>24697.724039829303</v>
      </c>
      <c r="IK47" s="77">
        <f t="shared" si="261"/>
        <v>24697.724039829303</v>
      </c>
      <c r="IL47" s="77">
        <f t="shared" si="261"/>
        <v>0</v>
      </c>
      <c r="IM47" s="77">
        <f t="shared" si="261"/>
        <v>0</v>
      </c>
      <c r="IN47" s="77">
        <f t="shared" si="261"/>
        <v>0</v>
      </c>
      <c r="IO47" s="77">
        <f t="shared" si="261"/>
        <v>0</v>
      </c>
      <c r="IP47" s="77">
        <f t="shared" si="261"/>
        <v>0</v>
      </c>
      <c r="IQ47" s="77">
        <f t="shared" si="261"/>
        <v>0</v>
      </c>
      <c r="IR47" s="77">
        <f t="shared" si="261"/>
        <v>0</v>
      </c>
      <c r="IS47" s="77">
        <f t="shared" si="261"/>
        <v>0</v>
      </c>
      <c r="IT47" s="77">
        <f t="shared" si="261"/>
        <v>0</v>
      </c>
      <c r="IU47" s="77">
        <f t="shared" si="261"/>
        <v>0</v>
      </c>
      <c r="IV47" s="77">
        <f t="shared" si="261"/>
        <v>0</v>
      </c>
      <c r="IW47" s="77">
        <f t="shared" si="261"/>
        <v>0</v>
      </c>
      <c r="IX47" s="77">
        <f t="shared" si="261"/>
        <v>0</v>
      </c>
      <c r="IY47" s="77">
        <f t="shared" si="261"/>
        <v>0</v>
      </c>
      <c r="IZ47" s="77">
        <f t="shared" si="261"/>
        <v>0</v>
      </c>
      <c r="JA47" s="77">
        <f t="shared" si="261"/>
        <v>0</v>
      </c>
      <c r="JB47" s="77">
        <f t="shared" si="261"/>
        <v>0</v>
      </c>
      <c r="JC47" s="77">
        <f t="shared" si="261"/>
        <v>0</v>
      </c>
      <c r="JD47" s="77">
        <f t="shared" si="261"/>
        <v>0</v>
      </c>
      <c r="JE47" s="77">
        <f t="shared" si="261"/>
        <v>0</v>
      </c>
      <c r="JF47" s="77">
        <f t="shared" si="261"/>
        <v>0</v>
      </c>
      <c r="JG47" s="77">
        <f t="shared" si="261"/>
        <v>0</v>
      </c>
      <c r="JH47" s="77">
        <f t="shared" si="261"/>
        <v>0</v>
      </c>
      <c r="JI47" s="77">
        <f t="shared" si="261"/>
        <v>0</v>
      </c>
      <c r="JJ47" s="77">
        <f t="shared" si="261"/>
        <v>0</v>
      </c>
      <c r="JK47" s="77">
        <f t="shared" si="261"/>
        <v>0</v>
      </c>
      <c r="JL47" s="77">
        <f t="shared" ref="JL47:KQ47" si="262">CF46</f>
        <v>0</v>
      </c>
      <c r="JM47" s="77">
        <f t="shared" si="262"/>
        <v>0</v>
      </c>
      <c r="JN47" s="77">
        <f t="shared" si="262"/>
        <v>0</v>
      </c>
      <c r="JO47" s="77">
        <f t="shared" si="262"/>
        <v>0</v>
      </c>
      <c r="JP47" s="77">
        <f t="shared" si="262"/>
        <v>0</v>
      </c>
      <c r="JQ47" s="77">
        <f t="shared" si="262"/>
        <v>0</v>
      </c>
      <c r="JR47" s="77">
        <f t="shared" si="262"/>
        <v>0</v>
      </c>
      <c r="JS47" s="77">
        <f t="shared" si="262"/>
        <v>0</v>
      </c>
      <c r="JT47" s="77">
        <f t="shared" si="262"/>
        <v>0</v>
      </c>
      <c r="JU47" s="77">
        <f t="shared" si="262"/>
        <v>0</v>
      </c>
      <c r="JV47" s="77">
        <f t="shared" si="262"/>
        <v>0</v>
      </c>
      <c r="JW47" s="77">
        <f t="shared" si="262"/>
        <v>0</v>
      </c>
      <c r="JX47" s="77">
        <f t="shared" si="262"/>
        <v>0</v>
      </c>
      <c r="JY47" s="77">
        <f t="shared" si="262"/>
        <v>0</v>
      </c>
      <c r="JZ47" s="77">
        <f t="shared" si="262"/>
        <v>0</v>
      </c>
      <c r="KA47" s="77">
        <f t="shared" si="262"/>
        <v>0</v>
      </c>
      <c r="KB47" s="77">
        <f t="shared" si="262"/>
        <v>0</v>
      </c>
      <c r="KC47" s="77">
        <f t="shared" si="262"/>
        <v>0</v>
      </c>
      <c r="KD47" s="77">
        <f t="shared" si="262"/>
        <v>0</v>
      </c>
      <c r="KE47" s="77">
        <f t="shared" si="262"/>
        <v>0</v>
      </c>
      <c r="KF47" s="77">
        <f t="shared" si="262"/>
        <v>0</v>
      </c>
      <c r="KG47" s="77">
        <f t="shared" si="262"/>
        <v>0</v>
      </c>
      <c r="KH47" s="77">
        <f t="shared" si="262"/>
        <v>0</v>
      </c>
      <c r="KI47" s="77">
        <f t="shared" si="262"/>
        <v>0</v>
      </c>
      <c r="KJ47" s="77">
        <f t="shared" si="262"/>
        <v>0</v>
      </c>
      <c r="KK47" s="77">
        <f t="shared" si="262"/>
        <v>0</v>
      </c>
      <c r="KL47" s="77">
        <f t="shared" si="262"/>
        <v>0</v>
      </c>
      <c r="KM47" s="77">
        <f t="shared" si="262"/>
        <v>0</v>
      </c>
      <c r="KN47" s="77">
        <f t="shared" si="262"/>
        <v>0</v>
      </c>
      <c r="KO47" s="77">
        <f t="shared" si="262"/>
        <v>0</v>
      </c>
      <c r="KP47" s="77">
        <f t="shared" si="262"/>
        <v>0</v>
      </c>
      <c r="KQ47" s="77">
        <f t="shared" si="262"/>
        <v>0</v>
      </c>
      <c r="KR47" s="77">
        <f t="shared" ref="KR47:LW47" si="263">DL46</f>
        <v>0</v>
      </c>
      <c r="KS47" s="77">
        <f t="shared" si="263"/>
        <v>0</v>
      </c>
      <c r="KT47" s="77">
        <f t="shared" si="263"/>
        <v>0</v>
      </c>
      <c r="KU47" s="77">
        <f t="shared" si="263"/>
        <v>0</v>
      </c>
      <c r="KV47" s="77">
        <f t="shared" si="263"/>
        <v>0</v>
      </c>
      <c r="KW47" s="77">
        <f t="shared" si="263"/>
        <v>0</v>
      </c>
      <c r="KX47" s="77">
        <f t="shared" si="263"/>
        <v>0</v>
      </c>
      <c r="KY47" s="77">
        <f t="shared" si="263"/>
        <v>0</v>
      </c>
      <c r="KZ47" s="77">
        <f t="shared" si="263"/>
        <v>0</v>
      </c>
      <c r="LA47" s="77">
        <f t="shared" si="263"/>
        <v>0</v>
      </c>
      <c r="LB47" s="77">
        <f t="shared" si="263"/>
        <v>0</v>
      </c>
      <c r="LC47" s="77">
        <f t="shared" si="263"/>
        <v>0</v>
      </c>
      <c r="LD47" s="77">
        <f t="shared" si="263"/>
        <v>0</v>
      </c>
      <c r="LE47" s="77">
        <f t="shared" si="263"/>
        <v>0</v>
      </c>
      <c r="LF47" s="77">
        <f t="shared" si="263"/>
        <v>0</v>
      </c>
      <c r="LG47" s="77">
        <f t="shared" si="263"/>
        <v>0</v>
      </c>
      <c r="LH47" s="77">
        <f t="shared" si="263"/>
        <v>0</v>
      </c>
      <c r="LI47" s="77">
        <f t="shared" si="263"/>
        <v>0</v>
      </c>
      <c r="LJ47" s="77">
        <f t="shared" si="263"/>
        <v>0</v>
      </c>
      <c r="LK47" s="77">
        <f t="shared" si="263"/>
        <v>0</v>
      </c>
      <c r="LL47" s="77">
        <f t="shared" si="263"/>
        <v>0</v>
      </c>
      <c r="LM47" s="77">
        <f t="shared" si="263"/>
        <v>0</v>
      </c>
      <c r="LN47" s="77">
        <f t="shared" si="263"/>
        <v>0</v>
      </c>
      <c r="LO47" s="77">
        <f t="shared" si="263"/>
        <v>0</v>
      </c>
      <c r="LP47" s="77">
        <f t="shared" si="263"/>
        <v>0</v>
      </c>
      <c r="LQ47" s="77">
        <f t="shared" si="263"/>
        <v>0</v>
      </c>
      <c r="LR47" s="77">
        <f t="shared" si="263"/>
        <v>0</v>
      </c>
      <c r="LS47" s="77">
        <f t="shared" si="263"/>
        <v>0</v>
      </c>
      <c r="LT47" s="77">
        <f t="shared" si="263"/>
        <v>0</v>
      </c>
      <c r="LU47" s="77">
        <f t="shared" si="263"/>
        <v>0</v>
      </c>
      <c r="LV47" s="77">
        <f t="shared" si="263"/>
        <v>0</v>
      </c>
      <c r="LW47" s="77">
        <f t="shared" si="263"/>
        <v>0</v>
      </c>
      <c r="LX47" s="77">
        <f t="shared" ref="LX47:NC47" si="264">ER46</f>
        <v>0</v>
      </c>
      <c r="LY47" s="77">
        <f t="shared" si="264"/>
        <v>0</v>
      </c>
      <c r="LZ47" s="77">
        <f t="shared" si="264"/>
        <v>0</v>
      </c>
      <c r="MA47" s="77">
        <f t="shared" si="264"/>
        <v>0</v>
      </c>
      <c r="MB47" s="77">
        <f t="shared" si="264"/>
        <v>0</v>
      </c>
      <c r="MC47" s="77">
        <f t="shared" si="264"/>
        <v>0</v>
      </c>
      <c r="MD47" s="77">
        <f t="shared" si="264"/>
        <v>0</v>
      </c>
      <c r="ME47" s="77">
        <f t="shared" si="264"/>
        <v>0</v>
      </c>
      <c r="MF47" s="77">
        <f t="shared" si="264"/>
        <v>0</v>
      </c>
      <c r="MG47" s="77">
        <f t="shared" si="264"/>
        <v>0</v>
      </c>
      <c r="MH47" s="77">
        <f t="shared" si="264"/>
        <v>0</v>
      </c>
      <c r="MI47" s="77">
        <f t="shared" si="264"/>
        <v>0</v>
      </c>
      <c r="MJ47" s="77">
        <f t="shared" si="264"/>
        <v>0</v>
      </c>
      <c r="MK47" s="77">
        <f t="shared" si="264"/>
        <v>0</v>
      </c>
      <c r="ML47" s="77">
        <f t="shared" si="264"/>
        <v>0</v>
      </c>
      <c r="MM47" s="77">
        <f t="shared" si="264"/>
        <v>0</v>
      </c>
      <c r="MN47" s="77">
        <f t="shared" si="264"/>
        <v>0</v>
      </c>
      <c r="MO47" s="77">
        <f t="shared" si="264"/>
        <v>0</v>
      </c>
      <c r="MP47" s="77">
        <f t="shared" si="264"/>
        <v>0</v>
      </c>
      <c r="MQ47" s="77">
        <f t="shared" si="264"/>
        <v>0</v>
      </c>
      <c r="MR47" s="77">
        <f t="shared" si="264"/>
        <v>0</v>
      </c>
      <c r="MS47" s="77">
        <f t="shared" si="264"/>
        <v>0</v>
      </c>
      <c r="MT47" s="77">
        <f t="shared" si="264"/>
        <v>0</v>
      </c>
      <c r="MU47" s="77">
        <f t="shared" si="264"/>
        <v>0</v>
      </c>
      <c r="MV47" s="77">
        <f t="shared" si="264"/>
        <v>0</v>
      </c>
      <c r="MW47" s="77">
        <f t="shared" si="264"/>
        <v>0</v>
      </c>
      <c r="MX47" s="77">
        <f t="shared" si="264"/>
        <v>0</v>
      </c>
      <c r="MY47" s="77">
        <f t="shared" si="264"/>
        <v>0</v>
      </c>
      <c r="MZ47" s="77">
        <f t="shared" si="264"/>
        <v>0</v>
      </c>
      <c r="NA47" s="77">
        <f t="shared" si="264"/>
        <v>0</v>
      </c>
      <c r="NB47" s="77">
        <f t="shared" si="264"/>
        <v>0</v>
      </c>
      <c r="NC47" s="77">
        <f t="shared" si="264"/>
        <v>0</v>
      </c>
      <c r="ND47" s="77">
        <f t="shared" ref="ND47:NW47" si="265">FX46</f>
        <v>0</v>
      </c>
      <c r="NE47" s="77">
        <f t="shared" si="265"/>
        <v>0</v>
      </c>
      <c r="NF47" s="77">
        <f t="shared" si="265"/>
        <v>0</v>
      </c>
      <c r="NG47" s="77">
        <f t="shared" si="265"/>
        <v>0</v>
      </c>
      <c r="NH47" s="77">
        <f t="shared" si="265"/>
        <v>0</v>
      </c>
      <c r="NI47" s="77">
        <f t="shared" si="265"/>
        <v>0</v>
      </c>
      <c r="NJ47" s="77">
        <f t="shared" si="265"/>
        <v>0</v>
      </c>
      <c r="NK47" s="77">
        <f t="shared" si="265"/>
        <v>0</v>
      </c>
      <c r="NL47" s="77">
        <f t="shared" si="265"/>
        <v>0</v>
      </c>
      <c r="NM47" s="77">
        <f t="shared" si="265"/>
        <v>0</v>
      </c>
      <c r="NN47" s="77">
        <f t="shared" si="265"/>
        <v>0</v>
      </c>
      <c r="NO47" s="77">
        <f t="shared" si="265"/>
        <v>0</v>
      </c>
      <c r="NP47" s="77">
        <f t="shared" si="265"/>
        <v>0</v>
      </c>
      <c r="NQ47" s="77">
        <f t="shared" si="265"/>
        <v>0</v>
      </c>
      <c r="NR47" s="77">
        <f t="shared" si="265"/>
        <v>0</v>
      </c>
      <c r="NS47" s="77">
        <f t="shared" si="265"/>
        <v>0</v>
      </c>
      <c r="NT47" s="77">
        <f t="shared" si="265"/>
        <v>0</v>
      </c>
      <c r="NU47" s="77">
        <f t="shared" si="265"/>
        <v>0</v>
      </c>
      <c r="NV47" s="77">
        <f t="shared" si="265"/>
        <v>0</v>
      </c>
      <c r="NW47" s="77">
        <f t="shared" si="265"/>
        <v>0</v>
      </c>
    </row>
    <row r="48" spans="2:388" ht="15.5" x14ac:dyDescent="0.45">
      <c r="B48" s="18" t="s">
        <v>148</v>
      </c>
      <c r="C48" s="18"/>
      <c r="D48" s="18"/>
      <c r="E48" s="19"/>
      <c r="F48" s="19"/>
      <c r="G48" s="19"/>
      <c r="H48" s="19"/>
      <c r="I48" s="19"/>
      <c r="J48" s="25" t="str">
        <f>"/"&amp;Summary!$O$8</f>
        <v>/Lot</v>
      </c>
      <c r="K48" s="25" t="str" cm="1">
        <f t="array" ref="K48">"/"&amp;Unit_Type</f>
        <v>/SF</v>
      </c>
      <c r="L48" s="25" t="s">
        <v>190</v>
      </c>
      <c r="GS48" s="80" t="s">
        <v>148</v>
      </c>
      <c r="GT48" s="77"/>
      <c r="GU48" s="77"/>
      <c r="GV48" s="77"/>
      <c r="GW48" s="77"/>
      <c r="GX48" s="77">
        <f>SUM(GZ48:NW48)</f>
        <v>287115.18444273149</v>
      </c>
      <c r="GY48" s="71"/>
      <c r="GZ48" s="81">
        <f t="shared" ref="GZ48:IE48" si="266">T51</f>
        <v>125000</v>
      </c>
      <c r="HA48" s="81">
        <f t="shared" si="266"/>
        <v>7810.155052662959</v>
      </c>
      <c r="HB48" s="81">
        <f t="shared" si="266"/>
        <v>8333.777070080394</v>
      </c>
      <c r="HC48" s="81">
        <f t="shared" si="266"/>
        <v>8890.3071912254472</v>
      </c>
      <c r="HD48" s="81">
        <f t="shared" si="266"/>
        <v>9498.186921461167</v>
      </c>
      <c r="HE48" s="81">
        <f t="shared" si="266"/>
        <v>10183.37278485527</v>
      </c>
      <c r="HF48" s="81">
        <f t="shared" si="266"/>
        <v>10980.092823359349</v>
      </c>
      <c r="HG48" s="81">
        <f t="shared" si="266"/>
        <v>11930.324138148539</v>
      </c>
      <c r="HH48" s="81">
        <f t="shared" si="266"/>
        <v>13347.457393406645</v>
      </c>
      <c r="HI48" s="81">
        <f t="shared" si="266"/>
        <v>14815.307697944405</v>
      </c>
      <c r="HJ48" s="81">
        <f t="shared" si="266"/>
        <v>3255.3491597986622</v>
      </c>
      <c r="HK48" s="81">
        <f t="shared" si="266"/>
        <v>5039.1677883972879</v>
      </c>
      <c r="HL48" s="81">
        <f t="shared" si="266"/>
        <v>0</v>
      </c>
      <c r="HM48" s="81">
        <f t="shared" si="266"/>
        <v>2366.288439690512</v>
      </c>
      <c r="HN48" s="81">
        <f t="shared" si="266"/>
        <v>4979.5938602237911</v>
      </c>
      <c r="HO48" s="81">
        <f t="shared" si="266"/>
        <v>7760.2246840114785</v>
      </c>
      <c r="HP48" s="81">
        <f t="shared" si="266"/>
        <v>4995.4309480669972</v>
      </c>
      <c r="HQ48" s="81">
        <f t="shared" si="266"/>
        <v>7776.1502732279278</v>
      </c>
      <c r="HR48" s="81">
        <f t="shared" si="266"/>
        <v>6565.4813922427375</v>
      </c>
      <c r="HS48" s="81">
        <f t="shared" si="266"/>
        <v>3354.3784044193108</v>
      </c>
      <c r="HT48" s="81">
        <f t="shared" si="266"/>
        <v>5758.636778845168</v>
      </c>
      <c r="HU48" s="81">
        <f t="shared" si="266"/>
        <v>4009.5914264914049</v>
      </c>
      <c r="HV48" s="81">
        <f t="shared" si="266"/>
        <v>1555.6205768287184</v>
      </c>
      <c r="HW48" s="81">
        <f t="shared" si="266"/>
        <v>3045.5900285679559</v>
      </c>
      <c r="HX48" s="81">
        <f t="shared" si="266"/>
        <v>331.67611422210621</v>
      </c>
      <c r="HY48" s="81">
        <f t="shared" si="266"/>
        <v>1313.4337877948365</v>
      </c>
      <c r="HZ48" s="81">
        <f t="shared" si="266"/>
        <v>2151.618737002892</v>
      </c>
      <c r="IA48" s="81">
        <f t="shared" si="266"/>
        <v>0</v>
      </c>
      <c r="IB48" s="81">
        <f t="shared" si="266"/>
        <v>649.23081867818257</v>
      </c>
      <c r="IC48" s="81">
        <f t="shared" si="266"/>
        <v>946.49716292941946</v>
      </c>
      <c r="ID48" s="81">
        <f t="shared" si="266"/>
        <v>472.24298814792303</v>
      </c>
      <c r="IE48" s="81">
        <f t="shared" si="266"/>
        <v>0</v>
      </c>
      <c r="IF48" s="81">
        <f t="shared" ref="IF48:JK48" si="267">AZ51</f>
        <v>0</v>
      </c>
      <c r="IG48" s="81">
        <f t="shared" si="267"/>
        <v>0</v>
      </c>
      <c r="IH48" s="81">
        <f t="shared" si="267"/>
        <v>0</v>
      </c>
      <c r="II48" s="81">
        <f t="shared" si="267"/>
        <v>0</v>
      </c>
      <c r="IJ48" s="81">
        <f t="shared" si="267"/>
        <v>0</v>
      </c>
      <c r="IK48" s="81">
        <f t="shared" si="267"/>
        <v>0</v>
      </c>
      <c r="IL48" s="81">
        <f t="shared" si="267"/>
        <v>0</v>
      </c>
      <c r="IM48" s="81">
        <f t="shared" si="267"/>
        <v>0</v>
      </c>
      <c r="IN48" s="81">
        <f t="shared" si="267"/>
        <v>0</v>
      </c>
      <c r="IO48" s="81">
        <f t="shared" si="267"/>
        <v>0</v>
      </c>
      <c r="IP48" s="81">
        <f t="shared" si="267"/>
        <v>0</v>
      </c>
      <c r="IQ48" s="81">
        <f t="shared" si="267"/>
        <v>0</v>
      </c>
      <c r="IR48" s="81">
        <f t="shared" si="267"/>
        <v>0</v>
      </c>
      <c r="IS48" s="81">
        <f t="shared" si="267"/>
        <v>0</v>
      </c>
      <c r="IT48" s="81">
        <f t="shared" si="267"/>
        <v>0</v>
      </c>
      <c r="IU48" s="81">
        <f t="shared" si="267"/>
        <v>0</v>
      </c>
      <c r="IV48" s="81">
        <f t="shared" si="267"/>
        <v>0</v>
      </c>
      <c r="IW48" s="81">
        <f t="shared" si="267"/>
        <v>0</v>
      </c>
      <c r="IX48" s="81">
        <f t="shared" si="267"/>
        <v>0</v>
      </c>
      <c r="IY48" s="81">
        <f t="shared" si="267"/>
        <v>0</v>
      </c>
      <c r="IZ48" s="81">
        <f t="shared" si="267"/>
        <v>0</v>
      </c>
      <c r="JA48" s="81">
        <f t="shared" si="267"/>
        <v>0</v>
      </c>
      <c r="JB48" s="81">
        <f t="shared" si="267"/>
        <v>0</v>
      </c>
      <c r="JC48" s="81">
        <f t="shared" si="267"/>
        <v>0</v>
      </c>
      <c r="JD48" s="81">
        <f t="shared" si="267"/>
        <v>0</v>
      </c>
      <c r="JE48" s="81">
        <f t="shared" si="267"/>
        <v>0</v>
      </c>
      <c r="JF48" s="81">
        <f t="shared" si="267"/>
        <v>0</v>
      </c>
      <c r="JG48" s="81">
        <f t="shared" si="267"/>
        <v>0</v>
      </c>
      <c r="JH48" s="81">
        <f t="shared" si="267"/>
        <v>0</v>
      </c>
      <c r="JI48" s="81">
        <f t="shared" si="267"/>
        <v>0</v>
      </c>
      <c r="JJ48" s="81">
        <f t="shared" si="267"/>
        <v>0</v>
      </c>
      <c r="JK48" s="81">
        <f t="shared" si="267"/>
        <v>0</v>
      </c>
      <c r="JL48" s="81">
        <f t="shared" ref="JL48:KQ48" si="268">CF51</f>
        <v>0</v>
      </c>
      <c r="JM48" s="81">
        <f t="shared" si="268"/>
        <v>0</v>
      </c>
      <c r="JN48" s="81">
        <f t="shared" si="268"/>
        <v>0</v>
      </c>
      <c r="JO48" s="81">
        <f t="shared" si="268"/>
        <v>0</v>
      </c>
      <c r="JP48" s="81">
        <f t="shared" si="268"/>
        <v>0</v>
      </c>
      <c r="JQ48" s="81">
        <f t="shared" si="268"/>
        <v>0</v>
      </c>
      <c r="JR48" s="81">
        <f t="shared" si="268"/>
        <v>0</v>
      </c>
      <c r="JS48" s="81">
        <f t="shared" si="268"/>
        <v>0</v>
      </c>
      <c r="JT48" s="81">
        <f t="shared" si="268"/>
        <v>0</v>
      </c>
      <c r="JU48" s="81">
        <f t="shared" si="268"/>
        <v>0</v>
      </c>
      <c r="JV48" s="81">
        <f t="shared" si="268"/>
        <v>0</v>
      </c>
      <c r="JW48" s="81">
        <f t="shared" si="268"/>
        <v>0</v>
      </c>
      <c r="JX48" s="81">
        <f t="shared" si="268"/>
        <v>0</v>
      </c>
      <c r="JY48" s="81">
        <f t="shared" si="268"/>
        <v>0</v>
      </c>
      <c r="JZ48" s="81">
        <f t="shared" si="268"/>
        <v>0</v>
      </c>
      <c r="KA48" s="81">
        <f t="shared" si="268"/>
        <v>0</v>
      </c>
      <c r="KB48" s="81">
        <f t="shared" si="268"/>
        <v>0</v>
      </c>
      <c r="KC48" s="81">
        <f t="shared" si="268"/>
        <v>0</v>
      </c>
      <c r="KD48" s="81">
        <f t="shared" si="268"/>
        <v>0</v>
      </c>
      <c r="KE48" s="81">
        <f t="shared" si="268"/>
        <v>0</v>
      </c>
      <c r="KF48" s="81">
        <f t="shared" si="268"/>
        <v>0</v>
      </c>
      <c r="KG48" s="81">
        <f t="shared" si="268"/>
        <v>0</v>
      </c>
      <c r="KH48" s="81">
        <f t="shared" si="268"/>
        <v>0</v>
      </c>
      <c r="KI48" s="81">
        <f t="shared" si="268"/>
        <v>0</v>
      </c>
      <c r="KJ48" s="81">
        <f t="shared" si="268"/>
        <v>0</v>
      </c>
      <c r="KK48" s="81">
        <f t="shared" si="268"/>
        <v>0</v>
      </c>
      <c r="KL48" s="81">
        <f t="shared" si="268"/>
        <v>0</v>
      </c>
      <c r="KM48" s="81">
        <f t="shared" si="268"/>
        <v>0</v>
      </c>
      <c r="KN48" s="81">
        <f t="shared" si="268"/>
        <v>0</v>
      </c>
      <c r="KO48" s="81">
        <f t="shared" si="268"/>
        <v>0</v>
      </c>
      <c r="KP48" s="81">
        <f t="shared" si="268"/>
        <v>0</v>
      </c>
      <c r="KQ48" s="81">
        <f t="shared" si="268"/>
        <v>0</v>
      </c>
      <c r="KR48" s="81">
        <f t="shared" ref="KR48:LW48" si="269">DL51</f>
        <v>0</v>
      </c>
      <c r="KS48" s="81">
        <f t="shared" si="269"/>
        <v>0</v>
      </c>
      <c r="KT48" s="81">
        <f t="shared" si="269"/>
        <v>0</v>
      </c>
      <c r="KU48" s="81">
        <f t="shared" si="269"/>
        <v>0</v>
      </c>
      <c r="KV48" s="81">
        <f t="shared" si="269"/>
        <v>0</v>
      </c>
      <c r="KW48" s="81">
        <f t="shared" si="269"/>
        <v>0</v>
      </c>
      <c r="KX48" s="81">
        <f t="shared" si="269"/>
        <v>0</v>
      </c>
      <c r="KY48" s="81">
        <f t="shared" si="269"/>
        <v>0</v>
      </c>
      <c r="KZ48" s="81">
        <f t="shared" si="269"/>
        <v>0</v>
      </c>
      <c r="LA48" s="81">
        <f t="shared" si="269"/>
        <v>0</v>
      </c>
      <c r="LB48" s="81">
        <f t="shared" si="269"/>
        <v>0</v>
      </c>
      <c r="LC48" s="81">
        <f t="shared" si="269"/>
        <v>0</v>
      </c>
      <c r="LD48" s="81">
        <f t="shared" si="269"/>
        <v>0</v>
      </c>
      <c r="LE48" s="81">
        <f t="shared" si="269"/>
        <v>0</v>
      </c>
      <c r="LF48" s="81">
        <f t="shared" si="269"/>
        <v>0</v>
      </c>
      <c r="LG48" s="81">
        <f t="shared" si="269"/>
        <v>0</v>
      </c>
      <c r="LH48" s="81">
        <f t="shared" si="269"/>
        <v>0</v>
      </c>
      <c r="LI48" s="81">
        <f t="shared" si="269"/>
        <v>0</v>
      </c>
      <c r="LJ48" s="81">
        <f t="shared" si="269"/>
        <v>0</v>
      </c>
      <c r="LK48" s="81">
        <f t="shared" si="269"/>
        <v>0</v>
      </c>
      <c r="LL48" s="81">
        <f t="shared" si="269"/>
        <v>0</v>
      </c>
      <c r="LM48" s="81">
        <f t="shared" si="269"/>
        <v>0</v>
      </c>
      <c r="LN48" s="81">
        <f t="shared" si="269"/>
        <v>0</v>
      </c>
      <c r="LO48" s="81">
        <f t="shared" si="269"/>
        <v>0</v>
      </c>
      <c r="LP48" s="81">
        <f t="shared" si="269"/>
        <v>0</v>
      </c>
      <c r="LQ48" s="81">
        <f t="shared" si="269"/>
        <v>0</v>
      </c>
      <c r="LR48" s="81">
        <f t="shared" si="269"/>
        <v>0</v>
      </c>
      <c r="LS48" s="81">
        <f t="shared" si="269"/>
        <v>0</v>
      </c>
      <c r="LT48" s="81">
        <f t="shared" si="269"/>
        <v>0</v>
      </c>
      <c r="LU48" s="81">
        <f t="shared" si="269"/>
        <v>0</v>
      </c>
      <c r="LV48" s="81">
        <f t="shared" si="269"/>
        <v>0</v>
      </c>
      <c r="LW48" s="81">
        <f t="shared" si="269"/>
        <v>0</v>
      </c>
      <c r="LX48" s="81">
        <f t="shared" ref="LX48:NC48" si="270">ER51</f>
        <v>0</v>
      </c>
      <c r="LY48" s="81">
        <f t="shared" si="270"/>
        <v>0</v>
      </c>
      <c r="LZ48" s="81">
        <f t="shared" si="270"/>
        <v>0</v>
      </c>
      <c r="MA48" s="81">
        <f t="shared" si="270"/>
        <v>0</v>
      </c>
      <c r="MB48" s="81">
        <f t="shared" si="270"/>
        <v>0</v>
      </c>
      <c r="MC48" s="81">
        <f t="shared" si="270"/>
        <v>0</v>
      </c>
      <c r="MD48" s="81">
        <f t="shared" si="270"/>
        <v>0</v>
      </c>
      <c r="ME48" s="81">
        <f t="shared" si="270"/>
        <v>0</v>
      </c>
      <c r="MF48" s="81">
        <f t="shared" si="270"/>
        <v>0</v>
      </c>
      <c r="MG48" s="81">
        <f t="shared" si="270"/>
        <v>0</v>
      </c>
      <c r="MH48" s="81">
        <f t="shared" si="270"/>
        <v>0</v>
      </c>
      <c r="MI48" s="81">
        <f t="shared" si="270"/>
        <v>0</v>
      </c>
      <c r="MJ48" s="81">
        <f t="shared" si="270"/>
        <v>0</v>
      </c>
      <c r="MK48" s="81">
        <f t="shared" si="270"/>
        <v>0</v>
      </c>
      <c r="ML48" s="81">
        <f t="shared" si="270"/>
        <v>0</v>
      </c>
      <c r="MM48" s="81">
        <f t="shared" si="270"/>
        <v>0</v>
      </c>
      <c r="MN48" s="81">
        <f t="shared" si="270"/>
        <v>0</v>
      </c>
      <c r="MO48" s="81">
        <f t="shared" si="270"/>
        <v>0</v>
      </c>
      <c r="MP48" s="81">
        <f t="shared" si="270"/>
        <v>0</v>
      </c>
      <c r="MQ48" s="81">
        <f t="shared" si="270"/>
        <v>0</v>
      </c>
      <c r="MR48" s="81">
        <f t="shared" si="270"/>
        <v>0</v>
      </c>
      <c r="MS48" s="81">
        <f t="shared" si="270"/>
        <v>0</v>
      </c>
      <c r="MT48" s="81">
        <f t="shared" si="270"/>
        <v>0</v>
      </c>
      <c r="MU48" s="81">
        <f t="shared" si="270"/>
        <v>0</v>
      </c>
      <c r="MV48" s="81">
        <f t="shared" si="270"/>
        <v>0</v>
      </c>
      <c r="MW48" s="81">
        <f t="shared" si="270"/>
        <v>0</v>
      </c>
      <c r="MX48" s="81">
        <f t="shared" si="270"/>
        <v>0</v>
      </c>
      <c r="MY48" s="81">
        <f t="shared" si="270"/>
        <v>0</v>
      </c>
      <c r="MZ48" s="81">
        <f t="shared" si="270"/>
        <v>0</v>
      </c>
      <c r="NA48" s="81">
        <f t="shared" si="270"/>
        <v>0</v>
      </c>
      <c r="NB48" s="81">
        <f t="shared" si="270"/>
        <v>0</v>
      </c>
      <c r="NC48" s="81">
        <f t="shared" si="270"/>
        <v>0</v>
      </c>
      <c r="ND48" s="81">
        <f t="shared" ref="ND48:NW48" si="271">FX51</f>
        <v>0</v>
      </c>
      <c r="NE48" s="81">
        <f t="shared" si="271"/>
        <v>0</v>
      </c>
      <c r="NF48" s="81">
        <f t="shared" si="271"/>
        <v>0</v>
      </c>
      <c r="NG48" s="81">
        <f t="shared" si="271"/>
        <v>0</v>
      </c>
      <c r="NH48" s="81">
        <f t="shared" si="271"/>
        <v>0</v>
      </c>
      <c r="NI48" s="81">
        <f t="shared" si="271"/>
        <v>0</v>
      </c>
      <c r="NJ48" s="81">
        <f t="shared" si="271"/>
        <v>0</v>
      </c>
      <c r="NK48" s="81">
        <f t="shared" si="271"/>
        <v>0</v>
      </c>
      <c r="NL48" s="81">
        <f t="shared" si="271"/>
        <v>0</v>
      </c>
      <c r="NM48" s="81">
        <f t="shared" si="271"/>
        <v>0</v>
      </c>
      <c r="NN48" s="81">
        <f t="shared" si="271"/>
        <v>0</v>
      </c>
      <c r="NO48" s="81">
        <f t="shared" si="271"/>
        <v>0</v>
      </c>
      <c r="NP48" s="81">
        <f t="shared" si="271"/>
        <v>0</v>
      </c>
      <c r="NQ48" s="81">
        <f t="shared" si="271"/>
        <v>0</v>
      </c>
      <c r="NR48" s="81">
        <f t="shared" si="271"/>
        <v>0</v>
      </c>
      <c r="NS48" s="81">
        <f t="shared" si="271"/>
        <v>0</v>
      </c>
      <c r="NT48" s="81">
        <f t="shared" si="271"/>
        <v>0</v>
      </c>
      <c r="NU48" s="81">
        <f t="shared" si="271"/>
        <v>0</v>
      </c>
      <c r="NV48" s="81">
        <f t="shared" si="271"/>
        <v>0</v>
      </c>
      <c r="NW48" s="81">
        <f t="shared" si="271"/>
        <v>0</v>
      </c>
    </row>
    <row r="49" spans="2:387" x14ac:dyDescent="0.3">
      <c r="B49" s="49" t="s">
        <v>226</v>
      </c>
      <c r="C49" s="18"/>
      <c r="D49" s="18"/>
      <c r="E49" s="34">
        <f>GX62</f>
        <v>29</v>
      </c>
      <c r="F49" s="34">
        <f>GX61</f>
        <v>31</v>
      </c>
      <c r="G49" s="19"/>
      <c r="H49" s="28">
        <f>F49-E49+1</f>
        <v>3</v>
      </c>
      <c r="I49" s="19"/>
      <c r="J49" s="23">
        <f>L49/$L$8</f>
        <v>704.84862801187603</v>
      </c>
      <c r="K49" s="29">
        <f>L49/$L$7</f>
        <v>9.3169646231454878E-2</v>
      </c>
      <c r="L49" s="23">
        <f>GX53</f>
        <v>162115.18444273149</v>
      </c>
      <c r="S49" s="69" t="str">
        <f>IF(ROUND(L49,0)=ROUND(SUM(T49:GQ49),0),"OK","ERROR")</f>
        <v>OK</v>
      </c>
      <c r="T49" s="50">
        <f>GZ53</f>
        <v>0</v>
      </c>
      <c r="U49" s="50">
        <f t="shared" ref="U49:CF49" si="272">HA53</f>
        <v>7810.155052662959</v>
      </c>
      <c r="V49" s="50">
        <f t="shared" si="272"/>
        <v>8333.777070080394</v>
      </c>
      <c r="W49" s="50">
        <f t="shared" si="272"/>
        <v>8890.3071912254472</v>
      </c>
      <c r="X49" s="50">
        <f t="shared" si="272"/>
        <v>9498.186921461167</v>
      </c>
      <c r="Y49" s="50">
        <f t="shared" si="272"/>
        <v>10183.37278485527</v>
      </c>
      <c r="Z49" s="50">
        <f t="shared" si="272"/>
        <v>10980.092823359349</v>
      </c>
      <c r="AA49" s="50">
        <f t="shared" si="272"/>
        <v>11930.324138148539</v>
      </c>
      <c r="AB49" s="50">
        <f t="shared" si="272"/>
        <v>13347.457393406645</v>
      </c>
      <c r="AC49" s="50">
        <f t="shared" si="272"/>
        <v>14815.307697944405</v>
      </c>
      <c r="AD49" s="50">
        <f t="shared" si="272"/>
        <v>3255.3491597986622</v>
      </c>
      <c r="AE49" s="50">
        <f t="shared" si="272"/>
        <v>5039.1677883972879</v>
      </c>
      <c r="AF49" s="50">
        <f t="shared" si="272"/>
        <v>0</v>
      </c>
      <c r="AG49" s="50">
        <f t="shared" si="272"/>
        <v>2366.288439690512</v>
      </c>
      <c r="AH49" s="50">
        <f t="shared" si="272"/>
        <v>4979.5938602237911</v>
      </c>
      <c r="AI49" s="50">
        <f t="shared" si="272"/>
        <v>7760.2246840114785</v>
      </c>
      <c r="AJ49" s="50">
        <f t="shared" si="272"/>
        <v>4995.4309480669972</v>
      </c>
      <c r="AK49" s="50">
        <f t="shared" si="272"/>
        <v>7776.1502732279278</v>
      </c>
      <c r="AL49" s="50">
        <f t="shared" si="272"/>
        <v>6565.4813922427375</v>
      </c>
      <c r="AM49" s="50">
        <f t="shared" si="272"/>
        <v>3354.3784044193108</v>
      </c>
      <c r="AN49" s="50">
        <f t="shared" si="272"/>
        <v>5758.636778845168</v>
      </c>
      <c r="AO49" s="50">
        <f t="shared" si="272"/>
        <v>4009.5914264914049</v>
      </c>
      <c r="AP49" s="50">
        <f t="shared" si="272"/>
        <v>1555.6205768287184</v>
      </c>
      <c r="AQ49" s="50">
        <f t="shared" si="272"/>
        <v>3045.5900285679559</v>
      </c>
      <c r="AR49" s="50">
        <f t="shared" si="272"/>
        <v>331.67611422210621</v>
      </c>
      <c r="AS49" s="50">
        <f t="shared" si="272"/>
        <v>1313.4337877948365</v>
      </c>
      <c r="AT49" s="50">
        <f t="shared" si="272"/>
        <v>2151.618737002892</v>
      </c>
      <c r="AU49" s="50">
        <f t="shared" si="272"/>
        <v>0</v>
      </c>
      <c r="AV49" s="50">
        <f t="shared" si="272"/>
        <v>649.23081867818257</v>
      </c>
      <c r="AW49" s="50">
        <f t="shared" si="272"/>
        <v>946.49716292941946</v>
      </c>
      <c r="AX49" s="50">
        <f t="shared" si="272"/>
        <v>472.24298814792303</v>
      </c>
      <c r="AY49" s="50">
        <f t="shared" si="272"/>
        <v>0</v>
      </c>
      <c r="AZ49" s="50">
        <f t="shared" si="272"/>
        <v>0</v>
      </c>
      <c r="BA49" s="50">
        <f t="shared" si="272"/>
        <v>0</v>
      </c>
      <c r="BB49" s="50">
        <f t="shared" si="272"/>
        <v>0</v>
      </c>
      <c r="BC49" s="50">
        <f t="shared" si="272"/>
        <v>0</v>
      </c>
      <c r="BD49" s="50">
        <f t="shared" si="272"/>
        <v>0</v>
      </c>
      <c r="BE49" s="50">
        <f t="shared" si="272"/>
        <v>0</v>
      </c>
      <c r="BF49" s="50">
        <f t="shared" si="272"/>
        <v>0</v>
      </c>
      <c r="BG49" s="50">
        <f t="shared" si="272"/>
        <v>0</v>
      </c>
      <c r="BH49" s="50">
        <f t="shared" si="272"/>
        <v>0</v>
      </c>
      <c r="BI49" s="50">
        <f t="shared" si="272"/>
        <v>0</v>
      </c>
      <c r="BJ49" s="50">
        <f t="shared" si="272"/>
        <v>0</v>
      </c>
      <c r="BK49" s="50">
        <f t="shared" si="272"/>
        <v>0</v>
      </c>
      <c r="BL49" s="50">
        <f t="shared" si="272"/>
        <v>0</v>
      </c>
      <c r="BM49" s="50">
        <f t="shared" si="272"/>
        <v>0</v>
      </c>
      <c r="BN49" s="50">
        <f t="shared" si="272"/>
        <v>0</v>
      </c>
      <c r="BO49" s="50">
        <f t="shared" si="272"/>
        <v>0</v>
      </c>
      <c r="BP49" s="50">
        <f t="shared" si="272"/>
        <v>0</v>
      </c>
      <c r="BQ49" s="50">
        <f t="shared" si="272"/>
        <v>0</v>
      </c>
      <c r="BR49" s="50">
        <f t="shared" si="272"/>
        <v>0</v>
      </c>
      <c r="BS49" s="50">
        <f t="shared" si="272"/>
        <v>0</v>
      </c>
      <c r="BT49" s="50">
        <f t="shared" si="272"/>
        <v>0</v>
      </c>
      <c r="BU49" s="50">
        <f t="shared" si="272"/>
        <v>0</v>
      </c>
      <c r="BV49" s="50">
        <f t="shared" si="272"/>
        <v>0</v>
      </c>
      <c r="BW49" s="50">
        <f t="shared" si="272"/>
        <v>0</v>
      </c>
      <c r="BX49" s="50">
        <f t="shared" si="272"/>
        <v>0</v>
      </c>
      <c r="BY49" s="50">
        <f t="shared" si="272"/>
        <v>0</v>
      </c>
      <c r="BZ49" s="50">
        <f t="shared" si="272"/>
        <v>0</v>
      </c>
      <c r="CA49" s="50">
        <f t="shared" si="272"/>
        <v>0</v>
      </c>
      <c r="CB49" s="50">
        <f t="shared" si="272"/>
        <v>0</v>
      </c>
      <c r="CC49" s="50">
        <f t="shared" si="272"/>
        <v>0</v>
      </c>
      <c r="CD49" s="50">
        <f t="shared" si="272"/>
        <v>0</v>
      </c>
      <c r="CE49" s="50">
        <f t="shared" si="272"/>
        <v>0</v>
      </c>
      <c r="CF49" s="50">
        <f t="shared" si="272"/>
        <v>0</v>
      </c>
      <c r="CG49" s="50">
        <f t="shared" ref="CG49:ER49" si="273">JM53</f>
        <v>0</v>
      </c>
      <c r="CH49" s="50">
        <f t="shared" si="273"/>
        <v>0</v>
      </c>
      <c r="CI49" s="50">
        <f t="shared" si="273"/>
        <v>0</v>
      </c>
      <c r="CJ49" s="50">
        <f t="shared" si="273"/>
        <v>0</v>
      </c>
      <c r="CK49" s="50">
        <f t="shared" si="273"/>
        <v>0</v>
      </c>
      <c r="CL49" s="50">
        <f t="shared" si="273"/>
        <v>0</v>
      </c>
      <c r="CM49" s="50">
        <f t="shared" si="273"/>
        <v>0</v>
      </c>
      <c r="CN49" s="50">
        <f t="shared" si="273"/>
        <v>0</v>
      </c>
      <c r="CO49" s="50">
        <f t="shared" si="273"/>
        <v>0</v>
      </c>
      <c r="CP49" s="50">
        <f t="shared" si="273"/>
        <v>0</v>
      </c>
      <c r="CQ49" s="50">
        <f t="shared" si="273"/>
        <v>0</v>
      </c>
      <c r="CR49" s="50">
        <f t="shared" si="273"/>
        <v>0</v>
      </c>
      <c r="CS49" s="50">
        <f t="shared" si="273"/>
        <v>0</v>
      </c>
      <c r="CT49" s="50">
        <f t="shared" si="273"/>
        <v>0</v>
      </c>
      <c r="CU49" s="50">
        <f t="shared" si="273"/>
        <v>0</v>
      </c>
      <c r="CV49" s="50">
        <f t="shared" si="273"/>
        <v>0</v>
      </c>
      <c r="CW49" s="50">
        <f t="shared" si="273"/>
        <v>0</v>
      </c>
      <c r="CX49" s="50">
        <f t="shared" si="273"/>
        <v>0</v>
      </c>
      <c r="CY49" s="50">
        <f t="shared" si="273"/>
        <v>0</v>
      </c>
      <c r="CZ49" s="50">
        <f t="shared" si="273"/>
        <v>0</v>
      </c>
      <c r="DA49" s="50">
        <f t="shared" si="273"/>
        <v>0</v>
      </c>
      <c r="DB49" s="50">
        <f t="shared" si="273"/>
        <v>0</v>
      </c>
      <c r="DC49" s="50">
        <f t="shared" si="273"/>
        <v>0</v>
      </c>
      <c r="DD49" s="50">
        <f t="shared" si="273"/>
        <v>0</v>
      </c>
      <c r="DE49" s="50">
        <f t="shared" si="273"/>
        <v>0</v>
      </c>
      <c r="DF49" s="50">
        <f t="shared" si="273"/>
        <v>0</v>
      </c>
      <c r="DG49" s="50">
        <f t="shared" si="273"/>
        <v>0</v>
      </c>
      <c r="DH49" s="50">
        <f t="shared" si="273"/>
        <v>0</v>
      </c>
      <c r="DI49" s="50">
        <f t="shared" si="273"/>
        <v>0</v>
      </c>
      <c r="DJ49" s="50">
        <f t="shared" si="273"/>
        <v>0</v>
      </c>
      <c r="DK49" s="50">
        <f t="shared" si="273"/>
        <v>0</v>
      </c>
      <c r="DL49" s="50">
        <f t="shared" si="273"/>
        <v>0</v>
      </c>
      <c r="DM49" s="50">
        <f t="shared" si="273"/>
        <v>0</v>
      </c>
      <c r="DN49" s="50">
        <f t="shared" si="273"/>
        <v>0</v>
      </c>
      <c r="DO49" s="50">
        <f t="shared" si="273"/>
        <v>0</v>
      </c>
      <c r="DP49" s="50">
        <f t="shared" si="273"/>
        <v>0</v>
      </c>
      <c r="DQ49" s="50">
        <f t="shared" si="273"/>
        <v>0</v>
      </c>
      <c r="DR49" s="50">
        <f t="shared" si="273"/>
        <v>0</v>
      </c>
      <c r="DS49" s="50">
        <f t="shared" si="273"/>
        <v>0</v>
      </c>
      <c r="DT49" s="50">
        <f t="shared" si="273"/>
        <v>0</v>
      </c>
      <c r="DU49" s="50">
        <f t="shared" si="273"/>
        <v>0</v>
      </c>
      <c r="DV49" s="50">
        <f t="shared" si="273"/>
        <v>0</v>
      </c>
      <c r="DW49" s="50">
        <f t="shared" si="273"/>
        <v>0</v>
      </c>
      <c r="DX49" s="50">
        <f t="shared" si="273"/>
        <v>0</v>
      </c>
      <c r="DY49" s="50">
        <f t="shared" si="273"/>
        <v>0</v>
      </c>
      <c r="DZ49" s="50">
        <f t="shared" si="273"/>
        <v>0</v>
      </c>
      <c r="EA49" s="50">
        <f t="shared" si="273"/>
        <v>0</v>
      </c>
      <c r="EB49" s="50">
        <f t="shared" si="273"/>
        <v>0</v>
      </c>
      <c r="EC49" s="50">
        <f t="shared" si="273"/>
        <v>0</v>
      </c>
      <c r="ED49" s="50">
        <f t="shared" si="273"/>
        <v>0</v>
      </c>
      <c r="EE49" s="50">
        <f t="shared" si="273"/>
        <v>0</v>
      </c>
      <c r="EF49" s="50">
        <f t="shared" si="273"/>
        <v>0</v>
      </c>
      <c r="EG49" s="50">
        <f t="shared" si="273"/>
        <v>0</v>
      </c>
      <c r="EH49" s="50">
        <f t="shared" si="273"/>
        <v>0</v>
      </c>
      <c r="EI49" s="50">
        <f t="shared" si="273"/>
        <v>0</v>
      </c>
      <c r="EJ49" s="50">
        <f t="shared" si="273"/>
        <v>0</v>
      </c>
      <c r="EK49" s="50">
        <f t="shared" si="273"/>
        <v>0</v>
      </c>
      <c r="EL49" s="50">
        <f t="shared" si="273"/>
        <v>0</v>
      </c>
      <c r="EM49" s="50">
        <f t="shared" si="273"/>
        <v>0</v>
      </c>
      <c r="EN49" s="50">
        <f t="shared" si="273"/>
        <v>0</v>
      </c>
      <c r="EO49" s="50">
        <f t="shared" si="273"/>
        <v>0</v>
      </c>
      <c r="EP49" s="50">
        <f t="shared" si="273"/>
        <v>0</v>
      </c>
      <c r="EQ49" s="50">
        <f t="shared" si="273"/>
        <v>0</v>
      </c>
      <c r="ER49" s="50">
        <f t="shared" si="273"/>
        <v>0</v>
      </c>
      <c r="ES49" s="50">
        <f t="shared" ref="ES49:GQ49" si="274">LY53</f>
        <v>0</v>
      </c>
      <c r="ET49" s="50">
        <f t="shared" si="274"/>
        <v>0</v>
      </c>
      <c r="EU49" s="50">
        <f t="shared" si="274"/>
        <v>0</v>
      </c>
      <c r="EV49" s="50">
        <f t="shared" si="274"/>
        <v>0</v>
      </c>
      <c r="EW49" s="50">
        <f t="shared" si="274"/>
        <v>0</v>
      </c>
      <c r="EX49" s="50">
        <f t="shared" si="274"/>
        <v>0</v>
      </c>
      <c r="EY49" s="50">
        <f t="shared" si="274"/>
        <v>0</v>
      </c>
      <c r="EZ49" s="50">
        <f t="shared" si="274"/>
        <v>0</v>
      </c>
      <c r="FA49" s="50">
        <f t="shared" si="274"/>
        <v>0</v>
      </c>
      <c r="FB49" s="50">
        <f t="shared" si="274"/>
        <v>0</v>
      </c>
      <c r="FC49" s="50">
        <f t="shared" si="274"/>
        <v>0</v>
      </c>
      <c r="FD49" s="50">
        <f t="shared" si="274"/>
        <v>0</v>
      </c>
      <c r="FE49" s="50">
        <f t="shared" si="274"/>
        <v>0</v>
      </c>
      <c r="FF49" s="50">
        <f t="shared" si="274"/>
        <v>0</v>
      </c>
      <c r="FG49" s="50">
        <f t="shared" si="274"/>
        <v>0</v>
      </c>
      <c r="FH49" s="50">
        <f t="shared" si="274"/>
        <v>0</v>
      </c>
      <c r="FI49" s="50">
        <f t="shared" si="274"/>
        <v>0</v>
      </c>
      <c r="FJ49" s="50">
        <f t="shared" si="274"/>
        <v>0</v>
      </c>
      <c r="FK49" s="50">
        <f t="shared" si="274"/>
        <v>0</v>
      </c>
      <c r="FL49" s="50">
        <f t="shared" si="274"/>
        <v>0</v>
      </c>
      <c r="FM49" s="50">
        <f t="shared" si="274"/>
        <v>0</v>
      </c>
      <c r="FN49" s="50">
        <f t="shared" si="274"/>
        <v>0</v>
      </c>
      <c r="FO49" s="50">
        <f t="shared" si="274"/>
        <v>0</v>
      </c>
      <c r="FP49" s="50">
        <f t="shared" si="274"/>
        <v>0</v>
      </c>
      <c r="FQ49" s="50">
        <f t="shared" si="274"/>
        <v>0</v>
      </c>
      <c r="FR49" s="50">
        <f t="shared" si="274"/>
        <v>0</v>
      </c>
      <c r="FS49" s="50">
        <f t="shared" si="274"/>
        <v>0</v>
      </c>
      <c r="FT49" s="50">
        <f t="shared" si="274"/>
        <v>0</v>
      </c>
      <c r="FU49" s="50">
        <f t="shared" si="274"/>
        <v>0</v>
      </c>
      <c r="FV49" s="50">
        <f t="shared" si="274"/>
        <v>0</v>
      </c>
      <c r="FW49" s="50">
        <f t="shared" si="274"/>
        <v>0</v>
      </c>
      <c r="FX49" s="50">
        <f t="shared" si="274"/>
        <v>0</v>
      </c>
      <c r="FY49" s="50">
        <f t="shared" si="274"/>
        <v>0</v>
      </c>
      <c r="FZ49" s="50">
        <f t="shared" si="274"/>
        <v>0</v>
      </c>
      <c r="GA49" s="50">
        <f t="shared" si="274"/>
        <v>0</v>
      </c>
      <c r="GB49" s="50">
        <f t="shared" si="274"/>
        <v>0</v>
      </c>
      <c r="GC49" s="50">
        <f t="shared" si="274"/>
        <v>0</v>
      </c>
      <c r="GD49" s="50">
        <f t="shared" si="274"/>
        <v>0</v>
      </c>
      <c r="GE49" s="50">
        <f t="shared" si="274"/>
        <v>0</v>
      </c>
      <c r="GF49" s="50">
        <f t="shared" si="274"/>
        <v>0</v>
      </c>
      <c r="GG49" s="50">
        <f t="shared" si="274"/>
        <v>0</v>
      </c>
      <c r="GH49" s="50">
        <f t="shared" si="274"/>
        <v>0</v>
      </c>
      <c r="GI49" s="50">
        <f t="shared" si="274"/>
        <v>0</v>
      </c>
      <c r="GJ49" s="50">
        <f t="shared" si="274"/>
        <v>0</v>
      </c>
      <c r="GK49" s="50">
        <f t="shared" si="274"/>
        <v>0</v>
      </c>
      <c r="GL49" s="50">
        <f t="shared" si="274"/>
        <v>0</v>
      </c>
      <c r="GM49" s="50">
        <f t="shared" si="274"/>
        <v>0</v>
      </c>
      <c r="GN49" s="50">
        <f t="shared" si="274"/>
        <v>0</v>
      </c>
      <c r="GO49" s="50">
        <f t="shared" si="274"/>
        <v>0</v>
      </c>
      <c r="GP49" s="50">
        <f t="shared" si="274"/>
        <v>0</v>
      </c>
      <c r="GQ49" s="50">
        <f t="shared" si="274"/>
        <v>0</v>
      </c>
      <c r="GS49" s="80" t="s">
        <v>150</v>
      </c>
      <c r="GT49" s="77"/>
      <c r="GU49" s="77"/>
      <c r="GV49" s="77"/>
      <c r="GW49" s="77"/>
      <c r="GX49" s="77">
        <f>SUM(GZ49:NW49)</f>
        <v>11118615.184442734</v>
      </c>
      <c r="GY49" s="71"/>
      <c r="GZ49" s="77">
        <f t="shared" ref="GZ49:IE49" si="275">T53</f>
        <v>3068418.585526316</v>
      </c>
      <c r="HA49" s="77">
        <f t="shared" si="275"/>
        <v>93700.782064172512</v>
      </c>
      <c r="HB49" s="77">
        <f t="shared" si="275"/>
        <v>99589.600625957231</v>
      </c>
      <c r="HC49" s="77">
        <f t="shared" si="275"/>
        <v>108778.47804218142</v>
      </c>
      <c r="HD49" s="77">
        <f t="shared" si="275"/>
        <v>122612.20713368148</v>
      </c>
      <c r="HE49" s="77">
        <f t="shared" si="275"/>
        <v>142570.95425862484</v>
      </c>
      <c r="HF49" s="77">
        <f t="shared" si="275"/>
        <v>170041.39317280205</v>
      </c>
      <c r="HG49" s="77">
        <f t="shared" si="275"/>
        <v>253592.26673039806</v>
      </c>
      <c r="HH49" s="77">
        <f t="shared" si="275"/>
        <v>262667.94923307316</v>
      </c>
      <c r="HI49" s="77">
        <f t="shared" si="275"/>
        <v>275500.84054234065</v>
      </c>
      <c r="HJ49" s="77">
        <f t="shared" si="275"/>
        <v>319209.649328175</v>
      </c>
      <c r="HK49" s="77">
        <f t="shared" si="275"/>
        <v>376920.49849176273</v>
      </c>
      <c r="HL49" s="77">
        <f t="shared" si="275"/>
        <v>423441.08920777583</v>
      </c>
      <c r="HM49" s="77">
        <f t="shared" si="275"/>
        <v>467644.12788490253</v>
      </c>
      <c r="HN49" s="77">
        <f t="shared" si="275"/>
        <v>497586.56846727041</v>
      </c>
      <c r="HO49" s="77">
        <f t="shared" si="275"/>
        <v>509872.43672572426</v>
      </c>
      <c r="HP49" s="77">
        <f t="shared" si="275"/>
        <v>497602.40555511392</v>
      </c>
      <c r="HQ49" s="77">
        <f t="shared" si="275"/>
        <v>473053.9897184397</v>
      </c>
      <c r="HR49" s="77">
        <f t="shared" si="275"/>
        <v>430006.57060001837</v>
      </c>
      <c r="HS49" s="77">
        <f t="shared" si="275"/>
        <v>430235.7091077849</v>
      </c>
      <c r="HT49" s="77">
        <f t="shared" si="275"/>
        <v>376712.9369472214</v>
      </c>
      <c r="HU49" s="77">
        <f t="shared" si="275"/>
        <v>319695.1242708877</v>
      </c>
      <c r="HV49" s="77">
        <f t="shared" si="275"/>
        <v>266626.1124164951</v>
      </c>
      <c r="HW49" s="77">
        <f t="shared" si="275"/>
        <v>224743.24690653229</v>
      </c>
      <c r="HX49" s="77">
        <f t="shared" si="275"/>
        <v>175682.95211301488</v>
      </c>
      <c r="HY49" s="77">
        <f t="shared" si="275"/>
        <v>149990.99091091516</v>
      </c>
      <c r="HZ49" s="77">
        <f t="shared" si="275"/>
        <v>131555.61459857426</v>
      </c>
      <c r="IA49" s="77">
        <f t="shared" si="275"/>
        <v>116178.14650030635</v>
      </c>
      <c r="IB49" s="77">
        <f t="shared" si="275"/>
        <v>53195.030023905536</v>
      </c>
      <c r="IC49" s="77">
        <f t="shared" si="275"/>
        <v>39763.463460153289</v>
      </c>
      <c r="ID49" s="77">
        <f t="shared" si="275"/>
        <v>32398.538456548653</v>
      </c>
      <c r="IE49" s="77">
        <f t="shared" si="275"/>
        <v>31926.295468400731</v>
      </c>
      <c r="IF49" s="77">
        <f t="shared" ref="IF49:JK49" si="276">AZ53</f>
        <v>31926.295468400731</v>
      </c>
      <c r="IG49" s="77">
        <f t="shared" si="276"/>
        <v>31926.295468400731</v>
      </c>
      <c r="IH49" s="77">
        <f t="shared" si="276"/>
        <v>31926.295468400731</v>
      </c>
      <c r="II49" s="77">
        <f t="shared" si="276"/>
        <v>31926.295468400731</v>
      </c>
      <c r="IJ49" s="77">
        <f t="shared" si="276"/>
        <v>24697.724039829303</v>
      </c>
      <c r="IK49" s="77">
        <f t="shared" si="276"/>
        <v>24697.724039829303</v>
      </c>
      <c r="IL49" s="77">
        <f t="shared" si="276"/>
        <v>0</v>
      </c>
      <c r="IM49" s="77">
        <f t="shared" si="276"/>
        <v>0</v>
      </c>
      <c r="IN49" s="77">
        <f t="shared" si="276"/>
        <v>0</v>
      </c>
      <c r="IO49" s="77">
        <f t="shared" si="276"/>
        <v>0</v>
      </c>
      <c r="IP49" s="77">
        <f t="shared" si="276"/>
        <v>0</v>
      </c>
      <c r="IQ49" s="77">
        <f t="shared" si="276"/>
        <v>0</v>
      </c>
      <c r="IR49" s="77">
        <f t="shared" si="276"/>
        <v>0</v>
      </c>
      <c r="IS49" s="77">
        <f t="shared" si="276"/>
        <v>0</v>
      </c>
      <c r="IT49" s="77">
        <f t="shared" si="276"/>
        <v>0</v>
      </c>
      <c r="IU49" s="77">
        <f t="shared" si="276"/>
        <v>0</v>
      </c>
      <c r="IV49" s="77">
        <f t="shared" si="276"/>
        <v>0</v>
      </c>
      <c r="IW49" s="77">
        <f t="shared" si="276"/>
        <v>0</v>
      </c>
      <c r="IX49" s="77">
        <f t="shared" si="276"/>
        <v>0</v>
      </c>
      <c r="IY49" s="77">
        <f t="shared" si="276"/>
        <v>0</v>
      </c>
      <c r="IZ49" s="77">
        <f t="shared" si="276"/>
        <v>0</v>
      </c>
      <c r="JA49" s="77">
        <f t="shared" si="276"/>
        <v>0</v>
      </c>
      <c r="JB49" s="77">
        <f t="shared" si="276"/>
        <v>0</v>
      </c>
      <c r="JC49" s="77">
        <f t="shared" si="276"/>
        <v>0</v>
      </c>
      <c r="JD49" s="77">
        <f t="shared" si="276"/>
        <v>0</v>
      </c>
      <c r="JE49" s="77">
        <f t="shared" si="276"/>
        <v>0</v>
      </c>
      <c r="JF49" s="77">
        <f t="shared" si="276"/>
        <v>0</v>
      </c>
      <c r="JG49" s="77">
        <f t="shared" si="276"/>
        <v>0</v>
      </c>
      <c r="JH49" s="77">
        <f t="shared" si="276"/>
        <v>0</v>
      </c>
      <c r="JI49" s="77">
        <f t="shared" si="276"/>
        <v>0</v>
      </c>
      <c r="JJ49" s="77">
        <f t="shared" si="276"/>
        <v>0</v>
      </c>
      <c r="JK49" s="77">
        <f t="shared" si="276"/>
        <v>0</v>
      </c>
      <c r="JL49" s="77">
        <f t="shared" ref="JL49:KQ49" si="277">CF53</f>
        <v>0</v>
      </c>
      <c r="JM49" s="77">
        <f t="shared" si="277"/>
        <v>0</v>
      </c>
      <c r="JN49" s="77">
        <f t="shared" si="277"/>
        <v>0</v>
      </c>
      <c r="JO49" s="77">
        <f t="shared" si="277"/>
        <v>0</v>
      </c>
      <c r="JP49" s="77">
        <f t="shared" si="277"/>
        <v>0</v>
      </c>
      <c r="JQ49" s="77">
        <f t="shared" si="277"/>
        <v>0</v>
      </c>
      <c r="JR49" s="77">
        <f t="shared" si="277"/>
        <v>0</v>
      </c>
      <c r="JS49" s="77">
        <f t="shared" si="277"/>
        <v>0</v>
      </c>
      <c r="JT49" s="77">
        <f t="shared" si="277"/>
        <v>0</v>
      </c>
      <c r="JU49" s="77">
        <f t="shared" si="277"/>
        <v>0</v>
      </c>
      <c r="JV49" s="77">
        <f t="shared" si="277"/>
        <v>0</v>
      </c>
      <c r="JW49" s="77">
        <f t="shared" si="277"/>
        <v>0</v>
      </c>
      <c r="JX49" s="77">
        <f t="shared" si="277"/>
        <v>0</v>
      </c>
      <c r="JY49" s="77">
        <f t="shared" si="277"/>
        <v>0</v>
      </c>
      <c r="JZ49" s="77">
        <f t="shared" si="277"/>
        <v>0</v>
      </c>
      <c r="KA49" s="77">
        <f t="shared" si="277"/>
        <v>0</v>
      </c>
      <c r="KB49" s="77">
        <f t="shared" si="277"/>
        <v>0</v>
      </c>
      <c r="KC49" s="77">
        <f t="shared" si="277"/>
        <v>0</v>
      </c>
      <c r="KD49" s="77">
        <f t="shared" si="277"/>
        <v>0</v>
      </c>
      <c r="KE49" s="77">
        <f t="shared" si="277"/>
        <v>0</v>
      </c>
      <c r="KF49" s="77">
        <f t="shared" si="277"/>
        <v>0</v>
      </c>
      <c r="KG49" s="77">
        <f t="shared" si="277"/>
        <v>0</v>
      </c>
      <c r="KH49" s="77">
        <f t="shared" si="277"/>
        <v>0</v>
      </c>
      <c r="KI49" s="77">
        <f t="shared" si="277"/>
        <v>0</v>
      </c>
      <c r="KJ49" s="77">
        <f t="shared" si="277"/>
        <v>0</v>
      </c>
      <c r="KK49" s="77">
        <f t="shared" si="277"/>
        <v>0</v>
      </c>
      <c r="KL49" s="77">
        <f t="shared" si="277"/>
        <v>0</v>
      </c>
      <c r="KM49" s="77">
        <f t="shared" si="277"/>
        <v>0</v>
      </c>
      <c r="KN49" s="77">
        <f t="shared" si="277"/>
        <v>0</v>
      </c>
      <c r="KO49" s="77">
        <f t="shared" si="277"/>
        <v>0</v>
      </c>
      <c r="KP49" s="77">
        <f t="shared" si="277"/>
        <v>0</v>
      </c>
      <c r="KQ49" s="77">
        <f t="shared" si="277"/>
        <v>0</v>
      </c>
      <c r="KR49" s="77">
        <f t="shared" ref="KR49:LW49" si="278">DL53</f>
        <v>0</v>
      </c>
      <c r="KS49" s="77">
        <f t="shared" si="278"/>
        <v>0</v>
      </c>
      <c r="KT49" s="77">
        <f t="shared" si="278"/>
        <v>0</v>
      </c>
      <c r="KU49" s="77">
        <f t="shared" si="278"/>
        <v>0</v>
      </c>
      <c r="KV49" s="77">
        <f t="shared" si="278"/>
        <v>0</v>
      </c>
      <c r="KW49" s="77">
        <f t="shared" si="278"/>
        <v>0</v>
      </c>
      <c r="KX49" s="77">
        <f t="shared" si="278"/>
        <v>0</v>
      </c>
      <c r="KY49" s="77">
        <f t="shared" si="278"/>
        <v>0</v>
      </c>
      <c r="KZ49" s="77">
        <f t="shared" si="278"/>
        <v>0</v>
      </c>
      <c r="LA49" s="77">
        <f t="shared" si="278"/>
        <v>0</v>
      </c>
      <c r="LB49" s="77">
        <f t="shared" si="278"/>
        <v>0</v>
      </c>
      <c r="LC49" s="77">
        <f t="shared" si="278"/>
        <v>0</v>
      </c>
      <c r="LD49" s="77">
        <f t="shared" si="278"/>
        <v>0</v>
      </c>
      <c r="LE49" s="77">
        <f t="shared" si="278"/>
        <v>0</v>
      </c>
      <c r="LF49" s="77">
        <f t="shared" si="278"/>
        <v>0</v>
      </c>
      <c r="LG49" s="77">
        <f t="shared" si="278"/>
        <v>0</v>
      </c>
      <c r="LH49" s="77">
        <f t="shared" si="278"/>
        <v>0</v>
      </c>
      <c r="LI49" s="77">
        <f t="shared" si="278"/>
        <v>0</v>
      </c>
      <c r="LJ49" s="77">
        <f t="shared" si="278"/>
        <v>0</v>
      </c>
      <c r="LK49" s="77">
        <f t="shared" si="278"/>
        <v>0</v>
      </c>
      <c r="LL49" s="77">
        <f t="shared" si="278"/>
        <v>0</v>
      </c>
      <c r="LM49" s="77">
        <f t="shared" si="278"/>
        <v>0</v>
      </c>
      <c r="LN49" s="77">
        <f t="shared" si="278"/>
        <v>0</v>
      </c>
      <c r="LO49" s="77">
        <f t="shared" si="278"/>
        <v>0</v>
      </c>
      <c r="LP49" s="77">
        <f t="shared" si="278"/>
        <v>0</v>
      </c>
      <c r="LQ49" s="77">
        <f t="shared" si="278"/>
        <v>0</v>
      </c>
      <c r="LR49" s="77">
        <f t="shared" si="278"/>
        <v>0</v>
      </c>
      <c r="LS49" s="77">
        <f t="shared" si="278"/>
        <v>0</v>
      </c>
      <c r="LT49" s="77">
        <f t="shared" si="278"/>
        <v>0</v>
      </c>
      <c r="LU49" s="77">
        <f t="shared" si="278"/>
        <v>0</v>
      </c>
      <c r="LV49" s="77">
        <f t="shared" si="278"/>
        <v>0</v>
      </c>
      <c r="LW49" s="77">
        <f t="shared" si="278"/>
        <v>0</v>
      </c>
      <c r="LX49" s="77">
        <f t="shared" ref="LX49:NC49" si="279">ER53</f>
        <v>0</v>
      </c>
      <c r="LY49" s="77">
        <f t="shared" si="279"/>
        <v>0</v>
      </c>
      <c r="LZ49" s="77">
        <f t="shared" si="279"/>
        <v>0</v>
      </c>
      <c r="MA49" s="77">
        <f t="shared" si="279"/>
        <v>0</v>
      </c>
      <c r="MB49" s="77">
        <f t="shared" si="279"/>
        <v>0</v>
      </c>
      <c r="MC49" s="77">
        <f t="shared" si="279"/>
        <v>0</v>
      </c>
      <c r="MD49" s="77">
        <f t="shared" si="279"/>
        <v>0</v>
      </c>
      <c r="ME49" s="77">
        <f t="shared" si="279"/>
        <v>0</v>
      </c>
      <c r="MF49" s="77">
        <f t="shared" si="279"/>
        <v>0</v>
      </c>
      <c r="MG49" s="77">
        <f t="shared" si="279"/>
        <v>0</v>
      </c>
      <c r="MH49" s="77">
        <f t="shared" si="279"/>
        <v>0</v>
      </c>
      <c r="MI49" s="77">
        <f t="shared" si="279"/>
        <v>0</v>
      </c>
      <c r="MJ49" s="77">
        <f t="shared" si="279"/>
        <v>0</v>
      </c>
      <c r="MK49" s="77">
        <f t="shared" si="279"/>
        <v>0</v>
      </c>
      <c r="ML49" s="77">
        <f t="shared" si="279"/>
        <v>0</v>
      </c>
      <c r="MM49" s="77">
        <f t="shared" si="279"/>
        <v>0</v>
      </c>
      <c r="MN49" s="77">
        <f t="shared" si="279"/>
        <v>0</v>
      </c>
      <c r="MO49" s="77">
        <f t="shared" si="279"/>
        <v>0</v>
      </c>
      <c r="MP49" s="77">
        <f t="shared" si="279"/>
        <v>0</v>
      </c>
      <c r="MQ49" s="77">
        <f t="shared" si="279"/>
        <v>0</v>
      </c>
      <c r="MR49" s="77">
        <f t="shared" si="279"/>
        <v>0</v>
      </c>
      <c r="MS49" s="77">
        <f t="shared" si="279"/>
        <v>0</v>
      </c>
      <c r="MT49" s="77">
        <f t="shared" si="279"/>
        <v>0</v>
      </c>
      <c r="MU49" s="77">
        <f t="shared" si="279"/>
        <v>0</v>
      </c>
      <c r="MV49" s="77">
        <f t="shared" si="279"/>
        <v>0</v>
      </c>
      <c r="MW49" s="77">
        <f t="shared" si="279"/>
        <v>0</v>
      </c>
      <c r="MX49" s="77">
        <f t="shared" si="279"/>
        <v>0</v>
      </c>
      <c r="MY49" s="77">
        <f t="shared" si="279"/>
        <v>0</v>
      </c>
      <c r="MZ49" s="77">
        <f t="shared" si="279"/>
        <v>0</v>
      </c>
      <c r="NA49" s="77">
        <f t="shared" si="279"/>
        <v>0</v>
      </c>
      <c r="NB49" s="77">
        <f t="shared" si="279"/>
        <v>0</v>
      </c>
      <c r="NC49" s="77">
        <f t="shared" si="279"/>
        <v>0</v>
      </c>
      <c r="ND49" s="77">
        <f t="shared" ref="ND49:NW49" si="280">FX53</f>
        <v>0</v>
      </c>
      <c r="NE49" s="77">
        <f t="shared" si="280"/>
        <v>0</v>
      </c>
      <c r="NF49" s="77">
        <f t="shared" si="280"/>
        <v>0</v>
      </c>
      <c r="NG49" s="77">
        <f t="shared" si="280"/>
        <v>0</v>
      </c>
      <c r="NH49" s="77">
        <f t="shared" si="280"/>
        <v>0</v>
      </c>
      <c r="NI49" s="77">
        <f t="shared" si="280"/>
        <v>0</v>
      </c>
      <c r="NJ49" s="77">
        <f t="shared" si="280"/>
        <v>0</v>
      </c>
      <c r="NK49" s="77">
        <f t="shared" si="280"/>
        <v>0</v>
      </c>
      <c r="NL49" s="77">
        <f t="shared" si="280"/>
        <v>0</v>
      </c>
      <c r="NM49" s="77">
        <f t="shared" si="280"/>
        <v>0</v>
      </c>
      <c r="NN49" s="77">
        <f t="shared" si="280"/>
        <v>0</v>
      </c>
      <c r="NO49" s="77">
        <f t="shared" si="280"/>
        <v>0</v>
      </c>
      <c r="NP49" s="77">
        <f t="shared" si="280"/>
        <v>0</v>
      </c>
      <c r="NQ49" s="77">
        <f t="shared" si="280"/>
        <v>0</v>
      </c>
      <c r="NR49" s="77">
        <f t="shared" si="280"/>
        <v>0</v>
      </c>
      <c r="NS49" s="77">
        <f t="shared" si="280"/>
        <v>0</v>
      </c>
      <c r="NT49" s="77">
        <f t="shared" si="280"/>
        <v>0</v>
      </c>
      <c r="NU49" s="77">
        <f t="shared" si="280"/>
        <v>0</v>
      </c>
      <c r="NV49" s="77">
        <f t="shared" si="280"/>
        <v>0</v>
      </c>
      <c r="NW49" s="77">
        <f t="shared" si="280"/>
        <v>0</v>
      </c>
    </row>
    <row r="50" spans="2:387" ht="15.5" x14ac:dyDescent="0.45">
      <c r="B50" s="49" t="s">
        <v>227</v>
      </c>
      <c r="C50" s="18"/>
      <c r="D50" s="18"/>
      <c r="E50" s="27">
        <v>1</v>
      </c>
      <c r="F50" s="27">
        <v>1</v>
      </c>
      <c r="G50" s="21"/>
      <c r="H50" s="28">
        <f>F50-E50+1</f>
        <v>1</v>
      </c>
      <c r="I50" s="19" t="s">
        <v>195</v>
      </c>
      <c r="J50" s="31">
        <f>L50/$L$8</f>
        <v>543.47826086956525</v>
      </c>
      <c r="K50" s="32">
        <f>L50/$L$7</f>
        <v>7.183908045977011E-2</v>
      </c>
      <c r="L50" s="33">
        <v>125000</v>
      </c>
      <c r="N50" s="9" t="s">
        <v>228</v>
      </c>
      <c r="S50" s="69" t="str">
        <f>IF(ROUND(L50,0)=ROUND(SUM(T50:GQ50),0),"OK","ERROR")</f>
        <v>OK</v>
      </c>
      <c r="T50" s="62">
        <f t="shared" ref="T50:AY50" si="281">AND(T$14&gt;=$E50,T$14&lt;=$F50)*($L50/$H50)</f>
        <v>125000</v>
      </c>
      <c r="U50" s="62">
        <f t="shared" si="281"/>
        <v>0</v>
      </c>
      <c r="V50" s="62">
        <f t="shared" si="281"/>
        <v>0</v>
      </c>
      <c r="W50" s="62">
        <f t="shared" si="281"/>
        <v>0</v>
      </c>
      <c r="X50" s="62">
        <f t="shared" si="281"/>
        <v>0</v>
      </c>
      <c r="Y50" s="62">
        <f t="shared" si="281"/>
        <v>0</v>
      </c>
      <c r="Z50" s="62">
        <f t="shared" si="281"/>
        <v>0</v>
      </c>
      <c r="AA50" s="62">
        <f t="shared" si="281"/>
        <v>0</v>
      </c>
      <c r="AB50" s="62">
        <f t="shared" si="281"/>
        <v>0</v>
      </c>
      <c r="AC50" s="62">
        <f t="shared" si="281"/>
        <v>0</v>
      </c>
      <c r="AD50" s="62">
        <f t="shared" si="281"/>
        <v>0</v>
      </c>
      <c r="AE50" s="62">
        <f t="shared" si="281"/>
        <v>0</v>
      </c>
      <c r="AF50" s="62">
        <f t="shared" si="281"/>
        <v>0</v>
      </c>
      <c r="AG50" s="62">
        <f t="shared" si="281"/>
        <v>0</v>
      </c>
      <c r="AH50" s="62">
        <f t="shared" si="281"/>
        <v>0</v>
      </c>
      <c r="AI50" s="62">
        <f t="shared" si="281"/>
        <v>0</v>
      </c>
      <c r="AJ50" s="62">
        <f t="shared" si="281"/>
        <v>0</v>
      </c>
      <c r="AK50" s="62">
        <f t="shared" si="281"/>
        <v>0</v>
      </c>
      <c r="AL50" s="62">
        <f t="shared" si="281"/>
        <v>0</v>
      </c>
      <c r="AM50" s="62">
        <f t="shared" si="281"/>
        <v>0</v>
      </c>
      <c r="AN50" s="62">
        <f t="shared" si="281"/>
        <v>0</v>
      </c>
      <c r="AO50" s="62">
        <f t="shared" si="281"/>
        <v>0</v>
      </c>
      <c r="AP50" s="62">
        <f t="shared" si="281"/>
        <v>0</v>
      </c>
      <c r="AQ50" s="62">
        <f t="shared" si="281"/>
        <v>0</v>
      </c>
      <c r="AR50" s="62">
        <f t="shared" si="281"/>
        <v>0</v>
      </c>
      <c r="AS50" s="62">
        <f t="shared" si="281"/>
        <v>0</v>
      </c>
      <c r="AT50" s="62">
        <f t="shared" si="281"/>
        <v>0</v>
      </c>
      <c r="AU50" s="62">
        <f t="shared" si="281"/>
        <v>0</v>
      </c>
      <c r="AV50" s="62">
        <f t="shared" si="281"/>
        <v>0</v>
      </c>
      <c r="AW50" s="62">
        <f t="shared" si="281"/>
        <v>0</v>
      </c>
      <c r="AX50" s="62">
        <f t="shared" si="281"/>
        <v>0</v>
      </c>
      <c r="AY50" s="62">
        <f t="shared" si="281"/>
        <v>0</v>
      </c>
      <c r="AZ50" s="62">
        <f t="shared" ref="AZ50:CE50" si="282">AND(AZ$14&gt;=$E50,AZ$14&lt;=$F50)*($L50/$H50)</f>
        <v>0</v>
      </c>
      <c r="BA50" s="62">
        <f t="shared" si="282"/>
        <v>0</v>
      </c>
      <c r="BB50" s="62">
        <f t="shared" si="282"/>
        <v>0</v>
      </c>
      <c r="BC50" s="62">
        <f t="shared" si="282"/>
        <v>0</v>
      </c>
      <c r="BD50" s="62">
        <f t="shared" si="282"/>
        <v>0</v>
      </c>
      <c r="BE50" s="62">
        <f t="shared" si="282"/>
        <v>0</v>
      </c>
      <c r="BF50" s="62">
        <f t="shared" si="282"/>
        <v>0</v>
      </c>
      <c r="BG50" s="62">
        <f t="shared" si="282"/>
        <v>0</v>
      </c>
      <c r="BH50" s="62">
        <f t="shared" si="282"/>
        <v>0</v>
      </c>
      <c r="BI50" s="62">
        <f t="shared" si="282"/>
        <v>0</v>
      </c>
      <c r="BJ50" s="62">
        <f t="shared" si="282"/>
        <v>0</v>
      </c>
      <c r="BK50" s="62">
        <f t="shared" si="282"/>
        <v>0</v>
      </c>
      <c r="BL50" s="62">
        <f t="shared" si="282"/>
        <v>0</v>
      </c>
      <c r="BM50" s="62">
        <f t="shared" si="282"/>
        <v>0</v>
      </c>
      <c r="BN50" s="62">
        <f t="shared" si="282"/>
        <v>0</v>
      </c>
      <c r="BO50" s="62">
        <f t="shared" si="282"/>
        <v>0</v>
      </c>
      <c r="BP50" s="62">
        <f t="shared" si="282"/>
        <v>0</v>
      </c>
      <c r="BQ50" s="62">
        <f t="shared" si="282"/>
        <v>0</v>
      </c>
      <c r="BR50" s="62">
        <f t="shared" si="282"/>
        <v>0</v>
      </c>
      <c r="BS50" s="62">
        <f t="shared" si="282"/>
        <v>0</v>
      </c>
      <c r="BT50" s="62">
        <f t="shared" si="282"/>
        <v>0</v>
      </c>
      <c r="BU50" s="62">
        <f t="shared" si="282"/>
        <v>0</v>
      </c>
      <c r="BV50" s="62">
        <f t="shared" si="282"/>
        <v>0</v>
      </c>
      <c r="BW50" s="62">
        <f t="shared" si="282"/>
        <v>0</v>
      </c>
      <c r="BX50" s="62">
        <f t="shared" si="282"/>
        <v>0</v>
      </c>
      <c r="BY50" s="62">
        <f t="shared" si="282"/>
        <v>0</v>
      </c>
      <c r="BZ50" s="62">
        <f t="shared" si="282"/>
        <v>0</v>
      </c>
      <c r="CA50" s="62">
        <f t="shared" si="282"/>
        <v>0</v>
      </c>
      <c r="CB50" s="62">
        <f t="shared" si="282"/>
        <v>0</v>
      </c>
      <c r="CC50" s="62">
        <f t="shared" si="282"/>
        <v>0</v>
      </c>
      <c r="CD50" s="62">
        <f t="shared" si="282"/>
        <v>0</v>
      </c>
      <c r="CE50" s="62">
        <f t="shared" si="282"/>
        <v>0</v>
      </c>
      <c r="CF50" s="62">
        <f t="shared" ref="CF50:DK50" si="283">AND(CF$14&gt;=$E50,CF$14&lt;=$F50)*($L50/$H50)</f>
        <v>0</v>
      </c>
      <c r="CG50" s="62">
        <f t="shared" si="283"/>
        <v>0</v>
      </c>
      <c r="CH50" s="62">
        <f t="shared" si="283"/>
        <v>0</v>
      </c>
      <c r="CI50" s="62">
        <f t="shared" si="283"/>
        <v>0</v>
      </c>
      <c r="CJ50" s="62">
        <f t="shared" si="283"/>
        <v>0</v>
      </c>
      <c r="CK50" s="62">
        <f t="shared" si="283"/>
        <v>0</v>
      </c>
      <c r="CL50" s="62">
        <f t="shared" si="283"/>
        <v>0</v>
      </c>
      <c r="CM50" s="62">
        <f t="shared" si="283"/>
        <v>0</v>
      </c>
      <c r="CN50" s="62">
        <f t="shared" si="283"/>
        <v>0</v>
      </c>
      <c r="CO50" s="62">
        <f t="shared" si="283"/>
        <v>0</v>
      </c>
      <c r="CP50" s="62">
        <f t="shared" si="283"/>
        <v>0</v>
      </c>
      <c r="CQ50" s="62">
        <f t="shared" si="283"/>
        <v>0</v>
      </c>
      <c r="CR50" s="62">
        <f t="shared" si="283"/>
        <v>0</v>
      </c>
      <c r="CS50" s="62">
        <f t="shared" si="283"/>
        <v>0</v>
      </c>
      <c r="CT50" s="62">
        <f t="shared" si="283"/>
        <v>0</v>
      </c>
      <c r="CU50" s="62">
        <f t="shared" si="283"/>
        <v>0</v>
      </c>
      <c r="CV50" s="62">
        <f t="shared" si="283"/>
        <v>0</v>
      </c>
      <c r="CW50" s="62">
        <f t="shared" si="283"/>
        <v>0</v>
      </c>
      <c r="CX50" s="62">
        <f t="shared" si="283"/>
        <v>0</v>
      </c>
      <c r="CY50" s="62">
        <f t="shared" si="283"/>
        <v>0</v>
      </c>
      <c r="CZ50" s="62">
        <f t="shared" si="283"/>
        <v>0</v>
      </c>
      <c r="DA50" s="62">
        <f t="shared" si="283"/>
        <v>0</v>
      </c>
      <c r="DB50" s="62">
        <f t="shared" si="283"/>
        <v>0</v>
      </c>
      <c r="DC50" s="62">
        <f t="shared" si="283"/>
        <v>0</v>
      </c>
      <c r="DD50" s="62">
        <f t="shared" si="283"/>
        <v>0</v>
      </c>
      <c r="DE50" s="62">
        <f t="shared" si="283"/>
        <v>0</v>
      </c>
      <c r="DF50" s="62">
        <f t="shared" si="283"/>
        <v>0</v>
      </c>
      <c r="DG50" s="62">
        <f t="shared" si="283"/>
        <v>0</v>
      </c>
      <c r="DH50" s="62">
        <f t="shared" si="283"/>
        <v>0</v>
      </c>
      <c r="DI50" s="62">
        <f t="shared" si="283"/>
        <v>0</v>
      </c>
      <c r="DJ50" s="62">
        <f t="shared" si="283"/>
        <v>0</v>
      </c>
      <c r="DK50" s="62">
        <f t="shared" si="283"/>
        <v>0</v>
      </c>
      <c r="DL50" s="62">
        <f t="shared" ref="DL50:EQ50" si="284">AND(DL$14&gt;=$E50,DL$14&lt;=$F50)*($L50/$H50)</f>
        <v>0</v>
      </c>
      <c r="DM50" s="62">
        <f t="shared" si="284"/>
        <v>0</v>
      </c>
      <c r="DN50" s="62">
        <f t="shared" si="284"/>
        <v>0</v>
      </c>
      <c r="DO50" s="62">
        <f t="shared" si="284"/>
        <v>0</v>
      </c>
      <c r="DP50" s="62">
        <f t="shared" si="284"/>
        <v>0</v>
      </c>
      <c r="DQ50" s="62">
        <f t="shared" si="284"/>
        <v>0</v>
      </c>
      <c r="DR50" s="62">
        <f t="shared" si="284"/>
        <v>0</v>
      </c>
      <c r="DS50" s="62">
        <f t="shared" si="284"/>
        <v>0</v>
      </c>
      <c r="DT50" s="62">
        <f t="shared" si="284"/>
        <v>0</v>
      </c>
      <c r="DU50" s="62">
        <f t="shared" si="284"/>
        <v>0</v>
      </c>
      <c r="DV50" s="62">
        <f t="shared" si="284"/>
        <v>0</v>
      </c>
      <c r="DW50" s="62">
        <f t="shared" si="284"/>
        <v>0</v>
      </c>
      <c r="DX50" s="62">
        <f t="shared" si="284"/>
        <v>0</v>
      </c>
      <c r="DY50" s="62">
        <f t="shared" si="284"/>
        <v>0</v>
      </c>
      <c r="DZ50" s="62">
        <f t="shared" si="284"/>
        <v>0</v>
      </c>
      <c r="EA50" s="62">
        <f t="shared" si="284"/>
        <v>0</v>
      </c>
      <c r="EB50" s="62">
        <f t="shared" si="284"/>
        <v>0</v>
      </c>
      <c r="EC50" s="62">
        <f t="shared" si="284"/>
        <v>0</v>
      </c>
      <c r="ED50" s="62">
        <f t="shared" si="284"/>
        <v>0</v>
      </c>
      <c r="EE50" s="62">
        <f t="shared" si="284"/>
        <v>0</v>
      </c>
      <c r="EF50" s="62">
        <f t="shared" si="284"/>
        <v>0</v>
      </c>
      <c r="EG50" s="62">
        <f t="shared" si="284"/>
        <v>0</v>
      </c>
      <c r="EH50" s="62">
        <f t="shared" si="284"/>
        <v>0</v>
      </c>
      <c r="EI50" s="62">
        <f t="shared" si="284"/>
        <v>0</v>
      </c>
      <c r="EJ50" s="62">
        <f t="shared" si="284"/>
        <v>0</v>
      </c>
      <c r="EK50" s="62">
        <f t="shared" si="284"/>
        <v>0</v>
      </c>
      <c r="EL50" s="62">
        <f t="shared" si="284"/>
        <v>0</v>
      </c>
      <c r="EM50" s="62">
        <f t="shared" si="284"/>
        <v>0</v>
      </c>
      <c r="EN50" s="62">
        <f t="shared" si="284"/>
        <v>0</v>
      </c>
      <c r="EO50" s="62">
        <f t="shared" si="284"/>
        <v>0</v>
      </c>
      <c r="EP50" s="62">
        <f t="shared" si="284"/>
        <v>0</v>
      </c>
      <c r="EQ50" s="62">
        <f t="shared" si="284"/>
        <v>0</v>
      </c>
      <c r="ER50" s="62">
        <f t="shared" ref="ER50:FW50" si="285">AND(ER$14&gt;=$E50,ER$14&lt;=$F50)*($L50/$H50)</f>
        <v>0</v>
      </c>
      <c r="ES50" s="62">
        <f t="shared" si="285"/>
        <v>0</v>
      </c>
      <c r="ET50" s="62">
        <f t="shared" si="285"/>
        <v>0</v>
      </c>
      <c r="EU50" s="62">
        <f t="shared" si="285"/>
        <v>0</v>
      </c>
      <c r="EV50" s="62">
        <f t="shared" si="285"/>
        <v>0</v>
      </c>
      <c r="EW50" s="62">
        <f t="shared" si="285"/>
        <v>0</v>
      </c>
      <c r="EX50" s="62">
        <f t="shared" si="285"/>
        <v>0</v>
      </c>
      <c r="EY50" s="62">
        <f t="shared" si="285"/>
        <v>0</v>
      </c>
      <c r="EZ50" s="62">
        <f t="shared" si="285"/>
        <v>0</v>
      </c>
      <c r="FA50" s="62">
        <f t="shared" si="285"/>
        <v>0</v>
      </c>
      <c r="FB50" s="62">
        <f t="shared" si="285"/>
        <v>0</v>
      </c>
      <c r="FC50" s="62">
        <f t="shared" si="285"/>
        <v>0</v>
      </c>
      <c r="FD50" s="62">
        <f t="shared" si="285"/>
        <v>0</v>
      </c>
      <c r="FE50" s="62">
        <f t="shared" si="285"/>
        <v>0</v>
      </c>
      <c r="FF50" s="62">
        <f t="shared" si="285"/>
        <v>0</v>
      </c>
      <c r="FG50" s="62">
        <f t="shared" si="285"/>
        <v>0</v>
      </c>
      <c r="FH50" s="62">
        <f t="shared" si="285"/>
        <v>0</v>
      </c>
      <c r="FI50" s="62">
        <f t="shared" si="285"/>
        <v>0</v>
      </c>
      <c r="FJ50" s="62">
        <f t="shared" si="285"/>
        <v>0</v>
      </c>
      <c r="FK50" s="62">
        <f t="shared" si="285"/>
        <v>0</v>
      </c>
      <c r="FL50" s="62">
        <f t="shared" si="285"/>
        <v>0</v>
      </c>
      <c r="FM50" s="62">
        <f t="shared" si="285"/>
        <v>0</v>
      </c>
      <c r="FN50" s="62">
        <f t="shared" si="285"/>
        <v>0</v>
      </c>
      <c r="FO50" s="62">
        <f t="shared" si="285"/>
        <v>0</v>
      </c>
      <c r="FP50" s="62">
        <f t="shared" si="285"/>
        <v>0</v>
      </c>
      <c r="FQ50" s="62">
        <f t="shared" si="285"/>
        <v>0</v>
      </c>
      <c r="FR50" s="62">
        <f t="shared" si="285"/>
        <v>0</v>
      </c>
      <c r="FS50" s="62">
        <f t="shared" si="285"/>
        <v>0</v>
      </c>
      <c r="FT50" s="62">
        <f t="shared" si="285"/>
        <v>0</v>
      </c>
      <c r="FU50" s="62">
        <f t="shared" si="285"/>
        <v>0</v>
      </c>
      <c r="FV50" s="62">
        <f t="shared" si="285"/>
        <v>0</v>
      </c>
      <c r="FW50" s="62">
        <f t="shared" si="285"/>
        <v>0</v>
      </c>
      <c r="FX50" s="62">
        <f t="shared" ref="FX50:GQ50" si="286">AND(FX$14&gt;=$E50,FX$14&lt;=$F50)*($L50/$H50)</f>
        <v>0</v>
      </c>
      <c r="FY50" s="62">
        <f t="shared" si="286"/>
        <v>0</v>
      </c>
      <c r="FZ50" s="62">
        <f t="shared" si="286"/>
        <v>0</v>
      </c>
      <c r="GA50" s="62">
        <f t="shared" si="286"/>
        <v>0</v>
      </c>
      <c r="GB50" s="62">
        <f t="shared" si="286"/>
        <v>0</v>
      </c>
      <c r="GC50" s="62">
        <f t="shared" si="286"/>
        <v>0</v>
      </c>
      <c r="GD50" s="62">
        <f t="shared" si="286"/>
        <v>0</v>
      </c>
      <c r="GE50" s="62">
        <f t="shared" si="286"/>
        <v>0</v>
      </c>
      <c r="GF50" s="62">
        <f t="shared" si="286"/>
        <v>0</v>
      </c>
      <c r="GG50" s="62">
        <f t="shared" si="286"/>
        <v>0</v>
      </c>
      <c r="GH50" s="62">
        <f t="shared" si="286"/>
        <v>0</v>
      </c>
      <c r="GI50" s="62">
        <f t="shared" si="286"/>
        <v>0</v>
      </c>
      <c r="GJ50" s="62">
        <f t="shared" si="286"/>
        <v>0</v>
      </c>
      <c r="GK50" s="62">
        <f t="shared" si="286"/>
        <v>0</v>
      </c>
      <c r="GL50" s="62">
        <f t="shared" si="286"/>
        <v>0</v>
      </c>
      <c r="GM50" s="62">
        <f t="shared" si="286"/>
        <v>0</v>
      </c>
      <c r="GN50" s="62">
        <f t="shared" si="286"/>
        <v>0</v>
      </c>
      <c r="GO50" s="62">
        <f t="shared" si="286"/>
        <v>0</v>
      </c>
      <c r="GP50" s="62">
        <f t="shared" si="286"/>
        <v>0</v>
      </c>
      <c r="GQ50" s="62">
        <f t="shared" si="286"/>
        <v>0</v>
      </c>
      <c r="GS50" s="80" t="s">
        <v>229</v>
      </c>
      <c r="GT50" s="77"/>
      <c r="GU50" s="77"/>
      <c r="GV50" s="77"/>
      <c r="GW50" s="77"/>
      <c r="GX50" s="77"/>
      <c r="GY50" s="71"/>
      <c r="GZ50" s="84"/>
      <c r="HA50" s="84"/>
      <c r="HB50" s="84"/>
      <c r="HC50" s="84"/>
      <c r="HD50" s="84"/>
      <c r="HE50" s="84"/>
      <c r="HF50" s="84"/>
      <c r="HG50" s="84"/>
      <c r="HH50" s="84"/>
      <c r="HI50" s="84"/>
      <c r="HJ50" s="84"/>
      <c r="HK50" s="84"/>
      <c r="HL50" s="84"/>
      <c r="HM50" s="84"/>
      <c r="HN50" s="84"/>
      <c r="HO50" s="84"/>
      <c r="HP50" s="84"/>
      <c r="HQ50" s="84"/>
      <c r="HR50" s="84"/>
      <c r="HS50" s="84"/>
      <c r="HT50" s="84"/>
      <c r="HU50" s="84"/>
      <c r="HV50" s="84"/>
      <c r="HW50" s="84"/>
      <c r="HX50" s="84"/>
      <c r="HY50" s="84"/>
      <c r="HZ50" s="84"/>
      <c r="IA50" s="84"/>
      <c r="IB50" s="84"/>
      <c r="IC50" s="84"/>
      <c r="ID50" s="84"/>
      <c r="IE50" s="84"/>
      <c r="IF50" s="84"/>
      <c r="IG50" s="84"/>
      <c r="IH50" s="84"/>
      <c r="II50" s="84"/>
      <c r="IJ50" s="84"/>
      <c r="IK50" s="84"/>
      <c r="IL50" s="84"/>
      <c r="IM50" s="84"/>
      <c r="IN50" s="84"/>
      <c r="IO50" s="84"/>
      <c r="IP50" s="84"/>
      <c r="IQ50" s="84"/>
      <c r="IR50" s="84"/>
      <c r="IS50" s="84"/>
      <c r="IT50" s="84"/>
      <c r="IU50" s="84"/>
      <c r="IV50" s="84"/>
      <c r="IW50" s="84"/>
      <c r="IX50" s="84"/>
      <c r="IY50" s="84"/>
      <c r="IZ50" s="84"/>
      <c r="JA50" s="84"/>
      <c r="JB50" s="84"/>
      <c r="JC50" s="84"/>
      <c r="JD50" s="84"/>
      <c r="JE50" s="84"/>
      <c r="JF50" s="84"/>
      <c r="JG50" s="84"/>
      <c r="JH50" s="84"/>
      <c r="JI50" s="84"/>
      <c r="JJ50" s="84"/>
      <c r="JK50" s="84"/>
      <c r="JL50" s="84"/>
      <c r="JM50" s="84"/>
      <c r="JN50" s="84"/>
      <c r="JO50" s="84"/>
      <c r="JP50" s="84"/>
      <c r="JQ50" s="84"/>
      <c r="JR50" s="84"/>
      <c r="JS50" s="84"/>
      <c r="JT50" s="84"/>
      <c r="JU50" s="84"/>
      <c r="JV50" s="84"/>
      <c r="JW50" s="84"/>
      <c r="JX50" s="84"/>
      <c r="JY50" s="84"/>
      <c r="JZ50" s="84"/>
      <c r="KA50" s="84"/>
      <c r="KB50" s="84"/>
      <c r="KC50" s="84"/>
      <c r="KD50" s="84"/>
      <c r="KE50" s="84"/>
      <c r="KF50" s="84"/>
      <c r="KG50" s="84"/>
      <c r="KH50" s="84"/>
      <c r="KI50" s="84"/>
      <c r="KJ50" s="84"/>
      <c r="KK50" s="84"/>
      <c r="KL50" s="84"/>
      <c r="KM50" s="84"/>
      <c r="KN50" s="84"/>
      <c r="KO50" s="84"/>
      <c r="KP50" s="84"/>
      <c r="KQ50" s="84"/>
      <c r="KR50" s="84"/>
      <c r="KS50" s="84"/>
      <c r="KT50" s="84"/>
      <c r="KU50" s="84"/>
      <c r="KV50" s="84"/>
      <c r="KW50" s="84"/>
      <c r="KX50" s="84"/>
      <c r="KY50" s="84"/>
      <c r="KZ50" s="84"/>
      <c r="LA50" s="84"/>
      <c r="LB50" s="84"/>
      <c r="LC50" s="84"/>
      <c r="LD50" s="84"/>
      <c r="LE50" s="84"/>
      <c r="LF50" s="84"/>
      <c r="LG50" s="84"/>
      <c r="LH50" s="84"/>
      <c r="LI50" s="84"/>
      <c r="LJ50" s="84"/>
      <c r="LK50" s="84"/>
      <c r="LL50" s="84"/>
      <c r="LM50" s="84"/>
      <c r="LN50" s="84"/>
      <c r="LO50" s="84"/>
      <c r="LP50" s="84"/>
      <c r="LQ50" s="84"/>
      <c r="LR50" s="84"/>
      <c r="LS50" s="84"/>
      <c r="LT50" s="84"/>
      <c r="LU50" s="84"/>
      <c r="LV50" s="84"/>
      <c r="LW50" s="84"/>
      <c r="LX50" s="84"/>
      <c r="LY50" s="84"/>
      <c r="LZ50" s="84"/>
      <c r="MA50" s="84"/>
      <c r="MB50" s="84"/>
      <c r="MC50" s="84"/>
      <c r="MD50" s="84"/>
      <c r="ME50" s="84"/>
      <c r="MF50" s="84"/>
      <c r="MG50" s="84"/>
      <c r="MH50" s="84"/>
      <c r="MI50" s="84"/>
      <c r="MJ50" s="84"/>
      <c r="MK50" s="84"/>
      <c r="ML50" s="84"/>
      <c r="MM50" s="84"/>
      <c r="MN50" s="84"/>
      <c r="MO50" s="84"/>
      <c r="MP50" s="84"/>
      <c r="MQ50" s="84"/>
      <c r="MR50" s="84"/>
      <c r="MS50" s="84"/>
      <c r="MT50" s="84"/>
      <c r="MU50" s="84"/>
      <c r="MV50" s="84"/>
      <c r="MW50" s="84"/>
      <c r="MX50" s="84"/>
      <c r="MY50" s="84"/>
      <c r="MZ50" s="84"/>
      <c r="NA50" s="84"/>
      <c r="NB50" s="84"/>
      <c r="NC50" s="84"/>
      <c r="ND50" s="84"/>
      <c r="NE50" s="84"/>
      <c r="NF50" s="84"/>
      <c r="NG50" s="84"/>
      <c r="NH50" s="84"/>
      <c r="NI50" s="84"/>
      <c r="NJ50" s="84"/>
      <c r="NK50" s="84"/>
      <c r="NL50" s="84"/>
      <c r="NM50" s="84"/>
      <c r="NN50" s="84"/>
      <c r="NO50" s="84"/>
      <c r="NP50" s="84"/>
      <c r="NQ50" s="84"/>
      <c r="NR50" s="84"/>
      <c r="NS50" s="84"/>
      <c r="NT50" s="84"/>
      <c r="NU50" s="84"/>
      <c r="NV50" s="84"/>
      <c r="NW50" s="84"/>
    </row>
    <row r="51" spans="2:387" x14ac:dyDescent="0.3">
      <c r="B51" s="18" t="str">
        <f>"Total "&amp;B48</f>
        <v>Total Carry Costs</v>
      </c>
      <c r="C51" s="18"/>
      <c r="D51" s="18"/>
      <c r="E51" s="34">
        <f>MIN(E49:E50)</f>
        <v>1</v>
      </c>
      <c r="F51" s="34">
        <f>MAX(F49:F50)</f>
        <v>31</v>
      </c>
      <c r="G51" s="19"/>
      <c r="H51" s="19"/>
      <c r="I51" s="19"/>
      <c r="J51" s="23">
        <f>L51/$L$8</f>
        <v>1248.3268888814412</v>
      </c>
      <c r="K51" s="29">
        <f>L51/$L$7</f>
        <v>0.16500872669122499</v>
      </c>
      <c r="L51" s="23">
        <f>SUM(L49:L50)</f>
        <v>287115.18444273149</v>
      </c>
      <c r="S51" s="69" t="str">
        <f>IF(ROUND(L51,0)=ROUND(SUM(T51:GQ51),0),"OK","ERROR")</f>
        <v>OK</v>
      </c>
      <c r="T51" s="50">
        <f t="shared" ref="T51:CE51" si="287">SUM(T49:T50)</f>
        <v>125000</v>
      </c>
      <c r="U51" s="50">
        <f t="shared" si="287"/>
        <v>7810.155052662959</v>
      </c>
      <c r="V51" s="50">
        <f t="shared" si="287"/>
        <v>8333.777070080394</v>
      </c>
      <c r="W51" s="50">
        <f t="shared" si="287"/>
        <v>8890.3071912254472</v>
      </c>
      <c r="X51" s="50">
        <f t="shared" si="287"/>
        <v>9498.186921461167</v>
      </c>
      <c r="Y51" s="50">
        <f t="shared" si="287"/>
        <v>10183.37278485527</v>
      </c>
      <c r="Z51" s="50">
        <f t="shared" si="287"/>
        <v>10980.092823359349</v>
      </c>
      <c r="AA51" s="50">
        <f t="shared" si="287"/>
        <v>11930.324138148539</v>
      </c>
      <c r="AB51" s="50">
        <f t="shared" si="287"/>
        <v>13347.457393406645</v>
      </c>
      <c r="AC51" s="50">
        <f t="shared" si="287"/>
        <v>14815.307697944405</v>
      </c>
      <c r="AD51" s="50">
        <f t="shared" si="287"/>
        <v>3255.3491597986622</v>
      </c>
      <c r="AE51" s="50">
        <f t="shared" si="287"/>
        <v>5039.1677883972879</v>
      </c>
      <c r="AF51" s="50">
        <f t="shared" si="287"/>
        <v>0</v>
      </c>
      <c r="AG51" s="50">
        <f t="shared" si="287"/>
        <v>2366.288439690512</v>
      </c>
      <c r="AH51" s="50">
        <f t="shared" si="287"/>
        <v>4979.5938602237911</v>
      </c>
      <c r="AI51" s="50">
        <f t="shared" si="287"/>
        <v>7760.2246840114785</v>
      </c>
      <c r="AJ51" s="50">
        <f t="shared" si="287"/>
        <v>4995.4309480669972</v>
      </c>
      <c r="AK51" s="50">
        <f t="shared" si="287"/>
        <v>7776.1502732279278</v>
      </c>
      <c r="AL51" s="50">
        <f t="shared" si="287"/>
        <v>6565.4813922427375</v>
      </c>
      <c r="AM51" s="50">
        <f t="shared" si="287"/>
        <v>3354.3784044193108</v>
      </c>
      <c r="AN51" s="50">
        <f t="shared" si="287"/>
        <v>5758.636778845168</v>
      </c>
      <c r="AO51" s="50">
        <f t="shared" si="287"/>
        <v>4009.5914264914049</v>
      </c>
      <c r="AP51" s="50">
        <f t="shared" si="287"/>
        <v>1555.6205768287184</v>
      </c>
      <c r="AQ51" s="50">
        <f t="shared" si="287"/>
        <v>3045.5900285679559</v>
      </c>
      <c r="AR51" s="50">
        <f t="shared" si="287"/>
        <v>331.67611422210621</v>
      </c>
      <c r="AS51" s="50">
        <f t="shared" si="287"/>
        <v>1313.4337877948365</v>
      </c>
      <c r="AT51" s="50">
        <f t="shared" si="287"/>
        <v>2151.618737002892</v>
      </c>
      <c r="AU51" s="50">
        <f t="shared" si="287"/>
        <v>0</v>
      </c>
      <c r="AV51" s="50">
        <f t="shared" si="287"/>
        <v>649.23081867818257</v>
      </c>
      <c r="AW51" s="50">
        <f t="shared" si="287"/>
        <v>946.49716292941946</v>
      </c>
      <c r="AX51" s="50">
        <f t="shared" si="287"/>
        <v>472.24298814792303</v>
      </c>
      <c r="AY51" s="50">
        <f t="shared" si="287"/>
        <v>0</v>
      </c>
      <c r="AZ51" s="50">
        <f t="shared" si="287"/>
        <v>0</v>
      </c>
      <c r="BA51" s="50">
        <f t="shared" si="287"/>
        <v>0</v>
      </c>
      <c r="BB51" s="50">
        <f t="shared" si="287"/>
        <v>0</v>
      </c>
      <c r="BC51" s="50">
        <f t="shared" si="287"/>
        <v>0</v>
      </c>
      <c r="BD51" s="50">
        <f t="shared" si="287"/>
        <v>0</v>
      </c>
      <c r="BE51" s="50">
        <f t="shared" si="287"/>
        <v>0</v>
      </c>
      <c r="BF51" s="50">
        <f t="shared" si="287"/>
        <v>0</v>
      </c>
      <c r="BG51" s="50">
        <f t="shared" si="287"/>
        <v>0</v>
      </c>
      <c r="BH51" s="50">
        <f t="shared" si="287"/>
        <v>0</v>
      </c>
      <c r="BI51" s="50">
        <f t="shared" si="287"/>
        <v>0</v>
      </c>
      <c r="BJ51" s="50">
        <f t="shared" si="287"/>
        <v>0</v>
      </c>
      <c r="BK51" s="50">
        <f t="shared" si="287"/>
        <v>0</v>
      </c>
      <c r="BL51" s="50">
        <f t="shared" si="287"/>
        <v>0</v>
      </c>
      <c r="BM51" s="50">
        <f t="shared" si="287"/>
        <v>0</v>
      </c>
      <c r="BN51" s="50">
        <f t="shared" si="287"/>
        <v>0</v>
      </c>
      <c r="BO51" s="50">
        <f t="shared" si="287"/>
        <v>0</v>
      </c>
      <c r="BP51" s="50">
        <f t="shared" si="287"/>
        <v>0</v>
      </c>
      <c r="BQ51" s="50">
        <f t="shared" si="287"/>
        <v>0</v>
      </c>
      <c r="BR51" s="50">
        <f t="shared" si="287"/>
        <v>0</v>
      </c>
      <c r="BS51" s="50">
        <f t="shared" si="287"/>
        <v>0</v>
      </c>
      <c r="BT51" s="50">
        <f t="shared" si="287"/>
        <v>0</v>
      </c>
      <c r="BU51" s="50">
        <f t="shared" si="287"/>
        <v>0</v>
      </c>
      <c r="BV51" s="50">
        <f t="shared" si="287"/>
        <v>0</v>
      </c>
      <c r="BW51" s="50">
        <f t="shared" si="287"/>
        <v>0</v>
      </c>
      <c r="BX51" s="50">
        <f t="shared" si="287"/>
        <v>0</v>
      </c>
      <c r="BY51" s="50">
        <f t="shared" si="287"/>
        <v>0</v>
      </c>
      <c r="BZ51" s="50">
        <f t="shared" si="287"/>
        <v>0</v>
      </c>
      <c r="CA51" s="50">
        <f t="shared" si="287"/>
        <v>0</v>
      </c>
      <c r="CB51" s="50">
        <f t="shared" si="287"/>
        <v>0</v>
      </c>
      <c r="CC51" s="50">
        <f t="shared" si="287"/>
        <v>0</v>
      </c>
      <c r="CD51" s="50">
        <f t="shared" si="287"/>
        <v>0</v>
      </c>
      <c r="CE51" s="50">
        <f t="shared" si="287"/>
        <v>0</v>
      </c>
      <c r="CF51" s="50">
        <f t="shared" ref="CF51:EQ51" si="288">SUM(CF49:CF50)</f>
        <v>0</v>
      </c>
      <c r="CG51" s="50">
        <f t="shared" si="288"/>
        <v>0</v>
      </c>
      <c r="CH51" s="50">
        <f t="shared" si="288"/>
        <v>0</v>
      </c>
      <c r="CI51" s="50">
        <f t="shared" si="288"/>
        <v>0</v>
      </c>
      <c r="CJ51" s="50">
        <f t="shared" si="288"/>
        <v>0</v>
      </c>
      <c r="CK51" s="50">
        <f t="shared" si="288"/>
        <v>0</v>
      </c>
      <c r="CL51" s="50">
        <f t="shared" si="288"/>
        <v>0</v>
      </c>
      <c r="CM51" s="50">
        <f t="shared" si="288"/>
        <v>0</v>
      </c>
      <c r="CN51" s="50">
        <f t="shared" si="288"/>
        <v>0</v>
      </c>
      <c r="CO51" s="50">
        <f t="shared" si="288"/>
        <v>0</v>
      </c>
      <c r="CP51" s="50">
        <f t="shared" si="288"/>
        <v>0</v>
      </c>
      <c r="CQ51" s="50">
        <f t="shared" si="288"/>
        <v>0</v>
      </c>
      <c r="CR51" s="50">
        <f t="shared" si="288"/>
        <v>0</v>
      </c>
      <c r="CS51" s="50">
        <f t="shared" si="288"/>
        <v>0</v>
      </c>
      <c r="CT51" s="50">
        <f t="shared" si="288"/>
        <v>0</v>
      </c>
      <c r="CU51" s="50">
        <f t="shared" si="288"/>
        <v>0</v>
      </c>
      <c r="CV51" s="50">
        <f t="shared" si="288"/>
        <v>0</v>
      </c>
      <c r="CW51" s="50">
        <f t="shared" si="288"/>
        <v>0</v>
      </c>
      <c r="CX51" s="50">
        <f t="shared" si="288"/>
        <v>0</v>
      </c>
      <c r="CY51" s="50">
        <f t="shared" si="288"/>
        <v>0</v>
      </c>
      <c r="CZ51" s="50">
        <f t="shared" si="288"/>
        <v>0</v>
      </c>
      <c r="DA51" s="50">
        <f t="shared" si="288"/>
        <v>0</v>
      </c>
      <c r="DB51" s="50">
        <f t="shared" si="288"/>
        <v>0</v>
      </c>
      <c r="DC51" s="50">
        <f t="shared" si="288"/>
        <v>0</v>
      </c>
      <c r="DD51" s="50">
        <f t="shared" si="288"/>
        <v>0</v>
      </c>
      <c r="DE51" s="50">
        <f t="shared" si="288"/>
        <v>0</v>
      </c>
      <c r="DF51" s="50">
        <f t="shared" si="288"/>
        <v>0</v>
      </c>
      <c r="DG51" s="50">
        <f t="shared" si="288"/>
        <v>0</v>
      </c>
      <c r="DH51" s="50">
        <f t="shared" si="288"/>
        <v>0</v>
      </c>
      <c r="DI51" s="50">
        <f t="shared" si="288"/>
        <v>0</v>
      </c>
      <c r="DJ51" s="50">
        <f t="shared" si="288"/>
        <v>0</v>
      </c>
      <c r="DK51" s="50">
        <f t="shared" si="288"/>
        <v>0</v>
      </c>
      <c r="DL51" s="50">
        <f t="shared" si="288"/>
        <v>0</v>
      </c>
      <c r="DM51" s="50">
        <f t="shared" si="288"/>
        <v>0</v>
      </c>
      <c r="DN51" s="50">
        <f t="shared" si="288"/>
        <v>0</v>
      </c>
      <c r="DO51" s="50">
        <f t="shared" si="288"/>
        <v>0</v>
      </c>
      <c r="DP51" s="50">
        <f t="shared" si="288"/>
        <v>0</v>
      </c>
      <c r="DQ51" s="50">
        <f t="shared" si="288"/>
        <v>0</v>
      </c>
      <c r="DR51" s="50">
        <f t="shared" si="288"/>
        <v>0</v>
      </c>
      <c r="DS51" s="50">
        <f t="shared" si="288"/>
        <v>0</v>
      </c>
      <c r="DT51" s="50">
        <f t="shared" si="288"/>
        <v>0</v>
      </c>
      <c r="DU51" s="50">
        <f t="shared" si="288"/>
        <v>0</v>
      </c>
      <c r="DV51" s="50">
        <f t="shared" si="288"/>
        <v>0</v>
      </c>
      <c r="DW51" s="50">
        <f t="shared" si="288"/>
        <v>0</v>
      </c>
      <c r="DX51" s="50">
        <f t="shared" si="288"/>
        <v>0</v>
      </c>
      <c r="DY51" s="50">
        <f t="shared" si="288"/>
        <v>0</v>
      </c>
      <c r="DZ51" s="50">
        <f t="shared" si="288"/>
        <v>0</v>
      </c>
      <c r="EA51" s="50">
        <f t="shared" si="288"/>
        <v>0</v>
      </c>
      <c r="EB51" s="50">
        <f t="shared" si="288"/>
        <v>0</v>
      </c>
      <c r="EC51" s="50">
        <f t="shared" si="288"/>
        <v>0</v>
      </c>
      <c r="ED51" s="50">
        <f t="shared" si="288"/>
        <v>0</v>
      </c>
      <c r="EE51" s="50">
        <f t="shared" si="288"/>
        <v>0</v>
      </c>
      <c r="EF51" s="50">
        <f t="shared" si="288"/>
        <v>0</v>
      </c>
      <c r="EG51" s="50">
        <f t="shared" si="288"/>
        <v>0</v>
      </c>
      <c r="EH51" s="50">
        <f t="shared" si="288"/>
        <v>0</v>
      </c>
      <c r="EI51" s="50">
        <f t="shared" si="288"/>
        <v>0</v>
      </c>
      <c r="EJ51" s="50">
        <f t="shared" si="288"/>
        <v>0</v>
      </c>
      <c r="EK51" s="50">
        <f t="shared" si="288"/>
        <v>0</v>
      </c>
      <c r="EL51" s="50">
        <f t="shared" si="288"/>
        <v>0</v>
      </c>
      <c r="EM51" s="50">
        <f t="shared" si="288"/>
        <v>0</v>
      </c>
      <c r="EN51" s="50">
        <f t="shared" si="288"/>
        <v>0</v>
      </c>
      <c r="EO51" s="50">
        <f t="shared" si="288"/>
        <v>0</v>
      </c>
      <c r="EP51" s="50">
        <f t="shared" si="288"/>
        <v>0</v>
      </c>
      <c r="EQ51" s="50">
        <f t="shared" si="288"/>
        <v>0</v>
      </c>
      <c r="ER51" s="50">
        <f t="shared" ref="ER51:GQ51" si="289">SUM(ER49:ER50)</f>
        <v>0</v>
      </c>
      <c r="ES51" s="50">
        <f t="shared" si="289"/>
        <v>0</v>
      </c>
      <c r="ET51" s="50">
        <f t="shared" si="289"/>
        <v>0</v>
      </c>
      <c r="EU51" s="50">
        <f t="shared" si="289"/>
        <v>0</v>
      </c>
      <c r="EV51" s="50">
        <f t="shared" si="289"/>
        <v>0</v>
      </c>
      <c r="EW51" s="50">
        <f t="shared" si="289"/>
        <v>0</v>
      </c>
      <c r="EX51" s="50">
        <f t="shared" si="289"/>
        <v>0</v>
      </c>
      <c r="EY51" s="50">
        <f t="shared" si="289"/>
        <v>0</v>
      </c>
      <c r="EZ51" s="50">
        <f t="shared" si="289"/>
        <v>0</v>
      </c>
      <c r="FA51" s="50">
        <f t="shared" si="289"/>
        <v>0</v>
      </c>
      <c r="FB51" s="50">
        <f t="shared" si="289"/>
        <v>0</v>
      </c>
      <c r="FC51" s="50">
        <f t="shared" si="289"/>
        <v>0</v>
      </c>
      <c r="FD51" s="50">
        <f t="shared" si="289"/>
        <v>0</v>
      </c>
      <c r="FE51" s="50">
        <f t="shared" si="289"/>
        <v>0</v>
      </c>
      <c r="FF51" s="50">
        <f t="shared" si="289"/>
        <v>0</v>
      </c>
      <c r="FG51" s="50">
        <f t="shared" si="289"/>
        <v>0</v>
      </c>
      <c r="FH51" s="50">
        <f t="shared" si="289"/>
        <v>0</v>
      </c>
      <c r="FI51" s="50">
        <f t="shared" si="289"/>
        <v>0</v>
      </c>
      <c r="FJ51" s="50">
        <f t="shared" si="289"/>
        <v>0</v>
      </c>
      <c r="FK51" s="50">
        <f t="shared" si="289"/>
        <v>0</v>
      </c>
      <c r="FL51" s="50">
        <f t="shared" si="289"/>
        <v>0</v>
      </c>
      <c r="FM51" s="50">
        <f t="shared" si="289"/>
        <v>0</v>
      </c>
      <c r="FN51" s="50">
        <f t="shared" si="289"/>
        <v>0</v>
      </c>
      <c r="FO51" s="50">
        <f t="shared" si="289"/>
        <v>0</v>
      </c>
      <c r="FP51" s="50">
        <f t="shared" si="289"/>
        <v>0</v>
      </c>
      <c r="FQ51" s="50">
        <f t="shared" si="289"/>
        <v>0</v>
      </c>
      <c r="FR51" s="50">
        <f t="shared" si="289"/>
        <v>0</v>
      </c>
      <c r="FS51" s="50">
        <f t="shared" si="289"/>
        <v>0</v>
      </c>
      <c r="FT51" s="50">
        <f t="shared" si="289"/>
        <v>0</v>
      </c>
      <c r="FU51" s="50">
        <f t="shared" si="289"/>
        <v>0</v>
      </c>
      <c r="FV51" s="50">
        <f t="shared" si="289"/>
        <v>0</v>
      </c>
      <c r="FW51" s="50">
        <f t="shared" si="289"/>
        <v>0</v>
      </c>
      <c r="FX51" s="50">
        <f t="shared" si="289"/>
        <v>0</v>
      </c>
      <c r="FY51" s="50">
        <f t="shared" si="289"/>
        <v>0</v>
      </c>
      <c r="FZ51" s="50">
        <f t="shared" si="289"/>
        <v>0</v>
      </c>
      <c r="GA51" s="50">
        <f t="shared" si="289"/>
        <v>0</v>
      </c>
      <c r="GB51" s="50">
        <f t="shared" si="289"/>
        <v>0</v>
      </c>
      <c r="GC51" s="50">
        <f t="shared" si="289"/>
        <v>0</v>
      </c>
      <c r="GD51" s="50">
        <f t="shared" si="289"/>
        <v>0</v>
      </c>
      <c r="GE51" s="50">
        <f t="shared" si="289"/>
        <v>0</v>
      </c>
      <c r="GF51" s="50">
        <f t="shared" si="289"/>
        <v>0</v>
      </c>
      <c r="GG51" s="50">
        <f t="shared" si="289"/>
        <v>0</v>
      </c>
      <c r="GH51" s="50">
        <f t="shared" si="289"/>
        <v>0</v>
      </c>
      <c r="GI51" s="50">
        <f t="shared" si="289"/>
        <v>0</v>
      </c>
      <c r="GJ51" s="50">
        <f t="shared" si="289"/>
        <v>0</v>
      </c>
      <c r="GK51" s="50">
        <f t="shared" si="289"/>
        <v>0</v>
      </c>
      <c r="GL51" s="50">
        <f t="shared" si="289"/>
        <v>0</v>
      </c>
      <c r="GM51" s="50">
        <f t="shared" si="289"/>
        <v>0</v>
      </c>
      <c r="GN51" s="50">
        <f t="shared" si="289"/>
        <v>0</v>
      </c>
      <c r="GO51" s="50">
        <f t="shared" si="289"/>
        <v>0</v>
      </c>
      <c r="GP51" s="50">
        <f t="shared" si="289"/>
        <v>0</v>
      </c>
      <c r="GQ51" s="50">
        <f t="shared" si="289"/>
        <v>0</v>
      </c>
      <c r="GS51" s="83" t="s">
        <v>230</v>
      </c>
      <c r="GT51" s="77"/>
      <c r="GU51" s="77"/>
      <c r="GV51" s="77"/>
      <c r="GW51" s="77"/>
      <c r="GX51" s="77">
        <f>SUM(GZ51:NW51)</f>
        <v>1670811.8918918918</v>
      </c>
      <c r="GY51" s="71"/>
      <c r="GZ51" s="77">
        <f t="shared" ref="GZ51:IE51" si="290">IF(Funding_Order="Equity 1st",MIN(GY64,GZ47+T50),MIN(GY64,(GZ47+T50)*(1-$C$127)))</f>
        <v>1670811.8918918918</v>
      </c>
      <c r="HA51" s="77">
        <f t="shared" si="290"/>
        <v>0</v>
      </c>
      <c r="HB51" s="77">
        <f t="shared" si="290"/>
        <v>0</v>
      </c>
      <c r="HC51" s="77">
        <f t="shared" si="290"/>
        <v>0</v>
      </c>
      <c r="HD51" s="77">
        <f t="shared" si="290"/>
        <v>0</v>
      </c>
      <c r="HE51" s="77">
        <f t="shared" si="290"/>
        <v>0</v>
      </c>
      <c r="HF51" s="77">
        <f t="shared" si="290"/>
        <v>0</v>
      </c>
      <c r="HG51" s="77">
        <f t="shared" si="290"/>
        <v>0</v>
      </c>
      <c r="HH51" s="77">
        <f t="shared" si="290"/>
        <v>0</v>
      </c>
      <c r="HI51" s="77">
        <f t="shared" si="290"/>
        <v>0</v>
      </c>
      <c r="HJ51" s="77">
        <f t="shared" si="290"/>
        <v>0</v>
      </c>
      <c r="HK51" s="77">
        <f t="shared" si="290"/>
        <v>0</v>
      </c>
      <c r="HL51" s="77">
        <f t="shared" si="290"/>
        <v>0</v>
      </c>
      <c r="HM51" s="77">
        <f t="shared" si="290"/>
        <v>0</v>
      </c>
      <c r="HN51" s="77">
        <f t="shared" si="290"/>
        <v>0</v>
      </c>
      <c r="HO51" s="77">
        <f t="shared" si="290"/>
        <v>0</v>
      </c>
      <c r="HP51" s="77">
        <f t="shared" si="290"/>
        <v>0</v>
      </c>
      <c r="HQ51" s="77">
        <f t="shared" si="290"/>
        <v>0</v>
      </c>
      <c r="HR51" s="77">
        <f t="shared" si="290"/>
        <v>0</v>
      </c>
      <c r="HS51" s="77">
        <f t="shared" si="290"/>
        <v>0</v>
      </c>
      <c r="HT51" s="77">
        <f t="shared" si="290"/>
        <v>0</v>
      </c>
      <c r="HU51" s="77">
        <f t="shared" si="290"/>
        <v>0</v>
      </c>
      <c r="HV51" s="77">
        <f t="shared" si="290"/>
        <v>0</v>
      </c>
      <c r="HW51" s="77">
        <f t="shared" si="290"/>
        <v>0</v>
      </c>
      <c r="HX51" s="77">
        <f t="shared" si="290"/>
        <v>0</v>
      </c>
      <c r="HY51" s="77">
        <f t="shared" si="290"/>
        <v>0</v>
      </c>
      <c r="HZ51" s="77">
        <f t="shared" si="290"/>
        <v>0</v>
      </c>
      <c r="IA51" s="77">
        <f t="shared" si="290"/>
        <v>0</v>
      </c>
      <c r="IB51" s="77">
        <f t="shared" si="290"/>
        <v>0</v>
      </c>
      <c r="IC51" s="77">
        <f t="shared" si="290"/>
        <v>0</v>
      </c>
      <c r="ID51" s="77">
        <f t="shared" si="290"/>
        <v>0</v>
      </c>
      <c r="IE51" s="77">
        <f t="shared" si="290"/>
        <v>0</v>
      </c>
      <c r="IF51" s="77">
        <f t="shared" ref="IF51:JK51" si="291">IF(Funding_Order="Equity 1st",MIN(IE64,IF47+AZ50),MIN(IE64,(IF47+AZ50)*(1-$C$127)))</f>
        <v>0</v>
      </c>
      <c r="IG51" s="77">
        <f t="shared" si="291"/>
        <v>0</v>
      </c>
      <c r="IH51" s="77">
        <f t="shared" si="291"/>
        <v>0</v>
      </c>
      <c r="II51" s="77">
        <f t="shared" si="291"/>
        <v>0</v>
      </c>
      <c r="IJ51" s="77">
        <f t="shared" si="291"/>
        <v>0</v>
      </c>
      <c r="IK51" s="77">
        <f t="shared" si="291"/>
        <v>0</v>
      </c>
      <c r="IL51" s="77">
        <f t="shared" si="291"/>
        <v>0</v>
      </c>
      <c r="IM51" s="77">
        <f t="shared" si="291"/>
        <v>0</v>
      </c>
      <c r="IN51" s="77">
        <f t="shared" si="291"/>
        <v>0</v>
      </c>
      <c r="IO51" s="77">
        <f t="shared" si="291"/>
        <v>0</v>
      </c>
      <c r="IP51" s="77">
        <f t="shared" si="291"/>
        <v>0</v>
      </c>
      <c r="IQ51" s="77">
        <f t="shared" si="291"/>
        <v>0</v>
      </c>
      <c r="IR51" s="77">
        <f t="shared" si="291"/>
        <v>0</v>
      </c>
      <c r="IS51" s="77">
        <f t="shared" si="291"/>
        <v>0</v>
      </c>
      <c r="IT51" s="77">
        <f t="shared" si="291"/>
        <v>0</v>
      </c>
      <c r="IU51" s="77">
        <f t="shared" si="291"/>
        <v>0</v>
      </c>
      <c r="IV51" s="77">
        <f t="shared" si="291"/>
        <v>0</v>
      </c>
      <c r="IW51" s="77">
        <f t="shared" si="291"/>
        <v>0</v>
      </c>
      <c r="IX51" s="77">
        <f t="shared" si="291"/>
        <v>0</v>
      </c>
      <c r="IY51" s="77">
        <f t="shared" si="291"/>
        <v>0</v>
      </c>
      <c r="IZ51" s="77">
        <f t="shared" si="291"/>
        <v>0</v>
      </c>
      <c r="JA51" s="77">
        <f t="shared" si="291"/>
        <v>0</v>
      </c>
      <c r="JB51" s="77">
        <f t="shared" si="291"/>
        <v>0</v>
      </c>
      <c r="JC51" s="77">
        <f t="shared" si="291"/>
        <v>0</v>
      </c>
      <c r="JD51" s="77">
        <f t="shared" si="291"/>
        <v>0</v>
      </c>
      <c r="JE51" s="77">
        <f t="shared" si="291"/>
        <v>0</v>
      </c>
      <c r="JF51" s="77">
        <f t="shared" si="291"/>
        <v>0</v>
      </c>
      <c r="JG51" s="77">
        <f t="shared" si="291"/>
        <v>0</v>
      </c>
      <c r="JH51" s="77">
        <f t="shared" si="291"/>
        <v>0</v>
      </c>
      <c r="JI51" s="77">
        <f t="shared" si="291"/>
        <v>0</v>
      </c>
      <c r="JJ51" s="77">
        <f t="shared" si="291"/>
        <v>0</v>
      </c>
      <c r="JK51" s="77">
        <f t="shared" si="291"/>
        <v>0</v>
      </c>
      <c r="JL51" s="77">
        <f t="shared" ref="JL51:KQ51" si="292">IF(Funding_Order="Equity 1st",MIN(JK64,JL47+CF50),MIN(JK64,(JL47+CF50)*(1-$C$127)))</f>
        <v>0</v>
      </c>
      <c r="JM51" s="77">
        <f t="shared" si="292"/>
        <v>0</v>
      </c>
      <c r="JN51" s="77">
        <f t="shared" si="292"/>
        <v>0</v>
      </c>
      <c r="JO51" s="77">
        <f t="shared" si="292"/>
        <v>0</v>
      </c>
      <c r="JP51" s="77">
        <f t="shared" si="292"/>
        <v>0</v>
      </c>
      <c r="JQ51" s="77">
        <f t="shared" si="292"/>
        <v>0</v>
      </c>
      <c r="JR51" s="77">
        <f t="shared" si="292"/>
        <v>0</v>
      </c>
      <c r="JS51" s="77">
        <f t="shared" si="292"/>
        <v>0</v>
      </c>
      <c r="JT51" s="77">
        <f t="shared" si="292"/>
        <v>0</v>
      </c>
      <c r="JU51" s="77">
        <f t="shared" si="292"/>
        <v>0</v>
      </c>
      <c r="JV51" s="77">
        <f t="shared" si="292"/>
        <v>0</v>
      </c>
      <c r="JW51" s="77">
        <f t="shared" si="292"/>
        <v>0</v>
      </c>
      <c r="JX51" s="77">
        <f t="shared" si="292"/>
        <v>0</v>
      </c>
      <c r="JY51" s="77">
        <f t="shared" si="292"/>
        <v>0</v>
      </c>
      <c r="JZ51" s="77">
        <f t="shared" si="292"/>
        <v>0</v>
      </c>
      <c r="KA51" s="77">
        <f t="shared" si="292"/>
        <v>0</v>
      </c>
      <c r="KB51" s="77">
        <f t="shared" si="292"/>
        <v>0</v>
      </c>
      <c r="KC51" s="77">
        <f t="shared" si="292"/>
        <v>0</v>
      </c>
      <c r="KD51" s="77">
        <f t="shared" si="292"/>
        <v>0</v>
      </c>
      <c r="KE51" s="77">
        <f t="shared" si="292"/>
        <v>0</v>
      </c>
      <c r="KF51" s="77">
        <f t="shared" si="292"/>
        <v>0</v>
      </c>
      <c r="KG51" s="77">
        <f t="shared" si="292"/>
        <v>0</v>
      </c>
      <c r="KH51" s="77">
        <f t="shared" si="292"/>
        <v>0</v>
      </c>
      <c r="KI51" s="77">
        <f t="shared" si="292"/>
        <v>0</v>
      </c>
      <c r="KJ51" s="77">
        <f t="shared" si="292"/>
        <v>0</v>
      </c>
      <c r="KK51" s="77">
        <f t="shared" si="292"/>
        <v>0</v>
      </c>
      <c r="KL51" s="77">
        <f t="shared" si="292"/>
        <v>0</v>
      </c>
      <c r="KM51" s="77">
        <f t="shared" si="292"/>
        <v>0</v>
      </c>
      <c r="KN51" s="77">
        <f t="shared" si="292"/>
        <v>0</v>
      </c>
      <c r="KO51" s="77">
        <f t="shared" si="292"/>
        <v>0</v>
      </c>
      <c r="KP51" s="77">
        <f t="shared" si="292"/>
        <v>0</v>
      </c>
      <c r="KQ51" s="77">
        <f t="shared" si="292"/>
        <v>0</v>
      </c>
      <c r="KR51" s="77">
        <f t="shared" ref="KR51:LW51" si="293">IF(Funding_Order="Equity 1st",MIN(KQ64,KR47+DL50),MIN(KQ64,(KR47+DL50)*(1-$C$127)))</f>
        <v>0</v>
      </c>
      <c r="KS51" s="77">
        <f t="shared" si="293"/>
        <v>0</v>
      </c>
      <c r="KT51" s="77">
        <f t="shared" si="293"/>
        <v>0</v>
      </c>
      <c r="KU51" s="77">
        <f t="shared" si="293"/>
        <v>0</v>
      </c>
      <c r="KV51" s="77">
        <f t="shared" si="293"/>
        <v>0</v>
      </c>
      <c r="KW51" s="77">
        <f t="shared" si="293"/>
        <v>0</v>
      </c>
      <c r="KX51" s="77">
        <f t="shared" si="293"/>
        <v>0</v>
      </c>
      <c r="KY51" s="77">
        <f t="shared" si="293"/>
        <v>0</v>
      </c>
      <c r="KZ51" s="77">
        <f t="shared" si="293"/>
        <v>0</v>
      </c>
      <c r="LA51" s="77">
        <f t="shared" si="293"/>
        <v>0</v>
      </c>
      <c r="LB51" s="77">
        <f t="shared" si="293"/>
        <v>0</v>
      </c>
      <c r="LC51" s="77">
        <f t="shared" si="293"/>
        <v>0</v>
      </c>
      <c r="LD51" s="77">
        <f t="shared" si="293"/>
        <v>0</v>
      </c>
      <c r="LE51" s="77">
        <f t="shared" si="293"/>
        <v>0</v>
      </c>
      <c r="LF51" s="77">
        <f t="shared" si="293"/>
        <v>0</v>
      </c>
      <c r="LG51" s="77">
        <f t="shared" si="293"/>
        <v>0</v>
      </c>
      <c r="LH51" s="77">
        <f t="shared" si="293"/>
        <v>0</v>
      </c>
      <c r="LI51" s="77">
        <f t="shared" si="293"/>
        <v>0</v>
      </c>
      <c r="LJ51" s="77">
        <f t="shared" si="293"/>
        <v>0</v>
      </c>
      <c r="LK51" s="77">
        <f t="shared" si="293"/>
        <v>0</v>
      </c>
      <c r="LL51" s="77">
        <f t="shared" si="293"/>
        <v>0</v>
      </c>
      <c r="LM51" s="77">
        <f t="shared" si="293"/>
        <v>0</v>
      </c>
      <c r="LN51" s="77">
        <f t="shared" si="293"/>
        <v>0</v>
      </c>
      <c r="LO51" s="77">
        <f t="shared" si="293"/>
        <v>0</v>
      </c>
      <c r="LP51" s="77">
        <f t="shared" si="293"/>
        <v>0</v>
      </c>
      <c r="LQ51" s="77">
        <f t="shared" si="293"/>
        <v>0</v>
      </c>
      <c r="LR51" s="77">
        <f t="shared" si="293"/>
        <v>0</v>
      </c>
      <c r="LS51" s="77">
        <f t="shared" si="293"/>
        <v>0</v>
      </c>
      <c r="LT51" s="77">
        <f t="shared" si="293"/>
        <v>0</v>
      </c>
      <c r="LU51" s="77">
        <f t="shared" si="293"/>
        <v>0</v>
      </c>
      <c r="LV51" s="77">
        <f t="shared" si="293"/>
        <v>0</v>
      </c>
      <c r="LW51" s="77">
        <f t="shared" si="293"/>
        <v>0</v>
      </c>
      <c r="LX51" s="77">
        <f t="shared" ref="LX51:NC51" si="294">IF(Funding_Order="Equity 1st",MIN(LW64,LX47+ER50),MIN(LW64,(LX47+ER50)*(1-$C$127)))</f>
        <v>0</v>
      </c>
      <c r="LY51" s="77">
        <f t="shared" si="294"/>
        <v>0</v>
      </c>
      <c r="LZ51" s="77">
        <f t="shared" si="294"/>
        <v>0</v>
      </c>
      <c r="MA51" s="77">
        <f t="shared" si="294"/>
        <v>0</v>
      </c>
      <c r="MB51" s="77">
        <f t="shared" si="294"/>
        <v>0</v>
      </c>
      <c r="MC51" s="77">
        <f t="shared" si="294"/>
        <v>0</v>
      </c>
      <c r="MD51" s="77">
        <f t="shared" si="294"/>
        <v>0</v>
      </c>
      <c r="ME51" s="77">
        <f t="shared" si="294"/>
        <v>0</v>
      </c>
      <c r="MF51" s="77">
        <f t="shared" si="294"/>
        <v>0</v>
      </c>
      <c r="MG51" s="77">
        <f t="shared" si="294"/>
        <v>0</v>
      </c>
      <c r="MH51" s="77">
        <f t="shared" si="294"/>
        <v>0</v>
      </c>
      <c r="MI51" s="77">
        <f t="shared" si="294"/>
        <v>0</v>
      </c>
      <c r="MJ51" s="77">
        <f t="shared" si="294"/>
        <v>0</v>
      </c>
      <c r="MK51" s="77">
        <f t="shared" si="294"/>
        <v>0</v>
      </c>
      <c r="ML51" s="77">
        <f t="shared" si="294"/>
        <v>0</v>
      </c>
      <c r="MM51" s="77">
        <f t="shared" si="294"/>
        <v>0</v>
      </c>
      <c r="MN51" s="77">
        <f t="shared" si="294"/>
        <v>0</v>
      </c>
      <c r="MO51" s="77">
        <f t="shared" si="294"/>
        <v>0</v>
      </c>
      <c r="MP51" s="77">
        <f t="shared" si="294"/>
        <v>0</v>
      </c>
      <c r="MQ51" s="77">
        <f t="shared" si="294"/>
        <v>0</v>
      </c>
      <c r="MR51" s="77">
        <f t="shared" si="294"/>
        <v>0</v>
      </c>
      <c r="MS51" s="77">
        <f t="shared" si="294"/>
        <v>0</v>
      </c>
      <c r="MT51" s="77">
        <f t="shared" si="294"/>
        <v>0</v>
      </c>
      <c r="MU51" s="77">
        <f t="shared" si="294"/>
        <v>0</v>
      </c>
      <c r="MV51" s="77">
        <f t="shared" si="294"/>
        <v>0</v>
      </c>
      <c r="MW51" s="77">
        <f t="shared" si="294"/>
        <v>0</v>
      </c>
      <c r="MX51" s="77">
        <f t="shared" si="294"/>
        <v>0</v>
      </c>
      <c r="MY51" s="77">
        <f t="shared" si="294"/>
        <v>0</v>
      </c>
      <c r="MZ51" s="77">
        <f t="shared" si="294"/>
        <v>0</v>
      </c>
      <c r="NA51" s="77">
        <f t="shared" si="294"/>
        <v>0</v>
      </c>
      <c r="NB51" s="77">
        <f t="shared" si="294"/>
        <v>0</v>
      </c>
      <c r="NC51" s="77">
        <f t="shared" si="294"/>
        <v>0</v>
      </c>
      <c r="ND51" s="77">
        <f t="shared" ref="ND51:NW51" si="295">IF(Funding_Order="Equity 1st",MIN(NC64,ND47+FX50),MIN(NC64,(ND47+FX50)*(1-$C$127)))</f>
        <v>0</v>
      </c>
      <c r="NE51" s="77">
        <f t="shared" si="295"/>
        <v>0</v>
      </c>
      <c r="NF51" s="77">
        <f t="shared" si="295"/>
        <v>0</v>
      </c>
      <c r="NG51" s="77">
        <f t="shared" si="295"/>
        <v>0</v>
      </c>
      <c r="NH51" s="77">
        <f t="shared" si="295"/>
        <v>0</v>
      </c>
      <c r="NI51" s="77">
        <f t="shared" si="295"/>
        <v>0</v>
      </c>
      <c r="NJ51" s="77">
        <f t="shared" si="295"/>
        <v>0</v>
      </c>
      <c r="NK51" s="77">
        <f t="shared" si="295"/>
        <v>0</v>
      </c>
      <c r="NL51" s="77">
        <f t="shared" si="295"/>
        <v>0</v>
      </c>
      <c r="NM51" s="77">
        <f t="shared" si="295"/>
        <v>0</v>
      </c>
      <c r="NN51" s="77">
        <f t="shared" si="295"/>
        <v>0</v>
      </c>
      <c r="NO51" s="77">
        <f t="shared" si="295"/>
        <v>0</v>
      </c>
      <c r="NP51" s="77">
        <f t="shared" si="295"/>
        <v>0</v>
      </c>
      <c r="NQ51" s="77">
        <f t="shared" si="295"/>
        <v>0</v>
      </c>
      <c r="NR51" s="77">
        <f t="shared" si="295"/>
        <v>0</v>
      </c>
      <c r="NS51" s="77">
        <f t="shared" si="295"/>
        <v>0</v>
      </c>
      <c r="NT51" s="77">
        <f t="shared" si="295"/>
        <v>0</v>
      </c>
      <c r="NU51" s="77">
        <f t="shared" si="295"/>
        <v>0</v>
      </c>
      <c r="NV51" s="77">
        <f t="shared" si="295"/>
        <v>0</v>
      </c>
      <c r="NW51" s="77">
        <f t="shared" si="295"/>
        <v>0</v>
      </c>
    </row>
    <row r="52" spans="2:387" x14ac:dyDescent="0.3">
      <c r="B52" s="18"/>
      <c r="C52" s="18"/>
      <c r="D52" s="18"/>
      <c r="E52" s="19"/>
      <c r="F52" s="19"/>
      <c r="G52" s="19"/>
      <c r="H52" s="19"/>
      <c r="I52" s="19"/>
      <c r="J52" s="23"/>
      <c r="K52" s="29"/>
      <c r="L52" s="23"/>
      <c r="GS52" s="83" t="s">
        <v>231</v>
      </c>
      <c r="GT52" s="77"/>
      <c r="GU52" s="77"/>
      <c r="GV52" s="77"/>
      <c r="GW52" s="77"/>
      <c r="GX52" s="77">
        <f>SUM(GZ52:NW52)</f>
        <v>9285688.1081081107</v>
      </c>
      <c r="GY52" s="71"/>
      <c r="GZ52" s="77">
        <f>MIN(GY66,GZ47+T50-GZ51)</f>
        <v>1397606.6936344241</v>
      </c>
      <c r="HA52" s="77">
        <f t="shared" ref="HA52:JL52" si="296">MIN(GZ66,HA47+U50-HA51)</f>
        <v>85890.627011509554</v>
      </c>
      <c r="HB52" s="77">
        <f t="shared" si="296"/>
        <v>91255.823555876836</v>
      </c>
      <c r="HC52" s="77">
        <f t="shared" si="296"/>
        <v>99888.170850955968</v>
      </c>
      <c r="HD52" s="77">
        <f t="shared" si="296"/>
        <v>113114.02021222032</v>
      </c>
      <c r="HE52" s="77">
        <f t="shared" si="296"/>
        <v>132387.58147376956</v>
      </c>
      <c r="HF52" s="77">
        <f t="shared" si="296"/>
        <v>159061.3003494427</v>
      </c>
      <c r="HG52" s="77">
        <f t="shared" si="296"/>
        <v>241661.94259224951</v>
      </c>
      <c r="HH52" s="77">
        <f t="shared" si="296"/>
        <v>249320.4918396665</v>
      </c>
      <c r="HI52" s="77">
        <f t="shared" si="296"/>
        <v>260685.53284439625</v>
      </c>
      <c r="HJ52" s="77">
        <f t="shared" si="296"/>
        <v>315954.30016837636</v>
      </c>
      <c r="HK52" s="77">
        <f t="shared" si="296"/>
        <v>371881.33070336544</v>
      </c>
      <c r="HL52" s="77">
        <f t="shared" si="296"/>
        <v>423441.08920777583</v>
      </c>
      <c r="HM52" s="77">
        <f t="shared" si="296"/>
        <v>465277.83944521204</v>
      </c>
      <c r="HN52" s="77">
        <f t="shared" si="296"/>
        <v>492606.97460704664</v>
      </c>
      <c r="HO52" s="77">
        <f t="shared" si="296"/>
        <v>502112.21204171277</v>
      </c>
      <c r="HP52" s="77">
        <f t="shared" si="296"/>
        <v>492606.97460704693</v>
      </c>
      <c r="HQ52" s="77">
        <f t="shared" si="296"/>
        <v>465277.83944521175</v>
      </c>
      <c r="HR52" s="77">
        <f t="shared" si="296"/>
        <v>423441.08920777566</v>
      </c>
      <c r="HS52" s="77">
        <f t="shared" si="296"/>
        <v>426881.33070336562</v>
      </c>
      <c r="HT52" s="77">
        <f t="shared" si="296"/>
        <v>370954.30016837624</v>
      </c>
      <c r="HU52" s="77">
        <f t="shared" si="296"/>
        <v>315685.53284439631</v>
      </c>
      <c r="HV52" s="77">
        <f t="shared" si="296"/>
        <v>265070.49183966639</v>
      </c>
      <c r="HW52" s="77">
        <f t="shared" si="296"/>
        <v>221697.65687796433</v>
      </c>
      <c r="HX52" s="77">
        <f t="shared" si="296"/>
        <v>175351.27599879279</v>
      </c>
      <c r="HY52" s="77">
        <f t="shared" si="296"/>
        <v>148677.55712312032</v>
      </c>
      <c r="HZ52" s="77">
        <f t="shared" si="296"/>
        <v>129403.99586157137</v>
      </c>
      <c r="IA52" s="77">
        <f t="shared" si="296"/>
        <v>116178.14650030635</v>
      </c>
      <c r="IB52" s="77">
        <f t="shared" si="296"/>
        <v>52545.799205227355</v>
      </c>
      <c r="IC52" s="77">
        <f t="shared" si="296"/>
        <v>38816.966297223873</v>
      </c>
      <c r="ID52" s="77">
        <f t="shared" si="296"/>
        <v>31926.295468400731</v>
      </c>
      <c r="IE52" s="77">
        <f t="shared" si="296"/>
        <v>31926.295468400731</v>
      </c>
      <c r="IF52" s="77">
        <f t="shared" si="296"/>
        <v>31926.295468400731</v>
      </c>
      <c r="IG52" s="77">
        <f t="shared" si="296"/>
        <v>31926.295468400731</v>
      </c>
      <c r="IH52" s="77">
        <f t="shared" si="296"/>
        <v>31926.295468400731</v>
      </c>
      <c r="II52" s="77">
        <f t="shared" si="296"/>
        <v>31926.295468400731</v>
      </c>
      <c r="IJ52" s="77">
        <f t="shared" si="296"/>
        <v>24697.724039829303</v>
      </c>
      <c r="IK52" s="77">
        <f t="shared" si="296"/>
        <v>24697.724039829303</v>
      </c>
      <c r="IL52" s="77">
        <f t="shared" si="296"/>
        <v>0</v>
      </c>
      <c r="IM52" s="77">
        <f t="shared" si="296"/>
        <v>0</v>
      </c>
      <c r="IN52" s="77">
        <f t="shared" si="296"/>
        <v>0</v>
      </c>
      <c r="IO52" s="77">
        <f t="shared" si="296"/>
        <v>0</v>
      </c>
      <c r="IP52" s="77">
        <f t="shared" si="296"/>
        <v>0</v>
      </c>
      <c r="IQ52" s="77">
        <f t="shared" si="296"/>
        <v>0</v>
      </c>
      <c r="IR52" s="77">
        <f t="shared" si="296"/>
        <v>0</v>
      </c>
      <c r="IS52" s="77">
        <f t="shared" si="296"/>
        <v>0</v>
      </c>
      <c r="IT52" s="77">
        <f t="shared" si="296"/>
        <v>0</v>
      </c>
      <c r="IU52" s="77">
        <f t="shared" si="296"/>
        <v>0</v>
      </c>
      <c r="IV52" s="77">
        <f t="shared" si="296"/>
        <v>0</v>
      </c>
      <c r="IW52" s="77">
        <f t="shared" si="296"/>
        <v>0</v>
      </c>
      <c r="IX52" s="77">
        <f t="shared" si="296"/>
        <v>0</v>
      </c>
      <c r="IY52" s="77">
        <f t="shared" si="296"/>
        <v>0</v>
      </c>
      <c r="IZ52" s="77">
        <f t="shared" si="296"/>
        <v>0</v>
      </c>
      <c r="JA52" s="77">
        <f t="shared" si="296"/>
        <v>0</v>
      </c>
      <c r="JB52" s="77">
        <f t="shared" si="296"/>
        <v>0</v>
      </c>
      <c r="JC52" s="77">
        <f t="shared" si="296"/>
        <v>0</v>
      </c>
      <c r="JD52" s="77">
        <f t="shared" si="296"/>
        <v>0</v>
      </c>
      <c r="JE52" s="77">
        <f t="shared" si="296"/>
        <v>0</v>
      </c>
      <c r="JF52" s="77">
        <f t="shared" si="296"/>
        <v>0</v>
      </c>
      <c r="JG52" s="77">
        <f t="shared" si="296"/>
        <v>0</v>
      </c>
      <c r="JH52" s="77">
        <f t="shared" si="296"/>
        <v>0</v>
      </c>
      <c r="JI52" s="77">
        <f t="shared" si="296"/>
        <v>0</v>
      </c>
      <c r="JJ52" s="77">
        <f t="shared" si="296"/>
        <v>0</v>
      </c>
      <c r="JK52" s="77">
        <f t="shared" si="296"/>
        <v>0</v>
      </c>
      <c r="JL52" s="77">
        <f t="shared" si="296"/>
        <v>0</v>
      </c>
      <c r="JM52" s="77">
        <f t="shared" ref="JM52:LX52" si="297">MIN(JL66,JM47+CG50-JM51)</f>
        <v>0</v>
      </c>
      <c r="JN52" s="77">
        <f t="shared" si="297"/>
        <v>0</v>
      </c>
      <c r="JO52" s="77">
        <f t="shared" si="297"/>
        <v>0</v>
      </c>
      <c r="JP52" s="77">
        <f t="shared" si="297"/>
        <v>0</v>
      </c>
      <c r="JQ52" s="77">
        <f t="shared" si="297"/>
        <v>0</v>
      </c>
      <c r="JR52" s="77">
        <f t="shared" si="297"/>
        <v>0</v>
      </c>
      <c r="JS52" s="77">
        <f t="shared" si="297"/>
        <v>0</v>
      </c>
      <c r="JT52" s="77">
        <f t="shared" si="297"/>
        <v>0</v>
      </c>
      <c r="JU52" s="77">
        <f t="shared" si="297"/>
        <v>0</v>
      </c>
      <c r="JV52" s="77">
        <f t="shared" si="297"/>
        <v>0</v>
      </c>
      <c r="JW52" s="77">
        <f t="shared" si="297"/>
        <v>0</v>
      </c>
      <c r="JX52" s="77">
        <f t="shared" si="297"/>
        <v>0</v>
      </c>
      <c r="JY52" s="77">
        <f t="shared" si="297"/>
        <v>0</v>
      </c>
      <c r="JZ52" s="77">
        <f t="shared" si="297"/>
        <v>0</v>
      </c>
      <c r="KA52" s="77">
        <f t="shared" si="297"/>
        <v>0</v>
      </c>
      <c r="KB52" s="77">
        <f t="shared" si="297"/>
        <v>0</v>
      </c>
      <c r="KC52" s="77">
        <f t="shared" si="297"/>
        <v>0</v>
      </c>
      <c r="KD52" s="77">
        <f t="shared" si="297"/>
        <v>0</v>
      </c>
      <c r="KE52" s="77">
        <f t="shared" si="297"/>
        <v>0</v>
      </c>
      <c r="KF52" s="77">
        <f t="shared" si="297"/>
        <v>0</v>
      </c>
      <c r="KG52" s="77">
        <f t="shared" si="297"/>
        <v>0</v>
      </c>
      <c r="KH52" s="77">
        <f t="shared" si="297"/>
        <v>0</v>
      </c>
      <c r="KI52" s="77">
        <f t="shared" si="297"/>
        <v>0</v>
      </c>
      <c r="KJ52" s="77">
        <f t="shared" si="297"/>
        <v>0</v>
      </c>
      <c r="KK52" s="77">
        <f t="shared" si="297"/>
        <v>0</v>
      </c>
      <c r="KL52" s="77">
        <f t="shared" si="297"/>
        <v>0</v>
      </c>
      <c r="KM52" s="77">
        <f t="shared" si="297"/>
        <v>0</v>
      </c>
      <c r="KN52" s="77">
        <f t="shared" si="297"/>
        <v>0</v>
      </c>
      <c r="KO52" s="77">
        <f t="shared" si="297"/>
        <v>0</v>
      </c>
      <c r="KP52" s="77">
        <f t="shared" si="297"/>
        <v>0</v>
      </c>
      <c r="KQ52" s="77">
        <f t="shared" si="297"/>
        <v>0</v>
      </c>
      <c r="KR52" s="77">
        <f t="shared" si="297"/>
        <v>0</v>
      </c>
      <c r="KS52" s="77">
        <f t="shared" si="297"/>
        <v>0</v>
      </c>
      <c r="KT52" s="77">
        <f t="shared" si="297"/>
        <v>0</v>
      </c>
      <c r="KU52" s="77">
        <f t="shared" si="297"/>
        <v>0</v>
      </c>
      <c r="KV52" s="77">
        <f t="shared" si="297"/>
        <v>0</v>
      </c>
      <c r="KW52" s="77">
        <f t="shared" si="297"/>
        <v>0</v>
      </c>
      <c r="KX52" s="77">
        <f t="shared" si="297"/>
        <v>0</v>
      </c>
      <c r="KY52" s="77">
        <f t="shared" si="297"/>
        <v>0</v>
      </c>
      <c r="KZ52" s="77">
        <f t="shared" si="297"/>
        <v>0</v>
      </c>
      <c r="LA52" s="77">
        <f t="shared" si="297"/>
        <v>0</v>
      </c>
      <c r="LB52" s="77">
        <f t="shared" si="297"/>
        <v>0</v>
      </c>
      <c r="LC52" s="77">
        <f t="shared" si="297"/>
        <v>0</v>
      </c>
      <c r="LD52" s="77">
        <f t="shared" si="297"/>
        <v>0</v>
      </c>
      <c r="LE52" s="77">
        <f t="shared" si="297"/>
        <v>0</v>
      </c>
      <c r="LF52" s="77">
        <f t="shared" si="297"/>
        <v>0</v>
      </c>
      <c r="LG52" s="77">
        <f t="shared" si="297"/>
        <v>0</v>
      </c>
      <c r="LH52" s="77">
        <f t="shared" si="297"/>
        <v>0</v>
      </c>
      <c r="LI52" s="77">
        <f t="shared" si="297"/>
        <v>0</v>
      </c>
      <c r="LJ52" s="77">
        <f t="shared" si="297"/>
        <v>0</v>
      </c>
      <c r="LK52" s="77">
        <f t="shared" si="297"/>
        <v>0</v>
      </c>
      <c r="LL52" s="77">
        <f t="shared" si="297"/>
        <v>0</v>
      </c>
      <c r="LM52" s="77">
        <f t="shared" si="297"/>
        <v>0</v>
      </c>
      <c r="LN52" s="77">
        <f t="shared" si="297"/>
        <v>0</v>
      </c>
      <c r="LO52" s="77">
        <f t="shared" si="297"/>
        <v>0</v>
      </c>
      <c r="LP52" s="77">
        <f t="shared" si="297"/>
        <v>0</v>
      </c>
      <c r="LQ52" s="77">
        <f t="shared" si="297"/>
        <v>0</v>
      </c>
      <c r="LR52" s="77">
        <f t="shared" si="297"/>
        <v>0</v>
      </c>
      <c r="LS52" s="77">
        <f t="shared" si="297"/>
        <v>0</v>
      </c>
      <c r="LT52" s="77">
        <f t="shared" si="297"/>
        <v>0</v>
      </c>
      <c r="LU52" s="77">
        <f t="shared" si="297"/>
        <v>0</v>
      </c>
      <c r="LV52" s="77">
        <f t="shared" si="297"/>
        <v>0</v>
      </c>
      <c r="LW52" s="77">
        <f t="shared" si="297"/>
        <v>0</v>
      </c>
      <c r="LX52" s="77">
        <f t="shared" si="297"/>
        <v>0</v>
      </c>
      <c r="LY52" s="77">
        <f t="shared" ref="LY52:NW52" si="298">MIN(LX66,LY47+ES50-LY51)</f>
        <v>0</v>
      </c>
      <c r="LZ52" s="77">
        <f t="shared" si="298"/>
        <v>0</v>
      </c>
      <c r="MA52" s="77">
        <f t="shared" si="298"/>
        <v>0</v>
      </c>
      <c r="MB52" s="77">
        <f t="shared" si="298"/>
        <v>0</v>
      </c>
      <c r="MC52" s="77">
        <f t="shared" si="298"/>
        <v>0</v>
      </c>
      <c r="MD52" s="77">
        <f t="shared" si="298"/>
        <v>0</v>
      </c>
      <c r="ME52" s="77">
        <f t="shared" si="298"/>
        <v>0</v>
      </c>
      <c r="MF52" s="77">
        <f t="shared" si="298"/>
        <v>0</v>
      </c>
      <c r="MG52" s="77">
        <f t="shared" si="298"/>
        <v>0</v>
      </c>
      <c r="MH52" s="77">
        <f t="shared" si="298"/>
        <v>0</v>
      </c>
      <c r="MI52" s="77">
        <f t="shared" si="298"/>
        <v>0</v>
      </c>
      <c r="MJ52" s="77">
        <f t="shared" si="298"/>
        <v>0</v>
      </c>
      <c r="MK52" s="77">
        <f t="shared" si="298"/>
        <v>0</v>
      </c>
      <c r="ML52" s="77">
        <f t="shared" si="298"/>
        <v>0</v>
      </c>
      <c r="MM52" s="77">
        <f t="shared" si="298"/>
        <v>0</v>
      </c>
      <c r="MN52" s="77">
        <f t="shared" si="298"/>
        <v>0</v>
      </c>
      <c r="MO52" s="77">
        <f t="shared" si="298"/>
        <v>0</v>
      </c>
      <c r="MP52" s="77">
        <f t="shared" si="298"/>
        <v>0</v>
      </c>
      <c r="MQ52" s="77">
        <f t="shared" si="298"/>
        <v>0</v>
      </c>
      <c r="MR52" s="77">
        <f t="shared" si="298"/>
        <v>0</v>
      </c>
      <c r="MS52" s="77">
        <f t="shared" si="298"/>
        <v>0</v>
      </c>
      <c r="MT52" s="77">
        <f t="shared" si="298"/>
        <v>0</v>
      </c>
      <c r="MU52" s="77">
        <f t="shared" si="298"/>
        <v>0</v>
      </c>
      <c r="MV52" s="77">
        <f t="shared" si="298"/>
        <v>0</v>
      </c>
      <c r="MW52" s="77">
        <f t="shared" si="298"/>
        <v>0</v>
      </c>
      <c r="MX52" s="77">
        <f t="shared" si="298"/>
        <v>0</v>
      </c>
      <c r="MY52" s="77">
        <f t="shared" si="298"/>
        <v>0</v>
      </c>
      <c r="MZ52" s="77">
        <f t="shared" si="298"/>
        <v>0</v>
      </c>
      <c r="NA52" s="77">
        <f t="shared" si="298"/>
        <v>0</v>
      </c>
      <c r="NB52" s="77">
        <f t="shared" si="298"/>
        <v>0</v>
      </c>
      <c r="NC52" s="77">
        <f t="shared" si="298"/>
        <v>0</v>
      </c>
      <c r="ND52" s="77">
        <f t="shared" si="298"/>
        <v>0</v>
      </c>
      <c r="NE52" s="77">
        <f t="shared" si="298"/>
        <v>0</v>
      </c>
      <c r="NF52" s="77">
        <f t="shared" si="298"/>
        <v>0</v>
      </c>
      <c r="NG52" s="77">
        <f t="shared" si="298"/>
        <v>0</v>
      </c>
      <c r="NH52" s="77">
        <f t="shared" si="298"/>
        <v>0</v>
      </c>
      <c r="NI52" s="77">
        <f t="shared" si="298"/>
        <v>0</v>
      </c>
      <c r="NJ52" s="77">
        <f t="shared" si="298"/>
        <v>0</v>
      </c>
      <c r="NK52" s="77">
        <f t="shared" si="298"/>
        <v>0</v>
      </c>
      <c r="NL52" s="77">
        <f t="shared" si="298"/>
        <v>0</v>
      </c>
      <c r="NM52" s="77">
        <f t="shared" si="298"/>
        <v>0</v>
      </c>
      <c r="NN52" s="77">
        <f t="shared" si="298"/>
        <v>0</v>
      </c>
      <c r="NO52" s="77">
        <f t="shared" si="298"/>
        <v>0</v>
      </c>
      <c r="NP52" s="77">
        <f t="shared" si="298"/>
        <v>0</v>
      </c>
      <c r="NQ52" s="77">
        <f t="shared" si="298"/>
        <v>0</v>
      </c>
      <c r="NR52" s="77">
        <f t="shared" si="298"/>
        <v>0</v>
      </c>
      <c r="NS52" s="77">
        <f t="shared" si="298"/>
        <v>0</v>
      </c>
      <c r="NT52" s="77">
        <f t="shared" si="298"/>
        <v>0</v>
      </c>
      <c r="NU52" s="77">
        <f t="shared" si="298"/>
        <v>0</v>
      </c>
      <c r="NV52" s="77">
        <f t="shared" si="298"/>
        <v>0</v>
      </c>
      <c r="NW52" s="77">
        <f t="shared" si="298"/>
        <v>0</v>
      </c>
    </row>
    <row r="53" spans="2:387" ht="15.5" x14ac:dyDescent="0.45">
      <c r="B53" s="18" t="s">
        <v>232</v>
      </c>
      <c r="C53" s="18"/>
      <c r="D53" s="18"/>
      <c r="E53" s="34">
        <f>MIN(E51,E46)</f>
        <v>1</v>
      </c>
      <c r="F53" s="34">
        <f>MAX(F51,F46)</f>
        <v>38</v>
      </c>
      <c r="G53" s="19"/>
      <c r="H53" s="28">
        <f>F53-E53+1</f>
        <v>38</v>
      </c>
      <c r="I53" s="19"/>
      <c r="J53" s="23">
        <f>L53/$L$8</f>
        <v>48341.805149751002</v>
      </c>
      <c r="K53" s="29">
        <f>L53/$L$7</f>
        <v>6.3900087266912244</v>
      </c>
      <c r="L53" s="23">
        <f>L51+L46</f>
        <v>11118615.184442731</v>
      </c>
      <c r="S53" s="69" t="str">
        <f>IF(ROUND(L53,0)=ROUND(SUM(T53:GQ53),0),"OK","ERROR")</f>
        <v>OK</v>
      </c>
      <c r="T53" s="50">
        <f t="shared" ref="T53:CE53" si="299">T51+T46</f>
        <v>3068418.585526316</v>
      </c>
      <c r="U53" s="50">
        <f t="shared" si="299"/>
        <v>93700.782064172512</v>
      </c>
      <c r="V53" s="50">
        <f t="shared" si="299"/>
        <v>99589.600625957231</v>
      </c>
      <c r="W53" s="50">
        <f t="shared" si="299"/>
        <v>108778.47804218142</v>
      </c>
      <c r="X53" s="50">
        <f t="shared" si="299"/>
        <v>122612.20713368148</v>
      </c>
      <c r="Y53" s="50">
        <f t="shared" si="299"/>
        <v>142570.95425862484</v>
      </c>
      <c r="Z53" s="50">
        <f t="shared" si="299"/>
        <v>170041.39317280205</v>
      </c>
      <c r="AA53" s="50">
        <f t="shared" si="299"/>
        <v>253592.26673039806</v>
      </c>
      <c r="AB53" s="50">
        <f t="shared" si="299"/>
        <v>262667.94923307316</v>
      </c>
      <c r="AC53" s="50">
        <f t="shared" si="299"/>
        <v>275500.84054234065</v>
      </c>
      <c r="AD53" s="50">
        <f t="shared" si="299"/>
        <v>319209.649328175</v>
      </c>
      <c r="AE53" s="50">
        <f t="shared" si="299"/>
        <v>376920.49849176273</v>
      </c>
      <c r="AF53" s="50">
        <f t="shared" si="299"/>
        <v>423441.08920777583</v>
      </c>
      <c r="AG53" s="50">
        <f t="shared" si="299"/>
        <v>467644.12788490253</v>
      </c>
      <c r="AH53" s="50">
        <f t="shared" si="299"/>
        <v>497586.56846727041</v>
      </c>
      <c r="AI53" s="50">
        <f t="shared" si="299"/>
        <v>509872.43672572426</v>
      </c>
      <c r="AJ53" s="50">
        <f t="shared" si="299"/>
        <v>497602.40555511392</v>
      </c>
      <c r="AK53" s="50">
        <f t="shared" si="299"/>
        <v>473053.9897184397</v>
      </c>
      <c r="AL53" s="50">
        <f t="shared" si="299"/>
        <v>430006.57060001837</v>
      </c>
      <c r="AM53" s="50">
        <f t="shared" si="299"/>
        <v>430235.7091077849</v>
      </c>
      <c r="AN53" s="50">
        <f t="shared" si="299"/>
        <v>376712.9369472214</v>
      </c>
      <c r="AO53" s="50">
        <f t="shared" si="299"/>
        <v>319695.1242708877</v>
      </c>
      <c r="AP53" s="50">
        <f t="shared" si="299"/>
        <v>266626.1124164951</v>
      </c>
      <c r="AQ53" s="50">
        <f t="shared" si="299"/>
        <v>224743.24690653229</v>
      </c>
      <c r="AR53" s="50">
        <f t="shared" si="299"/>
        <v>175682.95211301488</v>
      </c>
      <c r="AS53" s="50">
        <f t="shared" si="299"/>
        <v>149990.99091091516</v>
      </c>
      <c r="AT53" s="50">
        <f t="shared" si="299"/>
        <v>131555.61459857426</v>
      </c>
      <c r="AU53" s="50">
        <f t="shared" si="299"/>
        <v>116178.14650030635</v>
      </c>
      <c r="AV53" s="50">
        <f t="shared" si="299"/>
        <v>53195.030023905536</v>
      </c>
      <c r="AW53" s="50">
        <f t="shared" si="299"/>
        <v>39763.463460153289</v>
      </c>
      <c r="AX53" s="50">
        <f t="shared" si="299"/>
        <v>32398.538456548653</v>
      </c>
      <c r="AY53" s="50">
        <f t="shared" si="299"/>
        <v>31926.295468400731</v>
      </c>
      <c r="AZ53" s="50">
        <f t="shared" si="299"/>
        <v>31926.295468400731</v>
      </c>
      <c r="BA53" s="50">
        <f t="shared" si="299"/>
        <v>31926.295468400731</v>
      </c>
      <c r="BB53" s="50">
        <f t="shared" si="299"/>
        <v>31926.295468400731</v>
      </c>
      <c r="BC53" s="50">
        <f t="shared" si="299"/>
        <v>31926.295468400731</v>
      </c>
      <c r="BD53" s="50">
        <f t="shared" si="299"/>
        <v>24697.724039829303</v>
      </c>
      <c r="BE53" s="50">
        <f t="shared" si="299"/>
        <v>24697.724039829303</v>
      </c>
      <c r="BF53" s="50">
        <f t="shared" si="299"/>
        <v>0</v>
      </c>
      <c r="BG53" s="50">
        <f t="shared" si="299"/>
        <v>0</v>
      </c>
      <c r="BH53" s="50">
        <f t="shared" si="299"/>
        <v>0</v>
      </c>
      <c r="BI53" s="50">
        <f t="shared" si="299"/>
        <v>0</v>
      </c>
      <c r="BJ53" s="50">
        <f t="shared" si="299"/>
        <v>0</v>
      </c>
      <c r="BK53" s="50">
        <f t="shared" si="299"/>
        <v>0</v>
      </c>
      <c r="BL53" s="50">
        <f t="shared" si="299"/>
        <v>0</v>
      </c>
      <c r="BM53" s="50">
        <f t="shared" si="299"/>
        <v>0</v>
      </c>
      <c r="BN53" s="50">
        <f t="shared" si="299"/>
        <v>0</v>
      </c>
      <c r="BO53" s="50">
        <f t="shared" si="299"/>
        <v>0</v>
      </c>
      <c r="BP53" s="50">
        <f t="shared" si="299"/>
        <v>0</v>
      </c>
      <c r="BQ53" s="50">
        <f t="shared" si="299"/>
        <v>0</v>
      </c>
      <c r="BR53" s="50">
        <f t="shared" si="299"/>
        <v>0</v>
      </c>
      <c r="BS53" s="50">
        <f t="shared" si="299"/>
        <v>0</v>
      </c>
      <c r="BT53" s="50">
        <f t="shared" si="299"/>
        <v>0</v>
      </c>
      <c r="BU53" s="50">
        <f t="shared" si="299"/>
        <v>0</v>
      </c>
      <c r="BV53" s="50">
        <f t="shared" si="299"/>
        <v>0</v>
      </c>
      <c r="BW53" s="50">
        <f t="shared" si="299"/>
        <v>0</v>
      </c>
      <c r="BX53" s="50">
        <f t="shared" si="299"/>
        <v>0</v>
      </c>
      <c r="BY53" s="50">
        <f t="shared" si="299"/>
        <v>0</v>
      </c>
      <c r="BZ53" s="50">
        <f t="shared" si="299"/>
        <v>0</v>
      </c>
      <c r="CA53" s="50">
        <f t="shared" si="299"/>
        <v>0</v>
      </c>
      <c r="CB53" s="50">
        <f t="shared" si="299"/>
        <v>0</v>
      </c>
      <c r="CC53" s="50">
        <f t="shared" si="299"/>
        <v>0</v>
      </c>
      <c r="CD53" s="50">
        <f t="shared" si="299"/>
        <v>0</v>
      </c>
      <c r="CE53" s="50">
        <f t="shared" si="299"/>
        <v>0</v>
      </c>
      <c r="CF53" s="50">
        <f t="shared" ref="CF53:EQ53" si="300">CF51+CF46</f>
        <v>0</v>
      </c>
      <c r="CG53" s="50">
        <f t="shared" si="300"/>
        <v>0</v>
      </c>
      <c r="CH53" s="50">
        <f t="shared" si="300"/>
        <v>0</v>
      </c>
      <c r="CI53" s="50">
        <f t="shared" si="300"/>
        <v>0</v>
      </c>
      <c r="CJ53" s="50">
        <f t="shared" si="300"/>
        <v>0</v>
      </c>
      <c r="CK53" s="50">
        <f t="shared" si="300"/>
        <v>0</v>
      </c>
      <c r="CL53" s="50">
        <f t="shared" si="300"/>
        <v>0</v>
      </c>
      <c r="CM53" s="50">
        <f t="shared" si="300"/>
        <v>0</v>
      </c>
      <c r="CN53" s="50">
        <f t="shared" si="300"/>
        <v>0</v>
      </c>
      <c r="CO53" s="50">
        <f t="shared" si="300"/>
        <v>0</v>
      </c>
      <c r="CP53" s="50">
        <f t="shared" si="300"/>
        <v>0</v>
      </c>
      <c r="CQ53" s="50">
        <f t="shared" si="300"/>
        <v>0</v>
      </c>
      <c r="CR53" s="50">
        <f t="shared" si="300"/>
        <v>0</v>
      </c>
      <c r="CS53" s="50">
        <f t="shared" si="300"/>
        <v>0</v>
      </c>
      <c r="CT53" s="50">
        <f t="shared" si="300"/>
        <v>0</v>
      </c>
      <c r="CU53" s="50">
        <f t="shared" si="300"/>
        <v>0</v>
      </c>
      <c r="CV53" s="50">
        <f t="shared" si="300"/>
        <v>0</v>
      </c>
      <c r="CW53" s="50">
        <f t="shared" si="300"/>
        <v>0</v>
      </c>
      <c r="CX53" s="50">
        <f t="shared" si="300"/>
        <v>0</v>
      </c>
      <c r="CY53" s="50">
        <f t="shared" si="300"/>
        <v>0</v>
      </c>
      <c r="CZ53" s="50">
        <f t="shared" si="300"/>
        <v>0</v>
      </c>
      <c r="DA53" s="50">
        <f t="shared" si="300"/>
        <v>0</v>
      </c>
      <c r="DB53" s="50">
        <f t="shared" si="300"/>
        <v>0</v>
      </c>
      <c r="DC53" s="50">
        <f t="shared" si="300"/>
        <v>0</v>
      </c>
      <c r="DD53" s="50">
        <f t="shared" si="300"/>
        <v>0</v>
      </c>
      <c r="DE53" s="50">
        <f t="shared" si="300"/>
        <v>0</v>
      </c>
      <c r="DF53" s="50">
        <f t="shared" si="300"/>
        <v>0</v>
      </c>
      <c r="DG53" s="50">
        <f t="shared" si="300"/>
        <v>0</v>
      </c>
      <c r="DH53" s="50">
        <f t="shared" si="300"/>
        <v>0</v>
      </c>
      <c r="DI53" s="50">
        <f t="shared" si="300"/>
        <v>0</v>
      </c>
      <c r="DJ53" s="50">
        <f t="shared" si="300"/>
        <v>0</v>
      </c>
      <c r="DK53" s="50">
        <f t="shared" si="300"/>
        <v>0</v>
      </c>
      <c r="DL53" s="50">
        <f t="shared" si="300"/>
        <v>0</v>
      </c>
      <c r="DM53" s="50">
        <f t="shared" si="300"/>
        <v>0</v>
      </c>
      <c r="DN53" s="50">
        <f t="shared" si="300"/>
        <v>0</v>
      </c>
      <c r="DO53" s="50">
        <f t="shared" si="300"/>
        <v>0</v>
      </c>
      <c r="DP53" s="50">
        <f t="shared" si="300"/>
        <v>0</v>
      </c>
      <c r="DQ53" s="50">
        <f t="shared" si="300"/>
        <v>0</v>
      </c>
      <c r="DR53" s="50">
        <f t="shared" si="300"/>
        <v>0</v>
      </c>
      <c r="DS53" s="50">
        <f t="shared" si="300"/>
        <v>0</v>
      </c>
      <c r="DT53" s="50">
        <f t="shared" si="300"/>
        <v>0</v>
      </c>
      <c r="DU53" s="50">
        <f t="shared" si="300"/>
        <v>0</v>
      </c>
      <c r="DV53" s="50">
        <f t="shared" si="300"/>
        <v>0</v>
      </c>
      <c r="DW53" s="50">
        <f t="shared" si="300"/>
        <v>0</v>
      </c>
      <c r="DX53" s="50">
        <f t="shared" si="300"/>
        <v>0</v>
      </c>
      <c r="DY53" s="50">
        <f t="shared" si="300"/>
        <v>0</v>
      </c>
      <c r="DZ53" s="50">
        <f t="shared" si="300"/>
        <v>0</v>
      </c>
      <c r="EA53" s="50">
        <f t="shared" si="300"/>
        <v>0</v>
      </c>
      <c r="EB53" s="50">
        <f t="shared" si="300"/>
        <v>0</v>
      </c>
      <c r="EC53" s="50">
        <f t="shared" si="300"/>
        <v>0</v>
      </c>
      <c r="ED53" s="50">
        <f t="shared" si="300"/>
        <v>0</v>
      </c>
      <c r="EE53" s="50">
        <f t="shared" si="300"/>
        <v>0</v>
      </c>
      <c r="EF53" s="50">
        <f t="shared" si="300"/>
        <v>0</v>
      </c>
      <c r="EG53" s="50">
        <f t="shared" si="300"/>
        <v>0</v>
      </c>
      <c r="EH53" s="50">
        <f t="shared" si="300"/>
        <v>0</v>
      </c>
      <c r="EI53" s="50">
        <f t="shared" si="300"/>
        <v>0</v>
      </c>
      <c r="EJ53" s="50">
        <f t="shared" si="300"/>
        <v>0</v>
      </c>
      <c r="EK53" s="50">
        <f t="shared" si="300"/>
        <v>0</v>
      </c>
      <c r="EL53" s="50">
        <f t="shared" si="300"/>
        <v>0</v>
      </c>
      <c r="EM53" s="50">
        <f t="shared" si="300"/>
        <v>0</v>
      </c>
      <c r="EN53" s="50">
        <f t="shared" si="300"/>
        <v>0</v>
      </c>
      <c r="EO53" s="50">
        <f t="shared" si="300"/>
        <v>0</v>
      </c>
      <c r="EP53" s="50">
        <f t="shared" si="300"/>
        <v>0</v>
      </c>
      <c r="EQ53" s="50">
        <f t="shared" si="300"/>
        <v>0</v>
      </c>
      <c r="ER53" s="50">
        <f t="shared" ref="ER53:GQ53" si="301">ER51+ER46</f>
        <v>0</v>
      </c>
      <c r="ES53" s="50">
        <f t="shared" si="301"/>
        <v>0</v>
      </c>
      <c r="ET53" s="50">
        <f t="shared" si="301"/>
        <v>0</v>
      </c>
      <c r="EU53" s="50">
        <f t="shared" si="301"/>
        <v>0</v>
      </c>
      <c r="EV53" s="50">
        <f t="shared" si="301"/>
        <v>0</v>
      </c>
      <c r="EW53" s="50">
        <f t="shared" si="301"/>
        <v>0</v>
      </c>
      <c r="EX53" s="50">
        <f t="shared" si="301"/>
        <v>0</v>
      </c>
      <c r="EY53" s="50">
        <f t="shared" si="301"/>
        <v>0</v>
      </c>
      <c r="EZ53" s="50">
        <f t="shared" si="301"/>
        <v>0</v>
      </c>
      <c r="FA53" s="50">
        <f t="shared" si="301"/>
        <v>0</v>
      </c>
      <c r="FB53" s="50">
        <f t="shared" si="301"/>
        <v>0</v>
      </c>
      <c r="FC53" s="50">
        <f t="shared" si="301"/>
        <v>0</v>
      </c>
      <c r="FD53" s="50">
        <f t="shared" si="301"/>
        <v>0</v>
      </c>
      <c r="FE53" s="50">
        <f t="shared" si="301"/>
        <v>0</v>
      </c>
      <c r="FF53" s="50">
        <f t="shared" si="301"/>
        <v>0</v>
      </c>
      <c r="FG53" s="50">
        <f t="shared" si="301"/>
        <v>0</v>
      </c>
      <c r="FH53" s="50">
        <f t="shared" si="301"/>
        <v>0</v>
      </c>
      <c r="FI53" s="50">
        <f t="shared" si="301"/>
        <v>0</v>
      </c>
      <c r="FJ53" s="50">
        <f t="shared" si="301"/>
        <v>0</v>
      </c>
      <c r="FK53" s="50">
        <f t="shared" si="301"/>
        <v>0</v>
      </c>
      <c r="FL53" s="50">
        <f t="shared" si="301"/>
        <v>0</v>
      </c>
      <c r="FM53" s="50">
        <f t="shared" si="301"/>
        <v>0</v>
      </c>
      <c r="FN53" s="50">
        <f t="shared" si="301"/>
        <v>0</v>
      </c>
      <c r="FO53" s="50">
        <f t="shared" si="301"/>
        <v>0</v>
      </c>
      <c r="FP53" s="50">
        <f t="shared" si="301"/>
        <v>0</v>
      </c>
      <c r="FQ53" s="50">
        <f t="shared" si="301"/>
        <v>0</v>
      </c>
      <c r="FR53" s="50">
        <f t="shared" si="301"/>
        <v>0</v>
      </c>
      <c r="FS53" s="50">
        <f t="shared" si="301"/>
        <v>0</v>
      </c>
      <c r="FT53" s="50">
        <f t="shared" si="301"/>
        <v>0</v>
      </c>
      <c r="FU53" s="50">
        <f t="shared" si="301"/>
        <v>0</v>
      </c>
      <c r="FV53" s="50">
        <f t="shared" si="301"/>
        <v>0</v>
      </c>
      <c r="FW53" s="50">
        <f t="shared" si="301"/>
        <v>0</v>
      </c>
      <c r="FX53" s="50">
        <f t="shared" si="301"/>
        <v>0</v>
      </c>
      <c r="FY53" s="50">
        <f t="shared" si="301"/>
        <v>0</v>
      </c>
      <c r="FZ53" s="50">
        <f t="shared" si="301"/>
        <v>0</v>
      </c>
      <c r="GA53" s="50">
        <f t="shared" si="301"/>
        <v>0</v>
      </c>
      <c r="GB53" s="50">
        <f t="shared" si="301"/>
        <v>0</v>
      </c>
      <c r="GC53" s="50">
        <f t="shared" si="301"/>
        <v>0</v>
      </c>
      <c r="GD53" s="50">
        <f t="shared" si="301"/>
        <v>0</v>
      </c>
      <c r="GE53" s="50">
        <f t="shared" si="301"/>
        <v>0</v>
      </c>
      <c r="GF53" s="50">
        <f t="shared" si="301"/>
        <v>0</v>
      </c>
      <c r="GG53" s="50">
        <f t="shared" si="301"/>
        <v>0</v>
      </c>
      <c r="GH53" s="50">
        <f t="shared" si="301"/>
        <v>0</v>
      </c>
      <c r="GI53" s="50">
        <f t="shared" si="301"/>
        <v>0</v>
      </c>
      <c r="GJ53" s="50">
        <f t="shared" si="301"/>
        <v>0</v>
      </c>
      <c r="GK53" s="50">
        <f t="shared" si="301"/>
        <v>0</v>
      </c>
      <c r="GL53" s="50">
        <f t="shared" si="301"/>
        <v>0</v>
      </c>
      <c r="GM53" s="50">
        <f t="shared" si="301"/>
        <v>0</v>
      </c>
      <c r="GN53" s="50">
        <f t="shared" si="301"/>
        <v>0</v>
      </c>
      <c r="GO53" s="50">
        <f t="shared" si="301"/>
        <v>0</v>
      </c>
      <c r="GP53" s="50">
        <f t="shared" si="301"/>
        <v>0</v>
      </c>
      <c r="GQ53" s="50">
        <f t="shared" si="301"/>
        <v>0</v>
      </c>
      <c r="GS53" s="83" t="s">
        <v>233</v>
      </c>
      <c r="GT53" s="77"/>
      <c r="GU53" s="77"/>
      <c r="GV53" s="77"/>
      <c r="GW53" s="77"/>
      <c r="GX53" s="81">
        <f>SUM(GZ53:NW53)</f>
        <v>162115.18444273149</v>
      </c>
      <c r="GY53" s="71"/>
      <c r="GZ53" s="81">
        <f t="shared" ref="GZ53:IE53" si="302">(GY69+GY75)*(GZ60/12)</f>
        <v>0</v>
      </c>
      <c r="HA53" s="81">
        <f t="shared" si="302"/>
        <v>7810.155052662959</v>
      </c>
      <c r="HB53" s="81">
        <f t="shared" si="302"/>
        <v>8333.777070080394</v>
      </c>
      <c r="HC53" s="81">
        <f t="shared" si="302"/>
        <v>8890.3071912254472</v>
      </c>
      <c r="HD53" s="81">
        <f t="shared" si="302"/>
        <v>9498.186921461167</v>
      </c>
      <c r="HE53" s="81">
        <f t="shared" si="302"/>
        <v>10183.37278485527</v>
      </c>
      <c r="HF53" s="81">
        <f t="shared" si="302"/>
        <v>10980.092823359349</v>
      </c>
      <c r="HG53" s="81">
        <f t="shared" si="302"/>
        <v>11930.324138148539</v>
      </c>
      <c r="HH53" s="81">
        <f t="shared" si="302"/>
        <v>13347.457393406645</v>
      </c>
      <c r="HI53" s="81">
        <f t="shared" si="302"/>
        <v>14815.307697944405</v>
      </c>
      <c r="HJ53" s="81">
        <f t="shared" si="302"/>
        <v>3255.3491597986622</v>
      </c>
      <c r="HK53" s="81">
        <f t="shared" si="302"/>
        <v>5039.1677883972879</v>
      </c>
      <c r="HL53" s="81">
        <f t="shared" si="302"/>
        <v>0</v>
      </c>
      <c r="HM53" s="81">
        <f t="shared" si="302"/>
        <v>2366.288439690512</v>
      </c>
      <c r="HN53" s="81">
        <f t="shared" si="302"/>
        <v>4979.5938602237911</v>
      </c>
      <c r="HO53" s="81">
        <f t="shared" si="302"/>
        <v>7760.2246840114785</v>
      </c>
      <c r="HP53" s="81">
        <f t="shared" si="302"/>
        <v>4995.4309480669972</v>
      </c>
      <c r="HQ53" s="81">
        <f t="shared" si="302"/>
        <v>7776.1502732279278</v>
      </c>
      <c r="HR53" s="81">
        <f t="shared" si="302"/>
        <v>6565.4813922427375</v>
      </c>
      <c r="HS53" s="81">
        <f t="shared" si="302"/>
        <v>3354.3784044193108</v>
      </c>
      <c r="HT53" s="81">
        <f t="shared" si="302"/>
        <v>5758.636778845168</v>
      </c>
      <c r="HU53" s="81">
        <f t="shared" si="302"/>
        <v>4009.5914264914049</v>
      </c>
      <c r="HV53" s="81">
        <f t="shared" si="302"/>
        <v>1555.6205768287184</v>
      </c>
      <c r="HW53" s="81">
        <f t="shared" si="302"/>
        <v>3045.5900285679559</v>
      </c>
      <c r="HX53" s="81">
        <f t="shared" si="302"/>
        <v>331.67611422210621</v>
      </c>
      <c r="HY53" s="81">
        <f t="shared" si="302"/>
        <v>1313.4337877948365</v>
      </c>
      <c r="HZ53" s="81">
        <f t="shared" si="302"/>
        <v>2151.618737002892</v>
      </c>
      <c r="IA53" s="81">
        <f t="shared" si="302"/>
        <v>0</v>
      </c>
      <c r="IB53" s="81">
        <f t="shared" si="302"/>
        <v>649.23081867818257</v>
      </c>
      <c r="IC53" s="81">
        <f t="shared" si="302"/>
        <v>946.49716292941946</v>
      </c>
      <c r="ID53" s="81">
        <f t="shared" si="302"/>
        <v>472.24298814792303</v>
      </c>
      <c r="IE53" s="81">
        <f t="shared" si="302"/>
        <v>0</v>
      </c>
      <c r="IF53" s="81">
        <f t="shared" ref="IF53:JK53" si="303">(IE69+IE75)*(IF60/12)</f>
        <v>0</v>
      </c>
      <c r="IG53" s="81">
        <f t="shared" si="303"/>
        <v>0</v>
      </c>
      <c r="IH53" s="81">
        <f t="shared" si="303"/>
        <v>0</v>
      </c>
      <c r="II53" s="81">
        <f t="shared" si="303"/>
        <v>0</v>
      </c>
      <c r="IJ53" s="81">
        <f t="shared" si="303"/>
        <v>0</v>
      </c>
      <c r="IK53" s="81">
        <f t="shared" si="303"/>
        <v>0</v>
      </c>
      <c r="IL53" s="81">
        <f t="shared" si="303"/>
        <v>0</v>
      </c>
      <c r="IM53" s="81">
        <f t="shared" si="303"/>
        <v>0</v>
      </c>
      <c r="IN53" s="81">
        <f t="shared" si="303"/>
        <v>0</v>
      </c>
      <c r="IO53" s="81">
        <f t="shared" si="303"/>
        <v>0</v>
      </c>
      <c r="IP53" s="81">
        <f t="shared" si="303"/>
        <v>0</v>
      </c>
      <c r="IQ53" s="81">
        <f t="shared" si="303"/>
        <v>0</v>
      </c>
      <c r="IR53" s="81">
        <f t="shared" si="303"/>
        <v>0</v>
      </c>
      <c r="IS53" s="81">
        <f t="shared" si="303"/>
        <v>0</v>
      </c>
      <c r="IT53" s="81">
        <f t="shared" si="303"/>
        <v>0</v>
      </c>
      <c r="IU53" s="81">
        <f t="shared" si="303"/>
        <v>0</v>
      </c>
      <c r="IV53" s="81">
        <f t="shared" si="303"/>
        <v>0</v>
      </c>
      <c r="IW53" s="81">
        <f t="shared" si="303"/>
        <v>0</v>
      </c>
      <c r="IX53" s="81">
        <f t="shared" si="303"/>
        <v>0</v>
      </c>
      <c r="IY53" s="81">
        <f t="shared" si="303"/>
        <v>0</v>
      </c>
      <c r="IZ53" s="81">
        <f t="shared" si="303"/>
        <v>0</v>
      </c>
      <c r="JA53" s="81">
        <f t="shared" si="303"/>
        <v>0</v>
      </c>
      <c r="JB53" s="81">
        <f t="shared" si="303"/>
        <v>0</v>
      </c>
      <c r="JC53" s="81">
        <f t="shared" si="303"/>
        <v>0</v>
      </c>
      <c r="JD53" s="81">
        <f t="shared" si="303"/>
        <v>0</v>
      </c>
      <c r="JE53" s="81">
        <f t="shared" si="303"/>
        <v>0</v>
      </c>
      <c r="JF53" s="81">
        <f t="shared" si="303"/>
        <v>0</v>
      </c>
      <c r="JG53" s="81">
        <f t="shared" si="303"/>
        <v>0</v>
      </c>
      <c r="JH53" s="81">
        <f t="shared" si="303"/>
        <v>0</v>
      </c>
      <c r="JI53" s="81">
        <f t="shared" si="303"/>
        <v>0</v>
      </c>
      <c r="JJ53" s="81">
        <f t="shared" si="303"/>
        <v>0</v>
      </c>
      <c r="JK53" s="81">
        <f t="shared" si="303"/>
        <v>0</v>
      </c>
      <c r="JL53" s="81">
        <f t="shared" ref="JL53:KQ53" si="304">(JK69+JK75)*(JL60/12)</f>
        <v>0</v>
      </c>
      <c r="JM53" s="81">
        <f t="shared" si="304"/>
        <v>0</v>
      </c>
      <c r="JN53" s="81">
        <f t="shared" si="304"/>
        <v>0</v>
      </c>
      <c r="JO53" s="81">
        <f t="shared" si="304"/>
        <v>0</v>
      </c>
      <c r="JP53" s="81">
        <f t="shared" si="304"/>
        <v>0</v>
      </c>
      <c r="JQ53" s="81">
        <f t="shared" si="304"/>
        <v>0</v>
      </c>
      <c r="JR53" s="81">
        <f t="shared" si="304"/>
        <v>0</v>
      </c>
      <c r="JS53" s="81">
        <f t="shared" si="304"/>
        <v>0</v>
      </c>
      <c r="JT53" s="81">
        <f t="shared" si="304"/>
        <v>0</v>
      </c>
      <c r="JU53" s="81">
        <f t="shared" si="304"/>
        <v>0</v>
      </c>
      <c r="JV53" s="81">
        <f t="shared" si="304"/>
        <v>0</v>
      </c>
      <c r="JW53" s="81">
        <f t="shared" si="304"/>
        <v>0</v>
      </c>
      <c r="JX53" s="81">
        <f t="shared" si="304"/>
        <v>0</v>
      </c>
      <c r="JY53" s="81">
        <f t="shared" si="304"/>
        <v>0</v>
      </c>
      <c r="JZ53" s="81">
        <f t="shared" si="304"/>
        <v>0</v>
      </c>
      <c r="KA53" s="81">
        <f t="shared" si="304"/>
        <v>0</v>
      </c>
      <c r="KB53" s="81">
        <f t="shared" si="304"/>
        <v>0</v>
      </c>
      <c r="KC53" s="81">
        <f t="shared" si="304"/>
        <v>0</v>
      </c>
      <c r="KD53" s="81">
        <f t="shared" si="304"/>
        <v>0</v>
      </c>
      <c r="KE53" s="81">
        <f t="shared" si="304"/>
        <v>0</v>
      </c>
      <c r="KF53" s="81">
        <f t="shared" si="304"/>
        <v>0</v>
      </c>
      <c r="KG53" s="81">
        <f t="shared" si="304"/>
        <v>0</v>
      </c>
      <c r="KH53" s="81">
        <f t="shared" si="304"/>
        <v>0</v>
      </c>
      <c r="KI53" s="81">
        <f t="shared" si="304"/>
        <v>0</v>
      </c>
      <c r="KJ53" s="81">
        <f t="shared" si="304"/>
        <v>0</v>
      </c>
      <c r="KK53" s="81">
        <f t="shared" si="304"/>
        <v>0</v>
      </c>
      <c r="KL53" s="81">
        <f t="shared" si="304"/>
        <v>0</v>
      </c>
      <c r="KM53" s="81">
        <f t="shared" si="304"/>
        <v>0</v>
      </c>
      <c r="KN53" s="81">
        <f t="shared" si="304"/>
        <v>0</v>
      </c>
      <c r="KO53" s="81">
        <f t="shared" si="304"/>
        <v>0</v>
      </c>
      <c r="KP53" s="81">
        <f t="shared" si="304"/>
        <v>0</v>
      </c>
      <c r="KQ53" s="81">
        <f t="shared" si="304"/>
        <v>0</v>
      </c>
      <c r="KR53" s="81">
        <f t="shared" ref="KR53:LW53" si="305">(KQ69+KQ75)*(KR60/12)</f>
        <v>0</v>
      </c>
      <c r="KS53" s="81">
        <f t="shared" si="305"/>
        <v>0</v>
      </c>
      <c r="KT53" s="81">
        <f t="shared" si="305"/>
        <v>0</v>
      </c>
      <c r="KU53" s="81">
        <f t="shared" si="305"/>
        <v>0</v>
      </c>
      <c r="KV53" s="81">
        <f t="shared" si="305"/>
        <v>0</v>
      </c>
      <c r="KW53" s="81">
        <f t="shared" si="305"/>
        <v>0</v>
      </c>
      <c r="KX53" s="81">
        <f t="shared" si="305"/>
        <v>0</v>
      </c>
      <c r="KY53" s="81">
        <f t="shared" si="305"/>
        <v>0</v>
      </c>
      <c r="KZ53" s="81">
        <f t="shared" si="305"/>
        <v>0</v>
      </c>
      <c r="LA53" s="81">
        <f t="shared" si="305"/>
        <v>0</v>
      </c>
      <c r="LB53" s="81">
        <f t="shared" si="305"/>
        <v>0</v>
      </c>
      <c r="LC53" s="81">
        <f t="shared" si="305"/>
        <v>0</v>
      </c>
      <c r="LD53" s="81">
        <f t="shared" si="305"/>
        <v>0</v>
      </c>
      <c r="LE53" s="81">
        <f t="shared" si="305"/>
        <v>0</v>
      </c>
      <c r="LF53" s="81">
        <f t="shared" si="305"/>
        <v>0</v>
      </c>
      <c r="LG53" s="81">
        <f t="shared" si="305"/>
        <v>0</v>
      </c>
      <c r="LH53" s="81">
        <f t="shared" si="305"/>
        <v>0</v>
      </c>
      <c r="LI53" s="81">
        <f t="shared" si="305"/>
        <v>0</v>
      </c>
      <c r="LJ53" s="81">
        <f t="shared" si="305"/>
        <v>0</v>
      </c>
      <c r="LK53" s="81">
        <f t="shared" si="305"/>
        <v>0</v>
      </c>
      <c r="LL53" s="81">
        <f t="shared" si="305"/>
        <v>0</v>
      </c>
      <c r="LM53" s="81">
        <f t="shared" si="305"/>
        <v>0</v>
      </c>
      <c r="LN53" s="81">
        <f t="shared" si="305"/>
        <v>0</v>
      </c>
      <c r="LO53" s="81">
        <f t="shared" si="305"/>
        <v>0</v>
      </c>
      <c r="LP53" s="81">
        <f t="shared" si="305"/>
        <v>0</v>
      </c>
      <c r="LQ53" s="81">
        <f t="shared" si="305"/>
        <v>0</v>
      </c>
      <c r="LR53" s="81">
        <f t="shared" si="305"/>
        <v>0</v>
      </c>
      <c r="LS53" s="81">
        <f t="shared" si="305"/>
        <v>0</v>
      </c>
      <c r="LT53" s="81">
        <f t="shared" si="305"/>
        <v>0</v>
      </c>
      <c r="LU53" s="81">
        <f t="shared" si="305"/>
        <v>0</v>
      </c>
      <c r="LV53" s="81">
        <f t="shared" si="305"/>
        <v>0</v>
      </c>
      <c r="LW53" s="81">
        <f t="shared" si="305"/>
        <v>0</v>
      </c>
      <c r="LX53" s="81">
        <f t="shared" ref="LX53:NC53" si="306">(LW69+LW75)*(LX60/12)</f>
        <v>0</v>
      </c>
      <c r="LY53" s="81">
        <f t="shared" si="306"/>
        <v>0</v>
      </c>
      <c r="LZ53" s="81">
        <f t="shared" si="306"/>
        <v>0</v>
      </c>
      <c r="MA53" s="81">
        <f t="shared" si="306"/>
        <v>0</v>
      </c>
      <c r="MB53" s="81">
        <f t="shared" si="306"/>
        <v>0</v>
      </c>
      <c r="MC53" s="81">
        <f t="shared" si="306"/>
        <v>0</v>
      </c>
      <c r="MD53" s="81">
        <f t="shared" si="306"/>
        <v>0</v>
      </c>
      <c r="ME53" s="81">
        <f t="shared" si="306"/>
        <v>0</v>
      </c>
      <c r="MF53" s="81">
        <f t="shared" si="306"/>
        <v>0</v>
      </c>
      <c r="MG53" s="81">
        <f t="shared" si="306"/>
        <v>0</v>
      </c>
      <c r="MH53" s="81">
        <f t="shared" si="306"/>
        <v>0</v>
      </c>
      <c r="MI53" s="81">
        <f t="shared" si="306"/>
        <v>0</v>
      </c>
      <c r="MJ53" s="81">
        <f t="shared" si="306"/>
        <v>0</v>
      </c>
      <c r="MK53" s="81">
        <f t="shared" si="306"/>
        <v>0</v>
      </c>
      <c r="ML53" s="81">
        <f t="shared" si="306"/>
        <v>0</v>
      </c>
      <c r="MM53" s="81">
        <f t="shared" si="306"/>
        <v>0</v>
      </c>
      <c r="MN53" s="81">
        <f t="shared" si="306"/>
        <v>0</v>
      </c>
      <c r="MO53" s="81">
        <f t="shared" si="306"/>
        <v>0</v>
      </c>
      <c r="MP53" s="81">
        <f t="shared" si="306"/>
        <v>0</v>
      </c>
      <c r="MQ53" s="81">
        <f t="shared" si="306"/>
        <v>0</v>
      </c>
      <c r="MR53" s="81">
        <f t="shared" si="306"/>
        <v>0</v>
      </c>
      <c r="MS53" s="81">
        <f t="shared" si="306"/>
        <v>0</v>
      </c>
      <c r="MT53" s="81">
        <f t="shared" si="306"/>
        <v>0</v>
      </c>
      <c r="MU53" s="81">
        <f t="shared" si="306"/>
        <v>0</v>
      </c>
      <c r="MV53" s="81">
        <f t="shared" si="306"/>
        <v>0</v>
      </c>
      <c r="MW53" s="81">
        <f t="shared" si="306"/>
        <v>0</v>
      </c>
      <c r="MX53" s="81">
        <f t="shared" si="306"/>
        <v>0</v>
      </c>
      <c r="MY53" s="81">
        <f t="shared" si="306"/>
        <v>0</v>
      </c>
      <c r="MZ53" s="81">
        <f t="shared" si="306"/>
        <v>0</v>
      </c>
      <c r="NA53" s="81">
        <f t="shared" si="306"/>
        <v>0</v>
      </c>
      <c r="NB53" s="81">
        <f t="shared" si="306"/>
        <v>0</v>
      </c>
      <c r="NC53" s="81">
        <f t="shared" si="306"/>
        <v>0</v>
      </c>
      <c r="ND53" s="81">
        <f t="shared" ref="ND53:NW53" si="307">(NC69+NC75)*(ND60/12)</f>
        <v>0</v>
      </c>
      <c r="NE53" s="81">
        <f t="shared" si="307"/>
        <v>0</v>
      </c>
      <c r="NF53" s="81">
        <f t="shared" si="307"/>
        <v>0</v>
      </c>
      <c r="NG53" s="81">
        <f t="shared" si="307"/>
        <v>0</v>
      </c>
      <c r="NH53" s="81">
        <f t="shared" si="307"/>
        <v>0</v>
      </c>
      <c r="NI53" s="81">
        <f t="shared" si="307"/>
        <v>0</v>
      </c>
      <c r="NJ53" s="81">
        <f t="shared" si="307"/>
        <v>0</v>
      </c>
      <c r="NK53" s="81">
        <f t="shared" si="307"/>
        <v>0</v>
      </c>
      <c r="NL53" s="81">
        <f t="shared" si="307"/>
        <v>0</v>
      </c>
      <c r="NM53" s="81">
        <f t="shared" si="307"/>
        <v>0</v>
      </c>
      <c r="NN53" s="81">
        <f t="shared" si="307"/>
        <v>0</v>
      </c>
      <c r="NO53" s="81">
        <f t="shared" si="307"/>
        <v>0</v>
      </c>
      <c r="NP53" s="81">
        <f t="shared" si="307"/>
        <v>0</v>
      </c>
      <c r="NQ53" s="81">
        <f t="shared" si="307"/>
        <v>0</v>
      </c>
      <c r="NR53" s="81">
        <f t="shared" si="307"/>
        <v>0</v>
      </c>
      <c r="NS53" s="81">
        <f t="shared" si="307"/>
        <v>0</v>
      </c>
      <c r="NT53" s="81">
        <f t="shared" si="307"/>
        <v>0</v>
      </c>
      <c r="NU53" s="81">
        <f t="shared" si="307"/>
        <v>0</v>
      </c>
      <c r="NV53" s="81">
        <f t="shared" si="307"/>
        <v>0</v>
      </c>
      <c r="NW53" s="81">
        <f t="shared" si="307"/>
        <v>0</v>
      </c>
    </row>
    <row r="54" spans="2:387" x14ac:dyDescent="0.3">
      <c r="B54" s="18"/>
      <c r="C54" s="18"/>
      <c r="D54" s="18"/>
      <c r="E54" s="19"/>
      <c r="F54" s="19"/>
      <c r="G54" s="19"/>
      <c r="H54" s="19"/>
      <c r="I54" s="19"/>
      <c r="J54" s="23"/>
      <c r="K54" s="29"/>
      <c r="L54" s="23"/>
      <c r="GS54" s="80" t="s">
        <v>234</v>
      </c>
      <c r="GT54" s="77"/>
      <c r="GU54" s="77"/>
      <c r="GV54" s="77"/>
      <c r="GW54" s="77" t="str">
        <f>IF(ROUND(SUM(GZ54:NW54),0)=ROUND(L53,0),"OK","ERROR")</f>
        <v>OK</v>
      </c>
      <c r="GX54" s="77">
        <f>SUM(GX51:GX53)</f>
        <v>11118615.184442732</v>
      </c>
      <c r="GY54" s="71"/>
      <c r="GZ54" s="77">
        <f t="shared" ref="GZ54:JK54" si="308">SUM(GZ51:GZ53)</f>
        <v>3068418.585526316</v>
      </c>
      <c r="HA54" s="77">
        <f t="shared" si="308"/>
        <v>93700.782064172512</v>
      </c>
      <c r="HB54" s="77">
        <f t="shared" si="308"/>
        <v>99589.600625957231</v>
      </c>
      <c r="HC54" s="77">
        <f t="shared" si="308"/>
        <v>108778.47804218142</v>
      </c>
      <c r="HD54" s="77">
        <f t="shared" si="308"/>
        <v>122612.20713368148</v>
      </c>
      <c r="HE54" s="77">
        <f t="shared" si="308"/>
        <v>142570.95425862484</v>
      </c>
      <c r="HF54" s="77">
        <f t="shared" si="308"/>
        <v>170041.39317280205</v>
      </c>
      <c r="HG54" s="77">
        <f t="shared" si="308"/>
        <v>253592.26673039806</v>
      </c>
      <c r="HH54" s="77">
        <f t="shared" si="308"/>
        <v>262667.94923307316</v>
      </c>
      <c r="HI54" s="77">
        <f t="shared" si="308"/>
        <v>275500.84054234065</v>
      </c>
      <c r="HJ54" s="77">
        <f t="shared" si="308"/>
        <v>319209.649328175</v>
      </c>
      <c r="HK54" s="77">
        <f t="shared" si="308"/>
        <v>376920.49849176273</v>
      </c>
      <c r="HL54" s="77">
        <f t="shared" si="308"/>
        <v>423441.08920777583</v>
      </c>
      <c r="HM54" s="77">
        <f t="shared" si="308"/>
        <v>467644.12788490253</v>
      </c>
      <c r="HN54" s="77">
        <f t="shared" si="308"/>
        <v>497586.56846727041</v>
      </c>
      <c r="HO54" s="77">
        <f t="shared" si="308"/>
        <v>509872.43672572426</v>
      </c>
      <c r="HP54" s="77">
        <f t="shared" si="308"/>
        <v>497602.40555511392</v>
      </c>
      <c r="HQ54" s="77">
        <f t="shared" si="308"/>
        <v>473053.9897184397</v>
      </c>
      <c r="HR54" s="77">
        <f t="shared" si="308"/>
        <v>430006.57060001837</v>
      </c>
      <c r="HS54" s="77">
        <f t="shared" si="308"/>
        <v>430235.7091077849</v>
      </c>
      <c r="HT54" s="77">
        <f t="shared" si="308"/>
        <v>376712.9369472214</v>
      </c>
      <c r="HU54" s="77">
        <f t="shared" si="308"/>
        <v>319695.1242708877</v>
      </c>
      <c r="HV54" s="77">
        <f t="shared" si="308"/>
        <v>266626.1124164951</v>
      </c>
      <c r="HW54" s="77">
        <f t="shared" si="308"/>
        <v>224743.24690653229</v>
      </c>
      <c r="HX54" s="77">
        <f t="shared" si="308"/>
        <v>175682.95211301488</v>
      </c>
      <c r="HY54" s="77">
        <f t="shared" si="308"/>
        <v>149990.99091091516</v>
      </c>
      <c r="HZ54" s="77">
        <f t="shared" si="308"/>
        <v>131555.61459857426</v>
      </c>
      <c r="IA54" s="77">
        <f t="shared" si="308"/>
        <v>116178.14650030635</v>
      </c>
      <c r="IB54" s="77">
        <f t="shared" si="308"/>
        <v>53195.030023905536</v>
      </c>
      <c r="IC54" s="77">
        <f t="shared" si="308"/>
        <v>39763.463460153289</v>
      </c>
      <c r="ID54" s="77">
        <f t="shared" si="308"/>
        <v>32398.538456548653</v>
      </c>
      <c r="IE54" s="77">
        <f t="shared" si="308"/>
        <v>31926.295468400731</v>
      </c>
      <c r="IF54" s="77">
        <f t="shared" si="308"/>
        <v>31926.295468400731</v>
      </c>
      <c r="IG54" s="77">
        <f t="shared" si="308"/>
        <v>31926.295468400731</v>
      </c>
      <c r="IH54" s="77">
        <f t="shared" si="308"/>
        <v>31926.295468400731</v>
      </c>
      <c r="II54" s="77">
        <f t="shared" si="308"/>
        <v>31926.295468400731</v>
      </c>
      <c r="IJ54" s="77">
        <f t="shared" si="308"/>
        <v>24697.724039829303</v>
      </c>
      <c r="IK54" s="77">
        <f t="shared" si="308"/>
        <v>24697.724039829303</v>
      </c>
      <c r="IL54" s="77">
        <f t="shared" si="308"/>
        <v>0</v>
      </c>
      <c r="IM54" s="77">
        <f t="shared" si="308"/>
        <v>0</v>
      </c>
      <c r="IN54" s="77">
        <f t="shared" si="308"/>
        <v>0</v>
      </c>
      <c r="IO54" s="77">
        <f t="shared" si="308"/>
        <v>0</v>
      </c>
      <c r="IP54" s="77">
        <f t="shared" si="308"/>
        <v>0</v>
      </c>
      <c r="IQ54" s="77">
        <f t="shared" si="308"/>
        <v>0</v>
      </c>
      <c r="IR54" s="77">
        <f t="shared" si="308"/>
        <v>0</v>
      </c>
      <c r="IS54" s="77">
        <f t="shared" si="308"/>
        <v>0</v>
      </c>
      <c r="IT54" s="77">
        <f t="shared" si="308"/>
        <v>0</v>
      </c>
      <c r="IU54" s="77">
        <f t="shared" si="308"/>
        <v>0</v>
      </c>
      <c r="IV54" s="77">
        <f t="shared" si="308"/>
        <v>0</v>
      </c>
      <c r="IW54" s="77">
        <f t="shared" si="308"/>
        <v>0</v>
      </c>
      <c r="IX54" s="77">
        <f t="shared" si="308"/>
        <v>0</v>
      </c>
      <c r="IY54" s="77">
        <f t="shared" si="308"/>
        <v>0</v>
      </c>
      <c r="IZ54" s="77">
        <f t="shared" si="308"/>
        <v>0</v>
      </c>
      <c r="JA54" s="77">
        <f t="shared" si="308"/>
        <v>0</v>
      </c>
      <c r="JB54" s="77">
        <f t="shared" si="308"/>
        <v>0</v>
      </c>
      <c r="JC54" s="77">
        <f t="shared" si="308"/>
        <v>0</v>
      </c>
      <c r="JD54" s="77">
        <f t="shared" si="308"/>
        <v>0</v>
      </c>
      <c r="JE54" s="77">
        <f t="shared" si="308"/>
        <v>0</v>
      </c>
      <c r="JF54" s="77">
        <f t="shared" si="308"/>
        <v>0</v>
      </c>
      <c r="JG54" s="77">
        <f t="shared" si="308"/>
        <v>0</v>
      </c>
      <c r="JH54" s="77">
        <f t="shared" si="308"/>
        <v>0</v>
      </c>
      <c r="JI54" s="77">
        <f t="shared" si="308"/>
        <v>0</v>
      </c>
      <c r="JJ54" s="77">
        <f t="shared" si="308"/>
        <v>0</v>
      </c>
      <c r="JK54" s="77">
        <f t="shared" si="308"/>
        <v>0</v>
      </c>
      <c r="JL54" s="77">
        <f t="shared" ref="JL54:LW54" si="309">SUM(JL51:JL53)</f>
        <v>0</v>
      </c>
      <c r="JM54" s="77">
        <f t="shared" si="309"/>
        <v>0</v>
      </c>
      <c r="JN54" s="77">
        <f t="shared" si="309"/>
        <v>0</v>
      </c>
      <c r="JO54" s="77">
        <f t="shared" si="309"/>
        <v>0</v>
      </c>
      <c r="JP54" s="77">
        <f t="shared" si="309"/>
        <v>0</v>
      </c>
      <c r="JQ54" s="77">
        <f t="shared" si="309"/>
        <v>0</v>
      </c>
      <c r="JR54" s="77">
        <f t="shared" si="309"/>
        <v>0</v>
      </c>
      <c r="JS54" s="77">
        <f t="shared" si="309"/>
        <v>0</v>
      </c>
      <c r="JT54" s="77">
        <f t="shared" si="309"/>
        <v>0</v>
      </c>
      <c r="JU54" s="77">
        <f t="shared" si="309"/>
        <v>0</v>
      </c>
      <c r="JV54" s="77">
        <f t="shared" si="309"/>
        <v>0</v>
      </c>
      <c r="JW54" s="77">
        <f t="shared" si="309"/>
        <v>0</v>
      </c>
      <c r="JX54" s="77">
        <f t="shared" si="309"/>
        <v>0</v>
      </c>
      <c r="JY54" s="77">
        <f t="shared" si="309"/>
        <v>0</v>
      </c>
      <c r="JZ54" s="77">
        <f t="shared" si="309"/>
        <v>0</v>
      </c>
      <c r="KA54" s="77">
        <f t="shared" si="309"/>
        <v>0</v>
      </c>
      <c r="KB54" s="77">
        <f t="shared" si="309"/>
        <v>0</v>
      </c>
      <c r="KC54" s="77">
        <f t="shared" si="309"/>
        <v>0</v>
      </c>
      <c r="KD54" s="77">
        <f t="shared" si="309"/>
        <v>0</v>
      </c>
      <c r="KE54" s="77">
        <f t="shared" si="309"/>
        <v>0</v>
      </c>
      <c r="KF54" s="77">
        <f t="shared" si="309"/>
        <v>0</v>
      </c>
      <c r="KG54" s="77">
        <f t="shared" si="309"/>
        <v>0</v>
      </c>
      <c r="KH54" s="77">
        <f t="shared" si="309"/>
        <v>0</v>
      </c>
      <c r="KI54" s="77">
        <f t="shared" si="309"/>
        <v>0</v>
      </c>
      <c r="KJ54" s="77">
        <f t="shared" si="309"/>
        <v>0</v>
      </c>
      <c r="KK54" s="77">
        <f t="shared" si="309"/>
        <v>0</v>
      </c>
      <c r="KL54" s="77">
        <f t="shared" si="309"/>
        <v>0</v>
      </c>
      <c r="KM54" s="77">
        <f t="shared" si="309"/>
        <v>0</v>
      </c>
      <c r="KN54" s="77">
        <f t="shared" si="309"/>
        <v>0</v>
      </c>
      <c r="KO54" s="77">
        <f t="shared" si="309"/>
        <v>0</v>
      </c>
      <c r="KP54" s="77">
        <f t="shared" si="309"/>
        <v>0</v>
      </c>
      <c r="KQ54" s="77">
        <f t="shared" si="309"/>
        <v>0</v>
      </c>
      <c r="KR54" s="77">
        <f t="shared" si="309"/>
        <v>0</v>
      </c>
      <c r="KS54" s="77">
        <f t="shared" si="309"/>
        <v>0</v>
      </c>
      <c r="KT54" s="77">
        <f t="shared" si="309"/>
        <v>0</v>
      </c>
      <c r="KU54" s="77">
        <f t="shared" si="309"/>
        <v>0</v>
      </c>
      <c r="KV54" s="77">
        <f t="shared" si="309"/>
        <v>0</v>
      </c>
      <c r="KW54" s="77">
        <f t="shared" si="309"/>
        <v>0</v>
      </c>
      <c r="KX54" s="77">
        <f t="shared" si="309"/>
        <v>0</v>
      </c>
      <c r="KY54" s="77">
        <f t="shared" si="309"/>
        <v>0</v>
      </c>
      <c r="KZ54" s="77">
        <f t="shared" si="309"/>
        <v>0</v>
      </c>
      <c r="LA54" s="77">
        <f t="shared" si="309"/>
        <v>0</v>
      </c>
      <c r="LB54" s="77">
        <f t="shared" si="309"/>
        <v>0</v>
      </c>
      <c r="LC54" s="77">
        <f t="shared" si="309"/>
        <v>0</v>
      </c>
      <c r="LD54" s="77">
        <f t="shared" si="309"/>
        <v>0</v>
      </c>
      <c r="LE54" s="77">
        <f t="shared" si="309"/>
        <v>0</v>
      </c>
      <c r="LF54" s="77">
        <f t="shared" si="309"/>
        <v>0</v>
      </c>
      <c r="LG54" s="77">
        <f t="shared" si="309"/>
        <v>0</v>
      </c>
      <c r="LH54" s="77">
        <f t="shared" si="309"/>
        <v>0</v>
      </c>
      <c r="LI54" s="77">
        <f t="shared" si="309"/>
        <v>0</v>
      </c>
      <c r="LJ54" s="77">
        <f t="shared" si="309"/>
        <v>0</v>
      </c>
      <c r="LK54" s="77">
        <f t="shared" si="309"/>
        <v>0</v>
      </c>
      <c r="LL54" s="77">
        <f t="shared" si="309"/>
        <v>0</v>
      </c>
      <c r="LM54" s="77">
        <f t="shared" si="309"/>
        <v>0</v>
      </c>
      <c r="LN54" s="77">
        <f t="shared" si="309"/>
        <v>0</v>
      </c>
      <c r="LO54" s="77">
        <f t="shared" si="309"/>
        <v>0</v>
      </c>
      <c r="LP54" s="77">
        <f t="shared" si="309"/>
        <v>0</v>
      </c>
      <c r="LQ54" s="77">
        <f t="shared" si="309"/>
        <v>0</v>
      </c>
      <c r="LR54" s="77">
        <f t="shared" si="309"/>
        <v>0</v>
      </c>
      <c r="LS54" s="77">
        <f t="shared" si="309"/>
        <v>0</v>
      </c>
      <c r="LT54" s="77">
        <f t="shared" si="309"/>
        <v>0</v>
      </c>
      <c r="LU54" s="77">
        <f t="shared" si="309"/>
        <v>0</v>
      </c>
      <c r="LV54" s="77">
        <f t="shared" si="309"/>
        <v>0</v>
      </c>
      <c r="LW54" s="77">
        <f t="shared" si="309"/>
        <v>0</v>
      </c>
      <c r="LX54" s="77">
        <f t="shared" ref="LX54:NW54" si="310">SUM(LX51:LX53)</f>
        <v>0</v>
      </c>
      <c r="LY54" s="77">
        <f t="shared" si="310"/>
        <v>0</v>
      </c>
      <c r="LZ54" s="77">
        <f t="shared" si="310"/>
        <v>0</v>
      </c>
      <c r="MA54" s="77">
        <f t="shared" si="310"/>
        <v>0</v>
      </c>
      <c r="MB54" s="77">
        <f t="shared" si="310"/>
        <v>0</v>
      </c>
      <c r="MC54" s="77">
        <f t="shared" si="310"/>
        <v>0</v>
      </c>
      <c r="MD54" s="77">
        <f t="shared" si="310"/>
        <v>0</v>
      </c>
      <c r="ME54" s="77">
        <f t="shared" si="310"/>
        <v>0</v>
      </c>
      <c r="MF54" s="77">
        <f t="shared" si="310"/>
        <v>0</v>
      </c>
      <c r="MG54" s="77">
        <f t="shared" si="310"/>
        <v>0</v>
      </c>
      <c r="MH54" s="77">
        <f t="shared" si="310"/>
        <v>0</v>
      </c>
      <c r="MI54" s="77">
        <f t="shared" si="310"/>
        <v>0</v>
      </c>
      <c r="MJ54" s="77">
        <f t="shared" si="310"/>
        <v>0</v>
      </c>
      <c r="MK54" s="77">
        <f t="shared" si="310"/>
        <v>0</v>
      </c>
      <c r="ML54" s="77">
        <f t="shared" si="310"/>
        <v>0</v>
      </c>
      <c r="MM54" s="77">
        <f t="shared" si="310"/>
        <v>0</v>
      </c>
      <c r="MN54" s="77">
        <f t="shared" si="310"/>
        <v>0</v>
      </c>
      <c r="MO54" s="77">
        <f t="shared" si="310"/>
        <v>0</v>
      </c>
      <c r="MP54" s="77">
        <f t="shared" si="310"/>
        <v>0</v>
      </c>
      <c r="MQ54" s="77">
        <f t="shared" si="310"/>
        <v>0</v>
      </c>
      <c r="MR54" s="77">
        <f t="shared" si="310"/>
        <v>0</v>
      </c>
      <c r="MS54" s="77">
        <f t="shared" si="310"/>
        <v>0</v>
      </c>
      <c r="MT54" s="77">
        <f t="shared" si="310"/>
        <v>0</v>
      </c>
      <c r="MU54" s="77">
        <f t="shared" si="310"/>
        <v>0</v>
      </c>
      <c r="MV54" s="77">
        <f t="shared" si="310"/>
        <v>0</v>
      </c>
      <c r="MW54" s="77">
        <f t="shared" si="310"/>
        <v>0</v>
      </c>
      <c r="MX54" s="77">
        <f t="shared" si="310"/>
        <v>0</v>
      </c>
      <c r="MY54" s="77">
        <f t="shared" si="310"/>
        <v>0</v>
      </c>
      <c r="MZ54" s="77">
        <f t="shared" si="310"/>
        <v>0</v>
      </c>
      <c r="NA54" s="77">
        <f t="shared" si="310"/>
        <v>0</v>
      </c>
      <c r="NB54" s="77">
        <f t="shared" si="310"/>
        <v>0</v>
      </c>
      <c r="NC54" s="77">
        <f t="shared" si="310"/>
        <v>0</v>
      </c>
      <c r="ND54" s="77">
        <f t="shared" si="310"/>
        <v>0</v>
      </c>
      <c r="NE54" s="77">
        <f t="shared" si="310"/>
        <v>0</v>
      </c>
      <c r="NF54" s="77">
        <f t="shared" si="310"/>
        <v>0</v>
      </c>
      <c r="NG54" s="77">
        <f t="shared" si="310"/>
        <v>0</v>
      </c>
      <c r="NH54" s="77">
        <f t="shared" si="310"/>
        <v>0</v>
      </c>
      <c r="NI54" s="77">
        <f t="shared" si="310"/>
        <v>0</v>
      </c>
      <c r="NJ54" s="77">
        <f t="shared" si="310"/>
        <v>0</v>
      </c>
      <c r="NK54" s="77">
        <f t="shared" si="310"/>
        <v>0</v>
      </c>
      <c r="NL54" s="77">
        <f t="shared" si="310"/>
        <v>0</v>
      </c>
      <c r="NM54" s="77">
        <f t="shared" si="310"/>
        <v>0</v>
      </c>
      <c r="NN54" s="77">
        <f t="shared" si="310"/>
        <v>0</v>
      </c>
      <c r="NO54" s="77">
        <f t="shared" si="310"/>
        <v>0</v>
      </c>
      <c r="NP54" s="77">
        <f t="shared" si="310"/>
        <v>0</v>
      </c>
      <c r="NQ54" s="77">
        <f t="shared" si="310"/>
        <v>0</v>
      </c>
      <c r="NR54" s="77">
        <f t="shared" si="310"/>
        <v>0</v>
      </c>
      <c r="NS54" s="77">
        <f t="shared" si="310"/>
        <v>0</v>
      </c>
      <c r="NT54" s="77">
        <f t="shared" si="310"/>
        <v>0</v>
      </c>
      <c r="NU54" s="77">
        <f t="shared" si="310"/>
        <v>0</v>
      </c>
      <c r="NV54" s="77">
        <f t="shared" si="310"/>
        <v>0</v>
      </c>
      <c r="NW54" s="77">
        <f t="shared" si="310"/>
        <v>0</v>
      </c>
    </row>
    <row r="55" spans="2:387" x14ac:dyDescent="0.3">
      <c r="B55" s="51" t="s">
        <v>235</v>
      </c>
      <c r="C55" s="52"/>
      <c r="D55" s="52"/>
      <c r="E55" s="52"/>
      <c r="F55" s="52"/>
      <c r="G55" s="52"/>
      <c r="H55" s="52"/>
      <c r="I55" s="52"/>
      <c r="J55" s="53"/>
      <c r="K55" s="54"/>
      <c r="L55" s="53"/>
      <c r="GS55" s="142" t="str">
        <f>B62</f>
        <v>Construction Debt</v>
      </c>
      <c r="GT55" s="90"/>
      <c r="GU55" s="90">
        <f>E62</f>
        <v>2</v>
      </c>
      <c r="GV55" s="143">
        <f>IF(D62=0,0,D62/D64)</f>
        <v>0.70588235294117652</v>
      </c>
      <c r="GW55" s="90" t="str">
        <f>IF(ROUND(GX55,0)=ROUND(SUM(GZ55:NW55),0),"OK","ERROR")</f>
        <v>OK</v>
      </c>
      <c r="GX55" s="90">
        <f>GX52*GV55</f>
        <v>6554603.3704292551</v>
      </c>
      <c r="GY55" s="90"/>
      <c r="GZ55" s="90">
        <f>($GU$55=$GU$56)*(GZ52*$GV$55)+($GU$55&lt;$GU$56)*MIN(GZ52,$GX$55-SUM($GY$55:GY55))</f>
        <v>986545.90138900536</v>
      </c>
      <c r="HA55" s="90">
        <f>($GU$55=$GU$56)*(HA52*$GV$55)+($GU$55&lt;$GU$56)*MIN(HA52,$GX$55-SUM($GY$55:GZ55))</f>
        <v>60628.677890477338</v>
      </c>
      <c r="HB55" s="90">
        <f>($GU$55=$GU$56)*(HB52*$GV$55)+($GU$55&lt;$GU$56)*MIN(HB52,$GX$55-SUM($GY$55:HA55))</f>
        <v>64415.875451207183</v>
      </c>
      <c r="HC55" s="90">
        <f>($GU$55=$GU$56)*(HC52*$GV$55)+($GU$55&lt;$GU$56)*MIN(HC52,$GX$55-SUM($GY$55:HB55))</f>
        <v>70509.297071263034</v>
      </c>
      <c r="HD55" s="90">
        <f>($GU$55=$GU$56)*(HD52*$GV$55)+($GU$55&lt;$GU$56)*MIN(HD52,$GX$55-SUM($GY$55:HC55))</f>
        <v>79845.190738037883</v>
      </c>
      <c r="HE55" s="90">
        <f>($GU$55=$GU$56)*(HE52*$GV$55)+($GU$55&lt;$GU$56)*MIN(HE52,$GX$55-SUM($GY$55:HD55))</f>
        <v>93450.057510896164</v>
      </c>
      <c r="HF55" s="90">
        <f>($GU$55=$GU$56)*(HF52*$GV$55)+($GU$55&lt;$GU$56)*MIN(HF52,$GX$55-SUM($GY$55:HE55))</f>
        <v>112278.56495254779</v>
      </c>
      <c r="HG55" s="90">
        <f>($GU$55=$GU$56)*(HG52*$GV$55)+($GU$55&lt;$GU$56)*MIN(HG52,$GX$55-SUM($GY$55:HF55))</f>
        <v>170584.90065335261</v>
      </c>
      <c r="HH55" s="90">
        <f>($GU$55=$GU$56)*(HH52*$GV$55)+($GU$55&lt;$GU$56)*MIN(HH52,$GX$55-SUM($GY$55:HG55))</f>
        <v>175990.93541623518</v>
      </c>
      <c r="HI55" s="90">
        <f>($GU$55=$GU$56)*(HI52*$GV$55)+($GU$55&lt;$GU$56)*MIN(HI52,$GX$55-SUM($GY$55:HH55))</f>
        <v>184013.31730192679</v>
      </c>
      <c r="HJ55" s="90">
        <f>($GU$55=$GU$56)*(HJ52*$GV$55)+($GU$55&lt;$GU$56)*MIN(HJ52,$GX$55-SUM($GY$55:HI55))</f>
        <v>223026.56482473627</v>
      </c>
      <c r="HK55" s="90">
        <f>($GU$55=$GU$56)*(HK52*$GV$55)+($GU$55&lt;$GU$56)*MIN(HK52,$GX$55-SUM($GY$55:HJ55))</f>
        <v>262504.4687317874</v>
      </c>
      <c r="HL55" s="90">
        <f>($GU$55=$GU$56)*(HL52*$GV$55)+($GU$55&lt;$GU$56)*MIN(HL52,$GX$55-SUM($GY$55:HK55))</f>
        <v>298899.59238195943</v>
      </c>
      <c r="HM55" s="90">
        <f>($GU$55=$GU$56)*(HM52*$GV$55)+($GU$55&lt;$GU$56)*MIN(HM52,$GX$55-SUM($GY$55:HL55))</f>
        <v>328431.41607897321</v>
      </c>
      <c r="HN55" s="90">
        <f>($GU$55=$GU$56)*(HN52*$GV$55)+($GU$55&lt;$GU$56)*MIN(HN52,$GX$55-SUM($GY$55:HM55))</f>
        <v>347722.57031085645</v>
      </c>
      <c r="HO55" s="90">
        <f>($GU$55=$GU$56)*(HO52*$GV$55)+($GU$55&lt;$GU$56)*MIN(HO52,$GX$55-SUM($GY$55:HN55))</f>
        <v>354432.14967650315</v>
      </c>
      <c r="HP55" s="90">
        <f>($GU$55=$GU$56)*(HP52*$GV$55)+($GU$55&lt;$GU$56)*MIN(HP52,$GX$55-SUM($GY$55:HO55))</f>
        <v>347722.57031085668</v>
      </c>
      <c r="HQ55" s="90">
        <f>($GU$55=$GU$56)*(HQ52*$GV$55)+($GU$55&lt;$GU$56)*MIN(HQ52,$GX$55-SUM($GY$55:HP55))</f>
        <v>328431.41607897304</v>
      </c>
      <c r="HR55" s="90">
        <f>($GU$55=$GU$56)*(HR52*$GV$55)+($GU$55&lt;$GU$56)*MIN(HR52,$GX$55-SUM($GY$55:HQ55))</f>
        <v>298899.59238195932</v>
      </c>
      <c r="HS55" s="90">
        <f>($GU$55=$GU$56)*(HS52*$GV$55)+($GU$55&lt;$GU$56)*MIN(HS52,$GX$55-SUM($GY$55:HR55))</f>
        <v>301327.99814355222</v>
      </c>
      <c r="HT55" s="90">
        <f>($GU$55=$GU$56)*(HT52*$GV$55)+($GU$55&lt;$GU$56)*MIN(HT52,$GX$55-SUM($GY$55:HS55))</f>
        <v>261850.09423650088</v>
      </c>
      <c r="HU55" s="90">
        <f>($GU$55=$GU$56)*(HU52*$GV$55)+($GU$55&lt;$GU$56)*MIN(HU52,$GX$55-SUM($GY$55:HT55))</f>
        <v>222836.84671369151</v>
      </c>
      <c r="HV55" s="90">
        <f>($GU$55=$GU$56)*(HV52*$GV$55)+($GU$55&lt;$GU$56)*MIN(HV52,$GX$55-SUM($GY$55:HU55))</f>
        <v>187108.58247505865</v>
      </c>
      <c r="HW55" s="90">
        <f>($GU$55=$GU$56)*(HW52*$GV$55)+($GU$55&lt;$GU$56)*MIN(HW52,$GX$55-SUM($GY$55:HV55))</f>
        <v>156492.46367856307</v>
      </c>
      <c r="HX55" s="90">
        <f>($GU$55=$GU$56)*(HX52*$GV$55)+($GU$55&lt;$GU$56)*MIN(HX52,$GX$55-SUM($GY$55:HW55))</f>
        <v>123777.3712932655</v>
      </c>
      <c r="HY55" s="90">
        <f>($GU$55=$GU$56)*(HY52*$GV$55)+($GU$55&lt;$GU$56)*MIN(HY52,$GX$55-SUM($GY$55:HX55))</f>
        <v>104948.86385161435</v>
      </c>
      <c r="HZ55" s="90">
        <f>($GU$55=$GU$56)*(HZ52*$GV$55)+($GU$55&lt;$GU$56)*MIN(HZ52,$GX$55-SUM($GY$55:HY55))</f>
        <v>91343.997078756263</v>
      </c>
      <c r="IA55" s="90">
        <f>($GU$55=$GU$56)*(IA52*$GV$55)+($GU$55&lt;$GU$56)*MIN(IA52,$GX$55-SUM($GY$55:HZ55))</f>
        <v>82008.103411980963</v>
      </c>
      <c r="IB55" s="90">
        <f>($GU$55=$GU$56)*(IB52*$GV$55)+($GU$55&lt;$GU$56)*MIN(IB52,$GX$55-SUM($GY$55:IA55))</f>
        <v>37091.152380160485</v>
      </c>
      <c r="IC55" s="90">
        <f>($GU$55=$GU$56)*(IC52*$GV$55)+($GU$55&lt;$GU$56)*MIN(IC52,$GX$55-SUM($GY$55:IB55))</f>
        <v>27400.211503922736</v>
      </c>
      <c r="ID55" s="90">
        <f>($GU$55=$GU$56)*(ID52*$GV$55)+($GU$55&lt;$GU$56)*MIN(ID52,$GX$55-SUM($GY$55:IC55))</f>
        <v>22536.20856592993</v>
      </c>
      <c r="IE55" s="90">
        <f>($GU$55=$GU$56)*(IE52*$GV$55)+($GU$55&lt;$GU$56)*MIN(IE52,$GX$55-SUM($GY$55:ID55))</f>
        <v>22536.20856592993</v>
      </c>
      <c r="IF55" s="90">
        <f>($GU$55=$GU$56)*(IF52*$GV$55)+($GU$55&lt;$GU$56)*MIN(IF52,$GX$55-SUM($GY$55:IE55))</f>
        <v>22536.20856592993</v>
      </c>
      <c r="IG55" s="90">
        <f>($GU$55=$GU$56)*(IG52*$GV$55)+($GU$55&lt;$GU$56)*MIN(IG52,$GX$55-SUM($GY$55:IF55))</f>
        <v>22536.20856592993</v>
      </c>
      <c r="IH55" s="90">
        <f>($GU$55=$GU$56)*(IH52*$GV$55)+($GU$55&lt;$GU$56)*MIN(IH52,$GX$55-SUM($GY$55:IG55))</f>
        <v>22536.20856592993</v>
      </c>
      <c r="II55" s="90">
        <f>($GU$55=$GU$56)*(II52*$GV$55)+($GU$55&lt;$GU$56)*MIN(II52,$GX$55-SUM($GY$55:IH55))</f>
        <v>22536.20856592993</v>
      </c>
      <c r="IJ55" s="90">
        <f>($GU$55=$GU$56)*(IJ52*$GV$55)+($GU$55&lt;$GU$56)*MIN(IJ52,$GX$55-SUM($GY$55:II55))</f>
        <v>17433.687557526569</v>
      </c>
      <c r="IK55" s="90">
        <f>($GU$55=$GU$56)*(IK52*$GV$55)+($GU$55&lt;$GU$56)*MIN(IK52,$GX$55-SUM($GY$55:IJ55))</f>
        <v>17433.687557526569</v>
      </c>
      <c r="IL55" s="90">
        <f>($GU$55=$GU$56)*(IL52*$GV$55)+($GU$55&lt;$GU$56)*MIN(IL52,$GX$55-SUM($GY$55:IK55))</f>
        <v>0</v>
      </c>
      <c r="IM55" s="90">
        <f>($GU$55=$GU$56)*(IM52*$GV$55)+($GU$55&lt;$GU$56)*MIN(IM52,$GX$55-SUM($GY$55:IL55))</f>
        <v>0</v>
      </c>
      <c r="IN55" s="90">
        <f>($GU$55=$GU$56)*(IN52*$GV$55)+($GU$55&lt;$GU$56)*MIN(IN52,$GX$55-SUM($GY$55:IM55))</f>
        <v>0</v>
      </c>
      <c r="IO55" s="90">
        <f>($GU$55=$GU$56)*(IO52*$GV$55)+($GU$55&lt;$GU$56)*MIN(IO52,$GX$55-SUM($GY$55:IN55))</f>
        <v>0</v>
      </c>
      <c r="IP55" s="90">
        <f>($GU$55=$GU$56)*(IP52*$GV$55)+($GU$55&lt;$GU$56)*MIN(IP52,$GX$55-SUM($GY$55:IO55))</f>
        <v>0</v>
      </c>
      <c r="IQ55" s="90">
        <f>($GU$55=$GU$56)*(IQ52*$GV$55)+($GU$55&lt;$GU$56)*MIN(IQ52,$GX$55-SUM($GY$55:IP55))</f>
        <v>0</v>
      </c>
      <c r="IR55" s="90">
        <f>($GU$55=$GU$56)*(IR52*$GV$55)+($GU$55&lt;$GU$56)*MIN(IR52,$GX$55-SUM($GY$55:IQ55))</f>
        <v>0</v>
      </c>
      <c r="IS55" s="90">
        <f>($GU$55=$GU$56)*(IS52*$GV$55)+($GU$55&lt;$GU$56)*MIN(IS52,$GX$55-SUM($GY$55:IR55))</f>
        <v>0</v>
      </c>
      <c r="IT55" s="90">
        <f>($GU$55=$GU$56)*(IT52*$GV$55)+($GU$55&lt;$GU$56)*MIN(IT52,$GX$55-SUM($GY$55:IS55))</f>
        <v>0</v>
      </c>
      <c r="IU55" s="90">
        <f>($GU$55=$GU$56)*(IU52*$GV$55)+($GU$55&lt;$GU$56)*MIN(IU52,$GX$55-SUM($GY$55:IT55))</f>
        <v>0</v>
      </c>
      <c r="IV55" s="90">
        <f>($GU$55=$GU$56)*(IV52*$GV$55)+($GU$55&lt;$GU$56)*MIN(IV52,$GX$55-SUM($GY$55:IU55))</f>
        <v>0</v>
      </c>
      <c r="IW55" s="90">
        <f>($GU$55=$GU$56)*(IW52*$GV$55)+($GU$55&lt;$GU$56)*MIN(IW52,$GX$55-SUM($GY$55:IV55))</f>
        <v>0</v>
      </c>
      <c r="IX55" s="90">
        <f>($GU$55=$GU$56)*(IX52*$GV$55)+($GU$55&lt;$GU$56)*MIN(IX52,$GX$55-SUM($GY$55:IW55))</f>
        <v>0</v>
      </c>
      <c r="IY55" s="90">
        <f>($GU$55=$GU$56)*(IY52*$GV$55)+($GU$55&lt;$GU$56)*MIN(IY52,$GX$55-SUM($GY$55:IX55))</f>
        <v>0</v>
      </c>
      <c r="IZ55" s="90">
        <f>($GU$55=$GU$56)*(IZ52*$GV$55)+($GU$55&lt;$GU$56)*MIN(IZ52,$GX$55-SUM($GY$55:IY55))</f>
        <v>0</v>
      </c>
      <c r="JA55" s="90">
        <f>($GU$55=$GU$56)*(JA52*$GV$55)+($GU$55&lt;$GU$56)*MIN(JA52,$GX$55-SUM($GY$55:IZ55))</f>
        <v>0</v>
      </c>
      <c r="JB55" s="90">
        <f>($GU$55=$GU$56)*(JB52*$GV$55)+($GU$55&lt;$GU$56)*MIN(JB52,$GX$55-SUM($GY$55:JA55))</f>
        <v>0</v>
      </c>
      <c r="JC55" s="90">
        <f>($GU$55=$GU$56)*(JC52*$GV$55)+($GU$55&lt;$GU$56)*MIN(JC52,$GX$55-SUM($GY$55:JB55))</f>
        <v>0</v>
      </c>
      <c r="JD55" s="90">
        <f>($GU$55=$GU$56)*(JD52*$GV$55)+($GU$55&lt;$GU$56)*MIN(JD52,$GX$55-SUM($GY$55:JC55))</f>
        <v>0</v>
      </c>
      <c r="JE55" s="90">
        <f>($GU$55=$GU$56)*(JE52*$GV$55)+($GU$55&lt;$GU$56)*MIN(JE52,$GX$55-SUM($GY$55:JD55))</f>
        <v>0</v>
      </c>
      <c r="JF55" s="90">
        <f>($GU$55=$GU$56)*(JF52*$GV$55)+($GU$55&lt;$GU$56)*MIN(JF52,$GX$55-SUM($GY$55:JE55))</f>
        <v>0</v>
      </c>
      <c r="JG55" s="90">
        <f>($GU$55=$GU$56)*(JG52*$GV$55)+($GU$55&lt;$GU$56)*MIN(JG52,$GX$55-SUM($GY$55:JF55))</f>
        <v>0</v>
      </c>
      <c r="JH55" s="90">
        <f>($GU$55=$GU$56)*(JH52*$GV$55)+($GU$55&lt;$GU$56)*MIN(JH52,$GX$55-SUM($GY$55:JG55))</f>
        <v>0</v>
      </c>
      <c r="JI55" s="90">
        <f>($GU$55=$GU$56)*(JI52*$GV$55)+($GU$55&lt;$GU$56)*MIN(JI52,$GX$55-SUM($GY$55:JH55))</f>
        <v>0</v>
      </c>
      <c r="JJ55" s="90">
        <f>($GU$55=$GU$56)*(JJ52*$GV$55)+($GU$55&lt;$GU$56)*MIN(JJ52,$GX$55-SUM($GY$55:JI55))</f>
        <v>0</v>
      </c>
      <c r="JK55" s="90">
        <f>($GU$55=$GU$56)*(JK52*$GV$55)+($GU$55&lt;$GU$56)*MIN(JK52,$GX$55-SUM($GY$55:JJ55))</f>
        <v>0</v>
      </c>
      <c r="JL55" s="90">
        <f>($GU$55=$GU$56)*(JL52*$GV$55)+($GU$55&lt;$GU$56)*MIN(JL52,$GX$55-SUM($GY$55:JK55))</f>
        <v>0</v>
      </c>
      <c r="JM55" s="90">
        <f>($GU$55=$GU$56)*(JM52*$GV$55)+($GU$55&lt;$GU$56)*MIN(JM52,$GX$55-SUM($GY$55:JL55))</f>
        <v>0</v>
      </c>
      <c r="JN55" s="90">
        <f>($GU$55=$GU$56)*(JN52*$GV$55)+($GU$55&lt;$GU$56)*MIN(JN52,$GX$55-SUM($GY$55:JM55))</f>
        <v>0</v>
      </c>
      <c r="JO55" s="90">
        <f>($GU$55=$GU$56)*(JO52*$GV$55)+($GU$55&lt;$GU$56)*MIN(JO52,$GX$55-SUM($GY$55:JN55))</f>
        <v>0</v>
      </c>
      <c r="JP55" s="90">
        <f>($GU$55=$GU$56)*(JP52*$GV$55)+($GU$55&lt;$GU$56)*MIN(JP52,$GX$55-SUM($GY$55:JO55))</f>
        <v>0</v>
      </c>
      <c r="JQ55" s="90">
        <f>($GU$55=$GU$56)*(JQ52*$GV$55)+($GU$55&lt;$GU$56)*MIN(JQ52,$GX$55-SUM($GY$55:JP55))</f>
        <v>0</v>
      </c>
      <c r="JR55" s="90">
        <f>($GU$55=$GU$56)*(JR52*$GV$55)+($GU$55&lt;$GU$56)*MIN(JR52,$GX$55-SUM($GY$55:JQ55))</f>
        <v>0</v>
      </c>
      <c r="JS55" s="90">
        <f>($GU$55=$GU$56)*(JS52*$GV$55)+($GU$55&lt;$GU$56)*MIN(JS52,$GX$55-SUM($GY$55:JR55))</f>
        <v>0</v>
      </c>
      <c r="JT55" s="90">
        <f>($GU$55=$GU$56)*(JT52*$GV$55)+($GU$55&lt;$GU$56)*MIN(JT52,$GX$55-SUM($GY$55:JS55))</f>
        <v>0</v>
      </c>
      <c r="JU55" s="90">
        <f>($GU$55=$GU$56)*(JU52*$GV$55)+($GU$55&lt;$GU$56)*MIN(JU52,$GX$55-SUM($GY$55:JT55))</f>
        <v>0</v>
      </c>
      <c r="JV55" s="90">
        <f>($GU$55=$GU$56)*(JV52*$GV$55)+($GU$55&lt;$GU$56)*MIN(JV52,$GX$55-SUM($GY$55:JU55))</f>
        <v>0</v>
      </c>
      <c r="JW55" s="90">
        <f>($GU$55=$GU$56)*(JW52*$GV$55)+($GU$55&lt;$GU$56)*MIN(JW52,$GX$55-SUM($GY$55:JV55))</f>
        <v>0</v>
      </c>
      <c r="JX55" s="90">
        <f>($GU$55=$GU$56)*(JX52*$GV$55)+($GU$55&lt;$GU$56)*MIN(JX52,$GX$55-SUM($GY$55:JW55))</f>
        <v>0</v>
      </c>
      <c r="JY55" s="90">
        <f>($GU$55=$GU$56)*(JY52*$GV$55)+($GU$55&lt;$GU$56)*MIN(JY52,$GX$55-SUM($GY$55:JX55))</f>
        <v>0</v>
      </c>
      <c r="JZ55" s="90">
        <f>($GU$55=$GU$56)*(JZ52*$GV$55)+($GU$55&lt;$GU$56)*MIN(JZ52,$GX$55-SUM($GY$55:JY55))</f>
        <v>0</v>
      </c>
      <c r="KA55" s="90">
        <f>($GU$55=$GU$56)*(KA52*$GV$55)+($GU$55&lt;$GU$56)*MIN(KA52,$GX$55-SUM($GY$55:JZ55))</f>
        <v>0</v>
      </c>
      <c r="KB55" s="90">
        <f>($GU$55=$GU$56)*(KB52*$GV$55)+($GU$55&lt;$GU$56)*MIN(KB52,$GX$55-SUM($GY$55:KA55))</f>
        <v>0</v>
      </c>
      <c r="KC55" s="90">
        <f>($GU$55=$GU$56)*(KC52*$GV$55)+($GU$55&lt;$GU$56)*MIN(KC52,$GX$55-SUM($GY$55:KB55))</f>
        <v>0</v>
      </c>
      <c r="KD55" s="90">
        <f>($GU$55=$GU$56)*(KD52*$GV$55)+($GU$55&lt;$GU$56)*MIN(KD52,$GX$55-SUM($GY$55:KC55))</f>
        <v>0</v>
      </c>
      <c r="KE55" s="90">
        <f>($GU$55=$GU$56)*(KE52*$GV$55)+($GU$55&lt;$GU$56)*MIN(KE52,$GX$55-SUM($GY$55:KD55))</f>
        <v>0</v>
      </c>
      <c r="KF55" s="90">
        <f>($GU$55=$GU$56)*(KF52*$GV$55)+($GU$55&lt;$GU$56)*MIN(KF52,$GX$55-SUM($GY$55:KE55))</f>
        <v>0</v>
      </c>
      <c r="KG55" s="90">
        <f>($GU$55=$GU$56)*(KG52*$GV$55)+($GU$55&lt;$GU$56)*MIN(KG52,$GX$55-SUM($GY$55:KF55))</f>
        <v>0</v>
      </c>
      <c r="KH55" s="90">
        <f>($GU$55=$GU$56)*(KH52*$GV$55)+($GU$55&lt;$GU$56)*MIN(KH52,$GX$55-SUM($GY$55:KG55))</f>
        <v>0</v>
      </c>
      <c r="KI55" s="90">
        <f>($GU$55=$GU$56)*(KI52*$GV$55)+($GU$55&lt;$GU$56)*MIN(KI52,$GX$55-SUM($GY$55:KH55))</f>
        <v>0</v>
      </c>
      <c r="KJ55" s="90">
        <f>($GU$55=$GU$56)*(KJ52*$GV$55)+($GU$55&lt;$GU$56)*MIN(KJ52,$GX$55-SUM($GY$55:KI55))</f>
        <v>0</v>
      </c>
      <c r="KK55" s="90">
        <f>($GU$55=$GU$56)*(KK52*$GV$55)+($GU$55&lt;$GU$56)*MIN(KK52,$GX$55-SUM($GY$55:KJ55))</f>
        <v>0</v>
      </c>
      <c r="KL55" s="90">
        <f>($GU$55=$GU$56)*(KL52*$GV$55)+($GU$55&lt;$GU$56)*MIN(KL52,$GX$55-SUM($GY$55:KK55))</f>
        <v>0</v>
      </c>
      <c r="KM55" s="90">
        <f>($GU$55=$GU$56)*(KM52*$GV$55)+($GU$55&lt;$GU$56)*MIN(KM52,$GX$55-SUM($GY$55:KL55))</f>
        <v>0</v>
      </c>
      <c r="KN55" s="90">
        <f>($GU$55=$GU$56)*(KN52*$GV$55)+($GU$55&lt;$GU$56)*MIN(KN52,$GX$55-SUM($GY$55:KM55))</f>
        <v>0</v>
      </c>
      <c r="KO55" s="90">
        <f>($GU$55=$GU$56)*(KO52*$GV$55)+($GU$55&lt;$GU$56)*MIN(KO52,$GX$55-SUM($GY$55:KN55))</f>
        <v>0</v>
      </c>
      <c r="KP55" s="90">
        <f>($GU$55=$GU$56)*(KP52*$GV$55)+($GU$55&lt;$GU$56)*MIN(KP52,$GX$55-SUM($GY$55:KO55))</f>
        <v>0</v>
      </c>
      <c r="KQ55" s="90">
        <f>($GU$55=$GU$56)*(KQ52*$GV$55)+($GU$55&lt;$GU$56)*MIN(KQ52,$GX$55-SUM($GY$55:KP55))</f>
        <v>0</v>
      </c>
      <c r="KR55" s="90">
        <f>($GU$55=$GU$56)*(KR52*$GV$55)+($GU$55&lt;$GU$56)*MIN(KR52,$GX$55-SUM($GY$55:KQ55))</f>
        <v>0</v>
      </c>
      <c r="KS55" s="90">
        <f>($GU$55=$GU$56)*(KS52*$GV$55)+($GU$55&lt;$GU$56)*MIN(KS52,$GX$55-SUM($GY$55:KR55))</f>
        <v>0</v>
      </c>
      <c r="KT55" s="90">
        <f>($GU$55=$GU$56)*(KT52*$GV$55)+($GU$55&lt;$GU$56)*MIN(KT52,$GX$55-SUM($GY$55:KS55))</f>
        <v>0</v>
      </c>
      <c r="KU55" s="90">
        <f>($GU$55=$GU$56)*(KU52*$GV$55)+($GU$55&lt;$GU$56)*MIN(KU52,$GX$55-SUM($GY$55:KT55))</f>
        <v>0</v>
      </c>
      <c r="KV55" s="90">
        <f>($GU$55=$GU$56)*(KV52*$GV$55)+($GU$55&lt;$GU$56)*MIN(KV52,$GX$55-SUM($GY$55:KU55))</f>
        <v>0</v>
      </c>
      <c r="KW55" s="90">
        <f>($GU$55=$GU$56)*(KW52*$GV$55)+($GU$55&lt;$GU$56)*MIN(KW52,$GX$55-SUM($GY$55:KV55))</f>
        <v>0</v>
      </c>
      <c r="KX55" s="90">
        <f>($GU$55=$GU$56)*(KX52*$GV$55)+($GU$55&lt;$GU$56)*MIN(KX52,$GX$55-SUM($GY$55:KW55))</f>
        <v>0</v>
      </c>
      <c r="KY55" s="90">
        <f>($GU$55=$GU$56)*(KY52*$GV$55)+($GU$55&lt;$GU$56)*MIN(KY52,$GX$55-SUM($GY$55:KX55))</f>
        <v>0</v>
      </c>
      <c r="KZ55" s="90">
        <f>($GU$55=$GU$56)*(KZ52*$GV$55)+($GU$55&lt;$GU$56)*MIN(KZ52,$GX$55-SUM($GY$55:KY55))</f>
        <v>0</v>
      </c>
      <c r="LA55" s="90">
        <f>($GU$55=$GU$56)*(LA52*$GV$55)+($GU$55&lt;$GU$56)*MIN(LA52,$GX$55-SUM($GY$55:KZ55))</f>
        <v>0</v>
      </c>
      <c r="LB55" s="90">
        <f>($GU$55=$GU$56)*(LB52*$GV$55)+($GU$55&lt;$GU$56)*MIN(LB52,$GX$55-SUM($GY$55:LA55))</f>
        <v>0</v>
      </c>
      <c r="LC55" s="90">
        <f>($GU$55=$GU$56)*(LC52*$GV$55)+($GU$55&lt;$GU$56)*MIN(LC52,$GX$55-SUM($GY$55:LB55))</f>
        <v>0</v>
      </c>
      <c r="LD55" s="90">
        <f>($GU$55=$GU$56)*(LD52*$GV$55)+($GU$55&lt;$GU$56)*MIN(LD52,$GX$55-SUM($GY$55:LC55))</f>
        <v>0</v>
      </c>
      <c r="LE55" s="90">
        <f>($GU$55=$GU$56)*(LE52*$GV$55)+($GU$55&lt;$GU$56)*MIN(LE52,$GX$55-SUM($GY$55:LD55))</f>
        <v>0</v>
      </c>
      <c r="LF55" s="90">
        <f>($GU$55=$GU$56)*(LF52*$GV$55)+($GU$55&lt;$GU$56)*MIN(LF52,$GX$55-SUM($GY$55:LE55))</f>
        <v>0</v>
      </c>
      <c r="LG55" s="90">
        <f>($GU$55=$GU$56)*(LG52*$GV$55)+($GU$55&lt;$GU$56)*MIN(LG52,$GX$55-SUM($GY$55:LF55))</f>
        <v>0</v>
      </c>
      <c r="LH55" s="90">
        <f>($GU$55=$GU$56)*(LH52*$GV$55)+($GU$55&lt;$GU$56)*MIN(LH52,$GX$55-SUM($GY$55:LG55))</f>
        <v>0</v>
      </c>
      <c r="LI55" s="90">
        <f>($GU$55=$GU$56)*(LI52*$GV$55)+($GU$55&lt;$GU$56)*MIN(LI52,$GX$55-SUM($GY$55:LH55))</f>
        <v>0</v>
      </c>
      <c r="LJ55" s="90">
        <f>($GU$55=$GU$56)*(LJ52*$GV$55)+($GU$55&lt;$GU$56)*MIN(LJ52,$GX$55-SUM($GY$55:LI55))</f>
        <v>0</v>
      </c>
      <c r="LK55" s="90">
        <f>($GU$55=$GU$56)*(LK52*$GV$55)+($GU$55&lt;$GU$56)*MIN(LK52,$GX$55-SUM($GY$55:LJ55))</f>
        <v>0</v>
      </c>
      <c r="LL55" s="90">
        <f>($GU$55=$GU$56)*(LL52*$GV$55)+($GU$55&lt;$GU$56)*MIN(LL52,$GX$55-SUM($GY$55:LK55))</f>
        <v>0</v>
      </c>
      <c r="LM55" s="90">
        <f>($GU$55=$GU$56)*(LM52*$GV$55)+($GU$55&lt;$GU$56)*MIN(LM52,$GX$55-SUM($GY$55:LL55))</f>
        <v>0</v>
      </c>
      <c r="LN55" s="90">
        <f>($GU$55=$GU$56)*(LN52*$GV$55)+($GU$55&lt;$GU$56)*MIN(LN52,$GX$55-SUM($GY$55:LM55))</f>
        <v>0</v>
      </c>
      <c r="LO55" s="90">
        <f>($GU$55=$GU$56)*(LO52*$GV$55)+($GU$55&lt;$GU$56)*MIN(LO52,$GX$55-SUM($GY$55:LN55))</f>
        <v>0</v>
      </c>
      <c r="LP55" s="90">
        <f>($GU$55=$GU$56)*(LP52*$GV$55)+($GU$55&lt;$GU$56)*MIN(LP52,$GX$55-SUM($GY$55:LO55))</f>
        <v>0</v>
      </c>
      <c r="LQ55" s="90">
        <f>($GU$55=$GU$56)*(LQ52*$GV$55)+($GU$55&lt;$GU$56)*MIN(LQ52,$GX$55-SUM($GY$55:LP55))</f>
        <v>0</v>
      </c>
      <c r="LR55" s="90">
        <f>($GU$55=$GU$56)*(LR52*$GV$55)+($GU$55&lt;$GU$56)*MIN(LR52,$GX$55-SUM($GY$55:LQ55))</f>
        <v>0</v>
      </c>
      <c r="LS55" s="90">
        <f>($GU$55=$GU$56)*(LS52*$GV$55)+($GU$55&lt;$GU$56)*MIN(LS52,$GX$55-SUM($GY$55:LR55))</f>
        <v>0</v>
      </c>
      <c r="LT55" s="90">
        <f>($GU$55=$GU$56)*(LT52*$GV$55)+($GU$55&lt;$GU$56)*MIN(LT52,$GX$55-SUM($GY$55:LS55))</f>
        <v>0</v>
      </c>
      <c r="LU55" s="90">
        <f>($GU$55=$GU$56)*(LU52*$GV$55)+($GU$55&lt;$GU$56)*MIN(LU52,$GX$55-SUM($GY$55:LT55))</f>
        <v>0</v>
      </c>
      <c r="LV55" s="90">
        <f>($GU$55=$GU$56)*(LV52*$GV$55)+($GU$55&lt;$GU$56)*MIN(LV52,$GX$55-SUM($GY$55:LU55))</f>
        <v>0</v>
      </c>
      <c r="LW55" s="90">
        <f>($GU$55=$GU$56)*(LW52*$GV$55)+($GU$55&lt;$GU$56)*MIN(LW52,$GX$55-SUM($GY$55:LV55))</f>
        <v>0</v>
      </c>
      <c r="LX55" s="90">
        <f>($GU$55=$GU$56)*(LX52*$GV$55)+($GU$55&lt;$GU$56)*MIN(LX52,$GX$55-SUM($GY$55:LW55))</f>
        <v>0</v>
      </c>
      <c r="LY55" s="90">
        <f>($GU$55=$GU$56)*(LY52*$GV$55)+($GU$55&lt;$GU$56)*MIN(LY52,$GX$55-SUM($GY$55:LX55))</f>
        <v>0</v>
      </c>
      <c r="LZ55" s="90">
        <f>($GU$55=$GU$56)*(LZ52*$GV$55)+($GU$55&lt;$GU$56)*MIN(LZ52,$GX$55-SUM($GY$55:LY55))</f>
        <v>0</v>
      </c>
      <c r="MA55" s="90">
        <f>($GU$55=$GU$56)*(MA52*$GV$55)+($GU$55&lt;$GU$56)*MIN(MA52,$GX$55-SUM($GY$55:LZ55))</f>
        <v>0</v>
      </c>
      <c r="MB55" s="90">
        <f>($GU$55=$GU$56)*(MB52*$GV$55)+($GU$55&lt;$GU$56)*MIN(MB52,$GX$55-SUM($GY$55:MA55))</f>
        <v>0</v>
      </c>
      <c r="MC55" s="90">
        <f>($GU$55=$GU$56)*(MC52*$GV$55)+($GU$55&lt;$GU$56)*MIN(MC52,$GX$55-SUM($GY$55:MB55))</f>
        <v>0</v>
      </c>
      <c r="MD55" s="90">
        <f>($GU$55=$GU$56)*(MD52*$GV$55)+($GU$55&lt;$GU$56)*MIN(MD52,$GX$55-SUM($GY$55:MC55))</f>
        <v>0</v>
      </c>
      <c r="ME55" s="90">
        <f>($GU$55=$GU$56)*(ME52*$GV$55)+($GU$55&lt;$GU$56)*MIN(ME52,$GX$55-SUM($GY$55:MD55))</f>
        <v>0</v>
      </c>
      <c r="MF55" s="90">
        <f>($GU$55=$GU$56)*(MF52*$GV$55)+($GU$55&lt;$GU$56)*MIN(MF52,$GX$55-SUM($GY$55:ME55))</f>
        <v>0</v>
      </c>
      <c r="MG55" s="90">
        <f>($GU$55=$GU$56)*(MG52*$GV$55)+($GU$55&lt;$GU$56)*MIN(MG52,$GX$55-SUM($GY$55:MF55))</f>
        <v>0</v>
      </c>
      <c r="MH55" s="90">
        <f>($GU$55=$GU$56)*(MH52*$GV$55)+($GU$55&lt;$GU$56)*MIN(MH52,$GX$55-SUM($GY$55:MG55))</f>
        <v>0</v>
      </c>
      <c r="MI55" s="90">
        <f>($GU$55=$GU$56)*(MI52*$GV$55)+($GU$55&lt;$GU$56)*MIN(MI52,$GX$55-SUM($GY$55:MH55))</f>
        <v>0</v>
      </c>
      <c r="MJ55" s="90">
        <f>($GU$55=$GU$56)*(MJ52*$GV$55)+($GU$55&lt;$GU$56)*MIN(MJ52,$GX$55-SUM($GY$55:MI55))</f>
        <v>0</v>
      </c>
      <c r="MK55" s="90">
        <f>($GU$55=$GU$56)*(MK52*$GV$55)+($GU$55&lt;$GU$56)*MIN(MK52,$GX$55-SUM($GY$55:MJ55))</f>
        <v>0</v>
      </c>
      <c r="ML55" s="90">
        <f>($GU$55=$GU$56)*(ML52*$GV$55)+($GU$55&lt;$GU$56)*MIN(ML52,$GX$55-SUM($GY$55:MK55))</f>
        <v>0</v>
      </c>
      <c r="MM55" s="90">
        <f>($GU$55=$GU$56)*(MM52*$GV$55)+($GU$55&lt;$GU$56)*MIN(MM52,$GX$55-SUM($GY$55:ML55))</f>
        <v>0</v>
      </c>
      <c r="MN55" s="90">
        <f>($GU$55=$GU$56)*(MN52*$GV$55)+($GU$55&lt;$GU$56)*MIN(MN52,$GX$55-SUM($GY$55:MM55))</f>
        <v>0</v>
      </c>
      <c r="MO55" s="90">
        <f>($GU$55=$GU$56)*(MO52*$GV$55)+($GU$55&lt;$GU$56)*MIN(MO52,$GX$55-SUM($GY$55:MN55))</f>
        <v>0</v>
      </c>
      <c r="MP55" s="90">
        <f>($GU$55=$GU$56)*(MP52*$GV$55)+($GU$55&lt;$GU$56)*MIN(MP52,$GX$55-SUM($GY$55:MO55))</f>
        <v>0</v>
      </c>
      <c r="MQ55" s="90">
        <f>($GU$55=$GU$56)*(MQ52*$GV$55)+($GU$55&lt;$GU$56)*MIN(MQ52,$GX$55-SUM($GY$55:MP55))</f>
        <v>0</v>
      </c>
      <c r="MR55" s="90">
        <f>($GU$55=$GU$56)*(MR52*$GV$55)+($GU$55&lt;$GU$56)*MIN(MR52,$GX$55-SUM($GY$55:MQ55))</f>
        <v>0</v>
      </c>
      <c r="MS55" s="90">
        <f>($GU$55=$GU$56)*(MS52*$GV$55)+($GU$55&lt;$GU$56)*MIN(MS52,$GX$55-SUM($GY$55:MR55))</f>
        <v>0</v>
      </c>
      <c r="MT55" s="90">
        <f>($GU$55=$GU$56)*(MT52*$GV$55)+($GU$55&lt;$GU$56)*MIN(MT52,$GX$55-SUM($GY$55:MS55))</f>
        <v>0</v>
      </c>
      <c r="MU55" s="90">
        <f>($GU$55=$GU$56)*(MU52*$GV$55)+($GU$55&lt;$GU$56)*MIN(MU52,$GX$55-SUM($GY$55:MT55))</f>
        <v>0</v>
      </c>
      <c r="MV55" s="90">
        <f>($GU$55=$GU$56)*(MV52*$GV$55)+($GU$55&lt;$GU$56)*MIN(MV52,$GX$55-SUM($GY$55:MU55))</f>
        <v>0</v>
      </c>
      <c r="MW55" s="90">
        <f>($GU$55=$GU$56)*(MW52*$GV$55)+($GU$55&lt;$GU$56)*MIN(MW52,$GX$55-SUM($GY$55:MV55))</f>
        <v>0</v>
      </c>
      <c r="MX55" s="90">
        <f>($GU$55=$GU$56)*(MX52*$GV$55)+($GU$55&lt;$GU$56)*MIN(MX52,$GX$55-SUM($GY$55:MW55))</f>
        <v>0</v>
      </c>
      <c r="MY55" s="90">
        <f>($GU$55=$GU$56)*(MY52*$GV$55)+($GU$55&lt;$GU$56)*MIN(MY52,$GX$55-SUM($GY$55:MX55))</f>
        <v>0</v>
      </c>
      <c r="MZ55" s="90">
        <f>($GU$55=$GU$56)*(MZ52*$GV$55)+($GU$55&lt;$GU$56)*MIN(MZ52,$GX$55-SUM($GY$55:MY55))</f>
        <v>0</v>
      </c>
      <c r="NA55" s="90">
        <f>($GU$55=$GU$56)*(NA52*$GV$55)+($GU$55&lt;$GU$56)*MIN(NA52,$GX$55-SUM($GY$55:MZ55))</f>
        <v>0</v>
      </c>
      <c r="NB55" s="90">
        <f>($GU$55=$GU$56)*(NB52*$GV$55)+($GU$55&lt;$GU$56)*MIN(NB52,$GX$55-SUM($GY$55:NA55))</f>
        <v>0</v>
      </c>
      <c r="NC55" s="90">
        <f>($GU$55=$GU$56)*(NC52*$GV$55)+($GU$55&lt;$GU$56)*MIN(NC52,$GX$55-SUM($GY$55:NB55))</f>
        <v>0</v>
      </c>
      <c r="ND55" s="90">
        <f>($GU$55=$GU$56)*(ND52*$GV$55)+($GU$55&lt;$GU$56)*MIN(ND52,$GX$55-SUM($GY$55:NC55))</f>
        <v>0</v>
      </c>
      <c r="NE55" s="90">
        <f>($GU$55=$GU$56)*(NE52*$GV$55)+($GU$55&lt;$GU$56)*MIN(NE52,$GX$55-SUM($GY$55:ND55))</f>
        <v>0</v>
      </c>
      <c r="NF55" s="90">
        <f>($GU$55=$GU$56)*(NF52*$GV$55)+($GU$55&lt;$GU$56)*MIN(NF52,$GX$55-SUM($GY$55:NE55))</f>
        <v>0</v>
      </c>
      <c r="NG55" s="90">
        <f>($GU$55=$GU$56)*(NG52*$GV$55)+($GU$55&lt;$GU$56)*MIN(NG52,$GX$55-SUM($GY$55:NF55))</f>
        <v>0</v>
      </c>
      <c r="NH55" s="90">
        <f>($GU$55=$GU$56)*(NH52*$GV$55)+($GU$55&lt;$GU$56)*MIN(NH52,$GX$55-SUM($GY$55:NG55))</f>
        <v>0</v>
      </c>
      <c r="NI55" s="90">
        <f>($GU$55=$GU$56)*(NI52*$GV$55)+($GU$55&lt;$GU$56)*MIN(NI52,$GX$55-SUM($GY$55:NH55))</f>
        <v>0</v>
      </c>
      <c r="NJ55" s="90">
        <f>($GU$55=$GU$56)*(NJ52*$GV$55)+($GU$55&lt;$GU$56)*MIN(NJ52,$GX$55-SUM($GY$55:NI55))</f>
        <v>0</v>
      </c>
      <c r="NK55" s="90">
        <f>($GU$55=$GU$56)*(NK52*$GV$55)+($GU$55&lt;$GU$56)*MIN(NK52,$GX$55-SUM($GY$55:NJ55))</f>
        <v>0</v>
      </c>
      <c r="NL55" s="90">
        <f>($GU$55=$GU$56)*(NL52*$GV$55)+($GU$55&lt;$GU$56)*MIN(NL52,$GX$55-SUM($GY$55:NK55))</f>
        <v>0</v>
      </c>
      <c r="NM55" s="90">
        <f>($GU$55=$GU$56)*(NM52*$GV$55)+($GU$55&lt;$GU$56)*MIN(NM52,$GX$55-SUM($GY$55:NL55))</f>
        <v>0</v>
      </c>
      <c r="NN55" s="90">
        <f>($GU$55=$GU$56)*(NN52*$GV$55)+($GU$55&lt;$GU$56)*MIN(NN52,$GX$55-SUM($GY$55:NM55))</f>
        <v>0</v>
      </c>
      <c r="NO55" s="90">
        <f>($GU$55=$GU$56)*(NO52*$GV$55)+($GU$55&lt;$GU$56)*MIN(NO52,$GX$55-SUM($GY$55:NN55))</f>
        <v>0</v>
      </c>
      <c r="NP55" s="90">
        <f>($GU$55=$GU$56)*(NP52*$GV$55)+($GU$55&lt;$GU$56)*MIN(NP52,$GX$55-SUM($GY$55:NO55))</f>
        <v>0</v>
      </c>
      <c r="NQ55" s="90">
        <f>($GU$55=$GU$56)*(NQ52*$GV$55)+($GU$55&lt;$GU$56)*MIN(NQ52,$GX$55-SUM($GY$55:NP55))</f>
        <v>0</v>
      </c>
      <c r="NR55" s="90">
        <f>($GU$55=$GU$56)*(NR52*$GV$55)+($GU$55&lt;$GU$56)*MIN(NR52,$GX$55-SUM($GY$55:NQ55))</f>
        <v>0</v>
      </c>
      <c r="NS55" s="90">
        <f>($GU$55=$GU$56)*(NS52*$GV$55)+($GU$55&lt;$GU$56)*MIN(NS52,$GX$55-SUM($GY$55:NR55))</f>
        <v>0</v>
      </c>
      <c r="NT55" s="90">
        <f>($GU$55=$GU$56)*(NT52*$GV$55)+($GU$55&lt;$GU$56)*MIN(NT52,$GX$55-SUM($GY$55:NS55))</f>
        <v>0</v>
      </c>
      <c r="NU55" s="90">
        <f>($GU$55=$GU$56)*(NU52*$GV$55)+($GU$55&lt;$GU$56)*MIN(NU52,$GX$55-SUM($GY$55:NT55))</f>
        <v>0</v>
      </c>
      <c r="NV55" s="90">
        <f>($GU$55=$GU$56)*(NV52*$GV$55)+($GU$55&lt;$GU$56)*MIN(NV52,$GX$55-SUM($GY$55:NU55))</f>
        <v>0</v>
      </c>
      <c r="NW55" s="90">
        <f>($GU$55=$GU$56)*(NW52*$GV$55)+($GU$55&lt;$GU$56)*MIN(NW52,$GX$55-SUM($GY$55:NV55))</f>
        <v>0</v>
      </c>
    </row>
    <row r="56" spans="2:387" ht="15.5" x14ac:dyDescent="0.45">
      <c r="B56" s="24" t="s">
        <v>236</v>
      </c>
      <c r="C56" s="19"/>
      <c r="D56" s="25"/>
      <c r="E56" s="25" t="s">
        <v>237</v>
      </c>
      <c r="F56" s="25" t="s">
        <v>238</v>
      </c>
      <c r="G56" s="19"/>
      <c r="H56" s="25" t="s">
        <v>239</v>
      </c>
      <c r="I56" s="19"/>
      <c r="J56" s="25" t="str">
        <f>"/"&amp;Summary!$O$8</f>
        <v>/Lot</v>
      </c>
      <c r="K56" s="25" t="str" cm="1">
        <f t="array" ref="K56">"/"&amp;Unit_Type</f>
        <v>/SF</v>
      </c>
      <c r="L56" s="25" t="s">
        <v>190</v>
      </c>
      <c r="GS56" s="142" t="str">
        <f>B63</f>
        <v>Builder Deposit</v>
      </c>
      <c r="GT56" s="90"/>
      <c r="GU56" s="90">
        <f>E63</f>
        <v>2</v>
      </c>
      <c r="GV56" s="143">
        <f>IF(D63=0,0,1-GV55)</f>
        <v>0.29411764705882348</v>
      </c>
      <c r="GW56" s="90" t="str">
        <f>IF(ROUND(GX56,0)=ROUND(SUM(GZ56:NW56),0),"OK","ERROR")</f>
        <v>OK</v>
      </c>
      <c r="GX56" s="144">
        <f>GX52*GV56</f>
        <v>2731084.7376788557</v>
      </c>
      <c r="GY56" s="90"/>
      <c r="GZ56" s="144">
        <f>GZ52-GZ55</f>
        <v>411060.79224541876</v>
      </c>
      <c r="HA56" s="144">
        <f t="shared" ref="HA56:JL56" si="311">HA52-HA55</f>
        <v>25261.949121032216</v>
      </c>
      <c r="HB56" s="144">
        <f t="shared" si="311"/>
        <v>26839.948104669653</v>
      </c>
      <c r="HC56" s="144">
        <f t="shared" si="311"/>
        <v>29378.873779692934</v>
      </c>
      <c r="HD56" s="144">
        <f t="shared" si="311"/>
        <v>33268.829474182436</v>
      </c>
      <c r="HE56" s="144">
        <f t="shared" si="311"/>
        <v>38937.523962873398</v>
      </c>
      <c r="HF56" s="144">
        <f t="shared" si="311"/>
        <v>46782.735396894903</v>
      </c>
      <c r="HG56" s="144">
        <f t="shared" si="311"/>
        <v>71077.041938896902</v>
      </c>
      <c r="HH56" s="144">
        <f t="shared" si="311"/>
        <v>73329.556423431321</v>
      </c>
      <c r="HI56" s="144">
        <f t="shared" si="311"/>
        <v>76672.215542469465</v>
      </c>
      <c r="HJ56" s="144">
        <f t="shared" si="311"/>
        <v>92927.735343640088</v>
      </c>
      <c r="HK56" s="144">
        <f t="shared" si="311"/>
        <v>109376.86197157804</v>
      </c>
      <c r="HL56" s="144">
        <f t="shared" si="311"/>
        <v>124541.4968258164</v>
      </c>
      <c r="HM56" s="144">
        <f t="shared" si="311"/>
        <v>136846.42336623883</v>
      </c>
      <c r="HN56" s="144">
        <f t="shared" si="311"/>
        <v>144884.40429619019</v>
      </c>
      <c r="HO56" s="144">
        <f t="shared" si="311"/>
        <v>147680.06236520963</v>
      </c>
      <c r="HP56" s="144">
        <f t="shared" si="311"/>
        <v>144884.40429619025</v>
      </c>
      <c r="HQ56" s="144">
        <f t="shared" si="311"/>
        <v>136846.42336623871</v>
      </c>
      <c r="HR56" s="144">
        <f t="shared" si="311"/>
        <v>124541.49682581634</v>
      </c>
      <c r="HS56" s="144">
        <f t="shared" si="311"/>
        <v>125553.3325598134</v>
      </c>
      <c r="HT56" s="144">
        <f t="shared" si="311"/>
        <v>109104.20593187536</v>
      </c>
      <c r="HU56" s="144">
        <f t="shared" si="311"/>
        <v>92848.686130704795</v>
      </c>
      <c r="HV56" s="144">
        <f t="shared" si="311"/>
        <v>77961.909364607738</v>
      </c>
      <c r="HW56" s="144">
        <f t="shared" si="311"/>
        <v>65205.193199401256</v>
      </c>
      <c r="HX56" s="144">
        <f t="shared" si="311"/>
        <v>51573.904705527282</v>
      </c>
      <c r="HY56" s="144">
        <f t="shared" si="311"/>
        <v>43728.693271505967</v>
      </c>
      <c r="HZ56" s="144">
        <f t="shared" si="311"/>
        <v>38059.998782815106</v>
      </c>
      <c r="IA56" s="144">
        <f t="shared" si="311"/>
        <v>34170.043088325387</v>
      </c>
      <c r="IB56" s="144">
        <f t="shared" si="311"/>
        <v>15454.646825066869</v>
      </c>
      <c r="IC56" s="144">
        <f t="shared" si="311"/>
        <v>11416.754793301137</v>
      </c>
      <c r="ID56" s="144">
        <f t="shared" si="311"/>
        <v>9390.0869024708009</v>
      </c>
      <c r="IE56" s="144">
        <f t="shared" si="311"/>
        <v>9390.0869024708009</v>
      </c>
      <c r="IF56" s="144">
        <f t="shared" si="311"/>
        <v>9390.0869024708009</v>
      </c>
      <c r="IG56" s="144">
        <f t="shared" si="311"/>
        <v>9390.0869024708009</v>
      </c>
      <c r="IH56" s="144">
        <f t="shared" si="311"/>
        <v>9390.0869024708009</v>
      </c>
      <c r="II56" s="144">
        <f t="shared" si="311"/>
        <v>9390.0869024708009</v>
      </c>
      <c r="IJ56" s="144">
        <f t="shared" si="311"/>
        <v>7264.0364823027339</v>
      </c>
      <c r="IK56" s="144">
        <f t="shared" si="311"/>
        <v>7264.0364823027339</v>
      </c>
      <c r="IL56" s="144">
        <f t="shared" si="311"/>
        <v>0</v>
      </c>
      <c r="IM56" s="144">
        <f t="shared" si="311"/>
        <v>0</v>
      </c>
      <c r="IN56" s="144">
        <f t="shared" si="311"/>
        <v>0</v>
      </c>
      <c r="IO56" s="144">
        <f t="shared" si="311"/>
        <v>0</v>
      </c>
      <c r="IP56" s="144">
        <f t="shared" si="311"/>
        <v>0</v>
      </c>
      <c r="IQ56" s="144">
        <f t="shared" si="311"/>
        <v>0</v>
      </c>
      <c r="IR56" s="144">
        <f t="shared" si="311"/>
        <v>0</v>
      </c>
      <c r="IS56" s="144">
        <f t="shared" si="311"/>
        <v>0</v>
      </c>
      <c r="IT56" s="144">
        <f t="shared" si="311"/>
        <v>0</v>
      </c>
      <c r="IU56" s="144">
        <f t="shared" si="311"/>
        <v>0</v>
      </c>
      <c r="IV56" s="144">
        <f t="shared" si="311"/>
        <v>0</v>
      </c>
      <c r="IW56" s="144">
        <f t="shared" si="311"/>
        <v>0</v>
      </c>
      <c r="IX56" s="144">
        <f t="shared" si="311"/>
        <v>0</v>
      </c>
      <c r="IY56" s="144">
        <f t="shared" si="311"/>
        <v>0</v>
      </c>
      <c r="IZ56" s="144">
        <f t="shared" si="311"/>
        <v>0</v>
      </c>
      <c r="JA56" s="144">
        <f t="shared" si="311"/>
        <v>0</v>
      </c>
      <c r="JB56" s="144">
        <f t="shared" si="311"/>
        <v>0</v>
      </c>
      <c r="JC56" s="144">
        <f t="shared" si="311"/>
        <v>0</v>
      </c>
      <c r="JD56" s="144">
        <f t="shared" si="311"/>
        <v>0</v>
      </c>
      <c r="JE56" s="144">
        <f t="shared" si="311"/>
        <v>0</v>
      </c>
      <c r="JF56" s="144">
        <f t="shared" si="311"/>
        <v>0</v>
      </c>
      <c r="JG56" s="144">
        <f t="shared" si="311"/>
        <v>0</v>
      </c>
      <c r="JH56" s="144">
        <f t="shared" si="311"/>
        <v>0</v>
      </c>
      <c r="JI56" s="144">
        <f t="shared" si="311"/>
        <v>0</v>
      </c>
      <c r="JJ56" s="144">
        <f t="shared" si="311"/>
        <v>0</v>
      </c>
      <c r="JK56" s="144">
        <f t="shared" si="311"/>
        <v>0</v>
      </c>
      <c r="JL56" s="144">
        <f t="shared" si="311"/>
        <v>0</v>
      </c>
      <c r="JM56" s="144">
        <f t="shared" ref="JM56:LX56" si="312">JM52-JM55</f>
        <v>0</v>
      </c>
      <c r="JN56" s="144">
        <f t="shared" si="312"/>
        <v>0</v>
      </c>
      <c r="JO56" s="144">
        <f t="shared" si="312"/>
        <v>0</v>
      </c>
      <c r="JP56" s="144">
        <f t="shared" si="312"/>
        <v>0</v>
      </c>
      <c r="JQ56" s="144">
        <f t="shared" si="312"/>
        <v>0</v>
      </c>
      <c r="JR56" s="144">
        <f t="shared" si="312"/>
        <v>0</v>
      </c>
      <c r="JS56" s="144">
        <f t="shared" si="312"/>
        <v>0</v>
      </c>
      <c r="JT56" s="144">
        <f t="shared" si="312"/>
        <v>0</v>
      </c>
      <c r="JU56" s="144">
        <f t="shared" si="312"/>
        <v>0</v>
      </c>
      <c r="JV56" s="144">
        <f t="shared" si="312"/>
        <v>0</v>
      </c>
      <c r="JW56" s="144">
        <f t="shared" si="312"/>
        <v>0</v>
      </c>
      <c r="JX56" s="144">
        <f t="shared" si="312"/>
        <v>0</v>
      </c>
      <c r="JY56" s="144">
        <f t="shared" si="312"/>
        <v>0</v>
      </c>
      <c r="JZ56" s="144">
        <f t="shared" si="312"/>
        <v>0</v>
      </c>
      <c r="KA56" s="144">
        <f t="shared" si="312"/>
        <v>0</v>
      </c>
      <c r="KB56" s="144">
        <f t="shared" si="312"/>
        <v>0</v>
      </c>
      <c r="KC56" s="144">
        <f t="shared" si="312"/>
        <v>0</v>
      </c>
      <c r="KD56" s="144">
        <f t="shared" si="312"/>
        <v>0</v>
      </c>
      <c r="KE56" s="144">
        <f t="shared" si="312"/>
        <v>0</v>
      </c>
      <c r="KF56" s="144">
        <f t="shared" si="312"/>
        <v>0</v>
      </c>
      <c r="KG56" s="144">
        <f t="shared" si="312"/>
        <v>0</v>
      </c>
      <c r="KH56" s="144">
        <f t="shared" si="312"/>
        <v>0</v>
      </c>
      <c r="KI56" s="144">
        <f t="shared" si="312"/>
        <v>0</v>
      </c>
      <c r="KJ56" s="144">
        <f t="shared" si="312"/>
        <v>0</v>
      </c>
      <c r="KK56" s="144">
        <f t="shared" si="312"/>
        <v>0</v>
      </c>
      <c r="KL56" s="144">
        <f t="shared" si="312"/>
        <v>0</v>
      </c>
      <c r="KM56" s="144">
        <f t="shared" si="312"/>
        <v>0</v>
      </c>
      <c r="KN56" s="144">
        <f t="shared" si="312"/>
        <v>0</v>
      </c>
      <c r="KO56" s="144">
        <f t="shared" si="312"/>
        <v>0</v>
      </c>
      <c r="KP56" s="144">
        <f t="shared" si="312"/>
        <v>0</v>
      </c>
      <c r="KQ56" s="144">
        <f t="shared" si="312"/>
        <v>0</v>
      </c>
      <c r="KR56" s="144">
        <f t="shared" si="312"/>
        <v>0</v>
      </c>
      <c r="KS56" s="144">
        <f t="shared" si="312"/>
        <v>0</v>
      </c>
      <c r="KT56" s="144">
        <f t="shared" si="312"/>
        <v>0</v>
      </c>
      <c r="KU56" s="144">
        <f t="shared" si="312"/>
        <v>0</v>
      </c>
      <c r="KV56" s="144">
        <f t="shared" si="312"/>
        <v>0</v>
      </c>
      <c r="KW56" s="144">
        <f t="shared" si="312"/>
        <v>0</v>
      </c>
      <c r="KX56" s="144">
        <f t="shared" si="312"/>
        <v>0</v>
      </c>
      <c r="KY56" s="144">
        <f t="shared" si="312"/>
        <v>0</v>
      </c>
      <c r="KZ56" s="144">
        <f t="shared" si="312"/>
        <v>0</v>
      </c>
      <c r="LA56" s="144">
        <f t="shared" si="312"/>
        <v>0</v>
      </c>
      <c r="LB56" s="144">
        <f t="shared" si="312"/>
        <v>0</v>
      </c>
      <c r="LC56" s="144">
        <f t="shared" si="312"/>
        <v>0</v>
      </c>
      <c r="LD56" s="144">
        <f t="shared" si="312"/>
        <v>0</v>
      </c>
      <c r="LE56" s="144">
        <f t="shared" si="312"/>
        <v>0</v>
      </c>
      <c r="LF56" s="144">
        <f t="shared" si="312"/>
        <v>0</v>
      </c>
      <c r="LG56" s="144">
        <f t="shared" si="312"/>
        <v>0</v>
      </c>
      <c r="LH56" s="144">
        <f t="shared" si="312"/>
        <v>0</v>
      </c>
      <c r="LI56" s="144">
        <f t="shared" si="312"/>
        <v>0</v>
      </c>
      <c r="LJ56" s="144">
        <f t="shared" si="312"/>
        <v>0</v>
      </c>
      <c r="LK56" s="144">
        <f t="shared" si="312"/>
        <v>0</v>
      </c>
      <c r="LL56" s="144">
        <f t="shared" si="312"/>
        <v>0</v>
      </c>
      <c r="LM56" s="144">
        <f t="shared" si="312"/>
        <v>0</v>
      </c>
      <c r="LN56" s="144">
        <f t="shared" si="312"/>
        <v>0</v>
      </c>
      <c r="LO56" s="144">
        <f t="shared" si="312"/>
        <v>0</v>
      </c>
      <c r="LP56" s="144">
        <f t="shared" si="312"/>
        <v>0</v>
      </c>
      <c r="LQ56" s="144">
        <f t="shared" si="312"/>
        <v>0</v>
      </c>
      <c r="LR56" s="144">
        <f t="shared" si="312"/>
        <v>0</v>
      </c>
      <c r="LS56" s="144">
        <f t="shared" si="312"/>
        <v>0</v>
      </c>
      <c r="LT56" s="144">
        <f t="shared" si="312"/>
        <v>0</v>
      </c>
      <c r="LU56" s="144">
        <f t="shared" si="312"/>
        <v>0</v>
      </c>
      <c r="LV56" s="144">
        <f t="shared" si="312"/>
        <v>0</v>
      </c>
      <c r="LW56" s="144">
        <f t="shared" si="312"/>
        <v>0</v>
      </c>
      <c r="LX56" s="144">
        <f t="shared" si="312"/>
        <v>0</v>
      </c>
      <c r="LY56" s="144">
        <f t="shared" ref="LY56:NW56" si="313">LY52-LY55</f>
        <v>0</v>
      </c>
      <c r="LZ56" s="144">
        <f t="shared" si="313"/>
        <v>0</v>
      </c>
      <c r="MA56" s="144">
        <f t="shared" si="313"/>
        <v>0</v>
      </c>
      <c r="MB56" s="144">
        <f t="shared" si="313"/>
        <v>0</v>
      </c>
      <c r="MC56" s="144">
        <f t="shared" si="313"/>
        <v>0</v>
      </c>
      <c r="MD56" s="144">
        <f t="shared" si="313"/>
        <v>0</v>
      </c>
      <c r="ME56" s="144">
        <f t="shared" si="313"/>
        <v>0</v>
      </c>
      <c r="MF56" s="144">
        <f t="shared" si="313"/>
        <v>0</v>
      </c>
      <c r="MG56" s="144">
        <f t="shared" si="313"/>
        <v>0</v>
      </c>
      <c r="MH56" s="144">
        <f t="shared" si="313"/>
        <v>0</v>
      </c>
      <c r="MI56" s="144">
        <f t="shared" si="313"/>
        <v>0</v>
      </c>
      <c r="MJ56" s="144">
        <f t="shared" si="313"/>
        <v>0</v>
      </c>
      <c r="MK56" s="144">
        <f t="shared" si="313"/>
        <v>0</v>
      </c>
      <c r="ML56" s="144">
        <f t="shared" si="313"/>
        <v>0</v>
      </c>
      <c r="MM56" s="144">
        <f t="shared" si="313"/>
        <v>0</v>
      </c>
      <c r="MN56" s="144">
        <f t="shared" si="313"/>
        <v>0</v>
      </c>
      <c r="MO56" s="144">
        <f t="shared" si="313"/>
        <v>0</v>
      </c>
      <c r="MP56" s="144">
        <f t="shared" si="313"/>
        <v>0</v>
      </c>
      <c r="MQ56" s="144">
        <f t="shared" si="313"/>
        <v>0</v>
      </c>
      <c r="MR56" s="144">
        <f t="shared" si="313"/>
        <v>0</v>
      </c>
      <c r="MS56" s="144">
        <f t="shared" si="313"/>
        <v>0</v>
      </c>
      <c r="MT56" s="144">
        <f t="shared" si="313"/>
        <v>0</v>
      </c>
      <c r="MU56" s="144">
        <f t="shared" si="313"/>
        <v>0</v>
      </c>
      <c r="MV56" s="144">
        <f t="shared" si="313"/>
        <v>0</v>
      </c>
      <c r="MW56" s="144">
        <f t="shared" si="313"/>
        <v>0</v>
      </c>
      <c r="MX56" s="144">
        <f t="shared" si="313"/>
        <v>0</v>
      </c>
      <c r="MY56" s="144">
        <f t="shared" si="313"/>
        <v>0</v>
      </c>
      <c r="MZ56" s="144">
        <f t="shared" si="313"/>
        <v>0</v>
      </c>
      <c r="NA56" s="144">
        <f t="shared" si="313"/>
        <v>0</v>
      </c>
      <c r="NB56" s="144">
        <f t="shared" si="313"/>
        <v>0</v>
      </c>
      <c r="NC56" s="144">
        <f t="shared" si="313"/>
        <v>0</v>
      </c>
      <c r="ND56" s="144">
        <f t="shared" si="313"/>
        <v>0</v>
      </c>
      <c r="NE56" s="144">
        <f t="shared" si="313"/>
        <v>0</v>
      </c>
      <c r="NF56" s="144">
        <f t="shared" si="313"/>
        <v>0</v>
      </c>
      <c r="NG56" s="144">
        <f t="shared" si="313"/>
        <v>0</v>
      </c>
      <c r="NH56" s="144">
        <f t="shared" si="313"/>
        <v>0</v>
      </c>
      <c r="NI56" s="144">
        <f t="shared" si="313"/>
        <v>0</v>
      </c>
      <c r="NJ56" s="144">
        <f t="shared" si="313"/>
        <v>0</v>
      </c>
      <c r="NK56" s="144">
        <f t="shared" si="313"/>
        <v>0</v>
      </c>
      <c r="NL56" s="144">
        <f t="shared" si="313"/>
        <v>0</v>
      </c>
      <c r="NM56" s="144">
        <f t="shared" si="313"/>
        <v>0</v>
      </c>
      <c r="NN56" s="144">
        <f t="shared" si="313"/>
        <v>0</v>
      </c>
      <c r="NO56" s="144">
        <f t="shared" si="313"/>
        <v>0</v>
      </c>
      <c r="NP56" s="144">
        <f t="shared" si="313"/>
        <v>0</v>
      </c>
      <c r="NQ56" s="144">
        <f t="shared" si="313"/>
        <v>0</v>
      </c>
      <c r="NR56" s="144">
        <f t="shared" si="313"/>
        <v>0</v>
      </c>
      <c r="NS56" s="144">
        <f t="shared" si="313"/>
        <v>0</v>
      </c>
      <c r="NT56" s="144">
        <f t="shared" si="313"/>
        <v>0</v>
      </c>
      <c r="NU56" s="144">
        <f t="shared" si="313"/>
        <v>0</v>
      </c>
      <c r="NV56" s="144">
        <f t="shared" si="313"/>
        <v>0</v>
      </c>
      <c r="NW56" s="144">
        <f t="shared" si="313"/>
        <v>0</v>
      </c>
    </row>
    <row r="57" spans="2:387" x14ac:dyDescent="0.3">
      <c r="B57" s="49" t="s">
        <v>230</v>
      </c>
      <c r="C57" s="19"/>
      <c r="D57" s="63"/>
      <c r="E57" s="19">
        <v>1</v>
      </c>
      <c r="F57" s="19" t="s">
        <v>240</v>
      </c>
      <c r="G57" s="19"/>
      <c r="H57" s="63">
        <f>L57/$L$53</f>
        <v>0.15027158186297401</v>
      </c>
      <c r="I57" s="25"/>
      <c r="J57" s="23">
        <f>L57/$L$8</f>
        <v>7264.3995299647468</v>
      </c>
      <c r="K57" s="29">
        <f>L57/$L$7</f>
        <v>0.96023671947809874</v>
      </c>
      <c r="L57" s="23">
        <v>1670811.8918918918</v>
      </c>
      <c r="GS57" s="145" t="s">
        <v>241</v>
      </c>
      <c r="GT57" s="90"/>
      <c r="GU57" s="90"/>
      <c r="GV57" s="90"/>
      <c r="GW57" s="90" t="str">
        <f>IF(ROUND(GX57,0)=ROUND(SUM(GZ57:NW57),0),"OK","ERROR")</f>
        <v>OK</v>
      </c>
      <c r="GX57" s="90">
        <f>SUM(GX55:GX56)</f>
        <v>9285688.1081081107</v>
      </c>
      <c r="GY57" s="90"/>
      <c r="GZ57" s="90">
        <f>SUM(GZ55:GZ56)</f>
        <v>1397606.6936344241</v>
      </c>
      <c r="HA57" s="90">
        <f t="shared" ref="HA57:JL57" si="314">SUM(HA55:HA56)</f>
        <v>85890.627011509554</v>
      </c>
      <c r="HB57" s="90">
        <f t="shared" si="314"/>
        <v>91255.823555876836</v>
      </c>
      <c r="HC57" s="90">
        <f t="shared" si="314"/>
        <v>99888.170850955968</v>
      </c>
      <c r="HD57" s="90">
        <f t="shared" si="314"/>
        <v>113114.02021222032</v>
      </c>
      <c r="HE57" s="90">
        <f t="shared" si="314"/>
        <v>132387.58147376956</v>
      </c>
      <c r="HF57" s="90">
        <f t="shared" si="314"/>
        <v>159061.3003494427</v>
      </c>
      <c r="HG57" s="90">
        <f t="shared" si="314"/>
        <v>241661.94259224951</v>
      </c>
      <c r="HH57" s="90">
        <f t="shared" si="314"/>
        <v>249320.4918396665</v>
      </c>
      <c r="HI57" s="90">
        <f t="shared" si="314"/>
        <v>260685.53284439625</v>
      </c>
      <c r="HJ57" s="90">
        <f t="shared" si="314"/>
        <v>315954.30016837636</v>
      </c>
      <c r="HK57" s="90">
        <f t="shared" si="314"/>
        <v>371881.33070336544</v>
      </c>
      <c r="HL57" s="90">
        <f t="shared" si="314"/>
        <v>423441.08920777583</v>
      </c>
      <c r="HM57" s="90">
        <f t="shared" si="314"/>
        <v>465277.83944521204</v>
      </c>
      <c r="HN57" s="90">
        <f t="shared" si="314"/>
        <v>492606.97460704664</v>
      </c>
      <c r="HO57" s="90">
        <f t="shared" si="314"/>
        <v>502112.21204171277</v>
      </c>
      <c r="HP57" s="90">
        <f t="shared" si="314"/>
        <v>492606.97460704693</v>
      </c>
      <c r="HQ57" s="90">
        <f t="shared" si="314"/>
        <v>465277.83944521175</v>
      </c>
      <c r="HR57" s="90">
        <f t="shared" si="314"/>
        <v>423441.08920777566</v>
      </c>
      <c r="HS57" s="90">
        <f t="shared" si="314"/>
        <v>426881.33070336562</v>
      </c>
      <c r="HT57" s="90">
        <f t="shared" si="314"/>
        <v>370954.30016837624</v>
      </c>
      <c r="HU57" s="90">
        <f t="shared" si="314"/>
        <v>315685.53284439631</v>
      </c>
      <c r="HV57" s="90">
        <f t="shared" si="314"/>
        <v>265070.49183966639</v>
      </c>
      <c r="HW57" s="90">
        <f t="shared" si="314"/>
        <v>221697.65687796433</v>
      </c>
      <c r="HX57" s="90">
        <f t="shared" si="314"/>
        <v>175351.27599879279</v>
      </c>
      <c r="HY57" s="90">
        <f t="shared" si="314"/>
        <v>148677.55712312032</v>
      </c>
      <c r="HZ57" s="90">
        <f t="shared" si="314"/>
        <v>129403.99586157137</v>
      </c>
      <c r="IA57" s="90">
        <f t="shared" si="314"/>
        <v>116178.14650030635</v>
      </c>
      <c r="IB57" s="90">
        <f t="shared" si="314"/>
        <v>52545.799205227355</v>
      </c>
      <c r="IC57" s="90">
        <f t="shared" si="314"/>
        <v>38816.966297223873</v>
      </c>
      <c r="ID57" s="90">
        <f t="shared" si="314"/>
        <v>31926.295468400731</v>
      </c>
      <c r="IE57" s="90">
        <f t="shared" si="314"/>
        <v>31926.295468400731</v>
      </c>
      <c r="IF57" s="90">
        <f t="shared" si="314"/>
        <v>31926.295468400731</v>
      </c>
      <c r="IG57" s="90">
        <f t="shared" si="314"/>
        <v>31926.295468400731</v>
      </c>
      <c r="IH57" s="90">
        <f t="shared" si="314"/>
        <v>31926.295468400731</v>
      </c>
      <c r="II57" s="90">
        <f t="shared" si="314"/>
        <v>31926.295468400731</v>
      </c>
      <c r="IJ57" s="90">
        <f t="shared" si="314"/>
        <v>24697.724039829303</v>
      </c>
      <c r="IK57" s="90">
        <f t="shared" si="314"/>
        <v>24697.724039829303</v>
      </c>
      <c r="IL57" s="90">
        <f t="shared" si="314"/>
        <v>0</v>
      </c>
      <c r="IM57" s="90">
        <f t="shared" si="314"/>
        <v>0</v>
      </c>
      <c r="IN57" s="90">
        <f t="shared" si="314"/>
        <v>0</v>
      </c>
      <c r="IO57" s="90">
        <f t="shared" si="314"/>
        <v>0</v>
      </c>
      <c r="IP57" s="90">
        <f t="shared" si="314"/>
        <v>0</v>
      </c>
      <c r="IQ57" s="90">
        <f t="shared" si="314"/>
        <v>0</v>
      </c>
      <c r="IR57" s="90">
        <f t="shared" si="314"/>
        <v>0</v>
      </c>
      <c r="IS57" s="90">
        <f t="shared" si="314"/>
        <v>0</v>
      </c>
      <c r="IT57" s="90">
        <f t="shared" si="314"/>
        <v>0</v>
      </c>
      <c r="IU57" s="90">
        <f t="shared" si="314"/>
        <v>0</v>
      </c>
      <c r="IV57" s="90">
        <f t="shared" si="314"/>
        <v>0</v>
      </c>
      <c r="IW57" s="90">
        <f t="shared" si="314"/>
        <v>0</v>
      </c>
      <c r="IX57" s="90">
        <f t="shared" si="314"/>
        <v>0</v>
      </c>
      <c r="IY57" s="90">
        <f t="shared" si="314"/>
        <v>0</v>
      </c>
      <c r="IZ57" s="90">
        <f t="shared" si="314"/>
        <v>0</v>
      </c>
      <c r="JA57" s="90">
        <f t="shared" si="314"/>
        <v>0</v>
      </c>
      <c r="JB57" s="90">
        <f t="shared" si="314"/>
        <v>0</v>
      </c>
      <c r="JC57" s="90">
        <f t="shared" si="314"/>
        <v>0</v>
      </c>
      <c r="JD57" s="90">
        <f t="shared" si="314"/>
        <v>0</v>
      </c>
      <c r="JE57" s="90">
        <f t="shared" si="314"/>
        <v>0</v>
      </c>
      <c r="JF57" s="90">
        <f t="shared" si="314"/>
        <v>0</v>
      </c>
      <c r="JG57" s="90">
        <f t="shared" si="314"/>
        <v>0</v>
      </c>
      <c r="JH57" s="90">
        <f t="shared" si="314"/>
        <v>0</v>
      </c>
      <c r="JI57" s="90">
        <f t="shared" si="314"/>
        <v>0</v>
      </c>
      <c r="JJ57" s="90">
        <f t="shared" si="314"/>
        <v>0</v>
      </c>
      <c r="JK57" s="90">
        <f t="shared" si="314"/>
        <v>0</v>
      </c>
      <c r="JL57" s="90">
        <f t="shared" si="314"/>
        <v>0</v>
      </c>
      <c r="JM57" s="90">
        <f t="shared" ref="JM57:LX57" si="315">SUM(JM55:JM56)</f>
        <v>0</v>
      </c>
      <c r="JN57" s="90">
        <f t="shared" si="315"/>
        <v>0</v>
      </c>
      <c r="JO57" s="90">
        <f t="shared" si="315"/>
        <v>0</v>
      </c>
      <c r="JP57" s="90">
        <f t="shared" si="315"/>
        <v>0</v>
      </c>
      <c r="JQ57" s="90">
        <f t="shared" si="315"/>
        <v>0</v>
      </c>
      <c r="JR57" s="90">
        <f t="shared" si="315"/>
        <v>0</v>
      </c>
      <c r="JS57" s="90">
        <f t="shared" si="315"/>
        <v>0</v>
      </c>
      <c r="JT57" s="90">
        <f t="shared" si="315"/>
        <v>0</v>
      </c>
      <c r="JU57" s="90">
        <f t="shared" si="315"/>
        <v>0</v>
      </c>
      <c r="JV57" s="90">
        <f t="shared" si="315"/>
        <v>0</v>
      </c>
      <c r="JW57" s="90">
        <f t="shared" si="315"/>
        <v>0</v>
      </c>
      <c r="JX57" s="90">
        <f t="shared" si="315"/>
        <v>0</v>
      </c>
      <c r="JY57" s="90">
        <f t="shared" si="315"/>
        <v>0</v>
      </c>
      <c r="JZ57" s="90">
        <f t="shared" si="315"/>
        <v>0</v>
      </c>
      <c r="KA57" s="90">
        <f t="shared" si="315"/>
        <v>0</v>
      </c>
      <c r="KB57" s="90">
        <f t="shared" si="315"/>
        <v>0</v>
      </c>
      <c r="KC57" s="90">
        <f t="shared" si="315"/>
        <v>0</v>
      </c>
      <c r="KD57" s="90">
        <f t="shared" si="315"/>
        <v>0</v>
      </c>
      <c r="KE57" s="90">
        <f t="shared" si="315"/>
        <v>0</v>
      </c>
      <c r="KF57" s="90">
        <f t="shared" si="315"/>
        <v>0</v>
      </c>
      <c r="KG57" s="90">
        <f t="shared" si="315"/>
        <v>0</v>
      </c>
      <c r="KH57" s="90">
        <f t="shared" si="315"/>
        <v>0</v>
      </c>
      <c r="KI57" s="90">
        <f t="shared" si="315"/>
        <v>0</v>
      </c>
      <c r="KJ57" s="90">
        <f t="shared" si="315"/>
        <v>0</v>
      </c>
      <c r="KK57" s="90">
        <f t="shared" si="315"/>
        <v>0</v>
      </c>
      <c r="KL57" s="90">
        <f t="shared" si="315"/>
        <v>0</v>
      </c>
      <c r="KM57" s="90">
        <f t="shared" si="315"/>
        <v>0</v>
      </c>
      <c r="KN57" s="90">
        <f t="shared" si="315"/>
        <v>0</v>
      </c>
      <c r="KO57" s="90">
        <f t="shared" si="315"/>
        <v>0</v>
      </c>
      <c r="KP57" s="90">
        <f t="shared" si="315"/>
        <v>0</v>
      </c>
      <c r="KQ57" s="90">
        <f t="shared" si="315"/>
        <v>0</v>
      </c>
      <c r="KR57" s="90">
        <f t="shared" si="315"/>
        <v>0</v>
      </c>
      <c r="KS57" s="90">
        <f t="shared" si="315"/>
        <v>0</v>
      </c>
      <c r="KT57" s="90">
        <f t="shared" si="315"/>
        <v>0</v>
      </c>
      <c r="KU57" s="90">
        <f t="shared" si="315"/>
        <v>0</v>
      </c>
      <c r="KV57" s="90">
        <f t="shared" si="315"/>
        <v>0</v>
      </c>
      <c r="KW57" s="90">
        <f t="shared" si="315"/>
        <v>0</v>
      </c>
      <c r="KX57" s="90">
        <f t="shared" si="315"/>
        <v>0</v>
      </c>
      <c r="KY57" s="90">
        <f t="shared" si="315"/>
        <v>0</v>
      </c>
      <c r="KZ57" s="90">
        <f t="shared" si="315"/>
        <v>0</v>
      </c>
      <c r="LA57" s="90">
        <f t="shared" si="315"/>
        <v>0</v>
      </c>
      <c r="LB57" s="90">
        <f t="shared" si="315"/>
        <v>0</v>
      </c>
      <c r="LC57" s="90">
        <f t="shared" si="315"/>
        <v>0</v>
      </c>
      <c r="LD57" s="90">
        <f t="shared" si="315"/>
        <v>0</v>
      </c>
      <c r="LE57" s="90">
        <f t="shared" si="315"/>
        <v>0</v>
      </c>
      <c r="LF57" s="90">
        <f t="shared" si="315"/>
        <v>0</v>
      </c>
      <c r="LG57" s="90">
        <f t="shared" si="315"/>
        <v>0</v>
      </c>
      <c r="LH57" s="90">
        <f t="shared" si="315"/>
        <v>0</v>
      </c>
      <c r="LI57" s="90">
        <f t="shared" si="315"/>
        <v>0</v>
      </c>
      <c r="LJ57" s="90">
        <f t="shared" si="315"/>
        <v>0</v>
      </c>
      <c r="LK57" s="90">
        <f t="shared" si="315"/>
        <v>0</v>
      </c>
      <c r="LL57" s="90">
        <f t="shared" si="315"/>
        <v>0</v>
      </c>
      <c r="LM57" s="90">
        <f t="shared" si="315"/>
        <v>0</v>
      </c>
      <c r="LN57" s="90">
        <f t="shared" si="315"/>
        <v>0</v>
      </c>
      <c r="LO57" s="90">
        <f t="shared" si="315"/>
        <v>0</v>
      </c>
      <c r="LP57" s="90">
        <f t="shared" si="315"/>
        <v>0</v>
      </c>
      <c r="LQ57" s="90">
        <f t="shared" si="315"/>
        <v>0</v>
      </c>
      <c r="LR57" s="90">
        <f t="shared" si="315"/>
        <v>0</v>
      </c>
      <c r="LS57" s="90">
        <f t="shared" si="315"/>
        <v>0</v>
      </c>
      <c r="LT57" s="90">
        <f t="shared" si="315"/>
        <v>0</v>
      </c>
      <c r="LU57" s="90">
        <f t="shared" si="315"/>
        <v>0</v>
      </c>
      <c r="LV57" s="90">
        <f t="shared" si="315"/>
        <v>0</v>
      </c>
      <c r="LW57" s="90">
        <f t="shared" si="315"/>
        <v>0</v>
      </c>
      <c r="LX57" s="90">
        <f t="shared" si="315"/>
        <v>0</v>
      </c>
      <c r="LY57" s="90">
        <f t="shared" ref="LY57:NW57" si="316">SUM(LY55:LY56)</f>
        <v>0</v>
      </c>
      <c r="LZ57" s="90">
        <f t="shared" si="316"/>
        <v>0</v>
      </c>
      <c r="MA57" s="90">
        <f t="shared" si="316"/>
        <v>0</v>
      </c>
      <c r="MB57" s="90">
        <f t="shared" si="316"/>
        <v>0</v>
      </c>
      <c r="MC57" s="90">
        <f t="shared" si="316"/>
        <v>0</v>
      </c>
      <c r="MD57" s="90">
        <f t="shared" si="316"/>
        <v>0</v>
      </c>
      <c r="ME57" s="90">
        <f t="shared" si="316"/>
        <v>0</v>
      </c>
      <c r="MF57" s="90">
        <f t="shared" si="316"/>
        <v>0</v>
      </c>
      <c r="MG57" s="90">
        <f t="shared" si="316"/>
        <v>0</v>
      </c>
      <c r="MH57" s="90">
        <f t="shared" si="316"/>
        <v>0</v>
      </c>
      <c r="MI57" s="90">
        <f t="shared" si="316"/>
        <v>0</v>
      </c>
      <c r="MJ57" s="90">
        <f t="shared" si="316"/>
        <v>0</v>
      </c>
      <c r="MK57" s="90">
        <f t="shared" si="316"/>
        <v>0</v>
      </c>
      <c r="ML57" s="90">
        <f t="shared" si="316"/>
        <v>0</v>
      </c>
      <c r="MM57" s="90">
        <f t="shared" si="316"/>
        <v>0</v>
      </c>
      <c r="MN57" s="90">
        <f t="shared" si="316"/>
        <v>0</v>
      </c>
      <c r="MO57" s="90">
        <f t="shared" si="316"/>
        <v>0</v>
      </c>
      <c r="MP57" s="90">
        <f t="shared" si="316"/>
        <v>0</v>
      </c>
      <c r="MQ57" s="90">
        <f t="shared" si="316"/>
        <v>0</v>
      </c>
      <c r="MR57" s="90">
        <f t="shared" si="316"/>
        <v>0</v>
      </c>
      <c r="MS57" s="90">
        <f t="shared" si="316"/>
        <v>0</v>
      </c>
      <c r="MT57" s="90">
        <f t="shared" si="316"/>
        <v>0</v>
      </c>
      <c r="MU57" s="90">
        <f t="shared" si="316"/>
        <v>0</v>
      </c>
      <c r="MV57" s="90">
        <f t="shared" si="316"/>
        <v>0</v>
      </c>
      <c r="MW57" s="90">
        <f t="shared" si="316"/>
        <v>0</v>
      </c>
      <c r="MX57" s="90">
        <f t="shared" si="316"/>
        <v>0</v>
      </c>
      <c r="MY57" s="90">
        <f t="shared" si="316"/>
        <v>0</v>
      </c>
      <c r="MZ57" s="90">
        <f t="shared" si="316"/>
        <v>0</v>
      </c>
      <c r="NA57" s="90">
        <f t="shared" si="316"/>
        <v>0</v>
      </c>
      <c r="NB57" s="90">
        <f t="shared" si="316"/>
        <v>0</v>
      </c>
      <c r="NC57" s="90">
        <f t="shared" si="316"/>
        <v>0</v>
      </c>
      <c r="ND57" s="90">
        <f t="shared" si="316"/>
        <v>0</v>
      </c>
      <c r="NE57" s="90">
        <f t="shared" si="316"/>
        <v>0</v>
      </c>
      <c r="NF57" s="90">
        <f t="shared" si="316"/>
        <v>0</v>
      </c>
      <c r="NG57" s="90">
        <f t="shared" si="316"/>
        <v>0</v>
      </c>
      <c r="NH57" s="90">
        <f t="shared" si="316"/>
        <v>0</v>
      </c>
      <c r="NI57" s="90">
        <f t="shared" si="316"/>
        <v>0</v>
      </c>
      <c r="NJ57" s="90">
        <f t="shared" si="316"/>
        <v>0</v>
      </c>
      <c r="NK57" s="90">
        <f t="shared" si="316"/>
        <v>0</v>
      </c>
      <c r="NL57" s="90">
        <f t="shared" si="316"/>
        <v>0</v>
      </c>
      <c r="NM57" s="90">
        <f t="shared" si="316"/>
        <v>0</v>
      </c>
      <c r="NN57" s="90">
        <f t="shared" si="316"/>
        <v>0</v>
      </c>
      <c r="NO57" s="90">
        <f t="shared" si="316"/>
        <v>0</v>
      </c>
      <c r="NP57" s="90">
        <f t="shared" si="316"/>
        <v>0</v>
      </c>
      <c r="NQ57" s="90">
        <f t="shared" si="316"/>
        <v>0</v>
      </c>
      <c r="NR57" s="90">
        <f t="shared" si="316"/>
        <v>0</v>
      </c>
      <c r="NS57" s="90">
        <f t="shared" si="316"/>
        <v>0</v>
      </c>
      <c r="NT57" s="90">
        <f t="shared" si="316"/>
        <v>0</v>
      </c>
      <c r="NU57" s="90">
        <f t="shared" si="316"/>
        <v>0</v>
      </c>
      <c r="NV57" s="90">
        <f t="shared" si="316"/>
        <v>0</v>
      </c>
      <c r="NW57" s="90">
        <f t="shared" si="316"/>
        <v>0</v>
      </c>
    </row>
    <row r="58" spans="2:387" ht="15.5" x14ac:dyDescent="0.45">
      <c r="B58" s="49" t="s">
        <v>242</v>
      </c>
      <c r="C58" s="19"/>
      <c r="D58" s="97"/>
      <c r="E58" s="19">
        <v>2</v>
      </c>
      <c r="F58" s="94">
        <f>IFERROR(F64,"NA")</f>
        <v>6.7058823529411643E-2</v>
      </c>
      <c r="G58" s="19"/>
      <c r="H58" s="64">
        <f>L58/$L$53</f>
        <v>0.84972841813702604</v>
      </c>
      <c r="I58" s="19"/>
      <c r="J58" s="31">
        <f>L58/$L$8</f>
        <v>41077.405619786259</v>
      </c>
      <c r="K58" s="32">
        <f>L58/$L$7</f>
        <v>5.4297720072131259</v>
      </c>
      <c r="L58" s="31">
        <f>L53-L57</f>
        <v>9447803.2925508395</v>
      </c>
      <c r="GS58" s="77"/>
      <c r="GT58" s="77"/>
      <c r="GU58" s="77"/>
      <c r="GV58" s="84"/>
      <c r="GW58" s="84" t="str">
        <f>B62&amp;" Interest"</f>
        <v>Construction Debt Interest</v>
      </c>
      <c r="GX58" s="84"/>
      <c r="GY58" s="84"/>
      <c r="GZ58" s="84">
        <f>IF($H$62="Variable",T62,$F$62)</f>
        <v>9.5000000000000001E-2</v>
      </c>
      <c r="HA58" s="84">
        <f t="shared" ref="HA58:JL58" si="317">IF($H$62="Variable",U62,$F$62)</f>
        <v>9.5000000000000001E-2</v>
      </c>
      <c r="HB58" s="84">
        <f t="shared" si="317"/>
        <v>9.5000000000000001E-2</v>
      </c>
      <c r="HC58" s="84">
        <f t="shared" si="317"/>
        <v>9.5000000000000001E-2</v>
      </c>
      <c r="HD58" s="84">
        <f t="shared" si="317"/>
        <v>9.5000000000000001E-2</v>
      </c>
      <c r="HE58" s="84">
        <f t="shared" si="317"/>
        <v>9.5000000000000001E-2</v>
      </c>
      <c r="HF58" s="84">
        <f t="shared" si="317"/>
        <v>9.5000000000000001E-2</v>
      </c>
      <c r="HG58" s="84">
        <f t="shared" si="317"/>
        <v>9.5000000000000001E-2</v>
      </c>
      <c r="HH58" s="84">
        <f t="shared" si="317"/>
        <v>9.5000000000000001E-2</v>
      </c>
      <c r="HI58" s="84">
        <f t="shared" si="317"/>
        <v>9.5000000000000001E-2</v>
      </c>
      <c r="HJ58" s="84">
        <f t="shared" si="317"/>
        <v>9.5000000000000001E-2</v>
      </c>
      <c r="HK58" s="84">
        <f t="shared" si="317"/>
        <v>9.5000000000000001E-2</v>
      </c>
      <c r="HL58" s="84">
        <f t="shared" si="317"/>
        <v>9.5000000000000001E-2</v>
      </c>
      <c r="HM58" s="84">
        <f t="shared" si="317"/>
        <v>9.5000000000000001E-2</v>
      </c>
      <c r="HN58" s="84">
        <f t="shared" si="317"/>
        <v>9.5000000000000001E-2</v>
      </c>
      <c r="HO58" s="84">
        <f t="shared" si="317"/>
        <v>9.5000000000000001E-2</v>
      </c>
      <c r="HP58" s="84">
        <f t="shared" si="317"/>
        <v>9.5000000000000001E-2</v>
      </c>
      <c r="HQ58" s="84">
        <f t="shared" si="317"/>
        <v>9.5000000000000001E-2</v>
      </c>
      <c r="HR58" s="84">
        <f t="shared" si="317"/>
        <v>9.5000000000000001E-2</v>
      </c>
      <c r="HS58" s="84">
        <f t="shared" si="317"/>
        <v>9.5000000000000001E-2</v>
      </c>
      <c r="HT58" s="84">
        <f t="shared" si="317"/>
        <v>9.5000000000000001E-2</v>
      </c>
      <c r="HU58" s="84">
        <f t="shared" si="317"/>
        <v>9.5000000000000001E-2</v>
      </c>
      <c r="HV58" s="84">
        <f t="shared" si="317"/>
        <v>9.5000000000000001E-2</v>
      </c>
      <c r="HW58" s="84">
        <f t="shared" si="317"/>
        <v>9.5000000000000001E-2</v>
      </c>
      <c r="HX58" s="84">
        <f t="shared" si="317"/>
        <v>9.5000000000000001E-2</v>
      </c>
      <c r="HY58" s="84">
        <f t="shared" si="317"/>
        <v>9.5000000000000001E-2</v>
      </c>
      <c r="HZ58" s="84">
        <f t="shared" si="317"/>
        <v>9.5000000000000001E-2</v>
      </c>
      <c r="IA58" s="84">
        <f t="shared" si="317"/>
        <v>9.5000000000000001E-2</v>
      </c>
      <c r="IB58" s="84">
        <f t="shared" si="317"/>
        <v>9.5000000000000001E-2</v>
      </c>
      <c r="IC58" s="84">
        <f t="shared" si="317"/>
        <v>9.5000000000000001E-2</v>
      </c>
      <c r="ID58" s="84">
        <f t="shared" si="317"/>
        <v>9.5000000000000001E-2</v>
      </c>
      <c r="IE58" s="84">
        <f t="shared" si="317"/>
        <v>9.5000000000000001E-2</v>
      </c>
      <c r="IF58" s="84">
        <f t="shared" si="317"/>
        <v>9.5000000000000001E-2</v>
      </c>
      <c r="IG58" s="84">
        <f t="shared" si="317"/>
        <v>9.5000000000000001E-2</v>
      </c>
      <c r="IH58" s="84">
        <f t="shared" si="317"/>
        <v>9.5000000000000001E-2</v>
      </c>
      <c r="II58" s="84">
        <f t="shared" si="317"/>
        <v>9.5000000000000001E-2</v>
      </c>
      <c r="IJ58" s="84">
        <f t="shared" si="317"/>
        <v>9.5000000000000001E-2</v>
      </c>
      <c r="IK58" s="84">
        <f t="shared" si="317"/>
        <v>9.5000000000000001E-2</v>
      </c>
      <c r="IL58" s="84">
        <f t="shared" si="317"/>
        <v>9.5000000000000001E-2</v>
      </c>
      <c r="IM58" s="84">
        <f t="shared" si="317"/>
        <v>9.5000000000000001E-2</v>
      </c>
      <c r="IN58" s="84">
        <f t="shared" si="317"/>
        <v>9.5000000000000001E-2</v>
      </c>
      <c r="IO58" s="84">
        <f t="shared" si="317"/>
        <v>9.5000000000000001E-2</v>
      </c>
      <c r="IP58" s="84">
        <f t="shared" si="317"/>
        <v>9.5000000000000001E-2</v>
      </c>
      <c r="IQ58" s="84">
        <f t="shared" si="317"/>
        <v>9.5000000000000001E-2</v>
      </c>
      <c r="IR58" s="84">
        <f t="shared" si="317"/>
        <v>9.5000000000000001E-2</v>
      </c>
      <c r="IS58" s="84">
        <f t="shared" si="317"/>
        <v>9.5000000000000001E-2</v>
      </c>
      <c r="IT58" s="84">
        <f t="shared" si="317"/>
        <v>9.5000000000000001E-2</v>
      </c>
      <c r="IU58" s="84">
        <f t="shared" si="317"/>
        <v>9.5000000000000001E-2</v>
      </c>
      <c r="IV58" s="84">
        <f t="shared" si="317"/>
        <v>9.5000000000000001E-2</v>
      </c>
      <c r="IW58" s="84">
        <f t="shared" si="317"/>
        <v>9.5000000000000001E-2</v>
      </c>
      <c r="IX58" s="84">
        <f t="shared" si="317"/>
        <v>9.5000000000000001E-2</v>
      </c>
      <c r="IY58" s="84">
        <f t="shared" si="317"/>
        <v>9.5000000000000001E-2</v>
      </c>
      <c r="IZ58" s="84">
        <f t="shared" si="317"/>
        <v>9.5000000000000001E-2</v>
      </c>
      <c r="JA58" s="84">
        <f t="shared" si="317"/>
        <v>9.5000000000000001E-2</v>
      </c>
      <c r="JB58" s="84">
        <f t="shared" si="317"/>
        <v>9.5000000000000001E-2</v>
      </c>
      <c r="JC58" s="84">
        <f t="shared" si="317"/>
        <v>9.5000000000000001E-2</v>
      </c>
      <c r="JD58" s="84">
        <f t="shared" si="317"/>
        <v>9.5000000000000001E-2</v>
      </c>
      <c r="JE58" s="84">
        <f t="shared" si="317"/>
        <v>9.5000000000000001E-2</v>
      </c>
      <c r="JF58" s="84">
        <f t="shared" si="317"/>
        <v>9.5000000000000001E-2</v>
      </c>
      <c r="JG58" s="84">
        <f t="shared" si="317"/>
        <v>9.5000000000000001E-2</v>
      </c>
      <c r="JH58" s="84">
        <f t="shared" si="317"/>
        <v>9.5000000000000001E-2</v>
      </c>
      <c r="JI58" s="84">
        <f t="shared" si="317"/>
        <v>9.5000000000000001E-2</v>
      </c>
      <c r="JJ58" s="84">
        <f t="shared" si="317"/>
        <v>9.5000000000000001E-2</v>
      </c>
      <c r="JK58" s="84">
        <f t="shared" si="317"/>
        <v>9.5000000000000001E-2</v>
      </c>
      <c r="JL58" s="84">
        <f t="shared" si="317"/>
        <v>9.5000000000000001E-2</v>
      </c>
      <c r="JM58" s="84">
        <f t="shared" ref="JM58:LX58" si="318">IF($H$62="Variable",CG62,$F$62)</f>
        <v>9.5000000000000001E-2</v>
      </c>
      <c r="JN58" s="84">
        <f t="shared" si="318"/>
        <v>9.5000000000000001E-2</v>
      </c>
      <c r="JO58" s="84">
        <f t="shared" si="318"/>
        <v>9.5000000000000001E-2</v>
      </c>
      <c r="JP58" s="84">
        <f t="shared" si="318"/>
        <v>9.5000000000000001E-2</v>
      </c>
      <c r="JQ58" s="84">
        <f t="shared" si="318"/>
        <v>9.5000000000000001E-2</v>
      </c>
      <c r="JR58" s="84">
        <f t="shared" si="318"/>
        <v>9.5000000000000001E-2</v>
      </c>
      <c r="JS58" s="84">
        <f t="shared" si="318"/>
        <v>9.5000000000000001E-2</v>
      </c>
      <c r="JT58" s="84">
        <f t="shared" si="318"/>
        <v>9.5000000000000001E-2</v>
      </c>
      <c r="JU58" s="84">
        <f t="shared" si="318"/>
        <v>9.5000000000000001E-2</v>
      </c>
      <c r="JV58" s="84">
        <f t="shared" si="318"/>
        <v>9.5000000000000001E-2</v>
      </c>
      <c r="JW58" s="84">
        <f t="shared" si="318"/>
        <v>9.5000000000000001E-2</v>
      </c>
      <c r="JX58" s="84">
        <f t="shared" si="318"/>
        <v>9.5000000000000001E-2</v>
      </c>
      <c r="JY58" s="84">
        <f t="shared" si="318"/>
        <v>9.5000000000000001E-2</v>
      </c>
      <c r="JZ58" s="84">
        <f t="shared" si="318"/>
        <v>9.5000000000000001E-2</v>
      </c>
      <c r="KA58" s="84">
        <f t="shared" si="318"/>
        <v>9.5000000000000001E-2</v>
      </c>
      <c r="KB58" s="84">
        <f t="shared" si="318"/>
        <v>9.5000000000000001E-2</v>
      </c>
      <c r="KC58" s="84">
        <f t="shared" si="318"/>
        <v>9.5000000000000001E-2</v>
      </c>
      <c r="KD58" s="84">
        <f t="shared" si="318"/>
        <v>9.5000000000000001E-2</v>
      </c>
      <c r="KE58" s="84">
        <f t="shared" si="318"/>
        <v>9.5000000000000001E-2</v>
      </c>
      <c r="KF58" s="84">
        <f t="shared" si="318"/>
        <v>9.5000000000000001E-2</v>
      </c>
      <c r="KG58" s="84">
        <f t="shared" si="318"/>
        <v>9.5000000000000001E-2</v>
      </c>
      <c r="KH58" s="84">
        <f t="shared" si="318"/>
        <v>9.5000000000000001E-2</v>
      </c>
      <c r="KI58" s="84">
        <f t="shared" si="318"/>
        <v>9.5000000000000001E-2</v>
      </c>
      <c r="KJ58" s="84">
        <f t="shared" si="318"/>
        <v>9.5000000000000001E-2</v>
      </c>
      <c r="KK58" s="84">
        <f t="shared" si="318"/>
        <v>9.5000000000000001E-2</v>
      </c>
      <c r="KL58" s="84">
        <f t="shared" si="318"/>
        <v>9.5000000000000001E-2</v>
      </c>
      <c r="KM58" s="84">
        <f t="shared" si="318"/>
        <v>9.5000000000000001E-2</v>
      </c>
      <c r="KN58" s="84">
        <f t="shared" si="318"/>
        <v>9.5000000000000001E-2</v>
      </c>
      <c r="KO58" s="84">
        <f t="shared" si="318"/>
        <v>9.5000000000000001E-2</v>
      </c>
      <c r="KP58" s="84">
        <f t="shared" si="318"/>
        <v>9.5000000000000001E-2</v>
      </c>
      <c r="KQ58" s="84">
        <f t="shared" si="318"/>
        <v>9.5000000000000001E-2</v>
      </c>
      <c r="KR58" s="84">
        <f t="shared" si="318"/>
        <v>9.5000000000000001E-2</v>
      </c>
      <c r="KS58" s="84">
        <f t="shared" si="318"/>
        <v>9.5000000000000001E-2</v>
      </c>
      <c r="KT58" s="84">
        <f t="shared" si="318"/>
        <v>9.5000000000000001E-2</v>
      </c>
      <c r="KU58" s="84">
        <f t="shared" si="318"/>
        <v>9.5000000000000001E-2</v>
      </c>
      <c r="KV58" s="84">
        <f t="shared" si="318"/>
        <v>9.5000000000000001E-2</v>
      </c>
      <c r="KW58" s="84">
        <f t="shared" si="318"/>
        <v>9.5000000000000001E-2</v>
      </c>
      <c r="KX58" s="84">
        <f t="shared" si="318"/>
        <v>9.5000000000000001E-2</v>
      </c>
      <c r="KY58" s="84">
        <f t="shared" si="318"/>
        <v>9.5000000000000001E-2</v>
      </c>
      <c r="KZ58" s="84">
        <f t="shared" si="318"/>
        <v>9.5000000000000001E-2</v>
      </c>
      <c r="LA58" s="84">
        <f t="shared" si="318"/>
        <v>9.5000000000000001E-2</v>
      </c>
      <c r="LB58" s="84">
        <f t="shared" si="318"/>
        <v>9.5000000000000001E-2</v>
      </c>
      <c r="LC58" s="84">
        <f t="shared" si="318"/>
        <v>9.5000000000000001E-2</v>
      </c>
      <c r="LD58" s="84">
        <f t="shared" si="318"/>
        <v>9.5000000000000001E-2</v>
      </c>
      <c r="LE58" s="84">
        <f t="shared" si="318"/>
        <v>9.5000000000000001E-2</v>
      </c>
      <c r="LF58" s="84">
        <f t="shared" si="318"/>
        <v>9.5000000000000001E-2</v>
      </c>
      <c r="LG58" s="84">
        <f t="shared" si="318"/>
        <v>9.5000000000000001E-2</v>
      </c>
      <c r="LH58" s="84">
        <f t="shared" si="318"/>
        <v>9.5000000000000001E-2</v>
      </c>
      <c r="LI58" s="84">
        <f t="shared" si="318"/>
        <v>9.5000000000000001E-2</v>
      </c>
      <c r="LJ58" s="84">
        <f t="shared" si="318"/>
        <v>9.5000000000000001E-2</v>
      </c>
      <c r="LK58" s="84">
        <f t="shared" si="318"/>
        <v>9.5000000000000001E-2</v>
      </c>
      <c r="LL58" s="84">
        <f t="shared" si="318"/>
        <v>9.5000000000000001E-2</v>
      </c>
      <c r="LM58" s="84">
        <f t="shared" si="318"/>
        <v>9.5000000000000001E-2</v>
      </c>
      <c r="LN58" s="84">
        <f t="shared" si="318"/>
        <v>9.5000000000000001E-2</v>
      </c>
      <c r="LO58" s="84">
        <f t="shared" si="318"/>
        <v>9.5000000000000001E-2</v>
      </c>
      <c r="LP58" s="84">
        <f t="shared" si="318"/>
        <v>9.5000000000000001E-2</v>
      </c>
      <c r="LQ58" s="84">
        <f t="shared" si="318"/>
        <v>9.5000000000000001E-2</v>
      </c>
      <c r="LR58" s="84">
        <f t="shared" si="318"/>
        <v>9.5000000000000001E-2</v>
      </c>
      <c r="LS58" s="84">
        <f t="shared" si="318"/>
        <v>9.5000000000000001E-2</v>
      </c>
      <c r="LT58" s="84">
        <f t="shared" si="318"/>
        <v>9.5000000000000001E-2</v>
      </c>
      <c r="LU58" s="84">
        <f t="shared" si="318"/>
        <v>9.5000000000000001E-2</v>
      </c>
      <c r="LV58" s="84">
        <f t="shared" si="318"/>
        <v>9.5000000000000001E-2</v>
      </c>
      <c r="LW58" s="84">
        <f t="shared" si="318"/>
        <v>9.5000000000000001E-2</v>
      </c>
      <c r="LX58" s="84">
        <f t="shared" si="318"/>
        <v>9.5000000000000001E-2</v>
      </c>
      <c r="LY58" s="84">
        <f t="shared" ref="LY58:NW58" si="319">IF($H$62="Variable",ES62,$F$62)</f>
        <v>9.5000000000000001E-2</v>
      </c>
      <c r="LZ58" s="84">
        <f t="shared" si="319"/>
        <v>9.5000000000000001E-2</v>
      </c>
      <c r="MA58" s="84">
        <f t="shared" si="319"/>
        <v>9.5000000000000001E-2</v>
      </c>
      <c r="MB58" s="84">
        <f t="shared" si="319"/>
        <v>9.5000000000000001E-2</v>
      </c>
      <c r="MC58" s="84">
        <f t="shared" si="319"/>
        <v>9.5000000000000001E-2</v>
      </c>
      <c r="MD58" s="84">
        <f t="shared" si="319"/>
        <v>9.5000000000000001E-2</v>
      </c>
      <c r="ME58" s="84">
        <f t="shared" si="319"/>
        <v>9.5000000000000001E-2</v>
      </c>
      <c r="MF58" s="84">
        <f t="shared" si="319"/>
        <v>9.5000000000000001E-2</v>
      </c>
      <c r="MG58" s="84">
        <f t="shared" si="319"/>
        <v>9.5000000000000001E-2</v>
      </c>
      <c r="MH58" s="84">
        <f t="shared" si="319"/>
        <v>9.5000000000000001E-2</v>
      </c>
      <c r="MI58" s="84">
        <f t="shared" si="319"/>
        <v>9.5000000000000001E-2</v>
      </c>
      <c r="MJ58" s="84">
        <f t="shared" si="319"/>
        <v>9.5000000000000001E-2</v>
      </c>
      <c r="MK58" s="84">
        <f t="shared" si="319"/>
        <v>9.5000000000000001E-2</v>
      </c>
      <c r="ML58" s="84">
        <f t="shared" si="319"/>
        <v>9.5000000000000001E-2</v>
      </c>
      <c r="MM58" s="84">
        <f t="shared" si="319"/>
        <v>9.5000000000000001E-2</v>
      </c>
      <c r="MN58" s="84">
        <f t="shared" si="319"/>
        <v>9.5000000000000001E-2</v>
      </c>
      <c r="MO58" s="84">
        <f t="shared" si="319"/>
        <v>9.5000000000000001E-2</v>
      </c>
      <c r="MP58" s="84">
        <f t="shared" si="319"/>
        <v>9.5000000000000001E-2</v>
      </c>
      <c r="MQ58" s="84">
        <f t="shared" si="319"/>
        <v>9.5000000000000001E-2</v>
      </c>
      <c r="MR58" s="84">
        <f t="shared" si="319"/>
        <v>9.5000000000000001E-2</v>
      </c>
      <c r="MS58" s="84">
        <f t="shared" si="319"/>
        <v>9.5000000000000001E-2</v>
      </c>
      <c r="MT58" s="84">
        <f t="shared" si="319"/>
        <v>9.5000000000000001E-2</v>
      </c>
      <c r="MU58" s="84">
        <f t="shared" si="319"/>
        <v>9.5000000000000001E-2</v>
      </c>
      <c r="MV58" s="84">
        <f t="shared" si="319"/>
        <v>9.5000000000000001E-2</v>
      </c>
      <c r="MW58" s="84">
        <f t="shared" si="319"/>
        <v>9.5000000000000001E-2</v>
      </c>
      <c r="MX58" s="84">
        <f t="shared" si="319"/>
        <v>9.5000000000000001E-2</v>
      </c>
      <c r="MY58" s="84">
        <f t="shared" si="319"/>
        <v>9.5000000000000001E-2</v>
      </c>
      <c r="MZ58" s="84">
        <f t="shared" si="319"/>
        <v>9.5000000000000001E-2</v>
      </c>
      <c r="NA58" s="84">
        <f t="shared" si="319"/>
        <v>9.5000000000000001E-2</v>
      </c>
      <c r="NB58" s="84">
        <f t="shared" si="319"/>
        <v>9.5000000000000001E-2</v>
      </c>
      <c r="NC58" s="84">
        <f t="shared" si="319"/>
        <v>9.5000000000000001E-2</v>
      </c>
      <c r="ND58" s="84">
        <f t="shared" si="319"/>
        <v>9.5000000000000001E-2</v>
      </c>
      <c r="NE58" s="84">
        <f t="shared" si="319"/>
        <v>9.5000000000000001E-2</v>
      </c>
      <c r="NF58" s="84">
        <f t="shared" si="319"/>
        <v>9.5000000000000001E-2</v>
      </c>
      <c r="NG58" s="84">
        <f t="shared" si="319"/>
        <v>9.5000000000000001E-2</v>
      </c>
      <c r="NH58" s="84">
        <f t="shared" si="319"/>
        <v>9.5000000000000001E-2</v>
      </c>
      <c r="NI58" s="84">
        <f t="shared" si="319"/>
        <v>9.5000000000000001E-2</v>
      </c>
      <c r="NJ58" s="84">
        <f t="shared" si="319"/>
        <v>9.5000000000000001E-2</v>
      </c>
      <c r="NK58" s="84">
        <f t="shared" si="319"/>
        <v>9.5000000000000001E-2</v>
      </c>
      <c r="NL58" s="84">
        <f t="shared" si="319"/>
        <v>9.5000000000000001E-2</v>
      </c>
      <c r="NM58" s="84">
        <f t="shared" si="319"/>
        <v>9.5000000000000001E-2</v>
      </c>
      <c r="NN58" s="84">
        <f t="shared" si="319"/>
        <v>9.5000000000000001E-2</v>
      </c>
      <c r="NO58" s="84">
        <f t="shared" si="319"/>
        <v>9.5000000000000001E-2</v>
      </c>
      <c r="NP58" s="84">
        <f t="shared" si="319"/>
        <v>9.5000000000000001E-2</v>
      </c>
      <c r="NQ58" s="84">
        <f t="shared" si="319"/>
        <v>9.5000000000000001E-2</v>
      </c>
      <c r="NR58" s="84">
        <f t="shared" si="319"/>
        <v>9.5000000000000001E-2</v>
      </c>
      <c r="NS58" s="84">
        <f t="shared" si="319"/>
        <v>9.5000000000000001E-2</v>
      </c>
      <c r="NT58" s="84">
        <f t="shared" si="319"/>
        <v>9.5000000000000001E-2</v>
      </c>
      <c r="NU58" s="84">
        <f t="shared" si="319"/>
        <v>9.5000000000000001E-2</v>
      </c>
      <c r="NV58" s="84">
        <f t="shared" si="319"/>
        <v>9.5000000000000001E-2</v>
      </c>
      <c r="NW58" s="84">
        <f t="shared" si="319"/>
        <v>9.5000000000000001E-2</v>
      </c>
    </row>
    <row r="59" spans="2:387" x14ac:dyDescent="0.3">
      <c r="B59" s="18" t="s">
        <v>149</v>
      </c>
      <c r="C59" s="19"/>
      <c r="D59" s="19"/>
      <c r="E59" s="19"/>
      <c r="F59" s="19"/>
      <c r="G59" s="19"/>
      <c r="H59" s="63">
        <f>SUM(H57:H58)</f>
        <v>1</v>
      </c>
      <c r="I59" s="19"/>
      <c r="J59" s="23">
        <f>L59/$L$8</f>
        <v>48341.805149751002</v>
      </c>
      <c r="K59" s="29">
        <f>L59/$L$7</f>
        <v>6.3900087266912244</v>
      </c>
      <c r="L59" s="23">
        <f>SUM(L57:L58)</f>
        <v>11118615.184442731</v>
      </c>
      <c r="GS59" s="80"/>
      <c r="GT59" s="77"/>
      <c r="GU59" s="77"/>
      <c r="GV59" s="77"/>
      <c r="GW59" s="77" t="str">
        <f>B63&amp;" Interest"</f>
        <v>Builder Deposit Interest</v>
      </c>
      <c r="GX59" s="77"/>
      <c r="GY59" s="77"/>
      <c r="GZ59" s="141">
        <f>IF($H$63="Variable",T63,$F$63)</f>
        <v>0</v>
      </c>
      <c r="HA59" s="141">
        <f t="shared" ref="HA59:JL59" si="320">IF($H$63="Variable",U63,$F$63)</f>
        <v>0</v>
      </c>
      <c r="HB59" s="141">
        <f t="shared" si="320"/>
        <v>0</v>
      </c>
      <c r="HC59" s="141">
        <f t="shared" si="320"/>
        <v>0</v>
      </c>
      <c r="HD59" s="141">
        <f t="shared" si="320"/>
        <v>0</v>
      </c>
      <c r="HE59" s="141">
        <f t="shared" si="320"/>
        <v>0</v>
      </c>
      <c r="HF59" s="141">
        <f t="shared" si="320"/>
        <v>0</v>
      </c>
      <c r="HG59" s="141">
        <f t="shared" si="320"/>
        <v>0</v>
      </c>
      <c r="HH59" s="141">
        <f t="shared" si="320"/>
        <v>0</v>
      </c>
      <c r="HI59" s="141">
        <f t="shared" si="320"/>
        <v>0</v>
      </c>
      <c r="HJ59" s="141">
        <f t="shared" si="320"/>
        <v>0</v>
      </c>
      <c r="HK59" s="141">
        <f t="shared" si="320"/>
        <v>0</v>
      </c>
      <c r="HL59" s="141">
        <f t="shared" si="320"/>
        <v>0</v>
      </c>
      <c r="HM59" s="141">
        <f t="shared" si="320"/>
        <v>0</v>
      </c>
      <c r="HN59" s="141">
        <f t="shared" si="320"/>
        <v>0</v>
      </c>
      <c r="HO59" s="141">
        <f t="shared" si="320"/>
        <v>0</v>
      </c>
      <c r="HP59" s="141">
        <f t="shared" si="320"/>
        <v>0</v>
      </c>
      <c r="HQ59" s="141">
        <f t="shared" si="320"/>
        <v>0</v>
      </c>
      <c r="HR59" s="141">
        <f t="shared" si="320"/>
        <v>0</v>
      </c>
      <c r="HS59" s="141">
        <f t="shared" si="320"/>
        <v>0</v>
      </c>
      <c r="HT59" s="141">
        <f t="shared" si="320"/>
        <v>0</v>
      </c>
      <c r="HU59" s="141">
        <f t="shared" si="320"/>
        <v>0</v>
      </c>
      <c r="HV59" s="141">
        <f t="shared" si="320"/>
        <v>0</v>
      </c>
      <c r="HW59" s="141">
        <f t="shared" si="320"/>
        <v>0</v>
      </c>
      <c r="HX59" s="141">
        <f t="shared" si="320"/>
        <v>0</v>
      </c>
      <c r="HY59" s="141">
        <f t="shared" si="320"/>
        <v>0</v>
      </c>
      <c r="HZ59" s="141">
        <f t="shared" si="320"/>
        <v>0</v>
      </c>
      <c r="IA59" s="141">
        <f t="shared" si="320"/>
        <v>0</v>
      </c>
      <c r="IB59" s="141">
        <f t="shared" si="320"/>
        <v>0</v>
      </c>
      <c r="IC59" s="141">
        <f t="shared" si="320"/>
        <v>0</v>
      </c>
      <c r="ID59" s="141">
        <f t="shared" si="320"/>
        <v>0</v>
      </c>
      <c r="IE59" s="141">
        <f t="shared" si="320"/>
        <v>0</v>
      </c>
      <c r="IF59" s="141">
        <f t="shared" si="320"/>
        <v>0</v>
      </c>
      <c r="IG59" s="141">
        <f t="shared" si="320"/>
        <v>0</v>
      </c>
      <c r="IH59" s="141">
        <f t="shared" si="320"/>
        <v>0</v>
      </c>
      <c r="II59" s="141">
        <f t="shared" si="320"/>
        <v>0</v>
      </c>
      <c r="IJ59" s="141">
        <f t="shared" si="320"/>
        <v>0</v>
      </c>
      <c r="IK59" s="141">
        <f t="shared" si="320"/>
        <v>0</v>
      </c>
      <c r="IL59" s="141">
        <f t="shared" si="320"/>
        <v>0</v>
      </c>
      <c r="IM59" s="141">
        <f t="shared" si="320"/>
        <v>0</v>
      </c>
      <c r="IN59" s="141">
        <f t="shared" si="320"/>
        <v>0</v>
      </c>
      <c r="IO59" s="141">
        <f t="shared" si="320"/>
        <v>0</v>
      </c>
      <c r="IP59" s="141">
        <f t="shared" si="320"/>
        <v>0</v>
      </c>
      <c r="IQ59" s="141">
        <f t="shared" si="320"/>
        <v>0</v>
      </c>
      <c r="IR59" s="141">
        <f t="shared" si="320"/>
        <v>0</v>
      </c>
      <c r="IS59" s="141">
        <f t="shared" si="320"/>
        <v>0</v>
      </c>
      <c r="IT59" s="141">
        <f t="shared" si="320"/>
        <v>0</v>
      </c>
      <c r="IU59" s="141">
        <f t="shared" si="320"/>
        <v>0</v>
      </c>
      <c r="IV59" s="141">
        <f t="shared" si="320"/>
        <v>0</v>
      </c>
      <c r="IW59" s="141">
        <f t="shared" si="320"/>
        <v>0</v>
      </c>
      <c r="IX59" s="141">
        <f t="shared" si="320"/>
        <v>0</v>
      </c>
      <c r="IY59" s="141">
        <f t="shared" si="320"/>
        <v>0</v>
      </c>
      <c r="IZ59" s="141">
        <f t="shared" si="320"/>
        <v>0</v>
      </c>
      <c r="JA59" s="141">
        <f t="shared" si="320"/>
        <v>0</v>
      </c>
      <c r="JB59" s="141">
        <f t="shared" si="320"/>
        <v>0</v>
      </c>
      <c r="JC59" s="141">
        <f t="shared" si="320"/>
        <v>0</v>
      </c>
      <c r="JD59" s="141">
        <f t="shared" si="320"/>
        <v>0</v>
      </c>
      <c r="JE59" s="141">
        <f t="shared" si="320"/>
        <v>0</v>
      </c>
      <c r="JF59" s="141">
        <f t="shared" si="320"/>
        <v>0</v>
      </c>
      <c r="JG59" s="141">
        <f t="shared" si="320"/>
        <v>0</v>
      </c>
      <c r="JH59" s="141">
        <f t="shared" si="320"/>
        <v>0</v>
      </c>
      <c r="JI59" s="141">
        <f t="shared" si="320"/>
        <v>0</v>
      </c>
      <c r="JJ59" s="141">
        <f t="shared" si="320"/>
        <v>0</v>
      </c>
      <c r="JK59" s="141">
        <f t="shared" si="320"/>
        <v>0</v>
      </c>
      <c r="JL59" s="141">
        <f t="shared" si="320"/>
        <v>0</v>
      </c>
      <c r="JM59" s="141">
        <f t="shared" ref="JM59:LX59" si="321">IF($H$63="Variable",CG63,$F$63)</f>
        <v>0</v>
      </c>
      <c r="JN59" s="141">
        <f t="shared" si="321"/>
        <v>0</v>
      </c>
      <c r="JO59" s="141">
        <f t="shared" si="321"/>
        <v>0</v>
      </c>
      <c r="JP59" s="141">
        <f t="shared" si="321"/>
        <v>0</v>
      </c>
      <c r="JQ59" s="141">
        <f t="shared" si="321"/>
        <v>0</v>
      </c>
      <c r="JR59" s="141">
        <f t="shared" si="321"/>
        <v>0</v>
      </c>
      <c r="JS59" s="141">
        <f t="shared" si="321"/>
        <v>0</v>
      </c>
      <c r="JT59" s="141">
        <f t="shared" si="321"/>
        <v>0</v>
      </c>
      <c r="JU59" s="141">
        <f t="shared" si="321"/>
        <v>0</v>
      </c>
      <c r="JV59" s="141">
        <f t="shared" si="321"/>
        <v>0</v>
      </c>
      <c r="JW59" s="141">
        <f t="shared" si="321"/>
        <v>0</v>
      </c>
      <c r="JX59" s="141">
        <f t="shared" si="321"/>
        <v>0</v>
      </c>
      <c r="JY59" s="141">
        <f t="shared" si="321"/>
        <v>0</v>
      </c>
      <c r="JZ59" s="141">
        <f t="shared" si="321"/>
        <v>0</v>
      </c>
      <c r="KA59" s="141">
        <f t="shared" si="321"/>
        <v>0</v>
      </c>
      <c r="KB59" s="141">
        <f t="shared" si="321"/>
        <v>0</v>
      </c>
      <c r="KC59" s="141">
        <f t="shared" si="321"/>
        <v>0</v>
      </c>
      <c r="KD59" s="141">
        <f t="shared" si="321"/>
        <v>0</v>
      </c>
      <c r="KE59" s="141">
        <f t="shared" si="321"/>
        <v>0</v>
      </c>
      <c r="KF59" s="141">
        <f t="shared" si="321"/>
        <v>0</v>
      </c>
      <c r="KG59" s="141">
        <f t="shared" si="321"/>
        <v>0</v>
      </c>
      <c r="KH59" s="141">
        <f t="shared" si="321"/>
        <v>0</v>
      </c>
      <c r="KI59" s="141">
        <f t="shared" si="321"/>
        <v>0</v>
      </c>
      <c r="KJ59" s="141">
        <f t="shared" si="321"/>
        <v>0</v>
      </c>
      <c r="KK59" s="141">
        <f t="shared" si="321"/>
        <v>0</v>
      </c>
      <c r="KL59" s="141">
        <f t="shared" si="321"/>
        <v>0</v>
      </c>
      <c r="KM59" s="141">
        <f t="shared" si="321"/>
        <v>0</v>
      </c>
      <c r="KN59" s="141">
        <f t="shared" si="321"/>
        <v>0</v>
      </c>
      <c r="KO59" s="141">
        <f t="shared" si="321"/>
        <v>0</v>
      </c>
      <c r="KP59" s="141">
        <f t="shared" si="321"/>
        <v>0</v>
      </c>
      <c r="KQ59" s="141">
        <f t="shared" si="321"/>
        <v>0</v>
      </c>
      <c r="KR59" s="141">
        <f t="shared" si="321"/>
        <v>0</v>
      </c>
      <c r="KS59" s="141">
        <f t="shared" si="321"/>
        <v>0</v>
      </c>
      <c r="KT59" s="141">
        <f t="shared" si="321"/>
        <v>0</v>
      </c>
      <c r="KU59" s="141">
        <f t="shared" si="321"/>
        <v>0</v>
      </c>
      <c r="KV59" s="141">
        <f t="shared" si="321"/>
        <v>0</v>
      </c>
      <c r="KW59" s="141">
        <f t="shared" si="321"/>
        <v>0</v>
      </c>
      <c r="KX59" s="141">
        <f t="shared" si="321"/>
        <v>0</v>
      </c>
      <c r="KY59" s="141">
        <f t="shared" si="321"/>
        <v>0</v>
      </c>
      <c r="KZ59" s="141">
        <f t="shared" si="321"/>
        <v>0</v>
      </c>
      <c r="LA59" s="141">
        <f t="shared" si="321"/>
        <v>0</v>
      </c>
      <c r="LB59" s="141">
        <f t="shared" si="321"/>
        <v>0</v>
      </c>
      <c r="LC59" s="141">
        <f t="shared" si="321"/>
        <v>0</v>
      </c>
      <c r="LD59" s="141">
        <f t="shared" si="321"/>
        <v>0</v>
      </c>
      <c r="LE59" s="141">
        <f t="shared" si="321"/>
        <v>0</v>
      </c>
      <c r="LF59" s="141">
        <f t="shared" si="321"/>
        <v>0</v>
      </c>
      <c r="LG59" s="141">
        <f t="shared" si="321"/>
        <v>0</v>
      </c>
      <c r="LH59" s="141">
        <f t="shared" si="321"/>
        <v>0</v>
      </c>
      <c r="LI59" s="141">
        <f t="shared" si="321"/>
        <v>0</v>
      </c>
      <c r="LJ59" s="141">
        <f t="shared" si="321"/>
        <v>0</v>
      </c>
      <c r="LK59" s="141">
        <f t="shared" si="321"/>
        <v>0</v>
      </c>
      <c r="LL59" s="141">
        <f t="shared" si="321"/>
        <v>0</v>
      </c>
      <c r="LM59" s="141">
        <f t="shared" si="321"/>
        <v>0</v>
      </c>
      <c r="LN59" s="141">
        <f t="shared" si="321"/>
        <v>0</v>
      </c>
      <c r="LO59" s="141">
        <f t="shared" si="321"/>
        <v>0</v>
      </c>
      <c r="LP59" s="141">
        <f t="shared" si="321"/>
        <v>0</v>
      </c>
      <c r="LQ59" s="141">
        <f t="shared" si="321"/>
        <v>0</v>
      </c>
      <c r="LR59" s="141">
        <f t="shared" si="321"/>
        <v>0</v>
      </c>
      <c r="LS59" s="141">
        <f t="shared" si="321"/>
        <v>0</v>
      </c>
      <c r="LT59" s="141">
        <f t="shared" si="321"/>
        <v>0</v>
      </c>
      <c r="LU59" s="141">
        <f t="shared" si="321"/>
        <v>0</v>
      </c>
      <c r="LV59" s="141">
        <f t="shared" si="321"/>
        <v>0</v>
      </c>
      <c r="LW59" s="141">
        <f t="shared" si="321"/>
        <v>0</v>
      </c>
      <c r="LX59" s="141">
        <f t="shared" si="321"/>
        <v>0</v>
      </c>
      <c r="LY59" s="141">
        <f t="shared" ref="LY59:NW59" si="322">IF($H$63="Variable",ES63,$F$63)</f>
        <v>0</v>
      </c>
      <c r="LZ59" s="141">
        <f t="shared" si="322"/>
        <v>0</v>
      </c>
      <c r="MA59" s="141">
        <f t="shared" si="322"/>
        <v>0</v>
      </c>
      <c r="MB59" s="141">
        <f t="shared" si="322"/>
        <v>0</v>
      </c>
      <c r="MC59" s="141">
        <f t="shared" si="322"/>
        <v>0</v>
      </c>
      <c r="MD59" s="141">
        <f t="shared" si="322"/>
        <v>0</v>
      </c>
      <c r="ME59" s="141">
        <f t="shared" si="322"/>
        <v>0</v>
      </c>
      <c r="MF59" s="141">
        <f t="shared" si="322"/>
        <v>0</v>
      </c>
      <c r="MG59" s="141">
        <f t="shared" si="322"/>
        <v>0</v>
      </c>
      <c r="MH59" s="141">
        <f t="shared" si="322"/>
        <v>0</v>
      </c>
      <c r="MI59" s="141">
        <f t="shared" si="322"/>
        <v>0</v>
      </c>
      <c r="MJ59" s="141">
        <f t="shared" si="322"/>
        <v>0</v>
      </c>
      <c r="MK59" s="141">
        <f t="shared" si="322"/>
        <v>0</v>
      </c>
      <c r="ML59" s="141">
        <f t="shared" si="322"/>
        <v>0</v>
      </c>
      <c r="MM59" s="141">
        <f t="shared" si="322"/>
        <v>0</v>
      </c>
      <c r="MN59" s="141">
        <f t="shared" si="322"/>
        <v>0</v>
      </c>
      <c r="MO59" s="141">
        <f t="shared" si="322"/>
        <v>0</v>
      </c>
      <c r="MP59" s="141">
        <f t="shared" si="322"/>
        <v>0</v>
      </c>
      <c r="MQ59" s="141">
        <f t="shared" si="322"/>
        <v>0</v>
      </c>
      <c r="MR59" s="141">
        <f t="shared" si="322"/>
        <v>0</v>
      </c>
      <c r="MS59" s="141">
        <f t="shared" si="322"/>
        <v>0</v>
      </c>
      <c r="MT59" s="141">
        <f t="shared" si="322"/>
        <v>0</v>
      </c>
      <c r="MU59" s="141">
        <f t="shared" si="322"/>
        <v>0</v>
      </c>
      <c r="MV59" s="141">
        <f t="shared" si="322"/>
        <v>0</v>
      </c>
      <c r="MW59" s="141">
        <f t="shared" si="322"/>
        <v>0</v>
      </c>
      <c r="MX59" s="141">
        <f t="shared" si="322"/>
        <v>0</v>
      </c>
      <c r="MY59" s="141">
        <f t="shared" si="322"/>
        <v>0</v>
      </c>
      <c r="MZ59" s="141">
        <f t="shared" si="322"/>
        <v>0</v>
      </c>
      <c r="NA59" s="141">
        <f t="shared" si="322"/>
        <v>0</v>
      </c>
      <c r="NB59" s="141">
        <f t="shared" si="322"/>
        <v>0</v>
      </c>
      <c r="NC59" s="141">
        <f t="shared" si="322"/>
        <v>0</v>
      </c>
      <c r="ND59" s="141">
        <f t="shared" si="322"/>
        <v>0</v>
      </c>
      <c r="NE59" s="141">
        <f t="shared" si="322"/>
        <v>0</v>
      </c>
      <c r="NF59" s="141">
        <f t="shared" si="322"/>
        <v>0</v>
      </c>
      <c r="NG59" s="141">
        <f t="shared" si="322"/>
        <v>0</v>
      </c>
      <c r="NH59" s="141">
        <f t="shared" si="322"/>
        <v>0</v>
      </c>
      <c r="NI59" s="141">
        <f t="shared" si="322"/>
        <v>0</v>
      </c>
      <c r="NJ59" s="141">
        <f t="shared" si="322"/>
        <v>0</v>
      </c>
      <c r="NK59" s="141">
        <f t="shared" si="322"/>
        <v>0</v>
      </c>
      <c r="NL59" s="141">
        <f t="shared" si="322"/>
        <v>0</v>
      </c>
      <c r="NM59" s="141">
        <f t="shared" si="322"/>
        <v>0</v>
      </c>
      <c r="NN59" s="141">
        <f t="shared" si="322"/>
        <v>0</v>
      </c>
      <c r="NO59" s="141">
        <f t="shared" si="322"/>
        <v>0</v>
      </c>
      <c r="NP59" s="141">
        <f t="shared" si="322"/>
        <v>0</v>
      </c>
      <c r="NQ59" s="141">
        <f t="shared" si="322"/>
        <v>0</v>
      </c>
      <c r="NR59" s="141">
        <f t="shared" si="322"/>
        <v>0</v>
      </c>
      <c r="NS59" s="141">
        <f t="shared" si="322"/>
        <v>0</v>
      </c>
      <c r="NT59" s="141">
        <f t="shared" si="322"/>
        <v>0</v>
      </c>
      <c r="NU59" s="141">
        <f t="shared" si="322"/>
        <v>0</v>
      </c>
      <c r="NV59" s="141">
        <f t="shared" si="322"/>
        <v>0</v>
      </c>
      <c r="NW59" s="141">
        <f t="shared" si="322"/>
        <v>0</v>
      </c>
    </row>
    <row r="60" spans="2:387" x14ac:dyDescent="0.3">
      <c r="B60" s="18"/>
      <c r="C60" s="19"/>
      <c r="D60" s="19"/>
      <c r="E60" s="19"/>
      <c r="F60" s="19"/>
      <c r="G60" s="19"/>
      <c r="H60" s="19"/>
      <c r="I60" s="19"/>
      <c r="J60" s="23"/>
      <c r="K60" s="29"/>
      <c r="L60" s="23"/>
      <c r="GS60" s="80"/>
      <c r="GT60" s="77"/>
      <c r="GU60" s="77"/>
      <c r="GV60" s="77"/>
      <c r="GW60" s="77" t="s">
        <v>243</v>
      </c>
      <c r="GX60" s="77"/>
      <c r="GY60" s="77"/>
      <c r="GZ60" s="84">
        <f>IF(GZ57=0,(GZ58*$GV$55+GZ59*$GV$56),IFERROR(GZ58*(GZ55/GZ52),0)+IFERROR(GZ59*GZ56/GZ52,0))</f>
        <v>6.7058823529411768E-2</v>
      </c>
      <c r="HA60" s="84">
        <f t="shared" ref="HA60:JL60" si="323">IF(HA57=0,(HA58*$GV$55+HA59*$GV$56),IFERROR(HA58*(HA55/HA52),0)+IFERROR(HA59*HA56/HA52,0))</f>
        <v>6.7058823529411768E-2</v>
      </c>
      <c r="HB60" s="84">
        <f t="shared" si="323"/>
        <v>6.7058823529411768E-2</v>
      </c>
      <c r="HC60" s="84">
        <f t="shared" si="323"/>
        <v>6.7058823529411754E-2</v>
      </c>
      <c r="HD60" s="84">
        <f t="shared" si="323"/>
        <v>6.7058823529411768E-2</v>
      </c>
      <c r="HE60" s="84">
        <f t="shared" si="323"/>
        <v>6.7058823529411768E-2</v>
      </c>
      <c r="HF60" s="84">
        <f t="shared" si="323"/>
        <v>6.7058823529411768E-2</v>
      </c>
      <c r="HG60" s="84">
        <f t="shared" si="323"/>
        <v>6.7058823529411768E-2</v>
      </c>
      <c r="HH60" s="84">
        <f t="shared" si="323"/>
        <v>6.7058823529411768E-2</v>
      </c>
      <c r="HI60" s="84">
        <f t="shared" si="323"/>
        <v>6.7058823529411768E-2</v>
      </c>
      <c r="HJ60" s="84">
        <f t="shared" si="323"/>
        <v>6.7058823529411768E-2</v>
      </c>
      <c r="HK60" s="84">
        <f t="shared" si="323"/>
        <v>6.7058823529411768E-2</v>
      </c>
      <c r="HL60" s="84">
        <f t="shared" si="323"/>
        <v>6.7058823529411768E-2</v>
      </c>
      <c r="HM60" s="84">
        <f t="shared" si="323"/>
        <v>6.7058823529411768E-2</v>
      </c>
      <c r="HN60" s="84">
        <f t="shared" si="323"/>
        <v>6.7058823529411768E-2</v>
      </c>
      <c r="HO60" s="84">
        <f t="shared" si="323"/>
        <v>6.7058823529411768E-2</v>
      </c>
      <c r="HP60" s="84">
        <f t="shared" si="323"/>
        <v>6.7058823529411768E-2</v>
      </c>
      <c r="HQ60" s="84">
        <f t="shared" si="323"/>
        <v>6.7058823529411768E-2</v>
      </c>
      <c r="HR60" s="84">
        <f t="shared" si="323"/>
        <v>6.7058823529411768E-2</v>
      </c>
      <c r="HS60" s="84">
        <f t="shared" si="323"/>
        <v>6.7058823529411768E-2</v>
      </c>
      <c r="HT60" s="84">
        <f t="shared" si="323"/>
        <v>6.7058823529411768E-2</v>
      </c>
      <c r="HU60" s="84">
        <f t="shared" si="323"/>
        <v>6.7058823529411768E-2</v>
      </c>
      <c r="HV60" s="84">
        <f t="shared" si="323"/>
        <v>6.7058823529411768E-2</v>
      </c>
      <c r="HW60" s="84">
        <f t="shared" si="323"/>
        <v>6.7058823529411768E-2</v>
      </c>
      <c r="HX60" s="84">
        <f t="shared" si="323"/>
        <v>6.7058823529411768E-2</v>
      </c>
      <c r="HY60" s="84">
        <f t="shared" si="323"/>
        <v>6.7058823529411768E-2</v>
      </c>
      <c r="HZ60" s="84">
        <f t="shared" si="323"/>
        <v>6.7058823529411768E-2</v>
      </c>
      <c r="IA60" s="84">
        <f t="shared" si="323"/>
        <v>6.7058823529411768E-2</v>
      </c>
      <c r="IB60" s="84">
        <f t="shared" si="323"/>
        <v>6.7058823529411768E-2</v>
      </c>
      <c r="IC60" s="84">
        <f t="shared" si="323"/>
        <v>6.7058823529411768E-2</v>
      </c>
      <c r="ID60" s="84">
        <f t="shared" si="323"/>
        <v>6.7058823529411768E-2</v>
      </c>
      <c r="IE60" s="84">
        <f t="shared" si="323"/>
        <v>6.7058823529411768E-2</v>
      </c>
      <c r="IF60" s="84">
        <f t="shared" si="323"/>
        <v>6.7058823529411768E-2</v>
      </c>
      <c r="IG60" s="84">
        <f t="shared" si="323"/>
        <v>6.7058823529411768E-2</v>
      </c>
      <c r="IH60" s="84">
        <f t="shared" si="323"/>
        <v>6.7058823529411768E-2</v>
      </c>
      <c r="II60" s="84">
        <f t="shared" si="323"/>
        <v>6.7058823529411768E-2</v>
      </c>
      <c r="IJ60" s="84">
        <f t="shared" si="323"/>
        <v>6.7058823529411768E-2</v>
      </c>
      <c r="IK60" s="84">
        <f t="shared" si="323"/>
        <v>6.7058823529411768E-2</v>
      </c>
      <c r="IL60" s="84">
        <f t="shared" si="323"/>
        <v>6.7058823529411768E-2</v>
      </c>
      <c r="IM60" s="84">
        <f t="shared" si="323"/>
        <v>6.7058823529411768E-2</v>
      </c>
      <c r="IN60" s="84">
        <f t="shared" si="323"/>
        <v>6.7058823529411768E-2</v>
      </c>
      <c r="IO60" s="84">
        <f t="shared" si="323"/>
        <v>6.7058823529411768E-2</v>
      </c>
      <c r="IP60" s="84">
        <f t="shared" si="323"/>
        <v>6.7058823529411768E-2</v>
      </c>
      <c r="IQ60" s="84">
        <f t="shared" si="323"/>
        <v>6.7058823529411768E-2</v>
      </c>
      <c r="IR60" s="84">
        <f t="shared" si="323"/>
        <v>6.7058823529411768E-2</v>
      </c>
      <c r="IS60" s="84">
        <f t="shared" si="323"/>
        <v>6.7058823529411768E-2</v>
      </c>
      <c r="IT60" s="84">
        <f t="shared" si="323"/>
        <v>6.7058823529411768E-2</v>
      </c>
      <c r="IU60" s="84">
        <f t="shared" si="323"/>
        <v>6.7058823529411768E-2</v>
      </c>
      <c r="IV60" s="84">
        <f t="shared" si="323"/>
        <v>6.7058823529411768E-2</v>
      </c>
      <c r="IW60" s="84">
        <f t="shared" si="323"/>
        <v>6.7058823529411768E-2</v>
      </c>
      <c r="IX60" s="84">
        <f t="shared" si="323"/>
        <v>6.7058823529411768E-2</v>
      </c>
      <c r="IY60" s="84">
        <f t="shared" si="323"/>
        <v>6.7058823529411768E-2</v>
      </c>
      <c r="IZ60" s="84">
        <f t="shared" si="323"/>
        <v>6.7058823529411768E-2</v>
      </c>
      <c r="JA60" s="84">
        <f t="shared" si="323"/>
        <v>6.7058823529411768E-2</v>
      </c>
      <c r="JB60" s="84">
        <f t="shared" si="323"/>
        <v>6.7058823529411768E-2</v>
      </c>
      <c r="JC60" s="84">
        <f t="shared" si="323"/>
        <v>6.7058823529411768E-2</v>
      </c>
      <c r="JD60" s="84">
        <f t="shared" si="323"/>
        <v>6.7058823529411768E-2</v>
      </c>
      <c r="JE60" s="84">
        <f t="shared" si="323"/>
        <v>6.7058823529411768E-2</v>
      </c>
      <c r="JF60" s="84">
        <f t="shared" si="323"/>
        <v>6.7058823529411768E-2</v>
      </c>
      <c r="JG60" s="84">
        <f t="shared" si="323"/>
        <v>6.7058823529411768E-2</v>
      </c>
      <c r="JH60" s="84">
        <f t="shared" si="323"/>
        <v>6.7058823529411768E-2</v>
      </c>
      <c r="JI60" s="84">
        <f t="shared" si="323"/>
        <v>6.7058823529411768E-2</v>
      </c>
      <c r="JJ60" s="84">
        <f t="shared" si="323"/>
        <v>6.7058823529411768E-2</v>
      </c>
      <c r="JK60" s="84">
        <f t="shared" si="323"/>
        <v>6.7058823529411768E-2</v>
      </c>
      <c r="JL60" s="84">
        <f t="shared" si="323"/>
        <v>6.7058823529411768E-2</v>
      </c>
      <c r="JM60" s="84">
        <f t="shared" ref="JM60:LX60" si="324">IF(JM57=0,(JM58*$GV$55+JM59*$GV$56),IFERROR(JM58*(JM55/JM52),0)+IFERROR(JM59*JM56/JM52,0))</f>
        <v>6.7058823529411768E-2</v>
      </c>
      <c r="JN60" s="84">
        <f t="shared" si="324"/>
        <v>6.7058823529411768E-2</v>
      </c>
      <c r="JO60" s="84">
        <f t="shared" si="324"/>
        <v>6.7058823529411768E-2</v>
      </c>
      <c r="JP60" s="84">
        <f t="shared" si="324"/>
        <v>6.7058823529411768E-2</v>
      </c>
      <c r="JQ60" s="84">
        <f t="shared" si="324"/>
        <v>6.7058823529411768E-2</v>
      </c>
      <c r="JR60" s="84">
        <f t="shared" si="324"/>
        <v>6.7058823529411768E-2</v>
      </c>
      <c r="JS60" s="84">
        <f t="shared" si="324"/>
        <v>6.7058823529411768E-2</v>
      </c>
      <c r="JT60" s="84">
        <f t="shared" si="324"/>
        <v>6.7058823529411768E-2</v>
      </c>
      <c r="JU60" s="84">
        <f t="shared" si="324"/>
        <v>6.7058823529411768E-2</v>
      </c>
      <c r="JV60" s="84">
        <f t="shared" si="324"/>
        <v>6.7058823529411768E-2</v>
      </c>
      <c r="JW60" s="84">
        <f t="shared" si="324"/>
        <v>6.7058823529411768E-2</v>
      </c>
      <c r="JX60" s="84">
        <f t="shared" si="324"/>
        <v>6.7058823529411768E-2</v>
      </c>
      <c r="JY60" s="84">
        <f t="shared" si="324"/>
        <v>6.7058823529411768E-2</v>
      </c>
      <c r="JZ60" s="84">
        <f t="shared" si="324"/>
        <v>6.7058823529411768E-2</v>
      </c>
      <c r="KA60" s="84">
        <f t="shared" si="324"/>
        <v>6.7058823529411768E-2</v>
      </c>
      <c r="KB60" s="84">
        <f t="shared" si="324"/>
        <v>6.7058823529411768E-2</v>
      </c>
      <c r="KC60" s="84">
        <f t="shared" si="324"/>
        <v>6.7058823529411768E-2</v>
      </c>
      <c r="KD60" s="84">
        <f t="shared" si="324"/>
        <v>6.7058823529411768E-2</v>
      </c>
      <c r="KE60" s="84">
        <f t="shared" si="324"/>
        <v>6.7058823529411768E-2</v>
      </c>
      <c r="KF60" s="84">
        <f t="shared" si="324"/>
        <v>6.7058823529411768E-2</v>
      </c>
      <c r="KG60" s="84">
        <f t="shared" si="324"/>
        <v>6.7058823529411768E-2</v>
      </c>
      <c r="KH60" s="84">
        <f t="shared" si="324"/>
        <v>6.7058823529411768E-2</v>
      </c>
      <c r="KI60" s="84">
        <f t="shared" si="324"/>
        <v>6.7058823529411768E-2</v>
      </c>
      <c r="KJ60" s="84">
        <f t="shared" si="324"/>
        <v>6.7058823529411768E-2</v>
      </c>
      <c r="KK60" s="84">
        <f t="shared" si="324"/>
        <v>6.7058823529411768E-2</v>
      </c>
      <c r="KL60" s="84">
        <f t="shared" si="324"/>
        <v>6.7058823529411768E-2</v>
      </c>
      <c r="KM60" s="84">
        <f t="shared" si="324"/>
        <v>6.7058823529411768E-2</v>
      </c>
      <c r="KN60" s="84">
        <f t="shared" si="324"/>
        <v>6.7058823529411768E-2</v>
      </c>
      <c r="KO60" s="84">
        <f t="shared" si="324"/>
        <v>6.7058823529411768E-2</v>
      </c>
      <c r="KP60" s="84">
        <f t="shared" si="324"/>
        <v>6.7058823529411768E-2</v>
      </c>
      <c r="KQ60" s="84">
        <f t="shared" si="324"/>
        <v>6.7058823529411768E-2</v>
      </c>
      <c r="KR60" s="84">
        <f t="shared" si="324"/>
        <v>6.7058823529411768E-2</v>
      </c>
      <c r="KS60" s="84">
        <f t="shared" si="324"/>
        <v>6.7058823529411768E-2</v>
      </c>
      <c r="KT60" s="84">
        <f t="shared" si="324"/>
        <v>6.7058823529411768E-2</v>
      </c>
      <c r="KU60" s="84">
        <f t="shared" si="324"/>
        <v>6.7058823529411768E-2</v>
      </c>
      <c r="KV60" s="84">
        <f t="shared" si="324"/>
        <v>6.7058823529411768E-2</v>
      </c>
      <c r="KW60" s="84">
        <f t="shared" si="324"/>
        <v>6.7058823529411768E-2</v>
      </c>
      <c r="KX60" s="84">
        <f t="shared" si="324"/>
        <v>6.7058823529411768E-2</v>
      </c>
      <c r="KY60" s="84">
        <f t="shared" si="324"/>
        <v>6.7058823529411768E-2</v>
      </c>
      <c r="KZ60" s="84">
        <f t="shared" si="324"/>
        <v>6.7058823529411768E-2</v>
      </c>
      <c r="LA60" s="84">
        <f t="shared" si="324"/>
        <v>6.7058823529411768E-2</v>
      </c>
      <c r="LB60" s="84">
        <f t="shared" si="324"/>
        <v>6.7058823529411768E-2</v>
      </c>
      <c r="LC60" s="84">
        <f t="shared" si="324"/>
        <v>6.7058823529411768E-2</v>
      </c>
      <c r="LD60" s="84">
        <f t="shared" si="324"/>
        <v>6.7058823529411768E-2</v>
      </c>
      <c r="LE60" s="84">
        <f t="shared" si="324"/>
        <v>6.7058823529411768E-2</v>
      </c>
      <c r="LF60" s="84">
        <f t="shared" si="324"/>
        <v>6.7058823529411768E-2</v>
      </c>
      <c r="LG60" s="84">
        <f t="shared" si="324"/>
        <v>6.7058823529411768E-2</v>
      </c>
      <c r="LH60" s="84">
        <f t="shared" si="324"/>
        <v>6.7058823529411768E-2</v>
      </c>
      <c r="LI60" s="84">
        <f t="shared" si="324"/>
        <v>6.7058823529411768E-2</v>
      </c>
      <c r="LJ60" s="84">
        <f t="shared" si="324"/>
        <v>6.7058823529411768E-2</v>
      </c>
      <c r="LK60" s="84">
        <f t="shared" si="324"/>
        <v>6.7058823529411768E-2</v>
      </c>
      <c r="LL60" s="84">
        <f t="shared" si="324"/>
        <v>6.7058823529411768E-2</v>
      </c>
      <c r="LM60" s="84">
        <f t="shared" si="324"/>
        <v>6.7058823529411768E-2</v>
      </c>
      <c r="LN60" s="84">
        <f t="shared" si="324"/>
        <v>6.7058823529411768E-2</v>
      </c>
      <c r="LO60" s="84">
        <f t="shared" si="324"/>
        <v>6.7058823529411768E-2</v>
      </c>
      <c r="LP60" s="84">
        <f t="shared" si="324"/>
        <v>6.7058823529411768E-2</v>
      </c>
      <c r="LQ60" s="84">
        <f t="shared" si="324"/>
        <v>6.7058823529411768E-2</v>
      </c>
      <c r="LR60" s="84">
        <f t="shared" si="324"/>
        <v>6.7058823529411768E-2</v>
      </c>
      <c r="LS60" s="84">
        <f t="shared" si="324"/>
        <v>6.7058823529411768E-2</v>
      </c>
      <c r="LT60" s="84">
        <f t="shared" si="324"/>
        <v>6.7058823529411768E-2</v>
      </c>
      <c r="LU60" s="84">
        <f t="shared" si="324"/>
        <v>6.7058823529411768E-2</v>
      </c>
      <c r="LV60" s="84">
        <f t="shared" si="324"/>
        <v>6.7058823529411768E-2</v>
      </c>
      <c r="LW60" s="84">
        <f t="shared" si="324"/>
        <v>6.7058823529411768E-2</v>
      </c>
      <c r="LX60" s="84">
        <f t="shared" si="324"/>
        <v>6.7058823529411768E-2</v>
      </c>
      <c r="LY60" s="84">
        <f t="shared" ref="LY60:NW60" si="325">IF(LY57=0,(LY58*$GV$55+LY59*$GV$56),IFERROR(LY58*(LY55/LY52),0)+IFERROR(LY59*LY56/LY52,0))</f>
        <v>6.7058823529411768E-2</v>
      </c>
      <c r="LZ60" s="84">
        <f t="shared" si="325"/>
        <v>6.7058823529411768E-2</v>
      </c>
      <c r="MA60" s="84">
        <f t="shared" si="325"/>
        <v>6.7058823529411768E-2</v>
      </c>
      <c r="MB60" s="84">
        <f t="shared" si="325"/>
        <v>6.7058823529411768E-2</v>
      </c>
      <c r="MC60" s="84">
        <f t="shared" si="325"/>
        <v>6.7058823529411768E-2</v>
      </c>
      <c r="MD60" s="84">
        <f t="shared" si="325"/>
        <v>6.7058823529411768E-2</v>
      </c>
      <c r="ME60" s="84">
        <f t="shared" si="325"/>
        <v>6.7058823529411768E-2</v>
      </c>
      <c r="MF60" s="84">
        <f t="shared" si="325"/>
        <v>6.7058823529411768E-2</v>
      </c>
      <c r="MG60" s="84">
        <f t="shared" si="325"/>
        <v>6.7058823529411768E-2</v>
      </c>
      <c r="MH60" s="84">
        <f t="shared" si="325"/>
        <v>6.7058823529411768E-2</v>
      </c>
      <c r="MI60" s="84">
        <f t="shared" si="325"/>
        <v>6.7058823529411768E-2</v>
      </c>
      <c r="MJ60" s="84">
        <f t="shared" si="325"/>
        <v>6.7058823529411768E-2</v>
      </c>
      <c r="MK60" s="84">
        <f t="shared" si="325"/>
        <v>6.7058823529411768E-2</v>
      </c>
      <c r="ML60" s="84">
        <f t="shared" si="325"/>
        <v>6.7058823529411768E-2</v>
      </c>
      <c r="MM60" s="84">
        <f t="shared" si="325"/>
        <v>6.7058823529411768E-2</v>
      </c>
      <c r="MN60" s="84">
        <f t="shared" si="325"/>
        <v>6.7058823529411768E-2</v>
      </c>
      <c r="MO60" s="84">
        <f t="shared" si="325"/>
        <v>6.7058823529411768E-2</v>
      </c>
      <c r="MP60" s="84">
        <f t="shared" si="325"/>
        <v>6.7058823529411768E-2</v>
      </c>
      <c r="MQ60" s="84">
        <f t="shared" si="325"/>
        <v>6.7058823529411768E-2</v>
      </c>
      <c r="MR60" s="84">
        <f t="shared" si="325"/>
        <v>6.7058823529411768E-2</v>
      </c>
      <c r="MS60" s="84">
        <f t="shared" si="325"/>
        <v>6.7058823529411768E-2</v>
      </c>
      <c r="MT60" s="84">
        <f t="shared" si="325"/>
        <v>6.7058823529411768E-2</v>
      </c>
      <c r="MU60" s="84">
        <f t="shared" si="325"/>
        <v>6.7058823529411768E-2</v>
      </c>
      <c r="MV60" s="84">
        <f t="shared" si="325"/>
        <v>6.7058823529411768E-2</v>
      </c>
      <c r="MW60" s="84">
        <f t="shared" si="325"/>
        <v>6.7058823529411768E-2</v>
      </c>
      <c r="MX60" s="84">
        <f t="shared" si="325"/>
        <v>6.7058823529411768E-2</v>
      </c>
      <c r="MY60" s="84">
        <f t="shared" si="325"/>
        <v>6.7058823529411768E-2</v>
      </c>
      <c r="MZ60" s="84">
        <f t="shared" si="325"/>
        <v>6.7058823529411768E-2</v>
      </c>
      <c r="NA60" s="84">
        <f t="shared" si="325"/>
        <v>6.7058823529411768E-2</v>
      </c>
      <c r="NB60" s="84">
        <f t="shared" si="325"/>
        <v>6.7058823529411768E-2</v>
      </c>
      <c r="NC60" s="84">
        <f t="shared" si="325"/>
        <v>6.7058823529411768E-2</v>
      </c>
      <c r="ND60" s="84">
        <f t="shared" si="325"/>
        <v>6.7058823529411768E-2</v>
      </c>
      <c r="NE60" s="84">
        <f t="shared" si="325"/>
        <v>6.7058823529411768E-2</v>
      </c>
      <c r="NF60" s="84">
        <f t="shared" si="325"/>
        <v>6.7058823529411768E-2</v>
      </c>
      <c r="NG60" s="84">
        <f t="shared" si="325"/>
        <v>6.7058823529411768E-2</v>
      </c>
      <c r="NH60" s="84">
        <f t="shared" si="325"/>
        <v>6.7058823529411768E-2</v>
      </c>
      <c r="NI60" s="84">
        <f t="shared" si="325"/>
        <v>6.7058823529411768E-2</v>
      </c>
      <c r="NJ60" s="84">
        <f t="shared" si="325"/>
        <v>6.7058823529411768E-2</v>
      </c>
      <c r="NK60" s="84">
        <f t="shared" si="325"/>
        <v>6.7058823529411768E-2</v>
      </c>
      <c r="NL60" s="84">
        <f t="shared" si="325"/>
        <v>6.7058823529411768E-2</v>
      </c>
      <c r="NM60" s="84">
        <f t="shared" si="325"/>
        <v>6.7058823529411768E-2</v>
      </c>
      <c r="NN60" s="84">
        <f t="shared" si="325"/>
        <v>6.7058823529411768E-2</v>
      </c>
      <c r="NO60" s="84">
        <f t="shared" si="325"/>
        <v>6.7058823529411768E-2</v>
      </c>
      <c r="NP60" s="84">
        <f t="shared" si="325"/>
        <v>6.7058823529411768E-2</v>
      </c>
      <c r="NQ60" s="84">
        <f t="shared" si="325"/>
        <v>6.7058823529411768E-2</v>
      </c>
      <c r="NR60" s="84">
        <f t="shared" si="325"/>
        <v>6.7058823529411768E-2</v>
      </c>
      <c r="NS60" s="84">
        <f t="shared" si="325"/>
        <v>6.7058823529411768E-2</v>
      </c>
      <c r="NT60" s="84">
        <f t="shared" si="325"/>
        <v>6.7058823529411768E-2</v>
      </c>
      <c r="NU60" s="84">
        <f t="shared" si="325"/>
        <v>6.7058823529411768E-2</v>
      </c>
      <c r="NV60" s="84">
        <f t="shared" si="325"/>
        <v>6.7058823529411768E-2</v>
      </c>
      <c r="NW60" s="84">
        <f t="shared" si="325"/>
        <v>6.7058823529411768E-2</v>
      </c>
    </row>
    <row r="61" spans="2:387" x14ac:dyDescent="0.3">
      <c r="B61" s="24" t="s">
        <v>244</v>
      </c>
      <c r="C61" s="19"/>
      <c r="D61" s="25" t="s">
        <v>245</v>
      </c>
      <c r="E61" s="25" t="s">
        <v>237</v>
      </c>
      <c r="F61" s="19"/>
      <c r="G61" s="19"/>
      <c r="H61" s="25" t="s">
        <v>246</v>
      </c>
      <c r="I61" s="23"/>
      <c r="J61" s="25" t="str">
        <f>"/"&amp;Summary!$O$8</f>
        <v>/Lot</v>
      </c>
      <c r="K61" s="25" t="str" cm="1">
        <f t="array" ref="K61">"/"&amp;Unit_Type</f>
        <v>/SF</v>
      </c>
      <c r="L61" s="25" t="s">
        <v>190</v>
      </c>
      <c r="GS61" s="80"/>
      <c r="GT61" s="77"/>
      <c r="GU61" s="77"/>
      <c r="GV61" s="77"/>
      <c r="GW61" s="77" t="s">
        <v>247</v>
      </c>
      <c r="GX61" s="89">
        <f>MAX(GY61:NW61)</f>
        <v>31</v>
      </c>
      <c r="GY61" s="78"/>
      <c r="GZ61" s="78" t="str">
        <f>IF(AND(SUM($GZ53:GZ53)=$GX$53,GZ53&gt;0),GZ37,"")</f>
        <v/>
      </c>
      <c r="HA61" s="78" t="str">
        <f>IF(AND(SUM($GZ53:HA53)=$GX$53,HA53&gt;0),HA37,"")</f>
        <v/>
      </c>
      <c r="HB61" s="78" t="str">
        <f>IF(AND(SUM($GZ53:HB53)=$GX$53,HB53&gt;0),HB37,"")</f>
        <v/>
      </c>
      <c r="HC61" s="78" t="str">
        <f>IF(AND(SUM($GZ53:HC53)=$GX$53,HC53&gt;0),HC37,"")</f>
        <v/>
      </c>
      <c r="HD61" s="78" t="str">
        <f>IF(AND(SUM($GZ53:HD53)=$GX$53,HD53&gt;0),HD37,"")</f>
        <v/>
      </c>
      <c r="HE61" s="78" t="str">
        <f>IF(AND(SUM($GZ53:HE53)=$GX$53,HE53&gt;0),HE37,"")</f>
        <v/>
      </c>
      <c r="HF61" s="78" t="str">
        <f>IF(AND(SUM($GZ53:HF53)=$GX$53,HF53&gt;0),HF37,"")</f>
        <v/>
      </c>
      <c r="HG61" s="78" t="str">
        <f>IF(AND(SUM($GZ53:HG53)=$GX$53,HG53&gt;0),HG37,"")</f>
        <v/>
      </c>
      <c r="HH61" s="78" t="str">
        <f>IF(AND(SUM($GZ53:HH53)=$GX$53,HH53&gt;0),HH37,"")</f>
        <v/>
      </c>
      <c r="HI61" s="78" t="str">
        <f>IF(AND(SUM($GZ53:HI53)=$GX$53,HI53&gt;0),HI37,"")</f>
        <v/>
      </c>
      <c r="HJ61" s="78" t="str">
        <f>IF(AND(SUM($GZ53:HJ53)=$GX$53,HJ53&gt;0),HJ37,"")</f>
        <v/>
      </c>
      <c r="HK61" s="78" t="str">
        <f>IF(AND(SUM($GZ53:HK53)=$GX$53,HK53&gt;0),HK37,"")</f>
        <v/>
      </c>
      <c r="HL61" s="78" t="str">
        <f>IF(AND(SUM($GZ53:HL53)=$GX$53,HL53&gt;0),HL37,"")</f>
        <v/>
      </c>
      <c r="HM61" s="78" t="str">
        <f>IF(AND(SUM($GZ53:HM53)=$GX$53,HM53&gt;0),HM37,"")</f>
        <v/>
      </c>
      <c r="HN61" s="78" t="str">
        <f>IF(AND(SUM($GZ53:HN53)=$GX$53,HN53&gt;0),HN37,"")</f>
        <v/>
      </c>
      <c r="HO61" s="78" t="str">
        <f>IF(AND(SUM($GZ53:HO53)=$GX$53,HO53&gt;0),HO37,"")</f>
        <v/>
      </c>
      <c r="HP61" s="78" t="str">
        <f>IF(AND(SUM($GZ53:HP53)=$GX$53,HP53&gt;0),HP37,"")</f>
        <v/>
      </c>
      <c r="HQ61" s="78" t="str">
        <f>IF(AND(SUM($GZ53:HQ53)=$GX$53,HQ53&gt;0),HQ37,"")</f>
        <v/>
      </c>
      <c r="HR61" s="78" t="str">
        <f>IF(AND(SUM($GZ53:HR53)=$GX$53,HR53&gt;0),HR37,"")</f>
        <v/>
      </c>
      <c r="HS61" s="78" t="str">
        <f>IF(AND(SUM($GZ53:HS53)=$GX$53,HS53&gt;0),HS37,"")</f>
        <v/>
      </c>
      <c r="HT61" s="78" t="str">
        <f>IF(AND(SUM($GZ53:HT53)=$GX$53,HT53&gt;0),HT37,"")</f>
        <v/>
      </c>
      <c r="HU61" s="78" t="str">
        <f>IF(AND(SUM($GZ53:HU53)=$GX$53,HU53&gt;0),HU37,"")</f>
        <v/>
      </c>
      <c r="HV61" s="78" t="str">
        <f>IF(AND(SUM($GZ53:HV53)=$GX$53,HV53&gt;0),HV37,"")</f>
        <v/>
      </c>
      <c r="HW61" s="78" t="str">
        <f>IF(AND(SUM($GZ53:HW53)=$GX$53,HW53&gt;0),HW37,"")</f>
        <v/>
      </c>
      <c r="HX61" s="78" t="str">
        <f>IF(AND(SUM($GZ53:HX53)=$GX$53,HX53&gt;0),HX37,"")</f>
        <v/>
      </c>
      <c r="HY61" s="78" t="str">
        <f>IF(AND(SUM($GZ53:HY53)=$GX$53,HY53&gt;0),HY37,"")</f>
        <v/>
      </c>
      <c r="HZ61" s="78" t="str">
        <f>IF(AND(SUM($GZ53:HZ53)=$GX$53,HZ53&gt;0),HZ37,"")</f>
        <v/>
      </c>
      <c r="IA61" s="78" t="str">
        <f>IF(AND(SUM($GZ53:IA53)=$GX$53,IA53&gt;0),IA37,"")</f>
        <v/>
      </c>
      <c r="IB61" s="78" t="str">
        <f>IF(AND(SUM($GZ53:IB53)=$GX$53,IB53&gt;0),IB37,"")</f>
        <v/>
      </c>
      <c r="IC61" s="78" t="str">
        <f>IF(AND(SUM($GZ53:IC53)=$GX$53,IC53&gt;0),IC37,"")</f>
        <v/>
      </c>
      <c r="ID61" s="78">
        <f>IF(AND(SUM($GZ53:ID53)=$GX$53,ID53&gt;0),ID37,"")</f>
        <v>31</v>
      </c>
      <c r="IE61" s="78" t="str">
        <f>IF(AND(SUM($GZ53:IE53)=$GX$53,IE53&gt;0),IE37,"")</f>
        <v/>
      </c>
      <c r="IF61" s="78" t="str">
        <f>IF(AND(SUM($GZ53:IF53)=$GX$53,IF53&gt;0),IF37,"")</f>
        <v/>
      </c>
      <c r="IG61" s="78" t="str">
        <f>IF(AND(SUM($GZ53:IG53)=$GX$53,IG53&gt;0),IG37,"")</f>
        <v/>
      </c>
      <c r="IH61" s="78" t="str">
        <f>IF(AND(SUM($GZ53:IH53)=$GX$53,IH53&gt;0),IH37,"")</f>
        <v/>
      </c>
      <c r="II61" s="78" t="str">
        <f>IF(AND(SUM($GZ53:II53)=$GX$53,II53&gt;0),II37,"")</f>
        <v/>
      </c>
      <c r="IJ61" s="78" t="str">
        <f>IF(AND(SUM($GZ53:IJ53)=$GX$53,IJ53&gt;0),IJ37,"")</f>
        <v/>
      </c>
      <c r="IK61" s="78" t="str">
        <f>IF(AND(SUM($GZ53:IK53)=$GX$53,IK53&gt;0),IK37,"")</f>
        <v/>
      </c>
      <c r="IL61" s="78" t="str">
        <f>IF(AND(SUM($GZ53:IL53)=$GX$53,IL53&gt;0),IL37,"")</f>
        <v/>
      </c>
      <c r="IM61" s="78" t="str">
        <f>IF(AND(SUM($GZ53:IM53)=$GX$53,IM53&gt;0),IM37,"")</f>
        <v/>
      </c>
      <c r="IN61" s="78" t="str">
        <f>IF(AND(SUM($GZ53:IN53)=$GX$53,IN53&gt;0),IN37,"")</f>
        <v/>
      </c>
      <c r="IO61" s="78" t="str">
        <f>IF(AND(SUM($GZ53:IO53)=$GX$53,IO53&gt;0),IO37,"")</f>
        <v/>
      </c>
      <c r="IP61" s="78" t="str">
        <f>IF(AND(SUM($GZ53:IP53)=$GX$53,IP53&gt;0),IP37,"")</f>
        <v/>
      </c>
      <c r="IQ61" s="78" t="str">
        <f>IF(AND(SUM($GZ53:IQ53)=$GX$53,IQ53&gt;0),IQ37,"")</f>
        <v/>
      </c>
      <c r="IR61" s="78" t="str">
        <f>IF(AND(SUM($GZ53:IR53)=$GX$53,IR53&gt;0),IR37,"")</f>
        <v/>
      </c>
      <c r="IS61" s="78" t="str">
        <f>IF(AND(SUM($GZ53:IS53)=$GX$53,IS53&gt;0),IS37,"")</f>
        <v/>
      </c>
      <c r="IT61" s="78" t="str">
        <f>IF(AND(SUM($GZ53:IT53)=$GX$53,IT53&gt;0),IT37,"")</f>
        <v/>
      </c>
      <c r="IU61" s="78" t="str">
        <f>IF(AND(SUM($GZ53:IU53)=$GX$53,IU53&gt;0),IU37,"")</f>
        <v/>
      </c>
      <c r="IV61" s="78" t="str">
        <f>IF(AND(SUM($GZ53:IV53)=$GX$53,IV53&gt;0),IV37,"")</f>
        <v/>
      </c>
      <c r="IW61" s="78" t="str">
        <f>IF(AND(SUM($GZ53:IW53)=$GX$53,IW53&gt;0),IW37,"")</f>
        <v/>
      </c>
      <c r="IX61" s="78" t="str">
        <f>IF(AND(SUM($GZ53:IX53)=$GX$53,IX53&gt;0),IX37,"")</f>
        <v/>
      </c>
      <c r="IY61" s="78" t="str">
        <f>IF(AND(SUM($GZ53:IY53)=$GX$53,IY53&gt;0),IY37,"")</f>
        <v/>
      </c>
      <c r="IZ61" s="78" t="str">
        <f>IF(AND(SUM($GZ53:IZ53)=$GX$53,IZ53&gt;0),IZ37,"")</f>
        <v/>
      </c>
      <c r="JA61" s="78" t="str">
        <f>IF(AND(SUM($GZ53:JA53)=$GX$53,JA53&gt;0),JA37,"")</f>
        <v/>
      </c>
      <c r="JB61" s="78" t="str">
        <f>IF(AND(SUM($GZ53:JB53)=$GX$53,JB53&gt;0),JB37,"")</f>
        <v/>
      </c>
      <c r="JC61" s="78" t="str">
        <f>IF(AND(SUM($GZ53:JC53)=$GX$53,JC53&gt;0),JC37,"")</f>
        <v/>
      </c>
      <c r="JD61" s="78" t="str">
        <f>IF(AND(SUM($GZ53:JD53)=$GX$53,JD53&gt;0),JD37,"")</f>
        <v/>
      </c>
      <c r="JE61" s="78" t="str">
        <f>IF(AND(SUM($GZ53:JE53)=$GX$53,JE53&gt;0),JE37,"")</f>
        <v/>
      </c>
      <c r="JF61" s="78" t="str">
        <f>IF(AND(SUM($GZ53:JF53)=$GX$53,JF53&gt;0),JF37,"")</f>
        <v/>
      </c>
      <c r="JG61" s="78" t="str">
        <f>IF(AND(SUM($GZ53:JG53)=$GX$53,JG53&gt;0),JG37,"")</f>
        <v/>
      </c>
      <c r="JH61" s="78" t="str">
        <f>IF(AND(SUM($GZ53:JH53)=$GX$53,JH53&gt;0),JH37,"")</f>
        <v/>
      </c>
      <c r="JI61" s="78" t="str">
        <f>IF(AND(SUM($GZ53:JI53)=$GX$53,JI53&gt;0),JI37,"")</f>
        <v/>
      </c>
      <c r="JJ61" s="78" t="str">
        <f>IF(AND(SUM($GZ53:JJ53)=$GX$53,JJ53&gt;0),JJ37,"")</f>
        <v/>
      </c>
      <c r="JK61" s="78" t="str">
        <f>IF(AND(SUM($GZ53:JK53)=$GX$53,JK53&gt;0),JK37,"")</f>
        <v/>
      </c>
      <c r="JL61" s="78" t="str">
        <f>IF(AND(SUM($GZ53:JL53)=$GX$53,JL53&gt;0),JL37,"")</f>
        <v/>
      </c>
      <c r="JM61" s="78" t="str">
        <f>IF(AND(SUM($GZ53:JM53)=$GX$53,JM53&gt;0),JM37,"")</f>
        <v/>
      </c>
      <c r="JN61" s="78" t="str">
        <f>IF(AND(SUM($GZ53:JN53)=$GX$53,JN53&gt;0),JN37,"")</f>
        <v/>
      </c>
      <c r="JO61" s="78" t="str">
        <f>IF(AND(SUM($GZ53:JO53)=$GX$53,JO53&gt;0),JO37,"")</f>
        <v/>
      </c>
      <c r="JP61" s="78" t="str">
        <f>IF(AND(SUM($GZ53:JP53)=$GX$53,JP53&gt;0),JP37,"")</f>
        <v/>
      </c>
      <c r="JQ61" s="78" t="str">
        <f>IF(AND(SUM($GZ53:JQ53)=$GX$53,JQ53&gt;0),JQ37,"")</f>
        <v/>
      </c>
      <c r="JR61" s="78" t="str">
        <f>IF(AND(SUM($GZ53:JR53)=$GX$53,JR53&gt;0),JR37,"")</f>
        <v/>
      </c>
      <c r="JS61" s="78" t="str">
        <f>IF(AND(SUM($GZ53:JS53)=$GX$53,JS53&gt;0),JS37,"")</f>
        <v/>
      </c>
      <c r="JT61" s="78" t="str">
        <f>IF(AND(SUM($GZ53:JT53)=$GX$53,JT53&gt;0),JT37,"")</f>
        <v/>
      </c>
      <c r="JU61" s="78" t="str">
        <f>IF(AND(SUM($GZ53:JU53)=$GX$53,JU53&gt;0),JU37,"")</f>
        <v/>
      </c>
      <c r="JV61" s="78" t="str">
        <f>IF(AND(SUM($GZ53:JV53)=$GX$53,JV53&gt;0),JV37,"")</f>
        <v/>
      </c>
      <c r="JW61" s="78" t="str">
        <f>IF(AND(SUM($GZ53:JW53)=$GX$53,JW53&gt;0),JW37,"")</f>
        <v/>
      </c>
      <c r="JX61" s="78" t="str">
        <f>IF(AND(SUM($GZ53:JX53)=$GX$53,JX53&gt;0),JX37,"")</f>
        <v/>
      </c>
      <c r="JY61" s="78" t="str">
        <f>IF(AND(SUM($GZ53:JY53)=$GX$53,JY53&gt;0),JY37,"")</f>
        <v/>
      </c>
      <c r="JZ61" s="78" t="str">
        <f>IF(AND(SUM($GZ53:JZ53)=$GX$53,JZ53&gt;0),JZ37,"")</f>
        <v/>
      </c>
      <c r="KA61" s="78" t="str">
        <f>IF(AND(SUM($GZ53:KA53)=$GX$53,KA53&gt;0),KA37,"")</f>
        <v/>
      </c>
      <c r="KB61" s="78" t="str">
        <f>IF(AND(SUM($GZ53:KB53)=$GX$53,KB53&gt;0),KB37,"")</f>
        <v/>
      </c>
      <c r="KC61" s="78" t="str">
        <f>IF(AND(SUM($GZ53:KC53)=$GX$53,KC53&gt;0),KC37,"")</f>
        <v/>
      </c>
      <c r="KD61" s="78" t="str">
        <f>IF(AND(SUM($GZ53:KD53)=$GX$53,KD53&gt;0),KD37,"")</f>
        <v/>
      </c>
      <c r="KE61" s="78" t="str">
        <f>IF(AND(SUM($GZ53:KE53)=$GX$53,KE53&gt;0),KE37,"")</f>
        <v/>
      </c>
      <c r="KF61" s="78" t="str">
        <f>IF(AND(SUM($GZ53:KF53)=$GX$53,KF53&gt;0),KF37,"")</f>
        <v/>
      </c>
      <c r="KG61" s="78" t="str">
        <f>IF(AND(SUM($GZ53:KG53)=$GX$53,KG53&gt;0),KG37,"")</f>
        <v/>
      </c>
      <c r="KH61" s="78" t="str">
        <f>IF(AND(SUM($GZ53:KH53)=$GX$53,KH53&gt;0),KH37,"")</f>
        <v/>
      </c>
      <c r="KI61" s="78" t="str">
        <f>IF(AND(SUM($GZ53:KI53)=$GX$53,KI53&gt;0),KI37,"")</f>
        <v/>
      </c>
      <c r="KJ61" s="78" t="str">
        <f>IF(AND(SUM($GZ53:KJ53)=$GX$53,KJ53&gt;0),KJ37,"")</f>
        <v/>
      </c>
      <c r="KK61" s="78" t="str">
        <f>IF(AND(SUM($GZ53:KK53)=$GX$53,KK53&gt;0),KK37,"")</f>
        <v/>
      </c>
      <c r="KL61" s="78" t="str">
        <f>IF(AND(SUM($GZ53:KL53)=$GX$53,KL53&gt;0),KL37,"")</f>
        <v/>
      </c>
      <c r="KM61" s="78" t="str">
        <f>IF(AND(SUM($GZ53:KM53)=$GX$53,KM53&gt;0),KM37,"")</f>
        <v/>
      </c>
      <c r="KN61" s="78" t="str">
        <f>IF(AND(SUM($GZ53:KN53)=$GX$53,KN53&gt;0),KN37,"")</f>
        <v/>
      </c>
      <c r="KO61" s="78" t="str">
        <f>IF(AND(SUM($GZ53:KO53)=$GX$53,KO53&gt;0),KO37,"")</f>
        <v/>
      </c>
      <c r="KP61" s="78" t="str">
        <f>IF(AND(SUM($GZ53:KP53)=$GX$53,KP53&gt;0),KP37,"")</f>
        <v/>
      </c>
      <c r="KQ61" s="78" t="str">
        <f>IF(AND(SUM($GZ53:KQ53)=$GX$53,KQ53&gt;0),KQ37,"")</f>
        <v/>
      </c>
      <c r="KR61" s="78" t="str">
        <f>IF(AND(SUM($GZ53:KR53)=$GX$53,KR53&gt;0),KR37,"")</f>
        <v/>
      </c>
      <c r="KS61" s="78" t="str">
        <f>IF(AND(SUM($GZ53:KS53)=$GX$53,KS53&gt;0),KS37,"")</f>
        <v/>
      </c>
      <c r="KT61" s="78" t="str">
        <f>IF(AND(SUM($GZ53:KT53)=$GX$53,KT53&gt;0),KT37,"")</f>
        <v/>
      </c>
      <c r="KU61" s="78" t="str">
        <f>IF(AND(SUM($GZ53:KU53)=$GX$53,KU53&gt;0),KU37,"")</f>
        <v/>
      </c>
      <c r="KV61" s="78" t="str">
        <f>IF(AND(SUM($GZ53:KV53)=$GX$53,KV53&gt;0),KV37,"")</f>
        <v/>
      </c>
      <c r="KW61" s="78" t="str">
        <f>IF(AND(SUM($GZ53:KW53)=$GX$53,KW53&gt;0),KW37,"")</f>
        <v/>
      </c>
      <c r="KX61" s="78" t="str">
        <f>IF(AND(SUM($GZ53:KX53)=$GX$53,KX53&gt;0),KX37,"")</f>
        <v/>
      </c>
      <c r="KY61" s="78" t="str">
        <f>IF(AND(SUM($GZ53:KY53)=$GX$53,KY53&gt;0),KY37,"")</f>
        <v/>
      </c>
      <c r="KZ61" s="78" t="str">
        <f>IF(AND(SUM($GZ53:KZ53)=$GX$53,KZ53&gt;0),KZ37,"")</f>
        <v/>
      </c>
      <c r="LA61" s="78" t="str">
        <f>IF(AND(SUM($GZ53:LA53)=$GX$53,LA53&gt;0),LA37,"")</f>
        <v/>
      </c>
      <c r="LB61" s="78" t="str">
        <f>IF(AND(SUM($GZ53:LB53)=$GX$53,LB53&gt;0),LB37,"")</f>
        <v/>
      </c>
      <c r="LC61" s="78" t="str">
        <f>IF(AND(SUM($GZ53:LC53)=$GX$53,LC53&gt;0),LC37,"")</f>
        <v/>
      </c>
      <c r="LD61" s="78" t="str">
        <f>IF(AND(SUM($GZ53:LD53)=$GX$53,LD53&gt;0),LD37,"")</f>
        <v/>
      </c>
      <c r="LE61" s="78" t="str">
        <f>IF(AND(SUM($GZ53:LE53)=$GX$53,LE53&gt;0),LE37,"")</f>
        <v/>
      </c>
      <c r="LF61" s="78" t="str">
        <f>IF(AND(SUM($GZ53:LF53)=$GX$53,LF53&gt;0),LF37,"")</f>
        <v/>
      </c>
      <c r="LG61" s="78" t="str">
        <f>IF(AND(SUM($GZ53:LG53)=$GX$53,LG53&gt;0),LG37,"")</f>
        <v/>
      </c>
      <c r="LH61" s="78" t="str">
        <f>IF(AND(SUM($GZ53:LH53)=$GX$53,LH53&gt;0),LH37,"")</f>
        <v/>
      </c>
      <c r="LI61" s="78" t="str">
        <f>IF(AND(SUM($GZ53:LI53)=$GX$53,LI53&gt;0),LI37,"")</f>
        <v/>
      </c>
      <c r="LJ61" s="78" t="str">
        <f>IF(AND(SUM($GZ53:LJ53)=$GX$53,LJ53&gt;0),LJ37,"")</f>
        <v/>
      </c>
      <c r="LK61" s="78" t="str">
        <f>IF(AND(SUM($GZ53:LK53)=$GX$53,LK53&gt;0),LK37,"")</f>
        <v/>
      </c>
      <c r="LL61" s="78" t="str">
        <f>IF(AND(SUM($GZ53:LL53)=$GX$53,LL53&gt;0),LL37,"")</f>
        <v/>
      </c>
      <c r="LM61" s="78" t="str">
        <f>IF(AND(SUM($GZ53:LM53)=$GX$53,LM53&gt;0),LM37,"")</f>
        <v/>
      </c>
      <c r="LN61" s="78" t="str">
        <f>IF(AND(SUM($GZ53:LN53)=$GX$53,LN53&gt;0),LN37,"")</f>
        <v/>
      </c>
      <c r="LO61" s="78" t="str">
        <f>IF(AND(SUM($GZ53:LO53)=$GX$53,LO53&gt;0),LO37,"")</f>
        <v/>
      </c>
      <c r="LP61" s="78" t="str">
        <f>IF(AND(SUM($GZ53:LP53)=$GX$53,LP53&gt;0),LP37,"")</f>
        <v/>
      </c>
      <c r="LQ61" s="78" t="str">
        <f>IF(AND(SUM($GZ53:LQ53)=$GX$53,LQ53&gt;0),LQ37,"")</f>
        <v/>
      </c>
      <c r="LR61" s="78" t="str">
        <f>IF(AND(SUM($GZ53:LR53)=$GX$53,LR53&gt;0),LR37,"")</f>
        <v/>
      </c>
      <c r="LS61" s="78" t="str">
        <f>IF(AND(SUM($GZ53:LS53)=$GX$53,LS53&gt;0),LS37,"")</f>
        <v/>
      </c>
      <c r="LT61" s="78" t="str">
        <f>IF(AND(SUM($GZ53:LT53)=$GX$53,LT53&gt;0),LT37,"")</f>
        <v/>
      </c>
      <c r="LU61" s="78" t="str">
        <f>IF(AND(SUM($GZ53:LU53)=$GX$53,LU53&gt;0),LU37,"")</f>
        <v/>
      </c>
      <c r="LV61" s="78" t="str">
        <f>IF(AND(SUM($GZ53:LV53)=$GX$53,LV53&gt;0),LV37,"")</f>
        <v/>
      </c>
      <c r="LW61" s="78" t="str">
        <f>IF(AND(SUM($GZ53:LW53)=$GX$53,LW53&gt;0),LW37,"")</f>
        <v/>
      </c>
      <c r="LX61" s="78" t="str">
        <f>IF(AND(SUM($GZ53:LX53)=$GX$53,LX53&gt;0),LX37,"")</f>
        <v/>
      </c>
      <c r="LY61" s="78" t="str">
        <f>IF(AND(SUM($GZ53:LY53)=$GX$53,LY53&gt;0),LY37,"")</f>
        <v/>
      </c>
      <c r="LZ61" s="78" t="str">
        <f>IF(AND(SUM($GZ53:LZ53)=$GX$53,LZ53&gt;0),LZ37,"")</f>
        <v/>
      </c>
      <c r="MA61" s="78" t="str">
        <f>IF(AND(SUM($GZ53:MA53)=$GX$53,MA53&gt;0),MA37,"")</f>
        <v/>
      </c>
      <c r="MB61" s="78" t="str">
        <f>IF(AND(SUM($GZ53:MB53)=$GX$53,MB53&gt;0),MB37,"")</f>
        <v/>
      </c>
      <c r="MC61" s="78" t="str">
        <f>IF(AND(SUM($GZ53:MC53)=$GX$53,MC53&gt;0),MC37,"")</f>
        <v/>
      </c>
      <c r="MD61" s="78" t="str">
        <f>IF(AND(SUM($GZ53:MD53)=$GX$53,MD53&gt;0),MD37,"")</f>
        <v/>
      </c>
      <c r="ME61" s="78" t="str">
        <f>IF(AND(SUM($GZ53:ME53)=$GX$53,ME53&gt;0),ME37,"")</f>
        <v/>
      </c>
      <c r="MF61" s="78" t="str">
        <f>IF(AND(SUM($GZ53:MF53)=$GX$53,MF53&gt;0),MF37,"")</f>
        <v/>
      </c>
      <c r="MG61" s="78" t="str">
        <f>IF(AND(SUM($GZ53:MG53)=$GX$53,MG53&gt;0),MG37,"")</f>
        <v/>
      </c>
      <c r="MH61" s="78" t="str">
        <f>IF(AND(SUM($GZ53:MH53)=$GX$53,MH53&gt;0),MH37,"")</f>
        <v/>
      </c>
      <c r="MI61" s="78" t="str">
        <f>IF(AND(SUM($GZ53:MI53)=$GX$53,MI53&gt;0),MI37,"")</f>
        <v/>
      </c>
      <c r="MJ61" s="78" t="str">
        <f>IF(AND(SUM($GZ53:MJ53)=$GX$53,MJ53&gt;0),MJ37,"")</f>
        <v/>
      </c>
      <c r="MK61" s="78" t="str">
        <f>IF(AND(SUM($GZ53:MK53)=$GX$53,MK53&gt;0),MK37,"")</f>
        <v/>
      </c>
      <c r="ML61" s="78" t="str">
        <f>IF(AND(SUM($GZ53:ML53)=$GX$53,ML53&gt;0),ML37,"")</f>
        <v/>
      </c>
      <c r="MM61" s="78" t="str">
        <f>IF(AND(SUM($GZ53:MM53)=$GX$53,MM53&gt;0),MM37,"")</f>
        <v/>
      </c>
      <c r="MN61" s="78" t="str">
        <f>IF(AND(SUM($GZ53:MN53)=$GX$53,MN53&gt;0),MN37,"")</f>
        <v/>
      </c>
      <c r="MO61" s="78" t="str">
        <f>IF(AND(SUM($GZ53:MO53)=$GX$53,MO53&gt;0),MO37,"")</f>
        <v/>
      </c>
      <c r="MP61" s="78" t="str">
        <f>IF(AND(SUM($GZ53:MP53)=$GX$53,MP53&gt;0),MP37,"")</f>
        <v/>
      </c>
      <c r="MQ61" s="78" t="str">
        <f>IF(AND(SUM($GZ53:MQ53)=$GX$53,MQ53&gt;0),MQ37,"")</f>
        <v/>
      </c>
      <c r="MR61" s="78" t="str">
        <f>IF(AND(SUM($GZ53:MR53)=$GX$53,MR53&gt;0),MR37,"")</f>
        <v/>
      </c>
      <c r="MS61" s="78" t="str">
        <f>IF(AND(SUM($GZ53:MS53)=$GX$53,MS53&gt;0),MS37,"")</f>
        <v/>
      </c>
      <c r="MT61" s="78" t="str">
        <f>IF(AND(SUM($GZ53:MT53)=$GX$53,MT53&gt;0),MT37,"")</f>
        <v/>
      </c>
      <c r="MU61" s="78" t="str">
        <f>IF(AND(SUM($GZ53:MU53)=$GX$53,MU53&gt;0),MU37,"")</f>
        <v/>
      </c>
      <c r="MV61" s="78" t="str">
        <f>IF(AND(SUM($GZ53:MV53)=$GX$53,MV53&gt;0),MV37,"")</f>
        <v/>
      </c>
      <c r="MW61" s="78" t="str">
        <f>IF(AND(SUM($GZ53:MW53)=$GX$53,MW53&gt;0),MW37,"")</f>
        <v/>
      </c>
      <c r="MX61" s="78" t="str">
        <f>IF(AND(SUM($GZ53:MX53)=$GX$53,MX53&gt;0),MX37,"")</f>
        <v/>
      </c>
      <c r="MY61" s="78" t="str">
        <f>IF(AND(SUM($GZ53:MY53)=$GX$53,MY53&gt;0),MY37,"")</f>
        <v/>
      </c>
      <c r="MZ61" s="78" t="str">
        <f>IF(AND(SUM($GZ53:MZ53)=$GX$53,MZ53&gt;0),MZ37,"")</f>
        <v/>
      </c>
      <c r="NA61" s="78" t="str">
        <f>IF(AND(SUM($GZ53:NA53)=$GX$53,NA53&gt;0),NA37,"")</f>
        <v/>
      </c>
      <c r="NB61" s="78" t="str">
        <f>IF(AND(SUM($GZ53:NB53)=$GX$53,NB53&gt;0),NB37,"")</f>
        <v/>
      </c>
      <c r="NC61" s="78" t="str">
        <f>IF(AND(SUM($GZ53:NC53)=$GX$53,NC53&gt;0),NC37,"")</f>
        <v/>
      </c>
      <c r="ND61" s="78" t="str">
        <f>IF(AND(SUM($GZ53:ND53)=$GX$53,ND53&gt;0),ND37,"")</f>
        <v/>
      </c>
      <c r="NE61" s="78" t="str">
        <f>IF(AND(SUM($GZ53:NE53)=$GX$53,NE53&gt;0),NE37,"")</f>
        <v/>
      </c>
      <c r="NF61" s="78" t="str">
        <f>IF(AND(SUM($GZ53:NF53)=$GX$53,NF53&gt;0),NF37,"")</f>
        <v/>
      </c>
      <c r="NG61" s="78" t="str">
        <f>IF(AND(SUM($GZ53:NG53)=$GX$53,NG53&gt;0),NG37,"")</f>
        <v/>
      </c>
      <c r="NH61" s="78" t="str">
        <f>IF(AND(SUM($GZ53:NH53)=$GX$53,NH53&gt;0),NH37,"")</f>
        <v/>
      </c>
      <c r="NI61" s="78" t="str">
        <f>IF(AND(SUM($GZ53:NI53)=$GX$53,NI53&gt;0),NI37,"")</f>
        <v/>
      </c>
      <c r="NJ61" s="78" t="str">
        <f>IF(AND(SUM($GZ53:NJ53)=$GX$53,NJ53&gt;0),NJ37,"")</f>
        <v/>
      </c>
      <c r="NK61" s="78" t="str">
        <f>IF(AND(SUM($GZ53:NK53)=$GX$53,NK53&gt;0),NK37,"")</f>
        <v/>
      </c>
      <c r="NL61" s="78" t="str">
        <f>IF(AND(SUM($GZ53:NL53)=$GX$53,NL53&gt;0),NL37,"")</f>
        <v/>
      </c>
      <c r="NM61" s="78" t="str">
        <f>IF(AND(SUM($GZ53:NM53)=$GX$53,NM53&gt;0),NM37,"")</f>
        <v/>
      </c>
      <c r="NN61" s="78" t="str">
        <f>IF(AND(SUM($GZ53:NN53)=$GX$53,NN53&gt;0),NN37,"")</f>
        <v/>
      </c>
      <c r="NO61" s="78" t="str">
        <f>IF(AND(SUM($GZ53:NO53)=$GX$53,NO53&gt;0),NO37,"")</f>
        <v/>
      </c>
      <c r="NP61" s="78" t="str">
        <f>IF(AND(SUM($GZ53:NP53)=$GX$53,NP53&gt;0),NP37,"")</f>
        <v/>
      </c>
      <c r="NQ61" s="78" t="str">
        <f>IF(AND(SUM($GZ53:NQ53)=$GX$53,NQ53&gt;0),NQ37,"")</f>
        <v/>
      </c>
      <c r="NR61" s="78" t="str">
        <f>IF(AND(SUM($GZ53:NR53)=$GX$53,NR53&gt;0),NR37,"")</f>
        <v/>
      </c>
      <c r="NS61" s="78" t="str">
        <f>IF(AND(SUM($GZ53:NS53)=$GX$53,NS53&gt;0),NS37,"")</f>
        <v/>
      </c>
      <c r="NT61" s="78" t="str">
        <f>IF(AND(SUM($GZ53:NT53)=$GX$53,NT53&gt;0),NT37,"")</f>
        <v/>
      </c>
      <c r="NU61" s="78" t="str">
        <f>IF(AND(SUM($GZ53:NU53)=$GX$53,NU53&gt;0),NU37,"")</f>
        <v/>
      </c>
      <c r="NV61" s="78" t="str">
        <f>IF(AND(SUM($GZ53:NV53)=$GX$53,NV53&gt;0),NV37,"")</f>
        <v/>
      </c>
      <c r="NW61" s="78" t="str">
        <f>IF(AND(SUM($GZ53:NW53)=$GX$53,NW53&gt;0),NW37,"")</f>
        <v/>
      </c>
    </row>
    <row r="62" spans="2:387" x14ac:dyDescent="0.3">
      <c r="B62" s="26" t="s">
        <v>147</v>
      </c>
      <c r="C62" s="19"/>
      <c r="D62" s="57">
        <v>0.6</v>
      </c>
      <c r="E62" s="108">
        <v>2</v>
      </c>
      <c r="F62" s="58">
        <v>9.5000000000000001E-2</v>
      </c>
      <c r="G62" s="19"/>
      <c r="H62" s="21" t="s">
        <v>248</v>
      </c>
      <c r="I62" s="23"/>
      <c r="J62" s="23">
        <f>L62/$L$8</f>
        <v>28995.815731613831</v>
      </c>
      <c r="K62" s="29">
        <f>L62/$L$7</f>
        <v>3.8327802403857363</v>
      </c>
      <c r="L62" s="23">
        <f>IF(D62=0,0,$L$58*(D62/$D$64))</f>
        <v>6669037.6182711814</v>
      </c>
      <c r="S62" s="67" t="s">
        <v>249</v>
      </c>
      <c r="T62" s="129">
        <v>0.08</v>
      </c>
      <c r="U62" s="129">
        <v>0.08</v>
      </c>
      <c r="V62" s="129">
        <v>0.08</v>
      </c>
      <c r="W62" s="129">
        <v>0.08</v>
      </c>
      <c r="X62" s="129">
        <v>0.08</v>
      </c>
      <c r="Y62" s="129">
        <v>0.08</v>
      </c>
      <c r="Z62" s="129">
        <v>0.08</v>
      </c>
      <c r="AA62" s="129">
        <v>0.08</v>
      </c>
      <c r="AB62" s="129">
        <v>0.08</v>
      </c>
      <c r="AC62" s="129">
        <v>0.08</v>
      </c>
      <c r="AD62" s="129">
        <v>0.08</v>
      </c>
      <c r="AE62" s="129">
        <v>0.08</v>
      </c>
      <c r="AF62" s="129">
        <v>0.08</v>
      </c>
      <c r="AG62" s="129">
        <v>0.08</v>
      </c>
      <c r="AH62" s="129">
        <v>0.08</v>
      </c>
      <c r="AI62" s="129">
        <v>0.08</v>
      </c>
      <c r="AJ62" s="129">
        <v>0.08</v>
      </c>
      <c r="AK62" s="129">
        <v>0.08</v>
      </c>
      <c r="AL62" s="129">
        <v>0.08</v>
      </c>
      <c r="AM62" s="129">
        <v>0.08</v>
      </c>
      <c r="AN62" s="129">
        <v>0.08</v>
      </c>
      <c r="AO62" s="129">
        <v>0.08</v>
      </c>
      <c r="AP62" s="129">
        <v>0.08</v>
      </c>
      <c r="AQ62" s="129">
        <v>0.08</v>
      </c>
      <c r="AR62" s="129">
        <v>0.08</v>
      </c>
      <c r="AS62" s="129">
        <v>0.08</v>
      </c>
      <c r="AT62" s="129">
        <v>0.08</v>
      </c>
      <c r="AU62" s="129">
        <v>0.08</v>
      </c>
      <c r="AV62" s="129">
        <v>0.08</v>
      </c>
      <c r="AW62" s="129">
        <v>0.08</v>
      </c>
      <c r="AX62" s="129">
        <v>0.08</v>
      </c>
      <c r="AY62" s="129">
        <v>0.08</v>
      </c>
      <c r="AZ62" s="129">
        <v>0.08</v>
      </c>
      <c r="BA62" s="129">
        <v>0.08</v>
      </c>
      <c r="BB62" s="129">
        <v>0.08</v>
      </c>
      <c r="BC62" s="129">
        <v>0.08</v>
      </c>
      <c r="BD62" s="129">
        <v>0.08</v>
      </c>
      <c r="BE62" s="129">
        <v>0.08</v>
      </c>
      <c r="BF62" s="129">
        <v>0.08</v>
      </c>
      <c r="BG62" s="129">
        <v>0.08</v>
      </c>
      <c r="BH62" s="129">
        <v>0.08</v>
      </c>
      <c r="BI62" s="129">
        <v>0.08</v>
      </c>
      <c r="BJ62" s="129">
        <v>0.08</v>
      </c>
      <c r="BK62" s="129">
        <v>0.08</v>
      </c>
      <c r="BL62" s="129">
        <v>0.08</v>
      </c>
      <c r="BM62" s="129">
        <v>0.08</v>
      </c>
      <c r="BN62" s="129">
        <v>0.08</v>
      </c>
      <c r="BO62" s="129">
        <v>0.08</v>
      </c>
      <c r="BP62" s="129">
        <v>0.08</v>
      </c>
      <c r="BQ62" s="129">
        <v>0.08</v>
      </c>
      <c r="BR62" s="129">
        <v>0.08</v>
      </c>
      <c r="BS62" s="129">
        <v>0.08</v>
      </c>
      <c r="BT62" s="129">
        <v>0.08</v>
      </c>
      <c r="BU62" s="129">
        <v>0.08</v>
      </c>
      <c r="BV62" s="129">
        <v>0.08</v>
      </c>
      <c r="BW62" s="129">
        <v>0.08</v>
      </c>
      <c r="BX62" s="129">
        <v>0.08</v>
      </c>
      <c r="BY62" s="129">
        <v>0.08</v>
      </c>
      <c r="BZ62" s="129">
        <v>0.08</v>
      </c>
      <c r="CA62" s="129">
        <v>0.08</v>
      </c>
      <c r="CB62" s="129">
        <v>0.08</v>
      </c>
      <c r="CC62" s="129">
        <v>0.08</v>
      </c>
      <c r="CD62" s="129">
        <v>0.08</v>
      </c>
      <c r="CE62" s="129">
        <v>0.08</v>
      </c>
      <c r="CF62" s="129">
        <v>0.08</v>
      </c>
      <c r="CG62" s="129">
        <v>0.08</v>
      </c>
      <c r="CH62" s="129">
        <v>0.08</v>
      </c>
      <c r="CI62" s="129">
        <v>0.08</v>
      </c>
      <c r="CJ62" s="129">
        <v>0.08</v>
      </c>
      <c r="CK62" s="129">
        <v>0.08</v>
      </c>
      <c r="CL62" s="129">
        <v>0.08</v>
      </c>
      <c r="CM62" s="129">
        <v>0.08</v>
      </c>
      <c r="CN62" s="129">
        <v>0.08</v>
      </c>
      <c r="CO62" s="129">
        <v>0.08</v>
      </c>
      <c r="CP62" s="129">
        <v>0.08</v>
      </c>
      <c r="CQ62" s="129">
        <v>0.08</v>
      </c>
      <c r="CR62" s="129">
        <v>0.08</v>
      </c>
      <c r="CS62" s="129">
        <v>0.08</v>
      </c>
      <c r="CT62" s="129">
        <v>0.08</v>
      </c>
      <c r="CU62" s="129">
        <v>0.08</v>
      </c>
      <c r="CV62" s="129">
        <v>0.08</v>
      </c>
      <c r="CW62" s="129">
        <v>0.08</v>
      </c>
      <c r="CX62" s="129">
        <v>0.08</v>
      </c>
      <c r="CY62" s="129">
        <v>0.08</v>
      </c>
      <c r="CZ62" s="129">
        <v>0.08</v>
      </c>
      <c r="DA62" s="129">
        <v>0.08</v>
      </c>
      <c r="DB62" s="129">
        <v>0.08</v>
      </c>
      <c r="DC62" s="129">
        <v>0.08</v>
      </c>
      <c r="DD62" s="129">
        <v>0.08</v>
      </c>
      <c r="DE62" s="129">
        <v>0.08</v>
      </c>
      <c r="DF62" s="129">
        <v>0.08</v>
      </c>
      <c r="DG62" s="129">
        <v>0.08</v>
      </c>
      <c r="DH62" s="129">
        <v>0.08</v>
      </c>
      <c r="DI62" s="129">
        <v>0.08</v>
      </c>
      <c r="DJ62" s="129">
        <v>0.08</v>
      </c>
      <c r="DK62" s="129">
        <v>0.08</v>
      </c>
      <c r="DL62" s="129">
        <v>0.08</v>
      </c>
      <c r="DM62" s="129">
        <v>0.08</v>
      </c>
      <c r="DN62" s="129">
        <v>0.08</v>
      </c>
      <c r="DO62" s="129">
        <v>0.08</v>
      </c>
      <c r="DP62" s="129">
        <v>0.08</v>
      </c>
      <c r="DQ62" s="129">
        <v>0.08</v>
      </c>
      <c r="DR62" s="129">
        <v>0.08</v>
      </c>
      <c r="DS62" s="129">
        <v>0.08</v>
      </c>
      <c r="DT62" s="129">
        <v>0.08</v>
      </c>
      <c r="DU62" s="129">
        <v>0.08</v>
      </c>
      <c r="DV62" s="129">
        <v>0.08</v>
      </c>
      <c r="DW62" s="129">
        <v>0.08</v>
      </c>
      <c r="DX62" s="129">
        <v>0.08</v>
      </c>
      <c r="DY62" s="129">
        <v>0.08</v>
      </c>
      <c r="DZ62" s="129">
        <v>0.08</v>
      </c>
      <c r="EA62" s="129">
        <v>0.08</v>
      </c>
      <c r="EB62" s="129">
        <v>0.08</v>
      </c>
      <c r="EC62" s="129">
        <v>0.08</v>
      </c>
      <c r="ED62" s="129">
        <v>0.08</v>
      </c>
      <c r="EE62" s="129">
        <v>0.08</v>
      </c>
      <c r="EF62" s="129">
        <v>0.08</v>
      </c>
      <c r="EG62" s="129">
        <v>0.08</v>
      </c>
      <c r="EH62" s="129">
        <v>0.08</v>
      </c>
      <c r="EI62" s="129">
        <v>0.08</v>
      </c>
      <c r="EJ62" s="129">
        <v>0.08</v>
      </c>
      <c r="EK62" s="129">
        <v>0.08</v>
      </c>
      <c r="EL62" s="129">
        <v>0.08</v>
      </c>
      <c r="EM62" s="129">
        <v>0.08</v>
      </c>
      <c r="EN62" s="129">
        <v>0.08</v>
      </c>
      <c r="EO62" s="129">
        <v>0.08</v>
      </c>
      <c r="EP62" s="129">
        <v>0.08</v>
      </c>
      <c r="EQ62" s="129">
        <v>0.08</v>
      </c>
      <c r="ER62" s="129">
        <v>0.08</v>
      </c>
      <c r="ES62" s="129">
        <v>0.08</v>
      </c>
      <c r="ET62" s="129">
        <v>0.08</v>
      </c>
      <c r="EU62" s="129">
        <v>0.08</v>
      </c>
      <c r="EV62" s="129">
        <v>0.08</v>
      </c>
      <c r="EW62" s="129">
        <v>0.08</v>
      </c>
      <c r="EX62" s="129">
        <v>0.08</v>
      </c>
      <c r="EY62" s="129">
        <v>0.08</v>
      </c>
      <c r="EZ62" s="129">
        <v>0.08</v>
      </c>
      <c r="FA62" s="129">
        <v>0.08</v>
      </c>
      <c r="FB62" s="129">
        <v>0.08</v>
      </c>
      <c r="FC62" s="129">
        <v>0.08</v>
      </c>
      <c r="FD62" s="129">
        <v>0.08</v>
      </c>
      <c r="FE62" s="129">
        <v>0.08</v>
      </c>
      <c r="FF62" s="129">
        <v>0.08</v>
      </c>
      <c r="FG62" s="129">
        <v>0.08</v>
      </c>
      <c r="FH62" s="129">
        <v>0.08</v>
      </c>
      <c r="FI62" s="129">
        <v>0.08</v>
      </c>
      <c r="FJ62" s="129">
        <v>0.08</v>
      </c>
      <c r="FK62" s="129">
        <v>0.08</v>
      </c>
      <c r="FL62" s="129">
        <v>0.08</v>
      </c>
      <c r="FM62" s="129">
        <v>0.08</v>
      </c>
      <c r="FN62" s="129">
        <v>0.08</v>
      </c>
      <c r="FO62" s="129">
        <v>0.08</v>
      </c>
      <c r="FP62" s="129">
        <v>0.08</v>
      </c>
      <c r="FQ62" s="129">
        <v>0.08</v>
      </c>
      <c r="FR62" s="129">
        <v>0.08</v>
      </c>
      <c r="FS62" s="129">
        <v>0.08</v>
      </c>
      <c r="FT62" s="129">
        <v>0.08</v>
      </c>
      <c r="FU62" s="129">
        <v>0.08</v>
      </c>
      <c r="FV62" s="129">
        <v>0.08</v>
      </c>
      <c r="FW62" s="129">
        <v>0.08</v>
      </c>
      <c r="FX62" s="129">
        <v>0.08</v>
      </c>
      <c r="FY62" s="129">
        <v>0.08</v>
      </c>
      <c r="FZ62" s="129">
        <v>0.08</v>
      </c>
      <c r="GA62" s="129">
        <v>0.08</v>
      </c>
      <c r="GB62" s="129">
        <v>0.08</v>
      </c>
      <c r="GC62" s="129">
        <v>0.08</v>
      </c>
      <c r="GD62" s="129">
        <v>0.08</v>
      </c>
      <c r="GE62" s="129">
        <v>0.08</v>
      </c>
      <c r="GF62" s="129">
        <v>0.08</v>
      </c>
      <c r="GG62" s="129">
        <v>0.08</v>
      </c>
      <c r="GH62" s="129">
        <v>0.08</v>
      </c>
      <c r="GI62" s="129">
        <v>0.08</v>
      </c>
      <c r="GJ62" s="129">
        <v>0.08</v>
      </c>
      <c r="GK62" s="129">
        <v>0.08</v>
      </c>
      <c r="GL62" s="129">
        <v>0.08</v>
      </c>
      <c r="GM62" s="129">
        <v>0.08</v>
      </c>
      <c r="GN62" s="129">
        <v>0.08</v>
      </c>
      <c r="GO62" s="129">
        <v>0.08</v>
      </c>
      <c r="GP62" s="129">
        <v>0.08</v>
      </c>
      <c r="GQ62" s="129">
        <v>0.08</v>
      </c>
      <c r="GS62" s="80"/>
      <c r="GT62" s="77"/>
      <c r="GU62" s="77"/>
      <c r="GV62" s="77"/>
      <c r="GW62" s="77" t="s">
        <v>250</v>
      </c>
      <c r="GX62" s="89">
        <f>MAX(GY62:NW62)</f>
        <v>29</v>
      </c>
      <c r="GY62" s="90"/>
      <c r="GZ62" s="90" t="str">
        <f>+IF(AND(GX53=0,GZ53&gt;0),GZ46,"")</f>
        <v/>
      </c>
      <c r="HA62" s="90">
        <f t="shared" ref="HA62:IF62" si="326">+IF(AND(GZ53=0,HA53&gt;0),HA46,"")</f>
        <v>2</v>
      </c>
      <c r="HB62" s="90" t="str">
        <f t="shared" si="326"/>
        <v/>
      </c>
      <c r="HC62" s="90" t="str">
        <f t="shared" si="326"/>
        <v/>
      </c>
      <c r="HD62" s="90" t="str">
        <f t="shared" si="326"/>
        <v/>
      </c>
      <c r="HE62" s="90" t="str">
        <f t="shared" si="326"/>
        <v/>
      </c>
      <c r="HF62" s="90" t="str">
        <f t="shared" si="326"/>
        <v/>
      </c>
      <c r="HG62" s="90" t="str">
        <f t="shared" si="326"/>
        <v/>
      </c>
      <c r="HH62" s="90" t="str">
        <f t="shared" si="326"/>
        <v/>
      </c>
      <c r="HI62" s="90" t="str">
        <f t="shared" si="326"/>
        <v/>
      </c>
      <c r="HJ62" s="90" t="str">
        <f t="shared" si="326"/>
        <v/>
      </c>
      <c r="HK62" s="90" t="str">
        <f t="shared" si="326"/>
        <v/>
      </c>
      <c r="HL62" s="90" t="str">
        <f t="shared" si="326"/>
        <v/>
      </c>
      <c r="HM62" s="90">
        <f t="shared" si="326"/>
        <v>14</v>
      </c>
      <c r="HN62" s="90" t="str">
        <f t="shared" si="326"/>
        <v/>
      </c>
      <c r="HO62" s="90" t="str">
        <f t="shared" si="326"/>
        <v/>
      </c>
      <c r="HP62" s="90" t="str">
        <f t="shared" si="326"/>
        <v/>
      </c>
      <c r="HQ62" s="90" t="str">
        <f t="shared" si="326"/>
        <v/>
      </c>
      <c r="HR62" s="90" t="str">
        <f t="shared" si="326"/>
        <v/>
      </c>
      <c r="HS62" s="90" t="str">
        <f t="shared" si="326"/>
        <v/>
      </c>
      <c r="HT62" s="90" t="str">
        <f t="shared" si="326"/>
        <v/>
      </c>
      <c r="HU62" s="90" t="str">
        <f t="shared" si="326"/>
        <v/>
      </c>
      <c r="HV62" s="90" t="str">
        <f t="shared" si="326"/>
        <v/>
      </c>
      <c r="HW62" s="90" t="str">
        <f t="shared" si="326"/>
        <v/>
      </c>
      <c r="HX62" s="90" t="str">
        <f t="shared" si="326"/>
        <v/>
      </c>
      <c r="HY62" s="90" t="str">
        <f t="shared" si="326"/>
        <v/>
      </c>
      <c r="HZ62" s="90" t="str">
        <f t="shared" si="326"/>
        <v/>
      </c>
      <c r="IA62" s="90" t="str">
        <f t="shared" si="326"/>
        <v/>
      </c>
      <c r="IB62" s="90">
        <f t="shared" si="326"/>
        <v>29</v>
      </c>
      <c r="IC62" s="90" t="str">
        <f t="shared" si="326"/>
        <v/>
      </c>
      <c r="ID62" s="90" t="str">
        <f t="shared" si="326"/>
        <v/>
      </c>
      <c r="IE62" s="90" t="str">
        <f t="shared" si="326"/>
        <v/>
      </c>
      <c r="IF62" s="90" t="str">
        <f t="shared" si="326"/>
        <v/>
      </c>
      <c r="IG62" s="90" t="str">
        <f t="shared" ref="IG62:JL62" si="327">+IF(AND(IF53=0,IG53&gt;0),IG46,"")</f>
        <v/>
      </c>
      <c r="IH62" s="90" t="str">
        <f t="shared" si="327"/>
        <v/>
      </c>
      <c r="II62" s="90" t="str">
        <f t="shared" si="327"/>
        <v/>
      </c>
      <c r="IJ62" s="90" t="str">
        <f t="shared" si="327"/>
        <v/>
      </c>
      <c r="IK62" s="90" t="str">
        <f t="shared" si="327"/>
        <v/>
      </c>
      <c r="IL62" s="90" t="str">
        <f t="shared" si="327"/>
        <v/>
      </c>
      <c r="IM62" s="90" t="str">
        <f t="shared" si="327"/>
        <v/>
      </c>
      <c r="IN62" s="90" t="str">
        <f t="shared" si="327"/>
        <v/>
      </c>
      <c r="IO62" s="90" t="str">
        <f t="shared" si="327"/>
        <v/>
      </c>
      <c r="IP62" s="90" t="str">
        <f t="shared" si="327"/>
        <v/>
      </c>
      <c r="IQ62" s="90" t="str">
        <f t="shared" si="327"/>
        <v/>
      </c>
      <c r="IR62" s="90" t="str">
        <f t="shared" si="327"/>
        <v/>
      </c>
      <c r="IS62" s="90" t="str">
        <f t="shared" si="327"/>
        <v/>
      </c>
      <c r="IT62" s="90" t="str">
        <f t="shared" si="327"/>
        <v/>
      </c>
      <c r="IU62" s="90" t="str">
        <f t="shared" si="327"/>
        <v/>
      </c>
      <c r="IV62" s="90" t="str">
        <f t="shared" si="327"/>
        <v/>
      </c>
      <c r="IW62" s="90" t="str">
        <f t="shared" si="327"/>
        <v/>
      </c>
      <c r="IX62" s="90" t="str">
        <f t="shared" si="327"/>
        <v/>
      </c>
      <c r="IY62" s="90" t="str">
        <f t="shared" si="327"/>
        <v/>
      </c>
      <c r="IZ62" s="90" t="str">
        <f t="shared" si="327"/>
        <v/>
      </c>
      <c r="JA62" s="90" t="str">
        <f t="shared" si="327"/>
        <v/>
      </c>
      <c r="JB62" s="90" t="str">
        <f t="shared" si="327"/>
        <v/>
      </c>
      <c r="JC62" s="90" t="str">
        <f t="shared" si="327"/>
        <v/>
      </c>
      <c r="JD62" s="90" t="str">
        <f t="shared" si="327"/>
        <v/>
      </c>
      <c r="JE62" s="90" t="str">
        <f t="shared" si="327"/>
        <v/>
      </c>
      <c r="JF62" s="90" t="str">
        <f t="shared" si="327"/>
        <v/>
      </c>
      <c r="JG62" s="90" t="str">
        <f t="shared" si="327"/>
        <v/>
      </c>
      <c r="JH62" s="90" t="str">
        <f t="shared" si="327"/>
        <v/>
      </c>
      <c r="JI62" s="90" t="str">
        <f t="shared" si="327"/>
        <v/>
      </c>
      <c r="JJ62" s="90" t="str">
        <f t="shared" si="327"/>
        <v/>
      </c>
      <c r="JK62" s="90" t="str">
        <f t="shared" si="327"/>
        <v/>
      </c>
      <c r="JL62" s="90" t="str">
        <f t="shared" si="327"/>
        <v/>
      </c>
      <c r="JM62" s="90" t="str">
        <f t="shared" ref="JM62:KR62" si="328">+IF(AND(JL53=0,JM53&gt;0),JM46,"")</f>
        <v/>
      </c>
      <c r="JN62" s="90" t="str">
        <f t="shared" si="328"/>
        <v/>
      </c>
      <c r="JO62" s="90" t="str">
        <f t="shared" si="328"/>
        <v/>
      </c>
      <c r="JP62" s="90" t="str">
        <f t="shared" si="328"/>
        <v/>
      </c>
      <c r="JQ62" s="90" t="str">
        <f t="shared" si="328"/>
        <v/>
      </c>
      <c r="JR62" s="90" t="str">
        <f t="shared" si="328"/>
        <v/>
      </c>
      <c r="JS62" s="90" t="str">
        <f t="shared" si="328"/>
        <v/>
      </c>
      <c r="JT62" s="90" t="str">
        <f t="shared" si="328"/>
        <v/>
      </c>
      <c r="JU62" s="90" t="str">
        <f t="shared" si="328"/>
        <v/>
      </c>
      <c r="JV62" s="90" t="str">
        <f t="shared" si="328"/>
        <v/>
      </c>
      <c r="JW62" s="90" t="str">
        <f t="shared" si="328"/>
        <v/>
      </c>
      <c r="JX62" s="90" t="str">
        <f t="shared" si="328"/>
        <v/>
      </c>
      <c r="JY62" s="90" t="str">
        <f t="shared" si="328"/>
        <v/>
      </c>
      <c r="JZ62" s="90" t="str">
        <f t="shared" si="328"/>
        <v/>
      </c>
      <c r="KA62" s="90" t="str">
        <f t="shared" si="328"/>
        <v/>
      </c>
      <c r="KB62" s="90" t="str">
        <f t="shared" si="328"/>
        <v/>
      </c>
      <c r="KC62" s="90" t="str">
        <f t="shared" si="328"/>
        <v/>
      </c>
      <c r="KD62" s="90" t="str">
        <f t="shared" si="328"/>
        <v/>
      </c>
      <c r="KE62" s="90" t="str">
        <f t="shared" si="328"/>
        <v/>
      </c>
      <c r="KF62" s="90" t="str">
        <f t="shared" si="328"/>
        <v/>
      </c>
      <c r="KG62" s="90" t="str">
        <f t="shared" si="328"/>
        <v/>
      </c>
      <c r="KH62" s="90" t="str">
        <f t="shared" si="328"/>
        <v/>
      </c>
      <c r="KI62" s="90" t="str">
        <f t="shared" si="328"/>
        <v/>
      </c>
      <c r="KJ62" s="90" t="str">
        <f t="shared" si="328"/>
        <v/>
      </c>
      <c r="KK62" s="90" t="str">
        <f t="shared" si="328"/>
        <v/>
      </c>
      <c r="KL62" s="90" t="str">
        <f t="shared" si="328"/>
        <v/>
      </c>
      <c r="KM62" s="90" t="str">
        <f t="shared" si="328"/>
        <v/>
      </c>
      <c r="KN62" s="90" t="str">
        <f t="shared" si="328"/>
        <v/>
      </c>
      <c r="KO62" s="90" t="str">
        <f t="shared" si="328"/>
        <v/>
      </c>
      <c r="KP62" s="90" t="str">
        <f t="shared" si="328"/>
        <v/>
      </c>
      <c r="KQ62" s="90" t="str">
        <f t="shared" si="328"/>
        <v/>
      </c>
      <c r="KR62" s="90" t="str">
        <f t="shared" si="328"/>
        <v/>
      </c>
      <c r="KS62" s="90" t="str">
        <f t="shared" ref="KS62:LX62" si="329">+IF(AND(KR53=0,KS53&gt;0),KS46,"")</f>
        <v/>
      </c>
      <c r="KT62" s="90" t="str">
        <f t="shared" si="329"/>
        <v/>
      </c>
      <c r="KU62" s="90" t="str">
        <f t="shared" si="329"/>
        <v/>
      </c>
      <c r="KV62" s="90" t="str">
        <f t="shared" si="329"/>
        <v/>
      </c>
      <c r="KW62" s="90" t="str">
        <f t="shared" si="329"/>
        <v/>
      </c>
      <c r="KX62" s="90" t="str">
        <f t="shared" si="329"/>
        <v/>
      </c>
      <c r="KY62" s="90" t="str">
        <f t="shared" si="329"/>
        <v/>
      </c>
      <c r="KZ62" s="90" t="str">
        <f t="shared" si="329"/>
        <v/>
      </c>
      <c r="LA62" s="90" t="str">
        <f t="shared" si="329"/>
        <v/>
      </c>
      <c r="LB62" s="90" t="str">
        <f t="shared" si="329"/>
        <v/>
      </c>
      <c r="LC62" s="90" t="str">
        <f t="shared" si="329"/>
        <v/>
      </c>
      <c r="LD62" s="90" t="str">
        <f t="shared" si="329"/>
        <v/>
      </c>
      <c r="LE62" s="90" t="str">
        <f t="shared" si="329"/>
        <v/>
      </c>
      <c r="LF62" s="90" t="str">
        <f t="shared" si="329"/>
        <v/>
      </c>
      <c r="LG62" s="90" t="str">
        <f t="shared" si="329"/>
        <v/>
      </c>
      <c r="LH62" s="90" t="str">
        <f t="shared" si="329"/>
        <v/>
      </c>
      <c r="LI62" s="90" t="str">
        <f t="shared" si="329"/>
        <v/>
      </c>
      <c r="LJ62" s="90" t="str">
        <f t="shared" si="329"/>
        <v/>
      </c>
      <c r="LK62" s="90" t="str">
        <f t="shared" si="329"/>
        <v/>
      </c>
      <c r="LL62" s="90" t="str">
        <f t="shared" si="329"/>
        <v/>
      </c>
      <c r="LM62" s="90" t="str">
        <f t="shared" si="329"/>
        <v/>
      </c>
      <c r="LN62" s="90" t="str">
        <f t="shared" si="329"/>
        <v/>
      </c>
      <c r="LO62" s="90" t="str">
        <f t="shared" si="329"/>
        <v/>
      </c>
      <c r="LP62" s="90" t="str">
        <f t="shared" si="329"/>
        <v/>
      </c>
      <c r="LQ62" s="90" t="str">
        <f t="shared" si="329"/>
        <v/>
      </c>
      <c r="LR62" s="90" t="str">
        <f t="shared" si="329"/>
        <v/>
      </c>
      <c r="LS62" s="90" t="str">
        <f t="shared" si="329"/>
        <v/>
      </c>
      <c r="LT62" s="90" t="str">
        <f t="shared" si="329"/>
        <v/>
      </c>
      <c r="LU62" s="90" t="str">
        <f t="shared" si="329"/>
        <v/>
      </c>
      <c r="LV62" s="90" t="str">
        <f t="shared" si="329"/>
        <v/>
      </c>
      <c r="LW62" s="90" t="str">
        <f t="shared" si="329"/>
        <v/>
      </c>
      <c r="LX62" s="90" t="str">
        <f t="shared" si="329"/>
        <v/>
      </c>
      <c r="LY62" s="90" t="str">
        <f t="shared" ref="LY62:ND62" si="330">+IF(AND(LX53=0,LY53&gt;0),LY46,"")</f>
        <v/>
      </c>
      <c r="LZ62" s="90" t="str">
        <f t="shared" si="330"/>
        <v/>
      </c>
      <c r="MA62" s="90" t="str">
        <f t="shared" si="330"/>
        <v/>
      </c>
      <c r="MB62" s="90" t="str">
        <f t="shared" si="330"/>
        <v/>
      </c>
      <c r="MC62" s="90" t="str">
        <f t="shared" si="330"/>
        <v/>
      </c>
      <c r="MD62" s="90" t="str">
        <f t="shared" si="330"/>
        <v/>
      </c>
      <c r="ME62" s="90" t="str">
        <f t="shared" si="330"/>
        <v/>
      </c>
      <c r="MF62" s="90" t="str">
        <f t="shared" si="330"/>
        <v/>
      </c>
      <c r="MG62" s="90" t="str">
        <f t="shared" si="330"/>
        <v/>
      </c>
      <c r="MH62" s="90" t="str">
        <f t="shared" si="330"/>
        <v/>
      </c>
      <c r="MI62" s="90" t="str">
        <f t="shared" si="330"/>
        <v/>
      </c>
      <c r="MJ62" s="90" t="str">
        <f t="shared" si="330"/>
        <v/>
      </c>
      <c r="MK62" s="90" t="str">
        <f t="shared" si="330"/>
        <v/>
      </c>
      <c r="ML62" s="90" t="str">
        <f t="shared" si="330"/>
        <v/>
      </c>
      <c r="MM62" s="90" t="str">
        <f t="shared" si="330"/>
        <v/>
      </c>
      <c r="MN62" s="90" t="str">
        <f t="shared" si="330"/>
        <v/>
      </c>
      <c r="MO62" s="90" t="str">
        <f t="shared" si="330"/>
        <v/>
      </c>
      <c r="MP62" s="90" t="str">
        <f t="shared" si="330"/>
        <v/>
      </c>
      <c r="MQ62" s="90" t="str">
        <f t="shared" si="330"/>
        <v/>
      </c>
      <c r="MR62" s="90" t="str">
        <f t="shared" si="330"/>
        <v/>
      </c>
      <c r="MS62" s="90" t="str">
        <f t="shared" si="330"/>
        <v/>
      </c>
      <c r="MT62" s="90" t="str">
        <f t="shared" si="330"/>
        <v/>
      </c>
      <c r="MU62" s="90" t="str">
        <f t="shared" si="330"/>
        <v/>
      </c>
      <c r="MV62" s="90" t="str">
        <f t="shared" si="330"/>
        <v/>
      </c>
      <c r="MW62" s="90" t="str">
        <f t="shared" si="330"/>
        <v/>
      </c>
      <c r="MX62" s="90" t="str">
        <f t="shared" si="330"/>
        <v/>
      </c>
      <c r="MY62" s="90" t="str">
        <f t="shared" si="330"/>
        <v/>
      </c>
      <c r="MZ62" s="90" t="str">
        <f t="shared" si="330"/>
        <v/>
      </c>
      <c r="NA62" s="90" t="str">
        <f t="shared" si="330"/>
        <v/>
      </c>
      <c r="NB62" s="90" t="str">
        <f t="shared" si="330"/>
        <v/>
      </c>
      <c r="NC62" s="90" t="str">
        <f t="shared" si="330"/>
        <v/>
      </c>
      <c r="ND62" s="90" t="str">
        <f t="shared" si="330"/>
        <v/>
      </c>
      <c r="NE62" s="90" t="str">
        <f t="shared" ref="NE62:NW62" si="331">+IF(AND(ND53=0,NE53&gt;0),NE46,"")</f>
        <v/>
      </c>
      <c r="NF62" s="90" t="str">
        <f t="shared" si="331"/>
        <v/>
      </c>
      <c r="NG62" s="90" t="str">
        <f t="shared" si="331"/>
        <v/>
      </c>
      <c r="NH62" s="90" t="str">
        <f t="shared" si="331"/>
        <v/>
      </c>
      <c r="NI62" s="90" t="str">
        <f t="shared" si="331"/>
        <v/>
      </c>
      <c r="NJ62" s="90" t="str">
        <f t="shared" si="331"/>
        <v/>
      </c>
      <c r="NK62" s="90" t="str">
        <f t="shared" si="331"/>
        <v/>
      </c>
      <c r="NL62" s="90" t="str">
        <f t="shared" si="331"/>
        <v/>
      </c>
      <c r="NM62" s="90" t="str">
        <f t="shared" si="331"/>
        <v/>
      </c>
      <c r="NN62" s="90" t="str">
        <f t="shared" si="331"/>
        <v/>
      </c>
      <c r="NO62" s="90" t="str">
        <f t="shared" si="331"/>
        <v/>
      </c>
      <c r="NP62" s="90" t="str">
        <f t="shared" si="331"/>
        <v/>
      </c>
      <c r="NQ62" s="90" t="str">
        <f t="shared" si="331"/>
        <v/>
      </c>
      <c r="NR62" s="90" t="str">
        <f t="shared" si="331"/>
        <v/>
      </c>
      <c r="NS62" s="90" t="str">
        <f t="shared" si="331"/>
        <v/>
      </c>
      <c r="NT62" s="90" t="str">
        <f t="shared" si="331"/>
        <v/>
      </c>
      <c r="NU62" s="90" t="str">
        <f t="shared" si="331"/>
        <v/>
      </c>
      <c r="NV62" s="90" t="str">
        <f t="shared" si="331"/>
        <v/>
      </c>
      <c r="NW62" s="90" t="str">
        <f t="shared" si="331"/>
        <v/>
      </c>
    </row>
    <row r="63" spans="2:387" ht="15.5" x14ac:dyDescent="0.45">
      <c r="B63" s="26" t="s">
        <v>341</v>
      </c>
      <c r="C63" s="19"/>
      <c r="D63" s="138">
        <v>0.25</v>
      </c>
      <c r="E63" s="21">
        <v>2</v>
      </c>
      <c r="F63" s="140">
        <v>0</v>
      </c>
      <c r="G63" s="19"/>
      <c r="H63" s="21" t="s">
        <v>248</v>
      </c>
      <c r="I63" s="23"/>
      <c r="J63" s="31">
        <f>L63/$L$8</f>
        <v>12081.589888172428</v>
      </c>
      <c r="K63" s="32">
        <f>L63/$L$7</f>
        <v>1.5969917668273901</v>
      </c>
      <c r="L63" s="31">
        <f>IF(D63=0,0,$L$58*(D63/$D$64))</f>
        <v>2778765.6742796586</v>
      </c>
      <c r="S63" s="67" t="s">
        <v>249</v>
      </c>
      <c r="T63" s="129">
        <v>0.12</v>
      </c>
      <c r="U63" s="129">
        <v>0.12</v>
      </c>
      <c r="V63" s="129">
        <v>0.12</v>
      </c>
      <c r="W63" s="129">
        <v>0.12</v>
      </c>
      <c r="X63" s="129">
        <v>0.12</v>
      </c>
      <c r="Y63" s="129">
        <v>0.12</v>
      </c>
      <c r="Z63" s="129">
        <v>0.12</v>
      </c>
      <c r="AA63" s="129">
        <v>0.12</v>
      </c>
      <c r="AB63" s="129">
        <v>0.12</v>
      </c>
      <c r="AC63" s="129">
        <v>0.12</v>
      </c>
      <c r="AD63" s="129">
        <v>0.12</v>
      </c>
      <c r="AE63" s="129">
        <v>0.12</v>
      </c>
      <c r="AF63" s="129">
        <v>0.12</v>
      </c>
      <c r="AG63" s="129">
        <v>0.12</v>
      </c>
      <c r="AH63" s="129">
        <v>0.12</v>
      </c>
      <c r="AI63" s="129">
        <v>0.12</v>
      </c>
      <c r="AJ63" s="129">
        <v>0.12</v>
      </c>
      <c r="AK63" s="129">
        <v>0.12</v>
      </c>
      <c r="AL63" s="129">
        <v>0.12</v>
      </c>
      <c r="AM63" s="129">
        <v>0.12</v>
      </c>
      <c r="AN63" s="129">
        <v>0.12</v>
      </c>
      <c r="AO63" s="129">
        <v>0.12</v>
      </c>
      <c r="AP63" s="129">
        <v>0.12</v>
      </c>
      <c r="AQ63" s="129">
        <v>0.12</v>
      </c>
      <c r="AR63" s="129">
        <v>0.12</v>
      </c>
      <c r="AS63" s="129">
        <v>0.12</v>
      </c>
      <c r="AT63" s="129">
        <v>0.12</v>
      </c>
      <c r="AU63" s="129">
        <v>0.12</v>
      </c>
      <c r="AV63" s="129">
        <v>0.12</v>
      </c>
      <c r="AW63" s="129">
        <v>0.12</v>
      </c>
      <c r="AX63" s="129">
        <v>0.12</v>
      </c>
      <c r="AY63" s="129">
        <v>0.12</v>
      </c>
      <c r="AZ63" s="129">
        <v>0.12</v>
      </c>
      <c r="BA63" s="129">
        <v>0.12</v>
      </c>
      <c r="BB63" s="129">
        <v>0.12</v>
      </c>
      <c r="BC63" s="129">
        <v>0.12</v>
      </c>
      <c r="BD63" s="129">
        <v>0.12</v>
      </c>
      <c r="BE63" s="129">
        <v>0.12</v>
      </c>
      <c r="BF63" s="129">
        <v>0.12</v>
      </c>
      <c r="BG63" s="129">
        <v>0.12</v>
      </c>
      <c r="BH63" s="129">
        <v>0.12</v>
      </c>
      <c r="BI63" s="129">
        <v>0.12</v>
      </c>
      <c r="BJ63" s="129">
        <v>0.12</v>
      </c>
      <c r="BK63" s="129">
        <v>0.12</v>
      </c>
      <c r="BL63" s="129">
        <v>0.12</v>
      </c>
      <c r="BM63" s="129">
        <v>0.12</v>
      </c>
      <c r="BN63" s="129">
        <v>0.12</v>
      </c>
      <c r="BO63" s="129">
        <v>0.12</v>
      </c>
      <c r="BP63" s="129">
        <v>0.12</v>
      </c>
      <c r="BQ63" s="129">
        <v>0.12</v>
      </c>
      <c r="BR63" s="129">
        <v>0.12</v>
      </c>
      <c r="BS63" s="129">
        <v>0.12</v>
      </c>
      <c r="BT63" s="129">
        <v>0.12</v>
      </c>
      <c r="BU63" s="129">
        <v>0.12</v>
      </c>
      <c r="BV63" s="129">
        <v>0.12</v>
      </c>
      <c r="BW63" s="129">
        <v>0.12</v>
      </c>
      <c r="BX63" s="129">
        <v>0.12</v>
      </c>
      <c r="BY63" s="129">
        <v>0.12</v>
      </c>
      <c r="BZ63" s="129">
        <v>0.12</v>
      </c>
      <c r="CA63" s="129">
        <v>0.12</v>
      </c>
      <c r="CB63" s="129">
        <v>0.12</v>
      </c>
      <c r="CC63" s="129">
        <v>0.12</v>
      </c>
      <c r="CD63" s="129">
        <v>0.12</v>
      </c>
      <c r="CE63" s="129">
        <v>0.12</v>
      </c>
      <c r="CF63" s="129">
        <v>0.12</v>
      </c>
      <c r="CG63" s="129">
        <v>0.12</v>
      </c>
      <c r="CH63" s="129">
        <v>0.12</v>
      </c>
      <c r="CI63" s="129">
        <v>0.12</v>
      </c>
      <c r="CJ63" s="129">
        <v>0.12</v>
      </c>
      <c r="CK63" s="129">
        <v>0.12</v>
      </c>
      <c r="CL63" s="129">
        <v>0.12</v>
      </c>
      <c r="CM63" s="129">
        <v>0.12</v>
      </c>
      <c r="CN63" s="129">
        <v>0.12</v>
      </c>
      <c r="CO63" s="129">
        <v>0.12</v>
      </c>
      <c r="CP63" s="129">
        <v>0.12</v>
      </c>
      <c r="CQ63" s="129">
        <v>0.12</v>
      </c>
      <c r="CR63" s="129">
        <v>0.12</v>
      </c>
      <c r="CS63" s="129">
        <v>0.12</v>
      </c>
      <c r="CT63" s="129">
        <v>0.12</v>
      </c>
      <c r="CU63" s="129">
        <v>0.12</v>
      </c>
      <c r="CV63" s="129">
        <v>0.12</v>
      </c>
      <c r="CW63" s="129">
        <v>0.12</v>
      </c>
      <c r="CX63" s="129">
        <v>0.12</v>
      </c>
      <c r="CY63" s="129">
        <v>0.12</v>
      </c>
      <c r="CZ63" s="129">
        <v>0.12</v>
      </c>
      <c r="DA63" s="129">
        <v>0.12</v>
      </c>
      <c r="DB63" s="129">
        <v>0.12</v>
      </c>
      <c r="DC63" s="129">
        <v>0.12</v>
      </c>
      <c r="DD63" s="129">
        <v>0.12</v>
      </c>
      <c r="DE63" s="129">
        <v>0.12</v>
      </c>
      <c r="DF63" s="129">
        <v>0.12</v>
      </c>
      <c r="DG63" s="129">
        <v>0.12</v>
      </c>
      <c r="DH63" s="129">
        <v>0.12</v>
      </c>
      <c r="DI63" s="129">
        <v>0.12</v>
      </c>
      <c r="DJ63" s="129">
        <v>0.12</v>
      </c>
      <c r="DK63" s="129">
        <v>0.12</v>
      </c>
      <c r="DL63" s="129">
        <v>0.12</v>
      </c>
      <c r="DM63" s="129">
        <v>0.12</v>
      </c>
      <c r="DN63" s="129">
        <v>0.12</v>
      </c>
      <c r="DO63" s="129">
        <v>0.12</v>
      </c>
      <c r="DP63" s="129">
        <v>0.12</v>
      </c>
      <c r="DQ63" s="129">
        <v>0.12</v>
      </c>
      <c r="DR63" s="129">
        <v>0.12</v>
      </c>
      <c r="DS63" s="129">
        <v>0.12</v>
      </c>
      <c r="DT63" s="129">
        <v>0.12</v>
      </c>
      <c r="DU63" s="129">
        <v>0.12</v>
      </c>
      <c r="DV63" s="129">
        <v>0.12</v>
      </c>
      <c r="DW63" s="129">
        <v>0.12</v>
      </c>
      <c r="DX63" s="129">
        <v>0.12</v>
      </c>
      <c r="DY63" s="129">
        <v>0.12</v>
      </c>
      <c r="DZ63" s="129">
        <v>0.12</v>
      </c>
      <c r="EA63" s="129">
        <v>0.12</v>
      </c>
      <c r="EB63" s="129">
        <v>0.12</v>
      </c>
      <c r="EC63" s="129">
        <v>0.12</v>
      </c>
      <c r="ED63" s="129">
        <v>0.12</v>
      </c>
      <c r="EE63" s="129">
        <v>0.12</v>
      </c>
      <c r="EF63" s="129">
        <v>0.12</v>
      </c>
      <c r="EG63" s="129">
        <v>0.12</v>
      </c>
      <c r="EH63" s="129">
        <v>0.12</v>
      </c>
      <c r="EI63" s="129">
        <v>0.12</v>
      </c>
      <c r="EJ63" s="129">
        <v>0.12</v>
      </c>
      <c r="EK63" s="129">
        <v>0.12</v>
      </c>
      <c r="EL63" s="129">
        <v>0.12</v>
      </c>
      <c r="EM63" s="129">
        <v>0.12</v>
      </c>
      <c r="EN63" s="129">
        <v>0.12</v>
      </c>
      <c r="EO63" s="129">
        <v>0.12</v>
      </c>
      <c r="EP63" s="129">
        <v>0.12</v>
      </c>
      <c r="EQ63" s="129">
        <v>0.12</v>
      </c>
      <c r="ER63" s="129">
        <v>0.12</v>
      </c>
      <c r="ES63" s="129">
        <v>0.12</v>
      </c>
      <c r="ET63" s="129">
        <v>0.12</v>
      </c>
      <c r="EU63" s="129">
        <v>0.12</v>
      </c>
      <c r="EV63" s="129">
        <v>0.12</v>
      </c>
      <c r="EW63" s="129">
        <v>0.12</v>
      </c>
      <c r="EX63" s="129">
        <v>0.12</v>
      </c>
      <c r="EY63" s="129">
        <v>0.12</v>
      </c>
      <c r="EZ63" s="129">
        <v>0.12</v>
      </c>
      <c r="FA63" s="129">
        <v>0.12</v>
      </c>
      <c r="FB63" s="129">
        <v>0.12</v>
      </c>
      <c r="FC63" s="129">
        <v>0.12</v>
      </c>
      <c r="FD63" s="129">
        <v>0.12</v>
      </c>
      <c r="FE63" s="129">
        <v>0.12</v>
      </c>
      <c r="FF63" s="129">
        <v>0.12</v>
      </c>
      <c r="FG63" s="129">
        <v>0.12</v>
      </c>
      <c r="FH63" s="129">
        <v>0.12</v>
      </c>
      <c r="FI63" s="129">
        <v>0.12</v>
      </c>
      <c r="FJ63" s="129">
        <v>0.12</v>
      </c>
      <c r="FK63" s="129">
        <v>0.12</v>
      </c>
      <c r="FL63" s="129">
        <v>0.12</v>
      </c>
      <c r="FM63" s="129">
        <v>0.12</v>
      </c>
      <c r="FN63" s="129">
        <v>0.12</v>
      </c>
      <c r="FO63" s="129">
        <v>0.12</v>
      </c>
      <c r="FP63" s="129">
        <v>0.12</v>
      </c>
      <c r="FQ63" s="129">
        <v>0.12</v>
      </c>
      <c r="FR63" s="129">
        <v>0.12</v>
      </c>
      <c r="FS63" s="129">
        <v>0.12</v>
      </c>
      <c r="FT63" s="129">
        <v>0.12</v>
      </c>
      <c r="FU63" s="129">
        <v>0.12</v>
      </c>
      <c r="FV63" s="129">
        <v>0.12</v>
      </c>
      <c r="FW63" s="129">
        <v>0.12</v>
      </c>
      <c r="FX63" s="129">
        <v>0.12</v>
      </c>
      <c r="FY63" s="129">
        <v>0.12</v>
      </c>
      <c r="FZ63" s="129">
        <v>0.12</v>
      </c>
      <c r="GA63" s="129">
        <v>0.12</v>
      </c>
      <c r="GB63" s="129">
        <v>0.12</v>
      </c>
      <c r="GC63" s="129">
        <v>0.12</v>
      </c>
      <c r="GD63" s="129">
        <v>0.12</v>
      </c>
      <c r="GE63" s="129">
        <v>0.12</v>
      </c>
      <c r="GF63" s="129">
        <v>0.12</v>
      </c>
      <c r="GG63" s="129">
        <v>0.12</v>
      </c>
      <c r="GH63" s="129">
        <v>0.12</v>
      </c>
      <c r="GI63" s="129">
        <v>0.12</v>
      </c>
      <c r="GJ63" s="129">
        <v>0.12</v>
      </c>
      <c r="GK63" s="129">
        <v>0.12</v>
      </c>
      <c r="GL63" s="129">
        <v>0.12</v>
      </c>
      <c r="GM63" s="129">
        <v>0.12</v>
      </c>
      <c r="GN63" s="129">
        <v>0.12</v>
      </c>
      <c r="GO63" s="129">
        <v>0.12</v>
      </c>
      <c r="GP63" s="129">
        <v>0.12</v>
      </c>
      <c r="GQ63" s="129">
        <v>0.12</v>
      </c>
      <c r="GS63" s="80" t="s">
        <v>251</v>
      </c>
      <c r="GT63" s="90"/>
      <c r="GU63" s="90"/>
      <c r="GV63" s="90"/>
      <c r="GW63" s="90"/>
      <c r="GX63" s="90"/>
      <c r="GY63" s="81" t="s">
        <v>224</v>
      </c>
      <c r="GZ63" s="82">
        <v>1</v>
      </c>
      <c r="HA63" s="82">
        <f t="shared" ref="HA63:IF63" si="332">GZ63+1</f>
        <v>2</v>
      </c>
      <c r="HB63" s="82">
        <f t="shared" si="332"/>
        <v>3</v>
      </c>
      <c r="HC63" s="82">
        <f t="shared" si="332"/>
        <v>4</v>
      </c>
      <c r="HD63" s="82">
        <f t="shared" si="332"/>
        <v>5</v>
      </c>
      <c r="HE63" s="82">
        <f t="shared" si="332"/>
        <v>6</v>
      </c>
      <c r="HF63" s="82">
        <f t="shared" si="332"/>
        <v>7</v>
      </c>
      <c r="HG63" s="82">
        <f t="shared" si="332"/>
        <v>8</v>
      </c>
      <c r="HH63" s="82">
        <f t="shared" si="332"/>
        <v>9</v>
      </c>
      <c r="HI63" s="82">
        <f t="shared" si="332"/>
        <v>10</v>
      </c>
      <c r="HJ63" s="82">
        <f t="shared" si="332"/>
        <v>11</v>
      </c>
      <c r="HK63" s="82">
        <f t="shared" si="332"/>
        <v>12</v>
      </c>
      <c r="HL63" s="82">
        <f t="shared" si="332"/>
        <v>13</v>
      </c>
      <c r="HM63" s="82">
        <f t="shared" si="332"/>
        <v>14</v>
      </c>
      <c r="HN63" s="82">
        <f t="shared" si="332"/>
        <v>15</v>
      </c>
      <c r="HO63" s="82">
        <f t="shared" si="332"/>
        <v>16</v>
      </c>
      <c r="HP63" s="82">
        <f t="shared" si="332"/>
        <v>17</v>
      </c>
      <c r="HQ63" s="82">
        <f t="shared" si="332"/>
        <v>18</v>
      </c>
      <c r="HR63" s="82">
        <f t="shared" si="332"/>
        <v>19</v>
      </c>
      <c r="HS63" s="82">
        <f t="shared" si="332"/>
        <v>20</v>
      </c>
      <c r="HT63" s="82">
        <f t="shared" si="332"/>
        <v>21</v>
      </c>
      <c r="HU63" s="82">
        <f t="shared" si="332"/>
        <v>22</v>
      </c>
      <c r="HV63" s="82">
        <f t="shared" si="332"/>
        <v>23</v>
      </c>
      <c r="HW63" s="82">
        <f t="shared" si="332"/>
        <v>24</v>
      </c>
      <c r="HX63" s="82">
        <f t="shared" si="332"/>
        <v>25</v>
      </c>
      <c r="HY63" s="82">
        <f t="shared" si="332"/>
        <v>26</v>
      </c>
      <c r="HZ63" s="82">
        <f t="shared" si="332"/>
        <v>27</v>
      </c>
      <c r="IA63" s="82">
        <f t="shared" si="332"/>
        <v>28</v>
      </c>
      <c r="IB63" s="82">
        <f t="shared" si="332"/>
        <v>29</v>
      </c>
      <c r="IC63" s="82">
        <f t="shared" si="332"/>
        <v>30</v>
      </c>
      <c r="ID63" s="82">
        <f t="shared" si="332"/>
        <v>31</v>
      </c>
      <c r="IE63" s="82">
        <f t="shared" si="332"/>
        <v>32</v>
      </c>
      <c r="IF63" s="82">
        <f t="shared" si="332"/>
        <v>33</v>
      </c>
      <c r="IG63" s="82">
        <f t="shared" ref="IG63:JL63" si="333">IF63+1</f>
        <v>34</v>
      </c>
      <c r="IH63" s="82">
        <f t="shared" si="333"/>
        <v>35</v>
      </c>
      <c r="II63" s="82">
        <f t="shared" si="333"/>
        <v>36</v>
      </c>
      <c r="IJ63" s="82">
        <f t="shared" si="333"/>
        <v>37</v>
      </c>
      <c r="IK63" s="82">
        <f t="shared" si="333"/>
        <v>38</v>
      </c>
      <c r="IL63" s="82">
        <f t="shared" si="333"/>
        <v>39</v>
      </c>
      <c r="IM63" s="82">
        <f t="shared" si="333"/>
        <v>40</v>
      </c>
      <c r="IN63" s="82">
        <f t="shared" si="333"/>
        <v>41</v>
      </c>
      <c r="IO63" s="82">
        <f t="shared" si="333"/>
        <v>42</v>
      </c>
      <c r="IP63" s="82">
        <f t="shared" si="333"/>
        <v>43</v>
      </c>
      <c r="IQ63" s="82">
        <f t="shared" si="333"/>
        <v>44</v>
      </c>
      <c r="IR63" s="82">
        <f t="shared" si="333"/>
        <v>45</v>
      </c>
      <c r="IS63" s="82">
        <f t="shared" si="333"/>
        <v>46</v>
      </c>
      <c r="IT63" s="82">
        <f t="shared" si="333"/>
        <v>47</v>
      </c>
      <c r="IU63" s="82">
        <f t="shared" si="333"/>
        <v>48</v>
      </c>
      <c r="IV63" s="82">
        <f t="shared" si="333"/>
        <v>49</v>
      </c>
      <c r="IW63" s="82">
        <f t="shared" si="333"/>
        <v>50</v>
      </c>
      <c r="IX63" s="82">
        <f t="shared" si="333"/>
        <v>51</v>
      </c>
      <c r="IY63" s="82">
        <f t="shared" si="333"/>
        <v>52</v>
      </c>
      <c r="IZ63" s="82">
        <f t="shared" si="333"/>
        <v>53</v>
      </c>
      <c r="JA63" s="82">
        <f t="shared" si="333"/>
        <v>54</v>
      </c>
      <c r="JB63" s="82">
        <f t="shared" si="333"/>
        <v>55</v>
      </c>
      <c r="JC63" s="82">
        <f t="shared" si="333"/>
        <v>56</v>
      </c>
      <c r="JD63" s="82">
        <f t="shared" si="333"/>
        <v>57</v>
      </c>
      <c r="JE63" s="82">
        <f t="shared" si="333"/>
        <v>58</v>
      </c>
      <c r="JF63" s="82">
        <f t="shared" si="333"/>
        <v>59</v>
      </c>
      <c r="JG63" s="82">
        <f t="shared" si="333"/>
        <v>60</v>
      </c>
      <c r="JH63" s="82">
        <f t="shared" si="333"/>
        <v>61</v>
      </c>
      <c r="JI63" s="82">
        <f t="shared" si="333"/>
        <v>62</v>
      </c>
      <c r="JJ63" s="82">
        <f t="shared" si="333"/>
        <v>63</v>
      </c>
      <c r="JK63" s="82">
        <f t="shared" si="333"/>
        <v>64</v>
      </c>
      <c r="JL63" s="82">
        <f t="shared" si="333"/>
        <v>65</v>
      </c>
      <c r="JM63" s="82">
        <f t="shared" ref="JM63:KR63" si="334">JL63+1</f>
        <v>66</v>
      </c>
      <c r="JN63" s="82">
        <f t="shared" si="334"/>
        <v>67</v>
      </c>
      <c r="JO63" s="82">
        <f t="shared" si="334"/>
        <v>68</v>
      </c>
      <c r="JP63" s="82">
        <f t="shared" si="334"/>
        <v>69</v>
      </c>
      <c r="JQ63" s="82">
        <f t="shared" si="334"/>
        <v>70</v>
      </c>
      <c r="JR63" s="82">
        <f t="shared" si="334"/>
        <v>71</v>
      </c>
      <c r="JS63" s="82">
        <f t="shared" si="334"/>
        <v>72</v>
      </c>
      <c r="JT63" s="82">
        <f t="shared" si="334"/>
        <v>73</v>
      </c>
      <c r="JU63" s="82">
        <f t="shared" si="334"/>
        <v>74</v>
      </c>
      <c r="JV63" s="82">
        <f t="shared" si="334"/>
        <v>75</v>
      </c>
      <c r="JW63" s="82">
        <f t="shared" si="334"/>
        <v>76</v>
      </c>
      <c r="JX63" s="82">
        <f t="shared" si="334"/>
        <v>77</v>
      </c>
      <c r="JY63" s="82">
        <f t="shared" si="334"/>
        <v>78</v>
      </c>
      <c r="JZ63" s="82">
        <f t="shared" si="334"/>
        <v>79</v>
      </c>
      <c r="KA63" s="82">
        <f t="shared" si="334"/>
        <v>80</v>
      </c>
      <c r="KB63" s="82">
        <f t="shared" si="334"/>
        <v>81</v>
      </c>
      <c r="KC63" s="82">
        <f t="shared" si="334"/>
        <v>82</v>
      </c>
      <c r="KD63" s="82">
        <f t="shared" si="334"/>
        <v>83</v>
      </c>
      <c r="KE63" s="82">
        <f t="shared" si="334"/>
        <v>84</v>
      </c>
      <c r="KF63" s="82">
        <f t="shared" si="334"/>
        <v>85</v>
      </c>
      <c r="KG63" s="82">
        <f t="shared" si="334"/>
        <v>86</v>
      </c>
      <c r="KH63" s="82">
        <f t="shared" si="334"/>
        <v>87</v>
      </c>
      <c r="KI63" s="82">
        <f t="shared" si="334"/>
        <v>88</v>
      </c>
      <c r="KJ63" s="82">
        <f t="shared" si="334"/>
        <v>89</v>
      </c>
      <c r="KK63" s="82">
        <f t="shared" si="334"/>
        <v>90</v>
      </c>
      <c r="KL63" s="82">
        <f t="shared" si="334"/>
        <v>91</v>
      </c>
      <c r="KM63" s="82">
        <f t="shared" si="334"/>
        <v>92</v>
      </c>
      <c r="KN63" s="82">
        <f t="shared" si="334"/>
        <v>93</v>
      </c>
      <c r="KO63" s="82">
        <f t="shared" si="334"/>
        <v>94</v>
      </c>
      <c r="KP63" s="82">
        <f t="shared" si="334"/>
        <v>95</v>
      </c>
      <c r="KQ63" s="82">
        <f t="shared" si="334"/>
        <v>96</v>
      </c>
      <c r="KR63" s="82">
        <f t="shared" si="334"/>
        <v>97</v>
      </c>
      <c r="KS63" s="82">
        <f t="shared" ref="KS63:LX63" si="335">KR63+1</f>
        <v>98</v>
      </c>
      <c r="KT63" s="82">
        <f t="shared" si="335"/>
        <v>99</v>
      </c>
      <c r="KU63" s="82">
        <f t="shared" si="335"/>
        <v>100</v>
      </c>
      <c r="KV63" s="82">
        <f t="shared" si="335"/>
        <v>101</v>
      </c>
      <c r="KW63" s="82">
        <f t="shared" si="335"/>
        <v>102</v>
      </c>
      <c r="KX63" s="82">
        <f t="shared" si="335"/>
        <v>103</v>
      </c>
      <c r="KY63" s="82">
        <f t="shared" si="335"/>
        <v>104</v>
      </c>
      <c r="KZ63" s="82">
        <f t="shared" si="335"/>
        <v>105</v>
      </c>
      <c r="LA63" s="82">
        <f t="shared" si="335"/>
        <v>106</v>
      </c>
      <c r="LB63" s="82">
        <f t="shared" si="335"/>
        <v>107</v>
      </c>
      <c r="LC63" s="82">
        <f t="shared" si="335"/>
        <v>108</v>
      </c>
      <c r="LD63" s="82">
        <f t="shared" si="335"/>
        <v>109</v>
      </c>
      <c r="LE63" s="82">
        <f t="shared" si="335"/>
        <v>110</v>
      </c>
      <c r="LF63" s="82">
        <f t="shared" si="335"/>
        <v>111</v>
      </c>
      <c r="LG63" s="82">
        <f t="shared" si="335"/>
        <v>112</v>
      </c>
      <c r="LH63" s="82">
        <f t="shared" si="335"/>
        <v>113</v>
      </c>
      <c r="LI63" s="82">
        <f t="shared" si="335"/>
        <v>114</v>
      </c>
      <c r="LJ63" s="82">
        <f t="shared" si="335"/>
        <v>115</v>
      </c>
      <c r="LK63" s="82">
        <f t="shared" si="335"/>
        <v>116</v>
      </c>
      <c r="LL63" s="82">
        <f t="shared" si="335"/>
        <v>117</v>
      </c>
      <c r="LM63" s="82">
        <f t="shared" si="335"/>
        <v>118</v>
      </c>
      <c r="LN63" s="82">
        <f t="shared" si="335"/>
        <v>119</v>
      </c>
      <c r="LO63" s="82">
        <f t="shared" si="335"/>
        <v>120</v>
      </c>
      <c r="LP63" s="82">
        <f t="shared" si="335"/>
        <v>121</v>
      </c>
      <c r="LQ63" s="82">
        <f t="shared" si="335"/>
        <v>122</v>
      </c>
      <c r="LR63" s="82">
        <f t="shared" si="335"/>
        <v>123</v>
      </c>
      <c r="LS63" s="82">
        <f t="shared" si="335"/>
        <v>124</v>
      </c>
      <c r="LT63" s="82">
        <f t="shared" si="335"/>
        <v>125</v>
      </c>
      <c r="LU63" s="82">
        <f t="shared" si="335"/>
        <v>126</v>
      </c>
      <c r="LV63" s="82">
        <f t="shared" si="335"/>
        <v>127</v>
      </c>
      <c r="LW63" s="82">
        <f t="shared" si="335"/>
        <v>128</v>
      </c>
      <c r="LX63" s="82">
        <f t="shared" si="335"/>
        <v>129</v>
      </c>
      <c r="LY63" s="82">
        <f t="shared" ref="LY63:ND63" si="336">LX63+1</f>
        <v>130</v>
      </c>
      <c r="LZ63" s="82">
        <f t="shared" si="336"/>
        <v>131</v>
      </c>
      <c r="MA63" s="82">
        <f t="shared" si="336"/>
        <v>132</v>
      </c>
      <c r="MB63" s="82">
        <f t="shared" si="336"/>
        <v>133</v>
      </c>
      <c r="MC63" s="82">
        <f t="shared" si="336"/>
        <v>134</v>
      </c>
      <c r="MD63" s="82">
        <f t="shared" si="336"/>
        <v>135</v>
      </c>
      <c r="ME63" s="82">
        <f t="shared" si="336"/>
        <v>136</v>
      </c>
      <c r="MF63" s="82">
        <f t="shared" si="336"/>
        <v>137</v>
      </c>
      <c r="MG63" s="82">
        <f t="shared" si="336"/>
        <v>138</v>
      </c>
      <c r="MH63" s="82">
        <f t="shared" si="336"/>
        <v>139</v>
      </c>
      <c r="MI63" s="82">
        <f t="shared" si="336"/>
        <v>140</v>
      </c>
      <c r="MJ63" s="82">
        <f t="shared" si="336"/>
        <v>141</v>
      </c>
      <c r="MK63" s="82">
        <f t="shared" si="336"/>
        <v>142</v>
      </c>
      <c r="ML63" s="82">
        <f t="shared" si="336"/>
        <v>143</v>
      </c>
      <c r="MM63" s="82">
        <f t="shared" si="336"/>
        <v>144</v>
      </c>
      <c r="MN63" s="82">
        <f t="shared" si="336"/>
        <v>145</v>
      </c>
      <c r="MO63" s="82">
        <f t="shared" si="336"/>
        <v>146</v>
      </c>
      <c r="MP63" s="82">
        <f t="shared" si="336"/>
        <v>147</v>
      </c>
      <c r="MQ63" s="82">
        <f t="shared" si="336"/>
        <v>148</v>
      </c>
      <c r="MR63" s="82">
        <f t="shared" si="336"/>
        <v>149</v>
      </c>
      <c r="MS63" s="82">
        <f t="shared" si="336"/>
        <v>150</v>
      </c>
      <c r="MT63" s="82">
        <f t="shared" si="336"/>
        <v>151</v>
      </c>
      <c r="MU63" s="82">
        <f t="shared" si="336"/>
        <v>152</v>
      </c>
      <c r="MV63" s="82">
        <f t="shared" si="336"/>
        <v>153</v>
      </c>
      <c r="MW63" s="82">
        <f t="shared" si="336"/>
        <v>154</v>
      </c>
      <c r="MX63" s="82">
        <f t="shared" si="336"/>
        <v>155</v>
      </c>
      <c r="MY63" s="82">
        <f t="shared" si="336"/>
        <v>156</v>
      </c>
      <c r="MZ63" s="82">
        <f t="shared" si="336"/>
        <v>157</v>
      </c>
      <c r="NA63" s="82">
        <f t="shared" si="336"/>
        <v>158</v>
      </c>
      <c r="NB63" s="82">
        <f t="shared" si="336"/>
        <v>159</v>
      </c>
      <c r="NC63" s="82">
        <f t="shared" si="336"/>
        <v>160</v>
      </c>
      <c r="ND63" s="82">
        <f t="shared" si="336"/>
        <v>161</v>
      </c>
      <c r="NE63" s="82">
        <f t="shared" ref="NE63:NW63" si="337">ND63+1</f>
        <v>162</v>
      </c>
      <c r="NF63" s="82">
        <f t="shared" si="337"/>
        <v>163</v>
      </c>
      <c r="NG63" s="82">
        <f t="shared" si="337"/>
        <v>164</v>
      </c>
      <c r="NH63" s="82">
        <f t="shared" si="337"/>
        <v>165</v>
      </c>
      <c r="NI63" s="82">
        <f t="shared" si="337"/>
        <v>166</v>
      </c>
      <c r="NJ63" s="82">
        <f t="shared" si="337"/>
        <v>167</v>
      </c>
      <c r="NK63" s="82">
        <f t="shared" si="337"/>
        <v>168</v>
      </c>
      <c r="NL63" s="82">
        <f t="shared" si="337"/>
        <v>169</v>
      </c>
      <c r="NM63" s="82">
        <f t="shared" si="337"/>
        <v>170</v>
      </c>
      <c r="NN63" s="82">
        <f t="shared" si="337"/>
        <v>171</v>
      </c>
      <c r="NO63" s="82">
        <f t="shared" si="337"/>
        <v>172</v>
      </c>
      <c r="NP63" s="82">
        <f t="shared" si="337"/>
        <v>173</v>
      </c>
      <c r="NQ63" s="82">
        <f t="shared" si="337"/>
        <v>174</v>
      </c>
      <c r="NR63" s="82">
        <f t="shared" si="337"/>
        <v>175</v>
      </c>
      <c r="NS63" s="82">
        <f t="shared" si="337"/>
        <v>176</v>
      </c>
      <c r="NT63" s="82">
        <f t="shared" si="337"/>
        <v>177</v>
      </c>
      <c r="NU63" s="82">
        <f t="shared" si="337"/>
        <v>178</v>
      </c>
      <c r="NV63" s="82">
        <f t="shared" si="337"/>
        <v>179</v>
      </c>
      <c r="NW63" s="82">
        <f t="shared" si="337"/>
        <v>180</v>
      </c>
    </row>
    <row r="64" spans="2:387" x14ac:dyDescent="0.3">
      <c r="B64" s="137" t="s">
        <v>252</v>
      </c>
      <c r="C64" s="19"/>
      <c r="D64" s="97">
        <f>SUM(D62:D63)</f>
        <v>0.85</v>
      </c>
      <c r="E64" s="19"/>
      <c r="F64" s="139">
        <f>IFERROR(AVERAGEIF(GZ60:NW60,"&gt;0"),"NA")</f>
        <v>6.7058823529411643E-2</v>
      </c>
      <c r="G64" s="19"/>
      <c r="H64" s="19"/>
      <c r="I64" s="21"/>
      <c r="J64" s="23">
        <f>L64/$L$8</f>
        <v>41077.405619786259</v>
      </c>
      <c r="K64" s="29">
        <f>L64/$L$7</f>
        <v>5.4297720072131259</v>
      </c>
      <c r="L64" s="23">
        <f>SUM(L62:L63)</f>
        <v>9447803.2925508395</v>
      </c>
      <c r="S64" s="67" t="s">
        <v>253</v>
      </c>
      <c r="T64" s="14">
        <f>GZ69+GZ75</f>
        <v>1397606.6936344241</v>
      </c>
      <c r="U64" s="14">
        <f t="shared" ref="U64:CF64" si="338">HA69+HA75</f>
        <v>1491307.4756985968</v>
      </c>
      <c r="V64" s="14">
        <f t="shared" si="338"/>
        <v>1590897.0763245539</v>
      </c>
      <c r="W64" s="14">
        <f t="shared" si="338"/>
        <v>1699675.554366735</v>
      </c>
      <c r="X64" s="14">
        <f t="shared" si="338"/>
        <v>1822287.7615004166</v>
      </c>
      <c r="Y64" s="14">
        <f t="shared" si="338"/>
        <v>1964858.7157590415</v>
      </c>
      <c r="Z64" s="14">
        <f t="shared" si="338"/>
        <v>2134900.1089318437</v>
      </c>
      <c r="AA64" s="14">
        <f t="shared" si="338"/>
        <v>2388492.3756622416</v>
      </c>
      <c r="AB64" s="14">
        <f t="shared" si="338"/>
        <v>2651160.3248953144</v>
      </c>
      <c r="AC64" s="14">
        <f t="shared" si="338"/>
        <v>582536.16543765529</v>
      </c>
      <c r="AD64" s="14">
        <f t="shared" si="338"/>
        <v>901745.81476583041</v>
      </c>
      <c r="AE64" s="14">
        <f t="shared" si="338"/>
        <v>0</v>
      </c>
      <c r="AF64" s="14">
        <f t="shared" si="338"/>
        <v>423441.08920777583</v>
      </c>
      <c r="AG64" s="14">
        <f t="shared" si="338"/>
        <v>891085.2170926783</v>
      </c>
      <c r="AH64" s="14">
        <f t="shared" si="338"/>
        <v>1388671.7855599488</v>
      </c>
      <c r="AI64" s="14">
        <f t="shared" si="338"/>
        <v>893919.22228567314</v>
      </c>
      <c r="AJ64" s="14">
        <f t="shared" si="338"/>
        <v>1391521.6278407869</v>
      </c>
      <c r="AK64" s="14">
        <f t="shared" si="338"/>
        <v>1174875.6175592267</v>
      </c>
      <c r="AL64" s="14">
        <f t="shared" si="338"/>
        <v>600257.18815924507</v>
      </c>
      <c r="AM64" s="14">
        <f t="shared" si="338"/>
        <v>1030492.89726703</v>
      </c>
      <c r="AN64" s="14">
        <f t="shared" si="338"/>
        <v>717505.83421425137</v>
      </c>
      <c r="AO64" s="14">
        <f t="shared" si="338"/>
        <v>278374.20848513907</v>
      </c>
      <c r="AP64" s="14">
        <f t="shared" si="338"/>
        <v>545000.32090163417</v>
      </c>
      <c r="AQ64" s="14">
        <f t="shared" si="338"/>
        <v>59352.567808166372</v>
      </c>
      <c r="AR64" s="14">
        <f t="shared" si="338"/>
        <v>235035.51992118126</v>
      </c>
      <c r="AS64" s="14">
        <f t="shared" si="338"/>
        <v>385026.51083209645</v>
      </c>
      <c r="AT64" s="14">
        <f t="shared" si="338"/>
        <v>0</v>
      </c>
      <c r="AU64" s="14">
        <f t="shared" si="338"/>
        <v>116178.14650030635</v>
      </c>
      <c r="AV64" s="14">
        <f t="shared" si="338"/>
        <v>169373.17652421189</v>
      </c>
      <c r="AW64" s="14">
        <f t="shared" si="338"/>
        <v>84506.639984365174</v>
      </c>
      <c r="AX64" s="14">
        <f t="shared" si="338"/>
        <v>0</v>
      </c>
      <c r="AY64" s="14">
        <f t="shared" si="338"/>
        <v>0</v>
      </c>
      <c r="AZ64" s="14">
        <f t="shared" si="338"/>
        <v>0</v>
      </c>
      <c r="BA64" s="14">
        <f t="shared" si="338"/>
        <v>0</v>
      </c>
      <c r="BB64" s="14">
        <f t="shared" si="338"/>
        <v>0</v>
      </c>
      <c r="BC64" s="14">
        <f t="shared" si="338"/>
        <v>0</v>
      </c>
      <c r="BD64" s="14">
        <f t="shared" si="338"/>
        <v>0</v>
      </c>
      <c r="BE64" s="14">
        <f t="shared" si="338"/>
        <v>0</v>
      </c>
      <c r="BF64" s="14">
        <f t="shared" si="338"/>
        <v>0</v>
      </c>
      <c r="BG64" s="14">
        <f t="shared" si="338"/>
        <v>0</v>
      </c>
      <c r="BH64" s="14">
        <f t="shared" si="338"/>
        <v>0</v>
      </c>
      <c r="BI64" s="14">
        <f t="shared" si="338"/>
        <v>0</v>
      </c>
      <c r="BJ64" s="14">
        <f t="shared" si="338"/>
        <v>0</v>
      </c>
      <c r="BK64" s="14">
        <f t="shared" si="338"/>
        <v>0</v>
      </c>
      <c r="BL64" s="14">
        <f t="shared" si="338"/>
        <v>0</v>
      </c>
      <c r="BM64" s="14">
        <f t="shared" si="338"/>
        <v>0</v>
      </c>
      <c r="BN64" s="14">
        <f t="shared" si="338"/>
        <v>0</v>
      </c>
      <c r="BO64" s="14">
        <f t="shared" si="338"/>
        <v>0</v>
      </c>
      <c r="BP64" s="14">
        <f t="shared" si="338"/>
        <v>0</v>
      </c>
      <c r="BQ64" s="14">
        <f t="shared" si="338"/>
        <v>0</v>
      </c>
      <c r="BR64" s="14">
        <f t="shared" si="338"/>
        <v>0</v>
      </c>
      <c r="BS64" s="14">
        <f t="shared" si="338"/>
        <v>0</v>
      </c>
      <c r="BT64" s="14">
        <f t="shared" si="338"/>
        <v>0</v>
      </c>
      <c r="BU64" s="14">
        <f t="shared" si="338"/>
        <v>0</v>
      </c>
      <c r="BV64" s="14">
        <f t="shared" si="338"/>
        <v>0</v>
      </c>
      <c r="BW64" s="14">
        <f t="shared" si="338"/>
        <v>0</v>
      </c>
      <c r="BX64" s="14">
        <f t="shared" si="338"/>
        <v>0</v>
      </c>
      <c r="BY64" s="14">
        <f t="shared" si="338"/>
        <v>0</v>
      </c>
      <c r="BZ64" s="14">
        <f t="shared" si="338"/>
        <v>0</v>
      </c>
      <c r="CA64" s="14">
        <f t="shared" si="338"/>
        <v>0</v>
      </c>
      <c r="CB64" s="14">
        <f t="shared" si="338"/>
        <v>0</v>
      </c>
      <c r="CC64" s="14">
        <f t="shared" si="338"/>
        <v>0</v>
      </c>
      <c r="CD64" s="14">
        <f t="shared" si="338"/>
        <v>0</v>
      </c>
      <c r="CE64" s="14">
        <f t="shared" si="338"/>
        <v>0</v>
      </c>
      <c r="CF64" s="14">
        <f t="shared" si="338"/>
        <v>0</v>
      </c>
      <c r="CG64" s="14">
        <f t="shared" ref="CG64:ER64" si="339">JM69+JM75</f>
        <v>0</v>
      </c>
      <c r="CH64" s="14">
        <f t="shared" si="339"/>
        <v>0</v>
      </c>
      <c r="CI64" s="14">
        <f t="shared" si="339"/>
        <v>0</v>
      </c>
      <c r="CJ64" s="14">
        <f t="shared" si="339"/>
        <v>0</v>
      </c>
      <c r="CK64" s="14">
        <f t="shared" si="339"/>
        <v>0</v>
      </c>
      <c r="CL64" s="14">
        <f t="shared" si="339"/>
        <v>0</v>
      </c>
      <c r="CM64" s="14">
        <f t="shared" si="339"/>
        <v>0</v>
      </c>
      <c r="CN64" s="14">
        <f t="shared" si="339"/>
        <v>0</v>
      </c>
      <c r="CO64" s="14">
        <f t="shared" si="339"/>
        <v>0</v>
      </c>
      <c r="CP64" s="14">
        <f t="shared" si="339"/>
        <v>0</v>
      </c>
      <c r="CQ64" s="14">
        <f t="shared" si="339"/>
        <v>0</v>
      </c>
      <c r="CR64" s="14">
        <f t="shared" si="339"/>
        <v>0</v>
      </c>
      <c r="CS64" s="14">
        <f t="shared" si="339"/>
        <v>0</v>
      </c>
      <c r="CT64" s="14">
        <f t="shared" si="339"/>
        <v>0</v>
      </c>
      <c r="CU64" s="14">
        <f t="shared" si="339"/>
        <v>0</v>
      </c>
      <c r="CV64" s="14">
        <f t="shared" si="339"/>
        <v>0</v>
      </c>
      <c r="CW64" s="14">
        <f t="shared" si="339"/>
        <v>0</v>
      </c>
      <c r="CX64" s="14">
        <f t="shared" si="339"/>
        <v>0</v>
      </c>
      <c r="CY64" s="14">
        <f t="shared" si="339"/>
        <v>0</v>
      </c>
      <c r="CZ64" s="14">
        <f t="shared" si="339"/>
        <v>0</v>
      </c>
      <c r="DA64" s="14">
        <f t="shared" si="339"/>
        <v>0</v>
      </c>
      <c r="DB64" s="14">
        <f t="shared" si="339"/>
        <v>0</v>
      </c>
      <c r="DC64" s="14">
        <f t="shared" si="339"/>
        <v>0</v>
      </c>
      <c r="DD64" s="14">
        <f t="shared" si="339"/>
        <v>0</v>
      </c>
      <c r="DE64" s="14">
        <f t="shared" si="339"/>
        <v>0</v>
      </c>
      <c r="DF64" s="14">
        <f t="shared" si="339"/>
        <v>0</v>
      </c>
      <c r="DG64" s="14">
        <f t="shared" si="339"/>
        <v>0</v>
      </c>
      <c r="DH64" s="14">
        <f t="shared" si="339"/>
        <v>0</v>
      </c>
      <c r="DI64" s="14">
        <f t="shared" si="339"/>
        <v>0</v>
      </c>
      <c r="DJ64" s="14">
        <f t="shared" si="339"/>
        <v>0</v>
      </c>
      <c r="DK64" s="14">
        <f t="shared" si="339"/>
        <v>0</v>
      </c>
      <c r="DL64" s="14">
        <f t="shared" si="339"/>
        <v>0</v>
      </c>
      <c r="DM64" s="14">
        <f t="shared" si="339"/>
        <v>0</v>
      </c>
      <c r="DN64" s="14">
        <f t="shared" si="339"/>
        <v>0</v>
      </c>
      <c r="DO64" s="14">
        <f t="shared" si="339"/>
        <v>0</v>
      </c>
      <c r="DP64" s="14">
        <f t="shared" si="339"/>
        <v>0</v>
      </c>
      <c r="DQ64" s="14">
        <f t="shared" si="339"/>
        <v>0</v>
      </c>
      <c r="DR64" s="14">
        <f t="shared" si="339"/>
        <v>0</v>
      </c>
      <c r="DS64" s="14">
        <f t="shared" si="339"/>
        <v>0</v>
      </c>
      <c r="DT64" s="14">
        <f t="shared" si="339"/>
        <v>0</v>
      </c>
      <c r="DU64" s="14">
        <f t="shared" si="339"/>
        <v>0</v>
      </c>
      <c r="DV64" s="14">
        <f t="shared" si="339"/>
        <v>0</v>
      </c>
      <c r="DW64" s="14">
        <f t="shared" si="339"/>
        <v>0</v>
      </c>
      <c r="DX64" s="14">
        <f t="shared" si="339"/>
        <v>0</v>
      </c>
      <c r="DY64" s="14">
        <f t="shared" si="339"/>
        <v>0</v>
      </c>
      <c r="DZ64" s="14">
        <f t="shared" si="339"/>
        <v>0</v>
      </c>
      <c r="EA64" s="14">
        <f t="shared" si="339"/>
        <v>0</v>
      </c>
      <c r="EB64" s="14">
        <f t="shared" si="339"/>
        <v>0</v>
      </c>
      <c r="EC64" s="14">
        <f t="shared" si="339"/>
        <v>0</v>
      </c>
      <c r="ED64" s="14">
        <f t="shared" si="339"/>
        <v>0</v>
      </c>
      <c r="EE64" s="14">
        <f t="shared" si="339"/>
        <v>0</v>
      </c>
      <c r="EF64" s="14">
        <f t="shared" si="339"/>
        <v>0</v>
      </c>
      <c r="EG64" s="14">
        <f t="shared" si="339"/>
        <v>0</v>
      </c>
      <c r="EH64" s="14">
        <f t="shared" si="339"/>
        <v>0</v>
      </c>
      <c r="EI64" s="14">
        <f t="shared" si="339"/>
        <v>0</v>
      </c>
      <c r="EJ64" s="14">
        <f t="shared" si="339"/>
        <v>0</v>
      </c>
      <c r="EK64" s="14">
        <f t="shared" si="339"/>
        <v>0</v>
      </c>
      <c r="EL64" s="14">
        <f t="shared" si="339"/>
        <v>0</v>
      </c>
      <c r="EM64" s="14">
        <f t="shared" si="339"/>
        <v>0</v>
      </c>
      <c r="EN64" s="14">
        <f t="shared" si="339"/>
        <v>0</v>
      </c>
      <c r="EO64" s="14">
        <f t="shared" si="339"/>
        <v>0</v>
      </c>
      <c r="EP64" s="14">
        <f t="shared" si="339"/>
        <v>0</v>
      </c>
      <c r="EQ64" s="14">
        <f t="shared" si="339"/>
        <v>0</v>
      </c>
      <c r="ER64" s="14">
        <f t="shared" si="339"/>
        <v>0</v>
      </c>
      <c r="ES64" s="14">
        <f t="shared" ref="ES64:GQ64" si="340">LY69+LY75</f>
        <v>0</v>
      </c>
      <c r="ET64" s="14">
        <f t="shared" si="340"/>
        <v>0</v>
      </c>
      <c r="EU64" s="14">
        <f t="shared" si="340"/>
        <v>0</v>
      </c>
      <c r="EV64" s="14">
        <f t="shared" si="340"/>
        <v>0</v>
      </c>
      <c r="EW64" s="14">
        <f t="shared" si="340"/>
        <v>0</v>
      </c>
      <c r="EX64" s="14">
        <f t="shared" si="340"/>
        <v>0</v>
      </c>
      <c r="EY64" s="14">
        <f t="shared" si="340"/>
        <v>0</v>
      </c>
      <c r="EZ64" s="14">
        <f t="shared" si="340"/>
        <v>0</v>
      </c>
      <c r="FA64" s="14">
        <f t="shared" si="340"/>
        <v>0</v>
      </c>
      <c r="FB64" s="14">
        <f t="shared" si="340"/>
        <v>0</v>
      </c>
      <c r="FC64" s="14">
        <f t="shared" si="340"/>
        <v>0</v>
      </c>
      <c r="FD64" s="14">
        <f t="shared" si="340"/>
        <v>0</v>
      </c>
      <c r="FE64" s="14">
        <f t="shared" si="340"/>
        <v>0</v>
      </c>
      <c r="FF64" s="14">
        <f t="shared" si="340"/>
        <v>0</v>
      </c>
      <c r="FG64" s="14">
        <f t="shared" si="340"/>
        <v>0</v>
      </c>
      <c r="FH64" s="14">
        <f t="shared" si="340"/>
        <v>0</v>
      </c>
      <c r="FI64" s="14">
        <f t="shared" si="340"/>
        <v>0</v>
      </c>
      <c r="FJ64" s="14">
        <f t="shared" si="340"/>
        <v>0</v>
      </c>
      <c r="FK64" s="14">
        <f t="shared" si="340"/>
        <v>0</v>
      </c>
      <c r="FL64" s="14">
        <f t="shared" si="340"/>
        <v>0</v>
      </c>
      <c r="FM64" s="14">
        <f t="shared" si="340"/>
        <v>0</v>
      </c>
      <c r="FN64" s="14">
        <f t="shared" si="340"/>
        <v>0</v>
      </c>
      <c r="FO64" s="14">
        <f t="shared" si="340"/>
        <v>0</v>
      </c>
      <c r="FP64" s="14">
        <f t="shared" si="340"/>
        <v>0</v>
      </c>
      <c r="FQ64" s="14">
        <f t="shared" si="340"/>
        <v>0</v>
      </c>
      <c r="FR64" s="14">
        <f t="shared" si="340"/>
        <v>0</v>
      </c>
      <c r="FS64" s="14">
        <f t="shared" si="340"/>
        <v>0</v>
      </c>
      <c r="FT64" s="14">
        <f t="shared" si="340"/>
        <v>0</v>
      </c>
      <c r="FU64" s="14">
        <f t="shared" si="340"/>
        <v>0</v>
      </c>
      <c r="FV64" s="14">
        <f t="shared" si="340"/>
        <v>0</v>
      </c>
      <c r="FW64" s="14">
        <f t="shared" si="340"/>
        <v>0</v>
      </c>
      <c r="FX64" s="14">
        <f t="shared" si="340"/>
        <v>0</v>
      </c>
      <c r="FY64" s="14">
        <f t="shared" si="340"/>
        <v>0</v>
      </c>
      <c r="FZ64" s="14">
        <f t="shared" si="340"/>
        <v>0</v>
      </c>
      <c r="GA64" s="14">
        <f t="shared" si="340"/>
        <v>0</v>
      </c>
      <c r="GB64" s="14">
        <f t="shared" si="340"/>
        <v>0</v>
      </c>
      <c r="GC64" s="14">
        <f t="shared" si="340"/>
        <v>0</v>
      </c>
      <c r="GD64" s="14">
        <f t="shared" si="340"/>
        <v>0</v>
      </c>
      <c r="GE64" s="14">
        <f t="shared" si="340"/>
        <v>0</v>
      </c>
      <c r="GF64" s="14">
        <f t="shared" si="340"/>
        <v>0</v>
      </c>
      <c r="GG64" s="14">
        <f t="shared" si="340"/>
        <v>0</v>
      </c>
      <c r="GH64" s="14">
        <f t="shared" si="340"/>
        <v>0</v>
      </c>
      <c r="GI64" s="14">
        <f t="shared" si="340"/>
        <v>0</v>
      </c>
      <c r="GJ64" s="14">
        <f t="shared" si="340"/>
        <v>0</v>
      </c>
      <c r="GK64" s="14">
        <f t="shared" si="340"/>
        <v>0</v>
      </c>
      <c r="GL64" s="14">
        <f t="shared" si="340"/>
        <v>0</v>
      </c>
      <c r="GM64" s="14">
        <f t="shared" si="340"/>
        <v>0</v>
      </c>
      <c r="GN64" s="14">
        <f t="shared" si="340"/>
        <v>0</v>
      </c>
      <c r="GO64" s="14">
        <f t="shared" si="340"/>
        <v>0</v>
      </c>
      <c r="GP64" s="14">
        <f t="shared" si="340"/>
        <v>0</v>
      </c>
      <c r="GQ64" s="14">
        <f t="shared" si="340"/>
        <v>0</v>
      </c>
      <c r="GS64" s="80" t="s">
        <v>230</v>
      </c>
      <c r="GT64" s="77"/>
      <c r="GU64" s="77"/>
      <c r="GV64" s="77"/>
      <c r="GW64" s="77"/>
      <c r="GX64" s="77"/>
      <c r="GY64" s="77">
        <f>L57</f>
        <v>1670811.8918918918</v>
      </c>
      <c r="GZ64" s="77">
        <f t="shared" ref="GZ64:IE64" si="341">GY64-GZ51</f>
        <v>0</v>
      </c>
      <c r="HA64" s="77">
        <f t="shared" si="341"/>
        <v>0</v>
      </c>
      <c r="HB64" s="77">
        <f t="shared" si="341"/>
        <v>0</v>
      </c>
      <c r="HC64" s="77">
        <f t="shared" si="341"/>
        <v>0</v>
      </c>
      <c r="HD64" s="77">
        <f t="shared" si="341"/>
        <v>0</v>
      </c>
      <c r="HE64" s="77">
        <f t="shared" si="341"/>
        <v>0</v>
      </c>
      <c r="HF64" s="77">
        <f t="shared" si="341"/>
        <v>0</v>
      </c>
      <c r="HG64" s="77">
        <f t="shared" si="341"/>
        <v>0</v>
      </c>
      <c r="HH64" s="77">
        <f t="shared" si="341"/>
        <v>0</v>
      </c>
      <c r="HI64" s="77">
        <f t="shared" si="341"/>
        <v>0</v>
      </c>
      <c r="HJ64" s="77">
        <f t="shared" si="341"/>
        <v>0</v>
      </c>
      <c r="HK64" s="77">
        <f t="shared" si="341"/>
        <v>0</v>
      </c>
      <c r="HL64" s="77">
        <f t="shared" si="341"/>
        <v>0</v>
      </c>
      <c r="HM64" s="77">
        <f t="shared" si="341"/>
        <v>0</v>
      </c>
      <c r="HN64" s="77">
        <f t="shared" si="341"/>
        <v>0</v>
      </c>
      <c r="HO64" s="77">
        <f t="shared" si="341"/>
        <v>0</v>
      </c>
      <c r="HP64" s="77">
        <f t="shared" si="341"/>
        <v>0</v>
      </c>
      <c r="HQ64" s="77">
        <f t="shared" si="341"/>
        <v>0</v>
      </c>
      <c r="HR64" s="77">
        <f t="shared" si="341"/>
        <v>0</v>
      </c>
      <c r="HS64" s="77">
        <f t="shared" si="341"/>
        <v>0</v>
      </c>
      <c r="HT64" s="77">
        <f t="shared" si="341"/>
        <v>0</v>
      </c>
      <c r="HU64" s="77">
        <f t="shared" si="341"/>
        <v>0</v>
      </c>
      <c r="HV64" s="77">
        <f t="shared" si="341"/>
        <v>0</v>
      </c>
      <c r="HW64" s="77">
        <f t="shared" si="341"/>
        <v>0</v>
      </c>
      <c r="HX64" s="77">
        <f t="shared" si="341"/>
        <v>0</v>
      </c>
      <c r="HY64" s="77">
        <f t="shared" si="341"/>
        <v>0</v>
      </c>
      <c r="HZ64" s="77">
        <f t="shared" si="341"/>
        <v>0</v>
      </c>
      <c r="IA64" s="77">
        <f t="shared" si="341"/>
        <v>0</v>
      </c>
      <c r="IB64" s="77">
        <f t="shared" si="341"/>
        <v>0</v>
      </c>
      <c r="IC64" s="77">
        <f t="shared" si="341"/>
        <v>0</v>
      </c>
      <c r="ID64" s="77">
        <f t="shared" si="341"/>
        <v>0</v>
      </c>
      <c r="IE64" s="77">
        <f t="shared" si="341"/>
        <v>0</v>
      </c>
      <c r="IF64" s="77">
        <f t="shared" ref="IF64:JK64" si="342">IE64-IF51</f>
        <v>0</v>
      </c>
      <c r="IG64" s="77">
        <f t="shared" si="342"/>
        <v>0</v>
      </c>
      <c r="IH64" s="77">
        <f t="shared" si="342"/>
        <v>0</v>
      </c>
      <c r="II64" s="77">
        <f t="shared" si="342"/>
        <v>0</v>
      </c>
      <c r="IJ64" s="77">
        <f t="shared" si="342"/>
        <v>0</v>
      </c>
      <c r="IK64" s="77">
        <f t="shared" si="342"/>
        <v>0</v>
      </c>
      <c r="IL64" s="77">
        <f t="shared" si="342"/>
        <v>0</v>
      </c>
      <c r="IM64" s="77">
        <f t="shared" si="342"/>
        <v>0</v>
      </c>
      <c r="IN64" s="77">
        <f t="shared" si="342"/>
        <v>0</v>
      </c>
      <c r="IO64" s="77">
        <f t="shared" si="342"/>
        <v>0</v>
      </c>
      <c r="IP64" s="77">
        <f t="shared" si="342"/>
        <v>0</v>
      </c>
      <c r="IQ64" s="77">
        <f t="shared" si="342"/>
        <v>0</v>
      </c>
      <c r="IR64" s="77">
        <f t="shared" si="342"/>
        <v>0</v>
      </c>
      <c r="IS64" s="77">
        <f t="shared" si="342"/>
        <v>0</v>
      </c>
      <c r="IT64" s="77">
        <f t="shared" si="342"/>
        <v>0</v>
      </c>
      <c r="IU64" s="77">
        <f t="shared" si="342"/>
        <v>0</v>
      </c>
      <c r="IV64" s="77">
        <f t="shared" si="342"/>
        <v>0</v>
      </c>
      <c r="IW64" s="77">
        <f t="shared" si="342"/>
        <v>0</v>
      </c>
      <c r="IX64" s="77">
        <f t="shared" si="342"/>
        <v>0</v>
      </c>
      <c r="IY64" s="77">
        <f t="shared" si="342"/>
        <v>0</v>
      </c>
      <c r="IZ64" s="77">
        <f t="shared" si="342"/>
        <v>0</v>
      </c>
      <c r="JA64" s="77">
        <f t="shared" si="342"/>
        <v>0</v>
      </c>
      <c r="JB64" s="77">
        <f t="shared" si="342"/>
        <v>0</v>
      </c>
      <c r="JC64" s="77">
        <f t="shared" si="342"/>
        <v>0</v>
      </c>
      <c r="JD64" s="77">
        <f t="shared" si="342"/>
        <v>0</v>
      </c>
      <c r="JE64" s="77">
        <f t="shared" si="342"/>
        <v>0</v>
      </c>
      <c r="JF64" s="77">
        <f t="shared" si="342"/>
        <v>0</v>
      </c>
      <c r="JG64" s="77">
        <f t="shared" si="342"/>
        <v>0</v>
      </c>
      <c r="JH64" s="77">
        <f t="shared" si="342"/>
        <v>0</v>
      </c>
      <c r="JI64" s="77">
        <f t="shared" si="342"/>
        <v>0</v>
      </c>
      <c r="JJ64" s="77">
        <f t="shared" si="342"/>
        <v>0</v>
      </c>
      <c r="JK64" s="77">
        <f t="shared" si="342"/>
        <v>0</v>
      </c>
      <c r="JL64" s="77">
        <f t="shared" ref="JL64:KQ64" si="343">JK64-JL51</f>
        <v>0</v>
      </c>
      <c r="JM64" s="77">
        <f t="shared" si="343"/>
        <v>0</v>
      </c>
      <c r="JN64" s="77">
        <f t="shared" si="343"/>
        <v>0</v>
      </c>
      <c r="JO64" s="77">
        <f t="shared" si="343"/>
        <v>0</v>
      </c>
      <c r="JP64" s="77">
        <f t="shared" si="343"/>
        <v>0</v>
      </c>
      <c r="JQ64" s="77">
        <f t="shared" si="343"/>
        <v>0</v>
      </c>
      <c r="JR64" s="77">
        <f t="shared" si="343"/>
        <v>0</v>
      </c>
      <c r="JS64" s="77">
        <f t="shared" si="343"/>
        <v>0</v>
      </c>
      <c r="JT64" s="77">
        <f t="shared" si="343"/>
        <v>0</v>
      </c>
      <c r="JU64" s="77">
        <f t="shared" si="343"/>
        <v>0</v>
      </c>
      <c r="JV64" s="77">
        <f t="shared" si="343"/>
        <v>0</v>
      </c>
      <c r="JW64" s="77">
        <f t="shared" si="343"/>
        <v>0</v>
      </c>
      <c r="JX64" s="77">
        <f t="shared" si="343"/>
        <v>0</v>
      </c>
      <c r="JY64" s="77">
        <f t="shared" si="343"/>
        <v>0</v>
      </c>
      <c r="JZ64" s="77">
        <f t="shared" si="343"/>
        <v>0</v>
      </c>
      <c r="KA64" s="77">
        <f t="shared" si="343"/>
        <v>0</v>
      </c>
      <c r="KB64" s="77">
        <f t="shared" si="343"/>
        <v>0</v>
      </c>
      <c r="KC64" s="77">
        <f t="shared" si="343"/>
        <v>0</v>
      </c>
      <c r="KD64" s="77">
        <f t="shared" si="343"/>
        <v>0</v>
      </c>
      <c r="KE64" s="77">
        <f t="shared" si="343"/>
        <v>0</v>
      </c>
      <c r="KF64" s="77">
        <f t="shared" si="343"/>
        <v>0</v>
      </c>
      <c r="KG64" s="77">
        <f t="shared" si="343"/>
        <v>0</v>
      </c>
      <c r="KH64" s="77">
        <f t="shared" si="343"/>
        <v>0</v>
      </c>
      <c r="KI64" s="77">
        <f t="shared" si="343"/>
        <v>0</v>
      </c>
      <c r="KJ64" s="77">
        <f t="shared" si="343"/>
        <v>0</v>
      </c>
      <c r="KK64" s="77">
        <f t="shared" si="343"/>
        <v>0</v>
      </c>
      <c r="KL64" s="77">
        <f t="shared" si="343"/>
        <v>0</v>
      </c>
      <c r="KM64" s="77">
        <f t="shared" si="343"/>
        <v>0</v>
      </c>
      <c r="KN64" s="77">
        <f t="shared" si="343"/>
        <v>0</v>
      </c>
      <c r="KO64" s="77">
        <f t="shared" si="343"/>
        <v>0</v>
      </c>
      <c r="KP64" s="77">
        <f t="shared" si="343"/>
        <v>0</v>
      </c>
      <c r="KQ64" s="77">
        <f t="shared" si="343"/>
        <v>0</v>
      </c>
      <c r="KR64" s="77">
        <f t="shared" ref="KR64:LW64" si="344">KQ64-KR51</f>
        <v>0</v>
      </c>
      <c r="KS64" s="77">
        <f t="shared" si="344"/>
        <v>0</v>
      </c>
      <c r="KT64" s="77">
        <f t="shared" si="344"/>
        <v>0</v>
      </c>
      <c r="KU64" s="77">
        <f t="shared" si="344"/>
        <v>0</v>
      </c>
      <c r="KV64" s="77">
        <f t="shared" si="344"/>
        <v>0</v>
      </c>
      <c r="KW64" s="77">
        <f t="shared" si="344"/>
        <v>0</v>
      </c>
      <c r="KX64" s="77">
        <f t="shared" si="344"/>
        <v>0</v>
      </c>
      <c r="KY64" s="77">
        <f t="shared" si="344"/>
        <v>0</v>
      </c>
      <c r="KZ64" s="77">
        <f t="shared" si="344"/>
        <v>0</v>
      </c>
      <c r="LA64" s="77">
        <f t="shared" si="344"/>
        <v>0</v>
      </c>
      <c r="LB64" s="77">
        <f t="shared" si="344"/>
        <v>0</v>
      </c>
      <c r="LC64" s="77">
        <f t="shared" si="344"/>
        <v>0</v>
      </c>
      <c r="LD64" s="77">
        <f t="shared" si="344"/>
        <v>0</v>
      </c>
      <c r="LE64" s="77">
        <f t="shared" si="344"/>
        <v>0</v>
      </c>
      <c r="LF64" s="77">
        <f t="shared" si="344"/>
        <v>0</v>
      </c>
      <c r="LG64" s="77">
        <f t="shared" si="344"/>
        <v>0</v>
      </c>
      <c r="LH64" s="77">
        <f t="shared" si="344"/>
        <v>0</v>
      </c>
      <c r="LI64" s="77">
        <f t="shared" si="344"/>
        <v>0</v>
      </c>
      <c r="LJ64" s="77">
        <f t="shared" si="344"/>
        <v>0</v>
      </c>
      <c r="LK64" s="77">
        <f t="shared" si="344"/>
        <v>0</v>
      </c>
      <c r="LL64" s="77">
        <f t="shared" si="344"/>
        <v>0</v>
      </c>
      <c r="LM64" s="77">
        <f t="shared" si="344"/>
        <v>0</v>
      </c>
      <c r="LN64" s="77">
        <f t="shared" si="344"/>
        <v>0</v>
      </c>
      <c r="LO64" s="77">
        <f t="shared" si="344"/>
        <v>0</v>
      </c>
      <c r="LP64" s="77">
        <f t="shared" si="344"/>
        <v>0</v>
      </c>
      <c r="LQ64" s="77">
        <f t="shared" si="344"/>
        <v>0</v>
      </c>
      <c r="LR64" s="77">
        <f t="shared" si="344"/>
        <v>0</v>
      </c>
      <c r="LS64" s="77">
        <f t="shared" si="344"/>
        <v>0</v>
      </c>
      <c r="LT64" s="77">
        <f t="shared" si="344"/>
        <v>0</v>
      </c>
      <c r="LU64" s="77">
        <f t="shared" si="344"/>
        <v>0</v>
      </c>
      <c r="LV64" s="77">
        <f t="shared" si="344"/>
        <v>0</v>
      </c>
      <c r="LW64" s="77">
        <f t="shared" si="344"/>
        <v>0</v>
      </c>
      <c r="LX64" s="77">
        <f t="shared" ref="LX64:NC64" si="345">LW64-LX51</f>
        <v>0</v>
      </c>
      <c r="LY64" s="77">
        <f t="shared" si="345"/>
        <v>0</v>
      </c>
      <c r="LZ64" s="77">
        <f t="shared" si="345"/>
        <v>0</v>
      </c>
      <c r="MA64" s="77">
        <f t="shared" si="345"/>
        <v>0</v>
      </c>
      <c r="MB64" s="77">
        <f t="shared" si="345"/>
        <v>0</v>
      </c>
      <c r="MC64" s="77">
        <f t="shared" si="345"/>
        <v>0</v>
      </c>
      <c r="MD64" s="77">
        <f t="shared" si="345"/>
        <v>0</v>
      </c>
      <c r="ME64" s="77">
        <f t="shared" si="345"/>
        <v>0</v>
      </c>
      <c r="MF64" s="77">
        <f t="shared" si="345"/>
        <v>0</v>
      </c>
      <c r="MG64" s="77">
        <f t="shared" si="345"/>
        <v>0</v>
      </c>
      <c r="MH64" s="77">
        <f t="shared" si="345"/>
        <v>0</v>
      </c>
      <c r="MI64" s="77">
        <f t="shared" si="345"/>
        <v>0</v>
      </c>
      <c r="MJ64" s="77">
        <f t="shared" si="345"/>
        <v>0</v>
      </c>
      <c r="MK64" s="77">
        <f t="shared" si="345"/>
        <v>0</v>
      </c>
      <c r="ML64" s="77">
        <f t="shared" si="345"/>
        <v>0</v>
      </c>
      <c r="MM64" s="77">
        <f t="shared" si="345"/>
        <v>0</v>
      </c>
      <c r="MN64" s="77">
        <f t="shared" si="345"/>
        <v>0</v>
      </c>
      <c r="MO64" s="77">
        <f t="shared" si="345"/>
        <v>0</v>
      </c>
      <c r="MP64" s="77">
        <f t="shared" si="345"/>
        <v>0</v>
      </c>
      <c r="MQ64" s="77">
        <f t="shared" si="345"/>
        <v>0</v>
      </c>
      <c r="MR64" s="77">
        <f t="shared" si="345"/>
        <v>0</v>
      </c>
      <c r="MS64" s="77">
        <f t="shared" si="345"/>
        <v>0</v>
      </c>
      <c r="MT64" s="77">
        <f t="shared" si="345"/>
        <v>0</v>
      </c>
      <c r="MU64" s="77">
        <f t="shared" si="345"/>
        <v>0</v>
      </c>
      <c r="MV64" s="77">
        <f t="shared" si="345"/>
        <v>0</v>
      </c>
      <c r="MW64" s="77">
        <f t="shared" si="345"/>
        <v>0</v>
      </c>
      <c r="MX64" s="77">
        <f t="shared" si="345"/>
        <v>0</v>
      </c>
      <c r="MY64" s="77">
        <f t="shared" si="345"/>
        <v>0</v>
      </c>
      <c r="MZ64" s="77">
        <f t="shared" si="345"/>
        <v>0</v>
      </c>
      <c r="NA64" s="77">
        <f t="shared" si="345"/>
        <v>0</v>
      </c>
      <c r="NB64" s="77">
        <f t="shared" si="345"/>
        <v>0</v>
      </c>
      <c r="NC64" s="77">
        <f t="shared" si="345"/>
        <v>0</v>
      </c>
      <c r="ND64" s="77">
        <f t="shared" ref="ND64:NW64" si="346">NC64-ND51</f>
        <v>0</v>
      </c>
      <c r="NE64" s="77">
        <f t="shared" si="346"/>
        <v>0</v>
      </c>
      <c r="NF64" s="77">
        <f t="shared" si="346"/>
        <v>0</v>
      </c>
      <c r="NG64" s="77">
        <f t="shared" si="346"/>
        <v>0</v>
      </c>
      <c r="NH64" s="77">
        <f t="shared" si="346"/>
        <v>0</v>
      </c>
      <c r="NI64" s="77">
        <f t="shared" si="346"/>
        <v>0</v>
      </c>
      <c r="NJ64" s="77">
        <f t="shared" si="346"/>
        <v>0</v>
      </c>
      <c r="NK64" s="77">
        <f t="shared" si="346"/>
        <v>0</v>
      </c>
      <c r="NL64" s="77">
        <f t="shared" si="346"/>
        <v>0</v>
      </c>
      <c r="NM64" s="77">
        <f t="shared" si="346"/>
        <v>0</v>
      </c>
      <c r="NN64" s="77">
        <f t="shared" si="346"/>
        <v>0</v>
      </c>
      <c r="NO64" s="77">
        <f t="shared" si="346"/>
        <v>0</v>
      </c>
      <c r="NP64" s="77">
        <f t="shared" si="346"/>
        <v>0</v>
      </c>
      <c r="NQ64" s="77">
        <f t="shared" si="346"/>
        <v>0</v>
      </c>
      <c r="NR64" s="77">
        <f t="shared" si="346"/>
        <v>0</v>
      </c>
      <c r="NS64" s="77">
        <f t="shared" si="346"/>
        <v>0</v>
      </c>
      <c r="NT64" s="77">
        <f t="shared" si="346"/>
        <v>0</v>
      </c>
      <c r="NU64" s="77">
        <f t="shared" si="346"/>
        <v>0</v>
      </c>
      <c r="NV64" s="77">
        <f t="shared" si="346"/>
        <v>0</v>
      </c>
      <c r="NW64" s="77">
        <f t="shared" si="346"/>
        <v>0</v>
      </c>
    </row>
    <row r="65" spans="2:388" x14ac:dyDescent="0.3">
      <c r="B65" s="18"/>
      <c r="C65" s="19"/>
      <c r="D65" s="19"/>
      <c r="E65" s="19"/>
      <c r="F65" s="19"/>
      <c r="G65" s="19"/>
      <c r="H65" s="19"/>
      <c r="I65" s="19"/>
      <c r="J65" s="23"/>
      <c r="K65" s="29"/>
      <c r="L65" s="23"/>
      <c r="GS65" s="85" t="str">
        <f>"Total Sales of "&amp;Summary!P8</f>
        <v>Total Sales of Lots</v>
      </c>
      <c r="GT65" s="71"/>
      <c r="GU65" s="71"/>
      <c r="GV65" s="71"/>
      <c r="GW65" s="71"/>
      <c r="GX65" s="71"/>
      <c r="GY65" s="77">
        <f>SUM(GZ65:NW65)</f>
        <v>14292212.607324999</v>
      </c>
      <c r="GZ65" s="77">
        <f t="shared" ref="GZ65:IE65" si="347">T92</f>
        <v>0</v>
      </c>
      <c r="HA65" s="77">
        <f t="shared" si="347"/>
        <v>0</v>
      </c>
      <c r="HB65" s="77">
        <f t="shared" si="347"/>
        <v>0</v>
      </c>
      <c r="HC65" s="77">
        <f t="shared" si="347"/>
        <v>0</v>
      </c>
      <c r="HD65" s="77">
        <f t="shared" si="347"/>
        <v>0</v>
      </c>
      <c r="HE65" s="77">
        <f t="shared" si="347"/>
        <v>0</v>
      </c>
      <c r="HF65" s="77">
        <f t="shared" si="347"/>
        <v>0</v>
      </c>
      <c r="HG65" s="77">
        <f t="shared" si="347"/>
        <v>0</v>
      </c>
      <c r="HH65" s="77">
        <f t="shared" si="347"/>
        <v>0</v>
      </c>
      <c r="HI65" s="77">
        <f t="shared" si="347"/>
        <v>2344125</v>
      </c>
      <c r="HJ65" s="77">
        <f t="shared" si="347"/>
        <v>0</v>
      </c>
      <c r="HK65" s="77">
        <f t="shared" si="347"/>
        <v>1436875</v>
      </c>
      <c r="HL65" s="77">
        <f t="shared" si="347"/>
        <v>0</v>
      </c>
      <c r="HM65" s="77">
        <f t="shared" si="347"/>
        <v>0</v>
      </c>
      <c r="HN65" s="77">
        <f t="shared" si="347"/>
        <v>0</v>
      </c>
      <c r="HO65" s="77">
        <f t="shared" si="347"/>
        <v>1004625</v>
      </c>
      <c r="HP65" s="77">
        <f t="shared" si="347"/>
        <v>0</v>
      </c>
      <c r="HQ65" s="77">
        <f t="shared" si="347"/>
        <v>689700</v>
      </c>
      <c r="HR65" s="77">
        <f t="shared" si="347"/>
        <v>1004625</v>
      </c>
      <c r="HS65" s="77">
        <f t="shared" si="347"/>
        <v>0</v>
      </c>
      <c r="HT65" s="77">
        <f t="shared" si="347"/>
        <v>689700</v>
      </c>
      <c r="HU65" s="77">
        <f t="shared" si="347"/>
        <v>758826.75</v>
      </c>
      <c r="HV65" s="77">
        <f t="shared" si="347"/>
        <v>0</v>
      </c>
      <c r="HW65" s="77">
        <f t="shared" si="347"/>
        <v>710391</v>
      </c>
      <c r="HX65" s="77">
        <f t="shared" si="347"/>
        <v>0</v>
      </c>
      <c r="HY65" s="77">
        <f t="shared" si="347"/>
        <v>0</v>
      </c>
      <c r="HZ65" s="77">
        <f t="shared" si="347"/>
        <v>710391</v>
      </c>
      <c r="IA65" s="77">
        <f t="shared" si="347"/>
        <v>0</v>
      </c>
      <c r="IB65" s="77">
        <f t="shared" si="347"/>
        <v>0</v>
      </c>
      <c r="IC65" s="77">
        <f t="shared" si="347"/>
        <v>124630</v>
      </c>
      <c r="ID65" s="77">
        <f t="shared" si="347"/>
        <v>124630</v>
      </c>
      <c r="IE65" s="77">
        <f t="shared" si="347"/>
        <v>124630</v>
      </c>
      <c r="IF65" s="77">
        <f t="shared" ref="IF65:JK65" si="348">AZ92</f>
        <v>124630</v>
      </c>
      <c r="IG65" s="77">
        <f t="shared" si="348"/>
        <v>124630</v>
      </c>
      <c r="IH65" s="77">
        <f t="shared" si="348"/>
        <v>124630</v>
      </c>
      <c r="II65" s="77">
        <f t="shared" si="348"/>
        <v>124630</v>
      </c>
      <c r="IJ65" s="77">
        <f t="shared" si="348"/>
        <v>124630</v>
      </c>
      <c r="IK65" s="77">
        <f t="shared" si="348"/>
        <v>124630</v>
      </c>
      <c r="IL65" s="77">
        <f t="shared" si="348"/>
        <v>124630</v>
      </c>
      <c r="IM65" s="77">
        <f t="shared" si="348"/>
        <v>382128.38573250006</v>
      </c>
      <c r="IN65" s="77">
        <f t="shared" si="348"/>
        <v>382128.38573250006</v>
      </c>
      <c r="IO65" s="77">
        <f t="shared" si="348"/>
        <v>382128.38573250006</v>
      </c>
      <c r="IP65" s="77">
        <f t="shared" si="348"/>
        <v>382128.38573250006</v>
      </c>
      <c r="IQ65" s="77">
        <f t="shared" si="348"/>
        <v>382128.38573250006</v>
      </c>
      <c r="IR65" s="77">
        <f t="shared" si="348"/>
        <v>382128.38573250006</v>
      </c>
      <c r="IS65" s="77">
        <f t="shared" si="348"/>
        <v>382128.38573250006</v>
      </c>
      <c r="IT65" s="77">
        <f t="shared" si="348"/>
        <v>382128.38573250006</v>
      </c>
      <c r="IU65" s="77">
        <f t="shared" si="348"/>
        <v>382128.38573250006</v>
      </c>
      <c r="IV65" s="77">
        <f t="shared" si="348"/>
        <v>257498.38573250003</v>
      </c>
      <c r="IW65" s="77">
        <f t="shared" si="348"/>
        <v>0</v>
      </c>
      <c r="IX65" s="77">
        <f t="shared" si="348"/>
        <v>0</v>
      </c>
      <c r="IY65" s="77">
        <f t="shared" si="348"/>
        <v>0</v>
      </c>
      <c r="IZ65" s="77">
        <f t="shared" si="348"/>
        <v>0</v>
      </c>
      <c r="JA65" s="77">
        <f t="shared" si="348"/>
        <v>0</v>
      </c>
      <c r="JB65" s="77">
        <f t="shared" si="348"/>
        <v>0</v>
      </c>
      <c r="JC65" s="77">
        <f t="shared" si="348"/>
        <v>0</v>
      </c>
      <c r="JD65" s="77">
        <f t="shared" si="348"/>
        <v>0</v>
      </c>
      <c r="JE65" s="77">
        <f t="shared" si="348"/>
        <v>0</v>
      </c>
      <c r="JF65" s="77">
        <f t="shared" si="348"/>
        <v>0</v>
      </c>
      <c r="JG65" s="77">
        <f t="shared" si="348"/>
        <v>0</v>
      </c>
      <c r="JH65" s="77">
        <f t="shared" si="348"/>
        <v>0</v>
      </c>
      <c r="JI65" s="77">
        <f t="shared" si="348"/>
        <v>0</v>
      </c>
      <c r="JJ65" s="77">
        <f t="shared" si="348"/>
        <v>0</v>
      </c>
      <c r="JK65" s="77">
        <f t="shared" si="348"/>
        <v>0</v>
      </c>
      <c r="JL65" s="77">
        <f t="shared" ref="JL65:KQ65" si="349">CF92</f>
        <v>0</v>
      </c>
      <c r="JM65" s="77">
        <f t="shared" si="349"/>
        <v>0</v>
      </c>
      <c r="JN65" s="77">
        <f t="shared" si="349"/>
        <v>0</v>
      </c>
      <c r="JO65" s="77">
        <f t="shared" si="349"/>
        <v>0</v>
      </c>
      <c r="JP65" s="77">
        <f t="shared" si="349"/>
        <v>0</v>
      </c>
      <c r="JQ65" s="77">
        <f t="shared" si="349"/>
        <v>0</v>
      </c>
      <c r="JR65" s="77">
        <f t="shared" si="349"/>
        <v>0</v>
      </c>
      <c r="JS65" s="77">
        <f t="shared" si="349"/>
        <v>0</v>
      </c>
      <c r="JT65" s="77">
        <f t="shared" si="349"/>
        <v>0</v>
      </c>
      <c r="JU65" s="77">
        <f t="shared" si="349"/>
        <v>0</v>
      </c>
      <c r="JV65" s="77">
        <f t="shared" si="349"/>
        <v>0</v>
      </c>
      <c r="JW65" s="77">
        <f t="shared" si="349"/>
        <v>0</v>
      </c>
      <c r="JX65" s="77">
        <f t="shared" si="349"/>
        <v>0</v>
      </c>
      <c r="JY65" s="77">
        <f t="shared" si="349"/>
        <v>0</v>
      </c>
      <c r="JZ65" s="77">
        <f t="shared" si="349"/>
        <v>0</v>
      </c>
      <c r="KA65" s="77">
        <f t="shared" si="349"/>
        <v>0</v>
      </c>
      <c r="KB65" s="77">
        <f t="shared" si="349"/>
        <v>0</v>
      </c>
      <c r="KC65" s="77">
        <f t="shared" si="349"/>
        <v>0</v>
      </c>
      <c r="KD65" s="77">
        <f t="shared" si="349"/>
        <v>0</v>
      </c>
      <c r="KE65" s="77">
        <f t="shared" si="349"/>
        <v>0</v>
      </c>
      <c r="KF65" s="77">
        <f t="shared" si="349"/>
        <v>0</v>
      </c>
      <c r="KG65" s="77">
        <f t="shared" si="349"/>
        <v>0</v>
      </c>
      <c r="KH65" s="77">
        <f t="shared" si="349"/>
        <v>0</v>
      </c>
      <c r="KI65" s="77">
        <f t="shared" si="349"/>
        <v>0</v>
      </c>
      <c r="KJ65" s="77">
        <f t="shared" si="349"/>
        <v>0</v>
      </c>
      <c r="KK65" s="77">
        <f t="shared" si="349"/>
        <v>0</v>
      </c>
      <c r="KL65" s="77">
        <f t="shared" si="349"/>
        <v>0</v>
      </c>
      <c r="KM65" s="77">
        <f t="shared" si="349"/>
        <v>0</v>
      </c>
      <c r="KN65" s="77">
        <f t="shared" si="349"/>
        <v>0</v>
      </c>
      <c r="KO65" s="77">
        <f t="shared" si="349"/>
        <v>0</v>
      </c>
      <c r="KP65" s="77">
        <f t="shared" si="349"/>
        <v>0</v>
      </c>
      <c r="KQ65" s="77">
        <f t="shared" si="349"/>
        <v>0</v>
      </c>
      <c r="KR65" s="77">
        <f t="shared" ref="KR65:LW65" si="350">DL92</f>
        <v>0</v>
      </c>
      <c r="KS65" s="77">
        <f t="shared" si="350"/>
        <v>0</v>
      </c>
      <c r="KT65" s="77">
        <f t="shared" si="350"/>
        <v>0</v>
      </c>
      <c r="KU65" s="77">
        <f t="shared" si="350"/>
        <v>0</v>
      </c>
      <c r="KV65" s="77">
        <f t="shared" si="350"/>
        <v>0</v>
      </c>
      <c r="KW65" s="77">
        <f t="shared" si="350"/>
        <v>0</v>
      </c>
      <c r="KX65" s="77">
        <f t="shared" si="350"/>
        <v>0</v>
      </c>
      <c r="KY65" s="77">
        <f t="shared" si="350"/>
        <v>0</v>
      </c>
      <c r="KZ65" s="77">
        <f t="shared" si="350"/>
        <v>0</v>
      </c>
      <c r="LA65" s="77">
        <f t="shared" si="350"/>
        <v>0</v>
      </c>
      <c r="LB65" s="77">
        <f t="shared" si="350"/>
        <v>0</v>
      </c>
      <c r="LC65" s="77">
        <f t="shared" si="350"/>
        <v>0</v>
      </c>
      <c r="LD65" s="77">
        <f t="shared" si="350"/>
        <v>0</v>
      </c>
      <c r="LE65" s="77">
        <f t="shared" si="350"/>
        <v>0</v>
      </c>
      <c r="LF65" s="77">
        <f t="shared" si="350"/>
        <v>0</v>
      </c>
      <c r="LG65" s="77">
        <f t="shared" si="350"/>
        <v>0</v>
      </c>
      <c r="LH65" s="77">
        <f t="shared" si="350"/>
        <v>0</v>
      </c>
      <c r="LI65" s="77">
        <f t="shared" si="350"/>
        <v>0</v>
      </c>
      <c r="LJ65" s="77">
        <f t="shared" si="350"/>
        <v>0</v>
      </c>
      <c r="LK65" s="77">
        <f t="shared" si="350"/>
        <v>0</v>
      </c>
      <c r="LL65" s="77">
        <f t="shared" si="350"/>
        <v>0</v>
      </c>
      <c r="LM65" s="77">
        <f t="shared" si="350"/>
        <v>0</v>
      </c>
      <c r="LN65" s="77">
        <f t="shared" si="350"/>
        <v>0</v>
      </c>
      <c r="LO65" s="77">
        <f t="shared" si="350"/>
        <v>0</v>
      </c>
      <c r="LP65" s="77">
        <f t="shared" si="350"/>
        <v>0</v>
      </c>
      <c r="LQ65" s="77">
        <f t="shared" si="350"/>
        <v>0</v>
      </c>
      <c r="LR65" s="77">
        <f t="shared" si="350"/>
        <v>0</v>
      </c>
      <c r="LS65" s="77">
        <f t="shared" si="350"/>
        <v>0</v>
      </c>
      <c r="LT65" s="77">
        <f t="shared" si="350"/>
        <v>0</v>
      </c>
      <c r="LU65" s="77">
        <f t="shared" si="350"/>
        <v>0</v>
      </c>
      <c r="LV65" s="77">
        <f t="shared" si="350"/>
        <v>0</v>
      </c>
      <c r="LW65" s="77">
        <f t="shared" si="350"/>
        <v>0</v>
      </c>
      <c r="LX65" s="77">
        <f t="shared" ref="LX65:NC65" si="351">ER92</f>
        <v>0</v>
      </c>
      <c r="LY65" s="77">
        <f t="shared" si="351"/>
        <v>0</v>
      </c>
      <c r="LZ65" s="77">
        <f t="shared" si="351"/>
        <v>0</v>
      </c>
      <c r="MA65" s="77">
        <f t="shared" si="351"/>
        <v>0</v>
      </c>
      <c r="MB65" s="77">
        <f t="shared" si="351"/>
        <v>0</v>
      </c>
      <c r="MC65" s="77">
        <f t="shared" si="351"/>
        <v>0</v>
      </c>
      <c r="MD65" s="77">
        <f t="shared" si="351"/>
        <v>0</v>
      </c>
      <c r="ME65" s="77">
        <f t="shared" si="351"/>
        <v>0</v>
      </c>
      <c r="MF65" s="77">
        <f t="shared" si="351"/>
        <v>0</v>
      </c>
      <c r="MG65" s="77">
        <f t="shared" si="351"/>
        <v>0</v>
      </c>
      <c r="MH65" s="77">
        <f t="shared" si="351"/>
        <v>0</v>
      </c>
      <c r="MI65" s="77">
        <f t="shared" si="351"/>
        <v>0</v>
      </c>
      <c r="MJ65" s="77">
        <f t="shared" si="351"/>
        <v>0</v>
      </c>
      <c r="MK65" s="77">
        <f t="shared" si="351"/>
        <v>0</v>
      </c>
      <c r="ML65" s="77">
        <f t="shared" si="351"/>
        <v>0</v>
      </c>
      <c r="MM65" s="77">
        <f t="shared" si="351"/>
        <v>0</v>
      </c>
      <c r="MN65" s="77">
        <f t="shared" si="351"/>
        <v>0</v>
      </c>
      <c r="MO65" s="77">
        <f t="shared" si="351"/>
        <v>0</v>
      </c>
      <c r="MP65" s="77">
        <f t="shared" si="351"/>
        <v>0</v>
      </c>
      <c r="MQ65" s="77">
        <f t="shared" si="351"/>
        <v>0</v>
      </c>
      <c r="MR65" s="77">
        <f t="shared" si="351"/>
        <v>0</v>
      </c>
      <c r="MS65" s="77">
        <f t="shared" si="351"/>
        <v>0</v>
      </c>
      <c r="MT65" s="77">
        <f t="shared" si="351"/>
        <v>0</v>
      </c>
      <c r="MU65" s="77">
        <f t="shared" si="351"/>
        <v>0</v>
      </c>
      <c r="MV65" s="77">
        <f t="shared" si="351"/>
        <v>0</v>
      </c>
      <c r="MW65" s="77">
        <f t="shared" si="351"/>
        <v>0</v>
      </c>
      <c r="MX65" s="77">
        <f t="shared" si="351"/>
        <v>0</v>
      </c>
      <c r="MY65" s="77">
        <f t="shared" si="351"/>
        <v>0</v>
      </c>
      <c r="MZ65" s="77">
        <f t="shared" si="351"/>
        <v>0</v>
      </c>
      <c r="NA65" s="77">
        <f t="shared" si="351"/>
        <v>0</v>
      </c>
      <c r="NB65" s="77">
        <f t="shared" si="351"/>
        <v>0</v>
      </c>
      <c r="NC65" s="77">
        <f t="shared" si="351"/>
        <v>0</v>
      </c>
      <c r="ND65" s="77">
        <f t="shared" ref="ND65:NW65" si="352">FX92</f>
        <v>0</v>
      </c>
      <c r="NE65" s="77">
        <f t="shared" si="352"/>
        <v>0</v>
      </c>
      <c r="NF65" s="77">
        <f t="shared" si="352"/>
        <v>0</v>
      </c>
      <c r="NG65" s="77">
        <f t="shared" si="352"/>
        <v>0</v>
      </c>
      <c r="NH65" s="77">
        <f t="shared" si="352"/>
        <v>0</v>
      </c>
      <c r="NI65" s="77">
        <f t="shared" si="352"/>
        <v>0</v>
      </c>
      <c r="NJ65" s="77">
        <f t="shared" si="352"/>
        <v>0</v>
      </c>
      <c r="NK65" s="77">
        <f t="shared" si="352"/>
        <v>0</v>
      </c>
      <c r="NL65" s="77">
        <f t="shared" si="352"/>
        <v>0</v>
      </c>
      <c r="NM65" s="77">
        <f t="shared" si="352"/>
        <v>0</v>
      </c>
      <c r="NN65" s="77">
        <f t="shared" si="352"/>
        <v>0</v>
      </c>
      <c r="NO65" s="77">
        <f t="shared" si="352"/>
        <v>0</v>
      </c>
      <c r="NP65" s="77">
        <f t="shared" si="352"/>
        <v>0</v>
      </c>
      <c r="NQ65" s="77">
        <f t="shared" si="352"/>
        <v>0</v>
      </c>
      <c r="NR65" s="77">
        <f t="shared" si="352"/>
        <v>0</v>
      </c>
      <c r="NS65" s="77">
        <f t="shared" si="352"/>
        <v>0</v>
      </c>
      <c r="NT65" s="77">
        <f t="shared" si="352"/>
        <v>0</v>
      </c>
      <c r="NU65" s="77">
        <f t="shared" si="352"/>
        <v>0</v>
      </c>
      <c r="NV65" s="77">
        <f t="shared" si="352"/>
        <v>0</v>
      </c>
      <c r="NW65" s="77">
        <f t="shared" si="352"/>
        <v>0</v>
      </c>
    </row>
    <row r="66" spans="2:388" x14ac:dyDescent="0.3">
      <c r="B66" s="24" t="s">
        <v>254</v>
      </c>
      <c r="C66" s="19"/>
      <c r="D66" s="19"/>
      <c r="E66" s="19"/>
      <c r="F66" s="25" t="s">
        <v>255</v>
      </c>
      <c r="G66" s="19"/>
      <c r="H66" s="25" t="s">
        <v>239</v>
      </c>
      <c r="I66" s="19"/>
      <c r="J66" s="23"/>
      <c r="K66" s="29"/>
      <c r="L66" s="23"/>
      <c r="S66" s="68" t="s">
        <v>191</v>
      </c>
      <c r="T66" s="61">
        <v>1</v>
      </c>
      <c r="U66" s="61">
        <f t="shared" ref="U66:AZ66" si="353">T66+1</f>
        <v>2</v>
      </c>
      <c r="V66" s="61">
        <f t="shared" si="353"/>
        <v>3</v>
      </c>
      <c r="W66" s="61">
        <f t="shared" si="353"/>
        <v>4</v>
      </c>
      <c r="X66" s="61">
        <f t="shared" si="353"/>
        <v>5</v>
      </c>
      <c r="Y66" s="61">
        <f t="shared" si="353"/>
        <v>6</v>
      </c>
      <c r="Z66" s="61">
        <f t="shared" si="353"/>
        <v>7</v>
      </c>
      <c r="AA66" s="61">
        <f t="shared" si="353"/>
        <v>8</v>
      </c>
      <c r="AB66" s="61">
        <f t="shared" si="353"/>
        <v>9</v>
      </c>
      <c r="AC66" s="61">
        <f t="shared" si="353"/>
        <v>10</v>
      </c>
      <c r="AD66" s="61">
        <f t="shared" si="353"/>
        <v>11</v>
      </c>
      <c r="AE66" s="61">
        <f t="shared" si="353"/>
        <v>12</v>
      </c>
      <c r="AF66" s="61">
        <f t="shared" si="353"/>
        <v>13</v>
      </c>
      <c r="AG66" s="61">
        <f t="shared" si="353"/>
        <v>14</v>
      </c>
      <c r="AH66" s="61">
        <f t="shared" si="353"/>
        <v>15</v>
      </c>
      <c r="AI66" s="61">
        <f t="shared" si="353"/>
        <v>16</v>
      </c>
      <c r="AJ66" s="61">
        <f t="shared" si="353"/>
        <v>17</v>
      </c>
      <c r="AK66" s="61">
        <f t="shared" si="353"/>
        <v>18</v>
      </c>
      <c r="AL66" s="61">
        <f t="shared" si="353"/>
        <v>19</v>
      </c>
      <c r="AM66" s="61">
        <f t="shared" si="353"/>
        <v>20</v>
      </c>
      <c r="AN66" s="61">
        <f t="shared" si="353"/>
        <v>21</v>
      </c>
      <c r="AO66" s="61">
        <f t="shared" si="353"/>
        <v>22</v>
      </c>
      <c r="AP66" s="61">
        <f t="shared" si="353"/>
        <v>23</v>
      </c>
      <c r="AQ66" s="61">
        <f t="shared" si="353"/>
        <v>24</v>
      </c>
      <c r="AR66" s="61">
        <f t="shared" si="353"/>
        <v>25</v>
      </c>
      <c r="AS66" s="61">
        <f t="shared" si="353"/>
        <v>26</v>
      </c>
      <c r="AT66" s="61">
        <f t="shared" si="353"/>
        <v>27</v>
      </c>
      <c r="AU66" s="61">
        <f t="shared" si="353"/>
        <v>28</v>
      </c>
      <c r="AV66" s="61">
        <f t="shared" si="353"/>
        <v>29</v>
      </c>
      <c r="AW66" s="61">
        <f t="shared" si="353"/>
        <v>30</v>
      </c>
      <c r="AX66" s="61">
        <f t="shared" si="353"/>
        <v>31</v>
      </c>
      <c r="AY66" s="61">
        <f t="shared" si="353"/>
        <v>32</v>
      </c>
      <c r="AZ66" s="61">
        <f t="shared" si="353"/>
        <v>33</v>
      </c>
      <c r="BA66" s="61">
        <f t="shared" ref="BA66:CF66" si="354">AZ66+1</f>
        <v>34</v>
      </c>
      <c r="BB66" s="61">
        <f t="shared" si="354"/>
        <v>35</v>
      </c>
      <c r="BC66" s="61">
        <f t="shared" si="354"/>
        <v>36</v>
      </c>
      <c r="BD66" s="61">
        <f t="shared" si="354"/>
        <v>37</v>
      </c>
      <c r="BE66" s="61">
        <f t="shared" si="354"/>
        <v>38</v>
      </c>
      <c r="BF66" s="61">
        <f t="shared" si="354"/>
        <v>39</v>
      </c>
      <c r="BG66" s="61">
        <f t="shared" si="354"/>
        <v>40</v>
      </c>
      <c r="BH66" s="61">
        <f t="shared" si="354"/>
        <v>41</v>
      </c>
      <c r="BI66" s="61">
        <f t="shared" si="354"/>
        <v>42</v>
      </c>
      <c r="BJ66" s="61">
        <f t="shared" si="354"/>
        <v>43</v>
      </c>
      <c r="BK66" s="61">
        <f t="shared" si="354"/>
        <v>44</v>
      </c>
      <c r="BL66" s="61">
        <f t="shared" si="354"/>
        <v>45</v>
      </c>
      <c r="BM66" s="61">
        <f t="shared" si="354"/>
        <v>46</v>
      </c>
      <c r="BN66" s="61">
        <f t="shared" si="354"/>
        <v>47</v>
      </c>
      <c r="BO66" s="61">
        <f t="shared" si="354"/>
        <v>48</v>
      </c>
      <c r="BP66" s="61">
        <f t="shared" si="354"/>
        <v>49</v>
      </c>
      <c r="BQ66" s="61">
        <f t="shared" si="354"/>
        <v>50</v>
      </c>
      <c r="BR66" s="61">
        <f t="shared" si="354"/>
        <v>51</v>
      </c>
      <c r="BS66" s="61">
        <f t="shared" si="354"/>
        <v>52</v>
      </c>
      <c r="BT66" s="61">
        <f t="shared" si="354"/>
        <v>53</v>
      </c>
      <c r="BU66" s="61">
        <f t="shared" si="354"/>
        <v>54</v>
      </c>
      <c r="BV66" s="61">
        <f t="shared" si="354"/>
        <v>55</v>
      </c>
      <c r="BW66" s="61">
        <f t="shared" si="354"/>
        <v>56</v>
      </c>
      <c r="BX66" s="61">
        <f t="shared" si="354"/>
        <v>57</v>
      </c>
      <c r="BY66" s="61">
        <f t="shared" si="354"/>
        <v>58</v>
      </c>
      <c r="BZ66" s="61">
        <f t="shared" si="354"/>
        <v>59</v>
      </c>
      <c r="CA66" s="61">
        <f t="shared" si="354"/>
        <v>60</v>
      </c>
      <c r="CB66" s="61">
        <f t="shared" si="354"/>
        <v>61</v>
      </c>
      <c r="CC66" s="61">
        <f t="shared" si="354"/>
        <v>62</v>
      </c>
      <c r="CD66" s="61">
        <f t="shared" si="354"/>
        <v>63</v>
      </c>
      <c r="CE66" s="61">
        <f t="shared" si="354"/>
        <v>64</v>
      </c>
      <c r="CF66" s="61">
        <f t="shared" si="354"/>
        <v>65</v>
      </c>
      <c r="CG66" s="61">
        <f t="shared" ref="CG66:DL66" si="355">CF66+1</f>
        <v>66</v>
      </c>
      <c r="CH66" s="61">
        <f t="shared" si="355"/>
        <v>67</v>
      </c>
      <c r="CI66" s="61">
        <f t="shared" si="355"/>
        <v>68</v>
      </c>
      <c r="CJ66" s="61">
        <f t="shared" si="355"/>
        <v>69</v>
      </c>
      <c r="CK66" s="61">
        <f t="shared" si="355"/>
        <v>70</v>
      </c>
      <c r="CL66" s="61">
        <f t="shared" si="355"/>
        <v>71</v>
      </c>
      <c r="CM66" s="61">
        <f t="shared" si="355"/>
        <v>72</v>
      </c>
      <c r="CN66" s="61">
        <f t="shared" si="355"/>
        <v>73</v>
      </c>
      <c r="CO66" s="61">
        <f t="shared" si="355"/>
        <v>74</v>
      </c>
      <c r="CP66" s="61">
        <f t="shared" si="355"/>
        <v>75</v>
      </c>
      <c r="CQ66" s="61">
        <f t="shared" si="355"/>
        <v>76</v>
      </c>
      <c r="CR66" s="61">
        <f t="shared" si="355"/>
        <v>77</v>
      </c>
      <c r="CS66" s="61">
        <f t="shared" si="355"/>
        <v>78</v>
      </c>
      <c r="CT66" s="61">
        <f t="shared" si="355"/>
        <v>79</v>
      </c>
      <c r="CU66" s="61">
        <f t="shared" si="355"/>
        <v>80</v>
      </c>
      <c r="CV66" s="61">
        <f t="shared" si="355"/>
        <v>81</v>
      </c>
      <c r="CW66" s="61">
        <f t="shared" si="355"/>
        <v>82</v>
      </c>
      <c r="CX66" s="61">
        <f t="shared" si="355"/>
        <v>83</v>
      </c>
      <c r="CY66" s="61">
        <f t="shared" si="355"/>
        <v>84</v>
      </c>
      <c r="CZ66" s="61">
        <f t="shared" si="355"/>
        <v>85</v>
      </c>
      <c r="DA66" s="61">
        <f t="shared" si="355"/>
        <v>86</v>
      </c>
      <c r="DB66" s="61">
        <f t="shared" si="355"/>
        <v>87</v>
      </c>
      <c r="DC66" s="61">
        <f t="shared" si="355"/>
        <v>88</v>
      </c>
      <c r="DD66" s="61">
        <f t="shared" si="355"/>
        <v>89</v>
      </c>
      <c r="DE66" s="61">
        <f t="shared" si="355"/>
        <v>90</v>
      </c>
      <c r="DF66" s="61">
        <f t="shared" si="355"/>
        <v>91</v>
      </c>
      <c r="DG66" s="61">
        <f t="shared" si="355"/>
        <v>92</v>
      </c>
      <c r="DH66" s="61">
        <f t="shared" si="355"/>
        <v>93</v>
      </c>
      <c r="DI66" s="61">
        <f t="shared" si="355"/>
        <v>94</v>
      </c>
      <c r="DJ66" s="61">
        <f t="shared" si="355"/>
        <v>95</v>
      </c>
      <c r="DK66" s="61">
        <f t="shared" si="355"/>
        <v>96</v>
      </c>
      <c r="DL66" s="61">
        <f t="shared" si="355"/>
        <v>97</v>
      </c>
      <c r="DM66" s="61">
        <f t="shared" ref="DM66:ER66" si="356">DL66+1</f>
        <v>98</v>
      </c>
      <c r="DN66" s="61">
        <f t="shared" si="356"/>
        <v>99</v>
      </c>
      <c r="DO66" s="61">
        <f t="shared" si="356"/>
        <v>100</v>
      </c>
      <c r="DP66" s="61">
        <f t="shared" si="356"/>
        <v>101</v>
      </c>
      <c r="DQ66" s="61">
        <f t="shared" si="356"/>
        <v>102</v>
      </c>
      <c r="DR66" s="61">
        <f t="shared" si="356"/>
        <v>103</v>
      </c>
      <c r="DS66" s="61">
        <f t="shared" si="356"/>
        <v>104</v>
      </c>
      <c r="DT66" s="61">
        <f t="shared" si="356"/>
        <v>105</v>
      </c>
      <c r="DU66" s="61">
        <f t="shared" si="356"/>
        <v>106</v>
      </c>
      <c r="DV66" s="61">
        <f t="shared" si="356"/>
        <v>107</v>
      </c>
      <c r="DW66" s="61">
        <f t="shared" si="356"/>
        <v>108</v>
      </c>
      <c r="DX66" s="61">
        <f t="shared" si="356"/>
        <v>109</v>
      </c>
      <c r="DY66" s="61">
        <f t="shared" si="356"/>
        <v>110</v>
      </c>
      <c r="DZ66" s="61">
        <f t="shared" si="356"/>
        <v>111</v>
      </c>
      <c r="EA66" s="61">
        <f t="shared" si="356"/>
        <v>112</v>
      </c>
      <c r="EB66" s="61">
        <f t="shared" si="356"/>
        <v>113</v>
      </c>
      <c r="EC66" s="61">
        <f t="shared" si="356"/>
        <v>114</v>
      </c>
      <c r="ED66" s="61">
        <f t="shared" si="356"/>
        <v>115</v>
      </c>
      <c r="EE66" s="61">
        <f t="shared" si="356"/>
        <v>116</v>
      </c>
      <c r="EF66" s="61">
        <f t="shared" si="356"/>
        <v>117</v>
      </c>
      <c r="EG66" s="61">
        <f t="shared" si="356"/>
        <v>118</v>
      </c>
      <c r="EH66" s="61">
        <f t="shared" si="356"/>
        <v>119</v>
      </c>
      <c r="EI66" s="61">
        <f t="shared" si="356"/>
        <v>120</v>
      </c>
      <c r="EJ66" s="61">
        <f t="shared" si="356"/>
        <v>121</v>
      </c>
      <c r="EK66" s="61">
        <f t="shared" si="356"/>
        <v>122</v>
      </c>
      <c r="EL66" s="61">
        <f t="shared" si="356"/>
        <v>123</v>
      </c>
      <c r="EM66" s="61">
        <f t="shared" si="356"/>
        <v>124</v>
      </c>
      <c r="EN66" s="61">
        <f t="shared" si="356"/>
        <v>125</v>
      </c>
      <c r="EO66" s="61">
        <f t="shared" si="356"/>
        <v>126</v>
      </c>
      <c r="EP66" s="61">
        <f t="shared" si="356"/>
        <v>127</v>
      </c>
      <c r="EQ66" s="61">
        <f t="shared" si="356"/>
        <v>128</v>
      </c>
      <c r="ER66" s="61">
        <f t="shared" si="356"/>
        <v>129</v>
      </c>
      <c r="ES66" s="61">
        <f t="shared" ref="ES66:FX66" si="357">ER66+1</f>
        <v>130</v>
      </c>
      <c r="ET66" s="61">
        <f t="shared" si="357"/>
        <v>131</v>
      </c>
      <c r="EU66" s="61">
        <f t="shared" si="357"/>
        <v>132</v>
      </c>
      <c r="EV66" s="61">
        <f t="shared" si="357"/>
        <v>133</v>
      </c>
      <c r="EW66" s="61">
        <f t="shared" si="357"/>
        <v>134</v>
      </c>
      <c r="EX66" s="61">
        <f t="shared" si="357"/>
        <v>135</v>
      </c>
      <c r="EY66" s="61">
        <f t="shared" si="357"/>
        <v>136</v>
      </c>
      <c r="EZ66" s="61">
        <f t="shared" si="357"/>
        <v>137</v>
      </c>
      <c r="FA66" s="61">
        <f t="shared" si="357"/>
        <v>138</v>
      </c>
      <c r="FB66" s="61">
        <f t="shared" si="357"/>
        <v>139</v>
      </c>
      <c r="FC66" s="61">
        <f t="shared" si="357"/>
        <v>140</v>
      </c>
      <c r="FD66" s="61">
        <f t="shared" si="357"/>
        <v>141</v>
      </c>
      <c r="FE66" s="61">
        <f t="shared" si="357"/>
        <v>142</v>
      </c>
      <c r="FF66" s="61">
        <f t="shared" si="357"/>
        <v>143</v>
      </c>
      <c r="FG66" s="61">
        <f t="shared" si="357"/>
        <v>144</v>
      </c>
      <c r="FH66" s="61">
        <f t="shared" si="357"/>
        <v>145</v>
      </c>
      <c r="FI66" s="61">
        <f t="shared" si="357"/>
        <v>146</v>
      </c>
      <c r="FJ66" s="61">
        <f t="shared" si="357"/>
        <v>147</v>
      </c>
      <c r="FK66" s="61">
        <f t="shared" si="357"/>
        <v>148</v>
      </c>
      <c r="FL66" s="61">
        <f t="shared" si="357"/>
        <v>149</v>
      </c>
      <c r="FM66" s="61">
        <f t="shared" si="357"/>
        <v>150</v>
      </c>
      <c r="FN66" s="61">
        <f t="shared" si="357"/>
        <v>151</v>
      </c>
      <c r="FO66" s="61">
        <f t="shared" si="357"/>
        <v>152</v>
      </c>
      <c r="FP66" s="61">
        <f t="shared" si="357"/>
        <v>153</v>
      </c>
      <c r="FQ66" s="61">
        <f t="shared" si="357"/>
        <v>154</v>
      </c>
      <c r="FR66" s="61">
        <f t="shared" si="357"/>
        <v>155</v>
      </c>
      <c r="FS66" s="61">
        <f t="shared" si="357"/>
        <v>156</v>
      </c>
      <c r="FT66" s="61">
        <f t="shared" si="357"/>
        <v>157</v>
      </c>
      <c r="FU66" s="61">
        <f t="shared" si="357"/>
        <v>158</v>
      </c>
      <c r="FV66" s="61">
        <f t="shared" si="357"/>
        <v>159</v>
      </c>
      <c r="FW66" s="61">
        <f t="shared" si="357"/>
        <v>160</v>
      </c>
      <c r="FX66" s="61">
        <f t="shared" si="357"/>
        <v>161</v>
      </c>
      <c r="FY66" s="61">
        <f t="shared" ref="FY66:GQ66" si="358">FX66+1</f>
        <v>162</v>
      </c>
      <c r="FZ66" s="61">
        <f t="shared" si="358"/>
        <v>163</v>
      </c>
      <c r="GA66" s="61">
        <f t="shared" si="358"/>
        <v>164</v>
      </c>
      <c r="GB66" s="61">
        <f t="shared" si="358"/>
        <v>165</v>
      </c>
      <c r="GC66" s="61">
        <f t="shared" si="358"/>
        <v>166</v>
      </c>
      <c r="GD66" s="61">
        <f t="shared" si="358"/>
        <v>167</v>
      </c>
      <c r="GE66" s="61">
        <f t="shared" si="358"/>
        <v>168</v>
      </c>
      <c r="GF66" s="61">
        <f t="shared" si="358"/>
        <v>169</v>
      </c>
      <c r="GG66" s="61">
        <f t="shared" si="358"/>
        <v>170</v>
      </c>
      <c r="GH66" s="61">
        <f t="shared" si="358"/>
        <v>171</v>
      </c>
      <c r="GI66" s="61">
        <f t="shared" si="358"/>
        <v>172</v>
      </c>
      <c r="GJ66" s="61">
        <f t="shared" si="358"/>
        <v>173</v>
      </c>
      <c r="GK66" s="61">
        <f t="shared" si="358"/>
        <v>174</v>
      </c>
      <c r="GL66" s="61">
        <f t="shared" si="358"/>
        <v>175</v>
      </c>
      <c r="GM66" s="61">
        <f t="shared" si="358"/>
        <v>176</v>
      </c>
      <c r="GN66" s="61">
        <f t="shared" si="358"/>
        <v>177</v>
      </c>
      <c r="GO66" s="61">
        <f t="shared" si="358"/>
        <v>178</v>
      </c>
      <c r="GP66" s="61">
        <f t="shared" si="358"/>
        <v>179</v>
      </c>
      <c r="GQ66" s="61">
        <f t="shared" si="358"/>
        <v>180</v>
      </c>
      <c r="GS66" s="80" t="s">
        <v>256</v>
      </c>
      <c r="GT66" s="77"/>
      <c r="GU66" s="77"/>
      <c r="GV66" s="77"/>
      <c r="GW66" s="77"/>
      <c r="GX66" s="77"/>
      <c r="GY66" s="77">
        <f>GX47+L50-GX51</f>
        <v>9285688.1081081107</v>
      </c>
      <c r="GZ66" s="77">
        <f t="shared" ref="GZ66:IE66" si="359">GY66-GZ52</f>
        <v>7888081.4144736864</v>
      </c>
      <c r="HA66" s="77">
        <f t="shared" si="359"/>
        <v>7802190.7874621768</v>
      </c>
      <c r="HB66" s="77">
        <f t="shared" si="359"/>
        <v>7710934.9639063003</v>
      </c>
      <c r="HC66" s="77">
        <f t="shared" si="359"/>
        <v>7611046.7930553444</v>
      </c>
      <c r="HD66" s="77">
        <f t="shared" si="359"/>
        <v>7497932.7728431243</v>
      </c>
      <c r="HE66" s="77">
        <f t="shared" si="359"/>
        <v>7365545.1913693547</v>
      </c>
      <c r="HF66" s="77">
        <f t="shared" si="359"/>
        <v>7206483.8910199124</v>
      </c>
      <c r="HG66" s="77">
        <f t="shared" si="359"/>
        <v>6964821.9484276632</v>
      </c>
      <c r="HH66" s="77">
        <f t="shared" si="359"/>
        <v>6715501.4565879963</v>
      </c>
      <c r="HI66" s="77">
        <f t="shared" si="359"/>
        <v>6454815.9237436</v>
      </c>
      <c r="HJ66" s="77">
        <f t="shared" si="359"/>
        <v>6138861.6235752236</v>
      </c>
      <c r="HK66" s="77">
        <f t="shared" si="359"/>
        <v>5766980.292871858</v>
      </c>
      <c r="HL66" s="77">
        <f t="shared" si="359"/>
        <v>5343539.2036640821</v>
      </c>
      <c r="HM66" s="77">
        <f t="shared" si="359"/>
        <v>4878261.3642188702</v>
      </c>
      <c r="HN66" s="77">
        <f t="shared" si="359"/>
        <v>4385654.3896118235</v>
      </c>
      <c r="HO66" s="77">
        <f t="shared" si="359"/>
        <v>3883542.1775701107</v>
      </c>
      <c r="HP66" s="77">
        <f t="shared" si="359"/>
        <v>3390935.2029630635</v>
      </c>
      <c r="HQ66" s="77">
        <f t="shared" si="359"/>
        <v>2925657.3635178516</v>
      </c>
      <c r="HR66" s="77">
        <f t="shared" si="359"/>
        <v>2502216.2743100757</v>
      </c>
      <c r="HS66" s="77">
        <f t="shared" si="359"/>
        <v>2075334.9436067101</v>
      </c>
      <c r="HT66" s="77">
        <f t="shared" si="359"/>
        <v>1704380.6434383339</v>
      </c>
      <c r="HU66" s="77">
        <f t="shared" si="359"/>
        <v>1388695.1105939376</v>
      </c>
      <c r="HV66" s="77">
        <f t="shared" si="359"/>
        <v>1123624.6187542712</v>
      </c>
      <c r="HW66" s="77">
        <f t="shared" si="359"/>
        <v>901926.96187630692</v>
      </c>
      <c r="HX66" s="77">
        <f t="shared" si="359"/>
        <v>726575.68587751407</v>
      </c>
      <c r="HY66" s="77">
        <f t="shared" si="359"/>
        <v>577898.12875439378</v>
      </c>
      <c r="HZ66" s="77">
        <f t="shared" si="359"/>
        <v>448494.13289282238</v>
      </c>
      <c r="IA66" s="77">
        <f t="shared" si="359"/>
        <v>332315.98639251606</v>
      </c>
      <c r="IB66" s="77">
        <f t="shared" si="359"/>
        <v>279770.18718728871</v>
      </c>
      <c r="IC66" s="77">
        <f t="shared" si="359"/>
        <v>240953.22089006484</v>
      </c>
      <c r="ID66" s="77">
        <f t="shared" si="359"/>
        <v>209026.92542166411</v>
      </c>
      <c r="IE66" s="77">
        <f t="shared" si="359"/>
        <v>177100.62995326339</v>
      </c>
      <c r="IF66" s="77">
        <f t="shared" ref="IF66:JK66" si="360">IE66-IF52</f>
        <v>145174.33448486266</v>
      </c>
      <c r="IG66" s="77">
        <f t="shared" si="360"/>
        <v>113248.03901646193</v>
      </c>
      <c r="IH66" s="77">
        <f t="shared" si="360"/>
        <v>81321.743548061204</v>
      </c>
      <c r="II66" s="77">
        <f t="shared" si="360"/>
        <v>49395.448079660477</v>
      </c>
      <c r="IJ66" s="77">
        <f t="shared" si="360"/>
        <v>24697.724039831173</v>
      </c>
      <c r="IK66" s="77">
        <f t="shared" si="360"/>
        <v>1.8699211068451405E-9</v>
      </c>
      <c r="IL66" s="77">
        <f t="shared" si="360"/>
        <v>1.8699211068451405E-9</v>
      </c>
      <c r="IM66" s="77">
        <f t="shared" si="360"/>
        <v>1.8699211068451405E-9</v>
      </c>
      <c r="IN66" s="77">
        <f t="shared" si="360"/>
        <v>1.8699211068451405E-9</v>
      </c>
      <c r="IO66" s="77">
        <f t="shared" si="360"/>
        <v>1.8699211068451405E-9</v>
      </c>
      <c r="IP66" s="77">
        <f t="shared" si="360"/>
        <v>1.8699211068451405E-9</v>
      </c>
      <c r="IQ66" s="77">
        <f t="shared" si="360"/>
        <v>1.8699211068451405E-9</v>
      </c>
      <c r="IR66" s="77">
        <f t="shared" si="360"/>
        <v>1.8699211068451405E-9</v>
      </c>
      <c r="IS66" s="77">
        <f t="shared" si="360"/>
        <v>1.8699211068451405E-9</v>
      </c>
      <c r="IT66" s="77">
        <f t="shared" si="360"/>
        <v>1.8699211068451405E-9</v>
      </c>
      <c r="IU66" s="77">
        <f t="shared" si="360"/>
        <v>1.8699211068451405E-9</v>
      </c>
      <c r="IV66" s="77">
        <f t="shared" si="360"/>
        <v>1.8699211068451405E-9</v>
      </c>
      <c r="IW66" s="77">
        <f t="shared" si="360"/>
        <v>1.8699211068451405E-9</v>
      </c>
      <c r="IX66" s="77">
        <f t="shared" si="360"/>
        <v>1.8699211068451405E-9</v>
      </c>
      <c r="IY66" s="77">
        <f t="shared" si="360"/>
        <v>1.8699211068451405E-9</v>
      </c>
      <c r="IZ66" s="77">
        <f t="shared" si="360"/>
        <v>1.8699211068451405E-9</v>
      </c>
      <c r="JA66" s="77">
        <f t="shared" si="360"/>
        <v>1.8699211068451405E-9</v>
      </c>
      <c r="JB66" s="77">
        <f t="shared" si="360"/>
        <v>1.8699211068451405E-9</v>
      </c>
      <c r="JC66" s="77">
        <f t="shared" si="360"/>
        <v>1.8699211068451405E-9</v>
      </c>
      <c r="JD66" s="77">
        <f t="shared" si="360"/>
        <v>1.8699211068451405E-9</v>
      </c>
      <c r="JE66" s="77">
        <f t="shared" si="360"/>
        <v>1.8699211068451405E-9</v>
      </c>
      <c r="JF66" s="77">
        <f t="shared" si="360"/>
        <v>1.8699211068451405E-9</v>
      </c>
      <c r="JG66" s="77">
        <f t="shared" si="360"/>
        <v>1.8699211068451405E-9</v>
      </c>
      <c r="JH66" s="77">
        <f t="shared" si="360"/>
        <v>1.8699211068451405E-9</v>
      </c>
      <c r="JI66" s="77">
        <f t="shared" si="360"/>
        <v>1.8699211068451405E-9</v>
      </c>
      <c r="JJ66" s="77">
        <f t="shared" si="360"/>
        <v>1.8699211068451405E-9</v>
      </c>
      <c r="JK66" s="77">
        <f t="shared" si="360"/>
        <v>1.8699211068451405E-9</v>
      </c>
      <c r="JL66" s="77">
        <f t="shared" ref="JL66:KQ66" si="361">JK66-JL52</f>
        <v>1.8699211068451405E-9</v>
      </c>
      <c r="JM66" s="77">
        <f t="shared" si="361"/>
        <v>1.8699211068451405E-9</v>
      </c>
      <c r="JN66" s="77">
        <f t="shared" si="361"/>
        <v>1.8699211068451405E-9</v>
      </c>
      <c r="JO66" s="77">
        <f t="shared" si="361"/>
        <v>1.8699211068451405E-9</v>
      </c>
      <c r="JP66" s="77">
        <f t="shared" si="361"/>
        <v>1.8699211068451405E-9</v>
      </c>
      <c r="JQ66" s="77">
        <f t="shared" si="361"/>
        <v>1.8699211068451405E-9</v>
      </c>
      <c r="JR66" s="77">
        <f t="shared" si="361"/>
        <v>1.8699211068451405E-9</v>
      </c>
      <c r="JS66" s="77">
        <f t="shared" si="361"/>
        <v>1.8699211068451405E-9</v>
      </c>
      <c r="JT66" s="77">
        <f t="shared" si="361"/>
        <v>1.8699211068451405E-9</v>
      </c>
      <c r="JU66" s="77">
        <f t="shared" si="361"/>
        <v>1.8699211068451405E-9</v>
      </c>
      <c r="JV66" s="77">
        <f t="shared" si="361"/>
        <v>1.8699211068451405E-9</v>
      </c>
      <c r="JW66" s="77">
        <f t="shared" si="361"/>
        <v>1.8699211068451405E-9</v>
      </c>
      <c r="JX66" s="77">
        <f t="shared" si="361"/>
        <v>1.8699211068451405E-9</v>
      </c>
      <c r="JY66" s="77">
        <f t="shared" si="361"/>
        <v>1.8699211068451405E-9</v>
      </c>
      <c r="JZ66" s="77">
        <f t="shared" si="361"/>
        <v>1.8699211068451405E-9</v>
      </c>
      <c r="KA66" s="77">
        <f t="shared" si="361"/>
        <v>1.8699211068451405E-9</v>
      </c>
      <c r="KB66" s="77">
        <f t="shared" si="361"/>
        <v>1.8699211068451405E-9</v>
      </c>
      <c r="KC66" s="77">
        <f t="shared" si="361"/>
        <v>1.8699211068451405E-9</v>
      </c>
      <c r="KD66" s="77">
        <f t="shared" si="361"/>
        <v>1.8699211068451405E-9</v>
      </c>
      <c r="KE66" s="77">
        <f t="shared" si="361"/>
        <v>1.8699211068451405E-9</v>
      </c>
      <c r="KF66" s="77">
        <f t="shared" si="361"/>
        <v>1.8699211068451405E-9</v>
      </c>
      <c r="KG66" s="77">
        <f t="shared" si="361"/>
        <v>1.8699211068451405E-9</v>
      </c>
      <c r="KH66" s="77">
        <f t="shared" si="361"/>
        <v>1.8699211068451405E-9</v>
      </c>
      <c r="KI66" s="77">
        <f t="shared" si="361"/>
        <v>1.8699211068451405E-9</v>
      </c>
      <c r="KJ66" s="77">
        <f t="shared" si="361"/>
        <v>1.8699211068451405E-9</v>
      </c>
      <c r="KK66" s="77">
        <f t="shared" si="361"/>
        <v>1.8699211068451405E-9</v>
      </c>
      <c r="KL66" s="77">
        <f t="shared" si="361"/>
        <v>1.8699211068451405E-9</v>
      </c>
      <c r="KM66" s="77">
        <f t="shared" si="361"/>
        <v>1.8699211068451405E-9</v>
      </c>
      <c r="KN66" s="77">
        <f t="shared" si="361"/>
        <v>1.8699211068451405E-9</v>
      </c>
      <c r="KO66" s="77">
        <f t="shared" si="361"/>
        <v>1.8699211068451405E-9</v>
      </c>
      <c r="KP66" s="77">
        <f t="shared" si="361"/>
        <v>1.8699211068451405E-9</v>
      </c>
      <c r="KQ66" s="77">
        <f t="shared" si="361"/>
        <v>1.8699211068451405E-9</v>
      </c>
      <c r="KR66" s="77">
        <f t="shared" ref="KR66:LW66" si="362">KQ66-KR52</f>
        <v>1.8699211068451405E-9</v>
      </c>
      <c r="KS66" s="77">
        <f t="shared" si="362"/>
        <v>1.8699211068451405E-9</v>
      </c>
      <c r="KT66" s="77">
        <f t="shared" si="362"/>
        <v>1.8699211068451405E-9</v>
      </c>
      <c r="KU66" s="77">
        <f t="shared" si="362"/>
        <v>1.8699211068451405E-9</v>
      </c>
      <c r="KV66" s="77">
        <f t="shared" si="362"/>
        <v>1.8699211068451405E-9</v>
      </c>
      <c r="KW66" s="77">
        <f t="shared" si="362"/>
        <v>1.8699211068451405E-9</v>
      </c>
      <c r="KX66" s="77">
        <f t="shared" si="362"/>
        <v>1.8699211068451405E-9</v>
      </c>
      <c r="KY66" s="77">
        <f t="shared" si="362"/>
        <v>1.8699211068451405E-9</v>
      </c>
      <c r="KZ66" s="77">
        <f t="shared" si="362"/>
        <v>1.8699211068451405E-9</v>
      </c>
      <c r="LA66" s="77">
        <f t="shared" si="362"/>
        <v>1.8699211068451405E-9</v>
      </c>
      <c r="LB66" s="77">
        <f t="shared" si="362"/>
        <v>1.8699211068451405E-9</v>
      </c>
      <c r="LC66" s="77">
        <f t="shared" si="362"/>
        <v>1.8699211068451405E-9</v>
      </c>
      <c r="LD66" s="77">
        <f t="shared" si="362"/>
        <v>1.8699211068451405E-9</v>
      </c>
      <c r="LE66" s="77">
        <f t="shared" si="362"/>
        <v>1.8699211068451405E-9</v>
      </c>
      <c r="LF66" s="77">
        <f t="shared" si="362"/>
        <v>1.8699211068451405E-9</v>
      </c>
      <c r="LG66" s="77">
        <f t="shared" si="362"/>
        <v>1.8699211068451405E-9</v>
      </c>
      <c r="LH66" s="77">
        <f t="shared" si="362"/>
        <v>1.8699211068451405E-9</v>
      </c>
      <c r="LI66" s="77">
        <f t="shared" si="362"/>
        <v>1.8699211068451405E-9</v>
      </c>
      <c r="LJ66" s="77">
        <f t="shared" si="362"/>
        <v>1.8699211068451405E-9</v>
      </c>
      <c r="LK66" s="77">
        <f t="shared" si="362"/>
        <v>1.8699211068451405E-9</v>
      </c>
      <c r="LL66" s="77">
        <f t="shared" si="362"/>
        <v>1.8699211068451405E-9</v>
      </c>
      <c r="LM66" s="77">
        <f t="shared" si="362"/>
        <v>1.8699211068451405E-9</v>
      </c>
      <c r="LN66" s="77">
        <f t="shared" si="362"/>
        <v>1.8699211068451405E-9</v>
      </c>
      <c r="LO66" s="77">
        <f t="shared" si="362"/>
        <v>1.8699211068451405E-9</v>
      </c>
      <c r="LP66" s="77">
        <f t="shared" si="362"/>
        <v>1.8699211068451405E-9</v>
      </c>
      <c r="LQ66" s="77">
        <f t="shared" si="362"/>
        <v>1.8699211068451405E-9</v>
      </c>
      <c r="LR66" s="77">
        <f t="shared" si="362"/>
        <v>1.8699211068451405E-9</v>
      </c>
      <c r="LS66" s="77">
        <f t="shared" si="362"/>
        <v>1.8699211068451405E-9</v>
      </c>
      <c r="LT66" s="77">
        <f t="shared" si="362"/>
        <v>1.8699211068451405E-9</v>
      </c>
      <c r="LU66" s="77">
        <f t="shared" si="362"/>
        <v>1.8699211068451405E-9</v>
      </c>
      <c r="LV66" s="77">
        <f t="shared" si="362"/>
        <v>1.8699211068451405E-9</v>
      </c>
      <c r="LW66" s="77">
        <f t="shared" si="362"/>
        <v>1.8699211068451405E-9</v>
      </c>
      <c r="LX66" s="77">
        <f t="shared" ref="LX66:NC66" si="363">LW66-LX52</f>
        <v>1.8699211068451405E-9</v>
      </c>
      <c r="LY66" s="77">
        <f t="shared" si="363"/>
        <v>1.8699211068451405E-9</v>
      </c>
      <c r="LZ66" s="77">
        <f t="shared" si="363"/>
        <v>1.8699211068451405E-9</v>
      </c>
      <c r="MA66" s="77">
        <f t="shared" si="363"/>
        <v>1.8699211068451405E-9</v>
      </c>
      <c r="MB66" s="77">
        <f t="shared" si="363"/>
        <v>1.8699211068451405E-9</v>
      </c>
      <c r="MC66" s="77">
        <f t="shared" si="363"/>
        <v>1.8699211068451405E-9</v>
      </c>
      <c r="MD66" s="77">
        <f t="shared" si="363"/>
        <v>1.8699211068451405E-9</v>
      </c>
      <c r="ME66" s="77">
        <f t="shared" si="363"/>
        <v>1.8699211068451405E-9</v>
      </c>
      <c r="MF66" s="77">
        <f t="shared" si="363"/>
        <v>1.8699211068451405E-9</v>
      </c>
      <c r="MG66" s="77">
        <f t="shared" si="363"/>
        <v>1.8699211068451405E-9</v>
      </c>
      <c r="MH66" s="77">
        <f t="shared" si="363"/>
        <v>1.8699211068451405E-9</v>
      </c>
      <c r="MI66" s="77">
        <f t="shared" si="363"/>
        <v>1.8699211068451405E-9</v>
      </c>
      <c r="MJ66" s="77">
        <f t="shared" si="363"/>
        <v>1.8699211068451405E-9</v>
      </c>
      <c r="MK66" s="77">
        <f t="shared" si="363"/>
        <v>1.8699211068451405E-9</v>
      </c>
      <c r="ML66" s="77">
        <f t="shared" si="363"/>
        <v>1.8699211068451405E-9</v>
      </c>
      <c r="MM66" s="77">
        <f t="shared" si="363"/>
        <v>1.8699211068451405E-9</v>
      </c>
      <c r="MN66" s="77">
        <f t="shared" si="363"/>
        <v>1.8699211068451405E-9</v>
      </c>
      <c r="MO66" s="77">
        <f t="shared" si="363"/>
        <v>1.8699211068451405E-9</v>
      </c>
      <c r="MP66" s="77">
        <f t="shared" si="363"/>
        <v>1.8699211068451405E-9</v>
      </c>
      <c r="MQ66" s="77">
        <f t="shared" si="363"/>
        <v>1.8699211068451405E-9</v>
      </c>
      <c r="MR66" s="77">
        <f t="shared" si="363"/>
        <v>1.8699211068451405E-9</v>
      </c>
      <c r="MS66" s="77">
        <f t="shared" si="363"/>
        <v>1.8699211068451405E-9</v>
      </c>
      <c r="MT66" s="77">
        <f t="shared" si="363"/>
        <v>1.8699211068451405E-9</v>
      </c>
      <c r="MU66" s="77">
        <f t="shared" si="363"/>
        <v>1.8699211068451405E-9</v>
      </c>
      <c r="MV66" s="77">
        <f t="shared" si="363"/>
        <v>1.8699211068451405E-9</v>
      </c>
      <c r="MW66" s="77">
        <f t="shared" si="363"/>
        <v>1.8699211068451405E-9</v>
      </c>
      <c r="MX66" s="77">
        <f t="shared" si="363"/>
        <v>1.8699211068451405E-9</v>
      </c>
      <c r="MY66" s="77">
        <f t="shared" si="363"/>
        <v>1.8699211068451405E-9</v>
      </c>
      <c r="MZ66" s="77">
        <f t="shared" si="363"/>
        <v>1.8699211068451405E-9</v>
      </c>
      <c r="NA66" s="77">
        <f t="shared" si="363"/>
        <v>1.8699211068451405E-9</v>
      </c>
      <c r="NB66" s="77">
        <f t="shared" si="363"/>
        <v>1.8699211068451405E-9</v>
      </c>
      <c r="NC66" s="77">
        <f t="shared" si="363"/>
        <v>1.8699211068451405E-9</v>
      </c>
      <c r="ND66" s="77">
        <f t="shared" ref="ND66:NW66" si="364">NC66-ND52</f>
        <v>1.8699211068451405E-9</v>
      </c>
      <c r="NE66" s="77">
        <f t="shared" si="364"/>
        <v>1.8699211068451405E-9</v>
      </c>
      <c r="NF66" s="77">
        <f t="shared" si="364"/>
        <v>1.8699211068451405E-9</v>
      </c>
      <c r="NG66" s="77">
        <f t="shared" si="364"/>
        <v>1.8699211068451405E-9</v>
      </c>
      <c r="NH66" s="77">
        <f t="shared" si="364"/>
        <v>1.8699211068451405E-9</v>
      </c>
      <c r="NI66" s="77">
        <f t="shared" si="364"/>
        <v>1.8699211068451405E-9</v>
      </c>
      <c r="NJ66" s="77">
        <f t="shared" si="364"/>
        <v>1.8699211068451405E-9</v>
      </c>
      <c r="NK66" s="77">
        <f t="shared" si="364"/>
        <v>1.8699211068451405E-9</v>
      </c>
      <c r="NL66" s="77">
        <f t="shared" si="364"/>
        <v>1.8699211068451405E-9</v>
      </c>
      <c r="NM66" s="77">
        <f t="shared" si="364"/>
        <v>1.8699211068451405E-9</v>
      </c>
      <c r="NN66" s="77">
        <f t="shared" si="364"/>
        <v>1.8699211068451405E-9</v>
      </c>
      <c r="NO66" s="77">
        <f t="shared" si="364"/>
        <v>1.8699211068451405E-9</v>
      </c>
      <c r="NP66" s="77">
        <f t="shared" si="364"/>
        <v>1.8699211068451405E-9</v>
      </c>
      <c r="NQ66" s="77">
        <f t="shared" si="364"/>
        <v>1.8699211068451405E-9</v>
      </c>
      <c r="NR66" s="77">
        <f t="shared" si="364"/>
        <v>1.8699211068451405E-9</v>
      </c>
      <c r="NS66" s="77">
        <f t="shared" si="364"/>
        <v>1.8699211068451405E-9</v>
      </c>
      <c r="NT66" s="77">
        <f t="shared" si="364"/>
        <v>1.8699211068451405E-9</v>
      </c>
      <c r="NU66" s="77">
        <f t="shared" si="364"/>
        <v>1.8699211068451405E-9</v>
      </c>
      <c r="NV66" s="77">
        <f t="shared" si="364"/>
        <v>1.8699211068451405E-9</v>
      </c>
      <c r="NW66" s="77">
        <f t="shared" si="364"/>
        <v>1.8699211068451405E-9</v>
      </c>
    </row>
    <row r="67" spans="2:388" x14ac:dyDescent="0.3">
      <c r="B67" s="49" t="s">
        <v>257</v>
      </c>
      <c r="C67" s="19"/>
      <c r="D67" s="19"/>
      <c r="E67" s="19"/>
      <c r="F67" s="21" t="s">
        <v>258</v>
      </c>
      <c r="G67" s="19"/>
      <c r="H67" s="63">
        <f>L67/$L$59</f>
        <v>0.15027158186297401</v>
      </c>
      <c r="I67" s="19"/>
      <c r="J67" s="23">
        <f>L67/$L$8</f>
        <v>7264.3995299647468</v>
      </c>
      <c r="K67" s="29">
        <f>L67/$L$7</f>
        <v>0.96023671947809874</v>
      </c>
      <c r="L67" s="23">
        <f>SUM(T67:GQ67)</f>
        <v>1670811.8918918918</v>
      </c>
      <c r="S67" s="69" t="str">
        <f>IF(ROUND(L67,0)=ROUND(SUM(T67:GQ67),0),"OK","ERROR")</f>
        <v>OK</v>
      </c>
      <c r="T67" s="50">
        <f>GZ51</f>
        <v>1670811.8918918918</v>
      </c>
      <c r="U67" s="50">
        <f t="shared" ref="U67:CF67" si="365">HA51</f>
        <v>0</v>
      </c>
      <c r="V67" s="50">
        <f t="shared" si="365"/>
        <v>0</v>
      </c>
      <c r="W67" s="50">
        <f t="shared" si="365"/>
        <v>0</v>
      </c>
      <c r="X67" s="50">
        <f t="shared" si="365"/>
        <v>0</v>
      </c>
      <c r="Y67" s="50">
        <f t="shared" si="365"/>
        <v>0</v>
      </c>
      <c r="Z67" s="50">
        <f t="shared" si="365"/>
        <v>0</v>
      </c>
      <c r="AA67" s="50">
        <f t="shared" si="365"/>
        <v>0</v>
      </c>
      <c r="AB67" s="50">
        <f t="shared" si="365"/>
        <v>0</v>
      </c>
      <c r="AC67" s="50">
        <f t="shared" si="365"/>
        <v>0</v>
      </c>
      <c r="AD67" s="50">
        <f t="shared" si="365"/>
        <v>0</v>
      </c>
      <c r="AE67" s="50">
        <f t="shared" si="365"/>
        <v>0</v>
      </c>
      <c r="AF67" s="50">
        <f t="shared" si="365"/>
        <v>0</v>
      </c>
      <c r="AG67" s="50">
        <f t="shared" si="365"/>
        <v>0</v>
      </c>
      <c r="AH67" s="50">
        <f t="shared" si="365"/>
        <v>0</v>
      </c>
      <c r="AI67" s="50">
        <f t="shared" si="365"/>
        <v>0</v>
      </c>
      <c r="AJ67" s="50">
        <f t="shared" si="365"/>
        <v>0</v>
      </c>
      <c r="AK67" s="50">
        <f t="shared" si="365"/>
        <v>0</v>
      </c>
      <c r="AL67" s="50">
        <f t="shared" si="365"/>
        <v>0</v>
      </c>
      <c r="AM67" s="50">
        <f t="shared" si="365"/>
        <v>0</v>
      </c>
      <c r="AN67" s="50">
        <f t="shared" si="365"/>
        <v>0</v>
      </c>
      <c r="AO67" s="50">
        <f t="shared" si="365"/>
        <v>0</v>
      </c>
      <c r="AP67" s="50">
        <f t="shared" si="365"/>
        <v>0</v>
      </c>
      <c r="AQ67" s="50">
        <f t="shared" si="365"/>
        <v>0</v>
      </c>
      <c r="AR67" s="50">
        <f t="shared" si="365"/>
        <v>0</v>
      </c>
      <c r="AS67" s="50">
        <f t="shared" si="365"/>
        <v>0</v>
      </c>
      <c r="AT67" s="50">
        <f t="shared" si="365"/>
        <v>0</v>
      </c>
      <c r="AU67" s="50">
        <f t="shared" si="365"/>
        <v>0</v>
      </c>
      <c r="AV67" s="50">
        <f t="shared" si="365"/>
        <v>0</v>
      </c>
      <c r="AW67" s="50">
        <f t="shared" si="365"/>
        <v>0</v>
      </c>
      <c r="AX67" s="50">
        <f t="shared" si="365"/>
        <v>0</v>
      </c>
      <c r="AY67" s="50">
        <f t="shared" si="365"/>
        <v>0</v>
      </c>
      <c r="AZ67" s="50">
        <f t="shared" si="365"/>
        <v>0</v>
      </c>
      <c r="BA67" s="50">
        <f t="shared" si="365"/>
        <v>0</v>
      </c>
      <c r="BB67" s="50">
        <f t="shared" si="365"/>
        <v>0</v>
      </c>
      <c r="BC67" s="50">
        <f t="shared" si="365"/>
        <v>0</v>
      </c>
      <c r="BD67" s="50">
        <f t="shared" si="365"/>
        <v>0</v>
      </c>
      <c r="BE67" s="50">
        <f t="shared" si="365"/>
        <v>0</v>
      </c>
      <c r="BF67" s="50">
        <f t="shared" si="365"/>
        <v>0</v>
      </c>
      <c r="BG67" s="50">
        <f t="shared" si="365"/>
        <v>0</v>
      </c>
      <c r="BH67" s="50">
        <f t="shared" si="365"/>
        <v>0</v>
      </c>
      <c r="BI67" s="50">
        <f t="shared" si="365"/>
        <v>0</v>
      </c>
      <c r="BJ67" s="50">
        <f t="shared" si="365"/>
        <v>0</v>
      </c>
      <c r="BK67" s="50">
        <f t="shared" si="365"/>
        <v>0</v>
      </c>
      <c r="BL67" s="50">
        <f t="shared" si="365"/>
        <v>0</v>
      </c>
      <c r="BM67" s="50">
        <f t="shared" si="365"/>
        <v>0</v>
      </c>
      <c r="BN67" s="50">
        <f t="shared" si="365"/>
        <v>0</v>
      </c>
      <c r="BO67" s="50">
        <f t="shared" si="365"/>
        <v>0</v>
      </c>
      <c r="BP67" s="50">
        <f t="shared" si="365"/>
        <v>0</v>
      </c>
      <c r="BQ67" s="50">
        <f t="shared" si="365"/>
        <v>0</v>
      </c>
      <c r="BR67" s="50">
        <f t="shared" si="365"/>
        <v>0</v>
      </c>
      <c r="BS67" s="50">
        <f t="shared" si="365"/>
        <v>0</v>
      </c>
      <c r="BT67" s="50">
        <f t="shared" si="365"/>
        <v>0</v>
      </c>
      <c r="BU67" s="50">
        <f t="shared" si="365"/>
        <v>0</v>
      </c>
      <c r="BV67" s="50">
        <f t="shared" si="365"/>
        <v>0</v>
      </c>
      <c r="BW67" s="50">
        <f t="shared" si="365"/>
        <v>0</v>
      </c>
      <c r="BX67" s="50">
        <f t="shared" si="365"/>
        <v>0</v>
      </c>
      <c r="BY67" s="50">
        <f t="shared" si="365"/>
        <v>0</v>
      </c>
      <c r="BZ67" s="50">
        <f t="shared" si="365"/>
        <v>0</v>
      </c>
      <c r="CA67" s="50">
        <f t="shared" si="365"/>
        <v>0</v>
      </c>
      <c r="CB67" s="50">
        <f t="shared" si="365"/>
        <v>0</v>
      </c>
      <c r="CC67" s="50">
        <f t="shared" si="365"/>
        <v>0</v>
      </c>
      <c r="CD67" s="50">
        <f t="shared" si="365"/>
        <v>0</v>
      </c>
      <c r="CE67" s="50">
        <f t="shared" si="365"/>
        <v>0</v>
      </c>
      <c r="CF67" s="50">
        <f t="shared" si="365"/>
        <v>0</v>
      </c>
      <c r="CG67" s="50">
        <f t="shared" ref="CG67:ER67" si="366">JM51</f>
        <v>0</v>
      </c>
      <c r="CH67" s="50">
        <f t="shared" si="366"/>
        <v>0</v>
      </c>
      <c r="CI67" s="50">
        <f t="shared" si="366"/>
        <v>0</v>
      </c>
      <c r="CJ67" s="50">
        <f t="shared" si="366"/>
        <v>0</v>
      </c>
      <c r="CK67" s="50">
        <f t="shared" si="366"/>
        <v>0</v>
      </c>
      <c r="CL67" s="50">
        <f t="shared" si="366"/>
        <v>0</v>
      </c>
      <c r="CM67" s="50">
        <f t="shared" si="366"/>
        <v>0</v>
      </c>
      <c r="CN67" s="50">
        <f t="shared" si="366"/>
        <v>0</v>
      </c>
      <c r="CO67" s="50">
        <f t="shared" si="366"/>
        <v>0</v>
      </c>
      <c r="CP67" s="50">
        <f t="shared" si="366"/>
        <v>0</v>
      </c>
      <c r="CQ67" s="50">
        <f t="shared" si="366"/>
        <v>0</v>
      </c>
      <c r="CR67" s="50">
        <f t="shared" si="366"/>
        <v>0</v>
      </c>
      <c r="CS67" s="50">
        <f t="shared" si="366"/>
        <v>0</v>
      </c>
      <c r="CT67" s="50">
        <f t="shared" si="366"/>
        <v>0</v>
      </c>
      <c r="CU67" s="50">
        <f t="shared" si="366"/>
        <v>0</v>
      </c>
      <c r="CV67" s="50">
        <f t="shared" si="366"/>
        <v>0</v>
      </c>
      <c r="CW67" s="50">
        <f t="shared" si="366"/>
        <v>0</v>
      </c>
      <c r="CX67" s="50">
        <f t="shared" si="366"/>
        <v>0</v>
      </c>
      <c r="CY67" s="50">
        <f t="shared" si="366"/>
        <v>0</v>
      </c>
      <c r="CZ67" s="50">
        <f t="shared" si="366"/>
        <v>0</v>
      </c>
      <c r="DA67" s="50">
        <f t="shared" si="366"/>
        <v>0</v>
      </c>
      <c r="DB67" s="50">
        <f t="shared" si="366"/>
        <v>0</v>
      </c>
      <c r="DC67" s="50">
        <f t="shared" si="366"/>
        <v>0</v>
      </c>
      <c r="DD67" s="50">
        <f t="shared" si="366"/>
        <v>0</v>
      </c>
      <c r="DE67" s="50">
        <f t="shared" si="366"/>
        <v>0</v>
      </c>
      <c r="DF67" s="50">
        <f t="shared" si="366"/>
        <v>0</v>
      </c>
      <c r="DG67" s="50">
        <f t="shared" si="366"/>
        <v>0</v>
      </c>
      <c r="DH67" s="50">
        <f t="shared" si="366"/>
        <v>0</v>
      </c>
      <c r="DI67" s="50">
        <f t="shared" si="366"/>
        <v>0</v>
      </c>
      <c r="DJ67" s="50">
        <f t="shared" si="366"/>
        <v>0</v>
      </c>
      <c r="DK67" s="50">
        <f t="shared" si="366"/>
        <v>0</v>
      </c>
      <c r="DL67" s="50">
        <f t="shared" si="366"/>
        <v>0</v>
      </c>
      <c r="DM67" s="50">
        <f t="shared" si="366"/>
        <v>0</v>
      </c>
      <c r="DN67" s="50">
        <f t="shared" si="366"/>
        <v>0</v>
      </c>
      <c r="DO67" s="50">
        <f t="shared" si="366"/>
        <v>0</v>
      </c>
      <c r="DP67" s="50">
        <f t="shared" si="366"/>
        <v>0</v>
      </c>
      <c r="DQ67" s="50">
        <f t="shared" si="366"/>
        <v>0</v>
      </c>
      <c r="DR67" s="50">
        <f t="shared" si="366"/>
        <v>0</v>
      </c>
      <c r="DS67" s="50">
        <f t="shared" si="366"/>
        <v>0</v>
      </c>
      <c r="DT67" s="50">
        <f t="shared" si="366"/>
        <v>0</v>
      </c>
      <c r="DU67" s="50">
        <f t="shared" si="366"/>
        <v>0</v>
      </c>
      <c r="DV67" s="50">
        <f t="shared" si="366"/>
        <v>0</v>
      </c>
      <c r="DW67" s="50">
        <f t="shared" si="366"/>
        <v>0</v>
      </c>
      <c r="DX67" s="50">
        <f t="shared" si="366"/>
        <v>0</v>
      </c>
      <c r="DY67" s="50">
        <f t="shared" si="366"/>
        <v>0</v>
      </c>
      <c r="DZ67" s="50">
        <f t="shared" si="366"/>
        <v>0</v>
      </c>
      <c r="EA67" s="50">
        <f t="shared" si="366"/>
        <v>0</v>
      </c>
      <c r="EB67" s="50">
        <f t="shared" si="366"/>
        <v>0</v>
      </c>
      <c r="EC67" s="50">
        <f t="shared" si="366"/>
        <v>0</v>
      </c>
      <c r="ED67" s="50">
        <f t="shared" si="366"/>
        <v>0</v>
      </c>
      <c r="EE67" s="50">
        <f t="shared" si="366"/>
        <v>0</v>
      </c>
      <c r="EF67" s="50">
        <f t="shared" si="366"/>
        <v>0</v>
      </c>
      <c r="EG67" s="50">
        <f t="shared" si="366"/>
        <v>0</v>
      </c>
      <c r="EH67" s="50">
        <f t="shared" si="366"/>
        <v>0</v>
      </c>
      <c r="EI67" s="50">
        <f t="shared" si="366"/>
        <v>0</v>
      </c>
      <c r="EJ67" s="50">
        <f t="shared" si="366"/>
        <v>0</v>
      </c>
      <c r="EK67" s="50">
        <f t="shared" si="366"/>
        <v>0</v>
      </c>
      <c r="EL67" s="50">
        <f t="shared" si="366"/>
        <v>0</v>
      </c>
      <c r="EM67" s="50">
        <f t="shared" si="366"/>
        <v>0</v>
      </c>
      <c r="EN67" s="50">
        <f t="shared" si="366"/>
        <v>0</v>
      </c>
      <c r="EO67" s="50">
        <f t="shared" si="366"/>
        <v>0</v>
      </c>
      <c r="EP67" s="50">
        <f t="shared" si="366"/>
        <v>0</v>
      </c>
      <c r="EQ67" s="50">
        <f t="shared" si="366"/>
        <v>0</v>
      </c>
      <c r="ER67" s="50">
        <f t="shared" si="366"/>
        <v>0</v>
      </c>
      <c r="ES67" s="50">
        <f t="shared" ref="ES67:GQ67" si="367">LY51</f>
        <v>0</v>
      </c>
      <c r="ET67" s="50">
        <f t="shared" si="367"/>
        <v>0</v>
      </c>
      <c r="EU67" s="50">
        <f t="shared" si="367"/>
        <v>0</v>
      </c>
      <c r="EV67" s="50">
        <f t="shared" si="367"/>
        <v>0</v>
      </c>
      <c r="EW67" s="50">
        <f t="shared" si="367"/>
        <v>0</v>
      </c>
      <c r="EX67" s="50">
        <f t="shared" si="367"/>
        <v>0</v>
      </c>
      <c r="EY67" s="50">
        <f t="shared" si="367"/>
        <v>0</v>
      </c>
      <c r="EZ67" s="50">
        <f t="shared" si="367"/>
        <v>0</v>
      </c>
      <c r="FA67" s="50">
        <f t="shared" si="367"/>
        <v>0</v>
      </c>
      <c r="FB67" s="50">
        <f t="shared" si="367"/>
        <v>0</v>
      </c>
      <c r="FC67" s="50">
        <f t="shared" si="367"/>
        <v>0</v>
      </c>
      <c r="FD67" s="50">
        <f t="shared" si="367"/>
        <v>0</v>
      </c>
      <c r="FE67" s="50">
        <f t="shared" si="367"/>
        <v>0</v>
      </c>
      <c r="FF67" s="50">
        <f t="shared" si="367"/>
        <v>0</v>
      </c>
      <c r="FG67" s="50">
        <f t="shared" si="367"/>
        <v>0</v>
      </c>
      <c r="FH67" s="50">
        <f t="shared" si="367"/>
        <v>0</v>
      </c>
      <c r="FI67" s="50">
        <f t="shared" si="367"/>
        <v>0</v>
      </c>
      <c r="FJ67" s="50">
        <f t="shared" si="367"/>
        <v>0</v>
      </c>
      <c r="FK67" s="50">
        <f t="shared" si="367"/>
        <v>0</v>
      </c>
      <c r="FL67" s="50">
        <f t="shared" si="367"/>
        <v>0</v>
      </c>
      <c r="FM67" s="50">
        <f t="shared" si="367"/>
        <v>0</v>
      </c>
      <c r="FN67" s="50">
        <f t="shared" si="367"/>
        <v>0</v>
      </c>
      <c r="FO67" s="50">
        <f t="shared" si="367"/>
        <v>0</v>
      </c>
      <c r="FP67" s="50">
        <f t="shared" si="367"/>
        <v>0</v>
      </c>
      <c r="FQ67" s="50">
        <f t="shared" si="367"/>
        <v>0</v>
      </c>
      <c r="FR67" s="50">
        <f t="shared" si="367"/>
        <v>0</v>
      </c>
      <c r="FS67" s="50">
        <f t="shared" si="367"/>
        <v>0</v>
      </c>
      <c r="FT67" s="50">
        <f t="shared" si="367"/>
        <v>0</v>
      </c>
      <c r="FU67" s="50">
        <f t="shared" si="367"/>
        <v>0</v>
      </c>
      <c r="FV67" s="50">
        <f t="shared" si="367"/>
        <v>0</v>
      </c>
      <c r="FW67" s="50">
        <f t="shared" si="367"/>
        <v>0</v>
      </c>
      <c r="FX67" s="50">
        <f t="shared" si="367"/>
        <v>0</v>
      </c>
      <c r="FY67" s="50">
        <f t="shared" si="367"/>
        <v>0</v>
      </c>
      <c r="FZ67" s="50">
        <f t="shared" si="367"/>
        <v>0</v>
      </c>
      <c r="GA67" s="50">
        <f t="shared" si="367"/>
        <v>0</v>
      </c>
      <c r="GB67" s="50">
        <f t="shared" si="367"/>
        <v>0</v>
      </c>
      <c r="GC67" s="50">
        <f t="shared" si="367"/>
        <v>0</v>
      </c>
      <c r="GD67" s="50">
        <f t="shared" si="367"/>
        <v>0</v>
      </c>
      <c r="GE67" s="50">
        <f t="shared" si="367"/>
        <v>0</v>
      </c>
      <c r="GF67" s="50">
        <f t="shared" si="367"/>
        <v>0</v>
      </c>
      <c r="GG67" s="50">
        <f t="shared" si="367"/>
        <v>0</v>
      </c>
      <c r="GH67" s="50">
        <f t="shared" si="367"/>
        <v>0</v>
      </c>
      <c r="GI67" s="50">
        <f t="shared" si="367"/>
        <v>0</v>
      </c>
      <c r="GJ67" s="50">
        <f t="shared" si="367"/>
        <v>0</v>
      </c>
      <c r="GK67" s="50">
        <f t="shared" si="367"/>
        <v>0</v>
      </c>
      <c r="GL67" s="50">
        <f t="shared" si="367"/>
        <v>0</v>
      </c>
      <c r="GM67" s="50">
        <f t="shared" si="367"/>
        <v>0</v>
      </c>
      <c r="GN67" s="50">
        <f t="shared" si="367"/>
        <v>0</v>
      </c>
      <c r="GO67" s="50">
        <f t="shared" si="367"/>
        <v>0</v>
      </c>
      <c r="GP67" s="50">
        <f t="shared" si="367"/>
        <v>0</v>
      </c>
      <c r="GQ67" s="50">
        <f t="shared" si="367"/>
        <v>0</v>
      </c>
      <c r="GS67" s="80" t="s">
        <v>259</v>
      </c>
      <c r="GT67" s="77"/>
      <c r="GU67" s="77"/>
      <c r="GV67" s="77"/>
      <c r="GW67" s="77"/>
      <c r="GX67" s="77"/>
      <c r="GY67" s="77"/>
      <c r="GZ67" s="77">
        <f t="shared" ref="GZ67:IE67" si="368">MIN(GY66,GZ47+T50-GZ51)</f>
        <v>1397606.6936344241</v>
      </c>
      <c r="HA67" s="77">
        <f t="shared" si="368"/>
        <v>85890.627011509554</v>
      </c>
      <c r="HB67" s="77">
        <f t="shared" si="368"/>
        <v>91255.823555876836</v>
      </c>
      <c r="HC67" s="77">
        <f t="shared" si="368"/>
        <v>99888.170850955968</v>
      </c>
      <c r="HD67" s="77">
        <f t="shared" si="368"/>
        <v>113114.02021222032</v>
      </c>
      <c r="HE67" s="77">
        <f t="shared" si="368"/>
        <v>132387.58147376956</v>
      </c>
      <c r="HF67" s="77">
        <f t="shared" si="368"/>
        <v>159061.3003494427</v>
      </c>
      <c r="HG67" s="77">
        <f t="shared" si="368"/>
        <v>241661.94259224951</v>
      </c>
      <c r="HH67" s="77">
        <f t="shared" si="368"/>
        <v>249320.4918396665</v>
      </c>
      <c r="HI67" s="77">
        <f t="shared" si="368"/>
        <v>260685.53284439625</v>
      </c>
      <c r="HJ67" s="77">
        <f t="shared" si="368"/>
        <v>315954.30016837636</v>
      </c>
      <c r="HK67" s="77">
        <f t="shared" si="368"/>
        <v>371881.33070336544</v>
      </c>
      <c r="HL67" s="77">
        <f t="shared" si="368"/>
        <v>423441.08920777583</v>
      </c>
      <c r="HM67" s="77">
        <f t="shared" si="368"/>
        <v>465277.83944521204</v>
      </c>
      <c r="HN67" s="77">
        <f t="shared" si="368"/>
        <v>492606.97460704664</v>
      </c>
      <c r="HO67" s="77">
        <f t="shared" si="368"/>
        <v>502112.21204171277</v>
      </c>
      <c r="HP67" s="77">
        <f t="shared" si="368"/>
        <v>492606.97460704693</v>
      </c>
      <c r="HQ67" s="77">
        <f t="shared" si="368"/>
        <v>465277.83944521175</v>
      </c>
      <c r="HR67" s="77">
        <f t="shared" si="368"/>
        <v>423441.08920777566</v>
      </c>
      <c r="HS67" s="77">
        <f t="shared" si="368"/>
        <v>426881.33070336562</v>
      </c>
      <c r="HT67" s="77">
        <f t="shared" si="368"/>
        <v>370954.30016837624</v>
      </c>
      <c r="HU67" s="77">
        <f t="shared" si="368"/>
        <v>315685.53284439631</v>
      </c>
      <c r="HV67" s="77">
        <f t="shared" si="368"/>
        <v>265070.49183966639</v>
      </c>
      <c r="HW67" s="77">
        <f t="shared" si="368"/>
        <v>221697.65687796433</v>
      </c>
      <c r="HX67" s="77">
        <f t="shared" si="368"/>
        <v>175351.27599879279</v>
      </c>
      <c r="HY67" s="77">
        <f t="shared" si="368"/>
        <v>148677.55712312032</v>
      </c>
      <c r="HZ67" s="77">
        <f t="shared" si="368"/>
        <v>129403.99586157137</v>
      </c>
      <c r="IA67" s="77">
        <f t="shared" si="368"/>
        <v>116178.14650030635</v>
      </c>
      <c r="IB67" s="77">
        <f t="shared" si="368"/>
        <v>52545.799205227355</v>
      </c>
      <c r="IC67" s="77">
        <f t="shared" si="368"/>
        <v>38816.966297223873</v>
      </c>
      <c r="ID67" s="77">
        <f t="shared" si="368"/>
        <v>31926.295468400731</v>
      </c>
      <c r="IE67" s="77">
        <f t="shared" si="368"/>
        <v>31926.295468400731</v>
      </c>
      <c r="IF67" s="77">
        <f t="shared" ref="IF67:JK67" si="369">MIN(IE66,IF47+AZ50-IF51)</f>
        <v>31926.295468400731</v>
      </c>
      <c r="IG67" s="77">
        <f t="shared" si="369"/>
        <v>31926.295468400731</v>
      </c>
      <c r="IH67" s="77">
        <f t="shared" si="369"/>
        <v>31926.295468400731</v>
      </c>
      <c r="II67" s="77">
        <f t="shared" si="369"/>
        <v>31926.295468400731</v>
      </c>
      <c r="IJ67" s="77">
        <f t="shared" si="369"/>
        <v>24697.724039829303</v>
      </c>
      <c r="IK67" s="77">
        <f t="shared" si="369"/>
        <v>24697.724039829303</v>
      </c>
      <c r="IL67" s="77">
        <f t="shared" si="369"/>
        <v>0</v>
      </c>
      <c r="IM67" s="77">
        <f t="shared" si="369"/>
        <v>0</v>
      </c>
      <c r="IN67" s="77">
        <f t="shared" si="369"/>
        <v>0</v>
      </c>
      <c r="IO67" s="77">
        <f t="shared" si="369"/>
        <v>0</v>
      </c>
      <c r="IP67" s="77">
        <f t="shared" si="369"/>
        <v>0</v>
      </c>
      <c r="IQ67" s="77">
        <f t="shared" si="369"/>
        <v>0</v>
      </c>
      <c r="IR67" s="77">
        <f t="shared" si="369"/>
        <v>0</v>
      </c>
      <c r="IS67" s="77">
        <f t="shared" si="369"/>
        <v>0</v>
      </c>
      <c r="IT67" s="77">
        <f t="shared" si="369"/>
        <v>0</v>
      </c>
      <c r="IU67" s="77">
        <f t="shared" si="369"/>
        <v>0</v>
      </c>
      <c r="IV67" s="77">
        <f t="shared" si="369"/>
        <v>0</v>
      </c>
      <c r="IW67" s="77">
        <f t="shared" si="369"/>
        <v>0</v>
      </c>
      <c r="IX67" s="77">
        <f t="shared" si="369"/>
        <v>0</v>
      </c>
      <c r="IY67" s="77">
        <f t="shared" si="369"/>
        <v>0</v>
      </c>
      <c r="IZ67" s="77">
        <f t="shared" si="369"/>
        <v>0</v>
      </c>
      <c r="JA67" s="77">
        <f t="shared" si="369"/>
        <v>0</v>
      </c>
      <c r="JB67" s="77">
        <f t="shared" si="369"/>
        <v>0</v>
      </c>
      <c r="JC67" s="77">
        <f t="shared" si="369"/>
        <v>0</v>
      </c>
      <c r="JD67" s="77">
        <f t="shared" si="369"/>
        <v>0</v>
      </c>
      <c r="JE67" s="77">
        <f t="shared" si="369"/>
        <v>0</v>
      </c>
      <c r="JF67" s="77">
        <f t="shared" si="369"/>
        <v>0</v>
      </c>
      <c r="JG67" s="77">
        <f t="shared" si="369"/>
        <v>0</v>
      </c>
      <c r="JH67" s="77">
        <f t="shared" si="369"/>
        <v>0</v>
      </c>
      <c r="JI67" s="77">
        <f t="shared" si="369"/>
        <v>0</v>
      </c>
      <c r="JJ67" s="77">
        <f t="shared" si="369"/>
        <v>0</v>
      </c>
      <c r="JK67" s="77">
        <f t="shared" si="369"/>
        <v>0</v>
      </c>
      <c r="JL67" s="77">
        <f t="shared" ref="JL67:KQ67" si="370">MIN(JK66,JL47+CF50-JL51)</f>
        <v>0</v>
      </c>
      <c r="JM67" s="77">
        <f t="shared" si="370"/>
        <v>0</v>
      </c>
      <c r="JN67" s="77">
        <f t="shared" si="370"/>
        <v>0</v>
      </c>
      <c r="JO67" s="77">
        <f t="shared" si="370"/>
        <v>0</v>
      </c>
      <c r="JP67" s="77">
        <f t="shared" si="370"/>
        <v>0</v>
      </c>
      <c r="JQ67" s="77">
        <f t="shared" si="370"/>
        <v>0</v>
      </c>
      <c r="JR67" s="77">
        <f t="shared" si="370"/>
        <v>0</v>
      </c>
      <c r="JS67" s="77">
        <f t="shared" si="370"/>
        <v>0</v>
      </c>
      <c r="JT67" s="77">
        <f t="shared" si="370"/>
        <v>0</v>
      </c>
      <c r="JU67" s="77">
        <f t="shared" si="370"/>
        <v>0</v>
      </c>
      <c r="JV67" s="77">
        <f t="shared" si="370"/>
        <v>0</v>
      </c>
      <c r="JW67" s="77">
        <f t="shared" si="370"/>
        <v>0</v>
      </c>
      <c r="JX67" s="77">
        <f t="shared" si="370"/>
        <v>0</v>
      </c>
      <c r="JY67" s="77">
        <f t="shared" si="370"/>
        <v>0</v>
      </c>
      <c r="JZ67" s="77">
        <f t="shared" si="370"/>
        <v>0</v>
      </c>
      <c r="KA67" s="77">
        <f t="shared" si="370"/>
        <v>0</v>
      </c>
      <c r="KB67" s="77">
        <f t="shared" si="370"/>
        <v>0</v>
      </c>
      <c r="KC67" s="77">
        <f t="shared" si="370"/>
        <v>0</v>
      </c>
      <c r="KD67" s="77">
        <f t="shared" si="370"/>
        <v>0</v>
      </c>
      <c r="KE67" s="77">
        <f t="shared" si="370"/>
        <v>0</v>
      </c>
      <c r="KF67" s="77">
        <f t="shared" si="370"/>
        <v>0</v>
      </c>
      <c r="KG67" s="77">
        <f t="shared" si="370"/>
        <v>0</v>
      </c>
      <c r="KH67" s="77">
        <f t="shared" si="370"/>
        <v>0</v>
      </c>
      <c r="KI67" s="77">
        <f t="shared" si="370"/>
        <v>0</v>
      </c>
      <c r="KJ67" s="77">
        <f t="shared" si="370"/>
        <v>0</v>
      </c>
      <c r="KK67" s="77">
        <f t="shared" si="370"/>
        <v>0</v>
      </c>
      <c r="KL67" s="77">
        <f t="shared" si="370"/>
        <v>0</v>
      </c>
      <c r="KM67" s="77">
        <f t="shared" si="370"/>
        <v>0</v>
      </c>
      <c r="KN67" s="77">
        <f t="shared" si="370"/>
        <v>0</v>
      </c>
      <c r="KO67" s="77">
        <f t="shared" si="370"/>
        <v>0</v>
      </c>
      <c r="KP67" s="77">
        <f t="shared" si="370"/>
        <v>0</v>
      </c>
      <c r="KQ67" s="77">
        <f t="shared" si="370"/>
        <v>0</v>
      </c>
      <c r="KR67" s="77">
        <f t="shared" ref="KR67:LW67" si="371">MIN(KQ66,KR47+DL50-KR51)</f>
        <v>0</v>
      </c>
      <c r="KS67" s="77">
        <f t="shared" si="371"/>
        <v>0</v>
      </c>
      <c r="KT67" s="77">
        <f t="shared" si="371"/>
        <v>0</v>
      </c>
      <c r="KU67" s="77">
        <f t="shared" si="371"/>
        <v>0</v>
      </c>
      <c r="KV67" s="77">
        <f t="shared" si="371"/>
        <v>0</v>
      </c>
      <c r="KW67" s="77">
        <f t="shared" si="371"/>
        <v>0</v>
      </c>
      <c r="KX67" s="77">
        <f t="shared" si="371"/>
        <v>0</v>
      </c>
      <c r="KY67" s="77">
        <f t="shared" si="371"/>
        <v>0</v>
      </c>
      <c r="KZ67" s="77">
        <f t="shared" si="371"/>
        <v>0</v>
      </c>
      <c r="LA67" s="77">
        <f t="shared" si="371"/>
        <v>0</v>
      </c>
      <c r="LB67" s="77">
        <f t="shared" si="371"/>
        <v>0</v>
      </c>
      <c r="LC67" s="77">
        <f t="shared" si="371"/>
        <v>0</v>
      </c>
      <c r="LD67" s="77">
        <f t="shared" si="371"/>
        <v>0</v>
      </c>
      <c r="LE67" s="77">
        <f t="shared" si="371"/>
        <v>0</v>
      </c>
      <c r="LF67" s="77">
        <f t="shared" si="371"/>
        <v>0</v>
      </c>
      <c r="LG67" s="77">
        <f t="shared" si="371"/>
        <v>0</v>
      </c>
      <c r="LH67" s="77">
        <f t="shared" si="371"/>
        <v>0</v>
      </c>
      <c r="LI67" s="77">
        <f t="shared" si="371"/>
        <v>0</v>
      </c>
      <c r="LJ67" s="77">
        <f t="shared" si="371"/>
        <v>0</v>
      </c>
      <c r="LK67" s="77">
        <f t="shared" si="371"/>
        <v>0</v>
      </c>
      <c r="LL67" s="77">
        <f t="shared" si="371"/>
        <v>0</v>
      </c>
      <c r="LM67" s="77">
        <f t="shared" si="371"/>
        <v>0</v>
      </c>
      <c r="LN67" s="77">
        <f t="shared" si="371"/>
        <v>0</v>
      </c>
      <c r="LO67" s="77">
        <f t="shared" si="371"/>
        <v>0</v>
      </c>
      <c r="LP67" s="77">
        <f t="shared" si="371"/>
        <v>0</v>
      </c>
      <c r="LQ67" s="77">
        <f t="shared" si="371"/>
        <v>0</v>
      </c>
      <c r="LR67" s="77">
        <f t="shared" si="371"/>
        <v>0</v>
      </c>
      <c r="LS67" s="77">
        <f t="shared" si="371"/>
        <v>0</v>
      </c>
      <c r="LT67" s="77">
        <f t="shared" si="371"/>
        <v>0</v>
      </c>
      <c r="LU67" s="77">
        <f t="shared" si="371"/>
        <v>0</v>
      </c>
      <c r="LV67" s="77">
        <f t="shared" si="371"/>
        <v>0</v>
      </c>
      <c r="LW67" s="77">
        <f t="shared" si="371"/>
        <v>0</v>
      </c>
      <c r="LX67" s="77">
        <f t="shared" ref="LX67:NC67" si="372">MIN(LW66,LX47+ER50-LX51)</f>
        <v>0</v>
      </c>
      <c r="LY67" s="77">
        <f t="shared" si="372"/>
        <v>0</v>
      </c>
      <c r="LZ67" s="77">
        <f t="shared" si="372"/>
        <v>0</v>
      </c>
      <c r="MA67" s="77">
        <f t="shared" si="372"/>
        <v>0</v>
      </c>
      <c r="MB67" s="77">
        <f t="shared" si="372"/>
        <v>0</v>
      </c>
      <c r="MC67" s="77">
        <f t="shared" si="372"/>
        <v>0</v>
      </c>
      <c r="MD67" s="77">
        <f t="shared" si="372"/>
        <v>0</v>
      </c>
      <c r="ME67" s="77">
        <f t="shared" si="372"/>
        <v>0</v>
      </c>
      <c r="MF67" s="77">
        <f t="shared" si="372"/>
        <v>0</v>
      </c>
      <c r="MG67" s="77">
        <f t="shared" si="372"/>
        <v>0</v>
      </c>
      <c r="MH67" s="77">
        <f t="shared" si="372"/>
        <v>0</v>
      </c>
      <c r="MI67" s="77">
        <f t="shared" si="372"/>
        <v>0</v>
      </c>
      <c r="MJ67" s="77">
        <f t="shared" si="372"/>
        <v>0</v>
      </c>
      <c r="MK67" s="77">
        <f t="shared" si="372"/>
        <v>0</v>
      </c>
      <c r="ML67" s="77">
        <f t="shared" si="372"/>
        <v>0</v>
      </c>
      <c r="MM67" s="77">
        <f t="shared" si="372"/>
        <v>0</v>
      </c>
      <c r="MN67" s="77">
        <f t="shared" si="372"/>
        <v>0</v>
      </c>
      <c r="MO67" s="77">
        <f t="shared" si="372"/>
        <v>0</v>
      </c>
      <c r="MP67" s="77">
        <f t="shared" si="372"/>
        <v>0</v>
      </c>
      <c r="MQ67" s="77">
        <f t="shared" si="372"/>
        <v>0</v>
      </c>
      <c r="MR67" s="77">
        <f t="shared" si="372"/>
        <v>0</v>
      </c>
      <c r="MS67" s="77">
        <f t="shared" si="372"/>
        <v>0</v>
      </c>
      <c r="MT67" s="77">
        <f t="shared" si="372"/>
        <v>0</v>
      </c>
      <c r="MU67" s="77">
        <f t="shared" si="372"/>
        <v>0</v>
      </c>
      <c r="MV67" s="77">
        <f t="shared" si="372"/>
        <v>0</v>
      </c>
      <c r="MW67" s="77">
        <f t="shared" si="372"/>
        <v>0</v>
      </c>
      <c r="MX67" s="77">
        <f t="shared" si="372"/>
        <v>0</v>
      </c>
      <c r="MY67" s="77">
        <f t="shared" si="372"/>
        <v>0</v>
      </c>
      <c r="MZ67" s="77">
        <f t="shared" si="372"/>
        <v>0</v>
      </c>
      <c r="NA67" s="77">
        <f t="shared" si="372"/>
        <v>0</v>
      </c>
      <c r="NB67" s="77">
        <f t="shared" si="372"/>
        <v>0</v>
      </c>
      <c r="NC67" s="77">
        <f t="shared" si="372"/>
        <v>0</v>
      </c>
      <c r="ND67" s="77">
        <f t="shared" ref="ND67:NW67" si="373">MIN(NC66,ND47+FX50-ND51)</f>
        <v>0</v>
      </c>
      <c r="NE67" s="77">
        <f t="shared" si="373"/>
        <v>0</v>
      </c>
      <c r="NF67" s="77">
        <f t="shared" si="373"/>
        <v>0</v>
      </c>
      <c r="NG67" s="77">
        <f t="shared" si="373"/>
        <v>0</v>
      </c>
      <c r="NH67" s="77">
        <f t="shared" si="373"/>
        <v>0</v>
      </c>
      <c r="NI67" s="77">
        <f t="shared" si="373"/>
        <v>0</v>
      </c>
      <c r="NJ67" s="77">
        <f t="shared" si="373"/>
        <v>0</v>
      </c>
      <c r="NK67" s="77">
        <f t="shared" si="373"/>
        <v>0</v>
      </c>
      <c r="NL67" s="77">
        <f t="shared" si="373"/>
        <v>0</v>
      </c>
      <c r="NM67" s="77">
        <f t="shared" si="373"/>
        <v>0</v>
      </c>
      <c r="NN67" s="77">
        <f t="shared" si="373"/>
        <v>0</v>
      </c>
      <c r="NO67" s="77">
        <f t="shared" si="373"/>
        <v>0</v>
      </c>
      <c r="NP67" s="77">
        <f t="shared" si="373"/>
        <v>0</v>
      </c>
      <c r="NQ67" s="77">
        <f t="shared" si="373"/>
        <v>0</v>
      </c>
      <c r="NR67" s="77">
        <f t="shared" si="373"/>
        <v>0</v>
      </c>
      <c r="NS67" s="77">
        <f t="shared" si="373"/>
        <v>0</v>
      </c>
      <c r="NT67" s="77">
        <f t="shared" si="373"/>
        <v>0</v>
      </c>
      <c r="NU67" s="77">
        <f t="shared" si="373"/>
        <v>0</v>
      </c>
      <c r="NV67" s="77">
        <f t="shared" si="373"/>
        <v>0</v>
      </c>
      <c r="NW67" s="77">
        <f t="shared" si="373"/>
        <v>0</v>
      </c>
    </row>
    <row r="68" spans="2:388" x14ac:dyDescent="0.3">
      <c r="B68" s="24"/>
      <c r="C68" s="19"/>
      <c r="D68" s="19"/>
      <c r="E68" s="19"/>
      <c r="F68" s="19"/>
      <c r="G68" s="19"/>
      <c r="H68" s="25"/>
      <c r="I68" s="19"/>
      <c r="J68" s="23"/>
      <c r="K68" s="29"/>
      <c r="L68" s="23"/>
      <c r="GS68" s="80" t="s">
        <v>260</v>
      </c>
      <c r="GT68" s="77"/>
      <c r="GU68" s="77"/>
      <c r="GV68" s="77"/>
      <c r="GW68" s="77"/>
      <c r="GX68" s="77"/>
      <c r="GY68" s="77"/>
      <c r="GZ68" s="77">
        <f t="shared" ref="GZ68:IE68" si="374">MIN(GZ65*$F$72,GY69+GZ67)</f>
        <v>0</v>
      </c>
      <c r="HA68" s="77">
        <f t="shared" si="374"/>
        <v>0</v>
      </c>
      <c r="HB68" s="77">
        <f t="shared" si="374"/>
        <v>0</v>
      </c>
      <c r="HC68" s="77">
        <f t="shared" si="374"/>
        <v>0</v>
      </c>
      <c r="HD68" s="77">
        <f t="shared" si="374"/>
        <v>0</v>
      </c>
      <c r="HE68" s="77">
        <f t="shared" si="374"/>
        <v>0</v>
      </c>
      <c r="HF68" s="77">
        <f t="shared" si="374"/>
        <v>0</v>
      </c>
      <c r="HG68" s="77">
        <f t="shared" si="374"/>
        <v>0</v>
      </c>
      <c r="HH68" s="77">
        <f t="shared" si="374"/>
        <v>0</v>
      </c>
      <c r="HI68" s="77">
        <f t="shared" si="374"/>
        <v>2344125</v>
      </c>
      <c r="HJ68" s="77">
        <f t="shared" si="374"/>
        <v>0</v>
      </c>
      <c r="HK68" s="77">
        <f t="shared" si="374"/>
        <v>1174582.815236253</v>
      </c>
      <c r="HL68" s="77">
        <f t="shared" si="374"/>
        <v>0</v>
      </c>
      <c r="HM68" s="77">
        <f t="shared" si="374"/>
        <v>0</v>
      </c>
      <c r="HN68" s="77">
        <f t="shared" si="374"/>
        <v>0</v>
      </c>
      <c r="HO68" s="77">
        <f t="shared" si="374"/>
        <v>1004625</v>
      </c>
      <c r="HP68" s="77">
        <f t="shared" si="374"/>
        <v>0</v>
      </c>
      <c r="HQ68" s="77">
        <f t="shared" si="374"/>
        <v>689700</v>
      </c>
      <c r="HR68" s="77">
        <f t="shared" si="374"/>
        <v>1004625</v>
      </c>
      <c r="HS68" s="77">
        <f t="shared" si="374"/>
        <v>0</v>
      </c>
      <c r="HT68" s="77">
        <f t="shared" si="374"/>
        <v>689700</v>
      </c>
      <c r="HU68" s="77">
        <f t="shared" si="374"/>
        <v>758826.75</v>
      </c>
      <c r="HV68" s="77">
        <f t="shared" si="374"/>
        <v>0</v>
      </c>
      <c r="HW68" s="77">
        <f t="shared" si="374"/>
        <v>710391</v>
      </c>
      <c r="HX68" s="77">
        <f t="shared" si="374"/>
        <v>0</v>
      </c>
      <c r="HY68" s="77">
        <f t="shared" si="374"/>
        <v>0</v>
      </c>
      <c r="HZ68" s="77">
        <f t="shared" si="374"/>
        <v>460618.40997903491</v>
      </c>
      <c r="IA68" s="77">
        <f t="shared" si="374"/>
        <v>0</v>
      </c>
      <c r="IB68" s="77">
        <f t="shared" si="374"/>
        <v>0</v>
      </c>
      <c r="IC68" s="77">
        <f t="shared" si="374"/>
        <v>124630</v>
      </c>
      <c r="ID68" s="77">
        <f t="shared" si="374"/>
        <v>114837.2074711583</v>
      </c>
      <c r="IE68" s="77">
        <f t="shared" si="374"/>
        <v>31926.295468400731</v>
      </c>
      <c r="IF68" s="77">
        <f t="shared" ref="IF68:JK68" si="375">MIN(IF65*$F$72,IE69+IF67)</f>
        <v>31926.295468400731</v>
      </c>
      <c r="IG68" s="77">
        <f t="shared" si="375"/>
        <v>31926.295468400731</v>
      </c>
      <c r="IH68" s="77">
        <f t="shared" si="375"/>
        <v>31926.295468400731</v>
      </c>
      <c r="II68" s="77">
        <f t="shared" si="375"/>
        <v>31926.295468400731</v>
      </c>
      <c r="IJ68" s="77">
        <f t="shared" si="375"/>
        <v>24697.724039829303</v>
      </c>
      <c r="IK68" s="77">
        <f t="shared" si="375"/>
        <v>24697.724039829303</v>
      </c>
      <c r="IL68" s="77">
        <f t="shared" si="375"/>
        <v>0</v>
      </c>
      <c r="IM68" s="77">
        <f t="shared" si="375"/>
        <v>0</v>
      </c>
      <c r="IN68" s="77">
        <f t="shared" si="375"/>
        <v>0</v>
      </c>
      <c r="IO68" s="77">
        <f t="shared" si="375"/>
        <v>0</v>
      </c>
      <c r="IP68" s="77">
        <f t="shared" si="375"/>
        <v>0</v>
      </c>
      <c r="IQ68" s="77">
        <f t="shared" si="375"/>
        <v>0</v>
      </c>
      <c r="IR68" s="77">
        <f t="shared" si="375"/>
        <v>0</v>
      </c>
      <c r="IS68" s="77">
        <f t="shared" si="375"/>
        <v>0</v>
      </c>
      <c r="IT68" s="77">
        <f t="shared" si="375"/>
        <v>0</v>
      </c>
      <c r="IU68" s="77">
        <f t="shared" si="375"/>
        <v>0</v>
      </c>
      <c r="IV68" s="77">
        <f t="shared" si="375"/>
        <v>0</v>
      </c>
      <c r="IW68" s="77">
        <f t="shared" si="375"/>
        <v>0</v>
      </c>
      <c r="IX68" s="77">
        <f t="shared" si="375"/>
        <v>0</v>
      </c>
      <c r="IY68" s="77">
        <f t="shared" si="375"/>
        <v>0</v>
      </c>
      <c r="IZ68" s="77">
        <f t="shared" si="375"/>
        <v>0</v>
      </c>
      <c r="JA68" s="77">
        <f t="shared" si="375"/>
        <v>0</v>
      </c>
      <c r="JB68" s="77">
        <f t="shared" si="375"/>
        <v>0</v>
      </c>
      <c r="JC68" s="77">
        <f t="shared" si="375"/>
        <v>0</v>
      </c>
      <c r="JD68" s="77">
        <f t="shared" si="375"/>
        <v>0</v>
      </c>
      <c r="JE68" s="77">
        <f t="shared" si="375"/>
        <v>0</v>
      </c>
      <c r="JF68" s="77">
        <f t="shared" si="375"/>
        <v>0</v>
      </c>
      <c r="JG68" s="77">
        <f t="shared" si="375"/>
        <v>0</v>
      </c>
      <c r="JH68" s="77">
        <f t="shared" si="375"/>
        <v>0</v>
      </c>
      <c r="JI68" s="77">
        <f t="shared" si="375"/>
        <v>0</v>
      </c>
      <c r="JJ68" s="77">
        <f t="shared" si="375"/>
        <v>0</v>
      </c>
      <c r="JK68" s="77">
        <f t="shared" si="375"/>
        <v>0</v>
      </c>
      <c r="JL68" s="77">
        <f t="shared" ref="JL68:KQ68" si="376">MIN(JL65*$F$72,JK69+JL67)</f>
        <v>0</v>
      </c>
      <c r="JM68" s="77">
        <f t="shared" si="376"/>
        <v>0</v>
      </c>
      <c r="JN68" s="77">
        <f t="shared" si="376"/>
        <v>0</v>
      </c>
      <c r="JO68" s="77">
        <f t="shared" si="376"/>
        <v>0</v>
      </c>
      <c r="JP68" s="77">
        <f t="shared" si="376"/>
        <v>0</v>
      </c>
      <c r="JQ68" s="77">
        <f t="shared" si="376"/>
        <v>0</v>
      </c>
      <c r="JR68" s="77">
        <f t="shared" si="376"/>
        <v>0</v>
      </c>
      <c r="JS68" s="77">
        <f t="shared" si="376"/>
        <v>0</v>
      </c>
      <c r="JT68" s="77">
        <f t="shared" si="376"/>
        <v>0</v>
      </c>
      <c r="JU68" s="77">
        <f t="shared" si="376"/>
        <v>0</v>
      </c>
      <c r="JV68" s="77">
        <f t="shared" si="376"/>
        <v>0</v>
      </c>
      <c r="JW68" s="77">
        <f t="shared" si="376"/>
        <v>0</v>
      </c>
      <c r="JX68" s="77">
        <f t="shared" si="376"/>
        <v>0</v>
      </c>
      <c r="JY68" s="77">
        <f t="shared" si="376"/>
        <v>0</v>
      </c>
      <c r="JZ68" s="77">
        <f t="shared" si="376"/>
        <v>0</v>
      </c>
      <c r="KA68" s="77">
        <f t="shared" si="376"/>
        <v>0</v>
      </c>
      <c r="KB68" s="77">
        <f t="shared" si="376"/>
        <v>0</v>
      </c>
      <c r="KC68" s="77">
        <f t="shared" si="376"/>
        <v>0</v>
      </c>
      <c r="KD68" s="77">
        <f t="shared" si="376"/>
        <v>0</v>
      </c>
      <c r="KE68" s="77">
        <f t="shared" si="376"/>
        <v>0</v>
      </c>
      <c r="KF68" s="77">
        <f t="shared" si="376"/>
        <v>0</v>
      </c>
      <c r="KG68" s="77">
        <f t="shared" si="376"/>
        <v>0</v>
      </c>
      <c r="KH68" s="77">
        <f t="shared" si="376"/>
        <v>0</v>
      </c>
      <c r="KI68" s="77">
        <f t="shared" si="376"/>
        <v>0</v>
      </c>
      <c r="KJ68" s="77">
        <f t="shared" si="376"/>
        <v>0</v>
      </c>
      <c r="KK68" s="77">
        <f t="shared" si="376"/>
        <v>0</v>
      </c>
      <c r="KL68" s="77">
        <f t="shared" si="376"/>
        <v>0</v>
      </c>
      <c r="KM68" s="77">
        <f t="shared" si="376"/>
        <v>0</v>
      </c>
      <c r="KN68" s="77">
        <f t="shared" si="376"/>
        <v>0</v>
      </c>
      <c r="KO68" s="77">
        <f t="shared" si="376"/>
        <v>0</v>
      </c>
      <c r="KP68" s="77">
        <f t="shared" si="376"/>
        <v>0</v>
      </c>
      <c r="KQ68" s="77">
        <f t="shared" si="376"/>
        <v>0</v>
      </c>
      <c r="KR68" s="77">
        <f t="shared" ref="KR68:LW68" si="377">MIN(KR65*$F$72,KQ69+KR67)</f>
        <v>0</v>
      </c>
      <c r="KS68" s="77">
        <f t="shared" si="377"/>
        <v>0</v>
      </c>
      <c r="KT68" s="77">
        <f t="shared" si="377"/>
        <v>0</v>
      </c>
      <c r="KU68" s="77">
        <f t="shared" si="377"/>
        <v>0</v>
      </c>
      <c r="KV68" s="77">
        <f t="shared" si="377"/>
        <v>0</v>
      </c>
      <c r="KW68" s="77">
        <f t="shared" si="377"/>
        <v>0</v>
      </c>
      <c r="KX68" s="77">
        <f t="shared" si="377"/>
        <v>0</v>
      </c>
      <c r="KY68" s="77">
        <f t="shared" si="377"/>
        <v>0</v>
      </c>
      <c r="KZ68" s="77">
        <f t="shared" si="377"/>
        <v>0</v>
      </c>
      <c r="LA68" s="77">
        <f t="shared" si="377"/>
        <v>0</v>
      </c>
      <c r="LB68" s="77">
        <f t="shared" si="377"/>
        <v>0</v>
      </c>
      <c r="LC68" s="77">
        <f t="shared" si="377"/>
        <v>0</v>
      </c>
      <c r="LD68" s="77">
        <f t="shared" si="377"/>
        <v>0</v>
      </c>
      <c r="LE68" s="77">
        <f t="shared" si="377"/>
        <v>0</v>
      </c>
      <c r="LF68" s="77">
        <f t="shared" si="377"/>
        <v>0</v>
      </c>
      <c r="LG68" s="77">
        <f t="shared" si="377"/>
        <v>0</v>
      </c>
      <c r="LH68" s="77">
        <f t="shared" si="377"/>
        <v>0</v>
      </c>
      <c r="LI68" s="77">
        <f t="shared" si="377"/>
        <v>0</v>
      </c>
      <c r="LJ68" s="77">
        <f t="shared" si="377"/>
        <v>0</v>
      </c>
      <c r="LK68" s="77">
        <f t="shared" si="377"/>
        <v>0</v>
      </c>
      <c r="LL68" s="77">
        <f t="shared" si="377"/>
        <v>0</v>
      </c>
      <c r="LM68" s="77">
        <f t="shared" si="377"/>
        <v>0</v>
      </c>
      <c r="LN68" s="77">
        <f t="shared" si="377"/>
        <v>0</v>
      </c>
      <c r="LO68" s="77">
        <f t="shared" si="377"/>
        <v>0</v>
      </c>
      <c r="LP68" s="77">
        <f t="shared" si="377"/>
        <v>0</v>
      </c>
      <c r="LQ68" s="77">
        <f t="shared" si="377"/>
        <v>0</v>
      </c>
      <c r="LR68" s="77">
        <f t="shared" si="377"/>
        <v>0</v>
      </c>
      <c r="LS68" s="77">
        <f t="shared" si="377"/>
        <v>0</v>
      </c>
      <c r="LT68" s="77">
        <f t="shared" si="377"/>
        <v>0</v>
      </c>
      <c r="LU68" s="77">
        <f t="shared" si="377"/>
        <v>0</v>
      </c>
      <c r="LV68" s="77">
        <f t="shared" si="377"/>
        <v>0</v>
      </c>
      <c r="LW68" s="77">
        <f t="shared" si="377"/>
        <v>0</v>
      </c>
      <c r="LX68" s="77">
        <f t="shared" ref="LX68:NC68" si="378">MIN(LX65*$F$72,LW69+LX67)</f>
        <v>0</v>
      </c>
      <c r="LY68" s="77">
        <f t="shared" si="378"/>
        <v>0</v>
      </c>
      <c r="LZ68" s="77">
        <f t="shared" si="378"/>
        <v>0</v>
      </c>
      <c r="MA68" s="77">
        <f t="shared" si="378"/>
        <v>0</v>
      </c>
      <c r="MB68" s="77">
        <f t="shared" si="378"/>
        <v>0</v>
      </c>
      <c r="MC68" s="77">
        <f t="shared" si="378"/>
        <v>0</v>
      </c>
      <c r="MD68" s="77">
        <f t="shared" si="378"/>
        <v>0</v>
      </c>
      <c r="ME68" s="77">
        <f t="shared" si="378"/>
        <v>0</v>
      </c>
      <c r="MF68" s="77">
        <f t="shared" si="378"/>
        <v>0</v>
      </c>
      <c r="MG68" s="77">
        <f t="shared" si="378"/>
        <v>0</v>
      </c>
      <c r="MH68" s="77">
        <f t="shared" si="378"/>
        <v>0</v>
      </c>
      <c r="MI68" s="77">
        <f t="shared" si="378"/>
        <v>0</v>
      </c>
      <c r="MJ68" s="77">
        <f t="shared" si="378"/>
        <v>0</v>
      </c>
      <c r="MK68" s="77">
        <f t="shared" si="378"/>
        <v>0</v>
      </c>
      <c r="ML68" s="77">
        <f t="shared" si="378"/>
        <v>0</v>
      </c>
      <c r="MM68" s="77">
        <f t="shared" si="378"/>
        <v>0</v>
      </c>
      <c r="MN68" s="77">
        <f t="shared" si="378"/>
        <v>0</v>
      </c>
      <c r="MO68" s="77">
        <f t="shared" si="378"/>
        <v>0</v>
      </c>
      <c r="MP68" s="77">
        <f t="shared" si="378"/>
        <v>0</v>
      </c>
      <c r="MQ68" s="77">
        <f t="shared" si="378"/>
        <v>0</v>
      </c>
      <c r="MR68" s="77">
        <f t="shared" si="378"/>
        <v>0</v>
      </c>
      <c r="MS68" s="77">
        <f t="shared" si="378"/>
        <v>0</v>
      </c>
      <c r="MT68" s="77">
        <f t="shared" si="378"/>
        <v>0</v>
      </c>
      <c r="MU68" s="77">
        <f t="shared" si="378"/>
        <v>0</v>
      </c>
      <c r="MV68" s="77">
        <f t="shared" si="378"/>
        <v>0</v>
      </c>
      <c r="MW68" s="77">
        <f t="shared" si="378"/>
        <v>0</v>
      </c>
      <c r="MX68" s="77">
        <f t="shared" si="378"/>
        <v>0</v>
      </c>
      <c r="MY68" s="77">
        <f t="shared" si="378"/>
        <v>0</v>
      </c>
      <c r="MZ68" s="77">
        <f t="shared" si="378"/>
        <v>0</v>
      </c>
      <c r="NA68" s="77">
        <f t="shared" si="378"/>
        <v>0</v>
      </c>
      <c r="NB68" s="77">
        <f t="shared" si="378"/>
        <v>0</v>
      </c>
      <c r="NC68" s="77">
        <f t="shared" si="378"/>
        <v>0</v>
      </c>
      <c r="ND68" s="77">
        <f t="shared" ref="ND68:NW68" si="379">MIN(ND65*$F$72,NC69+ND67)</f>
        <v>0</v>
      </c>
      <c r="NE68" s="77">
        <f t="shared" si="379"/>
        <v>0</v>
      </c>
      <c r="NF68" s="77">
        <f t="shared" si="379"/>
        <v>0</v>
      </c>
      <c r="NG68" s="77">
        <f t="shared" si="379"/>
        <v>0</v>
      </c>
      <c r="NH68" s="77">
        <f t="shared" si="379"/>
        <v>0</v>
      </c>
      <c r="NI68" s="77">
        <f t="shared" si="379"/>
        <v>0</v>
      </c>
      <c r="NJ68" s="77">
        <f t="shared" si="379"/>
        <v>0</v>
      </c>
      <c r="NK68" s="77">
        <f t="shared" si="379"/>
        <v>0</v>
      </c>
      <c r="NL68" s="77">
        <f t="shared" si="379"/>
        <v>0</v>
      </c>
      <c r="NM68" s="77">
        <f t="shared" si="379"/>
        <v>0</v>
      </c>
      <c r="NN68" s="77">
        <f t="shared" si="379"/>
        <v>0</v>
      </c>
      <c r="NO68" s="77">
        <f t="shared" si="379"/>
        <v>0</v>
      </c>
      <c r="NP68" s="77">
        <f t="shared" si="379"/>
        <v>0</v>
      </c>
      <c r="NQ68" s="77">
        <f t="shared" si="379"/>
        <v>0</v>
      </c>
      <c r="NR68" s="77">
        <f t="shared" si="379"/>
        <v>0</v>
      </c>
      <c r="NS68" s="77">
        <f t="shared" si="379"/>
        <v>0</v>
      </c>
      <c r="NT68" s="77">
        <f t="shared" si="379"/>
        <v>0</v>
      </c>
      <c r="NU68" s="77">
        <f t="shared" si="379"/>
        <v>0</v>
      </c>
      <c r="NV68" s="77">
        <f t="shared" si="379"/>
        <v>0</v>
      </c>
      <c r="NW68" s="77">
        <f t="shared" si="379"/>
        <v>0</v>
      </c>
    </row>
    <row r="69" spans="2:388" x14ac:dyDescent="0.3">
      <c r="B69" s="49" t="str">
        <f>B62&amp;" before Interest Reserve"</f>
        <v>Construction Debt before Interest Reserve</v>
      </c>
      <c r="C69" s="19"/>
      <c r="D69" s="19"/>
      <c r="E69" s="19"/>
      <c r="F69" s="19"/>
      <c r="G69" s="19"/>
      <c r="H69" s="63">
        <f>L69/$L$59</f>
        <v>0.58951616381152527</v>
      </c>
      <c r="I69" s="19"/>
      <c r="J69" s="23">
        <f>L69/$L$8</f>
        <v>28498.275523605447</v>
      </c>
      <c r="K69" s="29">
        <f>L69/$L$7</f>
        <v>3.76701343128118</v>
      </c>
      <c r="L69" s="23">
        <f>SUM(T69:GQ69)</f>
        <v>6554603.3704292532</v>
      </c>
      <c r="S69" s="69" t="str">
        <f>IF(ROUND(L69,0)=ROUND(SUM(T69:GQ69),0),"OK","ERROR")</f>
        <v>OK</v>
      </c>
      <c r="T69" s="50">
        <f>GZ55</f>
        <v>986545.90138900536</v>
      </c>
      <c r="U69" s="50">
        <f t="shared" ref="U69:CF69" si="380">HA55</f>
        <v>60628.677890477338</v>
      </c>
      <c r="V69" s="50">
        <f t="shared" si="380"/>
        <v>64415.875451207183</v>
      </c>
      <c r="W69" s="50">
        <f t="shared" si="380"/>
        <v>70509.297071263034</v>
      </c>
      <c r="X69" s="50">
        <f t="shared" si="380"/>
        <v>79845.190738037883</v>
      </c>
      <c r="Y69" s="50">
        <f t="shared" si="380"/>
        <v>93450.057510896164</v>
      </c>
      <c r="Z69" s="50">
        <f t="shared" si="380"/>
        <v>112278.56495254779</v>
      </c>
      <c r="AA69" s="50">
        <f t="shared" si="380"/>
        <v>170584.90065335261</v>
      </c>
      <c r="AB69" s="50">
        <f t="shared" si="380"/>
        <v>175990.93541623518</v>
      </c>
      <c r="AC69" s="50">
        <f t="shared" si="380"/>
        <v>184013.31730192679</v>
      </c>
      <c r="AD69" s="50">
        <f t="shared" si="380"/>
        <v>223026.56482473627</v>
      </c>
      <c r="AE69" s="50">
        <f t="shared" si="380"/>
        <v>262504.4687317874</v>
      </c>
      <c r="AF69" s="50">
        <f t="shared" si="380"/>
        <v>298899.59238195943</v>
      </c>
      <c r="AG69" s="50">
        <f t="shared" si="380"/>
        <v>328431.41607897321</v>
      </c>
      <c r="AH69" s="50">
        <f t="shared" si="380"/>
        <v>347722.57031085645</v>
      </c>
      <c r="AI69" s="50">
        <f t="shared" si="380"/>
        <v>354432.14967650315</v>
      </c>
      <c r="AJ69" s="50">
        <f t="shared" si="380"/>
        <v>347722.57031085668</v>
      </c>
      <c r="AK69" s="50">
        <f t="shared" si="380"/>
        <v>328431.41607897304</v>
      </c>
      <c r="AL69" s="50">
        <f t="shared" si="380"/>
        <v>298899.59238195932</v>
      </c>
      <c r="AM69" s="50">
        <f t="shared" si="380"/>
        <v>301327.99814355222</v>
      </c>
      <c r="AN69" s="50">
        <f t="shared" si="380"/>
        <v>261850.09423650088</v>
      </c>
      <c r="AO69" s="50">
        <f t="shared" si="380"/>
        <v>222836.84671369151</v>
      </c>
      <c r="AP69" s="50">
        <f t="shared" si="380"/>
        <v>187108.58247505865</v>
      </c>
      <c r="AQ69" s="50">
        <f t="shared" si="380"/>
        <v>156492.46367856307</v>
      </c>
      <c r="AR69" s="50">
        <f t="shared" si="380"/>
        <v>123777.3712932655</v>
      </c>
      <c r="AS69" s="50">
        <f t="shared" si="380"/>
        <v>104948.86385161435</v>
      </c>
      <c r="AT69" s="50">
        <f t="shared" si="380"/>
        <v>91343.997078756263</v>
      </c>
      <c r="AU69" s="50">
        <f t="shared" si="380"/>
        <v>82008.103411980963</v>
      </c>
      <c r="AV69" s="50">
        <f t="shared" si="380"/>
        <v>37091.152380160485</v>
      </c>
      <c r="AW69" s="50">
        <f t="shared" si="380"/>
        <v>27400.211503922736</v>
      </c>
      <c r="AX69" s="50">
        <f t="shared" si="380"/>
        <v>22536.20856592993</v>
      </c>
      <c r="AY69" s="50">
        <f t="shared" si="380"/>
        <v>22536.20856592993</v>
      </c>
      <c r="AZ69" s="50">
        <f t="shared" si="380"/>
        <v>22536.20856592993</v>
      </c>
      <c r="BA69" s="50">
        <f t="shared" si="380"/>
        <v>22536.20856592993</v>
      </c>
      <c r="BB69" s="50">
        <f t="shared" si="380"/>
        <v>22536.20856592993</v>
      </c>
      <c r="BC69" s="50">
        <f t="shared" si="380"/>
        <v>22536.20856592993</v>
      </c>
      <c r="BD69" s="50">
        <f t="shared" si="380"/>
        <v>17433.687557526569</v>
      </c>
      <c r="BE69" s="50">
        <f t="shared" si="380"/>
        <v>17433.687557526569</v>
      </c>
      <c r="BF69" s="50">
        <f t="shared" si="380"/>
        <v>0</v>
      </c>
      <c r="BG69" s="50">
        <f t="shared" si="380"/>
        <v>0</v>
      </c>
      <c r="BH69" s="50">
        <f t="shared" si="380"/>
        <v>0</v>
      </c>
      <c r="BI69" s="50">
        <f t="shared" si="380"/>
        <v>0</v>
      </c>
      <c r="BJ69" s="50">
        <f t="shared" si="380"/>
        <v>0</v>
      </c>
      <c r="BK69" s="50">
        <f t="shared" si="380"/>
        <v>0</v>
      </c>
      <c r="BL69" s="50">
        <f t="shared" si="380"/>
        <v>0</v>
      </c>
      <c r="BM69" s="50">
        <f t="shared" si="380"/>
        <v>0</v>
      </c>
      <c r="BN69" s="50">
        <f t="shared" si="380"/>
        <v>0</v>
      </c>
      <c r="BO69" s="50">
        <f t="shared" si="380"/>
        <v>0</v>
      </c>
      <c r="BP69" s="50">
        <f t="shared" si="380"/>
        <v>0</v>
      </c>
      <c r="BQ69" s="50">
        <f t="shared" si="380"/>
        <v>0</v>
      </c>
      <c r="BR69" s="50">
        <f t="shared" si="380"/>
        <v>0</v>
      </c>
      <c r="BS69" s="50">
        <f t="shared" si="380"/>
        <v>0</v>
      </c>
      <c r="BT69" s="50">
        <f t="shared" si="380"/>
        <v>0</v>
      </c>
      <c r="BU69" s="50">
        <f t="shared" si="380"/>
        <v>0</v>
      </c>
      <c r="BV69" s="50">
        <f t="shared" si="380"/>
        <v>0</v>
      </c>
      <c r="BW69" s="50">
        <f t="shared" si="380"/>
        <v>0</v>
      </c>
      <c r="BX69" s="50">
        <f t="shared" si="380"/>
        <v>0</v>
      </c>
      <c r="BY69" s="50">
        <f t="shared" si="380"/>
        <v>0</v>
      </c>
      <c r="BZ69" s="50">
        <f t="shared" si="380"/>
        <v>0</v>
      </c>
      <c r="CA69" s="50">
        <f t="shared" si="380"/>
        <v>0</v>
      </c>
      <c r="CB69" s="50">
        <f t="shared" si="380"/>
        <v>0</v>
      </c>
      <c r="CC69" s="50">
        <f t="shared" si="380"/>
        <v>0</v>
      </c>
      <c r="CD69" s="50">
        <f t="shared" si="380"/>
        <v>0</v>
      </c>
      <c r="CE69" s="50">
        <f t="shared" si="380"/>
        <v>0</v>
      </c>
      <c r="CF69" s="50">
        <f t="shared" si="380"/>
        <v>0</v>
      </c>
      <c r="CG69" s="50">
        <f t="shared" ref="CG69:ER69" si="381">JM55</f>
        <v>0</v>
      </c>
      <c r="CH69" s="50">
        <f t="shared" si="381"/>
        <v>0</v>
      </c>
      <c r="CI69" s="50">
        <f t="shared" si="381"/>
        <v>0</v>
      </c>
      <c r="CJ69" s="50">
        <f t="shared" si="381"/>
        <v>0</v>
      </c>
      <c r="CK69" s="50">
        <f t="shared" si="381"/>
        <v>0</v>
      </c>
      <c r="CL69" s="50">
        <f t="shared" si="381"/>
        <v>0</v>
      </c>
      <c r="CM69" s="50">
        <f t="shared" si="381"/>
        <v>0</v>
      </c>
      <c r="CN69" s="50">
        <f t="shared" si="381"/>
        <v>0</v>
      </c>
      <c r="CO69" s="50">
        <f t="shared" si="381"/>
        <v>0</v>
      </c>
      <c r="CP69" s="50">
        <f t="shared" si="381"/>
        <v>0</v>
      </c>
      <c r="CQ69" s="50">
        <f t="shared" si="381"/>
        <v>0</v>
      </c>
      <c r="CR69" s="50">
        <f t="shared" si="381"/>
        <v>0</v>
      </c>
      <c r="CS69" s="50">
        <f t="shared" si="381"/>
        <v>0</v>
      </c>
      <c r="CT69" s="50">
        <f t="shared" si="381"/>
        <v>0</v>
      </c>
      <c r="CU69" s="50">
        <f t="shared" si="381"/>
        <v>0</v>
      </c>
      <c r="CV69" s="50">
        <f t="shared" si="381"/>
        <v>0</v>
      </c>
      <c r="CW69" s="50">
        <f t="shared" si="381"/>
        <v>0</v>
      </c>
      <c r="CX69" s="50">
        <f t="shared" si="381"/>
        <v>0</v>
      </c>
      <c r="CY69" s="50">
        <f t="shared" si="381"/>
        <v>0</v>
      </c>
      <c r="CZ69" s="50">
        <f t="shared" si="381"/>
        <v>0</v>
      </c>
      <c r="DA69" s="50">
        <f t="shared" si="381"/>
        <v>0</v>
      </c>
      <c r="DB69" s="50">
        <f t="shared" si="381"/>
        <v>0</v>
      </c>
      <c r="DC69" s="50">
        <f t="shared" si="381"/>
        <v>0</v>
      </c>
      <c r="DD69" s="50">
        <f t="shared" si="381"/>
        <v>0</v>
      </c>
      <c r="DE69" s="50">
        <f t="shared" si="381"/>
        <v>0</v>
      </c>
      <c r="DF69" s="50">
        <f t="shared" si="381"/>
        <v>0</v>
      </c>
      <c r="DG69" s="50">
        <f t="shared" si="381"/>
        <v>0</v>
      </c>
      <c r="DH69" s="50">
        <f t="shared" si="381"/>
        <v>0</v>
      </c>
      <c r="DI69" s="50">
        <f t="shared" si="381"/>
        <v>0</v>
      </c>
      <c r="DJ69" s="50">
        <f t="shared" si="381"/>
        <v>0</v>
      </c>
      <c r="DK69" s="50">
        <f t="shared" si="381"/>
        <v>0</v>
      </c>
      <c r="DL69" s="50">
        <f t="shared" si="381"/>
        <v>0</v>
      </c>
      <c r="DM69" s="50">
        <f t="shared" si="381"/>
        <v>0</v>
      </c>
      <c r="DN69" s="50">
        <f t="shared" si="381"/>
        <v>0</v>
      </c>
      <c r="DO69" s="50">
        <f t="shared" si="381"/>
        <v>0</v>
      </c>
      <c r="DP69" s="50">
        <f t="shared" si="381"/>
        <v>0</v>
      </c>
      <c r="DQ69" s="50">
        <f t="shared" si="381"/>
        <v>0</v>
      </c>
      <c r="DR69" s="50">
        <f t="shared" si="381"/>
        <v>0</v>
      </c>
      <c r="DS69" s="50">
        <f t="shared" si="381"/>
        <v>0</v>
      </c>
      <c r="DT69" s="50">
        <f t="shared" si="381"/>
        <v>0</v>
      </c>
      <c r="DU69" s="50">
        <f t="shared" si="381"/>
        <v>0</v>
      </c>
      <c r="DV69" s="50">
        <f t="shared" si="381"/>
        <v>0</v>
      </c>
      <c r="DW69" s="50">
        <f t="shared" si="381"/>
        <v>0</v>
      </c>
      <c r="DX69" s="50">
        <f t="shared" si="381"/>
        <v>0</v>
      </c>
      <c r="DY69" s="50">
        <f t="shared" si="381"/>
        <v>0</v>
      </c>
      <c r="DZ69" s="50">
        <f t="shared" si="381"/>
        <v>0</v>
      </c>
      <c r="EA69" s="50">
        <f t="shared" si="381"/>
        <v>0</v>
      </c>
      <c r="EB69" s="50">
        <f t="shared" si="381"/>
        <v>0</v>
      </c>
      <c r="EC69" s="50">
        <f t="shared" si="381"/>
        <v>0</v>
      </c>
      <c r="ED69" s="50">
        <f t="shared" si="381"/>
        <v>0</v>
      </c>
      <c r="EE69" s="50">
        <f t="shared" si="381"/>
        <v>0</v>
      </c>
      <c r="EF69" s="50">
        <f t="shared" si="381"/>
        <v>0</v>
      </c>
      <c r="EG69" s="50">
        <f t="shared" si="381"/>
        <v>0</v>
      </c>
      <c r="EH69" s="50">
        <f t="shared" si="381"/>
        <v>0</v>
      </c>
      <c r="EI69" s="50">
        <f t="shared" si="381"/>
        <v>0</v>
      </c>
      <c r="EJ69" s="50">
        <f t="shared" si="381"/>
        <v>0</v>
      </c>
      <c r="EK69" s="50">
        <f t="shared" si="381"/>
        <v>0</v>
      </c>
      <c r="EL69" s="50">
        <f t="shared" si="381"/>
        <v>0</v>
      </c>
      <c r="EM69" s="50">
        <f t="shared" si="381"/>
        <v>0</v>
      </c>
      <c r="EN69" s="50">
        <f t="shared" si="381"/>
        <v>0</v>
      </c>
      <c r="EO69" s="50">
        <f t="shared" si="381"/>
        <v>0</v>
      </c>
      <c r="EP69" s="50">
        <f t="shared" si="381"/>
        <v>0</v>
      </c>
      <c r="EQ69" s="50">
        <f t="shared" si="381"/>
        <v>0</v>
      </c>
      <c r="ER69" s="50">
        <f t="shared" si="381"/>
        <v>0</v>
      </c>
      <c r="ES69" s="50">
        <f t="shared" ref="ES69:GQ69" si="382">LY55</f>
        <v>0</v>
      </c>
      <c r="ET69" s="50">
        <f t="shared" si="382"/>
        <v>0</v>
      </c>
      <c r="EU69" s="50">
        <f t="shared" si="382"/>
        <v>0</v>
      </c>
      <c r="EV69" s="50">
        <f t="shared" si="382"/>
        <v>0</v>
      </c>
      <c r="EW69" s="50">
        <f t="shared" si="382"/>
        <v>0</v>
      </c>
      <c r="EX69" s="50">
        <f t="shared" si="382"/>
        <v>0</v>
      </c>
      <c r="EY69" s="50">
        <f t="shared" si="382"/>
        <v>0</v>
      </c>
      <c r="EZ69" s="50">
        <f t="shared" si="382"/>
        <v>0</v>
      </c>
      <c r="FA69" s="50">
        <f t="shared" si="382"/>
        <v>0</v>
      </c>
      <c r="FB69" s="50">
        <f t="shared" si="382"/>
        <v>0</v>
      </c>
      <c r="FC69" s="50">
        <f t="shared" si="382"/>
        <v>0</v>
      </c>
      <c r="FD69" s="50">
        <f t="shared" si="382"/>
        <v>0</v>
      </c>
      <c r="FE69" s="50">
        <f t="shared" si="382"/>
        <v>0</v>
      </c>
      <c r="FF69" s="50">
        <f t="shared" si="382"/>
        <v>0</v>
      </c>
      <c r="FG69" s="50">
        <f t="shared" si="382"/>
        <v>0</v>
      </c>
      <c r="FH69" s="50">
        <f t="shared" si="382"/>
        <v>0</v>
      </c>
      <c r="FI69" s="50">
        <f t="shared" si="382"/>
        <v>0</v>
      </c>
      <c r="FJ69" s="50">
        <f t="shared" si="382"/>
        <v>0</v>
      </c>
      <c r="FK69" s="50">
        <f t="shared" si="382"/>
        <v>0</v>
      </c>
      <c r="FL69" s="50">
        <f t="shared" si="382"/>
        <v>0</v>
      </c>
      <c r="FM69" s="50">
        <f t="shared" si="382"/>
        <v>0</v>
      </c>
      <c r="FN69" s="50">
        <f t="shared" si="382"/>
        <v>0</v>
      </c>
      <c r="FO69" s="50">
        <f t="shared" si="382"/>
        <v>0</v>
      </c>
      <c r="FP69" s="50">
        <f t="shared" si="382"/>
        <v>0</v>
      </c>
      <c r="FQ69" s="50">
        <f t="shared" si="382"/>
        <v>0</v>
      </c>
      <c r="FR69" s="50">
        <f t="shared" si="382"/>
        <v>0</v>
      </c>
      <c r="FS69" s="50">
        <f t="shared" si="382"/>
        <v>0</v>
      </c>
      <c r="FT69" s="50">
        <f t="shared" si="382"/>
        <v>0</v>
      </c>
      <c r="FU69" s="50">
        <f t="shared" si="382"/>
        <v>0</v>
      </c>
      <c r="FV69" s="50">
        <f t="shared" si="382"/>
        <v>0</v>
      </c>
      <c r="FW69" s="50">
        <f t="shared" si="382"/>
        <v>0</v>
      </c>
      <c r="FX69" s="50">
        <f t="shared" si="382"/>
        <v>0</v>
      </c>
      <c r="FY69" s="50">
        <f t="shared" si="382"/>
        <v>0</v>
      </c>
      <c r="FZ69" s="50">
        <f t="shared" si="382"/>
        <v>0</v>
      </c>
      <c r="GA69" s="50">
        <f t="shared" si="382"/>
        <v>0</v>
      </c>
      <c r="GB69" s="50">
        <f t="shared" si="382"/>
        <v>0</v>
      </c>
      <c r="GC69" s="50">
        <f t="shared" si="382"/>
        <v>0</v>
      </c>
      <c r="GD69" s="50">
        <f t="shared" si="382"/>
        <v>0</v>
      </c>
      <c r="GE69" s="50">
        <f t="shared" si="382"/>
        <v>0</v>
      </c>
      <c r="GF69" s="50">
        <f t="shared" si="382"/>
        <v>0</v>
      </c>
      <c r="GG69" s="50">
        <f t="shared" si="382"/>
        <v>0</v>
      </c>
      <c r="GH69" s="50">
        <f t="shared" si="382"/>
        <v>0</v>
      </c>
      <c r="GI69" s="50">
        <f t="shared" si="382"/>
        <v>0</v>
      </c>
      <c r="GJ69" s="50">
        <f t="shared" si="382"/>
        <v>0</v>
      </c>
      <c r="GK69" s="50">
        <f t="shared" si="382"/>
        <v>0</v>
      </c>
      <c r="GL69" s="50">
        <f t="shared" si="382"/>
        <v>0</v>
      </c>
      <c r="GM69" s="50">
        <f t="shared" si="382"/>
        <v>0</v>
      </c>
      <c r="GN69" s="50">
        <f t="shared" si="382"/>
        <v>0</v>
      </c>
      <c r="GO69" s="50">
        <f t="shared" si="382"/>
        <v>0</v>
      </c>
      <c r="GP69" s="50">
        <f t="shared" si="382"/>
        <v>0</v>
      </c>
      <c r="GQ69" s="50">
        <f t="shared" si="382"/>
        <v>0</v>
      </c>
      <c r="GS69" s="80" t="s">
        <v>261</v>
      </c>
      <c r="GT69" s="77"/>
      <c r="GU69" s="77"/>
      <c r="GV69" s="77"/>
      <c r="GW69" s="77"/>
      <c r="GX69" s="77"/>
      <c r="GY69" s="77">
        <v>0</v>
      </c>
      <c r="GZ69" s="77">
        <f>GY69+GZ67-GZ68</f>
        <v>1397606.6936344241</v>
      </c>
      <c r="HA69" s="77">
        <f t="shared" ref="HA69:JL69" si="383">GZ69+HA67-HA68</f>
        <v>1483497.3206459337</v>
      </c>
      <c r="HB69" s="77">
        <f t="shared" si="383"/>
        <v>1574753.1442018105</v>
      </c>
      <c r="HC69" s="77">
        <f t="shared" si="383"/>
        <v>1674641.3150527664</v>
      </c>
      <c r="HD69" s="77">
        <f t="shared" si="383"/>
        <v>1787755.3352649866</v>
      </c>
      <c r="HE69" s="77">
        <f t="shared" si="383"/>
        <v>1920142.9167387562</v>
      </c>
      <c r="HF69" s="77">
        <f t="shared" si="383"/>
        <v>2079204.217088199</v>
      </c>
      <c r="HG69" s="77">
        <f t="shared" si="383"/>
        <v>2320866.1596804485</v>
      </c>
      <c r="HH69" s="77">
        <f t="shared" si="383"/>
        <v>2570186.6515201149</v>
      </c>
      <c r="HI69" s="77">
        <f t="shared" si="383"/>
        <v>486747.18436451117</v>
      </c>
      <c r="HJ69" s="77">
        <f t="shared" si="383"/>
        <v>802701.48453288758</v>
      </c>
      <c r="HK69" s="77">
        <f t="shared" si="383"/>
        <v>0</v>
      </c>
      <c r="HL69" s="77">
        <f t="shared" si="383"/>
        <v>423441.08920777583</v>
      </c>
      <c r="HM69" s="77">
        <f t="shared" si="383"/>
        <v>888718.92865298782</v>
      </c>
      <c r="HN69" s="77">
        <f t="shared" si="383"/>
        <v>1381325.9032600345</v>
      </c>
      <c r="HO69" s="77">
        <f t="shared" si="383"/>
        <v>878813.11530174734</v>
      </c>
      <c r="HP69" s="77">
        <f t="shared" si="383"/>
        <v>1371420.0899087943</v>
      </c>
      <c r="HQ69" s="77">
        <f t="shared" si="383"/>
        <v>1146997.929354006</v>
      </c>
      <c r="HR69" s="77">
        <f t="shared" si="383"/>
        <v>565814.01856178162</v>
      </c>
      <c r="HS69" s="77">
        <f t="shared" si="383"/>
        <v>992695.34926514723</v>
      </c>
      <c r="HT69" s="77">
        <f t="shared" si="383"/>
        <v>673949.64943352342</v>
      </c>
      <c r="HU69" s="77">
        <f t="shared" si="383"/>
        <v>230808.43227791972</v>
      </c>
      <c r="HV69" s="77">
        <f t="shared" si="383"/>
        <v>495878.92411758611</v>
      </c>
      <c r="HW69" s="77">
        <f t="shared" si="383"/>
        <v>7185.5809955503792</v>
      </c>
      <c r="HX69" s="77">
        <f t="shared" si="383"/>
        <v>182536.85699434316</v>
      </c>
      <c r="HY69" s="77">
        <f t="shared" si="383"/>
        <v>331214.41411746352</v>
      </c>
      <c r="HZ69" s="77">
        <f t="shared" si="383"/>
        <v>0</v>
      </c>
      <c r="IA69" s="77">
        <f t="shared" si="383"/>
        <v>116178.14650030635</v>
      </c>
      <c r="IB69" s="77">
        <f t="shared" si="383"/>
        <v>168723.9457055337</v>
      </c>
      <c r="IC69" s="77">
        <f t="shared" si="383"/>
        <v>82910.91200275757</v>
      </c>
      <c r="ID69" s="77">
        <f t="shared" si="383"/>
        <v>0</v>
      </c>
      <c r="IE69" s="77">
        <f t="shared" si="383"/>
        <v>0</v>
      </c>
      <c r="IF69" s="77">
        <f t="shared" si="383"/>
        <v>0</v>
      </c>
      <c r="IG69" s="77">
        <f t="shared" si="383"/>
        <v>0</v>
      </c>
      <c r="IH69" s="77">
        <f t="shared" si="383"/>
        <v>0</v>
      </c>
      <c r="II69" s="77">
        <f t="shared" si="383"/>
        <v>0</v>
      </c>
      <c r="IJ69" s="77">
        <f t="shared" si="383"/>
        <v>0</v>
      </c>
      <c r="IK69" s="77">
        <f t="shared" si="383"/>
        <v>0</v>
      </c>
      <c r="IL69" s="77">
        <f t="shared" si="383"/>
        <v>0</v>
      </c>
      <c r="IM69" s="77">
        <f t="shared" si="383"/>
        <v>0</v>
      </c>
      <c r="IN69" s="77">
        <f t="shared" si="383"/>
        <v>0</v>
      </c>
      <c r="IO69" s="77">
        <f t="shared" si="383"/>
        <v>0</v>
      </c>
      <c r="IP69" s="77">
        <f t="shared" si="383"/>
        <v>0</v>
      </c>
      <c r="IQ69" s="77">
        <f t="shared" si="383"/>
        <v>0</v>
      </c>
      <c r="IR69" s="77">
        <f t="shared" si="383"/>
        <v>0</v>
      </c>
      <c r="IS69" s="77">
        <f t="shared" si="383"/>
        <v>0</v>
      </c>
      <c r="IT69" s="77">
        <f t="shared" si="383"/>
        <v>0</v>
      </c>
      <c r="IU69" s="77">
        <f t="shared" si="383"/>
        <v>0</v>
      </c>
      <c r="IV69" s="77">
        <f t="shared" si="383"/>
        <v>0</v>
      </c>
      <c r="IW69" s="77">
        <f t="shared" si="383"/>
        <v>0</v>
      </c>
      <c r="IX69" s="77">
        <f t="shared" si="383"/>
        <v>0</v>
      </c>
      <c r="IY69" s="77">
        <f t="shared" si="383"/>
        <v>0</v>
      </c>
      <c r="IZ69" s="77">
        <f t="shared" si="383"/>
        <v>0</v>
      </c>
      <c r="JA69" s="77">
        <f t="shared" si="383"/>
        <v>0</v>
      </c>
      <c r="JB69" s="77">
        <f t="shared" si="383"/>
        <v>0</v>
      </c>
      <c r="JC69" s="77">
        <f t="shared" si="383"/>
        <v>0</v>
      </c>
      <c r="JD69" s="77">
        <f t="shared" si="383"/>
        <v>0</v>
      </c>
      <c r="JE69" s="77">
        <f t="shared" si="383"/>
        <v>0</v>
      </c>
      <c r="JF69" s="77">
        <f t="shared" si="383"/>
        <v>0</v>
      </c>
      <c r="JG69" s="77">
        <f t="shared" si="383"/>
        <v>0</v>
      </c>
      <c r="JH69" s="77">
        <f t="shared" si="383"/>
        <v>0</v>
      </c>
      <c r="JI69" s="77">
        <f t="shared" si="383"/>
        <v>0</v>
      </c>
      <c r="JJ69" s="77">
        <f t="shared" si="383"/>
        <v>0</v>
      </c>
      <c r="JK69" s="77">
        <f t="shared" si="383"/>
        <v>0</v>
      </c>
      <c r="JL69" s="77">
        <f t="shared" si="383"/>
        <v>0</v>
      </c>
      <c r="JM69" s="77">
        <f t="shared" ref="JM69:LX69" si="384">JL69+JM67-JM68</f>
        <v>0</v>
      </c>
      <c r="JN69" s="77">
        <f t="shared" si="384"/>
        <v>0</v>
      </c>
      <c r="JO69" s="77">
        <f t="shared" si="384"/>
        <v>0</v>
      </c>
      <c r="JP69" s="77">
        <f t="shared" si="384"/>
        <v>0</v>
      </c>
      <c r="JQ69" s="77">
        <f t="shared" si="384"/>
        <v>0</v>
      </c>
      <c r="JR69" s="77">
        <f t="shared" si="384"/>
        <v>0</v>
      </c>
      <c r="JS69" s="77">
        <f t="shared" si="384"/>
        <v>0</v>
      </c>
      <c r="JT69" s="77">
        <f t="shared" si="384"/>
        <v>0</v>
      </c>
      <c r="JU69" s="77">
        <f t="shared" si="384"/>
        <v>0</v>
      </c>
      <c r="JV69" s="77">
        <f t="shared" si="384"/>
        <v>0</v>
      </c>
      <c r="JW69" s="77">
        <f t="shared" si="384"/>
        <v>0</v>
      </c>
      <c r="JX69" s="77">
        <f t="shared" si="384"/>
        <v>0</v>
      </c>
      <c r="JY69" s="77">
        <f t="shared" si="384"/>
        <v>0</v>
      </c>
      <c r="JZ69" s="77">
        <f t="shared" si="384"/>
        <v>0</v>
      </c>
      <c r="KA69" s="77">
        <f t="shared" si="384"/>
        <v>0</v>
      </c>
      <c r="KB69" s="77">
        <f t="shared" si="384"/>
        <v>0</v>
      </c>
      <c r="KC69" s="77">
        <f t="shared" si="384"/>
        <v>0</v>
      </c>
      <c r="KD69" s="77">
        <f t="shared" si="384"/>
        <v>0</v>
      </c>
      <c r="KE69" s="77">
        <f t="shared" si="384"/>
        <v>0</v>
      </c>
      <c r="KF69" s="77">
        <f t="shared" si="384"/>
        <v>0</v>
      </c>
      <c r="KG69" s="77">
        <f t="shared" si="384"/>
        <v>0</v>
      </c>
      <c r="KH69" s="77">
        <f t="shared" si="384"/>
        <v>0</v>
      </c>
      <c r="KI69" s="77">
        <f t="shared" si="384"/>
        <v>0</v>
      </c>
      <c r="KJ69" s="77">
        <f t="shared" si="384"/>
        <v>0</v>
      </c>
      <c r="KK69" s="77">
        <f t="shared" si="384"/>
        <v>0</v>
      </c>
      <c r="KL69" s="77">
        <f t="shared" si="384"/>
        <v>0</v>
      </c>
      <c r="KM69" s="77">
        <f t="shared" si="384"/>
        <v>0</v>
      </c>
      <c r="KN69" s="77">
        <f t="shared" si="384"/>
        <v>0</v>
      </c>
      <c r="KO69" s="77">
        <f t="shared" si="384"/>
        <v>0</v>
      </c>
      <c r="KP69" s="77">
        <f t="shared" si="384"/>
        <v>0</v>
      </c>
      <c r="KQ69" s="77">
        <f t="shared" si="384"/>
        <v>0</v>
      </c>
      <c r="KR69" s="77">
        <f t="shared" si="384"/>
        <v>0</v>
      </c>
      <c r="KS69" s="77">
        <f t="shared" si="384"/>
        <v>0</v>
      </c>
      <c r="KT69" s="77">
        <f t="shared" si="384"/>
        <v>0</v>
      </c>
      <c r="KU69" s="77">
        <f t="shared" si="384"/>
        <v>0</v>
      </c>
      <c r="KV69" s="77">
        <f t="shared" si="384"/>
        <v>0</v>
      </c>
      <c r="KW69" s="77">
        <f t="shared" si="384"/>
        <v>0</v>
      </c>
      <c r="KX69" s="77">
        <f t="shared" si="384"/>
        <v>0</v>
      </c>
      <c r="KY69" s="77">
        <f t="shared" si="384"/>
        <v>0</v>
      </c>
      <c r="KZ69" s="77">
        <f t="shared" si="384"/>
        <v>0</v>
      </c>
      <c r="LA69" s="77">
        <f t="shared" si="384"/>
        <v>0</v>
      </c>
      <c r="LB69" s="77">
        <f t="shared" si="384"/>
        <v>0</v>
      </c>
      <c r="LC69" s="77">
        <f t="shared" si="384"/>
        <v>0</v>
      </c>
      <c r="LD69" s="77">
        <f t="shared" si="384"/>
        <v>0</v>
      </c>
      <c r="LE69" s="77">
        <f t="shared" si="384"/>
        <v>0</v>
      </c>
      <c r="LF69" s="77">
        <f t="shared" si="384"/>
        <v>0</v>
      </c>
      <c r="LG69" s="77">
        <f t="shared" si="384"/>
        <v>0</v>
      </c>
      <c r="LH69" s="77">
        <f t="shared" si="384"/>
        <v>0</v>
      </c>
      <c r="LI69" s="77">
        <f t="shared" si="384"/>
        <v>0</v>
      </c>
      <c r="LJ69" s="77">
        <f t="shared" si="384"/>
        <v>0</v>
      </c>
      <c r="LK69" s="77">
        <f t="shared" si="384"/>
        <v>0</v>
      </c>
      <c r="LL69" s="77">
        <f t="shared" si="384"/>
        <v>0</v>
      </c>
      <c r="LM69" s="77">
        <f t="shared" si="384"/>
        <v>0</v>
      </c>
      <c r="LN69" s="77">
        <f t="shared" si="384"/>
        <v>0</v>
      </c>
      <c r="LO69" s="77">
        <f t="shared" si="384"/>
        <v>0</v>
      </c>
      <c r="LP69" s="77">
        <f t="shared" si="384"/>
        <v>0</v>
      </c>
      <c r="LQ69" s="77">
        <f t="shared" si="384"/>
        <v>0</v>
      </c>
      <c r="LR69" s="77">
        <f t="shared" si="384"/>
        <v>0</v>
      </c>
      <c r="LS69" s="77">
        <f t="shared" si="384"/>
        <v>0</v>
      </c>
      <c r="LT69" s="77">
        <f t="shared" si="384"/>
        <v>0</v>
      </c>
      <c r="LU69" s="77">
        <f t="shared" si="384"/>
        <v>0</v>
      </c>
      <c r="LV69" s="77">
        <f t="shared" si="384"/>
        <v>0</v>
      </c>
      <c r="LW69" s="77">
        <f t="shared" si="384"/>
        <v>0</v>
      </c>
      <c r="LX69" s="77">
        <f t="shared" si="384"/>
        <v>0</v>
      </c>
      <c r="LY69" s="77">
        <f t="shared" ref="LY69:NW69" si="385">LX69+LY67-LY68</f>
        <v>0</v>
      </c>
      <c r="LZ69" s="77">
        <f t="shared" si="385"/>
        <v>0</v>
      </c>
      <c r="MA69" s="77">
        <f t="shared" si="385"/>
        <v>0</v>
      </c>
      <c r="MB69" s="77">
        <f t="shared" si="385"/>
        <v>0</v>
      </c>
      <c r="MC69" s="77">
        <f t="shared" si="385"/>
        <v>0</v>
      </c>
      <c r="MD69" s="77">
        <f t="shared" si="385"/>
        <v>0</v>
      </c>
      <c r="ME69" s="77">
        <f t="shared" si="385"/>
        <v>0</v>
      </c>
      <c r="MF69" s="77">
        <f t="shared" si="385"/>
        <v>0</v>
      </c>
      <c r="MG69" s="77">
        <f t="shared" si="385"/>
        <v>0</v>
      </c>
      <c r="MH69" s="77">
        <f t="shared" si="385"/>
        <v>0</v>
      </c>
      <c r="MI69" s="77">
        <f t="shared" si="385"/>
        <v>0</v>
      </c>
      <c r="MJ69" s="77">
        <f t="shared" si="385"/>
        <v>0</v>
      </c>
      <c r="MK69" s="77">
        <f t="shared" si="385"/>
        <v>0</v>
      </c>
      <c r="ML69" s="77">
        <f t="shared" si="385"/>
        <v>0</v>
      </c>
      <c r="MM69" s="77">
        <f t="shared" si="385"/>
        <v>0</v>
      </c>
      <c r="MN69" s="77">
        <f t="shared" si="385"/>
        <v>0</v>
      </c>
      <c r="MO69" s="77">
        <f t="shared" si="385"/>
        <v>0</v>
      </c>
      <c r="MP69" s="77">
        <f t="shared" si="385"/>
        <v>0</v>
      </c>
      <c r="MQ69" s="77">
        <f t="shared" si="385"/>
        <v>0</v>
      </c>
      <c r="MR69" s="77">
        <f t="shared" si="385"/>
        <v>0</v>
      </c>
      <c r="MS69" s="77">
        <f t="shared" si="385"/>
        <v>0</v>
      </c>
      <c r="MT69" s="77">
        <f t="shared" si="385"/>
        <v>0</v>
      </c>
      <c r="MU69" s="77">
        <f t="shared" si="385"/>
        <v>0</v>
      </c>
      <c r="MV69" s="77">
        <f t="shared" si="385"/>
        <v>0</v>
      </c>
      <c r="MW69" s="77">
        <f t="shared" si="385"/>
        <v>0</v>
      </c>
      <c r="MX69" s="77">
        <f t="shared" si="385"/>
        <v>0</v>
      </c>
      <c r="MY69" s="77">
        <f t="shared" si="385"/>
        <v>0</v>
      </c>
      <c r="MZ69" s="77">
        <f t="shared" si="385"/>
        <v>0</v>
      </c>
      <c r="NA69" s="77">
        <f t="shared" si="385"/>
        <v>0</v>
      </c>
      <c r="NB69" s="77">
        <f t="shared" si="385"/>
        <v>0</v>
      </c>
      <c r="NC69" s="77">
        <f t="shared" si="385"/>
        <v>0</v>
      </c>
      <c r="ND69" s="77">
        <f t="shared" si="385"/>
        <v>0</v>
      </c>
      <c r="NE69" s="77">
        <f t="shared" si="385"/>
        <v>0</v>
      </c>
      <c r="NF69" s="77">
        <f t="shared" si="385"/>
        <v>0</v>
      </c>
      <c r="NG69" s="77">
        <f t="shared" si="385"/>
        <v>0</v>
      </c>
      <c r="NH69" s="77">
        <f t="shared" si="385"/>
        <v>0</v>
      </c>
      <c r="NI69" s="77">
        <f t="shared" si="385"/>
        <v>0</v>
      </c>
      <c r="NJ69" s="77">
        <f t="shared" si="385"/>
        <v>0</v>
      </c>
      <c r="NK69" s="77">
        <f t="shared" si="385"/>
        <v>0</v>
      </c>
      <c r="NL69" s="77">
        <f t="shared" si="385"/>
        <v>0</v>
      </c>
      <c r="NM69" s="77">
        <f t="shared" si="385"/>
        <v>0</v>
      </c>
      <c r="NN69" s="77">
        <f t="shared" si="385"/>
        <v>0</v>
      </c>
      <c r="NO69" s="77">
        <f t="shared" si="385"/>
        <v>0</v>
      </c>
      <c r="NP69" s="77">
        <f t="shared" si="385"/>
        <v>0</v>
      </c>
      <c r="NQ69" s="77">
        <f t="shared" si="385"/>
        <v>0</v>
      </c>
      <c r="NR69" s="77">
        <f t="shared" si="385"/>
        <v>0</v>
      </c>
      <c r="NS69" s="77">
        <f t="shared" si="385"/>
        <v>0</v>
      </c>
      <c r="NT69" s="77">
        <f t="shared" si="385"/>
        <v>0</v>
      </c>
      <c r="NU69" s="77">
        <f t="shared" si="385"/>
        <v>0</v>
      </c>
      <c r="NV69" s="77">
        <f t="shared" si="385"/>
        <v>0</v>
      </c>
      <c r="NW69" s="77">
        <f t="shared" si="385"/>
        <v>0</v>
      </c>
    </row>
    <row r="70" spans="2:388" x14ac:dyDescent="0.3">
      <c r="B70" s="49" t="str">
        <f>B63&amp;" before Interest Reserve"</f>
        <v>Builder Deposit before Interest Reserve</v>
      </c>
      <c r="C70" s="19"/>
      <c r="D70" s="19"/>
      <c r="E70" s="19"/>
      <c r="F70" s="19"/>
      <c r="G70" s="19"/>
      <c r="H70" s="63">
        <f>L70/$L$59</f>
        <v>0.24563173492146884</v>
      </c>
      <c r="I70" s="19"/>
      <c r="J70" s="23">
        <f>L70/$L$8</f>
        <v>11874.281468168936</v>
      </c>
      <c r="K70" s="29">
        <f>L70/$L$7</f>
        <v>1.5695889297004915</v>
      </c>
      <c r="L70" s="23">
        <f>SUM(T70:GQ70)</f>
        <v>2731084.7376788552</v>
      </c>
      <c r="S70" s="69" t="str">
        <f>IF(ROUND(L70,0)=ROUND(SUM(T70:GQ70),0),"OK","ERROR")</f>
        <v>OK</v>
      </c>
      <c r="T70" s="50">
        <f>GZ56</f>
        <v>411060.79224541876</v>
      </c>
      <c r="U70" s="50">
        <f t="shared" ref="U70:CF70" si="386">HA56</f>
        <v>25261.949121032216</v>
      </c>
      <c r="V70" s="50">
        <f t="shared" si="386"/>
        <v>26839.948104669653</v>
      </c>
      <c r="W70" s="50">
        <f t="shared" si="386"/>
        <v>29378.873779692934</v>
      </c>
      <c r="X70" s="50">
        <f t="shared" si="386"/>
        <v>33268.829474182436</v>
      </c>
      <c r="Y70" s="50">
        <f t="shared" si="386"/>
        <v>38937.523962873398</v>
      </c>
      <c r="Z70" s="50">
        <f t="shared" si="386"/>
        <v>46782.735396894903</v>
      </c>
      <c r="AA70" s="50">
        <f t="shared" si="386"/>
        <v>71077.041938896902</v>
      </c>
      <c r="AB70" s="50">
        <f t="shared" si="386"/>
        <v>73329.556423431321</v>
      </c>
      <c r="AC70" s="50">
        <f t="shared" si="386"/>
        <v>76672.215542469465</v>
      </c>
      <c r="AD70" s="50">
        <f t="shared" si="386"/>
        <v>92927.735343640088</v>
      </c>
      <c r="AE70" s="50">
        <f t="shared" si="386"/>
        <v>109376.86197157804</v>
      </c>
      <c r="AF70" s="50">
        <f t="shared" si="386"/>
        <v>124541.4968258164</v>
      </c>
      <c r="AG70" s="50">
        <f t="shared" si="386"/>
        <v>136846.42336623883</v>
      </c>
      <c r="AH70" s="50">
        <f t="shared" si="386"/>
        <v>144884.40429619019</v>
      </c>
      <c r="AI70" s="50">
        <f t="shared" si="386"/>
        <v>147680.06236520963</v>
      </c>
      <c r="AJ70" s="50">
        <f t="shared" si="386"/>
        <v>144884.40429619025</v>
      </c>
      <c r="AK70" s="50">
        <f t="shared" si="386"/>
        <v>136846.42336623871</v>
      </c>
      <c r="AL70" s="50">
        <f t="shared" si="386"/>
        <v>124541.49682581634</v>
      </c>
      <c r="AM70" s="50">
        <f t="shared" si="386"/>
        <v>125553.3325598134</v>
      </c>
      <c r="AN70" s="50">
        <f t="shared" si="386"/>
        <v>109104.20593187536</v>
      </c>
      <c r="AO70" s="50">
        <f t="shared" si="386"/>
        <v>92848.686130704795</v>
      </c>
      <c r="AP70" s="50">
        <f t="shared" si="386"/>
        <v>77961.909364607738</v>
      </c>
      <c r="AQ70" s="50">
        <f t="shared" si="386"/>
        <v>65205.193199401256</v>
      </c>
      <c r="AR70" s="50">
        <f t="shared" si="386"/>
        <v>51573.904705527282</v>
      </c>
      <c r="AS70" s="50">
        <f t="shared" si="386"/>
        <v>43728.693271505967</v>
      </c>
      <c r="AT70" s="50">
        <f t="shared" si="386"/>
        <v>38059.998782815106</v>
      </c>
      <c r="AU70" s="50">
        <f t="shared" si="386"/>
        <v>34170.043088325387</v>
      </c>
      <c r="AV70" s="50">
        <f t="shared" si="386"/>
        <v>15454.646825066869</v>
      </c>
      <c r="AW70" s="50">
        <f t="shared" si="386"/>
        <v>11416.754793301137</v>
      </c>
      <c r="AX70" s="50">
        <f t="shared" si="386"/>
        <v>9390.0869024708009</v>
      </c>
      <c r="AY70" s="50">
        <f t="shared" si="386"/>
        <v>9390.0869024708009</v>
      </c>
      <c r="AZ70" s="50">
        <f t="shared" si="386"/>
        <v>9390.0869024708009</v>
      </c>
      <c r="BA70" s="50">
        <f t="shared" si="386"/>
        <v>9390.0869024708009</v>
      </c>
      <c r="BB70" s="50">
        <f t="shared" si="386"/>
        <v>9390.0869024708009</v>
      </c>
      <c r="BC70" s="50">
        <f t="shared" si="386"/>
        <v>9390.0869024708009</v>
      </c>
      <c r="BD70" s="50">
        <f t="shared" si="386"/>
        <v>7264.0364823027339</v>
      </c>
      <c r="BE70" s="50">
        <f t="shared" si="386"/>
        <v>7264.0364823027339</v>
      </c>
      <c r="BF70" s="50">
        <f t="shared" si="386"/>
        <v>0</v>
      </c>
      <c r="BG70" s="50">
        <f t="shared" si="386"/>
        <v>0</v>
      </c>
      <c r="BH70" s="50">
        <f t="shared" si="386"/>
        <v>0</v>
      </c>
      <c r="BI70" s="50">
        <f t="shared" si="386"/>
        <v>0</v>
      </c>
      <c r="BJ70" s="50">
        <f t="shared" si="386"/>
        <v>0</v>
      </c>
      <c r="BK70" s="50">
        <f t="shared" si="386"/>
        <v>0</v>
      </c>
      <c r="BL70" s="50">
        <f t="shared" si="386"/>
        <v>0</v>
      </c>
      <c r="BM70" s="50">
        <f t="shared" si="386"/>
        <v>0</v>
      </c>
      <c r="BN70" s="50">
        <f t="shared" si="386"/>
        <v>0</v>
      </c>
      <c r="BO70" s="50">
        <f t="shared" si="386"/>
        <v>0</v>
      </c>
      <c r="BP70" s="50">
        <f t="shared" si="386"/>
        <v>0</v>
      </c>
      <c r="BQ70" s="50">
        <f t="shared" si="386"/>
        <v>0</v>
      </c>
      <c r="BR70" s="50">
        <f t="shared" si="386"/>
        <v>0</v>
      </c>
      <c r="BS70" s="50">
        <f t="shared" si="386"/>
        <v>0</v>
      </c>
      <c r="BT70" s="50">
        <f t="shared" si="386"/>
        <v>0</v>
      </c>
      <c r="BU70" s="50">
        <f t="shared" si="386"/>
        <v>0</v>
      </c>
      <c r="BV70" s="50">
        <f t="shared" si="386"/>
        <v>0</v>
      </c>
      <c r="BW70" s="50">
        <f t="shared" si="386"/>
        <v>0</v>
      </c>
      <c r="BX70" s="50">
        <f t="shared" si="386"/>
        <v>0</v>
      </c>
      <c r="BY70" s="50">
        <f t="shared" si="386"/>
        <v>0</v>
      </c>
      <c r="BZ70" s="50">
        <f t="shared" si="386"/>
        <v>0</v>
      </c>
      <c r="CA70" s="50">
        <f t="shared" si="386"/>
        <v>0</v>
      </c>
      <c r="CB70" s="50">
        <f t="shared" si="386"/>
        <v>0</v>
      </c>
      <c r="CC70" s="50">
        <f t="shared" si="386"/>
        <v>0</v>
      </c>
      <c r="CD70" s="50">
        <f t="shared" si="386"/>
        <v>0</v>
      </c>
      <c r="CE70" s="50">
        <f t="shared" si="386"/>
        <v>0</v>
      </c>
      <c r="CF70" s="50">
        <f t="shared" si="386"/>
        <v>0</v>
      </c>
      <c r="CG70" s="50">
        <f t="shared" ref="CG70:ER70" si="387">JM56</f>
        <v>0</v>
      </c>
      <c r="CH70" s="50">
        <f t="shared" si="387"/>
        <v>0</v>
      </c>
      <c r="CI70" s="50">
        <f t="shared" si="387"/>
        <v>0</v>
      </c>
      <c r="CJ70" s="50">
        <f t="shared" si="387"/>
        <v>0</v>
      </c>
      <c r="CK70" s="50">
        <f t="shared" si="387"/>
        <v>0</v>
      </c>
      <c r="CL70" s="50">
        <f t="shared" si="387"/>
        <v>0</v>
      </c>
      <c r="CM70" s="50">
        <f t="shared" si="387"/>
        <v>0</v>
      </c>
      <c r="CN70" s="50">
        <f t="shared" si="387"/>
        <v>0</v>
      </c>
      <c r="CO70" s="50">
        <f t="shared" si="387"/>
        <v>0</v>
      </c>
      <c r="CP70" s="50">
        <f t="shared" si="387"/>
        <v>0</v>
      </c>
      <c r="CQ70" s="50">
        <f t="shared" si="387"/>
        <v>0</v>
      </c>
      <c r="CR70" s="50">
        <f t="shared" si="387"/>
        <v>0</v>
      </c>
      <c r="CS70" s="50">
        <f t="shared" si="387"/>
        <v>0</v>
      </c>
      <c r="CT70" s="50">
        <f t="shared" si="387"/>
        <v>0</v>
      </c>
      <c r="CU70" s="50">
        <f t="shared" si="387"/>
        <v>0</v>
      </c>
      <c r="CV70" s="50">
        <f t="shared" si="387"/>
        <v>0</v>
      </c>
      <c r="CW70" s="50">
        <f t="shared" si="387"/>
        <v>0</v>
      </c>
      <c r="CX70" s="50">
        <f t="shared" si="387"/>
        <v>0</v>
      </c>
      <c r="CY70" s="50">
        <f t="shared" si="387"/>
        <v>0</v>
      </c>
      <c r="CZ70" s="50">
        <f t="shared" si="387"/>
        <v>0</v>
      </c>
      <c r="DA70" s="50">
        <f t="shared" si="387"/>
        <v>0</v>
      </c>
      <c r="DB70" s="50">
        <f t="shared" si="387"/>
        <v>0</v>
      </c>
      <c r="DC70" s="50">
        <f t="shared" si="387"/>
        <v>0</v>
      </c>
      <c r="DD70" s="50">
        <f t="shared" si="387"/>
        <v>0</v>
      </c>
      <c r="DE70" s="50">
        <f t="shared" si="387"/>
        <v>0</v>
      </c>
      <c r="DF70" s="50">
        <f t="shared" si="387"/>
        <v>0</v>
      </c>
      <c r="DG70" s="50">
        <f t="shared" si="387"/>
        <v>0</v>
      </c>
      <c r="DH70" s="50">
        <f t="shared" si="387"/>
        <v>0</v>
      </c>
      <c r="DI70" s="50">
        <f t="shared" si="387"/>
        <v>0</v>
      </c>
      <c r="DJ70" s="50">
        <f t="shared" si="387"/>
        <v>0</v>
      </c>
      <c r="DK70" s="50">
        <f t="shared" si="387"/>
        <v>0</v>
      </c>
      <c r="DL70" s="50">
        <f t="shared" si="387"/>
        <v>0</v>
      </c>
      <c r="DM70" s="50">
        <f t="shared" si="387"/>
        <v>0</v>
      </c>
      <c r="DN70" s="50">
        <f t="shared" si="387"/>
        <v>0</v>
      </c>
      <c r="DO70" s="50">
        <f t="shared" si="387"/>
        <v>0</v>
      </c>
      <c r="DP70" s="50">
        <f t="shared" si="387"/>
        <v>0</v>
      </c>
      <c r="DQ70" s="50">
        <f t="shared" si="387"/>
        <v>0</v>
      </c>
      <c r="DR70" s="50">
        <f t="shared" si="387"/>
        <v>0</v>
      </c>
      <c r="DS70" s="50">
        <f t="shared" si="387"/>
        <v>0</v>
      </c>
      <c r="DT70" s="50">
        <f t="shared" si="387"/>
        <v>0</v>
      </c>
      <c r="DU70" s="50">
        <f t="shared" si="387"/>
        <v>0</v>
      </c>
      <c r="DV70" s="50">
        <f t="shared" si="387"/>
        <v>0</v>
      </c>
      <c r="DW70" s="50">
        <f t="shared" si="387"/>
        <v>0</v>
      </c>
      <c r="DX70" s="50">
        <f t="shared" si="387"/>
        <v>0</v>
      </c>
      <c r="DY70" s="50">
        <f t="shared" si="387"/>
        <v>0</v>
      </c>
      <c r="DZ70" s="50">
        <f t="shared" si="387"/>
        <v>0</v>
      </c>
      <c r="EA70" s="50">
        <f t="shared" si="387"/>
        <v>0</v>
      </c>
      <c r="EB70" s="50">
        <f t="shared" si="387"/>
        <v>0</v>
      </c>
      <c r="EC70" s="50">
        <f t="shared" si="387"/>
        <v>0</v>
      </c>
      <c r="ED70" s="50">
        <f t="shared" si="387"/>
        <v>0</v>
      </c>
      <c r="EE70" s="50">
        <f t="shared" si="387"/>
        <v>0</v>
      </c>
      <c r="EF70" s="50">
        <f t="shared" si="387"/>
        <v>0</v>
      </c>
      <c r="EG70" s="50">
        <f t="shared" si="387"/>
        <v>0</v>
      </c>
      <c r="EH70" s="50">
        <f t="shared" si="387"/>
        <v>0</v>
      </c>
      <c r="EI70" s="50">
        <f t="shared" si="387"/>
        <v>0</v>
      </c>
      <c r="EJ70" s="50">
        <f t="shared" si="387"/>
        <v>0</v>
      </c>
      <c r="EK70" s="50">
        <f t="shared" si="387"/>
        <v>0</v>
      </c>
      <c r="EL70" s="50">
        <f t="shared" si="387"/>
        <v>0</v>
      </c>
      <c r="EM70" s="50">
        <f t="shared" si="387"/>
        <v>0</v>
      </c>
      <c r="EN70" s="50">
        <f t="shared" si="387"/>
        <v>0</v>
      </c>
      <c r="EO70" s="50">
        <f t="shared" si="387"/>
        <v>0</v>
      </c>
      <c r="EP70" s="50">
        <f t="shared" si="387"/>
        <v>0</v>
      </c>
      <c r="EQ70" s="50">
        <f t="shared" si="387"/>
        <v>0</v>
      </c>
      <c r="ER70" s="50">
        <f t="shared" si="387"/>
        <v>0</v>
      </c>
      <c r="ES70" s="50">
        <f t="shared" ref="ES70:GQ70" si="388">LY56</f>
        <v>0</v>
      </c>
      <c r="ET70" s="50">
        <f t="shared" si="388"/>
        <v>0</v>
      </c>
      <c r="EU70" s="50">
        <f t="shared" si="388"/>
        <v>0</v>
      </c>
      <c r="EV70" s="50">
        <f t="shared" si="388"/>
        <v>0</v>
      </c>
      <c r="EW70" s="50">
        <f t="shared" si="388"/>
        <v>0</v>
      </c>
      <c r="EX70" s="50">
        <f t="shared" si="388"/>
        <v>0</v>
      </c>
      <c r="EY70" s="50">
        <f t="shared" si="388"/>
        <v>0</v>
      </c>
      <c r="EZ70" s="50">
        <f t="shared" si="388"/>
        <v>0</v>
      </c>
      <c r="FA70" s="50">
        <f t="shared" si="388"/>
        <v>0</v>
      </c>
      <c r="FB70" s="50">
        <f t="shared" si="388"/>
        <v>0</v>
      </c>
      <c r="FC70" s="50">
        <f t="shared" si="388"/>
        <v>0</v>
      </c>
      <c r="FD70" s="50">
        <f t="shared" si="388"/>
        <v>0</v>
      </c>
      <c r="FE70" s="50">
        <f t="shared" si="388"/>
        <v>0</v>
      </c>
      <c r="FF70" s="50">
        <f t="shared" si="388"/>
        <v>0</v>
      </c>
      <c r="FG70" s="50">
        <f t="shared" si="388"/>
        <v>0</v>
      </c>
      <c r="FH70" s="50">
        <f t="shared" si="388"/>
        <v>0</v>
      </c>
      <c r="FI70" s="50">
        <f t="shared" si="388"/>
        <v>0</v>
      </c>
      <c r="FJ70" s="50">
        <f t="shared" si="388"/>
        <v>0</v>
      </c>
      <c r="FK70" s="50">
        <f t="shared" si="388"/>
        <v>0</v>
      </c>
      <c r="FL70" s="50">
        <f t="shared" si="388"/>
        <v>0</v>
      </c>
      <c r="FM70" s="50">
        <f t="shared" si="388"/>
        <v>0</v>
      </c>
      <c r="FN70" s="50">
        <f t="shared" si="388"/>
        <v>0</v>
      </c>
      <c r="FO70" s="50">
        <f t="shared" si="388"/>
        <v>0</v>
      </c>
      <c r="FP70" s="50">
        <f t="shared" si="388"/>
        <v>0</v>
      </c>
      <c r="FQ70" s="50">
        <f t="shared" si="388"/>
        <v>0</v>
      </c>
      <c r="FR70" s="50">
        <f t="shared" si="388"/>
        <v>0</v>
      </c>
      <c r="FS70" s="50">
        <f t="shared" si="388"/>
        <v>0</v>
      </c>
      <c r="FT70" s="50">
        <f t="shared" si="388"/>
        <v>0</v>
      </c>
      <c r="FU70" s="50">
        <f t="shared" si="388"/>
        <v>0</v>
      </c>
      <c r="FV70" s="50">
        <f t="shared" si="388"/>
        <v>0</v>
      </c>
      <c r="FW70" s="50">
        <f t="shared" si="388"/>
        <v>0</v>
      </c>
      <c r="FX70" s="50">
        <f t="shared" si="388"/>
        <v>0</v>
      </c>
      <c r="FY70" s="50">
        <f t="shared" si="388"/>
        <v>0</v>
      </c>
      <c r="FZ70" s="50">
        <f t="shared" si="388"/>
        <v>0</v>
      </c>
      <c r="GA70" s="50">
        <f t="shared" si="388"/>
        <v>0</v>
      </c>
      <c r="GB70" s="50">
        <f t="shared" si="388"/>
        <v>0</v>
      </c>
      <c r="GC70" s="50">
        <f t="shared" si="388"/>
        <v>0</v>
      </c>
      <c r="GD70" s="50">
        <f t="shared" si="388"/>
        <v>0</v>
      </c>
      <c r="GE70" s="50">
        <f t="shared" si="388"/>
        <v>0</v>
      </c>
      <c r="GF70" s="50">
        <f t="shared" si="388"/>
        <v>0</v>
      </c>
      <c r="GG70" s="50">
        <f t="shared" si="388"/>
        <v>0</v>
      </c>
      <c r="GH70" s="50">
        <f t="shared" si="388"/>
        <v>0</v>
      </c>
      <c r="GI70" s="50">
        <f t="shared" si="388"/>
        <v>0</v>
      </c>
      <c r="GJ70" s="50">
        <f t="shared" si="388"/>
        <v>0</v>
      </c>
      <c r="GK70" s="50">
        <f t="shared" si="388"/>
        <v>0</v>
      </c>
      <c r="GL70" s="50">
        <f t="shared" si="388"/>
        <v>0</v>
      </c>
      <c r="GM70" s="50">
        <f t="shared" si="388"/>
        <v>0</v>
      </c>
      <c r="GN70" s="50">
        <f t="shared" si="388"/>
        <v>0</v>
      </c>
      <c r="GO70" s="50">
        <f t="shared" si="388"/>
        <v>0</v>
      </c>
      <c r="GP70" s="50">
        <f t="shared" si="388"/>
        <v>0</v>
      </c>
      <c r="GQ70" s="50">
        <f t="shared" si="388"/>
        <v>0</v>
      </c>
      <c r="GS70" s="80"/>
      <c r="GT70" s="77"/>
      <c r="GU70" s="77"/>
      <c r="GV70" s="77"/>
      <c r="GW70" s="77"/>
      <c r="GX70" s="77"/>
      <c r="GY70" s="77"/>
      <c r="GZ70" s="77"/>
      <c r="HA70" s="77"/>
      <c r="HB70" s="77"/>
      <c r="HC70" s="77"/>
      <c r="HD70" s="77"/>
      <c r="HE70" s="77"/>
      <c r="HF70" s="77"/>
      <c r="HG70" s="77"/>
      <c r="HH70" s="77"/>
      <c r="HI70" s="77"/>
      <c r="HJ70" s="77"/>
      <c r="HK70" s="77"/>
      <c r="HL70" s="77"/>
      <c r="HM70" s="77"/>
      <c r="HN70" s="77"/>
      <c r="HO70" s="77"/>
      <c r="HP70" s="77"/>
      <c r="HQ70" s="77"/>
      <c r="HR70" s="77"/>
      <c r="HS70" s="77"/>
      <c r="HT70" s="77"/>
      <c r="HU70" s="77"/>
      <c r="HV70" s="77"/>
      <c r="HW70" s="77"/>
      <c r="HX70" s="77"/>
      <c r="HY70" s="77"/>
      <c r="HZ70" s="77"/>
      <c r="IA70" s="77"/>
      <c r="IB70" s="77"/>
      <c r="IC70" s="77"/>
      <c r="ID70" s="77"/>
      <c r="IE70" s="77"/>
      <c r="IF70" s="77"/>
      <c r="IG70" s="77"/>
      <c r="IH70" s="77"/>
      <c r="II70" s="77"/>
      <c r="IJ70" s="77"/>
      <c r="IK70" s="77"/>
      <c r="IL70" s="77"/>
      <c r="IM70" s="77"/>
      <c r="IN70" s="77"/>
      <c r="IO70" s="77"/>
      <c r="IP70" s="77"/>
      <c r="IQ70" s="77"/>
      <c r="IR70" s="77"/>
      <c r="IS70" s="77"/>
      <c r="IT70" s="77"/>
      <c r="IU70" s="77"/>
      <c r="IV70" s="77"/>
      <c r="IW70" s="77"/>
      <c r="IX70" s="77"/>
      <c r="IY70" s="77"/>
      <c r="IZ70" s="77"/>
      <c r="JA70" s="77"/>
      <c r="JB70" s="77"/>
      <c r="JC70" s="77"/>
      <c r="JD70" s="77"/>
      <c r="JE70" s="77"/>
      <c r="JF70" s="77"/>
      <c r="JG70" s="77"/>
      <c r="JH70" s="77"/>
      <c r="JI70" s="77"/>
      <c r="JJ70" s="77"/>
      <c r="JK70" s="77"/>
      <c r="JL70" s="77"/>
      <c r="JM70" s="77"/>
      <c r="JN70" s="77"/>
      <c r="JO70" s="77"/>
      <c r="JP70" s="77"/>
      <c r="JQ70" s="77"/>
      <c r="JR70" s="77"/>
      <c r="JS70" s="77"/>
      <c r="JT70" s="77"/>
      <c r="JU70" s="77"/>
      <c r="JV70" s="77"/>
      <c r="JW70" s="77"/>
      <c r="JX70" s="77"/>
      <c r="JY70" s="77"/>
      <c r="JZ70" s="77"/>
      <c r="KA70" s="77"/>
      <c r="KB70" s="77"/>
      <c r="KC70" s="77"/>
      <c r="KD70" s="77"/>
      <c r="KE70" s="77"/>
      <c r="KF70" s="77"/>
      <c r="KG70" s="77"/>
      <c r="KH70" s="77"/>
      <c r="KI70" s="77"/>
      <c r="KJ70" s="77"/>
      <c r="KK70" s="77"/>
      <c r="KL70" s="77"/>
      <c r="KM70" s="77"/>
      <c r="KN70" s="77"/>
      <c r="KO70" s="77"/>
      <c r="KP70" s="77"/>
      <c r="KQ70" s="77"/>
      <c r="KR70" s="77"/>
      <c r="KS70" s="77"/>
      <c r="KT70" s="77"/>
      <c r="KU70" s="77"/>
      <c r="KV70" s="77"/>
      <c r="KW70" s="77"/>
      <c r="KX70" s="77"/>
      <c r="KY70" s="77"/>
      <c r="KZ70" s="77"/>
      <c r="LA70" s="77"/>
      <c r="LB70" s="77"/>
      <c r="LC70" s="77"/>
      <c r="LD70" s="77"/>
      <c r="LE70" s="77"/>
      <c r="LF70" s="77"/>
      <c r="LG70" s="77"/>
      <c r="LH70" s="77"/>
      <c r="LI70" s="77"/>
      <c r="LJ70" s="77"/>
      <c r="LK70" s="77"/>
      <c r="LL70" s="77"/>
      <c r="LM70" s="77"/>
      <c r="LN70" s="77"/>
      <c r="LO70" s="77"/>
      <c r="LP70" s="77"/>
      <c r="LQ70" s="77"/>
      <c r="LR70" s="77"/>
      <c r="LS70" s="77"/>
      <c r="LT70" s="77"/>
      <c r="LU70" s="77"/>
      <c r="LV70" s="77"/>
      <c r="LW70" s="77"/>
      <c r="LX70" s="77"/>
      <c r="LY70" s="77"/>
      <c r="LZ70" s="77"/>
      <c r="MA70" s="77"/>
      <c r="MB70" s="77"/>
      <c r="MC70" s="77"/>
      <c r="MD70" s="77"/>
      <c r="ME70" s="77"/>
      <c r="MF70" s="77"/>
      <c r="MG70" s="77"/>
      <c r="MH70" s="77"/>
      <c r="MI70" s="77"/>
      <c r="MJ70" s="77"/>
      <c r="MK70" s="77"/>
      <c r="ML70" s="77"/>
      <c r="MM70" s="77"/>
      <c r="MN70" s="77"/>
      <c r="MO70" s="77"/>
      <c r="MP70" s="77"/>
      <c r="MQ70" s="77"/>
      <c r="MR70" s="77"/>
      <c r="MS70" s="77"/>
      <c r="MT70" s="77"/>
      <c r="MU70" s="77"/>
      <c r="MV70" s="77"/>
      <c r="MW70" s="77"/>
      <c r="MX70" s="77"/>
      <c r="MY70" s="77"/>
      <c r="MZ70" s="77"/>
      <c r="NA70" s="77"/>
      <c r="NB70" s="77"/>
      <c r="NC70" s="77"/>
      <c r="ND70" s="77"/>
      <c r="NE70" s="77"/>
      <c r="NF70" s="77"/>
      <c r="NG70" s="77"/>
      <c r="NH70" s="77"/>
      <c r="NI70" s="77"/>
      <c r="NJ70" s="77"/>
      <c r="NK70" s="77"/>
      <c r="NL70" s="77"/>
      <c r="NM70" s="77"/>
      <c r="NN70" s="77"/>
      <c r="NO70" s="77"/>
      <c r="NP70" s="77"/>
      <c r="NQ70" s="77"/>
      <c r="NR70" s="77"/>
      <c r="NS70" s="77"/>
      <c r="NT70" s="77"/>
      <c r="NU70" s="77"/>
      <c r="NV70" s="77"/>
      <c r="NW70" s="77"/>
    </row>
    <row r="71" spans="2:388" ht="15.5" x14ac:dyDescent="0.45">
      <c r="B71" s="49" t="s">
        <v>262</v>
      </c>
      <c r="C71" s="19"/>
      <c r="D71" s="19"/>
      <c r="E71" s="19"/>
      <c r="F71" s="25" t="s">
        <v>263</v>
      </c>
      <c r="G71" s="19"/>
      <c r="H71" s="64">
        <f>L71/$L$59</f>
        <v>1.4580519404031949E-2</v>
      </c>
      <c r="I71" s="19"/>
      <c r="J71" s="31">
        <f>L71/$L$8</f>
        <v>704.84862801187603</v>
      </c>
      <c r="K71" s="32">
        <f>L71/$L$7</f>
        <v>9.3169646231454878E-2</v>
      </c>
      <c r="L71" s="31">
        <f>SUM(T71:GQ71)</f>
        <v>162115.18444273149</v>
      </c>
      <c r="S71" s="69" t="str">
        <f>IF(ROUND(L71,0)=ROUND(SUM(T71:GQ71),0),"OK","ERROR")</f>
        <v>OK</v>
      </c>
      <c r="T71" s="62">
        <f>GZ53</f>
        <v>0</v>
      </c>
      <c r="U71" s="62">
        <f t="shared" ref="U71:CF71" si="389">HA53</f>
        <v>7810.155052662959</v>
      </c>
      <c r="V71" s="62">
        <f t="shared" si="389"/>
        <v>8333.777070080394</v>
      </c>
      <c r="W71" s="62">
        <f t="shared" si="389"/>
        <v>8890.3071912254472</v>
      </c>
      <c r="X71" s="62">
        <f t="shared" si="389"/>
        <v>9498.186921461167</v>
      </c>
      <c r="Y71" s="62">
        <f t="shared" si="389"/>
        <v>10183.37278485527</v>
      </c>
      <c r="Z71" s="62">
        <f t="shared" si="389"/>
        <v>10980.092823359349</v>
      </c>
      <c r="AA71" s="62">
        <f t="shared" si="389"/>
        <v>11930.324138148539</v>
      </c>
      <c r="AB71" s="62">
        <f t="shared" si="389"/>
        <v>13347.457393406645</v>
      </c>
      <c r="AC71" s="62">
        <f t="shared" si="389"/>
        <v>14815.307697944405</v>
      </c>
      <c r="AD71" s="62">
        <f t="shared" si="389"/>
        <v>3255.3491597986622</v>
      </c>
      <c r="AE71" s="62">
        <f t="shared" si="389"/>
        <v>5039.1677883972879</v>
      </c>
      <c r="AF71" s="62">
        <f t="shared" si="389"/>
        <v>0</v>
      </c>
      <c r="AG71" s="62">
        <f t="shared" si="389"/>
        <v>2366.288439690512</v>
      </c>
      <c r="AH71" s="62">
        <f t="shared" si="389"/>
        <v>4979.5938602237911</v>
      </c>
      <c r="AI71" s="62">
        <f t="shared" si="389"/>
        <v>7760.2246840114785</v>
      </c>
      <c r="AJ71" s="62">
        <f t="shared" si="389"/>
        <v>4995.4309480669972</v>
      </c>
      <c r="AK71" s="62">
        <f t="shared" si="389"/>
        <v>7776.1502732279278</v>
      </c>
      <c r="AL71" s="62">
        <f t="shared" si="389"/>
        <v>6565.4813922427375</v>
      </c>
      <c r="AM71" s="62">
        <f t="shared" si="389"/>
        <v>3354.3784044193108</v>
      </c>
      <c r="AN71" s="62">
        <f t="shared" si="389"/>
        <v>5758.636778845168</v>
      </c>
      <c r="AO71" s="62">
        <f t="shared" si="389"/>
        <v>4009.5914264914049</v>
      </c>
      <c r="AP71" s="62">
        <f t="shared" si="389"/>
        <v>1555.6205768287184</v>
      </c>
      <c r="AQ71" s="62">
        <f t="shared" si="389"/>
        <v>3045.5900285679559</v>
      </c>
      <c r="AR71" s="62">
        <f t="shared" si="389"/>
        <v>331.67611422210621</v>
      </c>
      <c r="AS71" s="62">
        <f t="shared" si="389"/>
        <v>1313.4337877948365</v>
      </c>
      <c r="AT71" s="62">
        <f t="shared" si="389"/>
        <v>2151.618737002892</v>
      </c>
      <c r="AU71" s="62">
        <f t="shared" si="389"/>
        <v>0</v>
      </c>
      <c r="AV71" s="62">
        <f t="shared" si="389"/>
        <v>649.23081867818257</v>
      </c>
      <c r="AW71" s="62">
        <f t="shared" si="389"/>
        <v>946.49716292941946</v>
      </c>
      <c r="AX71" s="62">
        <f t="shared" si="389"/>
        <v>472.24298814792303</v>
      </c>
      <c r="AY71" s="62">
        <f t="shared" si="389"/>
        <v>0</v>
      </c>
      <c r="AZ71" s="62">
        <f t="shared" si="389"/>
        <v>0</v>
      </c>
      <c r="BA71" s="62">
        <f t="shared" si="389"/>
        <v>0</v>
      </c>
      <c r="BB71" s="62">
        <f t="shared" si="389"/>
        <v>0</v>
      </c>
      <c r="BC71" s="62">
        <f t="shared" si="389"/>
        <v>0</v>
      </c>
      <c r="BD71" s="62">
        <f t="shared" si="389"/>
        <v>0</v>
      </c>
      <c r="BE71" s="62">
        <f t="shared" si="389"/>
        <v>0</v>
      </c>
      <c r="BF71" s="62">
        <f t="shared" si="389"/>
        <v>0</v>
      </c>
      <c r="BG71" s="62">
        <f t="shared" si="389"/>
        <v>0</v>
      </c>
      <c r="BH71" s="62">
        <f t="shared" si="389"/>
        <v>0</v>
      </c>
      <c r="BI71" s="62">
        <f t="shared" si="389"/>
        <v>0</v>
      </c>
      <c r="BJ71" s="62">
        <f t="shared" si="389"/>
        <v>0</v>
      </c>
      <c r="BK71" s="62">
        <f t="shared" si="389"/>
        <v>0</v>
      </c>
      <c r="BL71" s="62">
        <f t="shared" si="389"/>
        <v>0</v>
      </c>
      <c r="BM71" s="62">
        <f t="shared" si="389"/>
        <v>0</v>
      </c>
      <c r="BN71" s="62">
        <f t="shared" si="389"/>
        <v>0</v>
      </c>
      <c r="BO71" s="62">
        <f t="shared" si="389"/>
        <v>0</v>
      </c>
      <c r="BP71" s="62">
        <f t="shared" si="389"/>
        <v>0</v>
      </c>
      <c r="BQ71" s="62">
        <f t="shared" si="389"/>
        <v>0</v>
      </c>
      <c r="BR71" s="62">
        <f t="shared" si="389"/>
        <v>0</v>
      </c>
      <c r="BS71" s="62">
        <f t="shared" si="389"/>
        <v>0</v>
      </c>
      <c r="BT71" s="62">
        <f t="shared" si="389"/>
        <v>0</v>
      </c>
      <c r="BU71" s="62">
        <f t="shared" si="389"/>
        <v>0</v>
      </c>
      <c r="BV71" s="62">
        <f t="shared" si="389"/>
        <v>0</v>
      </c>
      <c r="BW71" s="62">
        <f t="shared" si="389"/>
        <v>0</v>
      </c>
      <c r="BX71" s="62">
        <f t="shared" si="389"/>
        <v>0</v>
      </c>
      <c r="BY71" s="62">
        <f t="shared" si="389"/>
        <v>0</v>
      </c>
      <c r="BZ71" s="62">
        <f t="shared" si="389"/>
        <v>0</v>
      </c>
      <c r="CA71" s="62">
        <f t="shared" si="389"/>
        <v>0</v>
      </c>
      <c r="CB71" s="62">
        <f t="shared" si="389"/>
        <v>0</v>
      </c>
      <c r="CC71" s="62">
        <f t="shared" si="389"/>
        <v>0</v>
      </c>
      <c r="CD71" s="62">
        <f t="shared" si="389"/>
        <v>0</v>
      </c>
      <c r="CE71" s="62">
        <f t="shared" si="389"/>
        <v>0</v>
      </c>
      <c r="CF71" s="62">
        <f t="shared" si="389"/>
        <v>0</v>
      </c>
      <c r="CG71" s="62">
        <f t="shared" ref="CG71:ER71" si="390">JM53</f>
        <v>0</v>
      </c>
      <c r="CH71" s="62">
        <f t="shared" si="390"/>
        <v>0</v>
      </c>
      <c r="CI71" s="62">
        <f t="shared" si="390"/>
        <v>0</v>
      </c>
      <c r="CJ71" s="62">
        <f t="shared" si="390"/>
        <v>0</v>
      </c>
      <c r="CK71" s="62">
        <f t="shared" si="390"/>
        <v>0</v>
      </c>
      <c r="CL71" s="62">
        <f t="shared" si="390"/>
        <v>0</v>
      </c>
      <c r="CM71" s="62">
        <f t="shared" si="390"/>
        <v>0</v>
      </c>
      <c r="CN71" s="62">
        <f t="shared" si="390"/>
        <v>0</v>
      </c>
      <c r="CO71" s="62">
        <f t="shared" si="390"/>
        <v>0</v>
      </c>
      <c r="CP71" s="62">
        <f t="shared" si="390"/>
        <v>0</v>
      </c>
      <c r="CQ71" s="62">
        <f t="shared" si="390"/>
        <v>0</v>
      </c>
      <c r="CR71" s="62">
        <f t="shared" si="390"/>
        <v>0</v>
      </c>
      <c r="CS71" s="62">
        <f t="shared" si="390"/>
        <v>0</v>
      </c>
      <c r="CT71" s="62">
        <f t="shared" si="390"/>
        <v>0</v>
      </c>
      <c r="CU71" s="62">
        <f t="shared" si="390"/>
        <v>0</v>
      </c>
      <c r="CV71" s="62">
        <f t="shared" si="390"/>
        <v>0</v>
      </c>
      <c r="CW71" s="62">
        <f t="shared" si="390"/>
        <v>0</v>
      </c>
      <c r="CX71" s="62">
        <f t="shared" si="390"/>
        <v>0</v>
      </c>
      <c r="CY71" s="62">
        <f t="shared" si="390"/>
        <v>0</v>
      </c>
      <c r="CZ71" s="62">
        <f t="shared" si="390"/>
        <v>0</v>
      </c>
      <c r="DA71" s="62">
        <f t="shared" si="390"/>
        <v>0</v>
      </c>
      <c r="DB71" s="62">
        <f t="shared" si="390"/>
        <v>0</v>
      </c>
      <c r="DC71" s="62">
        <f t="shared" si="390"/>
        <v>0</v>
      </c>
      <c r="DD71" s="62">
        <f t="shared" si="390"/>
        <v>0</v>
      </c>
      <c r="DE71" s="62">
        <f t="shared" si="390"/>
        <v>0</v>
      </c>
      <c r="DF71" s="62">
        <f t="shared" si="390"/>
        <v>0</v>
      </c>
      <c r="DG71" s="62">
        <f t="shared" si="390"/>
        <v>0</v>
      </c>
      <c r="DH71" s="62">
        <f t="shared" si="390"/>
        <v>0</v>
      </c>
      <c r="DI71" s="62">
        <f t="shared" si="390"/>
        <v>0</v>
      </c>
      <c r="DJ71" s="62">
        <f t="shared" si="390"/>
        <v>0</v>
      </c>
      <c r="DK71" s="62">
        <f t="shared" si="390"/>
        <v>0</v>
      </c>
      <c r="DL71" s="62">
        <f t="shared" si="390"/>
        <v>0</v>
      </c>
      <c r="DM71" s="62">
        <f t="shared" si="390"/>
        <v>0</v>
      </c>
      <c r="DN71" s="62">
        <f t="shared" si="390"/>
        <v>0</v>
      </c>
      <c r="DO71" s="62">
        <f t="shared" si="390"/>
        <v>0</v>
      </c>
      <c r="DP71" s="62">
        <f t="shared" si="390"/>
        <v>0</v>
      </c>
      <c r="DQ71" s="62">
        <f t="shared" si="390"/>
        <v>0</v>
      </c>
      <c r="DR71" s="62">
        <f t="shared" si="390"/>
        <v>0</v>
      </c>
      <c r="DS71" s="62">
        <f t="shared" si="390"/>
        <v>0</v>
      </c>
      <c r="DT71" s="62">
        <f t="shared" si="390"/>
        <v>0</v>
      </c>
      <c r="DU71" s="62">
        <f t="shared" si="390"/>
        <v>0</v>
      </c>
      <c r="DV71" s="62">
        <f t="shared" si="390"/>
        <v>0</v>
      </c>
      <c r="DW71" s="62">
        <f t="shared" si="390"/>
        <v>0</v>
      </c>
      <c r="DX71" s="62">
        <f t="shared" si="390"/>
        <v>0</v>
      </c>
      <c r="DY71" s="62">
        <f t="shared" si="390"/>
        <v>0</v>
      </c>
      <c r="DZ71" s="62">
        <f t="shared" si="390"/>
        <v>0</v>
      </c>
      <c r="EA71" s="62">
        <f t="shared" si="390"/>
        <v>0</v>
      </c>
      <c r="EB71" s="62">
        <f t="shared" si="390"/>
        <v>0</v>
      </c>
      <c r="EC71" s="62">
        <f t="shared" si="390"/>
        <v>0</v>
      </c>
      <c r="ED71" s="62">
        <f t="shared" si="390"/>
        <v>0</v>
      </c>
      <c r="EE71" s="62">
        <f t="shared" si="390"/>
        <v>0</v>
      </c>
      <c r="EF71" s="62">
        <f t="shared" si="390"/>
        <v>0</v>
      </c>
      <c r="EG71" s="62">
        <f t="shared" si="390"/>
        <v>0</v>
      </c>
      <c r="EH71" s="62">
        <f t="shared" si="390"/>
        <v>0</v>
      </c>
      <c r="EI71" s="62">
        <f t="shared" si="390"/>
        <v>0</v>
      </c>
      <c r="EJ71" s="62">
        <f t="shared" si="390"/>
        <v>0</v>
      </c>
      <c r="EK71" s="62">
        <f t="shared" si="390"/>
        <v>0</v>
      </c>
      <c r="EL71" s="62">
        <f t="shared" si="390"/>
        <v>0</v>
      </c>
      <c r="EM71" s="62">
        <f t="shared" si="390"/>
        <v>0</v>
      </c>
      <c r="EN71" s="62">
        <f t="shared" si="390"/>
        <v>0</v>
      </c>
      <c r="EO71" s="62">
        <f t="shared" si="390"/>
        <v>0</v>
      </c>
      <c r="EP71" s="62">
        <f t="shared" si="390"/>
        <v>0</v>
      </c>
      <c r="EQ71" s="62">
        <f t="shared" si="390"/>
        <v>0</v>
      </c>
      <c r="ER71" s="62">
        <f t="shared" si="390"/>
        <v>0</v>
      </c>
      <c r="ES71" s="62">
        <f t="shared" ref="ES71:GQ71" si="391">LY53</f>
        <v>0</v>
      </c>
      <c r="ET71" s="62">
        <f t="shared" si="391"/>
        <v>0</v>
      </c>
      <c r="EU71" s="62">
        <f t="shared" si="391"/>
        <v>0</v>
      </c>
      <c r="EV71" s="62">
        <f t="shared" si="391"/>
        <v>0</v>
      </c>
      <c r="EW71" s="62">
        <f t="shared" si="391"/>
        <v>0</v>
      </c>
      <c r="EX71" s="62">
        <f t="shared" si="391"/>
        <v>0</v>
      </c>
      <c r="EY71" s="62">
        <f t="shared" si="391"/>
        <v>0</v>
      </c>
      <c r="EZ71" s="62">
        <f t="shared" si="391"/>
        <v>0</v>
      </c>
      <c r="FA71" s="62">
        <f t="shared" si="391"/>
        <v>0</v>
      </c>
      <c r="FB71" s="62">
        <f t="shared" si="391"/>
        <v>0</v>
      </c>
      <c r="FC71" s="62">
        <f t="shared" si="391"/>
        <v>0</v>
      </c>
      <c r="FD71" s="62">
        <f t="shared" si="391"/>
        <v>0</v>
      </c>
      <c r="FE71" s="62">
        <f t="shared" si="391"/>
        <v>0</v>
      </c>
      <c r="FF71" s="62">
        <f t="shared" si="391"/>
        <v>0</v>
      </c>
      <c r="FG71" s="62">
        <f t="shared" si="391"/>
        <v>0</v>
      </c>
      <c r="FH71" s="62">
        <f t="shared" si="391"/>
        <v>0</v>
      </c>
      <c r="FI71" s="62">
        <f t="shared" si="391"/>
        <v>0</v>
      </c>
      <c r="FJ71" s="62">
        <f t="shared" si="391"/>
        <v>0</v>
      </c>
      <c r="FK71" s="62">
        <f t="shared" si="391"/>
        <v>0</v>
      </c>
      <c r="FL71" s="62">
        <f t="shared" si="391"/>
        <v>0</v>
      </c>
      <c r="FM71" s="62">
        <f t="shared" si="391"/>
        <v>0</v>
      </c>
      <c r="FN71" s="62">
        <f t="shared" si="391"/>
        <v>0</v>
      </c>
      <c r="FO71" s="62">
        <f t="shared" si="391"/>
        <v>0</v>
      </c>
      <c r="FP71" s="62">
        <f t="shared" si="391"/>
        <v>0</v>
      </c>
      <c r="FQ71" s="62">
        <f t="shared" si="391"/>
        <v>0</v>
      </c>
      <c r="FR71" s="62">
        <f t="shared" si="391"/>
        <v>0</v>
      </c>
      <c r="FS71" s="62">
        <f t="shared" si="391"/>
        <v>0</v>
      </c>
      <c r="FT71" s="62">
        <f t="shared" si="391"/>
        <v>0</v>
      </c>
      <c r="FU71" s="62">
        <f t="shared" si="391"/>
        <v>0</v>
      </c>
      <c r="FV71" s="62">
        <f t="shared" si="391"/>
        <v>0</v>
      </c>
      <c r="FW71" s="62">
        <f t="shared" si="391"/>
        <v>0</v>
      </c>
      <c r="FX71" s="62">
        <f t="shared" si="391"/>
        <v>0</v>
      </c>
      <c r="FY71" s="62">
        <f t="shared" si="391"/>
        <v>0</v>
      </c>
      <c r="FZ71" s="62">
        <f t="shared" si="391"/>
        <v>0</v>
      </c>
      <c r="GA71" s="62">
        <f t="shared" si="391"/>
        <v>0</v>
      </c>
      <c r="GB71" s="62">
        <f t="shared" si="391"/>
        <v>0</v>
      </c>
      <c r="GC71" s="62">
        <f t="shared" si="391"/>
        <v>0</v>
      </c>
      <c r="GD71" s="62">
        <f t="shared" si="391"/>
        <v>0</v>
      </c>
      <c r="GE71" s="62">
        <f t="shared" si="391"/>
        <v>0</v>
      </c>
      <c r="GF71" s="62">
        <f t="shared" si="391"/>
        <v>0</v>
      </c>
      <c r="GG71" s="62">
        <f t="shared" si="391"/>
        <v>0</v>
      </c>
      <c r="GH71" s="62">
        <f t="shared" si="391"/>
        <v>0</v>
      </c>
      <c r="GI71" s="62">
        <f t="shared" si="391"/>
        <v>0</v>
      </c>
      <c r="GJ71" s="62">
        <f t="shared" si="391"/>
        <v>0</v>
      </c>
      <c r="GK71" s="62">
        <f t="shared" si="391"/>
        <v>0</v>
      </c>
      <c r="GL71" s="62">
        <f t="shared" si="391"/>
        <v>0</v>
      </c>
      <c r="GM71" s="62">
        <f t="shared" si="391"/>
        <v>0</v>
      </c>
      <c r="GN71" s="62">
        <f t="shared" si="391"/>
        <v>0</v>
      </c>
      <c r="GO71" s="62">
        <f t="shared" si="391"/>
        <v>0</v>
      </c>
      <c r="GP71" s="62">
        <f t="shared" si="391"/>
        <v>0</v>
      </c>
      <c r="GQ71" s="62">
        <f t="shared" si="391"/>
        <v>0</v>
      </c>
      <c r="GS71" s="80"/>
      <c r="GT71" s="77"/>
      <c r="GU71" s="77"/>
      <c r="GV71" s="77"/>
      <c r="GW71" s="77"/>
      <c r="GX71" s="77"/>
      <c r="GY71" s="77"/>
      <c r="GZ71" s="77"/>
      <c r="HA71" s="77"/>
      <c r="HB71" s="77"/>
      <c r="HC71" s="77"/>
      <c r="HD71" s="77"/>
      <c r="HE71" s="77"/>
      <c r="HF71" s="77"/>
      <c r="HG71" s="77"/>
      <c r="HH71" s="77"/>
      <c r="HI71" s="77"/>
      <c r="HJ71" s="77"/>
      <c r="HK71" s="77"/>
      <c r="HL71" s="77"/>
      <c r="HM71" s="77"/>
      <c r="HN71" s="77"/>
      <c r="HO71" s="77"/>
      <c r="HP71" s="77"/>
      <c r="HQ71" s="77"/>
      <c r="HR71" s="77"/>
      <c r="HS71" s="77"/>
      <c r="HT71" s="77"/>
      <c r="HU71" s="77"/>
      <c r="HV71" s="77"/>
      <c r="HW71" s="77"/>
      <c r="HX71" s="77"/>
      <c r="HY71" s="77"/>
      <c r="HZ71" s="77"/>
      <c r="IA71" s="77"/>
      <c r="IB71" s="77"/>
      <c r="IC71" s="77"/>
      <c r="ID71" s="77"/>
      <c r="IE71" s="77"/>
      <c r="IF71" s="77"/>
      <c r="IG71" s="77"/>
      <c r="IH71" s="77"/>
      <c r="II71" s="77"/>
      <c r="IJ71" s="77"/>
      <c r="IK71" s="77"/>
      <c r="IL71" s="77"/>
      <c r="IM71" s="77"/>
      <c r="IN71" s="77"/>
      <c r="IO71" s="77"/>
      <c r="IP71" s="77"/>
      <c r="IQ71" s="77"/>
      <c r="IR71" s="77"/>
      <c r="IS71" s="77"/>
      <c r="IT71" s="77"/>
      <c r="IU71" s="77"/>
      <c r="IV71" s="77"/>
      <c r="IW71" s="77"/>
      <c r="IX71" s="77"/>
      <c r="IY71" s="77"/>
      <c r="IZ71" s="77"/>
      <c r="JA71" s="77"/>
      <c r="JB71" s="77"/>
      <c r="JC71" s="77"/>
      <c r="JD71" s="77"/>
      <c r="JE71" s="77"/>
      <c r="JF71" s="77"/>
      <c r="JG71" s="77"/>
      <c r="JH71" s="77"/>
      <c r="JI71" s="77"/>
      <c r="JJ71" s="77"/>
      <c r="JK71" s="77"/>
      <c r="JL71" s="77"/>
      <c r="JM71" s="77"/>
      <c r="JN71" s="77"/>
      <c r="JO71" s="77"/>
      <c r="JP71" s="77"/>
      <c r="JQ71" s="77"/>
      <c r="JR71" s="77"/>
      <c r="JS71" s="77"/>
      <c r="JT71" s="77"/>
      <c r="JU71" s="77"/>
      <c r="JV71" s="77"/>
      <c r="JW71" s="77"/>
      <c r="JX71" s="77"/>
      <c r="JY71" s="77"/>
      <c r="JZ71" s="77"/>
      <c r="KA71" s="77"/>
      <c r="KB71" s="77"/>
      <c r="KC71" s="77"/>
      <c r="KD71" s="77"/>
      <c r="KE71" s="77"/>
      <c r="KF71" s="77"/>
      <c r="KG71" s="77"/>
      <c r="KH71" s="77"/>
      <c r="KI71" s="77"/>
      <c r="KJ71" s="77"/>
      <c r="KK71" s="77"/>
      <c r="KL71" s="77"/>
      <c r="KM71" s="77"/>
      <c r="KN71" s="77"/>
      <c r="KO71" s="77"/>
      <c r="KP71" s="77"/>
      <c r="KQ71" s="77"/>
      <c r="KR71" s="77"/>
      <c r="KS71" s="77"/>
      <c r="KT71" s="77"/>
      <c r="KU71" s="77"/>
      <c r="KV71" s="77"/>
      <c r="KW71" s="77"/>
      <c r="KX71" s="77"/>
      <c r="KY71" s="77"/>
      <c r="KZ71" s="77"/>
      <c r="LA71" s="77"/>
      <c r="LB71" s="77"/>
      <c r="LC71" s="77"/>
      <c r="LD71" s="77"/>
      <c r="LE71" s="77"/>
      <c r="LF71" s="77"/>
      <c r="LG71" s="77"/>
      <c r="LH71" s="77"/>
      <c r="LI71" s="77"/>
      <c r="LJ71" s="77"/>
      <c r="LK71" s="77"/>
      <c r="LL71" s="77"/>
      <c r="LM71" s="77"/>
      <c r="LN71" s="77"/>
      <c r="LO71" s="77"/>
      <c r="LP71" s="77"/>
      <c r="LQ71" s="77"/>
      <c r="LR71" s="77"/>
      <c r="LS71" s="77"/>
      <c r="LT71" s="77"/>
      <c r="LU71" s="77"/>
      <c r="LV71" s="77"/>
      <c r="LW71" s="77"/>
      <c r="LX71" s="77"/>
      <c r="LY71" s="77"/>
      <c r="LZ71" s="77"/>
      <c r="MA71" s="77"/>
      <c r="MB71" s="77"/>
      <c r="MC71" s="77"/>
      <c r="MD71" s="77"/>
      <c r="ME71" s="77"/>
      <c r="MF71" s="77"/>
      <c r="MG71" s="77"/>
      <c r="MH71" s="77"/>
      <c r="MI71" s="77"/>
      <c r="MJ71" s="77"/>
      <c r="MK71" s="77"/>
      <c r="ML71" s="77"/>
      <c r="MM71" s="77"/>
      <c r="MN71" s="77"/>
      <c r="MO71" s="77"/>
      <c r="MP71" s="77"/>
      <c r="MQ71" s="77"/>
      <c r="MR71" s="77"/>
      <c r="MS71" s="77"/>
      <c r="MT71" s="77"/>
      <c r="MU71" s="77"/>
      <c r="MV71" s="77"/>
      <c r="MW71" s="77"/>
      <c r="MX71" s="77"/>
      <c r="MY71" s="77"/>
      <c r="MZ71" s="77"/>
      <c r="NA71" s="77"/>
      <c r="NB71" s="77"/>
      <c r="NC71" s="77"/>
      <c r="ND71" s="77"/>
      <c r="NE71" s="77"/>
      <c r="NF71" s="77"/>
      <c r="NG71" s="77"/>
      <c r="NH71" s="77"/>
      <c r="NI71" s="77"/>
      <c r="NJ71" s="77"/>
      <c r="NK71" s="77"/>
      <c r="NL71" s="77"/>
      <c r="NM71" s="77"/>
      <c r="NN71" s="77"/>
      <c r="NO71" s="77"/>
      <c r="NP71" s="77"/>
      <c r="NQ71" s="77"/>
      <c r="NR71" s="77"/>
      <c r="NS71" s="77"/>
      <c r="NT71" s="77"/>
      <c r="NU71" s="77"/>
      <c r="NV71" s="77"/>
      <c r="NW71" s="77"/>
    </row>
    <row r="72" spans="2:388" x14ac:dyDescent="0.3">
      <c r="B72" s="18" t="s">
        <v>252</v>
      </c>
      <c r="C72" s="19"/>
      <c r="D72" s="19"/>
      <c r="E72" s="136" t="str">
        <f>IF(GQ72&gt;0,"INSUFFICIENT TO PAYOFF LOAN –&gt;","")</f>
        <v/>
      </c>
      <c r="F72" s="135">
        <v>1</v>
      </c>
      <c r="G72" s="19"/>
      <c r="H72" s="63">
        <f>SUM(H69:H71)</f>
        <v>0.84972841813702604</v>
      </c>
      <c r="I72" s="19"/>
      <c r="J72" s="23">
        <f>L72/$L$8</f>
        <v>41077.405619786266</v>
      </c>
      <c r="K72" s="29">
        <f>L72/$L$7</f>
        <v>5.4297720072131268</v>
      </c>
      <c r="L72" s="23">
        <f>SUM(T72:GQ72)</f>
        <v>9447803.2925508413</v>
      </c>
      <c r="S72" s="69" t="str">
        <f>IF(ROUND(L72,0)=ROUND(SUM(T72:GQ72),0),"OK","ERROR")</f>
        <v>OK</v>
      </c>
      <c r="T72" s="50">
        <f>SUM(T69:T71)</f>
        <v>1397606.6936344241</v>
      </c>
      <c r="U72" s="50">
        <f t="shared" ref="U72:CF72" si="392">SUM(U69:U71)</f>
        <v>93700.782064172512</v>
      </c>
      <c r="V72" s="50">
        <f t="shared" si="392"/>
        <v>99589.600625957231</v>
      </c>
      <c r="W72" s="50">
        <f t="shared" si="392"/>
        <v>108778.47804218142</v>
      </c>
      <c r="X72" s="50">
        <f t="shared" si="392"/>
        <v>122612.20713368148</v>
      </c>
      <c r="Y72" s="50">
        <f t="shared" si="392"/>
        <v>142570.95425862484</v>
      </c>
      <c r="Z72" s="50">
        <f t="shared" si="392"/>
        <v>170041.39317280205</v>
      </c>
      <c r="AA72" s="50">
        <f t="shared" si="392"/>
        <v>253592.26673039806</v>
      </c>
      <c r="AB72" s="50">
        <f t="shared" si="392"/>
        <v>262667.94923307316</v>
      </c>
      <c r="AC72" s="50">
        <f t="shared" si="392"/>
        <v>275500.84054234065</v>
      </c>
      <c r="AD72" s="50">
        <f t="shared" si="392"/>
        <v>319209.649328175</v>
      </c>
      <c r="AE72" s="50">
        <f t="shared" si="392"/>
        <v>376920.49849176273</v>
      </c>
      <c r="AF72" s="50">
        <f t="shared" si="392"/>
        <v>423441.08920777583</v>
      </c>
      <c r="AG72" s="50">
        <f t="shared" si="392"/>
        <v>467644.12788490253</v>
      </c>
      <c r="AH72" s="50">
        <f t="shared" si="392"/>
        <v>497586.56846727041</v>
      </c>
      <c r="AI72" s="50">
        <f t="shared" si="392"/>
        <v>509872.43672572426</v>
      </c>
      <c r="AJ72" s="50">
        <f t="shared" si="392"/>
        <v>497602.40555511392</v>
      </c>
      <c r="AK72" s="50">
        <f t="shared" si="392"/>
        <v>473053.9897184397</v>
      </c>
      <c r="AL72" s="50">
        <f t="shared" si="392"/>
        <v>430006.57060001837</v>
      </c>
      <c r="AM72" s="50">
        <f t="shared" si="392"/>
        <v>430235.7091077849</v>
      </c>
      <c r="AN72" s="50">
        <f t="shared" si="392"/>
        <v>376712.9369472214</v>
      </c>
      <c r="AO72" s="50">
        <f t="shared" si="392"/>
        <v>319695.1242708877</v>
      </c>
      <c r="AP72" s="50">
        <f t="shared" si="392"/>
        <v>266626.1124164951</v>
      </c>
      <c r="AQ72" s="50">
        <f t="shared" si="392"/>
        <v>224743.24690653229</v>
      </c>
      <c r="AR72" s="50">
        <f t="shared" si="392"/>
        <v>175682.95211301488</v>
      </c>
      <c r="AS72" s="50">
        <f t="shared" si="392"/>
        <v>149990.99091091516</v>
      </c>
      <c r="AT72" s="50">
        <f t="shared" si="392"/>
        <v>131555.61459857426</v>
      </c>
      <c r="AU72" s="50">
        <f t="shared" si="392"/>
        <v>116178.14650030635</v>
      </c>
      <c r="AV72" s="50">
        <f t="shared" si="392"/>
        <v>53195.030023905536</v>
      </c>
      <c r="AW72" s="50">
        <f t="shared" si="392"/>
        <v>39763.463460153289</v>
      </c>
      <c r="AX72" s="50">
        <f t="shared" si="392"/>
        <v>32398.538456548653</v>
      </c>
      <c r="AY72" s="50">
        <f t="shared" si="392"/>
        <v>31926.295468400731</v>
      </c>
      <c r="AZ72" s="50">
        <f t="shared" si="392"/>
        <v>31926.295468400731</v>
      </c>
      <c r="BA72" s="50">
        <f t="shared" si="392"/>
        <v>31926.295468400731</v>
      </c>
      <c r="BB72" s="50">
        <f t="shared" si="392"/>
        <v>31926.295468400731</v>
      </c>
      <c r="BC72" s="50">
        <f t="shared" si="392"/>
        <v>31926.295468400731</v>
      </c>
      <c r="BD72" s="50">
        <f t="shared" si="392"/>
        <v>24697.724039829303</v>
      </c>
      <c r="BE72" s="50">
        <f t="shared" si="392"/>
        <v>24697.724039829303</v>
      </c>
      <c r="BF72" s="50">
        <f t="shared" si="392"/>
        <v>0</v>
      </c>
      <c r="BG72" s="50">
        <f t="shared" si="392"/>
        <v>0</v>
      </c>
      <c r="BH72" s="50">
        <f t="shared" si="392"/>
        <v>0</v>
      </c>
      <c r="BI72" s="50">
        <f t="shared" si="392"/>
        <v>0</v>
      </c>
      <c r="BJ72" s="50">
        <f t="shared" si="392"/>
        <v>0</v>
      </c>
      <c r="BK72" s="50">
        <f t="shared" si="392"/>
        <v>0</v>
      </c>
      <c r="BL72" s="50">
        <f t="shared" si="392"/>
        <v>0</v>
      </c>
      <c r="BM72" s="50">
        <f t="shared" si="392"/>
        <v>0</v>
      </c>
      <c r="BN72" s="50">
        <f t="shared" si="392"/>
        <v>0</v>
      </c>
      <c r="BO72" s="50">
        <f t="shared" si="392"/>
        <v>0</v>
      </c>
      <c r="BP72" s="50">
        <f t="shared" si="392"/>
        <v>0</v>
      </c>
      <c r="BQ72" s="50">
        <f t="shared" si="392"/>
        <v>0</v>
      </c>
      <c r="BR72" s="50">
        <f t="shared" si="392"/>
        <v>0</v>
      </c>
      <c r="BS72" s="50">
        <f t="shared" si="392"/>
        <v>0</v>
      </c>
      <c r="BT72" s="50">
        <f t="shared" si="392"/>
        <v>0</v>
      </c>
      <c r="BU72" s="50">
        <f t="shared" si="392"/>
        <v>0</v>
      </c>
      <c r="BV72" s="50">
        <f t="shared" si="392"/>
        <v>0</v>
      </c>
      <c r="BW72" s="50">
        <f t="shared" si="392"/>
        <v>0</v>
      </c>
      <c r="BX72" s="50">
        <f t="shared" si="392"/>
        <v>0</v>
      </c>
      <c r="BY72" s="50">
        <f t="shared" si="392"/>
        <v>0</v>
      </c>
      <c r="BZ72" s="50">
        <f t="shared" si="392"/>
        <v>0</v>
      </c>
      <c r="CA72" s="50">
        <f t="shared" si="392"/>
        <v>0</v>
      </c>
      <c r="CB72" s="50">
        <f t="shared" si="392"/>
        <v>0</v>
      </c>
      <c r="CC72" s="50">
        <f t="shared" si="392"/>
        <v>0</v>
      </c>
      <c r="CD72" s="50">
        <f t="shared" si="392"/>
        <v>0</v>
      </c>
      <c r="CE72" s="50">
        <f t="shared" si="392"/>
        <v>0</v>
      </c>
      <c r="CF72" s="50">
        <f t="shared" si="392"/>
        <v>0</v>
      </c>
      <c r="CG72" s="50">
        <f t="shared" ref="CG72:ER72" si="393">SUM(CG69:CG71)</f>
        <v>0</v>
      </c>
      <c r="CH72" s="50">
        <f t="shared" si="393"/>
        <v>0</v>
      </c>
      <c r="CI72" s="50">
        <f t="shared" si="393"/>
        <v>0</v>
      </c>
      <c r="CJ72" s="50">
        <f t="shared" si="393"/>
        <v>0</v>
      </c>
      <c r="CK72" s="50">
        <f t="shared" si="393"/>
        <v>0</v>
      </c>
      <c r="CL72" s="50">
        <f t="shared" si="393"/>
        <v>0</v>
      </c>
      <c r="CM72" s="50">
        <f t="shared" si="393"/>
        <v>0</v>
      </c>
      <c r="CN72" s="50">
        <f t="shared" si="393"/>
        <v>0</v>
      </c>
      <c r="CO72" s="50">
        <f t="shared" si="393"/>
        <v>0</v>
      </c>
      <c r="CP72" s="50">
        <f t="shared" si="393"/>
        <v>0</v>
      </c>
      <c r="CQ72" s="50">
        <f t="shared" si="393"/>
        <v>0</v>
      </c>
      <c r="CR72" s="50">
        <f t="shared" si="393"/>
        <v>0</v>
      </c>
      <c r="CS72" s="50">
        <f t="shared" si="393"/>
        <v>0</v>
      </c>
      <c r="CT72" s="50">
        <f t="shared" si="393"/>
        <v>0</v>
      </c>
      <c r="CU72" s="50">
        <f t="shared" si="393"/>
        <v>0</v>
      </c>
      <c r="CV72" s="50">
        <f t="shared" si="393"/>
        <v>0</v>
      </c>
      <c r="CW72" s="50">
        <f t="shared" si="393"/>
        <v>0</v>
      </c>
      <c r="CX72" s="50">
        <f t="shared" si="393"/>
        <v>0</v>
      </c>
      <c r="CY72" s="50">
        <f t="shared" si="393"/>
        <v>0</v>
      </c>
      <c r="CZ72" s="50">
        <f t="shared" si="393"/>
        <v>0</v>
      </c>
      <c r="DA72" s="50">
        <f t="shared" si="393"/>
        <v>0</v>
      </c>
      <c r="DB72" s="50">
        <f t="shared" si="393"/>
        <v>0</v>
      </c>
      <c r="DC72" s="50">
        <f t="shared" si="393"/>
        <v>0</v>
      </c>
      <c r="DD72" s="50">
        <f t="shared" si="393"/>
        <v>0</v>
      </c>
      <c r="DE72" s="50">
        <f t="shared" si="393"/>
        <v>0</v>
      </c>
      <c r="DF72" s="50">
        <f t="shared" si="393"/>
        <v>0</v>
      </c>
      <c r="DG72" s="50">
        <f t="shared" si="393"/>
        <v>0</v>
      </c>
      <c r="DH72" s="50">
        <f t="shared" si="393"/>
        <v>0</v>
      </c>
      <c r="DI72" s="50">
        <f t="shared" si="393"/>
        <v>0</v>
      </c>
      <c r="DJ72" s="50">
        <f t="shared" si="393"/>
        <v>0</v>
      </c>
      <c r="DK72" s="50">
        <f t="shared" si="393"/>
        <v>0</v>
      </c>
      <c r="DL72" s="50">
        <f t="shared" si="393"/>
        <v>0</v>
      </c>
      <c r="DM72" s="50">
        <f t="shared" si="393"/>
        <v>0</v>
      </c>
      <c r="DN72" s="50">
        <f t="shared" si="393"/>
        <v>0</v>
      </c>
      <c r="DO72" s="50">
        <f t="shared" si="393"/>
        <v>0</v>
      </c>
      <c r="DP72" s="50">
        <f t="shared" si="393"/>
        <v>0</v>
      </c>
      <c r="DQ72" s="50">
        <f t="shared" si="393"/>
        <v>0</v>
      </c>
      <c r="DR72" s="50">
        <f t="shared" si="393"/>
        <v>0</v>
      </c>
      <c r="DS72" s="50">
        <f t="shared" si="393"/>
        <v>0</v>
      </c>
      <c r="DT72" s="50">
        <f t="shared" si="393"/>
        <v>0</v>
      </c>
      <c r="DU72" s="50">
        <f t="shared" si="393"/>
        <v>0</v>
      </c>
      <c r="DV72" s="50">
        <f t="shared" si="393"/>
        <v>0</v>
      </c>
      <c r="DW72" s="50">
        <f t="shared" si="393"/>
        <v>0</v>
      </c>
      <c r="DX72" s="50">
        <f t="shared" si="393"/>
        <v>0</v>
      </c>
      <c r="DY72" s="50">
        <f t="shared" si="393"/>
        <v>0</v>
      </c>
      <c r="DZ72" s="50">
        <f t="shared" si="393"/>
        <v>0</v>
      </c>
      <c r="EA72" s="50">
        <f t="shared" si="393"/>
        <v>0</v>
      </c>
      <c r="EB72" s="50">
        <f t="shared" si="393"/>
        <v>0</v>
      </c>
      <c r="EC72" s="50">
        <f t="shared" si="393"/>
        <v>0</v>
      </c>
      <c r="ED72" s="50">
        <f t="shared" si="393"/>
        <v>0</v>
      </c>
      <c r="EE72" s="50">
        <f t="shared" si="393"/>
        <v>0</v>
      </c>
      <c r="EF72" s="50">
        <f t="shared" si="393"/>
        <v>0</v>
      </c>
      <c r="EG72" s="50">
        <f t="shared" si="393"/>
        <v>0</v>
      </c>
      <c r="EH72" s="50">
        <f t="shared" si="393"/>
        <v>0</v>
      </c>
      <c r="EI72" s="50">
        <f t="shared" si="393"/>
        <v>0</v>
      </c>
      <c r="EJ72" s="50">
        <f t="shared" si="393"/>
        <v>0</v>
      </c>
      <c r="EK72" s="50">
        <f t="shared" si="393"/>
        <v>0</v>
      </c>
      <c r="EL72" s="50">
        <f t="shared" si="393"/>
        <v>0</v>
      </c>
      <c r="EM72" s="50">
        <f t="shared" si="393"/>
        <v>0</v>
      </c>
      <c r="EN72" s="50">
        <f t="shared" si="393"/>
        <v>0</v>
      </c>
      <c r="EO72" s="50">
        <f t="shared" si="393"/>
        <v>0</v>
      </c>
      <c r="EP72" s="50">
        <f t="shared" si="393"/>
        <v>0</v>
      </c>
      <c r="EQ72" s="50">
        <f t="shared" si="393"/>
        <v>0</v>
      </c>
      <c r="ER72" s="50">
        <f t="shared" si="393"/>
        <v>0</v>
      </c>
      <c r="ES72" s="50">
        <f t="shared" ref="ES72:GQ72" si="394">SUM(ES69:ES71)</f>
        <v>0</v>
      </c>
      <c r="ET72" s="50">
        <f t="shared" si="394"/>
        <v>0</v>
      </c>
      <c r="EU72" s="50">
        <f t="shared" si="394"/>
        <v>0</v>
      </c>
      <c r="EV72" s="50">
        <f t="shared" si="394"/>
        <v>0</v>
      </c>
      <c r="EW72" s="50">
        <f t="shared" si="394"/>
        <v>0</v>
      </c>
      <c r="EX72" s="50">
        <f t="shared" si="394"/>
        <v>0</v>
      </c>
      <c r="EY72" s="50">
        <f t="shared" si="394"/>
        <v>0</v>
      </c>
      <c r="EZ72" s="50">
        <f t="shared" si="394"/>
        <v>0</v>
      </c>
      <c r="FA72" s="50">
        <f t="shared" si="394"/>
        <v>0</v>
      </c>
      <c r="FB72" s="50">
        <f t="shared" si="394"/>
        <v>0</v>
      </c>
      <c r="FC72" s="50">
        <f t="shared" si="394"/>
        <v>0</v>
      </c>
      <c r="FD72" s="50">
        <f t="shared" si="394"/>
        <v>0</v>
      </c>
      <c r="FE72" s="50">
        <f t="shared" si="394"/>
        <v>0</v>
      </c>
      <c r="FF72" s="50">
        <f t="shared" si="394"/>
        <v>0</v>
      </c>
      <c r="FG72" s="50">
        <f t="shared" si="394"/>
        <v>0</v>
      </c>
      <c r="FH72" s="50">
        <f t="shared" si="394"/>
        <v>0</v>
      </c>
      <c r="FI72" s="50">
        <f t="shared" si="394"/>
        <v>0</v>
      </c>
      <c r="FJ72" s="50">
        <f t="shared" si="394"/>
        <v>0</v>
      </c>
      <c r="FK72" s="50">
        <f t="shared" si="394"/>
        <v>0</v>
      </c>
      <c r="FL72" s="50">
        <f t="shared" si="394"/>
        <v>0</v>
      </c>
      <c r="FM72" s="50">
        <f t="shared" si="394"/>
        <v>0</v>
      </c>
      <c r="FN72" s="50">
        <f t="shared" si="394"/>
        <v>0</v>
      </c>
      <c r="FO72" s="50">
        <f t="shared" si="394"/>
        <v>0</v>
      </c>
      <c r="FP72" s="50">
        <f t="shared" si="394"/>
        <v>0</v>
      </c>
      <c r="FQ72" s="50">
        <f t="shared" si="394"/>
        <v>0</v>
      </c>
      <c r="FR72" s="50">
        <f t="shared" si="394"/>
        <v>0</v>
      </c>
      <c r="FS72" s="50">
        <f t="shared" si="394"/>
        <v>0</v>
      </c>
      <c r="FT72" s="50">
        <f t="shared" si="394"/>
        <v>0</v>
      </c>
      <c r="FU72" s="50">
        <f t="shared" si="394"/>
        <v>0</v>
      </c>
      <c r="FV72" s="50">
        <f t="shared" si="394"/>
        <v>0</v>
      </c>
      <c r="FW72" s="50">
        <f t="shared" si="394"/>
        <v>0</v>
      </c>
      <c r="FX72" s="50">
        <f t="shared" si="394"/>
        <v>0</v>
      </c>
      <c r="FY72" s="50">
        <f t="shared" si="394"/>
        <v>0</v>
      </c>
      <c r="FZ72" s="50">
        <f t="shared" si="394"/>
        <v>0</v>
      </c>
      <c r="GA72" s="50">
        <f t="shared" si="394"/>
        <v>0</v>
      </c>
      <c r="GB72" s="50">
        <f t="shared" si="394"/>
        <v>0</v>
      </c>
      <c r="GC72" s="50">
        <f t="shared" si="394"/>
        <v>0</v>
      </c>
      <c r="GD72" s="50">
        <f t="shared" si="394"/>
        <v>0</v>
      </c>
      <c r="GE72" s="50">
        <f t="shared" si="394"/>
        <v>0</v>
      </c>
      <c r="GF72" s="50">
        <f t="shared" si="394"/>
        <v>0</v>
      </c>
      <c r="GG72" s="50">
        <f t="shared" si="394"/>
        <v>0</v>
      </c>
      <c r="GH72" s="50">
        <f t="shared" si="394"/>
        <v>0</v>
      </c>
      <c r="GI72" s="50">
        <f t="shared" si="394"/>
        <v>0</v>
      </c>
      <c r="GJ72" s="50">
        <f t="shared" si="394"/>
        <v>0</v>
      </c>
      <c r="GK72" s="50">
        <f t="shared" si="394"/>
        <v>0</v>
      </c>
      <c r="GL72" s="50">
        <f t="shared" si="394"/>
        <v>0</v>
      </c>
      <c r="GM72" s="50">
        <f t="shared" si="394"/>
        <v>0</v>
      </c>
      <c r="GN72" s="50">
        <f t="shared" si="394"/>
        <v>0</v>
      </c>
      <c r="GO72" s="50">
        <f t="shared" si="394"/>
        <v>0</v>
      </c>
      <c r="GP72" s="50">
        <f t="shared" si="394"/>
        <v>0</v>
      </c>
      <c r="GQ72" s="50">
        <f t="shared" si="394"/>
        <v>0</v>
      </c>
      <c r="GS72" s="80" t="s">
        <v>264</v>
      </c>
      <c r="GT72" s="71"/>
      <c r="GU72" s="71"/>
      <c r="GV72" s="71"/>
      <c r="GW72" s="71"/>
      <c r="GX72" s="71"/>
      <c r="GY72" s="77">
        <f>GX53</f>
        <v>162115.18444273149</v>
      </c>
      <c r="GZ72" s="77">
        <f t="shared" ref="GZ72:IE72" si="395">GY72-GZ53</f>
        <v>162115.18444273149</v>
      </c>
      <c r="HA72" s="77">
        <f t="shared" si="395"/>
        <v>154305.02939006852</v>
      </c>
      <c r="HB72" s="77">
        <f t="shared" si="395"/>
        <v>145971.25231998813</v>
      </c>
      <c r="HC72" s="77">
        <f t="shared" si="395"/>
        <v>137080.94512876269</v>
      </c>
      <c r="HD72" s="77">
        <f t="shared" si="395"/>
        <v>127582.75820730152</v>
      </c>
      <c r="HE72" s="77">
        <f t="shared" si="395"/>
        <v>117399.38542244626</v>
      </c>
      <c r="HF72" s="77">
        <f t="shared" si="395"/>
        <v>106419.29259908691</v>
      </c>
      <c r="HG72" s="77">
        <f t="shared" si="395"/>
        <v>94488.968460938369</v>
      </c>
      <c r="HH72" s="77">
        <f t="shared" si="395"/>
        <v>81141.511067531726</v>
      </c>
      <c r="HI72" s="77">
        <f t="shared" si="395"/>
        <v>66326.203369587325</v>
      </c>
      <c r="HJ72" s="77">
        <f t="shared" si="395"/>
        <v>63070.85420978866</v>
      </c>
      <c r="HK72" s="77">
        <f t="shared" si="395"/>
        <v>58031.686421391372</v>
      </c>
      <c r="HL72" s="77">
        <f t="shared" si="395"/>
        <v>58031.686421391372</v>
      </c>
      <c r="HM72" s="77">
        <f t="shared" si="395"/>
        <v>55665.397981700859</v>
      </c>
      <c r="HN72" s="77">
        <f t="shared" si="395"/>
        <v>50685.804121477064</v>
      </c>
      <c r="HO72" s="77">
        <f t="shared" si="395"/>
        <v>42925.579437465582</v>
      </c>
      <c r="HP72" s="77">
        <f t="shared" si="395"/>
        <v>37930.148489398583</v>
      </c>
      <c r="HQ72" s="77">
        <f t="shared" si="395"/>
        <v>30153.998216170658</v>
      </c>
      <c r="HR72" s="77">
        <f t="shared" si="395"/>
        <v>23588.516823927919</v>
      </c>
      <c r="HS72" s="77">
        <f t="shared" si="395"/>
        <v>20234.138419508607</v>
      </c>
      <c r="HT72" s="77">
        <f t="shared" si="395"/>
        <v>14475.501640663439</v>
      </c>
      <c r="HU72" s="77">
        <f t="shared" si="395"/>
        <v>10465.910214172034</v>
      </c>
      <c r="HV72" s="77">
        <f t="shared" si="395"/>
        <v>8910.2896373433159</v>
      </c>
      <c r="HW72" s="77">
        <f t="shared" si="395"/>
        <v>5864.6996087753596</v>
      </c>
      <c r="HX72" s="77">
        <f t="shared" si="395"/>
        <v>5533.0234945532538</v>
      </c>
      <c r="HY72" s="77">
        <f t="shared" si="395"/>
        <v>4219.5897067584174</v>
      </c>
      <c r="HZ72" s="77">
        <f t="shared" si="395"/>
        <v>2067.9709697555254</v>
      </c>
      <c r="IA72" s="77">
        <f t="shared" si="395"/>
        <v>2067.9709697555254</v>
      </c>
      <c r="IB72" s="77">
        <f t="shared" si="395"/>
        <v>1418.7401510773429</v>
      </c>
      <c r="IC72" s="77">
        <f t="shared" si="395"/>
        <v>472.24298814792348</v>
      </c>
      <c r="ID72" s="77">
        <f t="shared" si="395"/>
        <v>4.5474735088646412E-13</v>
      </c>
      <c r="IE72" s="77">
        <f t="shared" si="395"/>
        <v>4.5474735088646412E-13</v>
      </c>
      <c r="IF72" s="77">
        <f t="shared" ref="IF72:JK72" si="396">IE72-IF53</f>
        <v>4.5474735088646412E-13</v>
      </c>
      <c r="IG72" s="77">
        <f t="shared" si="396"/>
        <v>4.5474735088646412E-13</v>
      </c>
      <c r="IH72" s="77">
        <f t="shared" si="396"/>
        <v>4.5474735088646412E-13</v>
      </c>
      <c r="II72" s="77">
        <f t="shared" si="396"/>
        <v>4.5474735088646412E-13</v>
      </c>
      <c r="IJ72" s="77">
        <f t="shared" si="396"/>
        <v>4.5474735088646412E-13</v>
      </c>
      <c r="IK72" s="77">
        <f t="shared" si="396"/>
        <v>4.5474735088646412E-13</v>
      </c>
      <c r="IL72" s="77">
        <f t="shared" si="396"/>
        <v>4.5474735088646412E-13</v>
      </c>
      <c r="IM72" s="77">
        <f t="shared" si="396"/>
        <v>4.5474735088646412E-13</v>
      </c>
      <c r="IN72" s="77">
        <f t="shared" si="396"/>
        <v>4.5474735088646412E-13</v>
      </c>
      <c r="IO72" s="77">
        <f t="shared" si="396"/>
        <v>4.5474735088646412E-13</v>
      </c>
      <c r="IP72" s="77">
        <f t="shared" si="396"/>
        <v>4.5474735088646412E-13</v>
      </c>
      <c r="IQ72" s="77">
        <f t="shared" si="396"/>
        <v>4.5474735088646412E-13</v>
      </c>
      <c r="IR72" s="77">
        <f t="shared" si="396"/>
        <v>4.5474735088646412E-13</v>
      </c>
      <c r="IS72" s="77">
        <f t="shared" si="396"/>
        <v>4.5474735088646412E-13</v>
      </c>
      <c r="IT72" s="77">
        <f t="shared" si="396"/>
        <v>4.5474735088646412E-13</v>
      </c>
      <c r="IU72" s="77">
        <f t="shared" si="396"/>
        <v>4.5474735088646412E-13</v>
      </c>
      <c r="IV72" s="77">
        <f t="shared" si="396"/>
        <v>4.5474735088646412E-13</v>
      </c>
      <c r="IW72" s="77">
        <f t="shared" si="396"/>
        <v>4.5474735088646412E-13</v>
      </c>
      <c r="IX72" s="77">
        <f t="shared" si="396"/>
        <v>4.5474735088646412E-13</v>
      </c>
      <c r="IY72" s="77">
        <f t="shared" si="396"/>
        <v>4.5474735088646412E-13</v>
      </c>
      <c r="IZ72" s="77">
        <f t="shared" si="396"/>
        <v>4.5474735088646412E-13</v>
      </c>
      <c r="JA72" s="77">
        <f t="shared" si="396"/>
        <v>4.5474735088646412E-13</v>
      </c>
      <c r="JB72" s="77">
        <f t="shared" si="396"/>
        <v>4.5474735088646412E-13</v>
      </c>
      <c r="JC72" s="77">
        <f t="shared" si="396"/>
        <v>4.5474735088646412E-13</v>
      </c>
      <c r="JD72" s="77">
        <f t="shared" si="396"/>
        <v>4.5474735088646412E-13</v>
      </c>
      <c r="JE72" s="77">
        <f t="shared" si="396"/>
        <v>4.5474735088646412E-13</v>
      </c>
      <c r="JF72" s="77">
        <f t="shared" si="396"/>
        <v>4.5474735088646412E-13</v>
      </c>
      <c r="JG72" s="77">
        <f t="shared" si="396"/>
        <v>4.5474735088646412E-13</v>
      </c>
      <c r="JH72" s="77">
        <f t="shared" si="396"/>
        <v>4.5474735088646412E-13</v>
      </c>
      <c r="JI72" s="77">
        <f t="shared" si="396"/>
        <v>4.5474735088646412E-13</v>
      </c>
      <c r="JJ72" s="77">
        <f t="shared" si="396"/>
        <v>4.5474735088646412E-13</v>
      </c>
      <c r="JK72" s="77">
        <f t="shared" si="396"/>
        <v>4.5474735088646412E-13</v>
      </c>
      <c r="JL72" s="77">
        <f t="shared" ref="JL72:KQ72" si="397">JK72-JL53</f>
        <v>4.5474735088646412E-13</v>
      </c>
      <c r="JM72" s="77">
        <f t="shared" si="397"/>
        <v>4.5474735088646412E-13</v>
      </c>
      <c r="JN72" s="77">
        <f t="shared" si="397"/>
        <v>4.5474735088646412E-13</v>
      </c>
      <c r="JO72" s="77">
        <f t="shared" si="397"/>
        <v>4.5474735088646412E-13</v>
      </c>
      <c r="JP72" s="77">
        <f t="shared" si="397"/>
        <v>4.5474735088646412E-13</v>
      </c>
      <c r="JQ72" s="77">
        <f t="shared" si="397"/>
        <v>4.5474735088646412E-13</v>
      </c>
      <c r="JR72" s="77">
        <f t="shared" si="397"/>
        <v>4.5474735088646412E-13</v>
      </c>
      <c r="JS72" s="77">
        <f t="shared" si="397"/>
        <v>4.5474735088646412E-13</v>
      </c>
      <c r="JT72" s="77">
        <f t="shared" si="397"/>
        <v>4.5474735088646412E-13</v>
      </c>
      <c r="JU72" s="77">
        <f t="shared" si="397"/>
        <v>4.5474735088646412E-13</v>
      </c>
      <c r="JV72" s="77">
        <f t="shared" si="397"/>
        <v>4.5474735088646412E-13</v>
      </c>
      <c r="JW72" s="77">
        <f t="shared" si="397"/>
        <v>4.5474735088646412E-13</v>
      </c>
      <c r="JX72" s="77">
        <f t="shared" si="397"/>
        <v>4.5474735088646412E-13</v>
      </c>
      <c r="JY72" s="77">
        <f t="shared" si="397"/>
        <v>4.5474735088646412E-13</v>
      </c>
      <c r="JZ72" s="77">
        <f t="shared" si="397"/>
        <v>4.5474735088646412E-13</v>
      </c>
      <c r="KA72" s="77">
        <f t="shared" si="397"/>
        <v>4.5474735088646412E-13</v>
      </c>
      <c r="KB72" s="77">
        <f t="shared" si="397"/>
        <v>4.5474735088646412E-13</v>
      </c>
      <c r="KC72" s="77">
        <f t="shared" si="397"/>
        <v>4.5474735088646412E-13</v>
      </c>
      <c r="KD72" s="77">
        <f t="shared" si="397"/>
        <v>4.5474735088646412E-13</v>
      </c>
      <c r="KE72" s="77">
        <f t="shared" si="397"/>
        <v>4.5474735088646412E-13</v>
      </c>
      <c r="KF72" s="77">
        <f t="shared" si="397"/>
        <v>4.5474735088646412E-13</v>
      </c>
      <c r="KG72" s="77">
        <f t="shared" si="397"/>
        <v>4.5474735088646412E-13</v>
      </c>
      <c r="KH72" s="77">
        <f t="shared" si="397"/>
        <v>4.5474735088646412E-13</v>
      </c>
      <c r="KI72" s="77">
        <f t="shared" si="397"/>
        <v>4.5474735088646412E-13</v>
      </c>
      <c r="KJ72" s="77">
        <f t="shared" si="397"/>
        <v>4.5474735088646412E-13</v>
      </c>
      <c r="KK72" s="77">
        <f t="shared" si="397"/>
        <v>4.5474735088646412E-13</v>
      </c>
      <c r="KL72" s="77">
        <f t="shared" si="397"/>
        <v>4.5474735088646412E-13</v>
      </c>
      <c r="KM72" s="77">
        <f t="shared" si="397"/>
        <v>4.5474735088646412E-13</v>
      </c>
      <c r="KN72" s="77">
        <f t="shared" si="397"/>
        <v>4.5474735088646412E-13</v>
      </c>
      <c r="KO72" s="77">
        <f t="shared" si="397"/>
        <v>4.5474735088646412E-13</v>
      </c>
      <c r="KP72" s="77">
        <f t="shared" si="397"/>
        <v>4.5474735088646412E-13</v>
      </c>
      <c r="KQ72" s="77">
        <f t="shared" si="397"/>
        <v>4.5474735088646412E-13</v>
      </c>
      <c r="KR72" s="77">
        <f t="shared" ref="KR72:LW72" si="398">KQ72-KR53</f>
        <v>4.5474735088646412E-13</v>
      </c>
      <c r="KS72" s="77">
        <f t="shared" si="398"/>
        <v>4.5474735088646412E-13</v>
      </c>
      <c r="KT72" s="77">
        <f t="shared" si="398"/>
        <v>4.5474735088646412E-13</v>
      </c>
      <c r="KU72" s="77">
        <f t="shared" si="398"/>
        <v>4.5474735088646412E-13</v>
      </c>
      <c r="KV72" s="77">
        <f t="shared" si="398"/>
        <v>4.5474735088646412E-13</v>
      </c>
      <c r="KW72" s="77">
        <f t="shared" si="398"/>
        <v>4.5474735088646412E-13</v>
      </c>
      <c r="KX72" s="77">
        <f t="shared" si="398"/>
        <v>4.5474735088646412E-13</v>
      </c>
      <c r="KY72" s="77">
        <f t="shared" si="398"/>
        <v>4.5474735088646412E-13</v>
      </c>
      <c r="KZ72" s="77">
        <f t="shared" si="398"/>
        <v>4.5474735088646412E-13</v>
      </c>
      <c r="LA72" s="77">
        <f t="shared" si="398"/>
        <v>4.5474735088646412E-13</v>
      </c>
      <c r="LB72" s="77">
        <f t="shared" si="398"/>
        <v>4.5474735088646412E-13</v>
      </c>
      <c r="LC72" s="77">
        <f t="shared" si="398"/>
        <v>4.5474735088646412E-13</v>
      </c>
      <c r="LD72" s="77">
        <f t="shared" si="398"/>
        <v>4.5474735088646412E-13</v>
      </c>
      <c r="LE72" s="77">
        <f t="shared" si="398"/>
        <v>4.5474735088646412E-13</v>
      </c>
      <c r="LF72" s="77">
        <f t="shared" si="398"/>
        <v>4.5474735088646412E-13</v>
      </c>
      <c r="LG72" s="77">
        <f t="shared" si="398"/>
        <v>4.5474735088646412E-13</v>
      </c>
      <c r="LH72" s="77">
        <f t="shared" si="398"/>
        <v>4.5474735088646412E-13</v>
      </c>
      <c r="LI72" s="77">
        <f t="shared" si="398"/>
        <v>4.5474735088646412E-13</v>
      </c>
      <c r="LJ72" s="77">
        <f t="shared" si="398"/>
        <v>4.5474735088646412E-13</v>
      </c>
      <c r="LK72" s="77">
        <f t="shared" si="398"/>
        <v>4.5474735088646412E-13</v>
      </c>
      <c r="LL72" s="77">
        <f t="shared" si="398"/>
        <v>4.5474735088646412E-13</v>
      </c>
      <c r="LM72" s="77">
        <f t="shared" si="398"/>
        <v>4.5474735088646412E-13</v>
      </c>
      <c r="LN72" s="77">
        <f t="shared" si="398"/>
        <v>4.5474735088646412E-13</v>
      </c>
      <c r="LO72" s="77">
        <f t="shared" si="398"/>
        <v>4.5474735088646412E-13</v>
      </c>
      <c r="LP72" s="77">
        <f t="shared" si="398"/>
        <v>4.5474735088646412E-13</v>
      </c>
      <c r="LQ72" s="77">
        <f t="shared" si="398"/>
        <v>4.5474735088646412E-13</v>
      </c>
      <c r="LR72" s="77">
        <f t="shared" si="398"/>
        <v>4.5474735088646412E-13</v>
      </c>
      <c r="LS72" s="77">
        <f t="shared" si="398"/>
        <v>4.5474735088646412E-13</v>
      </c>
      <c r="LT72" s="77">
        <f t="shared" si="398"/>
        <v>4.5474735088646412E-13</v>
      </c>
      <c r="LU72" s="77">
        <f t="shared" si="398"/>
        <v>4.5474735088646412E-13</v>
      </c>
      <c r="LV72" s="77">
        <f t="shared" si="398"/>
        <v>4.5474735088646412E-13</v>
      </c>
      <c r="LW72" s="77">
        <f t="shared" si="398"/>
        <v>4.5474735088646412E-13</v>
      </c>
      <c r="LX72" s="77">
        <f t="shared" ref="LX72:NC72" si="399">LW72-LX53</f>
        <v>4.5474735088646412E-13</v>
      </c>
      <c r="LY72" s="77">
        <f t="shared" si="399"/>
        <v>4.5474735088646412E-13</v>
      </c>
      <c r="LZ72" s="77">
        <f t="shared" si="399"/>
        <v>4.5474735088646412E-13</v>
      </c>
      <c r="MA72" s="77">
        <f t="shared" si="399"/>
        <v>4.5474735088646412E-13</v>
      </c>
      <c r="MB72" s="77">
        <f t="shared" si="399"/>
        <v>4.5474735088646412E-13</v>
      </c>
      <c r="MC72" s="77">
        <f t="shared" si="399"/>
        <v>4.5474735088646412E-13</v>
      </c>
      <c r="MD72" s="77">
        <f t="shared" si="399"/>
        <v>4.5474735088646412E-13</v>
      </c>
      <c r="ME72" s="77">
        <f t="shared" si="399"/>
        <v>4.5474735088646412E-13</v>
      </c>
      <c r="MF72" s="77">
        <f t="shared" si="399"/>
        <v>4.5474735088646412E-13</v>
      </c>
      <c r="MG72" s="77">
        <f t="shared" si="399"/>
        <v>4.5474735088646412E-13</v>
      </c>
      <c r="MH72" s="77">
        <f t="shared" si="399"/>
        <v>4.5474735088646412E-13</v>
      </c>
      <c r="MI72" s="77">
        <f t="shared" si="399"/>
        <v>4.5474735088646412E-13</v>
      </c>
      <c r="MJ72" s="77">
        <f t="shared" si="399"/>
        <v>4.5474735088646412E-13</v>
      </c>
      <c r="MK72" s="77">
        <f t="shared" si="399"/>
        <v>4.5474735088646412E-13</v>
      </c>
      <c r="ML72" s="77">
        <f t="shared" si="399"/>
        <v>4.5474735088646412E-13</v>
      </c>
      <c r="MM72" s="77">
        <f t="shared" si="399"/>
        <v>4.5474735088646412E-13</v>
      </c>
      <c r="MN72" s="77">
        <f t="shared" si="399"/>
        <v>4.5474735088646412E-13</v>
      </c>
      <c r="MO72" s="77">
        <f t="shared" si="399"/>
        <v>4.5474735088646412E-13</v>
      </c>
      <c r="MP72" s="77">
        <f t="shared" si="399"/>
        <v>4.5474735088646412E-13</v>
      </c>
      <c r="MQ72" s="77">
        <f t="shared" si="399"/>
        <v>4.5474735088646412E-13</v>
      </c>
      <c r="MR72" s="77">
        <f t="shared" si="399"/>
        <v>4.5474735088646412E-13</v>
      </c>
      <c r="MS72" s="77">
        <f t="shared" si="399"/>
        <v>4.5474735088646412E-13</v>
      </c>
      <c r="MT72" s="77">
        <f t="shared" si="399"/>
        <v>4.5474735088646412E-13</v>
      </c>
      <c r="MU72" s="77">
        <f t="shared" si="399"/>
        <v>4.5474735088646412E-13</v>
      </c>
      <c r="MV72" s="77">
        <f t="shared" si="399"/>
        <v>4.5474735088646412E-13</v>
      </c>
      <c r="MW72" s="77">
        <f t="shared" si="399"/>
        <v>4.5474735088646412E-13</v>
      </c>
      <c r="MX72" s="77">
        <f t="shared" si="399"/>
        <v>4.5474735088646412E-13</v>
      </c>
      <c r="MY72" s="77">
        <f t="shared" si="399"/>
        <v>4.5474735088646412E-13</v>
      </c>
      <c r="MZ72" s="77">
        <f t="shared" si="399"/>
        <v>4.5474735088646412E-13</v>
      </c>
      <c r="NA72" s="77">
        <f t="shared" si="399"/>
        <v>4.5474735088646412E-13</v>
      </c>
      <c r="NB72" s="77">
        <f t="shared" si="399"/>
        <v>4.5474735088646412E-13</v>
      </c>
      <c r="NC72" s="77">
        <f t="shared" si="399"/>
        <v>4.5474735088646412E-13</v>
      </c>
      <c r="ND72" s="77">
        <f t="shared" ref="ND72:NW72" si="400">NC72-ND53</f>
        <v>4.5474735088646412E-13</v>
      </c>
      <c r="NE72" s="77">
        <f t="shared" si="400"/>
        <v>4.5474735088646412E-13</v>
      </c>
      <c r="NF72" s="77">
        <f t="shared" si="400"/>
        <v>4.5474735088646412E-13</v>
      </c>
      <c r="NG72" s="77">
        <f t="shared" si="400"/>
        <v>4.5474735088646412E-13</v>
      </c>
      <c r="NH72" s="77">
        <f t="shared" si="400"/>
        <v>4.5474735088646412E-13</v>
      </c>
      <c r="NI72" s="77">
        <f t="shared" si="400"/>
        <v>4.5474735088646412E-13</v>
      </c>
      <c r="NJ72" s="77">
        <f t="shared" si="400"/>
        <v>4.5474735088646412E-13</v>
      </c>
      <c r="NK72" s="77">
        <f t="shared" si="400"/>
        <v>4.5474735088646412E-13</v>
      </c>
      <c r="NL72" s="77">
        <f t="shared" si="400"/>
        <v>4.5474735088646412E-13</v>
      </c>
      <c r="NM72" s="77">
        <f t="shared" si="400"/>
        <v>4.5474735088646412E-13</v>
      </c>
      <c r="NN72" s="77">
        <f t="shared" si="400"/>
        <v>4.5474735088646412E-13</v>
      </c>
      <c r="NO72" s="77">
        <f t="shared" si="400"/>
        <v>4.5474735088646412E-13</v>
      </c>
      <c r="NP72" s="77">
        <f t="shared" si="400"/>
        <v>4.5474735088646412E-13</v>
      </c>
      <c r="NQ72" s="77">
        <f t="shared" si="400"/>
        <v>4.5474735088646412E-13</v>
      </c>
      <c r="NR72" s="77">
        <f t="shared" si="400"/>
        <v>4.5474735088646412E-13</v>
      </c>
      <c r="NS72" s="77">
        <f t="shared" si="400"/>
        <v>4.5474735088646412E-13</v>
      </c>
      <c r="NT72" s="77">
        <f t="shared" si="400"/>
        <v>4.5474735088646412E-13</v>
      </c>
      <c r="NU72" s="77">
        <f t="shared" si="400"/>
        <v>4.5474735088646412E-13</v>
      </c>
      <c r="NV72" s="77">
        <f t="shared" si="400"/>
        <v>4.5474735088646412E-13</v>
      </c>
      <c r="NW72" s="77">
        <f t="shared" si="400"/>
        <v>4.5474735088646412E-13</v>
      </c>
      <c r="NX72" s="10"/>
    </row>
    <row r="73" spans="2:388" x14ac:dyDescent="0.3">
      <c r="B73" s="18"/>
      <c r="C73" s="19"/>
      <c r="D73" s="19"/>
      <c r="E73" s="19"/>
      <c r="F73" s="19"/>
      <c r="G73" s="19"/>
      <c r="H73" s="19"/>
      <c r="I73" s="19"/>
      <c r="J73" s="23"/>
      <c r="K73" s="29"/>
      <c r="L73" s="23"/>
      <c r="GS73" s="80" t="s">
        <v>265</v>
      </c>
      <c r="GT73" s="71"/>
      <c r="GU73" s="71"/>
      <c r="GV73" s="71"/>
      <c r="GW73" s="71"/>
      <c r="GX73" s="71"/>
      <c r="GY73" s="77"/>
      <c r="GZ73" s="77">
        <f>GZ53</f>
        <v>0</v>
      </c>
      <c r="HA73" s="77">
        <f t="shared" ref="HA73:JL73" si="401">HA53</f>
        <v>7810.155052662959</v>
      </c>
      <c r="HB73" s="77">
        <f t="shared" si="401"/>
        <v>8333.777070080394</v>
      </c>
      <c r="HC73" s="77">
        <f t="shared" si="401"/>
        <v>8890.3071912254472</v>
      </c>
      <c r="HD73" s="77">
        <f t="shared" si="401"/>
        <v>9498.186921461167</v>
      </c>
      <c r="HE73" s="77">
        <f t="shared" si="401"/>
        <v>10183.37278485527</v>
      </c>
      <c r="HF73" s="77">
        <f t="shared" si="401"/>
        <v>10980.092823359349</v>
      </c>
      <c r="HG73" s="77">
        <f t="shared" si="401"/>
        <v>11930.324138148539</v>
      </c>
      <c r="HH73" s="77">
        <f t="shared" si="401"/>
        <v>13347.457393406645</v>
      </c>
      <c r="HI73" s="77">
        <f t="shared" si="401"/>
        <v>14815.307697944405</v>
      </c>
      <c r="HJ73" s="77">
        <f t="shared" si="401"/>
        <v>3255.3491597986622</v>
      </c>
      <c r="HK73" s="77">
        <f t="shared" si="401"/>
        <v>5039.1677883972879</v>
      </c>
      <c r="HL73" s="77">
        <f t="shared" si="401"/>
        <v>0</v>
      </c>
      <c r="HM73" s="77">
        <f t="shared" si="401"/>
        <v>2366.288439690512</v>
      </c>
      <c r="HN73" s="77">
        <f t="shared" si="401"/>
        <v>4979.5938602237911</v>
      </c>
      <c r="HO73" s="77">
        <f t="shared" si="401"/>
        <v>7760.2246840114785</v>
      </c>
      <c r="HP73" s="77">
        <f t="shared" si="401"/>
        <v>4995.4309480669972</v>
      </c>
      <c r="HQ73" s="77">
        <f t="shared" si="401"/>
        <v>7776.1502732279278</v>
      </c>
      <c r="HR73" s="77">
        <f t="shared" si="401"/>
        <v>6565.4813922427375</v>
      </c>
      <c r="HS73" s="77">
        <f t="shared" si="401"/>
        <v>3354.3784044193108</v>
      </c>
      <c r="HT73" s="77">
        <f t="shared" si="401"/>
        <v>5758.636778845168</v>
      </c>
      <c r="HU73" s="77">
        <f t="shared" si="401"/>
        <v>4009.5914264914049</v>
      </c>
      <c r="HV73" s="77">
        <f t="shared" si="401"/>
        <v>1555.6205768287184</v>
      </c>
      <c r="HW73" s="77">
        <f t="shared" si="401"/>
        <v>3045.5900285679559</v>
      </c>
      <c r="HX73" s="77">
        <f t="shared" si="401"/>
        <v>331.67611422210621</v>
      </c>
      <c r="HY73" s="77">
        <f t="shared" si="401"/>
        <v>1313.4337877948365</v>
      </c>
      <c r="HZ73" s="77">
        <f t="shared" si="401"/>
        <v>2151.618737002892</v>
      </c>
      <c r="IA73" s="77">
        <f t="shared" si="401"/>
        <v>0</v>
      </c>
      <c r="IB73" s="77">
        <f t="shared" si="401"/>
        <v>649.23081867818257</v>
      </c>
      <c r="IC73" s="77">
        <f t="shared" si="401"/>
        <v>946.49716292941946</v>
      </c>
      <c r="ID73" s="77">
        <f t="shared" si="401"/>
        <v>472.24298814792303</v>
      </c>
      <c r="IE73" s="77">
        <f t="shared" si="401"/>
        <v>0</v>
      </c>
      <c r="IF73" s="77">
        <f t="shared" si="401"/>
        <v>0</v>
      </c>
      <c r="IG73" s="77">
        <f t="shared" si="401"/>
        <v>0</v>
      </c>
      <c r="IH73" s="77">
        <f t="shared" si="401"/>
        <v>0</v>
      </c>
      <c r="II73" s="77">
        <f t="shared" si="401"/>
        <v>0</v>
      </c>
      <c r="IJ73" s="77">
        <f t="shared" si="401"/>
        <v>0</v>
      </c>
      <c r="IK73" s="77">
        <f t="shared" si="401"/>
        <v>0</v>
      </c>
      <c r="IL73" s="77">
        <f t="shared" si="401"/>
        <v>0</v>
      </c>
      <c r="IM73" s="77">
        <f t="shared" si="401"/>
        <v>0</v>
      </c>
      <c r="IN73" s="77">
        <f t="shared" si="401"/>
        <v>0</v>
      </c>
      <c r="IO73" s="77">
        <f t="shared" si="401"/>
        <v>0</v>
      </c>
      <c r="IP73" s="77">
        <f t="shared" si="401"/>
        <v>0</v>
      </c>
      <c r="IQ73" s="77">
        <f t="shared" si="401"/>
        <v>0</v>
      </c>
      <c r="IR73" s="77">
        <f t="shared" si="401"/>
        <v>0</v>
      </c>
      <c r="IS73" s="77">
        <f t="shared" si="401"/>
        <v>0</v>
      </c>
      <c r="IT73" s="77">
        <f t="shared" si="401"/>
        <v>0</v>
      </c>
      <c r="IU73" s="77">
        <f t="shared" si="401"/>
        <v>0</v>
      </c>
      <c r="IV73" s="77">
        <f t="shared" si="401"/>
        <v>0</v>
      </c>
      <c r="IW73" s="77">
        <f t="shared" si="401"/>
        <v>0</v>
      </c>
      <c r="IX73" s="77">
        <f t="shared" si="401"/>
        <v>0</v>
      </c>
      <c r="IY73" s="77">
        <f t="shared" si="401"/>
        <v>0</v>
      </c>
      <c r="IZ73" s="77">
        <f t="shared" si="401"/>
        <v>0</v>
      </c>
      <c r="JA73" s="77">
        <f t="shared" si="401"/>
        <v>0</v>
      </c>
      <c r="JB73" s="77">
        <f t="shared" si="401"/>
        <v>0</v>
      </c>
      <c r="JC73" s="77">
        <f t="shared" si="401"/>
        <v>0</v>
      </c>
      <c r="JD73" s="77">
        <f t="shared" si="401"/>
        <v>0</v>
      </c>
      <c r="JE73" s="77">
        <f t="shared" si="401"/>
        <v>0</v>
      </c>
      <c r="JF73" s="77">
        <f t="shared" si="401"/>
        <v>0</v>
      </c>
      <c r="JG73" s="77">
        <f t="shared" si="401"/>
        <v>0</v>
      </c>
      <c r="JH73" s="77">
        <f t="shared" si="401"/>
        <v>0</v>
      </c>
      <c r="JI73" s="77">
        <f t="shared" si="401"/>
        <v>0</v>
      </c>
      <c r="JJ73" s="77">
        <f t="shared" si="401"/>
        <v>0</v>
      </c>
      <c r="JK73" s="77">
        <f t="shared" si="401"/>
        <v>0</v>
      </c>
      <c r="JL73" s="77">
        <f t="shared" si="401"/>
        <v>0</v>
      </c>
      <c r="JM73" s="77">
        <f t="shared" ref="JM73:LX73" si="402">JM53</f>
        <v>0</v>
      </c>
      <c r="JN73" s="77">
        <f t="shared" si="402"/>
        <v>0</v>
      </c>
      <c r="JO73" s="77">
        <f t="shared" si="402"/>
        <v>0</v>
      </c>
      <c r="JP73" s="77">
        <f t="shared" si="402"/>
        <v>0</v>
      </c>
      <c r="JQ73" s="77">
        <f t="shared" si="402"/>
        <v>0</v>
      </c>
      <c r="JR73" s="77">
        <f t="shared" si="402"/>
        <v>0</v>
      </c>
      <c r="JS73" s="77">
        <f t="shared" si="402"/>
        <v>0</v>
      </c>
      <c r="JT73" s="77">
        <f t="shared" si="402"/>
        <v>0</v>
      </c>
      <c r="JU73" s="77">
        <f t="shared" si="402"/>
        <v>0</v>
      </c>
      <c r="JV73" s="77">
        <f t="shared" si="402"/>
        <v>0</v>
      </c>
      <c r="JW73" s="77">
        <f t="shared" si="402"/>
        <v>0</v>
      </c>
      <c r="JX73" s="77">
        <f t="shared" si="402"/>
        <v>0</v>
      </c>
      <c r="JY73" s="77">
        <f t="shared" si="402"/>
        <v>0</v>
      </c>
      <c r="JZ73" s="77">
        <f t="shared" si="402"/>
        <v>0</v>
      </c>
      <c r="KA73" s="77">
        <f t="shared" si="402"/>
        <v>0</v>
      </c>
      <c r="KB73" s="77">
        <f t="shared" si="402"/>
        <v>0</v>
      </c>
      <c r="KC73" s="77">
        <f t="shared" si="402"/>
        <v>0</v>
      </c>
      <c r="KD73" s="77">
        <f t="shared" si="402"/>
        <v>0</v>
      </c>
      <c r="KE73" s="77">
        <f t="shared" si="402"/>
        <v>0</v>
      </c>
      <c r="KF73" s="77">
        <f t="shared" si="402"/>
        <v>0</v>
      </c>
      <c r="KG73" s="77">
        <f t="shared" si="402"/>
        <v>0</v>
      </c>
      <c r="KH73" s="77">
        <f t="shared" si="402"/>
        <v>0</v>
      </c>
      <c r="KI73" s="77">
        <f t="shared" si="402"/>
        <v>0</v>
      </c>
      <c r="KJ73" s="77">
        <f t="shared" si="402"/>
        <v>0</v>
      </c>
      <c r="KK73" s="77">
        <f t="shared" si="402"/>
        <v>0</v>
      </c>
      <c r="KL73" s="77">
        <f t="shared" si="402"/>
        <v>0</v>
      </c>
      <c r="KM73" s="77">
        <f t="shared" si="402"/>
        <v>0</v>
      </c>
      <c r="KN73" s="77">
        <f t="shared" si="402"/>
        <v>0</v>
      </c>
      <c r="KO73" s="77">
        <f t="shared" si="402"/>
        <v>0</v>
      </c>
      <c r="KP73" s="77">
        <f t="shared" si="402"/>
        <v>0</v>
      </c>
      <c r="KQ73" s="77">
        <f t="shared" si="402"/>
        <v>0</v>
      </c>
      <c r="KR73" s="77">
        <f t="shared" si="402"/>
        <v>0</v>
      </c>
      <c r="KS73" s="77">
        <f t="shared" si="402"/>
        <v>0</v>
      </c>
      <c r="KT73" s="77">
        <f t="shared" si="402"/>
        <v>0</v>
      </c>
      <c r="KU73" s="77">
        <f t="shared" si="402"/>
        <v>0</v>
      </c>
      <c r="KV73" s="77">
        <f t="shared" si="402"/>
        <v>0</v>
      </c>
      <c r="KW73" s="77">
        <f t="shared" si="402"/>
        <v>0</v>
      </c>
      <c r="KX73" s="77">
        <f t="shared" si="402"/>
        <v>0</v>
      </c>
      <c r="KY73" s="77">
        <f t="shared" si="402"/>
        <v>0</v>
      </c>
      <c r="KZ73" s="77">
        <f t="shared" si="402"/>
        <v>0</v>
      </c>
      <c r="LA73" s="77">
        <f t="shared" si="402"/>
        <v>0</v>
      </c>
      <c r="LB73" s="77">
        <f t="shared" si="402"/>
        <v>0</v>
      </c>
      <c r="LC73" s="77">
        <f t="shared" si="402"/>
        <v>0</v>
      </c>
      <c r="LD73" s="77">
        <f t="shared" si="402"/>
        <v>0</v>
      </c>
      <c r="LE73" s="77">
        <f t="shared" si="402"/>
        <v>0</v>
      </c>
      <c r="LF73" s="77">
        <f t="shared" si="402"/>
        <v>0</v>
      </c>
      <c r="LG73" s="77">
        <f t="shared" si="402"/>
        <v>0</v>
      </c>
      <c r="LH73" s="77">
        <f t="shared" si="402"/>
        <v>0</v>
      </c>
      <c r="LI73" s="77">
        <f t="shared" si="402"/>
        <v>0</v>
      </c>
      <c r="LJ73" s="77">
        <f t="shared" si="402"/>
        <v>0</v>
      </c>
      <c r="LK73" s="77">
        <f t="shared" si="402"/>
        <v>0</v>
      </c>
      <c r="LL73" s="77">
        <f t="shared" si="402"/>
        <v>0</v>
      </c>
      <c r="LM73" s="77">
        <f t="shared" si="402"/>
        <v>0</v>
      </c>
      <c r="LN73" s="77">
        <f t="shared" si="402"/>
        <v>0</v>
      </c>
      <c r="LO73" s="77">
        <f t="shared" si="402"/>
        <v>0</v>
      </c>
      <c r="LP73" s="77">
        <f t="shared" si="402"/>
        <v>0</v>
      </c>
      <c r="LQ73" s="77">
        <f t="shared" si="402"/>
        <v>0</v>
      </c>
      <c r="LR73" s="77">
        <f t="shared" si="402"/>
        <v>0</v>
      </c>
      <c r="LS73" s="77">
        <f t="shared" si="402"/>
        <v>0</v>
      </c>
      <c r="LT73" s="77">
        <f t="shared" si="402"/>
        <v>0</v>
      </c>
      <c r="LU73" s="77">
        <f t="shared" si="402"/>
        <v>0</v>
      </c>
      <c r="LV73" s="77">
        <f t="shared" si="402"/>
        <v>0</v>
      </c>
      <c r="LW73" s="77">
        <f t="shared" si="402"/>
        <v>0</v>
      </c>
      <c r="LX73" s="77">
        <f t="shared" si="402"/>
        <v>0</v>
      </c>
      <c r="LY73" s="77">
        <f t="shared" ref="LY73:NW73" si="403">LY53</f>
        <v>0</v>
      </c>
      <c r="LZ73" s="77">
        <f t="shared" si="403"/>
        <v>0</v>
      </c>
      <c r="MA73" s="77">
        <f t="shared" si="403"/>
        <v>0</v>
      </c>
      <c r="MB73" s="77">
        <f t="shared" si="403"/>
        <v>0</v>
      </c>
      <c r="MC73" s="77">
        <f t="shared" si="403"/>
        <v>0</v>
      </c>
      <c r="MD73" s="77">
        <f t="shared" si="403"/>
        <v>0</v>
      </c>
      <c r="ME73" s="77">
        <f t="shared" si="403"/>
        <v>0</v>
      </c>
      <c r="MF73" s="77">
        <f t="shared" si="403"/>
        <v>0</v>
      </c>
      <c r="MG73" s="77">
        <f t="shared" si="403"/>
        <v>0</v>
      </c>
      <c r="MH73" s="77">
        <f t="shared" si="403"/>
        <v>0</v>
      </c>
      <c r="MI73" s="77">
        <f t="shared" si="403"/>
        <v>0</v>
      </c>
      <c r="MJ73" s="77">
        <f t="shared" si="403"/>
        <v>0</v>
      </c>
      <c r="MK73" s="77">
        <f t="shared" si="403"/>
        <v>0</v>
      </c>
      <c r="ML73" s="77">
        <f t="shared" si="403"/>
        <v>0</v>
      </c>
      <c r="MM73" s="77">
        <f t="shared" si="403"/>
        <v>0</v>
      </c>
      <c r="MN73" s="77">
        <f t="shared" si="403"/>
        <v>0</v>
      </c>
      <c r="MO73" s="77">
        <f t="shared" si="403"/>
        <v>0</v>
      </c>
      <c r="MP73" s="77">
        <f t="shared" si="403"/>
        <v>0</v>
      </c>
      <c r="MQ73" s="77">
        <f t="shared" si="403"/>
        <v>0</v>
      </c>
      <c r="MR73" s="77">
        <f t="shared" si="403"/>
        <v>0</v>
      </c>
      <c r="MS73" s="77">
        <f t="shared" si="403"/>
        <v>0</v>
      </c>
      <c r="MT73" s="77">
        <f t="shared" si="403"/>
        <v>0</v>
      </c>
      <c r="MU73" s="77">
        <f t="shared" si="403"/>
        <v>0</v>
      </c>
      <c r="MV73" s="77">
        <f t="shared" si="403"/>
        <v>0</v>
      </c>
      <c r="MW73" s="77">
        <f t="shared" si="403"/>
        <v>0</v>
      </c>
      <c r="MX73" s="77">
        <f t="shared" si="403"/>
        <v>0</v>
      </c>
      <c r="MY73" s="77">
        <f t="shared" si="403"/>
        <v>0</v>
      </c>
      <c r="MZ73" s="77">
        <f t="shared" si="403"/>
        <v>0</v>
      </c>
      <c r="NA73" s="77">
        <f t="shared" si="403"/>
        <v>0</v>
      </c>
      <c r="NB73" s="77">
        <f t="shared" si="403"/>
        <v>0</v>
      </c>
      <c r="NC73" s="77">
        <f t="shared" si="403"/>
        <v>0</v>
      </c>
      <c r="ND73" s="77">
        <f t="shared" si="403"/>
        <v>0</v>
      </c>
      <c r="NE73" s="77">
        <f t="shared" si="403"/>
        <v>0</v>
      </c>
      <c r="NF73" s="77">
        <f t="shared" si="403"/>
        <v>0</v>
      </c>
      <c r="NG73" s="77">
        <f t="shared" si="403"/>
        <v>0</v>
      </c>
      <c r="NH73" s="77">
        <f t="shared" si="403"/>
        <v>0</v>
      </c>
      <c r="NI73" s="77">
        <f t="shared" si="403"/>
        <v>0</v>
      </c>
      <c r="NJ73" s="77">
        <f t="shared" si="403"/>
        <v>0</v>
      </c>
      <c r="NK73" s="77">
        <f t="shared" si="403"/>
        <v>0</v>
      </c>
      <c r="NL73" s="77">
        <f t="shared" si="403"/>
        <v>0</v>
      </c>
      <c r="NM73" s="77">
        <f t="shared" si="403"/>
        <v>0</v>
      </c>
      <c r="NN73" s="77">
        <f t="shared" si="403"/>
        <v>0</v>
      </c>
      <c r="NO73" s="77">
        <f t="shared" si="403"/>
        <v>0</v>
      </c>
      <c r="NP73" s="77">
        <f t="shared" si="403"/>
        <v>0</v>
      </c>
      <c r="NQ73" s="77">
        <f t="shared" si="403"/>
        <v>0</v>
      </c>
      <c r="NR73" s="77">
        <f t="shared" si="403"/>
        <v>0</v>
      </c>
      <c r="NS73" s="77">
        <f t="shared" si="403"/>
        <v>0</v>
      </c>
      <c r="NT73" s="77">
        <f t="shared" si="403"/>
        <v>0</v>
      </c>
      <c r="NU73" s="77">
        <f t="shared" si="403"/>
        <v>0</v>
      </c>
      <c r="NV73" s="77">
        <f t="shared" si="403"/>
        <v>0</v>
      </c>
      <c r="NW73" s="77">
        <f t="shared" si="403"/>
        <v>0</v>
      </c>
      <c r="NX73" s="10"/>
    </row>
    <row r="74" spans="2:388" x14ac:dyDescent="0.3">
      <c r="B74" s="18" t="s">
        <v>149</v>
      </c>
      <c r="C74" s="19"/>
      <c r="D74" s="19"/>
      <c r="E74" s="19"/>
      <c r="F74" s="19"/>
      <c r="G74" s="19"/>
      <c r="H74" s="63">
        <f>L74/$L$59</f>
        <v>1.0000000000000004</v>
      </c>
      <c r="I74" s="19"/>
      <c r="J74" s="23">
        <f>L74/$L$8</f>
        <v>48341.805149751017</v>
      </c>
      <c r="K74" s="29">
        <f>L74/$L$7</f>
        <v>6.3900087266912262</v>
      </c>
      <c r="L74" s="23">
        <f>SUM(T74:GQ74)</f>
        <v>11118615.184442734</v>
      </c>
      <c r="S74" s="67" t="str">
        <f>IF(ISERROR(MATCH("ERROR",T75:GQ75,0)),"OK","ERROR")</f>
        <v>OK</v>
      </c>
      <c r="T74" s="50">
        <f>T72+T67</f>
        <v>3068418.585526316</v>
      </c>
      <c r="U74" s="50">
        <f t="shared" ref="U74:CF74" si="404">U72+U67</f>
        <v>93700.782064172512</v>
      </c>
      <c r="V74" s="50">
        <f t="shared" si="404"/>
        <v>99589.600625957231</v>
      </c>
      <c r="W74" s="50">
        <f t="shared" si="404"/>
        <v>108778.47804218142</v>
      </c>
      <c r="X74" s="50">
        <f t="shared" si="404"/>
        <v>122612.20713368148</v>
      </c>
      <c r="Y74" s="50">
        <f t="shared" si="404"/>
        <v>142570.95425862484</v>
      </c>
      <c r="Z74" s="50">
        <f t="shared" si="404"/>
        <v>170041.39317280205</v>
      </c>
      <c r="AA74" s="50">
        <f t="shared" si="404"/>
        <v>253592.26673039806</v>
      </c>
      <c r="AB74" s="50">
        <f t="shared" si="404"/>
        <v>262667.94923307316</v>
      </c>
      <c r="AC74" s="50">
        <f t="shared" si="404"/>
        <v>275500.84054234065</v>
      </c>
      <c r="AD74" s="50">
        <f t="shared" si="404"/>
        <v>319209.649328175</v>
      </c>
      <c r="AE74" s="50">
        <f t="shared" si="404"/>
        <v>376920.49849176273</v>
      </c>
      <c r="AF74" s="50">
        <f t="shared" si="404"/>
        <v>423441.08920777583</v>
      </c>
      <c r="AG74" s="50">
        <f t="shared" si="404"/>
        <v>467644.12788490253</v>
      </c>
      <c r="AH74" s="50">
        <f t="shared" si="404"/>
        <v>497586.56846727041</v>
      </c>
      <c r="AI74" s="50">
        <f t="shared" si="404"/>
        <v>509872.43672572426</v>
      </c>
      <c r="AJ74" s="50">
        <f t="shared" si="404"/>
        <v>497602.40555511392</v>
      </c>
      <c r="AK74" s="50">
        <f t="shared" si="404"/>
        <v>473053.9897184397</v>
      </c>
      <c r="AL74" s="50">
        <f t="shared" si="404"/>
        <v>430006.57060001837</v>
      </c>
      <c r="AM74" s="50">
        <f t="shared" si="404"/>
        <v>430235.7091077849</v>
      </c>
      <c r="AN74" s="50">
        <f t="shared" si="404"/>
        <v>376712.9369472214</v>
      </c>
      <c r="AO74" s="50">
        <f t="shared" si="404"/>
        <v>319695.1242708877</v>
      </c>
      <c r="AP74" s="50">
        <f t="shared" si="404"/>
        <v>266626.1124164951</v>
      </c>
      <c r="AQ74" s="50">
        <f t="shared" si="404"/>
        <v>224743.24690653229</v>
      </c>
      <c r="AR74" s="50">
        <f t="shared" si="404"/>
        <v>175682.95211301488</v>
      </c>
      <c r="AS74" s="50">
        <f t="shared" si="404"/>
        <v>149990.99091091516</v>
      </c>
      <c r="AT74" s="50">
        <f t="shared" si="404"/>
        <v>131555.61459857426</v>
      </c>
      <c r="AU74" s="50">
        <f t="shared" si="404"/>
        <v>116178.14650030635</v>
      </c>
      <c r="AV74" s="50">
        <f t="shared" si="404"/>
        <v>53195.030023905536</v>
      </c>
      <c r="AW74" s="50">
        <f t="shared" si="404"/>
        <v>39763.463460153289</v>
      </c>
      <c r="AX74" s="50">
        <f t="shared" si="404"/>
        <v>32398.538456548653</v>
      </c>
      <c r="AY74" s="50">
        <f t="shared" si="404"/>
        <v>31926.295468400731</v>
      </c>
      <c r="AZ74" s="50">
        <f t="shared" si="404"/>
        <v>31926.295468400731</v>
      </c>
      <c r="BA74" s="50">
        <f t="shared" si="404"/>
        <v>31926.295468400731</v>
      </c>
      <c r="BB74" s="50">
        <f t="shared" si="404"/>
        <v>31926.295468400731</v>
      </c>
      <c r="BC74" s="50">
        <f t="shared" si="404"/>
        <v>31926.295468400731</v>
      </c>
      <c r="BD74" s="50">
        <f t="shared" si="404"/>
        <v>24697.724039829303</v>
      </c>
      <c r="BE74" s="50">
        <f t="shared" si="404"/>
        <v>24697.724039829303</v>
      </c>
      <c r="BF74" s="50">
        <f t="shared" si="404"/>
        <v>0</v>
      </c>
      <c r="BG74" s="50">
        <f t="shared" si="404"/>
        <v>0</v>
      </c>
      <c r="BH74" s="50">
        <f t="shared" si="404"/>
        <v>0</v>
      </c>
      <c r="BI74" s="50">
        <f t="shared" si="404"/>
        <v>0</v>
      </c>
      <c r="BJ74" s="50">
        <f t="shared" si="404"/>
        <v>0</v>
      </c>
      <c r="BK74" s="50">
        <f t="shared" si="404"/>
        <v>0</v>
      </c>
      <c r="BL74" s="50">
        <f t="shared" si="404"/>
        <v>0</v>
      </c>
      <c r="BM74" s="50">
        <f t="shared" si="404"/>
        <v>0</v>
      </c>
      <c r="BN74" s="50">
        <f t="shared" si="404"/>
        <v>0</v>
      </c>
      <c r="BO74" s="50">
        <f t="shared" si="404"/>
        <v>0</v>
      </c>
      <c r="BP74" s="50">
        <f t="shared" si="404"/>
        <v>0</v>
      </c>
      <c r="BQ74" s="50">
        <f t="shared" si="404"/>
        <v>0</v>
      </c>
      <c r="BR74" s="50">
        <f t="shared" si="404"/>
        <v>0</v>
      </c>
      <c r="BS74" s="50">
        <f t="shared" si="404"/>
        <v>0</v>
      </c>
      <c r="BT74" s="50">
        <f t="shared" si="404"/>
        <v>0</v>
      </c>
      <c r="BU74" s="50">
        <f t="shared" si="404"/>
        <v>0</v>
      </c>
      <c r="BV74" s="50">
        <f t="shared" si="404"/>
        <v>0</v>
      </c>
      <c r="BW74" s="50">
        <f t="shared" si="404"/>
        <v>0</v>
      </c>
      <c r="BX74" s="50">
        <f t="shared" si="404"/>
        <v>0</v>
      </c>
      <c r="BY74" s="50">
        <f t="shared" si="404"/>
        <v>0</v>
      </c>
      <c r="BZ74" s="50">
        <f t="shared" si="404"/>
        <v>0</v>
      </c>
      <c r="CA74" s="50">
        <f t="shared" si="404"/>
        <v>0</v>
      </c>
      <c r="CB74" s="50">
        <f t="shared" si="404"/>
        <v>0</v>
      </c>
      <c r="CC74" s="50">
        <f t="shared" si="404"/>
        <v>0</v>
      </c>
      <c r="CD74" s="50">
        <f t="shared" si="404"/>
        <v>0</v>
      </c>
      <c r="CE74" s="50">
        <f t="shared" si="404"/>
        <v>0</v>
      </c>
      <c r="CF74" s="50">
        <f t="shared" si="404"/>
        <v>0</v>
      </c>
      <c r="CG74" s="50">
        <f t="shared" ref="CG74:ER74" si="405">CG72+CG67</f>
        <v>0</v>
      </c>
      <c r="CH74" s="50">
        <f t="shared" si="405"/>
        <v>0</v>
      </c>
      <c r="CI74" s="50">
        <f t="shared" si="405"/>
        <v>0</v>
      </c>
      <c r="CJ74" s="50">
        <f t="shared" si="405"/>
        <v>0</v>
      </c>
      <c r="CK74" s="50">
        <f t="shared" si="405"/>
        <v>0</v>
      </c>
      <c r="CL74" s="50">
        <f t="shared" si="405"/>
        <v>0</v>
      </c>
      <c r="CM74" s="50">
        <f t="shared" si="405"/>
        <v>0</v>
      </c>
      <c r="CN74" s="50">
        <f t="shared" si="405"/>
        <v>0</v>
      </c>
      <c r="CO74" s="50">
        <f t="shared" si="405"/>
        <v>0</v>
      </c>
      <c r="CP74" s="50">
        <f t="shared" si="405"/>
        <v>0</v>
      </c>
      <c r="CQ74" s="50">
        <f t="shared" si="405"/>
        <v>0</v>
      </c>
      <c r="CR74" s="50">
        <f t="shared" si="405"/>
        <v>0</v>
      </c>
      <c r="CS74" s="50">
        <f t="shared" si="405"/>
        <v>0</v>
      </c>
      <c r="CT74" s="50">
        <f t="shared" si="405"/>
        <v>0</v>
      </c>
      <c r="CU74" s="50">
        <f t="shared" si="405"/>
        <v>0</v>
      </c>
      <c r="CV74" s="50">
        <f t="shared" si="405"/>
        <v>0</v>
      </c>
      <c r="CW74" s="50">
        <f t="shared" si="405"/>
        <v>0</v>
      </c>
      <c r="CX74" s="50">
        <f t="shared" si="405"/>
        <v>0</v>
      </c>
      <c r="CY74" s="50">
        <f t="shared" si="405"/>
        <v>0</v>
      </c>
      <c r="CZ74" s="50">
        <f t="shared" si="405"/>
        <v>0</v>
      </c>
      <c r="DA74" s="50">
        <f t="shared" si="405"/>
        <v>0</v>
      </c>
      <c r="DB74" s="50">
        <f t="shared" si="405"/>
        <v>0</v>
      </c>
      <c r="DC74" s="50">
        <f t="shared" si="405"/>
        <v>0</v>
      </c>
      <c r="DD74" s="50">
        <f t="shared" si="405"/>
        <v>0</v>
      </c>
      <c r="DE74" s="50">
        <f t="shared" si="405"/>
        <v>0</v>
      </c>
      <c r="DF74" s="50">
        <f t="shared" si="405"/>
        <v>0</v>
      </c>
      <c r="DG74" s="50">
        <f t="shared" si="405"/>
        <v>0</v>
      </c>
      <c r="DH74" s="50">
        <f t="shared" si="405"/>
        <v>0</v>
      </c>
      <c r="DI74" s="50">
        <f t="shared" si="405"/>
        <v>0</v>
      </c>
      <c r="DJ74" s="50">
        <f t="shared" si="405"/>
        <v>0</v>
      </c>
      <c r="DK74" s="50">
        <f t="shared" si="405"/>
        <v>0</v>
      </c>
      <c r="DL74" s="50">
        <f t="shared" si="405"/>
        <v>0</v>
      </c>
      <c r="DM74" s="50">
        <f t="shared" si="405"/>
        <v>0</v>
      </c>
      <c r="DN74" s="50">
        <f t="shared" si="405"/>
        <v>0</v>
      </c>
      <c r="DO74" s="50">
        <f t="shared" si="405"/>
        <v>0</v>
      </c>
      <c r="DP74" s="50">
        <f t="shared" si="405"/>
        <v>0</v>
      </c>
      <c r="DQ74" s="50">
        <f t="shared" si="405"/>
        <v>0</v>
      </c>
      <c r="DR74" s="50">
        <f t="shared" si="405"/>
        <v>0</v>
      </c>
      <c r="DS74" s="50">
        <f t="shared" si="405"/>
        <v>0</v>
      </c>
      <c r="DT74" s="50">
        <f t="shared" si="405"/>
        <v>0</v>
      </c>
      <c r="DU74" s="50">
        <f t="shared" si="405"/>
        <v>0</v>
      </c>
      <c r="DV74" s="50">
        <f t="shared" si="405"/>
        <v>0</v>
      </c>
      <c r="DW74" s="50">
        <f t="shared" si="405"/>
        <v>0</v>
      </c>
      <c r="DX74" s="50">
        <f t="shared" si="405"/>
        <v>0</v>
      </c>
      <c r="DY74" s="50">
        <f t="shared" si="405"/>
        <v>0</v>
      </c>
      <c r="DZ74" s="50">
        <f t="shared" si="405"/>
        <v>0</v>
      </c>
      <c r="EA74" s="50">
        <f t="shared" si="405"/>
        <v>0</v>
      </c>
      <c r="EB74" s="50">
        <f t="shared" si="405"/>
        <v>0</v>
      </c>
      <c r="EC74" s="50">
        <f t="shared" si="405"/>
        <v>0</v>
      </c>
      <c r="ED74" s="50">
        <f t="shared" si="405"/>
        <v>0</v>
      </c>
      <c r="EE74" s="50">
        <f t="shared" si="405"/>
        <v>0</v>
      </c>
      <c r="EF74" s="50">
        <f t="shared" si="405"/>
        <v>0</v>
      </c>
      <c r="EG74" s="50">
        <f t="shared" si="405"/>
        <v>0</v>
      </c>
      <c r="EH74" s="50">
        <f t="shared" si="405"/>
        <v>0</v>
      </c>
      <c r="EI74" s="50">
        <f t="shared" si="405"/>
        <v>0</v>
      </c>
      <c r="EJ74" s="50">
        <f t="shared" si="405"/>
        <v>0</v>
      </c>
      <c r="EK74" s="50">
        <f t="shared" si="405"/>
        <v>0</v>
      </c>
      <c r="EL74" s="50">
        <f t="shared" si="405"/>
        <v>0</v>
      </c>
      <c r="EM74" s="50">
        <f t="shared" si="405"/>
        <v>0</v>
      </c>
      <c r="EN74" s="50">
        <f t="shared" si="405"/>
        <v>0</v>
      </c>
      <c r="EO74" s="50">
        <f t="shared" si="405"/>
        <v>0</v>
      </c>
      <c r="EP74" s="50">
        <f t="shared" si="405"/>
        <v>0</v>
      </c>
      <c r="EQ74" s="50">
        <f t="shared" si="405"/>
        <v>0</v>
      </c>
      <c r="ER74" s="50">
        <f t="shared" si="405"/>
        <v>0</v>
      </c>
      <c r="ES74" s="50">
        <f t="shared" ref="ES74:GQ74" si="406">ES72+ES67</f>
        <v>0</v>
      </c>
      <c r="ET74" s="50">
        <f t="shared" si="406"/>
        <v>0</v>
      </c>
      <c r="EU74" s="50">
        <f t="shared" si="406"/>
        <v>0</v>
      </c>
      <c r="EV74" s="50">
        <f t="shared" si="406"/>
        <v>0</v>
      </c>
      <c r="EW74" s="50">
        <f t="shared" si="406"/>
        <v>0</v>
      </c>
      <c r="EX74" s="50">
        <f t="shared" si="406"/>
        <v>0</v>
      </c>
      <c r="EY74" s="50">
        <f t="shared" si="406"/>
        <v>0</v>
      </c>
      <c r="EZ74" s="50">
        <f t="shared" si="406"/>
        <v>0</v>
      </c>
      <c r="FA74" s="50">
        <f t="shared" si="406"/>
        <v>0</v>
      </c>
      <c r="FB74" s="50">
        <f t="shared" si="406"/>
        <v>0</v>
      </c>
      <c r="FC74" s="50">
        <f t="shared" si="406"/>
        <v>0</v>
      </c>
      <c r="FD74" s="50">
        <f t="shared" si="406"/>
        <v>0</v>
      </c>
      <c r="FE74" s="50">
        <f t="shared" si="406"/>
        <v>0</v>
      </c>
      <c r="FF74" s="50">
        <f t="shared" si="406"/>
        <v>0</v>
      </c>
      <c r="FG74" s="50">
        <f t="shared" si="406"/>
        <v>0</v>
      </c>
      <c r="FH74" s="50">
        <f t="shared" si="406"/>
        <v>0</v>
      </c>
      <c r="FI74" s="50">
        <f t="shared" si="406"/>
        <v>0</v>
      </c>
      <c r="FJ74" s="50">
        <f t="shared" si="406"/>
        <v>0</v>
      </c>
      <c r="FK74" s="50">
        <f t="shared" si="406"/>
        <v>0</v>
      </c>
      <c r="FL74" s="50">
        <f t="shared" si="406"/>
        <v>0</v>
      </c>
      <c r="FM74" s="50">
        <f t="shared" si="406"/>
        <v>0</v>
      </c>
      <c r="FN74" s="50">
        <f t="shared" si="406"/>
        <v>0</v>
      </c>
      <c r="FO74" s="50">
        <f t="shared" si="406"/>
        <v>0</v>
      </c>
      <c r="FP74" s="50">
        <f t="shared" si="406"/>
        <v>0</v>
      </c>
      <c r="FQ74" s="50">
        <f t="shared" si="406"/>
        <v>0</v>
      </c>
      <c r="FR74" s="50">
        <f t="shared" si="406"/>
        <v>0</v>
      </c>
      <c r="FS74" s="50">
        <f t="shared" si="406"/>
        <v>0</v>
      </c>
      <c r="FT74" s="50">
        <f t="shared" si="406"/>
        <v>0</v>
      </c>
      <c r="FU74" s="50">
        <f t="shared" si="406"/>
        <v>0</v>
      </c>
      <c r="FV74" s="50">
        <f t="shared" si="406"/>
        <v>0</v>
      </c>
      <c r="FW74" s="50">
        <f t="shared" si="406"/>
        <v>0</v>
      </c>
      <c r="FX74" s="50">
        <f t="shared" si="406"/>
        <v>0</v>
      </c>
      <c r="FY74" s="50">
        <f t="shared" si="406"/>
        <v>0</v>
      </c>
      <c r="FZ74" s="50">
        <f t="shared" si="406"/>
        <v>0</v>
      </c>
      <c r="GA74" s="50">
        <f t="shared" si="406"/>
        <v>0</v>
      </c>
      <c r="GB74" s="50">
        <f t="shared" si="406"/>
        <v>0</v>
      </c>
      <c r="GC74" s="50">
        <f t="shared" si="406"/>
        <v>0</v>
      </c>
      <c r="GD74" s="50">
        <f t="shared" si="406"/>
        <v>0</v>
      </c>
      <c r="GE74" s="50">
        <f t="shared" si="406"/>
        <v>0</v>
      </c>
      <c r="GF74" s="50">
        <f t="shared" si="406"/>
        <v>0</v>
      </c>
      <c r="GG74" s="50">
        <f t="shared" si="406"/>
        <v>0</v>
      </c>
      <c r="GH74" s="50">
        <f t="shared" si="406"/>
        <v>0</v>
      </c>
      <c r="GI74" s="50">
        <f t="shared" si="406"/>
        <v>0</v>
      </c>
      <c r="GJ74" s="50">
        <f t="shared" si="406"/>
        <v>0</v>
      </c>
      <c r="GK74" s="50">
        <f t="shared" si="406"/>
        <v>0</v>
      </c>
      <c r="GL74" s="50">
        <f t="shared" si="406"/>
        <v>0</v>
      </c>
      <c r="GM74" s="50">
        <f t="shared" si="406"/>
        <v>0</v>
      </c>
      <c r="GN74" s="50">
        <f t="shared" si="406"/>
        <v>0</v>
      </c>
      <c r="GO74" s="50">
        <f t="shared" si="406"/>
        <v>0</v>
      </c>
      <c r="GP74" s="50">
        <f t="shared" si="406"/>
        <v>0</v>
      </c>
      <c r="GQ74" s="50">
        <f t="shared" si="406"/>
        <v>0</v>
      </c>
      <c r="GS74" s="80" t="s">
        <v>266</v>
      </c>
      <c r="GT74" s="71"/>
      <c r="GU74" s="71"/>
      <c r="GV74" s="71"/>
      <c r="GW74" s="71"/>
      <c r="GX74" s="71"/>
      <c r="GY74" s="77"/>
      <c r="GZ74" s="77">
        <f t="shared" ref="GZ74:IE74" si="407">MIN((GZ65-GZ68)*$F$72,GY75+GZ73)</f>
        <v>0</v>
      </c>
      <c r="HA74" s="77">
        <f t="shared" si="407"/>
        <v>0</v>
      </c>
      <c r="HB74" s="77">
        <f t="shared" si="407"/>
        <v>0</v>
      </c>
      <c r="HC74" s="77">
        <f t="shared" si="407"/>
        <v>0</v>
      </c>
      <c r="HD74" s="77">
        <f t="shared" si="407"/>
        <v>0</v>
      </c>
      <c r="HE74" s="77">
        <f t="shared" si="407"/>
        <v>0</v>
      </c>
      <c r="HF74" s="77">
        <f t="shared" si="407"/>
        <v>0</v>
      </c>
      <c r="HG74" s="77">
        <f t="shared" si="407"/>
        <v>0</v>
      </c>
      <c r="HH74" s="77">
        <f t="shared" si="407"/>
        <v>0</v>
      </c>
      <c r="HI74" s="77">
        <f t="shared" si="407"/>
        <v>0</v>
      </c>
      <c r="HJ74" s="77">
        <f t="shared" si="407"/>
        <v>0</v>
      </c>
      <c r="HK74" s="77">
        <f t="shared" si="407"/>
        <v>104083.49802134011</v>
      </c>
      <c r="HL74" s="77">
        <f t="shared" si="407"/>
        <v>0</v>
      </c>
      <c r="HM74" s="77">
        <f t="shared" si="407"/>
        <v>0</v>
      </c>
      <c r="HN74" s="77">
        <f t="shared" si="407"/>
        <v>0</v>
      </c>
      <c r="HO74" s="77">
        <f t="shared" si="407"/>
        <v>0</v>
      </c>
      <c r="HP74" s="77">
        <f t="shared" si="407"/>
        <v>0</v>
      </c>
      <c r="HQ74" s="77">
        <f t="shared" si="407"/>
        <v>0</v>
      </c>
      <c r="HR74" s="77">
        <f t="shared" si="407"/>
        <v>0</v>
      </c>
      <c r="HS74" s="77">
        <f t="shared" si="407"/>
        <v>0</v>
      </c>
      <c r="HT74" s="77">
        <f t="shared" si="407"/>
        <v>0</v>
      </c>
      <c r="HU74" s="77">
        <f t="shared" si="407"/>
        <v>0</v>
      </c>
      <c r="HV74" s="77">
        <f t="shared" si="407"/>
        <v>0</v>
      </c>
      <c r="HW74" s="77">
        <f t="shared" si="407"/>
        <v>0</v>
      </c>
      <c r="HX74" s="77">
        <f t="shared" si="407"/>
        <v>0</v>
      </c>
      <c r="HY74" s="77">
        <f t="shared" si="407"/>
        <v>0</v>
      </c>
      <c r="HZ74" s="77">
        <f t="shared" si="407"/>
        <v>55963.715451635828</v>
      </c>
      <c r="IA74" s="77">
        <f t="shared" si="407"/>
        <v>0</v>
      </c>
      <c r="IB74" s="77">
        <f t="shared" si="407"/>
        <v>0</v>
      </c>
      <c r="IC74" s="77">
        <f t="shared" si="407"/>
        <v>0</v>
      </c>
      <c r="ID74" s="77">
        <f t="shared" si="407"/>
        <v>2067.9709697555249</v>
      </c>
      <c r="IE74" s="77">
        <f t="shared" si="407"/>
        <v>0</v>
      </c>
      <c r="IF74" s="77">
        <f t="shared" ref="IF74:JK74" si="408">MIN((IF65-IF68)*$F$72,IE75+IF73)</f>
        <v>0</v>
      </c>
      <c r="IG74" s="77">
        <f t="shared" si="408"/>
        <v>0</v>
      </c>
      <c r="IH74" s="77">
        <f t="shared" si="408"/>
        <v>0</v>
      </c>
      <c r="II74" s="77">
        <f t="shared" si="408"/>
        <v>0</v>
      </c>
      <c r="IJ74" s="77">
        <f t="shared" si="408"/>
        <v>0</v>
      </c>
      <c r="IK74" s="77">
        <f t="shared" si="408"/>
        <v>0</v>
      </c>
      <c r="IL74" s="77">
        <f t="shared" si="408"/>
        <v>0</v>
      </c>
      <c r="IM74" s="77">
        <f t="shared" si="408"/>
        <v>0</v>
      </c>
      <c r="IN74" s="77">
        <f t="shared" si="408"/>
        <v>0</v>
      </c>
      <c r="IO74" s="77">
        <f t="shared" si="408"/>
        <v>0</v>
      </c>
      <c r="IP74" s="77">
        <f t="shared" si="408"/>
        <v>0</v>
      </c>
      <c r="IQ74" s="77">
        <f t="shared" si="408"/>
        <v>0</v>
      </c>
      <c r="IR74" s="77">
        <f t="shared" si="408"/>
        <v>0</v>
      </c>
      <c r="IS74" s="77">
        <f t="shared" si="408"/>
        <v>0</v>
      </c>
      <c r="IT74" s="77">
        <f t="shared" si="408"/>
        <v>0</v>
      </c>
      <c r="IU74" s="77">
        <f t="shared" si="408"/>
        <v>0</v>
      </c>
      <c r="IV74" s="77">
        <f t="shared" si="408"/>
        <v>0</v>
      </c>
      <c r="IW74" s="77">
        <f t="shared" si="408"/>
        <v>0</v>
      </c>
      <c r="IX74" s="77">
        <f t="shared" si="408"/>
        <v>0</v>
      </c>
      <c r="IY74" s="77">
        <f t="shared" si="408"/>
        <v>0</v>
      </c>
      <c r="IZ74" s="77">
        <f t="shared" si="408"/>
        <v>0</v>
      </c>
      <c r="JA74" s="77">
        <f t="shared" si="408"/>
        <v>0</v>
      </c>
      <c r="JB74" s="77">
        <f t="shared" si="408"/>
        <v>0</v>
      </c>
      <c r="JC74" s="77">
        <f t="shared" si="408"/>
        <v>0</v>
      </c>
      <c r="JD74" s="77">
        <f t="shared" si="408"/>
        <v>0</v>
      </c>
      <c r="JE74" s="77">
        <f t="shared" si="408"/>
        <v>0</v>
      </c>
      <c r="JF74" s="77">
        <f t="shared" si="408"/>
        <v>0</v>
      </c>
      <c r="JG74" s="77">
        <f t="shared" si="408"/>
        <v>0</v>
      </c>
      <c r="JH74" s="77">
        <f t="shared" si="408"/>
        <v>0</v>
      </c>
      <c r="JI74" s="77">
        <f t="shared" si="408"/>
        <v>0</v>
      </c>
      <c r="JJ74" s="77">
        <f t="shared" si="408"/>
        <v>0</v>
      </c>
      <c r="JK74" s="77">
        <f t="shared" si="408"/>
        <v>0</v>
      </c>
      <c r="JL74" s="77">
        <f t="shared" ref="JL74:KQ74" si="409">MIN((JL65-JL68)*$F$72,JK75+JL73)</f>
        <v>0</v>
      </c>
      <c r="JM74" s="77">
        <f t="shared" si="409"/>
        <v>0</v>
      </c>
      <c r="JN74" s="77">
        <f t="shared" si="409"/>
        <v>0</v>
      </c>
      <c r="JO74" s="77">
        <f t="shared" si="409"/>
        <v>0</v>
      </c>
      <c r="JP74" s="77">
        <f t="shared" si="409"/>
        <v>0</v>
      </c>
      <c r="JQ74" s="77">
        <f t="shared" si="409"/>
        <v>0</v>
      </c>
      <c r="JR74" s="77">
        <f t="shared" si="409"/>
        <v>0</v>
      </c>
      <c r="JS74" s="77">
        <f t="shared" si="409"/>
        <v>0</v>
      </c>
      <c r="JT74" s="77">
        <f t="shared" si="409"/>
        <v>0</v>
      </c>
      <c r="JU74" s="77">
        <f t="shared" si="409"/>
        <v>0</v>
      </c>
      <c r="JV74" s="77">
        <f t="shared" si="409"/>
        <v>0</v>
      </c>
      <c r="JW74" s="77">
        <f t="shared" si="409"/>
        <v>0</v>
      </c>
      <c r="JX74" s="77">
        <f t="shared" si="409"/>
        <v>0</v>
      </c>
      <c r="JY74" s="77">
        <f t="shared" si="409"/>
        <v>0</v>
      </c>
      <c r="JZ74" s="77">
        <f t="shared" si="409"/>
        <v>0</v>
      </c>
      <c r="KA74" s="77">
        <f t="shared" si="409"/>
        <v>0</v>
      </c>
      <c r="KB74" s="77">
        <f t="shared" si="409"/>
        <v>0</v>
      </c>
      <c r="KC74" s="77">
        <f t="shared" si="409"/>
        <v>0</v>
      </c>
      <c r="KD74" s="77">
        <f t="shared" si="409"/>
        <v>0</v>
      </c>
      <c r="KE74" s="77">
        <f t="shared" si="409"/>
        <v>0</v>
      </c>
      <c r="KF74" s="77">
        <f t="shared" si="409"/>
        <v>0</v>
      </c>
      <c r="KG74" s="77">
        <f t="shared" si="409"/>
        <v>0</v>
      </c>
      <c r="KH74" s="77">
        <f t="shared" si="409"/>
        <v>0</v>
      </c>
      <c r="KI74" s="77">
        <f t="shared" si="409"/>
        <v>0</v>
      </c>
      <c r="KJ74" s="77">
        <f t="shared" si="409"/>
        <v>0</v>
      </c>
      <c r="KK74" s="77">
        <f t="shared" si="409"/>
        <v>0</v>
      </c>
      <c r="KL74" s="77">
        <f t="shared" si="409"/>
        <v>0</v>
      </c>
      <c r="KM74" s="77">
        <f t="shared" si="409"/>
        <v>0</v>
      </c>
      <c r="KN74" s="77">
        <f t="shared" si="409"/>
        <v>0</v>
      </c>
      <c r="KO74" s="77">
        <f t="shared" si="409"/>
        <v>0</v>
      </c>
      <c r="KP74" s="77">
        <f t="shared" si="409"/>
        <v>0</v>
      </c>
      <c r="KQ74" s="77">
        <f t="shared" si="409"/>
        <v>0</v>
      </c>
      <c r="KR74" s="77">
        <f t="shared" ref="KR74:LW74" si="410">MIN((KR65-KR68)*$F$72,KQ75+KR73)</f>
        <v>0</v>
      </c>
      <c r="KS74" s="77">
        <f t="shared" si="410"/>
        <v>0</v>
      </c>
      <c r="KT74" s="77">
        <f t="shared" si="410"/>
        <v>0</v>
      </c>
      <c r="KU74" s="77">
        <f t="shared" si="410"/>
        <v>0</v>
      </c>
      <c r="KV74" s="77">
        <f t="shared" si="410"/>
        <v>0</v>
      </c>
      <c r="KW74" s="77">
        <f t="shared" si="410"/>
        <v>0</v>
      </c>
      <c r="KX74" s="77">
        <f t="shared" si="410"/>
        <v>0</v>
      </c>
      <c r="KY74" s="77">
        <f t="shared" si="410"/>
        <v>0</v>
      </c>
      <c r="KZ74" s="77">
        <f t="shared" si="410"/>
        <v>0</v>
      </c>
      <c r="LA74" s="77">
        <f t="shared" si="410"/>
        <v>0</v>
      </c>
      <c r="LB74" s="77">
        <f t="shared" si="410"/>
        <v>0</v>
      </c>
      <c r="LC74" s="77">
        <f t="shared" si="410"/>
        <v>0</v>
      </c>
      <c r="LD74" s="77">
        <f t="shared" si="410"/>
        <v>0</v>
      </c>
      <c r="LE74" s="77">
        <f t="shared" si="410"/>
        <v>0</v>
      </c>
      <c r="LF74" s="77">
        <f t="shared" si="410"/>
        <v>0</v>
      </c>
      <c r="LG74" s="77">
        <f t="shared" si="410"/>
        <v>0</v>
      </c>
      <c r="LH74" s="77">
        <f t="shared" si="410"/>
        <v>0</v>
      </c>
      <c r="LI74" s="77">
        <f t="shared" si="410"/>
        <v>0</v>
      </c>
      <c r="LJ74" s="77">
        <f t="shared" si="410"/>
        <v>0</v>
      </c>
      <c r="LK74" s="77">
        <f t="shared" si="410"/>
        <v>0</v>
      </c>
      <c r="LL74" s="77">
        <f t="shared" si="410"/>
        <v>0</v>
      </c>
      <c r="LM74" s="77">
        <f t="shared" si="410"/>
        <v>0</v>
      </c>
      <c r="LN74" s="77">
        <f t="shared" si="410"/>
        <v>0</v>
      </c>
      <c r="LO74" s="77">
        <f t="shared" si="410"/>
        <v>0</v>
      </c>
      <c r="LP74" s="77">
        <f t="shared" si="410"/>
        <v>0</v>
      </c>
      <c r="LQ74" s="77">
        <f t="shared" si="410"/>
        <v>0</v>
      </c>
      <c r="LR74" s="77">
        <f t="shared" si="410"/>
        <v>0</v>
      </c>
      <c r="LS74" s="77">
        <f t="shared" si="410"/>
        <v>0</v>
      </c>
      <c r="LT74" s="77">
        <f t="shared" si="410"/>
        <v>0</v>
      </c>
      <c r="LU74" s="77">
        <f t="shared" si="410"/>
        <v>0</v>
      </c>
      <c r="LV74" s="77">
        <f t="shared" si="410"/>
        <v>0</v>
      </c>
      <c r="LW74" s="77">
        <f t="shared" si="410"/>
        <v>0</v>
      </c>
      <c r="LX74" s="77">
        <f t="shared" ref="LX74:NC74" si="411">MIN((LX65-LX68)*$F$72,LW75+LX73)</f>
        <v>0</v>
      </c>
      <c r="LY74" s="77">
        <f t="shared" si="411"/>
        <v>0</v>
      </c>
      <c r="LZ74" s="77">
        <f t="shared" si="411"/>
        <v>0</v>
      </c>
      <c r="MA74" s="77">
        <f t="shared" si="411"/>
        <v>0</v>
      </c>
      <c r="MB74" s="77">
        <f t="shared" si="411"/>
        <v>0</v>
      </c>
      <c r="MC74" s="77">
        <f t="shared" si="411"/>
        <v>0</v>
      </c>
      <c r="MD74" s="77">
        <f t="shared" si="411"/>
        <v>0</v>
      </c>
      <c r="ME74" s="77">
        <f t="shared" si="411"/>
        <v>0</v>
      </c>
      <c r="MF74" s="77">
        <f t="shared" si="411"/>
        <v>0</v>
      </c>
      <c r="MG74" s="77">
        <f t="shared" si="411"/>
        <v>0</v>
      </c>
      <c r="MH74" s="77">
        <f t="shared" si="411"/>
        <v>0</v>
      </c>
      <c r="MI74" s="77">
        <f t="shared" si="411"/>
        <v>0</v>
      </c>
      <c r="MJ74" s="77">
        <f t="shared" si="411"/>
        <v>0</v>
      </c>
      <c r="MK74" s="77">
        <f t="shared" si="411"/>
        <v>0</v>
      </c>
      <c r="ML74" s="77">
        <f t="shared" si="411"/>
        <v>0</v>
      </c>
      <c r="MM74" s="77">
        <f t="shared" si="411"/>
        <v>0</v>
      </c>
      <c r="MN74" s="77">
        <f t="shared" si="411"/>
        <v>0</v>
      </c>
      <c r="MO74" s="77">
        <f t="shared" si="411"/>
        <v>0</v>
      </c>
      <c r="MP74" s="77">
        <f t="shared" si="411"/>
        <v>0</v>
      </c>
      <c r="MQ74" s="77">
        <f t="shared" si="411"/>
        <v>0</v>
      </c>
      <c r="MR74" s="77">
        <f t="shared" si="411"/>
        <v>0</v>
      </c>
      <c r="MS74" s="77">
        <f t="shared" si="411"/>
        <v>0</v>
      </c>
      <c r="MT74" s="77">
        <f t="shared" si="411"/>
        <v>0</v>
      </c>
      <c r="MU74" s="77">
        <f t="shared" si="411"/>
        <v>0</v>
      </c>
      <c r="MV74" s="77">
        <f t="shared" si="411"/>
        <v>0</v>
      </c>
      <c r="MW74" s="77">
        <f t="shared" si="411"/>
        <v>0</v>
      </c>
      <c r="MX74" s="77">
        <f t="shared" si="411"/>
        <v>0</v>
      </c>
      <c r="MY74" s="77">
        <f t="shared" si="411"/>
        <v>0</v>
      </c>
      <c r="MZ74" s="77">
        <f t="shared" si="411"/>
        <v>0</v>
      </c>
      <c r="NA74" s="77">
        <f t="shared" si="411"/>
        <v>0</v>
      </c>
      <c r="NB74" s="77">
        <f t="shared" si="411"/>
        <v>0</v>
      </c>
      <c r="NC74" s="77">
        <f t="shared" si="411"/>
        <v>0</v>
      </c>
      <c r="ND74" s="77">
        <f t="shared" ref="ND74:NW74" si="412">MIN((ND65-ND68)*$F$72,NC75+ND73)</f>
        <v>0</v>
      </c>
      <c r="NE74" s="77">
        <f t="shared" si="412"/>
        <v>0</v>
      </c>
      <c r="NF74" s="77">
        <f t="shared" si="412"/>
        <v>0</v>
      </c>
      <c r="NG74" s="77">
        <f t="shared" si="412"/>
        <v>0</v>
      </c>
      <c r="NH74" s="77">
        <f t="shared" si="412"/>
        <v>0</v>
      </c>
      <c r="NI74" s="77">
        <f t="shared" si="412"/>
        <v>0</v>
      </c>
      <c r="NJ74" s="77">
        <f t="shared" si="412"/>
        <v>0</v>
      </c>
      <c r="NK74" s="77">
        <f t="shared" si="412"/>
        <v>0</v>
      </c>
      <c r="NL74" s="77">
        <f t="shared" si="412"/>
        <v>0</v>
      </c>
      <c r="NM74" s="77">
        <f t="shared" si="412"/>
        <v>0</v>
      </c>
      <c r="NN74" s="77">
        <f t="shared" si="412"/>
        <v>0</v>
      </c>
      <c r="NO74" s="77">
        <f t="shared" si="412"/>
        <v>0</v>
      </c>
      <c r="NP74" s="77">
        <f t="shared" si="412"/>
        <v>0</v>
      </c>
      <c r="NQ74" s="77">
        <f t="shared" si="412"/>
        <v>0</v>
      </c>
      <c r="NR74" s="77">
        <f t="shared" si="412"/>
        <v>0</v>
      </c>
      <c r="NS74" s="77">
        <f t="shared" si="412"/>
        <v>0</v>
      </c>
      <c r="NT74" s="77">
        <f t="shared" si="412"/>
        <v>0</v>
      </c>
      <c r="NU74" s="77">
        <f t="shared" si="412"/>
        <v>0</v>
      </c>
      <c r="NV74" s="77">
        <f t="shared" si="412"/>
        <v>0</v>
      </c>
      <c r="NW74" s="77">
        <f t="shared" si="412"/>
        <v>0</v>
      </c>
      <c r="NX74" s="10"/>
    </row>
    <row r="75" spans="2:388" x14ac:dyDescent="0.3">
      <c r="B75" s="18"/>
      <c r="C75" s="19"/>
      <c r="D75" s="19"/>
      <c r="E75" s="19"/>
      <c r="F75" s="19"/>
      <c r="G75" s="19"/>
      <c r="H75" s="19"/>
      <c r="I75" s="19"/>
      <c r="J75" s="23"/>
      <c r="K75" s="29"/>
      <c r="L75" s="23"/>
      <c r="S75" s="10"/>
      <c r="T75" s="66" t="str">
        <f>IF(ROUND(T74,0)=ROUND(T53,0),"OK","ERROR")</f>
        <v>OK</v>
      </c>
      <c r="U75" s="66" t="str">
        <f t="shared" ref="U75:CF75" si="413">IF(ROUND(U74,0)=ROUND(U53,0),"OK","ERROR")</f>
        <v>OK</v>
      </c>
      <c r="V75" s="66" t="str">
        <f t="shared" si="413"/>
        <v>OK</v>
      </c>
      <c r="W75" s="66" t="str">
        <f t="shared" si="413"/>
        <v>OK</v>
      </c>
      <c r="X75" s="66" t="str">
        <f t="shared" si="413"/>
        <v>OK</v>
      </c>
      <c r="Y75" s="66" t="str">
        <f t="shared" si="413"/>
        <v>OK</v>
      </c>
      <c r="Z75" s="66" t="str">
        <f t="shared" si="413"/>
        <v>OK</v>
      </c>
      <c r="AA75" s="66" t="str">
        <f t="shared" si="413"/>
        <v>OK</v>
      </c>
      <c r="AB75" s="66" t="str">
        <f t="shared" si="413"/>
        <v>OK</v>
      </c>
      <c r="AC75" s="66" t="str">
        <f t="shared" si="413"/>
        <v>OK</v>
      </c>
      <c r="AD75" s="66" t="str">
        <f t="shared" si="413"/>
        <v>OK</v>
      </c>
      <c r="AE75" s="66" t="str">
        <f t="shared" si="413"/>
        <v>OK</v>
      </c>
      <c r="AF75" s="66" t="str">
        <f t="shared" si="413"/>
        <v>OK</v>
      </c>
      <c r="AG75" s="66" t="str">
        <f t="shared" si="413"/>
        <v>OK</v>
      </c>
      <c r="AH75" s="66" t="str">
        <f t="shared" si="413"/>
        <v>OK</v>
      </c>
      <c r="AI75" s="66" t="str">
        <f t="shared" si="413"/>
        <v>OK</v>
      </c>
      <c r="AJ75" s="66" t="str">
        <f t="shared" si="413"/>
        <v>OK</v>
      </c>
      <c r="AK75" s="66" t="str">
        <f t="shared" si="413"/>
        <v>OK</v>
      </c>
      <c r="AL75" s="66" t="str">
        <f t="shared" si="413"/>
        <v>OK</v>
      </c>
      <c r="AM75" s="66" t="str">
        <f t="shared" si="413"/>
        <v>OK</v>
      </c>
      <c r="AN75" s="66" t="str">
        <f t="shared" si="413"/>
        <v>OK</v>
      </c>
      <c r="AO75" s="66" t="str">
        <f t="shared" si="413"/>
        <v>OK</v>
      </c>
      <c r="AP75" s="66" t="str">
        <f t="shared" si="413"/>
        <v>OK</v>
      </c>
      <c r="AQ75" s="66" t="str">
        <f t="shared" si="413"/>
        <v>OK</v>
      </c>
      <c r="AR75" s="66" t="str">
        <f t="shared" si="413"/>
        <v>OK</v>
      </c>
      <c r="AS75" s="66" t="str">
        <f t="shared" si="413"/>
        <v>OK</v>
      </c>
      <c r="AT75" s="66" t="str">
        <f t="shared" si="413"/>
        <v>OK</v>
      </c>
      <c r="AU75" s="66" t="str">
        <f t="shared" si="413"/>
        <v>OK</v>
      </c>
      <c r="AV75" s="66" t="str">
        <f t="shared" si="413"/>
        <v>OK</v>
      </c>
      <c r="AW75" s="66" t="str">
        <f t="shared" si="413"/>
        <v>OK</v>
      </c>
      <c r="AX75" s="66" t="str">
        <f t="shared" si="413"/>
        <v>OK</v>
      </c>
      <c r="AY75" s="66" t="str">
        <f t="shared" si="413"/>
        <v>OK</v>
      </c>
      <c r="AZ75" s="66" t="str">
        <f t="shared" si="413"/>
        <v>OK</v>
      </c>
      <c r="BA75" s="66" t="str">
        <f t="shared" si="413"/>
        <v>OK</v>
      </c>
      <c r="BB75" s="66" t="str">
        <f t="shared" si="413"/>
        <v>OK</v>
      </c>
      <c r="BC75" s="66" t="str">
        <f t="shared" si="413"/>
        <v>OK</v>
      </c>
      <c r="BD75" s="66" t="str">
        <f t="shared" si="413"/>
        <v>OK</v>
      </c>
      <c r="BE75" s="66" t="str">
        <f t="shared" si="413"/>
        <v>OK</v>
      </c>
      <c r="BF75" s="66" t="str">
        <f t="shared" si="413"/>
        <v>OK</v>
      </c>
      <c r="BG75" s="66" t="str">
        <f t="shared" si="413"/>
        <v>OK</v>
      </c>
      <c r="BH75" s="66" t="str">
        <f t="shared" si="413"/>
        <v>OK</v>
      </c>
      <c r="BI75" s="66" t="str">
        <f t="shared" si="413"/>
        <v>OK</v>
      </c>
      <c r="BJ75" s="66" t="str">
        <f t="shared" si="413"/>
        <v>OK</v>
      </c>
      <c r="BK75" s="66" t="str">
        <f t="shared" si="413"/>
        <v>OK</v>
      </c>
      <c r="BL75" s="66" t="str">
        <f t="shared" si="413"/>
        <v>OK</v>
      </c>
      <c r="BM75" s="66" t="str">
        <f t="shared" si="413"/>
        <v>OK</v>
      </c>
      <c r="BN75" s="66" t="str">
        <f t="shared" si="413"/>
        <v>OK</v>
      </c>
      <c r="BO75" s="66" t="str">
        <f t="shared" si="413"/>
        <v>OK</v>
      </c>
      <c r="BP75" s="66" t="str">
        <f t="shared" si="413"/>
        <v>OK</v>
      </c>
      <c r="BQ75" s="66" t="str">
        <f t="shared" si="413"/>
        <v>OK</v>
      </c>
      <c r="BR75" s="66" t="str">
        <f t="shared" si="413"/>
        <v>OK</v>
      </c>
      <c r="BS75" s="66" t="str">
        <f t="shared" si="413"/>
        <v>OK</v>
      </c>
      <c r="BT75" s="66" t="str">
        <f t="shared" si="413"/>
        <v>OK</v>
      </c>
      <c r="BU75" s="66" t="str">
        <f t="shared" si="413"/>
        <v>OK</v>
      </c>
      <c r="BV75" s="66" t="str">
        <f t="shared" si="413"/>
        <v>OK</v>
      </c>
      <c r="BW75" s="66" t="str">
        <f t="shared" si="413"/>
        <v>OK</v>
      </c>
      <c r="BX75" s="66" t="str">
        <f t="shared" si="413"/>
        <v>OK</v>
      </c>
      <c r="BY75" s="66" t="str">
        <f t="shared" si="413"/>
        <v>OK</v>
      </c>
      <c r="BZ75" s="66" t="str">
        <f t="shared" si="413"/>
        <v>OK</v>
      </c>
      <c r="CA75" s="66" t="str">
        <f t="shared" si="413"/>
        <v>OK</v>
      </c>
      <c r="CB75" s="66" t="str">
        <f t="shared" si="413"/>
        <v>OK</v>
      </c>
      <c r="CC75" s="66" t="str">
        <f t="shared" si="413"/>
        <v>OK</v>
      </c>
      <c r="CD75" s="66" t="str">
        <f t="shared" si="413"/>
        <v>OK</v>
      </c>
      <c r="CE75" s="66" t="str">
        <f t="shared" si="413"/>
        <v>OK</v>
      </c>
      <c r="CF75" s="66" t="str">
        <f t="shared" si="413"/>
        <v>OK</v>
      </c>
      <c r="CG75" s="66" t="str">
        <f t="shared" ref="CG75:ER75" si="414">IF(ROUND(CG74,0)=ROUND(CG53,0),"OK","ERROR")</f>
        <v>OK</v>
      </c>
      <c r="CH75" s="66" t="str">
        <f t="shared" si="414"/>
        <v>OK</v>
      </c>
      <c r="CI75" s="66" t="str">
        <f t="shared" si="414"/>
        <v>OK</v>
      </c>
      <c r="CJ75" s="66" t="str">
        <f t="shared" si="414"/>
        <v>OK</v>
      </c>
      <c r="CK75" s="66" t="str">
        <f t="shared" si="414"/>
        <v>OK</v>
      </c>
      <c r="CL75" s="66" t="str">
        <f t="shared" si="414"/>
        <v>OK</v>
      </c>
      <c r="CM75" s="66" t="str">
        <f t="shared" si="414"/>
        <v>OK</v>
      </c>
      <c r="CN75" s="66" t="str">
        <f t="shared" si="414"/>
        <v>OK</v>
      </c>
      <c r="CO75" s="66" t="str">
        <f t="shared" si="414"/>
        <v>OK</v>
      </c>
      <c r="CP75" s="66" t="str">
        <f t="shared" si="414"/>
        <v>OK</v>
      </c>
      <c r="CQ75" s="66" t="str">
        <f t="shared" si="414"/>
        <v>OK</v>
      </c>
      <c r="CR75" s="66" t="str">
        <f t="shared" si="414"/>
        <v>OK</v>
      </c>
      <c r="CS75" s="66" t="str">
        <f t="shared" si="414"/>
        <v>OK</v>
      </c>
      <c r="CT75" s="66" t="str">
        <f t="shared" si="414"/>
        <v>OK</v>
      </c>
      <c r="CU75" s="66" t="str">
        <f t="shared" si="414"/>
        <v>OK</v>
      </c>
      <c r="CV75" s="66" t="str">
        <f t="shared" si="414"/>
        <v>OK</v>
      </c>
      <c r="CW75" s="66" t="str">
        <f t="shared" si="414"/>
        <v>OK</v>
      </c>
      <c r="CX75" s="66" t="str">
        <f t="shared" si="414"/>
        <v>OK</v>
      </c>
      <c r="CY75" s="66" t="str">
        <f t="shared" si="414"/>
        <v>OK</v>
      </c>
      <c r="CZ75" s="66" t="str">
        <f t="shared" si="414"/>
        <v>OK</v>
      </c>
      <c r="DA75" s="66" t="str">
        <f t="shared" si="414"/>
        <v>OK</v>
      </c>
      <c r="DB75" s="66" t="str">
        <f t="shared" si="414"/>
        <v>OK</v>
      </c>
      <c r="DC75" s="66" t="str">
        <f t="shared" si="414"/>
        <v>OK</v>
      </c>
      <c r="DD75" s="66" t="str">
        <f t="shared" si="414"/>
        <v>OK</v>
      </c>
      <c r="DE75" s="66" t="str">
        <f t="shared" si="414"/>
        <v>OK</v>
      </c>
      <c r="DF75" s="66" t="str">
        <f t="shared" si="414"/>
        <v>OK</v>
      </c>
      <c r="DG75" s="66" t="str">
        <f t="shared" si="414"/>
        <v>OK</v>
      </c>
      <c r="DH75" s="66" t="str">
        <f t="shared" si="414"/>
        <v>OK</v>
      </c>
      <c r="DI75" s="66" t="str">
        <f t="shared" si="414"/>
        <v>OK</v>
      </c>
      <c r="DJ75" s="66" t="str">
        <f t="shared" si="414"/>
        <v>OK</v>
      </c>
      <c r="DK75" s="66" t="str">
        <f t="shared" si="414"/>
        <v>OK</v>
      </c>
      <c r="DL75" s="66" t="str">
        <f t="shared" si="414"/>
        <v>OK</v>
      </c>
      <c r="DM75" s="66" t="str">
        <f t="shared" si="414"/>
        <v>OK</v>
      </c>
      <c r="DN75" s="66" t="str">
        <f t="shared" si="414"/>
        <v>OK</v>
      </c>
      <c r="DO75" s="66" t="str">
        <f t="shared" si="414"/>
        <v>OK</v>
      </c>
      <c r="DP75" s="66" t="str">
        <f t="shared" si="414"/>
        <v>OK</v>
      </c>
      <c r="DQ75" s="66" t="str">
        <f t="shared" si="414"/>
        <v>OK</v>
      </c>
      <c r="DR75" s="66" t="str">
        <f t="shared" si="414"/>
        <v>OK</v>
      </c>
      <c r="DS75" s="66" t="str">
        <f t="shared" si="414"/>
        <v>OK</v>
      </c>
      <c r="DT75" s="66" t="str">
        <f t="shared" si="414"/>
        <v>OK</v>
      </c>
      <c r="DU75" s="66" t="str">
        <f t="shared" si="414"/>
        <v>OK</v>
      </c>
      <c r="DV75" s="66" t="str">
        <f t="shared" si="414"/>
        <v>OK</v>
      </c>
      <c r="DW75" s="66" t="str">
        <f t="shared" si="414"/>
        <v>OK</v>
      </c>
      <c r="DX75" s="66" t="str">
        <f t="shared" si="414"/>
        <v>OK</v>
      </c>
      <c r="DY75" s="66" t="str">
        <f t="shared" si="414"/>
        <v>OK</v>
      </c>
      <c r="DZ75" s="66" t="str">
        <f t="shared" si="414"/>
        <v>OK</v>
      </c>
      <c r="EA75" s="66" t="str">
        <f t="shared" si="414"/>
        <v>OK</v>
      </c>
      <c r="EB75" s="66" t="str">
        <f t="shared" si="414"/>
        <v>OK</v>
      </c>
      <c r="EC75" s="66" t="str">
        <f t="shared" si="414"/>
        <v>OK</v>
      </c>
      <c r="ED75" s="66" t="str">
        <f t="shared" si="414"/>
        <v>OK</v>
      </c>
      <c r="EE75" s="66" t="str">
        <f t="shared" si="414"/>
        <v>OK</v>
      </c>
      <c r="EF75" s="66" t="str">
        <f t="shared" si="414"/>
        <v>OK</v>
      </c>
      <c r="EG75" s="66" t="str">
        <f t="shared" si="414"/>
        <v>OK</v>
      </c>
      <c r="EH75" s="66" t="str">
        <f t="shared" si="414"/>
        <v>OK</v>
      </c>
      <c r="EI75" s="66" t="str">
        <f t="shared" si="414"/>
        <v>OK</v>
      </c>
      <c r="EJ75" s="66" t="str">
        <f t="shared" si="414"/>
        <v>OK</v>
      </c>
      <c r="EK75" s="66" t="str">
        <f t="shared" si="414"/>
        <v>OK</v>
      </c>
      <c r="EL75" s="66" t="str">
        <f t="shared" si="414"/>
        <v>OK</v>
      </c>
      <c r="EM75" s="66" t="str">
        <f t="shared" si="414"/>
        <v>OK</v>
      </c>
      <c r="EN75" s="66" t="str">
        <f t="shared" si="414"/>
        <v>OK</v>
      </c>
      <c r="EO75" s="66" t="str">
        <f t="shared" si="414"/>
        <v>OK</v>
      </c>
      <c r="EP75" s="66" t="str">
        <f t="shared" si="414"/>
        <v>OK</v>
      </c>
      <c r="EQ75" s="66" t="str">
        <f t="shared" si="414"/>
        <v>OK</v>
      </c>
      <c r="ER75" s="66" t="str">
        <f t="shared" si="414"/>
        <v>OK</v>
      </c>
      <c r="ES75" s="66" t="str">
        <f t="shared" ref="ES75:GQ75" si="415">IF(ROUND(ES74,0)=ROUND(ES53,0),"OK","ERROR")</f>
        <v>OK</v>
      </c>
      <c r="ET75" s="66" t="str">
        <f t="shared" si="415"/>
        <v>OK</v>
      </c>
      <c r="EU75" s="66" t="str">
        <f t="shared" si="415"/>
        <v>OK</v>
      </c>
      <c r="EV75" s="66" t="str">
        <f t="shared" si="415"/>
        <v>OK</v>
      </c>
      <c r="EW75" s="66" t="str">
        <f t="shared" si="415"/>
        <v>OK</v>
      </c>
      <c r="EX75" s="66" t="str">
        <f t="shared" si="415"/>
        <v>OK</v>
      </c>
      <c r="EY75" s="66" t="str">
        <f t="shared" si="415"/>
        <v>OK</v>
      </c>
      <c r="EZ75" s="66" t="str">
        <f t="shared" si="415"/>
        <v>OK</v>
      </c>
      <c r="FA75" s="66" t="str">
        <f t="shared" si="415"/>
        <v>OK</v>
      </c>
      <c r="FB75" s="66" t="str">
        <f t="shared" si="415"/>
        <v>OK</v>
      </c>
      <c r="FC75" s="66" t="str">
        <f t="shared" si="415"/>
        <v>OK</v>
      </c>
      <c r="FD75" s="66" t="str">
        <f t="shared" si="415"/>
        <v>OK</v>
      </c>
      <c r="FE75" s="66" t="str">
        <f t="shared" si="415"/>
        <v>OK</v>
      </c>
      <c r="FF75" s="66" t="str">
        <f t="shared" si="415"/>
        <v>OK</v>
      </c>
      <c r="FG75" s="66" t="str">
        <f t="shared" si="415"/>
        <v>OK</v>
      </c>
      <c r="FH75" s="66" t="str">
        <f t="shared" si="415"/>
        <v>OK</v>
      </c>
      <c r="FI75" s="66" t="str">
        <f t="shared" si="415"/>
        <v>OK</v>
      </c>
      <c r="FJ75" s="66" t="str">
        <f t="shared" si="415"/>
        <v>OK</v>
      </c>
      <c r="FK75" s="66" t="str">
        <f t="shared" si="415"/>
        <v>OK</v>
      </c>
      <c r="FL75" s="66" t="str">
        <f t="shared" si="415"/>
        <v>OK</v>
      </c>
      <c r="FM75" s="66" t="str">
        <f t="shared" si="415"/>
        <v>OK</v>
      </c>
      <c r="FN75" s="66" t="str">
        <f t="shared" si="415"/>
        <v>OK</v>
      </c>
      <c r="FO75" s="66" t="str">
        <f t="shared" si="415"/>
        <v>OK</v>
      </c>
      <c r="FP75" s="66" t="str">
        <f t="shared" si="415"/>
        <v>OK</v>
      </c>
      <c r="FQ75" s="66" t="str">
        <f t="shared" si="415"/>
        <v>OK</v>
      </c>
      <c r="FR75" s="66" t="str">
        <f t="shared" si="415"/>
        <v>OK</v>
      </c>
      <c r="FS75" s="66" t="str">
        <f t="shared" si="415"/>
        <v>OK</v>
      </c>
      <c r="FT75" s="66" t="str">
        <f t="shared" si="415"/>
        <v>OK</v>
      </c>
      <c r="FU75" s="66" t="str">
        <f t="shared" si="415"/>
        <v>OK</v>
      </c>
      <c r="FV75" s="66" t="str">
        <f t="shared" si="415"/>
        <v>OK</v>
      </c>
      <c r="FW75" s="66" t="str">
        <f t="shared" si="415"/>
        <v>OK</v>
      </c>
      <c r="FX75" s="66" t="str">
        <f t="shared" si="415"/>
        <v>OK</v>
      </c>
      <c r="FY75" s="66" t="str">
        <f t="shared" si="415"/>
        <v>OK</v>
      </c>
      <c r="FZ75" s="66" t="str">
        <f t="shared" si="415"/>
        <v>OK</v>
      </c>
      <c r="GA75" s="66" t="str">
        <f t="shared" si="415"/>
        <v>OK</v>
      </c>
      <c r="GB75" s="66" t="str">
        <f t="shared" si="415"/>
        <v>OK</v>
      </c>
      <c r="GC75" s="66" t="str">
        <f t="shared" si="415"/>
        <v>OK</v>
      </c>
      <c r="GD75" s="66" t="str">
        <f t="shared" si="415"/>
        <v>OK</v>
      </c>
      <c r="GE75" s="66" t="str">
        <f t="shared" si="415"/>
        <v>OK</v>
      </c>
      <c r="GF75" s="66" t="str">
        <f t="shared" si="415"/>
        <v>OK</v>
      </c>
      <c r="GG75" s="66" t="str">
        <f t="shared" si="415"/>
        <v>OK</v>
      </c>
      <c r="GH75" s="66" t="str">
        <f t="shared" si="415"/>
        <v>OK</v>
      </c>
      <c r="GI75" s="66" t="str">
        <f t="shared" si="415"/>
        <v>OK</v>
      </c>
      <c r="GJ75" s="66" t="str">
        <f t="shared" si="415"/>
        <v>OK</v>
      </c>
      <c r="GK75" s="66" t="str">
        <f t="shared" si="415"/>
        <v>OK</v>
      </c>
      <c r="GL75" s="66" t="str">
        <f t="shared" si="415"/>
        <v>OK</v>
      </c>
      <c r="GM75" s="66" t="str">
        <f t="shared" si="415"/>
        <v>OK</v>
      </c>
      <c r="GN75" s="66" t="str">
        <f t="shared" si="415"/>
        <v>OK</v>
      </c>
      <c r="GO75" s="66" t="str">
        <f t="shared" si="415"/>
        <v>OK</v>
      </c>
      <c r="GP75" s="66" t="str">
        <f t="shared" si="415"/>
        <v>OK</v>
      </c>
      <c r="GQ75" s="66" t="str">
        <f t="shared" si="415"/>
        <v>OK</v>
      </c>
      <c r="GS75" s="80" t="s">
        <v>267</v>
      </c>
      <c r="GT75" s="71"/>
      <c r="GU75" s="71"/>
      <c r="GV75" s="71"/>
      <c r="GW75" s="71"/>
      <c r="GX75" s="71"/>
      <c r="GY75" s="77">
        <v>0</v>
      </c>
      <c r="GZ75" s="77">
        <f>GY75+GZ73-GZ74</f>
        <v>0</v>
      </c>
      <c r="HA75" s="77">
        <f t="shared" ref="HA75:JL75" si="416">GZ75+HA73-HA74</f>
        <v>7810.155052662959</v>
      </c>
      <c r="HB75" s="77">
        <f t="shared" si="416"/>
        <v>16143.932122743354</v>
      </c>
      <c r="HC75" s="77">
        <f t="shared" si="416"/>
        <v>25034.239313968799</v>
      </c>
      <c r="HD75" s="77">
        <f t="shared" si="416"/>
        <v>34532.426235429964</v>
      </c>
      <c r="HE75" s="77">
        <f t="shared" si="416"/>
        <v>44715.799020285238</v>
      </c>
      <c r="HF75" s="77">
        <f t="shared" si="416"/>
        <v>55695.891843644589</v>
      </c>
      <c r="HG75" s="77">
        <f t="shared" si="416"/>
        <v>67626.215981793124</v>
      </c>
      <c r="HH75" s="77">
        <f t="shared" si="416"/>
        <v>80973.673375199767</v>
      </c>
      <c r="HI75" s="77">
        <f t="shared" si="416"/>
        <v>95788.981073144168</v>
      </c>
      <c r="HJ75" s="77">
        <f t="shared" si="416"/>
        <v>99044.330232942826</v>
      </c>
      <c r="HK75" s="77">
        <f t="shared" si="416"/>
        <v>0</v>
      </c>
      <c r="HL75" s="77">
        <f t="shared" si="416"/>
        <v>0</v>
      </c>
      <c r="HM75" s="77">
        <f t="shared" si="416"/>
        <v>2366.288439690512</v>
      </c>
      <c r="HN75" s="77">
        <f t="shared" si="416"/>
        <v>7345.8822999143031</v>
      </c>
      <c r="HO75" s="77">
        <f t="shared" si="416"/>
        <v>15106.106983925782</v>
      </c>
      <c r="HP75" s="77">
        <f t="shared" si="416"/>
        <v>20101.537931992778</v>
      </c>
      <c r="HQ75" s="77">
        <f t="shared" si="416"/>
        <v>27877.688205220707</v>
      </c>
      <c r="HR75" s="77">
        <f t="shared" si="416"/>
        <v>34443.169597463442</v>
      </c>
      <c r="HS75" s="77">
        <f t="shared" si="416"/>
        <v>37797.548001882751</v>
      </c>
      <c r="HT75" s="77">
        <f t="shared" si="416"/>
        <v>43556.184780727919</v>
      </c>
      <c r="HU75" s="77">
        <f t="shared" si="416"/>
        <v>47565.776207219322</v>
      </c>
      <c r="HV75" s="77">
        <f t="shared" si="416"/>
        <v>49121.39678404804</v>
      </c>
      <c r="HW75" s="77">
        <f t="shared" si="416"/>
        <v>52166.986812615993</v>
      </c>
      <c r="HX75" s="77">
        <f t="shared" si="416"/>
        <v>52498.6629268381</v>
      </c>
      <c r="HY75" s="77">
        <f t="shared" si="416"/>
        <v>53812.096714632935</v>
      </c>
      <c r="HZ75" s="77">
        <f t="shared" si="416"/>
        <v>0</v>
      </c>
      <c r="IA75" s="77">
        <f t="shared" si="416"/>
        <v>0</v>
      </c>
      <c r="IB75" s="77">
        <f t="shared" si="416"/>
        <v>649.23081867818257</v>
      </c>
      <c r="IC75" s="77">
        <f t="shared" si="416"/>
        <v>1595.727981607602</v>
      </c>
      <c r="ID75" s="77">
        <f t="shared" si="416"/>
        <v>0</v>
      </c>
      <c r="IE75" s="77">
        <f t="shared" si="416"/>
        <v>0</v>
      </c>
      <c r="IF75" s="77">
        <f t="shared" si="416"/>
        <v>0</v>
      </c>
      <c r="IG75" s="77">
        <f t="shared" si="416"/>
        <v>0</v>
      </c>
      <c r="IH75" s="77">
        <f t="shared" si="416"/>
        <v>0</v>
      </c>
      <c r="II75" s="77">
        <f t="shared" si="416"/>
        <v>0</v>
      </c>
      <c r="IJ75" s="77">
        <f t="shared" si="416"/>
        <v>0</v>
      </c>
      <c r="IK75" s="77">
        <f t="shared" si="416"/>
        <v>0</v>
      </c>
      <c r="IL75" s="77">
        <f t="shared" si="416"/>
        <v>0</v>
      </c>
      <c r="IM75" s="77">
        <f t="shared" si="416"/>
        <v>0</v>
      </c>
      <c r="IN75" s="77">
        <f t="shared" si="416"/>
        <v>0</v>
      </c>
      <c r="IO75" s="77">
        <f t="shared" si="416"/>
        <v>0</v>
      </c>
      <c r="IP75" s="77">
        <f t="shared" si="416"/>
        <v>0</v>
      </c>
      <c r="IQ75" s="77">
        <f t="shared" si="416"/>
        <v>0</v>
      </c>
      <c r="IR75" s="77">
        <f t="shared" si="416"/>
        <v>0</v>
      </c>
      <c r="IS75" s="77">
        <f t="shared" si="416"/>
        <v>0</v>
      </c>
      <c r="IT75" s="77">
        <f t="shared" si="416"/>
        <v>0</v>
      </c>
      <c r="IU75" s="77">
        <f t="shared" si="416"/>
        <v>0</v>
      </c>
      <c r="IV75" s="77">
        <f t="shared" si="416"/>
        <v>0</v>
      </c>
      <c r="IW75" s="77">
        <f t="shared" si="416"/>
        <v>0</v>
      </c>
      <c r="IX75" s="77">
        <f t="shared" si="416"/>
        <v>0</v>
      </c>
      <c r="IY75" s="77">
        <f t="shared" si="416"/>
        <v>0</v>
      </c>
      <c r="IZ75" s="77">
        <f t="shared" si="416"/>
        <v>0</v>
      </c>
      <c r="JA75" s="77">
        <f t="shared" si="416"/>
        <v>0</v>
      </c>
      <c r="JB75" s="77">
        <f t="shared" si="416"/>
        <v>0</v>
      </c>
      <c r="JC75" s="77">
        <f t="shared" si="416"/>
        <v>0</v>
      </c>
      <c r="JD75" s="77">
        <f t="shared" si="416"/>
        <v>0</v>
      </c>
      <c r="JE75" s="77">
        <f t="shared" si="416"/>
        <v>0</v>
      </c>
      <c r="JF75" s="77">
        <f t="shared" si="416"/>
        <v>0</v>
      </c>
      <c r="JG75" s="77">
        <f t="shared" si="416"/>
        <v>0</v>
      </c>
      <c r="JH75" s="77">
        <f t="shared" si="416"/>
        <v>0</v>
      </c>
      <c r="JI75" s="77">
        <f t="shared" si="416"/>
        <v>0</v>
      </c>
      <c r="JJ75" s="77">
        <f t="shared" si="416"/>
        <v>0</v>
      </c>
      <c r="JK75" s="77">
        <f t="shared" si="416"/>
        <v>0</v>
      </c>
      <c r="JL75" s="77">
        <f t="shared" si="416"/>
        <v>0</v>
      </c>
      <c r="JM75" s="77">
        <f t="shared" ref="JM75:LX75" si="417">JL75+JM73-JM74</f>
        <v>0</v>
      </c>
      <c r="JN75" s="77">
        <f t="shared" si="417"/>
        <v>0</v>
      </c>
      <c r="JO75" s="77">
        <f t="shared" si="417"/>
        <v>0</v>
      </c>
      <c r="JP75" s="77">
        <f t="shared" si="417"/>
        <v>0</v>
      </c>
      <c r="JQ75" s="77">
        <f t="shared" si="417"/>
        <v>0</v>
      </c>
      <c r="JR75" s="77">
        <f t="shared" si="417"/>
        <v>0</v>
      </c>
      <c r="JS75" s="77">
        <f t="shared" si="417"/>
        <v>0</v>
      </c>
      <c r="JT75" s="77">
        <f t="shared" si="417"/>
        <v>0</v>
      </c>
      <c r="JU75" s="77">
        <f t="shared" si="417"/>
        <v>0</v>
      </c>
      <c r="JV75" s="77">
        <f t="shared" si="417"/>
        <v>0</v>
      </c>
      <c r="JW75" s="77">
        <f t="shared" si="417"/>
        <v>0</v>
      </c>
      <c r="JX75" s="77">
        <f t="shared" si="417"/>
        <v>0</v>
      </c>
      <c r="JY75" s="77">
        <f t="shared" si="417"/>
        <v>0</v>
      </c>
      <c r="JZ75" s="77">
        <f t="shared" si="417"/>
        <v>0</v>
      </c>
      <c r="KA75" s="77">
        <f t="shared" si="417"/>
        <v>0</v>
      </c>
      <c r="KB75" s="77">
        <f t="shared" si="417"/>
        <v>0</v>
      </c>
      <c r="KC75" s="77">
        <f t="shared" si="417"/>
        <v>0</v>
      </c>
      <c r="KD75" s="77">
        <f t="shared" si="417"/>
        <v>0</v>
      </c>
      <c r="KE75" s="77">
        <f t="shared" si="417"/>
        <v>0</v>
      </c>
      <c r="KF75" s="77">
        <f t="shared" si="417"/>
        <v>0</v>
      </c>
      <c r="KG75" s="77">
        <f t="shared" si="417"/>
        <v>0</v>
      </c>
      <c r="KH75" s="77">
        <f t="shared" si="417"/>
        <v>0</v>
      </c>
      <c r="KI75" s="77">
        <f t="shared" si="417"/>
        <v>0</v>
      </c>
      <c r="KJ75" s="77">
        <f t="shared" si="417"/>
        <v>0</v>
      </c>
      <c r="KK75" s="77">
        <f t="shared" si="417"/>
        <v>0</v>
      </c>
      <c r="KL75" s="77">
        <f t="shared" si="417"/>
        <v>0</v>
      </c>
      <c r="KM75" s="77">
        <f t="shared" si="417"/>
        <v>0</v>
      </c>
      <c r="KN75" s="77">
        <f t="shared" si="417"/>
        <v>0</v>
      </c>
      <c r="KO75" s="77">
        <f t="shared" si="417"/>
        <v>0</v>
      </c>
      <c r="KP75" s="77">
        <f t="shared" si="417"/>
        <v>0</v>
      </c>
      <c r="KQ75" s="77">
        <f t="shared" si="417"/>
        <v>0</v>
      </c>
      <c r="KR75" s="77">
        <f t="shared" si="417"/>
        <v>0</v>
      </c>
      <c r="KS75" s="77">
        <f t="shared" si="417"/>
        <v>0</v>
      </c>
      <c r="KT75" s="77">
        <f t="shared" si="417"/>
        <v>0</v>
      </c>
      <c r="KU75" s="77">
        <f t="shared" si="417"/>
        <v>0</v>
      </c>
      <c r="KV75" s="77">
        <f t="shared" si="417"/>
        <v>0</v>
      </c>
      <c r="KW75" s="77">
        <f t="shared" si="417"/>
        <v>0</v>
      </c>
      <c r="KX75" s="77">
        <f t="shared" si="417"/>
        <v>0</v>
      </c>
      <c r="KY75" s="77">
        <f t="shared" si="417"/>
        <v>0</v>
      </c>
      <c r="KZ75" s="77">
        <f t="shared" si="417"/>
        <v>0</v>
      </c>
      <c r="LA75" s="77">
        <f t="shared" si="417"/>
        <v>0</v>
      </c>
      <c r="LB75" s="77">
        <f t="shared" si="417"/>
        <v>0</v>
      </c>
      <c r="LC75" s="77">
        <f t="shared" si="417"/>
        <v>0</v>
      </c>
      <c r="LD75" s="77">
        <f t="shared" si="417"/>
        <v>0</v>
      </c>
      <c r="LE75" s="77">
        <f t="shared" si="417"/>
        <v>0</v>
      </c>
      <c r="LF75" s="77">
        <f t="shared" si="417"/>
        <v>0</v>
      </c>
      <c r="LG75" s="77">
        <f t="shared" si="417"/>
        <v>0</v>
      </c>
      <c r="LH75" s="77">
        <f t="shared" si="417"/>
        <v>0</v>
      </c>
      <c r="LI75" s="77">
        <f t="shared" si="417"/>
        <v>0</v>
      </c>
      <c r="LJ75" s="77">
        <f t="shared" si="417"/>
        <v>0</v>
      </c>
      <c r="LK75" s="77">
        <f t="shared" si="417"/>
        <v>0</v>
      </c>
      <c r="LL75" s="77">
        <f t="shared" si="417"/>
        <v>0</v>
      </c>
      <c r="LM75" s="77">
        <f t="shared" si="417"/>
        <v>0</v>
      </c>
      <c r="LN75" s="77">
        <f t="shared" si="417"/>
        <v>0</v>
      </c>
      <c r="LO75" s="77">
        <f t="shared" si="417"/>
        <v>0</v>
      </c>
      <c r="LP75" s="77">
        <f t="shared" si="417"/>
        <v>0</v>
      </c>
      <c r="LQ75" s="77">
        <f t="shared" si="417"/>
        <v>0</v>
      </c>
      <c r="LR75" s="77">
        <f t="shared" si="417"/>
        <v>0</v>
      </c>
      <c r="LS75" s="77">
        <f t="shared" si="417"/>
        <v>0</v>
      </c>
      <c r="LT75" s="77">
        <f t="shared" si="417"/>
        <v>0</v>
      </c>
      <c r="LU75" s="77">
        <f t="shared" si="417"/>
        <v>0</v>
      </c>
      <c r="LV75" s="77">
        <f t="shared" si="417"/>
        <v>0</v>
      </c>
      <c r="LW75" s="77">
        <f t="shared" si="417"/>
        <v>0</v>
      </c>
      <c r="LX75" s="77">
        <f t="shared" si="417"/>
        <v>0</v>
      </c>
      <c r="LY75" s="77">
        <f t="shared" ref="LY75:NW75" si="418">LX75+LY73-LY74</f>
        <v>0</v>
      </c>
      <c r="LZ75" s="77">
        <f t="shared" si="418"/>
        <v>0</v>
      </c>
      <c r="MA75" s="77">
        <f t="shared" si="418"/>
        <v>0</v>
      </c>
      <c r="MB75" s="77">
        <f t="shared" si="418"/>
        <v>0</v>
      </c>
      <c r="MC75" s="77">
        <f t="shared" si="418"/>
        <v>0</v>
      </c>
      <c r="MD75" s="77">
        <f t="shared" si="418"/>
        <v>0</v>
      </c>
      <c r="ME75" s="77">
        <f t="shared" si="418"/>
        <v>0</v>
      </c>
      <c r="MF75" s="77">
        <f t="shared" si="418"/>
        <v>0</v>
      </c>
      <c r="MG75" s="77">
        <f t="shared" si="418"/>
        <v>0</v>
      </c>
      <c r="MH75" s="77">
        <f t="shared" si="418"/>
        <v>0</v>
      </c>
      <c r="MI75" s="77">
        <f t="shared" si="418"/>
        <v>0</v>
      </c>
      <c r="MJ75" s="77">
        <f t="shared" si="418"/>
        <v>0</v>
      </c>
      <c r="MK75" s="77">
        <f t="shared" si="418"/>
        <v>0</v>
      </c>
      <c r="ML75" s="77">
        <f t="shared" si="418"/>
        <v>0</v>
      </c>
      <c r="MM75" s="77">
        <f t="shared" si="418"/>
        <v>0</v>
      </c>
      <c r="MN75" s="77">
        <f t="shared" si="418"/>
        <v>0</v>
      </c>
      <c r="MO75" s="77">
        <f t="shared" si="418"/>
        <v>0</v>
      </c>
      <c r="MP75" s="77">
        <f t="shared" si="418"/>
        <v>0</v>
      </c>
      <c r="MQ75" s="77">
        <f t="shared" si="418"/>
        <v>0</v>
      </c>
      <c r="MR75" s="77">
        <f t="shared" si="418"/>
        <v>0</v>
      </c>
      <c r="MS75" s="77">
        <f t="shared" si="418"/>
        <v>0</v>
      </c>
      <c r="MT75" s="77">
        <f t="shared" si="418"/>
        <v>0</v>
      </c>
      <c r="MU75" s="77">
        <f t="shared" si="418"/>
        <v>0</v>
      </c>
      <c r="MV75" s="77">
        <f t="shared" si="418"/>
        <v>0</v>
      </c>
      <c r="MW75" s="77">
        <f t="shared" si="418"/>
        <v>0</v>
      </c>
      <c r="MX75" s="77">
        <f t="shared" si="418"/>
        <v>0</v>
      </c>
      <c r="MY75" s="77">
        <f t="shared" si="418"/>
        <v>0</v>
      </c>
      <c r="MZ75" s="77">
        <f t="shared" si="418"/>
        <v>0</v>
      </c>
      <c r="NA75" s="77">
        <f t="shared" si="418"/>
        <v>0</v>
      </c>
      <c r="NB75" s="77">
        <f t="shared" si="418"/>
        <v>0</v>
      </c>
      <c r="NC75" s="77">
        <f t="shared" si="418"/>
        <v>0</v>
      </c>
      <c r="ND75" s="77">
        <f t="shared" si="418"/>
        <v>0</v>
      </c>
      <c r="NE75" s="77">
        <f t="shared" si="418"/>
        <v>0</v>
      </c>
      <c r="NF75" s="77">
        <f t="shared" si="418"/>
        <v>0</v>
      </c>
      <c r="NG75" s="77">
        <f t="shared" si="418"/>
        <v>0</v>
      </c>
      <c r="NH75" s="77">
        <f t="shared" si="418"/>
        <v>0</v>
      </c>
      <c r="NI75" s="77">
        <f t="shared" si="418"/>
        <v>0</v>
      </c>
      <c r="NJ75" s="77">
        <f t="shared" si="418"/>
        <v>0</v>
      </c>
      <c r="NK75" s="77">
        <f t="shared" si="418"/>
        <v>0</v>
      </c>
      <c r="NL75" s="77">
        <f t="shared" si="418"/>
        <v>0</v>
      </c>
      <c r="NM75" s="77">
        <f t="shared" si="418"/>
        <v>0</v>
      </c>
      <c r="NN75" s="77">
        <f t="shared" si="418"/>
        <v>0</v>
      </c>
      <c r="NO75" s="77">
        <f t="shared" si="418"/>
        <v>0</v>
      </c>
      <c r="NP75" s="77">
        <f t="shared" si="418"/>
        <v>0</v>
      </c>
      <c r="NQ75" s="77">
        <f t="shared" si="418"/>
        <v>0</v>
      </c>
      <c r="NR75" s="77">
        <f t="shared" si="418"/>
        <v>0</v>
      </c>
      <c r="NS75" s="77">
        <f t="shared" si="418"/>
        <v>0</v>
      </c>
      <c r="NT75" s="77">
        <f t="shared" si="418"/>
        <v>0</v>
      </c>
      <c r="NU75" s="77">
        <f t="shared" si="418"/>
        <v>0</v>
      </c>
      <c r="NV75" s="77">
        <f t="shared" si="418"/>
        <v>0</v>
      </c>
      <c r="NW75" s="77">
        <f t="shared" si="418"/>
        <v>0</v>
      </c>
      <c r="NX75" s="10"/>
    </row>
    <row r="76" spans="2:388" x14ac:dyDescent="0.3">
      <c r="B76" s="35" t="s">
        <v>268</v>
      </c>
      <c r="C76" s="35"/>
      <c r="D76" s="35"/>
      <c r="E76" s="36"/>
      <c r="F76" s="36"/>
      <c r="G76" s="36"/>
      <c r="H76" s="36"/>
      <c r="I76" s="36"/>
      <c r="J76" s="36"/>
      <c r="K76" s="36"/>
      <c r="L76" s="36"/>
      <c r="GS76" s="71"/>
      <c r="GT76" s="71"/>
      <c r="GU76" s="71"/>
      <c r="GV76" s="71"/>
      <c r="GW76" s="71"/>
      <c r="GX76" s="71"/>
      <c r="GY76" s="77"/>
      <c r="GZ76" s="77"/>
      <c r="HA76" s="77"/>
      <c r="HB76" s="77"/>
      <c r="HC76" s="77"/>
      <c r="HD76" s="77"/>
      <c r="HE76" s="77"/>
      <c r="HF76" s="77"/>
      <c r="HG76" s="77"/>
      <c r="HH76" s="77"/>
      <c r="HI76" s="77"/>
      <c r="HJ76" s="77"/>
      <c r="HK76" s="77"/>
      <c r="HL76" s="77"/>
      <c r="HM76" s="77"/>
      <c r="HN76" s="77"/>
      <c r="HO76" s="77"/>
      <c r="HP76" s="77"/>
      <c r="HQ76" s="77"/>
      <c r="HR76" s="77"/>
      <c r="HS76" s="77"/>
      <c r="HT76" s="77"/>
      <c r="HU76" s="77"/>
      <c r="HV76" s="77"/>
      <c r="HW76" s="77"/>
      <c r="HX76" s="77"/>
      <c r="HY76" s="77"/>
      <c r="HZ76" s="77"/>
      <c r="IA76" s="77"/>
      <c r="IB76" s="77"/>
      <c r="IC76" s="77"/>
      <c r="ID76" s="77"/>
      <c r="IE76" s="77"/>
      <c r="IF76" s="77"/>
      <c r="IG76" s="77"/>
      <c r="IH76" s="77"/>
      <c r="II76" s="77"/>
      <c r="IJ76" s="77"/>
      <c r="IK76" s="77"/>
      <c r="IL76" s="77"/>
      <c r="IM76" s="77"/>
      <c r="IN76" s="77"/>
      <c r="IO76" s="77"/>
      <c r="IP76" s="77"/>
      <c r="IQ76" s="77"/>
      <c r="IR76" s="77"/>
      <c r="IS76" s="77"/>
      <c r="IT76" s="77"/>
      <c r="IU76" s="77"/>
      <c r="IV76" s="77"/>
      <c r="IW76" s="77"/>
      <c r="IX76" s="77"/>
      <c r="IY76" s="77"/>
      <c r="IZ76" s="77"/>
      <c r="JA76" s="77"/>
      <c r="JB76" s="77"/>
      <c r="JC76" s="77"/>
      <c r="JD76" s="77"/>
      <c r="JE76" s="77"/>
      <c r="JF76" s="77"/>
      <c r="JG76" s="77"/>
      <c r="JH76" s="77"/>
      <c r="JI76" s="77"/>
      <c r="JJ76" s="77"/>
      <c r="JK76" s="77"/>
      <c r="JL76" s="77"/>
      <c r="JM76" s="77"/>
      <c r="JN76" s="77"/>
      <c r="JO76" s="77"/>
      <c r="JP76" s="77"/>
      <c r="JQ76" s="77"/>
      <c r="JR76" s="77"/>
      <c r="JS76" s="77"/>
      <c r="JT76" s="77"/>
      <c r="JU76" s="77"/>
      <c r="JV76" s="77"/>
      <c r="JW76" s="77"/>
      <c r="JX76" s="77"/>
      <c r="JY76" s="77"/>
      <c r="JZ76" s="77"/>
      <c r="KA76" s="77"/>
      <c r="KB76" s="77"/>
      <c r="KC76" s="77"/>
      <c r="KD76" s="77"/>
      <c r="KE76" s="77"/>
      <c r="KF76" s="77"/>
      <c r="KG76" s="77"/>
      <c r="KH76" s="77"/>
      <c r="KI76" s="77"/>
      <c r="KJ76" s="77"/>
      <c r="KK76" s="77"/>
      <c r="KL76" s="77"/>
      <c r="KM76" s="77"/>
      <c r="KN76" s="77"/>
      <c r="KO76" s="77"/>
      <c r="KP76" s="77"/>
      <c r="KQ76" s="77"/>
      <c r="KR76" s="77"/>
      <c r="KS76" s="77"/>
      <c r="KT76" s="77"/>
      <c r="KU76" s="77"/>
      <c r="KV76" s="77"/>
      <c r="KW76" s="77"/>
      <c r="KX76" s="77"/>
      <c r="KY76" s="77"/>
      <c r="KZ76" s="77"/>
      <c r="LA76" s="77"/>
      <c r="LB76" s="77"/>
      <c r="LC76" s="77"/>
      <c r="LD76" s="77"/>
      <c r="LE76" s="77"/>
      <c r="LF76" s="77"/>
      <c r="LG76" s="77"/>
      <c r="LH76" s="77"/>
      <c r="LI76" s="77"/>
      <c r="LJ76" s="77"/>
      <c r="LK76" s="77"/>
      <c r="LL76" s="77"/>
      <c r="LM76" s="77"/>
      <c r="LN76" s="77"/>
      <c r="LO76" s="77"/>
      <c r="LP76" s="77"/>
      <c r="LQ76" s="77"/>
      <c r="LR76" s="77"/>
      <c r="LS76" s="77"/>
      <c r="LT76" s="77"/>
      <c r="LU76" s="77"/>
      <c r="LV76" s="77"/>
      <c r="LW76" s="77"/>
      <c r="LX76" s="77"/>
      <c r="LY76" s="77"/>
      <c r="LZ76" s="77"/>
      <c r="MA76" s="77"/>
      <c r="MB76" s="77"/>
      <c r="MC76" s="77"/>
      <c r="MD76" s="77"/>
      <c r="ME76" s="77"/>
      <c r="MF76" s="77"/>
      <c r="MG76" s="77"/>
      <c r="MH76" s="77"/>
      <c r="MI76" s="77"/>
      <c r="MJ76" s="77"/>
      <c r="MK76" s="77"/>
      <c r="ML76" s="77"/>
      <c r="MM76" s="77"/>
      <c r="MN76" s="77"/>
      <c r="MO76" s="77"/>
      <c r="MP76" s="77"/>
      <c r="MQ76" s="77"/>
      <c r="MR76" s="77"/>
      <c r="MS76" s="77"/>
      <c r="MT76" s="77"/>
      <c r="MU76" s="77"/>
      <c r="MV76" s="77"/>
      <c r="MW76" s="77"/>
      <c r="MX76" s="77"/>
      <c r="MY76" s="77"/>
      <c r="MZ76" s="77"/>
      <c r="NA76" s="77"/>
      <c r="NB76" s="77"/>
      <c r="NC76" s="77"/>
      <c r="ND76" s="77"/>
      <c r="NE76" s="77"/>
      <c r="NF76" s="77"/>
      <c r="NG76" s="77"/>
      <c r="NH76" s="77"/>
      <c r="NI76" s="77"/>
      <c r="NJ76" s="77"/>
      <c r="NK76" s="77"/>
      <c r="NL76" s="77"/>
      <c r="NM76" s="77"/>
      <c r="NN76" s="77"/>
      <c r="NO76" s="77"/>
      <c r="NP76" s="77"/>
      <c r="NQ76" s="77"/>
      <c r="NR76" s="77"/>
      <c r="NS76" s="77"/>
      <c r="NT76" s="77"/>
      <c r="NU76" s="77"/>
      <c r="NV76" s="77"/>
      <c r="NW76" s="77"/>
      <c r="NX76" s="10"/>
    </row>
    <row r="77" spans="2:388" x14ac:dyDescent="0.3">
      <c r="B77" s="51" t="str">
        <f>UPPER(Summary!O8&amp;" SALES")</f>
        <v>LOT SALES</v>
      </c>
      <c r="C77" s="55"/>
      <c r="D77" s="55"/>
      <c r="E77" s="56"/>
      <c r="F77" s="52"/>
      <c r="G77" s="52"/>
      <c r="H77" s="53"/>
      <c r="I77" s="91"/>
      <c r="J77" s="56"/>
      <c r="K77" s="56"/>
      <c r="L77" s="56"/>
      <c r="GS77" s="71"/>
      <c r="GT77" s="71"/>
      <c r="GU77" s="71"/>
      <c r="GV77" s="71"/>
      <c r="GW77" s="71"/>
      <c r="GX77" s="71"/>
      <c r="GY77" s="77"/>
      <c r="GZ77" s="77"/>
      <c r="HA77" s="77"/>
      <c r="HB77" s="77"/>
      <c r="HC77" s="77"/>
      <c r="HD77" s="77"/>
      <c r="HE77" s="77"/>
      <c r="HF77" s="77"/>
      <c r="HG77" s="77"/>
      <c r="HH77" s="77"/>
      <c r="HI77" s="77"/>
      <c r="HJ77" s="77"/>
      <c r="HK77" s="77"/>
      <c r="HL77" s="77"/>
      <c r="HM77" s="77"/>
      <c r="HN77" s="77"/>
      <c r="HO77" s="77"/>
      <c r="HP77" s="77"/>
      <c r="HQ77" s="77"/>
      <c r="HR77" s="77"/>
      <c r="HS77" s="77"/>
      <c r="HT77" s="77"/>
      <c r="HU77" s="77"/>
      <c r="HV77" s="77"/>
      <c r="HW77" s="77"/>
      <c r="HX77" s="77"/>
      <c r="HY77" s="77"/>
      <c r="HZ77" s="77"/>
      <c r="IA77" s="77"/>
      <c r="IB77" s="77"/>
      <c r="IC77" s="77"/>
      <c r="ID77" s="77"/>
      <c r="IE77" s="77"/>
      <c r="IF77" s="77"/>
      <c r="IG77" s="77"/>
      <c r="IH77" s="77"/>
      <c r="II77" s="77"/>
      <c r="IJ77" s="77"/>
      <c r="IK77" s="77"/>
      <c r="IL77" s="77"/>
      <c r="IM77" s="77"/>
      <c r="IN77" s="77"/>
      <c r="IO77" s="77"/>
      <c r="IP77" s="77"/>
      <c r="IQ77" s="77"/>
      <c r="IR77" s="77"/>
      <c r="IS77" s="77"/>
      <c r="IT77" s="77"/>
      <c r="IU77" s="77"/>
      <c r="IV77" s="77"/>
      <c r="IW77" s="77"/>
      <c r="IX77" s="77"/>
      <c r="IY77" s="77"/>
      <c r="IZ77" s="77"/>
      <c r="JA77" s="77"/>
      <c r="JB77" s="77"/>
      <c r="JC77" s="77"/>
      <c r="JD77" s="77"/>
      <c r="JE77" s="77"/>
      <c r="JF77" s="77"/>
      <c r="JG77" s="77"/>
      <c r="JH77" s="77"/>
      <c r="JI77" s="77"/>
      <c r="JJ77" s="77"/>
      <c r="JK77" s="77"/>
      <c r="JL77" s="77"/>
      <c r="JM77" s="77"/>
      <c r="JN77" s="77"/>
      <c r="JO77" s="77"/>
      <c r="JP77" s="77"/>
      <c r="JQ77" s="77"/>
      <c r="JR77" s="77"/>
      <c r="JS77" s="77"/>
      <c r="JT77" s="77"/>
      <c r="JU77" s="77"/>
      <c r="JV77" s="77"/>
      <c r="JW77" s="77"/>
      <c r="JX77" s="77"/>
      <c r="JY77" s="77"/>
      <c r="JZ77" s="77"/>
      <c r="KA77" s="77"/>
      <c r="KB77" s="77"/>
      <c r="KC77" s="77"/>
      <c r="KD77" s="77"/>
      <c r="KE77" s="77"/>
      <c r="KF77" s="77"/>
      <c r="KG77" s="77"/>
      <c r="KH77" s="77"/>
      <c r="KI77" s="77"/>
      <c r="KJ77" s="77"/>
      <c r="KK77" s="77"/>
      <c r="KL77" s="77"/>
      <c r="KM77" s="77"/>
      <c r="KN77" s="77"/>
      <c r="KO77" s="77"/>
      <c r="KP77" s="77"/>
      <c r="KQ77" s="77"/>
      <c r="KR77" s="77"/>
      <c r="KS77" s="77"/>
      <c r="KT77" s="77"/>
      <c r="KU77" s="77"/>
      <c r="KV77" s="77"/>
      <c r="KW77" s="77"/>
      <c r="KX77" s="77"/>
      <c r="KY77" s="77"/>
      <c r="KZ77" s="77"/>
      <c r="LA77" s="77"/>
      <c r="LB77" s="77"/>
      <c r="LC77" s="77"/>
      <c r="LD77" s="77"/>
      <c r="LE77" s="77"/>
      <c r="LF77" s="77"/>
      <c r="LG77" s="77"/>
      <c r="LH77" s="77"/>
      <c r="LI77" s="77"/>
      <c r="LJ77" s="77"/>
      <c r="LK77" s="77"/>
      <c r="LL77" s="77"/>
      <c r="LM77" s="77"/>
      <c r="LN77" s="77"/>
      <c r="LO77" s="77"/>
      <c r="LP77" s="77"/>
      <c r="LQ77" s="77"/>
      <c r="LR77" s="77"/>
      <c r="LS77" s="77"/>
      <c r="LT77" s="77"/>
      <c r="LU77" s="77"/>
      <c r="LV77" s="77"/>
      <c r="LW77" s="77"/>
      <c r="LX77" s="77"/>
      <c r="LY77" s="77"/>
      <c r="LZ77" s="77"/>
      <c r="MA77" s="77"/>
      <c r="MB77" s="77"/>
      <c r="MC77" s="77"/>
      <c r="MD77" s="77"/>
      <c r="ME77" s="77"/>
      <c r="MF77" s="77"/>
      <c r="MG77" s="77"/>
      <c r="MH77" s="77"/>
      <c r="MI77" s="77"/>
      <c r="MJ77" s="77"/>
      <c r="MK77" s="77"/>
      <c r="ML77" s="77"/>
      <c r="MM77" s="77"/>
      <c r="MN77" s="77"/>
      <c r="MO77" s="77"/>
      <c r="MP77" s="77"/>
      <c r="MQ77" s="77"/>
      <c r="MR77" s="77"/>
      <c r="MS77" s="77"/>
      <c r="MT77" s="77"/>
      <c r="MU77" s="77"/>
      <c r="MV77" s="77"/>
      <c r="MW77" s="77"/>
      <c r="MX77" s="77"/>
      <c r="MY77" s="77"/>
      <c r="MZ77" s="77"/>
      <c r="NA77" s="77"/>
      <c r="NB77" s="77"/>
      <c r="NC77" s="77"/>
      <c r="ND77" s="77"/>
      <c r="NE77" s="77"/>
      <c r="NF77" s="77"/>
      <c r="NG77" s="77"/>
      <c r="NH77" s="77"/>
      <c r="NI77" s="77"/>
      <c r="NJ77" s="77"/>
      <c r="NK77" s="77"/>
      <c r="NL77" s="77"/>
      <c r="NM77" s="77"/>
      <c r="NN77" s="77"/>
      <c r="NO77" s="77"/>
      <c r="NP77" s="77"/>
      <c r="NQ77" s="77"/>
      <c r="NR77" s="77"/>
      <c r="NS77" s="77"/>
      <c r="NT77" s="77"/>
      <c r="NU77" s="77"/>
      <c r="NV77" s="77"/>
      <c r="NW77" s="77"/>
      <c r="NX77" s="10"/>
    </row>
    <row r="78" spans="2:388" x14ac:dyDescent="0.3">
      <c r="B78" s="24" t="str">
        <f>Summary!O8</f>
        <v>Lot</v>
      </c>
      <c r="C78" s="18"/>
      <c r="D78" s="25" t="str">
        <f>"# of "&amp;Summary!P8</f>
        <v># of Lots</v>
      </c>
      <c r="E78" s="25" t="s">
        <v>186</v>
      </c>
      <c r="F78" s="25" t="s">
        <v>187</v>
      </c>
      <c r="G78" s="25"/>
      <c r="H78" s="25" t="str">
        <f>"Land Size ("&amp;Unit_Type&amp;")"</f>
        <v>Land Size (SF)</v>
      </c>
      <c r="I78" s="25" t="s">
        <v>189</v>
      </c>
      <c r="J78" s="25" t="str">
        <f>"/"&amp;Summary!$O$8</f>
        <v>/Lot</v>
      </c>
      <c r="K78" s="25" t="str">
        <f>"/Land "&amp;Unit_Type</f>
        <v>/Land SF</v>
      </c>
      <c r="L78" s="25" t="s">
        <v>190</v>
      </c>
      <c r="S78" s="68" t="s">
        <v>191</v>
      </c>
      <c r="T78" s="61">
        <v>1</v>
      </c>
      <c r="U78" s="61">
        <f t="shared" ref="U78:AZ78" si="419">T78+1</f>
        <v>2</v>
      </c>
      <c r="V78" s="61">
        <f t="shared" si="419"/>
        <v>3</v>
      </c>
      <c r="W78" s="61">
        <f t="shared" si="419"/>
        <v>4</v>
      </c>
      <c r="X78" s="61">
        <f t="shared" si="419"/>
        <v>5</v>
      </c>
      <c r="Y78" s="61">
        <f t="shared" si="419"/>
        <v>6</v>
      </c>
      <c r="Z78" s="61">
        <f t="shared" si="419"/>
        <v>7</v>
      </c>
      <c r="AA78" s="61">
        <f t="shared" si="419"/>
        <v>8</v>
      </c>
      <c r="AB78" s="61">
        <f t="shared" si="419"/>
        <v>9</v>
      </c>
      <c r="AC78" s="61">
        <f t="shared" si="419"/>
        <v>10</v>
      </c>
      <c r="AD78" s="61">
        <f t="shared" si="419"/>
        <v>11</v>
      </c>
      <c r="AE78" s="61">
        <f t="shared" si="419"/>
        <v>12</v>
      </c>
      <c r="AF78" s="61">
        <f t="shared" si="419"/>
        <v>13</v>
      </c>
      <c r="AG78" s="61">
        <f t="shared" si="419"/>
        <v>14</v>
      </c>
      <c r="AH78" s="61">
        <f t="shared" si="419"/>
        <v>15</v>
      </c>
      <c r="AI78" s="61">
        <f t="shared" si="419"/>
        <v>16</v>
      </c>
      <c r="AJ78" s="61">
        <f t="shared" si="419"/>
        <v>17</v>
      </c>
      <c r="AK78" s="61">
        <f t="shared" si="419"/>
        <v>18</v>
      </c>
      <c r="AL78" s="61">
        <f t="shared" si="419"/>
        <v>19</v>
      </c>
      <c r="AM78" s="61">
        <f t="shared" si="419"/>
        <v>20</v>
      </c>
      <c r="AN78" s="61">
        <f t="shared" si="419"/>
        <v>21</v>
      </c>
      <c r="AO78" s="61">
        <f t="shared" si="419"/>
        <v>22</v>
      </c>
      <c r="AP78" s="61">
        <f t="shared" si="419"/>
        <v>23</v>
      </c>
      <c r="AQ78" s="61">
        <f t="shared" si="419"/>
        <v>24</v>
      </c>
      <c r="AR78" s="61">
        <f t="shared" si="419"/>
        <v>25</v>
      </c>
      <c r="AS78" s="61">
        <f t="shared" si="419"/>
        <v>26</v>
      </c>
      <c r="AT78" s="61">
        <f t="shared" si="419"/>
        <v>27</v>
      </c>
      <c r="AU78" s="61">
        <f t="shared" si="419"/>
        <v>28</v>
      </c>
      <c r="AV78" s="61">
        <f t="shared" si="419"/>
        <v>29</v>
      </c>
      <c r="AW78" s="61">
        <f t="shared" si="419"/>
        <v>30</v>
      </c>
      <c r="AX78" s="61">
        <f t="shared" si="419"/>
        <v>31</v>
      </c>
      <c r="AY78" s="61">
        <f t="shared" si="419"/>
        <v>32</v>
      </c>
      <c r="AZ78" s="61">
        <f t="shared" si="419"/>
        <v>33</v>
      </c>
      <c r="BA78" s="61">
        <f t="shared" ref="BA78:CF78" si="420">AZ78+1</f>
        <v>34</v>
      </c>
      <c r="BB78" s="61">
        <f t="shared" si="420"/>
        <v>35</v>
      </c>
      <c r="BC78" s="61">
        <f t="shared" si="420"/>
        <v>36</v>
      </c>
      <c r="BD78" s="61">
        <f t="shared" si="420"/>
        <v>37</v>
      </c>
      <c r="BE78" s="61">
        <f t="shared" si="420"/>
        <v>38</v>
      </c>
      <c r="BF78" s="61">
        <f t="shared" si="420"/>
        <v>39</v>
      </c>
      <c r="BG78" s="61">
        <f t="shared" si="420"/>
        <v>40</v>
      </c>
      <c r="BH78" s="61">
        <f t="shared" si="420"/>
        <v>41</v>
      </c>
      <c r="BI78" s="61">
        <f t="shared" si="420"/>
        <v>42</v>
      </c>
      <c r="BJ78" s="61">
        <f t="shared" si="420"/>
        <v>43</v>
      </c>
      <c r="BK78" s="61">
        <f t="shared" si="420"/>
        <v>44</v>
      </c>
      <c r="BL78" s="61">
        <f t="shared" si="420"/>
        <v>45</v>
      </c>
      <c r="BM78" s="61">
        <f t="shared" si="420"/>
        <v>46</v>
      </c>
      <c r="BN78" s="61">
        <f t="shared" si="420"/>
        <v>47</v>
      </c>
      <c r="BO78" s="61">
        <f t="shared" si="420"/>
        <v>48</v>
      </c>
      <c r="BP78" s="61">
        <f t="shared" si="420"/>
        <v>49</v>
      </c>
      <c r="BQ78" s="61">
        <f t="shared" si="420"/>
        <v>50</v>
      </c>
      <c r="BR78" s="61">
        <f t="shared" si="420"/>
        <v>51</v>
      </c>
      <c r="BS78" s="61">
        <f t="shared" si="420"/>
        <v>52</v>
      </c>
      <c r="BT78" s="61">
        <f t="shared" si="420"/>
        <v>53</v>
      </c>
      <c r="BU78" s="61">
        <f t="shared" si="420"/>
        <v>54</v>
      </c>
      <c r="BV78" s="61">
        <f t="shared" si="420"/>
        <v>55</v>
      </c>
      <c r="BW78" s="61">
        <f t="shared" si="420"/>
        <v>56</v>
      </c>
      <c r="BX78" s="61">
        <f t="shared" si="420"/>
        <v>57</v>
      </c>
      <c r="BY78" s="61">
        <f t="shared" si="420"/>
        <v>58</v>
      </c>
      <c r="BZ78" s="61">
        <f t="shared" si="420"/>
        <v>59</v>
      </c>
      <c r="CA78" s="61">
        <f t="shared" si="420"/>
        <v>60</v>
      </c>
      <c r="CB78" s="61">
        <f t="shared" si="420"/>
        <v>61</v>
      </c>
      <c r="CC78" s="61">
        <f t="shared" si="420"/>
        <v>62</v>
      </c>
      <c r="CD78" s="61">
        <f t="shared" si="420"/>
        <v>63</v>
      </c>
      <c r="CE78" s="61">
        <f t="shared" si="420"/>
        <v>64</v>
      </c>
      <c r="CF78" s="61">
        <f t="shared" si="420"/>
        <v>65</v>
      </c>
      <c r="CG78" s="61">
        <f t="shared" ref="CG78:DL78" si="421">CF78+1</f>
        <v>66</v>
      </c>
      <c r="CH78" s="61">
        <f t="shared" si="421"/>
        <v>67</v>
      </c>
      <c r="CI78" s="61">
        <f t="shared" si="421"/>
        <v>68</v>
      </c>
      <c r="CJ78" s="61">
        <f t="shared" si="421"/>
        <v>69</v>
      </c>
      <c r="CK78" s="61">
        <f t="shared" si="421"/>
        <v>70</v>
      </c>
      <c r="CL78" s="61">
        <f t="shared" si="421"/>
        <v>71</v>
      </c>
      <c r="CM78" s="61">
        <f t="shared" si="421"/>
        <v>72</v>
      </c>
      <c r="CN78" s="61">
        <f t="shared" si="421"/>
        <v>73</v>
      </c>
      <c r="CO78" s="61">
        <f t="shared" si="421"/>
        <v>74</v>
      </c>
      <c r="CP78" s="61">
        <f t="shared" si="421"/>
        <v>75</v>
      </c>
      <c r="CQ78" s="61">
        <f t="shared" si="421"/>
        <v>76</v>
      </c>
      <c r="CR78" s="61">
        <f t="shared" si="421"/>
        <v>77</v>
      </c>
      <c r="CS78" s="61">
        <f t="shared" si="421"/>
        <v>78</v>
      </c>
      <c r="CT78" s="61">
        <f t="shared" si="421"/>
        <v>79</v>
      </c>
      <c r="CU78" s="61">
        <f t="shared" si="421"/>
        <v>80</v>
      </c>
      <c r="CV78" s="61">
        <f t="shared" si="421"/>
        <v>81</v>
      </c>
      <c r="CW78" s="61">
        <f t="shared" si="421"/>
        <v>82</v>
      </c>
      <c r="CX78" s="61">
        <f t="shared" si="421"/>
        <v>83</v>
      </c>
      <c r="CY78" s="61">
        <f t="shared" si="421"/>
        <v>84</v>
      </c>
      <c r="CZ78" s="61">
        <f t="shared" si="421"/>
        <v>85</v>
      </c>
      <c r="DA78" s="61">
        <f t="shared" si="421"/>
        <v>86</v>
      </c>
      <c r="DB78" s="61">
        <f t="shared" si="421"/>
        <v>87</v>
      </c>
      <c r="DC78" s="61">
        <f t="shared" si="421"/>
        <v>88</v>
      </c>
      <c r="DD78" s="61">
        <f t="shared" si="421"/>
        <v>89</v>
      </c>
      <c r="DE78" s="61">
        <f t="shared" si="421"/>
        <v>90</v>
      </c>
      <c r="DF78" s="61">
        <f t="shared" si="421"/>
        <v>91</v>
      </c>
      <c r="DG78" s="61">
        <f t="shared" si="421"/>
        <v>92</v>
      </c>
      <c r="DH78" s="61">
        <f t="shared" si="421"/>
        <v>93</v>
      </c>
      <c r="DI78" s="61">
        <f t="shared" si="421"/>
        <v>94</v>
      </c>
      <c r="DJ78" s="61">
        <f t="shared" si="421"/>
        <v>95</v>
      </c>
      <c r="DK78" s="61">
        <f t="shared" si="421"/>
        <v>96</v>
      </c>
      <c r="DL78" s="61">
        <f t="shared" si="421"/>
        <v>97</v>
      </c>
      <c r="DM78" s="61">
        <f t="shared" ref="DM78:ER78" si="422">DL78+1</f>
        <v>98</v>
      </c>
      <c r="DN78" s="61">
        <f t="shared" si="422"/>
        <v>99</v>
      </c>
      <c r="DO78" s="61">
        <f t="shared" si="422"/>
        <v>100</v>
      </c>
      <c r="DP78" s="61">
        <f t="shared" si="422"/>
        <v>101</v>
      </c>
      <c r="DQ78" s="61">
        <f t="shared" si="422"/>
        <v>102</v>
      </c>
      <c r="DR78" s="61">
        <f t="shared" si="422"/>
        <v>103</v>
      </c>
      <c r="DS78" s="61">
        <f t="shared" si="422"/>
        <v>104</v>
      </c>
      <c r="DT78" s="61">
        <f t="shared" si="422"/>
        <v>105</v>
      </c>
      <c r="DU78" s="61">
        <f t="shared" si="422"/>
        <v>106</v>
      </c>
      <c r="DV78" s="61">
        <f t="shared" si="422"/>
        <v>107</v>
      </c>
      <c r="DW78" s="61">
        <f t="shared" si="422"/>
        <v>108</v>
      </c>
      <c r="DX78" s="61">
        <f t="shared" si="422"/>
        <v>109</v>
      </c>
      <c r="DY78" s="61">
        <f t="shared" si="422"/>
        <v>110</v>
      </c>
      <c r="DZ78" s="61">
        <f t="shared" si="422"/>
        <v>111</v>
      </c>
      <c r="EA78" s="61">
        <f t="shared" si="422"/>
        <v>112</v>
      </c>
      <c r="EB78" s="61">
        <f t="shared" si="422"/>
        <v>113</v>
      </c>
      <c r="EC78" s="61">
        <f t="shared" si="422"/>
        <v>114</v>
      </c>
      <c r="ED78" s="61">
        <f t="shared" si="422"/>
        <v>115</v>
      </c>
      <c r="EE78" s="61">
        <f t="shared" si="422"/>
        <v>116</v>
      </c>
      <c r="EF78" s="61">
        <f t="shared" si="422"/>
        <v>117</v>
      </c>
      <c r="EG78" s="61">
        <f t="shared" si="422"/>
        <v>118</v>
      </c>
      <c r="EH78" s="61">
        <f t="shared" si="422"/>
        <v>119</v>
      </c>
      <c r="EI78" s="61">
        <f t="shared" si="422"/>
        <v>120</v>
      </c>
      <c r="EJ78" s="61">
        <f t="shared" si="422"/>
        <v>121</v>
      </c>
      <c r="EK78" s="61">
        <f t="shared" si="422"/>
        <v>122</v>
      </c>
      <c r="EL78" s="61">
        <f t="shared" si="422"/>
        <v>123</v>
      </c>
      <c r="EM78" s="61">
        <f t="shared" si="422"/>
        <v>124</v>
      </c>
      <c r="EN78" s="61">
        <f t="shared" si="422"/>
        <v>125</v>
      </c>
      <c r="EO78" s="61">
        <f t="shared" si="422"/>
        <v>126</v>
      </c>
      <c r="EP78" s="61">
        <f t="shared" si="422"/>
        <v>127</v>
      </c>
      <c r="EQ78" s="61">
        <f t="shared" si="422"/>
        <v>128</v>
      </c>
      <c r="ER78" s="61">
        <f t="shared" si="422"/>
        <v>129</v>
      </c>
      <c r="ES78" s="61">
        <f t="shared" ref="ES78:FX78" si="423">ER78+1</f>
        <v>130</v>
      </c>
      <c r="ET78" s="61">
        <f t="shared" si="423"/>
        <v>131</v>
      </c>
      <c r="EU78" s="61">
        <f t="shared" si="423"/>
        <v>132</v>
      </c>
      <c r="EV78" s="61">
        <f t="shared" si="423"/>
        <v>133</v>
      </c>
      <c r="EW78" s="61">
        <f t="shared" si="423"/>
        <v>134</v>
      </c>
      <c r="EX78" s="61">
        <f t="shared" si="423"/>
        <v>135</v>
      </c>
      <c r="EY78" s="61">
        <f t="shared" si="423"/>
        <v>136</v>
      </c>
      <c r="EZ78" s="61">
        <f t="shared" si="423"/>
        <v>137</v>
      </c>
      <c r="FA78" s="61">
        <f t="shared" si="423"/>
        <v>138</v>
      </c>
      <c r="FB78" s="61">
        <f t="shared" si="423"/>
        <v>139</v>
      </c>
      <c r="FC78" s="61">
        <f t="shared" si="423"/>
        <v>140</v>
      </c>
      <c r="FD78" s="61">
        <f t="shared" si="423"/>
        <v>141</v>
      </c>
      <c r="FE78" s="61">
        <f t="shared" si="423"/>
        <v>142</v>
      </c>
      <c r="FF78" s="61">
        <f t="shared" si="423"/>
        <v>143</v>
      </c>
      <c r="FG78" s="61">
        <f t="shared" si="423"/>
        <v>144</v>
      </c>
      <c r="FH78" s="61">
        <f t="shared" si="423"/>
        <v>145</v>
      </c>
      <c r="FI78" s="61">
        <f t="shared" si="423"/>
        <v>146</v>
      </c>
      <c r="FJ78" s="61">
        <f t="shared" si="423"/>
        <v>147</v>
      </c>
      <c r="FK78" s="61">
        <f t="shared" si="423"/>
        <v>148</v>
      </c>
      <c r="FL78" s="61">
        <f t="shared" si="423"/>
        <v>149</v>
      </c>
      <c r="FM78" s="61">
        <f t="shared" si="423"/>
        <v>150</v>
      </c>
      <c r="FN78" s="61">
        <f t="shared" si="423"/>
        <v>151</v>
      </c>
      <c r="FO78" s="61">
        <f t="shared" si="423"/>
        <v>152</v>
      </c>
      <c r="FP78" s="61">
        <f t="shared" si="423"/>
        <v>153</v>
      </c>
      <c r="FQ78" s="61">
        <f t="shared" si="423"/>
        <v>154</v>
      </c>
      <c r="FR78" s="61">
        <f t="shared" si="423"/>
        <v>155</v>
      </c>
      <c r="FS78" s="61">
        <f t="shared" si="423"/>
        <v>156</v>
      </c>
      <c r="FT78" s="61">
        <f t="shared" si="423"/>
        <v>157</v>
      </c>
      <c r="FU78" s="61">
        <f t="shared" si="423"/>
        <v>158</v>
      </c>
      <c r="FV78" s="61">
        <f t="shared" si="423"/>
        <v>159</v>
      </c>
      <c r="FW78" s="61">
        <f t="shared" si="423"/>
        <v>160</v>
      </c>
      <c r="FX78" s="61">
        <f t="shared" si="423"/>
        <v>161</v>
      </c>
      <c r="FY78" s="61">
        <f t="shared" ref="FY78:GQ78" si="424">FX78+1</f>
        <v>162</v>
      </c>
      <c r="FZ78" s="61">
        <f t="shared" si="424"/>
        <v>163</v>
      </c>
      <c r="GA78" s="61">
        <f t="shared" si="424"/>
        <v>164</v>
      </c>
      <c r="GB78" s="61">
        <f t="shared" si="424"/>
        <v>165</v>
      </c>
      <c r="GC78" s="61">
        <f t="shared" si="424"/>
        <v>166</v>
      </c>
      <c r="GD78" s="61">
        <f t="shared" si="424"/>
        <v>167</v>
      </c>
      <c r="GE78" s="61">
        <f t="shared" si="424"/>
        <v>168</v>
      </c>
      <c r="GF78" s="61">
        <f t="shared" si="424"/>
        <v>169</v>
      </c>
      <c r="GG78" s="61">
        <f t="shared" si="424"/>
        <v>170</v>
      </c>
      <c r="GH78" s="61">
        <f t="shared" si="424"/>
        <v>171</v>
      </c>
      <c r="GI78" s="61">
        <f t="shared" si="424"/>
        <v>172</v>
      </c>
      <c r="GJ78" s="61">
        <f t="shared" si="424"/>
        <v>173</v>
      </c>
      <c r="GK78" s="61">
        <f t="shared" si="424"/>
        <v>174</v>
      </c>
      <c r="GL78" s="61">
        <f t="shared" si="424"/>
        <v>175</v>
      </c>
      <c r="GM78" s="61">
        <f t="shared" si="424"/>
        <v>176</v>
      </c>
      <c r="GN78" s="61">
        <f t="shared" si="424"/>
        <v>177</v>
      </c>
      <c r="GO78" s="61">
        <f t="shared" si="424"/>
        <v>178</v>
      </c>
      <c r="GP78" s="61">
        <f t="shared" si="424"/>
        <v>179</v>
      </c>
      <c r="GQ78" s="61">
        <f t="shared" si="424"/>
        <v>180</v>
      </c>
      <c r="GR78" s="9"/>
      <c r="GS78" s="71" t="s">
        <v>269</v>
      </c>
      <c r="GT78" s="71">
        <f>COUNTA(J79:J89)</f>
        <v>11</v>
      </c>
      <c r="GU78" s="76"/>
      <c r="GV78" s="76"/>
      <c r="GW78" s="76"/>
      <c r="GX78" s="76"/>
      <c r="GY78" s="76"/>
      <c r="GZ78" s="74"/>
      <c r="HA78" s="74"/>
      <c r="HB78" s="74"/>
      <c r="HC78" s="74"/>
      <c r="HD78" s="74"/>
      <c r="HE78" s="74"/>
      <c r="HF78" s="74"/>
      <c r="HG78" s="74"/>
      <c r="HH78" s="74"/>
      <c r="HI78" s="74"/>
      <c r="HJ78" s="74"/>
      <c r="HK78" s="74"/>
      <c r="HL78" s="74"/>
      <c r="HM78" s="74"/>
      <c r="HN78" s="74"/>
      <c r="HO78" s="74"/>
      <c r="HP78" s="74"/>
      <c r="HQ78" s="74"/>
      <c r="HR78" s="74"/>
      <c r="HS78" s="74"/>
      <c r="HT78" s="74"/>
      <c r="HU78" s="74"/>
      <c r="HV78" s="74"/>
      <c r="HW78" s="74"/>
      <c r="HX78" s="74"/>
      <c r="HY78" s="74"/>
      <c r="HZ78" s="74"/>
      <c r="IA78" s="74"/>
      <c r="IB78" s="74"/>
      <c r="IC78" s="74"/>
      <c r="ID78" s="74"/>
      <c r="IE78" s="74"/>
      <c r="IF78" s="74"/>
      <c r="IG78" s="74"/>
      <c r="IH78" s="74"/>
      <c r="II78" s="74"/>
      <c r="IJ78" s="74"/>
      <c r="IK78" s="74"/>
      <c r="IL78" s="74"/>
      <c r="IM78" s="74"/>
      <c r="IN78" s="74"/>
      <c r="IO78" s="74"/>
      <c r="IP78" s="74"/>
      <c r="IQ78" s="74"/>
      <c r="IR78" s="74"/>
      <c r="IS78" s="74"/>
      <c r="IT78" s="74"/>
      <c r="IU78" s="74"/>
      <c r="IV78" s="74"/>
      <c r="IW78" s="74"/>
      <c r="IX78" s="74"/>
      <c r="IY78" s="74"/>
      <c r="IZ78" s="74"/>
      <c r="JA78" s="74"/>
      <c r="JB78" s="74"/>
      <c r="JC78" s="74"/>
      <c r="JD78" s="74"/>
      <c r="JE78" s="74"/>
      <c r="JF78" s="74"/>
      <c r="JG78" s="74"/>
      <c r="JH78" s="74"/>
      <c r="JI78" s="74"/>
      <c r="JJ78" s="74"/>
      <c r="JK78" s="74"/>
      <c r="JL78" s="74"/>
      <c r="JM78" s="74"/>
      <c r="JN78" s="74"/>
      <c r="JO78" s="74"/>
      <c r="JP78" s="74"/>
      <c r="JQ78" s="74"/>
      <c r="JR78" s="74"/>
      <c r="JS78" s="74"/>
      <c r="JT78" s="74"/>
      <c r="JU78" s="74"/>
      <c r="JV78" s="74"/>
      <c r="JW78" s="74"/>
      <c r="JX78" s="74"/>
      <c r="JY78" s="74"/>
      <c r="JZ78" s="74"/>
      <c r="KA78" s="74"/>
      <c r="KB78" s="74"/>
      <c r="KC78" s="74"/>
      <c r="KD78" s="74"/>
      <c r="KE78" s="74"/>
      <c r="KF78" s="74"/>
      <c r="KG78" s="74"/>
      <c r="KH78" s="74"/>
      <c r="KI78" s="74"/>
      <c r="KJ78" s="74"/>
      <c r="KK78" s="74"/>
      <c r="KL78" s="74"/>
      <c r="KM78" s="74"/>
      <c r="KN78" s="74"/>
      <c r="KO78" s="74"/>
      <c r="KP78" s="74"/>
      <c r="KQ78" s="74"/>
      <c r="KR78" s="74"/>
      <c r="KS78" s="74"/>
      <c r="KT78" s="74"/>
      <c r="KU78" s="74"/>
      <c r="KV78" s="74"/>
      <c r="KW78" s="74"/>
      <c r="KX78" s="74"/>
      <c r="KY78" s="74"/>
      <c r="KZ78" s="74"/>
      <c r="LA78" s="74"/>
      <c r="LB78" s="74"/>
      <c r="LC78" s="74"/>
      <c r="LD78" s="74"/>
      <c r="LE78" s="74"/>
      <c r="LF78" s="74"/>
      <c r="LG78" s="74"/>
      <c r="LH78" s="74"/>
      <c r="LI78" s="74"/>
      <c r="LJ78" s="74"/>
      <c r="LK78" s="74"/>
      <c r="LL78" s="74"/>
      <c r="LM78" s="74"/>
      <c r="LN78" s="74"/>
      <c r="LO78" s="74"/>
      <c r="LP78" s="74"/>
      <c r="LQ78" s="74"/>
      <c r="LR78" s="74"/>
      <c r="LS78" s="74"/>
      <c r="LT78" s="74"/>
      <c r="LU78" s="74"/>
      <c r="LV78" s="74"/>
      <c r="LW78" s="74"/>
      <c r="LX78" s="74"/>
      <c r="LY78" s="74"/>
      <c r="LZ78" s="74"/>
      <c r="MA78" s="74"/>
      <c r="MB78" s="74"/>
      <c r="MC78" s="74"/>
      <c r="MD78" s="74"/>
      <c r="ME78" s="74"/>
      <c r="MF78" s="74"/>
      <c r="MG78" s="74"/>
      <c r="MH78" s="74"/>
      <c r="MI78" s="74"/>
      <c r="MJ78" s="74"/>
      <c r="MK78" s="74"/>
      <c r="ML78" s="74"/>
      <c r="MM78" s="74"/>
      <c r="MN78" s="74"/>
      <c r="MO78" s="74"/>
      <c r="MP78" s="74"/>
      <c r="MQ78" s="74"/>
      <c r="MR78" s="74"/>
      <c r="MS78" s="74"/>
      <c r="MT78" s="74"/>
      <c r="MU78" s="74"/>
      <c r="MV78" s="74"/>
      <c r="MW78" s="74"/>
      <c r="MX78" s="74"/>
      <c r="MY78" s="74"/>
      <c r="MZ78" s="74"/>
      <c r="NA78" s="74"/>
      <c r="NB78" s="74"/>
      <c r="NC78" s="74"/>
      <c r="ND78" s="74"/>
      <c r="NE78" s="74"/>
      <c r="NF78" s="74"/>
      <c r="NG78" s="74"/>
      <c r="NH78" s="74"/>
      <c r="NI78" s="74"/>
      <c r="NJ78" s="74"/>
      <c r="NK78" s="74"/>
      <c r="NL78" s="74"/>
      <c r="NM78" s="74"/>
      <c r="NN78" s="74"/>
      <c r="NO78" s="74"/>
      <c r="NP78" s="74"/>
      <c r="NQ78" s="74"/>
      <c r="NR78" s="74"/>
      <c r="NS78" s="74"/>
      <c r="NT78" s="74"/>
      <c r="NU78" s="74"/>
      <c r="NV78" s="74"/>
      <c r="NW78" s="74"/>
      <c r="NX78" s="10"/>
    </row>
    <row r="79" spans="2:388" x14ac:dyDescent="0.3">
      <c r="B79" s="26" t="s">
        <v>270</v>
      </c>
      <c r="C79" s="18"/>
      <c r="D79" s="86">
        <v>35</v>
      </c>
      <c r="E79" s="27">
        <v>10</v>
      </c>
      <c r="F79" s="27">
        <v>10</v>
      </c>
      <c r="G79" s="21"/>
      <c r="H79" s="30">
        <f>45*110*D79</f>
        <v>173250</v>
      </c>
      <c r="I79" s="21" t="s">
        <v>195</v>
      </c>
      <c r="J79" s="23">
        <f t="shared" ref="J79:J88" si="425">IFERROR(L79/D79,0)</f>
        <v>70500</v>
      </c>
      <c r="K79" s="29">
        <f t="shared" ref="K79:K88" si="426">IFERROR(L79/H79,0)</f>
        <v>14.242424242424242</v>
      </c>
      <c r="L79" s="30">
        <f>D79*70500</f>
        <v>2467500</v>
      </c>
      <c r="N79" s="9" t="s">
        <v>271</v>
      </c>
      <c r="S79" s="69" t="str">
        <f t="shared" ref="S79:S92" si="427">IF(ROUND(L79,0)=ROUND(SUM(T79:GQ79),0),"OK","ERROR")</f>
        <v>OK</v>
      </c>
      <c r="T79" s="50">
        <f t="shared" ref="T79:T89" si="428">AND(T$14&gt;=$E79,T$14&lt;=$F79)*($L79/($F79-$E79+1))</f>
        <v>0</v>
      </c>
      <c r="U79" s="50">
        <f t="shared" ref="U79:AJ89" si="429">AND(U$14&gt;=$E79,U$14&lt;=$F79)*($L79/($F79-$E79+1))</f>
        <v>0</v>
      </c>
      <c r="V79" s="50">
        <f t="shared" si="429"/>
        <v>0</v>
      </c>
      <c r="W79" s="50">
        <f t="shared" si="429"/>
        <v>0</v>
      </c>
      <c r="X79" s="50">
        <f t="shared" si="429"/>
        <v>0</v>
      </c>
      <c r="Y79" s="50">
        <f t="shared" si="429"/>
        <v>0</v>
      </c>
      <c r="Z79" s="50">
        <f t="shared" si="429"/>
        <v>0</v>
      </c>
      <c r="AA79" s="50">
        <f t="shared" si="429"/>
        <v>0</v>
      </c>
      <c r="AB79" s="50">
        <f t="shared" si="429"/>
        <v>0</v>
      </c>
      <c r="AC79" s="50">
        <f t="shared" si="429"/>
        <v>2467500</v>
      </c>
      <c r="AD79" s="50">
        <f t="shared" si="429"/>
        <v>0</v>
      </c>
      <c r="AE79" s="50">
        <f t="shared" si="429"/>
        <v>0</v>
      </c>
      <c r="AF79" s="50">
        <f t="shared" si="429"/>
        <v>0</v>
      </c>
      <c r="AG79" s="50">
        <f t="shared" si="429"/>
        <v>0</v>
      </c>
      <c r="AH79" s="50">
        <f t="shared" si="429"/>
        <v>0</v>
      </c>
      <c r="AI79" s="50">
        <f t="shared" si="429"/>
        <v>0</v>
      </c>
      <c r="AJ79" s="50">
        <f t="shared" si="429"/>
        <v>0</v>
      </c>
      <c r="AK79" s="50">
        <f t="shared" ref="AK79:AZ89" si="430">AND(AK$14&gt;=$E79,AK$14&lt;=$F79)*($L79/($F79-$E79+1))</f>
        <v>0</v>
      </c>
      <c r="AL79" s="50">
        <f t="shared" si="430"/>
        <v>0</v>
      </c>
      <c r="AM79" s="50">
        <f t="shared" si="430"/>
        <v>0</v>
      </c>
      <c r="AN79" s="50">
        <f t="shared" si="430"/>
        <v>0</v>
      </c>
      <c r="AO79" s="50">
        <f t="shared" si="430"/>
        <v>0</v>
      </c>
      <c r="AP79" s="50">
        <f t="shared" si="430"/>
        <v>0</v>
      </c>
      <c r="AQ79" s="50">
        <f t="shared" si="430"/>
        <v>0</v>
      </c>
      <c r="AR79" s="50">
        <f t="shared" si="430"/>
        <v>0</v>
      </c>
      <c r="AS79" s="50">
        <f t="shared" si="430"/>
        <v>0</v>
      </c>
      <c r="AT79" s="50">
        <f t="shared" si="430"/>
        <v>0</v>
      </c>
      <c r="AU79" s="50">
        <f t="shared" si="430"/>
        <v>0</v>
      </c>
      <c r="AV79" s="50">
        <f t="shared" si="430"/>
        <v>0</v>
      </c>
      <c r="AW79" s="50">
        <f t="shared" si="430"/>
        <v>0</v>
      </c>
      <c r="AX79" s="50">
        <f t="shared" si="430"/>
        <v>0</v>
      </c>
      <c r="AY79" s="50">
        <f t="shared" si="430"/>
        <v>0</v>
      </c>
      <c r="AZ79" s="50">
        <f t="shared" si="430"/>
        <v>0</v>
      </c>
      <c r="BA79" s="50">
        <f t="shared" ref="BA79:BP89" si="431">AND(BA$14&gt;=$E79,BA$14&lt;=$F79)*($L79/($F79-$E79+1))</f>
        <v>0</v>
      </c>
      <c r="BB79" s="50">
        <f t="shared" si="431"/>
        <v>0</v>
      </c>
      <c r="BC79" s="50">
        <f t="shared" si="431"/>
        <v>0</v>
      </c>
      <c r="BD79" s="50">
        <f t="shared" si="431"/>
        <v>0</v>
      </c>
      <c r="BE79" s="50">
        <f t="shared" si="431"/>
        <v>0</v>
      </c>
      <c r="BF79" s="50">
        <f t="shared" si="431"/>
        <v>0</v>
      </c>
      <c r="BG79" s="50">
        <f t="shared" si="431"/>
        <v>0</v>
      </c>
      <c r="BH79" s="50">
        <f t="shared" si="431"/>
        <v>0</v>
      </c>
      <c r="BI79" s="50">
        <f t="shared" si="431"/>
        <v>0</v>
      </c>
      <c r="BJ79" s="50">
        <f t="shared" si="431"/>
        <v>0</v>
      </c>
      <c r="BK79" s="50">
        <f t="shared" si="431"/>
        <v>0</v>
      </c>
      <c r="BL79" s="50">
        <f t="shared" si="431"/>
        <v>0</v>
      </c>
      <c r="BM79" s="50">
        <f t="shared" si="431"/>
        <v>0</v>
      </c>
      <c r="BN79" s="50">
        <f t="shared" si="431"/>
        <v>0</v>
      </c>
      <c r="BO79" s="50">
        <f t="shared" si="431"/>
        <v>0</v>
      </c>
      <c r="BP79" s="50">
        <f t="shared" si="431"/>
        <v>0</v>
      </c>
      <c r="BQ79" s="50">
        <f t="shared" ref="BQ79:CF89" si="432">AND(BQ$14&gt;=$E79,BQ$14&lt;=$F79)*($L79/($F79-$E79+1))</f>
        <v>0</v>
      </c>
      <c r="BR79" s="50">
        <f t="shared" si="432"/>
        <v>0</v>
      </c>
      <c r="BS79" s="50">
        <f t="shared" si="432"/>
        <v>0</v>
      </c>
      <c r="BT79" s="50">
        <f t="shared" si="432"/>
        <v>0</v>
      </c>
      <c r="BU79" s="50">
        <f t="shared" si="432"/>
        <v>0</v>
      </c>
      <c r="BV79" s="50">
        <f t="shared" si="432"/>
        <v>0</v>
      </c>
      <c r="BW79" s="50">
        <f t="shared" si="432"/>
        <v>0</v>
      </c>
      <c r="BX79" s="50">
        <f t="shared" si="432"/>
        <v>0</v>
      </c>
      <c r="BY79" s="50">
        <f t="shared" si="432"/>
        <v>0</v>
      </c>
      <c r="BZ79" s="50">
        <f t="shared" si="432"/>
        <v>0</v>
      </c>
      <c r="CA79" s="50">
        <f t="shared" si="432"/>
        <v>0</v>
      </c>
      <c r="CB79" s="50">
        <f t="shared" si="432"/>
        <v>0</v>
      </c>
      <c r="CC79" s="50">
        <f t="shared" si="432"/>
        <v>0</v>
      </c>
      <c r="CD79" s="50">
        <f t="shared" si="432"/>
        <v>0</v>
      </c>
      <c r="CE79" s="50">
        <f t="shared" si="432"/>
        <v>0</v>
      </c>
      <c r="CF79" s="50">
        <f t="shared" si="432"/>
        <v>0</v>
      </c>
      <c r="CG79" s="50">
        <f t="shared" ref="CG79:CV89" si="433">AND(CG$14&gt;=$E79,CG$14&lt;=$F79)*($L79/($F79-$E79+1))</f>
        <v>0</v>
      </c>
      <c r="CH79" s="50">
        <f t="shared" si="433"/>
        <v>0</v>
      </c>
      <c r="CI79" s="50">
        <f t="shared" si="433"/>
        <v>0</v>
      </c>
      <c r="CJ79" s="50">
        <f t="shared" si="433"/>
        <v>0</v>
      </c>
      <c r="CK79" s="50">
        <f t="shared" si="433"/>
        <v>0</v>
      </c>
      <c r="CL79" s="50">
        <f t="shared" si="433"/>
        <v>0</v>
      </c>
      <c r="CM79" s="50">
        <f t="shared" si="433"/>
        <v>0</v>
      </c>
      <c r="CN79" s="50">
        <f t="shared" si="433"/>
        <v>0</v>
      </c>
      <c r="CO79" s="50">
        <f t="shared" si="433"/>
        <v>0</v>
      </c>
      <c r="CP79" s="50">
        <f t="shared" si="433"/>
        <v>0</v>
      </c>
      <c r="CQ79" s="50">
        <f t="shared" si="433"/>
        <v>0</v>
      </c>
      <c r="CR79" s="50">
        <f t="shared" si="433"/>
        <v>0</v>
      </c>
      <c r="CS79" s="50">
        <f t="shared" si="433"/>
        <v>0</v>
      </c>
      <c r="CT79" s="50">
        <f t="shared" si="433"/>
        <v>0</v>
      </c>
      <c r="CU79" s="50">
        <f t="shared" si="433"/>
        <v>0</v>
      </c>
      <c r="CV79" s="50">
        <f t="shared" si="433"/>
        <v>0</v>
      </c>
      <c r="CW79" s="50">
        <f t="shared" ref="CW79:DL89" si="434">AND(CW$14&gt;=$E79,CW$14&lt;=$F79)*($L79/($F79-$E79+1))</f>
        <v>0</v>
      </c>
      <c r="CX79" s="50">
        <f t="shared" si="434"/>
        <v>0</v>
      </c>
      <c r="CY79" s="50">
        <f t="shared" si="434"/>
        <v>0</v>
      </c>
      <c r="CZ79" s="50">
        <f t="shared" si="434"/>
        <v>0</v>
      </c>
      <c r="DA79" s="50">
        <f t="shared" si="434"/>
        <v>0</v>
      </c>
      <c r="DB79" s="50">
        <f t="shared" si="434"/>
        <v>0</v>
      </c>
      <c r="DC79" s="50">
        <f t="shared" si="434"/>
        <v>0</v>
      </c>
      <c r="DD79" s="50">
        <f t="shared" si="434"/>
        <v>0</v>
      </c>
      <c r="DE79" s="50">
        <f t="shared" si="434"/>
        <v>0</v>
      </c>
      <c r="DF79" s="50">
        <f t="shared" si="434"/>
        <v>0</v>
      </c>
      <c r="DG79" s="50">
        <f t="shared" si="434"/>
        <v>0</v>
      </c>
      <c r="DH79" s="50">
        <f t="shared" si="434"/>
        <v>0</v>
      </c>
      <c r="DI79" s="50">
        <f t="shared" si="434"/>
        <v>0</v>
      </c>
      <c r="DJ79" s="50">
        <f t="shared" si="434"/>
        <v>0</v>
      </c>
      <c r="DK79" s="50">
        <f t="shared" si="434"/>
        <v>0</v>
      </c>
      <c r="DL79" s="50">
        <f t="shared" si="434"/>
        <v>0</v>
      </c>
      <c r="DM79" s="50">
        <f t="shared" ref="DM79:EB89" si="435">AND(DM$14&gt;=$E79,DM$14&lt;=$F79)*($L79/($F79-$E79+1))</f>
        <v>0</v>
      </c>
      <c r="DN79" s="50">
        <f t="shared" si="435"/>
        <v>0</v>
      </c>
      <c r="DO79" s="50">
        <f t="shared" si="435"/>
        <v>0</v>
      </c>
      <c r="DP79" s="50">
        <f t="shared" si="435"/>
        <v>0</v>
      </c>
      <c r="DQ79" s="50">
        <f t="shared" si="435"/>
        <v>0</v>
      </c>
      <c r="DR79" s="50">
        <f t="shared" si="435"/>
        <v>0</v>
      </c>
      <c r="DS79" s="50">
        <f t="shared" si="435"/>
        <v>0</v>
      </c>
      <c r="DT79" s="50">
        <f t="shared" si="435"/>
        <v>0</v>
      </c>
      <c r="DU79" s="50">
        <f t="shared" si="435"/>
        <v>0</v>
      </c>
      <c r="DV79" s="50">
        <f t="shared" si="435"/>
        <v>0</v>
      </c>
      <c r="DW79" s="50">
        <f t="shared" si="435"/>
        <v>0</v>
      </c>
      <c r="DX79" s="50">
        <f t="shared" si="435"/>
        <v>0</v>
      </c>
      <c r="DY79" s="50">
        <f t="shared" si="435"/>
        <v>0</v>
      </c>
      <c r="DZ79" s="50">
        <f t="shared" si="435"/>
        <v>0</v>
      </c>
      <c r="EA79" s="50">
        <f t="shared" si="435"/>
        <v>0</v>
      </c>
      <c r="EB79" s="50">
        <f t="shared" si="435"/>
        <v>0</v>
      </c>
      <c r="EC79" s="50">
        <f t="shared" ref="EC79:ER89" si="436">AND(EC$14&gt;=$E79,EC$14&lt;=$F79)*($L79/($F79-$E79+1))</f>
        <v>0</v>
      </c>
      <c r="ED79" s="50">
        <f t="shared" si="436"/>
        <v>0</v>
      </c>
      <c r="EE79" s="50">
        <f t="shared" si="436"/>
        <v>0</v>
      </c>
      <c r="EF79" s="50">
        <f t="shared" si="436"/>
        <v>0</v>
      </c>
      <c r="EG79" s="50">
        <f t="shared" si="436"/>
        <v>0</v>
      </c>
      <c r="EH79" s="50">
        <f t="shared" si="436"/>
        <v>0</v>
      </c>
      <c r="EI79" s="50">
        <f t="shared" si="436"/>
        <v>0</v>
      </c>
      <c r="EJ79" s="50">
        <f t="shared" si="436"/>
        <v>0</v>
      </c>
      <c r="EK79" s="50">
        <f t="shared" si="436"/>
        <v>0</v>
      </c>
      <c r="EL79" s="50">
        <f t="shared" si="436"/>
        <v>0</v>
      </c>
      <c r="EM79" s="50">
        <f t="shared" si="436"/>
        <v>0</v>
      </c>
      <c r="EN79" s="50">
        <f t="shared" si="436"/>
        <v>0</v>
      </c>
      <c r="EO79" s="50">
        <f t="shared" si="436"/>
        <v>0</v>
      </c>
      <c r="EP79" s="50">
        <f t="shared" si="436"/>
        <v>0</v>
      </c>
      <c r="EQ79" s="50">
        <f t="shared" si="436"/>
        <v>0</v>
      </c>
      <c r="ER79" s="50">
        <f t="shared" si="436"/>
        <v>0</v>
      </c>
      <c r="ES79" s="50">
        <f t="shared" ref="ES79:FH89" si="437">AND(ES$14&gt;=$E79,ES$14&lt;=$F79)*($L79/($F79-$E79+1))</f>
        <v>0</v>
      </c>
      <c r="ET79" s="50">
        <f t="shared" si="437"/>
        <v>0</v>
      </c>
      <c r="EU79" s="50">
        <f t="shared" si="437"/>
        <v>0</v>
      </c>
      <c r="EV79" s="50">
        <f t="shared" si="437"/>
        <v>0</v>
      </c>
      <c r="EW79" s="50">
        <f t="shared" si="437"/>
        <v>0</v>
      </c>
      <c r="EX79" s="50">
        <f t="shared" si="437"/>
        <v>0</v>
      </c>
      <c r="EY79" s="50">
        <f t="shared" si="437"/>
        <v>0</v>
      </c>
      <c r="EZ79" s="50">
        <f t="shared" si="437"/>
        <v>0</v>
      </c>
      <c r="FA79" s="50">
        <f t="shared" si="437"/>
        <v>0</v>
      </c>
      <c r="FB79" s="50">
        <f t="shared" si="437"/>
        <v>0</v>
      </c>
      <c r="FC79" s="50">
        <f t="shared" si="437"/>
        <v>0</v>
      </c>
      <c r="FD79" s="50">
        <f t="shared" si="437"/>
        <v>0</v>
      </c>
      <c r="FE79" s="50">
        <f t="shared" si="437"/>
        <v>0</v>
      </c>
      <c r="FF79" s="50">
        <f t="shared" si="437"/>
        <v>0</v>
      </c>
      <c r="FG79" s="50">
        <f t="shared" si="437"/>
        <v>0</v>
      </c>
      <c r="FH79" s="50">
        <f t="shared" si="437"/>
        <v>0</v>
      </c>
      <c r="FI79" s="50">
        <f t="shared" ref="FI79:FX89" si="438">AND(FI$14&gt;=$E79,FI$14&lt;=$F79)*($L79/($F79-$E79+1))</f>
        <v>0</v>
      </c>
      <c r="FJ79" s="50">
        <f t="shared" si="438"/>
        <v>0</v>
      </c>
      <c r="FK79" s="50">
        <f t="shared" si="438"/>
        <v>0</v>
      </c>
      <c r="FL79" s="50">
        <f t="shared" si="438"/>
        <v>0</v>
      </c>
      <c r="FM79" s="50">
        <f t="shared" si="438"/>
        <v>0</v>
      </c>
      <c r="FN79" s="50">
        <f t="shared" si="438"/>
        <v>0</v>
      </c>
      <c r="FO79" s="50">
        <f t="shared" si="438"/>
        <v>0</v>
      </c>
      <c r="FP79" s="50">
        <f t="shared" si="438"/>
        <v>0</v>
      </c>
      <c r="FQ79" s="50">
        <f t="shared" si="438"/>
        <v>0</v>
      </c>
      <c r="FR79" s="50">
        <f t="shared" si="438"/>
        <v>0</v>
      </c>
      <c r="FS79" s="50">
        <f t="shared" si="438"/>
        <v>0</v>
      </c>
      <c r="FT79" s="50">
        <f t="shared" si="438"/>
        <v>0</v>
      </c>
      <c r="FU79" s="50">
        <f t="shared" si="438"/>
        <v>0</v>
      </c>
      <c r="FV79" s="50">
        <f t="shared" si="438"/>
        <v>0</v>
      </c>
      <c r="FW79" s="50">
        <f t="shared" si="438"/>
        <v>0</v>
      </c>
      <c r="FX79" s="50">
        <f t="shared" si="438"/>
        <v>0</v>
      </c>
      <c r="FY79" s="50">
        <f t="shared" ref="FY79:GN89" si="439">AND(FY$14&gt;=$E79,FY$14&lt;=$F79)*($L79/($F79-$E79+1))</f>
        <v>0</v>
      </c>
      <c r="FZ79" s="50">
        <f t="shared" si="439"/>
        <v>0</v>
      </c>
      <c r="GA79" s="50">
        <f t="shared" si="439"/>
        <v>0</v>
      </c>
      <c r="GB79" s="50">
        <f t="shared" si="439"/>
        <v>0</v>
      </c>
      <c r="GC79" s="50">
        <f t="shared" si="439"/>
        <v>0</v>
      </c>
      <c r="GD79" s="50">
        <f t="shared" si="439"/>
        <v>0</v>
      </c>
      <c r="GE79" s="50">
        <f t="shared" si="439"/>
        <v>0</v>
      </c>
      <c r="GF79" s="50">
        <f t="shared" si="439"/>
        <v>0</v>
      </c>
      <c r="GG79" s="50">
        <f t="shared" si="439"/>
        <v>0</v>
      </c>
      <c r="GH79" s="50">
        <f t="shared" si="439"/>
        <v>0</v>
      </c>
      <c r="GI79" s="50">
        <f t="shared" si="439"/>
        <v>0</v>
      </c>
      <c r="GJ79" s="50">
        <f t="shared" si="439"/>
        <v>0</v>
      </c>
      <c r="GK79" s="50">
        <f t="shared" si="439"/>
        <v>0</v>
      </c>
      <c r="GL79" s="50">
        <f t="shared" si="439"/>
        <v>0</v>
      </c>
      <c r="GM79" s="50">
        <f t="shared" si="439"/>
        <v>0</v>
      </c>
      <c r="GN79" s="50">
        <f t="shared" si="439"/>
        <v>0</v>
      </c>
      <c r="GO79" s="50">
        <f t="shared" ref="GO79:GQ89" si="440">AND(GO$14&gt;=$E79,GO$14&lt;=$F79)*($L79/($F79-$E79+1))</f>
        <v>0</v>
      </c>
      <c r="GP79" s="50">
        <f t="shared" si="440"/>
        <v>0</v>
      </c>
      <c r="GQ79" s="50">
        <f t="shared" si="440"/>
        <v>0</v>
      </c>
      <c r="GR79" s="9"/>
      <c r="GS79" s="70"/>
      <c r="GT79" s="77"/>
      <c r="GU79" s="78"/>
      <c r="GV79" s="78"/>
      <c r="GW79" s="78"/>
      <c r="GX79" s="79"/>
      <c r="GY79" s="79"/>
      <c r="GZ79" s="77"/>
      <c r="HA79" s="77"/>
      <c r="HB79" s="77"/>
      <c r="HC79" s="77"/>
      <c r="HD79" s="77"/>
      <c r="HE79" s="77"/>
      <c r="HF79" s="77"/>
      <c r="HG79" s="77"/>
      <c r="HH79" s="77"/>
      <c r="HI79" s="77"/>
      <c r="HJ79" s="77"/>
      <c r="HK79" s="77"/>
      <c r="HL79" s="77"/>
      <c r="HM79" s="77"/>
      <c r="HN79" s="77"/>
      <c r="HO79" s="77"/>
      <c r="HP79" s="77"/>
      <c r="HQ79" s="77"/>
      <c r="HR79" s="77"/>
      <c r="HS79" s="77"/>
      <c r="HT79" s="77"/>
      <c r="HU79" s="77"/>
      <c r="HV79" s="77"/>
      <c r="HW79" s="77"/>
      <c r="HX79" s="77"/>
      <c r="HY79" s="77"/>
      <c r="HZ79" s="77"/>
      <c r="IA79" s="77"/>
      <c r="IB79" s="77"/>
      <c r="IC79" s="77"/>
      <c r="ID79" s="77"/>
      <c r="IE79" s="77"/>
      <c r="IF79" s="77"/>
      <c r="IG79" s="77"/>
      <c r="IH79" s="77"/>
      <c r="II79" s="77"/>
      <c r="IJ79" s="77"/>
      <c r="IK79" s="77"/>
      <c r="IL79" s="77"/>
      <c r="IM79" s="77"/>
      <c r="IN79" s="77"/>
      <c r="IO79" s="77"/>
      <c r="IP79" s="77"/>
      <c r="IQ79" s="77"/>
      <c r="IR79" s="77"/>
      <c r="IS79" s="77"/>
      <c r="IT79" s="77"/>
      <c r="IU79" s="77"/>
      <c r="IV79" s="77"/>
      <c r="IW79" s="77"/>
      <c r="IX79" s="77"/>
      <c r="IY79" s="77"/>
      <c r="IZ79" s="77"/>
      <c r="JA79" s="77"/>
      <c r="JB79" s="77"/>
      <c r="JC79" s="77"/>
      <c r="JD79" s="77"/>
      <c r="JE79" s="77"/>
      <c r="JF79" s="77"/>
      <c r="JG79" s="77"/>
      <c r="JH79" s="77"/>
      <c r="JI79" s="77"/>
      <c r="JJ79" s="77"/>
      <c r="JK79" s="77"/>
      <c r="JL79" s="77"/>
      <c r="JM79" s="77"/>
      <c r="JN79" s="77"/>
      <c r="JO79" s="77"/>
      <c r="JP79" s="77"/>
      <c r="JQ79" s="77"/>
      <c r="JR79" s="77"/>
      <c r="JS79" s="77"/>
      <c r="JT79" s="77"/>
      <c r="JU79" s="77"/>
      <c r="JV79" s="77"/>
      <c r="JW79" s="77"/>
      <c r="JX79" s="77"/>
      <c r="JY79" s="77"/>
      <c r="JZ79" s="77"/>
      <c r="KA79" s="77"/>
      <c r="KB79" s="77"/>
      <c r="KC79" s="77"/>
      <c r="KD79" s="77"/>
      <c r="KE79" s="77"/>
      <c r="KF79" s="77"/>
      <c r="KG79" s="77"/>
      <c r="KH79" s="77"/>
      <c r="KI79" s="77"/>
      <c r="KJ79" s="77"/>
      <c r="KK79" s="77"/>
      <c r="KL79" s="77"/>
      <c r="KM79" s="77"/>
      <c r="KN79" s="77"/>
      <c r="KO79" s="77"/>
      <c r="KP79" s="77"/>
      <c r="KQ79" s="77"/>
      <c r="KR79" s="77"/>
      <c r="KS79" s="77"/>
      <c r="KT79" s="77"/>
      <c r="KU79" s="77"/>
      <c r="KV79" s="77"/>
      <c r="KW79" s="77"/>
      <c r="KX79" s="77"/>
      <c r="KY79" s="77"/>
      <c r="KZ79" s="77"/>
      <c r="LA79" s="77"/>
      <c r="LB79" s="77"/>
      <c r="LC79" s="77"/>
      <c r="LD79" s="77"/>
      <c r="LE79" s="77"/>
      <c r="LF79" s="77"/>
      <c r="LG79" s="77"/>
      <c r="LH79" s="77"/>
      <c r="LI79" s="77"/>
      <c r="LJ79" s="77"/>
      <c r="LK79" s="77"/>
      <c r="LL79" s="77"/>
      <c r="LM79" s="77"/>
      <c r="LN79" s="77"/>
      <c r="LO79" s="77"/>
      <c r="LP79" s="77"/>
      <c r="LQ79" s="77"/>
      <c r="LR79" s="77"/>
      <c r="LS79" s="77"/>
      <c r="LT79" s="77"/>
      <c r="LU79" s="77"/>
      <c r="LV79" s="77"/>
      <c r="LW79" s="77"/>
      <c r="LX79" s="77"/>
      <c r="LY79" s="77"/>
      <c r="LZ79" s="77"/>
      <c r="MA79" s="77"/>
      <c r="MB79" s="77"/>
      <c r="MC79" s="77"/>
      <c r="MD79" s="77"/>
      <c r="ME79" s="77"/>
      <c r="MF79" s="77"/>
      <c r="MG79" s="77"/>
      <c r="MH79" s="77"/>
      <c r="MI79" s="77"/>
      <c r="MJ79" s="77"/>
      <c r="MK79" s="77"/>
      <c r="ML79" s="77"/>
      <c r="MM79" s="77"/>
      <c r="MN79" s="77"/>
      <c r="MO79" s="77"/>
      <c r="MP79" s="77"/>
      <c r="MQ79" s="77"/>
      <c r="MR79" s="77"/>
      <c r="MS79" s="77"/>
      <c r="MT79" s="77"/>
      <c r="MU79" s="77"/>
      <c r="MV79" s="77"/>
      <c r="MW79" s="77"/>
      <c r="MX79" s="77"/>
      <c r="MY79" s="77"/>
      <c r="MZ79" s="77"/>
      <c r="NA79" s="77"/>
      <c r="NB79" s="77"/>
      <c r="NC79" s="77"/>
      <c r="ND79" s="77"/>
      <c r="NE79" s="77"/>
      <c r="NF79" s="77"/>
      <c r="NG79" s="77"/>
      <c r="NH79" s="77"/>
      <c r="NI79" s="77"/>
      <c r="NJ79" s="77"/>
      <c r="NK79" s="77"/>
      <c r="NL79" s="77"/>
      <c r="NM79" s="77"/>
      <c r="NN79" s="77"/>
      <c r="NO79" s="77"/>
      <c r="NP79" s="77"/>
      <c r="NQ79" s="77"/>
      <c r="NR79" s="77"/>
      <c r="NS79" s="77"/>
      <c r="NT79" s="77"/>
      <c r="NU79" s="77"/>
      <c r="NV79" s="77"/>
      <c r="NW79" s="77"/>
      <c r="NX79" s="10"/>
    </row>
    <row r="80" spans="2:388" x14ac:dyDescent="0.3">
      <c r="B80" s="26" t="s">
        <v>272</v>
      </c>
      <c r="C80" s="18"/>
      <c r="D80" s="86">
        <v>25</v>
      </c>
      <c r="E80" s="27">
        <v>12</v>
      </c>
      <c r="F80" s="27">
        <v>12</v>
      </c>
      <c r="G80" s="21"/>
      <c r="H80" s="30">
        <f>21*52*D80</f>
        <v>27300</v>
      </c>
      <c r="I80" s="21" t="s">
        <v>195</v>
      </c>
      <c r="J80" s="23">
        <f t="shared" si="425"/>
        <v>60500</v>
      </c>
      <c r="K80" s="29">
        <f t="shared" si="426"/>
        <v>55.402930402930401</v>
      </c>
      <c r="L80" s="30">
        <f>D80*60500</f>
        <v>1512500</v>
      </c>
      <c r="N80" s="9" t="s">
        <v>271</v>
      </c>
      <c r="S80" s="69" t="str">
        <f t="shared" si="427"/>
        <v>OK</v>
      </c>
      <c r="T80" s="50">
        <f t="shared" si="428"/>
        <v>0</v>
      </c>
      <c r="U80" s="50">
        <f t="shared" si="429"/>
        <v>0</v>
      </c>
      <c r="V80" s="50">
        <f t="shared" si="429"/>
        <v>0</v>
      </c>
      <c r="W80" s="50">
        <f t="shared" si="429"/>
        <v>0</v>
      </c>
      <c r="X80" s="50">
        <f t="shared" si="429"/>
        <v>0</v>
      </c>
      <c r="Y80" s="50">
        <f t="shared" si="429"/>
        <v>0</v>
      </c>
      <c r="Z80" s="50">
        <f t="shared" si="429"/>
        <v>0</v>
      </c>
      <c r="AA80" s="50">
        <f t="shared" si="429"/>
        <v>0</v>
      </c>
      <c r="AB80" s="50">
        <f t="shared" si="429"/>
        <v>0</v>
      </c>
      <c r="AC80" s="50">
        <f t="shared" si="429"/>
        <v>0</v>
      </c>
      <c r="AD80" s="50">
        <f t="shared" si="429"/>
        <v>0</v>
      </c>
      <c r="AE80" s="50">
        <f t="shared" si="429"/>
        <v>1512500</v>
      </c>
      <c r="AF80" s="50">
        <f t="shared" si="429"/>
        <v>0</v>
      </c>
      <c r="AG80" s="50">
        <f t="shared" si="429"/>
        <v>0</v>
      </c>
      <c r="AH80" s="50">
        <f t="shared" si="429"/>
        <v>0</v>
      </c>
      <c r="AI80" s="50">
        <f t="shared" si="429"/>
        <v>0</v>
      </c>
      <c r="AJ80" s="50">
        <f t="shared" si="429"/>
        <v>0</v>
      </c>
      <c r="AK80" s="50">
        <f t="shared" si="430"/>
        <v>0</v>
      </c>
      <c r="AL80" s="50">
        <f t="shared" si="430"/>
        <v>0</v>
      </c>
      <c r="AM80" s="50">
        <f t="shared" si="430"/>
        <v>0</v>
      </c>
      <c r="AN80" s="50">
        <f t="shared" si="430"/>
        <v>0</v>
      </c>
      <c r="AO80" s="50">
        <f t="shared" si="430"/>
        <v>0</v>
      </c>
      <c r="AP80" s="50">
        <f t="shared" si="430"/>
        <v>0</v>
      </c>
      <c r="AQ80" s="50">
        <f t="shared" si="430"/>
        <v>0</v>
      </c>
      <c r="AR80" s="50">
        <f t="shared" si="430"/>
        <v>0</v>
      </c>
      <c r="AS80" s="50">
        <f t="shared" si="430"/>
        <v>0</v>
      </c>
      <c r="AT80" s="50">
        <f t="shared" si="430"/>
        <v>0</v>
      </c>
      <c r="AU80" s="50">
        <f t="shared" si="430"/>
        <v>0</v>
      </c>
      <c r="AV80" s="50">
        <f t="shared" si="430"/>
        <v>0</v>
      </c>
      <c r="AW80" s="50">
        <f t="shared" si="430"/>
        <v>0</v>
      </c>
      <c r="AX80" s="50">
        <f t="shared" si="430"/>
        <v>0</v>
      </c>
      <c r="AY80" s="50">
        <f t="shared" si="430"/>
        <v>0</v>
      </c>
      <c r="AZ80" s="50">
        <f t="shared" si="430"/>
        <v>0</v>
      </c>
      <c r="BA80" s="50">
        <f t="shared" si="431"/>
        <v>0</v>
      </c>
      <c r="BB80" s="50">
        <f t="shared" si="431"/>
        <v>0</v>
      </c>
      <c r="BC80" s="50">
        <f t="shared" si="431"/>
        <v>0</v>
      </c>
      <c r="BD80" s="50">
        <f t="shared" si="431"/>
        <v>0</v>
      </c>
      <c r="BE80" s="50">
        <f t="shared" si="431"/>
        <v>0</v>
      </c>
      <c r="BF80" s="50">
        <f t="shared" si="431"/>
        <v>0</v>
      </c>
      <c r="BG80" s="50">
        <f t="shared" si="431"/>
        <v>0</v>
      </c>
      <c r="BH80" s="50">
        <f t="shared" si="431"/>
        <v>0</v>
      </c>
      <c r="BI80" s="50">
        <f t="shared" si="431"/>
        <v>0</v>
      </c>
      <c r="BJ80" s="50">
        <f t="shared" si="431"/>
        <v>0</v>
      </c>
      <c r="BK80" s="50">
        <f t="shared" si="431"/>
        <v>0</v>
      </c>
      <c r="BL80" s="50">
        <f t="shared" si="431"/>
        <v>0</v>
      </c>
      <c r="BM80" s="50">
        <f t="shared" si="431"/>
        <v>0</v>
      </c>
      <c r="BN80" s="50">
        <f t="shared" si="431"/>
        <v>0</v>
      </c>
      <c r="BO80" s="50">
        <f t="shared" si="431"/>
        <v>0</v>
      </c>
      <c r="BP80" s="50">
        <f t="shared" si="431"/>
        <v>0</v>
      </c>
      <c r="BQ80" s="50">
        <f t="shared" si="432"/>
        <v>0</v>
      </c>
      <c r="BR80" s="50">
        <f t="shared" si="432"/>
        <v>0</v>
      </c>
      <c r="BS80" s="50">
        <f t="shared" si="432"/>
        <v>0</v>
      </c>
      <c r="BT80" s="50">
        <f t="shared" si="432"/>
        <v>0</v>
      </c>
      <c r="BU80" s="50">
        <f t="shared" si="432"/>
        <v>0</v>
      </c>
      <c r="BV80" s="50">
        <f t="shared" si="432"/>
        <v>0</v>
      </c>
      <c r="BW80" s="50">
        <f t="shared" si="432"/>
        <v>0</v>
      </c>
      <c r="BX80" s="50">
        <f t="shared" si="432"/>
        <v>0</v>
      </c>
      <c r="BY80" s="50">
        <f t="shared" si="432"/>
        <v>0</v>
      </c>
      <c r="BZ80" s="50">
        <f t="shared" si="432"/>
        <v>0</v>
      </c>
      <c r="CA80" s="50">
        <f t="shared" si="432"/>
        <v>0</v>
      </c>
      <c r="CB80" s="50">
        <f t="shared" si="432"/>
        <v>0</v>
      </c>
      <c r="CC80" s="50">
        <f t="shared" si="432"/>
        <v>0</v>
      </c>
      <c r="CD80" s="50">
        <f t="shared" si="432"/>
        <v>0</v>
      </c>
      <c r="CE80" s="50">
        <f t="shared" si="432"/>
        <v>0</v>
      </c>
      <c r="CF80" s="50">
        <f t="shared" si="432"/>
        <v>0</v>
      </c>
      <c r="CG80" s="50">
        <f t="shared" si="433"/>
        <v>0</v>
      </c>
      <c r="CH80" s="50">
        <f t="shared" si="433"/>
        <v>0</v>
      </c>
      <c r="CI80" s="50">
        <f t="shared" si="433"/>
        <v>0</v>
      </c>
      <c r="CJ80" s="50">
        <f t="shared" si="433"/>
        <v>0</v>
      </c>
      <c r="CK80" s="50">
        <f t="shared" si="433"/>
        <v>0</v>
      </c>
      <c r="CL80" s="50">
        <f t="shared" si="433"/>
        <v>0</v>
      </c>
      <c r="CM80" s="50">
        <f t="shared" si="433"/>
        <v>0</v>
      </c>
      <c r="CN80" s="50">
        <f t="shared" si="433"/>
        <v>0</v>
      </c>
      <c r="CO80" s="50">
        <f t="shared" si="433"/>
        <v>0</v>
      </c>
      <c r="CP80" s="50">
        <f t="shared" si="433"/>
        <v>0</v>
      </c>
      <c r="CQ80" s="50">
        <f t="shared" si="433"/>
        <v>0</v>
      </c>
      <c r="CR80" s="50">
        <f t="shared" si="433"/>
        <v>0</v>
      </c>
      <c r="CS80" s="50">
        <f t="shared" si="433"/>
        <v>0</v>
      </c>
      <c r="CT80" s="50">
        <f t="shared" si="433"/>
        <v>0</v>
      </c>
      <c r="CU80" s="50">
        <f t="shared" si="433"/>
        <v>0</v>
      </c>
      <c r="CV80" s="50">
        <f t="shared" si="433"/>
        <v>0</v>
      </c>
      <c r="CW80" s="50">
        <f t="shared" si="434"/>
        <v>0</v>
      </c>
      <c r="CX80" s="50">
        <f t="shared" si="434"/>
        <v>0</v>
      </c>
      <c r="CY80" s="50">
        <f t="shared" si="434"/>
        <v>0</v>
      </c>
      <c r="CZ80" s="50">
        <f t="shared" si="434"/>
        <v>0</v>
      </c>
      <c r="DA80" s="50">
        <f t="shared" si="434"/>
        <v>0</v>
      </c>
      <c r="DB80" s="50">
        <f t="shared" si="434"/>
        <v>0</v>
      </c>
      <c r="DC80" s="50">
        <f t="shared" si="434"/>
        <v>0</v>
      </c>
      <c r="DD80" s="50">
        <f t="shared" si="434"/>
        <v>0</v>
      </c>
      <c r="DE80" s="50">
        <f t="shared" si="434"/>
        <v>0</v>
      </c>
      <c r="DF80" s="50">
        <f t="shared" si="434"/>
        <v>0</v>
      </c>
      <c r="DG80" s="50">
        <f t="shared" si="434"/>
        <v>0</v>
      </c>
      <c r="DH80" s="50">
        <f t="shared" si="434"/>
        <v>0</v>
      </c>
      <c r="DI80" s="50">
        <f t="shared" si="434"/>
        <v>0</v>
      </c>
      <c r="DJ80" s="50">
        <f t="shared" si="434"/>
        <v>0</v>
      </c>
      <c r="DK80" s="50">
        <f t="shared" si="434"/>
        <v>0</v>
      </c>
      <c r="DL80" s="50">
        <f t="shared" si="434"/>
        <v>0</v>
      </c>
      <c r="DM80" s="50">
        <f t="shared" si="435"/>
        <v>0</v>
      </c>
      <c r="DN80" s="50">
        <f t="shared" si="435"/>
        <v>0</v>
      </c>
      <c r="DO80" s="50">
        <f t="shared" si="435"/>
        <v>0</v>
      </c>
      <c r="DP80" s="50">
        <f t="shared" si="435"/>
        <v>0</v>
      </c>
      <c r="DQ80" s="50">
        <f t="shared" si="435"/>
        <v>0</v>
      </c>
      <c r="DR80" s="50">
        <f t="shared" si="435"/>
        <v>0</v>
      </c>
      <c r="DS80" s="50">
        <f t="shared" si="435"/>
        <v>0</v>
      </c>
      <c r="DT80" s="50">
        <f t="shared" si="435"/>
        <v>0</v>
      </c>
      <c r="DU80" s="50">
        <f t="shared" si="435"/>
        <v>0</v>
      </c>
      <c r="DV80" s="50">
        <f t="shared" si="435"/>
        <v>0</v>
      </c>
      <c r="DW80" s="50">
        <f t="shared" si="435"/>
        <v>0</v>
      </c>
      <c r="DX80" s="50">
        <f t="shared" si="435"/>
        <v>0</v>
      </c>
      <c r="DY80" s="50">
        <f t="shared" si="435"/>
        <v>0</v>
      </c>
      <c r="DZ80" s="50">
        <f t="shared" si="435"/>
        <v>0</v>
      </c>
      <c r="EA80" s="50">
        <f t="shared" si="435"/>
        <v>0</v>
      </c>
      <c r="EB80" s="50">
        <f t="shared" si="435"/>
        <v>0</v>
      </c>
      <c r="EC80" s="50">
        <f t="shared" si="436"/>
        <v>0</v>
      </c>
      <c r="ED80" s="50">
        <f t="shared" si="436"/>
        <v>0</v>
      </c>
      <c r="EE80" s="50">
        <f t="shared" si="436"/>
        <v>0</v>
      </c>
      <c r="EF80" s="50">
        <f t="shared" si="436"/>
        <v>0</v>
      </c>
      <c r="EG80" s="50">
        <f t="shared" si="436"/>
        <v>0</v>
      </c>
      <c r="EH80" s="50">
        <f t="shared" si="436"/>
        <v>0</v>
      </c>
      <c r="EI80" s="50">
        <f t="shared" si="436"/>
        <v>0</v>
      </c>
      <c r="EJ80" s="50">
        <f t="shared" si="436"/>
        <v>0</v>
      </c>
      <c r="EK80" s="50">
        <f t="shared" si="436"/>
        <v>0</v>
      </c>
      <c r="EL80" s="50">
        <f t="shared" si="436"/>
        <v>0</v>
      </c>
      <c r="EM80" s="50">
        <f t="shared" si="436"/>
        <v>0</v>
      </c>
      <c r="EN80" s="50">
        <f t="shared" si="436"/>
        <v>0</v>
      </c>
      <c r="EO80" s="50">
        <f t="shared" si="436"/>
        <v>0</v>
      </c>
      <c r="EP80" s="50">
        <f t="shared" si="436"/>
        <v>0</v>
      </c>
      <c r="EQ80" s="50">
        <f t="shared" si="436"/>
        <v>0</v>
      </c>
      <c r="ER80" s="50">
        <f t="shared" si="436"/>
        <v>0</v>
      </c>
      <c r="ES80" s="50">
        <f t="shared" si="437"/>
        <v>0</v>
      </c>
      <c r="ET80" s="50">
        <f t="shared" si="437"/>
        <v>0</v>
      </c>
      <c r="EU80" s="50">
        <f t="shared" si="437"/>
        <v>0</v>
      </c>
      <c r="EV80" s="50">
        <f t="shared" si="437"/>
        <v>0</v>
      </c>
      <c r="EW80" s="50">
        <f t="shared" si="437"/>
        <v>0</v>
      </c>
      <c r="EX80" s="50">
        <f t="shared" si="437"/>
        <v>0</v>
      </c>
      <c r="EY80" s="50">
        <f t="shared" si="437"/>
        <v>0</v>
      </c>
      <c r="EZ80" s="50">
        <f t="shared" si="437"/>
        <v>0</v>
      </c>
      <c r="FA80" s="50">
        <f t="shared" si="437"/>
        <v>0</v>
      </c>
      <c r="FB80" s="50">
        <f t="shared" si="437"/>
        <v>0</v>
      </c>
      <c r="FC80" s="50">
        <f t="shared" si="437"/>
        <v>0</v>
      </c>
      <c r="FD80" s="50">
        <f t="shared" si="437"/>
        <v>0</v>
      </c>
      <c r="FE80" s="50">
        <f t="shared" si="437"/>
        <v>0</v>
      </c>
      <c r="FF80" s="50">
        <f t="shared" si="437"/>
        <v>0</v>
      </c>
      <c r="FG80" s="50">
        <f t="shared" si="437"/>
        <v>0</v>
      </c>
      <c r="FH80" s="50">
        <f t="shared" si="437"/>
        <v>0</v>
      </c>
      <c r="FI80" s="50">
        <f t="shared" si="438"/>
        <v>0</v>
      </c>
      <c r="FJ80" s="50">
        <f t="shared" si="438"/>
        <v>0</v>
      </c>
      <c r="FK80" s="50">
        <f t="shared" si="438"/>
        <v>0</v>
      </c>
      <c r="FL80" s="50">
        <f t="shared" si="438"/>
        <v>0</v>
      </c>
      <c r="FM80" s="50">
        <f t="shared" si="438"/>
        <v>0</v>
      </c>
      <c r="FN80" s="50">
        <f t="shared" si="438"/>
        <v>0</v>
      </c>
      <c r="FO80" s="50">
        <f t="shared" si="438"/>
        <v>0</v>
      </c>
      <c r="FP80" s="50">
        <f t="shared" si="438"/>
        <v>0</v>
      </c>
      <c r="FQ80" s="50">
        <f t="shared" si="438"/>
        <v>0</v>
      </c>
      <c r="FR80" s="50">
        <f t="shared" si="438"/>
        <v>0</v>
      </c>
      <c r="FS80" s="50">
        <f t="shared" si="438"/>
        <v>0</v>
      </c>
      <c r="FT80" s="50">
        <f t="shared" si="438"/>
        <v>0</v>
      </c>
      <c r="FU80" s="50">
        <f t="shared" si="438"/>
        <v>0</v>
      </c>
      <c r="FV80" s="50">
        <f t="shared" si="438"/>
        <v>0</v>
      </c>
      <c r="FW80" s="50">
        <f t="shared" si="438"/>
        <v>0</v>
      </c>
      <c r="FX80" s="50">
        <f t="shared" si="438"/>
        <v>0</v>
      </c>
      <c r="FY80" s="50">
        <f t="shared" si="439"/>
        <v>0</v>
      </c>
      <c r="FZ80" s="50">
        <f t="shared" si="439"/>
        <v>0</v>
      </c>
      <c r="GA80" s="50">
        <f t="shared" si="439"/>
        <v>0</v>
      </c>
      <c r="GB80" s="50">
        <f t="shared" si="439"/>
        <v>0</v>
      </c>
      <c r="GC80" s="50">
        <f t="shared" si="439"/>
        <v>0</v>
      </c>
      <c r="GD80" s="50">
        <f t="shared" si="439"/>
        <v>0</v>
      </c>
      <c r="GE80" s="50">
        <f t="shared" si="439"/>
        <v>0</v>
      </c>
      <c r="GF80" s="50">
        <f t="shared" si="439"/>
        <v>0</v>
      </c>
      <c r="GG80" s="50">
        <f t="shared" si="439"/>
        <v>0</v>
      </c>
      <c r="GH80" s="50">
        <f t="shared" si="439"/>
        <v>0</v>
      </c>
      <c r="GI80" s="50">
        <f t="shared" si="439"/>
        <v>0</v>
      </c>
      <c r="GJ80" s="50">
        <f t="shared" si="439"/>
        <v>0</v>
      </c>
      <c r="GK80" s="50">
        <f t="shared" si="439"/>
        <v>0</v>
      </c>
      <c r="GL80" s="50">
        <f t="shared" si="439"/>
        <v>0</v>
      </c>
      <c r="GM80" s="50">
        <f t="shared" si="439"/>
        <v>0</v>
      </c>
      <c r="GN80" s="50">
        <f t="shared" si="439"/>
        <v>0</v>
      </c>
      <c r="GO80" s="50">
        <f t="shared" si="440"/>
        <v>0</v>
      </c>
      <c r="GP80" s="50">
        <f t="shared" si="440"/>
        <v>0</v>
      </c>
      <c r="GQ80" s="50">
        <f t="shared" si="440"/>
        <v>0</v>
      </c>
      <c r="GR80" s="9"/>
      <c r="GS80" s="70"/>
      <c r="GT80" s="77"/>
      <c r="GU80" s="78"/>
      <c r="GV80" s="78"/>
      <c r="GW80" s="78"/>
      <c r="GX80" s="79"/>
      <c r="GY80" s="79"/>
      <c r="GZ80" s="77"/>
      <c r="HA80" s="77"/>
      <c r="HB80" s="77"/>
      <c r="HC80" s="77"/>
      <c r="HD80" s="77"/>
      <c r="HE80" s="77"/>
      <c r="HF80" s="77"/>
      <c r="HG80" s="77"/>
      <c r="HH80" s="77"/>
      <c r="HI80" s="77"/>
      <c r="HJ80" s="77"/>
      <c r="HK80" s="77"/>
      <c r="HL80" s="77"/>
      <c r="HM80" s="77"/>
      <c r="HN80" s="77"/>
      <c r="HO80" s="77"/>
      <c r="HP80" s="77"/>
      <c r="HQ80" s="77"/>
      <c r="HR80" s="77"/>
      <c r="HS80" s="77"/>
      <c r="HT80" s="77"/>
      <c r="HU80" s="77"/>
      <c r="HV80" s="77"/>
      <c r="HW80" s="77"/>
      <c r="HX80" s="77"/>
      <c r="HY80" s="77"/>
      <c r="HZ80" s="77"/>
      <c r="IA80" s="77"/>
      <c r="IB80" s="77"/>
      <c r="IC80" s="77"/>
      <c r="ID80" s="77"/>
      <c r="IE80" s="77"/>
      <c r="IF80" s="77"/>
      <c r="IG80" s="77"/>
      <c r="IH80" s="77"/>
      <c r="II80" s="77"/>
      <c r="IJ80" s="77"/>
      <c r="IK80" s="77"/>
      <c r="IL80" s="77"/>
      <c r="IM80" s="77"/>
      <c r="IN80" s="77"/>
      <c r="IO80" s="77"/>
      <c r="IP80" s="77"/>
      <c r="IQ80" s="77"/>
      <c r="IR80" s="77"/>
      <c r="IS80" s="77"/>
      <c r="IT80" s="77"/>
      <c r="IU80" s="77"/>
      <c r="IV80" s="77"/>
      <c r="IW80" s="77"/>
      <c r="IX80" s="77"/>
      <c r="IY80" s="77"/>
      <c r="IZ80" s="77"/>
      <c r="JA80" s="77"/>
      <c r="JB80" s="77"/>
      <c r="JC80" s="77"/>
      <c r="JD80" s="77"/>
      <c r="JE80" s="77"/>
      <c r="JF80" s="77"/>
      <c r="JG80" s="77"/>
      <c r="JH80" s="77"/>
      <c r="JI80" s="77"/>
      <c r="JJ80" s="77"/>
      <c r="JK80" s="77"/>
      <c r="JL80" s="77"/>
      <c r="JM80" s="77"/>
      <c r="JN80" s="77"/>
      <c r="JO80" s="77"/>
      <c r="JP80" s="77"/>
      <c r="JQ80" s="77"/>
      <c r="JR80" s="77"/>
      <c r="JS80" s="77"/>
      <c r="JT80" s="77"/>
      <c r="JU80" s="77"/>
      <c r="JV80" s="77"/>
      <c r="JW80" s="77"/>
      <c r="JX80" s="77"/>
      <c r="JY80" s="77"/>
      <c r="JZ80" s="77"/>
      <c r="KA80" s="77"/>
      <c r="KB80" s="77"/>
      <c r="KC80" s="77"/>
      <c r="KD80" s="77"/>
      <c r="KE80" s="77"/>
      <c r="KF80" s="77"/>
      <c r="KG80" s="77"/>
      <c r="KH80" s="77"/>
      <c r="KI80" s="77"/>
      <c r="KJ80" s="77"/>
      <c r="KK80" s="77"/>
      <c r="KL80" s="77"/>
      <c r="KM80" s="77"/>
      <c r="KN80" s="77"/>
      <c r="KO80" s="77"/>
      <c r="KP80" s="77"/>
      <c r="KQ80" s="77"/>
      <c r="KR80" s="77"/>
      <c r="KS80" s="77"/>
      <c r="KT80" s="77"/>
      <c r="KU80" s="77"/>
      <c r="KV80" s="77"/>
      <c r="KW80" s="77"/>
      <c r="KX80" s="77"/>
      <c r="KY80" s="77"/>
      <c r="KZ80" s="77"/>
      <c r="LA80" s="77"/>
      <c r="LB80" s="77"/>
      <c r="LC80" s="77"/>
      <c r="LD80" s="77"/>
      <c r="LE80" s="77"/>
      <c r="LF80" s="77"/>
      <c r="LG80" s="77"/>
      <c r="LH80" s="77"/>
      <c r="LI80" s="77"/>
      <c r="LJ80" s="77"/>
      <c r="LK80" s="77"/>
      <c r="LL80" s="77"/>
      <c r="LM80" s="77"/>
      <c r="LN80" s="77"/>
      <c r="LO80" s="77"/>
      <c r="LP80" s="77"/>
      <c r="LQ80" s="77"/>
      <c r="LR80" s="77"/>
      <c r="LS80" s="77"/>
      <c r="LT80" s="77"/>
      <c r="LU80" s="77"/>
      <c r="LV80" s="77"/>
      <c r="LW80" s="77"/>
      <c r="LX80" s="77"/>
      <c r="LY80" s="77"/>
      <c r="LZ80" s="77"/>
      <c r="MA80" s="77"/>
      <c r="MB80" s="77"/>
      <c r="MC80" s="77"/>
      <c r="MD80" s="77"/>
      <c r="ME80" s="77"/>
      <c r="MF80" s="77"/>
      <c r="MG80" s="77"/>
      <c r="MH80" s="77"/>
      <c r="MI80" s="77"/>
      <c r="MJ80" s="77"/>
      <c r="MK80" s="77"/>
      <c r="ML80" s="77"/>
      <c r="MM80" s="77"/>
      <c r="MN80" s="77"/>
      <c r="MO80" s="77"/>
      <c r="MP80" s="77"/>
      <c r="MQ80" s="77"/>
      <c r="MR80" s="77"/>
      <c r="MS80" s="77"/>
      <c r="MT80" s="77"/>
      <c r="MU80" s="77"/>
      <c r="MV80" s="77"/>
      <c r="MW80" s="77"/>
      <c r="MX80" s="77"/>
      <c r="MY80" s="77"/>
      <c r="MZ80" s="77"/>
      <c r="NA80" s="77"/>
      <c r="NB80" s="77"/>
      <c r="NC80" s="77"/>
      <c r="ND80" s="77"/>
      <c r="NE80" s="77"/>
      <c r="NF80" s="77"/>
      <c r="NG80" s="77"/>
      <c r="NH80" s="77"/>
      <c r="NI80" s="77"/>
      <c r="NJ80" s="77"/>
      <c r="NK80" s="77"/>
      <c r="NL80" s="77"/>
      <c r="NM80" s="77"/>
      <c r="NN80" s="77"/>
      <c r="NO80" s="77"/>
      <c r="NP80" s="77"/>
      <c r="NQ80" s="77"/>
      <c r="NR80" s="77"/>
      <c r="NS80" s="77"/>
      <c r="NT80" s="77"/>
      <c r="NU80" s="77"/>
      <c r="NV80" s="77"/>
      <c r="NW80" s="77"/>
      <c r="NX80" s="10"/>
    </row>
    <row r="81" spans="2:388" x14ac:dyDescent="0.3">
      <c r="B81" s="26" t="s">
        <v>273</v>
      </c>
      <c r="C81" s="18"/>
      <c r="D81" s="86">
        <v>15</v>
      </c>
      <c r="E81" s="27">
        <v>16</v>
      </c>
      <c r="F81" s="27">
        <v>16</v>
      </c>
      <c r="G81" s="21"/>
      <c r="H81" s="30">
        <f>45*110*D81</f>
        <v>74250</v>
      </c>
      <c r="I81" s="21" t="s">
        <v>195</v>
      </c>
      <c r="J81" s="23">
        <f t="shared" si="425"/>
        <v>70500</v>
      </c>
      <c r="K81" s="29">
        <f t="shared" si="426"/>
        <v>14.242424242424242</v>
      </c>
      <c r="L81" s="30">
        <f>D81*70500</f>
        <v>1057500</v>
      </c>
      <c r="N81" s="9" t="s">
        <v>271</v>
      </c>
      <c r="S81" s="69" t="str">
        <f t="shared" si="427"/>
        <v>OK</v>
      </c>
      <c r="T81" s="50">
        <f t="shared" si="428"/>
        <v>0</v>
      </c>
      <c r="U81" s="50">
        <f t="shared" si="429"/>
        <v>0</v>
      </c>
      <c r="V81" s="50">
        <f t="shared" si="429"/>
        <v>0</v>
      </c>
      <c r="W81" s="50">
        <f t="shared" si="429"/>
        <v>0</v>
      </c>
      <c r="X81" s="50">
        <f t="shared" si="429"/>
        <v>0</v>
      </c>
      <c r="Y81" s="50">
        <f t="shared" si="429"/>
        <v>0</v>
      </c>
      <c r="Z81" s="50">
        <f t="shared" si="429"/>
        <v>0</v>
      </c>
      <c r="AA81" s="50">
        <f t="shared" si="429"/>
        <v>0</v>
      </c>
      <c r="AB81" s="50">
        <f t="shared" si="429"/>
        <v>0</v>
      </c>
      <c r="AC81" s="50">
        <f t="shared" si="429"/>
        <v>0</v>
      </c>
      <c r="AD81" s="50">
        <f t="shared" si="429"/>
        <v>0</v>
      </c>
      <c r="AE81" s="50">
        <f t="shared" si="429"/>
        <v>0</v>
      </c>
      <c r="AF81" s="50">
        <f t="shared" si="429"/>
        <v>0</v>
      </c>
      <c r="AG81" s="50">
        <f t="shared" si="429"/>
        <v>0</v>
      </c>
      <c r="AH81" s="50">
        <f t="shared" si="429"/>
        <v>0</v>
      </c>
      <c r="AI81" s="50">
        <f t="shared" si="429"/>
        <v>1057500</v>
      </c>
      <c r="AJ81" s="50">
        <f t="shared" si="429"/>
        <v>0</v>
      </c>
      <c r="AK81" s="50">
        <f t="shared" si="430"/>
        <v>0</v>
      </c>
      <c r="AL81" s="50">
        <f t="shared" si="430"/>
        <v>0</v>
      </c>
      <c r="AM81" s="50">
        <f t="shared" si="430"/>
        <v>0</v>
      </c>
      <c r="AN81" s="50">
        <f t="shared" si="430"/>
        <v>0</v>
      </c>
      <c r="AO81" s="50">
        <f t="shared" si="430"/>
        <v>0</v>
      </c>
      <c r="AP81" s="50">
        <f t="shared" si="430"/>
        <v>0</v>
      </c>
      <c r="AQ81" s="50">
        <f t="shared" si="430"/>
        <v>0</v>
      </c>
      <c r="AR81" s="50">
        <f t="shared" si="430"/>
        <v>0</v>
      </c>
      <c r="AS81" s="50">
        <f t="shared" si="430"/>
        <v>0</v>
      </c>
      <c r="AT81" s="50">
        <f t="shared" si="430"/>
        <v>0</v>
      </c>
      <c r="AU81" s="50">
        <f t="shared" si="430"/>
        <v>0</v>
      </c>
      <c r="AV81" s="50">
        <f t="shared" si="430"/>
        <v>0</v>
      </c>
      <c r="AW81" s="50">
        <f t="shared" si="430"/>
        <v>0</v>
      </c>
      <c r="AX81" s="50">
        <f t="shared" si="430"/>
        <v>0</v>
      </c>
      <c r="AY81" s="50">
        <f t="shared" si="430"/>
        <v>0</v>
      </c>
      <c r="AZ81" s="50">
        <f t="shared" si="430"/>
        <v>0</v>
      </c>
      <c r="BA81" s="50">
        <f t="shared" si="431"/>
        <v>0</v>
      </c>
      <c r="BB81" s="50">
        <f t="shared" si="431"/>
        <v>0</v>
      </c>
      <c r="BC81" s="50">
        <f t="shared" si="431"/>
        <v>0</v>
      </c>
      <c r="BD81" s="50">
        <f t="shared" si="431"/>
        <v>0</v>
      </c>
      <c r="BE81" s="50">
        <f t="shared" si="431"/>
        <v>0</v>
      </c>
      <c r="BF81" s="50">
        <f t="shared" si="431"/>
        <v>0</v>
      </c>
      <c r="BG81" s="50">
        <f t="shared" si="431"/>
        <v>0</v>
      </c>
      <c r="BH81" s="50">
        <f t="shared" si="431"/>
        <v>0</v>
      </c>
      <c r="BI81" s="50">
        <f t="shared" si="431"/>
        <v>0</v>
      </c>
      <c r="BJ81" s="50">
        <f t="shared" si="431"/>
        <v>0</v>
      </c>
      <c r="BK81" s="50">
        <f t="shared" si="431"/>
        <v>0</v>
      </c>
      <c r="BL81" s="50">
        <f t="shared" si="431"/>
        <v>0</v>
      </c>
      <c r="BM81" s="50">
        <f t="shared" si="431"/>
        <v>0</v>
      </c>
      <c r="BN81" s="50">
        <f t="shared" si="431"/>
        <v>0</v>
      </c>
      <c r="BO81" s="50">
        <f t="shared" si="431"/>
        <v>0</v>
      </c>
      <c r="BP81" s="50">
        <f t="shared" si="431"/>
        <v>0</v>
      </c>
      <c r="BQ81" s="50">
        <f t="shared" si="432"/>
        <v>0</v>
      </c>
      <c r="BR81" s="50">
        <f t="shared" si="432"/>
        <v>0</v>
      </c>
      <c r="BS81" s="50">
        <f t="shared" si="432"/>
        <v>0</v>
      </c>
      <c r="BT81" s="50">
        <f t="shared" si="432"/>
        <v>0</v>
      </c>
      <c r="BU81" s="50">
        <f t="shared" si="432"/>
        <v>0</v>
      </c>
      <c r="BV81" s="50">
        <f t="shared" si="432"/>
        <v>0</v>
      </c>
      <c r="BW81" s="50">
        <f t="shared" si="432"/>
        <v>0</v>
      </c>
      <c r="BX81" s="50">
        <f t="shared" si="432"/>
        <v>0</v>
      </c>
      <c r="BY81" s="50">
        <f t="shared" si="432"/>
        <v>0</v>
      </c>
      <c r="BZ81" s="50">
        <f t="shared" si="432"/>
        <v>0</v>
      </c>
      <c r="CA81" s="50">
        <f t="shared" si="432"/>
        <v>0</v>
      </c>
      <c r="CB81" s="50">
        <f t="shared" si="432"/>
        <v>0</v>
      </c>
      <c r="CC81" s="50">
        <f t="shared" si="432"/>
        <v>0</v>
      </c>
      <c r="CD81" s="50">
        <f t="shared" si="432"/>
        <v>0</v>
      </c>
      <c r="CE81" s="50">
        <f t="shared" si="432"/>
        <v>0</v>
      </c>
      <c r="CF81" s="50">
        <f t="shared" si="432"/>
        <v>0</v>
      </c>
      <c r="CG81" s="50">
        <f t="shared" si="433"/>
        <v>0</v>
      </c>
      <c r="CH81" s="50">
        <f t="shared" si="433"/>
        <v>0</v>
      </c>
      <c r="CI81" s="50">
        <f t="shared" si="433"/>
        <v>0</v>
      </c>
      <c r="CJ81" s="50">
        <f t="shared" si="433"/>
        <v>0</v>
      </c>
      <c r="CK81" s="50">
        <f t="shared" si="433"/>
        <v>0</v>
      </c>
      <c r="CL81" s="50">
        <f t="shared" si="433"/>
        <v>0</v>
      </c>
      <c r="CM81" s="50">
        <f t="shared" si="433"/>
        <v>0</v>
      </c>
      <c r="CN81" s="50">
        <f t="shared" si="433"/>
        <v>0</v>
      </c>
      <c r="CO81" s="50">
        <f t="shared" si="433"/>
        <v>0</v>
      </c>
      <c r="CP81" s="50">
        <f t="shared" si="433"/>
        <v>0</v>
      </c>
      <c r="CQ81" s="50">
        <f t="shared" si="433"/>
        <v>0</v>
      </c>
      <c r="CR81" s="50">
        <f t="shared" si="433"/>
        <v>0</v>
      </c>
      <c r="CS81" s="50">
        <f t="shared" si="433"/>
        <v>0</v>
      </c>
      <c r="CT81" s="50">
        <f t="shared" si="433"/>
        <v>0</v>
      </c>
      <c r="CU81" s="50">
        <f t="shared" si="433"/>
        <v>0</v>
      </c>
      <c r="CV81" s="50">
        <f t="shared" si="433"/>
        <v>0</v>
      </c>
      <c r="CW81" s="50">
        <f t="shared" si="434"/>
        <v>0</v>
      </c>
      <c r="CX81" s="50">
        <f t="shared" si="434"/>
        <v>0</v>
      </c>
      <c r="CY81" s="50">
        <f t="shared" si="434"/>
        <v>0</v>
      </c>
      <c r="CZ81" s="50">
        <f t="shared" si="434"/>
        <v>0</v>
      </c>
      <c r="DA81" s="50">
        <f t="shared" si="434"/>
        <v>0</v>
      </c>
      <c r="DB81" s="50">
        <f t="shared" si="434"/>
        <v>0</v>
      </c>
      <c r="DC81" s="50">
        <f t="shared" si="434"/>
        <v>0</v>
      </c>
      <c r="DD81" s="50">
        <f t="shared" si="434"/>
        <v>0</v>
      </c>
      <c r="DE81" s="50">
        <f t="shared" si="434"/>
        <v>0</v>
      </c>
      <c r="DF81" s="50">
        <f t="shared" si="434"/>
        <v>0</v>
      </c>
      <c r="DG81" s="50">
        <f t="shared" si="434"/>
        <v>0</v>
      </c>
      <c r="DH81" s="50">
        <f t="shared" si="434"/>
        <v>0</v>
      </c>
      <c r="DI81" s="50">
        <f t="shared" si="434"/>
        <v>0</v>
      </c>
      <c r="DJ81" s="50">
        <f t="shared" si="434"/>
        <v>0</v>
      </c>
      <c r="DK81" s="50">
        <f t="shared" si="434"/>
        <v>0</v>
      </c>
      <c r="DL81" s="50">
        <f t="shared" si="434"/>
        <v>0</v>
      </c>
      <c r="DM81" s="50">
        <f t="shared" si="435"/>
        <v>0</v>
      </c>
      <c r="DN81" s="50">
        <f t="shared" si="435"/>
        <v>0</v>
      </c>
      <c r="DO81" s="50">
        <f t="shared" si="435"/>
        <v>0</v>
      </c>
      <c r="DP81" s="50">
        <f t="shared" si="435"/>
        <v>0</v>
      </c>
      <c r="DQ81" s="50">
        <f t="shared" si="435"/>
        <v>0</v>
      </c>
      <c r="DR81" s="50">
        <f t="shared" si="435"/>
        <v>0</v>
      </c>
      <c r="DS81" s="50">
        <f t="shared" si="435"/>
        <v>0</v>
      </c>
      <c r="DT81" s="50">
        <f t="shared" si="435"/>
        <v>0</v>
      </c>
      <c r="DU81" s="50">
        <f t="shared" si="435"/>
        <v>0</v>
      </c>
      <c r="DV81" s="50">
        <f t="shared" si="435"/>
        <v>0</v>
      </c>
      <c r="DW81" s="50">
        <f t="shared" si="435"/>
        <v>0</v>
      </c>
      <c r="DX81" s="50">
        <f t="shared" si="435"/>
        <v>0</v>
      </c>
      <c r="DY81" s="50">
        <f t="shared" si="435"/>
        <v>0</v>
      </c>
      <c r="DZ81" s="50">
        <f t="shared" si="435"/>
        <v>0</v>
      </c>
      <c r="EA81" s="50">
        <f t="shared" si="435"/>
        <v>0</v>
      </c>
      <c r="EB81" s="50">
        <f t="shared" si="435"/>
        <v>0</v>
      </c>
      <c r="EC81" s="50">
        <f t="shared" si="436"/>
        <v>0</v>
      </c>
      <c r="ED81" s="50">
        <f t="shared" si="436"/>
        <v>0</v>
      </c>
      <c r="EE81" s="50">
        <f t="shared" si="436"/>
        <v>0</v>
      </c>
      <c r="EF81" s="50">
        <f t="shared" si="436"/>
        <v>0</v>
      </c>
      <c r="EG81" s="50">
        <f t="shared" si="436"/>
        <v>0</v>
      </c>
      <c r="EH81" s="50">
        <f t="shared" si="436"/>
        <v>0</v>
      </c>
      <c r="EI81" s="50">
        <f t="shared" si="436"/>
        <v>0</v>
      </c>
      <c r="EJ81" s="50">
        <f t="shared" si="436"/>
        <v>0</v>
      </c>
      <c r="EK81" s="50">
        <f t="shared" si="436"/>
        <v>0</v>
      </c>
      <c r="EL81" s="50">
        <f t="shared" si="436"/>
        <v>0</v>
      </c>
      <c r="EM81" s="50">
        <f t="shared" si="436"/>
        <v>0</v>
      </c>
      <c r="EN81" s="50">
        <f t="shared" si="436"/>
        <v>0</v>
      </c>
      <c r="EO81" s="50">
        <f t="shared" si="436"/>
        <v>0</v>
      </c>
      <c r="EP81" s="50">
        <f t="shared" si="436"/>
        <v>0</v>
      </c>
      <c r="EQ81" s="50">
        <f t="shared" si="436"/>
        <v>0</v>
      </c>
      <c r="ER81" s="50">
        <f t="shared" si="436"/>
        <v>0</v>
      </c>
      <c r="ES81" s="50">
        <f t="shared" si="437"/>
        <v>0</v>
      </c>
      <c r="ET81" s="50">
        <f t="shared" si="437"/>
        <v>0</v>
      </c>
      <c r="EU81" s="50">
        <f t="shared" si="437"/>
        <v>0</v>
      </c>
      <c r="EV81" s="50">
        <f t="shared" si="437"/>
        <v>0</v>
      </c>
      <c r="EW81" s="50">
        <f t="shared" si="437"/>
        <v>0</v>
      </c>
      <c r="EX81" s="50">
        <f t="shared" si="437"/>
        <v>0</v>
      </c>
      <c r="EY81" s="50">
        <f t="shared" si="437"/>
        <v>0</v>
      </c>
      <c r="EZ81" s="50">
        <f t="shared" si="437"/>
        <v>0</v>
      </c>
      <c r="FA81" s="50">
        <f t="shared" si="437"/>
        <v>0</v>
      </c>
      <c r="FB81" s="50">
        <f t="shared" si="437"/>
        <v>0</v>
      </c>
      <c r="FC81" s="50">
        <f t="shared" si="437"/>
        <v>0</v>
      </c>
      <c r="FD81" s="50">
        <f t="shared" si="437"/>
        <v>0</v>
      </c>
      <c r="FE81" s="50">
        <f t="shared" si="437"/>
        <v>0</v>
      </c>
      <c r="FF81" s="50">
        <f t="shared" si="437"/>
        <v>0</v>
      </c>
      <c r="FG81" s="50">
        <f t="shared" si="437"/>
        <v>0</v>
      </c>
      <c r="FH81" s="50">
        <f t="shared" si="437"/>
        <v>0</v>
      </c>
      <c r="FI81" s="50">
        <f t="shared" si="438"/>
        <v>0</v>
      </c>
      <c r="FJ81" s="50">
        <f t="shared" si="438"/>
        <v>0</v>
      </c>
      <c r="FK81" s="50">
        <f t="shared" si="438"/>
        <v>0</v>
      </c>
      <c r="FL81" s="50">
        <f t="shared" si="438"/>
        <v>0</v>
      </c>
      <c r="FM81" s="50">
        <f t="shared" si="438"/>
        <v>0</v>
      </c>
      <c r="FN81" s="50">
        <f t="shared" si="438"/>
        <v>0</v>
      </c>
      <c r="FO81" s="50">
        <f t="shared" si="438"/>
        <v>0</v>
      </c>
      <c r="FP81" s="50">
        <f t="shared" si="438"/>
        <v>0</v>
      </c>
      <c r="FQ81" s="50">
        <f t="shared" si="438"/>
        <v>0</v>
      </c>
      <c r="FR81" s="50">
        <f t="shared" si="438"/>
        <v>0</v>
      </c>
      <c r="FS81" s="50">
        <f t="shared" si="438"/>
        <v>0</v>
      </c>
      <c r="FT81" s="50">
        <f t="shared" si="438"/>
        <v>0</v>
      </c>
      <c r="FU81" s="50">
        <f t="shared" si="438"/>
        <v>0</v>
      </c>
      <c r="FV81" s="50">
        <f t="shared" si="438"/>
        <v>0</v>
      </c>
      <c r="FW81" s="50">
        <f t="shared" si="438"/>
        <v>0</v>
      </c>
      <c r="FX81" s="50">
        <f t="shared" si="438"/>
        <v>0</v>
      </c>
      <c r="FY81" s="50">
        <f t="shared" si="439"/>
        <v>0</v>
      </c>
      <c r="FZ81" s="50">
        <f t="shared" si="439"/>
        <v>0</v>
      </c>
      <c r="GA81" s="50">
        <f t="shared" si="439"/>
        <v>0</v>
      </c>
      <c r="GB81" s="50">
        <f t="shared" si="439"/>
        <v>0</v>
      </c>
      <c r="GC81" s="50">
        <f t="shared" si="439"/>
        <v>0</v>
      </c>
      <c r="GD81" s="50">
        <f t="shared" si="439"/>
        <v>0</v>
      </c>
      <c r="GE81" s="50">
        <f t="shared" si="439"/>
        <v>0</v>
      </c>
      <c r="GF81" s="50">
        <f t="shared" si="439"/>
        <v>0</v>
      </c>
      <c r="GG81" s="50">
        <f t="shared" si="439"/>
        <v>0</v>
      </c>
      <c r="GH81" s="50">
        <f t="shared" si="439"/>
        <v>0</v>
      </c>
      <c r="GI81" s="50">
        <f t="shared" si="439"/>
        <v>0</v>
      </c>
      <c r="GJ81" s="50">
        <f t="shared" si="439"/>
        <v>0</v>
      </c>
      <c r="GK81" s="50">
        <f t="shared" si="439"/>
        <v>0</v>
      </c>
      <c r="GL81" s="50">
        <f t="shared" si="439"/>
        <v>0</v>
      </c>
      <c r="GM81" s="50">
        <f t="shared" si="439"/>
        <v>0</v>
      </c>
      <c r="GN81" s="50">
        <f t="shared" si="439"/>
        <v>0</v>
      </c>
      <c r="GO81" s="50">
        <f t="shared" si="440"/>
        <v>0</v>
      </c>
      <c r="GP81" s="50">
        <f t="shared" si="440"/>
        <v>0</v>
      </c>
      <c r="GQ81" s="50">
        <f t="shared" si="440"/>
        <v>0</v>
      </c>
      <c r="GR81" s="9"/>
      <c r="GS81" s="70"/>
      <c r="GT81" s="77"/>
      <c r="GU81" s="78"/>
      <c r="GV81" s="78"/>
      <c r="GW81" s="78"/>
      <c r="GX81" s="79"/>
      <c r="GY81" s="79"/>
      <c r="GZ81" s="77"/>
      <c r="HA81" s="77"/>
      <c r="HB81" s="77"/>
      <c r="HC81" s="77"/>
      <c r="HD81" s="77"/>
      <c r="HE81" s="77"/>
      <c r="HF81" s="77"/>
      <c r="HG81" s="77"/>
      <c r="HH81" s="77"/>
      <c r="HI81" s="77"/>
      <c r="HJ81" s="77"/>
      <c r="HK81" s="77"/>
      <c r="HL81" s="77"/>
      <c r="HM81" s="77"/>
      <c r="HN81" s="77"/>
      <c r="HO81" s="77"/>
      <c r="HP81" s="77"/>
      <c r="HQ81" s="77"/>
      <c r="HR81" s="77"/>
      <c r="HS81" s="77"/>
      <c r="HT81" s="77"/>
      <c r="HU81" s="77"/>
      <c r="HV81" s="77"/>
      <c r="HW81" s="77"/>
      <c r="HX81" s="77"/>
      <c r="HY81" s="77"/>
      <c r="HZ81" s="77"/>
      <c r="IA81" s="77"/>
      <c r="IB81" s="77"/>
      <c r="IC81" s="77"/>
      <c r="ID81" s="77"/>
      <c r="IE81" s="77"/>
      <c r="IF81" s="77"/>
      <c r="IG81" s="77"/>
      <c r="IH81" s="77"/>
      <c r="II81" s="77"/>
      <c r="IJ81" s="77"/>
      <c r="IK81" s="77"/>
      <c r="IL81" s="77"/>
      <c r="IM81" s="77"/>
      <c r="IN81" s="77"/>
      <c r="IO81" s="77"/>
      <c r="IP81" s="77"/>
      <c r="IQ81" s="77"/>
      <c r="IR81" s="77"/>
      <c r="IS81" s="77"/>
      <c r="IT81" s="77"/>
      <c r="IU81" s="77"/>
      <c r="IV81" s="77"/>
      <c r="IW81" s="77"/>
      <c r="IX81" s="77"/>
      <c r="IY81" s="77"/>
      <c r="IZ81" s="77"/>
      <c r="JA81" s="77"/>
      <c r="JB81" s="77"/>
      <c r="JC81" s="77"/>
      <c r="JD81" s="77"/>
      <c r="JE81" s="77"/>
      <c r="JF81" s="77"/>
      <c r="JG81" s="77"/>
      <c r="JH81" s="77"/>
      <c r="JI81" s="77"/>
      <c r="JJ81" s="77"/>
      <c r="JK81" s="77"/>
      <c r="JL81" s="77"/>
      <c r="JM81" s="77"/>
      <c r="JN81" s="77"/>
      <c r="JO81" s="77"/>
      <c r="JP81" s="77"/>
      <c r="JQ81" s="77"/>
      <c r="JR81" s="77"/>
      <c r="JS81" s="77"/>
      <c r="JT81" s="77"/>
      <c r="JU81" s="77"/>
      <c r="JV81" s="77"/>
      <c r="JW81" s="77"/>
      <c r="JX81" s="77"/>
      <c r="JY81" s="77"/>
      <c r="JZ81" s="77"/>
      <c r="KA81" s="77"/>
      <c r="KB81" s="77"/>
      <c r="KC81" s="77"/>
      <c r="KD81" s="77"/>
      <c r="KE81" s="77"/>
      <c r="KF81" s="77"/>
      <c r="KG81" s="77"/>
      <c r="KH81" s="77"/>
      <c r="KI81" s="77"/>
      <c r="KJ81" s="77"/>
      <c r="KK81" s="77"/>
      <c r="KL81" s="77"/>
      <c r="KM81" s="77"/>
      <c r="KN81" s="77"/>
      <c r="KO81" s="77"/>
      <c r="KP81" s="77"/>
      <c r="KQ81" s="77"/>
      <c r="KR81" s="77"/>
      <c r="KS81" s="77"/>
      <c r="KT81" s="77"/>
      <c r="KU81" s="77"/>
      <c r="KV81" s="77"/>
      <c r="KW81" s="77"/>
      <c r="KX81" s="77"/>
      <c r="KY81" s="77"/>
      <c r="KZ81" s="77"/>
      <c r="LA81" s="77"/>
      <c r="LB81" s="77"/>
      <c r="LC81" s="77"/>
      <c r="LD81" s="77"/>
      <c r="LE81" s="77"/>
      <c r="LF81" s="77"/>
      <c r="LG81" s="77"/>
      <c r="LH81" s="77"/>
      <c r="LI81" s="77"/>
      <c r="LJ81" s="77"/>
      <c r="LK81" s="77"/>
      <c r="LL81" s="77"/>
      <c r="LM81" s="77"/>
      <c r="LN81" s="77"/>
      <c r="LO81" s="77"/>
      <c r="LP81" s="77"/>
      <c r="LQ81" s="77"/>
      <c r="LR81" s="77"/>
      <c r="LS81" s="77"/>
      <c r="LT81" s="77"/>
      <c r="LU81" s="77"/>
      <c r="LV81" s="77"/>
      <c r="LW81" s="77"/>
      <c r="LX81" s="77"/>
      <c r="LY81" s="77"/>
      <c r="LZ81" s="77"/>
      <c r="MA81" s="77"/>
      <c r="MB81" s="77"/>
      <c r="MC81" s="77"/>
      <c r="MD81" s="77"/>
      <c r="ME81" s="77"/>
      <c r="MF81" s="77"/>
      <c r="MG81" s="77"/>
      <c r="MH81" s="77"/>
      <c r="MI81" s="77"/>
      <c r="MJ81" s="77"/>
      <c r="MK81" s="77"/>
      <c r="ML81" s="77"/>
      <c r="MM81" s="77"/>
      <c r="MN81" s="77"/>
      <c r="MO81" s="77"/>
      <c r="MP81" s="77"/>
      <c r="MQ81" s="77"/>
      <c r="MR81" s="77"/>
      <c r="MS81" s="77"/>
      <c r="MT81" s="77"/>
      <c r="MU81" s="77"/>
      <c r="MV81" s="77"/>
      <c r="MW81" s="77"/>
      <c r="MX81" s="77"/>
      <c r="MY81" s="77"/>
      <c r="MZ81" s="77"/>
      <c r="NA81" s="77"/>
      <c r="NB81" s="77"/>
      <c r="NC81" s="77"/>
      <c r="ND81" s="77"/>
      <c r="NE81" s="77"/>
      <c r="NF81" s="77"/>
      <c r="NG81" s="77"/>
      <c r="NH81" s="77"/>
      <c r="NI81" s="77"/>
      <c r="NJ81" s="77"/>
      <c r="NK81" s="77"/>
      <c r="NL81" s="77"/>
      <c r="NM81" s="77"/>
      <c r="NN81" s="77"/>
      <c r="NO81" s="77"/>
      <c r="NP81" s="77"/>
      <c r="NQ81" s="77"/>
      <c r="NR81" s="77"/>
      <c r="NS81" s="77"/>
      <c r="NT81" s="77"/>
      <c r="NU81" s="77"/>
      <c r="NV81" s="77"/>
      <c r="NW81" s="77"/>
      <c r="NX81" s="10"/>
    </row>
    <row r="82" spans="2:388" x14ac:dyDescent="0.3">
      <c r="B82" s="26" t="s">
        <v>274</v>
      </c>
      <c r="C82" s="18"/>
      <c r="D82" s="86">
        <v>12</v>
      </c>
      <c r="E82" s="27">
        <v>18</v>
      </c>
      <c r="F82" s="27">
        <v>18</v>
      </c>
      <c r="G82" s="21"/>
      <c r="H82" s="30">
        <f>21*52*D82</f>
        <v>13104</v>
      </c>
      <c r="I82" s="21" t="s">
        <v>195</v>
      </c>
      <c r="J82" s="23">
        <f t="shared" si="425"/>
        <v>60500</v>
      </c>
      <c r="K82" s="29">
        <f t="shared" si="426"/>
        <v>55.402930402930401</v>
      </c>
      <c r="L82" s="30">
        <f>D82*60500</f>
        <v>726000</v>
      </c>
      <c r="N82" s="9" t="s">
        <v>271</v>
      </c>
      <c r="S82" s="69" t="str">
        <f t="shared" si="427"/>
        <v>OK</v>
      </c>
      <c r="T82" s="50">
        <f t="shared" si="428"/>
        <v>0</v>
      </c>
      <c r="U82" s="50">
        <f t="shared" si="429"/>
        <v>0</v>
      </c>
      <c r="V82" s="50">
        <f t="shared" si="429"/>
        <v>0</v>
      </c>
      <c r="W82" s="50">
        <f t="shared" si="429"/>
        <v>0</v>
      </c>
      <c r="X82" s="50">
        <f t="shared" si="429"/>
        <v>0</v>
      </c>
      <c r="Y82" s="50">
        <f t="shared" si="429"/>
        <v>0</v>
      </c>
      <c r="Z82" s="50">
        <f t="shared" si="429"/>
        <v>0</v>
      </c>
      <c r="AA82" s="50">
        <f t="shared" si="429"/>
        <v>0</v>
      </c>
      <c r="AB82" s="50">
        <f t="shared" si="429"/>
        <v>0</v>
      </c>
      <c r="AC82" s="50">
        <f t="shared" si="429"/>
        <v>0</v>
      </c>
      <c r="AD82" s="50">
        <f t="shared" si="429"/>
        <v>0</v>
      </c>
      <c r="AE82" s="50">
        <f t="shared" si="429"/>
        <v>0</v>
      </c>
      <c r="AF82" s="50">
        <f t="shared" si="429"/>
        <v>0</v>
      </c>
      <c r="AG82" s="50">
        <f t="shared" si="429"/>
        <v>0</v>
      </c>
      <c r="AH82" s="50">
        <f t="shared" si="429"/>
        <v>0</v>
      </c>
      <c r="AI82" s="50">
        <f t="shared" si="429"/>
        <v>0</v>
      </c>
      <c r="AJ82" s="50">
        <f t="shared" si="429"/>
        <v>0</v>
      </c>
      <c r="AK82" s="50">
        <f t="shared" si="430"/>
        <v>726000</v>
      </c>
      <c r="AL82" s="50">
        <f t="shared" si="430"/>
        <v>0</v>
      </c>
      <c r="AM82" s="50">
        <f t="shared" si="430"/>
        <v>0</v>
      </c>
      <c r="AN82" s="50">
        <f t="shared" si="430"/>
        <v>0</v>
      </c>
      <c r="AO82" s="50">
        <f t="shared" si="430"/>
        <v>0</v>
      </c>
      <c r="AP82" s="50">
        <f t="shared" si="430"/>
        <v>0</v>
      </c>
      <c r="AQ82" s="50">
        <f t="shared" si="430"/>
        <v>0</v>
      </c>
      <c r="AR82" s="50">
        <f t="shared" si="430"/>
        <v>0</v>
      </c>
      <c r="AS82" s="50">
        <f t="shared" si="430"/>
        <v>0</v>
      </c>
      <c r="AT82" s="50">
        <f t="shared" si="430"/>
        <v>0</v>
      </c>
      <c r="AU82" s="50">
        <f t="shared" si="430"/>
        <v>0</v>
      </c>
      <c r="AV82" s="50">
        <f t="shared" si="430"/>
        <v>0</v>
      </c>
      <c r="AW82" s="50">
        <f t="shared" si="430"/>
        <v>0</v>
      </c>
      <c r="AX82" s="50">
        <f t="shared" si="430"/>
        <v>0</v>
      </c>
      <c r="AY82" s="50">
        <f t="shared" si="430"/>
        <v>0</v>
      </c>
      <c r="AZ82" s="50">
        <f t="shared" si="430"/>
        <v>0</v>
      </c>
      <c r="BA82" s="50">
        <f t="shared" si="431"/>
        <v>0</v>
      </c>
      <c r="BB82" s="50">
        <f t="shared" si="431"/>
        <v>0</v>
      </c>
      <c r="BC82" s="50">
        <f t="shared" si="431"/>
        <v>0</v>
      </c>
      <c r="BD82" s="50">
        <f t="shared" si="431"/>
        <v>0</v>
      </c>
      <c r="BE82" s="50">
        <f t="shared" si="431"/>
        <v>0</v>
      </c>
      <c r="BF82" s="50">
        <f t="shared" si="431"/>
        <v>0</v>
      </c>
      <c r="BG82" s="50">
        <f t="shared" si="431"/>
        <v>0</v>
      </c>
      <c r="BH82" s="50">
        <f t="shared" si="431"/>
        <v>0</v>
      </c>
      <c r="BI82" s="50">
        <f t="shared" si="431"/>
        <v>0</v>
      </c>
      <c r="BJ82" s="50">
        <f t="shared" si="431"/>
        <v>0</v>
      </c>
      <c r="BK82" s="50">
        <f t="shared" si="431"/>
        <v>0</v>
      </c>
      <c r="BL82" s="50">
        <f t="shared" si="431"/>
        <v>0</v>
      </c>
      <c r="BM82" s="50">
        <f t="shared" si="431"/>
        <v>0</v>
      </c>
      <c r="BN82" s="50">
        <f t="shared" si="431"/>
        <v>0</v>
      </c>
      <c r="BO82" s="50">
        <f t="shared" si="431"/>
        <v>0</v>
      </c>
      <c r="BP82" s="50">
        <f t="shared" si="431"/>
        <v>0</v>
      </c>
      <c r="BQ82" s="50">
        <f t="shared" si="432"/>
        <v>0</v>
      </c>
      <c r="BR82" s="50">
        <f t="shared" si="432"/>
        <v>0</v>
      </c>
      <c r="BS82" s="50">
        <f t="shared" si="432"/>
        <v>0</v>
      </c>
      <c r="BT82" s="50">
        <f t="shared" si="432"/>
        <v>0</v>
      </c>
      <c r="BU82" s="50">
        <f t="shared" si="432"/>
        <v>0</v>
      </c>
      <c r="BV82" s="50">
        <f t="shared" si="432"/>
        <v>0</v>
      </c>
      <c r="BW82" s="50">
        <f t="shared" si="432"/>
        <v>0</v>
      </c>
      <c r="BX82" s="50">
        <f t="shared" si="432"/>
        <v>0</v>
      </c>
      <c r="BY82" s="50">
        <f t="shared" si="432"/>
        <v>0</v>
      </c>
      <c r="BZ82" s="50">
        <f t="shared" si="432"/>
        <v>0</v>
      </c>
      <c r="CA82" s="50">
        <f t="shared" si="432"/>
        <v>0</v>
      </c>
      <c r="CB82" s="50">
        <f t="shared" si="432"/>
        <v>0</v>
      </c>
      <c r="CC82" s="50">
        <f t="shared" si="432"/>
        <v>0</v>
      </c>
      <c r="CD82" s="50">
        <f t="shared" si="432"/>
        <v>0</v>
      </c>
      <c r="CE82" s="50">
        <f t="shared" si="432"/>
        <v>0</v>
      </c>
      <c r="CF82" s="50">
        <f t="shared" si="432"/>
        <v>0</v>
      </c>
      <c r="CG82" s="50">
        <f t="shared" si="433"/>
        <v>0</v>
      </c>
      <c r="CH82" s="50">
        <f t="shared" si="433"/>
        <v>0</v>
      </c>
      <c r="CI82" s="50">
        <f t="shared" si="433"/>
        <v>0</v>
      </c>
      <c r="CJ82" s="50">
        <f t="shared" si="433"/>
        <v>0</v>
      </c>
      <c r="CK82" s="50">
        <f t="shared" si="433"/>
        <v>0</v>
      </c>
      <c r="CL82" s="50">
        <f t="shared" si="433"/>
        <v>0</v>
      </c>
      <c r="CM82" s="50">
        <f t="shared" si="433"/>
        <v>0</v>
      </c>
      <c r="CN82" s="50">
        <f t="shared" si="433"/>
        <v>0</v>
      </c>
      <c r="CO82" s="50">
        <f t="shared" si="433"/>
        <v>0</v>
      </c>
      <c r="CP82" s="50">
        <f t="shared" si="433"/>
        <v>0</v>
      </c>
      <c r="CQ82" s="50">
        <f t="shared" si="433"/>
        <v>0</v>
      </c>
      <c r="CR82" s="50">
        <f t="shared" si="433"/>
        <v>0</v>
      </c>
      <c r="CS82" s="50">
        <f t="shared" si="433"/>
        <v>0</v>
      </c>
      <c r="CT82" s="50">
        <f t="shared" si="433"/>
        <v>0</v>
      </c>
      <c r="CU82" s="50">
        <f t="shared" si="433"/>
        <v>0</v>
      </c>
      <c r="CV82" s="50">
        <f t="shared" si="433"/>
        <v>0</v>
      </c>
      <c r="CW82" s="50">
        <f t="shared" si="434"/>
        <v>0</v>
      </c>
      <c r="CX82" s="50">
        <f t="shared" si="434"/>
        <v>0</v>
      </c>
      <c r="CY82" s="50">
        <f t="shared" si="434"/>
        <v>0</v>
      </c>
      <c r="CZ82" s="50">
        <f t="shared" si="434"/>
        <v>0</v>
      </c>
      <c r="DA82" s="50">
        <f t="shared" si="434"/>
        <v>0</v>
      </c>
      <c r="DB82" s="50">
        <f t="shared" si="434"/>
        <v>0</v>
      </c>
      <c r="DC82" s="50">
        <f t="shared" si="434"/>
        <v>0</v>
      </c>
      <c r="DD82" s="50">
        <f t="shared" si="434"/>
        <v>0</v>
      </c>
      <c r="DE82" s="50">
        <f t="shared" si="434"/>
        <v>0</v>
      </c>
      <c r="DF82" s="50">
        <f t="shared" si="434"/>
        <v>0</v>
      </c>
      <c r="DG82" s="50">
        <f t="shared" si="434"/>
        <v>0</v>
      </c>
      <c r="DH82" s="50">
        <f t="shared" si="434"/>
        <v>0</v>
      </c>
      <c r="DI82" s="50">
        <f t="shared" si="434"/>
        <v>0</v>
      </c>
      <c r="DJ82" s="50">
        <f t="shared" si="434"/>
        <v>0</v>
      </c>
      <c r="DK82" s="50">
        <f t="shared" si="434"/>
        <v>0</v>
      </c>
      <c r="DL82" s="50">
        <f t="shared" si="434"/>
        <v>0</v>
      </c>
      <c r="DM82" s="50">
        <f t="shared" si="435"/>
        <v>0</v>
      </c>
      <c r="DN82" s="50">
        <f t="shared" si="435"/>
        <v>0</v>
      </c>
      <c r="DO82" s="50">
        <f t="shared" si="435"/>
        <v>0</v>
      </c>
      <c r="DP82" s="50">
        <f t="shared" si="435"/>
        <v>0</v>
      </c>
      <c r="DQ82" s="50">
        <f t="shared" si="435"/>
        <v>0</v>
      </c>
      <c r="DR82" s="50">
        <f t="shared" si="435"/>
        <v>0</v>
      </c>
      <c r="DS82" s="50">
        <f t="shared" si="435"/>
        <v>0</v>
      </c>
      <c r="DT82" s="50">
        <f t="shared" si="435"/>
        <v>0</v>
      </c>
      <c r="DU82" s="50">
        <f t="shared" si="435"/>
        <v>0</v>
      </c>
      <c r="DV82" s="50">
        <f t="shared" si="435"/>
        <v>0</v>
      </c>
      <c r="DW82" s="50">
        <f t="shared" si="435"/>
        <v>0</v>
      </c>
      <c r="DX82" s="50">
        <f t="shared" si="435"/>
        <v>0</v>
      </c>
      <c r="DY82" s="50">
        <f t="shared" si="435"/>
        <v>0</v>
      </c>
      <c r="DZ82" s="50">
        <f t="shared" si="435"/>
        <v>0</v>
      </c>
      <c r="EA82" s="50">
        <f t="shared" si="435"/>
        <v>0</v>
      </c>
      <c r="EB82" s="50">
        <f t="shared" si="435"/>
        <v>0</v>
      </c>
      <c r="EC82" s="50">
        <f t="shared" si="436"/>
        <v>0</v>
      </c>
      <c r="ED82" s="50">
        <f t="shared" si="436"/>
        <v>0</v>
      </c>
      <c r="EE82" s="50">
        <f t="shared" si="436"/>
        <v>0</v>
      </c>
      <c r="EF82" s="50">
        <f t="shared" si="436"/>
        <v>0</v>
      </c>
      <c r="EG82" s="50">
        <f t="shared" si="436"/>
        <v>0</v>
      </c>
      <c r="EH82" s="50">
        <f t="shared" si="436"/>
        <v>0</v>
      </c>
      <c r="EI82" s="50">
        <f t="shared" si="436"/>
        <v>0</v>
      </c>
      <c r="EJ82" s="50">
        <f t="shared" si="436"/>
        <v>0</v>
      </c>
      <c r="EK82" s="50">
        <f t="shared" si="436"/>
        <v>0</v>
      </c>
      <c r="EL82" s="50">
        <f t="shared" si="436"/>
        <v>0</v>
      </c>
      <c r="EM82" s="50">
        <f t="shared" si="436"/>
        <v>0</v>
      </c>
      <c r="EN82" s="50">
        <f t="shared" si="436"/>
        <v>0</v>
      </c>
      <c r="EO82" s="50">
        <f t="shared" si="436"/>
        <v>0</v>
      </c>
      <c r="EP82" s="50">
        <f t="shared" si="436"/>
        <v>0</v>
      </c>
      <c r="EQ82" s="50">
        <f t="shared" si="436"/>
        <v>0</v>
      </c>
      <c r="ER82" s="50">
        <f t="shared" si="436"/>
        <v>0</v>
      </c>
      <c r="ES82" s="50">
        <f t="shared" si="437"/>
        <v>0</v>
      </c>
      <c r="ET82" s="50">
        <f t="shared" si="437"/>
        <v>0</v>
      </c>
      <c r="EU82" s="50">
        <f t="shared" si="437"/>
        <v>0</v>
      </c>
      <c r="EV82" s="50">
        <f t="shared" si="437"/>
        <v>0</v>
      </c>
      <c r="EW82" s="50">
        <f t="shared" si="437"/>
        <v>0</v>
      </c>
      <c r="EX82" s="50">
        <f t="shared" si="437"/>
        <v>0</v>
      </c>
      <c r="EY82" s="50">
        <f t="shared" si="437"/>
        <v>0</v>
      </c>
      <c r="EZ82" s="50">
        <f t="shared" si="437"/>
        <v>0</v>
      </c>
      <c r="FA82" s="50">
        <f t="shared" si="437"/>
        <v>0</v>
      </c>
      <c r="FB82" s="50">
        <f t="shared" si="437"/>
        <v>0</v>
      </c>
      <c r="FC82" s="50">
        <f t="shared" si="437"/>
        <v>0</v>
      </c>
      <c r="FD82" s="50">
        <f t="shared" si="437"/>
        <v>0</v>
      </c>
      <c r="FE82" s="50">
        <f t="shared" si="437"/>
        <v>0</v>
      </c>
      <c r="FF82" s="50">
        <f t="shared" si="437"/>
        <v>0</v>
      </c>
      <c r="FG82" s="50">
        <f t="shared" si="437"/>
        <v>0</v>
      </c>
      <c r="FH82" s="50">
        <f t="shared" si="437"/>
        <v>0</v>
      </c>
      <c r="FI82" s="50">
        <f t="shared" si="438"/>
        <v>0</v>
      </c>
      <c r="FJ82" s="50">
        <f t="shared" si="438"/>
        <v>0</v>
      </c>
      <c r="FK82" s="50">
        <f t="shared" si="438"/>
        <v>0</v>
      </c>
      <c r="FL82" s="50">
        <f t="shared" si="438"/>
        <v>0</v>
      </c>
      <c r="FM82" s="50">
        <f t="shared" si="438"/>
        <v>0</v>
      </c>
      <c r="FN82" s="50">
        <f t="shared" si="438"/>
        <v>0</v>
      </c>
      <c r="FO82" s="50">
        <f t="shared" si="438"/>
        <v>0</v>
      </c>
      <c r="FP82" s="50">
        <f t="shared" si="438"/>
        <v>0</v>
      </c>
      <c r="FQ82" s="50">
        <f t="shared" si="438"/>
        <v>0</v>
      </c>
      <c r="FR82" s="50">
        <f t="shared" si="438"/>
        <v>0</v>
      </c>
      <c r="FS82" s="50">
        <f t="shared" si="438"/>
        <v>0</v>
      </c>
      <c r="FT82" s="50">
        <f t="shared" si="438"/>
        <v>0</v>
      </c>
      <c r="FU82" s="50">
        <f t="shared" si="438"/>
        <v>0</v>
      </c>
      <c r="FV82" s="50">
        <f t="shared" si="438"/>
        <v>0</v>
      </c>
      <c r="FW82" s="50">
        <f t="shared" si="438"/>
        <v>0</v>
      </c>
      <c r="FX82" s="50">
        <f t="shared" si="438"/>
        <v>0</v>
      </c>
      <c r="FY82" s="50">
        <f t="shared" si="439"/>
        <v>0</v>
      </c>
      <c r="FZ82" s="50">
        <f t="shared" si="439"/>
        <v>0</v>
      </c>
      <c r="GA82" s="50">
        <f t="shared" si="439"/>
        <v>0</v>
      </c>
      <c r="GB82" s="50">
        <f t="shared" si="439"/>
        <v>0</v>
      </c>
      <c r="GC82" s="50">
        <f t="shared" si="439"/>
        <v>0</v>
      </c>
      <c r="GD82" s="50">
        <f t="shared" si="439"/>
        <v>0</v>
      </c>
      <c r="GE82" s="50">
        <f t="shared" si="439"/>
        <v>0</v>
      </c>
      <c r="GF82" s="50">
        <f t="shared" si="439"/>
        <v>0</v>
      </c>
      <c r="GG82" s="50">
        <f t="shared" si="439"/>
        <v>0</v>
      </c>
      <c r="GH82" s="50">
        <f t="shared" si="439"/>
        <v>0</v>
      </c>
      <c r="GI82" s="50">
        <f t="shared" si="439"/>
        <v>0</v>
      </c>
      <c r="GJ82" s="50">
        <f t="shared" si="439"/>
        <v>0</v>
      </c>
      <c r="GK82" s="50">
        <f t="shared" si="439"/>
        <v>0</v>
      </c>
      <c r="GL82" s="50">
        <f t="shared" si="439"/>
        <v>0</v>
      </c>
      <c r="GM82" s="50">
        <f t="shared" si="439"/>
        <v>0</v>
      </c>
      <c r="GN82" s="50">
        <f t="shared" si="439"/>
        <v>0</v>
      </c>
      <c r="GO82" s="50">
        <f t="shared" si="440"/>
        <v>0</v>
      </c>
      <c r="GP82" s="50">
        <f t="shared" si="440"/>
        <v>0</v>
      </c>
      <c r="GQ82" s="50">
        <f t="shared" si="440"/>
        <v>0</v>
      </c>
      <c r="GR82" s="9"/>
      <c r="GS82" s="70"/>
      <c r="GT82" s="77"/>
      <c r="GU82" s="78"/>
      <c r="GV82" s="78"/>
      <c r="GW82" s="78"/>
      <c r="GX82" s="79"/>
      <c r="GY82" s="79"/>
      <c r="GZ82" s="77"/>
      <c r="HA82" s="77"/>
      <c r="HB82" s="77"/>
      <c r="HC82" s="77"/>
      <c r="HD82" s="77"/>
      <c r="HE82" s="77"/>
      <c r="HF82" s="77"/>
      <c r="HG82" s="77"/>
      <c r="HH82" s="77"/>
      <c r="HI82" s="77"/>
      <c r="HJ82" s="77"/>
      <c r="HK82" s="77"/>
      <c r="HL82" s="77"/>
      <c r="HM82" s="77"/>
      <c r="HN82" s="77"/>
      <c r="HO82" s="77"/>
      <c r="HP82" s="77"/>
      <c r="HQ82" s="77"/>
      <c r="HR82" s="77"/>
      <c r="HS82" s="77"/>
      <c r="HT82" s="77"/>
      <c r="HU82" s="77"/>
      <c r="HV82" s="77"/>
      <c r="HW82" s="77"/>
      <c r="HX82" s="77"/>
      <c r="HY82" s="77"/>
      <c r="HZ82" s="77"/>
      <c r="IA82" s="77"/>
      <c r="IB82" s="77"/>
      <c r="IC82" s="77"/>
      <c r="ID82" s="77"/>
      <c r="IE82" s="77"/>
      <c r="IF82" s="77"/>
      <c r="IG82" s="77"/>
      <c r="IH82" s="77"/>
      <c r="II82" s="77"/>
      <c r="IJ82" s="77"/>
      <c r="IK82" s="77"/>
      <c r="IL82" s="77"/>
      <c r="IM82" s="77"/>
      <c r="IN82" s="77"/>
      <c r="IO82" s="77"/>
      <c r="IP82" s="77"/>
      <c r="IQ82" s="77"/>
      <c r="IR82" s="77"/>
      <c r="IS82" s="77"/>
      <c r="IT82" s="77"/>
      <c r="IU82" s="77"/>
      <c r="IV82" s="77"/>
      <c r="IW82" s="77"/>
      <c r="IX82" s="77"/>
      <c r="IY82" s="77"/>
      <c r="IZ82" s="77"/>
      <c r="JA82" s="77"/>
      <c r="JB82" s="77"/>
      <c r="JC82" s="77"/>
      <c r="JD82" s="77"/>
      <c r="JE82" s="77"/>
      <c r="JF82" s="77"/>
      <c r="JG82" s="77"/>
      <c r="JH82" s="77"/>
      <c r="JI82" s="77"/>
      <c r="JJ82" s="77"/>
      <c r="JK82" s="77"/>
      <c r="JL82" s="77"/>
      <c r="JM82" s="77"/>
      <c r="JN82" s="77"/>
      <c r="JO82" s="77"/>
      <c r="JP82" s="77"/>
      <c r="JQ82" s="77"/>
      <c r="JR82" s="77"/>
      <c r="JS82" s="77"/>
      <c r="JT82" s="77"/>
      <c r="JU82" s="77"/>
      <c r="JV82" s="77"/>
      <c r="JW82" s="77"/>
      <c r="JX82" s="77"/>
      <c r="JY82" s="77"/>
      <c r="JZ82" s="77"/>
      <c r="KA82" s="77"/>
      <c r="KB82" s="77"/>
      <c r="KC82" s="77"/>
      <c r="KD82" s="77"/>
      <c r="KE82" s="77"/>
      <c r="KF82" s="77"/>
      <c r="KG82" s="77"/>
      <c r="KH82" s="77"/>
      <c r="KI82" s="77"/>
      <c r="KJ82" s="77"/>
      <c r="KK82" s="77"/>
      <c r="KL82" s="77"/>
      <c r="KM82" s="77"/>
      <c r="KN82" s="77"/>
      <c r="KO82" s="77"/>
      <c r="KP82" s="77"/>
      <c r="KQ82" s="77"/>
      <c r="KR82" s="77"/>
      <c r="KS82" s="77"/>
      <c r="KT82" s="77"/>
      <c r="KU82" s="77"/>
      <c r="KV82" s="77"/>
      <c r="KW82" s="77"/>
      <c r="KX82" s="77"/>
      <c r="KY82" s="77"/>
      <c r="KZ82" s="77"/>
      <c r="LA82" s="77"/>
      <c r="LB82" s="77"/>
      <c r="LC82" s="77"/>
      <c r="LD82" s="77"/>
      <c r="LE82" s="77"/>
      <c r="LF82" s="77"/>
      <c r="LG82" s="77"/>
      <c r="LH82" s="77"/>
      <c r="LI82" s="77"/>
      <c r="LJ82" s="77"/>
      <c r="LK82" s="77"/>
      <c r="LL82" s="77"/>
      <c r="LM82" s="77"/>
      <c r="LN82" s="77"/>
      <c r="LO82" s="77"/>
      <c r="LP82" s="77"/>
      <c r="LQ82" s="77"/>
      <c r="LR82" s="77"/>
      <c r="LS82" s="77"/>
      <c r="LT82" s="77"/>
      <c r="LU82" s="77"/>
      <c r="LV82" s="77"/>
      <c r="LW82" s="77"/>
      <c r="LX82" s="77"/>
      <c r="LY82" s="77"/>
      <c r="LZ82" s="77"/>
      <c r="MA82" s="77"/>
      <c r="MB82" s="77"/>
      <c r="MC82" s="77"/>
      <c r="MD82" s="77"/>
      <c r="ME82" s="77"/>
      <c r="MF82" s="77"/>
      <c r="MG82" s="77"/>
      <c r="MH82" s="77"/>
      <c r="MI82" s="77"/>
      <c r="MJ82" s="77"/>
      <c r="MK82" s="77"/>
      <c r="ML82" s="77"/>
      <c r="MM82" s="77"/>
      <c r="MN82" s="77"/>
      <c r="MO82" s="77"/>
      <c r="MP82" s="77"/>
      <c r="MQ82" s="77"/>
      <c r="MR82" s="77"/>
      <c r="MS82" s="77"/>
      <c r="MT82" s="77"/>
      <c r="MU82" s="77"/>
      <c r="MV82" s="77"/>
      <c r="MW82" s="77"/>
      <c r="MX82" s="77"/>
      <c r="MY82" s="77"/>
      <c r="MZ82" s="77"/>
      <c r="NA82" s="77"/>
      <c r="NB82" s="77"/>
      <c r="NC82" s="77"/>
      <c r="ND82" s="77"/>
      <c r="NE82" s="77"/>
      <c r="NF82" s="77"/>
      <c r="NG82" s="77"/>
      <c r="NH82" s="77"/>
      <c r="NI82" s="77"/>
      <c r="NJ82" s="77"/>
      <c r="NK82" s="77"/>
      <c r="NL82" s="77"/>
      <c r="NM82" s="77"/>
      <c r="NN82" s="77"/>
      <c r="NO82" s="77"/>
      <c r="NP82" s="77"/>
      <c r="NQ82" s="77"/>
      <c r="NR82" s="77"/>
      <c r="NS82" s="77"/>
      <c r="NT82" s="77"/>
      <c r="NU82" s="77"/>
      <c r="NV82" s="77"/>
      <c r="NW82" s="77"/>
      <c r="NX82" s="10"/>
    </row>
    <row r="83" spans="2:388" x14ac:dyDescent="0.3">
      <c r="B83" s="26" t="s">
        <v>275</v>
      </c>
      <c r="C83" s="18"/>
      <c r="D83" s="86">
        <v>15</v>
      </c>
      <c r="E83" s="27">
        <v>19</v>
      </c>
      <c r="F83" s="27">
        <v>19</v>
      </c>
      <c r="G83" s="21"/>
      <c r="H83" s="30">
        <f t="shared" ref="H83:H89" si="441">21*52*D83</f>
        <v>16380</v>
      </c>
      <c r="I83" s="21" t="s">
        <v>195</v>
      </c>
      <c r="J83" s="23">
        <f t="shared" si="425"/>
        <v>70500</v>
      </c>
      <c r="K83" s="29">
        <f t="shared" si="426"/>
        <v>64.560439560439562</v>
      </c>
      <c r="L83" s="30">
        <f>D83*70500</f>
        <v>1057500</v>
      </c>
      <c r="N83" s="9" t="s">
        <v>271</v>
      </c>
      <c r="S83" s="69" t="str">
        <f t="shared" ref="S83:S87" si="442">IF(ROUND(L83,0)=ROUND(SUM(T83:GQ83),0),"OK","ERROR")</f>
        <v>OK</v>
      </c>
      <c r="T83" s="50">
        <f t="shared" si="428"/>
        <v>0</v>
      </c>
      <c r="U83" s="50">
        <f t="shared" si="429"/>
        <v>0</v>
      </c>
      <c r="V83" s="50">
        <f t="shared" si="429"/>
        <v>0</v>
      </c>
      <c r="W83" s="50">
        <f t="shared" si="429"/>
        <v>0</v>
      </c>
      <c r="X83" s="50">
        <f t="shared" si="429"/>
        <v>0</v>
      </c>
      <c r="Y83" s="50">
        <f t="shared" si="429"/>
        <v>0</v>
      </c>
      <c r="Z83" s="50">
        <f t="shared" si="429"/>
        <v>0</v>
      </c>
      <c r="AA83" s="50">
        <f t="shared" si="429"/>
        <v>0</v>
      </c>
      <c r="AB83" s="50">
        <f t="shared" si="429"/>
        <v>0</v>
      </c>
      <c r="AC83" s="50">
        <f t="shared" si="429"/>
        <v>0</v>
      </c>
      <c r="AD83" s="50">
        <f t="shared" si="429"/>
        <v>0</v>
      </c>
      <c r="AE83" s="50">
        <f t="shared" si="429"/>
        <v>0</v>
      </c>
      <c r="AF83" s="50">
        <f t="shared" si="429"/>
        <v>0</v>
      </c>
      <c r="AG83" s="50">
        <f t="shared" si="429"/>
        <v>0</v>
      </c>
      <c r="AH83" s="50">
        <f t="shared" si="429"/>
        <v>0</v>
      </c>
      <c r="AI83" s="50">
        <f t="shared" si="429"/>
        <v>0</v>
      </c>
      <c r="AJ83" s="50">
        <f t="shared" si="429"/>
        <v>0</v>
      </c>
      <c r="AK83" s="50">
        <f t="shared" si="430"/>
        <v>0</v>
      </c>
      <c r="AL83" s="50">
        <f t="shared" si="430"/>
        <v>1057500</v>
      </c>
      <c r="AM83" s="50">
        <f t="shared" si="430"/>
        <v>0</v>
      </c>
      <c r="AN83" s="50">
        <f t="shared" si="430"/>
        <v>0</v>
      </c>
      <c r="AO83" s="50">
        <f t="shared" si="430"/>
        <v>0</v>
      </c>
      <c r="AP83" s="50">
        <f t="shared" si="430"/>
        <v>0</v>
      </c>
      <c r="AQ83" s="50">
        <f t="shared" si="430"/>
        <v>0</v>
      </c>
      <c r="AR83" s="50">
        <f t="shared" si="430"/>
        <v>0</v>
      </c>
      <c r="AS83" s="50">
        <f t="shared" si="430"/>
        <v>0</v>
      </c>
      <c r="AT83" s="50">
        <f t="shared" si="430"/>
        <v>0</v>
      </c>
      <c r="AU83" s="50">
        <f t="shared" si="430"/>
        <v>0</v>
      </c>
      <c r="AV83" s="50">
        <f t="shared" si="430"/>
        <v>0</v>
      </c>
      <c r="AW83" s="50">
        <f t="shared" si="430"/>
        <v>0</v>
      </c>
      <c r="AX83" s="50">
        <f t="shared" si="430"/>
        <v>0</v>
      </c>
      <c r="AY83" s="50">
        <f t="shared" si="430"/>
        <v>0</v>
      </c>
      <c r="AZ83" s="50">
        <f t="shared" si="430"/>
        <v>0</v>
      </c>
      <c r="BA83" s="50">
        <f t="shared" si="431"/>
        <v>0</v>
      </c>
      <c r="BB83" s="50">
        <f t="shared" si="431"/>
        <v>0</v>
      </c>
      <c r="BC83" s="50">
        <f t="shared" si="431"/>
        <v>0</v>
      </c>
      <c r="BD83" s="50">
        <f t="shared" si="431"/>
        <v>0</v>
      </c>
      <c r="BE83" s="50">
        <f t="shared" si="431"/>
        <v>0</v>
      </c>
      <c r="BF83" s="50">
        <f t="shared" si="431"/>
        <v>0</v>
      </c>
      <c r="BG83" s="50">
        <f t="shared" si="431"/>
        <v>0</v>
      </c>
      <c r="BH83" s="50">
        <f t="shared" si="431"/>
        <v>0</v>
      </c>
      <c r="BI83" s="50">
        <f t="shared" si="431"/>
        <v>0</v>
      </c>
      <c r="BJ83" s="50">
        <f t="shared" si="431"/>
        <v>0</v>
      </c>
      <c r="BK83" s="50">
        <f t="shared" si="431"/>
        <v>0</v>
      </c>
      <c r="BL83" s="50">
        <f t="shared" si="431"/>
        <v>0</v>
      </c>
      <c r="BM83" s="50">
        <f t="shared" si="431"/>
        <v>0</v>
      </c>
      <c r="BN83" s="50">
        <f t="shared" si="431"/>
        <v>0</v>
      </c>
      <c r="BO83" s="50">
        <f t="shared" si="431"/>
        <v>0</v>
      </c>
      <c r="BP83" s="50">
        <f t="shared" si="431"/>
        <v>0</v>
      </c>
      <c r="BQ83" s="50">
        <f t="shared" si="432"/>
        <v>0</v>
      </c>
      <c r="BR83" s="50">
        <f t="shared" si="432"/>
        <v>0</v>
      </c>
      <c r="BS83" s="50">
        <f t="shared" si="432"/>
        <v>0</v>
      </c>
      <c r="BT83" s="50">
        <f t="shared" si="432"/>
        <v>0</v>
      </c>
      <c r="BU83" s="50">
        <f t="shared" si="432"/>
        <v>0</v>
      </c>
      <c r="BV83" s="50">
        <f t="shared" si="432"/>
        <v>0</v>
      </c>
      <c r="BW83" s="50">
        <f t="shared" si="432"/>
        <v>0</v>
      </c>
      <c r="BX83" s="50">
        <f t="shared" si="432"/>
        <v>0</v>
      </c>
      <c r="BY83" s="50">
        <f t="shared" si="432"/>
        <v>0</v>
      </c>
      <c r="BZ83" s="50">
        <f t="shared" si="432"/>
        <v>0</v>
      </c>
      <c r="CA83" s="50">
        <f t="shared" si="432"/>
        <v>0</v>
      </c>
      <c r="CB83" s="50">
        <f t="shared" si="432"/>
        <v>0</v>
      </c>
      <c r="CC83" s="50">
        <f t="shared" si="432"/>
        <v>0</v>
      </c>
      <c r="CD83" s="50">
        <f t="shared" si="432"/>
        <v>0</v>
      </c>
      <c r="CE83" s="50">
        <f t="shared" si="432"/>
        <v>0</v>
      </c>
      <c r="CF83" s="50">
        <f t="shared" si="432"/>
        <v>0</v>
      </c>
      <c r="CG83" s="50">
        <f t="shared" si="433"/>
        <v>0</v>
      </c>
      <c r="CH83" s="50">
        <f t="shared" si="433"/>
        <v>0</v>
      </c>
      <c r="CI83" s="50">
        <f t="shared" si="433"/>
        <v>0</v>
      </c>
      <c r="CJ83" s="50">
        <f t="shared" si="433"/>
        <v>0</v>
      </c>
      <c r="CK83" s="50">
        <f t="shared" si="433"/>
        <v>0</v>
      </c>
      <c r="CL83" s="50">
        <f t="shared" si="433"/>
        <v>0</v>
      </c>
      <c r="CM83" s="50">
        <f t="shared" si="433"/>
        <v>0</v>
      </c>
      <c r="CN83" s="50">
        <f t="shared" si="433"/>
        <v>0</v>
      </c>
      <c r="CO83" s="50">
        <f t="shared" si="433"/>
        <v>0</v>
      </c>
      <c r="CP83" s="50">
        <f t="shared" si="433"/>
        <v>0</v>
      </c>
      <c r="CQ83" s="50">
        <f t="shared" si="433"/>
        <v>0</v>
      </c>
      <c r="CR83" s="50">
        <f t="shared" si="433"/>
        <v>0</v>
      </c>
      <c r="CS83" s="50">
        <f t="shared" si="433"/>
        <v>0</v>
      </c>
      <c r="CT83" s="50">
        <f t="shared" si="433"/>
        <v>0</v>
      </c>
      <c r="CU83" s="50">
        <f t="shared" si="433"/>
        <v>0</v>
      </c>
      <c r="CV83" s="50">
        <f t="shared" si="433"/>
        <v>0</v>
      </c>
      <c r="CW83" s="50">
        <f t="shared" si="434"/>
        <v>0</v>
      </c>
      <c r="CX83" s="50">
        <f t="shared" si="434"/>
        <v>0</v>
      </c>
      <c r="CY83" s="50">
        <f t="shared" si="434"/>
        <v>0</v>
      </c>
      <c r="CZ83" s="50">
        <f t="shared" si="434"/>
        <v>0</v>
      </c>
      <c r="DA83" s="50">
        <f t="shared" si="434"/>
        <v>0</v>
      </c>
      <c r="DB83" s="50">
        <f t="shared" si="434"/>
        <v>0</v>
      </c>
      <c r="DC83" s="50">
        <f t="shared" si="434"/>
        <v>0</v>
      </c>
      <c r="DD83" s="50">
        <f t="shared" si="434"/>
        <v>0</v>
      </c>
      <c r="DE83" s="50">
        <f t="shared" si="434"/>
        <v>0</v>
      </c>
      <c r="DF83" s="50">
        <f t="shared" si="434"/>
        <v>0</v>
      </c>
      <c r="DG83" s="50">
        <f t="shared" si="434"/>
        <v>0</v>
      </c>
      <c r="DH83" s="50">
        <f t="shared" si="434"/>
        <v>0</v>
      </c>
      <c r="DI83" s="50">
        <f t="shared" si="434"/>
        <v>0</v>
      </c>
      <c r="DJ83" s="50">
        <f t="shared" si="434"/>
        <v>0</v>
      </c>
      <c r="DK83" s="50">
        <f t="shared" si="434"/>
        <v>0</v>
      </c>
      <c r="DL83" s="50">
        <f t="shared" si="434"/>
        <v>0</v>
      </c>
      <c r="DM83" s="50">
        <f t="shared" si="435"/>
        <v>0</v>
      </c>
      <c r="DN83" s="50">
        <f t="shared" si="435"/>
        <v>0</v>
      </c>
      <c r="DO83" s="50">
        <f t="shared" si="435"/>
        <v>0</v>
      </c>
      <c r="DP83" s="50">
        <f t="shared" si="435"/>
        <v>0</v>
      </c>
      <c r="DQ83" s="50">
        <f t="shared" si="435"/>
        <v>0</v>
      </c>
      <c r="DR83" s="50">
        <f t="shared" si="435"/>
        <v>0</v>
      </c>
      <c r="DS83" s="50">
        <f t="shared" si="435"/>
        <v>0</v>
      </c>
      <c r="DT83" s="50">
        <f t="shared" si="435"/>
        <v>0</v>
      </c>
      <c r="DU83" s="50">
        <f t="shared" si="435"/>
        <v>0</v>
      </c>
      <c r="DV83" s="50">
        <f t="shared" si="435"/>
        <v>0</v>
      </c>
      <c r="DW83" s="50">
        <f t="shared" si="435"/>
        <v>0</v>
      </c>
      <c r="DX83" s="50">
        <f t="shared" si="435"/>
        <v>0</v>
      </c>
      <c r="DY83" s="50">
        <f t="shared" si="435"/>
        <v>0</v>
      </c>
      <c r="DZ83" s="50">
        <f t="shared" si="435"/>
        <v>0</v>
      </c>
      <c r="EA83" s="50">
        <f t="shared" si="435"/>
        <v>0</v>
      </c>
      <c r="EB83" s="50">
        <f t="shared" si="435"/>
        <v>0</v>
      </c>
      <c r="EC83" s="50">
        <f t="shared" si="436"/>
        <v>0</v>
      </c>
      <c r="ED83" s="50">
        <f t="shared" si="436"/>
        <v>0</v>
      </c>
      <c r="EE83" s="50">
        <f t="shared" si="436"/>
        <v>0</v>
      </c>
      <c r="EF83" s="50">
        <f t="shared" si="436"/>
        <v>0</v>
      </c>
      <c r="EG83" s="50">
        <f t="shared" si="436"/>
        <v>0</v>
      </c>
      <c r="EH83" s="50">
        <f t="shared" si="436"/>
        <v>0</v>
      </c>
      <c r="EI83" s="50">
        <f t="shared" si="436"/>
        <v>0</v>
      </c>
      <c r="EJ83" s="50">
        <f t="shared" si="436"/>
        <v>0</v>
      </c>
      <c r="EK83" s="50">
        <f t="shared" si="436"/>
        <v>0</v>
      </c>
      <c r="EL83" s="50">
        <f t="shared" si="436"/>
        <v>0</v>
      </c>
      <c r="EM83" s="50">
        <f t="shared" si="436"/>
        <v>0</v>
      </c>
      <c r="EN83" s="50">
        <f t="shared" si="436"/>
        <v>0</v>
      </c>
      <c r="EO83" s="50">
        <f t="shared" si="436"/>
        <v>0</v>
      </c>
      <c r="EP83" s="50">
        <f t="shared" si="436"/>
        <v>0</v>
      </c>
      <c r="EQ83" s="50">
        <f t="shared" si="436"/>
        <v>0</v>
      </c>
      <c r="ER83" s="50">
        <f t="shared" si="436"/>
        <v>0</v>
      </c>
      <c r="ES83" s="50">
        <f t="shared" si="437"/>
        <v>0</v>
      </c>
      <c r="ET83" s="50">
        <f t="shared" si="437"/>
        <v>0</v>
      </c>
      <c r="EU83" s="50">
        <f t="shared" si="437"/>
        <v>0</v>
      </c>
      <c r="EV83" s="50">
        <f t="shared" si="437"/>
        <v>0</v>
      </c>
      <c r="EW83" s="50">
        <f t="shared" si="437"/>
        <v>0</v>
      </c>
      <c r="EX83" s="50">
        <f t="shared" si="437"/>
        <v>0</v>
      </c>
      <c r="EY83" s="50">
        <f t="shared" si="437"/>
        <v>0</v>
      </c>
      <c r="EZ83" s="50">
        <f t="shared" si="437"/>
        <v>0</v>
      </c>
      <c r="FA83" s="50">
        <f t="shared" si="437"/>
        <v>0</v>
      </c>
      <c r="FB83" s="50">
        <f t="shared" si="437"/>
        <v>0</v>
      </c>
      <c r="FC83" s="50">
        <f t="shared" si="437"/>
        <v>0</v>
      </c>
      <c r="FD83" s="50">
        <f t="shared" si="437"/>
        <v>0</v>
      </c>
      <c r="FE83" s="50">
        <f t="shared" si="437"/>
        <v>0</v>
      </c>
      <c r="FF83" s="50">
        <f t="shared" si="437"/>
        <v>0</v>
      </c>
      <c r="FG83" s="50">
        <f t="shared" si="437"/>
        <v>0</v>
      </c>
      <c r="FH83" s="50">
        <f t="shared" si="437"/>
        <v>0</v>
      </c>
      <c r="FI83" s="50">
        <f t="shared" si="438"/>
        <v>0</v>
      </c>
      <c r="FJ83" s="50">
        <f t="shared" si="438"/>
        <v>0</v>
      </c>
      <c r="FK83" s="50">
        <f t="shared" si="438"/>
        <v>0</v>
      </c>
      <c r="FL83" s="50">
        <f t="shared" si="438"/>
        <v>0</v>
      </c>
      <c r="FM83" s="50">
        <f t="shared" si="438"/>
        <v>0</v>
      </c>
      <c r="FN83" s="50">
        <f t="shared" si="438"/>
        <v>0</v>
      </c>
      <c r="FO83" s="50">
        <f t="shared" si="438"/>
        <v>0</v>
      </c>
      <c r="FP83" s="50">
        <f t="shared" si="438"/>
        <v>0</v>
      </c>
      <c r="FQ83" s="50">
        <f t="shared" si="438"/>
        <v>0</v>
      </c>
      <c r="FR83" s="50">
        <f t="shared" si="438"/>
        <v>0</v>
      </c>
      <c r="FS83" s="50">
        <f t="shared" si="438"/>
        <v>0</v>
      </c>
      <c r="FT83" s="50">
        <f t="shared" si="438"/>
        <v>0</v>
      </c>
      <c r="FU83" s="50">
        <f t="shared" si="438"/>
        <v>0</v>
      </c>
      <c r="FV83" s="50">
        <f t="shared" si="438"/>
        <v>0</v>
      </c>
      <c r="FW83" s="50">
        <f t="shared" si="438"/>
        <v>0</v>
      </c>
      <c r="FX83" s="50">
        <f t="shared" si="438"/>
        <v>0</v>
      </c>
      <c r="FY83" s="50">
        <f t="shared" si="439"/>
        <v>0</v>
      </c>
      <c r="FZ83" s="50">
        <f t="shared" si="439"/>
        <v>0</v>
      </c>
      <c r="GA83" s="50">
        <f t="shared" si="439"/>
        <v>0</v>
      </c>
      <c r="GB83" s="50">
        <f t="shared" si="439"/>
        <v>0</v>
      </c>
      <c r="GC83" s="50">
        <f t="shared" si="439"/>
        <v>0</v>
      </c>
      <c r="GD83" s="50">
        <f t="shared" si="439"/>
        <v>0</v>
      </c>
      <c r="GE83" s="50">
        <f t="shared" si="439"/>
        <v>0</v>
      </c>
      <c r="GF83" s="50">
        <f t="shared" si="439"/>
        <v>0</v>
      </c>
      <c r="GG83" s="50">
        <f t="shared" si="439"/>
        <v>0</v>
      </c>
      <c r="GH83" s="50">
        <f t="shared" si="439"/>
        <v>0</v>
      </c>
      <c r="GI83" s="50">
        <f t="shared" si="439"/>
        <v>0</v>
      </c>
      <c r="GJ83" s="50">
        <f t="shared" si="439"/>
        <v>0</v>
      </c>
      <c r="GK83" s="50">
        <f t="shared" si="439"/>
        <v>0</v>
      </c>
      <c r="GL83" s="50">
        <f t="shared" si="439"/>
        <v>0</v>
      </c>
      <c r="GM83" s="50">
        <f t="shared" si="439"/>
        <v>0</v>
      </c>
      <c r="GN83" s="50">
        <f t="shared" si="439"/>
        <v>0</v>
      </c>
      <c r="GO83" s="50">
        <f t="shared" si="440"/>
        <v>0</v>
      </c>
      <c r="GP83" s="50">
        <f t="shared" si="440"/>
        <v>0</v>
      </c>
      <c r="GQ83" s="50">
        <f t="shared" si="440"/>
        <v>0</v>
      </c>
      <c r="GR83" s="9"/>
      <c r="GS83" s="70"/>
      <c r="GT83" s="77"/>
      <c r="GU83" s="78"/>
      <c r="GV83" s="78"/>
      <c r="GW83" s="78"/>
      <c r="GX83" s="79"/>
      <c r="GY83" s="79"/>
      <c r="GZ83" s="77"/>
      <c r="HA83" s="77"/>
      <c r="HB83" s="77"/>
      <c r="HC83" s="77"/>
      <c r="HD83" s="77"/>
      <c r="HE83" s="77"/>
      <c r="HF83" s="77"/>
      <c r="HG83" s="77"/>
      <c r="HH83" s="77"/>
      <c r="HI83" s="77"/>
      <c r="HJ83" s="77"/>
      <c r="HK83" s="77"/>
      <c r="HL83" s="77"/>
      <c r="HM83" s="77"/>
      <c r="HN83" s="77"/>
      <c r="HO83" s="77"/>
      <c r="HP83" s="77"/>
      <c r="HQ83" s="77"/>
      <c r="HR83" s="77"/>
      <c r="HS83" s="77"/>
      <c r="HT83" s="77"/>
      <c r="HU83" s="77"/>
      <c r="HV83" s="77"/>
      <c r="HW83" s="77"/>
      <c r="HX83" s="77"/>
      <c r="HY83" s="77"/>
      <c r="HZ83" s="77"/>
      <c r="IA83" s="77"/>
      <c r="IB83" s="77"/>
      <c r="IC83" s="77"/>
      <c r="ID83" s="77"/>
      <c r="IE83" s="77"/>
      <c r="IF83" s="77"/>
      <c r="IG83" s="77"/>
      <c r="IH83" s="77"/>
      <c r="II83" s="77"/>
      <c r="IJ83" s="77"/>
      <c r="IK83" s="77"/>
      <c r="IL83" s="77"/>
      <c r="IM83" s="77"/>
      <c r="IN83" s="77"/>
      <c r="IO83" s="77"/>
      <c r="IP83" s="77"/>
      <c r="IQ83" s="77"/>
      <c r="IR83" s="77"/>
      <c r="IS83" s="77"/>
      <c r="IT83" s="77"/>
      <c r="IU83" s="77"/>
      <c r="IV83" s="77"/>
      <c r="IW83" s="77"/>
      <c r="IX83" s="77"/>
      <c r="IY83" s="77"/>
      <c r="IZ83" s="77"/>
      <c r="JA83" s="77"/>
      <c r="JB83" s="77"/>
      <c r="JC83" s="77"/>
      <c r="JD83" s="77"/>
      <c r="JE83" s="77"/>
      <c r="JF83" s="77"/>
      <c r="JG83" s="77"/>
      <c r="JH83" s="77"/>
      <c r="JI83" s="77"/>
      <c r="JJ83" s="77"/>
      <c r="JK83" s="77"/>
      <c r="JL83" s="77"/>
      <c r="JM83" s="77"/>
      <c r="JN83" s="77"/>
      <c r="JO83" s="77"/>
      <c r="JP83" s="77"/>
      <c r="JQ83" s="77"/>
      <c r="JR83" s="77"/>
      <c r="JS83" s="77"/>
      <c r="JT83" s="77"/>
      <c r="JU83" s="77"/>
      <c r="JV83" s="77"/>
      <c r="JW83" s="77"/>
      <c r="JX83" s="77"/>
      <c r="JY83" s="77"/>
      <c r="JZ83" s="77"/>
      <c r="KA83" s="77"/>
      <c r="KB83" s="77"/>
      <c r="KC83" s="77"/>
      <c r="KD83" s="77"/>
      <c r="KE83" s="77"/>
      <c r="KF83" s="77"/>
      <c r="KG83" s="77"/>
      <c r="KH83" s="77"/>
      <c r="KI83" s="77"/>
      <c r="KJ83" s="77"/>
      <c r="KK83" s="77"/>
      <c r="KL83" s="77"/>
      <c r="KM83" s="77"/>
      <c r="KN83" s="77"/>
      <c r="KO83" s="77"/>
      <c r="KP83" s="77"/>
      <c r="KQ83" s="77"/>
      <c r="KR83" s="77"/>
      <c r="KS83" s="77"/>
      <c r="KT83" s="77"/>
      <c r="KU83" s="77"/>
      <c r="KV83" s="77"/>
      <c r="KW83" s="77"/>
      <c r="KX83" s="77"/>
      <c r="KY83" s="77"/>
      <c r="KZ83" s="77"/>
      <c r="LA83" s="77"/>
      <c r="LB83" s="77"/>
      <c r="LC83" s="77"/>
      <c r="LD83" s="77"/>
      <c r="LE83" s="77"/>
      <c r="LF83" s="77"/>
      <c r="LG83" s="77"/>
      <c r="LH83" s="77"/>
      <c r="LI83" s="77"/>
      <c r="LJ83" s="77"/>
      <c r="LK83" s="77"/>
      <c r="LL83" s="77"/>
      <c r="LM83" s="77"/>
      <c r="LN83" s="77"/>
      <c r="LO83" s="77"/>
      <c r="LP83" s="77"/>
      <c r="LQ83" s="77"/>
      <c r="LR83" s="77"/>
      <c r="LS83" s="77"/>
      <c r="LT83" s="77"/>
      <c r="LU83" s="77"/>
      <c r="LV83" s="77"/>
      <c r="LW83" s="77"/>
      <c r="LX83" s="77"/>
      <c r="LY83" s="77"/>
      <c r="LZ83" s="77"/>
      <c r="MA83" s="77"/>
      <c r="MB83" s="77"/>
      <c r="MC83" s="77"/>
      <c r="MD83" s="77"/>
      <c r="ME83" s="77"/>
      <c r="MF83" s="77"/>
      <c r="MG83" s="77"/>
      <c r="MH83" s="77"/>
      <c r="MI83" s="77"/>
      <c r="MJ83" s="77"/>
      <c r="MK83" s="77"/>
      <c r="ML83" s="77"/>
      <c r="MM83" s="77"/>
      <c r="MN83" s="77"/>
      <c r="MO83" s="77"/>
      <c r="MP83" s="77"/>
      <c r="MQ83" s="77"/>
      <c r="MR83" s="77"/>
      <c r="MS83" s="77"/>
      <c r="MT83" s="77"/>
      <c r="MU83" s="77"/>
      <c r="MV83" s="77"/>
      <c r="MW83" s="77"/>
      <c r="MX83" s="77"/>
      <c r="MY83" s="77"/>
      <c r="MZ83" s="77"/>
      <c r="NA83" s="77"/>
      <c r="NB83" s="77"/>
      <c r="NC83" s="77"/>
      <c r="ND83" s="77"/>
      <c r="NE83" s="77"/>
      <c r="NF83" s="77"/>
      <c r="NG83" s="77"/>
      <c r="NH83" s="77"/>
      <c r="NI83" s="77"/>
      <c r="NJ83" s="77"/>
      <c r="NK83" s="77"/>
      <c r="NL83" s="77"/>
      <c r="NM83" s="77"/>
      <c r="NN83" s="77"/>
      <c r="NO83" s="77"/>
      <c r="NP83" s="77"/>
      <c r="NQ83" s="77"/>
      <c r="NR83" s="77"/>
      <c r="NS83" s="77"/>
      <c r="NT83" s="77"/>
      <c r="NU83" s="77"/>
      <c r="NV83" s="77"/>
      <c r="NW83" s="77"/>
      <c r="NX83" s="10"/>
    </row>
    <row r="84" spans="2:388" x14ac:dyDescent="0.3">
      <c r="B84" s="26" t="s">
        <v>276</v>
      </c>
      <c r="C84" s="18"/>
      <c r="D84" s="86">
        <v>12</v>
      </c>
      <c r="E84" s="27">
        <v>21</v>
      </c>
      <c r="F84" s="27">
        <v>21</v>
      </c>
      <c r="G84" s="21"/>
      <c r="H84" s="30">
        <f t="shared" si="441"/>
        <v>13104</v>
      </c>
      <c r="I84" s="21" t="s">
        <v>195</v>
      </c>
      <c r="J84" s="23">
        <f t="shared" si="425"/>
        <v>60500</v>
      </c>
      <c r="K84" s="29">
        <f t="shared" si="426"/>
        <v>55.402930402930401</v>
      </c>
      <c r="L84" s="30">
        <f>D84*60500</f>
        <v>726000</v>
      </c>
      <c r="N84" s="9" t="s">
        <v>271</v>
      </c>
      <c r="S84" s="69" t="str">
        <f t="shared" si="442"/>
        <v>OK</v>
      </c>
      <c r="T84" s="50">
        <f t="shared" si="428"/>
        <v>0</v>
      </c>
      <c r="U84" s="50">
        <f t="shared" si="429"/>
        <v>0</v>
      </c>
      <c r="V84" s="50">
        <f t="shared" si="429"/>
        <v>0</v>
      </c>
      <c r="W84" s="50">
        <f t="shared" si="429"/>
        <v>0</v>
      </c>
      <c r="X84" s="50">
        <f t="shared" si="429"/>
        <v>0</v>
      </c>
      <c r="Y84" s="50">
        <f t="shared" si="429"/>
        <v>0</v>
      </c>
      <c r="Z84" s="50">
        <f t="shared" si="429"/>
        <v>0</v>
      </c>
      <c r="AA84" s="50">
        <f t="shared" si="429"/>
        <v>0</v>
      </c>
      <c r="AB84" s="50">
        <f t="shared" si="429"/>
        <v>0</v>
      </c>
      <c r="AC84" s="50">
        <f t="shared" si="429"/>
        <v>0</v>
      </c>
      <c r="AD84" s="50">
        <f t="shared" si="429"/>
        <v>0</v>
      </c>
      <c r="AE84" s="50">
        <f t="shared" si="429"/>
        <v>0</v>
      </c>
      <c r="AF84" s="50">
        <f t="shared" si="429"/>
        <v>0</v>
      </c>
      <c r="AG84" s="50">
        <f t="shared" si="429"/>
        <v>0</v>
      </c>
      <c r="AH84" s="50">
        <f t="shared" si="429"/>
        <v>0</v>
      </c>
      <c r="AI84" s="50">
        <f t="shared" si="429"/>
        <v>0</v>
      </c>
      <c r="AJ84" s="50">
        <f t="shared" si="429"/>
        <v>0</v>
      </c>
      <c r="AK84" s="50">
        <f t="shared" si="430"/>
        <v>0</v>
      </c>
      <c r="AL84" s="50">
        <f t="shared" si="430"/>
        <v>0</v>
      </c>
      <c r="AM84" s="50">
        <f t="shared" si="430"/>
        <v>0</v>
      </c>
      <c r="AN84" s="50">
        <f t="shared" si="430"/>
        <v>726000</v>
      </c>
      <c r="AO84" s="50">
        <f t="shared" si="430"/>
        <v>0</v>
      </c>
      <c r="AP84" s="50">
        <f t="shared" si="430"/>
        <v>0</v>
      </c>
      <c r="AQ84" s="50">
        <f t="shared" si="430"/>
        <v>0</v>
      </c>
      <c r="AR84" s="50">
        <f t="shared" si="430"/>
        <v>0</v>
      </c>
      <c r="AS84" s="50">
        <f t="shared" si="430"/>
        <v>0</v>
      </c>
      <c r="AT84" s="50">
        <f t="shared" si="430"/>
        <v>0</v>
      </c>
      <c r="AU84" s="50">
        <f t="shared" si="430"/>
        <v>0</v>
      </c>
      <c r="AV84" s="50">
        <f t="shared" si="430"/>
        <v>0</v>
      </c>
      <c r="AW84" s="50">
        <f t="shared" si="430"/>
        <v>0</v>
      </c>
      <c r="AX84" s="50">
        <f t="shared" si="430"/>
        <v>0</v>
      </c>
      <c r="AY84" s="50">
        <f t="shared" si="430"/>
        <v>0</v>
      </c>
      <c r="AZ84" s="50">
        <f t="shared" si="430"/>
        <v>0</v>
      </c>
      <c r="BA84" s="50">
        <f t="shared" si="431"/>
        <v>0</v>
      </c>
      <c r="BB84" s="50">
        <f t="shared" si="431"/>
        <v>0</v>
      </c>
      <c r="BC84" s="50">
        <f t="shared" si="431"/>
        <v>0</v>
      </c>
      <c r="BD84" s="50">
        <f t="shared" si="431"/>
        <v>0</v>
      </c>
      <c r="BE84" s="50">
        <f t="shared" si="431"/>
        <v>0</v>
      </c>
      <c r="BF84" s="50">
        <f t="shared" si="431"/>
        <v>0</v>
      </c>
      <c r="BG84" s="50">
        <f t="shared" si="431"/>
        <v>0</v>
      </c>
      <c r="BH84" s="50">
        <f t="shared" si="431"/>
        <v>0</v>
      </c>
      <c r="BI84" s="50">
        <f t="shared" si="431"/>
        <v>0</v>
      </c>
      <c r="BJ84" s="50">
        <f t="shared" si="431"/>
        <v>0</v>
      </c>
      <c r="BK84" s="50">
        <f t="shared" si="431"/>
        <v>0</v>
      </c>
      <c r="BL84" s="50">
        <f t="shared" si="431"/>
        <v>0</v>
      </c>
      <c r="BM84" s="50">
        <f t="shared" si="431"/>
        <v>0</v>
      </c>
      <c r="BN84" s="50">
        <f t="shared" si="431"/>
        <v>0</v>
      </c>
      <c r="BO84" s="50">
        <f t="shared" si="431"/>
        <v>0</v>
      </c>
      <c r="BP84" s="50">
        <f t="shared" si="431"/>
        <v>0</v>
      </c>
      <c r="BQ84" s="50">
        <f t="shared" si="432"/>
        <v>0</v>
      </c>
      <c r="BR84" s="50">
        <f t="shared" si="432"/>
        <v>0</v>
      </c>
      <c r="BS84" s="50">
        <f t="shared" si="432"/>
        <v>0</v>
      </c>
      <c r="BT84" s="50">
        <f t="shared" si="432"/>
        <v>0</v>
      </c>
      <c r="BU84" s="50">
        <f t="shared" si="432"/>
        <v>0</v>
      </c>
      <c r="BV84" s="50">
        <f t="shared" si="432"/>
        <v>0</v>
      </c>
      <c r="BW84" s="50">
        <f t="shared" si="432"/>
        <v>0</v>
      </c>
      <c r="BX84" s="50">
        <f t="shared" si="432"/>
        <v>0</v>
      </c>
      <c r="BY84" s="50">
        <f t="shared" si="432"/>
        <v>0</v>
      </c>
      <c r="BZ84" s="50">
        <f t="shared" si="432"/>
        <v>0</v>
      </c>
      <c r="CA84" s="50">
        <f t="shared" si="432"/>
        <v>0</v>
      </c>
      <c r="CB84" s="50">
        <f t="shared" si="432"/>
        <v>0</v>
      </c>
      <c r="CC84" s="50">
        <f t="shared" si="432"/>
        <v>0</v>
      </c>
      <c r="CD84" s="50">
        <f t="shared" si="432"/>
        <v>0</v>
      </c>
      <c r="CE84" s="50">
        <f t="shared" si="432"/>
        <v>0</v>
      </c>
      <c r="CF84" s="50">
        <f t="shared" si="432"/>
        <v>0</v>
      </c>
      <c r="CG84" s="50">
        <f t="shared" si="433"/>
        <v>0</v>
      </c>
      <c r="CH84" s="50">
        <f t="shared" si="433"/>
        <v>0</v>
      </c>
      <c r="CI84" s="50">
        <f t="shared" si="433"/>
        <v>0</v>
      </c>
      <c r="CJ84" s="50">
        <f t="shared" si="433"/>
        <v>0</v>
      </c>
      <c r="CK84" s="50">
        <f t="shared" si="433"/>
        <v>0</v>
      </c>
      <c r="CL84" s="50">
        <f t="shared" si="433"/>
        <v>0</v>
      </c>
      <c r="CM84" s="50">
        <f t="shared" si="433"/>
        <v>0</v>
      </c>
      <c r="CN84" s="50">
        <f t="shared" si="433"/>
        <v>0</v>
      </c>
      <c r="CO84" s="50">
        <f t="shared" si="433"/>
        <v>0</v>
      </c>
      <c r="CP84" s="50">
        <f t="shared" si="433"/>
        <v>0</v>
      </c>
      <c r="CQ84" s="50">
        <f t="shared" si="433"/>
        <v>0</v>
      </c>
      <c r="CR84" s="50">
        <f t="shared" si="433"/>
        <v>0</v>
      </c>
      <c r="CS84" s="50">
        <f t="shared" si="433"/>
        <v>0</v>
      </c>
      <c r="CT84" s="50">
        <f t="shared" si="433"/>
        <v>0</v>
      </c>
      <c r="CU84" s="50">
        <f t="shared" si="433"/>
        <v>0</v>
      </c>
      <c r="CV84" s="50">
        <f t="shared" si="433"/>
        <v>0</v>
      </c>
      <c r="CW84" s="50">
        <f t="shared" si="434"/>
        <v>0</v>
      </c>
      <c r="CX84" s="50">
        <f t="shared" si="434"/>
        <v>0</v>
      </c>
      <c r="CY84" s="50">
        <f t="shared" si="434"/>
        <v>0</v>
      </c>
      <c r="CZ84" s="50">
        <f t="shared" si="434"/>
        <v>0</v>
      </c>
      <c r="DA84" s="50">
        <f t="shared" si="434"/>
        <v>0</v>
      </c>
      <c r="DB84" s="50">
        <f t="shared" si="434"/>
        <v>0</v>
      </c>
      <c r="DC84" s="50">
        <f t="shared" si="434"/>
        <v>0</v>
      </c>
      <c r="DD84" s="50">
        <f t="shared" si="434"/>
        <v>0</v>
      </c>
      <c r="DE84" s="50">
        <f t="shared" si="434"/>
        <v>0</v>
      </c>
      <c r="DF84" s="50">
        <f t="shared" si="434"/>
        <v>0</v>
      </c>
      <c r="DG84" s="50">
        <f t="shared" si="434"/>
        <v>0</v>
      </c>
      <c r="DH84" s="50">
        <f t="shared" si="434"/>
        <v>0</v>
      </c>
      <c r="DI84" s="50">
        <f t="shared" si="434"/>
        <v>0</v>
      </c>
      <c r="DJ84" s="50">
        <f t="shared" si="434"/>
        <v>0</v>
      </c>
      <c r="DK84" s="50">
        <f t="shared" si="434"/>
        <v>0</v>
      </c>
      <c r="DL84" s="50">
        <f t="shared" si="434"/>
        <v>0</v>
      </c>
      <c r="DM84" s="50">
        <f t="shared" si="435"/>
        <v>0</v>
      </c>
      <c r="DN84" s="50">
        <f t="shared" si="435"/>
        <v>0</v>
      </c>
      <c r="DO84" s="50">
        <f t="shared" si="435"/>
        <v>0</v>
      </c>
      <c r="DP84" s="50">
        <f t="shared" si="435"/>
        <v>0</v>
      </c>
      <c r="DQ84" s="50">
        <f t="shared" si="435"/>
        <v>0</v>
      </c>
      <c r="DR84" s="50">
        <f t="shared" si="435"/>
        <v>0</v>
      </c>
      <c r="DS84" s="50">
        <f t="shared" si="435"/>
        <v>0</v>
      </c>
      <c r="DT84" s="50">
        <f t="shared" si="435"/>
        <v>0</v>
      </c>
      <c r="DU84" s="50">
        <f t="shared" si="435"/>
        <v>0</v>
      </c>
      <c r="DV84" s="50">
        <f t="shared" si="435"/>
        <v>0</v>
      </c>
      <c r="DW84" s="50">
        <f t="shared" si="435"/>
        <v>0</v>
      </c>
      <c r="DX84" s="50">
        <f t="shared" si="435"/>
        <v>0</v>
      </c>
      <c r="DY84" s="50">
        <f t="shared" si="435"/>
        <v>0</v>
      </c>
      <c r="DZ84" s="50">
        <f t="shared" si="435"/>
        <v>0</v>
      </c>
      <c r="EA84" s="50">
        <f t="shared" si="435"/>
        <v>0</v>
      </c>
      <c r="EB84" s="50">
        <f t="shared" si="435"/>
        <v>0</v>
      </c>
      <c r="EC84" s="50">
        <f t="shared" si="436"/>
        <v>0</v>
      </c>
      <c r="ED84" s="50">
        <f t="shared" si="436"/>
        <v>0</v>
      </c>
      <c r="EE84" s="50">
        <f t="shared" si="436"/>
        <v>0</v>
      </c>
      <c r="EF84" s="50">
        <f t="shared" si="436"/>
        <v>0</v>
      </c>
      <c r="EG84" s="50">
        <f t="shared" si="436"/>
        <v>0</v>
      </c>
      <c r="EH84" s="50">
        <f t="shared" si="436"/>
        <v>0</v>
      </c>
      <c r="EI84" s="50">
        <f t="shared" si="436"/>
        <v>0</v>
      </c>
      <c r="EJ84" s="50">
        <f t="shared" si="436"/>
        <v>0</v>
      </c>
      <c r="EK84" s="50">
        <f t="shared" si="436"/>
        <v>0</v>
      </c>
      <c r="EL84" s="50">
        <f t="shared" si="436"/>
        <v>0</v>
      </c>
      <c r="EM84" s="50">
        <f t="shared" si="436"/>
        <v>0</v>
      </c>
      <c r="EN84" s="50">
        <f t="shared" si="436"/>
        <v>0</v>
      </c>
      <c r="EO84" s="50">
        <f t="shared" si="436"/>
        <v>0</v>
      </c>
      <c r="EP84" s="50">
        <f t="shared" si="436"/>
        <v>0</v>
      </c>
      <c r="EQ84" s="50">
        <f t="shared" si="436"/>
        <v>0</v>
      </c>
      <c r="ER84" s="50">
        <f t="shared" si="436"/>
        <v>0</v>
      </c>
      <c r="ES84" s="50">
        <f t="shared" si="437"/>
        <v>0</v>
      </c>
      <c r="ET84" s="50">
        <f t="shared" si="437"/>
        <v>0</v>
      </c>
      <c r="EU84" s="50">
        <f t="shared" si="437"/>
        <v>0</v>
      </c>
      <c r="EV84" s="50">
        <f t="shared" si="437"/>
        <v>0</v>
      </c>
      <c r="EW84" s="50">
        <f t="shared" si="437"/>
        <v>0</v>
      </c>
      <c r="EX84" s="50">
        <f t="shared" si="437"/>
        <v>0</v>
      </c>
      <c r="EY84" s="50">
        <f t="shared" si="437"/>
        <v>0</v>
      </c>
      <c r="EZ84" s="50">
        <f t="shared" si="437"/>
        <v>0</v>
      </c>
      <c r="FA84" s="50">
        <f t="shared" si="437"/>
        <v>0</v>
      </c>
      <c r="FB84" s="50">
        <f t="shared" si="437"/>
        <v>0</v>
      </c>
      <c r="FC84" s="50">
        <f t="shared" si="437"/>
        <v>0</v>
      </c>
      <c r="FD84" s="50">
        <f t="shared" si="437"/>
        <v>0</v>
      </c>
      <c r="FE84" s="50">
        <f t="shared" si="437"/>
        <v>0</v>
      </c>
      <c r="FF84" s="50">
        <f t="shared" si="437"/>
        <v>0</v>
      </c>
      <c r="FG84" s="50">
        <f t="shared" si="437"/>
        <v>0</v>
      </c>
      <c r="FH84" s="50">
        <f t="shared" si="437"/>
        <v>0</v>
      </c>
      <c r="FI84" s="50">
        <f t="shared" si="438"/>
        <v>0</v>
      </c>
      <c r="FJ84" s="50">
        <f t="shared" si="438"/>
        <v>0</v>
      </c>
      <c r="FK84" s="50">
        <f t="shared" si="438"/>
        <v>0</v>
      </c>
      <c r="FL84" s="50">
        <f t="shared" si="438"/>
        <v>0</v>
      </c>
      <c r="FM84" s="50">
        <f t="shared" si="438"/>
        <v>0</v>
      </c>
      <c r="FN84" s="50">
        <f t="shared" si="438"/>
        <v>0</v>
      </c>
      <c r="FO84" s="50">
        <f t="shared" si="438"/>
        <v>0</v>
      </c>
      <c r="FP84" s="50">
        <f t="shared" si="438"/>
        <v>0</v>
      </c>
      <c r="FQ84" s="50">
        <f t="shared" si="438"/>
        <v>0</v>
      </c>
      <c r="FR84" s="50">
        <f t="shared" si="438"/>
        <v>0</v>
      </c>
      <c r="FS84" s="50">
        <f t="shared" si="438"/>
        <v>0</v>
      </c>
      <c r="FT84" s="50">
        <f t="shared" si="438"/>
        <v>0</v>
      </c>
      <c r="FU84" s="50">
        <f t="shared" si="438"/>
        <v>0</v>
      </c>
      <c r="FV84" s="50">
        <f t="shared" si="438"/>
        <v>0</v>
      </c>
      <c r="FW84" s="50">
        <f t="shared" si="438"/>
        <v>0</v>
      </c>
      <c r="FX84" s="50">
        <f t="shared" si="438"/>
        <v>0</v>
      </c>
      <c r="FY84" s="50">
        <f t="shared" si="439"/>
        <v>0</v>
      </c>
      <c r="FZ84" s="50">
        <f t="shared" si="439"/>
        <v>0</v>
      </c>
      <c r="GA84" s="50">
        <f t="shared" si="439"/>
        <v>0</v>
      </c>
      <c r="GB84" s="50">
        <f t="shared" si="439"/>
        <v>0</v>
      </c>
      <c r="GC84" s="50">
        <f t="shared" si="439"/>
        <v>0</v>
      </c>
      <c r="GD84" s="50">
        <f t="shared" si="439"/>
        <v>0</v>
      </c>
      <c r="GE84" s="50">
        <f t="shared" si="439"/>
        <v>0</v>
      </c>
      <c r="GF84" s="50">
        <f t="shared" si="439"/>
        <v>0</v>
      </c>
      <c r="GG84" s="50">
        <f t="shared" si="439"/>
        <v>0</v>
      </c>
      <c r="GH84" s="50">
        <f t="shared" si="439"/>
        <v>0</v>
      </c>
      <c r="GI84" s="50">
        <f t="shared" si="439"/>
        <v>0</v>
      </c>
      <c r="GJ84" s="50">
        <f t="shared" si="439"/>
        <v>0</v>
      </c>
      <c r="GK84" s="50">
        <f t="shared" si="439"/>
        <v>0</v>
      </c>
      <c r="GL84" s="50">
        <f t="shared" si="439"/>
        <v>0</v>
      </c>
      <c r="GM84" s="50">
        <f t="shared" si="439"/>
        <v>0</v>
      </c>
      <c r="GN84" s="50">
        <f t="shared" si="439"/>
        <v>0</v>
      </c>
      <c r="GO84" s="50">
        <f t="shared" si="440"/>
        <v>0</v>
      </c>
      <c r="GP84" s="50">
        <f t="shared" si="440"/>
        <v>0</v>
      </c>
      <c r="GQ84" s="50">
        <f t="shared" si="440"/>
        <v>0</v>
      </c>
      <c r="GR84" s="9"/>
      <c r="GS84" s="70"/>
      <c r="GT84" s="77"/>
      <c r="GU84" s="78"/>
      <c r="GV84" s="78"/>
      <c r="GW84" s="78"/>
      <c r="GX84" s="79"/>
      <c r="GY84" s="79"/>
      <c r="GZ84" s="77"/>
      <c r="HA84" s="77"/>
      <c r="HB84" s="77"/>
      <c r="HC84" s="77"/>
      <c r="HD84" s="77"/>
      <c r="HE84" s="77"/>
      <c r="HF84" s="77"/>
      <c r="HG84" s="77"/>
      <c r="HH84" s="77"/>
      <c r="HI84" s="77"/>
      <c r="HJ84" s="77"/>
      <c r="HK84" s="77"/>
      <c r="HL84" s="77"/>
      <c r="HM84" s="77"/>
      <c r="HN84" s="77"/>
      <c r="HO84" s="77"/>
      <c r="HP84" s="77"/>
      <c r="HQ84" s="77"/>
      <c r="HR84" s="77"/>
      <c r="HS84" s="77"/>
      <c r="HT84" s="77"/>
      <c r="HU84" s="77"/>
      <c r="HV84" s="77"/>
      <c r="HW84" s="77"/>
      <c r="HX84" s="77"/>
      <c r="HY84" s="77"/>
      <c r="HZ84" s="77"/>
      <c r="IA84" s="77"/>
      <c r="IB84" s="77"/>
      <c r="IC84" s="77"/>
      <c r="ID84" s="77"/>
      <c r="IE84" s="77"/>
      <c r="IF84" s="77"/>
      <c r="IG84" s="77"/>
      <c r="IH84" s="77"/>
      <c r="II84" s="77"/>
      <c r="IJ84" s="77"/>
      <c r="IK84" s="77"/>
      <c r="IL84" s="77"/>
      <c r="IM84" s="77"/>
      <c r="IN84" s="77"/>
      <c r="IO84" s="77"/>
      <c r="IP84" s="77"/>
      <c r="IQ84" s="77"/>
      <c r="IR84" s="77"/>
      <c r="IS84" s="77"/>
      <c r="IT84" s="77"/>
      <c r="IU84" s="77"/>
      <c r="IV84" s="77"/>
      <c r="IW84" s="77"/>
      <c r="IX84" s="77"/>
      <c r="IY84" s="77"/>
      <c r="IZ84" s="77"/>
      <c r="JA84" s="77"/>
      <c r="JB84" s="77"/>
      <c r="JC84" s="77"/>
      <c r="JD84" s="77"/>
      <c r="JE84" s="77"/>
      <c r="JF84" s="77"/>
      <c r="JG84" s="77"/>
      <c r="JH84" s="77"/>
      <c r="JI84" s="77"/>
      <c r="JJ84" s="77"/>
      <c r="JK84" s="77"/>
      <c r="JL84" s="77"/>
      <c r="JM84" s="77"/>
      <c r="JN84" s="77"/>
      <c r="JO84" s="77"/>
      <c r="JP84" s="77"/>
      <c r="JQ84" s="77"/>
      <c r="JR84" s="77"/>
      <c r="JS84" s="77"/>
      <c r="JT84" s="77"/>
      <c r="JU84" s="77"/>
      <c r="JV84" s="77"/>
      <c r="JW84" s="77"/>
      <c r="JX84" s="77"/>
      <c r="JY84" s="77"/>
      <c r="JZ84" s="77"/>
      <c r="KA84" s="77"/>
      <c r="KB84" s="77"/>
      <c r="KC84" s="77"/>
      <c r="KD84" s="77"/>
      <c r="KE84" s="77"/>
      <c r="KF84" s="77"/>
      <c r="KG84" s="77"/>
      <c r="KH84" s="77"/>
      <c r="KI84" s="77"/>
      <c r="KJ84" s="77"/>
      <c r="KK84" s="77"/>
      <c r="KL84" s="77"/>
      <c r="KM84" s="77"/>
      <c r="KN84" s="77"/>
      <c r="KO84" s="77"/>
      <c r="KP84" s="77"/>
      <c r="KQ84" s="77"/>
      <c r="KR84" s="77"/>
      <c r="KS84" s="77"/>
      <c r="KT84" s="77"/>
      <c r="KU84" s="77"/>
      <c r="KV84" s="77"/>
      <c r="KW84" s="77"/>
      <c r="KX84" s="77"/>
      <c r="KY84" s="77"/>
      <c r="KZ84" s="77"/>
      <c r="LA84" s="77"/>
      <c r="LB84" s="77"/>
      <c r="LC84" s="77"/>
      <c r="LD84" s="77"/>
      <c r="LE84" s="77"/>
      <c r="LF84" s="77"/>
      <c r="LG84" s="77"/>
      <c r="LH84" s="77"/>
      <c r="LI84" s="77"/>
      <c r="LJ84" s="77"/>
      <c r="LK84" s="77"/>
      <c r="LL84" s="77"/>
      <c r="LM84" s="77"/>
      <c r="LN84" s="77"/>
      <c r="LO84" s="77"/>
      <c r="LP84" s="77"/>
      <c r="LQ84" s="77"/>
      <c r="LR84" s="77"/>
      <c r="LS84" s="77"/>
      <c r="LT84" s="77"/>
      <c r="LU84" s="77"/>
      <c r="LV84" s="77"/>
      <c r="LW84" s="77"/>
      <c r="LX84" s="77"/>
      <c r="LY84" s="77"/>
      <c r="LZ84" s="77"/>
      <c r="MA84" s="77"/>
      <c r="MB84" s="77"/>
      <c r="MC84" s="77"/>
      <c r="MD84" s="77"/>
      <c r="ME84" s="77"/>
      <c r="MF84" s="77"/>
      <c r="MG84" s="77"/>
      <c r="MH84" s="77"/>
      <c r="MI84" s="77"/>
      <c r="MJ84" s="77"/>
      <c r="MK84" s="77"/>
      <c r="ML84" s="77"/>
      <c r="MM84" s="77"/>
      <c r="MN84" s="77"/>
      <c r="MO84" s="77"/>
      <c r="MP84" s="77"/>
      <c r="MQ84" s="77"/>
      <c r="MR84" s="77"/>
      <c r="MS84" s="77"/>
      <c r="MT84" s="77"/>
      <c r="MU84" s="77"/>
      <c r="MV84" s="77"/>
      <c r="MW84" s="77"/>
      <c r="MX84" s="77"/>
      <c r="MY84" s="77"/>
      <c r="MZ84" s="77"/>
      <c r="NA84" s="77"/>
      <c r="NB84" s="77"/>
      <c r="NC84" s="77"/>
      <c r="ND84" s="77"/>
      <c r="NE84" s="77"/>
      <c r="NF84" s="77"/>
      <c r="NG84" s="77"/>
      <c r="NH84" s="77"/>
      <c r="NI84" s="77"/>
      <c r="NJ84" s="77"/>
      <c r="NK84" s="77"/>
      <c r="NL84" s="77"/>
      <c r="NM84" s="77"/>
      <c r="NN84" s="77"/>
      <c r="NO84" s="77"/>
      <c r="NP84" s="77"/>
      <c r="NQ84" s="77"/>
      <c r="NR84" s="77"/>
      <c r="NS84" s="77"/>
      <c r="NT84" s="77"/>
      <c r="NU84" s="77"/>
      <c r="NV84" s="77"/>
      <c r="NW84" s="77"/>
      <c r="NX84" s="10"/>
    </row>
    <row r="85" spans="2:388" x14ac:dyDescent="0.3">
      <c r="B85" s="26" t="s">
        <v>277</v>
      </c>
      <c r="C85" s="18"/>
      <c r="D85" s="86">
        <v>11</v>
      </c>
      <c r="E85" s="27">
        <v>22</v>
      </c>
      <c r="F85" s="27">
        <v>22</v>
      </c>
      <c r="G85" s="21"/>
      <c r="H85" s="30">
        <f t="shared" si="441"/>
        <v>12012</v>
      </c>
      <c r="I85" s="21" t="s">
        <v>195</v>
      </c>
      <c r="J85" s="23">
        <f t="shared" si="425"/>
        <v>72615</v>
      </c>
      <c r="K85" s="29">
        <f t="shared" si="426"/>
        <v>66.497252747252745</v>
      </c>
      <c r="L85" s="30">
        <f>D85*Sheet1!J7</f>
        <v>798765</v>
      </c>
      <c r="N85" s="9" t="s">
        <v>271</v>
      </c>
      <c r="S85" s="69" t="str">
        <f t="shared" si="442"/>
        <v>OK</v>
      </c>
      <c r="T85" s="50">
        <f t="shared" si="428"/>
        <v>0</v>
      </c>
      <c r="U85" s="50">
        <f t="shared" si="429"/>
        <v>0</v>
      </c>
      <c r="V85" s="50">
        <f t="shared" si="429"/>
        <v>0</v>
      </c>
      <c r="W85" s="50">
        <f t="shared" si="429"/>
        <v>0</v>
      </c>
      <c r="X85" s="50">
        <f t="shared" si="429"/>
        <v>0</v>
      </c>
      <c r="Y85" s="50">
        <f t="shared" si="429"/>
        <v>0</v>
      </c>
      <c r="Z85" s="50">
        <f t="shared" si="429"/>
        <v>0</v>
      </c>
      <c r="AA85" s="50">
        <f t="shared" si="429"/>
        <v>0</v>
      </c>
      <c r="AB85" s="50">
        <f t="shared" si="429"/>
        <v>0</v>
      </c>
      <c r="AC85" s="50">
        <f t="shared" si="429"/>
        <v>0</v>
      </c>
      <c r="AD85" s="50">
        <f t="shared" si="429"/>
        <v>0</v>
      </c>
      <c r="AE85" s="50">
        <f t="shared" si="429"/>
        <v>0</v>
      </c>
      <c r="AF85" s="50">
        <f t="shared" si="429"/>
        <v>0</v>
      </c>
      <c r="AG85" s="50">
        <f t="shared" si="429"/>
        <v>0</v>
      </c>
      <c r="AH85" s="50">
        <f t="shared" si="429"/>
        <v>0</v>
      </c>
      <c r="AI85" s="50">
        <f t="shared" si="429"/>
        <v>0</v>
      </c>
      <c r="AJ85" s="50">
        <f t="shared" si="429"/>
        <v>0</v>
      </c>
      <c r="AK85" s="50">
        <f t="shared" si="430"/>
        <v>0</v>
      </c>
      <c r="AL85" s="50">
        <f t="shared" si="430"/>
        <v>0</v>
      </c>
      <c r="AM85" s="50">
        <f t="shared" si="430"/>
        <v>0</v>
      </c>
      <c r="AN85" s="50">
        <f t="shared" si="430"/>
        <v>0</v>
      </c>
      <c r="AO85" s="50">
        <f t="shared" si="430"/>
        <v>798765</v>
      </c>
      <c r="AP85" s="50">
        <f t="shared" si="430"/>
        <v>0</v>
      </c>
      <c r="AQ85" s="50">
        <f t="shared" si="430"/>
        <v>0</v>
      </c>
      <c r="AR85" s="50">
        <f t="shared" si="430"/>
        <v>0</v>
      </c>
      <c r="AS85" s="50">
        <f t="shared" si="430"/>
        <v>0</v>
      </c>
      <c r="AT85" s="50">
        <f t="shared" si="430"/>
        <v>0</v>
      </c>
      <c r="AU85" s="50">
        <f t="shared" si="430"/>
        <v>0</v>
      </c>
      <c r="AV85" s="50">
        <f t="shared" si="430"/>
        <v>0</v>
      </c>
      <c r="AW85" s="50">
        <f t="shared" si="430"/>
        <v>0</v>
      </c>
      <c r="AX85" s="50">
        <f t="shared" si="430"/>
        <v>0</v>
      </c>
      <c r="AY85" s="50">
        <f t="shared" si="430"/>
        <v>0</v>
      </c>
      <c r="AZ85" s="50">
        <f t="shared" si="430"/>
        <v>0</v>
      </c>
      <c r="BA85" s="50">
        <f t="shared" si="431"/>
        <v>0</v>
      </c>
      <c r="BB85" s="50">
        <f t="shared" si="431"/>
        <v>0</v>
      </c>
      <c r="BC85" s="50">
        <f t="shared" si="431"/>
        <v>0</v>
      </c>
      <c r="BD85" s="50">
        <f t="shared" si="431"/>
        <v>0</v>
      </c>
      <c r="BE85" s="50">
        <f t="shared" si="431"/>
        <v>0</v>
      </c>
      <c r="BF85" s="50">
        <f t="shared" si="431"/>
        <v>0</v>
      </c>
      <c r="BG85" s="50">
        <f t="shared" si="431"/>
        <v>0</v>
      </c>
      <c r="BH85" s="50">
        <f t="shared" si="431"/>
        <v>0</v>
      </c>
      <c r="BI85" s="50">
        <f t="shared" si="431"/>
        <v>0</v>
      </c>
      <c r="BJ85" s="50">
        <f t="shared" si="431"/>
        <v>0</v>
      </c>
      <c r="BK85" s="50">
        <f t="shared" si="431"/>
        <v>0</v>
      </c>
      <c r="BL85" s="50">
        <f t="shared" si="431"/>
        <v>0</v>
      </c>
      <c r="BM85" s="50">
        <f t="shared" si="431"/>
        <v>0</v>
      </c>
      <c r="BN85" s="50">
        <f t="shared" si="431"/>
        <v>0</v>
      </c>
      <c r="BO85" s="50">
        <f t="shared" si="431"/>
        <v>0</v>
      </c>
      <c r="BP85" s="50">
        <f t="shared" si="431"/>
        <v>0</v>
      </c>
      <c r="BQ85" s="50">
        <f t="shared" si="432"/>
        <v>0</v>
      </c>
      <c r="BR85" s="50">
        <f t="shared" si="432"/>
        <v>0</v>
      </c>
      <c r="BS85" s="50">
        <f t="shared" si="432"/>
        <v>0</v>
      </c>
      <c r="BT85" s="50">
        <f t="shared" si="432"/>
        <v>0</v>
      </c>
      <c r="BU85" s="50">
        <f t="shared" si="432"/>
        <v>0</v>
      </c>
      <c r="BV85" s="50">
        <f t="shared" si="432"/>
        <v>0</v>
      </c>
      <c r="BW85" s="50">
        <f t="shared" si="432"/>
        <v>0</v>
      </c>
      <c r="BX85" s="50">
        <f t="shared" si="432"/>
        <v>0</v>
      </c>
      <c r="BY85" s="50">
        <f t="shared" si="432"/>
        <v>0</v>
      </c>
      <c r="BZ85" s="50">
        <f t="shared" si="432"/>
        <v>0</v>
      </c>
      <c r="CA85" s="50">
        <f t="shared" si="432"/>
        <v>0</v>
      </c>
      <c r="CB85" s="50">
        <f t="shared" si="432"/>
        <v>0</v>
      </c>
      <c r="CC85" s="50">
        <f t="shared" si="432"/>
        <v>0</v>
      </c>
      <c r="CD85" s="50">
        <f t="shared" si="432"/>
        <v>0</v>
      </c>
      <c r="CE85" s="50">
        <f t="shared" si="432"/>
        <v>0</v>
      </c>
      <c r="CF85" s="50">
        <f t="shared" si="432"/>
        <v>0</v>
      </c>
      <c r="CG85" s="50">
        <f t="shared" si="433"/>
        <v>0</v>
      </c>
      <c r="CH85" s="50">
        <f t="shared" si="433"/>
        <v>0</v>
      </c>
      <c r="CI85" s="50">
        <f t="shared" si="433"/>
        <v>0</v>
      </c>
      <c r="CJ85" s="50">
        <f t="shared" si="433"/>
        <v>0</v>
      </c>
      <c r="CK85" s="50">
        <f t="shared" si="433"/>
        <v>0</v>
      </c>
      <c r="CL85" s="50">
        <f t="shared" si="433"/>
        <v>0</v>
      </c>
      <c r="CM85" s="50">
        <f t="shared" si="433"/>
        <v>0</v>
      </c>
      <c r="CN85" s="50">
        <f t="shared" si="433"/>
        <v>0</v>
      </c>
      <c r="CO85" s="50">
        <f t="shared" si="433"/>
        <v>0</v>
      </c>
      <c r="CP85" s="50">
        <f t="shared" si="433"/>
        <v>0</v>
      </c>
      <c r="CQ85" s="50">
        <f t="shared" si="433"/>
        <v>0</v>
      </c>
      <c r="CR85" s="50">
        <f t="shared" si="433"/>
        <v>0</v>
      </c>
      <c r="CS85" s="50">
        <f t="shared" si="433"/>
        <v>0</v>
      </c>
      <c r="CT85" s="50">
        <f t="shared" si="433"/>
        <v>0</v>
      </c>
      <c r="CU85" s="50">
        <f t="shared" si="433"/>
        <v>0</v>
      </c>
      <c r="CV85" s="50">
        <f t="shared" si="433"/>
        <v>0</v>
      </c>
      <c r="CW85" s="50">
        <f t="shared" si="434"/>
        <v>0</v>
      </c>
      <c r="CX85" s="50">
        <f t="shared" si="434"/>
        <v>0</v>
      </c>
      <c r="CY85" s="50">
        <f t="shared" si="434"/>
        <v>0</v>
      </c>
      <c r="CZ85" s="50">
        <f t="shared" si="434"/>
        <v>0</v>
      </c>
      <c r="DA85" s="50">
        <f t="shared" si="434"/>
        <v>0</v>
      </c>
      <c r="DB85" s="50">
        <f t="shared" si="434"/>
        <v>0</v>
      </c>
      <c r="DC85" s="50">
        <f t="shared" si="434"/>
        <v>0</v>
      </c>
      <c r="DD85" s="50">
        <f t="shared" si="434"/>
        <v>0</v>
      </c>
      <c r="DE85" s="50">
        <f t="shared" si="434"/>
        <v>0</v>
      </c>
      <c r="DF85" s="50">
        <f t="shared" si="434"/>
        <v>0</v>
      </c>
      <c r="DG85" s="50">
        <f t="shared" si="434"/>
        <v>0</v>
      </c>
      <c r="DH85" s="50">
        <f t="shared" si="434"/>
        <v>0</v>
      </c>
      <c r="DI85" s="50">
        <f t="shared" si="434"/>
        <v>0</v>
      </c>
      <c r="DJ85" s="50">
        <f t="shared" si="434"/>
        <v>0</v>
      </c>
      <c r="DK85" s="50">
        <f t="shared" si="434"/>
        <v>0</v>
      </c>
      <c r="DL85" s="50">
        <f t="shared" si="434"/>
        <v>0</v>
      </c>
      <c r="DM85" s="50">
        <f t="shared" si="435"/>
        <v>0</v>
      </c>
      <c r="DN85" s="50">
        <f t="shared" si="435"/>
        <v>0</v>
      </c>
      <c r="DO85" s="50">
        <f t="shared" si="435"/>
        <v>0</v>
      </c>
      <c r="DP85" s="50">
        <f t="shared" si="435"/>
        <v>0</v>
      </c>
      <c r="DQ85" s="50">
        <f t="shared" si="435"/>
        <v>0</v>
      </c>
      <c r="DR85" s="50">
        <f t="shared" si="435"/>
        <v>0</v>
      </c>
      <c r="DS85" s="50">
        <f t="shared" si="435"/>
        <v>0</v>
      </c>
      <c r="DT85" s="50">
        <f t="shared" si="435"/>
        <v>0</v>
      </c>
      <c r="DU85" s="50">
        <f t="shared" si="435"/>
        <v>0</v>
      </c>
      <c r="DV85" s="50">
        <f t="shared" si="435"/>
        <v>0</v>
      </c>
      <c r="DW85" s="50">
        <f t="shared" si="435"/>
        <v>0</v>
      </c>
      <c r="DX85" s="50">
        <f t="shared" si="435"/>
        <v>0</v>
      </c>
      <c r="DY85" s="50">
        <f t="shared" si="435"/>
        <v>0</v>
      </c>
      <c r="DZ85" s="50">
        <f t="shared" si="435"/>
        <v>0</v>
      </c>
      <c r="EA85" s="50">
        <f t="shared" si="435"/>
        <v>0</v>
      </c>
      <c r="EB85" s="50">
        <f t="shared" si="435"/>
        <v>0</v>
      </c>
      <c r="EC85" s="50">
        <f t="shared" si="436"/>
        <v>0</v>
      </c>
      <c r="ED85" s="50">
        <f t="shared" si="436"/>
        <v>0</v>
      </c>
      <c r="EE85" s="50">
        <f t="shared" si="436"/>
        <v>0</v>
      </c>
      <c r="EF85" s="50">
        <f t="shared" si="436"/>
        <v>0</v>
      </c>
      <c r="EG85" s="50">
        <f t="shared" si="436"/>
        <v>0</v>
      </c>
      <c r="EH85" s="50">
        <f t="shared" si="436"/>
        <v>0</v>
      </c>
      <c r="EI85" s="50">
        <f t="shared" si="436"/>
        <v>0</v>
      </c>
      <c r="EJ85" s="50">
        <f t="shared" si="436"/>
        <v>0</v>
      </c>
      <c r="EK85" s="50">
        <f t="shared" si="436"/>
        <v>0</v>
      </c>
      <c r="EL85" s="50">
        <f t="shared" si="436"/>
        <v>0</v>
      </c>
      <c r="EM85" s="50">
        <f t="shared" si="436"/>
        <v>0</v>
      </c>
      <c r="EN85" s="50">
        <f t="shared" si="436"/>
        <v>0</v>
      </c>
      <c r="EO85" s="50">
        <f t="shared" si="436"/>
        <v>0</v>
      </c>
      <c r="EP85" s="50">
        <f t="shared" si="436"/>
        <v>0</v>
      </c>
      <c r="EQ85" s="50">
        <f t="shared" si="436"/>
        <v>0</v>
      </c>
      <c r="ER85" s="50">
        <f t="shared" si="436"/>
        <v>0</v>
      </c>
      <c r="ES85" s="50">
        <f t="shared" si="437"/>
        <v>0</v>
      </c>
      <c r="ET85" s="50">
        <f t="shared" si="437"/>
        <v>0</v>
      </c>
      <c r="EU85" s="50">
        <f t="shared" si="437"/>
        <v>0</v>
      </c>
      <c r="EV85" s="50">
        <f t="shared" si="437"/>
        <v>0</v>
      </c>
      <c r="EW85" s="50">
        <f t="shared" si="437"/>
        <v>0</v>
      </c>
      <c r="EX85" s="50">
        <f t="shared" si="437"/>
        <v>0</v>
      </c>
      <c r="EY85" s="50">
        <f t="shared" si="437"/>
        <v>0</v>
      </c>
      <c r="EZ85" s="50">
        <f t="shared" si="437"/>
        <v>0</v>
      </c>
      <c r="FA85" s="50">
        <f t="shared" si="437"/>
        <v>0</v>
      </c>
      <c r="FB85" s="50">
        <f t="shared" si="437"/>
        <v>0</v>
      </c>
      <c r="FC85" s="50">
        <f t="shared" si="437"/>
        <v>0</v>
      </c>
      <c r="FD85" s="50">
        <f t="shared" si="437"/>
        <v>0</v>
      </c>
      <c r="FE85" s="50">
        <f t="shared" si="437"/>
        <v>0</v>
      </c>
      <c r="FF85" s="50">
        <f t="shared" si="437"/>
        <v>0</v>
      </c>
      <c r="FG85" s="50">
        <f t="shared" si="437"/>
        <v>0</v>
      </c>
      <c r="FH85" s="50">
        <f t="shared" si="437"/>
        <v>0</v>
      </c>
      <c r="FI85" s="50">
        <f t="shared" si="438"/>
        <v>0</v>
      </c>
      <c r="FJ85" s="50">
        <f t="shared" si="438"/>
        <v>0</v>
      </c>
      <c r="FK85" s="50">
        <f t="shared" si="438"/>
        <v>0</v>
      </c>
      <c r="FL85" s="50">
        <f t="shared" si="438"/>
        <v>0</v>
      </c>
      <c r="FM85" s="50">
        <f t="shared" si="438"/>
        <v>0</v>
      </c>
      <c r="FN85" s="50">
        <f t="shared" si="438"/>
        <v>0</v>
      </c>
      <c r="FO85" s="50">
        <f t="shared" si="438"/>
        <v>0</v>
      </c>
      <c r="FP85" s="50">
        <f t="shared" si="438"/>
        <v>0</v>
      </c>
      <c r="FQ85" s="50">
        <f t="shared" si="438"/>
        <v>0</v>
      </c>
      <c r="FR85" s="50">
        <f t="shared" si="438"/>
        <v>0</v>
      </c>
      <c r="FS85" s="50">
        <f t="shared" si="438"/>
        <v>0</v>
      </c>
      <c r="FT85" s="50">
        <f t="shared" si="438"/>
        <v>0</v>
      </c>
      <c r="FU85" s="50">
        <f t="shared" si="438"/>
        <v>0</v>
      </c>
      <c r="FV85" s="50">
        <f t="shared" si="438"/>
        <v>0</v>
      </c>
      <c r="FW85" s="50">
        <f t="shared" si="438"/>
        <v>0</v>
      </c>
      <c r="FX85" s="50">
        <f t="shared" si="438"/>
        <v>0</v>
      </c>
      <c r="FY85" s="50">
        <f t="shared" si="439"/>
        <v>0</v>
      </c>
      <c r="FZ85" s="50">
        <f t="shared" si="439"/>
        <v>0</v>
      </c>
      <c r="GA85" s="50">
        <f t="shared" si="439"/>
        <v>0</v>
      </c>
      <c r="GB85" s="50">
        <f t="shared" si="439"/>
        <v>0</v>
      </c>
      <c r="GC85" s="50">
        <f t="shared" si="439"/>
        <v>0</v>
      </c>
      <c r="GD85" s="50">
        <f t="shared" si="439"/>
        <v>0</v>
      </c>
      <c r="GE85" s="50">
        <f t="shared" si="439"/>
        <v>0</v>
      </c>
      <c r="GF85" s="50">
        <f t="shared" si="439"/>
        <v>0</v>
      </c>
      <c r="GG85" s="50">
        <f t="shared" si="439"/>
        <v>0</v>
      </c>
      <c r="GH85" s="50">
        <f t="shared" si="439"/>
        <v>0</v>
      </c>
      <c r="GI85" s="50">
        <f t="shared" si="439"/>
        <v>0</v>
      </c>
      <c r="GJ85" s="50">
        <f t="shared" si="439"/>
        <v>0</v>
      </c>
      <c r="GK85" s="50">
        <f t="shared" si="439"/>
        <v>0</v>
      </c>
      <c r="GL85" s="50">
        <f t="shared" si="439"/>
        <v>0</v>
      </c>
      <c r="GM85" s="50">
        <f t="shared" si="439"/>
        <v>0</v>
      </c>
      <c r="GN85" s="50">
        <f t="shared" si="439"/>
        <v>0</v>
      </c>
      <c r="GO85" s="50">
        <f t="shared" si="440"/>
        <v>0</v>
      </c>
      <c r="GP85" s="50">
        <f t="shared" si="440"/>
        <v>0</v>
      </c>
      <c r="GQ85" s="50">
        <f t="shared" si="440"/>
        <v>0</v>
      </c>
      <c r="GR85" s="9"/>
      <c r="GS85" s="70"/>
      <c r="GT85" s="77"/>
      <c r="GU85" s="78"/>
      <c r="GV85" s="78"/>
      <c r="GW85" s="78"/>
      <c r="GX85" s="79"/>
      <c r="GY85" s="79"/>
      <c r="GZ85" s="77"/>
      <c r="HA85" s="77"/>
      <c r="HB85" s="77"/>
      <c r="HC85" s="77"/>
      <c r="HD85" s="77"/>
      <c r="HE85" s="77"/>
      <c r="HF85" s="77"/>
      <c r="HG85" s="77"/>
      <c r="HH85" s="77"/>
      <c r="HI85" s="77"/>
      <c r="HJ85" s="77"/>
      <c r="HK85" s="77"/>
      <c r="HL85" s="77"/>
      <c r="HM85" s="77"/>
      <c r="HN85" s="77"/>
      <c r="HO85" s="77"/>
      <c r="HP85" s="77"/>
      <c r="HQ85" s="77"/>
      <c r="HR85" s="77"/>
      <c r="HS85" s="77"/>
      <c r="HT85" s="77"/>
      <c r="HU85" s="77"/>
      <c r="HV85" s="77"/>
      <c r="HW85" s="77"/>
      <c r="HX85" s="77"/>
      <c r="HY85" s="77"/>
      <c r="HZ85" s="77"/>
      <c r="IA85" s="77"/>
      <c r="IB85" s="77"/>
      <c r="IC85" s="77"/>
      <c r="ID85" s="77"/>
      <c r="IE85" s="77"/>
      <c r="IF85" s="77"/>
      <c r="IG85" s="77"/>
      <c r="IH85" s="77"/>
      <c r="II85" s="77"/>
      <c r="IJ85" s="77"/>
      <c r="IK85" s="77"/>
      <c r="IL85" s="77"/>
      <c r="IM85" s="77"/>
      <c r="IN85" s="77"/>
      <c r="IO85" s="77"/>
      <c r="IP85" s="77"/>
      <c r="IQ85" s="77"/>
      <c r="IR85" s="77"/>
      <c r="IS85" s="77"/>
      <c r="IT85" s="77"/>
      <c r="IU85" s="77"/>
      <c r="IV85" s="77"/>
      <c r="IW85" s="77"/>
      <c r="IX85" s="77"/>
      <c r="IY85" s="77"/>
      <c r="IZ85" s="77"/>
      <c r="JA85" s="77"/>
      <c r="JB85" s="77"/>
      <c r="JC85" s="77"/>
      <c r="JD85" s="77"/>
      <c r="JE85" s="77"/>
      <c r="JF85" s="77"/>
      <c r="JG85" s="77"/>
      <c r="JH85" s="77"/>
      <c r="JI85" s="77"/>
      <c r="JJ85" s="77"/>
      <c r="JK85" s="77"/>
      <c r="JL85" s="77"/>
      <c r="JM85" s="77"/>
      <c r="JN85" s="77"/>
      <c r="JO85" s="77"/>
      <c r="JP85" s="77"/>
      <c r="JQ85" s="77"/>
      <c r="JR85" s="77"/>
      <c r="JS85" s="77"/>
      <c r="JT85" s="77"/>
      <c r="JU85" s="77"/>
      <c r="JV85" s="77"/>
      <c r="JW85" s="77"/>
      <c r="JX85" s="77"/>
      <c r="JY85" s="77"/>
      <c r="JZ85" s="77"/>
      <c r="KA85" s="77"/>
      <c r="KB85" s="77"/>
      <c r="KC85" s="77"/>
      <c r="KD85" s="77"/>
      <c r="KE85" s="77"/>
      <c r="KF85" s="77"/>
      <c r="KG85" s="77"/>
      <c r="KH85" s="77"/>
      <c r="KI85" s="77"/>
      <c r="KJ85" s="77"/>
      <c r="KK85" s="77"/>
      <c r="KL85" s="77"/>
      <c r="KM85" s="77"/>
      <c r="KN85" s="77"/>
      <c r="KO85" s="77"/>
      <c r="KP85" s="77"/>
      <c r="KQ85" s="77"/>
      <c r="KR85" s="77"/>
      <c r="KS85" s="77"/>
      <c r="KT85" s="77"/>
      <c r="KU85" s="77"/>
      <c r="KV85" s="77"/>
      <c r="KW85" s="77"/>
      <c r="KX85" s="77"/>
      <c r="KY85" s="77"/>
      <c r="KZ85" s="77"/>
      <c r="LA85" s="77"/>
      <c r="LB85" s="77"/>
      <c r="LC85" s="77"/>
      <c r="LD85" s="77"/>
      <c r="LE85" s="77"/>
      <c r="LF85" s="77"/>
      <c r="LG85" s="77"/>
      <c r="LH85" s="77"/>
      <c r="LI85" s="77"/>
      <c r="LJ85" s="77"/>
      <c r="LK85" s="77"/>
      <c r="LL85" s="77"/>
      <c r="LM85" s="77"/>
      <c r="LN85" s="77"/>
      <c r="LO85" s="77"/>
      <c r="LP85" s="77"/>
      <c r="LQ85" s="77"/>
      <c r="LR85" s="77"/>
      <c r="LS85" s="77"/>
      <c r="LT85" s="77"/>
      <c r="LU85" s="77"/>
      <c r="LV85" s="77"/>
      <c r="LW85" s="77"/>
      <c r="LX85" s="77"/>
      <c r="LY85" s="77"/>
      <c r="LZ85" s="77"/>
      <c r="MA85" s="77"/>
      <c r="MB85" s="77"/>
      <c r="MC85" s="77"/>
      <c r="MD85" s="77"/>
      <c r="ME85" s="77"/>
      <c r="MF85" s="77"/>
      <c r="MG85" s="77"/>
      <c r="MH85" s="77"/>
      <c r="MI85" s="77"/>
      <c r="MJ85" s="77"/>
      <c r="MK85" s="77"/>
      <c r="ML85" s="77"/>
      <c r="MM85" s="77"/>
      <c r="MN85" s="77"/>
      <c r="MO85" s="77"/>
      <c r="MP85" s="77"/>
      <c r="MQ85" s="77"/>
      <c r="MR85" s="77"/>
      <c r="MS85" s="77"/>
      <c r="MT85" s="77"/>
      <c r="MU85" s="77"/>
      <c r="MV85" s="77"/>
      <c r="MW85" s="77"/>
      <c r="MX85" s="77"/>
      <c r="MY85" s="77"/>
      <c r="MZ85" s="77"/>
      <c r="NA85" s="77"/>
      <c r="NB85" s="77"/>
      <c r="NC85" s="77"/>
      <c r="ND85" s="77"/>
      <c r="NE85" s="77"/>
      <c r="NF85" s="77"/>
      <c r="NG85" s="77"/>
      <c r="NH85" s="77"/>
      <c r="NI85" s="77"/>
      <c r="NJ85" s="77"/>
      <c r="NK85" s="77"/>
      <c r="NL85" s="77"/>
      <c r="NM85" s="77"/>
      <c r="NN85" s="77"/>
      <c r="NO85" s="77"/>
      <c r="NP85" s="77"/>
      <c r="NQ85" s="77"/>
      <c r="NR85" s="77"/>
      <c r="NS85" s="77"/>
      <c r="NT85" s="77"/>
      <c r="NU85" s="77"/>
      <c r="NV85" s="77"/>
      <c r="NW85" s="77"/>
      <c r="NX85" s="10"/>
    </row>
    <row r="86" spans="2:388" x14ac:dyDescent="0.3">
      <c r="B86" s="26" t="s">
        <v>278</v>
      </c>
      <c r="C86" s="18"/>
      <c r="D86" s="86">
        <v>12</v>
      </c>
      <c r="E86" s="27">
        <v>24</v>
      </c>
      <c r="F86" s="27">
        <v>24</v>
      </c>
      <c r="G86" s="21"/>
      <c r="H86" s="30">
        <f t="shared" si="441"/>
        <v>13104</v>
      </c>
      <c r="I86" s="21" t="s">
        <v>195</v>
      </c>
      <c r="J86" s="23">
        <f t="shared" si="425"/>
        <v>62315</v>
      </c>
      <c r="K86" s="29">
        <f t="shared" si="426"/>
        <v>57.065018315018314</v>
      </c>
      <c r="L86" s="30">
        <f>D86*Sheet1!G7</f>
        <v>747780</v>
      </c>
      <c r="N86" s="9" t="s">
        <v>271</v>
      </c>
      <c r="S86" s="69" t="str">
        <f t="shared" si="442"/>
        <v>OK</v>
      </c>
      <c r="T86" s="50">
        <f t="shared" si="428"/>
        <v>0</v>
      </c>
      <c r="U86" s="50">
        <f t="shared" si="429"/>
        <v>0</v>
      </c>
      <c r="V86" s="50">
        <f t="shared" si="429"/>
        <v>0</v>
      </c>
      <c r="W86" s="50">
        <f t="shared" si="429"/>
        <v>0</v>
      </c>
      <c r="X86" s="50">
        <f t="shared" si="429"/>
        <v>0</v>
      </c>
      <c r="Y86" s="50">
        <f t="shared" si="429"/>
        <v>0</v>
      </c>
      <c r="Z86" s="50">
        <f t="shared" si="429"/>
        <v>0</v>
      </c>
      <c r="AA86" s="50">
        <f t="shared" si="429"/>
        <v>0</v>
      </c>
      <c r="AB86" s="50">
        <f t="shared" si="429"/>
        <v>0</v>
      </c>
      <c r="AC86" s="50">
        <f t="shared" si="429"/>
        <v>0</v>
      </c>
      <c r="AD86" s="50">
        <f t="shared" si="429"/>
        <v>0</v>
      </c>
      <c r="AE86" s="50">
        <f t="shared" si="429"/>
        <v>0</v>
      </c>
      <c r="AF86" s="50">
        <f t="shared" si="429"/>
        <v>0</v>
      </c>
      <c r="AG86" s="50">
        <f t="shared" si="429"/>
        <v>0</v>
      </c>
      <c r="AH86" s="50">
        <f t="shared" si="429"/>
        <v>0</v>
      </c>
      <c r="AI86" s="50">
        <f t="shared" si="429"/>
        <v>0</v>
      </c>
      <c r="AJ86" s="50">
        <f t="shared" si="429"/>
        <v>0</v>
      </c>
      <c r="AK86" s="50">
        <f t="shared" si="430"/>
        <v>0</v>
      </c>
      <c r="AL86" s="50">
        <f t="shared" si="430"/>
        <v>0</v>
      </c>
      <c r="AM86" s="50">
        <f t="shared" si="430"/>
        <v>0</v>
      </c>
      <c r="AN86" s="50">
        <f t="shared" si="430"/>
        <v>0</v>
      </c>
      <c r="AO86" s="50">
        <f t="shared" si="430"/>
        <v>0</v>
      </c>
      <c r="AP86" s="50">
        <f t="shared" si="430"/>
        <v>0</v>
      </c>
      <c r="AQ86" s="50">
        <f t="shared" si="430"/>
        <v>747780</v>
      </c>
      <c r="AR86" s="50">
        <f t="shared" si="430"/>
        <v>0</v>
      </c>
      <c r="AS86" s="50">
        <f t="shared" si="430"/>
        <v>0</v>
      </c>
      <c r="AT86" s="50">
        <f t="shared" si="430"/>
        <v>0</v>
      </c>
      <c r="AU86" s="50">
        <f t="shared" si="430"/>
        <v>0</v>
      </c>
      <c r="AV86" s="50">
        <f t="shared" si="430"/>
        <v>0</v>
      </c>
      <c r="AW86" s="50">
        <f t="shared" si="430"/>
        <v>0</v>
      </c>
      <c r="AX86" s="50">
        <f t="shared" si="430"/>
        <v>0</v>
      </c>
      <c r="AY86" s="50">
        <f t="shared" si="430"/>
        <v>0</v>
      </c>
      <c r="AZ86" s="50">
        <f t="shared" si="430"/>
        <v>0</v>
      </c>
      <c r="BA86" s="50">
        <f t="shared" si="431"/>
        <v>0</v>
      </c>
      <c r="BB86" s="50">
        <f t="shared" si="431"/>
        <v>0</v>
      </c>
      <c r="BC86" s="50">
        <f t="shared" si="431"/>
        <v>0</v>
      </c>
      <c r="BD86" s="50">
        <f t="shared" si="431"/>
        <v>0</v>
      </c>
      <c r="BE86" s="50">
        <f t="shared" si="431"/>
        <v>0</v>
      </c>
      <c r="BF86" s="50">
        <f t="shared" si="431"/>
        <v>0</v>
      </c>
      <c r="BG86" s="50">
        <f t="shared" si="431"/>
        <v>0</v>
      </c>
      <c r="BH86" s="50">
        <f t="shared" si="431"/>
        <v>0</v>
      </c>
      <c r="BI86" s="50">
        <f t="shared" si="431"/>
        <v>0</v>
      </c>
      <c r="BJ86" s="50">
        <f t="shared" si="431"/>
        <v>0</v>
      </c>
      <c r="BK86" s="50">
        <f t="shared" si="431"/>
        <v>0</v>
      </c>
      <c r="BL86" s="50">
        <f t="shared" si="431"/>
        <v>0</v>
      </c>
      <c r="BM86" s="50">
        <f t="shared" si="431"/>
        <v>0</v>
      </c>
      <c r="BN86" s="50">
        <f t="shared" si="431"/>
        <v>0</v>
      </c>
      <c r="BO86" s="50">
        <f t="shared" si="431"/>
        <v>0</v>
      </c>
      <c r="BP86" s="50">
        <f t="shared" si="431"/>
        <v>0</v>
      </c>
      <c r="BQ86" s="50">
        <f t="shared" si="432"/>
        <v>0</v>
      </c>
      <c r="BR86" s="50">
        <f t="shared" si="432"/>
        <v>0</v>
      </c>
      <c r="BS86" s="50">
        <f t="shared" si="432"/>
        <v>0</v>
      </c>
      <c r="BT86" s="50">
        <f t="shared" si="432"/>
        <v>0</v>
      </c>
      <c r="BU86" s="50">
        <f t="shared" si="432"/>
        <v>0</v>
      </c>
      <c r="BV86" s="50">
        <f t="shared" si="432"/>
        <v>0</v>
      </c>
      <c r="BW86" s="50">
        <f t="shared" si="432"/>
        <v>0</v>
      </c>
      <c r="BX86" s="50">
        <f t="shared" si="432"/>
        <v>0</v>
      </c>
      <c r="BY86" s="50">
        <f t="shared" si="432"/>
        <v>0</v>
      </c>
      <c r="BZ86" s="50">
        <f t="shared" si="432"/>
        <v>0</v>
      </c>
      <c r="CA86" s="50">
        <f t="shared" si="432"/>
        <v>0</v>
      </c>
      <c r="CB86" s="50">
        <f t="shared" si="432"/>
        <v>0</v>
      </c>
      <c r="CC86" s="50">
        <f t="shared" si="432"/>
        <v>0</v>
      </c>
      <c r="CD86" s="50">
        <f t="shared" si="432"/>
        <v>0</v>
      </c>
      <c r="CE86" s="50">
        <f t="shared" si="432"/>
        <v>0</v>
      </c>
      <c r="CF86" s="50">
        <f t="shared" si="432"/>
        <v>0</v>
      </c>
      <c r="CG86" s="50">
        <f t="shared" si="433"/>
        <v>0</v>
      </c>
      <c r="CH86" s="50">
        <f t="shared" si="433"/>
        <v>0</v>
      </c>
      <c r="CI86" s="50">
        <f t="shared" si="433"/>
        <v>0</v>
      </c>
      <c r="CJ86" s="50">
        <f t="shared" si="433"/>
        <v>0</v>
      </c>
      <c r="CK86" s="50">
        <f t="shared" si="433"/>
        <v>0</v>
      </c>
      <c r="CL86" s="50">
        <f t="shared" si="433"/>
        <v>0</v>
      </c>
      <c r="CM86" s="50">
        <f t="shared" si="433"/>
        <v>0</v>
      </c>
      <c r="CN86" s="50">
        <f t="shared" si="433"/>
        <v>0</v>
      </c>
      <c r="CO86" s="50">
        <f t="shared" si="433"/>
        <v>0</v>
      </c>
      <c r="CP86" s="50">
        <f t="shared" si="433"/>
        <v>0</v>
      </c>
      <c r="CQ86" s="50">
        <f t="shared" si="433"/>
        <v>0</v>
      </c>
      <c r="CR86" s="50">
        <f t="shared" si="433"/>
        <v>0</v>
      </c>
      <c r="CS86" s="50">
        <f t="shared" si="433"/>
        <v>0</v>
      </c>
      <c r="CT86" s="50">
        <f t="shared" si="433"/>
        <v>0</v>
      </c>
      <c r="CU86" s="50">
        <f t="shared" si="433"/>
        <v>0</v>
      </c>
      <c r="CV86" s="50">
        <f t="shared" si="433"/>
        <v>0</v>
      </c>
      <c r="CW86" s="50">
        <f t="shared" si="434"/>
        <v>0</v>
      </c>
      <c r="CX86" s="50">
        <f t="shared" si="434"/>
        <v>0</v>
      </c>
      <c r="CY86" s="50">
        <f t="shared" si="434"/>
        <v>0</v>
      </c>
      <c r="CZ86" s="50">
        <f t="shared" si="434"/>
        <v>0</v>
      </c>
      <c r="DA86" s="50">
        <f t="shared" si="434"/>
        <v>0</v>
      </c>
      <c r="DB86" s="50">
        <f t="shared" si="434"/>
        <v>0</v>
      </c>
      <c r="DC86" s="50">
        <f t="shared" si="434"/>
        <v>0</v>
      </c>
      <c r="DD86" s="50">
        <f t="shared" si="434"/>
        <v>0</v>
      </c>
      <c r="DE86" s="50">
        <f t="shared" si="434"/>
        <v>0</v>
      </c>
      <c r="DF86" s="50">
        <f t="shared" si="434"/>
        <v>0</v>
      </c>
      <c r="DG86" s="50">
        <f t="shared" si="434"/>
        <v>0</v>
      </c>
      <c r="DH86" s="50">
        <f t="shared" si="434"/>
        <v>0</v>
      </c>
      <c r="DI86" s="50">
        <f t="shared" si="434"/>
        <v>0</v>
      </c>
      <c r="DJ86" s="50">
        <f t="shared" si="434"/>
        <v>0</v>
      </c>
      <c r="DK86" s="50">
        <f t="shared" si="434"/>
        <v>0</v>
      </c>
      <c r="DL86" s="50">
        <f t="shared" si="434"/>
        <v>0</v>
      </c>
      <c r="DM86" s="50">
        <f t="shared" si="435"/>
        <v>0</v>
      </c>
      <c r="DN86" s="50">
        <f t="shared" si="435"/>
        <v>0</v>
      </c>
      <c r="DO86" s="50">
        <f t="shared" si="435"/>
        <v>0</v>
      </c>
      <c r="DP86" s="50">
        <f t="shared" si="435"/>
        <v>0</v>
      </c>
      <c r="DQ86" s="50">
        <f t="shared" si="435"/>
        <v>0</v>
      </c>
      <c r="DR86" s="50">
        <f t="shared" si="435"/>
        <v>0</v>
      </c>
      <c r="DS86" s="50">
        <f t="shared" si="435"/>
        <v>0</v>
      </c>
      <c r="DT86" s="50">
        <f t="shared" si="435"/>
        <v>0</v>
      </c>
      <c r="DU86" s="50">
        <f t="shared" si="435"/>
        <v>0</v>
      </c>
      <c r="DV86" s="50">
        <f t="shared" si="435"/>
        <v>0</v>
      </c>
      <c r="DW86" s="50">
        <f t="shared" si="435"/>
        <v>0</v>
      </c>
      <c r="DX86" s="50">
        <f t="shared" si="435"/>
        <v>0</v>
      </c>
      <c r="DY86" s="50">
        <f t="shared" si="435"/>
        <v>0</v>
      </c>
      <c r="DZ86" s="50">
        <f t="shared" si="435"/>
        <v>0</v>
      </c>
      <c r="EA86" s="50">
        <f t="shared" si="435"/>
        <v>0</v>
      </c>
      <c r="EB86" s="50">
        <f t="shared" si="435"/>
        <v>0</v>
      </c>
      <c r="EC86" s="50">
        <f t="shared" si="436"/>
        <v>0</v>
      </c>
      <c r="ED86" s="50">
        <f t="shared" si="436"/>
        <v>0</v>
      </c>
      <c r="EE86" s="50">
        <f t="shared" si="436"/>
        <v>0</v>
      </c>
      <c r="EF86" s="50">
        <f t="shared" si="436"/>
        <v>0</v>
      </c>
      <c r="EG86" s="50">
        <f t="shared" si="436"/>
        <v>0</v>
      </c>
      <c r="EH86" s="50">
        <f t="shared" si="436"/>
        <v>0</v>
      </c>
      <c r="EI86" s="50">
        <f t="shared" si="436"/>
        <v>0</v>
      </c>
      <c r="EJ86" s="50">
        <f t="shared" si="436"/>
        <v>0</v>
      </c>
      <c r="EK86" s="50">
        <f t="shared" si="436"/>
        <v>0</v>
      </c>
      <c r="EL86" s="50">
        <f t="shared" si="436"/>
        <v>0</v>
      </c>
      <c r="EM86" s="50">
        <f t="shared" si="436"/>
        <v>0</v>
      </c>
      <c r="EN86" s="50">
        <f t="shared" si="436"/>
        <v>0</v>
      </c>
      <c r="EO86" s="50">
        <f t="shared" si="436"/>
        <v>0</v>
      </c>
      <c r="EP86" s="50">
        <f t="shared" si="436"/>
        <v>0</v>
      </c>
      <c r="EQ86" s="50">
        <f t="shared" si="436"/>
        <v>0</v>
      </c>
      <c r="ER86" s="50">
        <f t="shared" si="436"/>
        <v>0</v>
      </c>
      <c r="ES86" s="50">
        <f t="shared" si="437"/>
        <v>0</v>
      </c>
      <c r="ET86" s="50">
        <f t="shared" si="437"/>
        <v>0</v>
      </c>
      <c r="EU86" s="50">
        <f t="shared" si="437"/>
        <v>0</v>
      </c>
      <c r="EV86" s="50">
        <f t="shared" si="437"/>
        <v>0</v>
      </c>
      <c r="EW86" s="50">
        <f t="shared" si="437"/>
        <v>0</v>
      </c>
      <c r="EX86" s="50">
        <f t="shared" si="437"/>
        <v>0</v>
      </c>
      <c r="EY86" s="50">
        <f t="shared" si="437"/>
        <v>0</v>
      </c>
      <c r="EZ86" s="50">
        <f t="shared" si="437"/>
        <v>0</v>
      </c>
      <c r="FA86" s="50">
        <f t="shared" si="437"/>
        <v>0</v>
      </c>
      <c r="FB86" s="50">
        <f t="shared" si="437"/>
        <v>0</v>
      </c>
      <c r="FC86" s="50">
        <f t="shared" si="437"/>
        <v>0</v>
      </c>
      <c r="FD86" s="50">
        <f t="shared" si="437"/>
        <v>0</v>
      </c>
      <c r="FE86" s="50">
        <f t="shared" si="437"/>
        <v>0</v>
      </c>
      <c r="FF86" s="50">
        <f t="shared" si="437"/>
        <v>0</v>
      </c>
      <c r="FG86" s="50">
        <f t="shared" si="437"/>
        <v>0</v>
      </c>
      <c r="FH86" s="50">
        <f t="shared" si="437"/>
        <v>0</v>
      </c>
      <c r="FI86" s="50">
        <f t="shared" si="438"/>
        <v>0</v>
      </c>
      <c r="FJ86" s="50">
        <f t="shared" si="438"/>
        <v>0</v>
      </c>
      <c r="FK86" s="50">
        <f t="shared" si="438"/>
        <v>0</v>
      </c>
      <c r="FL86" s="50">
        <f t="shared" si="438"/>
        <v>0</v>
      </c>
      <c r="FM86" s="50">
        <f t="shared" si="438"/>
        <v>0</v>
      </c>
      <c r="FN86" s="50">
        <f t="shared" si="438"/>
        <v>0</v>
      </c>
      <c r="FO86" s="50">
        <f t="shared" si="438"/>
        <v>0</v>
      </c>
      <c r="FP86" s="50">
        <f t="shared" si="438"/>
        <v>0</v>
      </c>
      <c r="FQ86" s="50">
        <f t="shared" si="438"/>
        <v>0</v>
      </c>
      <c r="FR86" s="50">
        <f t="shared" si="438"/>
        <v>0</v>
      </c>
      <c r="FS86" s="50">
        <f t="shared" si="438"/>
        <v>0</v>
      </c>
      <c r="FT86" s="50">
        <f t="shared" si="438"/>
        <v>0</v>
      </c>
      <c r="FU86" s="50">
        <f t="shared" si="438"/>
        <v>0</v>
      </c>
      <c r="FV86" s="50">
        <f t="shared" si="438"/>
        <v>0</v>
      </c>
      <c r="FW86" s="50">
        <f t="shared" si="438"/>
        <v>0</v>
      </c>
      <c r="FX86" s="50">
        <f t="shared" si="438"/>
        <v>0</v>
      </c>
      <c r="FY86" s="50">
        <f t="shared" si="439"/>
        <v>0</v>
      </c>
      <c r="FZ86" s="50">
        <f t="shared" si="439"/>
        <v>0</v>
      </c>
      <c r="GA86" s="50">
        <f t="shared" si="439"/>
        <v>0</v>
      </c>
      <c r="GB86" s="50">
        <f t="shared" si="439"/>
        <v>0</v>
      </c>
      <c r="GC86" s="50">
        <f t="shared" si="439"/>
        <v>0</v>
      </c>
      <c r="GD86" s="50">
        <f t="shared" si="439"/>
        <v>0</v>
      </c>
      <c r="GE86" s="50">
        <f t="shared" si="439"/>
        <v>0</v>
      </c>
      <c r="GF86" s="50">
        <f t="shared" si="439"/>
        <v>0</v>
      </c>
      <c r="GG86" s="50">
        <f t="shared" si="439"/>
        <v>0</v>
      </c>
      <c r="GH86" s="50">
        <f t="shared" si="439"/>
        <v>0</v>
      </c>
      <c r="GI86" s="50">
        <f t="shared" si="439"/>
        <v>0</v>
      </c>
      <c r="GJ86" s="50">
        <f t="shared" si="439"/>
        <v>0</v>
      </c>
      <c r="GK86" s="50">
        <f t="shared" si="439"/>
        <v>0</v>
      </c>
      <c r="GL86" s="50">
        <f t="shared" si="439"/>
        <v>0</v>
      </c>
      <c r="GM86" s="50">
        <f t="shared" si="439"/>
        <v>0</v>
      </c>
      <c r="GN86" s="50">
        <f t="shared" si="439"/>
        <v>0</v>
      </c>
      <c r="GO86" s="50">
        <f t="shared" si="440"/>
        <v>0</v>
      </c>
      <c r="GP86" s="50">
        <f t="shared" si="440"/>
        <v>0</v>
      </c>
      <c r="GQ86" s="50">
        <f t="shared" si="440"/>
        <v>0</v>
      </c>
      <c r="GR86" s="9"/>
      <c r="GS86" s="70"/>
      <c r="GT86" s="77"/>
      <c r="GU86" s="78"/>
      <c r="GV86" s="78"/>
      <c r="GW86" s="78"/>
      <c r="GX86" s="79"/>
      <c r="GY86" s="79"/>
      <c r="GZ86" s="77"/>
      <c r="HA86" s="77"/>
      <c r="HB86" s="77"/>
      <c r="HC86" s="77"/>
      <c r="HD86" s="77"/>
      <c r="HE86" s="77"/>
      <c r="HF86" s="77"/>
      <c r="HG86" s="77"/>
      <c r="HH86" s="77"/>
      <c r="HI86" s="77"/>
      <c r="HJ86" s="77"/>
      <c r="HK86" s="77"/>
      <c r="HL86" s="77"/>
      <c r="HM86" s="77"/>
      <c r="HN86" s="77"/>
      <c r="HO86" s="77"/>
      <c r="HP86" s="77"/>
      <c r="HQ86" s="77"/>
      <c r="HR86" s="77"/>
      <c r="HS86" s="77"/>
      <c r="HT86" s="77"/>
      <c r="HU86" s="77"/>
      <c r="HV86" s="77"/>
      <c r="HW86" s="77"/>
      <c r="HX86" s="77"/>
      <c r="HY86" s="77"/>
      <c r="HZ86" s="77"/>
      <c r="IA86" s="77"/>
      <c r="IB86" s="77"/>
      <c r="IC86" s="77"/>
      <c r="ID86" s="77"/>
      <c r="IE86" s="77"/>
      <c r="IF86" s="77"/>
      <c r="IG86" s="77"/>
      <c r="IH86" s="77"/>
      <c r="II86" s="77"/>
      <c r="IJ86" s="77"/>
      <c r="IK86" s="77"/>
      <c r="IL86" s="77"/>
      <c r="IM86" s="77"/>
      <c r="IN86" s="77"/>
      <c r="IO86" s="77"/>
      <c r="IP86" s="77"/>
      <c r="IQ86" s="77"/>
      <c r="IR86" s="77"/>
      <c r="IS86" s="77"/>
      <c r="IT86" s="77"/>
      <c r="IU86" s="77"/>
      <c r="IV86" s="77"/>
      <c r="IW86" s="77"/>
      <c r="IX86" s="77"/>
      <c r="IY86" s="77"/>
      <c r="IZ86" s="77"/>
      <c r="JA86" s="77"/>
      <c r="JB86" s="77"/>
      <c r="JC86" s="77"/>
      <c r="JD86" s="77"/>
      <c r="JE86" s="77"/>
      <c r="JF86" s="77"/>
      <c r="JG86" s="77"/>
      <c r="JH86" s="77"/>
      <c r="JI86" s="77"/>
      <c r="JJ86" s="77"/>
      <c r="JK86" s="77"/>
      <c r="JL86" s="77"/>
      <c r="JM86" s="77"/>
      <c r="JN86" s="77"/>
      <c r="JO86" s="77"/>
      <c r="JP86" s="77"/>
      <c r="JQ86" s="77"/>
      <c r="JR86" s="77"/>
      <c r="JS86" s="77"/>
      <c r="JT86" s="77"/>
      <c r="JU86" s="77"/>
      <c r="JV86" s="77"/>
      <c r="JW86" s="77"/>
      <c r="JX86" s="77"/>
      <c r="JY86" s="77"/>
      <c r="JZ86" s="77"/>
      <c r="KA86" s="77"/>
      <c r="KB86" s="77"/>
      <c r="KC86" s="77"/>
      <c r="KD86" s="77"/>
      <c r="KE86" s="77"/>
      <c r="KF86" s="77"/>
      <c r="KG86" s="77"/>
      <c r="KH86" s="77"/>
      <c r="KI86" s="77"/>
      <c r="KJ86" s="77"/>
      <c r="KK86" s="77"/>
      <c r="KL86" s="77"/>
      <c r="KM86" s="77"/>
      <c r="KN86" s="77"/>
      <c r="KO86" s="77"/>
      <c r="KP86" s="77"/>
      <c r="KQ86" s="77"/>
      <c r="KR86" s="77"/>
      <c r="KS86" s="77"/>
      <c r="KT86" s="77"/>
      <c r="KU86" s="77"/>
      <c r="KV86" s="77"/>
      <c r="KW86" s="77"/>
      <c r="KX86" s="77"/>
      <c r="KY86" s="77"/>
      <c r="KZ86" s="77"/>
      <c r="LA86" s="77"/>
      <c r="LB86" s="77"/>
      <c r="LC86" s="77"/>
      <c r="LD86" s="77"/>
      <c r="LE86" s="77"/>
      <c r="LF86" s="77"/>
      <c r="LG86" s="77"/>
      <c r="LH86" s="77"/>
      <c r="LI86" s="77"/>
      <c r="LJ86" s="77"/>
      <c r="LK86" s="77"/>
      <c r="LL86" s="77"/>
      <c r="LM86" s="77"/>
      <c r="LN86" s="77"/>
      <c r="LO86" s="77"/>
      <c r="LP86" s="77"/>
      <c r="LQ86" s="77"/>
      <c r="LR86" s="77"/>
      <c r="LS86" s="77"/>
      <c r="LT86" s="77"/>
      <c r="LU86" s="77"/>
      <c r="LV86" s="77"/>
      <c r="LW86" s="77"/>
      <c r="LX86" s="77"/>
      <c r="LY86" s="77"/>
      <c r="LZ86" s="77"/>
      <c r="MA86" s="77"/>
      <c r="MB86" s="77"/>
      <c r="MC86" s="77"/>
      <c r="MD86" s="77"/>
      <c r="ME86" s="77"/>
      <c r="MF86" s="77"/>
      <c r="MG86" s="77"/>
      <c r="MH86" s="77"/>
      <c r="MI86" s="77"/>
      <c r="MJ86" s="77"/>
      <c r="MK86" s="77"/>
      <c r="ML86" s="77"/>
      <c r="MM86" s="77"/>
      <c r="MN86" s="77"/>
      <c r="MO86" s="77"/>
      <c r="MP86" s="77"/>
      <c r="MQ86" s="77"/>
      <c r="MR86" s="77"/>
      <c r="MS86" s="77"/>
      <c r="MT86" s="77"/>
      <c r="MU86" s="77"/>
      <c r="MV86" s="77"/>
      <c r="MW86" s="77"/>
      <c r="MX86" s="77"/>
      <c r="MY86" s="77"/>
      <c r="MZ86" s="77"/>
      <c r="NA86" s="77"/>
      <c r="NB86" s="77"/>
      <c r="NC86" s="77"/>
      <c r="ND86" s="77"/>
      <c r="NE86" s="77"/>
      <c r="NF86" s="77"/>
      <c r="NG86" s="77"/>
      <c r="NH86" s="77"/>
      <c r="NI86" s="77"/>
      <c r="NJ86" s="77"/>
      <c r="NK86" s="77"/>
      <c r="NL86" s="77"/>
      <c r="NM86" s="77"/>
      <c r="NN86" s="77"/>
      <c r="NO86" s="77"/>
      <c r="NP86" s="77"/>
      <c r="NQ86" s="77"/>
      <c r="NR86" s="77"/>
      <c r="NS86" s="77"/>
      <c r="NT86" s="77"/>
      <c r="NU86" s="77"/>
      <c r="NV86" s="77"/>
      <c r="NW86" s="77"/>
      <c r="NX86" s="10"/>
    </row>
    <row r="87" spans="2:388" x14ac:dyDescent="0.3">
      <c r="B87" s="26" t="s">
        <v>279</v>
      </c>
      <c r="C87" s="18"/>
      <c r="D87" s="86">
        <v>12</v>
      </c>
      <c r="E87" s="27">
        <v>27</v>
      </c>
      <c r="F87" s="27">
        <v>27</v>
      </c>
      <c r="G87" s="21"/>
      <c r="H87" s="30">
        <f t="shared" si="441"/>
        <v>13104</v>
      </c>
      <c r="I87" s="21" t="s">
        <v>195</v>
      </c>
      <c r="J87" s="23">
        <f t="shared" si="425"/>
        <v>62315</v>
      </c>
      <c r="K87" s="29">
        <f t="shared" si="426"/>
        <v>57.065018315018314</v>
      </c>
      <c r="L87" s="30">
        <f>D87*Sheet1!G7</f>
        <v>747780</v>
      </c>
      <c r="N87" s="9" t="s">
        <v>271</v>
      </c>
      <c r="S87" s="69" t="str">
        <f t="shared" si="442"/>
        <v>OK</v>
      </c>
      <c r="T87" s="50">
        <f t="shared" si="428"/>
        <v>0</v>
      </c>
      <c r="U87" s="50">
        <f t="shared" si="429"/>
        <v>0</v>
      </c>
      <c r="V87" s="50">
        <f t="shared" si="429"/>
        <v>0</v>
      </c>
      <c r="W87" s="50">
        <f t="shared" si="429"/>
        <v>0</v>
      </c>
      <c r="X87" s="50">
        <f t="shared" si="429"/>
        <v>0</v>
      </c>
      <c r="Y87" s="50">
        <f t="shared" si="429"/>
        <v>0</v>
      </c>
      <c r="Z87" s="50">
        <f t="shared" si="429"/>
        <v>0</v>
      </c>
      <c r="AA87" s="50">
        <f t="shared" si="429"/>
        <v>0</v>
      </c>
      <c r="AB87" s="50">
        <f t="shared" si="429"/>
        <v>0</v>
      </c>
      <c r="AC87" s="50">
        <f t="shared" si="429"/>
        <v>0</v>
      </c>
      <c r="AD87" s="50">
        <f t="shared" si="429"/>
        <v>0</v>
      </c>
      <c r="AE87" s="50">
        <f t="shared" si="429"/>
        <v>0</v>
      </c>
      <c r="AF87" s="50">
        <f t="shared" si="429"/>
        <v>0</v>
      </c>
      <c r="AG87" s="50">
        <f t="shared" si="429"/>
        <v>0</v>
      </c>
      <c r="AH87" s="50">
        <f t="shared" si="429"/>
        <v>0</v>
      </c>
      <c r="AI87" s="50">
        <f t="shared" si="429"/>
        <v>0</v>
      </c>
      <c r="AJ87" s="50">
        <f t="shared" si="429"/>
        <v>0</v>
      </c>
      <c r="AK87" s="50">
        <f t="shared" si="430"/>
        <v>0</v>
      </c>
      <c r="AL87" s="50">
        <f t="shared" si="430"/>
        <v>0</v>
      </c>
      <c r="AM87" s="50">
        <f t="shared" si="430"/>
        <v>0</v>
      </c>
      <c r="AN87" s="50">
        <f t="shared" si="430"/>
        <v>0</v>
      </c>
      <c r="AO87" s="50">
        <f t="shared" si="430"/>
        <v>0</v>
      </c>
      <c r="AP87" s="50">
        <f t="shared" si="430"/>
        <v>0</v>
      </c>
      <c r="AQ87" s="50">
        <f t="shared" si="430"/>
        <v>0</v>
      </c>
      <c r="AR87" s="50">
        <f t="shared" si="430"/>
        <v>0</v>
      </c>
      <c r="AS87" s="50">
        <f t="shared" si="430"/>
        <v>0</v>
      </c>
      <c r="AT87" s="50">
        <f t="shared" si="430"/>
        <v>747780</v>
      </c>
      <c r="AU87" s="50">
        <f t="shared" si="430"/>
        <v>0</v>
      </c>
      <c r="AV87" s="50">
        <f t="shared" si="430"/>
        <v>0</v>
      </c>
      <c r="AW87" s="50">
        <f t="shared" si="430"/>
        <v>0</v>
      </c>
      <c r="AX87" s="50">
        <f t="shared" si="430"/>
        <v>0</v>
      </c>
      <c r="AY87" s="50">
        <f t="shared" si="430"/>
        <v>0</v>
      </c>
      <c r="AZ87" s="50">
        <f t="shared" si="430"/>
        <v>0</v>
      </c>
      <c r="BA87" s="50">
        <f t="shared" si="431"/>
        <v>0</v>
      </c>
      <c r="BB87" s="50">
        <f t="shared" si="431"/>
        <v>0</v>
      </c>
      <c r="BC87" s="50">
        <f t="shared" si="431"/>
        <v>0</v>
      </c>
      <c r="BD87" s="50">
        <f t="shared" si="431"/>
        <v>0</v>
      </c>
      <c r="BE87" s="50">
        <f t="shared" si="431"/>
        <v>0</v>
      </c>
      <c r="BF87" s="50">
        <f t="shared" si="431"/>
        <v>0</v>
      </c>
      <c r="BG87" s="50">
        <f t="shared" si="431"/>
        <v>0</v>
      </c>
      <c r="BH87" s="50">
        <f t="shared" si="431"/>
        <v>0</v>
      </c>
      <c r="BI87" s="50">
        <f t="shared" si="431"/>
        <v>0</v>
      </c>
      <c r="BJ87" s="50">
        <f t="shared" si="431"/>
        <v>0</v>
      </c>
      <c r="BK87" s="50">
        <f t="shared" si="431"/>
        <v>0</v>
      </c>
      <c r="BL87" s="50">
        <f t="shared" si="431"/>
        <v>0</v>
      </c>
      <c r="BM87" s="50">
        <f t="shared" si="431"/>
        <v>0</v>
      </c>
      <c r="BN87" s="50">
        <f t="shared" si="431"/>
        <v>0</v>
      </c>
      <c r="BO87" s="50">
        <f t="shared" si="431"/>
        <v>0</v>
      </c>
      <c r="BP87" s="50">
        <f t="shared" si="431"/>
        <v>0</v>
      </c>
      <c r="BQ87" s="50">
        <f t="shared" si="432"/>
        <v>0</v>
      </c>
      <c r="BR87" s="50">
        <f t="shared" si="432"/>
        <v>0</v>
      </c>
      <c r="BS87" s="50">
        <f t="shared" si="432"/>
        <v>0</v>
      </c>
      <c r="BT87" s="50">
        <f t="shared" si="432"/>
        <v>0</v>
      </c>
      <c r="BU87" s="50">
        <f t="shared" si="432"/>
        <v>0</v>
      </c>
      <c r="BV87" s="50">
        <f t="shared" si="432"/>
        <v>0</v>
      </c>
      <c r="BW87" s="50">
        <f t="shared" si="432"/>
        <v>0</v>
      </c>
      <c r="BX87" s="50">
        <f t="shared" si="432"/>
        <v>0</v>
      </c>
      <c r="BY87" s="50">
        <f t="shared" si="432"/>
        <v>0</v>
      </c>
      <c r="BZ87" s="50">
        <f t="shared" si="432"/>
        <v>0</v>
      </c>
      <c r="CA87" s="50">
        <f t="shared" si="432"/>
        <v>0</v>
      </c>
      <c r="CB87" s="50">
        <f t="shared" si="432"/>
        <v>0</v>
      </c>
      <c r="CC87" s="50">
        <f t="shared" si="432"/>
        <v>0</v>
      </c>
      <c r="CD87" s="50">
        <f t="shared" si="432"/>
        <v>0</v>
      </c>
      <c r="CE87" s="50">
        <f t="shared" si="432"/>
        <v>0</v>
      </c>
      <c r="CF87" s="50">
        <f t="shared" si="432"/>
        <v>0</v>
      </c>
      <c r="CG87" s="50">
        <f t="shared" si="433"/>
        <v>0</v>
      </c>
      <c r="CH87" s="50">
        <f t="shared" si="433"/>
        <v>0</v>
      </c>
      <c r="CI87" s="50">
        <f t="shared" si="433"/>
        <v>0</v>
      </c>
      <c r="CJ87" s="50">
        <f t="shared" si="433"/>
        <v>0</v>
      </c>
      <c r="CK87" s="50">
        <f t="shared" si="433"/>
        <v>0</v>
      </c>
      <c r="CL87" s="50">
        <f t="shared" si="433"/>
        <v>0</v>
      </c>
      <c r="CM87" s="50">
        <f t="shared" si="433"/>
        <v>0</v>
      </c>
      <c r="CN87" s="50">
        <f t="shared" si="433"/>
        <v>0</v>
      </c>
      <c r="CO87" s="50">
        <f t="shared" si="433"/>
        <v>0</v>
      </c>
      <c r="CP87" s="50">
        <f t="shared" si="433"/>
        <v>0</v>
      </c>
      <c r="CQ87" s="50">
        <f t="shared" si="433"/>
        <v>0</v>
      </c>
      <c r="CR87" s="50">
        <f t="shared" si="433"/>
        <v>0</v>
      </c>
      <c r="CS87" s="50">
        <f t="shared" si="433"/>
        <v>0</v>
      </c>
      <c r="CT87" s="50">
        <f t="shared" si="433"/>
        <v>0</v>
      </c>
      <c r="CU87" s="50">
        <f t="shared" si="433"/>
        <v>0</v>
      </c>
      <c r="CV87" s="50">
        <f t="shared" si="433"/>
        <v>0</v>
      </c>
      <c r="CW87" s="50">
        <f t="shared" si="434"/>
        <v>0</v>
      </c>
      <c r="CX87" s="50">
        <f t="shared" si="434"/>
        <v>0</v>
      </c>
      <c r="CY87" s="50">
        <f t="shared" si="434"/>
        <v>0</v>
      </c>
      <c r="CZ87" s="50">
        <f t="shared" si="434"/>
        <v>0</v>
      </c>
      <c r="DA87" s="50">
        <f t="shared" si="434"/>
        <v>0</v>
      </c>
      <c r="DB87" s="50">
        <f t="shared" si="434"/>
        <v>0</v>
      </c>
      <c r="DC87" s="50">
        <f t="shared" si="434"/>
        <v>0</v>
      </c>
      <c r="DD87" s="50">
        <f t="shared" si="434"/>
        <v>0</v>
      </c>
      <c r="DE87" s="50">
        <f t="shared" si="434"/>
        <v>0</v>
      </c>
      <c r="DF87" s="50">
        <f t="shared" si="434"/>
        <v>0</v>
      </c>
      <c r="DG87" s="50">
        <f t="shared" si="434"/>
        <v>0</v>
      </c>
      <c r="DH87" s="50">
        <f t="shared" si="434"/>
        <v>0</v>
      </c>
      <c r="DI87" s="50">
        <f t="shared" si="434"/>
        <v>0</v>
      </c>
      <c r="DJ87" s="50">
        <f t="shared" si="434"/>
        <v>0</v>
      </c>
      <c r="DK87" s="50">
        <f t="shared" si="434"/>
        <v>0</v>
      </c>
      <c r="DL87" s="50">
        <f t="shared" si="434"/>
        <v>0</v>
      </c>
      <c r="DM87" s="50">
        <f t="shared" si="435"/>
        <v>0</v>
      </c>
      <c r="DN87" s="50">
        <f t="shared" si="435"/>
        <v>0</v>
      </c>
      <c r="DO87" s="50">
        <f t="shared" si="435"/>
        <v>0</v>
      </c>
      <c r="DP87" s="50">
        <f t="shared" si="435"/>
        <v>0</v>
      </c>
      <c r="DQ87" s="50">
        <f t="shared" si="435"/>
        <v>0</v>
      </c>
      <c r="DR87" s="50">
        <f t="shared" si="435"/>
        <v>0</v>
      </c>
      <c r="DS87" s="50">
        <f t="shared" si="435"/>
        <v>0</v>
      </c>
      <c r="DT87" s="50">
        <f t="shared" si="435"/>
        <v>0</v>
      </c>
      <c r="DU87" s="50">
        <f t="shared" si="435"/>
        <v>0</v>
      </c>
      <c r="DV87" s="50">
        <f t="shared" si="435"/>
        <v>0</v>
      </c>
      <c r="DW87" s="50">
        <f t="shared" si="435"/>
        <v>0</v>
      </c>
      <c r="DX87" s="50">
        <f t="shared" si="435"/>
        <v>0</v>
      </c>
      <c r="DY87" s="50">
        <f t="shared" si="435"/>
        <v>0</v>
      </c>
      <c r="DZ87" s="50">
        <f t="shared" si="435"/>
        <v>0</v>
      </c>
      <c r="EA87" s="50">
        <f t="shared" si="435"/>
        <v>0</v>
      </c>
      <c r="EB87" s="50">
        <f t="shared" si="435"/>
        <v>0</v>
      </c>
      <c r="EC87" s="50">
        <f t="shared" si="436"/>
        <v>0</v>
      </c>
      <c r="ED87" s="50">
        <f t="shared" si="436"/>
        <v>0</v>
      </c>
      <c r="EE87" s="50">
        <f t="shared" si="436"/>
        <v>0</v>
      </c>
      <c r="EF87" s="50">
        <f t="shared" si="436"/>
        <v>0</v>
      </c>
      <c r="EG87" s="50">
        <f t="shared" si="436"/>
        <v>0</v>
      </c>
      <c r="EH87" s="50">
        <f t="shared" si="436"/>
        <v>0</v>
      </c>
      <c r="EI87" s="50">
        <f t="shared" si="436"/>
        <v>0</v>
      </c>
      <c r="EJ87" s="50">
        <f t="shared" si="436"/>
        <v>0</v>
      </c>
      <c r="EK87" s="50">
        <f t="shared" si="436"/>
        <v>0</v>
      </c>
      <c r="EL87" s="50">
        <f t="shared" si="436"/>
        <v>0</v>
      </c>
      <c r="EM87" s="50">
        <f t="shared" si="436"/>
        <v>0</v>
      </c>
      <c r="EN87" s="50">
        <f t="shared" si="436"/>
        <v>0</v>
      </c>
      <c r="EO87" s="50">
        <f t="shared" si="436"/>
        <v>0</v>
      </c>
      <c r="EP87" s="50">
        <f t="shared" si="436"/>
        <v>0</v>
      </c>
      <c r="EQ87" s="50">
        <f t="shared" si="436"/>
        <v>0</v>
      </c>
      <c r="ER87" s="50">
        <f t="shared" si="436"/>
        <v>0</v>
      </c>
      <c r="ES87" s="50">
        <f t="shared" si="437"/>
        <v>0</v>
      </c>
      <c r="ET87" s="50">
        <f t="shared" si="437"/>
        <v>0</v>
      </c>
      <c r="EU87" s="50">
        <f t="shared" si="437"/>
        <v>0</v>
      </c>
      <c r="EV87" s="50">
        <f t="shared" si="437"/>
        <v>0</v>
      </c>
      <c r="EW87" s="50">
        <f t="shared" si="437"/>
        <v>0</v>
      </c>
      <c r="EX87" s="50">
        <f t="shared" si="437"/>
        <v>0</v>
      </c>
      <c r="EY87" s="50">
        <f t="shared" si="437"/>
        <v>0</v>
      </c>
      <c r="EZ87" s="50">
        <f t="shared" si="437"/>
        <v>0</v>
      </c>
      <c r="FA87" s="50">
        <f t="shared" si="437"/>
        <v>0</v>
      </c>
      <c r="FB87" s="50">
        <f t="shared" si="437"/>
        <v>0</v>
      </c>
      <c r="FC87" s="50">
        <f t="shared" si="437"/>
        <v>0</v>
      </c>
      <c r="FD87" s="50">
        <f t="shared" si="437"/>
        <v>0</v>
      </c>
      <c r="FE87" s="50">
        <f t="shared" si="437"/>
        <v>0</v>
      </c>
      <c r="FF87" s="50">
        <f t="shared" si="437"/>
        <v>0</v>
      </c>
      <c r="FG87" s="50">
        <f t="shared" si="437"/>
        <v>0</v>
      </c>
      <c r="FH87" s="50">
        <f t="shared" si="437"/>
        <v>0</v>
      </c>
      <c r="FI87" s="50">
        <f t="shared" si="438"/>
        <v>0</v>
      </c>
      <c r="FJ87" s="50">
        <f t="shared" si="438"/>
        <v>0</v>
      </c>
      <c r="FK87" s="50">
        <f t="shared" si="438"/>
        <v>0</v>
      </c>
      <c r="FL87" s="50">
        <f t="shared" si="438"/>
        <v>0</v>
      </c>
      <c r="FM87" s="50">
        <f t="shared" si="438"/>
        <v>0</v>
      </c>
      <c r="FN87" s="50">
        <f t="shared" si="438"/>
        <v>0</v>
      </c>
      <c r="FO87" s="50">
        <f t="shared" si="438"/>
        <v>0</v>
      </c>
      <c r="FP87" s="50">
        <f t="shared" si="438"/>
        <v>0</v>
      </c>
      <c r="FQ87" s="50">
        <f t="shared" si="438"/>
        <v>0</v>
      </c>
      <c r="FR87" s="50">
        <f t="shared" si="438"/>
        <v>0</v>
      </c>
      <c r="FS87" s="50">
        <f t="shared" si="438"/>
        <v>0</v>
      </c>
      <c r="FT87" s="50">
        <f t="shared" si="438"/>
        <v>0</v>
      </c>
      <c r="FU87" s="50">
        <f t="shared" si="438"/>
        <v>0</v>
      </c>
      <c r="FV87" s="50">
        <f t="shared" si="438"/>
        <v>0</v>
      </c>
      <c r="FW87" s="50">
        <f t="shared" si="438"/>
        <v>0</v>
      </c>
      <c r="FX87" s="50">
        <f t="shared" si="438"/>
        <v>0</v>
      </c>
      <c r="FY87" s="50">
        <f t="shared" si="439"/>
        <v>0</v>
      </c>
      <c r="FZ87" s="50">
        <f t="shared" si="439"/>
        <v>0</v>
      </c>
      <c r="GA87" s="50">
        <f t="shared" si="439"/>
        <v>0</v>
      </c>
      <c r="GB87" s="50">
        <f t="shared" si="439"/>
        <v>0</v>
      </c>
      <c r="GC87" s="50">
        <f t="shared" si="439"/>
        <v>0</v>
      </c>
      <c r="GD87" s="50">
        <f t="shared" si="439"/>
        <v>0</v>
      </c>
      <c r="GE87" s="50">
        <f t="shared" si="439"/>
        <v>0</v>
      </c>
      <c r="GF87" s="50">
        <f t="shared" si="439"/>
        <v>0</v>
      </c>
      <c r="GG87" s="50">
        <f t="shared" si="439"/>
        <v>0</v>
      </c>
      <c r="GH87" s="50">
        <f t="shared" si="439"/>
        <v>0</v>
      </c>
      <c r="GI87" s="50">
        <f t="shared" si="439"/>
        <v>0</v>
      </c>
      <c r="GJ87" s="50">
        <f t="shared" si="439"/>
        <v>0</v>
      </c>
      <c r="GK87" s="50">
        <f t="shared" si="439"/>
        <v>0</v>
      </c>
      <c r="GL87" s="50">
        <f t="shared" si="439"/>
        <v>0</v>
      </c>
      <c r="GM87" s="50">
        <f t="shared" si="439"/>
        <v>0</v>
      </c>
      <c r="GN87" s="50">
        <f t="shared" si="439"/>
        <v>0</v>
      </c>
      <c r="GO87" s="50">
        <f t="shared" si="440"/>
        <v>0</v>
      </c>
      <c r="GP87" s="50">
        <f t="shared" si="440"/>
        <v>0</v>
      </c>
      <c r="GQ87" s="50">
        <f t="shared" si="440"/>
        <v>0</v>
      </c>
      <c r="GR87" s="9"/>
      <c r="GS87" s="70"/>
      <c r="GT87" s="77"/>
      <c r="GU87" s="78"/>
      <c r="GV87" s="78"/>
      <c r="GW87" s="78"/>
      <c r="GX87" s="79"/>
      <c r="GY87" s="79"/>
      <c r="GZ87" s="77"/>
      <c r="HA87" s="77"/>
      <c r="HB87" s="77"/>
      <c r="HC87" s="77"/>
      <c r="HD87" s="77"/>
      <c r="HE87" s="77"/>
      <c r="HF87" s="77"/>
      <c r="HG87" s="77"/>
      <c r="HH87" s="77"/>
      <c r="HI87" s="77"/>
      <c r="HJ87" s="77"/>
      <c r="HK87" s="77"/>
      <c r="HL87" s="77"/>
      <c r="HM87" s="77"/>
      <c r="HN87" s="77"/>
      <c r="HO87" s="77"/>
      <c r="HP87" s="77"/>
      <c r="HQ87" s="77"/>
      <c r="HR87" s="77"/>
      <c r="HS87" s="77"/>
      <c r="HT87" s="77"/>
      <c r="HU87" s="77"/>
      <c r="HV87" s="77"/>
      <c r="HW87" s="77"/>
      <c r="HX87" s="77"/>
      <c r="HY87" s="77"/>
      <c r="HZ87" s="77"/>
      <c r="IA87" s="77"/>
      <c r="IB87" s="77"/>
      <c r="IC87" s="77"/>
      <c r="ID87" s="77"/>
      <c r="IE87" s="77"/>
      <c r="IF87" s="77"/>
      <c r="IG87" s="77"/>
      <c r="IH87" s="77"/>
      <c r="II87" s="77"/>
      <c r="IJ87" s="77"/>
      <c r="IK87" s="77"/>
      <c r="IL87" s="77"/>
      <c r="IM87" s="77"/>
      <c r="IN87" s="77"/>
      <c r="IO87" s="77"/>
      <c r="IP87" s="77"/>
      <c r="IQ87" s="77"/>
      <c r="IR87" s="77"/>
      <c r="IS87" s="77"/>
      <c r="IT87" s="77"/>
      <c r="IU87" s="77"/>
      <c r="IV87" s="77"/>
      <c r="IW87" s="77"/>
      <c r="IX87" s="77"/>
      <c r="IY87" s="77"/>
      <c r="IZ87" s="77"/>
      <c r="JA87" s="77"/>
      <c r="JB87" s="77"/>
      <c r="JC87" s="77"/>
      <c r="JD87" s="77"/>
      <c r="JE87" s="77"/>
      <c r="JF87" s="77"/>
      <c r="JG87" s="77"/>
      <c r="JH87" s="77"/>
      <c r="JI87" s="77"/>
      <c r="JJ87" s="77"/>
      <c r="JK87" s="77"/>
      <c r="JL87" s="77"/>
      <c r="JM87" s="77"/>
      <c r="JN87" s="77"/>
      <c r="JO87" s="77"/>
      <c r="JP87" s="77"/>
      <c r="JQ87" s="77"/>
      <c r="JR87" s="77"/>
      <c r="JS87" s="77"/>
      <c r="JT87" s="77"/>
      <c r="JU87" s="77"/>
      <c r="JV87" s="77"/>
      <c r="JW87" s="77"/>
      <c r="JX87" s="77"/>
      <c r="JY87" s="77"/>
      <c r="JZ87" s="77"/>
      <c r="KA87" s="77"/>
      <c r="KB87" s="77"/>
      <c r="KC87" s="77"/>
      <c r="KD87" s="77"/>
      <c r="KE87" s="77"/>
      <c r="KF87" s="77"/>
      <c r="KG87" s="77"/>
      <c r="KH87" s="77"/>
      <c r="KI87" s="77"/>
      <c r="KJ87" s="77"/>
      <c r="KK87" s="77"/>
      <c r="KL87" s="77"/>
      <c r="KM87" s="77"/>
      <c r="KN87" s="77"/>
      <c r="KO87" s="77"/>
      <c r="KP87" s="77"/>
      <c r="KQ87" s="77"/>
      <c r="KR87" s="77"/>
      <c r="KS87" s="77"/>
      <c r="KT87" s="77"/>
      <c r="KU87" s="77"/>
      <c r="KV87" s="77"/>
      <c r="KW87" s="77"/>
      <c r="KX87" s="77"/>
      <c r="KY87" s="77"/>
      <c r="KZ87" s="77"/>
      <c r="LA87" s="77"/>
      <c r="LB87" s="77"/>
      <c r="LC87" s="77"/>
      <c r="LD87" s="77"/>
      <c r="LE87" s="77"/>
      <c r="LF87" s="77"/>
      <c r="LG87" s="77"/>
      <c r="LH87" s="77"/>
      <c r="LI87" s="77"/>
      <c r="LJ87" s="77"/>
      <c r="LK87" s="77"/>
      <c r="LL87" s="77"/>
      <c r="LM87" s="77"/>
      <c r="LN87" s="77"/>
      <c r="LO87" s="77"/>
      <c r="LP87" s="77"/>
      <c r="LQ87" s="77"/>
      <c r="LR87" s="77"/>
      <c r="LS87" s="77"/>
      <c r="LT87" s="77"/>
      <c r="LU87" s="77"/>
      <c r="LV87" s="77"/>
      <c r="LW87" s="77"/>
      <c r="LX87" s="77"/>
      <c r="LY87" s="77"/>
      <c r="LZ87" s="77"/>
      <c r="MA87" s="77"/>
      <c r="MB87" s="77"/>
      <c r="MC87" s="77"/>
      <c r="MD87" s="77"/>
      <c r="ME87" s="77"/>
      <c r="MF87" s="77"/>
      <c r="MG87" s="77"/>
      <c r="MH87" s="77"/>
      <c r="MI87" s="77"/>
      <c r="MJ87" s="77"/>
      <c r="MK87" s="77"/>
      <c r="ML87" s="77"/>
      <c r="MM87" s="77"/>
      <c r="MN87" s="77"/>
      <c r="MO87" s="77"/>
      <c r="MP87" s="77"/>
      <c r="MQ87" s="77"/>
      <c r="MR87" s="77"/>
      <c r="MS87" s="77"/>
      <c r="MT87" s="77"/>
      <c r="MU87" s="77"/>
      <c r="MV87" s="77"/>
      <c r="MW87" s="77"/>
      <c r="MX87" s="77"/>
      <c r="MY87" s="77"/>
      <c r="MZ87" s="77"/>
      <c r="NA87" s="77"/>
      <c r="NB87" s="77"/>
      <c r="NC87" s="77"/>
      <c r="ND87" s="77"/>
      <c r="NE87" s="77"/>
      <c r="NF87" s="77"/>
      <c r="NG87" s="77"/>
      <c r="NH87" s="77"/>
      <c r="NI87" s="77"/>
      <c r="NJ87" s="77"/>
      <c r="NK87" s="77"/>
      <c r="NL87" s="77"/>
      <c r="NM87" s="77"/>
      <c r="NN87" s="77"/>
      <c r="NO87" s="77"/>
      <c r="NP87" s="77"/>
      <c r="NQ87" s="77"/>
      <c r="NR87" s="77"/>
      <c r="NS87" s="77"/>
      <c r="NT87" s="77"/>
      <c r="NU87" s="77"/>
      <c r="NV87" s="77"/>
      <c r="NW87" s="77"/>
      <c r="NX87" s="10"/>
    </row>
    <row r="88" spans="2:388" x14ac:dyDescent="0.3">
      <c r="B88" s="26" t="s">
        <v>280</v>
      </c>
      <c r="C88" s="18"/>
      <c r="D88" s="86">
        <v>40</v>
      </c>
      <c r="E88" s="27">
        <v>30</v>
      </c>
      <c r="F88" s="27">
        <v>48</v>
      </c>
      <c r="G88" s="21"/>
      <c r="H88" s="30">
        <f t="shared" si="441"/>
        <v>43680</v>
      </c>
      <c r="I88" s="21" t="s">
        <v>195</v>
      </c>
      <c r="J88" s="23">
        <f t="shared" si="425"/>
        <v>62315</v>
      </c>
      <c r="K88" s="29">
        <f t="shared" si="426"/>
        <v>57.065018315018314</v>
      </c>
      <c r="L88" s="30">
        <f>D88*Sheet1!G7</f>
        <v>2492600</v>
      </c>
      <c r="N88" s="9" t="s">
        <v>271</v>
      </c>
      <c r="S88" s="69" t="str">
        <f t="shared" ref="S88" si="443">IF(ROUND(L88,0)=ROUND(SUM(T88:GQ88),0),"OK","ERROR")</f>
        <v>OK</v>
      </c>
      <c r="T88" s="50">
        <f t="shared" si="428"/>
        <v>0</v>
      </c>
      <c r="U88" s="50">
        <f t="shared" si="429"/>
        <v>0</v>
      </c>
      <c r="V88" s="50">
        <f t="shared" si="429"/>
        <v>0</v>
      </c>
      <c r="W88" s="50">
        <f t="shared" si="429"/>
        <v>0</v>
      </c>
      <c r="X88" s="50">
        <f t="shared" si="429"/>
        <v>0</v>
      </c>
      <c r="Y88" s="50">
        <f t="shared" si="429"/>
        <v>0</v>
      </c>
      <c r="Z88" s="50">
        <f t="shared" si="429"/>
        <v>0</v>
      </c>
      <c r="AA88" s="50">
        <f t="shared" si="429"/>
        <v>0</v>
      </c>
      <c r="AB88" s="50">
        <f t="shared" si="429"/>
        <v>0</v>
      </c>
      <c r="AC88" s="50">
        <f t="shared" si="429"/>
        <v>0</v>
      </c>
      <c r="AD88" s="50">
        <f t="shared" si="429"/>
        <v>0</v>
      </c>
      <c r="AE88" s="50">
        <f t="shared" si="429"/>
        <v>0</v>
      </c>
      <c r="AF88" s="50">
        <f t="shared" si="429"/>
        <v>0</v>
      </c>
      <c r="AG88" s="50">
        <f t="shared" si="429"/>
        <v>0</v>
      </c>
      <c r="AH88" s="50">
        <f t="shared" si="429"/>
        <v>0</v>
      </c>
      <c r="AI88" s="50">
        <f t="shared" si="429"/>
        <v>0</v>
      </c>
      <c r="AJ88" s="50">
        <f t="shared" si="429"/>
        <v>0</v>
      </c>
      <c r="AK88" s="50">
        <f t="shared" si="430"/>
        <v>0</v>
      </c>
      <c r="AL88" s="50">
        <f t="shared" si="430"/>
        <v>0</v>
      </c>
      <c r="AM88" s="50">
        <f t="shared" si="430"/>
        <v>0</v>
      </c>
      <c r="AN88" s="50">
        <f t="shared" si="430"/>
        <v>0</v>
      </c>
      <c r="AO88" s="50">
        <f t="shared" si="430"/>
        <v>0</v>
      </c>
      <c r="AP88" s="50">
        <f t="shared" si="430"/>
        <v>0</v>
      </c>
      <c r="AQ88" s="50">
        <f t="shared" si="430"/>
        <v>0</v>
      </c>
      <c r="AR88" s="50">
        <f t="shared" si="430"/>
        <v>0</v>
      </c>
      <c r="AS88" s="50">
        <f t="shared" si="430"/>
        <v>0</v>
      </c>
      <c r="AT88" s="50">
        <f t="shared" si="430"/>
        <v>0</v>
      </c>
      <c r="AU88" s="50">
        <f t="shared" si="430"/>
        <v>0</v>
      </c>
      <c r="AV88" s="50">
        <f t="shared" si="430"/>
        <v>0</v>
      </c>
      <c r="AW88" s="50">
        <f t="shared" si="430"/>
        <v>131189.47368421053</v>
      </c>
      <c r="AX88" s="50">
        <f t="shared" si="430"/>
        <v>131189.47368421053</v>
      </c>
      <c r="AY88" s="50">
        <f t="shared" si="430"/>
        <v>131189.47368421053</v>
      </c>
      <c r="AZ88" s="50">
        <f t="shared" si="430"/>
        <v>131189.47368421053</v>
      </c>
      <c r="BA88" s="50">
        <f t="shared" si="431"/>
        <v>131189.47368421053</v>
      </c>
      <c r="BB88" s="50">
        <f t="shared" si="431"/>
        <v>131189.47368421053</v>
      </c>
      <c r="BC88" s="50">
        <f t="shared" si="431"/>
        <v>131189.47368421053</v>
      </c>
      <c r="BD88" s="50">
        <f t="shared" si="431"/>
        <v>131189.47368421053</v>
      </c>
      <c r="BE88" s="50">
        <f t="shared" si="431"/>
        <v>131189.47368421053</v>
      </c>
      <c r="BF88" s="50">
        <f t="shared" si="431"/>
        <v>131189.47368421053</v>
      </c>
      <c r="BG88" s="50">
        <f t="shared" si="431"/>
        <v>131189.47368421053</v>
      </c>
      <c r="BH88" s="50">
        <f t="shared" si="431"/>
        <v>131189.47368421053</v>
      </c>
      <c r="BI88" s="50">
        <f t="shared" si="431"/>
        <v>131189.47368421053</v>
      </c>
      <c r="BJ88" s="50">
        <f t="shared" si="431"/>
        <v>131189.47368421053</v>
      </c>
      <c r="BK88" s="50">
        <f t="shared" si="431"/>
        <v>131189.47368421053</v>
      </c>
      <c r="BL88" s="50">
        <f t="shared" si="431"/>
        <v>131189.47368421053</v>
      </c>
      <c r="BM88" s="50">
        <f t="shared" si="431"/>
        <v>131189.47368421053</v>
      </c>
      <c r="BN88" s="50">
        <f t="shared" si="431"/>
        <v>131189.47368421053</v>
      </c>
      <c r="BO88" s="50">
        <f t="shared" si="431"/>
        <v>131189.47368421053</v>
      </c>
      <c r="BP88" s="50">
        <f t="shared" si="431"/>
        <v>0</v>
      </c>
      <c r="BQ88" s="50">
        <f t="shared" si="432"/>
        <v>0</v>
      </c>
      <c r="BR88" s="50">
        <f t="shared" si="432"/>
        <v>0</v>
      </c>
      <c r="BS88" s="50">
        <f t="shared" si="432"/>
        <v>0</v>
      </c>
      <c r="BT88" s="50">
        <f t="shared" si="432"/>
        <v>0</v>
      </c>
      <c r="BU88" s="50">
        <f t="shared" si="432"/>
        <v>0</v>
      </c>
      <c r="BV88" s="50">
        <f t="shared" si="432"/>
        <v>0</v>
      </c>
      <c r="BW88" s="50">
        <f t="shared" si="432"/>
        <v>0</v>
      </c>
      <c r="BX88" s="50">
        <f t="shared" si="432"/>
        <v>0</v>
      </c>
      <c r="BY88" s="50">
        <f t="shared" si="432"/>
        <v>0</v>
      </c>
      <c r="BZ88" s="50">
        <f t="shared" si="432"/>
        <v>0</v>
      </c>
      <c r="CA88" s="50">
        <f t="shared" si="432"/>
        <v>0</v>
      </c>
      <c r="CB88" s="50">
        <f t="shared" si="432"/>
        <v>0</v>
      </c>
      <c r="CC88" s="50">
        <f t="shared" si="432"/>
        <v>0</v>
      </c>
      <c r="CD88" s="50">
        <f t="shared" si="432"/>
        <v>0</v>
      </c>
      <c r="CE88" s="50">
        <f t="shared" si="432"/>
        <v>0</v>
      </c>
      <c r="CF88" s="50">
        <f t="shared" si="432"/>
        <v>0</v>
      </c>
      <c r="CG88" s="50">
        <f t="shared" si="433"/>
        <v>0</v>
      </c>
      <c r="CH88" s="50">
        <f t="shared" si="433"/>
        <v>0</v>
      </c>
      <c r="CI88" s="50">
        <f t="shared" si="433"/>
        <v>0</v>
      </c>
      <c r="CJ88" s="50">
        <f t="shared" si="433"/>
        <v>0</v>
      </c>
      <c r="CK88" s="50">
        <f t="shared" si="433"/>
        <v>0</v>
      </c>
      <c r="CL88" s="50">
        <f t="shared" si="433"/>
        <v>0</v>
      </c>
      <c r="CM88" s="50">
        <f t="shared" si="433"/>
        <v>0</v>
      </c>
      <c r="CN88" s="50">
        <f t="shared" si="433"/>
        <v>0</v>
      </c>
      <c r="CO88" s="50">
        <f t="shared" si="433"/>
        <v>0</v>
      </c>
      <c r="CP88" s="50">
        <f t="shared" si="433"/>
        <v>0</v>
      </c>
      <c r="CQ88" s="50">
        <f t="shared" si="433"/>
        <v>0</v>
      </c>
      <c r="CR88" s="50">
        <f t="shared" si="433"/>
        <v>0</v>
      </c>
      <c r="CS88" s="50">
        <f t="shared" si="433"/>
        <v>0</v>
      </c>
      <c r="CT88" s="50">
        <f t="shared" si="433"/>
        <v>0</v>
      </c>
      <c r="CU88" s="50">
        <f t="shared" si="433"/>
        <v>0</v>
      </c>
      <c r="CV88" s="50">
        <f t="shared" si="433"/>
        <v>0</v>
      </c>
      <c r="CW88" s="50">
        <f t="shared" si="434"/>
        <v>0</v>
      </c>
      <c r="CX88" s="50">
        <f t="shared" si="434"/>
        <v>0</v>
      </c>
      <c r="CY88" s="50">
        <f t="shared" si="434"/>
        <v>0</v>
      </c>
      <c r="CZ88" s="50">
        <f t="shared" si="434"/>
        <v>0</v>
      </c>
      <c r="DA88" s="50">
        <f t="shared" si="434"/>
        <v>0</v>
      </c>
      <c r="DB88" s="50">
        <f t="shared" si="434"/>
        <v>0</v>
      </c>
      <c r="DC88" s="50">
        <f t="shared" si="434"/>
        <v>0</v>
      </c>
      <c r="DD88" s="50">
        <f t="shared" si="434"/>
        <v>0</v>
      </c>
      <c r="DE88" s="50">
        <f t="shared" si="434"/>
        <v>0</v>
      </c>
      <c r="DF88" s="50">
        <f t="shared" si="434"/>
        <v>0</v>
      </c>
      <c r="DG88" s="50">
        <f t="shared" si="434"/>
        <v>0</v>
      </c>
      <c r="DH88" s="50">
        <f t="shared" si="434"/>
        <v>0</v>
      </c>
      <c r="DI88" s="50">
        <f t="shared" si="434"/>
        <v>0</v>
      </c>
      <c r="DJ88" s="50">
        <f t="shared" si="434"/>
        <v>0</v>
      </c>
      <c r="DK88" s="50">
        <f t="shared" si="434"/>
        <v>0</v>
      </c>
      <c r="DL88" s="50">
        <f t="shared" si="434"/>
        <v>0</v>
      </c>
      <c r="DM88" s="50">
        <f t="shared" si="435"/>
        <v>0</v>
      </c>
      <c r="DN88" s="50">
        <f t="shared" si="435"/>
        <v>0</v>
      </c>
      <c r="DO88" s="50">
        <f t="shared" si="435"/>
        <v>0</v>
      </c>
      <c r="DP88" s="50">
        <f t="shared" si="435"/>
        <v>0</v>
      </c>
      <c r="DQ88" s="50">
        <f t="shared" si="435"/>
        <v>0</v>
      </c>
      <c r="DR88" s="50">
        <f t="shared" si="435"/>
        <v>0</v>
      </c>
      <c r="DS88" s="50">
        <f t="shared" si="435"/>
        <v>0</v>
      </c>
      <c r="DT88" s="50">
        <f t="shared" si="435"/>
        <v>0</v>
      </c>
      <c r="DU88" s="50">
        <f t="shared" si="435"/>
        <v>0</v>
      </c>
      <c r="DV88" s="50">
        <f t="shared" si="435"/>
        <v>0</v>
      </c>
      <c r="DW88" s="50">
        <f t="shared" si="435"/>
        <v>0</v>
      </c>
      <c r="DX88" s="50">
        <f t="shared" si="435"/>
        <v>0</v>
      </c>
      <c r="DY88" s="50">
        <f t="shared" si="435"/>
        <v>0</v>
      </c>
      <c r="DZ88" s="50">
        <f t="shared" si="435"/>
        <v>0</v>
      </c>
      <c r="EA88" s="50">
        <f t="shared" si="435"/>
        <v>0</v>
      </c>
      <c r="EB88" s="50">
        <f t="shared" si="435"/>
        <v>0</v>
      </c>
      <c r="EC88" s="50">
        <f t="shared" si="436"/>
        <v>0</v>
      </c>
      <c r="ED88" s="50">
        <f t="shared" si="436"/>
        <v>0</v>
      </c>
      <c r="EE88" s="50">
        <f t="shared" si="436"/>
        <v>0</v>
      </c>
      <c r="EF88" s="50">
        <f t="shared" si="436"/>
        <v>0</v>
      </c>
      <c r="EG88" s="50">
        <f t="shared" si="436"/>
        <v>0</v>
      </c>
      <c r="EH88" s="50">
        <f t="shared" si="436"/>
        <v>0</v>
      </c>
      <c r="EI88" s="50">
        <f t="shared" si="436"/>
        <v>0</v>
      </c>
      <c r="EJ88" s="50">
        <f t="shared" si="436"/>
        <v>0</v>
      </c>
      <c r="EK88" s="50">
        <f t="shared" si="436"/>
        <v>0</v>
      </c>
      <c r="EL88" s="50">
        <f t="shared" si="436"/>
        <v>0</v>
      </c>
      <c r="EM88" s="50">
        <f t="shared" si="436"/>
        <v>0</v>
      </c>
      <c r="EN88" s="50">
        <f t="shared" si="436"/>
        <v>0</v>
      </c>
      <c r="EO88" s="50">
        <f t="shared" si="436"/>
        <v>0</v>
      </c>
      <c r="EP88" s="50">
        <f t="shared" si="436"/>
        <v>0</v>
      </c>
      <c r="EQ88" s="50">
        <f t="shared" si="436"/>
        <v>0</v>
      </c>
      <c r="ER88" s="50">
        <f t="shared" si="436"/>
        <v>0</v>
      </c>
      <c r="ES88" s="50">
        <f t="shared" si="437"/>
        <v>0</v>
      </c>
      <c r="ET88" s="50">
        <f t="shared" si="437"/>
        <v>0</v>
      </c>
      <c r="EU88" s="50">
        <f t="shared" si="437"/>
        <v>0</v>
      </c>
      <c r="EV88" s="50">
        <f t="shared" si="437"/>
        <v>0</v>
      </c>
      <c r="EW88" s="50">
        <f t="shared" si="437"/>
        <v>0</v>
      </c>
      <c r="EX88" s="50">
        <f t="shared" si="437"/>
        <v>0</v>
      </c>
      <c r="EY88" s="50">
        <f t="shared" si="437"/>
        <v>0</v>
      </c>
      <c r="EZ88" s="50">
        <f t="shared" si="437"/>
        <v>0</v>
      </c>
      <c r="FA88" s="50">
        <f t="shared" si="437"/>
        <v>0</v>
      </c>
      <c r="FB88" s="50">
        <f t="shared" si="437"/>
        <v>0</v>
      </c>
      <c r="FC88" s="50">
        <f t="shared" si="437"/>
        <v>0</v>
      </c>
      <c r="FD88" s="50">
        <f t="shared" si="437"/>
        <v>0</v>
      </c>
      <c r="FE88" s="50">
        <f t="shared" si="437"/>
        <v>0</v>
      </c>
      <c r="FF88" s="50">
        <f t="shared" si="437"/>
        <v>0</v>
      </c>
      <c r="FG88" s="50">
        <f t="shared" si="437"/>
        <v>0</v>
      </c>
      <c r="FH88" s="50">
        <f t="shared" si="437"/>
        <v>0</v>
      </c>
      <c r="FI88" s="50">
        <f t="shared" si="438"/>
        <v>0</v>
      </c>
      <c r="FJ88" s="50">
        <f t="shared" si="438"/>
        <v>0</v>
      </c>
      <c r="FK88" s="50">
        <f t="shared" si="438"/>
        <v>0</v>
      </c>
      <c r="FL88" s="50">
        <f t="shared" si="438"/>
        <v>0</v>
      </c>
      <c r="FM88" s="50">
        <f t="shared" si="438"/>
        <v>0</v>
      </c>
      <c r="FN88" s="50">
        <f t="shared" si="438"/>
        <v>0</v>
      </c>
      <c r="FO88" s="50">
        <f t="shared" si="438"/>
        <v>0</v>
      </c>
      <c r="FP88" s="50">
        <f t="shared" si="438"/>
        <v>0</v>
      </c>
      <c r="FQ88" s="50">
        <f t="shared" si="438"/>
        <v>0</v>
      </c>
      <c r="FR88" s="50">
        <f t="shared" si="438"/>
        <v>0</v>
      </c>
      <c r="FS88" s="50">
        <f t="shared" si="438"/>
        <v>0</v>
      </c>
      <c r="FT88" s="50">
        <f t="shared" si="438"/>
        <v>0</v>
      </c>
      <c r="FU88" s="50">
        <f t="shared" si="438"/>
        <v>0</v>
      </c>
      <c r="FV88" s="50">
        <f t="shared" si="438"/>
        <v>0</v>
      </c>
      <c r="FW88" s="50">
        <f t="shared" si="438"/>
        <v>0</v>
      </c>
      <c r="FX88" s="50">
        <f t="shared" si="438"/>
        <v>0</v>
      </c>
      <c r="FY88" s="50">
        <f t="shared" si="439"/>
        <v>0</v>
      </c>
      <c r="FZ88" s="50">
        <f t="shared" si="439"/>
        <v>0</v>
      </c>
      <c r="GA88" s="50">
        <f t="shared" si="439"/>
        <v>0</v>
      </c>
      <c r="GB88" s="50">
        <f t="shared" si="439"/>
        <v>0</v>
      </c>
      <c r="GC88" s="50">
        <f t="shared" si="439"/>
        <v>0</v>
      </c>
      <c r="GD88" s="50">
        <f t="shared" si="439"/>
        <v>0</v>
      </c>
      <c r="GE88" s="50">
        <f t="shared" si="439"/>
        <v>0</v>
      </c>
      <c r="GF88" s="50">
        <f t="shared" si="439"/>
        <v>0</v>
      </c>
      <c r="GG88" s="50">
        <f t="shared" si="439"/>
        <v>0</v>
      </c>
      <c r="GH88" s="50">
        <f t="shared" si="439"/>
        <v>0</v>
      </c>
      <c r="GI88" s="50">
        <f t="shared" si="439"/>
        <v>0</v>
      </c>
      <c r="GJ88" s="50">
        <f t="shared" si="439"/>
        <v>0</v>
      </c>
      <c r="GK88" s="50">
        <f t="shared" si="439"/>
        <v>0</v>
      </c>
      <c r="GL88" s="50">
        <f t="shared" si="439"/>
        <v>0</v>
      </c>
      <c r="GM88" s="50">
        <f t="shared" si="439"/>
        <v>0</v>
      </c>
      <c r="GN88" s="50">
        <f t="shared" si="439"/>
        <v>0</v>
      </c>
      <c r="GO88" s="50">
        <f t="shared" si="440"/>
        <v>0</v>
      </c>
      <c r="GP88" s="50">
        <f t="shared" si="440"/>
        <v>0</v>
      </c>
      <c r="GQ88" s="50">
        <f t="shared" si="440"/>
        <v>0</v>
      </c>
      <c r="GR88" s="9"/>
      <c r="GS88" s="70"/>
      <c r="GT88" s="77"/>
      <c r="GU88" s="78"/>
      <c r="GV88" s="78"/>
      <c r="GW88" s="78"/>
      <c r="GX88" s="79"/>
      <c r="GY88" s="79"/>
      <c r="GZ88" s="77"/>
      <c r="HA88" s="77"/>
      <c r="HB88" s="77"/>
      <c r="HC88" s="77"/>
      <c r="HD88" s="77"/>
      <c r="HE88" s="77"/>
      <c r="HF88" s="77"/>
      <c r="HG88" s="77"/>
      <c r="HH88" s="77"/>
      <c r="HI88" s="77"/>
      <c r="HJ88" s="77"/>
      <c r="HK88" s="77"/>
      <c r="HL88" s="77"/>
      <c r="HM88" s="77"/>
      <c r="HN88" s="77"/>
      <c r="HO88" s="77"/>
      <c r="HP88" s="77"/>
      <c r="HQ88" s="77"/>
      <c r="HR88" s="77"/>
      <c r="HS88" s="77"/>
      <c r="HT88" s="77"/>
      <c r="HU88" s="77"/>
      <c r="HV88" s="77"/>
      <c r="HW88" s="77"/>
      <c r="HX88" s="77"/>
      <c r="HY88" s="77"/>
      <c r="HZ88" s="77"/>
      <c r="IA88" s="77"/>
      <c r="IB88" s="77"/>
      <c r="IC88" s="77"/>
      <c r="ID88" s="77"/>
      <c r="IE88" s="77"/>
      <c r="IF88" s="77"/>
      <c r="IG88" s="77"/>
      <c r="IH88" s="77"/>
      <c r="II88" s="77"/>
      <c r="IJ88" s="77"/>
      <c r="IK88" s="77"/>
      <c r="IL88" s="77"/>
      <c r="IM88" s="77"/>
      <c r="IN88" s="77"/>
      <c r="IO88" s="77"/>
      <c r="IP88" s="77"/>
      <c r="IQ88" s="77"/>
      <c r="IR88" s="77"/>
      <c r="IS88" s="77"/>
      <c r="IT88" s="77"/>
      <c r="IU88" s="77"/>
      <c r="IV88" s="77"/>
      <c r="IW88" s="77"/>
      <c r="IX88" s="77"/>
      <c r="IY88" s="77"/>
      <c r="IZ88" s="77"/>
      <c r="JA88" s="77"/>
      <c r="JB88" s="77"/>
      <c r="JC88" s="77"/>
      <c r="JD88" s="77"/>
      <c r="JE88" s="77"/>
      <c r="JF88" s="77"/>
      <c r="JG88" s="77"/>
      <c r="JH88" s="77"/>
      <c r="JI88" s="77"/>
      <c r="JJ88" s="77"/>
      <c r="JK88" s="77"/>
      <c r="JL88" s="77"/>
      <c r="JM88" s="77"/>
      <c r="JN88" s="77"/>
      <c r="JO88" s="77"/>
      <c r="JP88" s="77"/>
      <c r="JQ88" s="77"/>
      <c r="JR88" s="77"/>
      <c r="JS88" s="77"/>
      <c r="JT88" s="77"/>
      <c r="JU88" s="77"/>
      <c r="JV88" s="77"/>
      <c r="JW88" s="77"/>
      <c r="JX88" s="77"/>
      <c r="JY88" s="77"/>
      <c r="JZ88" s="77"/>
      <c r="KA88" s="77"/>
      <c r="KB88" s="77"/>
      <c r="KC88" s="77"/>
      <c r="KD88" s="77"/>
      <c r="KE88" s="77"/>
      <c r="KF88" s="77"/>
      <c r="KG88" s="77"/>
      <c r="KH88" s="77"/>
      <c r="KI88" s="77"/>
      <c r="KJ88" s="77"/>
      <c r="KK88" s="77"/>
      <c r="KL88" s="77"/>
      <c r="KM88" s="77"/>
      <c r="KN88" s="77"/>
      <c r="KO88" s="77"/>
      <c r="KP88" s="77"/>
      <c r="KQ88" s="77"/>
      <c r="KR88" s="77"/>
      <c r="KS88" s="77"/>
      <c r="KT88" s="77"/>
      <c r="KU88" s="77"/>
      <c r="KV88" s="77"/>
      <c r="KW88" s="77"/>
      <c r="KX88" s="77"/>
      <c r="KY88" s="77"/>
      <c r="KZ88" s="77"/>
      <c r="LA88" s="77"/>
      <c r="LB88" s="77"/>
      <c r="LC88" s="77"/>
      <c r="LD88" s="77"/>
      <c r="LE88" s="77"/>
      <c r="LF88" s="77"/>
      <c r="LG88" s="77"/>
      <c r="LH88" s="77"/>
      <c r="LI88" s="77"/>
      <c r="LJ88" s="77"/>
      <c r="LK88" s="77"/>
      <c r="LL88" s="77"/>
      <c r="LM88" s="77"/>
      <c r="LN88" s="77"/>
      <c r="LO88" s="77"/>
      <c r="LP88" s="77"/>
      <c r="LQ88" s="77"/>
      <c r="LR88" s="77"/>
      <c r="LS88" s="77"/>
      <c r="LT88" s="77"/>
      <c r="LU88" s="77"/>
      <c r="LV88" s="77"/>
      <c r="LW88" s="77"/>
      <c r="LX88" s="77"/>
      <c r="LY88" s="77"/>
      <c r="LZ88" s="77"/>
      <c r="MA88" s="77"/>
      <c r="MB88" s="77"/>
      <c r="MC88" s="77"/>
      <c r="MD88" s="77"/>
      <c r="ME88" s="77"/>
      <c r="MF88" s="77"/>
      <c r="MG88" s="77"/>
      <c r="MH88" s="77"/>
      <c r="MI88" s="77"/>
      <c r="MJ88" s="77"/>
      <c r="MK88" s="77"/>
      <c r="ML88" s="77"/>
      <c r="MM88" s="77"/>
      <c r="MN88" s="77"/>
      <c r="MO88" s="77"/>
      <c r="MP88" s="77"/>
      <c r="MQ88" s="77"/>
      <c r="MR88" s="77"/>
      <c r="MS88" s="77"/>
      <c r="MT88" s="77"/>
      <c r="MU88" s="77"/>
      <c r="MV88" s="77"/>
      <c r="MW88" s="77"/>
      <c r="MX88" s="77"/>
      <c r="MY88" s="77"/>
      <c r="MZ88" s="77"/>
      <c r="NA88" s="77"/>
      <c r="NB88" s="77"/>
      <c r="NC88" s="77"/>
      <c r="ND88" s="77"/>
      <c r="NE88" s="77"/>
      <c r="NF88" s="77"/>
      <c r="NG88" s="77"/>
      <c r="NH88" s="77"/>
      <c r="NI88" s="77"/>
      <c r="NJ88" s="77"/>
      <c r="NK88" s="77"/>
      <c r="NL88" s="77"/>
      <c r="NM88" s="77"/>
      <c r="NN88" s="77"/>
      <c r="NO88" s="77"/>
      <c r="NP88" s="77"/>
      <c r="NQ88" s="77"/>
      <c r="NR88" s="77"/>
      <c r="NS88" s="77"/>
      <c r="NT88" s="77"/>
      <c r="NU88" s="77"/>
      <c r="NV88" s="77"/>
      <c r="NW88" s="77"/>
      <c r="NX88" s="10"/>
    </row>
    <row r="89" spans="2:388" ht="15.5" x14ac:dyDescent="0.45">
      <c r="B89" s="26" t="s">
        <v>340</v>
      </c>
      <c r="C89" s="18"/>
      <c r="D89" s="88">
        <v>41</v>
      </c>
      <c r="E89" s="27">
        <v>40</v>
      </c>
      <c r="F89" s="27">
        <v>49</v>
      </c>
      <c r="G89" s="21"/>
      <c r="H89" s="30">
        <f t="shared" si="441"/>
        <v>44772</v>
      </c>
      <c r="I89" s="21" t="s">
        <v>195</v>
      </c>
      <c r="J89" s="31">
        <f t="shared" ref="J89" si="444">IFERROR(L89/D89,0)</f>
        <v>66109.983500000002</v>
      </c>
      <c r="K89" s="32">
        <f t="shared" ref="K89" si="445">IFERROR(L89/H89,0)</f>
        <v>60.540277930402929</v>
      </c>
      <c r="L89" s="30">
        <f>D89*Sheet1!G9</f>
        <v>2710509.3234999999</v>
      </c>
      <c r="N89" s="9" t="s">
        <v>271</v>
      </c>
      <c r="S89" s="69" t="str">
        <f t="shared" ref="S89" si="446">IF(ROUND(L89,0)=ROUND(SUM(T89:GQ89),0),"OK","ERROR")</f>
        <v>OK</v>
      </c>
      <c r="T89" s="62">
        <f t="shared" si="428"/>
        <v>0</v>
      </c>
      <c r="U89" s="62">
        <f t="shared" si="429"/>
        <v>0</v>
      </c>
      <c r="V89" s="62">
        <f t="shared" si="429"/>
        <v>0</v>
      </c>
      <c r="W89" s="62">
        <f t="shared" si="429"/>
        <v>0</v>
      </c>
      <c r="X89" s="62">
        <f t="shared" si="429"/>
        <v>0</v>
      </c>
      <c r="Y89" s="62">
        <f t="shared" si="429"/>
        <v>0</v>
      </c>
      <c r="Z89" s="62">
        <f t="shared" si="429"/>
        <v>0</v>
      </c>
      <c r="AA89" s="62">
        <f t="shared" si="429"/>
        <v>0</v>
      </c>
      <c r="AB89" s="62">
        <f t="shared" si="429"/>
        <v>0</v>
      </c>
      <c r="AC89" s="62">
        <f t="shared" si="429"/>
        <v>0</v>
      </c>
      <c r="AD89" s="62">
        <f t="shared" si="429"/>
        <v>0</v>
      </c>
      <c r="AE89" s="62">
        <f t="shared" si="429"/>
        <v>0</v>
      </c>
      <c r="AF89" s="62">
        <f t="shared" si="429"/>
        <v>0</v>
      </c>
      <c r="AG89" s="62">
        <f t="shared" si="429"/>
        <v>0</v>
      </c>
      <c r="AH89" s="62">
        <f t="shared" si="429"/>
        <v>0</v>
      </c>
      <c r="AI89" s="62">
        <f t="shared" si="429"/>
        <v>0</v>
      </c>
      <c r="AJ89" s="62">
        <f t="shared" si="429"/>
        <v>0</v>
      </c>
      <c r="AK89" s="62">
        <f t="shared" si="430"/>
        <v>0</v>
      </c>
      <c r="AL89" s="62">
        <f t="shared" si="430"/>
        <v>0</v>
      </c>
      <c r="AM89" s="62">
        <f t="shared" si="430"/>
        <v>0</v>
      </c>
      <c r="AN89" s="62">
        <f t="shared" si="430"/>
        <v>0</v>
      </c>
      <c r="AO89" s="62">
        <f t="shared" si="430"/>
        <v>0</v>
      </c>
      <c r="AP89" s="62">
        <f t="shared" si="430"/>
        <v>0</v>
      </c>
      <c r="AQ89" s="62">
        <f t="shared" si="430"/>
        <v>0</v>
      </c>
      <c r="AR89" s="62">
        <f t="shared" si="430"/>
        <v>0</v>
      </c>
      <c r="AS89" s="62">
        <f t="shared" si="430"/>
        <v>0</v>
      </c>
      <c r="AT89" s="62">
        <f t="shared" si="430"/>
        <v>0</v>
      </c>
      <c r="AU89" s="62">
        <f t="shared" si="430"/>
        <v>0</v>
      </c>
      <c r="AV89" s="62">
        <f t="shared" si="430"/>
        <v>0</v>
      </c>
      <c r="AW89" s="62">
        <f t="shared" si="430"/>
        <v>0</v>
      </c>
      <c r="AX89" s="62">
        <f t="shared" si="430"/>
        <v>0</v>
      </c>
      <c r="AY89" s="62">
        <f t="shared" si="430"/>
        <v>0</v>
      </c>
      <c r="AZ89" s="62">
        <f t="shared" si="430"/>
        <v>0</v>
      </c>
      <c r="BA89" s="62">
        <f t="shared" si="431"/>
        <v>0</v>
      </c>
      <c r="BB89" s="62">
        <f t="shared" si="431"/>
        <v>0</v>
      </c>
      <c r="BC89" s="62">
        <f t="shared" si="431"/>
        <v>0</v>
      </c>
      <c r="BD89" s="62">
        <f t="shared" si="431"/>
        <v>0</v>
      </c>
      <c r="BE89" s="62">
        <f t="shared" si="431"/>
        <v>0</v>
      </c>
      <c r="BF89" s="62">
        <f t="shared" si="431"/>
        <v>0</v>
      </c>
      <c r="BG89" s="62">
        <f t="shared" si="431"/>
        <v>271050.93235000002</v>
      </c>
      <c r="BH89" s="62">
        <f t="shared" si="431"/>
        <v>271050.93235000002</v>
      </c>
      <c r="BI89" s="62">
        <f t="shared" si="431"/>
        <v>271050.93235000002</v>
      </c>
      <c r="BJ89" s="62">
        <f t="shared" si="431"/>
        <v>271050.93235000002</v>
      </c>
      <c r="BK89" s="62">
        <f t="shared" si="431"/>
        <v>271050.93235000002</v>
      </c>
      <c r="BL89" s="62">
        <f t="shared" si="431"/>
        <v>271050.93235000002</v>
      </c>
      <c r="BM89" s="62">
        <f t="shared" si="431"/>
        <v>271050.93235000002</v>
      </c>
      <c r="BN89" s="62">
        <f t="shared" si="431"/>
        <v>271050.93235000002</v>
      </c>
      <c r="BO89" s="62">
        <f t="shared" si="431"/>
        <v>271050.93235000002</v>
      </c>
      <c r="BP89" s="62">
        <f t="shared" si="431"/>
        <v>271050.93235000002</v>
      </c>
      <c r="BQ89" s="62">
        <f t="shared" si="432"/>
        <v>0</v>
      </c>
      <c r="BR89" s="62">
        <f t="shared" si="432"/>
        <v>0</v>
      </c>
      <c r="BS89" s="62">
        <f t="shared" si="432"/>
        <v>0</v>
      </c>
      <c r="BT89" s="62">
        <f t="shared" si="432"/>
        <v>0</v>
      </c>
      <c r="BU89" s="62">
        <f t="shared" si="432"/>
        <v>0</v>
      </c>
      <c r="BV89" s="62">
        <f t="shared" si="432"/>
        <v>0</v>
      </c>
      <c r="BW89" s="62">
        <f t="shared" si="432"/>
        <v>0</v>
      </c>
      <c r="BX89" s="62">
        <f t="shared" si="432"/>
        <v>0</v>
      </c>
      <c r="BY89" s="62">
        <f t="shared" si="432"/>
        <v>0</v>
      </c>
      <c r="BZ89" s="62">
        <f t="shared" si="432"/>
        <v>0</v>
      </c>
      <c r="CA89" s="62">
        <f t="shared" si="432"/>
        <v>0</v>
      </c>
      <c r="CB89" s="62">
        <f t="shared" si="432"/>
        <v>0</v>
      </c>
      <c r="CC89" s="62">
        <f t="shared" si="432"/>
        <v>0</v>
      </c>
      <c r="CD89" s="62">
        <f t="shared" si="432"/>
        <v>0</v>
      </c>
      <c r="CE89" s="62">
        <f t="shared" si="432"/>
        <v>0</v>
      </c>
      <c r="CF89" s="62">
        <f t="shared" si="432"/>
        <v>0</v>
      </c>
      <c r="CG89" s="62">
        <f t="shared" si="433"/>
        <v>0</v>
      </c>
      <c r="CH89" s="62">
        <f t="shared" si="433"/>
        <v>0</v>
      </c>
      <c r="CI89" s="62">
        <f t="shared" si="433"/>
        <v>0</v>
      </c>
      <c r="CJ89" s="62">
        <f t="shared" si="433"/>
        <v>0</v>
      </c>
      <c r="CK89" s="62">
        <f t="shared" si="433"/>
        <v>0</v>
      </c>
      <c r="CL89" s="62">
        <f t="shared" si="433"/>
        <v>0</v>
      </c>
      <c r="CM89" s="62">
        <f t="shared" si="433"/>
        <v>0</v>
      </c>
      <c r="CN89" s="62">
        <f t="shared" si="433"/>
        <v>0</v>
      </c>
      <c r="CO89" s="62">
        <f t="shared" si="433"/>
        <v>0</v>
      </c>
      <c r="CP89" s="62">
        <f t="shared" si="433"/>
        <v>0</v>
      </c>
      <c r="CQ89" s="62">
        <f t="shared" si="433"/>
        <v>0</v>
      </c>
      <c r="CR89" s="62">
        <f t="shared" si="433"/>
        <v>0</v>
      </c>
      <c r="CS89" s="62">
        <f t="shared" si="433"/>
        <v>0</v>
      </c>
      <c r="CT89" s="62">
        <f t="shared" si="433"/>
        <v>0</v>
      </c>
      <c r="CU89" s="62">
        <f t="shared" si="433"/>
        <v>0</v>
      </c>
      <c r="CV89" s="62">
        <f t="shared" si="433"/>
        <v>0</v>
      </c>
      <c r="CW89" s="62">
        <f t="shared" si="434"/>
        <v>0</v>
      </c>
      <c r="CX89" s="62">
        <f t="shared" si="434"/>
        <v>0</v>
      </c>
      <c r="CY89" s="62">
        <f t="shared" si="434"/>
        <v>0</v>
      </c>
      <c r="CZ89" s="62">
        <f t="shared" si="434"/>
        <v>0</v>
      </c>
      <c r="DA89" s="62">
        <f t="shared" si="434"/>
        <v>0</v>
      </c>
      <c r="DB89" s="62">
        <f t="shared" si="434"/>
        <v>0</v>
      </c>
      <c r="DC89" s="62">
        <f t="shared" si="434"/>
        <v>0</v>
      </c>
      <c r="DD89" s="62">
        <f t="shared" si="434"/>
        <v>0</v>
      </c>
      <c r="DE89" s="62">
        <f t="shared" si="434"/>
        <v>0</v>
      </c>
      <c r="DF89" s="62">
        <f t="shared" si="434"/>
        <v>0</v>
      </c>
      <c r="DG89" s="62">
        <f t="shared" si="434"/>
        <v>0</v>
      </c>
      <c r="DH89" s="62">
        <f t="shared" si="434"/>
        <v>0</v>
      </c>
      <c r="DI89" s="62">
        <f t="shared" si="434"/>
        <v>0</v>
      </c>
      <c r="DJ89" s="62">
        <f t="shared" si="434"/>
        <v>0</v>
      </c>
      <c r="DK89" s="62">
        <f t="shared" si="434"/>
        <v>0</v>
      </c>
      <c r="DL89" s="62">
        <f t="shared" si="434"/>
        <v>0</v>
      </c>
      <c r="DM89" s="62">
        <f t="shared" si="435"/>
        <v>0</v>
      </c>
      <c r="DN89" s="62">
        <f t="shared" si="435"/>
        <v>0</v>
      </c>
      <c r="DO89" s="62">
        <f t="shared" si="435"/>
        <v>0</v>
      </c>
      <c r="DP89" s="62">
        <f t="shared" si="435"/>
        <v>0</v>
      </c>
      <c r="DQ89" s="62">
        <f t="shared" si="435"/>
        <v>0</v>
      </c>
      <c r="DR89" s="62">
        <f t="shared" si="435"/>
        <v>0</v>
      </c>
      <c r="DS89" s="62">
        <f t="shared" si="435"/>
        <v>0</v>
      </c>
      <c r="DT89" s="62">
        <f t="shared" si="435"/>
        <v>0</v>
      </c>
      <c r="DU89" s="62">
        <f t="shared" si="435"/>
        <v>0</v>
      </c>
      <c r="DV89" s="62">
        <f t="shared" si="435"/>
        <v>0</v>
      </c>
      <c r="DW89" s="62">
        <f t="shared" si="435"/>
        <v>0</v>
      </c>
      <c r="DX89" s="62">
        <f t="shared" si="435"/>
        <v>0</v>
      </c>
      <c r="DY89" s="62">
        <f t="shared" si="435"/>
        <v>0</v>
      </c>
      <c r="DZ89" s="62">
        <f t="shared" si="435"/>
        <v>0</v>
      </c>
      <c r="EA89" s="62">
        <f t="shared" si="435"/>
        <v>0</v>
      </c>
      <c r="EB89" s="62">
        <f t="shared" si="435"/>
        <v>0</v>
      </c>
      <c r="EC89" s="62">
        <f t="shared" si="436"/>
        <v>0</v>
      </c>
      <c r="ED89" s="62">
        <f t="shared" si="436"/>
        <v>0</v>
      </c>
      <c r="EE89" s="62">
        <f t="shared" si="436"/>
        <v>0</v>
      </c>
      <c r="EF89" s="62">
        <f t="shared" si="436"/>
        <v>0</v>
      </c>
      <c r="EG89" s="62">
        <f t="shared" si="436"/>
        <v>0</v>
      </c>
      <c r="EH89" s="62">
        <f t="shared" si="436"/>
        <v>0</v>
      </c>
      <c r="EI89" s="62">
        <f t="shared" si="436"/>
        <v>0</v>
      </c>
      <c r="EJ89" s="62">
        <f t="shared" si="436"/>
        <v>0</v>
      </c>
      <c r="EK89" s="62">
        <f t="shared" si="436"/>
        <v>0</v>
      </c>
      <c r="EL89" s="62">
        <f t="shared" si="436"/>
        <v>0</v>
      </c>
      <c r="EM89" s="62">
        <f t="shared" si="436"/>
        <v>0</v>
      </c>
      <c r="EN89" s="62">
        <f t="shared" si="436"/>
        <v>0</v>
      </c>
      <c r="EO89" s="62">
        <f t="shared" si="436"/>
        <v>0</v>
      </c>
      <c r="EP89" s="62">
        <f t="shared" si="436"/>
        <v>0</v>
      </c>
      <c r="EQ89" s="62">
        <f t="shared" si="436"/>
        <v>0</v>
      </c>
      <c r="ER89" s="62">
        <f t="shared" si="436"/>
        <v>0</v>
      </c>
      <c r="ES89" s="62">
        <f t="shared" si="437"/>
        <v>0</v>
      </c>
      <c r="ET89" s="62">
        <f t="shared" si="437"/>
        <v>0</v>
      </c>
      <c r="EU89" s="62">
        <f t="shared" si="437"/>
        <v>0</v>
      </c>
      <c r="EV89" s="62">
        <f t="shared" si="437"/>
        <v>0</v>
      </c>
      <c r="EW89" s="62">
        <f t="shared" si="437"/>
        <v>0</v>
      </c>
      <c r="EX89" s="62">
        <f t="shared" si="437"/>
        <v>0</v>
      </c>
      <c r="EY89" s="62">
        <f t="shared" si="437"/>
        <v>0</v>
      </c>
      <c r="EZ89" s="62">
        <f t="shared" si="437"/>
        <v>0</v>
      </c>
      <c r="FA89" s="62">
        <f t="shared" si="437"/>
        <v>0</v>
      </c>
      <c r="FB89" s="62">
        <f t="shared" si="437"/>
        <v>0</v>
      </c>
      <c r="FC89" s="62">
        <f t="shared" si="437"/>
        <v>0</v>
      </c>
      <c r="FD89" s="62">
        <f t="shared" si="437"/>
        <v>0</v>
      </c>
      <c r="FE89" s="62">
        <f t="shared" si="437"/>
        <v>0</v>
      </c>
      <c r="FF89" s="62">
        <f t="shared" si="437"/>
        <v>0</v>
      </c>
      <c r="FG89" s="62">
        <f t="shared" si="437"/>
        <v>0</v>
      </c>
      <c r="FH89" s="62">
        <f t="shared" si="437"/>
        <v>0</v>
      </c>
      <c r="FI89" s="62">
        <f t="shared" si="438"/>
        <v>0</v>
      </c>
      <c r="FJ89" s="62">
        <f t="shared" si="438"/>
        <v>0</v>
      </c>
      <c r="FK89" s="62">
        <f t="shared" si="438"/>
        <v>0</v>
      </c>
      <c r="FL89" s="62">
        <f t="shared" si="438"/>
        <v>0</v>
      </c>
      <c r="FM89" s="62">
        <f t="shared" si="438"/>
        <v>0</v>
      </c>
      <c r="FN89" s="62">
        <f t="shared" si="438"/>
        <v>0</v>
      </c>
      <c r="FO89" s="62">
        <f t="shared" si="438"/>
        <v>0</v>
      </c>
      <c r="FP89" s="62">
        <f t="shared" si="438"/>
        <v>0</v>
      </c>
      <c r="FQ89" s="62">
        <f t="shared" si="438"/>
        <v>0</v>
      </c>
      <c r="FR89" s="62">
        <f t="shared" si="438"/>
        <v>0</v>
      </c>
      <c r="FS89" s="62">
        <f t="shared" si="438"/>
        <v>0</v>
      </c>
      <c r="FT89" s="62">
        <f t="shared" si="438"/>
        <v>0</v>
      </c>
      <c r="FU89" s="62">
        <f t="shared" si="438"/>
        <v>0</v>
      </c>
      <c r="FV89" s="62">
        <f t="shared" si="438"/>
        <v>0</v>
      </c>
      <c r="FW89" s="62">
        <f t="shared" si="438"/>
        <v>0</v>
      </c>
      <c r="FX89" s="62">
        <f t="shared" si="438"/>
        <v>0</v>
      </c>
      <c r="FY89" s="62">
        <f t="shared" si="439"/>
        <v>0</v>
      </c>
      <c r="FZ89" s="62">
        <f t="shared" si="439"/>
        <v>0</v>
      </c>
      <c r="GA89" s="62">
        <f t="shared" si="439"/>
        <v>0</v>
      </c>
      <c r="GB89" s="62">
        <f t="shared" si="439"/>
        <v>0</v>
      </c>
      <c r="GC89" s="62">
        <f t="shared" si="439"/>
        <v>0</v>
      </c>
      <c r="GD89" s="62">
        <f t="shared" si="439"/>
        <v>0</v>
      </c>
      <c r="GE89" s="62">
        <f t="shared" si="439"/>
        <v>0</v>
      </c>
      <c r="GF89" s="62">
        <f t="shared" si="439"/>
        <v>0</v>
      </c>
      <c r="GG89" s="62">
        <f t="shared" si="439"/>
        <v>0</v>
      </c>
      <c r="GH89" s="62">
        <f t="shared" si="439"/>
        <v>0</v>
      </c>
      <c r="GI89" s="62">
        <f t="shared" si="439"/>
        <v>0</v>
      </c>
      <c r="GJ89" s="62">
        <f t="shared" si="439"/>
        <v>0</v>
      </c>
      <c r="GK89" s="62">
        <f t="shared" si="439"/>
        <v>0</v>
      </c>
      <c r="GL89" s="62">
        <f t="shared" si="439"/>
        <v>0</v>
      </c>
      <c r="GM89" s="62">
        <f t="shared" si="439"/>
        <v>0</v>
      </c>
      <c r="GN89" s="62">
        <f t="shared" si="439"/>
        <v>0</v>
      </c>
      <c r="GO89" s="62">
        <f t="shared" si="440"/>
        <v>0</v>
      </c>
      <c r="GP89" s="62">
        <f t="shared" si="440"/>
        <v>0</v>
      </c>
      <c r="GQ89" s="62">
        <f t="shared" si="440"/>
        <v>0</v>
      </c>
      <c r="GR89" s="9"/>
      <c r="GS89" s="70"/>
      <c r="GT89" s="77"/>
      <c r="GU89" s="78"/>
      <c r="GV89" s="78"/>
      <c r="GW89" s="78"/>
      <c r="GX89" s="79"/>
      <c r="GY89" s="79"/>
      <c r="GZ89" s="77"/>
      <c r="HA89" s="77"/>
      <c r="HB89" s="77"/>
      <c r="HC89" s="77"/>
      <c r="HD89" s="77"/>
      <c r="HE89" s="77"/>
      <c r="HF89" s="77"/>
      <c r="HG89" s="77"/>
      <c r="HH89" s="77"/>
      <c r="HI89" s="77"/>
      <c r="HJ89" s="77"/>
      <c r="HK89" s="77"/>
      <c r="HL89" s="77"/>
      <c r="HM89" s="77"/>
      <c r="HN89" s="77"/>
      <c r="HO89" s="77"/>
      <c r="HP89" s="77"/>
      <c r="HQ89" s="77"/>
      <c r="HR89" s="77"/>
      <c r="HS89" s="77"/>
      <c r="HT89" s="77"/>
      <c r="HU89" s="77"/>
      <c r="HV89" s="77"/>
      <c r="HW89" s="77"/>
      <c r="HX89" s="77"/>
      <c r="HY89" s="77"/>
      <c r="HZ89" s="77"/>
      <c r="IA89" s="77"/>
      <c r="IB89" s="77"/>
      <c r="IC89" s="77"/>
      <c r="ID89" s="77"/>
      <c r="IE89" s="77"/>
      <c r="IF89" s="77"/>
      <c r="IG89" s="77"/>
      <c r="IH89" s="77"/>
      <c r="II89" s="77"/>
      <c r="IJ89" s="77"/>
      <c r="IK89" s="77"/>
      <c r="IL89" s="77"/>
      <c r="IM89" s="77"/>
      <c r="IN89" s="77"/>
      <c r="IO89" s="77"/>
      <c r="IP89" s="77"/>
      <c r="IQ89" s="77"/>
      <c r="IR89" s="77"/>
      <c r="IS89" s="77"/>
      <c r="IT89" s="77"/>
      <c r="IU89" s="77"/>
      <c r="IV89" s="77"/>
      <c r="IW89" s="77"/>
      <c r="IX89" s="77"/>
      <c r="IY89" s="77"/>
      <c r="IZ89" s="77"/>
      <c r="JA89" s="77"/>
      <c r="JB89" s="77"/>
      <c r="JC89" s="77"/>
      <c r="JD89" s="77"/>
      <c r="JE89" s="77"/>
      <c r="JF89" s="77"/>
      <c r="JG89" s="77"/>
      <c r="JH89" s="77"/>
      <c r="JI89" s="77"/>
      <c r="JJ89" s="77"/>
      <c r="JK89" s="77"/>
      <c r="JL89" s="77"/>
      <c r="JM89" s="77"/>
      <c r="JN89" s="77"/>
      <c r="JO89" s="77"/>
      <c r="JP89" s="77"/>
      <c r="JQ89" s="77"/>
      <c r="JR89" s="77"/>
      <c r="JS89" s="77"/>
      <c r="JT89" s="77"/>
      <c r="JU89" s="77"/>
      <c r="JV89" s="77"/>
      <c r="JW89" s="77"/>
      <c r="JX89" s="77"/>
      <c r="JY89" s="77"/>
      <c r="JZ89" s="77"/>
      <c r="KA89" s="77"/>
      <c r="KB89" s="77"/>
      <c r="KC89" s="77"/>
      <c r="KD89" s="77"/>
      <c r="KE89" s="77"/>
      <c r="KF89" s="77"/>
      <c r="KG89" s="77"/>
      <c r="KH89" s="77"/>
      <c r="KI89" s="77"/>
      <c r="KJ89" s="77"/>
      <c r="KK89" s="77"/>
      <c r="KL89" s="77"/>
      <c r="KM89" s="77"/>
      <c r="KN89" s="77"/>
      <c r="KO89" s="77"/>
      <c r="KP89" s="77"/>
      <c r="KQ89" s="77"/>
      <c r="KR89" s="77"/>
      <c r="KS89" s="77"/>
      <c r="KT89" s="77"/>
      <c r="KU89" s="77"/>
      <c r="KV89" s="77"/>
      <c r="KW89" s="77"/>
      <c r="KX89" s="77"/>
      <c r="KY89" s="77"/>
      <c r="KZ89" s="77"/>
      <c r="LA89" s="77"/>
      <c r="LB89" s="77"/>
      <c r="LC89" s="77"/>
      <c r="LD89" s="77"/>
      <c r="LE89" s="77"/>
      <c r="LF89" s="77"/>
      <c r="LG89" s="77"/>
      <c r="LH89" s="77"/>
      <c r="LI89" s="77"/>
      <c r="LJ89" s="77"/>
      <c r="LK89" s="77"/>
      <c r="LL89" s="77"/>
      <c r="LM89" s="77"/>
      <c r="LN89" s="77"/>
      <c r="LO89" s="77"/>
      <c r="LP89" s="77"/>
      <c r="LQ89" s="77"/>
      <c r="LR89" s="77"/>
      <c r="LS89" s="77"/>
      <c r="LT89" s="77"/>
      <c r="LU89" s="77"/>
      <c r="LV89" s="77"/>
      <c r="LW89" s="77"/>
      <c r="LX89" s="77"/>
      <c r="LY89" s="77"/>
      <c r="LZ89" s="77"/>
      <c r="MA89" s="77"/>
      <c r="MB89" s="77"/>
      <c r="MC89" s="77"/>
      <c r="MD89" s="77"/>
      <c r="ME89" s="77"/>
      <c r="MF89" s="77"/>
      <c r="MG89" s="77"/>
      <c r="MH89" s="77"/>
      <c r="MI89" s="77"/>
      <c r="MJ89" s="77"/>
      <c r="MK89" s="77"/>
      <c r="ML89" s="77"/>
      <c r="MM89" s="77"/>
      <c r="MN89" s="77"/>
      <c r="MO89" s="77"/>
      <c r="MP89" s="77"/>
      <c r="MQ89" s="77"/>
      <c r="MR89" s="77"/>
      <c r="MS89" s="77"/>
      <c r="MT89" s="77"/>
      <c r="MU89" s="77"/>
      <c r="MV89" s="77"/>
      <c r="MW89" s="77"/>
      <c r="MX89" s="77"/>
      <c r="MY89" s="77"/>
      <c r="MZ89" s="77"/>
      <c r="NA89" s="77"/>
      <c r="NB89" s="77"/>
      <c r="NC89" s="77"/>
      <c r="ND89" s="77"/>
      <c r="NE89" s="77"/>
      <c r="NF89" s="77"/>
      <c r="NG89" s="77"/>
      <c r="NH89" s="77"/>
      <c r="NI89" s="77"/>
      <c r="NJ89" s="77"/>
      <c r="NK89" s="77"/>
      <c r="NL89" s="77"/>
      <c r="NM89" s="77"/>
      <c r="NN89" s="77"/>
      <c r="NO89" s="77"/>
      <c r="NP89" s="77"/>
      <c r="NQ89" s="77"/>
      <c r="NR89" s="77"/>
      <c r="NS89" s="77"/>
      <c r="NT89" s="77"/>
      <c r="NU89" s="77"/>
      <c r="NV89" s="77"/>
      <c r="NW89" s="77"/>
      <c r="NX89" s="10"/>
    </row>
    <row r="90" spans="2:388" x14ac:dyDescent="0.3">
      <c r="B90" s="18" t="str">
        <f>"Total "&amp;Summary!O8&amp;" Sales"</f>
        <v>Total Lot Sales</v>
      </c>
      <c r="C90" s="18"/>
      <c r="D90" s="87">
        <f>SUM(D79:D89)</f>
        <v>230</v>
      </c>
      <c r="E90" s="34">
        <f>MIN(E79:E89)</f>
        <v>10</v>
      </c>
      <c r="F90" s="34">
        <f>MAX(F79:F89)</f>
        <v>49</v>
      </c>
      <c r="G90" s="19"/>
      <c r="H90" s="22">
        <f>SUM(H79:H89)</f>
        <v>444060</v>
      </c>
      <c r="I90" s="19"/>
      <c r="J90" s="23">
        <f>L90/$L$8</f>
        <v>65410.584015217391</v>
      </c>
      <c r="K90" s="29">
        <f>L90/$L$7</f>
        <v>8.6462266227011497</v>
      </c>
      <c r="L90" s="23">
        <f>SUM(L79:L89)</f>
        <v>15044434.3235</v>
      </c>
      <c r="S90" s="69" t="str">
        <f t="shared" si="427"/>
        <v>OK</v>
      </c>
      <c r="T90" s="50">
        <f t="shared" ref="T90:AY90" si="447">SUM(T79:T89)</f>
        <v>0</v>
      </c>
      <c r="U90" s="50">
        <f t="shared" si="447"/>
        <v>0</v>
      </c>
      <c r="V90" s="50">
        <f t="shared" si="447"/>
        <v>0</v>
      </c>
      <c r="W90" s="50">
        <f t="shared" si="447"/>
        <v>0</v>
      </c>
      <c r="X90" s="50">
        <f t="shared" si="447"/>
        <v>0</v>
      </c>
      <c r="Y90" s="50">
        <f t="shared" si="447"/>
        <v>0</v>
      </c>
      <c r="Z90" s="50">
        <f t="shared" si="447"/>
        <v>0</v>
      </c>
      <c r="AA90" s="50">
        <f t="shared" si="447"/>
        <v>0</v>
      </c>
      <c r="AB90" s="50">
        <f t="shared" si="447"/>
        <v>0</v>
      </c>
      <c r="AC90" s="50">
        <f t="shared" si="447"/>
        <v>2467500</v>
      </c>
      <c r="AD90" s="50">
        <f t="shared" si="447"/>
        <v>0</v>
      </c>
      <c r="AE90" s="50">
        <f t="shared" si="447"/>
        <v>1512500</v>
      </c>
      <c r="AF90" s="50">
        <f t="shared" si="447"/>
        <v>0</v>
      </c>
      <c r="AG90" s="50">
        <f t="shared" si="447"/>
        <v>0</v>
      </c>
      <c r="AH90" s="50">
        <f t="shared" si="447"/>
        <v>0</v>
      </c>
      <c r="AI90" s="50">
        <f t="shared" si="447"/>
        <v>1057500</v>
      </c>
      <c r="AJ90" s="50">
        <f t="shared" si="447"/>
        <v>0</v>
      </c>
      <c r="AK90" s="50">
        <f t="shared" si="447"/>
        <v>726000</v>
      </c>
      <c r="AL90" s="50">
        <f t="shared" si="447"/>
        <v>1057500</v>
      </c>
      <c r="AM90" s="50">
        <f t="shared" si="447"/>
        <v>0</v>
      </c>
      <c r="AN90" s="50">
        <f t="shared" si="447"/>
        <v>726000</v>
      </c>
      <c r="AO90" s="50">
        <f t="shared" si="447"/>
        <v>798765</v>
      </c>
      <c r="AP90" s="50">
        <f t="shared" si="447"/>
        <v>0</v>
      </c>
      <c r="AQ90" s="50">
        <f t="shared" si="447"/>
        <v>747780</v>
      </c>
      <c r="AR90" s="50">
        <f t="shared" si="447"/>
        <v>0</v>
      </c>
      <c r="AS90" s="50">
        <f t="shared" si="447"/>
        <v>0</v>
      </c>
      <c r="AT90" s="50">
        <f t="shared" si="447"/>
        <v>747780</v>
      </c>
      <c r="AU90" s="50">
        <f t="shared" si="447"/>
        <v>0</v>
      </c>
      <c r="AV90" s="50">
        <f t="shared" si="447"/>
        <v>0</v>
      </c>
      <c r="AW90" s="50">
        <f t="shared" si="447"/>
        <v>131189.47368421053</v>
      </c>
      <c r="AX90" s="50">
        <f t="shared" si="447"/>
        <v>131189.47368421053</v>
      </c>
      <c r="AY90" s="50">
        <f t="shared" si="447"/>
        <v>131189.47368421053</v>
      </c>
      <c r="AZ90" s="50">
        <f t="shared" ref="AZ90:CE90" si="448">SUM(AZ79:AZ89)</f>
        <v>131189.47368421053</v>
      </c>
      <c r="BA90" s="50">
        <f t="shared" si="448"/>
        <v>131189.47368421053</v>
      </c>
      <c r="BB90" s="50">
        <f t="shared" si="448"/>
        <v>131189.47368421053</v>
      </c>
      <c r="BC90" s="50">
        <f t="shared" si="448"/>
        <v>131189.47368421053</v>
      </c>
      <c r="BD90" s="50">
        <f t="shared" si="448"/>
        <v>131189.47368421053</v>
      </c>
      <c r="BE90" s="50">
        <f t="shared" si="448"/>
        <v>131189.47368421053</v>
      </c>
      <c r="BF90" s="50">
        <f t="shared" si="448"/>
        <v>131189.47368421053</v>
      </c>
      <c r="BG90" s="50">
        <f t="shared" si="448"/>
        <v>402240.40603421058</v>
      </c>
      <c r="BH90" s="50">
        <f t="shared" si="448"/>
        <v>402240.40603421058</v>
      </c>
      <c r="BI90" s="50">
        <f t="shared" si="448"/>
        <v>402240.40603421058</v>
      </c>
      <c r="BJ90" s="50">
        <f t="shared" si="448"/>
        <v>402240.40603421058</v>
      </c>
      <c r="BK90" s="50">
        <f t="shared" si="448"/>
        <v>402240.40603421058</v>
      </c>
      <c r="BL90" s="50">
        <f t="shared" si="448"/>
        <v>402240.40603421058</v>
      </c>
      <c r="BM90" s="50">
        <f t="shared" si="448"/>
        <v>402240.40603421058</v>
      </c>
      <c r="BN90" s="50">
        <f t="shared" si="448"/>
        <v>402240.40603421058</v>
      </c>
      <c r="BO90" s="50">
        <f t="shared" si="448"/>
        <v>402240.40603421058</v>
      </c>
      <c r="BP90" s="50">
        <f t="shared" si="448"/>
        <v>271050.93235000002</v>
      </c>
      <c r="BQ90" s="50">
        <f t="shared" si="448"/>
        <v>0</v>
      </c>
      <c r="BR90" s="50">
        <f t="shared" si="448"/>
        <v>0</v>
      </c>
      <c r="BS90" s="50">
        <f t="shared" si="448"/>
        <v>0</v>
      </c>
      <c r="BT90" s="50">
        <f t="shared" si="448"/>
        <v>0</v>
      </c>
      <c r="BU90" s="50">
        <f t="shared" si="448"/>
        <v>0</v>
      </c>
      <c r="BV90" s="50">
        <f t="shared" si="448"/>
        <v>0</v>
      </c>
      <c r="BW90" s="50">
        <f t="shared" si="448"/>
        <v>0</v>
      </c>
      <c r="BX90" s="50">
        <f t="shared" si="448"/>
        <v>0</v>
      </c>
      <c r="BY90" s="50">
        <f t="shared" si="448"/>
        <v>0</v>
      </c>
      <c r="BZ90" s="50">
        <f t="shared" si="448"/>
        <v>0</v>
      </c>
      <c r="CA90" s="50">
        <f t="shared" si="448"/>
        <v>0</v>
      </c>
      <c r="CB90" s="50">
        <f t="shared" si="448"/>
        <v>0</v>
      </c>
      <c r="CC90" s="50">
        <f t="shared" si="448"/>
        <v>0</v>
      </c>
      <c r="CD90" s="50">
        <f t="shared" si="448"/>
        <v>0</v>
      </c>
      <c r="CE90" s="50">
        <f t="shared" si="448"/>
        <v>0</v>
      </c>
      <c r="CF90" s="50">
        <f t="shared" ref="CF90:DK90" si="449">SUM(CF79:CF89)</f>
        <v>0</v>
      </c>
      <c r="CG90" s="50">
        <f t="shared" si="449"/>
        <v>0</v>
      </c>
      <c r="CH90" s="50">
        <f t="shared" si="449"/>
        <v>0</v>
      </c>
      <c r="CI90" s="50">
        <f t="shared" si="449"/>
        <v>0</v>
      </c>
      <c r="CJ90" s="50">
        <f t="shared" si="449"/>
        <v>0</v>
      </c>
      <c r="CK90" s="50">
        <f t="shared" si="449"/>
        <v>0</v>
      </c>
      <c r="CL90" s="50">
        <f t="shared" si="449"/>
        <v>0</v>
      </c>
      <c r="CM90" s="50">
        <f t="shared" si="449"/>
        <v>0</v>
      </c>
      <c r="CN90" s="50">
        <f t="shared" si="449"/>
        <v>0</v>
      </c>
      <c r="CO90" s="50">
        <f t="shared" si="449"/>
        <v>0</v>
      </c>
      <c r="CP90" s="50">
        <f t="shared" si="449"/>
        <v>0</v>
      </c>
      <c r="CQ90" s="50">
        <f t="shared" si="449"/>
        <v>0</v>
      </c>
      <c r="CR90" s="50">
        <f t="shared" si="449"/>
        <v>0</v>
      </c>
      <c r="CS90" s="50">
        <f t="shared" si="449"/>
        <v>0</v>
      </c>
      <c r="CT90" s="50">
        <f t="shared" si="449"/>
        <v>0</v>
      </c>
      <c r="CU90" s="50">
        <f t="shared" si="449"/>
        <v>0</v>
      </c>
      <c r="CV90" s="50">
        <f t="shared" si="449"/>
        <v>0</v>
      </c>
      <c r="CW90" s="50">
        <f t="shared" si="449"/>
        <v>0</v>
      </c>
      <c r="CX90" s="50">
        <f t="shared" si="449"/>
        <v>0</v>
      </c>
      <c r="CY90" s="50">
        <f t="shared" si="449"/>
        <v>0</v>
      </c>
      <c r="CZ90" s="50">
        <f t="shared" si="449"/>
        <v>0</v>
      </c>
      <c r="DA90" s="50">
        <f t="shared" si="449"/>
        <v>0</v>
      </c>
      <c r="DB90" s="50">
        <f t="shared" si="449"/>
        <v>0</v>
      </c>
      <c r="DC90" s="50">
        <f t="shared" si="449"/>
        <v>0</v>
      </c>
      <c r="DD90" s="50">
        <f t="shared" si="449"/>
        <v>0</v>
      </c>
      <c r="DE90" s="50">
        <f t="shared" si="449"/>
        <v>0</v>
      </c>
      <c r="DF90" s="50">
        <f t="shared" si="449"/>
        <v>0</v>
      </c>
      <c r="DG90" s="50">
        <f t="shared" si="449"/>
        <v>0</v>
      </c>
      <c r="DH90" s="50">
        <f t="shared" si="449"/>
        <v>0</v>
      </c>
      <c r="DI90" s="50">
        <f t="shared" si="449"/>
        <v>0</v>
      </c>
      <c r="DJ90" s="50">
        <f t="shared" si="449"/>
        <v>0</v>
      </c>
      <c r="DK90" s="50">
        <f t="shared" si="449"/>
        <v>0</v>
      </c>
      <c r="DL90" s="50">
        <f t="shared" ref="DL90:EQ90" si="450">SUM(DL79:DL89)</f>
        <v>0</v>
      </c>
      <c r="DM90" s="50">
        <f t="shared" si="450"/>
        <v>0</v>
      </c>
      <c r="DN90" s="50">
        <f t="shared" si="450"/>
        <v>0</v>
      </c>
      <c r="DO90" s="50">
        <f t="shared" si="450"/>
        <v>0</v>
      </c>
      <c r="DP90" s="50">
        <f t="shared" si="450"/>
        <v>0</v>
      </c>
      <c r="DQ90" s="50">
        <f t="shared" si="450"/>
        <v>0</v>
      </c>
      <c r="DR90" s="50">
        <f t="shared" si="450"/>
        <v>0</v>
      </c>
      <c r="DS90" s="50">
        <f t="shared" si="450"/>
        <v>0</v>
      </c>
      <c r="DT90" s="50">
        <f t="shared" si="450"/>
        <v>0</v>
      </c>
      <c r="DU90" s="50">
        <f t="shared" si="450"/>
        <v>0</v>
      </c>
      <c r="DV90" s="50">
        <f t="shared" si="450"/>
        <v>0</v>
      </c>
      <c r="DW90" s="50">
        <f t="shared" si="450"/>
        <v>0</v>
      </c>
      <c r="DX90" s="50">
        <f t="shared" si="450"/>
        <v>0</v>
      </c>
      <c r="DY90" s="50">
        <f t="shared" si="450"/>
        <v>0</v>
      </c>
      <c r="DZ90" s="50">
        <f t="shared" si="450"/>
        <v>0</v>
      </c>
      <c r="EA90" s="50">
        <f t="shared" si="450"/>
        <v>0</v>
      </c>
      <c r="EB90" s="50">
        <f t="shared" si="450"/>
        <v>0</v>
      </c>
      <c r="EC90" s="50">
        <f t="shared" si="450"/>
        <v>0</v>
      </c>
      <c r="ED90" s="50">
        <f t="shared" si="450"/>
        <v>0</v>
      </c>
      <c r="EE90" s="50">
        <f t="shared" si="450"/>
        <v>0</v>
      </c>
      <c r="EF90" s="50">
        <f t="shared" si="450"/>
        <v>0</v>
      </c>
      <c r="EG90" s="50">
        <f t="shared" si="450"/>
        <v>0</v>
      </c>
      <c r="EH90" s="50">
        <f t="shared" si="450"/>
        <v>0</v>
      </c>
      <c r="EI90" s="50">
        <f t="shared" si="450"/>
        <v>0</v>
      </c>
      <c r="EJ90" s="50">
        <f t="shared" si="450"/>
        <v>0</v>
      </c>
      <c r="EK90" s="50">
        <f t="shared" si="450"/>
        <v>0</v>
      </c>
      <c r="EL90" s="50">
        <f t="shared" si="450"/>
        <v>0</v>
      </c>
      <c r="EM90" s="50">
        <f t="shared" si="450"/>
        <v>0</v>
      </c>
      <c r="EN90" s="50">
        <f t="shared" si="450"/>
        <v>0</v>
      </c>
      <c r="EO90" s="50">
        <f t="shared" si="450"/>
        <v>0</v>
      </c>
      <c r="EP90" s="50">
        <f t="shared" si="450"/>
        <v>0</v>
      </c>
      <c r="EQ90" s="50">
        <f t="shared" si="450"/>
        <v>0</v>
      </c>
      <c r="ER90" s="50">
        <f t="shared" ref="ER90:FW90" si="451">SUM(ER79:ER89)</f>
        <v>0</v>
      </c>
      <c r="ES90" s="50">
        <f t="shared" si="451"/>
        <v>0</v>
      </c>
      <c r="ET90" s="50">
        <f t="shared" si="451"/>
        <v>0</v>
      </c>
      <c r="EU90" s="50">
        <f t="shared" si="451"/>
        <v>0</v>
      </c>
      <c r="EV90" s="50">
        <f t="shared" si="451"/>
        <v>0</v>
      </c>
      <c r="EW90" s="50">
        <f t="shared" si="451"/>
        <v>0</v>
      </c>
      <c r="EX90" s="50">
        <f t="shared" si="451"/>
        <v>0</v>
      </c>
      <c r="EY90" s="50">
        <f t="shared" si="451"/>
        <v>0</v>
      </c>
      <c r="EZ90" s="50">
        <f t="shared" si="451"/>
        <v>0</v>
      </c>
      <c r="FA90" s="50">
        <f t="shared" si="451"/>
        <v>0</v>
      </c>
      <c r="FB90" s="50">
        <f t="shared" si="451"/>
        <v>0</v>
      </c>
      <c r="FC90" s="50">
        <f t="shared" si="451"/>
        <v>0</v>
      </c>
      <c r="FD90" s="50">
        <f t="shared" si="451"/>
        <v>0</v>
      </c>
      <c r="FE90" s="50">
        <f t="shared" si="451"/>
        <v>0</v>
      </c>
      <c r="FF90" s="50">
        <f t="shared" si="451"/>
        <v>0</v>
      </c>
      <c r="FG90" s="50">
        <f t="shared" si="451"/>
        <v>0</v>
      </c>
      <c r="FH90" s="50">
        <f t="shared" si="451"/>
        <v>0</v>
      </c>
      <c r="FI90" s="50">
        <f t="shared" si="451"/>
        <v>0</v>
      </c>
      <c r="FJ90" s="50">
        <f t="shared" si="451"/>
        <v>0</v>
      </c>
      <c r="FK90" s="50">
        <f t="shared" si="451"/>
        <v>0</v>
      </c>
      <c r="FL90" s="50">
        <f t="shared" si="451"/>
        <v>0</v>
      </c>
      <c r="FM90" s="50">
        <f t="shared" si="451"/>
        <v>0</v>
      </c>
      <c r="FN90" s="50">
        <f t="shared" si="451"/>
        <v>0</v>
      </c>
      <c r="FO90" s="50">
        <f t="shared" si="451"/>
        <v>0</v>
      </c>
      <c r="FP90" s="50">
        <f t="shared" si="451"/>
        <v>0</v>
      </c>
      <c r="FQ90" s="50">
        <f t="shared" si="451"/>
        <v>0</v>
      </c>
      <c r="FR90" s="50">
        <f t="shared" si="451"/>
        <v>0</v>
      </c>
      <c r="FS90" s="50">
        <f t="shared" si="451"/>
        <v>0</v>
      </c>
      <c r="FT90" s="50">
        <f t="shared" si="451"/>
        <v>0</v>
      </c>
      <c r="FU90" s="50">
        <f t="shared" si="451"/>
        <v>0</v>
      </c>
      <c r="FV90" s="50">
        <f t="shared" si="451"/>
        <v>0</v>
      </c>
      <c r="FW90" s="50">
        <f t="shared" si="451"/>
        <v>0</v>
      </c>
      <c r="FX90" s="50">
        <f t="shared" ref="FX90:GQ90" si="452">SUM(FX79:FX89)</f>
        <v>0</v>
      </c>
      <c r="FY90" s="50">
        <f t="shared" si="452"/>
        <v>0</v>
      </c>
      <c r="FZ90" s="50">
        <f t="shared" si="452"/>
        <v>0</v>
      </c>
      <c r="GA90" s="50">
        <f t="shared" si="452"/>
        <v>0</v>
      </c>
      <c r="GB90" s="50">
        <f t="shared" si="452"/>
        <v>0</v>
      </c>
      <c r="GC90" s="50">
        <f t="shared" si="452"/>
        <v>0</v>
      </c>
      <c r="GD90" s="50">
        <f t="shared" si="452"/>
        <v>0</v>
      </c>
      <c r="GE90" s="50">
        <f t="shared" si="452"/>
        <v>0</v>
      </c>
      <c r="GF90" s="50">
        <f t="shared" si="452"/>
        <v>0</v>
      </c>
      <c r="GG90" s="50">
        <f t="shared" si="452"/>
        <v>0</v>
      </c>
      <c r="GH90" s="50">
        <f t="shared" si="452"/>
        <v>0</v>
      </c>
      <c r="GI90" s="50">
        <f t="shared" si="452"/>
        <v>0</v>
      </c>
      <c r="GJ90" s="50">
        <f t="shared" si="452"/>
        <v>0</v>
      </c>
      <c r="GK90" s="50">
        <f t="shared" si="452"/>
        <v>0</v>
      </c>
      <c r="GL90" s="50">
        <f t="shared" si="452"/>
        <v>0</v>
      </c>
      <c r="GM90" s="50">
        <f t="shared" si="452"/>
        <v>0</v>
      </c>
      <c r="GN90" s="50">
        <f t="shared" si="452"/>
        <v>0</v>
      </c>
      <c r="GO90" s="50">
        <f t="shared" si="452"/>
        <v>0</v>
      </c>
      <c r="GP90" s="50">
        <f t="shared" si="452"/>
        <v>0</v>
      </c>
      <c r="GQ90" s="50">
        <f t="shared" si="452"/>
        <v>0</v>
      </c>
      <c r="GR90" s="9"/>
      <c r="GS90" s="70"/>
      <c r="GT90" s="77"/>
      <c r="GU90" s="71"/>
      <c r="GV90" s="71"/>
      <c r="GW90" s="71"/>
      <c r="GX90" s="71"/>
      <c r="GY90" s="79"/>
      <c r="GZ90" s="77"/>
      <c r="HA90" s="77"/>
      <c r="HB90" s="77"/>
      <c r="HC90" s="77"/>
      <c r="HD90" s="77"/>
      <c r="HE90" s="77"/>
      <c r="HF90" s="77"/>
      <c r="HG90" s="77"/>
      <c r="HH90" s="77"/>
      <c r="HI90" s="77"/>
      <c r="HJ90" s="77"/>
      <c r="HK90" s="77"/>
      <c r="HL90" s="77"/>
      <c r="HM90" s="77"/>
      <c r="HN90" s="77"/>
      <c r="HO90" s="77"/>
      <c r="HP90" s="77"/>
      <c r="HQ90" s="77"/>
      <c r="HR90" s="77"/>
      <c r="HS90" s="77"/>
      <c r="HT90" s="77"/>
      <c r="HU90" s="77"/>
      <c r="HV90" s="77"/>
      <c r="HW90" s="77"/>
      <c r="HX90" s="77"/>
      <c r="HY90" s="77"/>
      <c r="HZ90" s="77"/>
      <c r="IA90" s="77"/>
      <c r="IB90" s="77"/>
      <c r="IC90" s="77"/>
      <c r="ID90" s="77"/>
      <c r="IE90" s="77"/>
      <c r="IF90" s="77"/>
      <c r="IG90" s="77"/>
      <c r="IH90" s="77"/>
      <c r="II90" s="77"/>
      <c r="IJ90" s="77"/>
      <c r="IK90" s="77"/>
      <c r="IL90" s="77"/>
      <c r="IM90" s="77"/>
      <c r="IN90" s="77"/>
      <c r="IO90" s="77"/>
      <c r="IP90" s="77"/>
      <c r="IQ90" s="77"/>
      <c r="IR90" s="77"/>
      <c r="IS90" s="77"/>
      <c r="IT90" s="77"/>
      <c r="IU90" s="77"/>
      <c r="IV90" s="77"/>
      <c r="IW90" s="77"/>
      <c r="IX90" s="77"/>
      <c r="IY90" s="77"/>
      <c r="IZ90" s="77"/>
      <c r="JA90" s="77"/>
      <c r="JB90" s="77"/>
      <c r="JC90" s="77"/>
      <c r="JD90" s="77"/>
      <c r="JE90" s="77"/>
      <c r="JF90" s="77"/>
      <c r="JG90" s="77"/>
      <c r="JH90" s="77"/>
      <c r="JI90" s="77"/>
      <c r="JJ90" s="77"/>
      <c r="JK90" s="77"/>
      <c r="JL90" s="77"/>
      <c r="JM90" s="77"/>
      <c r="JN90" s="77"/>
      <c r="JO90" s="77"/>
      <c r="JP90" s="77"/>
      <c r="JQ90" s="77"/>
      <c r="JR90" s="77"/>
      <c r="JS90" s="77"/>
      <c r="JT90" s="77"/>
      <c r="JU90" s="77"/>
      <c r="JV90" s="77"/>
      <c r="JW90" s="77"/>
      <c r="JX90" s="77"/>
      <c r="JY90" s="77"/>
      <c r="JZ90" s="77"/>
      <c r="KA90" s="77"/>
      <c r="KB90" s="77"/>
      <c r="KC90" s="77"/>
      <c r="KD90" s="77"/>
      <c r="KE90" s="77"/>
      <c r="KF90" s="77"/>
      <c r="KG90" s="77"/>
      <c r="KH90" s="77"/>
      <c r="KI90" s="77"/>
      <c r="KJ90" s="77"/>
      <c r="KK90" s="77"/>
      <c r="KL90" s="77"/>
      <c r="KM90" s="77"/>
      <c r="KN90" s="77"/>
      <c r="KO90" s="77"/>
      <c r="KP90" s="77"/>
      <c r="KQ90" s="77"/>
      <c r="KR90" s="77"/>
      <c r="KS90" s="77"/>
      <c r="KT90" s="77"/>
      <c r="KU90" s="77"/>
      <c r="KV90" s="77"/>
      <c r="KW90" s="77"/>
      <c r="KX90" s="77"/>
      <c r="KY90" s="77"/>
      <c r="KZ90" s="77"/>
      <c r="LA90" s="77"/>
      <c r="LB90" s="77"/>
      <c r="LC90" s="77"/>
      <c r="LD90" s="77"/>
      <c r="LE90" s="77"/>
      <c r="LF90" s="77"/>
      <c r="LG90" s="77"/>
      <c r="LH90" s="77"/>
      <c r="LI90" s="77"/>
      <c r="LJ90" s="77"/>
      <c r="LK90" s="77"/>
      <c r="LL90" s="77"/>
      <c r="LM90" s="77"/>
      <c r="LN90" s="77"/>
      <c r="LO90" s="77"/>
      <c r="LP90" s="77"/>
      <c r="LQ90" s="77"/>
      <c r="LR90" s="77"/>
      <c r="LS90" s="77"/>
      <c r="LT90" s="77"/>
      <c r="LU90" s="77"/>
      <c r="LV90" s="77"/>
      <c r="LW90" s="77"/>
      <c r="LX90" s="77"/>
      <c r="LY90" s="77"/>
      <c r="LZ90" s="77"/>
      <c r="MA90" s="77"/>
      <c r="MB90" s="77"/>
      <c r="MC90" s="77"/>
      <c r="MD90" s="77"/>
      <c r="ME90" s="77"/>
      <c r="MF90" s="77"/>
      <c r="MG90" s="77"/>
      <c r="MH90" s="77"/>
      <c r="MI90" s="77"/>
      <c r="MJ90" s="77"/>
      <c r="MK90" s="77"/>
      <c r="ML90" s="77"/>
      <c r="MM90" s="77"/>
      <c r="MN90" s="77"/>
      <c r="MO90" s="77"/>
      <c r="MP90" s="77"/>
      <c r="MQ90" s="77"/>
      <c r="MR90" s="77"/>
      <c r="MS90" s="77"/>
      <c r="MT90" s="77"/>
      <c r="MU90" s="77"/>
      <c r="MV90" s="77"/>
      <c r="MW90" s="77"/>
      <c r="MX90" s="77"/>
      <c r="MY90" s="77"/>
      <c r="MZ90" s="77"/>
      <c r="NA90" s="77"/>
      <c r="NB90" s="77"/>
      <c r="NC90" s="77"/>
      <c r="ND90" s="77"/>
      <c r="NE90" s="77"/>
      <c r="NF90" s="77"/>
      <c r="NG90" s="77"/>
      <c r="NH90" s="77"/>
      <c r="NI90" s="77"/>
      <c r="NJ90" s="77"/>
      <c r="NK90" s="77"/>
      <c r="NL90" s="77"/>
      <c r="NM90" s="77"/>
      <c r="NN90" s="77"/>
      <c r="NO90" s="77"/>
      <c r="NP90" s="77"/>
      <c r="NQ90" s="77"/>
      <c r="NR90" s="77"/>
      <c r="NS90" s="77"/>
      <c r="NT90" s="77"/>
      <c r="NU90" s="77"/>
      <c r="NV90" s="77"/>
      <c r="NW90" s="77"/>
      <c r="NX90" s="10"/>
    </row>
    <row r="91" spans="2:388" ht="15.5" x14ac:dyDescent="0.45">
      <c r="B91" s="93" t="s">
        <v>281</v>
      </c>
      <c r="C91" s="58">
        <v>0.05</v>
      </c>
      <c r="D91" s="19"/>
      <c r="E91" s="19"/>
      <c r="F91" s="19"/>
      <c r="G91" s="19"/>
      <c r="H91" s="153" t="str">
        <f>IF(ROUND(H90,0)=ROUND(L7,0),"","SHOULD = "&amp;TEXT(L7,"#,##0"))</f>
        <v>SHOULD = 1,740,000</v>
      </c>
      <c r="I91" s="19"/>
      <c r="J91" s="31">
        <f>L91/$L$8</f>
        <v>-3270.52920076087</v>
      </c>
      <c r="K91" s="32">
        <f>L91/$L$7</f>
        <v>-0.43231133113505749</v>
      </c>
      <c r="L91" s="31">
        <f>-L90*C91</f>
        <v>-752221.71617500007</v>
      </c>
      <c r="S91" s="69" t="str">
        <f t="shared" si="427"/>
        <v>OK</v>
      </c>
      <c r="T91" s="62">
        <f t="shared" ref="T91:AY91" si="453">-T90*$C$91</f>
        <v>0</v>
      </c>
      <c r="U91" s="62">
        <f t="shared" si="453"/>
        <v>0</v>
      </c>
      <c r="V91" s="62">
        <f t="shared" si="453"/>
        <v>0</v>
      </c>
      <c r="W91" s="62">
        <f t="shared" si="453"/>
        <v>0</v>
      </c>
      <c r="X91" s="62">
        <f t="shared" si="453"/>
        <v>0</v>
      </c>
      <c r="Y91" s="62">
        <f t="shared" si="453"/>
        <v>0</v>
      </c>
      <c r="Z91" s="62">
        <f t="shared" si="453"/>
        <v>0</v>
      </c>
      <c r="AA91" s="62">
        <f t="shared" si="453"/>
        <v>0</v>
      </c>
      <c r="AB91" s="62">
        <f t="shared" si="453"/>
        <v>0</v>
      </c>
      <c r="AC91" s="62">
        <f t="shared" si="453"/>
        <v>-123375</v>
      </c>
      <c r="AD91" s="62">
        <f t="shared" si="453"/>
        <v>0</v>
      </c>
      <c r="AE91" s="62">
        <f t="shared" si="453"/>
        <v>-75625</v>
      </c>
      <c r="AF91" s="62">
        <f t="shared" si="453"/>
        <v>0</v>
      </c>
      <c r="AG91" s="62">
        <f t="shared" si="453"/>
        <v>0</v>
      </c>
      <c r="AH91" s="62">
        <f t="shared" si="453"/>
        <v>0</v>
      </c>
      <c r="AI91" s="62">
        <f t="shared" si="453"/>
        <v>-52875</v>
      </c>
      <c r="AJ91" s="62">
        <f t="shared" si="453"/>
        <v>0</v>
      </c>
      <c r="AK91" s="62">
        <f t="shared" si="453"/>
        <v>-36300</v>
      </c>
      <c r="AL91" s="62">
        <f t="shared" si="453"/>
        <v>-52875</v>
      </c>
      <c r="AM91" s="62">
        <f t="shared" si="453"/>
        <v>0</v>
      </c>
      <c r="AN91" s="62">
        <f t="shared" si="453"/>
        <v>-36300</v>
      </c>
      <c r="AO91" s="62">
        <f t="shared" si="453"/>
        <v>-39938.25</v>
      </c>
      <c r="AP91" s="62">
        <f t="shared" si="453"/>
        <v>0</v>
      </c>
      <c r="AQ91" s="62">
        <f t="shared" si="453"/>
        <v>-37389</v>
      </c>
      <c r="AR91" s="62">
        <f t="shared" si="453"/>
        <v>0</v>
      </c>
      <c r="AS91" s="62">
        <f t="shared" si="453"/>
        <v>0</v>
      </c>
      <c r="AT91" s="62">
        <f t="shared" si="453"/>
        <v>-37389</v>
      </c>
      <c r="AU91" s="62">
        <f t="shared" si="453"/>
        <v>0</v>
      </c>
      <c r="AV91" s="62">
        <f t="shared" si="453"/>
        <v>0</v>
      </c>
      <c r="AW91" s="62">
        <f t="shared" si="453"/>
        <v>-6559.4736842105267</v>
      </c>
      <c r="AX91" s="62">
        <f t="shared" si="453"/>
        <v>-6559.4736842105267</v>
      </c>
      <c r="AY91" s="62">
        <f t="shared" si="453"/>
        <v>-6559.4736842105267</v>
      </c>
      <c r="AZ91" s="62">
        <f t="shared" ref="AZ91:CE91" si="454">-AZ90*$C$91</f>
        <v>-6559.4736842105267</v>
      </c>
      <c r="BA91" s="62">
        <f t="shared" si="454"/>
        <v>-6559.4736842105267</v>
      </c>
      <c r="BB91" s="62">
        <f t="shared" si="454"/>
        <v>-6559.4736842105267</v>
      </c>
      <c r="BC91" s="62">
        <f t="shared" si="454"/>
        <v>-6559.4736842105267</v>
      </c>
      <c r="BD91" s="62">
        <f t="shared" si="454"/>
        <v>-6559.4736842105267</v>
      </c>
      <c r="BE91" s="62">
        <f t="shared" si="454"/>
        <v>-6559.4736842105267</v>
      </c>
      <c r="BF91" s="62">
        <f t="shared" si="454"/>
        <v>-6559.4736842105267</v>
      </c>
      <c r="BG91" s="62">
        <f t="shared" si="454"/>
        <v>-20112.02030171053</v>
      </c>
      <c r="BH91" s="62">
        <f t="shared" si="454"/>
        <v>-20112.02030171053</v>
      </c>
      <c r="BI91" s="62">
        <f t="shared" si="454"/>
        <v>-20112.02030171053</v>
      </c>
      <c r="BJ91" s="62">
        <f t="shared" si="454"/>
        <v>-20112.02030171053</v>
      </c>
      <c r="BK91" s="62">
        <f t="shared" si="454"/>
        <v>-20112.02030171053</v>
      </c>
      <c r="BL91" s="62">
        <f t="shared" si="454"/>
        <v>-20112.02030171053</v>
      </c>
      <c r="BM91" s="62">
        <f t="shared" si="454"/>
        <v>-20112.02030171053</v>
      </c>
      <c r="BN91" s="62">
        <f t="shared" si="454"/>
        <v>-20112.02030171053</v>
      </c>
      <c r="BO91" s="62">
        <f t="shared" si="454"/>
        <v>-20112.02030171053</v>
      </c>
      <c r="BP91" s="62">
        <f t="shared" si="454"/>
        <v>-13552.546617500002</v>
      </c>
      <c r="BQ91" s="62">
        <f t="shared" si="454"/>
        <v>0</v>
      </c>
      <c r="BR91" s="62">
        <f t="shared" si="454"/>
        <v>0</v>
      </c>
      <c r="BS91" s="62">
        <f t="shared" si="454"/>
        <v>0</v>
      </c>
      <c r="BT91" s="62">
        <f t="shared" si="454"/>
        <v>0</v>
      </c>
      <c r="BU91" s="62">
        <f t="shared" si="454"/>
        <v>0</v>
      </c>
      <c r="BV91" s="62">
        <f t="shared" si="454"/>
        <v>0</v>
      </c>
      <c r="BW91" s="62">
        <f t="shared" si="454"/>
        <v>0</v>
      </c>
      <c r="BX91" s="62">
        <f t="shared" si="454"/>
        <v>0</v>
      </c>
      <c r="BY91" s="62">
        <f t="shared" si="454"/>
        <v>0</v>
      </c>
      <c r="BZ91" s="62">
        <f t="shared" si="454"/>
        <v>0</v>
      </c>
      <c r="CA91" s="62">
        <f t="shared" si="454"/>
        <v>0</v>
      </c>
      <c r="CB91" s="62">
        <f t="shared" si="454"/>
        <v>0</v>
      </c>
      <c r="CC91" s="62">
        <f t="shared" si="454"/>
        <v>0</v>
      </c>
      <c r="CD91" s="62">
        <f t="shared" si="454"/>
        <v>0</v>
      </c>
      <c r="CE91" s="62">
        <f t="shared" si="454"/>
        <v>0</v>
      </c>
      <c r="CF91" s="62">
        <f t="shared" ref="CF91:DK91" si="455">-CF90*$C$91</f>
        <v>0</v>
      </c>
      <c r="CG91" s="62">
        <f t="shared" si="455"/>
        <v>0</v>
      </c>
      <c r="CH91" s="62">
        <f t="shared" si="455"/>
        <v>0</v>
      </c>
      <c r="CI91" s="62">
        <f t="shared" si="455"/>
        <v>0</v>
      </c>
      <c r="CJ91" s="62">
        <f t="shared" si="455"/>
        <v>0</v>
      </c>
      <c r="CK91" s="62">
        <f t="shared" si="455"/>
        <v>0</v>
      </c>
      <c r="CL91" s="62">
        <f t="shared" si="455"/>
        <v>0</v>
      </c>
      <c r="CM91" s="62">
        <f t="shared" si="455"/>
        <v>0</v>
      </c>
      <c r="CN91" s="62">
        <f t="shared" si="455"/>
        <v>0</v>
      </c>
      <c r="CO91" s="62">
        <f t="shared" si="455"/>
        <v>0</v>
      </c>
      <c r="CP91" s="62">
        <f t="shared" si="455"/>
        <v>0</v>
      </c>
      <c r="CQ91" s="62">
        <f t="shared" si="455"/>
        <v>0</v>
      </c>
      <c r="CR91" s="62">
        <f t="shared" si="455"/>
        <v>0</v>
      </c>
      <c r="CS91" s="62">
        <f t="shared" si="455"/>
        <v>0</v>
      </c>
      <c r="CT91" s="62">
        <f t="shared" si="455"/>
        <v>0</v>
      </c>
      <c r="CU91" s="62">
        <f t="shared" si="455"/>
        <v>0</v>
      </c>
      <c r="CV91" s="62">
        <f t="shared" si="455"/>
        <v>0</v>
      </c>
      <c r="CW91" s="62">
        <f t="shared" si="455"/>
        <v>0</v>
      </c>
      <c r="CX91" s="62">
        <f t="shared" si="455"/>
        <v>0</v>
      </c>
      <c r="CY91" s="62">
        <f t="shared" si="455"/>
        <v>0</v>
      </c>
      <c r="CZ91" s="62">
        <f t="shared" si="455"/>
        <v>0</v>
      </c>
      <c r="DA91" s="62">
        <f t="shared" si="455"/>
        <v>0</v>
      </c>
      <c r="DB91" s="62">
        <f t="shared" si="455"/>
        <v>0</v>
      </c>
      <c r="DC91" s="62">
        <f t="shared" si="455"/>
        <v>0</v>
      </c>
      <c r="DD91" s="62">
        <f t="shared" si="455"/>
        <v>0</v>
      </c>
      <c r="DE91" s="62">
        <f t="shared" si="455"/>
        <v>0</v>
      </c>
      <c r="DF91" s="62">
        <f t="shared" si="455"/>
        <v>0</v>
      </c>
      <c r="DG91" s="62">
        <f t="shared" si="455"/>
        <v>0</v>
      </c>
      <c r="DH91" s="62">
        <f t="shared" si="455"/>
        <v>0</v>
      </c>
      <c r="DI91" s="62">
        <f t="shared" si="455"/>
        <v>0</v>
      </c>
      <c r="DJ91" s="62">
        <f t="shared" si="455"/>
        <v>0</v>
      </c>
      <c r="DK91" s="62">
        <f t="shared" si="455"/>
        <v>0</v>
      </c>
      <c r="DL91" s="62">
        <f t="shared" ref="DL91:EQ91" si="456">-DL90*$C$91</f>
        <v>0</v>
      </c>
      <c r="DM91" s="62">
        <f t="shared" si="456"/>
        <v>0</v>
      </c>
      <c r="DN91" s="62">
        <f t="shared" si="456"/>
        <v>0</v>
      </c>
      <c r="DO91" s="62">
        <f t="shared" si="456"/>
        <v>0</v>
      </c>
      <c r="DP91" s="62">
        <f t="shared" si="456"/>
        <v>0</v>
      </c>
      <c r="DQ91" s="62">
        <f t="shared" si="456"/>
        <v>0</v>
      </c>
      <c r="DR91" s="62">
        <f t="shared" si="456"/>
        <v>0</v>
      </c>
      <c r="DS91" s="62">
        <f t="shared" si="456"/>
        <v>0</v>
      </c>
      <c r="DT91" s="62">
        <f t="shared" si="456"/>
        <v>0</v>
      </c>
      <c r="DU91" s="62">
        <f t="shared" si="456"/>
        <v>0</v>
      </c>
      <c r="DV91" s="62">
        <f t="shared" si="456"/>
        <v>0</v>
      </c>
      <c r="DW91" s="62">
        <f t="shared" si="456"/>
        <v>0</v>
      </c>
      <c r="DX91" s="62">
        <f t="shared" si="456"/>
        <v>0</v>
      </c>
      <c r="DY91" s="62">
        <f t="shared" si="456"/>
        <v>0</v>
      </c>
      <c r="DZ91" s="62">
        <f t="shared" si="456"/>
        <v>0</v>
      </c>
      <c r="EA91" s="62">
        <f t="shared" si="456"/>
        <v>0</v>
      </c>
      <c r="EB91" s="62">
        <f t="shared" si="456"/>
        <v>0</v>
      </c>
      <c r="EC91" s="62">
        <f t="shared" si="456"/>
        <v>0</v>
      </c>
      <c r="ED91" s="62">
        <f t="shared" si="456"/>
        <v>0</v>
      </c>
      <c r="EE91" s="62">
        <f t="shared" si="456"/>
        <v>0</v>
      </c>
      <c r="EF91" s="62">
        <f t="shared" si="456"/>
        <v>0</v>
      </c>
      <c r="EG91" s="62">
        <f t="shared" si="456"/>
        <v>0</v>
      </c>
      <c r="EH91" s="62">
        <f t="shared" si="456"/>
        <v>0</v>
      </c>
      <c r="EI91" s="62">
        <f t="shared" si="456"/>
        <v>0</v>
      </c>
      <c r="EJ91" s="62">
        <f t="shared" si="456"/>
        <v>0</v>
      </c>
      <c r="EK91" s="62">
        <f t="shared" si="456"/>
        <v>0</v>
      </c>
      <c r="EL91" s="62">
        <f t="shared" si="456"/>
        <v>0</v>
      </c>
      <c r="EM91" s="62">
        <f t="shared" si="456"/>
        <v>0</v>
      </c>
      <c r="EN91" s="62">
        <f t="shared" si="456"/>
        <v>0</v>
      </c>
      <c r="EO91" s="62">
        <f t="shared" si="456"/>
        <v>0</v>
      </c>
      <c r="EP91" s="62">
        <f t="shared" si="456"/>
        <v>0</v>
      </c>
      <c r="EQ91" s="62">
        <f t="shared" si="456"/>
        <v>0</v>
      </c>
      <c r="ER91" s="62">
        <f t="shared" ref="ER91:FW91" si="457">-ER90*$C$91</f>
        <v>0</v>
      </c>
      <c r="ES91" s="62">
        <f t="shared" si="457"/>
        <v>0</v>
      </c>
      <c r="ET91" s="62">
        <f t="shared" si="457"/>
        <v>0</v>
      </c>
      <c r="EU91" s="62">
        <f t="shared" si="457"/>
        <v>0</v>
      </c>
      <c r="EV91" s="62">
        <f t="shared" si="457"/>
        <v>0</v>
      </c>
      <c r="EW91" s="62">
        <f t="shared" si="457"/>
        <v>0</v>
      </c>
      <c r="EX91" s="62">
        <f t="shared" si="457"/>
        <v>0</v>
      </c>
      <c r="EY91" s="62">
        <f t="shared" si="457"/>
        <v>0</v>
      </c>
      <c r="EZ91" s="62">
        <f t="shared" si="457"/>
        <v>0</v>
      </c>
      <c r="FA91" s="62">
        <f t="shared" si="457"/>
        <v>0</v>
      </c>
      <c r="FB91" s="62">
        <f t="shared" si="457"/>
        <v>0</v>
      </c>
      <c r="FC91" s="62">
        <f t="shared" si="457"/>
        <v>0</v>
      </c>
      <c r="FD91" s="62">
        <f t="shared" si="457"/>
        <v>0</v>
      </c>
      <c r="FE91" s="62">
        <f t="shared" si="457"/>
        <v>0</v>
      </c>
      <c r="FF91" s="62">
        <f t="shared" si="457"/>
        <v>0</v>
      </c>
      <c r="FG91" s="62">
        <f t="shared" si="457"/>
        <v>0</v>
      </c>
      <c r="FH91" s="62">
        <f t="shared" si="457"/>
        <v>0</v>
      </c>
      <c r="FI91" s="62">
        <f t="shared" si="457"/>
        <v>0</v>
      </c>
      <c r="FJ91" s="62">
        <f t="shared" si="457"/>
        <v>0</v>
      </c>
      <c r="FK91" s="62">
        <f t="shared" si="457"/>
        <v>0</v>
      </c>
      <c r="FL91" s="62">
        <f t="shared" si="457"/>
        <v>0</v>
      </c>
      <c r="FM91" s="62">
        <f t="shared" si="457"/>
        <v>0</v>
      </c>
      <c r="FN91" s="62">
        <f t="shared" si="457"/>
        <v>0</v>
      </c>
      <c r="FO91" s="62">
        <f t="shared" si="457"/>
        <v>0</v>
      </c>
      <c r="FP91" s="62">
        <f t="shared" si="457"/>
        <v>0</v>
      </c>
      <c r="FQ91" s="62">
        <f t="shared" si="457"/>
        <v>0</v>
      </c>
      <c r="FR91" s="62">
        <f t="shared" si="457"/>
        <v>0</v>
      </c>
      <c r="FS91" s="62">
        <f t="shared" si="457"/>
        <v>0</v>
      </c>
      <c r="FT91" s="62">
        <f t="shared" si="457"/>
        <v>0</v>
      </c>
      <c r="FU91" s="62">
        <f t="shared" si="457"/>
        <v>0</v>
      </c>
      <c r="FV91" s="62">
        <f t="shared" si="457"/>
        <v>0</v>
      </c>
      <c r="FW91" s="62">
        <f t="shared" si="457"/>
        <v>0</v>
      </c>
      <c r="FX91" s="62">
        <f t="shared" ref="FX91:GQ91" si="458">-FX90*$C$91</f>
        <v>0</v>
      </c>
      <c r="FY91" s="62">
        <f t="shared" si="458"/>
        <v>0</v>
      </c>
      <c r="FZ91" s="62">
        <f t="shared" si="458"/>
        <v>0</v>
      </c>
      <c r="GA91" s="62">
        <f t="shared" si="458"/>
        <v>0</v>
      </c>
      <c r="GB91" s="62">
        <f t="shared" si="458"/>
        <v>0</v>
      </c>
      <c r="GC91" s="62">
        <f t="shared" si="458"/>
        <v>0</v>
      </c>
      <c r="GD91" s="62">
        <f t="shared" si="458"/>
        <v>0</v>
      </c>
      <c r="GE91" s="62">
        <f t="shared" si="458"/>
        <v>0</v>
      </c>
      <c r="GF91" s="62">
        <f t="shared" si="458"/>
        <v>0</v>
      </c>
      <c r="GG91" s="62">
        <f t="shared" si="458"/>
        <v>0</v>
      </c>
      <c r="GH91" s="62">
        <f t="shared" si="458"/>
        <v>0</v>
      </c>
      <c r="GI91" s="62">
        <f t="shared" si="458"/>
        <v>0</v>
      </c>
      <c r="GJ91" s="62">
        <f t="shared" si="458"/>
        <v>0</v>
      </c>
      <c r="GK91" s="62">
        <f t="shared" si="458"/>
        <v>0</v>
      </c>
      <c r="GL91" s="62">
        <f t="shared" si="458"/>
        <v>0</v>
      </c>
      <c r="GM91" s="62">
        <f t="shared" si="458"/>
        <v>0</v>
      </c>
      <c r="GN91" s="62">
        <f t="shared" si="458"/>
        <v>0</v>
      </c>
      <c r="GO91" s="62">
        <f t="shared" si="458"/>
        <v>0</v>
      </c>
      <c r="GP91" s="62">
        <f t="shared" si="458"/>
        <v>0</v>
      </c>
      <c r="GQ91" s="62">
        <f t="shared" si="458"/>
        <v>0</v>
      </c>
      <c r="GS91" s="80"/>
      <c r="GT91" s="77"/>
      <c r="GU91" s="77"/>
      <c r="GV91" s="77"/>
      <c r="GW91" s="77"/>
      <c r="GX91" s="77"/>
      <c r="GY91" s="77"/>
      <c r="GZ91" s="77"/>
      <c r="HA91" s="77"/>
      <c r="HB91" s="77"/>
      <c r="HC91" s="77"/>
      <c r="HD91" s="77"/>
      <c r="HE91" s="77"/>
      <c r="HF91" s="77"/>
      <c r="HG91" s="77"/>
      <c r="HH91" s="77"/>
      <c r="HI91" s="77"/>
      <c r="HJ91" s="77"/>
      <c r="HK91" s="77"/>
      <c r="HL91" s="77"/>
      <c r="HM91" s="77"/>
      <c r="HN91" s="77"/>
      <c r="HO91" s="77"/>
      <c r="HP91" s="77"/>
      <c r="HQ91" s="77"/>
      <c r="HR91" s="77"/>
      <c r="HS91" s="77"/>
      <c r="HT91" s="77"/>
      <c r="HU91" s="77"/>
      <c r="HV91" s="77"/>
      <c r="HW91" s="77"/>
      <c r="HX91" s="77"/>
      <c r="HY91" s="77"/>
      <c r="HZ91" s="77"/>
      <c r="IA91" s="77"/>
      <c r="IB91" s="77"/>
      <c r="IC91" s="77"/>
      <c r="ID91" s="77"/>
      <c r="IE91" s="77"/>
      <c r="IF91" s="77"/>
      <c r="IG91" s="77"/>
      <c r="IH91" s="77"/>
      <c r="II91" s="77"/>
      <c r="IJ91" s="77"/>
      <c r="IK91" s="77"/>
      <c r="IL91" s="77"/>
      <c r="IM91" s="77"/>
      <c r="IN91" s="77"/>
      <c r="IO91" s="77"/>
      <c r="IP91" s="77"/>
      <c r="IQ91" s="77"/>
      <c r="IR91" s="77"/>
      <c r="IS91" s="77"/>
      <c r="IT91" s="77"/>
      <c r="IU91" s="77"/>
      <c r="IV91" s="77"/>
      <c r="IW91" s="77"/>
      <c r="IX91" s="77"/>
      <c r="IY91" s="77"/>
      <c r="IZ91" s="77"/>
      <c r="JA91" s="77"/>
      <c r="JB91" s="77"/>
      <c r="JC91" s="77"/>
      <c r="JD91" s="77"/>
      <c r="JE91" s="77"/>
      <c r="JF91" s="77"/>
      <c r="JG91" s="77"/>
      <c r="JH91" s="77"/>
      <c r="JI91" s="77"/>
      <c r="JJ91" s="77"/>
      <c r="JK91" s="77"/>
      <c r="JL91" s="77"/>
      <c r="JM91" s="77"/>
      <c r="JN91" s="77"/>
      <c r="JO91" s="77"/>
      <c r="JP91" s="77"/>
      <c r="JQ91" s="77"/>
      <c r="JR91" s="77"/>
      <c r="JS91" s="77"/>
      <c r="JT91" s="77"/>
      <c r="JU91" s="77"/>
      <c r="JV91" s="77"/>
      <c r="JW91" s="77"/>
      <c r="JX91" s="77"/>
      <c r="JY91" s="77"/>
      <c r="JZ91" s="77"/>
      <c r="KA91" s="77"/>
      <c r="KB91" s="77"/>
      <c r="KC91" s="77"/>
      <c r="KD91" s="77"/>
      <c r="KE91" s="77"/>
      <c r="KF91" s="77"/>
      <c r="KG91" s="77"/>
      <c r="KH91" s="77"/>
      <c r="KI91" s="77"/>
      <c r="KJ91" s="77"/>
      <c r="KK91" s="77"/>
      <c r="KL91" s="77"/>
      <c r="KM91" s="77"/>
      <c r="KN91" s="77"/>
      <c r="KO91" s="77"/>
      <c r="KP91" s="77"/>
      <c r="KQ91" s="77"/>
      <c r="KR91" s="77"/>
      <c r="KS91" s="77"/>
      <c r="KT91" s="77"/>
      <c r="KU91" s="77"/>
      <c r="KV91" s="77"/>
      <c r="KW91" s="77"/>
      <c r="KX91" s="77"/>
      <c r="KY91" s="77"/>
      <c r="KZ91" s="77"/>
      <c r="LA91" s="77"/>
      <c r="LB91" s="77"/>
      <c r="LC91" s="77"/>
      <c r="LD91" s="77"/>
      <c r="LE91" s="77"/>
      <c r="LF91" s="77"/>
      <c r="LG91" s="77"/>
      <c r="LH91" s="77"/>
      <c r="LI91" s="77"/>
      <c r="LJ91" s="77"/>
      <c r="LK91" s="77"/>
      <c r="LL91" s="77"/>
      <c r="LM91" s="77"/>
      <c r="LN91" s="77"/>
      <c r="LO91" s="77"/>
      <c r="LP91" s="77"/>
      <c r="LQ91" s="77"/>
      <c r="LR91" s="77"/>
      <c r="LS91" s="77"/>
      <c r="LT91" s="77"/>
      <c r="LU91" s="77"/>
      <c r="LV91" s="77"/>
      <c r="LW91" s="77"/>
      <c r="LX91" s="77"/>
      <c r="LY91" s="77"/>
      <c r="LZ91" s="77"/>
      <c r="MA91" s="77"/>
      <c r="MB91" s="77"/>
      <c r="MC91" s="77"/>
      <c r="MD91" s="77"/>
      <c r="ME91" s="77"/>
      <c r="MF91" s="77"/>
      <c r="MG91" s="77"/>
      <c r="MH91" s="77"/>
      <c r="MI91" s="77"/>
      <c r="MJ91" s="77"/>
      <c r="MK91" s="77"/>
      <c r="ML91" s="77"/>
      <c r="MM91" s="77"/>
      <c r="MN91" s="77"/>
      <c r="MO91" s="77"/>
      <c r="MP91" s="77"/>
      <c r="MQ91" s="77"/>
      <c r="MR91" s="77"/>
      <c r="MS91" s="77"/>
      <c r="MT91" s="77"/>
      <c r="MU91" s="77"/>
      <c r="MV91" s="77"/>
      <c r="MW91" s="77"/>
      <c r="MX91" s="77"/>
      <c r="MY91" s="77"/>
      <c r="MZ91" s="77"/>
      <c r="NA91" s="77"/>
      <c r="NB91" s="77"/>
      <c r="NC91" s="77"/>
      <c r="ND91" s="77"/>
      <c r="NE91" s="77"/>
      <c r="NF91" s="77"/>
      <c r="NG91" s="77"/>
      <c r="NH91" s="77"/>
      <c r="NI91" s="77"/>
      <c r="NJ91" s="77"/>
      <c r="NK91" s="77"/>
      <c r="NL91" s="77"/>
      <c r="NM91" s="77"/>
      <c r="NN91" s="77"/>
      <c r="NO91" s="77"/>
      <c r="NP91" s="77"/>
      <c r="NQ91" s="77"/>
      <c r="NR91" s="77"/>
      <c r="NS91" s="77"/>
      <c r="NT91" s="77"/>
      <c r="NU91" s="77"/>
      <c r="NV91" s="77"/>
      <c r="NW91" s="77"/>
    </row>
    <row r="92" spans="2:388" x14ac:dyDescent="0.3">
      <c r="B92" s="18" t="str">
        <f>"Net Proceeds from "&amp;Summary!O8&amp;" Sales"</f>
        <v>Net Proceeds from Lot Sales</v>
      </c>
      <c r="C92" s="19"/>
      <c r="D92" s="19"/>
      <c r="E92" s="19"/>
      <c r="F92" s="19"/>
      <c r="G92" s="19"/>
      <c r="H92" s="19"/>
      <c r="I92" s="19"/>
      <c r="J92" s="23">
        <f>L92/$L$8</f>
        <v>62140.054814456525</v>
      </c>
      <c r="K92" s="29">
        <f>L92/$L$7</f>
        <v>8.2139152915660922</v>
      </c>
      <c r="L92" s="23">
        <f>L91+L90</f>
        <v>14292212.607325001</v>
      </c>
      <c r="S92" s="69" t="str">
        <f t="shared" si="427"/>
        <v>OK</v>
      </c>
      <c r="T92" s="50">
        <f t="shared" ref="T92:AY92" si="459">T91+T90</f>
        <v>0</v>
      </c>
      <c r="U92" s="50">
        <f t="shared" si="459"/>
        <v>0</v>
      </c>
      <c r="V92" s="50">
        <f t="shared" si="459"/>
        <v>0</v>
      </c>
      <c r="W92" s="50">
        <f t="shared" si="459"/>
        <v>0</v>
      </c>
      <c r="X92" s="50">
        <f t="shared" si="459"/>
        <v>0</v>
      </c>
      <c r="Y92" s="50">
        <f t="shared" si="459"/>
        <v>0</v>
      </c>
      <c r="Z92" s="50">
        <f t="shared" si="459"/>
        <v>0</v>
      </c>
      <c r="AA92" s="50">
        <f t="shared" si="459"/>
        <v>0</v>
      </c>
      <c r="AB92" s="50">
        <f t="shared" si="459"/>
        <v>0</v>
      </c>
      <c r="AC92" s="50">
        <f t="shared" si="459"/>
        <v>2344125</v>
      </c>
      <c r="AD92" s="50">
        <f t="shared" si="459"/>
        <v>0</v>
      </c>
      <c r="AE92" s="50">
        <f t="shared" si="459"/>
        <v>1436875</v>
      </c>
      <c r="AF92" s="50">
        <f t="shared" si="459"/>
        <v>0</v>
      </c>
      <c r="AG92" s="50">
        <f t="shared" si="459"/>
        <v>0</v>
      </c>
      <c r="AH92" s="50">
        <f t="shared" si="459"/>
        <v>0</v>
      </c>
      <c r="AI92" s="50">
        <f t="shared" si="459"/>
        <v>1004625</v>
      </c>
      <c r="AJ92" s="50">
        <f t="shared" si="459"/>
        <v>0</v>
      </c>
      <c r="AK92" s="50">
        <f t="shared" si="459"/>
        <v>689700</v>
      </c>
      <c r="AL92" s="50">
        <f t="shared" si="459"/>
        <v>1004625</v>
      </c>
      <c r="AM92" s="50">
        <f t="shared" si="459"/>
        <v>0</v>
      </c>
      <c r="AN92" s="50">
        <f t="shared" si="459"/>
        <v>689700</v>
      </c>
      <c r="AO92" s="50">
        <f t="shared" si="459"/>
        <v>758826.75</v>
      </c>
      <c r="AP92" s="50">
        <f t="shared" si="459"/>
        <v>0</v>
      </c>
      <c r="AQ92" s="50">
        <f t="shared" si="459"/>
        <v>710391</v>
      </c>
      <c r="AR92" s="50">
        <f t="shared" si="459"/>
        <v>0</v>
      </c>
      <c r="AS92" s="50">
        <f t="shared" si="459"/>
        <v>0</v>
      </c>
      <c r="AT92" s="50">
        <f t="shared" si="459"/>
        <v>710391</v>
      </c>
      <c r="AU92" s="50">
        <f t="shared" si="459"/>
        <v>0</v>
      </c>
      <c r="AV92" s="50">
        <f t="shared" si="459"/>
        <v>0</v>
      </c>
      <c r="AW92" s="50">
        <f t="shared" si="459"/>
        <v>124630</v>
      </c>
      <c r="AX92" s="50">
        <f t="shared" si="459"/>
        <v>124630</v>
      </c>
      <c r="AY92" s="50">
        <f t="shared" si="459"/>
        <v>124630</v>
      </c>
      <c r="AZ92" s="50">
        <f t="shared" ref="AZ92:CE92" si="460">AZ91+AZ90</f>
        <v>124630</v>
      </c>
      <c r="BA92" s="50">
        <f t="shared" si="460"/>
        <v>124630</v>
      </c>
      <c r="BB92" s="50">
        <f t="shared" si="460"/>
        <v>124630</v>
      </c>
      <c r="BC92" s="50">
        <f t="shared" si="460"/>
        <v>124630</v>
      </c>
      <c r="BD92" s="50">
        <f t="shared" si="460"/>
        <v>124630</v>
      </c>
      <c r="BE92" s="50">
        <f t="shared" si="460"/>
        <v>124630</v>
      </c>
      <c r="BF92" s="50">
        <f t="shared" si="460"/>
        <v>124630</v>
      </c>
      <c r="BG92" s="50">
        <f t="shared" si="460"/>
        <v>382128.38573250006</v>
      </c>
      <c r="BH92" s="50">
        <f t="shared" si="460"/>
        <v>382128.38573250006</v>
      </c>
      <c r="BI92" s="50">
        <f t="shared" si="460"/>
        <v>382128.38573250006</v>
      </c>
      <c r="BJ92" s="50">
        <f t="shared" si="460"/>
        <v>382128.38573250006</v>
      </c>
      <c r="BK92" s="50">
        <f t="shared" si="460"/>
        <v>382128.38573250006</v>
      </c>
      <c r="BL92" s="50">
        <f t="shared" si="460"/>
        <v>382128.38573250006</v>
      </c>
      <c r="BM92" s="50">
        <f t="shared" si="460"/>
        <v>382128.38573250006</v>
      </c>
      <c r="BN92" s="50">
        <f t="shared" si="460"/>
        <v>382128.38573250006</v>
      </c>
      <c r="BO92" s="50">
        <f t="shared" si="460"/>
        <v>382128.38573250006</v>
      </c>
      <c r="BP92" s="50">
        <f t="shared" si="460"/>
        <v>257498.38573250003</v>
      </c>
      <c r="BQ92" s="50">
        <f t="shared" si="460"/>
        <v>0</v>
      </c>
      <c r="BR92" s="50">
        <f t="shared" si="460"/>
        <v>0</v>
      </c>
      <c r="BS92" s="50">
        <f t="shared" si="460"/>
        <v>0</v>
      </c>
      <c r="BT92" s="50">
        <f t="shared" si="460"/>
        <v>0</v>
      </c>
      <c r="BU92" s="50">
        <f t="shared" si="460"/>
        <v>0</v>
      </c>
      <c r="BV92" s="50">
        <f t="shared" si="460"/>
        <v>0</v>
      </c>
      <c r="BW92" s="50">
        <f t="shared" si="460"/>
        <v>0</v>
      </c>
      <c r="BX92" s="50">
        <f t="shared" si="460"/>
        <v>0</v>
      </c>
      <c r="BY92" s="50">
        <f t="shared" si="460"/>
        <v>0</v>
      </c>
      <c r="BZ92" s="50">
        <f t="shared" si="460"/>
        <v>0</v>
      </c>
      <c r="CA92" s="50">
        <f t="shared" si="460"/>
        <v>0</v>
      </c>
      <c r="CB92" s="50">
        <f t="shared" si="460"/>
        <v>0</v>
      </c>
      <c r="CC92" s="50">
        <f t="shared" si="460"/>
        <v>0</v>
      </c>
      <c r="CD92" s="50">
        <f t="shared" si="460"/>
        <v>0</v>
      </c>
      <c r="CE92" s="50">
        <f t="shared" si="460"/>
        <v>0</v>
      </c>
      <c r="CF92" s="50">
        <f t="shared" ref="CF92:DK92" si="461">CF91+CF90</f>
        <v>0</v>
      </c>
      <c r="CG92" s="50">
        <f t="shared" si="461"/>
        <v>0</v>
      </c>
      <c r="CH92" s="50">
        <f t="shared" si="461"/>
        <v>0</v>
      </c>
      <c r="CI92" s="50">
        <f t="shared" si="461"/>
        <v>0</v>
      </c>
      <c r="CJ92" s="50">
        <f t="shared" si="461"/>
        <v>0</v>
      </c>
      <c r="CK92" s="50">
        <f t="shared" si="461"/>
        <v>0</v>
      </c>
      <c r="CL92" s="50">
        <f t="shared" si="461"/>
        <v>0</v>
      </c>
      <c r="CM92" s="50">
        <f t="shared" si="461"/>
        <v>0</v>
      </c>
      <c r="CN92" s="50">
        <f t="shared" si="461"/>
        <v>0</v>
      </c>
      <c r="CO92" s="50">
        <f t="shared" si="461"/>
        <v>0</v>
      </c>
      <c r="CP92" s="50">
        <f t="shared" si="461"/>
        <v>0</v>
      </c>
      <c r="CQ92" s="50">
        <f t="shared" si="461"/>
        <v>0</v>
      </c>
      <c r="CR92" s="50">
        <f t="shared" si="461"/>
        <v>0</v>
      </c>
      <c r="CS92" s="50">
        <f t="shared" si="461"/>
        <v>0</v>
      </c>
      <c r="CT92" s="50">
        <f t="shared" si="461"/>
        <v>0</v>
      </c>
      <c r="CU92" s="50">
        <f t="shared" si="461"/>
        <v>0</v>
      </c>
      <c r="CV92" s="50">
        <f t="shared" si="461"/>
        <v>0</v>
      </c>
      <c r="CW92" s="50">
        <f t="shared" si="461"/>
        <v>0</v>
      </c>
      <c r="CX92" s="50">
        <f t="shared" si="461"/>
        <v>0</v>
      </c>
      <c r="CY92" s="50">
        <f t="shared" si="461"/>
        <v>0</v>
      </c>
      <c r="CZ92" s="50">
        <f t="shared" si="461"/>
        <v>0</v>
      </c>
      <c r="DA92" s="50">
        <f t="shared" si="461"/>
        <v>0</v>
      </c>
      <c r="DB92" s="50">
        <f t="shared" si="461"/>
        <v>0</v>
      </c>
      <c r="DC92" s="50">
        <f t="shared" si="461"/>
        <v>0</v>
      </c>
      <c r="DD92" s="50">
        <f t="shared" si="461"/>
        <v>0</v>
      </c>
      <c r="DE92" s="50">
        <f t="shared" si="461"/>
        <v>0</v>
      </c>
      <c r="DF92" s="50">
        <f t="shared" si="461"/>
        <v>0</v>
      </c>
      <c r="DG92" s="50">
        <f t="shared" si="461"/>
        <v>0</v>
      </c>
      <c r="DH92" s="50">
        <f t="shared" si="461"/>
        <v>0</v>
      </c>
      <c r="DI92" s="50">
        <f t="shared" si="461"/>
        <v>0</v>
      </c>
      <c r="DJ92" s="50">
        <f t="shared" si="461"/>
        <v>0</v>
      </c>
      <c r="DK92" s="50">
        <f t="shared" si="461"/>
        <v>0</v>
      </c>
      <c r="DL92" s="50">
        <f t="shared" ref="DL92:EQ92" si="462">DL91+DL90</f>
        <v>0</v>
      </c>
      <c r="DM92" s="50">
        <f t="shared" si="462"/>
        <v>0</v>
      </c>
      <c r="DN92" s="50">
        <f t="shared" si="462"/>
        <v>0</v>
      </c>
      <c r="DO92" s="50">
        <f t="shared" si="462"/>
        <v>0</v>
      </c>
      <c r="DP92" s="50">
        <f t="shared" si="462"/>
        <v>0</v>
      </c>
      <c r="DQ92" s="50">
        <f t="shared" si="462"/>
        <v>0</v>
      </c>
      <c r="DR92" s="50">
        <f t="shared" si="462"/>
        <v>0</v>
      </c>
      <c r="DS92" s="50">
        <f t="shared" si="462"/>
        <v>0</v>
      </c>
      <c r="DT92" s="50">
        <f t="shared" si="462"/>
        <v>0</v>
      </c>
      <c r="DU92" s="50">
        <f t="shared" si="462"/>
        <v>0</v>
      </c>
      <c r="DV92" s="50">
        <f t="shared" si="462"/>
        <v>0</v>
      </c>
      <c r="DW92" s="50">
        <f t="shared" si="462"/>
        <v>0</v>
      </c>
      <c r="DX92" s="50">
        <f t="shared" si="462"/>
        <v>0</v>
      </c>
      <c r="DY92" s="50">
        <f t="shared" si="462"/>
        <v>0</v>
      </c>
      <c r="DZ92" s="50">
        <f t="shared" si="462"/>
        <v>0</v>
      </c>
      <c r="EA92" s="50">
        <f t="shared" si="462"/>
        <v>0</v>
      </c>
      <c r="EB92" s="50">
        <f t="shared" si="462"/>
        <v>0</v>
      </c>
      <c r="EC92" s="50">
        <f t="shared" si="462"/>
        <v>0</v>
      </c>
      <c r="ED92" s="50">
        <f t="shared" si="462"/>
        <v>0</v>
      </c>
      <c r="EE92" s="50">
        <f t="shared" si="462"/>
        <v>0</v>
      </c>
      <c r="EF92" s="50">
        <f t="shared" si="462"/>
        <v>0</v>
      </c>
      <c r="EG92" s="50">
        <f t="shared" si="462"/>
        <v>0</v>
      </c>
      <c r="EH92" s="50">
        <f t="shared" si="462"/>
        <v>0</v>
      </c>
      <c r="EI92" s="50">
        <f t="shared" si="462"/>
        <v>0</v>
      </c>
      <c r="EJ92" s="50">
        <f t="shared" si="462"/>
        <v>0</v>
      </c>
      <c r="EK92" s="50">
        <f t="shared" si="462"/>
        <v>0</v>
      </c>
      <c r="EL92" s="50">
        <f t="shared" si="462"/>
        <v>0</v>
      </c>
      <c r="EM92" s="50">
        <f t="shared" si="462"/>
        <v>0</v>
      </c>
      <c r="EN92" s="50">
        <f t="shared" si="462"/>
        <v>0</v>
      </c>
      <c r="EO92" s="50">
        <f t="shared" si="462"/>
        <v>0</v>
      </c>
      <c r="EP92" s="50">
        <f t="shared" si="462"/>
        <v>0</v>
      </c>
      <c r="EQ92" s="50">
        <f t="shared" si="462"/>
        <v>0</v>
      </c>
      <c r="ER92" s="50">
        <f t="shared" ref="ER92:FW92" si="463">ER91+ER90</f>
        <v>0</v>
      </c>
      <c r="ES92" s="50">
        <f t="shared" si="463"/>
        <v>0</v>
      </c>
      <c r="ET92" s="50">
        <f t="shared" si="463"/>
        <v>0</v>
      </c>
      <c r="EU92" s="50">
        <f t="shared" si="463"/>
        <v>0</v>
      </c>
      <c r="EV92" s="50">
        <f t="shared" si="463"/>
        <v>0</v>
      </c>
      <c r="EW92" s="50">
        <f t="shared" si="463"/>
        <v>0</v>
      </c>
      <c r="EX92" s="50">
        <f t="shared" si="463"/>
        <v>0</v>
      </c>
      <c r="EY92" s="50">
        <f t="shared" si="463"/>
        <v>0</v>
      </c>
      <c r="EZ92" s="50">
        <f t="shared" si="463"/>
        <v>0</v>
      </c>
      <c r="FA92" s="50">
        <f t="shared" si="463"/>
        <v>0</v>
      </c>
      <c r="FB92" s="50">
        <f t="shared" si="463"/>
        <v>0</v>
      </c>
      <c r="FC92" s="50">
        <f t="shared" si="463"/>
        <v>0</v>
      </c>
      <c r="FD92" s="50">
        <f t="shared" si="463"/>
        <v>0</v>
      </c>
      <c r="FE92" s="50">
        <f t="shared" si="463"/>
        <v>0</v>
      </c>
      <c r="FF92" s="50">
        <f t="shared" si="463"/>
        <v>0</v>
      </c>
      <c r="FG92" s="50">
        <f t="shared" si="463"/>
        <v>0</v>
      </c>
      <c r="FH92" s="50">
        <f t="shared" si="463"/>
        <v>0</v>
      </c>
      <c r="FI92" s="50">
        <f t="shared" si="463"/>
        <v>0</v>
      </c>
      <c r="FJ92" s="50">
        <f t="shared" si="463"/>
        <v>0</v>
      </c>
      <c r="FK92" s="50">
        <f t="shared" si="463"/>
        <v>0</v>
      </c>
      <c r="FL92" s="50">
        <f t="shared" si="463"/>
        <v>0</v>
      </c>
      <c r="FM92" s="50">
        <f t="shared" si="463"/>
        <v>0</v>
      </c>
      <c r="FN92" s="50">
        <f t="shared" si="463"/>
        <v>0</v>
      </c>
      <c r="FO92" s="50">
        <f t="shared" si="463"/>
        <v>0</v>
      </c>
      <c r="FP92" s="50">
        <f t="shared" si="463"/>
        <v>0</v>
      </c>
      <c r="FQ92" s="50">
        <f t="shared" si="463"/>
        <v>0</v>
      </c>
      <c r="FR92" s="50">
        <f t="shared" si="463"/>
        <v>0</v>
      </c>
      <c r="FS92" s="50">
        <f t="shared" si="463"/>
        <v>0</v>
      </c>
      <c r="FT92" s="50">
        <f t="shared" si="463"/>
        <v>0</v>
      </c>
      <c r="FU92" s="50">
        <f t="shared" si="463"/>
        <v>0</v>
      </c>
      <c r="FV92" s="50">
        <f t="shared" si="463"/>
        <v>0</v>
      </c>
      <c r="FW92" s="50">
        <f t="shared" si="463"/>
        <v>0</v>
      </c>
      <c r="FX92" s="50">
        <f t="shared" ref="FX92:GQ92" si="464">FX91+FX90</f>
        <v>0</v>
      </c>
      <c r="FY92" s="50">
        <f t="shared" si="464"/>
        <v>0</v>
      </c>
      <c r="FZ92" s="50">
        <f t="shared" si="464"/>
        <v>0</v>
      </c>
      <c r="GA92" s="50">
        <f t="shared" si="464"/>
        <v>0</v>
      </c>
      <c r="GB92" s="50">
        <f t="shared" si="464"/>
        <v>0</v>
      </c>
      <c r="GC92" s="50">
        <f t="shared" si="464"/>
        <v>0</v>
      </c>
      <c r="GD92" s="50">
        <f t="shared" si="464"/>
        <v>0</v>
      </c>
      <c r="GE92" s="50">
        <f t="shared" si="464"/>
        <v>0</v>
      </c>
      <c r="GF92" s="50">
        <f t="shared" si="464"/>
        <v>0</v>
      </c>
      <c r="GG92" s="50">
        <f t="shared" si="464"/>
        <v>0</v>
      </c>
      <c r="GH92" s="50">
        <f t="shared" si="464"/>
        <v>0</v>
      </c>
      <c r="GI92" s="50">
        <f t="shared" si="464"/>
        <v>0</v>
      </c>
      <c r="GJ92" s="50">
        <f t="shared" si="464"/>
        <v>0</v>
      </c>
      <c r="GK92" s="50">
        <f t="shared" si="464"/>
        <v>0</v>
      </c>
      <c r="GL92" s="50">
        <f t="shared" si="464"/>
        <v>0</v>
      </c>
      <c r="GM92" s="50">
        <f t="shared" si="464"/>
        <v>0</v>
      </c>
      <c r="GN92" s="50">
        <f t="shared" si="464"/>
        <v>0</v>
      </c>
      <c r="GO92" s="50">
        <f t="shared" si="464"/>
        <v>0</v>
      </c>
      <c r="GP92" s="50">
        <f t="shared" si="464"/>
        <v>0</v>
      </c>
      <c r="GQ92" s="50">
        <f t="shared" si="464"/>
        <v>0</v>
      </c>
      <c r="GS92" s="80"/>
      <c r="GT92" s="77"/>
      <c r="GU92" s="77"/>
      <c r="GV92" s="77"/>
      <c r="GW92" s="77"/>
      <c r="GX92" s="77"/>
      <c r="GY92" s="77"/>
      <c r="GZ92" s="77"/>
      <c r="HA92" s="77"/>
      <c r="HB92" s="77"/>
      <c r="HC92" s="77"/>
      <c r="HD92" s="77"/>
      <c r="HE92" s="77"/>
      <c r="HF92" s="77"/>
      <c r="HG92" s="77"/>
      <c r="HH92" s="77"/>
      <c r="HI92" s="77"/>
      <c r="HJ92" s="77"/>
      <c r="HK92" s="77"/>
      <c r="HL92" s="77"/>
      <c r="HM92" s="77"/>
      <c r="HN92" s="77"/>
      <c r="HO92" s="77"/>
      <c r="HP92" s="77"/>
      <c r="HQ92" s="77"/>
      <c r="HR92" s="77"/>
      <c r="HS92" s="77"/>
      <c r="HT92" s="77"/>
      <c r="HU92" s="77"/>
      <c r="HV92" s="77"/>
      <c r="HW92" s="77"/>
      <c r="HX92" s="77"/>
      <c r="HY92" s="77"/>
      <c r="HZ92" s="77"/>
      <c r="IA92" s="77"/>
      <c r="IB92" s="77"/>
      <c r="IC92" s="77"/>
      <c r="ID92" s="77"/>
      <c r="IE92" s="77"/>
      <c r="IF92" s="77"/>
      <c r="IG92" s="77"/>
      <c r="IH92" s="77"/>
      <c r="II92" s="77"/>
      <c r="IJ92" s="77"/>
      <c r="IK92" s="77"/>
      <c r="IL92" s="77"/>
      <c r="IM92" s="77"/>
      <c r="IN92" s="77"/>
      <c r="IO92" s="77"/>
      <c r="IP92" s="77"/>
      <c r="IQ92" s="77"/>
      <c r="IR92" s="77"/>
      <c r="IS92" s="77"/>
      <c r="IT92" s="77"/>
      <c r="IU92" s="77"/>
      <c r="IV92" s="77"/>
      <c r="IW92" s="77"/>
      <c r="IX92" s="77"/>
      <c r="IY92" s="77"/>
      <c r="IZ92" s="77"/>
      <c r="JA92" s="77"/>
      <c r="JB92" s="77"/>
      <c r="JC92" s="77"/>
      <c r="JD92" s="77"/>
      <c r="JE92" s="77"/>
      <c r="JF92" s="77"/>
      <c r="JG92" s="77"/>
      <c r="JH92" s="77"/>
      <c r="JI92" s="77"/>
      <c r="JJ92" s="77"/>
      <c r="JK92" s="77"/>
      <c r="JL92" s="77"/>
      <c r="JM92" s="77"/>
      <c r="JN92" s="77"/>
      <c r="JO92" s="77"/>
      <c r="JP92" s="77"/>
      <c r="JQ92" s="77"/>
      <c r="JR92" s="77"/>
      <c r="JS92" s="77"/>
      <c r="JT92" s="77"/>
      <c r="JU92" s="77"/>
      <c r="JV92" s="77"/>
      <c r="JW92" s="77"/>
      <c r="JX92" s="77"/>
      <c r="JY92" s="77"/>
      <c r="JZ92" s="77"/>
      <c r="KA92" s="77"/>
      <c r="KB92" s="77"/>
      <c r="KC92" s="77"/>
      <c r="KD92" s="77"/>
      <c r="KE92" s="77"/>
      <c r="KF92" s="77"/>
      <c r="KG92" s="77"/>
      <c r="KH92" s="77"/>
      <c r="KI92" s="77"/>
      <c r="KJ92" s="77"/>
      <c r="KK92" s="77"/>
      <c r="KL92" s="77"/>
      <c r="KM92" s="77"/>
      <c r="KN92" s="77"/>
      <c r="KO92" s="77"/>
      <c r="KP92" s="77"/>
      <c r="KQ92" s="77"/>
      <c r="KR92" s="77"/>
      <c r="KS92" s="77"/>
      <c r="KT92" s="77"/>
      <c r="KU92" s="77"/>
      <c r="KV92" s="77"/>
      <c r="KW92" s="77"/>
      <c r="KX92" s="77"/>
      <c r="KY92" s="77"/>
      <c r="KZ92" s="77"/>
      <c r="LA92" s="77"/>
      <c r="LB92" s="77"/>
      <c r="LC92" s="77"/>
      <c r="LD92" s="77"/>
      <c r="LE92" s="77"/>
      <c r="LF92" s="77"/>
      <c r="LG92" s="77"/>
      <c r="LH92" s="77"/>
      <c r="LI92" s="77"/>
      <c r="LJ92" s="77"/>
      <c r="LK92" s="77"/>
      <c r="LL92" s="77"/>
      <c r="LM92" s="77"/>
      <c r="LN92" s="77"/>
      <c r="LO92" s="77"/>
      <c r="LP92" s="77"/>
      <c r="LQ92" s="77"/>
      <c r="LR92" s="77"/>
      <c r="LS92" s="77"/>
      <c r="LT92" s="77"/>
      <c r="LU92" s="77"/>
      <c r="LV92" s="77"/>
      <c r="LW92" s="77"/>
      <c r="LX92" s="77"/>
      <c r="LY92" s="77"/>
      <c r="LZ92" s="77"/>
      <c r="MA92" s="77"/>
      <c r="MB92" s="77"/>
      <c r="MC92" s="77"/>
      <c r="MD92" s="77"/>
      <c r="ME92" s="77"/>
      <c r="MF92" s="77"/>
      <c r="MG92" s="77"/>
      <c r="MH92" s="77"/>
      <c r="MI92" s="77"/>
      <c r="MJ92" s="77"/>
      <c r="MK92" s="77"/>
      <c r="ML92" s="77"/>
      <c r="MM92" s="77"/>
      <c r="MN92" s="77"/>
      <c r="MO92" s="77"/>
      <c r="MP92" s="77"/>
      <c r="MQ92" s="77"/>
      <c r="MR92" s="77"/>
      <c r="MS92" s="77"/>
      <c r="MT92" s="77"/>
      <c r="MU92" s="77"/>
      <c r="MV92" s="77"/>
      <c r="MW92" s="77"/>
      <c r="MX92" s="77"/>
      <c r="MY92" s="77"/>
      <c r="MZ92" s="77"/>
      <c r="NA92" s="77"/>
      <c r="NB92" s="77"/>
      <c r="NC92" s="77"/>
      <c r="ND92" s="77"/>
      <c r="NE92" s="77"/>
      <c r="NF92" s="77"/>
      <c r="NG92" s="77"/>
      <c r="NH92" s="77"/>
      <c r="NI92" s="77"/>
      <c r="NJ92" s="77"/>
      <c r="NK92" s="77"/>
      <c r="NL92" s="77"/>
      <c r="NM92" s="77"/>
      <c r="NN92" s="77"/>
      <c r="NO92" s="77"/>
      <c r="NP92" s="77"/>
      <c r="NQ92" s="77"/>
      <c r="NR92" s="77"/>
      <c r="NS92" s="77"/>
      <c r="NT92" s="77"/>
      <c r="NU92" s="77"/>
      <c r="NV92" s="77"/>
      <c r="NW92" s="77"/>
    </row>
    <row r="93" spans="2:388" x14ac:dyDescent="0.3">
      <c r="B93" s="18"/>
      <c r="C93" s="19"/>
      <c r="D93" s="19"/>
      <c r="E93" s="19"/>
      <c r="F93" s="19"/>
      <c r="G93" s="19"/>
      <c r="H93" s="19"/>
      <c r="I93" s="19"/>
      <c r="J93" s="23"/>
      <c r="K93" s="29"/>
      <c r="L93" s="23"/>
      <c r="GS93" s="80"/>
      <c r="GT93" s="77"/>
      <c r="GU93" s="77"/>
      <c r="GV93" s="77"/>
      <c r="GW93" s="77"/>
      <c r="GX93" s="77"/>
      <c r="GY93" s="77"/>
      <c r="GZ93" s="77"/>
      <c r="HA93" s="77"/>
      <c r="HB93" s="77"/>
      <c r="HC93" s="77"/>
      <c r="HD93" s="77"/>
      <c r="HE93" s="77"/>
      <c r="HF93" s="77"/>
      <c r="HG93" s="77"/>
      <c r="HH93" s="77"/>
      <c r="HI93" s="77"/>
      <c r="HJ93" s="77"/>
      <c r="HK93" s="77"/>
      <c r="HL93" s="77"/>
      <c r="HM93" s="77"/>
      <c r="HN93" s="77"/>
      <c r="HO93" s="77"/>
      <c r="HP93" s="77"/>
      <c r="HQ93" s="77"/>
      <c r="HR93" s="77"/>
      <c r="HS93" s="77"/>
      <c r="HT93" s="77"/>
      <c r="HU93" s="77"/>
      <c r="HV93" s="77"/>
      <c r="HW93" s="77"/>
      <c r="HX93" s="77"/>
      <c r="HY93" s="77"/>
      <c r="HZ93" s="77"/>
      <c r="IA93" s="77"/>
      <c r="IB93" s="77"/>
      <c r="IC93" s="77"/>
      <c r="ID93" s="77"/>
      <c r="IE93" s="77"/>
      <c r="IF93" s="77"/>
      <c r="IG93" s="77"/>
      <c r="IH93" s="77"/>
      <c r="II93" s="77"/>
      <c r="IJ93" s="77"/>
      <c r="IK93" s="77"/>
      <c r="IL93" s="77"/>
      <c r="IM93" s="77"/>
      <c r="IN93" s="77"/>
      <c r="IO93" s="77"/>
      <c r="IP93" s="77"/>
      <c r="IQ93" s="77"/>
      <c r="IR93" s="77"/>
      <c r="IS93" s="77"/>
      <c r="IT93" s="77"/>
      <c r="IU93" s="77"/>
      <c r="IV93" s="77"/>
      <c r="IW93" s="77"/>
      <c r="IX93" s="77"/>
      <c r="IY93" s="77"/>
      <c r="IZ93" s="77"/>
      <c r="JA93" s="77"/>
      <c r="JB93" s="77"/>
      <c r="JC93" s="77"/>
      <c r="JD93" s="77"/>
      <c r="JE93" s="77"/>
      <c r="JF93" s="77"/>
      <c r="JG93" s="77"/>
      <c r="JH93" s="77"/>
      <c r="JI93" s="77"/>
      <c r="JJ93" s="77"/>
      <c r="JK93" s="77"/>
      <c r="JL93" s="77"/>
      <c r="JM93" s="77"/>
      <c r="JN93" s="77"/>
      <c r="JO93" s="77"/>
      <c r="JP93" s="77"/>
      <c r="JQ93" s="77"/>
      <c r="JR93" s="77"/>
      <c r="JS93" s="77"/>
      <c r="JT93" s="77"/>
      <c r="JU93" s="77"/>
      <c r="JV93" s="77"/>
      <c r="JW93" s="77"/>
      <c r="JX93" s="77"/>
      <c r="JY93" s="77"/>
      <c r="JZ93" s="77"/>
      <c r="KA93" s="77"/>
      <c r="KB93" s="77"/>
      <c r="KC93" s="77"/>
      <c r="KD93" s="77"/>
      <c r="KE93" s="77"/>
      <c r="KF93" s="77"/>
      <c r="KG93" s="77"/>
      <c r="KH93" s="77"/>
      <c r="KI93" s="77"/>
      <c r="KJ93" s="77"/>
      <c r="KK93" s="77"/>
      <c r="KL93" s="77"/>
      <c r="KM93" s="77"/>
      <c r="KN93" s="77"/>
      <c r="KO93" s="77"/>
      <c r="KP93" s="77"/>
      <c r="KQ93" s="77"/>
      <c r="KR93" s="77"/>
      <c r="KS93" s="77"/>
      <c r="KT93" s="77"/>
      <c r="KU93" s="77"/>
      <c r="KV93" s="77"/>
      <c r="KW93" s="77"/>
      <c r="KX93" s="77"/>
      <c r="KY93" s="77"/>
      <c r="KZ93" s="77"/>
      <c r="LA93" s="77"/>
      <c r="LB93" s="77"/>
      <c r="LC93" s="77"/>
      <c r="LD93" s="77"/>
      <c r="LE93" s="77"/>
      <c r="LF93" s="77"/>
      <c r="LG93" s="77"/>
      <c r="LH93" s="77"/>
      <c r="LI93" s="77"/>
      <c r="LJ93" s="77"/>
      <c r="LK93" s="77"/>
      <c r="LL93" s="77"/>
      <c r="LM93" s="77"/>
      <c r="LN93" s="77"/>
      <c r="LO93" s="77"/>
      <c r="LP93" s="77"/>
      <c r="LQ93" s="77"/>
      <c r="LR93" s="77"/>
      <c r="LS93" s="77"/>
      <c r="LT93" s="77"/>
      <c r="LU93" s="77"/>
      <c r="LV93" s="77"/>
      <c r="LW93" s="77"/>
      <c r="LX93" s="77"/>
      <c r="LY93" s="77"/>
      <c r="LZ93" s="77"/>
      <c r="MA93" s="77"/>
      <c r="MB93" s="77"/>
      <c r="MC93" s="77"/>
      <c r="MD93" s="77"/>
      <c r="ME93" s="77"/>
      <c r="MF93" s="77"/>
      <c r="MG93" s="77"/>
      <c r="MH93" s="77"/>
      <c r="MI93" s="77"/>
      <c r="MJ93" s="77"/>
      <c r="MK93" s="77"/>
      <c r="ML93" s="77"/>
      <c r="MM93" s="77"/>
      <c r="MN93" s="77"/>
      <c r="MO93" s="77"/>
      <c r="MP93" s="77"/>
      <c r="MQ93" s="77"/>
      <c r="MR93" s="77"/>
      <c r="MS93" s="77"/>
      <c r="MT93" s="77"/>
      <c r="MU93" s="77"/>
      <c r="MV93" s="77"/>
      <c r="MW93" s="77"/>
      <c r="MX93" s="77"/>
      <c r="MY93" s="77"/>
      <c r="MZ93" s="77"/>
      <c r="NA93" s="77"/>
      <c r="NB93" s="77"/>
      <c r="NC93" s="77"/>
      <c r="ND93" s="77"/>
      <c r="NE93" s="77"/>
      <c r="NF93" s="77"/>
      <c r="NG93" s="77"/>
      <c r="NH93" s="77"/>
      <c r="NI93" s="77"/>
      <c r="NJ93" s="77"/>
      <c r="NK93" s="77"/>
      <c r="NL93" s="77"/>
      <c r="NM93" s="77"/>
      <c r="NN93" s="77"/>
      <c r="NO93" s="77"/>
      <c r="NP93" s="77"/>
      <c r="NQ93" s="77"/>
      <c r="NR93" s="77"/>
      <c r="NS93" s="77"/>
      <c r="NT93" s="77"/>
      <c r="NU93" s="77"/>
      <c r="NV93" s="77"/>
      <c r="NW93" s="77"/>
    </row>
    <row r="94" spans="2:388" x14ac:dyDescent="0.3">
      <c r="B94" s="35" t="s">
        <v>282</v>
      </c>
      <c r="C94" s="35"/>
      <c r="D94" s="35"/>
      <c r="E94" s="36"/>
      <c r="F94" s="36"/>
      <c r="G94" s="36"/>
      <c r="H94" s="36"/>
      <c r="I94" s="36"/>
      <c r="J94" s="36"/>
      <c r="K94" s="36"/>
      <c r="L94" s="36"/>
      <c r="GS94" s="80"/>
      <c r="GT94" s="77"/>
      <c r="GU94" s="77"/>
      <c r="GV94" s="77"/>
      <c r="GW94" s="77"/>
      <c r="GX94" s="77"/>
      <c r="GY94" s="77"/>
      <c r="GZ94" s="77"/>
      <c r="HA94" s="77"/>
      <c r="HB94" s="77"/>
      <c r="HC94" s="77"/>
      <c r="HD94" s="77"/>
      <c r="HE94" s="77"/>
      <c r="HF94" s="77"/>
      <c r="HG94" s="77"/>
      <c r="HH94" s="77"/>
      <c r="HI94" s="77"/>
      <c r="HJ94" s="77"/>
      <c r="HK94" s="77"/>
      <c r="HL94" s="77"/>
      <c r="HM94" s="77"/>
      <c r="HN94" s="77"/>
      <c r="HO94" s="77"/>
      <c r="HP94" s="77"/>
      <c r="HQ94" s="77"/>
      <c r="HR94" s="77"/>
      <c r="HS94" s="77"/>
      <c r="HT94" s="77"/>
      <c r="HU94" s="77"/>
      <c r="HV94" s="77"/>
      <c r="HW94" s="77"/>
      <c r="HX94" s="77"/>
      <c r="HY94" s="77"/>
      <c r="HZ94" s="77"/>
      <c r="IA94" s="77"/>
      <c r="IB94" s="77"/>
      <c r="IC94" s="77"/>
      <c r="ID94" s="77"/>
      <c r="IE94" s="77"/>
      <c r="IF94" s="77"/>
      <c r="IG94" s="77"/>
      <c r="IH94" s="77"/>
      <c r="II94" s="77"/>
      <c r="IJ94" s="77"/>
      <c r="IK94" s="77"/>
      <c r="IL94" s="77"/>
      <c r="IM94" s="77"/>
      <c r="IN94" s="77"/>
      <c r="IO94" s="77"/>
      <c r="IP94" s="77"/>
      <c r="IQ94" s="77"/>
      <c r="IR94" s="77"/>
      <c r="IS94" s="77"/>
      <c r="IT94" s="77"/>
      <c r="IU94" s="77"/>
      <c r="IV94" s="77"/>
      <c r="IW94" s="77"/>
      <c r="IX94" s="77"/>
      <c r="IY94" s="77"/>
      <c r="IZ94" s="77"/>
      <c r="JA94" s="77"/>
      <c r="JB94" s="77"/>
      <c r="JC94" s="77"/>
      <c r="JD94" s="77"/>
      <c r="JE94" s="77"/>
      <c r="JF94" s="77"/>
      <c r="JG94" s="77"/>
      <c r="JH94" s="77"/>
      <c r="JI94" s="77"/>
      <c r="JJ94" s="77"/>
      <c r="JK94" s="77"/>
      <c r="JL94" s="77"/>
      <c r="JM94" s="77"/>
      <c r="JN94" s="77"/>
      <c r="JO94" s="77"/>
      <c r="JP94" s="77"/>
      <c r="JQ94" s="77"/>
      <c r="JR94" s="77"/>
      <c r="JS94" s="77"/>
      <c r="JT94" s="77"/>
      <c r="JU94" s="77"/>
      <c r="JV94" s="77"/>
      <c r="JW94" s="77"/>
      <c r="JX94" s="77"/>
      <c r="JY94" s="77"/>
      <c r="JZ94" s="77"/>
      <c r="KA94" s="77"/>
      <c r="KB94" s="77"/>
      <c r="KC94" s="77"/>
      <c r="KD94" s="77"/>
      <c r="KE94" s="77"/>
      <c r="KF94" s="77"/>
      <c r="KG94" s="77"/>
      <c r="KH94" s="77"/>
      <c r="KI94" s="77"/>
      <c r="KJ94" s="77"/>
      <c r="KK94" s="77"/>
      <c r="KL94" s="77"/>
      <c r="KM94" s="77"/>
      <c r="KN94" s="77"/>
      <c r="KO94" s="77"/>
      <c r="KP94" s="77"/>
      <c r="KQ94" s="77"/>
      <c r="KR94" s="77"/>
      <c r="KS94" s="77"/>
      <c r="KT94" s="77"/>
      <c r="KU94" s="77"/>
      <c r="KV94" s="77"/>
      <c r="KW94" s="77"/>
      <c r="KX94" s="77"/>
      <c r="KY94" s="77"/>
      <c r="KZ94" s="77"/>
      <c r="LA94" s="77"/>
      <c r="LB94" s="77"/>
      <c r="LC94" s="77"/>
      <c r="LD94" s="77"/>
      <c r="LE94" s="77"/>
      <c r="LF94" s="77"/>
      <c r="LG94" s="77"/>
      <c r="LH94" s="77"/>
      <c r="LI94" s="77"/>
      <c r="LJ94" s="77"/>
      <c r="LK94" s="77"/>
      <c r="LL94" s="77"/>
      <c r="LM94" s="77"/>
      <c r="LN94" s="77"/>
      <c r="LO94" s="77"/>
      <c r="LP94" s="77"/>
      <c r="LQ94" s="77"/>
      <c r="LR94" s="77"/>
      <c r="LS94" s="77"/>
      <c r="LT94" s="77"/>
      <c r="LU94" s="77"/>
      <c r="LV94" s="77"/>
      <c r="LW94" s="77"/>
      <c r="LX94" s="77"/>
      <c r="LY94" s="77"/>
      <c r="LZ94" s="77"/>
      <c r="MA94" s="77"/>
      <c r="MB94" s="77"/>
      <c r="MC94" s="77"/>
      <c r="MD94" s="77"/>
      <c r="ME94" s="77"/>
      <c r="MF94" s="77"/>
      <c r="MG94" s="77"/>
      <c r="MH94" s="77"/>
      <c r="MI94" s="77"/>
      <c r="MJ94" s="77"/>
      <c r="MK94" s="77"/>
      <c r="ML94" s="77"/>
      <c r="MM94" s="77"/>
      <c r="MN94" s="77"/>
      <c r="MO94" s="77"/>
      <c r="MP94" s="77"/>
      <c r="MQ94" s="77"/>
      <c r="MR94" s="77"/>
      <c r="MS94" s="77"/>
      <c r="MT94" s="77"/>
      <c r="MU94" s="77"/>
      <c r="MV94" s="77"/>
      <c r="MW94" s="77"/>
      <c r="MX94" s="77"/>
      <c r="MY94" s="77"/>
      <c r="MZ94" s="77"/>
      <c r="NA94" s="77"/>
      <c r="NB94" s="77"/>
      <c r="NC94" s="77"/>
      <c r="ND94" s="77"/>
      <c r="NE94" s="77"/>
      <c r="NF94" s="77"/>
      <c r="NG94" s="77"/>
      <c r="NH94" s="77"/>
      <c r="NI94" s="77"/>
      <c r="NJ94" s="77"/>
      <c r="NK94" s="77"/>
      <c r="NL94" s="77"/>
      <c r="NM94" s="77"/>
      <c r="NN94" s="77"/>
      <c r="NO94" s="77"/>
      <c r="NP94" s="77"/>
      <c r="NQ94" s="77"/>
      <c r="NR94" s="77"/>
      <c r="NS94" s="77"/>
      <c r="NT94" s="77"/>
      <c r="NU94" s="77"/>
      <c r="NV94" s="77"/>
      <c r="NW94" s="77"/>
    </row>
    <row r="95" spans="2:388" x14ac:dyDescent="0.3">
      <c r="B95" s="51" t="s">
        <v>283</v>
      </c>
      <c r="C95" s="55"/>
      <c r="D95" s="55"/>
      <c r="E95" s="52" t="s">
        <v>284</v>
      </c>
      <c r="F95" s="52" t="s">
        <v>285</v>
      </c>
      <c r="G95" s="52"/>
      <c r="H95" s="53"/>
      <c r="I95" s="91"/>
      <c r="J95" s="52" t="str">
        <f>"/"&amp;Summary!$O$8</f>
        <v>/Lot</v>
      </c>
      <c r="K95" s="52" t="str" cm="1">
        <f t="array" ref="K95">"/"&amp;Unit_Type</f>
        <v>/SF</v>
      </c>
      <c r="L95" s="52" t="s">
        <v>190</v>
      </c>
      <c r="S95" s="68" t="s">
        <v>191</v>
      </c>
      <c r="T95" s="61">
        <v>1</v>
      </c>
      <c r="U95" s="61">
        <f t="shared" ref="U95:AZ95" si="465">T95+1</f>
        <v>2</v>
      </c>
      <c r="V95" s="61">
        <f t="shared" si="465"/>
        <v>3</v>
      </c>
      <c r="W95" s="61">
        <f t="shared" si="465"/>
        <v>4</v>
      </c>
      <c r="X95" s="61">
        <f t="shared" si="465"/>
        <v>5</v>
      </c>
      <c r="Y95" s="61">
        <f t="shared" si="465"/>
        <v>6</v>
      </c>
      <c r="Z95" s="61">
        <f t="shared" si="465"/>
        <v>7</v>
      </c>
      <c r="AA95" s="61">
        <f t="shared" si="465"/>
        <v>8</v>
      </c>
      <c r="AB95" s="61">
        <f t="shared" si="465"/>
        <v>9</v>
      </c>
      <c r="AC95" s="61">
        <f t="shared" si="465"/>
        <v>10</v>
      </c>
      <c r="AD95" s="61">
        <f t="shared" si="465"/>
        <v>11</v>
      </c>
      <c r="AE95" s="61">
        <f t="shared" si="465"/>
        <v>12</v>
      </c>
      <c r="AF95" s="61">
        <f t="shared" si="465"/>
        <v>13</v>
      </c>
      <c r="AG95" s="61">
        <f t="shared" si="465"/>
        <v>14</v>
      </c>
      <c r="AH95" s="61">
        <f t="shared" si="465"/>
        <v>15</v>
      </c>
      <c r="AI95" s="61">
        <f t="shared" si="465"/>
        <v>16</v>
      </c>
      <c r="AJ95" s="61">
        <f t="shared" si="465"/>
        <v>17</v>
      </c>
      <c r="AK95" s="61">
        <f t="shared" si="465"/>
        <v>18</v>
      </c>
      <c r="AL95" s="61">
        <f t="shared" si="465"/>
        <v>19</v>
      </c>
      <c r="AM95" s="61">
        <f t="shared" si="465"/>
        <v>20</v>
      </c>
      <c r="AN95" s="61">
        <f t="shared" si="465"/>
        <v>21</v>
      </c>
      <c r="AO95" s="61">
        <f t="shared" si="465"/>
        <v>22</v>
      </c>
      <c r="AP95" s="61">
        <f t="shared" si="465"/>
        <v>23</v>
      </c>
      <c r="AQ95" s="61">
        <f t="shared" si="465"/>
        <v>24</v>
      </c>
      <c r="AR95" s="61">
        <f t="shared" si="465"/>
        <v>25</v>
      </c>
      <c r="AS95" s="61">
        <f t="shared" si="465"/>
        <v>26</v>
      </c>
      <c r="AT95" s="61">
        <f t="shared" si="465"/>
        <v>27</v>
      </c>
      <c r="AU95" s="61">
        <f t="shared" si="465"/>
        <v>28</v>
      </c>
      <c r="AV95" s="61">
        <f t="shared" si="465"/>
        <v>29</v>
      </c>
      <c r="AW95" s="61">
        <f t="shared" si="465"/>
        <v>30</v>
      </c>
      <c r="AX95" s="61">
        <f t="shared" si="465"/>
        <v>31</v>
      </c>
      <c r="AY95" s="61">
        <f t="shared" si="465"/>
        <v>32</v>
      </c>
      <c r="AZ95" s="61">
        <f t="shared" si="465"/>
        <v>33</v>
      </c>
      <c r="BA95" s="61">
        <f t="shared" ref="BA95:CF95" si="466">AZ95+1</f>
        <v>34</v>
      </c>
      <c r="BB95" s="61">
        <f t="shared" si="466"/>
        <v>35</v>
      </c>
      <c r="BC95" s="61">
        <f t="shared" si="466"/>
        <v>36</v>
      </c>
      <c r="BD95" s="61">
        <f t="shared" si="466"/>
        <v>37</v>
      </c>
      <c r="BE95" s="61">
        <f t="shared" si="466"/>
        <v>38</v>
      </c>
      <c r="BF95" s="61">
        <f t="shared" si="466"/>
        <v>39</v>
      </c>
      <c r="BG95" s="61">
        <f t="shared" si="466"/>
        <v>40</v>
      </c>
      <c r="BH95" s="61">
        <f t="shared" si="466"/>
        <v>41</v>
      </c>
      <c r="BI95" s="61">
        <f t="shared" si="466"/>
        <v>42</v>
      </c>
      <c r="BJ95" s="61">
        <f t="shared" si="466"/>
        <v>43</v>
      </c>
      <c r="BK95" s="61">
        <f t="shared" si="466"/>
        <v>44</v>
      </c>
      <c r="BL95" s="61">
        <f t="shared" si="466"/>
        <v>45</v>
      </c>
      <c r="BM95" s="61">
        <f t="shared" si="466"/>
        <v>46</v>
      </c>
      <c r="BN95" s="61">
        <f t="shared" si="466"/>
        <v>47</v>
      </c>
      <c r="BO95" s="61">
        <f t="shared" si="466"/>
        <v>48</v>
      </c>
      <c r="BP95" s="61">
        <f t="shared" si="466"/>
        <v>49</v>
      </c>
      <c r="BQ95" s="61">
        <f t="shared" si="466"/>
        <v>50</v>
      </c>
      <c r="BR95" s="61">
        <f t="shared" si="466"/>
        <v>51</v>
      </c>
      <c r="BS95" s="61">
        <f t="shared" si="466"/>
        <v>52</v>
      </c>
      <c r="BT95" s="61">
        <f t="shared" si="466"/>
        <v>53</v>
      </c>
      <c r="BU95" s="61">
        <f t="shared" si="466"/>
        <v>54</v>
      </c>
      <c r="BV95" s="61">
        <f t="shared" si="466"/>
        <v>55</v>
      </c>
      <c r="BW95" s="61">
        <f t="shared" si="466"/>
        <v>56</v>
      </c>
      <c r="BX95" s="61">
        <f t="shared" si="466"/>
        <v>57</v>
      </c>
      <c r="BY95" s="61">
        <f t="shared" si="466"/>
        <v>58</v>
      </c>
      <c r="BZ95" s="61">
        <f t="shared" si="466"/>
        <v>59</v>
      </c>
      <c r="CA95" s="61">
        <f t="shared" si="466"/>
        <v>60</v>
      </c>
      <c r="CB95" s="61">
        <f t="shared" si="466"/>
        <v>61</v>
      </c>
      <c r="CC95" s="61">
        <f t="shared" si="466"/>
        <v>62</v>
      </c>
      <c r="CD95" s="61">
        <f t="shared" si="466"/>
        <v>63</v>
      </c>
      <c r="CE95" s="61">
        <f t="shared" si="466"/>
        <v>64</v>
      </c>
      <c r="CF95" s="61">
        <f t="shared" si="466"/>
        <v>65</v>
      </c>
      <c r="CG95" s="61">
        <f t="shared" ref="CG95:DL95" si="467">CF95+1</f>
        <v>66</v>
      </c>
      <c r="CH95" s="61">
        <f t="shared" si="467"/>
        <v>67</v>
      </c>
      <c r="CI95" s="61">
        <f t="shared" si="467"/>
        <v>68</v>
      </c>
      <c r="CJ95" s="61">
        <f t="shared" si="467"/>
        <v>69</v>
      </c>
      <c r="CK95" s="61">
        <f t="shared" si="467"/>
        <v>70</v>
      </c>
      <c r="CL95" s="61">
        <f t="shared" si="467"/>
        <v>71</v>
      </c>
      <c r="CM95" s="61">
        <f t="shared" si="467"/>
        <v>72</v>
      </c>
      <c r="CN95" s="61">
        <f t="shared" si="467"/>
        <v>73</v>
      </c>
      <c r="CO95" s="61">
        <f t="shared" si="467"/>
        <v>74</v>
      </c>
      <c r="CP95" s="61">
        <f t="shared" si="467"/>
        <v>75</v>
      </c>
      <c r="CQ95" s="61">
        <f t="shared" si="467"/>
        <v>76</v>
      </c>
      <c r="CR95" s="61">
        <f t="shared" si="467"/>
        <v>77</v>
      </c>
      <c r="CS95" s="61">
        <f t="shared" si="467"/>
        <v>78</v>
      </c>
      <c r="CT95" s="61">
        <f t="shared" si="467"/>
        <v>79</v>
      </c>
      <c r="CU95" s="61">
        <f t="shared" si="467"/>
        <v>80</v>
      </c>
      <c r="CV95" s="61">
        <f t="shared" si="467"/>
        <v>81</v>
      </c>
      <c r="CW95" s="61">
        <f t="shared" si="467"/>
        <v>82</v>
      </c>
      <c r="CX95" s="61">
        <f t="shared" si="467"/>
        <v>83</v>
      </c>
      <c r="CY95" s="61">
        <f t="shared" si="467"/>
        <v>84</v>
      </c>
      <c r="CZ95" s="61">
        <f t="shared" si="467"/>
        <v>85</v>
      </c>
      <c r="DA95" s="61">
        <f t="shared" si="467"/>
        <v>86</v>
      </c>
      <c r="DB95" s="61">
        <f t="shared" si="467"/>
        <v>87</v>
      </c>
      <c r="DC95" s="61">
        <f t="shared" si="467"/>
        <v>88</v>
      </c>
      <c r="DD95" s="61">
        <f t="shared" si="467"/>
        <v>89</v>
      </c>
      <c r="DE95" s="61">
        <f t="shared" si="467"/>
        <v>90</v>
      </c>
      <c r="DF95" s="61">
        <f t="shared" si="467"/>
        <v>91</v>
      </c>
      <c r="DG95" s="61">
        <f t="shared" si="467"/>
        <v>92</v>
      </c>
      <c r="DH95" s="61">
        <f t="shared" si="467"/>
        <v>93</v>
      </c>
      <c r="DI95" s="61">
        <f t="shared" si="467"/>
        <v>94</v>
      </c>
      <c r="DJ95" s="61">
        <f t="shared" si="467"/>
        <v>95</v>
      </c>
      <c r="DK95" s="61">
        <f t="shared" si="467"/>
        <v>96</v>
      </c>
      <c r="DL95" s="61">
        <f t="shared" si="467"/>
        <v>97</v>
      </c>
      <c r="DM95" s="61">
        <f t="shared" ref="DM95:ER95" si="468">DL95+1</f>
        <v>98</v>
      </c>
      <c r="DN95" s="61">
        <f t="shared" si="468"/>
        <v>99</v>
      </c>
      <c r="DO95" s="61">
        <f t="shared" si="468"/>
        <v>100</v>
      </c>
      <c r="DP95" s="61">
        <f t="shared" si="468"/>
        <v>101</v>
      </c>
      <c r="DQ95" s="61">
        <f t="shared" si="468"/>
        <v>102</v>
      </c>
      <c r="DR95" s="61">
        <f t="shared" si="468"/>
        <v>103</v>
      </c>
      <c r="DS95" s="61">
        <f t="shared" si="468"/>
        <v>104</v>
      </c>
      <c r="DT95" s="61">
        <f t="shared" si="468"/>
        <v>105</v>
      </c>
      <c r="DU95" s="61">
        <f t="shared" si="468"/>
        <v>106</v>
      </c>
      <c r="DV95" s="61">
        <f t="shared" si="468"/>
        <v>107</v>
      </c>
      <c r="DW95" s="61">
        <f t="shared" si="468"/>
        <v>108</v>
      </c>
      <c r="DX95" s="61">
        <f t="shared" si="468"/>
        <v>109</v>
      </c>
      <c r="DY95" s="61">
        <f t="shared" si="468"/>
        <v>110</v>
      </c>
      <c r="DZ95" s="61">
        <f t="shared" si="468"/>
        <v>111</v>
      </c>
      <c r="EA95" s="61">
        <f t="shared" si="468"/>
        <v>112</v>
      </c>
      <c r="EB95" s="61">
        <f t="shared" si="468"/>
        <v>113</v>
      </c>
      <c r="EC95" s="61">
        <f t="shared" si="468"/>
        <v>114</v>
      </c>
      <c r="ED95" s="61">
        <f t="shared" si="468"/>
        <v>115</v>
      </c>
      <c r="EE95" s="61">
        <f t="shared" si="468"/>
        <v>116</v>
      </c>
      <c r="EF95" s="61">
        <f t="shared" si="468"/>
        <v>117</v>
      </c>
      <c r="EG95" s="61">
        <f t="shared" si="468"/>
        <v>118</v>
      </c>
      <c r="EH95" s="61">
        <f t="shared" si="468"/>
        <v>119</v>
      </c>
      <c r="EI95" s="61">
        <f t="shared" si="468"/>
        <v>120</v>
      </c>
      <c r="EJ95" s="61">
        <f t="shared" si="468"/>
        <v>121</v>
      </c>
      <c r="EK95" s="61">
        <f t="shared" si="468"/>
        <v>122</v>
      </c>
      <c r="EL95" s="61">
        <f t="shared" si="468"/>
        <v>123</v>
      </c>
      <c r="EM95" s="61">
        <f t="shared" si="468"/>
        <v>124</v>
      </c>
      <c r="EN95" s="61">
        <f t="shared" si="468"/>
        <v>125</v>
      </c>
      <c r="EO95" s="61">
        <f t="shared" si="468"/>
        <v>126</v>
      </c>
      <c r="EP95" s="61">
        <f t="shared" si="468"/>
        <v>127</v>
      </c>
      <c r="EQ95" s="61">
        <f t="shared" si="468"/>
        <v>128</v>
      </c>
      <c r="ER95" s="61">
        <f t="shared" si="468"/>
        <v>129</v>
      </c>
      <c r="ES95" s="61">
        <f t="shared" ref="ES95:FX95" si="469">ER95+1</f>
        <v>130</v>
      </c>
      <c r="ET95" s="61">
        <f t="shared" si="469"/>
        <v>131</v>
      </c>
      <c r="EU95" s="61">
        <f t="shared" si="469"/>
        <v>132</v>
      </c>
      <c r="EV95" s="61">
        <f t="shared" si="469"/>
        <v>133</v>
      </c>
      <c r="EW95" s="61">
        <f t="shared" si="469"/>
        <v>134</v>
      </c>
      <c r="EX95" s="61">
        <f t="shared" si="469"/>
        <v>135</v>
      </c>
      <c r="EY95" s="61">
        <f t="shared" si="469"/>
        <v>136</v>
      </c>
      <c r="EZ95" s="61">
        <f t="shared" si="469"/>
        <v>137</v>
      </c>
      <c r="FA95" s="61">
        <f t="shared" si="469"/>
        <v>138</v>
      </c>
      <c r="FB95" s="61">
        <f t="shared" si="469"/>
        <v>139</v>
      </c>
      <c r="FC95" s="61">
        <f t="shared" si="469"/>
        <v>140</v>
      </c>
      <c r="FD95" s="61">
        <f t="shared" si="469"/>
        <v>141</v>
      </c>
      <c r="FE95" s="61">
        <f t="shared" si="469"/>
        <v>142</v>
      </c>
      <c r="FF95" s="61">
        <f t="shared" si="469"/>
        <v>143</v>
      </c>
      <c r="FG95" s="61">
        <f t="shared" si="469"/>
        <v>144</v>
      </c>
      <c r="FH95" s="61">
        <f t="shared" si="469"/>
        <v>145</v>
      </c>
      <c r="FI95" s="61">
        <f t="shared" si="469"/>
        <v>146</v>
      </c>
      <c r="FJ95" s="61">
        <f t="shared" si="469"/>
        <v>147</v>
      </c>
      <c r="FK95" s="61">
        <f t="shared" si="469"/>
        <v>148</v>
      </c>
      <c r="FL95" s="61">
        <f t="shared" si="469"/>
        <v>149</v>
      </c>
      <c r="FM95" s="61">
        <f t="shared" si="469"/>
        <v>150</v>
      </c>
      <c r="FN95" s="61">
        <f t="shared" si="469"/>
        <v>151</v>
      </c>
      <c r="FO95" s="61">
        <f t="shared" si="469"/>
        <v>152</v>
      </c>
      <c r="FP95" s="61">
        <f t="shared" si="469"/>
        <v>153</v>
      </c>
      <c r="FQ95" s="61">
        <f t="shared" si="469"/>
        <v>154</v>
      </c>
      <c r="FR95" s="61">
        <f t="shared" si="469"/>
        <v>155</v>
      </c>
      <c r="FS95" s="61">
        <f t="shared" si="469"/>
        <v>156</v>
      </c>
      <c r="FT95" s="61">
        <f t="shared" si="469"/>
        <v>157</v>
      </c>
      <c r="FU95" s="61">
        <f t="shared" si="469"/>
        <v>158</v>
      </c>
      <c r="FV95" s="61">
        <f t="shared" si="469"/>
        <v>159</v>
      </c>
      <c r="FW95" s="61">
        <f t="shared" si="469"/>
        <v>160</v>
      </c>
      <c r="FX95" s="61">
        <f t="shared" si="469"/>
        <v>161</v>
      </c>
      <c r="FY95" s="61">
        <f t="shared" ref="FY95:GQ95" si="470">FX95+1</f>
        <v>162</v>
      </c>
      <c r="FZ95" s="61">
        <f t="shared" si="470"/>
        <v>163</v>
      </c>
      <c r="GA95" s="61">
        <f t="shared" si="470"/>
        <v>164</v>
      </c>
      <c r="GB95" s="61">
        <f t="shared" si="470"/>
        <v>165</v>
      </c>
      <c r="GC95" s="61">
        <f t="shared" si="470"/>
        <v>166</v>
      </c>
      <c r="GD95" s="61">
        <f t="shared" si="470"/>
        <v>167</v>
      </c>
      <c r="GE95" s="61">
        <f t="shared" si="470"/>
        <v>168</v>
      </c>
      <c r="GF95" s="61">
        <f t="shared" si="470"/>
        <v>169</v>
      </c>
      <c r="GG95" s="61">
        <f t="shared" si="470"/>
        <v>170</v>
      </c>
      <c r="GH95" s="61">
        <f t="shared" si="470"/>
        <v>171</v>
      </c>
      <c r="GI95" s="61">
        <f t="shared" si="470"/>
        <v>172</v>
      </c>
      <c r="GJ95" s="61">
        <f t="shared" si="470"/>
        <v>173</v>
      </c>
      <c r="GK95" s="61">
        <f t="shared" si="470"/>
        <v>174</v>
      </c>
      <c r="GL95" s="61">
        <f t="shared" si="470"/>
        <v>175</v>
      </c>
      <c r="GM95" s="61">
        <f t="shared" si="470"/>
        <v>176</v>
      </c>
      <c r="GN95" s="61">
        <f t="shared" si="470"/>
        <v>177</v>
      </c>
      <c r="GO95" s="61">
        <f t="shared" si="470"/>
        <v>178</v>
      </c>
      <c r="GP95" s="61">
        <f t="shared" si="470"/>
        <v>179</v>
      </c>
      <c r="GQ95" s="61">
        <f t="shared" si="470"/>
        <v>180</v>
      </c>
      <c r="GS95" s="80"/>
      <c r="GT95" s="77"/>
      <c r="GU95" s="77"/>
      <c r="GV95" s="77"/>
      <c r="GW95" s="77"/>
      <c r="GX95" s="77"/>
      <c r="GY95" s="77"/>
      <c r="GZ95" s="77"/>
      <c r="HA95" s="77"/>
      <c r="HB95" s="77"/>
      <c r="HC95" s="77"/>
      <c r="HD95" s="77"/>
      <c r="HE95" s="77"/>
      <c r="HF95" s="77"/>
      <c r="HG95" s="77"/>
      <c r="HH95" s="77"/>
      <c r="HI95" s="77"/>
      <c r="HJ95" s="77"/>
      <c r="HK95" s="77"/>
      <c r="HL95" s="77"/>
      <c r="HM95" s="77"/>
      <c r="HN95" s="77"/>
      <c r="HO95" s="77"/>
      <c r="HP95" s="77"/>
      <c r="HQ95" s="77"/>
      <c r="HR95" s="77"/>
      <c r="HS95" s="77"/>
      <c r="HT95" s="77"/>
      <c r="HU95" s="77"/>
      <c r="HV95" s="77"/>
      <c r="HW95" s="77"/>
      <c r="HX95" s="77"/>
      <c r="HY95" s="77"/>
      <c r="HZ95" s="77"/>
      <c r="IA95" s="77"/>
      <c r="IB95" s="77"/>
      <c r="IC95" s="77"/>
      <c r="ID95" s="77"/>
      <c r="IE95" s="77"/>
      <c r="IF95" s="77"/>
      <c r="IG95" s="77"/>
      <c r="IH95" s="77"/>
      <c r="II95" s="77"/>
      <c r="IJ95" s="77"/>
      <c r="IK95" s="77"/>
      <c r="IL95" s="77"/>
      <c r="IM95" s="77"/>
      <c r="IN95" s="77"/>
      <c r="IO95" s="77"/>
      <c r="IP95" s="77"/>
      <c r="IQ95" s="77"/>
      <c r="IR95" s="77"/>
      <c r="IS95" s="77"/>
      <c r="IT95" s="77"/>
      <c r="IU95" s="77"/>
      <c r="IV95" s="77"/>
      <c r="IW95" s="77"/>
      <c r="IX95" s="77"/>
      <c r="IY95" s="77"/>
      <c r="IZ95" s="77"/>
      <c r="JA95" s="77"/>
      <c r="JB95" s="77"/>
      <c r="JC95" s="77"/>
      <c r="JD95" s="77"/>
      <c r="JE95" s="77"/>
      <c r="JF95" s="77"/>
      <c r="JG95" s="77"/>
      <c r="JH95" s="77"/>
      <c r="JI95" s="77"/>
      <c r="JJ95" s="77"/>
      <c r="JK95" s="77"/>
      <c r="JL95" s="77"/>
      <c r="JM95" s="77"/>
      <c r="JN95" s="77"/>
      <c r="JO95" s="77"/>
      <c r="JP95" s="77"/>
      <c r="JQ95" s="77"/>
      <c r="JR95" s="77"/>
      <c r="JS95" s="77"/>
      <c r="JT95" s="77"/>
      <c r="JU95" s="77"/>
      <c r="JV95" s="77"/>
      <c r="JW95" s="77"/>
      <c r="JX95" s="77"/>
      <c r="JY95" s="77"/>
      <c r="JZ95" s="77"/>
      <c r="KA95" s="77"/>
      <c r="KB95" s="77"/>
      <c r="KC95" s="77"/>
      <c r="KD95" s="77"/>
      <c r="KE95" s="77"/>
      <c r="KF95" s="77"/>
      <c r="KG95" s="77"/>
      <c r="KH95" s="77"/>
      <c r="KI95" s="77"/>
      <c r="KJ95" s="77"/>
      <c r="KK95" s="77"/>
      <c r="KL95" s="77"/>
      <c r="KM95" s="77"/>
      <c r="KN95" s="77"/>
      <c r="KO95" s="77"/>
      <c r="KP95" s="77"/>
      <c r="KQ95" s="77"/>
      <c r="KR95" s="77"/>
      <c r="KS95" s="77"/>
      <c r="KT95" s="77"/>
      <c r="KU95" s="77"/>
      <c r="KV95" s="77"/>
      <c r="KW95" s="77"/>
      <c r="KX95" s="77"/>
      <c r="KY95" s="77"/>
      <c r="KZ95" s="77"/>
      <c r="LA95" s="77"/>
      <c r="LB95" s="77"/>
      <c r="LC95" s="77"/>
      <c r="LD95" s="77"/>
      <c r="LE95" s="77"/>
      <c r="LF95" s="77"/>
      <c r="LG95" s="77"/>
      <c r="LH95" s="77"/>
      <c r="LI95" s="77"/>
      <c r="LJ95" s="77"/>
      <c r="LK95" s="77"/>
      <c r="LL95" s="77"/>
      <c r="LM95" s="77"/>
      <c r="LN95" s="77"/>
      <c r="LO95" s="77"/>
      <c r="LP95" s="77"/>
      <c r="LQ95" s="77"/>
      <c r="LR95" s="77"/>
      <c r="LS95" s="77"/>
      <c r="LT95" s="77"/>
      <c r="LU95" s="77"/>
      <c r="LV95" s="77"/>
      <c r="LW95" s="77"/>
      <c r="LX95" s="77"/>
      <c r="LY95" s="77"/>
      <c r="LZ95" s="77"/>
      <c r="MA95" s="77"/>
      <c r="MB95" s="77"/>
      <c r="MC95" s="77"/>
      <c r="MD95" s="77"/>
      <c r="ME95" s="77"/>
      <c r="MF95" s="77"/>
      <c r="MG95" s="77"/>
      <c r="MH95" s="77"/>
      <c r="MI95" s="77"/>
      <c r="MJ95" s="77"/>
      <c r="MK95" s="77"/>
      <c r="ML95" s="77"/>
      <c r="MM95" s="77"/>
      <c r="MN95" s="77"/>
      <c r="MO95" s="77"/>
      <c r="MP95" s="77"/>
      <c r="MQ95" s="77"/>
      <c r="MR95" s="77"/>
      <c r="MS95" s="77"/>
      <c r="MT95" s="77"/>
      <c r="MU95" s="77"/>
      <c r="MV95" s="77"/>
      <c r="MW95" s="77"/>
      <c r="MX95" s="77"/>
      <c r="MY95" s="77"/>
      <c r="MZ95" s="77"/>
      <c r="NA95" s="77"/>
      <c r="NB95" s="77"/>
      <c r="NC95" s="77"/>
      <c r="ND95" s="77"/>
      <c r="NE95" s="77"/>
      <c r="NF95" s="77"/>
      <c r="NG95" s="77"/>
      <c r="NH95" s="77"/>
      <c r="NI95" s="77"/>
      <c r="NJ95" s="77"/>
      <c r="NK95" s="77"/>
      <c r="NL95" s="77"/>
      <c r="NM95" s="77"/>
      <c r="NN95" s="77"/>
      <c r="NO95" s="77"/>
      <c r="NP95" s="77"/>
      <c r="NQ95" s="77"/>
      <c r="NR95" s="77"/>
      <c r="NS95" s="77"/>
      <c r="NT95" s="77"/>
      <c r="NU95" s="77"/>
      <c r="NV95" s="77"/>
      <c r="NW95" s="77"/>
    </row>
    <row r="96" spans="2:388" x14ac:dyDescent="0.3">
      <c r="B96" s="49" t="str">
        <f>B46</f>
        <v>Total Project Costs (before Debt)</v>
      </c>
      <c r="C96" s="19"/>
      <c r="D96" s="19"/>
      <c r="E96" s="19"/>
      <c r="F96" s="19"/>
      <c r="G96" s="19"/>
      <c r="H96" s="19"/>
      <c r="I96" s="19"/>
      <c r="J96" s="23">
        <f>L96/$L$8</f>
        <v>-47093.478260869575</v>
      </c>
      <c r="K96" s="29">
        <f>L96/$L$7</f>
        <v>-6.2250000000000014</v>
      </c>
      <c r="L96" s="23">
        <f>SUM(T96:GQ96)</f>
        <v>-10831500.000000002</v>
      </c>
      <c r="S96" s="67" t="str">
        <f>IF(ROUND(-L96,0)=ROUND(L46,0),"OK","ERROR")</f>
        <v>OK</v>
      </c>
      <c r="T96" s="50">
        <f t="shared" ref="T96:AY96" si="471">-T46</f>
        <v>-2943418.585526316</v>
      </c>
      <c r="U96" s="50">
        <f t="shared" si="471"/>
        <v>-85890.627011509554</v>
      </c>
      <c r="V96" s="50">
        <f t="shared" si="471"/>
        <v>-91255.823555876836</v>
      </c>
      <c r="W96" s="50">
        <f t="shared" si="471"/>
        <v>-99888.170850955968</v>
      </c>
      <c r="X96" s="50">
        <f t="shared" si="471"/>
        <v>-113114.02021222032</v>
      </c>
      <c r="Y96" s="50">
        <f t="shared" si="471"/>
        <v>-132387.58147376956</v>
      </c>
      <c r="Z96" s="50">
        <f t="shared" si="471"/>
        <v>-159061.3003494427</v>
      </c>
      <c r="AA96" s="50">
        <f t="shared" si="471"/>
        <v>-241661.94259224951</v>
      </c>
      <c r="AB96" s="50">
        <f t="shared" si="471"/>
        <v>-249320.4918396665</v>
      </c>
      <c r="AC96" s="50">
        <f t="shared" si="471"/>
        <v>-260685.53284439625</v>
      </c>
      <c r="AD96" s="50">
        <f t="shared" si="471"/>
        <v>-315954.30016837636</v>
      </c>
      <c r="AE96" s="50">
        <f t="shared" si="471"/>
        <v>-371881.33070336544</v>
      </c>
      <c r="AF96" s="50">
        <f t="shared" si="471"/>
        <v>-423441.08920777583</v>
      </c>
      <c r="AG96" s="50">
        <f t="shared" si="471"/>
        <v>-465277.83944521204</v>
      </c>
      <c r="AH96" s="50">
        <f t="shared" si="471"/>
        <v>-492606.97460704664</v>
      </c>
      <c r="AI96" s="50">
        <f t="shared" si="471"/>
        <v>-502112.21204171277</v>
      </c>
      <c r="AJ96" s="50">
        <f t="shared" si="471"/>
        <v>-492606.97460704693</v>
      </c>
      <c r="AK96" s="50">
        <f t="shared" si="471"/>
        <v>-465277.83944521175</v>
      </c>
      <c r="AL96" s="50">
        <f t="shared" si="471"/>
        <v>-423441.08920777566</v>
      </c>
      <c r="AM96" s="50">
        <f t="shared" si="471"/>
        <v>-426881.33070336562</v>
      </c>
      <c r="AN96" s="50">
        <f t="shared" si="471"/>
        <v>-370954.30016837624</v>
      </c>
      <c r="AO96" s="50">
        <f t="shared" si="471"/>
        <v>-315685.53284439631</v>
      </c>
      <c r="AP96" s="50">
        <f t="shared" si="471"/>
        <v>-265070.49183966639</v>
      </c>
      <c r="AQ96" s="50">
        <f t="shared" si="471"/>
        <v>-221697.65687796433</v>
      </c>
      <c r="AR96" s="50">
        <f t="shared" si="471"/>
        <v>-175351.27599879279</v>
      </c>
      <c r="AS96" s="50">
        <f t="shared" si="471"/>
        <v>-148677.55712312032</v>
      </c>
      <c r="AT96" s="50">
        <f t="shared" si="471"/>
        <v>-129403.99586157137</v>
      </c>
      <c r="AU96" s="50">
        <f t="shared" si="471"/>
        <v>-116178.14650030635</v>
      </c>
      <c r="AV96" s="50">
        <f t="shared" si="471"/>
        <v>-52545.799205227355</v>
      </c>
      <c r="AW96" s="50">
        <f t="shared" si="471"/>
        <v>-38816.966297223873</v>
      </c>
      <c r="AX96" s="50">
        <f t="shared" si="471"/>
        <v>-31926.295468400731</v>
      </c>
      <c r="AY96" s="50">
        <f t="shared" si="471"/>
        <v>-31926.295468400731</v>
      </c>
      <c r="AZ96" s="50">
        <f t="shared" ref="AZ96:CE96" si="472">-AZ46</f>
        <v>-31926.295468400731</v>
      </c>
      <c r="BA96" s="50">
        <f t="shared" si="472"/>
        <v>-31926.295468400731</v>
      </c>
      <c r="BB96" s="50">
        <f t="shared" si="472"/>
        <v>-31926.295468400731</v>
      </c>
      <c r="BC96" s="50">
        <f t="shared" si="472"/>
        <v>-31926.295468400731</v>
      </c>
      <c r="BD96" s="50">
        <f t="shared" si="472"/>
        <v>-24697.724039829303</v>
      </c>
      <c r="BE96" s="50">
        <f t="shared" si="472"/>
        <v>-24697.724039829303</v>
      </c>
      <c r="BF96" s="50">
        <f t="shared" si="472"/>
        <v>0</v>
      </c>
      <c r="BG96" s="50">
        <f t="shared" si="472"/>
        <v>0</v>
      </c>
      <c r="BH96" s="50">
        <f t="shared" si="472"/>
        <v>0</v>
      </c>
      <c r="BI96" s="50">
        <f t="shared" si="472"/>
        <v>0</v>
      </c>
      <c r="BJ96" s="50">
        <f t="shared" si="472"/>
        <v>0</v>
      </c>
      <c r="BK96" s="50">
        <f t="shared" si="472"/>
        <v>0</v>
      </c>
      <c r="BL96" s="50">
        <f t="shared" si="472"/>
        <v>0</v>
      </c>
      <c r="BM96" s="50">
        <f t="shared" si="472"/>
        <v>0</v>
      </c>
      <c r="BN96" s="50">
        <f t="shared" si="472"/>
        <v>0</v>
      </c>
      <c r="BO96" s="50">
        <f t="shared" si="472"/>
        <v>0</v>
      </c>
      <c r="BP96" s="50">
        <f t="shared" si="472"/>
        <v>0</v>
      </c>
      <c r="BQ96" s="50">
        <f t="shared" si="472"/>
        <v>0</v>
      </c>
      <c r="BR96" s="50">
        <f t="shared" si="472"/>
        <v>0</v>
      </c>
      <c r="BS96" s="50">
        <f t="shared" si="472"/>
        <v>0</v>
      </c>
      <c r="BT96" s="50">
        <f t="shared" si="472"/>
        <v>0</v>
      </c>
      <c r="BU96" s="50">
        <f t="shared" si="472"/>
        <v>0</v>
      </c>
      <c r="BV96" s="50">
        <f t="shared" si="472"/>
        <v>0</v>
      </c>
      <c r="BW96" s="50">
        <f t="shared" si="472"/>
        <v>0</v>
      </c>
      <c r="BX96" s="50">
        <f t="shared" si="472"/>
        <v>0</v>
      </c>
      <c r="BY96" s="50">
        <f t="shared" si="472"/>
        <v>0</v>
      </c>
      <c r="BZ96" s="50">
        <f t="shared" si="472"/>
        <v>0</v>
      </c>
      <c r="CA96" s="50">
        <f t="shared" si="472"/>
        <v>0</v>
      </c>
      <c r="CB96" s="50">
        <f t="shared" si="472"/>
        <v>0</v>
      </c>
      <c r="CC96" s="50">
        <f t="shared" si="472"/>
        <v>0</v>
      </c>
      <c r="CD96" s="50">
        <f t="shared" si="472"/>
        <v>0</v>
      </c>
      <c r="CE96" s="50">
        <f t="shared" si="472"/>
        <v>0</v>
      </c>
      <c r="CF96" s="50">
        <f t="shared" ref="CF96:DK96" si="473">-CF46</f>
        <v>0</v>
      </c>
      <c r="CG96" s="50">
        <f t="shared" si="473"/>
        <v>0</v>
      </c>
      <c r="CH96" s="50">
        <f t="shared" si="473"/>
        <v>0</v>
      </c>
      <c r="CI96" s="50">
        <f t="shared" si="473"/>
        <v>0</v>
      </c>
      <c r="CJ96" s="50">
        <f t="shared" si="473"/>
        <v>0</v>
      </c>
      <c r="CK96" s="50">
        <f t="shared" si="473"/>
        <v>0</v>
      </c>
      <c r="CL96" s="50">
        <f t="shared" si="473"/>
        <v>0</v>
      </c>
      <c r="CM96" s="50">
        <f t="shared" si="473"/>
        <v>0</v>
      </c>
      <c r="CN96" s="50">
        <f t="shared" si="473"/>
        <v>0</v>
      </c>
      <c r="CO96" s="50">
        <f t="shared" si="473"/>
        <v>0</v>
      </c>
      <c r="CP96" s="50">
        <f t="shared" si="473"/>
        <v>0</v>
      </c>
      <c r="CQ96" s="50">
        <f t="shared" si="473"/>
        <v>0</v>
      </c>
      <c r="CR96" s="50">
        <f t="shared" si="473"/>
        <v>0</v>
      </c>
      <c r="CS96" s="50">
        <f t="shared" si="473"/>
        <v>0</v>
      </c>
      <c r="CT96" s="50">
        <f t="shared" si="473"/>
        <v>0</v>
      </c>
      <c r="CU96" s="50">
        <f t="shared" si="473"/>
        <v>0</v>
      </c>
      <c r="CV96" s="50">
        <f t="shared" si="473"/>
        <v>0</v>
      </c>
      <c r="CW96" s="50">
        <f t="shared" si="473"/>
        <v>0</v>
      </c>
      <c r="CX96" s="50">
        <f t="shared" si="473"/>
        <v>0</v>
      </c>
      <c r="CY96" s="50">
        <f t="shared" si="473"/>
        <v>0</v>
      </c>
      <c r="CZ96" s="50">
        <f t="shared" si="473"/>
        <v>0</v>
      </c>
      <c r="DA96" s="50">
        <f t="shared" si="473"/>
        <v>0</v>
      </c>
      <c r="DB96" s="50">
        <f t="shared" si="473"/>
        <v>0</v>
      </c>
      <c r="DC96" s="50">
        <f t="shared" si="473"/>
        <v>0</v>
      </c>
      <c r="DD96" s="50">
        <f t="shared" si="473"/>
        <v>0</v>
      </c>
      <c r="DE96" s="50">
        <f t="shared" si="473"/>
        <v>0</v>
      </c>
      <c r="DF96" s="50">
        <f t="shared" si="473"/>
        <v>0</v>
      </c>
      <c r="DG96" s="50">
        <f t="shared" si="473"/>
        <v>0</v>
      </c>
      <c r="DH96" s="50">
        <f t="shared" si="473"/>
        <v>0</v>
      </c>
      <c r="DI96" s="50">
        <f t="shared" si="473"/>
        <v>0</v>
      </c>
      <c r="DJ96" s="50">
        <f t="shared" si="473"/>
        <v>0</v>
      </c>
      <c r="DK96" s="50">
        <f t="shared" si="473"/>
        <v>0</v>
      </c>
      <c r="DL96" s="50">
        <f t="shared" ref="DL96:EQ96" si="474">-DL46</f>
        <v>0</v>
      </c>
      <c r="DM96" s="50">
        <f t="shared" si="474"/>
        <v>0</v>
      </c>
      <c r="DN96" s="50">
        <f t="shared" si="474"/>
        <v>0</v>
      </c>
      <c r="DO96" s="50">
        <f t="shared" si="474"/>
        <v>0</v>
      </c>
      <c r="DP96" s="50">
        <f t="shared" si="474"/>
        <v>0</v>
      </c>
      <c r="DQ96" s="50">
        <f t="shared" si="474"/>
        <v>0</v>
      </c>
      <c r="DR96" s="50">
        <f t="shared" si="474"/>
        <v>0</v>
      </c>
      <c r="DS96" s="50">
        <f t="shared" si="474"/>
        <v>0</v>
      </c>
      <c r="DT96" s="50">
        <f t="shared" si="474"/>
        <v>0</v>
      </c>
      <c r="DU96" s="50">
        <f t="shared" si="474"/>
        <v>0</v>
      </c>
      <c r="DV96" s="50">
        <f t="shared" si="474"/>
        <v>0</v>
      </c>
      <c r="DW96" s="50">
        <f t="shared" si="474"/>
        <v>0</v>
      </c>
      <c r="DX96" s="50">
        <f t="shared" si="474"/>
        <v>0</v>
      </c>
      <c r="DY96" s="50">
        <f t="shared" si="474"/>
        <v>0</v>
      </c>
      <c r="DZ96" s="50">
        <f t="shared" si="474"/>
        <v>0</v>
      </c>
      <c r="EA96" s="50">
        <f t="shared" si="474"/>
        <v>0</v>
      </c>
      <c r="EB96" s="50">
        <f t="shared" si="474"/>
        <v>0</v>
      </c>
      <c r="EC96" s="50">
        <f t="shared" si="474"/>
        <v>0</v>
      </c>
      <c r="ED96" s="50">
        <f t="shared" si="474"/>
        <v>0</v>
      </c>
      <c r="EE96" s="50">
        <f t="shared" si="474"/>
        <v>0</v>
      </c>
      <c r="EF96" s="50">
        <f t="shared" si="474"/>
        <v>0</v>
      </c>
      <c r="EG96" s="50">
        <f t="shared" si="474"/>
        <v>0</v>
      </c>
      <c r="EH96" s="50">
        <f t="shared" si="474"/>
        <v>0</v>
      </c>
      <c r="EI96" s="50">
        <f t="shared" si="474"/>
        <v>0</v>
      </c>
      <c r="EJ96" s="50">
        <f t="shared" si="474"/>
        <v>0</v>
      </c>
      <c r="EK96" s="50">
        <f t="shared" si="474"/>
        <v>0</v>
      </c>
      <c r="EL96" s="50">
        <f t="shared" si="474"/>
        <v>0</v>
      </c>
      <c r="EM96" s="50">
        <f t="shared" si="474"/>
        <v>0</v>
      </c>
      <c r="EN96" s="50">
        <f t="shared" si="474"/>
        <v>0</v>
      </c>
      <c r="EO96" s="50">
        <f t="shared" si="474"/>
        <v>0</v>
      </c>
      <c r="EP96" s="50">
        <f t="shared" si="474"/>
        <v>0</v>
      </c>
      <c r="EQ96" s="50">
        <f t="shared" si="474"/>
        <v>0</v>
      </c>
      <c r="ER96" s="50">
        <f t="shared" ref="ER96:FW96" si="475">-ER46</f>
        <v>0</v>
      </c>
      <c r="ES96" s="50">
        <f t="shared" si="475"/>
        <v>0</v>
      </c>
      <c r="ET96" s="50">
        <f t="shared" si="475"/>
        <v>0</v>
      </c>
      <c r="EU96" s="50">
        <f t="shared" si="475"/>
        <v>0</v>
      </c>
      <c r="EV96" s="50">
        <f t="shared" si="475"/>
        <v>0</v>
      </c>
      <c r="EW96" s="50">
        <f t="shared" si="475"/>
        <v>0</v>
      </c>
      <c r="EX96" s="50">
        <f t="shared" si="475"/>
        <v>0</v>
      </c>
      <c r="EY96" s="50">
        <f t="shared" si="475"/>
        <v>0</v>
      </c>
      <c r="EZ96" s="50">
        <f t="shared" si="475"/>
        <v>0</v>
      </c>
      <c r="FA96" s="50">
        <f t="shared" si="475"/>
        <v>0</v>
      </c>
      <c r="FB96" s="50">
        <f t="shared" si="475"/>
        <v>0</v>
      </c>
      <c r="FC96" s="50">
        <f t="shared" si="475"/>
        <v>0</v>
      </c>
      <c r="FD96" s="50">
        <f t="shared" si="475"/>
        <v>0</v>
      </c>
      <c r="FE96" s="50">
        <f t="shared" si="475"/>
        <v>0</v>
      </c>
      <c r="FF96" s="50">
        <f t="shared" si="475"/>
        <v>0</v>
      </c>
      <c r="FG96" s="50">
        <f t="shared" si="475"/>
        <v>0</v>
      </c>
      <c r="FH96" s="50">
        <f t="shared" si="475"/>
        <v>0</v>
      </c>
      <c r="FI96" s="50">
        <f t="shared" si="475"/>
        <v>0</v>
      </c>
      <c r="FJ96" s="50">
        <f t="shared" si="475"/>
        <v>0</v>
      </c>
      <c r="FK96" s="50">
        <f t="shared" si="475"/>
        <v>0</v>
      </c>
      <c r="FL96" s="50">
        <f t="shared" si="475"/>
        <v>0</v>
      </c>
      <c r="FM96" s="50">
        <f t="shared" si="475"/>
        <v>0</v>
      </c>
      <c r="FN96" s="50">
        <f t="shared" si="475"/>
        <v>0</v>
      </c>
      <c r="FO96" s="50">
        <f t="shared" si="475"/>
        <v>0</v>
      </c>
      <c r="FP96" s="50">
        <f t="shared" si="475"/>
        <v>0</v>
      </c>
      <c r="FQ96" s="50">
        <f t="shared" si="475"/>
        <v>0</v>
      </c>
      <c r="FR96" s="50">
        <f t="shared" si="475"/>
        <v>0</v>
      </c>
      <c r="FS96" s="50">
        <f t="shared" si="475"/>
        <v>0</v>
      </c>
      <c r="FT96" s="50">
        <f t="shared" si="475"/>
        <v>0</v>
      </c>
      <c r="FU96" s="50">
        <f t="shared" si="475"/>
        <v>0</v>
      </c>
      <c r="FV96" s="50">
        <f t="shared" si="475"/>
        <v>0</v>
      </c>
      <c r="FW96" s="50">
        <f t="shared" si="475"/>
        <v>0</v>
      </c>
      <c r="FX96" s="50">
        <f t="shared" ref="FX96:GQ96" si="476">-FX46</f>
        <v>0</v>
      </c>
      <c r="FY96" s="50">
        <f t="shared" si="476"/>
        <v>0</v>
      </c>
      <c r="FZ96" s="50">
        <f t="shared" si="476"/>
        <v>0</v>
      </c>
      <c r="GA96" s="50">
        <f t="shared" si="476"/>
        <v>0</v>
      </c>
      <c r="GB96" s="50">
        <f t="shared" si="476"/>
        <v>0</v>
      </c>
      <c r="GC96" s="50">
        <f t="shared" si="476"/>
        <v>0</v>
      </c>
      <c r="GD96" s="50">
        <f t="shared" si="476"/>
        <v>0</v>
      </c>
      <c r="GE96" s="50">
        <f t="shared" si="476"/>
        <v>0</v>
      </c>
      <c r="GF96" s="50">
        <f t="shared" si="476"/>
        <v>0</v>
      </c>
      <c r="GG96" s="50">
        <f t="shared" si="476"/>
        <v>0</v>
      </c>
      <c r="GH96" s="50">
        <f t="shared" si="476"/>
        <v>0</v>
      </c>
      <c r="GI96" s="50">
        <f t="shared" si="476"/>
        <v>0</v>
      </c>
      <c r="GJ96" s="50">
        <f t="shared" si="476"/>
        <v>0</v>
      </c>
      <c r="GK96" s="50">
        <f t="shared" si="476"/>
        <v>0</v>
      </c>
      <c r="GL96" s="50">
        <f t="shared" si="476"/>
        <v>0</v>
      </c>
      <c r="GM96" s="50">
        <f t="shared" si="476"/>
        <v>0</v>
      </c>
      <c r="GN96" s="50">
        <f t="shared" si="476"/>
        <v>0</v>
      </c>
      <c r="GO96" s="50">
        <f t="shared" si="476"/>
        <v>0</v>
      </c>
      <c r="GP96" s="50">
        <f t="shared" si="476"/>
        <v>0</v>
      </c>
      <c r="GQ96" s="50">
        <f t="shared" si="476"/>
        <v>0</v>
      </c>
      <c r="GS96" s="80"/>
      <c r="GT96" s="77"/>
      <c r="GU96" s="77"/>
      <c r="GV96" s="77"/>
      <c r="GW96" s="77"/>
      <c r="GX96" s="77"/>
      <c r="GY96" s="77"/>
      <c r="GZ96" s="77"/>
      <c r="HA96" s="77"/>
      <c r="HB96" s="77"/>
      <c r="HC96" s="77"/>
      <c r="HD96" s="77"/>
      <c r="HE96" s="77"/>
      <c r="HF96" s="77"/>
      <c r="HG96" s="77"/>
      <c r="HH96" s="77"/>
      <c r="HI96" s="77"/>
      <c r="HJ96" s="77"/>
      <c r="HK96" s="77"/>
      <c r="HL96" s="77"/>
      <c r="HM96" s="77"/>
      <c r="HN96" s="77"/>
      <c r="HO96" s="77"/>
      <c r="HP96" s="77"/>
      <c r="HQ96" s="77"/>
      <c r="HR96" s="77"/>
      <c r="HS96" s="77"/>
      <c r="HT96" s="77"/>
      <c r="HU96" s="77"/>
      <c r="HV96" s="77"/>
      <c r="HW96" s="77"/>
      <c r="HX96" s="77"/>
      <c r="HY96" s="77"/>
      <c r="HZ96" s="77"/>
      <c r="IA96" s="77"/>
      <c r="IB96" s="77"/>
      <c r="IC96" s="77"/>
      <c r="ID96" s="77"/>
      <c r="IE96" s="77"/>
      <c r="IF96" s="77"/>
      <c r="IG96" s="77"/>
      <c r="IH96" s="77"/>
      <c r="II96" s="77"/>
      <c r="IJ96" s="77"/>
      <c r="IK96" s="77"/>
      <c r="IL96" s="77"/>
      <c r="IM96" s="77"/>
      <c r="IN96" s="77"/>
      <c r="IO96" s="77"/>
      <c r="IP96" s="77"/>
      <c r="IQ96" s="77"/>
      <c r="IR96" s="77"/>
      <c r="IS96" s="77"/>
      <c r="IT96" s="77"/>
      <c r="IU96" s="77"/>
      <c r="IV96" s="77"/>
      <c r="IW96" s="77"/>
      <c r="IX96" s="77"/>
      <c r="IY96" s="77"/>
      <c r="IZ96" s="77"/>
      <c r="JA96" s="77"/>
      <c r="JB96" s="77"/>
      <c r="JC96" s="77"/>
      <c r="JD96" s="77"/>
      <c r="JE96" s="77"/>
      <c r="JF96" s="77"/>
      <c r="JG96" s="77"/>
      <c r="JH96" s="77"/>
      <c r="JI96" s="77"/>
      <c r="JJ96" s="77"/>
      <c r="JK96" s="77"/>
      <c r="JL96" s="77"/>
      <c r="JM96" s="77"/>
      <c r="JN96" s="77"/>
      <c r="JO96" s="77"/>
      <c r="JP96" s="77"/>
      <c r="JQ96" s="77"/>
      <c r="JR96" s="77"/>
      <c r="JS96" s="77"/>
      <c r="JT96" s="77"/>
      <c r="JU96" s="77"/>
      <c r="JV96" s="77"/>
      <c r="JW96" s="77"/>
      <c r="JX96" s="77"/>
      <c r="JY96" s="77"/>
      <c r="JZ96" s="77"/>
      <c r="KA96" s="77"/>
      <c r="KB96" s="77"/>
      <c r="KC96" s="77"/>
      <c r="KD96" s="77"/>
      <c r="KE96" s="77"/>
      <c r="KF96" s="77"/>
      <c r="KG96" s="77"/>
      <c r="KH96" s="77"/>
      <c r="KI96" s="77"/>
      <c r="KJ96" s="77"/>
      <c r="KK96" s="77"/>
      <c r="KL96" s="77"/>
      <c r="KM96" s="77"/>
      <c r="KN96" s="77"/>
      <c r="KO96" s="77"/>
      <c r="KP96" s="77"/>
      <c r="KQ96" s="77"/>
      <c r="KR96" s="77"/>
      <c r="KS96" s="77"/>
      <c r="KT96" s="77"/>
      <c r="KU96" s="77"/>
      <c r="KV96" s="77"/>
      <c r="KW96" s="77"/>
      <c r="KX96" s="77"/>
      <c r="KY96" s="77"/>
      <c r="KZ96" s="77"/>
      <c r="LA96" s="77"/>
      <c r="LB96" s="77"/>
      <c r="LC96" s="77"/>
      <c r="LD96" s="77"/>
      <c r="LE96" s="77"/>
      <c r="LF96" s="77"/>
      <c r="LG96" s="77"/>
      <c r="LH96" s="77"/>
      <c r="LI96" s="77"/>
      <c r="LJ96" s="77"/>
      <c r="LK96" s="77"/>
      <c r="LL96" s="77"/>
      <c r="LM96" s="77"/>
      <c r="LN96" s="77"/>
      <c r="LO96" s="77"/>
      <c r="LP96" s="77"/>
      <c r="LQ96" s="77"/>
      <c r="LR96" s="77"/>
      <c r="LS96" s="77"/>
      <c r="LT96" s="77"/>
      <c r="LU96" s="77"/>
      <c r="LV96" s="77"/>
      <c r="LW96" s="77"/>
      <c r="LX96" s="77"/>
      <c r="LY96" s="77"/>
      <c r="LZ96" s="77"/>
      <c r="MA96" s="77"/>
      <c r="MB96" s="77"/>
      <c r="MC96" s="77"/>
      <c r="MD96" s="77"/>
      <c r="ME96" s="77"/>
      <c r="MF96" s="77"/>
      <c r="MG96" s="77"/>
      <c r="MH96" s="77"/>
      <c r="MI96" s="77"/>
      <c r="MJ96" s="77"/>
      <c r="MK96" s="77"/>
      <c r="ML96" s="77"/>
      <c r="MM96" s="77"/>
      <c r="MN96" s="77"/>
      <c r="MO96" s="77"/>
      <c r="MP96" s="77"/>
      <c r="MQ96" s="77"/>
      <c r="MR96" s="77"/>
      <c r="MS96" s="77"/>
      <c r="MT96" s="77"/>
      <c r="MU96" s="77"/>
      <c r="MV96" s="77"/>
      <c r="MW96" s="77"/>
      <c r="MX96" s="77"/>
      <c r="MY96" s="77"/>
      <c r="MZ96" s="77"/>
      <c r="NA96" s="77"/>
      <c r="NB96" s="77"/>
      <c r="NC96" s="77"/>
      <c r="ND96" s="77"/>
      <c r="NE96" s="77"/>
      <c r="NF96" s="77"/>
      <c r="NG96" s="77"/>
      <c r="NH96" s="77"/>
      <c r="NI96" s="77"/>
      <c r="NJ96" s="77"/>
      <c r="NK96" s="77"/>
      <c r="NL96" s="77"/>
      <c r="NM96" s="77"/>
      <c r="NN96" s="77"/>
      <c r="NO96" s="77"/>
      <c r="NP96" s="77"/>
      <c r="NQ96" s="77"/>
      <c r="NR96" s="77"/>
      <c r="NS96" s="77"/>
      <c r="NT96" s="77"/>
      <c r="NU96" s="77"/>
      <c r="NV96" s="77"/>
      <c r="NW96" s="77"/>
    </row>
    <row r="97" spans="2:387" ht="15.5" x14ac:dyDescent="0.45">
      <c r="B97" s="49" t="str">
        <f>B92</f>
        <v>Net Proceeds from Lot Sales</v>
      </c>
      <c r="C97" s="19"/>
      <c r="D97" s="19"/>
      <c r="E97" s="19"/>
      <c r="F97" s="19"/>
      <c r="G97" s="19"/>
      <c r="H97" s="19"/>
      <c r="I97" s="19"/>
      <c r="J97" s="31">
        <f>L97/$L$8</f>
        <v>62140.054814456518</v>
      </c>
      <c r="K97" s="32">
        <f>L97/$L$7</f>
        <v>8.2139152915660905</v>
      </c>
      <c r="L97" s="31">
        <f>SUM(T97:GQ97)</f>
        <v>14292212.607324999</v>
      </c>
      <c r="S97" s="67" t="str">
        <f>S92</f>
        <v>OK</v>
      </c>
      <c r="T97" s="62">
        <f>T92</f>
        <v>0</v>
      </c>
      <c r="U97" s="62">
        <f t="shared" ref="U97:CF97" si="477">U92</f>
        <v>0</v>
      </c>
      <c r="V97" s="62">
        <f t="shared" si="477"/>
        <v>0</v>
      </c>
      <c r="W97" s="62">
        <f t="shared" si="477"/>
        <v>0</v>
      </c>
      <c r="X97" s="62">
        <f t="shared" si="477"/>
        <v>0</v>
      </c>
      <c r="Y97" s="62">
        <f t="shared" si="477"/>
        <v>0</v>
      </c>
      <c r="Z97" s="62">
        <f t="shared" si="477"/>
        <v>0</v>
      </c>
      <c r="AA97" s="62">
        <f t="shared" si="477"/>
        <v>0</v>
      </c>
      <c r="AB97" s="62">
        <f t="shared" si="477"/>
        <v>0</v>
      </c>
      <c r="AC97" s="62">
        <f t="shared" si="477"/>
        <v>2344125</v>
      </c>
      <c r="AD97" s="62">
        <f t="shared" si="477"/>
        <v>0</v>
      </c>
      <c r="AE97" s="62">
        <f t="shared" si="477"/>
        <v>1436875</v>
      </c>
      <c r="AF97" s="62">
        <f t="shared" si="477"/>
        <v>0</v>
      </c>
      <c r="AG97" s="62">
        <f t="shared" si="477"/>
        <v>0</v>
      </c>
      <c r="AH97" s="62">
        <f t="shared" si="477"/>
        <v>0</v>
      </c>
      <c r="AI97" s="62">
        <f t="shared" si="477"/>
        <v>1004625</v>
      </c>
      <c r="AJ97" s="62">
        <f t="shared" si="477"/>
        <v>0</v>
      </c>
      <c r="AK97" s="62">
        <f t="shared" si="477"/>
        <v>689700</v>
      </c>
      <c r="AL97" s="62">
        <f t="shared" si="477"/>
        <v>1004625</v>
      </c>
      <c r="AM97" s="62">
        <f t="shared" si="477"/>
        <v>0</v>
      </c>
      <c r="AN97" s="62">
        <f t="shared" si="477"/>
        <v>689700</v>
      </c>
      <c r="AO97" s="62">
        <f t="shared" si="477"/>
        <v>758826.75</v>
      </c>
      <c r="AP97" s="62">
        <f t="shared" si="477"/>
        <v>0</v>
      </c>
      <c r="AQ97" s="62">
        <f t="shared" si="477"/>
        <v>710391</v>
      </c>
      <c r="AR97" s="62">
        <f t="shared" si="477"/>
        <v>0</v>
      </c>
      <c r="AS97" s="62">
        <f t="shared" si="477"/>
        <v>0</v>
      </c>
      <c r="AT97" s="62">
        <f t="shared" si="477"/>
        <v>710391</v>
      </c>
      <c r="AU97" s="62">
        <f t="shared" si="477"/>
        <v>0</v>
      </c>
      <c r="AV97" s="62">
        <f t="shared" si="477"/>
        <v>0</v>
      </c>
      <c r="AW97" s="62">
        <f t="shared" si="477"/>
        <v>124630</v>
      </c>
      <c r="AX97" s="62">
        <f t="shared" si="477"/>
        <v>124630</v>
      </c>
      <c r="AY97" s="62">
        <f t="shared" si="477"/>
        <v>124630</v>
      </c>
      <c r="AZ97" s="62">
        <f t="shared" si="477"/>
        <v>124630</v>
      </c>
      <c r="BA97" s="62">
        <f t="shared" si="477"/>
        <v>124630</v>
      </c>
      <c r="BB97" s="62">
        <f t="shared" si="477"/>
        <v>124630</v>
      </c>
      <c r="BC97" s="62">
        <f t="shared" si="477"/>
        <v>124630</v>
      </c>
      <c r="BD97" s="62">
        <f t="shared" si="477"/>
        <v>124630</v>
      </c>
      <c r="BE97" s="62">
        <f t="shared" si="477"/>
        <v>124630</v>
      </c>
      <c r="BF97" s="62">
        <f t="shared" si="477"/>
        <v>124630</v>
      </c>
      <c r="BG97" s="62">
        <f t="shared" si="477"/>
        <v>382128.38573250006</v>
      </c>
      <c r="BH97" s="62">
        <f t="shared" si="477"/>
        <v>382128.38573250006</v>
      </c>
      <c r="BI97" s="62">
        <f t="shared" si="477"/>
        <v>382128.38573250006</v>
      </c>
      <c r="BJ97" s="62">
        <f t="shared" si="477"/>
        <v>382128.38573250006</v>
      </c>
      <c r="BK97" s="62">
        <f t="shared" si="477"/>
        <v>382128.38573250006</v>
      </c>
      <c r="BL97" s="62">
        <f t="shared" si="477"/>
        <v>382128.38573250006</v>
      </c>
      <c r="BM97" s="62">
        <f t="shared" si="477"/>
        <v>382128.38573250006</v>
      </c>
      <c r="BN97" s="62">
        <f t="shared" si="477"/>
        <v>382128.38573250006</v>
      </c>
      <c r="BO97" s="62">
        <f t="shared" si="477"/>
        <v>382128.38573250006</v>
      </c>
      <c r="BP97" s="62">
        <f t="shared" si="477"/>
        <v>257498.38573250003</v>
      </c>
      <c r="BQ97" s="62">
        <f t="shared" si="477"/>
        <v>0</v>
      </c>
      <c r="BR97" s="62">
        <f t="shared" si="477"/>
        <v>0</v>
      </c>
      <c r="BS97" s="62">
        <f t="shared" si="477"/>
        <v>0</v>
      </c>
      <c r="BT97" s="62">
        <f t="shared" si="477"/>
        <v>0</v>
      </c>
      <c r="BU97" s="62">
        <f t="shared" si="477"/>
        <v>0</v>
      </c>
      <c r="BV97" s="62">
        <f t="shared" si="477"/>
        <v>0</v>
      </c>
      <c r="BW97" s="62">
        <f t="shared" si="477"/>
        <v>0</v>
      </c>
      <c r="BX97" s="62">
        <f t="shared" si="477"/>
        <v>0</v>
      </c>
      <c r="BY97" s="62">
        <f t="shared" si="477"/>
        <v>0</v>
      </c>
      <c r="BZ97" s="62">
        <f t="shared" si="477"/>
        <v>0</v>
      </c>
      <c r="CA97" s="62">
        <f t="shared" si="477"/>
        <v>0</v>
      </c>
      <c r="CB97" s="62">
        <f t="shared" si="477"/>
        <v>0</v>
      </c>
      <c r="CC97" s="62">
        <f t="shared" si="477"/>
        <v>0</v>
      </c>
      <c r="CD97" s="62">
        <f t="shared" si="477"/>
        <v>0</v>
      </c>
      <c r="CE97" s="62">
        <f t="shared" si="477"/>
        <v>0</v>
      </c>
      <c r="CF97" s="62">
        <f t="shared" si="477"/>
        <v>0</v>
      </c>
      <c r="CG97" s="62">
        <f t="shared" ref="CG97:ER97" si="478">CG92</f>
        <v>0</v>
      </c>
      <c r="CH97" s="62">
        <f t="shared" si="478"/>
        <v>0</v>
      </c>
      <c r="CI97" s="62">
        <f t="shared" si="478"/>
        <v>0</v>
      </c>
      <c r="CJ97" s="62">
        <f t="shared" si="478"/>
        <v>0</v>
      </c>
      <c r="CK97" s="62">
        <f t="shared" si="478"/>
        <v>0</v>
      </c>
      <c r="CL97" s="62">
        <f t="shared" si="478"/>
        <v>0</v>
      </c>
      <c r="CM97" s="62">
        <f t="shared" si="478"/>
        <v>0</v>
      </c>
      <c r="CN97" s="62">
        <f t="shared" si="478"/>
        <v>0</v>
      </c>
      <c r="CO97" s="62">
        <f t="shared" si="478"/>
        <v>0</v>
      </c>
      <c r="CP97" s="62">
        <f t="shared" si="478"/>
        <v>0</v>
      </c>
      <c r="CQ97" s="62">
        <f t="shared" si="478"/>
        <v>0</v>
      </c>
      <c r="CR97" s="62">
        <f t="shared" si="478"/>
        <v>0</v>
      </c>
      <c r="CS97" s="62">
        <f t="shared" si="478"/>
        <v>0</v>
      </c>
      <c r="CT97" s="62">
        <f t="shared" si="478"/>
        <v>0</v>
      </c>
      <c r="CU97" s="62">
        <f t="shared" si="478"/>
        <v>0</v>
      </c>
      <c r="CV97" s="62">
        <f t="shared" si="478"/>
        <v>0</v>
      </c>
      <c r="CW97" s="62">
        <f t="shared" si="478"/>
        <v>0</v>
      </c>
      <c r="CX97" s="62">
        <f t="shared" si="478"/>
        <v>0</v>
      </c>
      <c r="CY97" s="62">
        <f t="shared" si="478"/>
        <v>0</v>
      </c>
      <c r="CZ97" s="62">
        <f t="shared" si="478"/>
        <v>0</v>
      </c>
      <c r="DA97" s="62">
        <f t="shared" si="478"/>
        <v>0</v>
      </c>
      <c r="DB97" s="62">
        <f t="shared" si="478"/>
        <v>0</v>
      </c>
      <c r="DC97" s="62">
        <f t="shared" si="478"/>
        <v>0</v>
      </c>
      <c r="DD97" s="62">
        <f t="shared" si="478"/>
        <v>0</v>
      </c>
      <c r="DE97" s="62">
        <f t="shared" si="478"/>
        <v>0</v>
      </c>
      <c r="DF97" s="62">
        <f t="shared" si="478"/>
        <v>0</v>
      </c>
      <c r="DG97" s="62">
        <f t="shared" si="478"/>
        <v>0</v>
      </c>
      <c r="DH97" s="62">
        <f t="shared" si="478"/>
        <v>0</v>
      </c>
      <c r="DI97" s="62">
        <f t="shared" si="478"/>
        <v>0</v>
      </c>
      <c r="DJ97" s="62">
        <f t="shared" si="478"/>
        <v>0</v>
      </c>
      <c r="DK97" s="62">
        <f t="shared" si="478"/>
        <v>0</v>
      </c>
      <c r="DL97" s="62">
        <f t="shared" si="478"/>
        <v>0</v>
      </c>
      <c r="DM97" s="62">
        <f t="shared" si="478"/>
        <v>0</v>
      </c>
      <c r="DN97" s="62">
        <f t="shared" si="478"/>
        <v>0</v>
      </c>
      <c r="DO97" s="62">
        <f t="shared" si="478"/>
        <v>0</v>
      </c>
      <c r="DP97" s="62">
        <f t="shared" si="478"/>
        <v>0</v>
      </c>
      <c r="DQ97" s="62">
        <f t="shared" si="478"/>
        <v>0</v>
      </c>
      <c r="DR97" s="62">
        <f t="shared" si="478"/>
        <v>0</v>
      </c>
      <c r="DS97" s="62">
        <f t="shared" si="478"/>
        <v>0</v>
      </c>
      <c r="DT97" s="62">
        <f t="shared" si="478"/>
        <v>0</v>
      </c>
      <c r="DU97" s="62">
        <f t="shared" si="478"/>
        <v>0</v>
      </c>
      <c r="DV97" s="62">
        <f t="shared" si="478"/>
        <v>0</v>
      </c>
      <c r="DW97" s="62">
        <f t="shared" si="478"/>
        <v>0</v>
      </c>
      <c r="DX97" s="62">
        <f t="shared" si="478"/>
        <v>0</v>
      </c>
      <c r="DY97" s="62">
        <f t="shared" si="478"/>
        <v>0</v>
      </c>
      <c r="DZ97" s="62">
        <f t="shared" si="478"/>
        <v>0</v>
      </c>
      <c r="EA97" s="62">
        <f t="shared" si="478"/>
        <v>0</v>
      </c>
      <c r="EB97" s="62">
        <f t="shared" si="478"/>
        <v>0</v>
      </c>
      <c r="EC97" s="62">
        <f t="shared" si="478"/>
        <v>0</v>
      </c>
      <c r="ED97" s="62">
        <f t="shared" si="478"/>
        <v>0</v>
      </c>
      <c r="EE97" s="62">
        <f t="shared" si="478"/>
        <v>0</v>
      </c>
      <c r="EF97" s="62">
        <f t="shared" si="478"/>
        <v>0</v>
      </c>
      <c r="EG97" s="62">
        <f t="shared" si="478"/>
        <v>0</v>
      </c>
      <c r="EH97" s="62">
        <f t="shared" si="478"/>
        <v>0</v>
      </c>
      <c r="EI97" s="62">
        <f t="shared" si="478"/>
        <v>0</v>
      </c>
      <c r="EJ97" s="62">
        <f t="shared" si="478"/>
        <v>0</v>
      </c>
      <c r="EK97" s="62">
        <f t="shared" si="478"/>
        <v>0</v>
      </c>
      <c r="EL97" s="62">
        <f t="shared" si="478"/>
        <v>0</v>
      </c>
      <c r="EM97" s="62">
        <f t="shared" si="478"/>
        <v>0</v>
      </c>
      <c r="EN97" s="62">
        <f t="shared" si="478"/>
        <v>0</v>
      </c>
      <c r="EO97" s="62">
        <f t="shared" si="478"/>
        <v>0</v>
      </c>
      <c r="EP97" s="62">
        <f t="shared" si="478"/>
        <v>0</v>
      </c>
      <c r="EQ97" s="62">
        <f t="shared" si="478"/>
        <v>0</v>
      </c>
      <c r="ER97" s="62">
        <f t="shared" si="478"/>
        <v>0</v>
      </c>
      <c r="ES97" s="62">
        <f t="shared" ref="ES97:GQ97" si="479">ES92</f>
        <v>0</v>
      </c>
      <c r="ET97" s="62">
        <f t="shared" si="479"/>
        <v>0</v>
      </c>
      <c r="EU97" s="62">
        <f t="shared" si="479"/>
        <v>0</v>
      </c>
      <c r="EV97" s="62">
        <f t="shared" si="479"/>
        <v>0</v>
      </c>
      <c r="EW97" s="62">
        <f t="shared" si="479"/>
        <v>0</v>
      </c>
      <c r="EX97" s="62">
        <f t="shared" si="479"/>
        <v>0</v>
      </c>
      <c r="EY97" s="62">
        <f t="shared" si="479"/>
        <v>0</v>
      </c>
      <c r="EZ97" s="62">
        <f t="shared" si="479"/>
        <v>0</v>
      </c>
      <c r="FA97" s="62">
        <f t="shared" si="479"/>
        <v>0</v>
      </c>
      <c r="FB97" s="62">
        <f t="shared" si="479"/>
        <v>0</v>
      </c>
      <c r="FC97" s="62">
        <f t="shared" si="479"/>
        <v>0</v>
      </c>
      <c r="FD97" s="62">
        <f t="shared" si="479"/>
        <v>0</v>
      </c>
      <c r="FE97" s="62">
        <f t="shared" si="479"/>
        <v>0</v>
      </c>
      <c r="FF97" s="62">
        <f t="shared" si="479"/>
        <v>0</v>
      </c>
      <c r="FG97" s="62">
        <f t="shared" si="479"/>
        <v>0</v>
      </c>
      <c r="FH97" s="62">
        <f t="shared" si="479"/>
        <v>0</v>
      </c>
      <c r="FI97" s="62">
        <f t="shared" si="479"/>
        <v>0</v>
      </c>
      <c r="FJ97" s="62">
        <f t="shared" si="479"/>
        <v>0</v>
      </c>
      <c r="FK97" s="62">
        <f t="shared" si="479"/>
        <v>0</v>
      </c>
      <c r="FL97" s="62">
        <f t="shared" si="479"/>
        <v>0</v>
      </c>
      <c r="FM97" s="62">
        <f t="shared" si="479"/>
        <v>0</v>
      </c>
      <c r="FN97" s="62">
        <f t="shared" si="479"/>
        <v>0</v>
      </c>
      <c r="FO97" s="62">
        <f t="shared" si="479"/>
        <v>0</v>
      </c>
      <c r="FP97" s="62">
        <f t="shared" si="479"/>
        <v>0</v>
      </c>
      <c r="FQ97" s="62">
        <f t="shared" si="479"/>
        <v>0</v>
      </c>
      <c r="FR97" s="62">
        <f t="shared" si="479"/>
        <v>0</v>
      </c>
      <c r="FS97" s="62">
        <f t="shared" si="479"/>
        <v>0</v>
      </c>
      <c r="FT97" s="62">
        <f t="shared" si="479"/>
        <v>0</v>
      </c>
      <c r="FU97" s="62">
        <f t="shared" si="479"/>
        <v>0</v>
      </c>
      <c r="FV97" s="62">
        <f t="shared" si="479"/>
        <v>0</v>
      </c>
      <c r="FW97" s="62">
        <f t="shared" si="479"/>
        <v>0</v>
      </c>
      <c r="FX97" s="62">
        <f t="shared" si="479"/>
        <v>0</v>
      </c>
      <c r="FY97" s="62">
        <f t="shared" si="479"/>
        <v>0</v>
      </c>
      <c r="FZ97" s="62">
        <f t="shared" si="479"/>
        <v>0</v>
      </c>
      <c r="GA97" s="62">
        <f t="shared" si="479"/>
        <v>0</v>
      </c>
      <c r="GB97" s="62">
        <f t="shared" si="479"/>
        <v>0</v>
      </c>
      <c r="GC97" s="62">
        <f t="shared" si="479"/>
        <v>0</v>
      </c>
      <c r="GD97" s="62">
        <f t="shared" si="479"/>
        <v>0</v>
      </c>
      <c r="GE97" s="62">
        <f t="shared" si="479"/>
        <v>0</v>
      </c>
      <c r="GF97" s="62">
        <f t="shared" si="479"/>
        <v>0</v>
      </c>
      <c r="GG97" s="62">
        <f t="shared" si="479"/>
        <v>0</v>
      </c>
      <c r="GH97" s="62">
        <f t="shared" si="479"/>
        <v>0</v>
      </c>
      <c r="GI97" s="62">
        <f t="shared" si="479"/>
        <v>0</v>
      </c>
      <c r="GJ97" s="62">
        <f t="shared" si="479"/>
        <v>0</v>
      </c>
      <c r="GK97" s="62">
        <f t="shared" si="479"/>
        <v>0</v>
      </c>
      <c r="GL97" s="62">
        <f t="shared" si="479"/>
        <v>0</v>
      </c>
      <c r="GM97" s="62">
        <f t="shared" si="479"/>
        <v>0</v>
      </c>
      <c r="GN97" s="62">
        <f t="shared" si="479"/>
        <v>0</v>
      </c>
      <c r="GO97" s="62">
        <f t="shared" si="479"/>
        <v>0</v>
      </c>
      <c r="GP97" s="62">
        <f t="shared" si="479"/>
        <v>0</v>
      </c>
      <c r="GQ97" s="62">
        <f t="shared" si="479"/>
        <v>0</v>
      </c>
      <c r="GS97" s="80"/>
      <c r="GT97" s="77"/>
      <c r="GU97" s="77"/>
      <c r="GV97" s="77"/>
      <c r="GW97" s="77"/>
      <c r="GX97" s="77"/>
      <c r="GY97" s="77"/>
      <c r="GZ97" s="77"/>
      <c r="HA97" s="77"/>
      <c r="HB97" s="77"/>
      <c r="HC97" s="77"/>
      <c r="HD97" s="77"/>
      <c r="HE97" s="77"/>
      <c r="HF97" s="77"/>
      <c r="HG97" s="77"/>
      <c r="HH97" s="77"/>
      <c r="HI97" s="77"/>
      <c r="HJ97" s="77"/>
      <c r="HK97" s="77"/>
      <c r="HL97" s="77"/>
      <c r="HM97" s="77"/>
      <c r="HN97" s="77"/>
      <c r="HO97" s="77"/>
      <c r="HP97" s="77"/>
      <c r="HQ97" s="77"/>
      <c r="HR97" s="77"/>
      <c r="HS97" s="77"/>
      <c r="HT97" s="77"/>
      <c r="HU97" s="77"/>
      <c r="HV97" s="77"/>
      <c r="HW97" s="77"/>
      <c r="HX97" s="77"/>
      <c r="HY97" s="77"/>
      <c r="HZ97" s="77"/>
      <c r="IA97" s="77"/>
      <c r="IB97" s="77"/>
      <c r="IC97" s="77"/>
      <c r="ID97" s="77"/>
      <c r="IE97" s="77"/>
      <c r="IF97" s="77"/>
      <c r="IG97" s="77"/>
      <c r="IH97" s="77"/>
      <c r="II97" s="77"/>
      <c r="IJ97" s="77"/>
      <c r="IK97" s="77"/>
      <c r="IL97" s="77"/>
      <c r="IM97" s="77"/>
      <c r="IN97" s="77"/>
      <c r="IO97" s="77"/>
      <c r="IP97" s="77"/>
      <c r="IQ97" s="77"/>
      <c r="IR97" s="77"/>
      <c r="IS97" s="77"/>
      <c r="IT97" s="77"/>
      <c r="IU97" s="77"/>
      <c r="IV97" s="77"/>
      <c r="IW97" s="77"/>
      <c r="IX97" s="77"/>
      <c r="IY97" s="77"/>
      <c r="IZ97" s="77"/>
      <c r="JA97" s="77"/>
      <c r="JB97" s="77"/>
      <c r="JC97" s="77"/>
      <c r="JD97" s="77"/>
      <c r="JE97" s="77"/>
      <c r="JF97" s="77"/>
      <c r="JG97" s="77"/>
      <c r="JH97" s="77"/>
      <c r="JI97" s="77"/>
      <c r="JJ97" s="77"/>
      <c r="JK97" s="77"/>
      <c r="JL97" s="77"/>
      <c r="JM97" s="77"/>
      <c r="JN97" s="77"/>
      <c r="JO97" s="77"/>
      <c r="JP97" s="77"/>
      <c r="JQ97" s="77"/>
      <c r="JR97" s="77"/>
      <c r="JS97" s="77"/>
      <c r="JT97" s="77"/>
      <c r="JU97" s="77"/>
      <c r="JV97" s="77"/>
      <c r="JW97" s="77"/>
      <c r="JX97" s="77"/>
      <c r="JY97" s="77"/>
      <c r="JZ97" s="77"/>
      <c r="KA97" s="77"/>
      <c r="KB97" s="77"/>
      <c r="KC97" s="77"/>
      <c r="KD97" s="77"/>
      <c r="KE97" s="77"/>
      <c r="KF97" s="77"/>
      <c r="KG97" s="77"/>
      <c r="KH97" s="77"/>
      <c r="KI97" s="77"/>
      <c r="KJ97" s="77"/>
      <c r="KK97" s="77"/>
      <c r="KL97" s="77"/>
      <c r="KM97" s="77"/>
      <c r="KN97" s="77"/>
      <c r="KO97" s="77"/>
      <c r="KP97" s="77"/>
      <c r="KQ97" s="77"/>
      <c r="KR97" s="77"/>
      <c r="KS97" s="77"/>
      <c r="KT97" s="77"/>
      <c r="KU97" s="77"/>
      <c r="KV97" s="77"/>
      <c r="KW97" s="77"/>
      <c r="KX97" s="77"/>
      <c r="KY97" s="77"/>
      <c r="KZ97" s="77"/>
      <c r="LA97" s="77"/>
      <c r="LB97" s="77"/>
      <c r="LC97" s="77"/>
      <c r="LD97" s="77"/>
      <c r="LE97" s="77"/>
      <c r="LF97" s="77"/>
      <c r="LG97" s="77"/>
      <c r="LH97" s="77"/>
      <c r="LI97" s="77"/>
      <c r="LJ97" s="77"/>
      <c r="LK97" s="77"/>
      <c r="LL97" s="77"/>
      <c r="LM97" s="77"/>
      <c r="LN97" s="77"/>
      <c r="LO97" s="77"/>
      <c r="LP97" s="77"/>
      <c r="LQ97" s="77"/>
      <c r="LR97" s="77"/>
      <c r="LS97" s="77"/>
      <c r="LT97" s="77"/>
      <c r="LU97" s="77"/>
      <c r="LV97" s="77"/>
      <c r="LW97" s="77"/>
      <c r="LX97" s="77"/>
      <c r="LY97" s="77"/>
      <c r="LZ97" s="77"/>
      <c r="MA97" s="77"/>
      <c r="MB97" s="77"/>
      <c r="MC97" s="77"/>
      <c r="MD97" s="77"/>
      <c r="ME97" s="77"/>
      <c r="MF97" s="77"/>
      <c r="MG97" s="77"/>
      <c r="MH97" s="77"/>
      <c r="MI97" s="77"/>
      <c r="MJ97" s="77"/>
      <c r="MK97" s="77"/>
      <c r="ML97" s="77"/>
      <c r="MM97" s="77"/>
      <c r="MN97" s="77"/>
      <c r="MO97" s="77"/>
      <c r="MP97" s="77"/>
      <c r="MQ97" s="77"/>
      <c r="MR97" s="77"/>
      <c r="MS97" s="77"/>
      <c r="MT97" s="77"/>
      <c r="MU97" s="77"/>
      <c r="MV97" s="77"/>
      <c r="MW97" s="77"/>
      <c r="MX97" s="77"/>
      <c r="MY97" s="77"/>
      <c r="MZ97" s="77"/>
      <c r="NA97" s="77"/>
      <c r="NB97" s="77"/>
      <c r="NC97" s="77"/>
      <c r="ND97" s="77"/>
      <c r="NE97" s="77"/>
      <c r="NF97" s="77"/>
      <c r="NG97" s="77"/>
      <c r="NH97" s="77"/>
      <c r="NI97" s="77"/>
      <c r="NJ97" s="77"/>
      <c r="NK97" s="77"/>
      <c r="NL97" s="77"/>
      <c r="NM97" s="77"/>
      <c r="NN97" s="77"/>
      <c r="NO97" s="77"/>
      <c r="NP97" s="77"/>
      <c r="NQ97" s="77"/>
      <c r="NR97" s="77"/>
      <c r="NS97" s="77"/>
      <c r="NT97" s="77"/>
      <c r="NU97" s="77"/>
      <c r="NV97" s="77"/>
      <c r="NW97" s="77"/>
    </row>
    <row r="98" spans="2:387" x14ac:dyDescent="0.3">
      <c r="B98" s="18" t="s">
        <v>286</v>
      </c>
      <c r="C98" s="19"/>
      <c r="D98" s="19"/>
      <c r="E98" s="95">
        <f>SUMIF(T98:GQ98,"&gt;0")/-SUMIF(T98:GQ98,"&lt;0")</f>
        <v>1.4620079937869415</v>
      </c>
      <c r="F98" s="94">
        <f>XIRR(T98:GQ98,$T$2:$GQ$2)</f>
        <v>0.31815957427024844</v>
      </c>
      <c r="G98" s="19"/>
      <c r="H98" s="19"/>
      <c r="I98" s="19"/>
      <c r="J98" s="23">
        <f>L98/$L$8</f>
        <v>15046.576553586949</v>
      </c>
      <c r="K98" s="29">
        <f>L98/$L$7</f>
        <v>1.988915291566091</v>
      </c>
      <c r="L98" s="23">
        <f>SUM(T98:GQ98)</f>
        <v>3460712.6073249984</v>
      </c>
      <c r="S98" s="69" t="str">
        <f>IF(ROUND(L98,0)=ROUND(SUM(T98:GQ98),0),"OK","ERROR")</f>
        <v>OK</v>
      </c>
      <c r="T98" s="50">
        <f>SUM(T96:T97)</f>
        <v>-2943418.585526316</v>
      </c>
      <c r="U98" s="50">
        <f t="shared" ref="U98:CF98" si="480">SUM(U96:U97)</f>
        <v>-85890.627011509554</v>
      </c>
      <c r="V98" s="50">
        <f t="shared" si="480"/>
        <v>-91255.823555876836</v>
      </c>
      <c r="W98" s="50">
        <f t="shared" si="480"/>
        <v>-99888.170850955968</v>
      </c>
      <c r="X98" s="50">
        <f t="shared" si="480"/>
        <v>-113114.02021222032</v>
      </c>
      <c r="Y98" s="50">
        <f t="shared" si="480"/>
        <v>-132387.58147376956</v>
      </c>
      <c r="Z98" s="50">
        <f t="shared" si="480"/>
        <v>-159061.3003494427</v>
      </c>
      <c r="AA98" s="50">
        <f t="shared" si="480"/>
        <v>-241661.94259224951</v>
      </c>
      <c r="AB98" s="50">
        <f t="shared" si="480"/>
        <v>-249320.4918396665</v>
      </c>
      <c r="AC98" s="50">
        <f t="shared" si="480"/>
        <v>2083439.4671556037</v>
      </c>
      <c r="AD98" s="50">
        <f t="shared" si="480"/>
        <v>-315954.30016837636</v>
      </c>
      <c r="AE98" s="50">
        <f t="shared" si="480"/>
        <v>1064993.6692966346</v>
      </c>
      <c r="AF98" s="50">
        <f t="shared" si="480"/>
        <v>-423441.08920777583</v>
      </c>
      <c r="AG98" s="50">
        <f t="shared" si="480"/>
        <v>-465277.83944521204</v>
      </c>
      <c r="AH98" s="50">
        <f t="shared" si="480"/>
        <v>-492606.97460704664</v>
      </c>
      <c r="AI98" s="50">
        <f t="shared" si="480"/>
        <v>502512.78795828723</v>
      </c>
      <c r="AJ98" s="50">
        <f t="shared" si="480"/>
        <v>-492606.97460704693</v>
      </c>
      <c r="AK98" s="50">
        <f t="shared" si="480"/>
        <v>224422.16055478825</v>
      </c>
      <c r="AL98" s="50">
        <f t="shared" si="480"/>
        <v>581183.91079222434</v>
      </c>
      <c r="AM98" s="50">
        <f t="shared" si="480"/>
        <v>-426881.33070336562</v>
      </c>
      <c r="AN98" s="50">
        <f t="shared" si="480"/>
        <v>318745.69983162376</v>
      </c>
      <c r="AO98" s="50">
        <f t="shared" si="480"/>
        <v>443141.21715560369</v>
      </c>
      <c r="AP98" s="50">
        <f t="shared" si="480"/>
        <v>-265070.49183966639</v>
      </c>
      <c r="AQ98" s="50">
        <f t="shared" si="480"/>
        <v>488693.34312203567</v>
      </c>
      <c r="AR98" s="50">
        <f t="shared" si="480"/>
        <v>-175351.27599879279</v>
      </c>
      <c r="AS98" s="50">
        <f t="shared" si="480"/>
        <v>-148677.55712312032</v>
      </c>
      <c r="AT98" s="50">
        <f t="shared" si="480"/>
        <v>580987.0041384286</v>
      </c>
      <c r="AU98" s="50">
        <f t="shared" si="480"/>
        <v>-116178.14650030635</v>
      </c>
      <c r="AV98" s="50">
        <f t="shared" si="480"/>
        <v>-52545.799205227355</v>
      </c>
      <c r="AW98" s="50">
        <f t="shared" si="480"/>
        <v>85813.033702776127</v>
      </c>
      <c r="AX98" s="50">
        <f t="shared" si="480"/>
        <v>92703.704531599273</v>
      </c>
      <c r="AY98" s="50">
        <f t="shared" si="480"/>
        <v>92703.704531599273</v>
      </c>
      <c r="AZ98" s="50">
        <f t="shared" si="480"/>
        <v>92703.704531599273</v>
      </c>
      <c r="BA98" s="50">
        <f t="shared" si="480"/>
        <v>92703.704531599273</v>
      </c>
      <c r="BB98" s="50">
        <f t="shared" si="480"/>
        <v>92703.704531599273</v>
      </c>
      <c r="BC98" s="50">
        <f t="shared" si="480"/>
        <v>92703.704531599273</v>
      </c>
      <c r="BD98" s="50">
        <f t="shared" si="480"/>
        <v>99932.275960170693</v>
      </c>
      <c r="BE98" s="50">
        <f t="shared" si="480"/>
        <v>99932.275960170693</v>
      </c>
      <c r="BF98" s="50">
        <f t="shared" si="480"/>
        <v>124630</v>
      </c>
      <c r="BG98" s="50">
        <f t="shared" si="480"/>
        <v>382128.38573250006</v>
      </c>
      <c r="BH98" s="50">
        <f t="shared" si="480"/>
        <v>382128.38573250006</v>
      </c>
      <c r="BI98" s="50">
        <f t="shared" si="480"/>
        <v>382128.38573250006</v>
      </c>
      <c r="BJ98" s="50">
        <f t="shared" si="480"/>
        <v>382128.38573250006</v>
      </c>
      <c r="BK98" s="50">
        <f t="shared" si="480"/>
        <v>382128.38573250006</v>
      </c>
      <c r="BL98" s="50">
        <f t="shared" si="480"/>
        <v>382128.38573250006</v>
      </c>
      <c r="BM98" s="50">
        <f t="shared" si="480"/>
        <v>382128.38573250006</v>
      </c>
      <c r="BN98" s="50">
        <f t="shared" si="480"/>
        <v>382128.38573250006</v>
      </c>
      <c r="BO98" s="50">
        <f t="shared" si="480"/>
        <v>382128.38573250006</v>
      </c>
      <c r="BP98" s="50">
        <f t="shared" si="480"/>
        <v>257498.38573250003</v>
      </c>
      <c r="BQ98" s="50">
        <f t="shared" si="480"/>
        <v>0</v>
      </c>
      <c r="BR98" s="50">
        <f t="shared" si="480"/>
        <v>0</v>
      </c>
      <c r="BS98" s="50">
        <f t="shared" si="480"/>
        <v>0</v>
      </c>
      <c r="BT98" s="50">
        <f t="shared" si="480"/>
        <v>0</v>
      </c>
      <c r="BU98" s="50">
        <f t="shared" si="480"/>
        <v>0</v>
      </c>
      <c r="BV98" s="50">
        <f t="shared" si="480"/>
        <v>0</v>
      </c>
      <c r="BW98" s="50">
        <f t="shared" si="480"/>
        <v>0</v>
      </c>
      <c r="BX98" s="50">
        <f t="shared" si="480"/>
        <v>0</v>
      </c>
      <c r="BY98" s="50">
        <f t="shared" si="480"/>
        <v>0</v>
      </c>
      <c r="BZ98" s="50">
        <f t="shared" si="480"/>
        <v>0</v>
      </c>
      <c r="CA98" s="50">
        <f t="shared" si="480"/>
        <v>0</v>
      </c>
      <c r="CB98" s="50">
        <f t="shared" si="480"/>
        <v>0</v>
      </c>
      <c r="CC98" s="50">
        <f t="shared" si="480"/>
        <v>0</v>
      </c>
      <c r="CD98" s="50">
        <f t="shared" si="480"/>
        <v>0</v>
      </c>
      <c r="CE98" s="50">
        <f t="shared" si="480"/>
        <v>0</v>
      </c>
      <c r="CF98" s="50">
        <f t="shared" si="480"/>
        <v>0</v>
      </c>
      <c r="CG98" s="50">
        <f t="shared" ref="CG98:ER98" si="481">SUM(CG96:CG97)</f>
        <v>0</v>
      </c>
      <c r="CH98" s="50">
        <f t="shared" si="481"/>
        <v>0</v>
      </c>
      <c r="CI98" s="50">
        <f t="shared" si="481"/>
        <v>0</v>
      </c>
      <c r="CJ98" s="50">
        <f t="shared" si="481"/>
        <v>0</v>
      </c>
      <c r="CK98" s="50">
        <f t="shared" si="481"/>
        <v>0</v>
      </c>
      <c r="CL98" s="50">
        <f t="shared" si="481"/>
        <v>0</v>
      </c>
      <c r="CM98" s="50">
        <f t="shared" si="481"/>
        <v>0</v>
      </c>
      <c r="CN98" s="50">
        <f t="shared" si="481"/>
        <v>0</v>
      </c>
      <c r="CO98" s="50">
        <f t="shared" si="481"/>
        <v>0</v>
      </c>
      <c r="CP98" s="50">
        <f t="shared" si="481"/>
        <v>0</v>
      </c>
      <c r="CQ98" s="50">
        <f t="shared" si="481"/>
        <v>0</v>
      </c>
      <c r="CR98" s="50">
        <f t="shared" si="481"/>
        <v>0</v>
      </c>
      <c r="CS98" s="50">
        <f t="shared" si="481"/>
        <v>0</v>
      </c>
      <c r="CT98" s="50">
        <f t="shared" si="481"/>
        <v>0</v>
      </c>
      <c r="CU98" s="50">
        <f t="shared" si="481"/>
        <v>0</v>
      </c>
      <c r="CV98" s="50">
        <f t="shared" si="481"/>
        <v>0</v>
      </c>
      <c r="CW98" s="50">
        <f t="shared" si="481"/>
        <v>0</v>
      </c>
      <c r="CX98" s="50">
        <f t="shared" si="481"/>
        <v>0</v>
      </c>
      <c r="CY98" s="50">
        <f t="shared" si="481"/>
        <v>0</v>
      </c>
      <c r="CZ98" s="50">
        <f t="shared" si="481"/>
        <v>0</v>
      </c>
      <c r="DA98" s="50">
        <f t="shared" si="481"/>
        <v>0</v>
      </c>
      <c r="DB98" s="50">
        <f t="shared" si="481"/>
        <v>0</v>
      </c>
      <c r="DC98" s="50">
        <f t="shared" si="481"/>
        <v>0</v>
      </c>
      <c r="DD98" s="50">
        <f t="shared" si="481"/>
        <v>0</v>
      </c>
      <c r="DE98" s="50">
        <f t="shared" si="481"/>
        <v>0</v>
      </c>
      <c r="DF98" s="50">
        <f t="shared" si="481"/>
        <v>0</v>
      </c>
      <c r="DG98" s="50">
        <f t="shared" si="481"/>
        <v>0</v>
      </c>
      <c r="DH98" s="50">
        <f t="shared" si="481"/>
        <v>0</v>
      </c>
      <c r="DI98" s="50">
        <f t="shared" si="481"/>
        <v>0</v>
      </c>
      <c r="DJ98" s="50">
        <f t="shared" si="481"/>
        <v>0</v>
      </c>
      <c r="DK98" s="50">
        <f t="shared" si="481"/>
        <v>0</v>
      </c>
      <c r="DL98" s="50">
        <f t="shared" si="481"/>
        <v>0</v>
      </c>
      <c r="DM98" s="50">
        <f t="shared" si="481"/>
        <v>0</v>
      </c>
      <c r="DN98" s="50">
        <f t="shared" si="481"/>
        <v>0</v>
      </c>
      <c r="DO98" s="50">
        <f t="shared" si="481"/>
        <v>0</v>
      </c>
      <c r="DP98" s="50">
        <f t="shared" si="481"/>
        <v>0</v>
      </c>
      <c r="DQ98" s="50">
        <f t="shared" si="481"/>
        <v>0</v>
      </c>
      <c r="DR98" s="50">
        <f t="shared" si="481"/>
        <v>0</v>
      </c>
      <c r="DS98" s="50">
        <f t="shared" si="481"/>
        <v>0</v>
      </c>
      <c r="DT98" s="50">
        <f t="shared" si="481"/>
        <v>0</v>
      </c>
      <c r="DU98" s="50">
        <f t="shared" si="481"/>
        <v>0</v>
      </c>
      <c r="DV98" s="50">
        <f t="shared" si="481"/>
        <v>0</v>
      </c>
      <c r="DW98" s="50">
        <f t="shared" si="481"/>
        <v>0</v>
      </c>
      <c r="DX98" s="50">
        <f t="shared" si="481"/>
        <v>0</v>
      </c>
      <c r="DY98" s="50">
        <f t="shared" si="481"/>
        <v>0</v>
      </c>
      <c r="DZ98" s="50">
        <f t="shared" si="481"/>
        <v>0</v>
      </c>
      <c r="EA98" s="50">
        <f t="shared" si="481"/>
        <v>0</v>
      </c>
      <c r="EB98" s="50">
        <f t="shared" si="481"/>
        <v>0</v>
      </c>
      <c r="EC98" s="50">
        <f t="shared" si="481"/>
        <v>0</v>
      </c>
      <c r="ED98" s="50">
        <f t="shared" si="481"/>
        <v>0</v>
      </c>
      <c r="EE98" s="50">
        <f t="shared" si="481"/>
        <v>0</v>
      </c>
      <c r="EF98" s="50">
        <f t="shared" si="481"/>
        <v>0</v>
      </c>
      <c r="EG98" s="50">
        <f t="shared" si="481"/>
        <v>0</v>
      </c>
      <c r="EH98" s="50">
        <f t="shared" si="481"/>
        <v>0</v>
      </c>
      <c r="EI98" s="50">
        <f t="shared" si="481"/>
        <v>0</v>
      </c>
      <c r="EJ98" s="50">
        <f t="shared" si="481"/>
        <v>0</v>
      </c>
      <c r="EK98" s="50">
        <f t="shared" si="481"/>
        <v>0</v>
      </c>
      <c r="EL98" s="50">
        <f t="shared" si="481"/>
        <v>0</v>
      </c>
      <c r="EM98" s="50">
        <f t="shared" si="481"/>
        <v>0</v>
      </c>
      <c r="EN98" s="50">
        <f t="shared" si="481"/>
        <v>0</v>
      </c>
      <c r="EO98" s="50">
        <f t="shared" si="481"/>
        <v>0</v>
      </c>
      <c r="EP98" s="50">
        <f t="shared" si="481"/>
        <v>0</v>
      </c>
      <c r="EQ98" s="50">
        <f t="shared" si="481"/>
        <v>0</v>
      </c>
      <c r="ER98" s="50">
        <f t="shared" si="481"/>
        <v>0</v>
      </c>
      <c r="ES98" s="50">
        <f t="shared" ref="ES98:GQ98" si="482">SUM(ES96:ES97)</f>
        <v>0</v>
      </c>
      <c r="ET98" s="50">
        <f t="shared" si="482"/>
        <v>0</v>
      </c>
      <c r="EU98" s="50">
        <f t="shared" si="482"/>
        <v>0</v>
      </c>
      <c r="EV98" s="50">
        <f t="shared" si="482"/>
        <v>0</v>
      </c>
      <c r="EW98" s="50">
        <f t="shared" si="482"/>
        <v>0</v>
      </c>
      <c r="EX98" s="50">
        <f t="shared" si="482"/>
        <v>0</v>
      </c>
      <c r="EY98" s="50">
        <f t="shared" si="482"/>
        <v>0</v>
      </c>
      <c r="EZ98" s="50">
        <f t="shared" si="482"/>
        <v>0</v>
      </c>
      <c r="FA98" s="50">
        <f t="shared" si="482"/>
        <v>0</v>
      </c>
      <c r="FB98" s="50">
        <f t="shared" si="482"/>
        <v>0</v>
      </c>
      <c r="FC98" s="50">
        <f t="shared" si="482"/>
        <v>0</v>
      </c>
      <c r="FD98" s="50">
        <f t="shared" si="482"/>
        <v>0</v>
      </c>
      <c r="FE98" s="50">
        <f t="shared" si="482"/>
        <v>0</v>
      </c>
      <c r="FF98" s="50">
        <f t="shared" si="482"/>
        <v>0</v>
      </c>
      <c r="FG98" s="50">
        <f t="shared" si="482"/>
        <v>0</v>
      </c>
      <c r="FH98" s="50">
        <f t="shared" si="482"/>
        <v>0</v>
      </c>
      <c r="FI98" s="50">
        <f t="shared" si="482"/>
        <v>0</v>
      </c>
      <c r="FJ98" s="50">
        <f t="shared" si="482"/>
        <v>0</v>
      </c>
      <c r="FK98" s="50">
        <f t="shared" si="482"/>
        <v>0</v>
      </c>
      <c r="FL98" s="50">
        <f t="shared" si="482"/>
        <v>0</v>
      </c>
      <c r="FM98" s="50">
        <f t="shared" si="482"/>
        <v>0</v>
      </c>
      <c r="FN98" s="50">
        <f t="shared" si="482"/>
        <v>0</v>
      </c>
      <c r="FO98" s="50">
        <f t="shared" si="482"/>
        <v>0</v>
      </c>
      <c r="FP98" s="50">
        <f t="shared" si="482"/>
        <v>0</v>
      </c>
      <c r="FQ98" s="50">
        <f t="shared" si="482"/>
        <v>0</v>
      </c>
      <c r="FR98" s="50">
        <f t="shared" si="482"/>
        <v>0</v>
      </c>
      <c r="FS98" s="50">
        <f t="shared" si="482"/>
        <v>0</v>
      </c>
      <c r="FT98" s="50">
        <f t="shared" si="482"/>
        <v>0</v>
      </c>
      <c r="FU98" s="50">
        <f t="shared" si="482"/>
        <v>0</v>
      </c>
      <c r="FV98" s="50">
        <f t="shared" si="482"/>
        <v>0</v>
      </c>
      <c r="FW98" s="50">
        <f t="shared" si="482"/>
        <v>0</v>
      </c>
      <c r="FX98" s="50">
        <f t="shared" si="482"/>
        <v>0</v>
      </c>
      <c r="FY98" s="50">
        <f t="shared" si="482"/>
        <v>0</v>
      </c>
      <c r="FZ98" s="50">
        <f t="shared" si="482"/>
        <v>0</v>
      </c>
      <c r="GA98" s="50">
        <f t="shared" si="482"/>
        <v>0</v>
      </c>
      <c r="GB98" s="50">
        <f t="shared" si="482"/>
        <v>0</v>
      </c>
      <c r="GC98" s="50">
        <f t="shared" si="482"/>
        <v>0</v>
      </c>
      <c r="GD98" s="50">
        <f t="shared" si="482"/>
        <v>0</v>
      </c>
      <c r="GE98" s="50">
        <f t="shared" si="482"/>
        <v>0</v>
      </c>
      <c r="GF98" s="50">
        <f t="shared" si="482"/>
        <v>0</v>
      </c>
      <c r="GG98" s="50">
        <f t="shared" si="482"/>
        <v>0</v>
      </c>
      <c r="GH98" s="50">
        <f t="shared" si="482"/>
        <v>0</v>
      </c>
      <c r="GI98" s="50">
        <f t="shared" si="482"/>
        <v>0</v>
      </c>
      <c r="GJ98" s="50">
        <f t="shared" si="482"/>
        <v>0</v>
      </c>
      <c r="GK98" s="50">
        <f t="shared" si="482"/>
        <v>0</v>
      </c>
      <c r="GL98" s="50">
        <f t="shared" si="482"/>
        <v>0</v>
      </c>
      <c r="GM98" s="50">
        <f t="shared" si="482"/>
        <v>0</v>
      </c>
      <c r="GN98" s="50">
        <f t="shared" si="482"/>
        <v>0</v>
      </c>
      <c r="GO98" s="50">
        <f t="shared" si="482"/>
        <v>0</v>
      </c>
      <c r="GP98" s="50">
        <f t="shared" si="482"/>
        <v>0</v>
      </c>
      <c r="GQ98" s="50">
        <f t="shared" si="482"/>
        <v>0</v>
      </c>
      <c r="GS98" s="80"/>
      <c r="GT98" s="77"/>
      <c r="GU98" s="77"/>
      <c r="GV98" s="77"/>
      <c r="GW98" s="77"/>
      <c r="GX98" s="77"/>
      <c r="GY98" s="77"/>
      <c r="GZ98" s="77"/>
      <c r="HA98" s="77"/>
      <c r="HB98" s="77"/>
      <c r="HC98" s="77"/>
      <c r="HD98" s="77"/>
      <c r="HE98" s="77"/>
      <c r="HF98" s="77"/>
      <c r="HG98" s="77"/>
      <c r="HH98" s="77"/>
      <c r="HI98" s="77"/>
      <c r="HJ98" s="77"/>
      <c r="HK98" s="77"/>
      <c r="HL98" s="77"/>
      <c r="HM98" s="77"/>
      <c r="HN98" s="77"/>
      <c r="HO98" s="77"/>
      <c r="HP98" s="77"/>
      <c r="HQ98" s="77"/>
      <c r="HR98" s="77"/>
      <c r="HS98" s="77"/>
      <c r="HT98" s="77"/>
      <c r="HU98" s="77"/>
      <c r="HV98" s="77"/>
      <c r="HW98" s="77"/>
      <c r="HX98" s="77"/>
      <c r="HY98" s="77"/>
      <c r="HZ98" s="77"/>
      <c r="IA98" s="77"/>
      <c r="IB98" s="77"/>
      <c r="IC98" s="77"/>
      <c r="ID98" s="77"/>
      <c r="IE98" s="77"/>
      <c r="IF98" s="77"/>
      <c r="IG98" s="77"/>
      <c r="IH98" s="77"/>
      <c r="II98" s="77"/>
      <c r="IJ98" s="77"/>
      <c r="IK98" s="77"/>
      <c r="IL98" s="77"/>
      <c r="IM98" s="77"/>
      <c r="IN98" s="77"/>
      <c r="IO98" s="77"/>
      <c r="IP98" s="77"/>
      <c r="IQ98" s="77"/>
      <c r="IR98" s="77"/>
      <c r="IS98" s="77"/>
      <c r="IT98" s="77"/>
      <c r="IU98" s="77"/>
      <c r="IV98" s="77"/>
      <c r="IW98" s="77"/>
      <c r="IX98" s="77"/>
      <c r="IY98" s="77"/>
      <c r="IZ98" s="77"/>
      <c r="JA98" s="77"/>
      <c r="JB98" s="77"/>
      <c r="JC98" s="77"/>
      <c r="JD98" s="77"/>
      <c r="JE98" s="77"/>
      <c r="JF98" s="77"/>
      <c r="JG98" s="77"/>
      <c r="JH98" s="77"/>
      <c r="JI98" s="77"/>
      <c r="JJ98" s="77"/>
      <c r="JK98" s="77"/>
      <c r="JL98" s="77"/>
      <c r="JM98" s="77"/>
      <c r="JN98" s="77"/>
      <c r="JO98" s="77"/>
      <c r="JP98" s="77"/>
      <c r="JQ98" s="77"/>
      <c r="JR98" s="77"/>
      <c r="JS98" s="77"/>
      <c r="JT98" s="77"/>
      <c r="JU98" s="77"/>
      <c r="JV98" s="77"/>
      <c r="JW98" s="77"/>
      <c r="JX98" s="77"/>
      <c r="JY98" s="77"/>
      <c r="JZ98" s="77"/>
      <c r="KA98" s="77"/>
      <c r="KB98" s="77"/>
      <c r="KC98" s="77"/>
      <c r="KD98" s="77"/>
      <c r="KE98" s="77"/>
      <c r="KF98" s="77"/>
      <c r="KG98" s="77"/>
      <c r="KH98" s="77"/>
      <c r="KI98" s="77"/>
      <c r="KJ98" s="77"/>
      <c r="KK98" s="77"/>
      <c r="KL98" s="77"/>
      <c r="KM98" s="77"/>
      <c r="KN98" s="77"/>
      <c r="KO98" s="77"/>
      <c r="KP98" s="77"/>
      <c r="KQ98" s="77"/>
      <c r="KR98" s="77"/>
      <c r="KS98" s="77"/>
      <c r="KT98" s="77"/>
      <c r="KU98" s="77"/>
      <c r="KV98" s="77"/>
      <c r="KW98" s="77"/>
      <c r="KX98" s="77"/>
      <c r="KY98" s="77"/>
      <c r="KZ98" s="77"/>
      <c r="LA98" s="77"/>
      <c r="LB98" s="77"/>
      <c r="LC98" s="77"/>
      <c r="LD98" s="77"/>
      <c r="LE98" s="77"/>
      <c r="LF98" s="77"/>
      <c r="LG98" s="77"/>
      <c r="LH98" s="77"/>
      <c r="LI98" s="77"/>
      <c r="LJ98" s="77"/>
      <c r="LK98" s="77"/>
      <c r="LL98" s="77"/>
      <c r="LM98" s="77"/>
      <c r="LN98" s="77"/>
      <c r="LO98" s="77"/>
      <c r="LP98" s="77"/>
      <c r="LQ98" s="77"/>
      <c r="LR98" s="77"/>
      <c r="LS98" s="77"/>
      <c r="LT98" s="77"/>
      <c r="LU98" s="77"/>
      <c r="LV98" s="77"/>
      <c r="LW98" s="77"/>
      <c r="LX98" s="77"/>
      <c r="LY98" s="77"/>
      <c r="LZ98" s="77"/>
      <c r="MA98" s="77"/>
      <c r="MB98" s="77"/>
      <c r="MC98" s="77"/>
      <c r="MD98" s="77"/>
      <c r="ME98" s="77"/>
      <c r="MF98" s="77"/>
      <c r="MG98" s="77"/>
      <c r="MH98" s="77"/>
      <c r="MI98" s="77"/>
      <c r="MJ98" s="77"/>
      <c r="MK98" s="77"/>
      <c r="ML98" s="77"/>
      <c r="MM98" s="77"/>
      <c r="MN98" s="77"/>
      <c r="MO98" s="77"/>
      <c r="MP98" s="77"/>
      <c r="MQ98" s="77"/>
      <c r="MR98" s="77"/>
      <c r="MS98" s="77"/>
      <c r="MT98" s="77"/>
      <c r="MU98" s="77"/>
      <c r="MV98" s="77"/>
      <c r="MW98" s="77"/>
      <c r="MX98" s="77"/>
      <c r="MY98" s="77"/>
      <c r="MZ98" s="77"/>
      <c r="NA98" s="77"/>
      <c r="NB98" s="77"/>
      <c r="NC98" s="77"/>
      <c r="ND98" s="77"/>
      <c r="NE98" s="77"/>
      <c r="NF98" s="77"/>
      <c r="NG98" s="77"/>
      <c r="NH98" s="77"/>
      <c r="NI98" s="77"/>
      <c r="NJ98" s="77"/>
      <c r="NK98" s="77"/>
      <c r="NL98" s="77"/>
      <c r="NM98" s="77"/>
      <c r="NN98" s="77"/>
      <c r="NO98" s="77"/>
      <c r="NP98" s="77"/>
      <c r="NQ98" s="77"/>
      <c r="NR98" s="77"/>
      <c r="NS98" s="77"/>
      <c r="NT98" s="77"/>
      <c r="NU98" s="77"/>
      <c r="NV98" s="77"/>
      <c r="NW98" s="77"/>
    </row>
    <row r="99" spans="2:387" x14ac:dyDescent="0.3">
      <c r="B99" s="18"/>
      <c r="C99" s="19"/>
      <c r="D99" s="19"/>
      <c r="E99" s="19"/>
      <c r="F99" s="19"/>
      <c r="G99" s="19"/>
      <c r="H99" s="19"/>
      <c r="I99" s="19"/>
      <c r="J99" s="23"/>
      <c r="K99" s="29"/>
      <c r="L99" s="23"/>
      <c r="GS99" s="80"/>
      <c r="GT99" s="77"/>
      <c r="GU99" s="77"/>
      <c r="GV99" s="77"/>
      <c r="GW99" s="77"/>
      <c r="GX99" s="77"/>
      <c r="GY99" s="77"/>
      <c r="GZ99" s="77"/>
      <c r="HA99" s="77"/>
      <c r="HB99" s="77"/>
      <c r="HC99" s="77"/>
      <c r="HD99" s="77"/>
      <c r="HE99" s="77"/>
      <c r="HF99" s="77"/>
      <c r="HG99" s="77"/>
      <c r="HH99" s="77"/>
      <c r="HI99" s="77"/>
      <c r="HJ99" s="77"/>
      <c r="HK99" s="77"/>
      <c r="HL99" s="77"/>
      <c r="HM99" s="77"/>
      <c r="HN99" s="77"/>
      <c r="HO99" s="77"/>
      <c r="HP99" s="77"/>
      <c r="HQ99" s="77"/>
      <c r="HR99" s="77"/>
      <c r="HS99" s="77"/>
      <c r="HT99" s="77"/>
      <c r="HU99" s="77"/>
      <c r="HV99" s="77"/>
      <c r="HW99" s="77"/>
      <c r="HX99" s="77"/>
      <c r="HY99" s="77"/>
      <c r="HZ99" s="77"/>
      <c r="IA99" s="77"/>
      <c r="IB99" s="77"/>
      <c r="IC99" s="77"/>
      <c r="ID99" s="77"/>
      <c r="IE99" s="77"/>
      <c r="IF99" s="77"/>
      <c r="IG99" s="77"/>
      <c r="IH99" s="77"/>
      <c r="II99" s="77"/>
      <c r="IJ99" s="77"/>
      <c r="IK99" s="77"/>
      <c r="IL99" s="77"/>
      <c r="IM99" s="77"/>
      <c r="IN99" s="77"/>
      <c r="IO99" s="77"/>
      <c r="IP99" s="77"/>
      <c r="IQ99" s="77"/>
      <c r="IR99" s="77"/>
      <c r="IS99" s="77"/>
      <c r="IT99" s="77"/>
      <c r="IU99" s="77"/>
      <c r="IV99" s="77"/>
      <c r="IW99" s="77"/>
      <c r="IX99" s="77"/>
      <c r="IY99" s="77"/>
      <c r="IZ99" s="77"/>
      <c r="JA99" s="77"/>
      <c r="JB99" s="77"/>
      <c r="JC99" s="77"/>
      <c r="JD99" s="77"/>
      <c r="JE99" s="77"/>
      <c r="JF99" s="77"/>
      <c r="JG99" s="77"/>
      <c r="JH99" s="77"/>
      <c r="JI99" s="77"/>
      <c r="JJ99" s="77"/>
      <c r="JK99" s="77"/>
      <c r="JL99" s="77"/>
      <c r="JM99" s="77"/>
      <c r="JN99" s="77"/>
      <c r="JO99" s="77"/>
      <c r="JP99" s="77"/>
      <c r="JQ99" s="77"/>
      <c r="JR99" s="77"/>
      <c r="JS99" s="77"/>
      <c r="JT99" s="77"/>
      <c r="JU99" s="77"/>
      <c r="JV99" s="77"/>
      <c r="JW99" s="77"/>
      <c r="JX99" s="77"/>
      <c r="JY99" s="77"/>
      <c r="JZ99" s="77"/>
      <c r="KA99" s="77"/>
      <c r="KB99" s="77"/>
      <c r="KC99" s="77"/>
      <c r="KD99" s="77"/>
      <c r="KE99" s="77"/>
      <c r="KF99" s="77"/>
      <c r="KG99" s="77"/>
      <c r="KH99" s="77"/>
      <c r="KI99" s="77"/>
      <c r="KJ99" s="77"/>
      <c r="KK99" s="77"/>
      <c r="KL99" s="77"/>
      <c r="KM99" s="77"/>
      <c r="KN99" s="77"/>
      <c r="KO99" s="77"/>
      <c r="KP99" s="77"/>
      <c r="KQ99" s="77"/>
      <c r="KR99" s="77"/>
      <c r="KS99" s="77"/>
      <c r="KT99" s="77"/>
      <c r="KU99" s="77"/>
      <c r="KV99" s="77"/>
      <c r="KW99" s="77"/>
      <c r="KX99" s="77"/>
      <c r="KY99" s="77"/>
      <c r="KZ99" s="77"/>
      <c r="LA99" s="77"/>
      <c r="LB99" s="77"/>
      <c r="LC99" s="77"/>
      <c r="LD99" s="77"/>
      <c r="LE99" s="77"/>
      <c r="LF99" s="77"/>
      <c r="LG99" s="77"/>
      <c r="LH99" s="77"/>
      <c r="LI99" s="77"/>
      <c r="LJ99" s="77"/>
      <c r="LK99" s="77"/>
      <c r="LL99" s="77"/>
      <c r="LM99" s="77"/>
      <c r="LN99" s="77"/>
      <c r="LO99" s="77"/>
      <c r="LP99" s="77"/>
      <c r="LQ99" s="77"/>
      <c r="LR99" s="77"/>
      <c r="LS99" s="77"/>
      <c r="LT99" s="77"/>
      <c r="LU99" s="77"/>
      <c r="LV99" s="77"/>
      <c r="LW99" s="77"/>
      <c r="LX99" s="77"/>
      <c r="LY99" s="77"/>
      <c r="LZ99" s="77"/>
      <c r="MA99" s="77"/>
      <c r="MB99" s="77"/>
      <c r="MC99" s="77"/>
      <c r="MD99" s="77"/>
      <c r="ME99" s="77"/>
      <c r="MF99" s="77"/>
      <c r="MG99" s="77"/>
      <c r="MH99" s="77"/>
      <c r="MI99" s="77"/>
      <c r="MJ99" s="77"/>
      <c r="MK99" s="77"/>
      <c r="ML99" s="77"/>
      <c r="MM99" s="77"/>
      <c r="MN99" s="77"/>
      <c r="MO99" s="77"/>
      <c r="MP99" s="77"/>
      <c r="MQ99" s="77"/>
      <c r="MR99" s="77"/>
      <c r="MS99" s="77"/>
      <c r="MT99" s="77"/>
      <c r="MU99" s="77"/>
      <c r="MV99" s="77"/>
      <c r="MW99" s="77"/>
      <c r="MX99" s="77"/>
      <c r="MY99" s="77"/>
      <c r="MZ99" s="77"/>
      <c r="NA99" s="77"/>
      <c r="NB99" s="77"/>
      <c r="NC99" s="77"/>
      <c r="ND99" s="77"/>
      <c r="NE99" s="77"/>
      <c r="NF99" s="77"/>
      <c r="NG99" s="77"/>
      <c r="NH99" s="77"/>
      <c r="NI99" s="77"/>
      <c r="NJ99" s="77"/>
      <c r="NK99" s="77"/>
      <c r="NL99" s="77"/>
      <c r="NM99" s="77"/>
      <c r="NN99" s="77"/>
      <c r="NO99" s="77"/>
      <c r="NP99" s="77"/>
      <c r="NQ99" s="77"/>
      <c r="NR99" s="77"/>
      <c r="NS99" s="77"/>
      <c r="NT99" s="77"/>
      <c r="NU99" s="77"/>
      <c r="NV99" s="77"/>
      <c r="NW99" s="77"/>
    </row>
    <row r="100" spans="2:387" x14ac:dyDescent="0.3">
      <c r="B100" s="18" t="s">
        <v>287</v>
      </c>
      <c r="C100" s="19"/>
      <c r="D100" s="19"/>
      <c r="E100" s="19"/>
      <c r="F100" s="19"/>
      <c r="G100" s="19"/>
      <c r="H100" s="19"/>
      <c r="I100" s="19"/>
      <c r="J100" s="23"/>
      <c r="K100" s="29"/>
      <c r="L100" s="94">
        <f>L98/L97</f>
        <v>0.24213973738057359</v>
      </c>
      <c r="GS100" s="80"/>
      <c r="GT100" s="77"/>
      <c r="GU100" s="77"/>
      <c r="GV100" s="77"/>
      <c r="GW100" s="77"/>
      <c r="GX100" s="77"/>
      <c r="GY100" s="77"/>
      <c r="GZ100" s="77"/>
      <c r="HA100" s="77"/>
      <c r="HB100" s="77"/>
      <c r="HC100" s="77"/>
      <c r="HD100" s="77"/>
      <c r="HE100" s="77"/>
      <c r="HF100" s="77"/>
      <c r="HG100" s="77"/>
      <c r="HH100" s="77"/>
      <c r="HI100" s="77"/>
      <c r="HJ100" s="77"/>
      <c r="HK100" s="77"/>
      <c r="HL100" s="77"/>
      <c r="HM100" s="77"/>
      <c r="HN100" s="77"/>
      <c r="HO100" s="77"/>
      <c r="HP100" s="77"/>
      <c r="HQ100" s="77"/>
      <c r="HR100" s="77"/>
      <c r="HS100" s="77"/>
      <c r="HT100" s="77"/>
      <c r="HU100" s="77"/>
      <c r="HV100" s="77"/>
      <c r="HW100" s="77"/>
      <c r="HX100" s="77"/>
      <c r="HY100" s="77"/>
      <c r="HZ100" s="77"/>
      <c r="IA100" s="77"/>
      <c r="IB100" s="77"/>
      <c r="IC100" s="77"/>
      <c r="ID100" s="77"/>
      <c r="IE100" s="77"/>
      <c r="IF100" s="77"/>
      <c r="IG100" s="77"/>
      <c r="IH100" s="77"/>
      <c r="II100" s="77"/>
      <c r="IJ100" s="77"/>
      <c r="IK100" s="77"/>
      <c r="IL100" s="77"/>
      <c r="IM100" s="77"/>
      <c r="IN100" s="77"/>
      <c r="IO100" s="77"/>
      <c r="IP100" s="77"/>
      <c r="IQ100" s="77"/>
      <c r="IR100" s="77"/>
      <c r="IS100" s="77"/>
      <c r="IT100" s="77"/>
      <c r="IU100" s="77"/>
      <c r="IV100" s="77"/>
      <c r="IW100" s="77"/>
      <c r="IX100" s="77"/>
      <c r="IY100" s="77"/>
      <c r="IZ100" s="77"/>
      <c r="JA100" s="77"/>
      <c r="JB100" s="77"/>
      <c r="JC100" s="77"/>
      <c r="JD100" s="77"/>
      <c r="JE100" s="77"/>
      <c r="JF100" s="77"/>
      <c r="JG100" s="77"/>
      <c r="JH100" s="77"/>
      <c r="JI100" s="77"/>
      <c r="JJ100" s="77"/>
      <c r="JK100" s="77"/>
      <c r="JL100" s="77"/>
      <c r="JM100" s="77"/>
      <c r="JN100" s="77"/>
      <c r="JO100" s="77"/>
      <c r="JP100" s="77"/>
      <c r="JQ100" s="77"/>
      <c r="JR100" s="77"/>
      <c r="JS100" s="77"/>
      <c r="JT100" s="77"/>
      <c r="JU100" s="77"/>
      <c r="JV100" s="77"/>
      <c r="JW100" s="77"/>
      <c r="JX100" s="77"/>
      <c r="JY100" s="77"/>
      <c r="JZ100" s="77"/>
      <c r="KA100" s="77"/>
      <c r="KB100" s="77"/>
      <c r="KC100" s="77"/>
      <c r="KD100" s="77"/>
      <c r="KE100" s="77"/>
      <c r="KF100" s="77"/>
      <c r="KG100" s="77"/>
      <c r="KH100" s="77"/>
      <c r="KI100" s="77"/>
      <c r="KJ100" s="77"/>
      <c r="KK100" s="77"/>
      <c r="KL100" s="77"/>
      <c r="KM100" s="77"/>
      <c r="KN100" s="77"/>
      <c r="KO100" s="77"/>
      <c r="KP100" s="77"/>
      <c r="KQ100" s="77"/>
      <c r="KR100" s="77"/>
      <c r="KS100" s="77"/>
      <c r="KT100" s="77"/>
      <c r="KU100" s="77"/>
      <c r="KV100" s="77"/>
      <c r="KW100" s="77"/>
      <c r="KX100" s="77"/>
      <c r="KY100" s="77"/>
      <c r="KZ100" s="77"/>
      <c r="LA100" s="77"/>
      <c r="LB100" s="77"/>
      <c r="LC100" s="77"/>
      <c r="LD100" s="77"/>
      <c r="LE100" s="77"/>
      <c r="LF100" s="77"/>
      <c r="LG100" s="77"/>
      <c r="LH100" s="77"/>
      <c r="LI100" s="77"/>
      <c r="LJ100" s="77"/>
      <c r="LK100" s="77"/>
      <c r="LL100" s="77"/>
      <c r="LM100" s="77"/>
      <c r="LN100" s="77"/>
      <c r="LO100" s="77"/>
      <c r="LP100" s="77"/>
      <c r="LQ100" s="77"/>
      <c r="LR100" s="77"/>
      <c r="LS100" s="77"/>
      <c r="LT100" s="77"/>
      <c r="LU100" s="77"/>
      <c r="LV100" s="77"/>
      <c r="LW100" s="77"/>
      <c r="LX100" s="77"/>
      <c r="LY100" s="77"/>
      <c r="LZ100" s="77"/>
      <c r="MA100" s="77"/>
      <c r="MB100" s="77"/>
      <c r="MC100" s="77"/>
      <c r="MD100" s="77"/>
      <c r="ME100" s="77"/>
      <c r="MF100" s="77"/>
      <c r="MG100" s="77"/>
      <c r="MH100" s="77"/>
      <c r="MI100" s="77"/>
      <c r="MJ100" s="77"/>
      <c r="MK100" s="77"/>
      <c r="ML100" s="77"/>
      <c r="MM100" s="77"/>
      <c r="MN100" s="77"/>
      <c r="MO100" s="77"/>
      <c r="MP100" s="77"/>
      <c r="MQ100" s="77"/>
      <c r="MR100" s="77"/>
      <c r="MS100" s="77"/>
      <c r="MT100" s="77"/>
      <c r="MU100" s="77"/>
      <c r="MV100" s="77"/>
      <c r="MW100" s="77"/>
      <c r="MX100" s="77"/>
      <c r="MY100" s="77"/>
      <c r="MZ100" s="77"/>
      <c r="NA100" s="77"/>
      <c r="NB100" s="77"/>
      <c r="NC100" s="77"/>
      <c r="ND100" s="77"/>
      <c r="NE100" s="77"/>
      <c r="NF100" s="77"/>
      <c r="NG100" s="77"/>
      <c r="NH100" s="77"/>
      <c r="NI100" s="77"/>
      <c r="NJ100" s="77"/>
      <c r="NK100" s="77"/>
      <c r="NL100" s="77"/>
      <c r="NM100" s="77"/>
      <c r="NN100" s="77"/>
      <c r="NO100" s="77"/>
      <c r="NP100" s="77"/>
      <c r="NQ100" s="77"/>
      <c r="NR100" s="77"/>
      <c r="NS100" s="77"/>
      <c r="NT100" s="77"/>
      <c r="NU100" s="77"/>
      <c r="NV100" s="77"/>
      <c r="NW100" s="77"/>
    </row>
    <row r="101" spans="2:387" x14ac:dyDescent="0.3">
      <c r="B101" s="51" t="s">
        <v>288</v>
      </c>
      <c r="C101" s="55"/>
      <c r="D101" s="55"/>
      <c r="E101" s="56"/>
      <c r="F101" s="52"/>
      <c r="G101" s="52"/>
      <c r="H101" s="53"/>
      <c r="I101" s="91"/>
      <c r="J101" s="52" t="str">
        <f>"/"&amp;Summary!$O$8</f>
        <v>/Lot</v>
      </c>
      <c r="K101" s="52" t="str" cm="1">
        <f t="array" ref="K101">"/"&amp;Unit_Type</f>
        <v>/SF</v>
      </c>
      <c r="L101" s="52" t="s">
        <v>190</v>
      </c>
      <c r="S101" s="68" t="s">
        <v>191</v>
      </c>
      <c r="T101" s="61">
        <v>1</v>
      </c>
      <c r="U101" s="61">
        <f t="shared" ref="U101:AZ101" si="483">T101+1</f>
        <v>2</v>
      </c>
      <c r="V101" s="61">
        <f t="shared" si="483"/>
        <v>3</v>
      </c>
      <c r="W101" s="61">
        <f t="shared" si="483"/>
        <v>4</v>
      </c>
      <c r="X101" s="61">
        <f t="shared" si="483"/>
        <v>5</v>
      </c>
      <c r="Y101" s="61">
        <f t="shared" si="483"/>
        <v>6</v>
      </c>
      <c r="Z101" s="61">
        <f t="shared" si="483"/>
        <v>7</v>
      </c>
      <c r="AA101" s="61">
        <f t="shared" si="483"/>
        <v>8</v>
      </c>
      <c r="AB101" s="61">
        <f t="shared" si="483"/>
        <v>9</v>
      </c>
      <c r="AC101" s="61">
        <f t="shared" si="483"/>
        <v>10</v>
      </c>
      <c r="AD101" s="61">
        <f t="shared" si="483"/>
        <v>11</v>
      </c>
      <c r="AE101" s="61">
        <f t="shared" si="483"/>
        <v>12</v>
      </c>
      <c r="AF101" s="61">
        <f t="shared" si="483"/>
        <v>13</v>
      </c>
      <c r="AG101" s="61">
        <f t="shared" si="483"/>
        <v>14</v>
      </c>
      <c r="AH101" s="61">
        <f t="shared" si="483"/>
        <v>15</v>
      </c>
      <c r="AI101" s="61">
        <f t="shared" si="483"/>
        <v>16</v>
      </c>
      <c r="AJ101" s="61">
        <f t="shared" si="483"/>
        <v>17</v>
      </c>
      <c r="AK101" s="61">
        <f t="shared" si="483"/>
        <v>18</v>
      </c>
      <c r="AL101" s="61">
        <f t="shared" si="483"/>
        <v>19</v>
      </c>
      <c r="AM101" s="61">
        <f t="shared" si="483"/>
        <v>20</v>
      </c>
      <c r="AN101" s="61">
        <f t="shared" si="483"/>
        <v>21</v>
      </c>
      <c r="AO101" s="61">
        <f t="shared" si="483"/>
        <v>22</v>
      </c>
      <c r="AP101" s="61">
        <f t="shared" si="483"/>
        <v>23</v>
      </c>
      <c r="AQ101" s="61">
        <f t="shared" si="483"/>
        <v>24</v>
      </c>
      <c r="AR101" s="61">
        <f t="shared" si="483"/>
        <v>25</v>
      </c>
      <c r="AS101" s="61">
        <f t="shared" si="483"/>
        <v>26</v>
      </c>
      <c r="AT101" s="61">
        <f t="shared" si="483"/>
        <v>27</v>
      </c>
      <c r="AU101" s="61">
        <f t="shared" si="483"/>
        <v>28</v>
      </c>
      <c r="AV101" s="61">
        <f t="shared" si="483"/>
        <v>29</v>
      </c>
      <c r="AW101" s="61">
        <f t="shared" si="483"/>
        <v>30</v>
      </c>
      <c r="AX101" s="61">
        <f t="shared" si="483"/>
        <v>31</v>
      </c>
      <c r="AY101" s="61">
        <f t="shared" si="483"/>
        <v>32</v>
      </c>
      <c r="AZ101" s="61">
        <f t="shared" si="483"/>
        <v>33</v>
      </c>
      <c r="BA101" s="61">
        <f t="shared" ref="BA101:CF101" si="484">AZ101+1</f>
        <v>34</v>
      </c>
      <c r="BB101" s="61">
        <f t="shared" si="484"/>
        <v>35</v>
      </c>
      <c r="BC101" s="61">
        <f t="shared" si="484"/>
        <v>36</v>
      </c>
      <c r="BD101" s="61">
        <f t="shared" si="484"/>
        <v>37</v>
      </c>
      <c r="BE101" s="61">
        <f t="shared" si="484"/>
        <v>38</v>
      </c>
      <c r="BF101" s="61">
        <f t="shared" si="484"/>
        <v>39</v>
      </c>
      <c r="BG101" s="61">
        <f t="shared" si="484"/>
        <v>40</v>
      </c>
      <c r="BH101" s="61">
        <f t="shared" si="484"/>
        <v>41</v>
      </c>
      <c r="BI101" s="61">
        <f t="shared" si="484"/>
        <v>42</v>
      </c>
      <c r="BJ101" s="61">
        <f t="shared" si="484"/>
        <v>43</v>
      </c>
      <c r="BK101" s="61">
        <f t="shared" si="484"/>
        <v>44</v>
      </c>
      <c r="BL101" s="61">
        <f t="shared" si="484"/>
        <v>45</v>
      </c>
      <c r="BM101" s="61">
        <f t="shared" si="484"/>
        <v>46</v>
      </c>
      <c r="BN101" s="61">
        <f t="shared" si="484"/>
        <v>47</v>
      </c>
      <c r="BO101" s="61">
        <f t="shared" si="484"/>
        <v>48</v>
      </c>
      <c r="BP101" s="61">
        <f t="shared" si="484"/>
        <v>49</v>
      </c>
      <c r="BQ101" s="61">
        <f t="shared" si="484"/>
        <v>50</v>
      </c>
      <c r="BR101" s="61">
        <f t="shared" si="484"/>
        <v>51</v>
      </c>
      <c r="BS101" s="61">
        <f t="shared" si="484"/>
        <v>52</v>
      </c>
      <c r="BT101" s="61">
        <f t="shared" si="484"/>
        <v>53</v>
      </c>
      <c r="BU101" s="61">
        <f t="shared" si="484"/>
        <v>54</v>
      </c>
      <c r="BV101" s="61">
        <f t="shared" si="484"/>
        <v>55</v>
      </c>
      <c r="BW101" s="61">
        <f t="shared" si="484"/>
        <v>56</v>
      </c>
      <c r="BX101" s="61">
        <f t="shared" si="484"/>
        <v>57</v>
      </c>
      <c r="BY101" s="61">
        <f t="shared" si="484"/>
        <v>58</v>
      </c>
      <c r="BZ101" s="61">
        <f t="shared" si="484"/>
        <v>59</v>
      </c>
      <c r="CA101" s="61">
        <f t="shared" si="484"/>
        <v>60</v>
      </c>
      <c r="CB101" s="61">
        <f t="shared" si="484"/>
        <v>61</v>
      </c>
      <c r="CC101" s="61">
        <f t="shared" si="484"/>
        <v>62</v>
      </c>
      <c r="CD101" s="61">
        <f t="shared" si="484"/>
        <v>63</v>
      </c>
      <c r="CE101" s="61">
        <f t="shared" si="484"/>
        <v>64</v>
      </c>
      <c r="CF101" s="61">
        <f t="shared" si="484"/>
        <v>65</v>
      </c>
      <c r="CG101" s="61">
        <f t="shared" ref="CG101:DL101" si="485">CF101+1</f>
        <v>66</v>
      </c>
      <c r="CH101" s="61">
        <f t="shared" si="485"/>
        <v>67</v>
      </c>
      <c r="CI101" s="61">
        <f t="shared" si="485"/>
        <v>68</v>
      </c>
      <c r="CJ101" s="61">
        <f t="shared" si="485"/>
        <v>69</v>
      </c>
      <c r="CK101" s="61">
        <f t="shared" si="485"/>
        <v>70</v>
      </c>
      <c r="CL101" s="61">
        <f t="shared" si="485"/>
        <v>71</v>
      </c>
      <c r="CM101" s="61">
        <f t="shared" si="485"/>
        <v>72</v>
      </c>
      <c r="CN101" s="61">
        <f t="shared" si="485"/>
        <v>73</v>
      </c>
      <c r="CO101" s="61">
        <f t="shared" si="485"/>
        <v>74</v>
      </c>
      <c r="CP101" s="61">
        <f t="shared" si="485"/>
        <v>75</v>
      </c>
      <c r="CQ101" s="61">
        <f t="shared" si="485"/>
        <v>76</v>
      </c>
      <c r="CR101" s="61">
        <f t="shared" si="485"/>
        <v>77</v>
      </c>
      <c r="CS101" s="61">
        <f t="shared" si="485"/>
        <v>78</v>
      </c>
      <c r="CT101" s="61">
        <f t="shared" si="485"/>
        <v>79</v>
      </c>
      <c r="CU101" s="61">
        <f t="shared" si="485"/>
        <v>80</v>
      </c>
      <c r="CV101" s="61">
        <f t="shared" si="485"/>
        <v>81</v>
      </c>
      <c r="CW101" s="61">
        <f t="shared" si="485"/>
        <v>82</v>
      </c>
      <c r="CX101" s="61">
        <f t="shared" si="485"/>
        <v>83</v>
      </c>
      <c r="CY101" s="61">
        <f t="shared" si="485"/>
        <v>84</v>
      </c>
      <c r="CZ101" s="61">
        <f t="shared" si="485"/>
        <v>85</v>
      </c>
      <c r="DA101" s="61">
        <f t="shared" si="485"/>
        <v>86</v>
      </c>
      <c r="DB101" s="61">
        <f t="shared" si="485"/>
        <v>87</v>
      </c>
      <c r="DC101" s="61">
        <f t="shared" si="485"/>
        <v>88</v>
      </c>
      <c r="DD101" s="61">
        <f t="shared" si="485"/>
        <v>89</v>
      </c>
      <c r="DE101" s="61">
        <f t="shared" si="485"/>
        <v>90</v>
      </c>
      <c r="DF101" s="61">
        <f t="shared" si="485"/>
        <v>91</v>
      </c>
      <c r="DG101" s="61">
        <f t="shared" si="485"/>
        <v>92</v>
      </c>
      <c r="DH101" s="61">
        <f t="shared" si="485"/>
        <v>93</v>
      </c>
      <c r="DI101" s="61">
        <f t="shared" si="485"/>
        <v>94</v>
      </c>
      <c r="DJ101" s="61">
        <f t="shared" si="485"/>
        <v>95</v>
      </c>
      <c r="DK101" s="61">
        <f t="shared" si="485"/>
        <v>96</v>
      </c>
      <c r="DL101" s="61">
        <f t="shared" si="485"/>
        <v>97</v>
      </c>
      <c r="DM101" s="61">
        <f t="shared" ref="DM101:ER101" si="486">DL101+1</f>
        <v>98</v>
      </c>
      <c r="DN101" s="61">
        <f t="shared" si="486"/>
        <v>99</v>
      </c>
      <c r="DO101" s="61">
        <f t="shared" si="486"/>
        <v>100</v>
      </c>
      <c r="DP101" s="61">
        <f t="shared" si="486"/>
        <v>101</v>
      </c>
      <c r="DQ101" s="61">
        <f t="shared" si="486"/>
        <v>102</v>
      </c>
      <c r="DR101" s="61">
        <f t="shared" si="486"/>
        <v>103</v>
      </c>
      <c r="DS101" s="61">
        <f t="shared" si="486"/>
        <v>104</v>
      </c>
      <c r="DT101" s="61">
        <f t="shared" si="486"/>
        <v>105</v>
      </c>
      <c r="DU101" s="61">
        <f t="shared" si="486"/>
        <v>106</v>
      </c>
      <c r="DV101" s="61">
        <f t="shared" si="486"/>
        <v>107</v>
      </c>
      <c r="DW101" s="61">
        <f t="shared" si="486"/>
        <v>108</v>
      </c>
      <c r="DX101" s="61">
        <f t="shared" si="486"/>
        <v>109</v>
      </c>
      <c r="DY101" s="61">
        <f t="shared" si="486"/>
        <v>110</v>
      </c>
      <c r="DZ101" s="61">
        <f t="shared" si="486"/>
        <v>111</v>
      </c>
      <c r="EA101" s="61">
        <f t="shared" si="486"/>
        <v>112</v>
      </c>
      <c r="EB101" s="61">
        <f t="shared" si="486"/>
        <v>113</v>
      </c>
      <c r="EC101" s="61">
        <f t="shared" si="486"/>
        <v>114</v>
      </c>
      <c r="ED101" s="61">
        <f t="shared" si="486"/>
        <v>115</v>
      </c>
      <c r="EE101" s="61">
        <f t="shared" si="486"/>
        <v>116</v>
      </c>
      <c r="EF101" s="61">
        <f t="shared" si="486"/>
        <v>117</v>
      </c>
      <c r="EG101" s="61">
        <f t="shared" si="486"/>
        <v>118</v>
      </c>
      <c r="EH101" s="61">
        <f t="shared" si="486"/>
        <v>119</v>
      </c>
      <c r="EI101" s="61">
        <f t="shared" si="486"/>
        <v>120</v>
      </c>
      <c r="EJ101" s="61">
        <f t="shared" si="486"/>
        <v>121</v>
      </c>
      <c r="EK101" s="61">
        <f t="shared" si="486"/>
        <v>122</v>
      </c>
      <c r="EL101" s="61">
        <f t="shared" si="486"/>
        <v>123</v>
      </c>
      <c r="EM101" s="61">
        <f t="shared" si="486"/>
        <v>124</v>
      </c>
      <c r="EN101" s="61">
        <f t="shared" si="486"/>
        <v>125</v>
      </c>
      <c r="EO101" s="61">
        <f t="shared" si="486"/>
        <v>126</v>
      </c>
      <c r="EP101" s="61">
        <f t="shared" si="486"/>
        <v>127</v>
      </c>
      <c r="EQ101" s="61">
        <f t="shared" si="486"/>
        <v>128</v>
      </c>
      <c r="ER101" s="61">
        <f t="shared" si="486"/>
        <v>129</v>
      </c>
      <c r="ES101" s="61">
        <f t="shared" ref="ES101:FX101" si="487">ER101+1</f>
        <v>130</v>
      </c>
      <c r="ET101" s="61">
        <f t="shared" si="487"/>
        <v>131</v>
      </c>
      <c r="EU101" s="61">
        <f t="shared" si="487"/>
        <v>132</v>
      </c>
      <c r="EV101" s="61">
        <f t="shared" si="487"/>
        <v>133</v>
      </c>
      <c r="EW101" s="61">
        <f t="shared" si="487"/>
        <v>134</v>
      </c>
      <c r="EX101" s="61">
        <f t="shared" si="487"/>
        <v>135</v>
      </c>
      <c r="EY101" s="61">
        <f t="shared" si="487"/>
        <v>136</v>
      </c>
      <c r="EZ101" s="61">
        <f t="shared" si="487"/>
        <v>137</v>
      </c>
      <c r="FA101" s="61">
        <f t="shared" si="487"/>
        <v>138</v>
      </c>
      <c r="FB101" s="61">
        <f t="shared" si="487"/>
        <v>139</v>
      </c>
      <c r="FC101" s="61">
        <f t="shared" si="487"/>
        <v>140</v>
      </c>
      <c r="FD101" s="61">
        <f t="shared" si="487"/>
        <v>141</v>
      </c>
      <c r="FE101" s="61">
        <f t="shared" si="487"/>
        <v>142</v>
      </c>
      <c r="FF101" s="61">
        <f t="shared" si="487"/>
        <v>143</v>
      </c>
      <c r="FG101" s="61">
        <f t="shared" si="487"/>
        <v>144</v>
      </c>
      <c r="FH101" s="61">
        <f t="shared" si="487"/>
        <v>145</v>
      </c>
      <c r="FI101" s="61">
        <f t="shared" si="487"/>
        <v>146</v>
      </c>
      <c r="FJ101" s="61">
        <f t="shared" si="487"/>
        <v>147</v>
      </c>
      <c r="FK101" s="61">
        <f t="shared" si="487"/>
        <v>148</v>
      </c>
      <c r="FL101" s="61">
        <f t="shared" si="487"/>
        <v>149</v>
      </c>
      <c r="FM101" s="61">
        <f t="shared" si="487"/>
        <v>150</v>
      </c>
      <c r="FN101" s="61">
        <f t="shared" si="487"/>
        <v>151</v>
      </c>
      <c r="FO101" s="61">
        <f t="shared" si="487"/>
        <v>152</v>
      </c>
      <c r="FP101" s="61">
        <f t="shared" si="487"/>
        <v>153</v>
      </c>
      <c r="FQ101" s="61">
        <f t="shared" si="487"/>
        <v>154</v>
      </c>
      <c r="FR101" s="61">
        <f t="shared" si="487"/>
        <v>155</v>
      </c>
      <c r="FS101" s="61">
        <f t="shared" si="487"/>
        <v>156</v>
      </c>
      <c r="FT101" s="61">
        <f t="shared" si="487"/>
        <v>157</v>
      </c>
      <c r="FU101" s="61">
        <f t="shared" si="487"/>
        <v>158</v>
      </c>
      <c r="FV101" s="61">
        <f t="shared" si="487"/>
        <v>159</v>
      </c>
      <c r="FW101" s="61">
        <f t="shared" si="487"/>
        <v>160</v>
      </c>
      <c r="FX101" s="61">
        <f t="shared" si="487"/>
        <v>161</v>
      </c>
      <c r="FY101" s="61">
        <f t="shared" ref="FY101:GQ101" si="488">FX101+1</f>
        <v>162</v>
      </c>
      <c r="FZ101" s="61">
        <f t="shared" si="488"/>
        <v>163</v>
      </c>
      <c r="GA101" s="61">
        <f t="shared" si="488"/>
        <v>164</v>
      </c>
      <c r="GB101" s="61">
        <f t="shared" si="488"/>
        <v>165</v>
      </c>
      <c r="GC101" s="61">
        <f t="shared" si="488"/>
        <v>166</v>
      </c>
      <c r="GD101" s="61">
        <f t="shared" si="488"/>
        <v>167</v>
      </c>
      <c r="GE101" s="61">
        <f t="shared" si="488"/>
        <v>168</v>
      </c>
      <c r="GF101" s="61">
        <f t="shared" si="488"/>
        <v>169</v>
      </c>
      <c r="GG101" s="61">
        <f t="shared" si="488"/>
        <v>170</v>
      </c>
      <c r="GH101" s="61">
        <f t="shared" si="488"/>
        <v>171</v>
      </c>
      <c r="GI101" s="61">
        <f t="shared" si="488"/>
        <v>172</v>
      </c>
      <c r="GJ101" s="61">
        <f t="shared" si="488"/>
        <v>173</v>
      </c>
      <c r="GK101" s="61">
        <f t="shared" si="488"/>
        <v>174</v>
      </c>
      <c r="GL101" s="61">
        <f t="shared" si="488"/>
        <v>175</v>
      </c>
      <c r="GM101" s="61">
        <f t="shared" si="488"/>
        <v>176</v>
      </c>
      <c r="GN101" s="61">
        <f t="shared" si="488"/>
        <v>177</v>
      </c>
      <c r="GO101" s="61">
        <f t="shared" si="488"/>
        <v>178</v>
      </c>
      <c r="GP101" s="61">
        <f t="shared" si="488"/>
        <v>179</v>
      </c>
      <c r="GQ101" s="61">
        <f t="shared" si="488"/>
        <v>180</v>
      </c>
      <c r="GS101" s="80" t="s">
        <v>289</v>
      </c>
      <c r="GT101" s="77"/>
      <c r="GU101" s="77"/>
      <c r="GV101" s="77"/>
      <c r="GW101" s="77"/>
      <c r="GX101" s="77"/>
      <c r="GY101" s="77"/>
      <c r="GZ101" s="100">
        <f t="shared" ref="GZ101:IE101" si="489">T2</f>
        <v>45688</v>
      </c>
      <c r="HA101" s="100">
        <f t="shared" si="489"/>
        <v>45716</v>
      </c>
      <c r="HB101" s="100">
        <f t="shared" si="489"/>
        <v>45747</v>
      </c>
      <c r="HC101" s="100">
        <f t="shared" si="489"/>
        <v>45777</v>
      </c>
      <c r="HD101" s="100">
        <f t="shared" si="489"/>
        <v>45808</v>
      </c>
      <c r="HE101" s="100">
        <f t="shared" si="489"/>
        <v>45838</v>
      </c>
      <c r="HF101" s="100">
        <f t="shared" si="489"/>
        <v>45869</v>
      </c>
      <c r="HG101" s="100">
        <f t="shared" si="489"/>
        <v>45900</v>
      </c>
      <c r="HH101" s="100">
        <f t="shared" si="489"/>
        <v>45930</v>
      </c>
      <c r="HI101" s="100">
        <f t="shared" si="489"/>
        <v>45961</v>
      </c>
      <c r="HJ101" s="100">
        <f t="shared" si="489"/>
        <v>45991</v>
      </c>
      <c r="HK101" s="100">
        <f t="shared" si="489"/>
        <v>46022</v>
      </c>
      <c r="HL101" s="100">
        <f t="shared" si="489"/>
        <v>46053</v>
      </c>
      <c r="HM101" s="100">
        <f t="shared" si="489"/>
        <v>46081</v>
      </c>
      <c r="HN101" s="100">
        <f t="shared" si="489"/>
        <v>46112</v>
      </c>
      <c r="HO101" s="100">
        <f t="shared" si="489"/>
        <v>46142</v>
      </c>
      <c r="HP101" s="100">
        <f t="shared" si="489"/>
        <v>46173</v>
      </c>
      <c r="HQ101" s="100">
        <f t="shared" si="489"/>
        <v>46203</v>
      </c>
      <c r="HR101" s="100">
        <f t="shared" si="489"/>
        <v>46234</v>
      </c>
      <c r="HS101" s="100">
        <f t="shared" si="489"/>
        <v>46265</v>
      </c>
      <c r="HT101" s="100">
        <f t="shared" si="489"/>
        <v>46295</v>
      </c>
      <c r="HU101" s="100">
        <f t="shared" si="489"/>
        <v>46326</v>
      </c>
      <c r="HV101" s="100">
        <f t="shared" si="489"/>
        <v>46356</v>
      </c>
      <c r="HW101" s="100">
        <f t="shared" si="489"/>
        <v>46387</v>
      </c>
      <c r="HX101" s="100">
        <f t="shared" si="489"/>
        <v>46418</v>
      </c>
      <c r="HY101" s="100">
        <f t="shared" si="489"/>
        <v>46446</v>
      </c>
      <c r="HZ101" s="100">
        <f t="shared" si="489"/>
        <v>46477</v>
      </c>
      <c r="IA101" s="100">
        <f t="shared" si="489"/>
        <v>46507</v>
      </c>
      <c r="IB101" s="100">
        <f t="shared" si="489"/>
        <v>46538</v>
      </c>
      <c r="IC101" s="100">
        <f t="shared" si="489"/>
        <v>46568</v>
      </c>
      <c r="ID101" s="100">
        <f t="shared" si="489"/>
        <v>46599</v>
      </c>
      <c r="IE101" s="100">
        <f t="shared" si="489"/>
        <v>46630</v>
      </c>
      <c r="IF101" s="100">
        <f t="shared" ref="IF101:JK101" si="490">AZ2</f>
        <v>46660</v>
      </c>
      <c r="IG101" s="100">
        <f t="shared" si="490"/>
        <v>46691</v>
      </c>
      <c r="IH101" s="100">
        <f t="shared" si="490"/>
        <v>46721</v>
      </c>
      <c r="II101" s="100">
        <f t="shared" si="490"/>
        <v>46752</v>
      </c>
      <c r="IJ101" s="100">
        <f t="shared" si="490"/>
        <v>46783</v>
      </c>
      <c r="IK101" s="100">
        <f t="shared" si="490"/>
        <v>46812</v>
      </c>
      <c r="IL101" s="100">
        <f t="shared" si="490"/>
        <v>46843</v>
      </c>
      <c r="IM101" s="100">
        <f t="shared" si="490"/>
        <v>46873</v>
      </c>
      <c r="IN101" s="100">
        <f t="shared" si="490"/>
        <v>46904</v>
      </c>
      <c r="IO101" s="100">
        <f t="shared" si="490"/>
        <v>46934</v>
      </c>
      <c r="IP101" s="100">
        <f t="shared" si="490"/>
        <v>46965</v>
      </c>
      <c r="IQ101" s="100">
        <f t="shared" si="490"/>
        <v>46996</v>
      </c>
      <c r="IR101" s="100">
        <f t="shared" si="490"/>
        <v>47026</v>
      </c>
      <c r="IS101" s="100">
        <f t="shared" si="490"/>
        <v>47057</v>
      </c>
      <c r="IT101" s="100">
        <f t="shared" si="490"/>
        <v>47087</v>
      </c>
      <c r="IU101" s="100">
        <f t="shared" si="490"/>
        <v>47118</v>
      </c>
      <c r="IV101" s="100">
        <f t="shared" si="490"/>
        <v>47149</v>
      </c>
      <c r="IW101" s="100">
        <f t="shared" si="490"/>
        <v>47177</v>
      </c>
      <c r="IX101" s="100">
        <f t="shared" si="490"/>
        <v>47208</v>
      </c>
      <c r="IY101" s="100">
        <f t="shared" si="490"/>
        <v>47238</v>
      </c>
      <c r="IZ101" s="100">
        <f t="shared" si="490"/>
        <v>47269</v>
      </c>
      <c r="JA101" s="100">
        <f t="shared" si="490"/>
        <v>47299</v>
      </c>
      <c r="JB101" s="100">
        <f t="shared" si="490"/>
        <v>47330</v>
      </c>
      <c r="JC101" s="100">
        <f t="shared" si="490"/>
        <v>47361</v>
      </c>
      <c r="JD101" s="100">
        <f t="shared" si="490"/>
        <v>47391</v>
      </c>
      <c r="JE101" s="100">
        <f t="shared" si="490"/>
        <v>47422</v>
      </c>
      <c r="JF101" s="100">
        <f t="shared" si="490"/>
        <v>47452</v>
      </c>
      <c r="JG101" s="100">
        <f t="shared" si="490"/>
        <v>47483</v>
      </c>
      <c r="JH101" s="100">
        <f t="shared" si="490"/>
        <v>47514</v>
      </c>
      <c r="JI101" s="100">
        <f t="shared" si="490"/>
        <v>47542</v>
      </c>
      <c r="JJ101" s="100">
        <f t="shared" si="490"/>
        <v>47573</v>
      </c>
      <c r="JK101" s="100">
        <f t="shared" si="490"/>
        <v>47603</v>
      </c>
      <c r="JL101" s="100">
        <f t="shared" ref="JL101:KQ101" si="491">CF2</f>
        <v>47634</v>
      </c>
      <c r="JM101" s="100">
        <f t="shared" si="491"/>
        <v>47664</v>
      </c>
      <c r="JN101" s="100">
        <f t="shared" si="491"/>
        <v>47695</v>
      </c>
      <c r="JO101" s="100">
        <f t="shared" si="491"/>
        <v>47726</v>
      </c>
      <c r="JP101" s="100">
        <f t="shared" si="491"/>
        <v>47756</v>
      </c>
      <c r="JQ101" s="100">
        <f t="shared" si="491"/>
        <v>47787</v>
      </c>
      <c r="JR101" s="100">
        <f t="shared" si="491"/>
        <v>47817</v>
      </c>
      <c r="JS101" s="100">
        <f t="shared" si="491"/>
        <v>47848</v>
      </c>
      <c r="JT101" s="100">
        <f t="shared" si="491"/>
        <v>47879</v>
      </c>
      <c r="JU101" s="100">
        <f t="shared" si="491"/>
        <v>47907</v>
      </c>
      <c r="JV101" s="100">
        <f t="shared" si="491"/>
        <v>47938</v>
      </c>
      <c r="JW101" s="100">
        <f t="shared" si="491"/>
        <v>47968</v>
      </c>
      <c r="JX101" s="100">
        <f t="shared" si="491"/>
        <v>47999</v>
      </c>
      <c r="JY101" s="100">
        <f t="shared" si="491"/>
        <v>48029</v>
      </c>
      <c r="JZ101" s="100">
        <f t="shared" si="491"/>
        <v>48060</v>
      </c>
      <c r="KA101" s="100">
        <f t="shared" si="491"/>
        <v>48091</v>
      </c>
      <c r="KB101" s="100">
        <f t="shared" si="491"/>
        <v>48121</v>
      </c>
      <c r="KC101" s="100">
        <f t="shared" si="491"/>
        <v>48152</v>
      </c>
      <c r="KD101" s="100">
        <f t="shared" si="491"/>
        <v>48182</v>
      </c>
      <c r="KE101" s="100">
        <f t="shared" si="491"/>
        <v>48213</v>
      </c>
      <c r="KF101" s="100">
        <f t="shared" si="491"/>
        <v>48244</v>
      </c>
      <c r="KG101" s="100">
        <f t="shared" si="491"/>
        <v>48273</v>
      </c>
      <c r="KH101" s="100">
        <f t="shared" si="491"/>
        <v>48304</v>
      </c>
      <c r="KI101" s="100">
        <f t="shared" si="491"/>
        <v>48334</v>
      </c>
      <c r="KJ101" s="100">
        <f t="shared" si="491"/>
        <v>48365</v>
      </c>
      <c r="KK101" s="100">
        <f t="shared" si="491"/>
        <v>48395</v>
      </c>
      <c r="KL101" s="100">
        <f t="shared" si="491"/>
        <v>48426</v>
      </c>
      <c r="KM101" s="100">
        <f t="shared" si="491"/>
        <v>48457</v>
      </c>
      <c r="KN101" s="100">
        <f t="shared" si="491"/>
        <v>48487</v>
      </c>
      <c r="KO101" s="100">
        <f t="shared" si="491"/>
        <v>48518</v>
      </c>
      <c r="KP101" s="100">
        <f t="shared" si="491"/>
        <v>48548</v>
      </c>
      <c r="KQ101" s="100">
        <f t="shared" si="491"/>
        <v>48579</v>
      </c>
      <c r="KR101" s="100">
        <f t="shared" ref="KR101:LW101" si="492">DL2</f>
        <v>48610</v>
      </c>
      <c r="KS101" s="100">
        <f t="shared" si="492"/>
        <v>48638</v>
      </c>
      <c r="KT101" s="100">
        <f t="shared" si="492"/>
        <v>48669</v>
      </c>
      <c r="KU101" s="100">
        <f t="shared" si="492"/>
        <v>48699</v>
      </c>
      <c r="KV101" s="100">
        <f t="shared" si="492"/>
        <v>48730</v>
      </c>
      <c r="KW101" s="100">
        <f t="shared" si="492"/>
        <v>48760</v>
      </c>
      <c r="KX101" s="100">
        <f t="shared" si="492"/>
        <v>48791</v>
      </c>
      <c r="KY101" s="100">
        <f t="shared" si="492"/>
        <v>48822</v>
      </c>
      <c r="KZ101" s="100">
        <f t="shared" si="492"/>
        <v>48852</v>
      </c>
      <c r="LA101" s="100">
        <f t="shared" si="492"/>
        <v>48883</v>
      </c>
      <c r="LB101" s="100">
        <f t="shared" si="492"/>
        <v>48913</v>
      </c>
      <c r="LC101" s="100">
        <f t="shared" si="492"/>
        <v>48944</v>
      </c>
      <c r="LD101" s="100">
        <f t="shared" si="492"/>
        <v>48975</v>
      </c>
      <c r="LE101" s="100">
        <f t="shared" si="492"/>
        <v>49003</v>
      </c>
      <c r="LF101" s="100">
        <f t="shared" si="492"/>
        <v>49034</v>
      </c>
      <c r="LG101" s="100">
        <f t="shared" si="492"/>
        <v>49064</v>
      </c>
      <c r="LH101" s="100">
        <f t="shared" si="492"/>
        <v>49095</v>
      </c>
      <c r="LI101" s="100">
        <f t="shared" si="492"/>
        <v>49125</v>
      </c>
      <c r="LJ101" s="100">
        <f t="shared" si="492"/>
        <v>49156</v>
      </c>
      <c r="LK101" s="100">
        <f t="shared" si="492"/>
        <v>49187</v>
      </c>
      <c r="LL101" s="100">
        <f t="shared" si="492"/>
        <v>49217</v>
      </c>
      <c r="LM101" s="100">
        <f t="shared" si="492"/>
        <v>49248</v>
      </c>
      <c r="LN101" s="100">
        <f t="shared" si="492"/>
        <v>49278</v>
      </c>
      <c r="LO101" s="100">
        <f t="shared" si="492"/>
        <v>49309</v>
      </c>
      <c r="LP101" s="100">
        <f t="shared" si="492"/>
        <v>49340</v>
      </c>
      <c r="LQ101" s="100">
        <f t="shared" si="492"/>
        <v>49368</v>
      </c>
      <c r="LR101" s="100">
        <f t="shared" si="492"/>
        <v>49399</v>
      </c>
      <c r="LS101" s="100">
        <f t="shared" si="492"/>
        <v>49429</v>
      </c>
      <c r="LT101" s="100">
        <f t="shared" si="492"/>
        <v>49460</v>
      </c>
      <c r="LU101" s="100">
        <f t="shared" si="492"/>
        <v>49490</v>
      </c>
      <c r="LV101" s="100">
        <f t="shared" si="492"/>
        <v>49521</v>
      </c>
      <c r="LW101" s="100">
        <f t="shared" si="492"/>
        <v>49552</v>
      </c>
      <c r="LX101" s="100">
        <f t="shared" ref="LX101:NC101" si="493">ER2</f>
        <v>49582</v>
      </c>
      <c r="LY101" s="100">
        <f t="shared" si="493"/>
        <v>49613</v>
      </c>
      <c r="LZ101" s="100">
        <f t="shared" si="493"/>
        <v>49643</v>
      </c>
      <c r="MA101" s="100">
        <f t="shared" si="493"/>
        <v>49674</v>
      </c>
      <c r="MB101" s="100">
        <f t="shared" si="493"/>
        <v>49705</v>
      </c>
      <c r="MC101" s="100">
        <f t="shared" si="493"/>
        <v>49734</v>
      </c>
      <c r="MD101" s="100">
        <f t="shared" si="493"/>
        <v>49765</v>
      </c>
      <c r="ME101" s="100">
        <f t="shared" si="493"/>
        <v>49795</v>
      </c>
      <c r="MF101" s="100">
        <f t="shared" si="493"/>
        <v>49826</v>
      </c>
      <c r="MG101" s="100">
        <f t="shared" si="493"/>
        <v>49856</v>
      </c>
      <c r="MH101" s="100">
        <f t="shared" si="493"/>
        <v>49887</v>
      </c>
      <c r="MI101" s="100">
        <f t="shared" si="493"/>
        <v>49918</v>
      </c>
      <c r="MJ101" s="100">
        <f t="shared" si="493"/>
        <v>49948</v>
      </c>
      <c r="MK101" s="100">
        <f t="shared" si="493"/>
        <v>49979</v>
      </c>
      <c r="ML101" s="100">
        <f t="shared" si="493"/>
        <v>50009</v>
      </c>
      <c r="MM101" s="100">
        <f t="shared" si="493"/>
        <v>50040</v>
      </c>
      <c r="MN101" s="100">
        <f t="shared" si="493"/>
        <v>50071</v>
      </c>
      <c r="MO101" s="100">
        <f t="shared" si="493"/>
        <v>50099</v>
      </c>
      <c r="MP101" s="100">
        <f t="shared" si="493"/>
        <v>50130</v>
      </c>
      <c r="MQ101" s="100">
        <f t="shared" si="493"/>
        <v>50160</v>
      </c>
      <c r="MR101" s="100">
        <f t="shared" si="493"/>
        <v>50191</v>
      </c>
      <c r="MS101" s="100">
        <f t="shared" si="493"/>
        <v>50221</v>
      </c>
      <c r="MT101" s="100">
        <f t="shared" si="493"/>
        <v>50252</v>
      </c>
      <c r="MU101" s="100">
        <f t="shared" si="493"/>
        <v>50283</v>
      </c>
      <c r="MV101" s="100">
        <f t="shared" si="493"/>
        <v>50313</v>
      </c>
      <c r="MW101" s="100">
        <f t="shared" si="493"/>
        <v>50344</v>
      </c>
      <c r="MX101" s="100">
        <f t="shared" si="493"/>
        <v>50374</v>
      </c>
      <c r="MY101" s="100">
        <f t="shared" si="493"/>
        <v>50405</v>
      </c>
      <c r="MZ101" s="100">
        <f t="shared" si="493"/>
        <v>50436</v>
      </c>
      <c r="NA101" s="100">
        <f t="shared" si="493"/>
        <v>50464</v>
      </c>
      <c r="NB101" s="100">
        <f t="shared" si="493"/>
        <v>50495</v>
      </c>
      <c r="NC101" s="100">
        <f t="shared" si="493"/>
        <v>50525</v>
      </c>
      <c r="ND101" s="100">
        <f t="shared" ref="ND101:NW101" si="494">FX2</f>
        <v>50556</v>
      </c>
      <c r="NE101" s="100">
        <f t="shared" si="494"/>
        <v>50586</v>
      </c>
      <c r="NF101" s="100">
        <f t="shared" si="494"/>
        <v>50617</v>
      </c>
      <c r="NG101" s="100">
        <f t="shared" si="494"/>
        <v>50648</v>
      </c>
      <c r="NH101" s="100">
        <f t="shared" si="494"/>
        <v>50678</v>
      </c>
      <c r="NI101" s="100">
        <f t="shared" si="494"/>
        <v>50709</v>
      </c>
      <c r="NJ101" s="100">
        <f t="shared" si="494"/>
        <v>50739</v>
      </c>
      <c r="NK101" s="100">
        <f t="shared" si="494"/>
        <v>50770</v>
      </c>
      <c r="NL101" s="100">
        <f t="shared" si="494"/>
        <v>50801</v>
      </c>
      <c r="NM101" s="100">
        <f t="shared" si="494"/>
        <v>50829</v>
      </c>
      <c r="NN101" s="100">
        <f t="shared" si="494"/>
        <v>50860</v>
      </c>
      <c r="NO101" s="100">
        <f t="shared" si="494"/>
        <v>50890</v>
      </c>
      <c r="NP101" s="100">
        <f t="shared" si="494"/>
        <v>50921</v>
      </c>
      <c r="NQ101" s="100">
        <f t="shared" si="494"/>
        <v>50951</v>
      </c>
      <c r="NR101" s="100">
        <f t="shared" si="494"/>
        <v>50982</v>
      </c>
      <c r="NS101" s="100">
        <f t="shared" si="494"/>
        <v>51013</v>
      </c>
      <c r="NT101" s="100">
        <f t="shared" si="494"/>
        <v>51043</v>
      </c>
      <c r="NU101" s="100">
        <f t="shared" si="494"/>
        <v>51074</v>
      </c>
      <c r="NV101" s="100">
        <f t="shared" si="494"/>
        <v>51104</v>
      </c>
      <c r="NW101" s="100">
        <f t="shared" si="494"/>
        <v>51135</v>
      </c>
    </row>
    <row r="102" spans="2:387" ht="15.5" x14ac:dyDescent="0.45">
      <c r="B102" s="49" t="str">
        <f>B53</f>
        <v>Total Project Costs (After Debt)</v>
      </c>
      <c r="C102" s="19"/>
      <c r="D102" s="19"/>
      <c r="E102" s="19"/>
      <c r="F102" s="19"/>
      <c r="G102" s="19"/>
      <c r="H102" s="19"/>
      <c r="I102" s="19"/>
      <c r="J102" s="23">
        <f>L102/$L$8</f>
        <v>-48341.805149751017</v>
      </c>
      <c r="K102" s="29">
        <f>L102/$L$7</f>
        <v>-6.3900087266912262</v>
      </c>
      <c r="L102" s="23">
        <f>SUM(T102:GQ102)</f>
        <v>-11118615.184442734</v>
      </c>
      <c r="S102" s="67" t="str">
        <f>IF(ROUND(-L102,0)=ROUND(L53,0),"OK","ERROR")</f>
        <v>OK</v>
      </c>
      <c r="T102" s="50">
        <f t="shared" ref="T102:AY102" si="495">-T53</f>
        <v>-3068418.585526316</v>
      </c>
      <c r="U102" s="50">
        <f t="shared" si="495"/>
        <v>-93700.782064172512</v>
      </c>
      <c r="V102" s="50">
        <f t="shared" si="495"/>
        <v>-99589.600625957231</v>
      </c>
      <c r="W102" s="50">
        <f t="shared" si="495"/>
        <v>-108778.47804218142</v>
      </c>
      <c r="X102" s="50">
        <f t="shared" si="495"/>
        <v>-122612.20713368148</v>
      </c>
      <c r="Y102" s="50">
        <f t="shared" si="495"/>
        <v>-142570.95425862484</v>
      </c>
      <c r="Z102" s="50">
        <f t="shared" si="495"/>
        <v>-170041.39317280205</v>
      </c>
      <c r="AA102" s="50">
        <f t="shared" si="495"/>
        <v>-253592.26673039806</v>
      </c>
      <c r="AB102" s="50">
        <f t="shared" si="495"/>
        <v>-262667.94923307316</v>
      </c>
      <c r="AC102" s="50">
        <f t="shared" si="495"/>
        <v>-275500.84054234065</v>
      </c>
      <c r="AD102" s="50">
        <f t="shared" si="495"/>
        <v>-319209.649328175</v>
      </c>
      <c r="AE102" s="50">
        <f t="shared" si="495"/>
        <v>-376920.49849176273</v>
      </c>
      <c r="AF102" s="50">
        <f t="shared" si="495"/>
        <v>-423441.08920777583</v>
      </c>
      <c r="AG102" s="50">
        <f t="shared" si="495"/>
        <v>-467644.12788490253</v>
      </c>
      <c r="AH102" s="50">
        <f t="shared" si="495"/>
        <v>-497586.56846727041</v>
      </c>
      <c r="AI102" s="50">
        <f t="shared" si="495"/>
        <v>-509872.43672572426</v>
      </c>
      <c r="AJ102" s="50">
        <f t="shared" si="495"/>
        <v>-497602.40555511392</v>
      </c>
      <c r="AK102" s="50">
        <f t="shared" si="495"/>
        <v>-473053.9897184397</v>
      </c>
      <c r="AL102" s="50">
        <f t="shared" si="495"/>
        <v>-430006.57060001837</v>
      </c>
      <c r="AM102" s="50">
        <f t="shared" si="495"/>
        <v>-430235.7091077849</v>
      </c>
      <c r="AN102" s="50">
        <f t="shared" si="495"/>
        <v>-376712.9369472214</v>
      </c>
      <c r="AO102" s="50">
        <f t="shared" si="495"/>
        <v>-319695.1242708877</v>
      </c>
      <c r="AP102" s="50">
        <f t="shared" si="495"/>
        <v>-266626.1124164951</v>
      </c>
      <c r="AQ102" s="50">
        <f t="shared" si="495"/>
        <v>-224743.24690653229</v>
      </c>
      <c r="AR102" s="50">
        <f t="shared" si="495"/>
        <v>-175682.95211301488</v>
      </c>
      <c r="AS102" s="50">
        <f t="shared" si="495"/>
        <v>-149990.99091091516</v>
      </c>
      <c r="AT102" s="50">
        <f t="shared" si="495"/>
        <v>-131555.61459857426</v>
      </c>
      <c r="AU102" s="50">
        <f t="shared" si="495"/>
        <v>-116178.14650030635</v>
      </c>
      <c r="AV102" s="50">
        <f t="shared" si="495"/>
        <v>-53195.030023905536</v>
      </c>
      <c r="AW102" s="50">
        <f t="shared" si="495"/>
        <v>-39763.463460153289</v>
      </c>
      <c r="AX102" s="50">
        <f t="shared" si="495"/>
        <v>-32398.538456548653</v>
      </c>
      <c r="AY102" s="50">
        <f t="shared" si="495"/>
        <v>-31926.295468400731</v>
      </c>
      <c r="AZ102" s="50">
        <f t="shared" ref="AZ102:CE102" si="496">-AZ53</f>
        <v>-31926.295468400731</v>
      </c>
      <c r="BA102" s="50">
        <f t="shared" si="496"/>
        <v>-31926.295468400731</v>
      </c>
      <c r="BB102" s="50">
        <f t="shared" si="496"/>
        <v>-31926.295468400731</v>
      </c>
      <c r="BC102" s="50">
        <f t="shared" si="496"/>
        <v>-31926.295468400731</v>
      </c>
      <c r="BD102" s="50">
        <f t="shared" si="496"/>
        <v>-24697.724039829303</v>
      </c>
      <c r="BE102" s="50">
        <f t="shared" si="496"/>
        <v>-24697.724039829303</v>
      </c>
      <c r="BF102" s="50">
        <f t="shared" si="496"/>
        <v>0</v>
      </c>
      <c r="BG102" s="50">
        <f t="shared" si="496"/>
        <v>0</v>
      </c>
      <c r="BH102" s="50">
        <f t="shared" si="496"/>
        <v>0</v>
      </c>
      <c r="BI102" s="50">
        <f t="shared" si="496"/>
        <v>0</v>
      </c>
      <c r="BJ102" s="50">
        <f t="shared" si="496"/>
        <v>0</v>
      </c>
      <c r="BK102" s="50">
        <f t="shared" si="496"/>
        <v>0</v>
      </c>
      <c r="BL102" s="50">
        <f t="shared" si="496"/>
        <v>0</v>
      </c>
      <c r="BM102" s="50">
        <f t="shared" si="496"/>
        <v>0</v>
      </c>
      <c r="BN102" s="50">
        <f t="shared" si="496"/>
        <v>0</v>
      </c>
      <c r="BO102" s="50">
        <f t="shared" si="496"/>
        <v>0</v>
      </c>
      <c r="BP102" s="50">
        <f t="shared" si="496"/>
        <v>0</v>
      </c>
      <c r="BQ102" s="50">
        <f t="shared" si="496"/>
        <v>0</v>
      </c>
      <c r="BR102" s="50">
        <f t="shared" si="496"/>
        <v>0</v>
      </c>
      <c r="BS102" s="50">
        <f t="shared" si="496"/>
        <v>0</v>
      </c>
      <c r="BT102" s="50">
        <f t="shared" si="496"/>
        <v>0</v>
      </c>
      <c r="BU102" s="50">
        <f t="shared" si="496"/>
        <v>0</v>
      </c>
      <c r="BV102" s="50">
        <f t="shared" si="496"/>
        <v>0</v>
      </c>
      <c r="BW102" s="50">
        <f t="shared" si="496"/>
        <v>0</v>
      </c>
      <c r="BX102" s="50">
        <f t="shared" si="496"/>
        <v>0</v>
      </c>
      <c r="BY102" s="50">
        <f t="shared" si="496"/>
        <v>0</v>
      </c>
      <c r="BZ102" s="50">
        <f t="shared" si="496"/>
        <v>0</v>
      </c>
      <c r="CA102" s="50">
        <f t="shared" si="496"/>
        <v>0</v>
      </c>
      <c r="CB102" s="50">
        <f t="shared" si="496"/>
        <v>0</v>
      </c>
      <c r="CC102" s="50">
        <f t="shared" si="496"/>
        <v>0</v>
      </c>
      <c r="CD102" s="50">
        <f t="shared" si="496"/>
        <v>0</v>
      </c>
      <c r="CE102" s="50">
        <f t="shared" si="496"/>
        <v>0</v>
      </c>
      <c r="CF102" s="50">
        <f t="shared" ref="CF102:DK102" si="497">-CF53</f>
        <v>0</v>
      </c>
      <c r="CG102" s="50">
        <f t="shared" si="497"/>
        <v>0</v>
      </c>
      <c r="CH102" s="50">
        <f t="shared" si="497"/>
        <v>0</v>
      </c>
      <c r="CI102" s="50">
        <f t="shared" si="497"/>
        <v>0</v>
      </c>
      <c r="CJ102" s="50">
        <f t="shared" si="497"/>
        <v>0</v>
      </c>
      <c r="CK102" s="50">
        <f t="shared" si="497"/>
        <v>0</v>
      </c>
      <c r="CL102" s="50">
        <f t="shared" si="497"/>
        <v>0</v>
      </c>
      <c r="CM102" s="50">
        <f t="shared" si="497"/>
        <v>0</v>
      </c>
      <c r="CN102" s="50">
        <f t="shared" si="497"/>
        <v>0</v>
      </c>
      <c r="CO102" s="50">
        <f t="shared" si="497"/>
        <v>0</v>
      </c>
      <c r="CP102" s="50">
        <f t="shared" si="497"/>
        <v>0</v>
      </c>
      <c r="CQ102" s="50">
        <f t="shared" si="497"/>
        <v>0</v>
      </c>
      <c r="CR102" s="50">
        <f t="shared" si="497"/>
        <v>0</v>
      </c>
      <c r="CS102" s="50">
        <f t="shared" si="497"/>
        <v>0</v>
      </c>
      <c r="CT102" s="50">
        <f t="shared" si="497"/>
        <v>0</v>
      </c>
      <c r="CU102" s="50">
        <f t="shared" si="497"/>
        <v>0</v>
      </c>
      <c r="CV102" s="50">
        <f t="shared" si="497"/>
        <v>0</v>
      </c>
      <c r="CW102" s="50">
        <f t="shared" si="497"/>
        <v>0</v>
      </c>
      <c r="CX102" s="50">
        <f t="shared" si="497"/>
        <v>0</v>
      </c>
      <c r="CY102" s="50">
        <f t="shared" si="497"/>
        <v>0</v>
      </c>
      <c r="CZ102" s="50">
        <f t="shared" si="497"/>
        <v>0</v>
      </c>
      <c r="DA102" s="50">
        <f t="shared" si="497"/>
        <v>0</v>
      </c>
      <c r="DB102" s="50">
        <f t="shared" si="497"/>
        <v>0</v>
      </c>
      <c r="DC102" s="50">
        <f t="shared" si="497"/>
        <v>0</v>
      </c>
      <c r="DD102" s="50">
        <f t="shared" si="497"/>
        <v>0</v>
      </c>
      <c r="DE102" s="50">
        <f t="shared" si="497"/>
        <v>0</v>
      </c>
      <c r="DF102" s="50">
        <f t="shared" si="497"/>
        <v>0</v>
      </c>
      <c r="DG102" s="50">
        <f t="shared" si="497"/>
        <v>0</v>
      </c>
      <c r="DH102" s="50">
        <f t="shared" si="497"/>
        <v>0</v>
      </c>
      <c r="DI102" s="50">
        <f t="shared" si="497"/>
        <v>0</v>
      </c>
      <c r="DJ102" s="50">
        <f t="shared" si="497"/>
        <v>0</v>
      </c>
      <c r="DK102" s="50">
        <f t="shared" si="497"/>
        <v>0</v>
      </c>
      <c r="DL102" s="50">
        <f t="shared" ref="DL102:EQ102" si="498">-DL53</f>
        <v>0</v>
      </c>
      <c r="DM102" s="50">
        <f t="shared" si="498"/>
        <v>0</v>
      </c>
      <c r="DN102" s="50">
        <f t="shared" si="498"/>
        <v>0</v>
      </c>
      <c r="DO102" s="50">
        <f t="shared" si="498"/>
        <v>0</v>
      </c>
      <c r="DP102" s="50">
        <f t="shared" si="498"/>
        <v>0</v>
      </c>
      <c r="DQ102" s="50">
        <f t="shared" si="498"/>
        <v>0</v>
      </c>
      <c r="DR102" s="50">
        <f t="shared" si="498"/>
        <v>0</v>
      </c>
      <c r="DS102" s="50">
        <f t="shared" si="498"/>
        <v>0</v>
      </c>
      <c r="DT102" s="50">
        <f t="shared" si="498"/>
        <v>0</v>
      </c>
      <c r="DU102" s="50">
        <f t="shared" si="498"/>
        <v>0</v>
      </c>
      <c r="DV102" s="50">
        <f t="shared" si="498"/>
        <v>0</v>
      </c>
      <c r="DW102" s="50">
        <f t="shared" si="498"/>
        <v>0</v>
      </c>
      <c r="DX102" s="50">
        <f t="shared" si="498"/>
        <v>0</v>
      </c>
      <c r="DY102" s="50">
        <f t="shared" si="498"/>
        <v>0</v>
      </c>
      <c r="DZ102" s="50">
        <f t="shared" si="498"/>
        <v>0</v>
      </c>
      <c r="EA102" s="50">
        <f t="shared" si="498"/>
        <v>0</v>
      </c>
      <c r="EB102" s="50">
        <f t="shared" si="498"/>
        <v>0</v>
      </c>
      <c r="EC102" s="50">
        <f t="shared" si="498"/>
        <v>0</v>
      </c>
      <c r="ED102" s="50">
        <f t="shared" si="498"/>
        <v>0</v>
      </c>
      <c r="EE102" s="50">
        <f t="shared" si="498"/>
        <v>0</v>
      </c>
      <c r="EF102" s="50">
        <f t="shared" si="498"/>
        <v>0</v>
      </c>
      <c r="EG102" s="50">
        <f t="shared" si="498"/>
        <v>0</v>
      </c>
      <c r="EH102" s="50">
        <f t="shared" si="498"/>
        <v>0</v>
      </c>
      <c r="EI102" s="50">
        <f t="shared" si="498"/>
        <v>0</v>
      </c>
      <c r="EJ102" s="50">
        <f t="shared" si="498"/>
        <v>0</v>
      </c>
      <c r="EK102" s="50">
        <f t="shared" si="498"/>
        <v>0</v>
      </c>
      <c r="EL102" s="50">
        <f t="shared" si="498"/>
        <v>0</v>
      </c>
      <c r="EM102" s="50">
        <f t="shared" si="498"/>
        <v>0</v>
      </c>
      <c r="EN102" s="50">
        <f t="shared" si="498"/>
        <v>0</v>
      </c>
      <c r="EO102" s="50">
        <f t="shared" si="498"/>
        <v>0</v>
      </c>
      <c r="EP102" s="50">
        <f t="shared" si="498"/>
        <v>0</v>
      </c>
      <c r="EQ102" s="50">
        <f t="shared" si="498"/>
        <v>0</v>
      </c>
      <c r="ER102" s="50">
        <f t="shared" ref="ER102:FW102" si="499">-ER53</f>
        <v>0</v>
      </c>
      <c r="ES102" s="50">
        <f t="shared" si="499"/>
        <v>0</v>
      </c>
      <c r="ET102" s="50">
        <f t="shared" si="499"/>
        <v>0</v>
      </c>
      <c r="EU102" s="50">
        <f t="shared" si="499"/>
        <v>0</v>
      </c>
      <c r="EV102" s="50">
        <f t="shared" si="499"/>
        <v>0</v>
      </c>
      <c r="EW102" s="50">
        <f t="shared" si="499"/>
        <v>0</v>
      </c>
      <c r="EX102" s="50">
        <f t="shared" si="499"/>
        <v>0</v>
      </c>
      <c r="EY102" s="50">
        <f t="shared" si="499"/>
        <v>0</v>
      </c>
      <c r="EZ102" s="50">
        <f t="shared" si="499"/>
        <v>0</v>
      </c>
      <c r="FA102" s="50">
        <f t="shared" si="499"/>
        <v>0</v>
      </c>
      <c r="FB102" s="50">
        <f t="shared" si="499"/>
        <v>0</v>
      </c>
      <c r="FC102" s="50">
        <f t="shared" si="499"/>
        <v>0</v>
      </c>
      <c r="FD102" s="50">
        <f t="shared" si="499"/>
        <v>0</v>
      </c>
      <c r="FE102" s="50">
        <f t="shared" si="499"/>
        <v>0</v>
      </c>
      <c r="FF102" s="50">
        <f t="shared" si="499"/>
        <v>0</v>
      </c>
      <c r="FG102" s="50">
        <f t="shared" si="499"/>
        <v>0</v>
      </c>
      <c r="FH102" s="50">
        <f t="shared" si="499"/>
        <v>0</v>
      </c>
      <c r="FI102" s="50">
        <f t="shared" si="499"/>
        <v>0</v>
      </c>
      <c r="FJ102" s="50">
        <f t="shared" si="499"/>
        <v>0</v>
      </c>
      <c r="FK102" s="50">
        <f t="shared" si="499"/>
        <v>0</v>
      </c>
      <c r="FL102" s="50">
        <f t="shared" si="499"/>
        <v>0</v>
      </c>
      <c r="FM102" s="50">
        <f t="shared" si="499"/>
        <v>0</v>
      </c>
      <c r="FN102" s="50">
        <f t="shared" si="499"/>
        <v>0</v>
      </c>
      <c r="FO102" s="50">
        <f t="shared" si="499"/>
        <v>0</v>
      </c>
      <c r="FP102" s="50">
        <f t="shared" si="499"/>
        <v>0</v>
      </c>
      <c r="FQ102" s="50">
        <f t="shared" si="499"/>
        <v>0</v>
      </c>
      <c r="FR102" s="50">
        <f t="shared" si="499"/>
        <v>0</v>
      </c>
      <c r="FS102" s="50">
        <f t="shared" si="499"/>
        <v>0</v>
      </c>
      <c r="FT102" s="50">
        <f t="shared" si="499"/>
        <v>0</v>
      </c>
      <c r="FU102" s="50">
        <f t="shared" si="499"/>
        <v>0</v>
      </c>
      <c r="FV102" s="50">
        <f t="shared" si="499"/>
        <v>0</v>
      </c>
      <c r="FW102" s="50">
        <f t="shared" si="499"/>
        <v>0</v>
      </c>
      <c r="FX102" s="50">
        <f t="shared" ref="FX102:GQ102" si="500">-FX53</f>
        <v>0</v>
      </c>
      <c r="FY102" s="50">
        <f t="shared" si="500"/>
        <v>0</v>
      </c>
      <c r="FZ102" s="50">
        <f t="shared" si="500"/>
        <v>0</v>
      </c>
      <c r="GA102" s="50">
        <f t="shared" si="500"/>
        <v>0</v>
      </c>
      <c r="GB102" s="50">
        <f t="shared" si="500"/>
        <v>0</v>
      </c>
      <c r="GC102" s="50">
        <f t="shared" si="500"/>
        <v>0</v>
      </c>
      <c r="GD102" s="50">
        <f t="shared" si="500"/>
        <v>0</v>
      </c>
      <c r="GE102" s="50">
        <f t="shared" si="500"/>
        <v>0</v>
      </c>
      <c r="GF102" s="50">
        <f t="shared" si="500"/>
        <v>0</v>
      </c>
      <c r="GG102" s="50">
        <f t="shared" si="500"/>
        <v>0</v>
      </c>
      <c r="GH102" s="50">
        <f t="shared" si="500"/>
        <v>0</v>
      </c>
      <c r="GI102" s="50">
        <f t="shared" si="500"/>
        <v>0</v>
      </c>
      <c r="GJ102" s="50">
        <f t="shared" si="500"/>
        <v>0</v>
      </c>
      <c r="GK102" s="50">
        <f t="shared" si="500"/>
        <v>0</v>
      </c>
      <c r="GL102" s="50">
        <f t="shared" si="500"/>
        <v>0</v>
      </c>
      <c r="GM102" s="50">
        <f t="shared" si="500"/>
        <v>0</v>
      </c>
      <c r="GN102" s="50">
        <f t="shared" si="500"/>
        <v>0</v>
      </c>
      <c r="GO102" s="50">
        <f t="shared" si="500"/>
        <v>0</v>
      </c>
      <c r="GP102" s="50">
        <f t="shared" si="500"/>
        <v>0</v>
      </c>
      <c r="GQ102" s="50">
        <f t="shared" si="500"/>
        <v>0</v>
      </c>
      <c r="GS102" s="99" t="str">
        <f>B116</f>
        <v>Tier 1 - Return of Capital and Preferred Return</v>
      </c>
      <c r="GT102" s="77"/>
      <c r="GU102" s="77"/>
      <c r="GV102" s="77"/>
      <c r="GW102" s="77"/>
      <c r="GX102" s="81" t="s">
        <v>224</v>
      </c>
      <c r="GY102" s="77"/>
      <c r="GZ102" s="82">
        <v>1</v>
      </c>
      <c r="HA102" s="82">
        <f t="shared" ref="HA102:IF102" si="501">GZ102+1</f>
        <v>2</v>
      </c>
      <c r="HB102" s="82">
        <f t="shared" si="501"/>
        <v>3</v>
      </c>
      <c r="HC102" s="82">
        <f t="shared" si="501"/>
        <v>4</v>
      </c>
      <c r="HD102" s="82">
        <f t="shared" si="501"/>
        <v>5</v>
      </c>
      <c r="HE102" s="82">
        <f t="shared" si="501"/>
        <v>6</v>
      </c>
      <c r="HF102" s="82">
        <f t="shared" si="501"/>
        <v>7</v>
      </c>
      <c r="HG102" s="82">
        <f t="shared" si="501"/>
        <v>8</v>
      </c>
      <c r="HH102" s="82">
        <f t="shared" si="501"/>
        <v>9</v>
      </c>
      <c r="HI102" s="82">
        <f t="shared" si="501"/>
        <v>10</v>
      </c>
      <c r="HJ102" s="82">
        <f t="shared" si="501"/>
        <v>11</v>
      </c>
      <c r="HK102" s="82">
        <f t="shared" si="501"/>
        <v>12</v>
      </c>
      <c r="HL102" s="82">
        <f t="shared" si="501"/>
        <v>13</v>
      </c>
      <c r="HM102" s="82">
        <f t="shared" si="501"/>
        <v>14</v>
      </c>
      <c r="HN102" s="82">
        <f t="shared" si="501"/>
        <v>15</v>
      </c>
      <c r="HO102" s="82">
        <f t="shared" si="501"/>
        <v>16</v>
      </c>
      <c r="HP102" s="82">
        <f t="shared" si="501"/>
        <v>17</v>
      </c>
      <c r="HQ102" s="82">
        <f t="shared" si="501"/>
        <v>18</v>
      </c>
      <c r="HR102" s="82">
        <f t="shared" si="501"/>
        <v>19</v>
      </c>
      <c r="HS102" s="82">
        <f t="shared" si="501"/>
        <v>20</v>
      </c>
      <c r="HT102" s="82">
        <f t="shared" si="501"/>
        <v>21</v>
      </c>
      <c r="HU102" s="82">
        <f t="shared" si="501"/>
        <v>22</v>
      </c>
      <c r="HV102" s="82">
        <f t="shared" si="501"/>
        <v>23</v>
      </c>
      <c r="HW102" s="82">
        <f t="shared" si="501"/>
        <v>24</v>
      </c>
      <c r="HX102" s="82">
        <f t="shared" si="501"/>
        <v>25</v>
      </c>
      <c r="HY102" s="82">
        <f t="shared" si="501"/>
        <v>26</v>
      </c>
      <c r="HZ102" s="82">
        <f t="shared" si="501"/>
        <v>27</v>
      </c>
      <c r="IA102" s="82">
        <f t="shared" si="501"/>
        <v>28</v>
      </c>
      <c r="IB102" s="82">
        <f t="shared" si="501"/>
        <v>29</v>
      </c>
      <c r="IC102" s="82">
        <f t="shared" si="501"/>
        <v>30</v>
      </c>
      <c r="ID102" s="82">
        <f t="shared" si="501"/>
        <v>31</v>
      </c>
      <c r="IE102" s="82">
        <f t="shared" si="501"/>
        <v>32</v>
      </c>
      <c r="IF102" s="82">
        <f t="shared" si="501"/>
        <v>33</v>
      </c>
      <c r="IG102" s="82">
        <f t="shared" ref="IG102:JL102" si="502">IF102+1</f>
        <v>34</v>
      </c>
      <c r="IH102" s="82">
        <f t="shared" si="502"/>
        <v>35</v>
      </c>
      <c r="II102" s="82">
        <f t="shared" si="502"/>
        <v>36</v>
      </c>
      <c r="IJ102" s="82">
        <f t="shared" si="502"/>
        <v>37</v>
      </c>
      <c r="IK102" s="82">
        <f t="shared" si="502"/>
        <v>38</v>
      </c>
      <c r="IL102" s="82">
        <f t="shared" si="502"/>
        <v>39</v>
      </c>
      <c r="IM102" s="82">
        <f t="shared" si="502"/>
        <v>40</v>
      </c>
      <c r="IN102" s="82">
        <f t="shared" si="502"/>
        <v>41</v>
      </c>
      <c r="IO102" s="82">
        <f t="shared" si="502"/>
        <v>42</v>
      </c>
      <c r="IP102" s="82">
        <f t="shared" si="502"/>
        <v>43</v>
      </c>
      <c r="IQ102" s="82">
        <f t="shared" si="502"/>
        <v>44</v>
      </c>
      <c r="IR102" s="82">
        <f t="shared" si="502"/>
        <v>45</v>
      </c>
      <c r="IS102" s="82">
        <f t="shared" si="502"/>
        <v>46</v>
      </c>
      <c r="IT102" s="82">
        <f t="shared" si="502"/>
        <v>47</v>
      </c>
      <c r="IU102" s="82">
        <f t="shared" si="502"/>
        <v>48</v>
      </c>
      <c r="IV102" s="82">
        <f t="shared" si="502"/>
        <v>49</v>
      </c>
      <c r="IW102" s="82">
        <f t="shared" si="502"/>
        <v>50</v>
      </c>
      <c r="IX102" s="82">
        <f t="shared" si="502"/>
        <v>51</v>
      </c>
      <c r="IY102" s="82">
        <f t="shared" si="502"/>
        <v>52</v>
      </c>
      <c r="IZ102" s="82">
        <f t="shared" si="502"/>
        <v>53</v>
      </c>
      <c r="JA102" s="82">
        <f t="shared" si="502"/>
        <v>54</v>
      </c>
      <c r="JB102" s="82">
        <f t="shared" si="502"/>
        <v>55</v>
      </c>
      <c r="JC102" s="82">
        <f t="shared" si="502"/>
        <v>56</v>
      </c>
      <c r="JD102" s="82">
        <f t="shared" si="502"/>
        <v>57</v>
      </c>
      <c r="JE102" s="82">
        <f t="shared" si="502"/>
        <v>58</v>
      </c>
      <c r="JF102" s="82">
        <f t="shared" si="502"/>
        <v>59</v>
      </c>
      <c r="JG102" s="82">
        <f t="shared" si="502"/>
        <v>60</v>
      </c>
      <c r="JH102" s="82">
        <f t="shared" si="502"/>
        <v>61</v>
      </c>
      <c r="JI102" s="82">
        <f t="shared" si="502"/>
        <v>62</v>
      </c>
      <c r="JJ102" s="82">
        <f t="shared" si="502"/>
        <v>63</v>
      </c>
      <c r="JK102" s="82">
        <f t="shared" si="502"/>
        <v>64</v>
      </c>
      <c r="JL102" s="82">
        <f t="shared" si="502"/>
        <v>65</v>
      </c>
      <c r="JM102" s="82">
        <f t="shared" ref="JM102:KR102" si="503">JL102+1</f>
        <v>66</v>
      </c>
      <c r="JN102" s="82">
        <f t="shared" si="503"/>
        <v>67</v>
      </c>
      <c r="JO102" s="82">
        <f t="shared" si="503"/>
        <v>68</v>
      </c>
      <c r="JP102" s="82">
        <f t="shared" si="503"/>
        <v>69</v>
      </c>
      <c r="JQ102" s="82">
        <f t="shared" si="503"/>
        <v>70</v>
      </c>
      <c r="JR102" s="82">
        <f t="shared" si="503"/>
        <v>71</v>
      </c>
      <c r="JS102" s="82">
        <f t="shared" si="503"/>
        <v>72</v>
      </c>
      <c r="JT102" s="82">
        <f t="shared" si="503"/>
        <v>73</v>
      </c>
      <c r="JU102" s="82">
        <f t="shared" si="503"/>
        <v>74</v>
      </c>
      <c r="JV102" s="82">
        <f t="shared" si="503"/>
        <v>75</v>
      </c>
      <c r="JW102" s="82">
        <f t="shared" si="503"/>
        <v>76</v>
      </c>
      <c r="JX102" s="82">
        <f t="shared" si="503"/>
        <v>77</v>
      </c>
      <c r="JY102" s="82">
        <f t="shared" si="503"/>
        <v>78</v>
      </c>
      <c r="JZ102" s="82">
        <f t="shared" si="503"/>
        <v>79</v>
      </c>
      <c r="KA102" s="82">
        <f t="shared" si="503"/>
        <v>80</v>
      </c>
      <c r="KB102" s="82">
        <f t="shared" si="503"/>
        <v>81</v>
      </c>
      <c r="KC102" s="82">
        <f t="shared" si="503"/>
        <v>82</v>
      </c>
      <c r="KD102" s="82">
        <f t="shared" si="503"/>
        <v>83</v>
      </c>
      <c r="KE102" s="82">
        <f t="shared" si="503"/>
        <v>84</v>
      </c>
      <c r="KF102" s="82">
        <f t="shared" si="503"/>
        <v>85</v>
      </c>
      <c r="KG102" s="82">
        <f t="shared" si="503"/>
        <v>86</v>
      </c>
      <c r="KH102" s="82">
        <f t="shared" si="503"/>
        <v>87</v>
      </c>
      <c r="KI102" s="82">
        <f t="shared" si="503"/>
        <v>88</v>
      </c>
      <c r="KJ102" s="82">
        <f t="shared" si="503"/>
        <v>89</v>
      </c>
      <c r="KK102" s="82">
        <f t="shared" si="503"/>
        <v>90</v>
      </c>
      <c r="KL102" s="82">
        <f t="shared" si="503"/>
        <v>91</v>
      </c>
      <c r="KM102" s="82">
        <f t="shared" si="503"/>
        <v>92</v>
      </c>
      <c r="KN102" s="82">
        <f t="shared" si="503"/>
        <v>93</v>
      </c>
      <c r="KO102" s="82">
        <f t="shared" si="503"/>
        <v>94</v>
      </c>
      <c r="KP102" s="82">
        <f t="shared" si="503"/>
        <v>95</v>
      </c>
      <c r="KQ102" s="82">
        <f t="shared" si="503"/>
        <v>96</v>
      </c>
      <c r="KR102" s="82">
        <f t="shared" si="503"/>
        <v>97</v>
      </c>
      <c r="KS102" s="82">
        <f t="shared" ref="KS102:LX102" si="504">KR102+1</f>
        <v>98</v>
      </c>
      <c r="KT102" s="82">
        <f t="shared" si="504"/>
        <v>99</v>
      </c>
      <c r="KU102" s="82">
        <f t="shared" si="504"/>
        <v>100</v>
      </c>
      <c r="KV102" s="82">
        <f t="shared" si="504"/>
        <v>101</v>
      </c>
      <c r="KW102" s="82">
        <f t="shared" si="504"/>
        <v>102</v>
      </c>
      <c r="KX102" s="82">
        <f t="shared" si="504"/>
        <v>103</v>
      </c>
      <c r="KY102" s="82">
        <f t="shared" si="504"/>
        <v>104</v>
      </c>
      <c r="KZ102" s="82">
        <f t="shared" si="504"/>
        <v>105</v>
      </c>
      <c r="LA102" s="82">
        <f t="shared" si="504"/>
        <v>106</v>
      </c>
      <c r="LB102" s="82">
        <f t="shared" si="504"/>
        <v>107</v>
      </c>
      <c r="LC102" s="82">
        <f t="shared" si="504"/>
        <v>108</v>
      </c>
      <c r="LD102" s="82">
        <f t="shared" si="504"/>
        <v>109</v>
      </c>
      <c r="LE102" s="82">
        <f t="shared" si="504"/>
        <v>110</v>
      </c>
      <c r="LF102" s="82">
        <f t="shared" si="504"/>
        <v>111</v>
      </c>
      <c r="LG102" s="82">
        <f t="shared" si="504"/>
        <v>112</v>
      </c>
      <c r="LH102" s="82">
        <f t="shared" si="504"/>
        <v>113</v>
      </c>
      <c r="LI102" s="82">
        <f t="shared" si="504"/>
        <v>114</v>
      </c>
      <c r="LJ102" s="82">
        <f t="shared" si="504"/>
        <v>115</v>
      </c>
      <c r="LK102" s="82">
        <f t="shared" si="504"/>
        <v>116</v>
      </c>
      <c r="LL102" s="82">
        <f t="shared" si="504"/>
        <v>117</v>
      </c>
      <c r="LM102" s="82">
        <f t="shared" si="504"/>
        <v>118</v>
      </c>
      <c r="LN102" s="82">
        <f t="shared" si="504"/>
        <v>119</v>
      </c>
      <c r="LO102" s="82">
        <f t="shared" si="504"/>
        <v>120</v>
      </c>
      <c r="LP102" s="82">
        <f t="shared" si="504"/>
        <v>121</v>
      </c>
      <c r="LQ102" s="82">
        <f t="shared" si="504"/>
        <v>122</v>
      </c>
      <c r="LR102" s="82">
        <f t="shared" si="504"/>
        <v>123</v>
      </c>
      <c r="LS102" s="82">
        <f t="shared" si="504"/>
        <v>124</v>
      </c>
      <c r="LT102" s="82">
        <f t="shared" si="504"/>
        <v>125</v>
      </c>
      <c r="LU102" s="82">
        <f t="shared" si="504"/>
        <v>126</v>
      </c>
      <c r="LV102" s="82">
        <f t="shared" si="504"/>
        <v>127</v>
      </c>
      <c r="LW102" s="82">
        <f t="shared" si="504"/>
        <v>128</v>
      </c>
      <c r="LX102" s="82">
        <f t="shared" si="504"/>
        <v>129</v>
      </c>
      <c r="LY102" s="82">
        <f t="shared" ref="LY102:ND102" si="505">LX102+1</f>
        <v>130</v>
      </c>
      <c r="LZ102" s="82">
        <f t="shared" si="505"/>
        <v>131</v>
      </c>
      <c r="MA102" s="82">
        <f t="shared" si="505"/>
        <v>132</v>
      </c>
      <c r="MB102" s="82">
        <f t="shared" si="505"/>
        <v>133</v>
      </c>
      <c r="MC102" s="82">
        <f t="shared" si="505"/>
        <v>134</v>
      </c>
      <c r="MD102" s="82">
        <f t="shared" si="505"/>
        <v>135</v>
      </c>
      <c r="ME102" s="82">
        <f t="shared" si="505"/>
        <v>136</v>
      </c>
      <c r="MF102" s="82">
        <f t="shared" si="505"/>
        <v>137</v>
      </c>
      <c r="MG102" s="82">
        <f t="shared" si="505"/>
        <v>138</v>
      </c>
      <c r="MH102" s="82">
        <f t="shared" si="505"/>
        <v>139</v>
      </c>
      <c r="MI102" s="82">
        <f t="shared" si="505"/>
        <v>140</v>
      </c>
      <c r="MJ102" s="82">
        <f t="shared" si="505"/>
        <v>141</v>
      </c>
      <c r="MK102" s="82">
        <f t="shared" si="505"/>
        <v>142</v>
      </c>
      <c r="ML102" s="82">
        <f t="shared" si="505"/>
        <v>143</v>
      </c>
      <c r="MM102" s="82">
        <f t="shared" si="505"/>
        <v>144</v>
      </c>
      <c r="MN102" s="82">
        <f t="shared" si="505"/>
        <v>145</v>
      </c>
      <c r="MO102" s="82">
        <f t="shared" si="505"/>
        <v>146</v>
      </c>
      <c r="MP102" s="82">
        <f t="shared" si="505"/>
        <v>147</v>
      </c>
      <c r="MQ102" s="82">
        <f t="shared" si="505"/>
        <v>148</v>
      </c>
      <c r="MR102" s="82">
        <f t="shared" si="505"/>
        <v>149</v>
      </c>
      <c r="MS102" s="82">
        <f t="shared" si="505"/>
        <v>150</v>
      </c>
      <c r="MT102" s="82">
        <f t="shared" si="505"/>
        <v>151</v>
      </c>
      <c r="MU102" s="82">
        <f t="shared" si="505"/>
        <v>152</v>
      </c>
      <c r="MV102" s="82">
        <f t="shared" si="505"/>
        <v>153</v>
      </c>
      <c r="MW102" s="82">
        <f t="shared" si="505"/>
        <v>154</v>
      </c>
      <c r="MX102" s="82">
        <f t="shared" si="505"/>
        <v>155</v>
      </c>
      <c r="MY102" s="82">
        <f t="shared" si="505"/>
        <v>156</v>
      </c>
      <c r="MZ102" s="82">
        <f t="shared" si="505"/>
        <v>157</v>
      </c>
      <c r="NA102" s="82">
        <f t="shared" si="505"/>
        <v>158</v>
      </c>
      <c r="NB102" s="82">
        <f t="shared" si="505"/>
        <v>159</v>
      </c>
      <c r="NC102" s="82">
        <f t="shared" si="505"/>
        <v>160</v>
      </c>
      <c r="ND102" s="82">
        <f t="shared" si="505"/>
        <v>161</v>
      </c>
      <c r="NE102" s="82">
        <f t="shared" ref="NE102:NW102" si="506">ND102+1</f>
        <v>162</v>
      </c>
      <c r="NF102" s="82">
        <f t="shared" si="506"/>
        <v>163</v>
      </c>
      <c r="NG102" s="82">
        <f t="shared" si="506"/>
        <v>164</v>
      </c>
      <c r="NH102" s="82">
        <f t="shared" si="506"/>
        <v>165</v>
      </c>
      <c r="NI102" s="82">
        <f t="shared" si="506"/>
        <v>166</v>
      </c>
      <c r="NJ102" s="82">
        <f t="shared" si="506"/>
        <v>167</v>
      </c>
      <c r="NK102" s="82">
        <f t="shared" si="506"/>
        <v>168</v>
      </c>
      <c r="NL102" s="82">
        <f t="shared" si="506"/>
        <v>169</v>
      </c>
      <c r="NM102" s="82">
        <f t="shared" si="506"/>
        <v>170</v>
      </c>
      <c r="NN102" s="82">
        <f t="shared" si="506"/>
        <v>171</v>
      </c>
      <c r="NO102" s="82">
        <f t="shared" si="506"/>
        <v>172</v>
      </c>
      <c r="NP102" s="82">
        <f t="shared" si="506"/>
        <v>173</v>
      </c>
      <c r="NQ102" s="82">
        <f t="shared" si="506"/>
        <v>174</v>
      </c>
      <c r="NR102" s="82">
        <f t="shared" si="506"/>
        <v>175</v>
      </c>
      <c r="NS102" s="82">
        <f t="shared" si="506"/>
        <v>176</v>
      </c>
      <c r="NT102" s="82">
        <f t="shared" si="506"/>
        <v>177</v>
      </c>
      <c r="NU102" s="82">
        <f t="shared" si="506"/>
        <v>178</v>
      </c>
      <c r="NV102" s="82">
        <f t="shared" si="506"/>
        <v>179</v>
      </c>
      <c r="NW102" s="82">
        <f t="shared" si="506"/>
        <v>180</v>
      </c>
    </row>
    <row r="103" spans="2:387" x14ac:dyDescent="0.3">
      <c r="B103" s="49" t="s">
        <v>290</v>
      </c>
      <c r="C103" s="19"/>
      <c r="D103" s="19"/>
      <c r="E103" s="19"/>
      <c r="F103" s="19"/>
      <c r="G103" s="19"/>
      <c r="H103" s="19"/>
      <c r="I103" s="19"/>
      <c r="J103" s="23">
        <f>L103/$L$8</f>
        <v>41077.405619786266</v>
      </c>
      <c r="K103" s="29">
        <f>L103/$L$7</f>
        <v>5.4297720072131268</v>
      </c>
      <c r="L103" s="23">
        <f>SUM(T103:GQ103)</f>
        <v>9447803.2925508413</v>
      </c>
      <c r="S103" s="69" t="str">
        <f>IF(ROUND(L103,0)=ROUND(SUM(T103:GQ103),0),"OK","ERROR")</f>
        <v>OK</v>
      </c>
      <c r="T103" s="50">
        <f t="shared" ref="T103:AY103" si="507">T72</f>
        <v>1397606.6936344241</v>
      </c>
      <c r="U103" s="50">
        <f t="shared" si="507"/>
        <v>93700.782064172512</v>
      </c>
      <c r="V103" s="50">
        <f t="shared" si="507"/>
        <v>99589.600625957231</v>
      </c>
      <c r="W103" s="50">
        <f t="shared" si="507"/>
        <v>108778.47804218142</v>
      </c>
      <c r="X103" s="50">
        <f t="shared" si="507"/>
        <v>122612.20713368148</v>
      </c>
      <c r="Y103" s="50">
        <f t="shared" si="507"/>
        <v>142570.95425862484</v>
      </c>
      <c r="Z103" s="50">
        <f t="shared" si="507"/>
        <v>170041.39317280205</v>
      </c>
      <c r="AA103" s="50">
        <f t="shared" si="507"/>
        <v>253592.26673039806</v>
      </c>
      <c r="AB103" s="50">
        <f t="shared" si="507"/>
        <v>262667.94923307316</v>
      </c>
      <c r="AC103" s="50">
        <f t="shared" si="507"/>
        <v>275500.84054234065</v>
      </c>
      <c r="AD103" s="50">
        <f t="shared" si="507"/>
        <v>319209.649328175</v>
      </c>
      <c r="AE103" s="50">
        <f t="shared" si="507"/>
        <v>376920.49849176273</v>
      </c>
      <c r="AF103" s="50">
        <f t="shared" si="507"/>
        <v>423441.08920777583</v>
      </c>
      <c r="AG103" s="50">
        <f t="shared" si="507"/>
        <v>467644.12788490253</v>
      </c>
      <c r="AH103" s="50">
        <f t="shared" si="507"/>
        <v>497586.56846727041</v>
      </c>
      <c r="AI103" s="50">
        <f t="shared" si="507"/>
        <v>509872.43672572426</v>
      </c>
      <c r="AJ103" s="50">
        <f t="shared" si="507"/>
        <v>497602.40555511392</v>
      </c>
      <c r="AK103" s="50">
        <f t="shared" si="507"/>
        <v>473053.9897184397</v>
      </c>
      <c r="AL103" s="50">
        <f t="shared" si="507"/>
        <v>430006.57060001837</v>
      </c>
      <c r="AM103" s="50">
        <f t="shared" si="507"/>
        <v>430235.7091077849</v>
      </c>
      <c r="AN103" s="50">
        <f t="shared" si="507"/>
        <v>376712.9369472214</v>
      </c>
      <c r="AO103" s="50">
        <f t="shared" si="507"/>
        <v>319695.1242708877</v>
      </c>
      <c r="AP103" s="50">
        <f t="shared" si="507"/>
        <v>266626.1124164951</v>
      </c>
      <c r="AQ103" s="50">
        <f t="shared" si="507"/>
        <v>224743.24690653229</v>
      </c>
      <c r="AR103" s="50">
        <f t="shared" si="507"/>
        <v>175682.95211301488</v>
      </c>
      <c r="AS103" s="50">
        <f t="shared" si="507"/>
        <v>149990.99091091516</v>
      </c>
      <c r="AT103" s="50">
        <f t="shared" si="507"/>
        <v>131555.61459857426</v>
      </c>
      <c r="AU103" s="50">
        <f t="shared" si="507"/>
        <v>116178.14650030635</v>
      </c>
      <c r="AV103" s="50">
        <f t="shared" si="507"/>
        <v>53195.030023905536</v>
      </c>
      <c r="AW103" s="50">
        <f t="shared" si="507"/>
        <v>39763.463460153289</v>
      </c>
      <c r="AX103" s="50">
        <f t="shared" si="507"/>
        <v>32398.538456548653</v>
      </c>
      <c r="AY103" s="50">
        <f t="shared" si="507"/>
        <v>31926.295468400731</v>
      </c>
      <c r="AZ103" s="50">
        <f t="shared" ref="AZ103:CE103" si="508">AZ72</f>
        <v>31926.295468400731</v>
      </c>
      <c r="BA103" s="50">
        <f t="shared" si="508"/>
        <v>31926.295468400731</v>
      </c>
      <c r="BB103" s="50">
        <f t="shared" si="508"/>
        <v>31926.295468400731</v>
      </c>
      <c r="BC103" s="50">
        <f t="shared" si="508"/>
        <v>31926.295468400731</v>
      </c>
      <c r="BD103" s="50">
        <f t="shared" si="508"/>
        <v>24697.724039829303</v>
      </c>
      <c r="BE103" s="50">
        <f t="shared" si="508"/>
        <v>24697.724039829303</v>
      </c>
      <c r="BF103" s="50">
        <f t="shared" si="508"/>
        <v>0</v>
      </c>
      <c r="BG103" s="50">
        <f t="shared" si="508"/>
        <v>0</v>
      </c>
      <c r="BH103" s="50">
        <f t="shared" si="508"/>
        <v>0</v>
      </c>
      <c r="BI103" s="50">
        <f t="shared" si="508"/>
        <v>0</v>
      </c>
      <c r="BJ103" s="50">
        <f t="shared" si="508"/>
        <v>0</v>
      </c>
      <c r="BK103" s="50">
        <f t="shared" si="508"/>
        <v>0</v>
      </c>
      <c r="BL103" s="50">
        <f t="shared" si="508"/>
        <v>0</v>
      </c>
      <c r="BM103" s="50">
        <f t="shared" si="508"/>
        <v>0</v>
      </c>
      <c r="BN103" s="50">
        <f t="shared" si="508"/>
        <v>0</v>
      </c>
      <c r="BO103" s="50">
        <f t="shared" si="508"/>
        <v>0</v>
      </c>
      <c r="BP103" s="50">
        <f t="shared" si="508"/>
        <v>0</v>
      </c>
      <c r="BQ103" s="50">
        <f t="shared" si="508"/>
        <v>0</v>
      </c>
      <c r="BR103" s="50">
        <f t="shared" si="508"/>
        <v>0</v>
      </c>
      <c r="BS103" s="50">
        <f t="shared" si="508"/>
        <v>0</v>
      </c>
      <c r="BT103" s="50">
        <f t="shared" si="508"/>
        <v>0</v>
      </c>
      <c r="BU103" s="50">
        <f t="shared" si="508"/>
        <v>0</v>
      </c>
      <c r="BV103" s="50">
        <f t="shared" si="508"/>
        <v>0</v>
      </c>
      <c r="BW103" s="50">
        <f t="shared" si="508"/>
        <v>0</v>
      </c>
      <c r="BX103" s="50">
        <f t="shared" si="508"/>
        <v>0</v>
      </c>
      <c r="BY103" s="50">
        <f t="shared" si="508"/>
        <v>0</v>
      </c>
      <c r="BZ103" s="50">
        <f t="shared" si="508"/>
        <v>0</v>
      </c>
      <c r="CA103" s="50">
        <f t="shared" si="508"/>
        <v>0</v>
      </c>
      <c r="CB103" s="50">
        <f t="shared" si="508"/>
        <v>0</v>
      </c>
      <c r="CC103" s="50">
        <f t="shared" si="508"/>
        <v>0</v>
      </c>
      <c r="CD103" s="50">
        <f t="shared" si="508"/>
        <v>0</v>
      </c>
      <c r="CE103" s="50">
        <f t="shared" si="508"/>
        <v>0</v>
      </c>
      <c r="CF103" s="50">
        <f t="shared" ref="CF103:DK103" si="509">CF72</f>
        <v>0</v>
      </c>
      <c r="CG103" s="50">
        <f t="shared" si="509"/>
        <v>0</v>
      </c>
      <c r="CH103" s="50">
        <f t="shared" si="509"/>
        <v>0</v>
      </c>
      <c r="CI103" s="50">
        <f t="shared" si="509"/>
        <v>0</v>
      </c>
      <c r="CJ103" s="50">
        <f t="shared" si="509"/>
        <v>0</v>
      </c>
      <c r="CK103" s="50">
        <f t="shared" si="509"/>
        <v>0</v>
      </c>
      <c r="CL103" s="50">
        <f t="shared" si="509"/>
        <v>0</v>
      </c>
      <c r="CM103" s="50">
        <f t="shared" si="509"/>
        <v>0</v>
      </c>
      <c r="CN103" s="50">
        <f t="shared" si="509"/>
        <v>0</v>
      </c>
      <c r="CO103" s="50">
        <f t="shared" si="509"/>
        <v>0</v>
      </c>
      <c r="CP103" s="50">
        <f t="shared" si="509"/>
        <v>0</v>
      </c>
      <c r="CQ103" s="50">
        <f t="shared" si="509"/>
        <v>0</v>
      </c>
      <c r="CR103" s="50">
        <f t="shared" si="509"/>
        <v>0</v>
      </c>
      <c r="CS103" s="50">
        <f t="shared" si="509"/>
        <v>0</v>
      </c>
      <c r="CT103" s="50">
        <f t="shared" si="509"/>
        <v>0</v>
      </c>
      <c r="CU103" s="50">
        <f t="shared" si="509"/>
        <v>0</v>
      </c>
      <c r="CV103" s="50">
        <f t="shared" si="509"/>
        <v>0</v>
      </c>
      <c r="CW103" s="50">
        <f t="shared" si="509"/>
        <v>0</v>
      </c>
      <c r="CX103" s="50">
        <f t="shared" si="509"/>
        <v>0</v>
      </c>
      <c r="CY103" s="50">
        <f t="shared" si="509"/>
        <v>0</v>
      </c>
      <c r="CZ103" s="50">
        <f t="shared" si="509"/>
        <v>0</v>
      </c>
      <c r="DA103" s="50">
        <f t="shared" si="509"/>
        <v>0</v>
      </c>
      <c r="DB103" s="50">
        <f t="shared" si="509"/>
        <v>0</v>
      </c>
      <c r="DC103" s="50">
        <f t="shared" si="509"/>
        <v>0</v>
      </c>
      <c r="DD103" s="50">
        <f t="shared" si="509"/>
        <v>0</v>
      </c>
      <c r="DE103" s="50">
        <f t="shared" si="509"/>
        <v>0</v>
      </c>
      <c r="DF103" s="50">
        <f t="shared" si="509"/>
        <v>0</v>
      </c>
      <c r="DG103" s="50">
        <f t="shared" si="509"/>
        <v>0</v>
      </c>
      <c r="DH103" s="50">
        <f t="shared" si="509"/>
        <v>0</v>
      </c>
      <c r="DI103" s="50">
        <f t="shared" si="509"/>
        <v>0</v>
      </c>
      <c r="DJ103" s="50">
        <f t="shared" si="509"/>
        <v>0</v>
      </c>
      <c r="DK103" s="50">
        <f t="shared" si="509"/>
        <v>0</v>
      </c>
      <c r="DL103" s="50">
        <f t="shared" ref="DL103:EQ103" si="510">DL72</f>
        <v>0</v>
      </c>
      <c r="DM103" s="50">
        <f t="shared" si="510"/>
        <v>0</v>
      </c>
      <c r="DN103" s="50">
        <f t="shared" si="510"/>
        <v>0</v>
      </c>
      <c r="DO103" s="50">
        <f t="shared" si="510"/>
        <v>0</v>
      </c>
      <c r="DP103" s="50">
        <f t="shared" si="510"/>
        <v>0</v>
      </c>
      <c r="DQ103" s="50">
        <f t="shared" si="510"/>
        <v>0</v>
      </c>
      <c r="DR103" s="50">
        <f t="shared" si="510"/>
        <v>0</v>
      </c>
      <c r="DS103" s="50">
        <f t="shared" si="510"/>
        <v>0</v>
      </c>
      <c r="DT103" s="50">
        <f t="shared" si="510"/>
        <v>0</v>
      </c>
      <c r="DU103" s="50">
        <f t="shared" si="510"/>
        <v>0</v>
      </c>
      <c r="DV103" s="50">
        <f t="shared" si="510"/>
        <v>0</v>
      </c>
      <c r="DW103" s="50">
        <f t="shared" si="510"/>
        <v>0</v>
      </c>
      <c r="DX103" s="50">
        <f t="shared" si="510"/>
        <v>0</v>
      </c>
      <c r="DY103" s="50">
        <f t="shared" si="510"/>
        <v>0</v>
      </c>
      <c r="DZ103" s="50">
        <f t="shared" si="510"/>
        <v>0</v>
      </c>
      <c r="EA103" s="50">
        <f t="shared" si="510"/>
        <v>0</v>
      </c>
      <c r="EB103" s="50">
        <f t="shared" si="510"/>
        <v>0</v>
      </c>
      <c r="EC103" s="50">
        <f t="shared" si="510"/>
        <v>0</v>
      </c>
      <c r="ED103" s="50">
        <f t="shared" si="510"/>
        <v>0</v>
      </c>
      <c r="EE103" s="50">
        <f t="shared" si="510"/>
        <v>0</v>
      </c>
      <c r="EF103" s="50">
        <f t="shared" si="510"/>
        <v>0</v>
      </c>
      <c r="EG103" s="50">
        <f t="shared" si="510"/>
        <v>0</v>
      </c>
      <c r="EH103" s="50">
        <f t="shared" si="510"/>
        <v>0</v>
      </c>
      <c r="EI103" s="50">
        <f t="shared" si="510"/>
        <v>0</v>
      </c>
      <c r="EJ103" s="50">
        <f t="shared" si="510"/>
        <v>0</v>
      </c>
      <c r="EK103" s="50">
        <f t="shared" si="510"/>
        <v>0</v>
      </c>
      <c r="EL103" s="50">
        <f t="shared" si="510"/>
        <v>0</v>
      </c>
      <c r="EM103" s="50">
        <f t="shared" si="510"/>
        <v>0</v>
      </c>
      <c r="EN103" s="50">
        <f t="shared" si="510"/>
        <v>0</v>
      </c>
      <c r="EO103" s="50">
        <f t="shared" si="510"/>
        <v>0</v>
      </c>
      <c r="EP103" s="50">
        <f t="shared" si="510"/>
        <v>0</v>
      </c>
      <c r="EQ103" s="50">
        <f t="shared" si="510"/>
        <v>0</v>
      </c>
      <c r="ER103" s="50">
        <f t="shared" ref="ER103:FW103" si="511">ER72</f>
        <v>0</v>
      </c>
      <c r="ES103" s="50">
        <f t="shared" si="511"/>
        <v>0</v>
      </c>
      <c r="ET103" s="50">
        <f t="shared" si="511"/>
        <v>0</v>
      </c>
      <c r="EU103" s="50">
        <f t="shared" si="511"/>
        <v>0</v>
      </c>
      <c r="EV103" s="50">
        <f t="shared" si="511"/>
        <v>0</v>
      </c>
      <c r="EW103" s="50">
        <f t="shared" si="511"/>
        <v>0</v>
      </c>
      <c r="EX103" s="50">
        <f t="shared" si="511"/>
        <v>0</v>
      </c>
      <c r="EY103" s="50">
        <f t="shared" si="511"/>
        <v>0</v>
      </c>
      <c r="EZ103" s="50">
        <f t="shared" si="511"/>
        <v>0</v>
      </c>
      <c r="FA103" s="50">
        <f t="shared" si="511"/>
        <v>0</v>
      </c>
      <c r="FB103" s="50">
        <f t="shared" si="511"/>
        <v>0</v>
      </c>
      <c r="FC103" s="50">
        <f t="shared" si="511"/>
        <v>0</v>
      </c>
      <c r="FD103" s="50">
        <f t="shared" si="511"/>
        <v>0</v>
      </c>
      <c r="FE103" s="50">
        <f t="shared" si="511"/>
        <v>0</v>
      </c>
      <c r="FF103" s="50">
        <f t="shared" si="511"/>
        <v>0</v>
      </c>
      <c r="FG103" s="50">
        <f t="shared" si="511"/>
        <v>0</v>
      </c>
      <c r="FH103" s="50">
        <f t="shared" si="511"/>
        <v>0</v>
      </c>
      <c r="FI103" s="50">
        <f t="shared" si="511"/>
        <v>0</v>
      </c>
      <c r="FJ103" s="50">
        <f t="shared" si="511"/>
        <v>0</v>
      </c>
      <c r="FK103" s="50">
        <f t="shared" si="511"/>
        <v>0</v>
      </c>
      <c r="FL103" s="50">
        <f t="shared" si="511"/>
        <v>0</v>
      </c>
      <c r="FM103" s="50">
        <f t="shared" si="511"/>
        <v>0</v>
      </c>
      <c r="FN103" s="50">
        <f t="shared" si="511"/>
        <v>0</v>
      </c>
      <c r="FO103" s="50">
        <f t="shared" si="511"/>
        <v>0</v>
      </c>
      <c r="FP103" s="50">
        <f t="shared" si="511"/>
        <v>0</v>
      </c>
      <c r="FQ103" s="50">
        <f t="shared" si="511"/>
        <v>0</v>
      </c>
      <c r="FR103" s="50">
        <f t="shared" si="511"/>
        <v>0</v>
      </c>
      <c r="FS103" s="50">
        <f t="shared" si="511"/>
        <v>0</v>
      </c>
      <c r="FT103" s="50">
        <f t="shared" si="511"/>
        <v>0</v>
      </c>
      <c r="FU103" s="50">
        <f t="shared" si="511"/>
        <v>0</v>
      </c>
      <c r="FV103" s="50">
        <f t="shared" si="511"/>
        <v>0</v>
      </c>
      <c r="FW103" s="50">
        <f t="shared" si="511"/>
        <v>0</v>
      </c>
      <c r="FX103" s="50">
        <f t="shared" ref="FX103:GQ103" si="512">FX72</f>
        <v>0</v>
      </c>
      <c r="FY103" s="50">
        <f t="shared" si="512"/>
        <v>0</v>
      </c>
      <c r="FZ103" s="50">
        <f t="shared" si="512"/>
        <v>0</v>
      </c>
      <c r="GA103" s="50">
        <f t="shared" si="512"/>
        <v>0</v>
      </c>
      <c r="GB103" s="50">
        <f t="shared" si="512"/>
        <v>0</v>
      </c>
      <c r="GC103" s="50">
        <f t="shared" si="512"/>
        <v>0</v>
      </c>
      <c r="GD103" s="50">
        <f t="shared" si="512"/>
        <v>0</v>
      </c>
      <c r="GE103" s="50">
        <f t="shared" si="512"/>
        <v>0</v>
      </c>
      <c r="GF103" s="50">
        <f t="shared" si="512"/>
        <v>0</v>
      </c>
      <c r="GG103" s="50">
        <f t="shared" si="512"/>
        <v>0</v>
      </c>
      <c r="GH103" s="50">
        <f t="shared" si="512"/>
        <v>0</v>
      </c>
      <c r="GI103" s="50">
        <f t="shared" si="512"/>
        <v>0</v>
      </c>
      <c r="GJ103" s="50">
        <f t="shared" si="512"/>
        <v>0</v>
      </c>
      <c r="GK103" s="50">
        <f t="shared" si="512"/>
        <v>0</v>
      </c>
      <c r="GL103" s="50">
        <f t="shared" si="512"/>
        <v>0</v>
      </c>
      <c r="GM103" s="50">
        <f t="shared" si="512"/>
        <v>0</v>
      </c>
      <c r="GN103" s="50">
        <f t="shared" si="512"/>
        <v>0</v>
      </c>
      <c r="GO103" s="50">
        <f t="shared" si="512"/>
        <v>0</v>
      </c>
      <c r="GP103" s="50">
        <f t="shared" si="512"/>
        <v>0</v>
      </c>
      <c r="GQ103" s="50">
        <f t="shared" si="512"/>
        <v>0</v>
      </c>
      <c r="GS103" s="83" t="s">
        <v>291</v>
      </c>
      <c r="GT103" s="77"/>
      <c r="GU103" s="77"/>
      <c r="GV103" s="77"/>
      <c r="GW103" s="77"/>
      <c r="GX103" s="77">
        <f>SUM(GZ103:NW103)</f>
        <v>4844409.3147741593</v>
      </c>
      <c r="GY103" s="77"/>
      <c r="GZ103" s="77">
        <f>SUM(T104:T105)</f>
        <v>0</v>
      </c>
      <c r="HA103" s="77">
        <f t="shared" ref="HA103:JL103" si="513">SUM(U104:U105)</f>
        <v>0</v>
      </c>
      <c r="HB103" s="77">
        <f t="shared" si="513"/>
        <v>0</v>
      </c>
      <c r="HC103" s="77">
        <f t="shared" si="513"/>
        <v>0</v>
      </c>
      <c r="HD103" s="77">
        <f t="shared" si="513"/>
        <v>0</v>
      </c>
      <c r="HE103" s="77">
        <f t="shared" si="513"/>
        <v>0</v>
      </c>
      <c r="HF103" s="77">
        <f t="shared" si="513"/>
        <v>0</v>
      </c>
      <c r="HG103" s="77">
        <f t="shared" si="513"/>
        <v>0</v>
      </c>
      <c r="HH103" s="77">
        <f t="shared" si="513"/>
        <v>0</v>
      </c>
      <c r="HI103" s="77">
        <f t="shared" si="513"/>
        <v>0</v>
      </c>
      <c r="HJ103" s="77">
        <f t="shared" si="513"/>
        <v>0</v>
      </c>
      <c r="HK103" s="77">
        <f t="shared" si="513"/>
        <v>158208.6867424068</v>
      </c>
      <c r="HL103" s="77">
        <f t="shared" si="513"/>
        <v>0</v>
      </c>
      <c r="HM103" s="77">
        <f t="shared" si="513"/>
        <v>0</v>
      </c>
      <c r="HN103" s="77">
        <f t="shared" si="513"/>
        <v>0</v>
      </c>
      <c r="HO103" s="77">
        <f t="shared" si="513"/>
        <v>0</v>
      </c>
      <c r="HP103" s="77">
        <f t="shared" si="513"/>
        <v>0</v>
      </c>
      <c r="HQ103" s="77">
        <f t="shared" si="513"/>
        <v>0</v>
      </c>
      <c r="HR103" s="77">
        <f t="shared" si="513"/>
        <v>0</v>
      </c>
      <c r="HS103" s="77">
        <f t="shared" si="513"/>
        <v>0</v>
      </c>
      <c r="HT103" s="77">
        <f t="shared" si="513"/>
        <v>0</v>
      </c>
      <c r="HU103" s="77">
        <f t="shared" si="513"/>
        <v>0</v>
      </c>
      <c r="HV103" s="77">
        <f t="shared" si="513"/>
        <v>0</v>
      </c>
      <c r="HW103" s="77">
        <f t="shared" si="513"/>
        <v>0</v>
      </c>
      <c r="HX103" s="77">
        <f t="shared" si="513"/>
        <v>0</v>
      </c>
      <c r="HY103" s="77">
        <f t="shared" si="513"/>
        <v>0</v>
      </c>
      <c r="HZ103" s="77">
        <f t="shared" si="513"/>
        <v>193808.87456932926</v>
      </c>
      <c r="IA103" s="77">
        <f t="shared" si="513"/>
        <v>0</v>
      </c>
      <c r="IB103" s="77">
        <f t="shared" si="513"/>
        <v>0</v>
      </c>
      <c r="IC103" s="77">
        <f t="shared" si="513"/>
        <v>0</v>
      </c>
      <c r="ID103" s="77">
        <f t="shared" si="513"/>
        <v>7724.8215590861801</v>
      </c>
      <c r="IE103" s="77">
        <f t="shared" si="513"/>
        <v>92703.704531599273</v>
      </c>
      <c r="IF103" s="77">
        <f t="shared" si="513"/>
        <v>92703.704531599273</v>
      </c>
      <c r="IG103" s="77">
        <f t="shared" si="513"/>
        <v>92703.704531599273</v>
      </c>
      <c r="IH103" s="77">
        <f t="shared" si="513"/>
        <v>92703.704531599273</v>
      </c>
      <c r="II103" s="77">
        <f t="shared" si="513"/>
        <v>92703.704531599273</v>
      </c>
      <c r="IJ103" s="77">
        <f t="shared" si="513"/>
        <v>99932.275960170693</v>
      </c>
      <c r="IK103" s="77">
        <f t="shared" si="513"/>
        <v>99932.275960170693</v>
      </c>
      <c r="IL103" s="77">
        <f t="shared" si="513"/>
        <v>124630</v>
      </c>
      <c r="IM103" s="77">
        <f t="shared" si="513"/>
        <v>382128.38573250006</v>
      </c>
      <c r="IN103" s="77">
        <f t="shared" si="513"/>
        <v>382128.38573250006</v>
      </c>
      <c r="IO103" s="77">
        <f t="shared" si="513"/>
        <v>382128.38573250006</v>
      </c>
      <c r="IP103" s="77">
        <f t="shared" si="513"/>
        <v>382128.38573250006</v>
      </c>
      <c r="IQ103" s="77">
        <f t="shared" si="513"/>
        <v>382128.38573250006</v>
      </c>
      <c r="IR103" s="77">
        <f t="shared" si="513"/>
        <v>382128.38573250006</v>
      </c>
      <c r="IS103" s="77">
        <f t="shared" si="513"/>
        <v>382128.38573250006</v>
      </c>
      <c r="IT103" s="77">
        <f t="shared" si="513"/>
        <v>382128.38573250006</v>
      </c>
      <c r="IU103" s="77">
        <f t="shared" si="513"/>
        <v>382128.38573250006</v>
      </c>
      <c r="IV103" s="77">
        <f t="shared" si="513"/>
        <v>257498.38573250003</v>
      </c>
      <c r="IW103" s="77">
        <f t="shared" si="513"/>
        <v>0</v>
      </c>
      <c r="IX103" s="77">
        <f t="shared" si="513"/>
        <v>0</v>
      </c>
      <c r="IY103" s="77">
        <f t="shared" si="513"/>
        <v>0</v>
      </c>
      <c r="IZ103" s="77">
        <f t="shared" si="513"/>
        <v>0</v>
      </c>
      <c r="JA103" s="77">
        <f t="shared" si="513"/>
        <v>0</v>
      </c>
      <c r="JB103" s="77">
        <f t="shared" si="513"/>
        <v>0</v>
      </c>
      <c r="JC103" s="77">
        <f t="shared" si="513"/>
        <v>0</v>
      </c>
      <c r="JD103" s="77">
        <f t="shared" si="513"/>
        <v>0</v>
      </c>
      <c r="JE103" s="77">
        <f t="shared" si="513"/>
        <v>0</v>
      </c>
      <c r="JF103" s="77">
        <f t="shared" si="513"/>
        <v>0</v>
      </c>
      <c r="JG103" s="77">
        <f t="shared" si="513"/>
        <v>0</v>
      </c>
      <c r="JH103" s="77">
        <f t="shared" si="513"/>
        <v>0</v>
      </c>
      <c r="JI103" s="77">
        <f t="shared" si="513"/>
        <v>0</v>
      </c>
      <c r="JJ103" s="77">
        <f t="shared" si="513"/>
        <v>0</v>
      </c>
      <c r="JK103" s="77">
        <f t="shared" si="513"/>
        <v>0</v>
      </c>
      <c r="JL103" s="77">
        <f t="shared" si="513"/>
        <v>0</v>
      </c>
      <c r="JM103" s="77">
        <f t="shared" ref="JM103:LX103" si="514">SUM(CG104:CG105)</f>
        <v>0</v>
      </c>
      <c r="JN103" s="77">
        <f t="shared" si="514"/>
        <v>0</v>
      </c>
      <c r="JO103" s="77">
        <f t="shared" si="514"/>
        <v>0</v>
      </c>
      <c r="JP103" s="77">
        <f t="shared" si="514"/>
        <v>0</v>
      </c>
      <c r="JQ103" s="77">
        <f t="shared" si="514"/>
        <v>0</v>
      </c>
      <c r="JR103" s="77">
        <f t="shared" si="514"/>
        <v>0</v>
      </c>
      <c r="JS103" s="77">
        <f t="shared" si="514"/>
        <v>0</v>
      </c>
      <c r="JT103" s="77">
        <f t="shared" si="514"/>
        <v>0</v>
      </c>
      <c r="JU103" s="77">
        <f t="shared" si="514"/>
        <v>0</v>
      </c>
      <c r="JV103" s="77">
        <f t="shared" si="514"/>
        <v>0</v>
      </c>
      <c r="JW103" s="77">
        <f t="shared" si="514"/>
        <v>0</v>
      </c>
      <c r="JX103" s="77">
        <f t="shared" si="514"/>
        <v>0</v>
      </c>
      <c r="JY103" s="77">
        <f t="shared" si="514"/>
        <v>0</v>
      </c>
      <c r="JZ103" s="77">
        <f t="shared" si="514"/>
        <v>0</v>
      </c>
      <c r="KA103" s="77">
        <f t="shared" si="514"/>
        <v>0</v>
      </c>
      <c r="KB103" s="77">
        <f t="shared" si="514"/>
        <v>0</v>
      </c>
      <c r="KC103" s="77">
        <f t="shared" si="514"/>
        <v>0</v>
      </c>
      <c r="KD103" s="77">
        <f t="shared" si="514"/>
        <v>0</v>
      </c>
      <c r="KE103" s="77">
        <f t="shared" si="514"/>
        <v>0</v>
      </c>
      <c r="KF103" s="77">
        <f t="shared" si="514"/>
        <v>0</v>
      </c>
      <c r="KG103" s="77">
        <f t="shared" si="514"/>
        <v>0</v>
      </c>
      <c r="KH103" s="77">
        <f t="shared" si="514"/>
        <v>0</v>
      </c>
      <c r="KI103" s="77">
        <f t="shared" si="514"/>
        <v>0</v>
      </c>
      <c r="KJ103" s="77">
        <f t="shared" si="514"/>
        <v>0</v>
      </c>
      <c r="KK103" s="77">
        <f t="shared" si="514"/>
        <v>0</v>
      </c>
      <c r="KL103" s="77">
        <f t="shared" si="514"/>
        <v>0</v>
      </c>
      <c r="KM103" s="77">
        <f t="shared" si="514"/>
        <v>0</v>
      </c>
      <c r="KN103" s="77">
        <f t="shared" si="514"/>
        <v>0</v>
      </c>
      <c r="KO103" s="77">
        <f t="shared" si="514"/>
        <v>0</v>
      </c>
      <c r="KP103" s="77">
        <f t="shared" si="514"/>
        <v>0</v>
      </c>
      <c r="KQ103" s="77">
        <f t="shared" si="514"/>
        <v>0</v>
      </c>
      <c r="KR103" s="77">
        <f t="shared" si="514"/>
        <v>0</v>
      </c>
      <c r="KS103" s="77">
        <f t="shared" si="514"/>
        <v>0</v>
      </c>
      <c r="KT103" s="77">
        <f t="shared" si="514"/>
        <v>0</v>
      </c>
      <c r="KU103" s="77">
        <f t="shared" si="514"/>
        <v>0</v>
      </c>
      <c r="KV103" s="77">
        <f t="shared" si="514"/>
        <v>0</v>
      </c>
      <c r="KW103" s="77">
        <f t="shared" si="514"/>
        <v>0</v>
      </c>
      <c r="KX103" s="77">
        <f t="shared" si="514"/>
        <v>0</v>
      </c>
      <c r="KY103" s="77">
        <f t="shared" si="514"/>
        <v>0</v>
      </c>
      <c r="KZ103" s="77">
        <f t="shared" si="514"/>
        <v>0</v>
      </c>
      <c r="LA103" s="77">
        <f t="shared" si="514"/>
        <v>0</v>
      </c>
      <c r="LB103" s="77">
        <f t="shared" si="514"/>
        <v>0</v>
      </c>
      <c r="LC103" s="77">
        <f t="shared" si="514"/>
        <v>0</v>
      </c>
      <c r="LD103" s="77">
        <f t="shared" si="514"/>
        <v>0</v>
      </c>
      <c r="LE103" s="77">
        <f t="shared" si="514"/>
        <v>0</v>
      </c>
      <c r="LF103" s="77">
        <f t="shared" si="514"/>
        <v>0</v>
      </c>
      <c r="LG103" s="77">
        <f t="shared" si="514"/>
        <v>0</v>
      </c>
      <c r="LH103" s="77">
        <f t="shared" si="514"/>
        <v>0</v>
      </c>
      <c r="LI103" s="77">
        <f t="shared" si="514"/>
        <v>0</v>
      </c>
      <c r="LJ103" s="77">
        <f t="shared" si="514"/>
        <v>0</v>
      </c>
      <c r="LK103" s="77">
        <f t="shared" si="514"/>
        <v>0</v>
      </c>
      <c r="LL103" s="77">
        <f t="shared" si="514"/>
        <v>0</v>
      </c>
      <c r="LM103" s="77">
        <f t="shared" si="514"/>
        <v>0</v>
      </c>
      <c r="LN103" s="77">
        <f t="shared" si="514"/>
        <v>0</v>
      </c>
      <c r="LO103" s="77">
        <f t="shared" si="514"/>
        <v>0</v>
      </c>
      <c r="LP103" s="77">
        <f t="shared" si="514"/>
        <v>0</v>
      </c>
      <c r="LQ103" s="77">
        <f t="shared" si="514"/>
        <v>0</v>
      </c>
      <c r="LR103" s="77">
        <f t="shared" si="514"/>
        <v>0</v>
      </c>
      <c r="LS103" s="77">
        <f t="shared" si="514"/>
        <v>0</v>
      </c>
      <c r="LT103" s="77">
        <f t="shared" si="514"/>
        <v>0</v>
      </c>
      <c r="LU103" s="77">
        <f t="shared" si="514"/>
        <v>0</v>
      </c>
      <c r="LV103" s="77">
        <f t="shared" si="514"/>
        <v>0</v>
      </c>
      <c r="LW103" s="77">
        <f t="shared" si="514"/>
        <v>0</v>
      </c>
      <c r="LX103" s="77">
        <f t="shared" si="514"/>
        <v>0</v>
      </c>
      <c r="LY103" s="77">
        <f t="shared" ref="LY103:NW103" si="515">SUM(ES104:ES105)</f>
        <v>0</v>
      </c>
      <c r="LZ103" s="77">
        <f t="shared" si="515"/>
        <v>0</v>
      </c>
      <c r="MA103" s="77">
        <f t="shared" si="515"/>
        <v>0</v>
      </c>
      <c r="MB103" s="77">
        <f t="shared" si="515"/>
        <v>0</v>
      </c>
      <c r="MC103" s="77">
        <f t="shared" si="515"/>
        <v>0</v>
      </c>
      <c r="MD103" s="77">
        <f t="shared" si="515"/>
        <v>0</v>
      </c>
      <c r="ME103" s="77">
        <f t="shared" si="515"/>
        <v>0</v>
      </c>
      <c r="MF103" s="77">
        <f t="shared" si="515"/>
        <v>0</v>
      </c>
      <c r="MG103" s="77">
        <f t="shared" si="515"/>
        <v>0</v>
      </c>
      <c r="MH103" s="77">
        <f t="shared" si="515"/>
        <v>0</v>
      </c>
      <c r="MI103" s="77">
        <f t="shared" si="515"/>
        <v>0</v>
      </c>
      <c r="MJ103" s="77">
        <f t="shared" si="515"/>
        <v>0</v>
      </c>
      <c r="MK103" s="77">
        <f t="shared" si="515"/>
        <v>0</v>
      </c>
      <c r="ML103" s="77">
        <f t="shared" si="515"/>
        <v>0</v>
      </c>
      <c r="MM103" s="77">
        <f t="shared" si="515"/>
        <v>0</v>
      </c>
      <c r="MN103" s="77">
        <f t="shared" si="515"/>
        <v>0</v>
      </c>
      <c r="MO103" s="77">
        <f t="shared" si="515"/>
        <v>0</v>
      </c>
      <c r="MP103" s="77">
        <f t="shared" si="515"/>
        <v>0</v>
      </c>
      <c r="MQ103" s="77">
        <f t="shared" si="515"/>
        <v>0</v>
      </c>
      <c r="MR103" s="77">
        <f t="shared" si="515"/>
        <v>0</v>
      </c>
      <c r="MS103" s="77">
        <f t="shared" si="515"/>
        <v>0</v>
      </c>
      <c r="MT103" s="77">
        <f t="shared" si="515"/>
        <v>0</v>
      </c>
      <c r="MU103" s="77">
        <f t="shared" si="515"/>
        <v>0</v>
      </c>
      <c r="MV103" s="77">
        <f t="shared" si="515"/>
        <v>0</v>
      </c>
      <c r="MW103" s="77">
        <f t="shared" si="515"/>
        <v>0</v>
      </c>
      <c r="MX103" s="77">
        <f t="shared" si="515"/>
        <v>0</v>
      </c>
      <c r="MY103" s="77">
        <f t="shared" si="515"/>
        <v>0</v>
      </c>
      <c r="MZ103" s="77">
        <f t="shared" si="515"/>
        <v>0</v>
      </c>
      <c r="NA103" s="77">
        <f t="shared" si="515"/>
        <v>0</v>
      </c>
      <c r="NB103" s="77">
        <f t="shared" si="515"/>
        <v>0</v>
      </c>
      <c r="NC103" s="77">
        <f t="shared" si="515"/>
        <v>0</v>
      </c>
      <c r="ND103" s="77">
        <f t="shared" si="515"/>
        <v>0</v>
      </c>
      <c r="NE103" s="77">
        <f t="shared" si="515"/>
        <v>0</v>
      </c>
      <c r="NF103" s="77">
        <f t="shared" si="515"/>
        <v>0</v>
      </c>
      <c r="NG103" s="77">
        <f t="shared" si="515"/>
        <v>0</v>
      </c>
      <c r="NH103" s="77">
        <f t="shared" si="515"/>
        <v>0</v>
      </c>
      <c r="NI103" s="77">
        <f t="shared" si="515"/>
        <v>0</v>
      </c>
      <c r="NJ103" s="77">
        <f t="shared" si="515"/>
        <v>0</v>
      </c>
      <c r="NK103" s="77">
        <f t="shared" si="515"/>
        <v>0</v>
      </c>
      <c r="NL103" s="77">
        <f t="shared" si="515"/>
        <v>0</v>
      </c>
      <c r="NM103" s="77">
        <f t="shared" si="515"/>
        <v>0</v>
      </c>
      <c r="NN103" s="77">
        <f t="shared" si="515"/>
        <v>0</v>
      </c>
      <c r="NO103" s="77">
        <f t="shared" si="515"/>
        <v>0</v>
      </c>
      <c r="NP103" s="77">
        <f t="shared" si="515"/>
        <v>0</v>
      </c>
      <c r="NQ103" s="77">
        <f t="shared" si="515"/>
        <v>0</v>
      </c>
      <c r="NR103" s="77">
        <f t="shared" si="515"/>
        <v>0</v>
      </c>
      <c r="NS103" s="77">
        <f t="shared" si="515"/>
        <v>0</v>
      </c>
      <c r="NT103" s="77">
        <f t="shared" si="515"/>
        <v>0</v>
      </c>
      <c r="NU103" s="77">
        <f t="shared" si="515"/>
        <v>0</v>
      </c>
      <c r="NV103" s="77">
        <f t="shared" si="515"/>
        <v>0</v>
      </c>
      <c r="NW103" s="77">
        <f t="shared" si="515"/>
        <v>0</v>
      </c>
    </row>
    <row r="104" spans="2:387" ht="15.5" x14ac:dyDescent="0.45">
      <c r="B104" s="49" t="str">
        <f>B92</f>
        <v>Net Proceeds from Lot Sales</v>
      </c>
      <c r="C104" s="19"/>
      <c r="D104" s="19"/>
      <c r="E104" s="19"/>
      <c r="F104" s="19"/>
      <c r="G104" s="19"/>
      <c r="H104" s="19"/>
      <c r="I104" s="19"/>
      <c r="J104" s="23">
        <f>L104/$L$8</f>
        <v>62140.054814456518</v>
      </c>
      <c r="K104" s="29">
        <f>L104/$L$7</f>
        <v>8.2139152915660905</v>
      </c>
      <c r="L104" s="23">
        <f>SUM(T104:GQ104)</f>
        <v>14292212.607324999</v>
      </c>
      <c r="S104" s="69" t="str">
        <f>IF(ROUND(L104,0)=ROUND(SUM(T104:GQ104),0),"OK","ERROR")</f>
        <v>OK</v>
      </c>
      <c r="T104" s="50">
        <f>T92</f>
        <v>0</v>
      </c>
      <c r="U104" s="50">
        <f t="shared" ref="U104:CF104" si="516">U92</f>
        <v>0</v>
      </c>
      <c r="V104" s="50">
        <f t="shared" si="516"/>
        <v>0</v>
      </c>
      <c r="W104" s="50">
        <f t="shared" si="516"/>
        <v>0</v>
      </c>
      <c r="X104" s="50">
        <f t="shared" si="516"/>
        <v>0</v>
      </c>
      <c r="Y104" s="50">
        <f t="shared" si="516"/>
        <v>0</v>
      </c>
      <c r="Z104" s="50">
        <f t="shared" si="516"/>
        <v>0</v>
      </c>
      <c r="AA104" s="50">
        <f t="shared" si="516"/>
        <v>0</v>
      </c>
      <c r="AB104" s="50">
        <f t="shared" si="516"/>
        <v>0</v>
      </c>
      <c r="AC104" s="50">
        <f t="shared" si="516"/>
        <v>2344125</v>
      </c>
      <c r="AD104" s="50">
        <f t="shared" si="516"/>
        <v>0</v>
      </c>
      <c r="AE104" s="50">
        <f t="shared" si="516"/>
        <v>1436875</v>
      </c>
      <c r="AF104" s="50">
        <f t="shared" si="516"/>
        <v>0</v>
      </c>
      <c r="AG104" s="50">
        <f t="shared" si="516"/>
        <v>0</v>
      </c>
      <c r="AH104" s="50">
        <f t="shared" si="516"/>
        <v>0</v>
      </c>
      <c r="AI104" s="50">
        <f t="shared" si="516"/>
        <v>1004625</v>
      </c>
      <c r="AJ104" s="50">
        <f t="shared" si="516"/>
        <v>0</v>
      </c>
      <c r="AK104" s="50">
        <f t="shared" si="516"/>
        <v>689700</v>
      </c>
      <c r="AL104" s="50">
        <f t="shared" si="516"/>
        <v>1004625</v>
      </c>
      <c r="AM104" s="50">
        <f t="shared" si="516"/>
        <v>0</v>
      </c>
      <c r="AN104" s="50">
        <f t="shared" si="516"/>
        <v>689700</v>
      </c>
      <c r="AO104" s="50">
        <f t="shared" si="516"/>
        <v>758826.75</v>
      </c>
      <c r="AP104" s="50">
        <f t="shared" si="516"/>
        <v>0</v>
      </c>
      <c r="AQ104" s="50">
        <f t="shared" si="516"/>
        <v>710391</v>
      </c>
      <c r="AR104" s="50">
        <f t="shared" si="516"/>
        <v>0</v>
      </c>
      <c r="AS104" s="50">
        <f t="shared" si="516"/>
        <v>0</v>
      </c>
      <c r="AT104" s="50">
        <f t="shared" si="516"/>
        <v>710391</v>
      </c>
      <c r="AU104" s="50">
        <f t="shared" si="516"/>
        <v>0</v>
      </c>
      <c r="AV104" s="50">
        <f t="shared" si="516"/>
        <v>0</v>
      </c>
      <c r="AW104" s="50">
        <f t="shared" si="516"/>
        <v>124630</v>
      </c>
      <c r="AX104" s="50">
        <f t="shared" si="516"/>
        <v>124630</v>
      </c>
      <c r="AY104" s="50">
        <f t="shared" si="516"/>
        <v>124630</v>
      </c>
      <c r="AZ104" s="50">
        <f t="shared" si="516"/>
        <v>124630</v>
      </c>
      <c r="BA104" s="50">
        <f t="shared" si="516"/>
        <v>124630</v>
      </c>
      <c r="BB104" s="50">
        <f t="shared" si="516"/>
        <v>124630</v>
      </c>
      <c r="BC104" s="50">
        <f t="shared" si="516"/>
        <v>124630</v>
      </c>
      <c r="BD104" s="50">
        <f t="shared" si="516"/>
        <v>124630</v>
      </c>
      <c r="BE104" s="50">
        <f t="shared" si="516"/>
        <v>124630</v>
      </c>
      <c r="BF104" s="50">
        <f t="shared" si="516"/>
        <v>124630</v>
      </c>
      <c r="BG104" s="50">
        <f t="shared" si="516"/>
        <v>382128.38573250006</v>
      </c>
      <c r="BH104" s="50">
        <f t="shared" si="516"/>
        <v>382128.38573250006</v>
      </c>
      <c r="BI104" s="50">
        <f t="shared" si="516"/>
        <v>382128.38573250006</v>
      </c>
      <c r="BJ104" s="50">
        <f t="shared" si="516"/>
        <v>382128.38573250006</v>
      </c>
      <c r="BK104" s="50">
        <f t="shared" si="516"/>
        <v>382128.38573250006</v>
      </c>
      <c r="BL104" s="50">
        <f t="shared" si="516"/>
        <v>382128.38573250006</v>
      </c>
      <c r="BM104" s="50">
        <f t="shared" si="516"/>
        <v>382128.38573250006</v>
      </c>
      <c r="BN104" s="50">
        <f t="shared" si="516"/>
        <v>382128.38573250006</v>
      </c>
      <c r="BO104" s="50">
        <f t="shared" si="516"/>
        <v>382128.38573250006</v>
      </c>
      <c r="BP104" s="50">
        <f t="shared" si="516"/>
        <v>257498.38573250003</v>
      </c>
      <c r="BQ104" s="50">
        <f t="shared" si="516"/>
        <v>0</v>
      </c>
      <c r="BR104" s="50">
        <f t="shared" si="516"/>
        <v>0</v>
      </c>
      <c r="BS104" s="50">
        <f t="shared" si="516"/>
        <v>0</v>
      </c>
      <c r="BT104" s="50">
        <f t="shared" si="516"/>
        <v>0</v>
      </c>
      <c r="BU104" s="50">
        <f t="shared" si="516"/>
        <v>0</v>
      </c>
      <c r="BV104" s="50">
        <f t="shared" si="516"/>
        <v>0</v>
      </c>
      <c r="BW104" s="50">
        <f t="shared" si="516"/>
        <v>0</v>
      </c>
      <c r="BX104" s="50">
        <f t="shared" si="516"/>
        <v>0</v>
      </c>
      <c r="BY104" s="50">
        <f t="shared" si="516"/>
        <v>0</v>
      </c>
      <c r="BZ104" s="50">
        <f t="shared" si="516"/>
        <v>0</v>
      </c>
      <c r="CA104" s="50">
        <f t="shared" si="516"/>
        <v>0</v>
      </c>
      <c r="CB104" s="50">
        <f t="shared" si="516"/>
        <v>0</v>
      </c>
      <c r="CC104" s="50">
        <f t="shared" si="516"/>
        <v>0</v>
      </c>
      <c r="CD104" s="50">
        <f t="shared" si="516"/>
        <v>0</v>
      </c>
      <c r="CE104" s="50">
        <f t="shared" si="516"/>
        <v>0</v>
      </c>
      <c r="CF104" s="50">
        <f t="shared" si="516"/>
        <v>0</v>
      </c>
      <c r="CG104" s="50">
        <f t="shared" ref="CG104:ER104" si="517">CG92</f>
        <v>0</v>
      </c>
      <c r="CH104" s="50">
        <f t="shared" si="517"/>
        <v>0</v>
      </c>
      <c r="CI104" s="50">
        <f t="shared" si="517"/>
        <v>0</v>
      </c>
      <c r="CJ104" s="50">
        <f t="shared" si="517"/>
        <v>0</v>
      </c>
      <c r="CK104" s="50">
        <f t="shared" si="517"/>
        <v>0</v>
      </c>
      <c r="CL104" s="50">
        <f t="shared" si="517"/>
        <v>0</v>
      </c>
      <c r="CM104" s="50">
        <f t="shared" si="517"/>
        <v>0</v>
      </c>
      <c r="CN104" s="50">
        <f t="shared" si="517"/>
        <v>0</v>
      </c>
      <c r="CO104" s="50">
        <f t="shared" si="517"/>
        <v>0</v>
      </c>
      <c r="CP104" s="50">
        <f t="shared" si="517"/>
        <v>0</v>
      </c>
      <c r="CQ104" s="50">
        <f t="shared" si="517"/>
        <v>0</v>
      </c>
      <c r="CR104" s="50">
        <f t="shared" si="517"/>
        <v>0</v>
      </c>
      <c r="CS104" s="50">
        <f t="shared" si="517"/>
        <v>0</v>
      </c>
      <c r="CT104" s="50">
        <f t="shared" si="517"/>
        <v>0</v>
      </c>
      <c r="CU104" s="50">
        <f t="shared" si="517"/>
        <v>0</v>
      </c>
      <c r="CV104" s="50">
        <f t="shared" si="517"/>
        <v>0</v>
      </c>
      <c r="CW104" s="50">
        <f t="shared" si="517"/>
        <v>0</v>
      </c>
      <c r="CX104" s="50">
        <f t="shared" si="517"/>
        <v>0</v>
      </c>
      <c r="CY104" s="50">
        <f t="shared" si="517"/>
        <v>0</v>
      </c>
      <c r="CZ104" s="50">
        <f t="shared" si="517"/>
        <v>0</v>
      </c>
      <c r="DA104" s="50">
        <f t="shared" si="517"/>
        <v>0</v>
      </c>
      <c r="DB104" s="50">
        <f t="shared" si="517"/>
        <v>0</v>
      </c>
      <c r="DC104" s="50">
        <f t="shared" si="517"/>
        <v>0</v>
      </c>
      <c r="DD104" s="50">
        <f t="shared" si="517"/>
        <v>0</v>
      </c>
      <c r="DE104" s="50">
        <f t="shared" si="517"/>
        <v>0</v>
      </c>
      <c r="DF104" s="50">
        <f t="shared" si="517"/>
        <v>0</v>
      </c>
      <c r="DG104" s="50">
        <f t="shared" si="517"/>
        <v>0</v>
      </c>
      <c r="DH104" s="50">
        <f t="shared" si="517"/>
        <v>0</v>
      </c>
      <c r="DI104" s="50">
        <f t="shared" si="517"/>
        <v>0</v>
      </c>
      <c r="DJ104" s="50">
        <f t="shared" si="517"/>
        <v>0</v>
      </c>
      <c r="DK104" s="50">
        <f t="shared" si="517"/>
        <v>0</v>
      </c>
      <c r="DL104" s="50">
        <f t="shared" si="517"/>
        <v>0</v>
      </c>
      <c r="DM104" s="50">
        <f t="shared" si="517"/>
        <v>0</v>
      </c>
      <c r="DN104" s="50">
        <f t="shared" si="517"/>
        <v>0</v>
      </c>
      <c r="DO104" s="50">
        <f t="shared" si="517"/>
        <v>0</v>
      </c>
      <c r="DP104" s="50">
        <f t="shared" si="517"/>
        <v>0</v>
      </c>
      <c r="DQ104" s="50">
        <f t="shared" si="517"/>
        <v>0</v>
      </c>
      <c r="DR104" s="50">
        <f t="shared" si="517"/>
        <v>0</v>
      </c>
      <c r="DS104" s="50">
        <f t="shared" si="517"/>
        <v>0</v>
      </c>
      <c r="DT104" s="50">
        <f t="shared" si="517"/>
        <v>0</v>
      </c>
      <c r="DU104" s="50">
        <f t="shared" si="517"/>
        <v>0</v>
      </c>
      <c r="DV104" s="50">
        <f t="shared" si="517"/>
        <v>0</v>
      </c>
      <c r="DW104" s="50">
        <f t="shared" si="517"/>
        <v>0</v>
      </c>
      <c r="DX104" s="50">
        <f t="shared" si="517"/>
        <v>0</v>
      </c>
      <c r="DY104" s="50">
        <f t="shared" si="517"/>
        <v>0</v>
      </c>
      <c r="DZ104" s="50">
        <f t="shared" si="517"/>
        <v>0</v>
      </c>
      <c r="EA104" s="50">
        <f t="shared" si="517"/>
        <v>0</v>
      </c>
      <c r="EB104" s="50">
        <f t="shared" si="517"/>
        <v>0</v>
      </c>
      <c r="EC104" s="50">
        <f t="shared" si="517"/>
        <v>0</v>
      </c>
      <c r="ED104" s="50">
        <f t="shared" si="517"/>
        <v>0</v>
      </c>
      <c r="EE104" s="50">
        <f t="shared" si="517"/>
        <v>0</v>
      </c>
      <c r="EF104" s="50">
        <f t="shared" si="517"/>
        <v>0</v>
      </c>
      <c r="EG104" s="50">
        <f t="shared" si="517"/>
        <v>0</v>
      </c>
      <c r="EH104" s="50">
        <f t="shared" si="517"/>
        <v>0</v>
      </c>
      <c r="EI104" s="50">
        <f t="shared" si="517"/>
        <v>0</v>
      </c>
      <c r="EJ104" s="50">
        <f t="shared" si="517"/>
        <v>0</v>
      </c>
      <c r="EK104" s="50">
        <f t="shared" si="517"/>
        <v>0</v>
      </c>
      <c r="EL104" s="50">
        <f t="shared" si="517"/>
        <v>0</v>
      </c>
      <c r="EM104" s="50">
        <f t="shared" si="517"/>
        <v>0</v>
      </c>
      <c r="EN104" s="50">
        <f t="shared" si="517"/>
        <v>0</v>
      </c>
      <c r="EO104" s="50">
        <f t="shared" si="517"/>
        <v>0</v>
      </c>
      <c r="EP104" s="50">
        <f t="shared" si="517"/>
        <v>0</v>
      </c>
      <c r="EQ104" s="50">
        <f t="shared" si="517"/>
        <v>0</v>
      </c>
      <c r="ER104" s="50">
        <f t="shared" si="517"/>
        <v>0</v>
      </c>
      <c r="ES104" s="50">
        <f t="shared" ref="ES104:GQ104" si="518">ES92</f>
        <v>0</v>
      </c>
      <c r="ET104" s="50">
        <f t="shared" si="518"/>
        <v>0</v>
      </c>
      <c r="EU104" s="50">
        <f t="shared" si="518"/>
        <v>0</v>
      </c>
      <c r="EV104" s="50">
        <f t="shared" si="518"/>
        <v>0</v>
      </c>
      <c r="EW104" s="50">
        <f t="shared" si="518"/>
        <v>0</v>
      </c>
      <c r="EX104" s="50">
        <f t="shared" si="518"/>
        <v>0</v>
      </c>
      <c r="EY104" s="50">
        <f t="shared" si="518"/>
        <v>0</v>
      </c>
      <c r="EZ104" s="50">
        <f t="shared" si="518"/>
        <v>0</v>
      </c>
      <c r="FA104" s="50">
        <f t="shared" si="518"/>
        <v>0</v>
      </c>
      <c r="FB104" s="50">
        <f t="shared" si="518"/>
        <v>0</v>
      </c>
      <c r="FC104" s="50">
        <f t="shared" si="518"/>
        <v>0</v>
      </c>
      <c r="FD104" s="50">
        <f t="shared" si="518"/>
        <v>0</v>
      </c>
      <c r="FE104" s="50">
        <f t="shared" si="518"/>
        <v>0</v>
      </c>
      <c r="FF104" s="50">
        <f t="shared" si="518"/>
        <v>0</v>
      </c>
      <c r="FG104" s="50">
        <f t="shared" si="518"/>
        <v>0</v>
      </c>
      <c r="FH104" s="50">
        <f t="shared" si="518"/>
        <v>0</v>
      </c>
      <c r="FI104" s="50">
        <f t="shared" si="518"/>
        <v>0</v>
      </c>
      <c r="FJ104" s="50">
        <f t="shared" si="518"/>
        <v>0</v>
      </c>
      <c r="FK104" s="50">
        <f t="shared" si="518"/>
        <v>0</v>
      </c>
      <c r="FL104" s="50">
        <f t="shared" si="518"/>
        <v>0</v>
      </c>
      <c r="FM104" s="50">
        <f t="shared" si="518"/>
        <v>0</v>
      </c>
      <c r="FN104" s="50">
        <f t="shared" si="518"/>
        <v>0</v>
      </c>
      <c r="FO104" s="50">
        <f t="shared" si="518"/>
        <v>0</v>
      </c>
      <c r="FP104" s="50">
        <f t="shared" si="518"/>
        <v>0</v>
      </c>
      <c r="FQ104" s="50">
        <f t="shared" si="518"/>
        <v>0</v>
      </c>
      <c r="FR104" s="50">
        <f t="shared" si="518"/>
        <v>0</v>
      </c>
      <c r="FS104" s="50">
        <f t="shared" si="518"/>
        <v>0</v>
      </c>
      <c r="FT104" s="50">
        <f t="shared" si="518"/>
        <v>0</v>
      </c>
      <c r="FU104" s="50">
        <f t="shared" si="518"/>
        <v>0</v>
      </c>
      <c r="FV104" s="50">
        <f t="shared" si="518"/>
        <v>0</v>
      </c>
      <c r="FW104" s="50">
        <f t="shared" si="518"/>
        <v>0</v>
      </c>
      <c r="FX104" s="50">
        <f t="shared" si="518"/>
        <v>0</v>
      </c>
      <c r="FY104" s="50">
        <f t="shared" si="518"/>
        <v>0</v>
      </c>
      <c r="FZ104" s="50">
        <f t="shared" si="518"/>
        <v>0</v>
      </c>
      <c r="GA104" s="50">
        <f t="shared" si="518"/>
        <v>0</v>
      </c>
      <c r="GB104" s="50">
        <f t="shared" si="518"/>
        <v>0</v>
      </c>
      <c r="GC104" s="50">
        <f t="shared" si="518"/>
        <v>0</v>
      </c>
      <c r="GD104" s="50">
        <f t="shared" si="518"/>
        <v>0</v>
      </c>
      <c r="GE104" s="50">
        <f t="shared" si="518"/>
        <v>0</v>
      </c>
      <c r="GF104" s="50">
        <f t="shared" si="518"/>
        <v>0</v>
      </c>
      <c r="GG104" s="50">
        <f t="shared" si="518"/>
        <v>0</v>
      </c>
      <c r="GH104" s="50">
        <f t="shared" si="518"/>
        <v>0</v>
      </c>
      <c r="GI104" s="50">
        <f t="shared" si="518"/>
        <v>0</v>
      </c>
      <c r="GJ104" s="50">
        <f t="shared" si="518"/>
        <v>0</v>
      </c>
      <c r="GK104" s="50">
        <f t="shared" si="518"/>
        <v>0</v>
      </c>
      <c r="GL104" s="50">
        <f t="shared" si="518"/>
        <v>0</v>
      </c>
      <c r="GM104" s="50">
        <f t="shared" si="518"/>
        <v>0</v>
      </c>
      <c r="GN104" s="50">
        <f t="shared" si="518"/>
        <v>0</v>
      </c>
      <c r="GO104" s="50">
        <f t="shared" si="518"/>
        <v>0</v>
      </c>
      <c r="GP104" s="50">
        <f t="shared" si="518"/>
        <v>0</v>
      </c>
      <c r="GQ104" s="50">
        <f t="shared" si="518"/>
        <v>0</v>
      </c>
      <c r="GS104" s="80"/>
      <c r="GT104" s="77"/>
      <c r="GU104" s="77"/>
      <c r="GV104" s="77"/>
      <c r="GW104" s="77"/>
      <c r="GX104" s="77"/>
      <c r="GY104" s="77"/>
      <c r="GZ104" s="81"/>
      <c r="HA104" s="81"/>
      <c r="HB104" s="81"/>
      <c r="HC104" s="81"/>
      <c r="HD104" s="81"/>
      <c r="HE104" s="81"/>
      <c r="HF104" s="81"/>
      <c r="HG104" s="81"/>
      <c r="HH104" s="81"/>
      <c r="HI104" s="81"/>
      <c r="HJ104" s="81"/>
      <c r="HK104" s="81"/>
      <c r="HL104" s="81"/>
      <c r="HM104" s="81"/>
      <c r="HN104" s="81"/>
      <c r="HO104" s="81"/>
      <c r="HP104" s="81"/>
      <c r="HQ104" s="81"/>
      <c r="HR104" s="81"/>
      <c r="HS104" s="81"/>
      <c r="HT104" s="81"/>
      <c r="HU104" s="81"/>
      <c r="HV104" s="81"/>
      <c r="HW104" s="81"/>
      <c r="HX104" s="81"/>
      <c r="HY104" s="81"/>
      <c r="HZ104" s="81"/>
      <c r="IA104" s="81"/>
      <c r="IB104" s="81"/>
      <c r="IC104" s="81"/>
      <c r="ID104" s="81"/>
      <c r="IE104" s="81"/>
      <c r="IF104" s="81"/>
      <c r="IG104" s="81"/>
      <c r="IH104" s="81"/>
      <c r="II104" s="81"/>
      <c r="IJ104" s="81"/>
      <c r="IK104" s="81"/>
      <c r="IL104" s="81"/>
      <c r="IM104" s="81"/>
      <c r="IN104" s="81"/>
      <c r="IO104" s="81"/>
      <c r="IP104" s="81"/>
      <c r="IQ104" s="81"/>
      <c r="IR104" s="81"/>
      <c r="IS104" s="81"/>
      <c r="IT104" s="81"/>
      <c r="IU104" s="81"/>
      <c r="IV104" s="81"/>
      <c r="IW104" s="81"/>
      <c r="IX104" s="81"/>
      <c r="IY104" s="81"/>
      <c r="IZ104" s="81"/>
      <c r="JA104" s="81"/>
      <c r="JB104" s="81"/>
      <c r="JC104" s="81"/>
      <c r="JD104" s="81"/>
      <c r="JE104" s="81"/>
      <c r="JF104" s="81"/>
      <c r="JG104" s="81"/>
      <c r="JH104" s="81"/>
      <c r="JI104" s="81"/>
      <c r="JJ104" s="81"/>
      <c r="JK104" s="81"/>
      <c r="JL104" s="81"/>
      <c r="JM104" s="81"/>
      <c r="JN104" s="81"/>
      <c r="JO104" s="81"/>
      <c r="JP104" s="81"/>
      <c r="JQ104" s="81"/>
      <c r="JR104" s="81"/>
      <c r="JS104" s="81"/>
      <c r="JT104" s="81"/>
      <c r="JU104" s="81"/>
      <c r="JV104" s="81"/>
      <c r="JW104" s="81"/>
      <c r="JX104" s="81"/>
      <c r="JY104" s="81"/>
      <c r="JZ104" s="81"/>
      <c r="KA104" s="81"/>
      <c r="KB104" s="81"/>
      <c r="KC104" s="81"/>
      <c r="KD104" s="81"/>
      <c r="KE104" s="81"/>
      <c r="KF104" s="81"/>
      <c r="KG104" s="81"/>
      <c r="KH104" s="81"/>
      <c r="KI104" s="81"/>
      <c r="KJ104" s="81"/>
      <c r="KK104" s="81"/>
      <c r="KL104" s="81"/>
      <c r="KM104" s="81"/>
      <c r="KN104" s="81"/>
      <c r="KO104" s="81"/>
      <c r="KP104" s="81"/>
      <c r="KQ104" s="81"/>
      <c r="KR104" s="81"/>
      <c r="KS104" s="81"/>
      <c r="KT104" s="81"/>
      <c r="KU104" s="81"/>
      <c r="KV104" s="81"/>
      <c r="KW104" s="81"/>
      <c r="KX104" s="81"/>
      <c r="KY104" s="81"/>
      <c r="KZ104" s="81"/>
      <c r="LA104" s="81"/>
      <c r="LB104" s="81"/>
      <c r="LC104" s="81"/>
      <c r="LD104" s="81"/>
      <c r="LE104" s="81"/>
      <c r="LF104" s="81"/>
      <c r="LG104" s="81"/>
      <c r="LH104" s="81"/>
      <c r="LI104" s="81"/>
      <c r="LJ104" s="81"/>
      <c r="LK104" s="81"/>
      <c r="LL104" s="81"/>
      <c r="LM104" s="81"/>
      <c r="LN104" s="81"/>
      <c r="LO104" s="81"/>
      <c r="LP104" s="81"/>
      <c r="LQ104" s="81"/>
      <c r="LR104" s="81"/>
      <c r="LS104" s="81"/>
      <c r="LT104" s="81"/>
      <c r="LU104" s="81"/>
      <c r="LV104" s="81"/>
      <c r="LW104" s="81"/>
      <c r="LX104" s="81"/>
      <c r="LY104" s="81"/>
      <c r="LZ104" s="81"/>
      <c r="MA104" s="81"/>
      <c r="MB104" s="81"/>
      <c r="MC104" s="81"/>
      <c r="MD104" s="81"/>
      <c r="ME104" s="81"/>
      <c r="MF104" s="81"/>
      <c r="MG104" s="81"/>
      <c r="MH104" s="81"/>
      <c r="MI104" s="81"/>
      <c r="MJ104" s="81"/>
      <c r="MK104" s="81"/>
      <c r="ML104" s="81"/>
      <c r="MM104" s="81"/>
      <c r="MN104" s="81"/>
      <c r="MO104" s="81"/>
      <c r="MP104" s="81"/>
      <c r="MQ104" s="81"/>
      <c r="MR104" s="81"/>
      <c r="MS104" s="81"/>
      <c r="MT104" s="81"/>
      <c r="MU104" s="81"/>
      <c r="MV104" s="81"/>
      <c r="MW104" s="81"/>
      <c r="MX104" s="81"/>
      <c r="MY104" s="81"/>
      <c r="MZ104" s="81"/>
      <c r="NA104" s="81"/>
      <c r="NB104" s="81"/>
      <c r="NC104" s="81"/>
      <c r="ND104" s="81"/>
      <c r="NE104" s="81"/>
      <c r="NF104" s="81"/>
      <c r="NG104" s="81"/>
      <c r="NH104" s="81"/>
      <c r="NI104" s="81"/>
      <c r="NJ104" s="81"/>
      <c r="NK104" s="81"/>
      <c r="NL104" s="81"/>
      <c r="NM104" s="81"/>
      <c r="NN104" s="81"/>
      <c r="NO104" s="81"/>
      <c r="NP104" s="81"/>
      <c r="NQ104" s="81"/>
      <c r="NR104" s="81"/>
      <c r="NS104" s="81"/>
      <c r="NT104" s="81"/>
      <c r="NU104" s="81"/>
      <c r="NV104" s="81"/>
      <c r="NW104" s="81"/>
    </row>
    <row r="105" spans="2:387" ht="15.5" x14ac:dyDescent="0.45">
      <c r="B105" s="49" t="s">
        <v>292</v>
      </c>
      <c r="C105" s="19"/>
      <c r="D105" s="19"/>
      <c r="E105" s="19"/>
      <c r="F105" s="19"/>
      <c r="G105" s="19"/>
      <c r="H105" s="19"/>
      <c r="I105" s="19"/>
      <c r="J105" s="31">
        <f>L105/$L$8</f>
        <v>-41077.405619786266</v>
      </c>
      <c r="K105" s="32">
        <f>L105/$L$7</f>
        <v>-5.4297720072131268</v>
      </c>
      <c r="L105" s="31">
        <f>SUM(T105:GQ105)</f>
        <v>-9447803.2925508413</v>
      </c>
      <c r="M105" s="96"/>
      <c r="N105" s="151"/>
      <c r="O105" s="151"/>
      <c r="P105" s="151"/>
      <c r="Q105" s="151"/>
      <c r="R105" s="151"/>
      <c r="S105" s="69" t="str">
        <f>IF(ROUND(L105,0)=ROUND(SUM(T105:GQ105),0),"OK","ERROR")</f>
        <v>OK</v>
      </c>
      <c r="T105" s="62">
        <f t="shared" ref="T105:AY105" si="519">-(GZ68+GZ74)</f>
        <v>0</v>
      </c>
      <c r="U105" s="62">
        <f t="shared" si="519"/>
        <v>0</v>
      </c>
      <c r="V105" s="62">
        <f t="shared" si="519"/>
        <v>0</v>
      </c>
      <c r="W105" s="62">
        <f t="shared" si="519"/>
        <v>0</v>
      </c>
      <c r="X105" s="62">
        <f t="shared" si="519"/>
        <v>0</v>
      </c>
      <c r="Y105" s="62">
        <f t="shared" si="519"/>
        <v>0</v>
      </c>
      <c r="Z105" s="62">
        <f t="shared" si="519"/>
        <v>0</v>
      </c>
      <c r="AA105" s="62">
        <f t="shared" si="519"/>
        <v>0</v>
      </c>
      <c r="AB105" s="62">
        <f t="shared" si="519"/>
        <v>0</v>
      </c>
      <c r="AC105" s="62">
        <f t="shared" si="519"/>
        <v>-2344125</v>
      </c>
      <c r="AD105" s="62">
        <f t="shared" si="519"/>
        <v>0</v>
      </c>
      <c r="AE105" s="62">
        <f t="shared" si="519"/>
        <v>-1278666.3132575932</v>
      </c>
      <c r="AF105" s="62">
        <f t="shared" si="519"/>
        <v>0</v>
      </c>
      <c r="AG105" s="62">
        <f t="shared" si="519"/>
        <v>0</v>
      </c>
      <c r="AH105" s="62">
        <f t="shared" si="519"/>
        <v>0</v>
      </c>
      <c r="AI105" s="62">
        <f t="shared" si="519"/>
        <v>-1004625</v>
      </c>
      <c r="AJ105" s="62">
        <f t="shared" si="519"/>
        <v>0</v>
      </c>
      <c r="AK105" s="62">
        <f t="shared" si="519"/>
        <v>-689700</v>
      </c>
      <c r="AL105" s="62">
        <f t="shared" si="519"/>
        <v>-1004625</v>
      </c>
      <c r="AM105" s="62">
        <f t="shared" si="519"/>
        <v>0</v>
      </c>
      <c r="AN105" s="62">
        <f t="shared" si="519"/>
        <v>-689700</v>
      </c>
      <c r="AO105" s="62">
        <f t="shared" si="519"/>
        <v>-758826.75</v>
      </c>
      <c r="AP105" s="62">
        <f t="shared" si="519"/>
        <v>0</v>
      </c>
      <c r="AQ105" s="62">
        <f t="shared" si="519"/>
        <v>-710391</v>
      </c>
      <c r="AR105" s="62">
        <f t="shared" si="519"/>
        <v>0</v>
      </c>
      <c r="AS105" s="62">
        <f t="shared" si="519"/>
        <v>0</v>
      </c>
      <c r="AT105" s="62">
        <f t="shared" si="519"/>
        <v>-516582.12543067074</v>
      </c>
      <c r="AU105" s="62">
        <f t="shared" si="519"/>
        <v>0</v>
      </c>
      <c r="AV105" s="62">
        <f t="shared" si="519"/>
        <v>0</v>
      </c>
      <c r="AW105" s="62">
        <f t="shared" si="519"/>
        <v>-124630</v>
      </c>
      <c r="AX105" s="62">
        <f t="shared" si="519"/>
        <v>-116905.17844091382</v>
      </c>
      <c r="AY105" s="62">
        <f t="shared" si="519"/>
        <v>-31926.295468400731</v>
      </c>
      <c r="AZ105" s="62">
        <f t="shared" ref="AZ105:CE105" si="520">-(IF68+IF74)</f>
        <v>-31926.295468400731</v>
      </c>
      <c r="BA105" s="62">
        <f t="shared" si="520"/>
        <v>-31926.295468400731</v>
      </c>
      <c r="BB105" s="62">
        <f t="shared" si="520"/>
        <v>-31926.295468400731</v>
      </c>
      <c r="BC105" s="62">
        <f t="shared" si="520"/>
        <v>-31926.295468400731</v>
      </c>
      <c r="BD105" s="62">
        <f t="shared" si="520"/>
        <v>-24697.724039829303</v>
      </c>
      <c r="BE105" s="62">
        <f t="shared" si="520"/>
        <v>-24697.724039829303</v>
      </c>
      <c r="BF105" s="62">
        <f t="shared" si="520"/>
        <v>0</v>
      </c>
      <c r="BG105" s="62">
        <f t="shared" si="520"/>
        <v>0</v>
      </c>
      <c r="BH105" s="62">
        <f t="shared" si="520"/>
        <v>0</v>
      </c>
      <c r="BI105" s="62">
        <f t="shared" si="520"/>
        <v>0</v>
      </c>
      <c r="BJ105" s="62">
        <f t="shared" si="520"/>
        <v>0</v>
      </c>
      <c r="BK105" s="62">
        <f t="shared" si="520"/>
        <v>0</v>
      </c>
      <c r="BL105" s="62">
        <f t="shared" si="520"/>
        <v>0</v>
      </c>
      <c r="BM105" s="62">
        <f t="shared" si="520"/>
        <v>0</v>
      </c>
      <c r="BN105" s="62">
        <f t="shared" si="520"/>
        <v>0</v>
      </c>
      <c r="BO105" s="62">
        <f t="shared" si="520"/>
        <v>0</v>
      </c>
      <c r="BP105" s="62">
        <f t="shared" si="520"/>
        <v>0</v>
      </c>
      <c r="BQ105" s="62">
        <f t="shared" si="520"/>
        <v>0</v>
      </c>
      <c r="BR105" s="62">
        <f t="shared" si="520"/>
        <v>0</v>
      </c>
      <c r="BS105" s="62">
        <f t="shared" si="520"/>
        <v>0</v>
      </c>
      <c r="BT105" s="62">
        <f t="shared" si="520"/>
        <v>0</v>
      </c>
      <c r="BU105" s="62">
        <f t="shared" si="520"/>
        <v>0</v>
      </c>
      <c r="BV105" s="62">
        <f t="shared" si="520"/>
        <v>0</v>
      </c>
      <c r="BW105" s="62">
        <f t="shared" si="520"/>
        <v>0</v>
      </c>
      <c r="BX105" s="62">
        <f t="shared" si="520"/>
        <v>0</v>
      </c>
      <c r="BY105" s="62">
        <f t="shared" si="520"/>
        <v>0</v>
      </c>
      <c r="BZ105" s="62">
        <f t="shared" si="520"/>
        <v>0</v>
      </c>
      <c r="CA105" s="62">
        <f t="shared" si="520"/>
        <v>0</v>
      </c>
      <c r="CB105" s="62">
        <f t="shared" si="520"/>
        <v>0</v>
      </c>
      <c r="CC105" s="62">
        <f t="shared" si="520"/>
        <v>0</v>
      </c>
      <c r="CD105" s="62">
        <f t="shared" si="520"/>
        <v>0</v>
      </c>
      <c r="CE105" s="62">
        <f t="shared" si="520"/>
        <v>0</v>
      </c>
      <c r="CF105" s="62">
        <f t="shared" ref="CF105:DK105" si="521">-(JL68+JL74)</f>
        <v>0</v>
      </c>
      <c r="CG105" s="62">
        <f t="shared" si="521"/>
        <v>0</v>
      </c>
      <c r="CH105" s="62">
        <f t="shared" si="521"/>
        <v>0</v>
      </c>
      <c r="CI105" s="62">
        <f t="shared" si="521"/>
        <v>0</v>
      </c>
      <c r="CJ105" s="62">
        <f t="shared" si="521"/>
        <v>0</v>
      </c>
      <c r="CK105" s="62">
        <f t="shared" si="521"/>
        <v>0</v>
      </c>
      <c r="CL105" s="62">
        <f t="shared" si="521"/>
        <v>0</v>
      </c>
      <c r="CM105" s="62">
        <f t="shared" si="521"/>
        <v>0</v>
      </c>
      <c r="CN105" s="62">
        <f t="shared" si="521"/>
        <v>0</v>
      </c>
      <c r="CO105" s="62">
        <f t="shared" si="521"/>
        <v>0</v>
      </c>
      <c r="CP105" s="62">
        <f t="shared" si="521"/>
        <v>0</v>
      </c>
      <c r="CQ105" s="62">
        <f t="shared" si="521"/>
        <v>0</v>
      </c>
      <c r="CR105" s="62">
        <f t="shared" si="521"/>
        <v>0</v>
      </c>
      <c r="CS105" s="62">
        <f t="shared" si="521"/>
        <v>0</v>
      </c>
      <c r="CT105" s="62">
        <f t="shared" si="521"/>
        <v>0</v>
      </c>
      <c r="CU105" s="62">
        <f t="shared" si="521"/>
        <v>0</v>
      </c>
      <c r="CV105" s="62">
        <f t="shared" si="521"/>
        <v>0</v>
      </c>
      <c r="CW105" s="62">
        <f t="shared" si="521"/>
        <v>0</v>
      </c>
      <c r="CX105" s="62">
        <f t="shared" si="521"/>
        <v>0</v>
      </c>
      <c r="CY105" s="62">
        <f t="shared" si="521"/>
        <v>0</v>
      </c>
      <c r="CZ105" s="62">
        <f t="shared" si="521"/>
        <v>0</v>
      </c>
      <c r="DA105" s="62">
        <f t="shared" si="521"/>
        <v>0</v>
      </c>
      <c r="DB105" s="62">
        <f t="shared" si="521"/>
        <v>0</v>
      </c>
      <c r="DC105" s="62">
        <f t="shared" si="521"/>
        <v>0</v>
      </c>
      <c r="DD105" s="62">
        <f t="shared" si="521"/>
        <v>0</v>
      </c>
      <c r="DE105" s="62">
        <f t="shared" si="521"/>
        <v>0</v>
      </c>
      <c r="DF105" s="62">
        <f t="shared" si="521"/>
        <v>0</v>
      </c>
      <c r="DG105" s="62">
        <f t="shared" si="521"/>
        <v>0</v>
      </c>
      <c r="DH105" s="62">
        <f t="shared" si="521"/>
        <v>0</v>
      </c>
      <c r="DI105" s="62">
        <f t="shared" si="521"/>
        <v>0</v>
      </c>
      <c r="DJ105" s="62">
        <f t="shared" si="521"/>
        <v>0</v>
      </c>
      <c r="DK105" s="62">
        <f t="shared" si="521"/>
        <v>0</v>
      </c>
      <c r="DL105" s="62">
        <f t="shared" ref="DL105:EQ105" si="522">-(KR68+KR74)</f>
        <v>0</v>
      </c>
      <c r="DM105" s="62">
        <f t="shared" si="522"/>
        <v>0</v>
      </c>
      <c r="DN105" s="62">
        <f t="shared" si="522"/>
        <v>0</v>
      </c>
      <c r="DO105" s="62">
        <f t="shared" si="522"/>
        <v>0</v>
      </c>
      <c r="DP105" s="62">
        <f t="shared" si="522"/>
        <v>0</v>
      </c>
      <c r="DQ105" s="62">
        <f t="shared" si="522"/>
        <v>0</v>
      </c>
      <c r="DR105" s="62">
        <f t="shared" si="522"/>
        <v>0</v>
      </c>
      <c r="DS105" s="62">
        <f t="shared" si="522"/>
        <v>0</v>
      </c>
      <c r="DT105" s="62">
        <f t="shared" si="522"/>
        <v>0</v>
      </c>
      <c r="DU105" s="62">
        <f t="shared" si="522"/>
        <v>0</v>
      </c>
      <c r="DV105" s="62">
        <f t="shared" si="522"/>
        <v>0</v>
      </c>
      <c r="DW105" s="62">
        <f t="shared" si="522"/>
        <v>0</v>
      </c>
      <c r="DX105" s="62">
        <f t="shared" si="522"/>
        <v>0</v>
      </c>
      <c r="DY105" s="62">
        <f t="shared" si="522"/>
        <v>0</v>
      </c>
      <c r="DZ105" s="62">
        <f t="shared" si="522"/>
        <v>0</v>
      </c>
      <c r="EA105" s="62">
        <f t="shared" si="522"/>
        <v>0</v>
      </c>
      <c r="EB105" s="62">
        <f t="shared" si="522"/>
        <v>0</v>
      </c>
      <c r="EC105" s="62">
        <f t="shared" si="522"/>
        <v>0</v>
      </c>
      <c r="ED105" s="62">
        <f t="shared" si="522"/>
        <v>0</v>
      </c>
      <c r="EE105" s="62">
        <f t="shared" si="522"/>
        <v>0</v>
      </c>
      <c r="EF105" s="62">
        <f t="shared" si="522"/>
        <v>0</v>
      </c>
      <c r="EG105" s="62">
        <f t="shared" si="522"/>
        <v>0</v>
      </c>
      <c r="EH105" s="62">
        <f t="shared" si="522"/>
        <v>0</v>
      </c>
      <c r="EI105" s="62">
        <f t="shared" si="522"/>
        <v>0</v>
      </c>
      <c r="EJ105" s="62">
        <f t="shared" si="522"/>
        <v>0</v>
      </c>
      <c r="EK105" s="62">
        <f t="shared" si="522"/>
        <v>0</v>
      </c>
      <c r="EL105" s="62">
        <f t="shared" si="522"/>
        <v>0</v>
      </c>
      <c r="EM105" s="62">
        <f t="shared" si="522"/>
        <v>0</v>
      </c>
      <c r="EN105" s="62">
        <f t="shared" si="522"/>
        <v>0</v>
      </c>
      <c r="EO105" s="62">
        <f t="shared" si="522"/>
        <v>0</v>
      </c>
      <c r="EP105" s="62">
        <f t="shared" si="522"/>
        <v>0</v>
      </c>
      <c r="EQ105" s="62">
        <f t="shared" si="522"/>
        <v>0</v>
      </c>
      <c r="ER105" s="62">
        <f t="shared" ref="ER105:FW105" si="523">-(LX68+LX74)</f>
        <v>0</v>
      </c>
      <c r="ES105" s="62">
        <f t="shared" si="523"/>
        <v>0</v>
      </c>
      <c r="ET105" s="62">
        <f t="shared" si="523"/>
        <v>0</v>
      </c>
      <c r="EU105" s="62">
        <f t="shared" si="523"/>
        <v>0</v>
      </c>
      <c r="EV105" s="62">
        <f t="shared" si="523"/>
        <v>0</v>
      </c>
      <c r="EW105" s="62">
        <f t="shared" si="523"/>
        <v>0</v>
      </c>
      <c r="EX105" s="62">
        <f t="shared" si="523"/>
        <v>0</v>
      </c>
      <c r="EY105" s="62">
        <f t="shared" si="523"/>
        <v>0</v>
      </c>
      <c r="EZ105" s="62">
        <f t="shared" si="523"/>
        <v>0</v>
      </c>
      <c r="FA105" s="62">
        <f t="shared" si="523"/>
        <v>0</v>
      </c>
      <c r="FB105" s="62">
        <f t="shared" si="523"/>
        <v>0</v>
      </c>
      <c r="FC105" s="62">
        <f t="shared" si="523"/>
        <v>0</v>
      </c>
      <c r="FD105" s="62">
        <f t="shared" si="523"/>
        <v>0</v>
      </c>
      <c r="FE105" s="62">
        <f t="shared" si="523"/>
        <v>0</v>
      </c>
      <c r="FF105" s="62">
        <f t="shared" si="523"/>
        <v>0</v>
      </c>
      <c r="FG105" s="62">
        <f t="shared" si="523"/>
        <v>0</v>
      </c>
      <c r="FH105" s="62">
        <f t="shared" si="523"/>
        <v>0</v>
      </c>
      <c r="FI105" s="62">
        <f t="shared" si="523"/>
        <v>0</v>
      </c>
      <c r="FJ105" s="62">
        <f t="shared" si="523"/>
        <v>0</v>
      </c>
      <c r="FK105" s="62">
        <f t="shared" si="523"/>
        <v>0</v>
      </c>
      <c r="FL105" s="62">
        <f t="shared" si="523"/>
        <v>0</v>
      </c>
      <c r="FM105" s="62">
        <f t="shared" si="523"/>
        <v>0</v>
      </c>
      <c r="FN105" s="62">
        <f t="shared" si="523"/>
        <v>0</v>
      </c>
      <c r="FO105" s="62">
        <f t="shared" si="523"/>
        <v>0</v>
      </c>
      <c r="FP105" s="62">
        <f t="shared" si="523"/>
        <v>0</v>
      </c>
      <c r="FQ105" s="62">
        <f t="shared" si="523"/>
        <v>0</v>
      </c>
      <c r="FR105" s="62">
        <f t="shared" si="523"/>
        <v>0</v>
      </c>
      <c r="FS105" s="62">
        <f t="shared" si="523"/>
        <v>0</v>
      </c>
      <c r="FT105" s="62">
        <f t="shared" si="523"/>
        <v>0</v>
      </c>
      <c r="FU105" s="62">
        <f t="shared" si="523"/>
        <v>0</v>
      </c>
      <c r="FV105" s="62">
        <f t="shared" si="523"/>
        <v>0</v>
      </c>
      <c r="FW105" s="62">
        <f t="shared" si="523"/>
        <v>0</v>
      </c>
      <c r="FX105" s="62">
        <f t="shared" ref="FX105:GQ105" si="524">-(ND68+ND74)</f>
        <v>0</v>
      </c>
      <c r="FY105" s="62">
        <f t="shared" si="524"/>
        <v>0</v>
      </c>
      <c r="FZ105" s="62">
        <f t="shared" si="524"/>
        <v>0</v>
      </c>
      <c r="GA105" s="62">
        <f t="shared" si="524"/>
        <v>0</v>
      </c>
      <c r="GB105" s="62">
        <f t="shared" si="524"/>
        <v>0</v>
      </c>
      <c r="GC105" s="62">
        <f t="shared" si="524"/>
        <v>0</v>
      </c>
      <c r="GD105" s="62">
        <f t="shared" si="524"/>
        <v>0</v>
      </c>
      <c r="GE105" s="62">
        <f t="shared" si="524"/>
        <v>0</v>
      </c>
      <c r="GF105" s="62">
        <f t="shared" si="524"/>
        <v>0</v>
      </c>
      <c r="GG105" s="62">
        <f t="shared" si="524"/>
        <v>0</v>
      </c>
      <c r="GH105" s="62">
        <f t="shared" si="524"/>
        <v>0</v>
      </c>
      <c r="GI105" s="62">
        <f t="shared" si="524"/>
        <v>0</v>
      </c>
      <c r="GJ105" s="62">
        <f t="shared" si="524"/>
        <v>0</v>
      </c>
      <c r="GK105" s="62">
        <f t="shared" si="524"/>
        <v>0</v>
      </c>
      <c r="GL105" s="62">
        <f t="shared" si="524"/>
        <v>0</v>
      </c>
      <c r="GM105" s="62">
        <f t="shared" si="524"/>
        <v>0</v>
      </c>
      <c r="GN105" s="62">
        <f t="shared" si="524"/>
        <v>0</v>
      </c>
      <c r="GO105" s="62">
        <f t="shared" si="524"/>
        <v>0</v>
      </c>
      <c r="GP105" s="62">
        <f t="shared" si="524"/>
        <v>0</v>
      </c>
      <c r="GQ105" s="62">
        <f t="shared" si="524"/>
        <v>0</v>
      </c>
      <c r="GS105" s="80" t="s">
        <v>293</v>
      </c>
      <c r="GT105" s="77"/>
      <c r="GU105" s="77"/>
      <c r="GV105" s="77"/>
      <c r="GW105" s="77"/>
      <c r="GX105" s="77"/>
      <c r="GY105" s="77"/>
      <c r="GZ105" s="77">
        <f>GY110</f>
        <v>0</v>
      </c>
      <c r="HA105" s="77">
        <f t="shared" ref="HA105:JL105" si="525">GZ110</f>
        <v>1503730.7027027027</v>
      </c>
      <c r="HB105" s="77">
        <f t="shared" si="525"/>
        <v>1515721.6624933083</v>
      </c>
      <c r="HC105" s="77">
        <f t="shared" si="525"/>
        <v>1527808.2398811614</v>
      </c>
      <c r="HD105" s="77">
        <f t="shared" si="525"/>
        <v>1539991.1973344099</v>
      </c>
      <c r="HE105" s="77">
        <f t="shared" si="525"/>
        <v>1552271.3034012301</v>
      </c>
      <c r="HF105" s="77">
        <f t="shared" si="525"/>
        <v>1564649.3327583091</v>
      </c>
      <c r="HG105" s="77">
        <f t="shared" si="525"/>
        <v>1577126.0662597143</v>
      </c>
      <c r="HH105" s="77">
        <f t="shared" si="525"/>
        <v>1589702.2909861538</v>
      </c>
      <c r="HI105" s="77">
        <f t="shared" si="525"/>
        <v>1602378.8002946274</v>
      </c>
      <c r="HJ105" s="77">
        <f t="shared" si="525"/>
        <v>1615156.3938684752</v>
      </c>
      <c r="HK105" s="77">
        <f t="shared" si="525"/>
        <v>1628035.8777678243</v>
      </c>
      <c r="HL105" s="77">
        <f t="shared" si="525"/>
        <v>1498630.2464122726</v>
      </c>
      <c r="HM105" s="77">
        <f t="shared" si="525"/>
        <v>1510580.5344481666</v>
      </c>
      <c r="HN105" s="77">
        <f t="shared" si="525"/>
        <v>1522626.1157590249</v>
      </c>
      <c r="HO105" s="77">
        <f t="shared" si="525"/>
        <v>1534767.7502268036</v>
      </c>
      <c r="HP105" s="77">
        <f t="shared" si="525"/>
        <v>1547006.2037928649</v>
      </c>
      <c r="HQ105" s="77">
        <f t="shared" si="525"/>
        <v>1559342.2485062946</v>
      </c>
      <c r="HR105" s="77">
        <f t="shared" si="525"/>
        <v>1571776.6625726062</v>
      </c>
      <c r="HS105" s="77">
        <f t="shared" si="525"/>
        <v>1584310.2304028338</v>
      </c>
      <c r="HT105" s="77">
        <f t="shared" si="525"/>
        <v>1596943.7426630149</v>
      </c>
      <c r="HU105" s="77">
        <f t="shared" si="525"/>
        <v>1609677.9963240689</v>
      </c>
      <c r="HV105" s="77">
        <f t="shared" si="525"/>
        <v>1622513.7947120734</v>
      </c>
      <c r="HW105" s="77">
        <f t="shared" si="525"/>
        <v>1635451.9475589411</v>
      </c>
      <c r="HX105" s="77">
        <f t="shared" si="525"/>
        <v>1648493.2710535002</v>
      </c>
      <c r="HY105" s="77">
        <f t="shared" si="525"/>
        <v>1661638.5878929838</v>
      </c>
      <c r="HZ105" s="77">
        <f t="shared" si="525"/>
        <v>1674888.7273349278</v>
      </c>
      <c r="IA105" s="77">
        <f t="shared" si="525"/>
        <v>1513816.5381370881</v>
      </c>
      <c r="IB105" s="77">
        <f t="shared" si="525"/>
        <v>1525887.9237957902</v>
      </c>
      <c r="IC105" s="77">
        <f t="shared" si="525"/>
        <v>1538055.5683789062</v>
      </c>
      <c r="ID105" s="77">
        <f t="shared" si="525"/>
        <v>1550320.2394686171</v>
      </c>
      <c r="IE105" s="77">
        <f t="shared" si="525"/>
        <v>1555730.3713647339</v>
      </c>
      <c r="IF105" s="77">
        <f t="shared" si="525"/>
        <v>1484702.6497370675</v>
      </c>
      <c r="IG105" s="77">
        <f t="shared" si="525"/>
        <v>1413108.5430827972</v>
      </c>
      <c r="IH105" s="77">
        <f t="shared" si="525"/>
        <v>1340943.5349681838</v>
      </c>
      <c r="II105" s="77">
        <f t="shared" si="525"/>
        <v>1268203.0729448115</v>
      </c>
      <c r="IJ105" s="77">
        <f t="shared" si="525"/>
        <v>1194882.5682624015</v>
      </c>
      <c r="IK105" s="77">
        <f t="shared" si="525"/>
        <v>1114471.6812936214</v>
      </c>
      <c r="IL105" s="77">
        <f t="shared" si="525"/>
        <v>1033419.5866201397</v>
      </c>
      <c r="IM105" s="77">
        <f t="shared" si="525"/>
        <v>929493.21952582838</v>
      </c>
      <c r="IN105" s="77">
        <f t="shared" si="525"/>
        <v>592989.58182679117</v>
      </c>
      <c r="IO105" s="77">
        <f t="shared" si="525"/>
        <v>253802.61686590483</v>
      </c>
      <c r="IP105" s="77">
        <f t="shared" si="525"/>
        <v>0</v>
      </c>
      <c r="IQ105" s="77">
        <f t="shared" si="525"/>
        <v>0</v>
      </c>
      <c r="IR105" s="77">
        <f t="shared" si="525"/>
        <v>0</v>
      </c>
      <c r="IS105" s="77">
        <f t="shared" si="525"/>
        <v>0</v>
      </c>
      <c r="IT105" s="77">
        <f t="shared" si="525"/>
        <v>0</v>
      </c>
      <c r="IU105" s="77">
        <f t="shared" si="525"/>
        <v>0</v>
      </c>
      <c r="IV105" s="77">
        <f t="shared" si="525"/>
        <v>0</v>
      </c>
      <c r="IW105" s="77">
        <f t="shared" si="525"/>
        <v>0</v>
      </c>
      <c r="IX105" s="77">
        <f t="shared" si="525"/>
        <v>0</v>
      </c>
      <c r="IY105" s="77">
        <f t="shared" si="525"/>
        <v>0</v>
      </c>
      <c r="IZ105" s="77">
        <f t="shared" si="525"/>
        <v>0</v>
      </c>
      <c r="JA105" s="77">
        <f t="shared" si="525"/>
        <v>0</v>
      </c>
      <c r="JB105" s="77">
        <f t="shared" si="525"/>
        <v>0</v>
      </c>
      <c r="JC105" s="77">
        <f t="shared" si="525"/>
        <v>0</v>
      </c>
      <c r="JD105" s="77">
        <f t="shared" si="525"/>
        <v>0</v>
      </c>
      <c r="JE105" s="77">
        <f t="shared" si="525"/>
        <v>0</v>
      </c>
      <c r="JF105" s="77">
        <f t="shared" si="525"/>
        <v>0</v>
      </c>
      <c r="JG105" s="77">
        <f t="shared" si="525"/>
        <v>0</v>
      </c>
      <c r="JH105" s="77">
        <f t="shared" si="525"/>
        <v>0</v>
      </c>
      <c r="JI105" s="77">
        <f t="shared" si="525"/>
        <v>0</v>
      </c>
      <c r="JJ105" s="77">
        <f t="shared" si="525"/>
        <v>0</v>
      </c>
      <c r="JK105" s="77">
        <f t="shared" si="525"/>
        <v>0</v>
      </c>
      <c r="JL105" s="77">
        <f t="shared" si="525"/>
        <v>0</v>
      </c>
      <c r="JM105" s="77">
        <f t="shared" ref="JM105:LX105" si="526">JL110</f>
        <v>0</v>
      </c>
      <c r="JN105" s="77">
        <f t="shared" si="526"/>
        <v>0</v>
      </c>
      <c r="JO105" s="77">
        <f t="shared" si="526"/>
        <v>0</v>
      </c>
      <c r="JP105" s="77">
        <f t="shared" si="526"/>
        <v>0</v>
      </c>
      <c r="JQ105" s="77">
        <f t="shared" si="526"/>
        <v>0</v>
      </c>
      <c r="JR105" s="77">
        <f t="shared" si="526"/>
        <v>0</v>
      </c>
      <c r="JS105" s="77">
        <f t="shared" si="526"/>
        <v>0</v>
      </c>
      <c r="JT105" s="77">
        <f t="shared" si="526"/>
        <v>0</v>
      </c>
      <c r="JU105" s="77">
        <f t="shared" si="526"/>
        <v>0</v>
      </c>
      <c r="JV105" s="77">
        <f t="shared" si="526"/>
        <v>0</v>
      </c>
      <c r="JW105" s="77">
        <f t="shared" si="526"/>
        <v>0</v>
      </c>
      <c r="JX105" s="77">
        <f t="shared" si="526"/>
        <v>0</v>
      </c>
      <c r="JY105" s="77">
        <f t="shared" si="526"/>
        <v>0</v>
      </c>
      <c r="JZ105" s="77">
        <f t="shared" si="526"/>
        <v>0</v>
      </c>
      <c r="KA105" s="77">
        <f t="shared" si="526"/>
        <v>0</v>
      </c>
      <c r="KB105" s="77">
        <f t="shared" si="526"/>
        <v>0</v>
      </c>
      <c r="KC105" s="77">
        <f t="shared" si="526"/>
        <v>0</v>
      </c>
      <c r="KD105" s="77">
        <f t="shared" si="526"/>
        <v>0</v>
      </c>
      <c r="KE105" s="77">
        <f t="shared" si="526"/>
        <v>0</v>
      </c>
      <c r="KF105" s="77">
        <f t="shared" si="526"/>
        <v>0</v>
      </c>
      <c r="KG105" s="77">
        <f t="shared" si="526"/>
        <v>0</v>
      </c>
      <c r="KH105" s="77">
        <f t="shared" si="526"/>
        <v>0</v>
      </c>
      <c r="KI105" s="77">
        <f t="shared" si="526"/>
        <v>0</v>
      </c>
      <c r="KJ105" s="77">
        <f t="shared" si="526"/>
        <v>0</v>
      </c>
      <c r="KK105" s="77">
        <f t="shared" si="526"/>
        <v>0</v>
      </c>
      <c r="KL105" s="77">
        <f t="shared" si="526"/>
        <v>0</v>
      </c>
      <c r="KM105" s="77">
        <f t="shared" si="526"/>
        <v>0</v>
      </c>
      <c r="KN105" s="77">
        <f t="shared" si="526"/>
        <v>0</v>
      </c>
      <c r="KO105" s="77">
        <f t="shared" si="526"/>
        <v>0</v>
      </c>
      <c r="KP105" s="77">
        <f t="shared" si="526"/>
        <v>0</v>
      </c>
      <c r="KQ105" s="77">
        <f t="shared" si="526"/>
        <v>0</v>
      </c>
      <c r="KR105" s="77">
        <f t="shared" si="526"/>
        <v>0</v>
      </c>
      <c r="KS105" s="77">
        <f t="shared" si="526"/>
        <v>0</v>
      </c>
      <c r="KT105" s="77">
        <f t="shared" si="526"/>
        <v>0</v>
      </c>
      <c r="KU105" s="77">
        <f t="shared" si="526"/>
        <v>0</v>
      </c>
      <c r="KV105" s="77">
        <f t="shared" si="526"/>
        <v>0</v>
      </c>
      <c r="KW105" s="77">
        <f t="shared" si="526"/>
        <v>0</v>
      </c>
      <c r="KX105" s="77">
        <f t="shared" si="526"/>
        <v>0</v>
      </c>
      <c r="KY105" s="77">
        <f t="shared" si="526"/>
        <v>0</v>
      </c>
      <c r="KZ105" s="77">
        <f t="shared" si="526"/>
        <v>0</v>
      </c>
      <c r="LA105" s="77">
        <f t="shared" si="526"/>
        <v>0</v>
      </c>
      <c r="LB105" s="77">
        <f t="shared" si="526"/>
        <v>0</v>
      </c>
      <c r="LC105" s="77">
        <f t="shared" si="526"/>
        <v>0</v>
      </c>
      <c r="LD105" s="77">
        <f t="shared" si="526"/>
        <v>0</v>
      </c>
      <c r="LE105" s="77">
        <f t="shared" si="526"/>
        <v>0</v>
      </c>
      <c r="LF105" s="77">
        <f t="shared" si="526"/>
        <v>0</v>
      </c>
      <c r="LG105" s="77">
        <f t="shared" si="526"/>
        <v>0</v>
      </c>
      <c r="LH105" s="77">
        <f t="shared" si="526"/>
        <v>0</v>
      </c>
      <c r="LI105" s="77">
        <f t="shared" si="526"/>
        <v>0</v>
      </c>
      <c r="LJ105" s="77">
        <f t="shared" si="526"/>
        <v>0</v>
      </c>
      <c r="LK105" s="77">
        <f t="shared" si="526"/>
        <v>0</v>
      </c>
      <c r="LL105" s="77">
        <f t="shared" si="526"/>
        <v>0</v>
      </c>
      <c r="LM105" s="77">
        <f t="shared" si="526"/>
        <v>0</v>
      </c>
      <c r="LN105" s="77">
        <f t="shared" si="526"/>
        <v>0</v>
      </c>
      <c r="LO105" s="77">
        <f t="shared" si="526"/>
        <v>0</v>
      </c>
      <c r="LP105" s="77">
        <f t="shared" si="526"/>
        <v>0</v>
      </c>
      <c r="LQ105" s="77">
        <f t="shared" si="526"/>
        <v>0</v>
      </c>
      <c r="LR105" s="77">
        <f t="shared" si="526"/>
        <v>0</v>
      </c>
      <c r="LS105" s="77">
        <f t="shared" si="526"/>
        <v>0</v>
      </c>
      <c r="LT105" s="77">
        <f t="shared" si="526"/>
        <v>0</v>
      </c>
      <c r="LU105" s="77">
        <f t="shared" si="526"/>
        <v>0</v>
      </c>
      <c r="LV105" s="77">
        <f t="shared" si="526"/>
        <v>0</v>
      </c>
      <c r="LW105" s="77">
        <f t="shared" si="526"/>
        <v>0</v>
      </c>
      <c r="LX105" s="77">
        <f t="shared" si="526"/>
        <v>0</v>
      </c>
      <c r="LY105" s="77">
        <f t="shared" ref="LY105:NW105" si="527">LX110</f>
        <v>0</v>
      </c>
      <c r="LZ105" s="77">
        <f t="shared" si="527"/>
        <v>0</v>
      </c>
      <c r="MA105" s="77">
        <f t="shared" si="527"/>
        <v>0</v>
      </c>
      <c r="MB105" s="77">
        <f t="shared" si="527"/>
        <v>0</v>
      </c>
      <c r="MC105" s="77">
        <f t="shared" si="527"/>
        <v>0</v>
      </c>
      <c r="MD105" s="77">
        <f t="shared" si="527"/>
        <v>0</v>
      </c>
      <c r="ME105" s="77">
        <f t="shared" si="527"/>
        <v>0</v>
      </c>
      <c r="MF105" s="77">
        <f t="shared" si="527"/>
        <v>0</v>
      </c>
      <c r="MG105" s="77">
        <f t="shared" si="527"/>
        <v>0</v>
      </c>
      <c r="MH105" s="77">
        <f t="shared" si="527"/>
        <v>0</v>
      </c>
      <c r="MI105" s="77">
        <f t="shared" si="527"/>
        <v>0</v>
      </c>
      <c r="MJ105" s="77">
        <f t="shared" si="527"/>
        <v>0</v>
      </c>
      <c r="MK105" s="77">
        <f t="shared" si="527"/>
        <v>0</v>
      </c>
      <c r="ML105" s="77">
        <f t="shared" si="527"/>
        <v>0</v>
      </c>
      <c r="MM105" s="77">
        <f t="shared" si="527"/>
        <v>0</v>
      </c>
      <c r="MN105" s="77">
        <f t="shared" si="527"/>
        <v>0</v>
      </c>
      <c r="MO105" s="77">
        <f t="shared" si="527"/>
        <v>0</v>
      </c>
      <c r="MP105" s="77">
        <f t="shared" si="527"/>
        <v>0</v>
      </c>
      <c r="MQ105" s="77">
        <f t="shared" si="527"/>
        <v>0</v>
      </c>
      <c r="MR105" s="77">
        <f t="shared" si="527"/>
        <v>0</v>
      </c>
      <c r="MS105" s="77">
        <f t="shared" si="527"/>
        <v>0</v>
      </c>
      <c r="MT105" s="77">
        <f t="shared" si="527"/>
        <v>0</v>
      </c>
      <c r="MU105" s="77">
        <f t="shared" si="527"/>
        <v>0</v>
      </c>
      <c r="MV105" s="77">
        <f t="shared" si="527"/>
        <v>0</v>
      </c>
      <c r="MW105" s="77">
        <f t="shared" si="527"/>
        <v>0</v>
      </c>
      <c r="MX105" s="77">
        <f t="shared" si="527"/>
        <v>0</v>
      </c>
      <c r="MY105" s="77">
        <f t="shared" si="527"/>
        <v>0</v>
      </c>
      <c r="MZ105" s="77">
        <f t="shared" si="527"/>
        <v>0</v>
      </c>
      <c r="NA105" s="77">
        <f t="shared" si="527"/>
        <v>0</v>
      </c>
      <c r="NB105" s="77">
        <f t="shared" si="527"/>
        <v>0</v>
      </c>
      <c r="NC105" s="77">
        <f t="shared" si="527"/>
        <v>0</v>
      </c>
      <c r="ND105" s="77">
        <f t="shared" si="527"/>
        <v>0</v>
      </c>
      <c r="NE105" s="77">
        <f t="shared" si="527"/>
        <v>0</v>
      </c>
      <c r="NF105" s="77">
        <f t="shared" si="527"/>
        <v>0</v>
      </c>
      <c r="NG105" s="77">
        <f t="shared" si="527"/>
        <v>0</v>
      </c>
      <c r="NH105" s="77">
        <f t="shared" si="527"/>
        <v>0</v>
      </c>
      <c r="NI105" s="77">
        <f t="shared" si="527"/>
        <v>0</v>
      </c>
      <c r="NJ105" s="77">
        <f t="shared" si="527"/>
        <v>0</v>
      </c>
      <c r="NK105" s="77">
        <f t="shared" si="527"/>
        <v>0</v>
      </c>
      <c r="NL105" s="77">
        <f t="shared" si="527"/>
        <v>0</v>
      </c>
      <c r="NM105" s="77">
        <f t="shared" si="527"/>
        <v>0</v>
      </c>
      <c r="NN105" s="77">
        <f t="shared" si="527"/>
        <v>0</v>
      </c>
      <c r="NO105" s="77">
        <f t="shared" si="527"/>
        <v>0</v>
      </c>
      <c r="NP105" s="77">
        <f t="shared" si="527"/>
        <v>0</v>
      </c>
      <c r="NQ105" s="77">
        <f t="shared" si="527"/>
        <v>0</v>
      </c>
      <c r="NR105" s="77">
        <f t="shared" si="527"/>
        <v>0</v>
      </c>
      <c r="NS105" s="77">
        <f t="shared" si="527"/>
        <v>0</v>
      </c>
      <c r="NT105" s="77">
        <f t="shared" si="527"/>
        <v>0</v>
      </c>
      <c r="NU105" s="77">
        <f t="shared" si="527"/>
        <v>0</v>
      </c>
      <c r="NV105" s="77">
        <f t="shared" si="527"/>
        <v>0</v>
      </c>
      <c r="NW105" s="77">
        <f t="shared" si="527"/>
        <v>0</v>
      </c>
    </row>
    <row r="106" spans="2:387" x14ac:dyDescent="0.3">
      <c r="B106" s="18" t="s">
        <v>294</v>
      </c>
      <c r="C106" s="19"/>
      <c r="D106" s="19"/>
      <c r="E106" s="95">
        <f>SUMIF(T106:GQ106,"&gt;0")/-SUMIF(T106:GQ106,"&lt;0")</f>
        <v>2.8994343039351627</v>
      </c>
      <c r="F106" s="94">
        <f>XIRR(T106:GQ106,$T$2:$GQ$2)</f>
        <v>0.38438634276390082</v>
      </c>
      <c r="G106" s="19"/>
      <c r="H106" s="19"/>
      <c r="I106" s="19"/>
      <c r="J106" s="23">
        <f>L106/$L$8</f>
        <v>13798.249664705498</v>
      </c>
      <c r="K106" s="29">
        <f>L106/$L$7</f>
        <v>1.8239065648748647</v>
      </c>
      <c r="L106" s="23">
        <f>SUM(L102:L105)</f>
        <v>3173597.4228822645</v>
      </c>
      <c r="S106" s="69" t="str">
        <f>IF(ROUND(L106,0)=ROUND(SUM(T106:GQ106),0),"OK","ERROR")</f>
        <v>OK</v>
      </c>
      <c r="T106" s="50">
        <f t="shared" ref="T106:CE106" si="528">SUM(T102:T105)</f>
        <v>-1670811.8918918918</v>
      </c>
      <c r="U106" s="50">
        <f t="shared" si="528"/>
        <v>0</v>
      </c>
      <c r="V106" s="50">
        <f t="shared" si="528"/>
        <v>0</v>
      </c>
      <c r="W106" s="50">
        <f t="shared" si="528"/>
        <v>0</v>
      </c>
      <c r="X106" s="50">
        <f t="shared" si="528"/>
        <v>0</v>
      </c>
      <c r="Y106" s="50">
        <f t="shared" si="528"/>
        <v>0</v>
      </c>
      <c r="Z106" s="50">
        <f t="shared" si="528"/>
        <v>0</v>
      </c>
      <c r="AA106" s="50">
        <f t="shared" si="528"/>
        <v>0</v>
      </c>
      <c r="AB106" s="50">
        <f t="shared" si="528"/>
        <v>0</v>
      </c>
      <c r="AC106" s="50">
        <f t="shared" si="528"/>
        <v>0</v>
      </c>
      <c r="AD106" s="50">
        <f t="shared" si="528"/>
        <v>0</v>
      </c>
      <c r="AE106" s="50">
        <f t="shared" si="528"/>
        <v>158208.6867424068</v>
      </c>
      <c r="AF106" s="50">
        <f t="shared" si="528"/>
        <v>0</v>
      </c>
      <c r="AG106" s="50">
        <f t="shared" si="528"/>
        <v>0</v>
      </c>
      <c r="AH106" s="50">
        <f t="shared" si="528"/>
        <v>0</v>
      </c>
      <c r="AI106" s="50">
        <f t="shared" si="528"/>
        <v>0</v>
      </c>
      <c r="AJ106" s="50">
        <f t="shared" si="528"/>
        <v>0</v>
      </c>
      <c r="AK106" s="50">
        <f t="shared" si="528"/>
        <v>0</v>
      </c>
      <c r="AL106" s="50">
        <f t="shared" si="528"/>
        <v>0</v>
      </c>
      <c r="AM106" s="50">
        <f t="shared" si="528"/>
        <v>0</v>
      </c>
      <c r="AN106" s="50">
        <f t="shared" si="528"/>
        <v>0</v>
      </c>
      <c r="AO106" s="50">
        <f t="shared" si="528"/>
        <v>0</v>
      </c>
      <c r="AP106" s="50">
        <f t="shared" si="528"/>
        <v>0</v>
      </c>
      <c r="AQ106" s="50">
        <f t="shared" si="528"/>
        <v>0</v>
      </c>
      <c r="AR106" s="50">
        <f t="shared" si="528"/>
        <v>0</v>
      </c>
      <c r="AS106" s="50">
        <f t="shared" si="528"/>
        <v>0</v>
      </c>
      <c r="AT106" s="50">
        <f t="shared" si="528"/>
        <v>193808.87456932926</v>
      </c>
      <c r="AU106" s="50">
        <f t="shared" si="528"/>
        <v>0</v>
      </c>
      <c r="AV106" s="50">
        <f t="shared" si="528"/>
        <v>0</v>
      </c>
      <c r="AW106" s="50">
        <f t="shared" si="528"/>
        <v>0</v>
      </c>
      <c r="AX106" s="50">
        <f t="shared" si="528"/>
        <v>7724.8215590861801</v>
      </c>
      <c r="AY106" s="50">
        <f t="shared" si="528"/>
        <v>92703.704531599273</v>
      </c>
      <c r="AZ106" s="50">
        <f t="shared" si="528"/>
        <v>92703.704531599273</v>
      </c>
      <c r="BA106" s="50">
        <f t="shared" si="528"/>
        <v>92703.704531599273</v>
      </c>
      <c r="BB106" s="50">
        <f t="shared" si="528"/>
        <v>92703.704531599273</v>
      </c>
      <c r="BC106" s="50">
        <f t="shared" si="528"/>
        <v>92703.704531599273</v>
      </c>
      <c r="BD106" s="50">
        <f t="shared" si="528"/>
        <v>99932.275960170693</v>
      </c>
      <c r="BE106" s="50">
        <f t="shared" si="528"/>
        <v>99932.275960170693</v>
      </c>
      <c r="BF106" s="50">
        <f t="shared" si="528"/>
        <v>124630</v>
      </c>
      <c r="BG106" s="50">
        <f t="shared" si="528"/>
        <v>382128.38573250006</v>
      </c>
      <c r="BH106" s="50">
        <f t="shared" si="528"/>
        <v>382128.38573250006</v>
      </c>
      <c r="BI106" s="50">
        <f t="shared" si="528"/>
        <v>382128.38573250006</v>
      </c>
      <c r="BJ106" s="50">
        <f t="shared" si="528"/>
        <v>382128.38573250006</v>
      </c>
      <c r="BK106" s="50">
        <f t="shared" si="528"/>
        <v>382128.38573250006</v>
      </c>
      <c r="BL106" s="50">
        <f t="shared" si="528"/>
        <v>382128.38573250006</v>
      </c>
      <c r="BM106" s="50">
        <f t="shared" si="528"/>
        <v>382128.38573250006</v>
      </c>
      <c r="BN106" s="50">
        <f t="shared" si="528"/>
        <v>382128.38573250006</v>
      </c>
      <c r="BO106" s="50">
        <f t="shared" si="528"/>
        <v>382128.38573250006</v>
      </c>
      <c r="BP106" s="50">
        <f t="shared" si="528"/>
        <v>257498.38573250003</v>
      </c>
      <c r="BQ106" s="50">
        <f t="shared" si="528"/>
        <v>0</v>
      </c>
      <c r="BR106" s="50">
        <f t="shared" si="528"/>
        <v>0</v>
      </c>
      <c r="BS106" s="50">
        <f t="shared" si="528"/>
        <v>0</v>
      </c>
      <c r="BT106" s="50">
        <f t="shared" si="528"/>
        <v>0</v>
      </c>
      <c r="BU106" s="50">
        <f t="shared" si="528"/>
        <v>0</v>
      </c>
      <c r="BV106" s="50">
        <f t="shared" si="528"/>
        <v>0</v>
      </c>
      <c r="BW106" s="50">
        <f t="shared" si="528"/>
        <v>0</v>
      </c>
      <c r="BX106" s="50">
        <f t="shared" si="528"/>
        <v>0</v>
      </c>
      <c r="BY106" s="50">
        <f t="shared" si="528"/>
        <v>0</v>
      </c>
      <c r="BZ106" s="50">
        <f t="shared" si="528"/>
        <v>0</v>
      </c>
      <c r="CA106" s="50">
        <f t="shared" si="528"/>
        <v>0</v>
      </c>
      <c r="CB106" s="50">
        <f t="shared" si="528"/>
        <v>0</v>
      </c>
      <c r="CC106" s="50">
        <f t="shared" si="528"/>
        <v>0</v>
      </c>
      <c r="CD106" s="50">
        <f t="shared" si="528"/>
        <v>0</v>
      </c>
      <c r="CE106" s="50">
        <f t="shared" si="528"/>
        <v>0</v>
      </c>
      <c r="CF106" s="50">
        <f t="shared" ref="CF106:EQ106" si="529">SUM(CF102:CF105)</f>
        <v>0</v>
      </c>
      <c r="CG106" s="50">
        <f t="shared" si="529"/>
        <v>0</v>
      </c>
      <c r="CH106" s="50">
        <f t="shared" si="529"/>
        <v>0</v>
      </c>
      <c r="CI106" s="50">
        <f t="shared" si="529"/>
        <v>0</v>
      </c>
      <c r="CJ106" s="50">
        <f t="shared" si="529"/>
        <v>0</v>
      </c>
      <c r="CK106" s="50">
        <f t="shared" si="529"/>
        <v>0</v>
      </c>
      <c r="CL106" s="50">
        <f t="shared" si="529"/>
        <v>0</v>
      </c>
      <c r="CM106" s="50">
        <f t="shared" si="529"/>
        <v>0</v>
      </c>
      <c r="CN106" s="50">
        <f t="shared" si="529"/>
        <v>0</v>
      </c>
      <c r="CO106" s="50">
        <f t="shared" si="529"/>
        <v>0</v>
      </c>
      <c r="CP106" s="50">
        <f t="shared" si="529"/>
        <v>0</v>
      </c>
      <c r="CQ106" s="50">
        <f t="shared" si="529"/>
        <v>0</v>
      </c>
      <c r="CR106" s="50">
        <f t="shared" si="529"/>
        <v>0</v>
      </c>
      <c r="CS106" s="50">
        <f t="shared" si="529"/>
        <v>0</v>
      </c>
      <c r="CT106" s="50">
        <f t="shared" si="529"/>
        <v>0</v>
      </c>
      <c r="CU106" s="50">
        <f t="shared" si="529"/>
        <v>0</v>
      </c>
      <c r="CV106" s="50">
        <f t="shared" si="529"/>
        <v>0</v>
      </c>
      <c r="CW106" s="50">
        <f t="shared" si="529"/>
        <v>0</v>
      </c>
      <c r="CX106" s="50">
        <f t="shared" si="529"/>
        <v>0</v>
      </c>
      <c r="CY106" s="50">
        <f t="shared" si="529"/>
        <v>0</v>
      </c>
      <c r="CZ106" s="50">
        <f t="shared" si="529"/>
        <v>0</v>
      </c>
      <c r="DA106" s="50">
        <f t="shared" si="529"/>
        <v>0</v>
      </c>
      <c r="DB106" s="50">
        <f t="shared" si="529"/>
        <v>0</v>
      </c>
      <c r="DC106" s="50">
        <f t="shared" si="529"/>
        <v>0</v>
      </c>
      <c r="DD106" s="50">
        <f t="shared" si="529"/>
        <v>0</v>
      </c>
      <c r="DE106" s="50">
        <f t="shared" si="529"/>
        <v>0</v>
      </c>
      <c r="DF106" s="50">
        <f t="shared" si="529"/>
        <v>0</v>
      </c>
      <c r="DG106" s="50">
        <f t="shared" si="529"/>
        <v>0</v>
      </c>
      <c r="DH106" s="50">
        <f t="shared" si="529"/>
        <v>0</v>
      </c>
      <c r="DI106" s="50">
        <f t="shared" si="529"/>
        <v>0</v>
      </c>
      <c r="DJ106" s="50">
        <f t="shared" si="529"/>
        <v>0</v>
      </c>
      <c r="DK106" s="50">
        <f t="shared" si="529"/>
        <v>0</v>
      </c>
      <c r="DL106" s="50">
        <f t="shared" si="529"/>
        <v>0</v>
      </c>
      <c r="DM106" s="50">
        <f t="shared" si="529"/>
        <v>0</v>
      </c>
      <c r="DN106" s="50">
        <f t="shared" si="529"/>
        <v>0</v>
      </c>
      <c r="DO106" s="50">
        <f t="shared" si="529"/>
        <v>0</v>
      </c>
      <c r="DP106" s="50">
        <f t="shared" si="529"/>
        <v>0</v>
      </c>
      <c r="DQ106" s="50">
        <f t="shared" si="529"/>
        <v>0</v>
      </c>
      <c r="DR106" s="50">
        <f t="shared" si="529"/>
        <v>0</v>
      </c>
      <c r="DS106" s="50">
        <f t="shared" si="529"/>
        <v>0</v>
      </c>
      <c r="DT106" s="50">
        <f t="shared" si="529"/>
        <v>0</v>
      </c>
      <c r="DU106" s="50">
        <f t="shared" si="529"/>
        <v>0</v>
      </c>
      <c r="DV106" s="50">
        <f t="shared" si="529"/>
        <v>0</v>
      </c>
      <c r="DW106" s="50">
        <f t="shared" si="529"/>
        <v>0</v>
      </c>
      <c r="DX106" s="50">
        <f t="shared" si="529"/>
        <v>0</v>
      </c>
      <c r="DY106" s="50">
        <f t="shared" si="529"/>
        <v>0</v>
      </c>
      <c r="DZ106" s="50">
        <f t="shared" si="529"/>
        <v>0</v>
      </c>
      <c r="EA106" s="50">
        <f t="shared" si="529"/>
        <v>0</v>
      </c>
      <c r="EB106" s="50">
        <f t="shared" si="529"/>
        <v>0</v>
      </c>
      <c r="EC106" s="50">
        <f t="shared" si="529"/>
        <v>0</v>
      </c>
      <c r="ED106" s="50">
        <f t="shared" si="529"/>
        <v>0</v>
      </c>
      <c r="EE106" s="50">
        <f t="shared" si="529"/>
        <v>0</v>
      </c>
      <c r="EF106" s="50">
        <f t="shared" si="529"/>
        <v>0</v>
      </c>
      <c r="EG106" s="50">
        <f t="shared" si="529"/>
        <v>0</v>
      </c>
      <c r="EH106" s="50">
        <f t="shared" si="529"/>
        <v>0</v>
      </c>
      <c r="EI106" s="50">
        <f t="shared" si="529"/>
        <v>0</v>
      </c>
      <c r="EJ106" s="50">
        <f t="shared" si="529"/>
        <v>0</v>
      </c>
      <c r="EK106" s="50">
        <f t="shared" si="529"/>
        <v>0</v>
      </c>
      <c r="EL106" s="50">
        <f t="shared" si="529"/>
        <v>0</v>
      </c>
      <c r="EM106" s="50">
        <f t="shared" si="529"/>
        <v>0</v>
      </c>
      <c r="EN106" s="50">
        <f t="shared" si="529"/>
        <v>0</v>
      </c>
      <c r="EO106" s="50">
        <f t="shared" si="529"/>
        <v>0</v>
      </c>
      <c r="EP106" s="50">
        <f t="shared" si="529"/>
        <v>0</v>
      </c>
      <c r="EQ106" s="50">
        <f t="shared" si="529"/>
        <v>0</v>
      </c>
      <c r="ER106" s="50">
        <f t="shared" ref="ER106:GQ106" si="530">SUM(ER102:ER105)</f>
        <v>0</v>
      </c>
      <c r="ES106" s="50">
        <f t="shared" si="530"/>
        <v>0</v>
      </c>
      <c r="ET106" s="50">
        <f t="shared" si="530"/>
        <v>0</v>
      </c>
      <c r="EU106" s="50">
        <f t="shared" si="530"/>
        <v>0</v>
      </c>
      <c r="EV106" s="50">
        <f t="shared" si="530"/>
        <v>0</v>
      </c>
      <c r="EW106" s="50">
        <f t="shared" si="530"/>
        <v>0</v>
      </c>
      <c r="EX106" s="50">
        <f t="shared" si="530"/>
        <v>0</v>
      </c>
      <c r="EY106" s="50">
        <f t="shared" si="530"/>
        <v>0</v>
      </c>
      <c r="EZ106" s="50">
        <f t="shared" si="530"/>
        <v>0</v>
      </c>
      <c r="FA106" s="50">
        <f t="shared" si="530"/>
        <v>0</v>
      </c>
      <c r="FB106" s="50">
        <f t="shared" si="530"/>
        <v>0</v>
      </c>
      <c r="FC106" s="50">
        <f t="shared" si="530"/>
        <v>0</v>
      </c>
      <c r="FD106" s="50">
        <f t="shared" si="530"/>
        <v>0</v>
      </c>
      <c r="FE106" s="50">
        <f t="shared" si="530"/>
        <v>0</v>
      </c>
      <c r="FF106" s="50">
        <f t="shared" si="530"/>
        <v>0</v>
      </c>
      <c r="FG106" s="50">
        <f t="shared" si="530"/>
        <v>0</v>
      </c>
      <c r="FH106" s="50">
        <f t="shared" si="530"/>
        <v>0</v>
      </c>
      <c r="FI106" s="50">
        <f t="shared" si="530"/>
        <v>0</v>
      </c>
      <c r="FJ106" s="50">
        <f t="shared" si="530"/>
        <v>0</v>
      </c>
      <c r="FK106" s="50">
        <f t="shared" si="530"/>
        <v>0</v>
      </c>
      <c r="FL106" s="50">
        <f t="shared" si="530"/>
        <v>0</v>
      </c>
      <c r="FM106" s="50">
        <f t="shared" si="530"/>
        <v>0</v>
      </c>
      <c r="FN106" s="50">
        <f t="shared" si="530"/>
        <v>0</v>
      </c>
      <c r="FO106" s="50">
        <f t="shared" si="530"/>
        <v>0</v>
      </c>
      <c r="FP106" s="50">
        <f t="shared" si="530"/>
        <v>0</v>
      </c>
      <c r="FQ106" s="50">
        <f t="shared" si="530"/>
        <v>0</v>
      </c>
      <c r="FR106" s="50">
        <f t="shared" si="530"/>
        <v>0</v>
      </c>
      <c r="FS106" s="50">
        <f t="shared" si="530"/>
        <v>0</v>
      </c>
      <c r="FT106" s="50">
        <f t="shared" si="530"/>
        <v>0</v>
      </c>
      <c r="FU106" s="50">
        <f t="shared" si="530"/>
        <v>0</v>
      </c>
      <c r="FV106" s="50">
        <f t="shared" si="530"/>
        <v>0</v>
      </c>
      <c r="FW106" s="50">
        <f t="shared" si="530"/>
        <v>0</v>
      </c>
      <c r="FX106" s="50">
        <f t="shared" si="530"/>
        <v>0</v>
      </c>
      <c r="FY106" s="50">
        <f t="shared" si="530"/>
        <v>0</v>
      </c>
      <c r="FZ106" s="50">
        <f t="shared" si="530"/>
        <v>0</v>
      </c>
      <c r="GA106" s="50">
        <f t="shared" si="530"/>
        <v>0</v>
      </c>
      <c r="GB106" s="50">
        <f t="shared" si="530"/>
        <v>0</v>
      </c>
      <c r="GC106" s="50">
        <f t="shared" si="530"/>
        <v>0</v>
      </c>
      <c r="GD106" s="50">
        <f t="shared" si="530"/>
        <v>0</v>
      </c>
      <c r="GE106" s="50">
        <f t="shared" si="530"/>
        <v>0</v>
      </c>
      <c r="GF106" s="50">
        <f t="shared" si="530"/>
        <v>0</v>
      </c>
      <c r="GG106" s="50">
        <f t="shared" si="530"/>
        <v>0</v>
      </c>
      <c r="GH106" s="50">
        <f t="shared" si="530"/>
        <v>0</v>
      </c>
      <c r="GI106" s="50">
        <f t="shared" si="530"/>
        <v>0</v>
      </c>
      <c r="GJ106" s="50">
        <f t="shared" si="530"/>
        <v>0</v>
      </c>
      <c r="GK106" s="50">
        <f t="shared" si="530"/>
        <v>0</v>
      </c>
      <c r="GL106" s="50">
        <f t="shared" si="530"/>
        <v>0</v>
      </c>
      <c r="GM106" s="50">
        <f t="shared" si="530"/>
        <v>0</v>
      </c>
      <c r="GN106" s="50">
        <f t="shared" si="530"/>
        <v>0</v>
      </c>
      <c r="GO106" s="50">
        <f t="shared" si="530"/>
        <v>0</v>
      </c>
      <c r="GP106" s="50">
        <f t="shared" si="530"/>
        <v>0</v>
      </c>
      <c r="GQ106" s="50">
        <f t="shared" si="530"/>
        <v>0</v>
      </c>
      <c r="GS106" s="80" t="s">
        <v>295</v>
      </c>
      <c r="GT106" s="77"/>
      <c r="GU106" s="77"/>
      <c r="GV106" s="77"/>
      <c r="GW106" s="77"/>
      <c r="GX106" s="77"/>
      <c r="GY106" s="77"/>
      <c r="GZ106" s="77">
        <f t="shared" ref="GZ106:IE106" si="531">GZ105*((1+$H$112)^(1/12)-1)</f>
        <v>0</v>
      </c>
      <c r="HA106" s="77">
        <f t="shared" si="531"/>
        <v>11990.95979060549</v>
      </c>
      <c r="HB106" s="77">
        <f t="shared" si="531"/>
        <v>12086.577387853116</v>
      </c>
      <c r="HC106" s="77">
        <f t="shared" si="531"/>
        <v>12182.957453248669</v>
      </c>
      <c r="HD106" s="77">
        <f t="shared" si="531"/>
        <v>12280.106066820234</v>
      </c>
      <c r="HE106" s="77">
        <f t="shared" si="531"/>
        <v>12378.029357078891</v>
      </c>
      <c r="HF106" s="77">
        <f t="shared" si="531"/>
        <v>12476.733501405331</v>
      </c>
      <c r="HG106" s="77">
        <f t="shared" si="531"/>
        <v>12576.224726439545</v>
      </c>
      <c r="HH106" s="77">
        <f t="shared" si="531"/>
        <v>12676.509308473625</v>
      </c>
      <c r="HI106" s="77">
        <f t="shared" si="531"/>
        <v>12777.5935738477</v>
      </c>
      <c r="HJ106" s="77">
        <f t="shared" si="531"/>
        <v>12879.483899349019</v>
      </c>
      <c r="HK106" s="77">
        <f t="shared" si="531"/>
        <v>12982.186712614235</v>
      </c>
      <c r="HL106" s="77">
        <f t="shared" si="531"/>
        <v>11950.288035894113</v>
      </c>
      <c r="HM106" s="77">
        <f t="shared" si="531"/>
        <v>12045.581310858181</v>
      </c>
      <c r="HN106" s="77">
        <f t="shared" si="531"/>
        <v>12141.634467778744</v>
      </c>
      <c r="HO106" s="77">
        <f t="shared" si="531"/>
        <v>12238.453566061229</v>
      </c>
      <c r="HP106" s="77">
        <f t="shared" si="531"/>
        <v>12336.044713429621</v>
      </c>
      <c r="HQ106" s="77">
        <f t="shared" si="531"/>
        <v>12434.414066311743</v>
      </c>
      <c r="HR106" s="77">
        <f t="shared" si="531"/>
        <v>12533.56783022765</v>
      </c>
      <c r="HS106" s="77">
        <f t="shared" si="531"/>
        <v>12633.512260181074</v>
      </c>
      <c r="HT106" s="77">
        <f t="shared" si="531"/>
        <v>12734.253661054036</v>
      </c>
      <c r="HU106" s="77">
        <f t="shared" si="531"/>
        <v>12835.798388004563</v>
      </c>
      <c r="HV106" s="77">
        <f t="shared" si="531"/>
        <v>12938.152846867608</v>
      </c>
      <c r="HW106" s="77">
        <f t="shared" si="531"/>
        <v>13041.32349455915</v>
      </c>
      <c r="HX106" s="77">
        <f t="shared" si="531"/>
        <v>13145.316839483528</v>
      </c>
      <c r="HY106" s="77">
        <f t="shared" si="531"/>
        <v>13250.139441944004</v>
      </c>
      <c r="HZ106" s="77">
        <f t="shared" si="531"/>
        <v>13355.797914556621</v>
      </c>
      <c r="IA106" s="77">
        <f t="shared" si="531"/>
        <v>12071.385658702091</v>
      </c>
      <c r="IB106" s="77">
        <f t="shared" si="531"/>
        <v>12167.644583116036</v>
      </c>
      <c r="IC106" s="77">
        <f t="shared" si="531"/>
        <v>12264.671089710795</v>
      </c>
      <c r="ID106" s="77">
        <f t="shared" si="531"/>
        <v>12362.471299294466</v>
      </c>
      <c r="IE106" s="77">
        <f t="shared" si="531"/>
        <v>12405.612450772991</v>
      </c>
      <c r="IF106" s="77">
        <f t="shared" ref="IF106:JK106" si="532">IF105*((1+$H$112)^(1/12)-1)</f>
        <v>11839.227424168896</v>
      </c>
      <c r="IG106" s="77">
        <f t="shared" si="532"/>
        <v>11268.32596382583</v>
      </c>
      <c r="IH106" s="77">
        <f t="shared" si="532"/>
        <v>10692.872055066924</v>
      </c>
      <c r="II106" s="77">
        <f t="shared" si="532"/>
        <v>10112.829396029212</v>
      </c>
      <c r="IJ106" s="77">
        <f t="shared" si="532"/>
        <v>9528.1613953735778</v>
      </c>
      <c r="IK106" s="77">
        <f t="shared" si="532"/>
        <v>8886.9536906718185</v>
      </c>
      <c r="IL106" s="77">
        <f t="shared" si="532"/>
        <v>8240.6329056886716</v>
      </c>
      <c r="IM106" s="77">
        <f t="shared" si="532"/>
        <v>7411.9094602128298</v>
      </c>
      <c r="IN106" s="77">
        <f t="shared" si="532"/>
        <v>4728.5821983637525</v>
      </c>
      <c r="IO106" s="77">
        <f t="shared" si="532"/>
        <v>2023.857708111984</v>
      </c>
      <c r="IP106" s="77">
        <f t="shared" si="532"/>
        <v>0</v>
      </c>
      <c r="IQ106" s="77">
        <f t="shared" si="532"/>
        <v>0</v>
      </c>
      <c r="IR106" s="77">
        <f t="shared" si="532"/>
        <v>0</v>
      </c>
      <c r="IS106" s="77">
        <f t="shared" si="532"/>
        <v>0</v>
      </c>
      <c r="IT106" s="77">
        <f t="shared" si="532"/>
        <v>0</v>
      </c>
      <c r="IU106" s="77">
        <f t="shared" si="532"/>
        <v>0</v>
      </c>
      <c r="IV106" s="77">
        <f t="shared" si="532"/>
        <v>0</v>
      </c>
      <c r="IW106" s="77">
        <f t="shared" si="532"/>
        <v>0</v>
      </c>
      <c r="IX106" s="77">
        <f t="shared" si="532"/>
        <v>0</v>
      </c>
      <c r="IY106" s="77">
        <f t="shared" si="532"/>
        <v>0</v>
      </c>
      <c r="IZ106" s="77">
        <f t="shared" si="532"/>
        <v>0</v>
      </c>
      <c r="JA106" s="77">
        <f t="shared" si="532"/>
        <v>0</v>
      </c>
      <c r="JB106" s="77">
        <f t="shared" si="532"/>
        <v>0</v>
      </c>
      <c r="JC106" s="77">
        <f t="shared" si="532"/>
        <v>0</v>
      </c>
      <c r="JD106" s="77">
        <f t="shared" si="532"/>
        <v>0</v>
      </c>
      <c r="JE106" s="77">
        <f t="shared" si="532"/>
        <v>0</v>
      </c>
      <c r="JF106" s="77">
        <f t="shared" si="532"/>
        <v>0</v>
      </c>
      <c r="JG106" s="77">
        <f t="shared" si="532"/>
        <v>0</v>
      </c>
      <c r="JH106" s="77">
        <f t="shared" si="532"/>
        <v>0</v>
      </c>
      <c r="JI106" s="77">
        <f t="shared" si="532"/>
        <v>0</v>
      </c>
      <c r="JJ106" s="77">
        <f t="shared" si="532"/>
        <v>0</v>
      </c>
      <c r="JK106" s="77">
        <f t="shared" si="532"/>
        <v>0</v>
      </c>
      <c r="JL106" s="77">
        <f t="shared" ref="JL106:KQ106" si="533">JL105*((1+$H$112)^(1/12)-1)</f>
        <v>0</v>
      </c>
      <c r="JM106" s="77">
        <f t="shared" si="533"/>
        <v>0</v>
      </c>
      <c r="JN106" s="77">
        <f t="shared" si="533"/>
        <v>0</v>
      </c>
      <c r="JO106" s="77">
        <f t="shared" si="533"/>
        <v>0</v>
      </c>
      <c r="JP106" s="77">
        <f t="shared" si="533"/>
        <v>0</v>
      </c>
      <c r="JQ106" s="77">
        <f t="shared" si="533"/>
        <v>0</v>
      </c>
      <c r="JR106" s="77">
        <f t="shared" si="533"/>
        <v>0</v>
      </c>
      <c r="JS106" s="77">
        <f t="shared" si="533"/>
        <v>0</v>
      </c>
      <c r="JT106" s="77">
        <f t="shared" si="533"/>
        <v>0</v>
      </c>
      <c r="JU106" s="77">
        <f t="shared" si="533"/>
        <v>0</v>
      </c>
      <c r="JV106" s="77">
        <f t="shared" si="533"/>
        <v>0</v>
      </c>
      <c r="JW106" s="77">
        <f t="shared" si="533"/>
        <v>0</v>
      </c>
      <c r="JX106" s="77">
        <f t="shared" si="533"/>
        <v>0</v>
      </c>
      <c r="JY106" s="77">
        <f t="shared" si="533"/>
        <v>0</v>
      </c>
      <c r="JZ106" s="77">
        <f t="shared" si="533"/>
        <v>0</v>
      </c>
      <c r="KA106" s="77">
        <f t="shared" si="533"/>
        <v>0</v>
      </c>
      <c r="KB106" s="77">
        <f t="shared" si="533"/>
        <v>0</v>
      </c>
      <c r="KC106" s="77">
        <f t="shared" si="533"/>
        <v>0</v>
      </c>
      <c r="KD106" s="77">
        <f t="shared" si="533"/>
        <v>0</v>
      </c>
      <c r="KE106" s="77">
        <f t="shared" si="533"/>
        <v>0</v>
      </c>
      <c r="KF106" s="77">
        <f t="shared" si="533"/>
        <v>0</v>
      </c>
      <c r="KG106" s="77">
        <f t="shared" si="533"/>
        <v>0</v>
      </c>
      <c r="KH106" s="77">
        <f t="shared" si="533"/>
        <v>0</v>
      </c>
      <c r="KI106" s="77">
        <f t="shared" si="533"/>
        <v>0</v>
      </c>
      <c r="KJ106" s="77">
        <f t="shared" si="533"/>
        <v>0</v>
      </c>
      <c r="KK106" s="77">
        <f t="shared" si="533"/>
        <v>0</v>
      </c>
      <c r="KL106" s="77">
        <f t="shared" si="533"/>
        <v>0</v>
      </c>
      <c r="KM106" s="77">
        <f t="shared" si="533"/>
        <v>0</v>
      </c>
      <c r="KN106" s="77">
        <f t="shared" si="533"/>
        <v>0</v>
      </c>
      <c r="KO106" s="77">
        <f t="shared" si="533"/>
        <v>0</v>
      </c>
      <c r="KP106" s="77">
        <f t="shared" si="533"/>
        <v>0</v>
      </c>
      <c r="KQ106" s="77">
        <f t="shared" si="533"/>
        <v>0</v>
      </c>
      <c r="KR106" s="77">
        <f t="shared" ref="KR106:LW106" si="534">KR105*((1+$H$112)^(1/12)-1)</f>
        <v>0</v>
      </c>
      <c r="KS106" s="77">
        <f t="shared" si="534"/>
        <v>0</v>
      </c>
      <c r="KT106" s="77">
        <f t="shared" si="534"/>
        <v>0</v>
      </c>
      <c r="KU106" s="77">
        <f t="shared" si="534"/>
        <v>0</v>
      </c>
      <c r="KV106" s="77">
        <f t="shared" si="534"/>
        <v>0</v>
      </c>
      <c r="KW106" s="77">
        <f t="shared" si="534"/>
        <v>0</v>
      </c>
      <c r="KX106" s="77">
        <f t="shared" si="534"/>
        <v>0</v>
      </c>
      <c r="KY106" s="77">
        <f t="shared" si="534"/>
        <v>0</v>
      </c>
      <c r="KZ106" s="77">
        <f t="shared" si="534"/>
        <v>0</v>
      </c>
      <c r="LA106" s="77">
        <f t="shared" si="534"/>
        <v>0</v>
      </c>
      <c r="LB106" s="77">
        <f t="shared" si="534"/>
        <v>0</v>
      </c>
      <c r="LC106" s="77">
        <f t="shared" si="534"/>
        <v>0</v>
      </c>
      <c r="LD106" s="77">
        <f t="shared" si="534"/>
        <v>0</v>
      </c>
      <c r="LE106" s="77">
        <f t="shared" si="534"/>
        <v>0</v>
      </c>
      <c r="LF106" s="77">
        <f t="shared" si="534"/>
        <v>0</v>
      </c>
      <c r="LG106" s="77">
        <f t="shared" si="534"/>
        <v>0</v>
      </c>
      <c r="LH106" s="77">
        <f t="shared" si="534"/>
        <v>0</v>
      </c>
      <c r="LI106" s="77">
        <f t="shared" si="534"/>
        <v>0</v>
      </c>
      <c r="LJ106" s="77">
        <f t="shared" si="534"/>
        <v>0</v>
      </c>
      <c r="LK106" s="77">
        <f t="shared" si="534"/>
        <v>0</v>
      </c>
      <c r="LL106" s="77">
        <f t="shared" si="534"/>
        <v>0</v>
      </c>
      <c r="LM106" s="77">
        <f t="shared" si="534"/>
        <v>0</v>
      </c>
      <c r="LN106" s="77">
        <f t="shared" si="534"/>
        <v>0</v>
      </c>
      <c r="LO106" s="77">
        <f t="shared" si="534"/>
        <v>0</v>
      </c>
      <c r="LP106" s="77">
        <f t="shared" si="534"/>
        <v>0</v>
      </c>
      <c r="LQ106" s="77">
        <f t="shared" si="534"/>
        <v>0</v>
      </c>
      <c r="LR106" s="77">
        <f t="shared" si="534"/>
        <v>0</v>
      </c>
      <c r="LS106" s="77">
        <f t="shared" si="534"/>
        <v>0</v>
      </c>
      <c r="LT106" s="77">
        <f t="shared" si="534"/>
        <v>0</v>
      </c>
      <c r="LU106" s="77">
        <f t="shared" si="534"/>
        <v>0</v>
      </c>
      <c r="LV106" s="77">
        <f t="shared" si="534"/>
        <v>0</v>
      </c>
      <c r="LW106" s="77">
        <f t="shared" si="534"/>
        <v>0</v>
      </c>
      <c r="LX106" s="77">
        <f t="shared" ref="LX106:NC106" si="535">LX105*((1+$H$112)^(1/12)-1)</f>
        <v>0</v>
      </c>
      <c r="LY106" s="77">
        <f t="shared" si="535"/>
        <v>0</v>
      </c>
      <c r="LZ106" s="77">
        <f t="shared" si="535"/>
        <v>0</v>
      </c>
      <c r="MA106" s="77">
        <f t="shared" si="535"/>
        <v>0</v>
      </c>
      <c r="MB106" s="77">
        <f t="shared" si="535"/>
        <v>0</v>
      </c>
      <c r="MC106" s="77">
        <f t="shared" si="535"/>
        <v>0</v>
      </c>
      <c r="MD106" s="77">
        <f t="shared" si="535"/>
        <v>0</v>
      </c>
      <c r="ME106" s="77">
        <f t="shared" si="535"/>
        <v>0</v>
      </c>
      <c r="MF106" s="77">
        <f t="shared" si="535"/>
        <v>0</v>
      </c>
      <c r="MG106" s="77">
        <f t="shared" si="535"/>
        <v>0</v>
      </c>
      <c r="MH106" s="77">
        <f t="shared" si="535"/>
        <v>0</v>
      </c>
      <c r="MI106" s="77">
        <f t="shared" si="535"/>
        <v>0</v>
      </c>
      <c r="MJ106" s="77">
        <f t="shared" si="535"/>
        <v>0</v>
      </c>
      <c r="MK106" s="77">
        <f t="shared" si="535"/>
        <v>0</v>
      </c>
      <c r="ML106" s="77">
        <f t="shared" si="535"/>
        <v>0</v>
      </c>
      <c r="MM106" s="77">
        <f t="shared" si="535"/>
        <v>0</v>
      </c>
      <c r="MN106" s="77">
        <f t="shared" si="535"/>
        <v>0</v>
      </c>
      <c r="MO106" s="77">
        <f t="shared" si="535"/>
        <v>0</v>
      </c>
      <c r="MP106" s="77">
        <f t="shared" si="535"/>
        <v>0</v>
      </c>
      <c r="MQ106" s="77">
        <f t="shared" si="535"/>
        <v>0</v>
      </c>
      <c r="MR106" s="77">
        <f t="shared" si="535"/>
        <v>0</v>
      </c>
      <c r="MS106" s="77">
        <f t="shared" si="535"/>
        <v>0</v>
      </c>
      <c r="MT106" s="77">
        <f t="shared" si="535"/>
        <v>0</v>
      </c>
      <c r="MU106" s="77">
        <f t="shared" si="535"/>
        <v>0</v>
      </c>
      <c r="MV106" s="77">
        <f t="shared" si="535"/>
        <v>0</v>
      </c>
      <c r="MW106" s="77">
        <f t="shared" si="535"/>
        <v>0</v>
      </c>
      <c r="MX106" s="77">
        <f t="shared" si="535"/>
        <v>0</v>
      </c>
      <c r="MY106" s="77">
        <f t="shared" si="535"/>
        <v>0</v>
      </c>
      <c r="MZ106" s="77">
        <f t="shared" si="535"/>
        <v>0</v>
      </c>
      <c r="NA106" s="77">
        <f t="shared" si="535"/>
        <v>0</v>
      </c>
      <c r="NB106" s="77">
        <f t="shared" si="535"/>
        <v>0</v>
      </c>
      <c r="NC106" s="77">
        <f t="shared" si="535"/>
        <v>0</v>
      </c>
      <c r="ND106" s="77">
        <f t="shared" ref="ND106:NW106" si="536">ND105*((1+$H$112)^(1/12)-1)</f>
        <v>0</v>
      </c>
      <c r="NE106" s="77">
        <f t="shared" si="536"/>
        <v>0</v>
      </c>
      <c r="NF106" s="77">
        <f t="shared" si="536"/>
        <v>0</v>
      </c>
      <c r="NG106" s="77">
        <f t="shared" si="536"/>
        <v>0</v>
      </c>
      <c r="NH106" s="77">
        <f t="shared" si="536"/>
        <v>0</v>
      </c>
      <c r="NI106" s="77">
        <f t="shared" si="536"/>
        <v>0</v>
      </c>
      <c r="NJ106" s="77">
        <f t="shared" si="536"/>
        <v>0</v>
      </c>
      <c r="NK106" s="77">
        <f t="shared" si="536"/>
        <v>0</v>
      </c>
      <c r="NL106" s="77">
        <f t="shared" si="536"/>
        <v>0</v>
      </c>
      <c r="NM106" s="77">
        <f t="shared" si="536"/>
        <v>0</v>
      </c>
      <c r="NN106" s="77">
        <f t="shared" si="536"/>
        <v>0</v>
      </c>
      <c r="NO106" s="77">
        <f t="shared" si="536"/>
        <v>0</v>
      </c>
      <c r="NP106" s="77">
        <f t="shared" si="536"/>
        <v>0</v>
      </c>
      <c r="NQ106" s="77">
        <f t="shared" si="536"/>
        <v>0</v>
      </c>
      <c r="NR106" s="77">
        <f t="shared" si="536"/>
        <v>0</v>
      </c>
      <c r="NS106" s="77">
        <f t="shared" si="536"/>
        <v>0</v>
      </c>
      <c r="NT106" s="77">
        <f t="shared" si="536"/>
        <v>0</v>
      </c>
      <c r="NU106" s="77">
        <f t="shared" si="536"/>
        <v>0</v>
      </c>
      <c r="NV106" s="77">
        <f t="shared" si="536"/>
        <v>0</v>
      </c>
      <c r="NW106" s="77">
        <f t="shared" si="536"/>
        <v>0</v>
      </c>
    </row>
    <row r="107" spans="2:387" x14ac:dyDescent="0.3">
      <c r="B107" s="18"/>
      <c r="C107" s="19"/>
      <c r="D107" s="19"/>
      <c r="E107" s="19"/>
      <c r="F107" s="19"/>
      <c r="G107" s="19"/>
      <c r="H107" s="19"/>
      <c r="I107" s="19"/>
      <c r="J107" s="23"/>
      <c r="K107" s="29"/>
      <c r="L107" s="23"/>
      <c r="GS107" s="80" t="s">
        <v>296</v>
      </c>
      <c r="GT107" s="77"/>
      <c r="GU107" s="77"/>
      <c r="GV107" s="77"/>
      <c r="GW107" s="77"/>
      <c r="GX107" s="77">
        <f>SUM(GZ107:NW107)</f>
        <v>1503730.7027027027</v>
      </c>
      <c r="GY107" s="77"/>
      <c r="GZ107" s="77">
        <f>T112</f>
        <v>1503730.7027027027</v>
      </c>
      <c r="HA107" s="77">
        <f t="shared" ref="HA107:JL107" si="537">U112</f>
        <v>0</v>
      </c>
      <c r="HB107" s="77">
        <f t="shared" si="537"/>
        <v>0</v>
      </c>
      <c r="HC107" s="77">
        <f t="shared" si="537"/>
        <v>0</v>
      </c>
      <c r="HD107" s="77">
        <f t="shared" si="537"/>
        <v>0</v>
      </c>
      <c r="HE107" s="77">
        <f t="shared" si="537"/>
        <v>0</v>
      </c>
      <c r="HF107" s="77">
        <f t="shared" si="537"/>
        <v>0</v>
      </c>
      <c r="HG107" s="77">
        <f t="shared" si="537"/>
        <v>0</v>
      </c>
      <c r="HH107" s="77">
        <f t="shared" si="537"/>
        <v>0</v>
      </c>
      <c r="HI107" s="77">
        <f t="shared" si="537"/>
        <v>0</v>
      </c>
      <c r="HJ107" s="77">
        <f t="shared" si="537"/>
        <v>0</v>
      </c>
      <c r="HK107" s="77">
        <f t="shared" si="537"/>
        <v>0</v>
      </c>
      <c r="HL107" s="77">
        <f t="shared" si="537"/>
        <v>0</v>
      </c>
      <c r="HM107" s="77">
        <f t="shared" si="537"/>
        <v>0</v>
      </c>
      <c r="HN107" s="77">
        <f t="shared" si="537"/>
        <v>0</v>
      </c>
      <c r="HO107" s="77">
        <f t="shared" si="537"/>
        <v>0</v>
      </c>
      <c r="HP107" s="77">
        <f t="shared" si="537"/>
        <v>0</v>
      </c>
      <c r="HQ107" s="77">
        <f t="shared" si="537"/>
        <v>0</v>
      </c>
      <c r="HR107" s="77">
        <f t="shared" si="537"/>
        <v>0</v>
      </c>
      <c r="HS107" s="77">
        <f t="shared" si="537"/>
        <v>0</v>
      </c>
      <c r="HT107" s="77">
        <f t="shared" si="537"/>
        <v>0</v>
      </c>
      <c r="HU107" s="77">
        <f t="shared" si="537"/>
        <v>0</v>
      </c>
      <c r="HV107" s="77">
        <f t="shared" si="537"/>
        <v>0</v>
      </c>
      <c r="HW107" s="77">
        <f t="shared" si="537"/>
        <v>0</v>
      </c>
      <c r="HX107" s="77">
        <f t="shared" si="537"/>
        <v>0</v>
      </c>
      <c r="HY107" s="77">
        <f t="shared" si="537"/>
        <v>0</v>
      </c>
      <c r="HZ107" s="77">
        <f t="shared" si="537"/>
        <v>0</v>
      </c>
      <c r="IA107" s="77">
        <f t="shared" si="537"/>
        <v>0</v>
      </c>
      <c r="IB107" s="77">
        <f t="shared" si="537"/>
        <v>0</v>
      </c>
      <c r="IC107" s="77">
        <f t="shared" si="537"/>
        <v>0</v>
      </c>
      <c r="ID107" s="77">
        <f t="shared" si="537"/>
        <v>0</v>
      </c>
      <c r="IE107" s="77">
        <f t="shared" si="537"/>
        <v>0</v>
      </c>
      <c r="IF107" s="77">
        <f t="shared" si="537"/>
        <v>0</v>
      </c>
      <c r="IG107" s="77">
        <f t="shared" si="537"/>
        <v>0</v>
      </c>
      <c r="IH107" s="77">
        <f t="shared" si="537"/>
        <v>0</v>
      </c>
      <c r="II107" s="77">
        <f t="shared" si="537"/>
        <v>0</v>
      </c>
      <c r="IJ107" s="77">
        <f t="shared" si="537"/>
        <v>0</v>
      </c>
      <c r="IK107" s="77">
        <f t="shared" si="537"/>
        <v>0</v>
      </c>
      <c r="IL107" s="77">
        <f t="shared" si="537"/>
        <v>0</v>
      </c>
      <c r="IM107" s="77">
        <f t="shared" si="537"/>
        <v>0</v>
      </c>
      <c r="IN107" s="77">
        <f t="shared" si="537"/>
        <v>0</v>
      </c>
      <c r="IO107" s="77">
        <f t="shared" si="537"/>
        <v>0</v>
      </c>
      <c r="IP107" s="77">
        <f t="shared" si="537"/>
        <v>0</v>
      </c>
      <c r="IQ107" s="77">
        <f t="shared" si="537"/>
        <v>0</v>
      </c>
      <c r="IR107" s="77">
        <f t="shared" si="537"/>
        <v>0</v>
      </c>
      <c r="IS107" s="77">
        <f t="shared" si="537"/>
        <v>0</v>
      </c>
      <c r="IT107" s="77">
        <f t="shared" si="537"/>
        <v>0</v>
      </c>
      <c r="IU107" s="77">
        <f t="shared" si="537"/>
        <v>0</v>
      </c>
      <c r="IV107" s="77">
        <f t="shared" si="537"/>
        <v>0</v>
      </c>
      <c r="IW107" s="77">
        <f t="shared" si="537"/>
        <v>0</v>
      </c>
      <c r="IX107" s="77">
        <f t="shared" si="537"/>
        <v>0</v>
      </c>
      <c r="IY107" s="77">
        <f t="shared" si="537"/>
        <v>0</v>
      </c>
      <c r="IZ107" s="77">
        <f t="shared" si="537"/>
        <v>0</v>
      </c>
      <c r="JA107" s="77">
        <f t="shared" si="537"/>
        <v>0</v>
      </c>
      <c r="JB107" s="77">
        <f t="shared" si="537"/>
        <v>0</v>
      </c>
      <c r="JC107" s="77">
        <f t="shared" si="537"/>
        <v>0</v>
      </c>
      <c r="JD107" s="77">
        <f t="shared" si="537"/>
        <v>0</v>
      </c>
      <c r="JE107" s="77">
        <f t="shared" si="537"/>
        <v>0</v>
      </c>
      <c r="JF107" s="77">
        <f t="shared" si="537"/>
        <v>0</v>
      </c>
      <c r="JG107" s="77">
        <f t="shared" si="537"/>
        <v>0</v>
      </c>
      <c r="JH107" s="77">
        <f t="shared" si="537"/>
        <v>0</v>
      </c>
      <c r="JI107" s="77">
        <f t="shared" si="537"/>
        <v>0</v>
      </c>
      <c r="JJ107" s="77">
        <f t="shared" si="537"/>
        <v>0</v>
      </c>
      <c r="JK107" s="77">
        <f t="shared" si="537"/>
        <v>0</v>
      </c>
      <c r="JL107" s="77">
        <f t="shared" si="537"/>
        <v>0</v>
      </c>
      <c r="JM107" s="77">
        <f t="shared" ref="JM107:LX107" si="538">CG112</f>
        <v>0</v>
      </c>
      <c r="JN107" s="77">
        <f t="shared" si="538"/>
        <v>0</v>
      </c>
      <c r="JO107" s="77">
        <f t="shared" si="538"/>
        <v>0</v>
      </c>
      <c r="JP107" s="77">
        <f t="shared" si="538"/>
        <v>0</v>
      </c>
      <c r="JQ107" s="77">
        <f t="shared" si="538"/>
        <v>0</v>
      </c>
      <c r="JR107" s="77">
        <f t="shared" si="538"/>
        <v>0</v>
      </c>
      <c r="JS107" s="77">
        <f t="shared" si="538"/>
        <v>0</v>
      </c>
      <c r="JT107" s="77">
        <f t="shared" si="538"/>
        <v>0</v>
      </c>
      <c r="JU107" s="77">
        <f t="shared" si="538"/>
        <v>0</v>
      </c>
      <c r="JV107" s="77">
        <f t="shared" si="538"/>
        <v>0</v>
      </c>
      <c r="JW107" s="77">
        <f t="shared" si="538"/>
        <v>0</v>
      </c>
      <c r="JX107" s="77">
        <f t="shared" si="538"/>
        <v>0</v>
      </c>
      <c r="JY107" s="77">
        <f t="shared" si="538"/>
        <v>0</v>
      </c>
      <c r="JZ107" s="77">
        <f t="shared" si="538"/>
        <v>0</v>
      </c>
      <c r="KA107" s="77">
        <f t="shared" si="538"/>
        <v>0</v>
      </c>
      <c r="KB107" s="77">
        <f t="shared" si="538"/>
        <v>0</v>
      </c>
      <c r="KC107" s="77">
        <f t="shared" si="538"/>
        <v>0</v>
      </c>
      <c r="KD107" s="77">
        <f t="shared" si="538"/>
        <v>0</v>
      </c>
      <c r="KE107" s="77">
        <f t="shared" si="538"/>
        <v>0</v>
      </c>
      <c r="KF107" s="77">
        <f t="shared" si="538"/>
        <v>0</v>
      </c>
      <c r="KG107" s="77">
        <f t="shared" si="538"/>
        <v>0</v>
      </c>
      <c r="KH107" s="77">
        <f t="shared" si="538"/>
        <v>0</v>
      </c>
      <c r="KI107" s="77">
        <f t="shared" si="538"/>
        <v>0</v>
      </c>
      <c r="KJ107" s="77">
        <f t="shared" si="538"/>
        <v>0</v>
      </c>
      <c r="KK107" s="77">
        <f t="shared" si="538"/>
        <v>0</v>
      </c>
      <c r="KL107" s="77">
        <f t="shared" si="538"/>
        <v>0</v>
      </c>
      <c r="KM107" s="77">
        <f t="shared" si="538"/>
        <v>0</v>
      </c>
      <c r="KN107" s="77">
        <f t="shared" si="538"/>
        <v>0</v>
      </c>
      <c r="KO107" s="77">
        <f t="shared" si="538"/>
        <v>0</v>
      </c>
      <c r="KP107" s="77">
        <f t="shared" si="538"/>
        <v>0</v>
      </c>
      <c r="KQ107" s="77">
        <f t="shared" si="538"/>
        <v>0</v>
      </c>
      <c r="KR107" s="77">
        <f t="shared" si="538"/>
        <v>0</v>
      </c>
      <c r="KS107" s="77">
        <f t="shared" si="538"/>
        <v>0</v>
      </c>
      <c r="KT107" s="77">
        <f t="shared" si="538"/>
        <v>0</v>
      </c>
      <c r="KU107" s="77">
        <f t="shared" si="538"/>
        <v>0</v>
      </c>
      <c r="KV107" s="77">
        <f t="shared" si="538"/>
        <v>0</v>
      </c>
      <c r="KW107" s="77">
        <f t="shared" si="538"/>
        <v>0</v>
      </c>
      <c r="KX107" s="77">
        <f t="shared" si="538"/>
        <v>0</v>
      </c>
      <c r="KY107" s="77">
        <f t="shared" si="538"/>
        <v>0</v>
      </c>
      <c r="KZ107" s="77">
        <f t="shared" si="538"/>
        <v>0</v>
      </c>
      <c r="LA107" s="77">
        <f t="shared" si="538"/>
        <v>0</v>
      </c>
      <c r="LB107" s="77">
        <f t="shared" si="538"/>
        <v>0</v>
      </c>
      <c r="LC107" s="77">
        <f t="shared" si="538"/>
        <v>0</v>
      </c>
      <c r="LD107" s="77">
        <f t="shared" si="538"/>
        <v>0</v>
      </c>
      <c r="LE107" s="77">
        <f t="shared" si="538"/>
        <v>0</v>
      </c>
      <c r="LF107" s="77">
        <f t="shared" si="538"/>
        <v>0</v>
      </c>
      <c r="LG107" s="77">
        <f t="shared" si="538"/>
        <v>0</v>
      </c>
      <c r="LH107" s="77">
        <f t="shared" si="538"/>
        <v>0</v>
      </c>
      <c r="LI107" s="77">
        <f t="shared" si="538"/>
        <v>0</v>
      </c>
      <c r="LJ107" s="77">
        <f t="shared" si="538"/>
        <v>0</v>
      </c>
      <c r="LK107" s="77">
        <f t="shared" si="538"/>
        <v>0</v>
      </c>
      <c r="LL107" s="77">
        <f t="shared" si="538"/>
        <v>0</v>
      </c>
      <c r="LM107" s="77">
        <f t="shared" si="538"/>
        <v>0</v>
      </c>
      <c r="LN107" s="77">
        <f t="shared" si="538"/>
        <v>0</v>
      </c>
      <c r="LO107" s="77">
        <f t="shared" si="538"/>
        <v>0</v>
      </c>
      <c r="LP107" s="77">
        <f t="shared" si="538"/>
        <v>0</v>
      </c>
      <c r="LQ107" s="77">
        <f t="shared" si="538"/>
        <v>0</v>
      </c>
      <c r="LR107" s="77">
        <f t="shared" si="538"/>
        <v>0</v>
      </c>
      <c r="LS107" s="77">
        <f t="shared" si="538"/>
        <v>0</v>
      </c>
      <c r="LT107" s="77">
        <f t="shared" si="538"/>
        <v>0</v>
      </c>
      <c r="LU107" s="77">
        <f t="shared" si="538"/>
        <v>0</v>
      </c>
      <c r="LV107" s="77">
        <f t="shared" si="538"/>
        <v>0</v>
      </c>
      <c r="LW107" s="77">
        <f t="shared" si="538"/>
        <v>0</v>
      </c>
      <c r="LX107" s="77">
        <f t="shared" si="538"/>
        <v>0</v>
      </c>
      <c r="LY107" s="77">
        <f t="shared" ref="LY107:NW107" si="539">ES112</f>
        <v>0</v>
      </c>
      <c r="LZ107" s="77">
        <f t="shared" si="539"/>
        <v>0</v>
      </c>
      <c r="MA107" s="77">
        <f t="shared" si="539"/>
        <v>0</v>
      </c>
      <c r="MB107" s="77">
        <f t="shared" si="539"/>
        <v>0</v>
      </c>
      <c r="MC107" s="77">
        <f t="shared" si="539"/>
        <v>0</v>
      </c>
      <c r="MD107" s="77">
        <f t="shared" si="539"/>
        <v>0</v>
      </c>
      <c r="ME107" s="77">
        <f t="shared" si="539"/>
        <v>0</v>
      </c>
      <c r="MF107" s="77">
        <f t="shared" si="539"/>
        <v>0</v>
      </c>
      <c r="MG107" s="77">
        <f t="shared" si="539"/>
        <v>0</v>
      </c>
      <c r="MH107" s="77">
        <f t="shared" si="539"/>
        <v>0</v>
      </c>
      <c r="MI107" s="77">
        <f t="shared" si="539"/>
        <v>0</v>
      </c>
      <c r="MJ107" s="77">
        <f t="shared" si="539"/>
        <v>0</v>
      </c>
      <c r="MK107" s="77">
        <f t="shared" si="539"/>
        <v>0</v>
      </c>
      <c r="ML107" s="77">
        <f t="shared" si="539"/>
        <v>0</v>
      </c>
      <c r="MM107" s="77">
        <f t="shared" si="539"/>
        <v>0</v>
      </c>
      <c r="MN107" s="77">
        <f t="shared" si="539"/>
        <v>0</v>
      </c>
      <c r="MO107" s="77">
        <f t="shared" si="539"/>
        <v>0</v>
      </c>
      <c r="MP107" s="77">
        <f t="shared" si="539"/>
        <v>0</v>
      </c>
      <c r="MQ107" s="77">
        <f t="shared" si="539"/>
        <v>0</v>
      </c>
      <c r="MR107" s="77">
        <f t="shared" si="539"/>
        <v>0</v>
      </c>
      <c r="MS107" s="77">
        <f t="shared" si="539"/>
        <v>0</v>
      </c>
      <c r="MT107" s="77">
        <f t="shared" si="539"/>
        <v>0</v>
      </c>
      <c r="MU107" s="77">
        <f t="shared" si="539"/>
        <v>0</v>
      </c>
      <c r="MV107" s="77">
        <f t="shared" si="539"/>
        <v>0</v>
      </c>
      <c r="MW107" s="77">
        <f t="shared" si="539"/>
        <v>0</v>
      </c>
      <c r="MX107" s="77">
        <f t="shared" si="539"/>
        <v>0</v>
      </c>
      <c r="MY107" s="77">
        <f t="shared" si="539"/>
        <v>0</v>
      </c>
      <c r="MZ107" s="77">
        <f t="shared" si="539"/>
        <v>0</v>
      </c>
      <c r="NA107" s="77">
        <f t="shared" si="539"/>
        <v>0</v>
      </c>
      <c r="NB107" s="77">
        <f t="shared" si="539"/>
        <v>0</v>
      </c>
      <c r="NC107" s="77">
        <f t="shared" si="539"/>
        <v>0</v>
      </c>
      <c r="ND107" s="77">
        <f t="shared" si="539"/>
        <v>0</v>
      </c>
      <c r="NE107" s="77">
        <f t="shared" si="539"/>
        <v>0</v>
      </c>
      <c r="NF107" s="77">
        <f t="shared" si="539"/>
        <v>0</v>
      </c>
      <c r="NG107" s="77">
        <f t="shared" si="539"/>
        <v>0</v>
      </c>
      <c r="NH107" s="77">
        <f t="shared" si="539"/>
        <v>0</v>
      </c>
      <c r="NI107" s="77">
        <f t="shared" si="539"/>
        <v>0</v>
      </c>
      <c r="NJ107" s="77">
        <f t="shared" si="539"/>
        <v>0</v>
      </c>
      <c r="NK107" s="77">
        <f t="shared" si="539"/>
        <v>0</v>
      </c>
      <c r="NL107" s="77">
        <f t="shared" si="539"/>
        <v>0</v>
      </c>
      <c r="NM107" s="77">
        <f t="shared" si="539"/>
        <v>0</v>
      </c>
      <c r="NN107" s="77">
        <f t="shared" si="539"/>
        <v>0</v>
      </c>
      <c r="NO107" s="77">
        <f t="shared" si="539"/>
        <v>0</v>
      </c>
      <c r="NP107" s="77">
        <f t="shared" si="539"/>
        <v>0</v>
      </c>
      <c r="NQ107" s="77">
        <f t="shared" si="539"/>
        <v>0</v>
      </c>
      <c r="NR107" s="77">
        <f t="shared" si="539"/>
        <v>0</v>
      </c>
      <c r="NS107" s="77">
        <f t="shared" si="539"/>
        <v>0</v>
      </c>
      <c r="NT107" s="77">
        <f t="shared" si="539"/>
        <v>0</v>
      </c>
      <c r="NU107" s="77">
        <f t="shared" si="539"/>
        <v>0</v>
      </c>
      <c r="NV107" s="77">
        <f t="shared" si="539"/>
        <v>0</v>
      </c>
      <c r="NW107" s="77">
        <f t="shared" si="539"/>
        <v>0</v>
      </c>
    </row>
    <row r="108" spans="2:387" x14ac:dyDescent="0.3">
      <c r="B108" s="18" t="s">
        <v>297</v>
      </c>
      <c r="C108" s="19"/>
      <c r="D108" s="19"/>
      <c r="E108" s="19"/>
      <c r="F108" s="19"/>
      <c r="G108" s="19"/>
      <c r="H108" s="19"/>
      <c r="I108" s="19"/>
      <c r="J108" s="23"/>
      <c r="K108" s="29"/>
      <c r="L108" s="94">
        <f>L106/SUM(L104:L105)</f>
        <v>0.65510513597677178</v>
      </c>
      <c r="GS108" s="80"/>
      <c r="GT108" s="77"/>
      <c r="GU108" s="77"/>
      <c r="GV108" s="77"/>
      <c r="GW108" s="77"/>
      <c r="GX108" s="77"/>
      <c r="GY108" s="77"/>
      <c r="GZ108" s="77"/>
      <c r="HA108" s="77"/>
      <c r="HB108" s="77"/>
      <c r="HC108" s="77"/>
      <c r="HD108" s="77"/>
      <c r="HE108" s="77"/>
      <c r="HF108" s="77"/>
      <c r="HG108" s="77"/>
      <c r="HH108" s="77"/>
      <c r="HI108" s="77"/>
      <c r="HJ108" s="77"/>
      <c r="HK108" s="77"/>
      <c r="HL108" s="77"/>
      <c r="HM108" s="77"/>
      <c r="HN108" s="77"/>
      <c r="HO108" s="77"/>
      <c r="HP108" s="77"/>
      <c r="HQ108" s="77"/>
      <c r="HR108" s="77"/>
      <c r="HS108" s="77"/>
      <c r="HT108" s="77"/>
      <c r="HU108" s="77"/>
      <c r="HV108" s="77"/>
      <c r="HW108" s="77"/>
      <c r="HX108" s="77"/>
      <c r="HY108" s="77"/>
      <c r="HZ108" s="77"/>
      <c r="IA108" s="77"/>
      <c r="IB108" s="77"/>
      <c r="IC108" s="77"/>
      <c r="ID108" s="77"/>
      <c r="IE108" s="77"/>
      <c r="IF108" s="77"/>
      <c r="IG108" s="77"/>
      <c r="IH108" s="77"/>
      <c r="II108" s="77"/>
      <c r="IJ108" s="77"/>
      <c r="IK108" s="77"/>
      <c r="IL108" s="77"/>
      <c r="IM108" s="77"/>
      <c r="IN108" s="77"/>
      <c r="IO108" s="77"/>
      <c r="IP108" s="77"/>
      <c r="IQ108" s="77"/>
      <c r="IR108" s="77"/>
      <c r="IS108" s="77"/>
      <c r="IT108" s="77"/>
      <c r="IU108" s="77"/>
      <c r="IV108" s="77"/>
      <c r="IW108" s="77"/>
      <c r="IX108" s="77"/>
      <c r="IY108" s="77"/>
      <c r="IZ108" s="77"/>
      <c r="JA108" s="77"/>
      <c r="JB108" s="77"/>
      <c r="JC108" s="77"/>
      <c r="JD108" s="77"/>
      <c r="JE108" s="77"/>
      <c r="JF108" s="77"/>
      <c r="JG108" s="77"/>
      <c r="JH108" s="77"/>
      <c r="JI108" s="77"/>
      <c r="JJ108" s="77"/>
      <c r="JK108" s="77"/>
      <c r="JL108" s="77"/>
      <c r="JM108" s="77"/>
      <c r="JN108" s="77"/>
      <c r="JO108" s="77"/>
      <c r="JP108" s="77"/>
      <c r="JQ108" s="77"/>
      <c r="JR108" s="77"/>
      <c r="JS108" s="77"/>
      <c r="JT108" s="77"/>
      <c r="JU108" s="77"/>
      <c r="JV108" s="77"/>
      <c r="JW108" s="77"/>
      <c r="JX108" s="77"/>
      <c r="JY108" s="77"/>
      <c r="JZ108" s="77"/>
      <c r="KA108" s="77"/>
      <c r="KB108" s="77"/>
      <c r="KC108" s="77"/>
      <c r="KD108" s="77"/>
      <c r="KE108" s="77"/>
      <c r="KF108" s="77"/>
      <c r="KG108" s="77"/>
      <c r="KH108" s="77"/>
      <c r="KI108" s="77"/>
      <c r="KJ108" s="77"/>
      <c r="KK108" s="77"/>
      <c r="KL108" s="77"/>
      <c r="KM108" s="77"/>
      <c r="KN108" s="77"/>
      <c r="KO108" s="77"/>
      <c r="KP108" s="77"/>
      <c r="KQ108" s="77"/>
      <c r="KR108" s="77"/>
      <c r="KS108" s="77"/>
      <c r="KT108" s="77"/>
      <c r="KU108" s="77"/>
      <c r="KV108" s="77"/>
      <c r="KW108" s="77"/>
      <c r="KX108" s="77"/>
      <c r="KY108" s="77"/>
      <c r="KZ108" s="77"/>
      <c r="LA108" s="77"/>
      <c r="LB108" s="77"/>
      <c r="LC108" s="77"/>
      <c r="LD108" s="77"/>
      <c r="LE108" s="77"/>
      <c r="LF108" s="77"/>
      <c r="LG108" s="77"/>
      <c r="LH108" s="77"/>
      <c r="LI108" s="77"/>
      <c r="LJ108" s="77"/>
      <c r="LK108" s="77"/>
      <c r="LL108" s="77"/>
      <c r="LM108" s="77"/>
      <c r="LN108" s="77"/>
      <c r="LO108" s="77"/>
      <c r="LP108" s="77"/>
      <c r="LQ108" s="77"/>
      <c r="LR108" s="77"/>
      <c r="LS108" s="77"/>
      <c r="LT108" s="77"/>
      <c r="LU108" s="77"/>
      <c r="LV108" s="77"/>
      <c r="LW108" s="77"/>
      <c r="LX108" s="77"/>
      <c r="LY108" s="77"/>
      <c r="LZ108" s="77"/>
      <c r="MA108" s="77"/>
      <c r="MB108" s="77"/>
      <c r="MC108" s="77"/>
      <c r="MD108" s="77"/>
      <c r="ME108" s="77"/>
      <c r="MF108" s="77"/>
      <c r="MG108" s="77"/>
      <c r="MH108" s="77"/>
      <c r="MI108" s="77"/>
      <c r="MJ108" s="77"/>
      <c r="MK108" s="77"/>
      <c r="ML108" s="77"/>
      <c r="MM108" s="77"/>
      <c r="MN108" s="77"/>
      <c r="MO108" s="77"/>
      <c r="MP108" s="77"/>
      <c r="MQ108" s="77"/>
      <c r="MR108" s="77"/>
      <c r="MS108" s="77"/>
      <c r="MT108" s="77"/>
      <c r="MU108" s="77"/>
      <c r="MV108" s="77"/>
      <c r="MW108" s="77"/>
      <c r="MX108" s="77"/>
      <c r="MY108" s="77"/>
      <c r="MZ108" s="77"/>
      <c r="NA108" s="77"/>
      <c r="NB108" s="77"/>
      <c r="NC108" s="77"/>
      <c r="ND108" s="77"/>
      <c r="NE108" s="77"/>
      <c r="NF108" s="77"/>
      <c r="NG108" s="77"/>
      <c r="NH108" s="77"/>
      <c r="NI108" s="77"/>
      <c r="NJ108" s="77"/>
      <c r="NK108" s="77"/>
      <c r="NL108" s="77"/>
      <c r="NM108" s="77"/>
      <c r="NN108" s="77"/>
      <c r="NO108" s="77"/>
      <c r="NP108" s="77"/>
      <c r="NQ108" s="77"/>
      <c r="NR108" s="77"/>
      <c r="NS108" s="77"/>
      <c r="NT108" s="77"/>
      <c r="NU108" s="77"/>
      <c r="NV108" s="77"/>
      <c r="NW108" s="77"/>
    </row>
    <row r="109" spans="2:387" x14ac:dyDescent="0.3">
      <c r="B109" s="35" t="s">
        <v>298</v>
      </c>
      <c r="C109" s="35"/>
      <c r="D109" s="35"/>
      <c r="E109" s="36"/>
      <c r="F109" s="36"/>
      <c r="G109" s="36"/>
      <c r="H109" s="36"/>
      <c r="I109" s="36"/>
      <c r="J109" s="36"/>
      <c r="K109" s="36"/>
      <c r="L109" s="36"/>
      <c r="GS109" s="80" t="s">
        <v>299</v>
      </c>
      <c r="GT109" s="77"/>
      <c r="GU109" s="77"/>
      <c r="GV109" s="77"/>
      <c r="GW109" s="77"/>
      <c r="GX109" s="77">
        <f>SUM(GZ109:NW109)</f>
        <v>1976637.480596761</v>
      </c>
      <c r="GY109" s="77"/>
      <c r="GZ109" s="77">
        <f>MIN(MAX(GZ103,0)*$F$116,GZ105+GZ106+GZ107)</f>
        <v>0</v>
      </c>
      <c r="HA109" s="77">
        <f t="shared" ref="HA109:JL109" si="540">MIN(MAX(HA103,0)*$F$116,HA105+HA106+HA107)</f>
        <v>0</v>
      </c>
      <c r="HB109" s="77">
        <f t="shared" si="540"/>
        <v>0</v>
      </c>
      <c r="HC109" s="77">
        <f t="shared" si="540"/>
        <v>0</v>
      </c>
      <c r="HD109" s="77">
        <f t="shared" si="540"/>
        <v>0</v>
      </c>
      <c r="HE109" s="77">
        <f t="shared" si="540"/>
        <v>0</v>
      </c>
      <c r="HF109" s="77">
        <f t="shared" si="540"/>
        <v>0</v>
      </c>
      <c r="HG109" s="77">
        <f t="shared" si="540"/>
        <v>0</v>
      </c>
      <c r="HH109" s="77">
        <f t="shared" si="540"/>
        <v>0</v>
      </c>
      <c r="HI109" s="77">
        <f t="shared" si="540"/>
        <v>0</v>
      </c>
      <c r="HJ109" s="77">
        <f t="shared" si="540"/>
        <v>0</v>
      </c>
      <c r="HK109" s="77">
        <f t="shared" si="540"/>
        <v>142387.81806816612</v>
      </c>
      <c r="HL109" s="77">
        <f t="shared" si="540"/>
        <v>0</v>
      </c>
      <c r="HM109" s="77">
        <f t="shared" si="540"/>
        <v>0</v>
      </c>
      <c r="HN109" s="77">
        <f t="shared" si="540"/>
        <v>0</v>
      </c>
      <c r="HO109" s="77">
        <f t="shared" si="540"/>
        <v>0</v>
      </c>
      <c r="HP109" s="77">
        <f t="shared" si="540"/>
        <v>0</v>
      </c>
      <c r="HQ109" s="77">
        <f t="shared" si="540"/>
        <v>0</v>
      </c>
      <c r="HR109" s="77">
        <f t="shared" si="540"/>
        <v>0</v>
      </c>
      <c r="HS109" s="77">
        <f t="shared" si="540"/>
        <v>0</v>
      </c>
      <c r="HT109" s="77">
        <f t="shared" si="540"/>
        <v>0</v>
      </c>
      <c r="HU109" s="77">
        <f t="shared" si="540"/>
        <v>0</v>
      </c>
      <c r="HV109" s="77">
        <f t="shared" si="540"/>
        <v>0</v>
      </c>
      <c r="HW109" s="77">
        <f t="shared" si="540"/>
        <v>0</v>
      </c>
      <c r="HX109" s="77">
        <f t="shared" si="540"/>
        <v>0</v>
      </c>
      <c r="HY109" s="77">
        <f t="shared" si="540"/>
        <v>0</v>
      </c>
      <c r="HZ109" s="77">
        <f t="shared" si="540"/>
        <v>174427.98711239634</v>
      </c>
      <c r="IA109" s="77">
        <f t="shared" si="540"/>
        <v>0</v>
      </c>
      <c r="IB109" s="77">
        <f t="shared" si="540"/>
        <v>0</v>
      </c>
      <c r="IC109" s="77">
        <f t="shared" si="540"/>
        <v>0</v>
      </c>
      <c r="ID109" s="77">
        <f t="shared" si="540"/>
        <v>6952.3394031775624</v>
      </c>
      <c r="IE109" s="77">
        <f t="shared" si="540"/>
        <v>83433.334078439351</v>
      </c>
      <c r="IF109" s="77">
        <f t="shared" si="540"/>
        <v>83433.334078439351</v>
      </c>
      <c r="IG109" s="77">
        <f t="shared" si="540"/>
        <v>83433.334078439351</v>
      </c>
      <c r="IH109" s="77">
        <f t="shared" si="540"/>
        <v>83433.334078439351</v>
      </c>
      <c r="II109" s="77">
        <f t="shared" si="540"/>
        <v>83433.334078439351</v>
      </c>
      <c r="IJ109" s="77">
        <f t="shared" si="540"/>
        <v>89939.048364153627</v>
      </c>
      <c r="IK109" s="77">
        <f t="shared" si="540"/>
        <v>89939.048364153627</v>
      </c>
      <c r="IL109" s="77">
        <f t="shared" si="540"/>
        <v>112167</v>
      </c>
      <c r="IM109" s="77">
        <f t="shared" si="540"/>
        <v>343915.54715925007</v>
      </c>
      <c r="IN109" s="77">
        <f t="shared" si="540"/>
        <v>343915.54715925007</v>
      </c>
      <c r="IO109" s="77">
        <f t="shared" si="540"/>
        <v>255826.47457401681</v>
      </c>
      <c r="IP109" s="77">
        <f t="shared" si="540"/>
        <v>0</v>
      </c>
      <c r="IQ109" s="77">
        <f t="shared" si="540"/>
        <v>0</v>
      </c>
      <c r="IR109" s="77">
        <f t="shared" si="540"/>
        <v>0</v>
      </c>
      <c r="IS109" s="77">
        <f t="shared" si="540"/>
        <v>0</v>
      </c>
      <c r="IT109" s="77">
        <f t="shared" si="540"/>
        <v>0</v>
      </c>
      <c r="IU109" s="77">
        <f t="shared" si="540"/>
        <v>0</v>
      </c>
      <c r="IV109" s="77">
        <f t="shared" si="540"/>
        <v>0</v>
      </c>
      <c r="IW109" s="77">
        <f t="shared" si="540"/>
        <v>0</v>
      </c>
      <c r="IX109" s="77">
        <f t="shared" si="540"/>
        <v>0</v>
      </c>
      <c r="IY109" s="77">
        <f t="shared" si="540"/>
        <v>0</v>
      </c>
      <c r="IZ109" s="77">
        <f t="shared" si="540"/>
        <v>0</v>
      </c>
      <c r="JA109" s="77">
        <f t="shared" si="540"/>
        <v>0</v>
      </c>
      <c r="JB109" s="77">
        <f t="shared" si="540"/>
        <v>0</v>
      </c>
      <c r="JC109" s="77">
        <f t="shared" si="540"/>
        <v>0</v>
      </c>
      <c r="JD109" s="77">
        <f t="shared" si="540"/>
        <v>0</v>
      </c>
      <c r="JE109" s="77">
        <f t="shared" si="540"/>
        <v>0</v>
      </c>
      <c r="JF109" s="77">
        <f t="shared" si="540"/>
        <v>0</v>
      </c>
      <c r="JG109" s="77">
        <f t="shared" si="540"/>
        <v>0</v>
      </c>
      <c r="JH109" s="77">
        <f t="shared" si="540"/>
        <v>0</v>
      </c>
      <c r="JI109" s="77">
        <f t="shared" si="540"/>
        <v>0</v>
      </c>
      <c r="JJ109" s="77">
        <f t="shared" si="540"/>
        <v>0</v>
      </c>
      <c r="JK109" s="77">
        <f t="shared" si="540"/>
        <v>0</v>
      </c>
      <c r="JL109" s="77">
        <f t="shared" si="540"/>
        <v>0</v>
      </c>
      <c r="JM109" s="77">
        <f t="shared" ref="JM109:LX109" si="541">MIN(MAX(JM103,0)*$F$116,JM105+JM106+JM107)</f>
        <v>0</v>
      </c>
      <c r="JN109" s="77">
        <f t="shared" si="541"/>
        <v>0</v>
      </c>
      <c r="JO109" s="77">
        <f t="shared" si="541"/>
        <v>0</v>
      </c>
      <c r="JP109" s="77">
        <f t="shared" si="541"/>
        <v>0</v>
      </c>
      <c r="JQ109" s="77">
        <f t="shared" si="541"/>
        <v>0</v>
      </c>
      <c r="JR109" s="77">
        <f t="shared" si="541"/>
        <v>0</v>
      </c>
      <c r="JS109" s="77">
        <f t="shared" si="541"/>
        <v>0</v>
      </c>
      <c r="JT109" s="77">
        <f t="shared" si="541"/>
        <v>0</v>
      </c>
      <c r="JU109" s="77">
        <f t="shared" si="541"/>
        <v>0</v>
      </c>
      <c r="JV109" s="77">
        <f t="shared" si="541"/>
        <v>0</v>
      </c>
      <c r="JW109" s="77">
        <f t="shared" si="541"/>
        <v>0</v>
      </c>
      <c r="JX109" s="77">
        <f t="shared" si="541"/>
        <v>0</v>
      </c>
      <c r="JY109" s="77">
        <f t="shared" si="541"/>
        <v>0</v>
      </c>
      <c r="JZ109" s="77">
        <f t="shared" si="541"/>
        <v>0</v>
      </c>
      <c r="KA109" s="77">
        <f t="shared" si="541"/>
        <v>0</v>
      </c>
      <c r="KB109" s="77">
        <f t="shared" si="541"/>
        <v>0</v>
      </c>
      <c r="KC109" s="77">
        <f t="shared" si="541"/>
        <v>0</v>
      </c>
      <c r="KD109" s="77">
        <f t="shared" si="541"/>
        <v>0</v>
      </c>
      <c r="KE109" s="77">
        <f t="shared" si="541"/>
        <v>0</v>
      </c>
      <c r="KF109" s="77">
        <f t="shared" si="541"/>
        <v>0</v>
      </c>
      <c r="KG109" s="77">
        <f t="shared" si="541"/>
        <v>0</v>
      </c>
      <c r="KH109" s="77">
        <f t="shared" si="541"/>
        <v>0</v>
      </c>
      <c r="KI109" s="77">
        <f t="shared" si="541"/>
        <v>0</v>
      </c>
      <c r="KJ109" s="77">
        <f t="shared" si="541"/>
        <v>0</v>
      </c>
      <c r="KK109" s="77">
        <f t="shared" si="541"/>
        <v>0</v>
      </c>
      <c r="KL109" s="77">
        <f t="shared" si="541"/>
        <v>0</v>
      </c>
      <c r="KM109" s="77">
        <f t="shared" si="541"/>
        <v>0</v>
      </c>
      <c r="KN109" s="77">
        <f t="shared" si="541"/>
        <v>0</v>
      </c>
      <c r="KO109" s="77">
        <f t="shared" si="541"/>
        <v>0</v>
      </c>
      <c r="KP109" s="77">
        <f t="shared" si="541"/>
        <v>0</v>
      </c>
      <c r="KQ109" s="77">
        <f t="shared" si="541"/>
        <v>0</v>
      </c>
      <c r="KR109" s="77">
        <f t="shared" si="541"/>
        <v>0</v>
      </c>
      <c r="KS109" s="77">
        <f t="shared" si="541"/>
        <v>0</v>
      </c>
      <c r="KT109" s="77">
        <f t="shared" si="541"/>
        <v>0</v>
      </c>
      <c r="KU109" s="77">
        <f t="shared" si="541"/>
        <v>0</v>
      </c>
      <c r="KV109" s="77">
        <f t="shared" si="541"/>
        <v>0</v>
      </c>
      <c r="KW109" s="77">
        <f t="shared" si="541"/>
        <v>0</v>
      </c>
      <c r="KX109" s="77">
        <f t="shared" si="541"/>
        <v>0</v>
      </c>
      <c r="KY109" s="77">
        <f t="shared" si="541"/>
        <v>0</v>
      </c>
      <c r="KZ109" s="77">
        <f t="shared" si="541"/>
        <v>0</v>
      </c>
      <c r="LA109" s="77">
        <f t="shared" si="541"/>
        <v>0</v>
      </c>
      <c r="LB109" s="77">
        <f t="shared" si="541"/>
        <v>0</v>
      </c>
      <c r="LC109" s="77">
        <f t="shared" si="541"/>
        <v>0</v>
      </c>
      <c r="LD109" s="77">
        <f t="shared" si="541"/>
        <v>0</v>
      </c>
      <c r="LE109" s="77">
        <f t="shared" si="541"/>
        <v>0</v>
      </c>
      <c r="LF109" s="77">
        <f t="shared" si="541"/>
        <v>0</v>
      </c>
      <c r="LG109" s="77">
        <f t="shared" si="541"/>
        <v>0</v>
      </c>
      <c r="LH109" s="77">
        <f t="shared" si="541"/>
        <v>0</v>
      </c>
      <c r="LI109" s="77">
        <f t="shared" si="541"/>
        <v>0</v>
      </c>
      <c r="LJ109" s="77">
        <f t="shared" si="541"/>
        <v>0</v>
      </c>
      <c r="LK109" s="77">
        <f t="shared" si="541"/>
        <v>0</v>
      </c>
      <c r="LL109" s="77">
        <f t="shared" si="541"/>
        <v>0</v>
      </c>
      <c r="LM109" s="77">
        <f t="shared" si="541"/>
        <v>0</v>
      </c>
      <c r="LN109" s="77">
        <f t="shared" si="541"/>
        <v>0</v>
      </c>
      <c r="LO109" s="77">
        <f t="shared" si="541"/>
        <v>0</v>
      </c>
      <c r="LP109" s="77">
        <f t="shared" si="541"/>
        <v>0</v>
      </c>
      <c r="LQ109" s="77">
        <f t="shared" si="541"/>
        <v>0</v>
      </c>
      <c r="LR109" s="77">
        <f t="shared" si="541"/>
        <v>0</v>
      </c>
      <c r="LS109" s="77">
        <f t="shared" si="541"/>
        <v>0</v>
      </c>
      <c r="LT109" s="77">
        <f t="shared" si="541"/>
        <v>0</v>
      </c>
      <c r="LU109" s="77">
        <f t="shared" si="541"/>
        <v>0</v>
      </c>
      <c r="LV109" s="77">
        <f t="shared" si="541"/>
        <v>0</v>
      </c>
      <c r="LW109" s="77">
        <f t="shared" si="541"/>
        <v>0</v>
      </c>
      <c r="LX109" s="77">
        <f t="shared" si="541"/>
        <v>0</v>
      </c>
      <c r="LY109" s="77">
        <f t="shared" ref="LY109:NW109" si="542">MIN(MAX(LY103,0)*$F$116,LY105+LY106+LY107)</f>
        <v>0</v>
      </c>
      <c r="LZ109" s="77">
        <f t="shared" si="542"/>
        <v>0</v>
      </c>
      <c r="MA109" s="77">
        <f t="shared" si="542"/>
        <v>0</v>
      </c>
      <c r="MB109" s="77">
        <f t="shared" si="542"/>
        <v>0</v>
      </c>
      <c r="MC109" s="77">
        <f t="shared" si="542"/>
        <v>0</v>
      </c>
      <c r="MD109" s="77">
        <f t="shared" si="542"/>
        <v>0</v>
      </c>
      <c r="ME109" s="77">
        <f t="shared" si="542"/>
        <v>0</v>
      </c>
      <c r="MF109" s="77">
        <f t="shared" si="542"/>
        <v>0</v>
      </c>
      <c r="MG109" s="77">
        <f t="shared" si="542"/>
        <v>0</v>
      </c>
      <c r="MH109" s="77">
        <f t="shared" si="542"/>
        <v>0</v>
      </c>
      <c r="MI109" s="77">
        <f t="shared" si="542"/>
        <v>0</v>
      </c>
      <c r="MJ109" s="77">
        <f t="shared" si="542"/>
        <v>0</v>
      </c>
      <c r="MK109" s="77">
        <f t="shared" si="542"/>
        <v>0</v>
      </c>
      <c r="ML109" s="77">
        <f t="shared" si="542"/>
        <v>0</v>
      </c>
      <c r="MM109" s="77">
        <f t="shared" si="542"/>
        <v>0</v>
      </c>
      <c r="MN109" s="77">
        <f t="shared" si="542"/>
        <v>0</v>
      </c>
      <c r="MO109" s="77">
        <f t="shared" si="542"/>
        <v>0</v>
      </c>
      <c r="MP109" s="77">
        <f t="shared" si="542"/>
        <v>0</v>
      </c>
      <c r="MQ109" s="77">
        <f t="shared" si="542"/>
        <v>0</v>
      </c>
      <c r="MR109" s="77">
        <f t="shared" si="542"/>
        <v>0</v>
      </c>
      <c r="MS109" s="77">
        <f t="shared" si="542"/>
        <v>0</v>
      </c>
      <c r="MT109" s="77">
        <f t="shared" si="542"/>
        <v>0</v>
      </c>
      <c r="MU109" s="77">
        <f t="shared" si="542"/>
        <v>0</v>
      </c>
      <c r="MV109" s="77">
        <f t="shared" si="542"/>
        <v>0</v>
      </c>
      <c r="MW109" s="77">
        <f t="shared" si="542"/>
        <v>0</v>
      </c>
      <c r="MX109" s="77">
        <f t="shared" si="542"/>
        <v>0</v>
      </c>
      <c r="MY109" s="77">
        <f t="shared" si="542"/>
        <v>0</v>
      </c>
      <c r="MZ109" s="77">
        <f t="shared" si="542"/>
        <v>0</v>
      </c>
      <c r="NA109" s="77">
        <f t="shared" si="542"/>
        <v>0</v>
      </c>
      <c r="NB109" s="77">
        <f t="shared" si="542"/>
        <v>0</v>
      </c>
      <c r="NC109" s="77">
        <f t="shared" si="542"/>
        <v>0</v>
      </c>
      <c r="ND109" s="77">
        <f t="shared" si="542"/>
        <v>0</v>
      </c>
      <c r="NE109" s="77">
        <f t="shared" si="542"/>
        <v>0</v>
      </c>
      <c r="NF109" s="77">
        <f t="shared" si="542"/>
        <v>0</v>
      </c>
      <c r="NG109" s="77">
        <f t="shared" si="542"/>
        <v>0</v>
      </c>
      <c r="NH109" s="77">
        <f t="shared" si="542"/>
        <v>0</v>
      </c>
      <c r="NI109" s="77">
        <f t="shared" si="542"/>
        <v>0</v>
      </c>
      <c r="NJ109" s="77">
        <f t="shared" si="542"/>
        <v>0</v>
      </c>
      <c r="NK109" s="77">
        <f t="shared" si="542"/>
        <v>0</v>
      </c>
      <c r="NL109" s="77">
        <f t="shared" si="542"/>
        <v>0</v>
      </c>
      <c r="NM109" s="77">
        <f t="shared" si="542"/>
        <v>0</v>
      </c>
      <c r="NN109" s="77">
        <f t="shared" si="542"/>
        <v>0</v>
      </c>
      <c r="NO109" s="77">
        <f t="shared" si="542"/>
        <v>0</v>
      </c>
      <c r="NP109" s="77">
        <f t="shared" si="542"/>
        <v>0</v>
      </c>
      <c r="NQ109" s="77">
        <f t="shared" si="542"/>
        <v>0</v>
      </c>
      <c r="NR109" s="77">
        <f t="shared" si="542"/>
        <v>0</v>
      </c>
      <c r="NS109" s="77">
        <f t="shared" si="542"/>
        <v>0</v>
      </c>
      <c r="NT109" s="77">
        <f t="shared" si="542"/>
        <v>0</v>
      </c>
      <c r="NU109" s="77">
        <f t="shared" si="542"/>
        <v>0</v>
      </c>
      <c r="NV109" s="77">
        <f t="shared" si="542"/>
        <v>0</v>
      </c>
      <c r="NW109" s="77">
        <f t="shared" si="542"/>
        <v>0</v>
      </c>
    </row>
    <row r="110" spans="2:387" x14ac:dyDescent="0.3">
      <c r="B110" s="51" t="s">
        <v>300</v>
      </c>
      <c r="C110" s="55"/>
      <c r="D110" s="52" t="s">
        <v>301</v>
      </c>
      <c r="E110" s="52" t="s">
        <v>302</v>
      </c>
      <c r="F110" s="52"/>
      <c r="G110" s="52"/>
      <c r="H110" s="53"/>
      <c r="I110" s="91"/>
      <c r="J110" s="52" t="str">
        <f>"/"&amp;Summary!$O$8</f>
        <v>/Lot</v>
      </c>
      <c r="K110" s="52" t="str" cm="1">
        <f t="array" ref="K110">"/"&amp;Unit_Type</f>
        <v>/SF</v>
      </c>
      <c r="L110" s="52" t="s">
        <v>190</v>
      </c>
      <c r="S110" s="68" t="s">
        <v>191</v>
      </c>
      <c r="T110" s="61">
        <v>1</v>
      </c>
      <c r="U110" s="61">
        <f t="shared" ref="U110:AZ110" si="543">T110+1</f>
        <v>2</v>
      </c>
      <c r="V110" s="61">
        <f t="shared" si="543"/>
        <v>3</v>
      </c>
      <c r="W110" s="61">
        <f t="shared" si="543"/>
        <v>4</v>
      </c>
      <c r="X110" s="61">
        <f t="shared" si="543"/>
        <v>5</v>
      </c>
      <c r="Y110" s="61">
        <f t="shared" si="543"/>
        <v>6</v>
      </c>
      <c r="Z110" s="61">
        <f t="shared" si="543"/>
        <v>7</v>
      </c>
      <c r="AA110" s="61">
        <f t="shared" si="543"/>
        <v>8</v>
      </c>
      <c r="AB110" s="61">
        <f t="shared" si="543"/>
        <v>9</v>
      </c>
      <c r="AC110" s="61">
        <f t="shared" si="543"/>
        <v>10</v>
      </c>
      <c r="AD110" s="61">
        <f t="shared" si="543"/>
        <v>11</v>
      </c>
      <c r="AE110" s="61">
        <f t="shared" si="543"/>
        <v>12</v>
      </c>
      <c r="AF110" s="61">
        <f t="shared" si="543"/>
        <v>13</v>
      </c>
      <c r="AG110" s="61">
        <f t="shared" si="543"/>
        <v>14</v>
      </c>
      <c r="AH110" s="61">
        <f t="shared" si="543"/>
        <v>15</v>
      </c>
      <c r="AI110" s="61">
        <f t="shared" si="543"/>
        <v>16</v>
      </c>
      <c r="AJ110" s="61">
        <f t="shared" si="543"/>
        <v>17</v>
      </c>
      <c r="AK110" s="61">
        <f t="shared" si="543"/>
        <v>18</v>
      </c>
      <c r="AL110" s="61">
        <f t="shared" si="543"/>
        <v>19</v>
      </c>
      <c r="AM110" s="61">
        <f t="shared" si="543"/>
        <v>20</v>
      </c>
      <c r="AN110" s="61">
        <f t="shared" si="543"/>
        <v>21</v>
      </c>
      <c r="AO110" s="61">
        <f t="shared" si="543"/>
        <v>22</v>
      </c>
      <c r="AP110" s="61">
        <f t="shared" si="543"/>
        <v>23</v>
      </c>
      <c r="AQ110" s="61">
        <f t="shared" si="543"/>
        <v>24</v>
      </c>
      <c r="AR110" s="61">
        <f t="shared" si="543"/>
        <v>25</v>
      </c>
      <c r="AS110" s="61">
        <f t="shared" si="543"/>
        <v>26</v>
      </c>
      <c r="AT110" s="61">
        <f t="shared" si="543"/>
        <v>27</v>
      </c>
      <c r="AU110" s="61">
        <f t="shared" si="543"/>
        <v>28</v>
      </c>
      <c r="AV110" s="61">
        <f t="shared" si="543"/>
        <v>29</v>
      </c>
      <c r="AW110" s="61">
        <f t="shared" si="543"/>
        <v>30</v>
      </c>
      <c r="AX110" s="61">
        <f t="shared" si="543"/>
        <v>31</v>
      </c>
      <c r="AY110" s="61">
        <f t="shared" si="543"/>
        <v>32</v>
      </c>
      <c r="AZ110" s="61">
        <f t="shared" si="543"/>
        <v>33</v>
      </c>
      <c r="BA110" s="61">
        <f t="shared" ref="BA110:CF110" si="544">AZ110+1</f>
        <v>34</v>
      </c>
      <c r="BB110" s="61">
        <f t="shared" si="544"/>
        <v>35</v>
      </c>
      <c r="BC110" s="61">
        <f t="shared" si="544"/>
        <v>36</v>
      </c>
      <c r="BD110" s="61">
        <f t="shared" si="544"/>
        <v>37</v>
      </c>
      <c r="BE110" s="61">
        <f t="shared" si="544"/>
        <v>38</v>
      </c>
      <c r="BF110" s="61">
        <f t="shared" si="544"/>
        <v>39</v>
      </c>
      <c r="BG110" s="61">
        <f t="shared" si="544"/>
        <v>40</v>
      </c>
      <c r="BH110" s="61">
        <f t="shared" si="544"/>
        <v>41</v>
      </c>
      <c r="BI110" s="61">
        <f t="shared" si="544"/>
        <v>42</v>
      </c>
      <c r="BJ110" s="61">
        <f t="shared" si="544"/>
        <v>43</v>
      </c>
      <c r="BK110" s="61">
        <f t="shared" si="544"/>
        <v>44</v>
      </c>
      <c r="BL110" s="61">
        <f t="shared" si="544"/>
        <v>45</v>
      </c>
      <c r="BM110" s="61">
        <f t="shared" si="544"/>
        <v>46</v>
      </c>
      <c r="BN110" s="61">
        <f t="shared" si="544"/>
        <v>47</v>
      </c>
      <c r="BO110" s="61">
        <f t="shared" si="544"/>
        <v>48</v>
      </c>
      <c r="BP110" s="61">
        <f t="shared" si="544"/>
        <v>49</v>
      </c>
      <c r="BQ110" s="61">
        <f t="shared" si="544"/>
        <v>50</v>
      </c>
      <c r="BR110" s="61">
        <f t="shared" si="544"/>
        <v>51</v>
      </c>
      <c r="BS110" s="61">
        <f t="shared" si="544"/>
        <v>52</v>
      </c>
      <c r="BT110" s="61">
        <f t="shared" si="544"/>
        <v>53</v>
      </c>
      <c r="BU110" s="61">
        <f t="shared" si="544"/>
        <v>54</v>
      </c>
      <c r="BV110" s="61">
        <f t="shared" si="544"/>
        <v>55</v>
      </c>
      <c r="BW110" s="61">
        <f t="shared" si="544"/>
        <v>56</v>
      </c>
      <c r="BX110" s="61">
        <f t="shared" si="544"/>
        <v>57</v>
      </c>
      <c r="BY110" s="61">
        <f t="shared" si="544"/>
        <v>58</v>
      </c>
      <c r="BZ110" s="61">
        <f t="shared" si="544"/>
        <v>59</v>
      </c>
      <c r="CA110" s="61">
        <f t="shared" si="544"/>
        <v>60</v>
      </c>
      <c r="CB110" s="61">
        <f t="shared" si="544"/>
        <v>61</v>
      </c>
      <c r="CC110" s="61">
        <f t="shared" si="544"/>
        <v>62</v>
      </c>
      <c r="CD110" s="61">
        <f t="shared" si="544"/>
        <v>63</v>
      </c>
      <c r="CE110" s="61">
        <f t="shared" si="544"/>
        <v>64</v>
      </c>
      <c r="CF110" s="61">
        <f t="shared" si="544"/>
        <v>65</v>
      </c>
      <c r="CG110" s="61">
        <f t="shared" ref="CG110:DL110" si="545">CF110+1</f>
        <v>66</v>
      </c>
      <c r="CH110" s="61">
        <f t="shared" si="545"/>
        <v>67</v>
      </c>
      <c r="CI110" s="61">
        <f t="shared" si="545"/>
        <v>68</v>
      </c>
      <c r="CJ110" s="61">
        <f t="shared" si="545"/>
        <v>69</v>
      </c>
      <c r="CK110" s="61">
        <f t="shared" si="545"/>
        <v>70</v>
      </c>
      <c r="CL110" s="61">
        <f t="shared" si="545"/>
        <v>71</v>
      </c>
      <c r="CM110" s="61">
        <f t="shared" si="545"/>
        <v>72</v>
      </c>
      <c r="CN110" s="61">
        <f t="shared" si="545"/>
        <v>73</v>
      </c>
      <c r="CO110" s="61">
        <f t="shared" si="545"/>
        <v>74</v>
      </c>
      <c r="CP110" s="61">
        <f t="shared" si="545"/>
        <v>75</v>
      </c>
      <c r="CQ110" s="61">
        <f t="shared" si="545"/>
        <v>76</v>
      </c>
      <c r="CR110" s="61">
        <f t="shared" si="545"/>
        <v>77</v>
      </c>
      <c r="CS110" s="61">
        <f t="shared" si="545"/>
        <v>78</v>
      </c>
      <c r="CT110" s="61">
        <f t="shared" si="545"/>
        <v>79</v>
      </c>
      <c r="CU110" s="61">
        <f t="shared" si="545"/>
        <v>80</v>
      </c>
      <c r="CV110" s="61">
        <f t="shared" si="545"/>
        <v>81</v>
      </c>
      <c r="CW110" s="61">
        <f t="shared" si="545"/>
        <v>82</v>
      </c>
      <c r="CX110" s="61">
        <f t="shared" si="545"/>
        <v>83</v>
      </c>
      <c r="CY110" s="61">
        <f t="shared" si="545"/>
        <v>84</v>
      </c>
      <c r="CZ110" s="61">
        <f t="shared" si="545"/>
        <v>85</v>
      </c>
      <c r="DA110" s="61">
        <f t="shared" si="545"/>
        <v>86</v>
      </c>
      <c r="DB110" s="61">
        <f t="shared" si="545"/>
        <v>87</v>
      </c>
      <c r="DC110" s="61">
        <f t="shared" si="545"/>
        <v>88</v>
      </c>
      <c r="DD110" s="61">
        <f t="shared" si="545"/>
        <v>89</v>
      </c>
      <c r="DE110" s="61">
        <f t="shared" si="545"/>
        <v>90</v>
      </c>
      <c r="DF110" s="61">
        <f t="shared" si="545"/>
        <v>91</v>
      </c>
      <c r="DG110" s="61">
        <f t="shared" si="545"/>
        <v>92</v>
      </c>
      <c r="DH110" s="61">
        <f t="shared" si="545"/>
        <v>93</v>
      </c>
      <c r="DI110" s="61">
        <f t="shared" si="545"/>
        <v>94</v>
      </c>
      <c r="DJ110" s="61">
        <f t="shared" si="545"/>
        <v>95</v>
      </c>
      <c r="DK110" s="61">
        <f t="shared" si="545"/>
        <v>96</v>
      </c>
      <c r="DL110" s="61">
        <f t="shared" si="545"/>
        <v>97</v>
      </c>
      <c r="DM110" s="61">
        <f t="shared" ref="DM110:ER110" si="546">DL110+1</f>
        <v>98</v>
      </c>
      <c r="DN110" s="61">
        <f t="shared" si="546"/>
        <v>99</v>
      </c>
      <c r="DO110" s="61">
        <f t="shared" si="546"/>
        <v>100</v>
      </c>
      <c r="DP110" s="61">
        <f t="shared" si="546"/>
        <v>101</v>
      </c>
      <c r="DQ110" s="61">
        <f t="shared" si="546"/>
        <v>102</v>
      </c>
      <c r="DR110" s="61">
        <f t="shared" si="546"/>
        <v>103</v>
      </c>
      <c r="DS110" s="61">
        <f t="shared" si="546"/>
        <v>104</v>
      </c>
      <c r="DT110" s="61">
        <f t="shared" si="546"/>
        <v>105</v>
      </c>
      <c r="DU110" s="61">
        <f t="shared" si="546"/>
        <v>106</v>
      </c>
      <c r="DV110" s="61">
        <f t="shared" si="546"/>
        <v>107</v>
      </c>
      <c r="DW110" s="61">
        <f t="shared" si="546"/>
        <v>108</v>
      </c>
      <c r="DX110" s="61">
        <f t="shared" si="546"/>
        <v>109</v>
      </c>
      <c r="DY110" s="61">
        <f t="shared" si="546"/>
        <v>110</v>
      </c>
      <c r="DZ110" s="61">
        <f t="shared" si="546"/>
        <v>111</v>
      </c>
      <c r="EA110" s="61">
        <f t="shared" si="546"/>
        <v>112</v>
      </c>
      <c r="EB110" s="61">
        <f t="shared" si="546"/>
        <v>113</v>
      </c>
      <c r="EC110" s="61">
        <f t="shared" si="546"/>
        <v>114</v>
      </c>
      <c r="ED110" s="61">
        <f t="shared" si="546"/>
        <v>115</v>
      </c>
      <c r="EE110" s="61">
        <f t="shared" si="546"/>
        <v>116</v>
      </c>
      <c r="EF110" s="61">
        <f t="shared" si="546"/>
        <v>117</v>
      </c>
      <c r="EG110" s="61">
        <f t="shared" si="546"/>
        <v>118</v>
      </c>
      <c r="EH110" s="61">
        <f t="shared" si="546"/>
        <v>119</v>
      </c>
      <c r="EI110" s="61">
        <f t="shared" si="546"/>
        <v>120</v>
      </c>
      <c r="EJ110" s="61">
        <f t="shared" si="546"/>
        <v>121</v>
      </c>
      <c r="EK110" s="61">
        <f t="shared" si="546"/>
        <v>122</v>
      </c>
      <c r="EL110" s="61">
        <f t="shared" si="546"/>
        <v>123</v>
      </c>
      <c r="EM110" s="61">
        <f t="shared" si="546"/>
        <v>124</v>
      </c>
      <c r="EN110" s="61">
        <f t="shared" si="546"/>
        <v>125</v>
      </c>
      <c r="EO110" s="61">
        <f t="shared" si="546"/>
        <v>126</v>
      </c>
      <c r="EP110" s="61">
        <f t="shared" si="546"/>
        <v>127</v>
      </c>
      <c r="EQ110" s="61">
        <f t="shared" si="546"/>
        <v>128</v>
      </c>
      <c r="ER110" s="61">
        <f t="shared" si="546"/>
        <v>129</v>
      </c>
      <c r="ES110" s="61">
        <f t="shared" ref="ES110:FX110" si="547">ER110+1</f>
        <v>130</v>
      </c>
      <c r="ET110" s="61">
        <f t="shared" si="547"/>
        <v>131</v>
      </c>
      <c r="EU110" s="61">
        <f t="shared" si="547"/>
        <v>132</v>
      </c>
      <c r="EV110" s="61">
        <f t="shared" si="547"/>
        <v>133</v>
      </c>
      <c r="EW110" s="61">
        <f t="shared" si="547"/>
        <v>134</v>
      </c>
      <c r="EX110" s="61">
        <f t="shared" si="547"/>
        <v>135</v>
      </c>
      <c r="EY110" s="61">
        <f t="shared" si="547"/>
        <v>136</v>
      </c>
      <c r="EZ110" s="61">
        <f t="shared" si="547"/>
        <v>137</v>
      </c>
      <c r="FA110" s="61">
        <f t="shared" si="547"/>
        <v>138</v>
      </c>
      <c r="FB110" s="61">
        <f t="shared" si="547"/>
        <v>139</v>
      </c>
      <c r="FC110" s="61">
        <f t="shared" si="547"/>
        <v>140</v>
      </c>
      <c r="FD110" s="61">
        <f t="shared" si="547"/>
        <v>141</v>
      </c>
      <c r="FE110" s="61">
        <f t="shared" si="547"/>
        <v>142</v>
      </c>
      <c r="FF110" s="61">
        <f t="shared" si="547"/>
        <v>143</v>
      </c>
      <c r="FG110" s="61">
        <f t="shared" si="547"/>
        <v>144</v>
      </c>
      <c r="FH110" s="61">
        <f t="shared" si="547"/>
        <v>145</v>
      </c>
      <c r="FI110" s="61">
        <f t="shared" si="547"/>
        <v>146</v>
      </c>
      <c r="FJ110" s="61">
        <f t="shared" si="547"/>
        <v>147</v>
      </c>
      <c r="FK110" s="61">
        <f t="shared" si="547"/>
        <v>148</v>
      </c>
      <c r="FL110" s="61">
        <f t="shared" si="547"/>
        <v>149</v>
      </c>
      <c r="FM110" s="61">
        <f t="shared" si="547"/>
        <v>150</v>
      </c>
      <c r="FN110" s="61">
        <f t="shared" si="547"/>
        <v>151</v>
      </c>
      <c r="FO110" s="61">
        <f t="shared" si="547"/>
        <v>152</v>
      </c>
      <c r="FP110" s="61">
        <f t="shared" si="547"/>
        <v>153</v>
      </c>
      <c r="FQ110" s="61">
        <f t="shared" si="547"/>
        <v>154</v>
      </c>
      <c r="FR110" s="61">
        <f t="shared" si="547"/>
        <v>155</v>
      </c>
      <c r="FS110" s="61">
        <f t="shared" si="547"/>
        <v>156</v>
      </c>
      <c r="FT110" s="61">
        <f t="shared" si="547"/>
        <v>157</v>
      </c>
      <c r="FU110" s="61">
        <f t="shared" si="547"/>
        <v>158</v>
      </c>
      <c r="FV110" s="61">
        <f t="shared" si="547"/>
        <v>159</v>
      </c>
      <c r="FW110" s="61">
        <f t="shared" si="547"/>
        <v>160</v>
      </c>
      <c r="FX110" s="61">
        <f t="shared" si="547"/>
        <v>161</v>
      </c>
      <c r="FY110" s="61">
        <f t="shared" ref="FY110:GQ110" si="548">FX110+1</f>
        <v>162</v>
      </c>
      <c r="FZ110" s="61">
        <f t="shared" si="548"/>
        <v>163</v>
      </c>
      <c r="GA110" s="61">
        <f t="shared" si="548"/>
        <v>164</v>
      </c>
      <c r="GB110" s="61">
        <f t="shared" si="548"/>
        <v>165</v>
      </c>
      <c r="GC110" s="61">
        <f t="shared" si="548"/>
        <v>166</v>
      </c>
      <c r="GD110" s="61">
        <f t="shared" si="548"/>
        <v>167</v>
      </c>
      <c r="GE110" s="61">
        <f t="shared" si="548"/>
        <v>168</v>
      </c>
      <c r="GF110" s="61">
        <f t="shared" si="548"/>
        <v>169</v>
      </c>
      <c r="GG110" s="61">
        <f t="shared" si="548"/>
        <v>170</v>
      </c>
      <c r="GH110" s="61">
        <f t="shared" si="548"/>
        <v>171</v>
      </c>
      <c r="GI110" s="61">
        <f t="shared" si="548"/>
        <v>172</v>
      </c>
      <c r="GJ110" s="61">
        <f t="shared" si="548"/>
        <v>173</v>
      </c>
      <c r="GK110" s="61">
        <f t="shared" si="548"/>
        <v>174</v>
      </c>
      <c r="GL110" s="61">
        <f t="shared" si="548"/>
        <v>175</v>
      </c>
      <c r="GM110" s="61">
        <f t="shared" si="548"/>
        <v>176</v>
      </c>
      <c r="GN110" s="61">
        <f t="shared" si="548"/>
        <v>177</v>
      </c>
      <c r="GO110" s="61">
        <f t="shared" si="548"/>
        <v>178</v>
      </c>
      <c r="GP110" s="61">
        <f t="shared" si="548"/>
        <v>179</v>
      </c>
      <c r="GQ110" s="61">
        <f t="shared" si="548"/>
        <v>180</v>
      </c>
      <c r="GS110" s="80" t="s">
        <v>303</v>
      </c>
      <c r="GT110" s="77"/>
      <c r="GU110" s="77"/>
      <c r="GV110" s="77"/>
      <c r="GW110" s="77"/>
      <c r="GX110" s="77"/>
      <c r="GY110" s="77"/>
      <c r="GZ110" s="77">
        <f>GZ105+GZ106+GZ107-GZ109</f>
        <v>1503730.7027027027</v>
      </c>
      <c r="HA110" s="77">
        <f t="shared" ref="HA110:JL110" si="549">HA105+HA106+HA107-HA109</f>
        <v>1515721.6624933083</v>
      </c>
      <c r="HB110" s="77">
        <f t="shared" si="549"/>
        <v>1527808.2398811614</v>
      </c>
      <c r="HC110" s="77">
        <f t="shared" si="549"/>
        <v>1539991.1973344099</v>
      </c>
      <c r="HD110" s="77">
        <f t="shared" si="549"/>
        <v>1552271.3034012301</v>
      </c>
      <c r="HE110" s="77">
        <f t="shared" si="549"/>
        <v>1564649.3327583091</v>
      </c>
      <c r="HF110" s="77">
        <f t="shared" si="549"/>
        <v>1577126.0662597143</v>
      </c>
      <c r="HG110" s="77">
        <f t="shared" si="549"/>
        <v>1589702.2909861538</v>
      </c>
      <c r="HH110" s="77">
        <f t="shared" si="549"/>
        <v>1602378.8002946274</v>
      </c>
      <c r="HI110" s="77">
        <f t="shared" si="549"/>
        <v>1615156.3938684752</v>
      </c>
      <c r="HJ110" s="77">
        <f t="shared" si="549"/>
        <v>1628035.8777678243</v>
      </c>
      <c r="HK110" s="77">
        <f t="shared" si="549"/>
        <v>1498630.2464122726</v>
      </c>
      <c r="HL110" s="77">
        <f t="shared" si="549"/>
        <v>1510580.5344481666</v>
      </c>
      <c r="HM110" s="77">
        <f t="shared" si="549"/>
        <v>1522626.1157590249</v>
      </c>
      <c r="HN110" s="77">
        <f t="shared" si="549"/>
        <v>1534767.7502268036</v>
      </c>
      <c r="HO110" s="77">
        <f t="shared" si="549"/>
        <v>1547006.2037928649</v>
      </c>
      <c r="HP110" s="77">
        <f t="shared" si="549"/>
        <v>1559342.2485062946</v>
      </c>
      <c r="HQ110" s="77">
        <f t="shared" si="549"/>
        <v>1571776.6625726062</v>
      </c>
      <c r="HR110" s="77">
        <f t="shared" si="549"/>
        <v>1584310.2304028338</v>
      </c>
      <c r="HS110" s="77">
        <f t="shared" si="549"/>
        <v>1596943.7426630149</v>
      </c>
      <c r="HT110" s="77">
        <f t="shared" si="549"/>
        <v>1609677.9963240689</v>
      </c>
      <c r="HU110" s="77">
        <f t="shared" si="549"/>
        <v>1622513.7947120734</v>
      </c>
      <c r="HV110" s="77">
        <f t="shared" si="549"/>
        <v>1635451.9475589411</v>
      </c>
      <c r="HW110" s="77">
        <f t="shared" si="549"/>
        <v>1648493.2710535002</v>
      </c>
      <c r="HX110" s="77">
        <f t="shared" si="549"/>
        <v>1661638.5878929838</v>
      </c>
      <c r="HY110" s="77">
        <f t="shared" si="549"/>
        <v>1674888.7273349278</v>
      </c>
      <c r="HZ110" s="77">
        <f t="shared" si="549"/>
        <v>1513816.5381370881</v>
      </c>
      <c r="IA110" s="77">
        <f t="shared" si="549"/>
        <v>1525887.9237957902</v>
      </c>
      <c r="IB110" s="77">
        <f t="shared" si="549"/>
        <v>1538055.5683789062</v>
      </c>
      <c r="IC110" s="77">
        <f t="shared" si="549"/>
        <v>1550320.2394686171</v>
      </c>
      <c r="ID110" s="77">
        <f t="shared" si="549"/>
        <v>1555730.3713647339</v>
      </c>
      <c r="IE110" s="77">
        <f t="shared" si="549"/>
        <v>1484702.6497370675</v>
      </c>
      <c r="IF110" s="77">
        <f t="shared" si="549"/>
        <v>1413108.5430827972</v>
      </c>
      <c r="IG110" s="77">
        <f t="shared" si="549"/>
        <v>1340943.5349681838</v>
      </c>
      <c r="IH110" s="77">
        <f t="shared" si="549"/>
        <v>1268203.0729448115</v>
      </c>
      <c r="II110" s="77">
        <f t="shared" si="549"/>
        <v>1194882.5682624015</v>
      </c>
      <c r="IJ110" s="77">
        <f t="shared" si="549"/>
        <v>1114471.6812936214</v>
      </c>
      <c r="IK110" s="77">
        <f t="shared" si="549"/>
        <v>1033419.5866201397</v>
      </c>
      <c r="IL110" s="77">
        <f t="shared" si="549"/>
        <v>929493.21952582838</v>
      </c>
      <c r="IM110" s="77">
        <f t="shared" si="549"/>
        <v>592989.58182679117</v>
      </c>
      <c r="IN110" s="77">
        <f t="shared" si="549"/>
        <v>253802.61686590483</v>
      </c>
      <c r="IO110" s="77">
        <f t="shared" si="549"/>
        <v>0</v>
      </c>
      <c r="IP110" s="77">
        <f t="shared" si="549"/>
        <v>0</v>
      </c>
      <c r="IQ110" s="77">
        <f t="shared" si="549"/>
        <v>0</v>
      </c>
      <c r="IR110" s="77">
        <f t="shared" si="549"/>
        <v>0</v>
      </c>
      <c r="IS110" s="77">
        <f t="shared" si="549"/>
        <v>0</v>
      </c>
      <c r="IT110" s="77">
        <f t="shared" si="549"/>
        <v>0</v>
      </c>
      <c r="IU110" s="77">
        <f t="shared" si="549"/>
        <v>0</v>
      </c>
      <c r="IV110" s="77">
        <f t="shared" si="549"/>
        <v>0</v>
      </c>
      <c r="IW110" s="77">
        <f t="shared" si="549"/>
        <v>0</v>
      </c>
      <c r="IX110" s="77">
        <f t="shared" si="549"/>
        <v>0</v>
      </c>
      <c r="IY110" s="77">
        <f t="shared" si="549"/>
        <v>0</v>
      </c>
      <c r="IZ110" s="77">
        <f t="shared" si="549"/>
        <v>0</v>
      </c>
      <c r="JA110" s="77">
        <f t="shared" si="549"/>
        <v>0</v>
      </c>
      <c r="JB110" s="77">
        <f t="shared" si="549"/>
        <v>0</v>
      </c>
      <c r="JC110" s="77">
        <f t="shared" si="549"/>
        <v>0</v>
      </c>
      <c r="JD110" s="77">
        <f t="shared" si="549"/>
        <v>0</v>
      </c>
      <c r="JE110" s="77">
        <f t="shared" si="549"/>
        <v>0</v>
      </c>
      <c r="JF110" s="77">
        <f t="shared" si="549"/>
        <v>0</v>
      </c>
      <c r="JG110" s="77">
        <f t="shared" si="549"/>
        <v>0</v>
      </c>
      <c r="JH110" s="77">
        <f t="shared" si="549"/>
        <v>0</v>
      </c>
      <c r="JI110" s="77">
        <f t="shared" si="549"/>
        <v>0</v>
      </c>
      <c r="JJ110" s="77">
        <f t="shared" si="549"/>
        <v>0</v>
      </c>
      <c r="JK110" s="77">
        <f t="shared" si="549"/>
        <v>0</v>
      </c>
      <c r="JL110" s="77">
        <f t="shared" si="549"/>
        <v>0</v>
      </c>
      <c r="JM110" s="77">
        <f t="shared" ref="JM110:LX110" si="550">JM105+JM106+JM107-JM109</f>
        <v>0</v>
      </c>
      <c r="JN110" s="77">
        <f t="shared" si="550"/>
        <v>0</v>
      </c>
      <c r="JO110" s="77">
        <f t="shared" si="550"/>
        <v>0</v>
      </c>
      <c r="JP110" s="77">
        <f t="shared" si="550"/>
        <v>0</v>
      </c>
      <c r="JQ110" s="77">
        <f t="shared" si="550"/>
        <v>0</v>
      </c>
      <c r="JR110" s="77">
        <f t="shared" si="550"/>
        <v>0</v>
      </c>
      <c r="JS110" s="77">
        <f t="shared" si="550"/>
        <v>0</v>
      </c>
      <c r="JT110" s="77">
        <f t="shared" si="550"/>
        <v>0</v>
      </c>
      <c r="JU110" s="77">
        <f t="shared" si="550"/>
        <v>0</v>
      </c>
      <c r="JV110" s="77">
        <f t="shared" si="550"/>
        <v>0</v>
      </c>
      <c r="JW110" s="77">
        <f t="shared" si="550"/>
        <v>0</v>
      </c>
      <c r="JX110" s="77">
        <f t="shared" si="550"/>
        <v>0</v>
      </c>
      <c r="JY110" s="77">
        <f t="shared" si="550"/>
        <v>0</v>
      </c>
      <c r="JZ110" s="77">
        <f t="shared" si="550"/>
        <v>0</v>
      </c>
      <c r="KA110" s="77">
        <f t="shared" si="550"/>
        <v>0</v>
      </c>
      <c r="KB110" s="77">
        <f t="shared" si="550"/>
        <v>0</v>
      </c>
      <c r="KC110" s="77">
        <f t="shared" si="550"/>
        <v>0</v>
      </c>
      <c r="KD110" s="77">
        <f t="shared" si="550"/>
        <v>0</v>
      </c>
      <c r="KE110" s="77">
        <f t="shared" si="550"/>
        <v>0</v>
      </c>
      <c r="KF110" s="77">
        <f t="shared" si="550"/>
        <v>0</v>
      </c>
      <c r="KG110" s="77">
        <f t="shared" si="550"/>
        <v>0</v>
      </c>
      <c r="KH110" s="77">
        <f t="shared" si="550"/>
        <v>0</v>
      </c>
      <c r="KI110" s="77">
        <f t="shared" si="550"/>
        <v>0</v>
      </c>
      <c r="KJ110" s="77">
        <f t="shared" si="550"/>
        <v>0</v>
      </c>
      <c r="KK110" s="77">
        <f t="shared" si="550"/>
        <v>0</v>
      </c>
      <c r="KL110" s="77">
        <f t="shared" si="550"/>
        <v>0</v>
      </c>
      <c r="KM110" s="77">
        <f t="shared" si="550"/>
        <v>0</v>
      </c>
      <c r="KN110" s="77">
        <f t="shared" si="550"/>
        <v>0</v>
      </c>
      <c r="KO110" s="77">
        <f t="shared" si="550"/>
        <v>0</v>
      </c>
      <c r="KP110" s="77">
        <f t="shared" si="550"/>
        <v>0</v>
      </c>
      <c r="KQ110" s="77">
        <f t="shared" si="550"/>
        <v>0</v>
      </c>
      <c r="KR110" s="77">
        <f t="shared" si="550"/>
        <v>0</v>
      </c>
      <c r="KS110" s="77">
        <f t="shared" si="550"/>
        <v>0</v>
      </c>
      <c r="KT110" s="77">
        <f t="shared" si="550"/>
        <v>0</v>
      </c>
      <c r="KU110" s="77">
        <f t="shared" si="550"/>
        <v>0</v>
      </c>
      <c r="KV110" s="77">
        <f t="shared" si="550"/>
        <v>0</v>
      </c>
      <c r="KW110" s="77">
        <f t="shared" si="550"/>
        <v>0</v>
      </c>
      <c r="KX110" s="77">
        <f t="shared" si="550"/>
        <v>0</v>
      </c>
      <c r="KY110" s="77">
        <f t="shared" si="550"/>
        <v>0</v>
      </c>
      <c r="KZ110" s="77">
        <f t="shared" si="550"/>
        <v>0</v>
      </c>
      <c r="LA110" s="77">
        <f t="shared" si="550"/>
        <v>0</v>
      </c>
      <c r="LB110" s="77">
        <f t="shared" si="550"/>
        <v>0</v>
      </c>
      <c r="LC110" s="77">
        <f t="shared" si="550"/>
        <v>0</v>
      </c>
      <c r="LD110" s="77">
        <f t="shared" si="550"/>
        <v>0</v>
      </c>
      <c r="LE110" s="77">
        <f t="shared" si="550"/>
        <v>0</v>
      </c>
      <c r="LF110" s="77">
        <f t="shared" si="550"/>
        <v>0</v>
      </c>
      <c r="LG110" s="77">
        <f t="shared" si="550"/>
        <v>0</v>
      </c>
      <c r="LH110" s="77">
        <f t="shared" si="550"/>
        <v>0</v>
      </c>
      <c r="LI110" s="77">
        <f t="shared" si="550"/>
        <v>0</v>
      </c>
      <c r="LJ110" s="77">
        <f t="shared" si="550"/>
        <v>0</v>
      </c>
      <c r="LK110" s="77">
        <f t="shared" si="550"/>
        <v>0</v>
      </c>
      <c r="LL110" s="77">
        <f t="shared" si="550"/>
        <v>0</v>
      </c>
      <c r="LM110" s="77">
        <f t="shared" si="550"/>
        <v>0</v>
      </c>
      <c r="LN110" s="77">
        <f t="shared" si="550"/>
        <v>0</v>
      </c>
      <c r="LO110" s="77">
        <f t="shared" si="550"/>
        <v>0</v>
      </c>
      <c r="LP110" s="77">
        <f t="shared" si="550"/>
        <v>0</v>
      </c>
      <c r="LQ110" s="77">
        <f t="shared" si="550"/>
        <v>0</v>
      </c>
      <c r="LR110" s="77">
        <f t="shared" si="550"/>
        <v>0</v>
      </c>
      <c r="LS110" s="77">
        <f t="shared" si="550"/>
        <v>0</v>
      </c>
      <c r="LT110" s="77">
        <f t="shared" si="550"/>
        <v>0</v>
      </c>
      <c r="LU110" s="77">
        <f t="shared" si="550"/>
        <v>0</v>
      </c>
      <c r="LV110" s="77">
        <f t="shared" si="550"/>
        <v>0</v>
      </c>
      <c r="LW110" s="77">
        <f t="shared" si="550"/>
        <v>0</v>
      </c>
      <c r="LX110" s="77">
        <f t="shared" si="550"/>
        <v>0</v>
      </c>
      <c r="LY110" s="77">
        <f t="shared" ref="LY110:NW110" si="551">LY105+LY106+LY107-LY109</f>
        <v>0</v>
      </c>
      <c r="LZ110" s="77">
        <f t="shared" si="551"/>
        <v>0</v>
      </c>
      <c r="MA110" s="77">
        <f t="shared" si="551"/>
        <v>0</v>
      </c>
      <c r="MB110" s="77">
        <f t="shared" si="551"/>
        <v>0</v>
      </c>
      <c r="MC110" s="77">
        <f t="shared" si="551"/>
        <v>0</v>
      </c>
      <c r="MD110" s="77">
        <f t="shared" si="551"/>
        <v>0</v>
      </c>
      <c r="ME110" s="77">
        <f t="shared" si="551"/>
        <v>0</v>
      </c>
      <c r="MF110" s="77">
        <f t="shared" si="551"/>
        <v>0</v>
      </c>
      <c r="MG110" s="77">
        <f t="shared" si="551"/>
        <v>0</v>
      </c>
      <c r="MH110" s="77">
        <f t="shared" si="551"/>
        <v>0</v>
      </c>
      <c r="MI110" s="77">
        <f t="shared" si="551"/>
        <v>0</v>
      </c>
      <c r="MJ110" s="77">
        <f t="shared" si="551"/>
        <v>0</v>
      </c>
      <c r="MK110" s="77">
        <f t="shared" si="551"/>
        <v>0</v>
      </c>
      <c r="ML110" s="77">
        <f t="shared" si="551"/>
        <v>0</v>
      </c>
      <c r="MM110" s="77">
        <f t="shared" si="551"/>
        <v>0</v>
      </c>
      <c r="MN110" s="77">
        <f t="shared" si="551"/>
        <v>0</v>
      </c>
      <c r="MO110" s="77">
        <f t="shared" si="551"/>
        <v>0</v>
      </c>
      <c r="MP110" s="77">
        <f t="shared" si="551"/>
        <v>0</v>
      </c>
      <c r="MQ110" s="77">
        <f t="shared" si="551"/>
        <v>0</v>
      </c>
      <c r="MR110" s="77">
        <f t="shared" si="551"/>
        <v>0</v>
      </c>
      <c r="MS110" s="77">
        <f t="shared" si="551"/>
        <v>0</v>
      </c>
      <c r="MT110" s="77">
        <f t="shared" si="551"/>
        <v>0</v>
      </c>
      <c r="MU110" s="77">
        <f t="shared" si="551"/>
        <v>0</v>
      </c>
      <c r="MV110" s="77">
        <f t="shared" si="551"/>
        <v>0</v>
      </c>
      <c r="MW110" s="77">
        <f t="shared" si="551"/>
        <v>0</v>
      </c>
      <c r="MX110" s="77">
        <f t="shared" si="551"/>
        <v>0</v>
      </c>
      <c r="MY110" s="77">
        <f t="shared" si="551"/>
        <v>0</v>
      </c>
      <c r="MZ110" s="77">
        <f t="shared" si="551"/>
        <v>0</v>
      </c>
      <c r="NA110" s="77">
        <f t="shared" si="551"/>
        <v>0</v>
      </c>
      <c r="NB110" s="77">
        <f t="shared" si="551"/>
        <v>0</v>
      </c>
      <c r="NC110" s="77">
        <f t="shared" si="551"/>
        <v>0</v>
      </c>
      <c r="ND110" s="77">
        <f t="shared" si="551"/>
        <v>0</v>
      </c>
      <c r="NE110" s="77">
        <f t="shared" si="551"/>
        <v>0</v>
      </c>
      <c r="NF110" s="77">
        <f t="shared" si="551"/>
        <v>0</v>
      </c>
      <c r="NG110" s="77">
        <f t="shared" si="551"/>
        <v>0</v>
      </c>
      <c r="NH110" s="77">
        <f t="shared" si="551"/>
        <v>0</v>
      </c>
      <c r="NI110" s="77">
        <f t="shared" si="551"/>
        <v>0</v>
      </c>
      <c r="NJ110" s="77">
        <f t="shared" si="551"/>
        <v>0</v>
      </c>
      <c r="NK110" s="77">
        <f t="shared" si="551"/>
        <v>0</v>
      </c>
      <c r="NL110" s="77">
        <f t="shared" si="551"/>
        <v>0</v>
      </c>
      <c r="NM110" s="77">
        <f t="shared" si="551"/>
        <v>0</v>
      </c>
      <c r="NN110" s="77">
        <f t="shared" si="551"/>
        <v>0</v>
      </c>
      <c r="NO110" s="77">
        <f t="shared" si="551"/>
        <v>0</v>
      </c>
      <c r="NP110" s="77">
        <f t="shared" si="551"/>
        <v>0</v>
      </c>
      <c r="NQ110" s="77">
        <f t="shared" si="551"/>
        <v>0</v>
      </c>
      <c r="NR110" s="77">
        <f t="shared" si="551"/>
        <v>0</v>
      </c>
      <c r="NS110" s="77">
        <f t="shared" si="551"/>
        <v>0</v>
      </c>
      <c r="NT110" s="77">
        <f t="shared" si="551"/>
        <v>0</v>
      </c>
      <c r="NU110" s="77">
        <f t="shared" si="551"/>
        <v>0</v>
      </c>
      <c r="NV110" s="77">
        <f t="shared" si="551"/>
        <v>0</v>
      </c>
      <c r="NW110" s="77">
        <f t="shared" si="551"/>
        <v>0</v>
      </c>
    </row>
    <row r="111" spans="2:387" x14ac:dyDescent="0.3">
      <c r="B111" s="26" t="s">
        <v>304</v>
      </c>
      <c r="C111" s="19"/>
      <c r="D111" s="97" t="s">
        <v>160</v>
      </c>
      <c r="E111" s="57">
        <v>0.1</v>
      </c>
      <c r="F111" s="19"/>
      <c r="G111" s="19" t="s">
        <v>305</v>
      </c>
      <c r="H111" s="57">
        <v>0.4</v>
      </c>
      <c r="I111" s="87"/>
      <c r="J111" s="23">
        <f>L111/$L$8</f>
        <v>726.43995299647474</v>
      </c>
      <c r="K111" s="29">
        <f>L111/$L$7</f>
        <v>9.6023671947809891E-2</v>
      </c>
      <c r="L111" s="23">
        <f>Equity_Total*E111</f>
        <v>167081.1891891892</v>
      </c>
      <c r="N111" s="9" t="s">
        <v>306</v>
      </c>
      <c r="S111" s="69" t="str">
        <f>IF(ROUND(L111,0)=ROUND(SUM(T111:GQ111),0),"OK","ERROR")</f>
        <v>OK</v>
      </c>
      <c r="T111" s="50">
        <f>$E111*T$67</f>
        <v>167081.1891891892</v>
      </c>
      <c r="U111" s="50">
        <f t="shared" ref="U111:CF112" si="552">$E111*U$67</f>
        <v>0</v>
      </c>
      <c r="V111" s="50">
        <f t="shared" si="552"/>
        <v>0</v>
      </c>
      <c r="W111" s="50">
        <f t="shared" si="552"/>
        <v>0</v>
      </c>
      <c r="X111" s="50">
        <f t="shared" si="552"/>
        <v>0</v>
      </c>
      <c r="Y111" s="50">
        <f t="shared" si="552"/>
        <v>0</v>
      </c>
      <c r="Z111" s="50">
        <f t="shared" si="552"/>
        <v>0</v>
      </c>
      <c r="AA111" s="50">
        <f t="shared" si="552"/>
        <v>0</v>
      </c>
      <c r="AB111" s="50">
        <f t="shared" si="552"/>
        <v>0</v>
      </c>
      <c r="AC111" s="50">
        <f t="shared" si="552"/>
        <v>0</v>
      </c>
      <c r="AD111" s="50">
        <f t="shared" si="552"/>
        <v>0</v>
      </c>
      <c r="AE111" s="50">
        <f t="shared" si="552"/>
        <v>0</v>
      </c>
      <c r="AF111" s="50">
        <f t="shared" si="552"/>
        <v>0</v>
      </c>
      <c r="AG111" s="50">
        <f t="shared" si="552"/>
        <v>0</v>
      </c>
      <c r="AH111" s="50">
        <f t="shared" si="552"/>
        <v>0</v>
      </c>
      <c r="AI111" s="50">
        <f t="shared" si="552"/>
        <v>0</v>
      </c>
      <c r="AJ111" s="50">
        <f t="shared" si="552"/>
        <v>0</v>
      </c>
      <c r="AK111" s="50">
        <f t="shared" si="552"/>
        <v>0</v>
      </c>
      <c r="AL111" s="50">
        <f t="shared" si="552"/>
        <v>0</v>
      </c>
      <c r="AM111" s="50">
        <f t="shared" si="552"/>
        <v>0</v>
      </c>
      <c r="AN111" s="50">
        <f t="shared" si="552"/>
        <v>0</v>
      </c>
      <c r="AO111" s="50">
        <f t="shared" si="552"/>
        <v>0</v>
      </c>
      <c r="AP111" s="50">
        <f t="shared" si="552"/>
        <v>0</v>
      </c>
      <c r="AQ111" s="50">
        <f t="shared" si="552"/>
        <v>0</v>
      </c>
      <c r="AR111" s="50">
        <f t="shared" si="552"/>
        <v>0</v>
      </c>
      <c r="AS111" s="50">
        <f t="shared" si="552"/>
        <v>0</v>
      </c>
      <c r="AT111" s="50">
        <f t="shared" si="552"/>
        <v>0</v>
      </c>
      <c r="AU111" s="50">
        <f t="shared" si="552"/>
        <v>0</v>
      </c>
      <c r="AV111" s="50">
        <f t="shared" si="552"/>
        <v>0</v>
      </c>
      <c r="AW111" s="50">
        <f t="shared" si="552"/>
        <v>0</v>
      </c>
      <c r="AX111" s="50">
        <f t="shared" si="552"/>
        <v>0</v>
      </c>
      <c r="AY111" s="50">
        <f t="shared" si="552"/>
        <v>0</v>
      </c>
      <c r="AZ111" s="50">
        <f t="shared" si="552"/>
        <v>0</v>
      </c>
      <c r="BA111" s="50">
        <f t="shared" si="552"/>
        <v>0</v>
      </c>
      <c r="BB111" s="50">
        <f t="shared" si="552"/>
        <v>0</v>
      </c>
      <c r="BC111" s="50">
        <f t="shared" si="552"/>
        <v>0</v>
      </c>
      <c r="BD111" s="50">
        <f t="shared" si="552"/>
        <v>0</v>
      </c>
      <c r="BE111" s="50">
        <f t="shared" si="552"/>
        <v>0</v>
      </c>
      <c r="BF111" s="50">
        <f t="shared" si="552"/>
        <v>0</v>
      </c>
      <c r="BG111" s="50">
        <f t="shared" si="552"/>
        <v>0</v>
      </c>
      <c r="BH111" s="50">
        <f t="shared" si="552"/>
        <v>0</v>
      </c>
      <c r="BI111" s="50">
        <f t="shared" si="552"/>
        <v>0</v>
      </c>
      <c r="BJ111" s="50">
        <f t="shared" si="552"/>
        <v>0</v>
      </c>
      <c r="BK111" s="50">
        <f t="shared" si="552"/>
        <v>0</v>
      </c>
      <c r="BL111" s="50">
        <f t="shared" si="552"/>
        <v>0</v>
      </c>
      <c r="BM111" s="50">
        <f t="shared" si="552"/>
        <v>0</v>
      </c>
      <c r="BN111" s="50">
        <f t="shared" si="552"/>
        <v>0</v>
      </c>
      <c r="BO111" s="50">
        <f t="shared" si="552"/>
        <v>0</v>
      </c>
      <c r="BP111" s="50">
        <f t="shared" si="552"/>
        <v>0</v>
      </c>
      <c r="BQ111" s="50">
        <f t="shared" si="552"/>
        <v>0</v>
      </c>
      <c r="BR111" s="50">
        <f t="shared" si="552"/>
        <v>0</v>
      </c>
      <c r="BS111" s="50">
        <f t="shared" si="552"/>
        <v>0</v>
      </c>
      <c r="BT111" s="50">
        <f t="shared" si="552"/>
        <v>0</v>
      </c>
      <c r="BU111" s="50">
        <f t="shared" si="552"/>
        <v>0</v>
      </c>
      <c r="BV111" s="50">
        <f t="shared" si="552"/>
        <v>0</v>
      </c>
      <c r="BW111" s="50">
        <f t="shared" si="552"/>
        <v>0</v>
      </c>
      <c r="BX111" s="50">
        <f t="shared" si="552"/>
        <v>0</v>
      </c>
      <c r="BY111" s="50">
        <f t="shared" si="552"/>
        <v>0</v>
      </c>
      <c r="BZ111" s="50">
        <f t="shared" si="552"/>
        <v>0</v>
      </c>
      <c r="CA111" s="50">
        <f t="shared" si="552"/>
        <v>0</v>
      </c>
      <c r="CB111" s="50">
        <f t="shared" si="552"/>
        <v>0</v>
      </c>
      <c r="CC111" s="50">
        <f t="shared" si="552"/>
        <v>0</v>
      </c>
      <c r="CD111" s="50">
        <f t="shared" si="552"/>
        <v>0</v>
      </c>
      <c r="CE111" s="50">
        <f t="shared" si="552"/>
        <v>0</v>
      </c>
      <c r="CF111" s="50">
        <f t="shared" si="552"/>
        <v>0</v>
      </c>
      <c r="CG111" s="50">
        <f t="shared" ref="CG111:ER112" si="553">$E111*CG$67</f>
        <v>0</v>
      </c>
      <c r="CH111" s="50">
        <f t="shared" si="553"/>
        <v>0</v>
      </c>
      <c r="CI111" s="50">
        <f t="shared" si="553"/>
        <v>0</v>
      </c>
      <c r="CJ111" s="50">
        <f t="shared" si="553"/>
        <v>0</v>
      </c>
      <c r="CK111" s="50">
        <f t="shared" si="553"/>
        <v>0</v>
      </c>
      <c r="CL111" s="50">
        <f t="shared" si="553"/>
        <v>0</v>
      </c>
      <c r="CM111" s="50">
        <f t="shared" si="553"/>
        <v>0</v>
      </c>
      <c r="CN111" s="50">
        <f t="shared" si="553"/>
        <v>0</v>
      </c>
      <c r="CO111" s="50">
        <f t="shared" si="553"/>
        <v>0</v>
      </c>
      <c r="CP111" s="50">
        <f t="shared" si="553"/>
        <v>0</v>
      </c>
      <c r="CQ111" s="50">
        <f t="shared" si="553"/>
        <v>0</v>
      </c>
      <c r="CR111" s="50">
        <f t="shared" si="553"/>
        <v>0</v>
      </c>
      <c r="CS111" s="50">
        <f t="shared" si="553"/>
        <v>0</v>
      </c>
      <c r="CT111" s="50">
        <f t="shared" si="553"/>
        <v>0</v>
      </c>
      <c r="CU111" s="50">
        <f t="shared" si="553"/>
        <v>0</v>
      </c>
      <c r="CV111" s="50">
        <f t="shared" si="553"/>
        <v>0</v>
      </c>
      <c r="CW111" s="50">
        <f t="shared" si="553"/>
        <v>0</v>
      </c>
      <c r="CX111" s="50">
        <f t="shared" si="553"/>
        <v>0</v>
      </c>
      <c r="CY111" s="50">
        <f t="shared" si="553"/>
        <v>0</v>
      </c>
      <c r="CZ111" s="50">
        <f t="shared" si="553"/>
        <v>0</v>
      </c>
      <c r="DA111" s="50">
        <f t="shared" si="553"/>
        <v>0</v>
      </c>
      <c r="DB111" s="50">
        <f t="shared" si="553"/>
        <v>0</v>
      </c>
      <c r="DC111" s="50">
        <f t="shared" si="553"/>
        <v>0</v>
      </c>
      <c r="DD111" s="50">
        <f t="shared" si="553"/>
        <v>0</v>
      </c>
      <c r="DE111" s="50">
        <f t="shared" si="553"/>
        <v>0</v>
      </c>
      <c r="DF111" s="50">
        <f t="shared" si="553"/>
        <v>0</v>
      </c>
      <c r="DG111" s="50">
        <f t="shared" si="553"/>
        <v>0</v>
      </c>
      <c r="DH111" s="50">
        <f t="shared" si="553"/>
        <v>0</v>
      </c>
      <c r="DI111" s="50">
        <f t="shared" si="553"/>
        <v>0</v>
      </c>
      <c r="DJ111" s="50">
        <f t="shared" si="553"/>
        <v>0</v>
      </c>
      <c r="DK111" s="50">
        <f t="shared" si="553"/>
        <v>0</v>
      </c>
      <c r="DL111" s="50">
        <f t="shared" si="553"/>
        <v>0</v>
      </c>
      <c r="DM111" s="50">
        <f t="shared" si="553"/>
        <v>0</v>
      </c>
      <c r="DN111" s="50">
        <f t="shared" si="553"/>
        <v>0</v>
      </c>
      <c r="DO111" s="50">
        <f t="shared" si="553"/>
        <v>0</v>
      </c>
      <c r="DP111" s="50">
        <f t="shared" si="553"/>
        <v>0</v>
      </c>
      <c r="DQ111" s="50">
        <f t="shared" si="553"/>
        <v>0</v>
      </c>
      <c r="DR111" s="50">
        <f t="shared" si="553"/>
        <v>0</v>
      </c>
      <c r="DS111" s="50">
        <f t="shared" si="553"/>
        <v>0</v>
      </c>
      <c r="DT111" s="50">
        <f t="shared" si="553"/>
        <v>0</v>
      </c>
      <c r="DU111" s="50">
        <f t="shared" si="553"/>
        <v>0</v>
      </c>
      <c r="DV111" s="50">
        <f t="shared" si="553"/>
        <v>0</v>
      </c>
      <c r="DW111" s="50">
        <f t="shared" si="553"/>
        <v>0</v>
      </c>
      <c r="DX111" s="50">
        <f t="shared" si="553"/>
        <v>0</v>
      </c>
      <c r="DY111" s="50">
        <f t="shared" si="553"/>
        <v>0</v>
      </c>
      <c r="DZ111" s="50">
        <f t="shared" si="553"/>
        <v>0</v>
      </c>
      <c r="EA111" s="50">
        <f t="shared" si="553"/>
        <v>0</v>
      </c>
      <c r="EB111" s="50">
        <f t="shared" si="553"/>
        <v>0</v>
      </c>
      <c r="EC111" s="50">
        <f t="shared" si="553"/>
        <v>0</v>
      </c>
      <c r="ED111" s="50">
        <f t="shared" si="553"/>
        <v>0</v>
      </c>
      <c r="EE111" s="50">
        <f t="shared" si="553"/>
        <v>0</v>
      </c>
      <c r="EF111" s="50">
        <f t="shared" si="553"/>
        <v>0</v>
      </c>
      <c r="EG111" s="50">
        <f t="shared" si="553"/>
        <v>0</v>
      </c>
      <c r="EH111" s="50">
        <f t="shared" si="553"/>
        <v>0</v>
      </c>
      <c r="EI111" s="50">
        <f t="shared" si="553"/>
        <v>0</v>
      </c>
      <c r="EJ111" s="50">
        <f t="shared" si="553"/>
        <v>0</v>
      </c>
      <c r="EK111" s="50">
        <f t="shared" si="553"/>
        <v>0</v>
      </c>
      <c r="EL111" s="50">
        <f t="shared" si="553"/>
        <v>0</v>
      </c>
      <c r="EM111" s="50">
        <f t="shared" si="553"/>
        <v>0</v>
      </c>
      <c r="EN111" s="50">
        <f t="shared" si="553"/>
        <v>0</v>
      </c>
      <c r="EO111" s="50">
        <f t="shared" si="553"/>
        <v>0</v>
      </c>
      <c r="EP111" s="50">
        <f t="shared" si="553"/>
        <v>0</v>
      </c>
      <c r="EQ111" s="50">
        <f t="shared" si="553"/>
        <v>0</v>
      </c>
      <c r="ER111" s="50">
        <f t="shared" si="553"/>
        <v>0</v>
      </c>
      <c r="ES111" s="50">
        <f t="shared" ref="ES111:GQ112" si="554">$E111*ES$67</f>
        <v>0</v>
      </c>
      <c r="ET111" s="50">
        <f t="shared" si="554"/>
        <v>0</v>
      </c>
      <c r="EU111" s="50">
        <f t="shared" si="554"/>
        <v>0</v>
      </c>
      <c r="EV111" s="50">
        <f t="shared" si="554"/>
        <v>0</v>
      </c>
      <c r="EW111" s="50">
        <f t="shared" si="554"/>
        <v>0</v>
      </c>
      <c r="EX111" s="50">
        <f t="shared" si="554"/>
        <v>0</v>
      </c>
      <c r="EY111" s="50">
        <f t="shared" si="554"/>
        <v>0</v>
      </c>
      <c r="EZ111" s="50">
        <f t="shared" si="554"/>
        <v>0</v>
      </c>
      <c r="FA111" s="50">
        <f t="shared" si="554"/>
        <v>0</v>
      </c>
      <c r="FB111" s="50">
        <f t="shared" si="554"/>
        <v>0</v>
      </c>
      <c r="FC111" s="50">
        <f t="shared" si="554"/>
        <v>0</v>
      </c>
      <c r="FD111" s="50">
        <f t="shared" si="554"/>
        <v>0</v>
      </c>
      <c r="FE111" s="50">
        <f t="shared" si="554"/>
        <v>0</v>
      </c>
      <c r="FF111" s="50">
        <f t="shared" si="554"/>
        <v>0</v>
      </c>
      <c r="FG111" s="50">
        <f t="shared" si="554"/>
        <v>0</v>
      </c>
      <c r="FH111" s="50">
        <f t="shared" si="554"/>
        <v>0</v>
      </c>
      <c r="FI111" s="50">
        <f t="shared" si="554"/>
        <v>0</v>
      </c>
      <c r="FJ111" s="50">
        <f t="shared" si="554"/>
        <v>0</v>
      </c>
      <c r="FK111" s="50">
        <f t="shared" si="554"/>
        <v>0</v>
      </c>
      <c r="FL111" s="50">
        <f t="shared" si="554"/>
        <v>0</v>
      </c>
      <c r="FM111" s="50">
        <f t="shared" si="554"/>
        <v>0</v>
      </c>
      <c r="FN111" s="50">
        <f t="shared" si="554"/>
        <v>0</v>
      </c>
      <c r="FO111" s="50">
        <f t="shared" si="554"/>
        <v>0</v>
      </c>
      <c r="FP111" s="50">
        <f t="shared" si="554"/>
        <v>0</v>
      </c>
      <c r="FQ111" s="50">
        <f t="shared" si="554"/>
        <v>0</v>
      </c>
      <c r="FR111" s="50">
        <f t="shared" si="554"/>
        <v>0</v>
      </c>
      <c r="FS111" s="50">
        <f t="shared" si="554"/>
        <v>0</v>
      </c>
      <c r="FT111" s="50">
        <f t="shared" si="554"/>
        <v>0</v>
      </c>
      <c r="FU111" s="50">
        <f t="shared" si="554"/>
        <v>0</v>
      </c>
      <c r="FV111" s="50">
        <f t="shared" si="554"/>
        <v>0</v>
      </c>
      <c r="FW111" s="50">
        <f t="shared" si="554"/>
        <v>0</v>
      </c>
      <c r="FX111" s="50">
        <f t="shared" si="554"/>
        <v>0</v>
      </c>
      <c r="FY111" s="50">
        <f t="shared" si="554"/>
        <v>0</v>
      </c>
      <c r="FZ111" s="50">
        <f t="shared" si="554"/>
        <v>0</v>
      </c>
      <c r="GA111" s="50">
        <f t="shared" si="554"/>
        <v>0</v>
      </c>
      <c r="GB111" s="50">
        <f t="shared" si="554"/>
        <v>0</v>
      </c>
      <c r="GC111" s="50">
        <f t="shared" si="554"/>
        <v>0</v>
      </c>
      <c r="GD111" s="50">
        <f t="shared" si="554"/>
        <v>0</v>
      </c>
      <c r="GE111" s="50">
        <f t="shared" si="554"/>
        <v>0</v>
      </c>
      <c r="GF111" s="50">
        <f t="shared" si="554"/>
        <v>0</v>
      </c>
      <c r="GG111" s="50">
        <f t="shared" si="554"/>
        <v>0</v>
      </c>
      <c r="GH111" s="50">
        <f t="shared" si="554"/>
        <v>0</v>
      </c>
      <c r="GI111" s="50">
        <f t="shared" si="554"/>
        <v>0</v>
      </c>
      <c r="GJ111" s="50">
        <f t="shared" si="554"/>
        <v>0</v>
      </c>
      <c r="GK111" s="50">
        <f t="shared" si="554"/>
        <v>0</v>
      </c>
      <c r="GL111" s="50">
        <f t="shared" si="554"/>
        <v>0</v>
      </c>
      <c r="GM111" s="50">
        <f t="shared" si="554"/>
        <v>0</v>
      </c>
      <c r="GN111" s="50">
        <f t="shared" si="554"/>
        <v>0</v>
      </c>
      <c r="GO111" s="50">
        <f t="shared" si="554"/>
        <v>0</v>
      </c>
      <c r="GP111" s="50">
        <f t="shared" si="554"/>
        <v>0</v>
      </c>
      <c r="GQ111" s="50">
        <f t="shared" si="554"/>
        <v>0</v>
      </c>
      <c r="GS111" s="80" t="s">
        <v>307</v>
      </c>
      <c r="GT111" s="77"/>
      <c r="GU111" s="77"/>
      <c r="GV111" s="77"/>
      <c r="GW111" s="77"/>
      <c r="GX111" s="77"/>
      <c r="GY111" s="101">
        <f>XIRR(GZ111:NW111,GZ101:NW101)</f>
        <v>0.10010051131248474</v>
      </c>
      <c r="GZ111" s="77">
        <f>-GZ107+GZ109</f>
        <v>-1503730.7027027027</v>
      </c>
      <c r="HA111" s="77">
        <f t="shared" ref="HA111:JL111" si="555">-HA107+HA109</f>
        <v>0</v>
      </c>
      <c r="HB111" s="77">
        <f t="shared" si="555"/>
        <v>0</v>
      </c>
      <c r="HC111" s="77">
        <f t="shared" si="555"/>
        <v>0</v>
      </c>
      <c r="HD111" s="77">
        <f t="shared" si="555"/>
        <v>0</v>
      </c>
      <c r="HE111" s="77">
        <f t="shared" si="555"/>
        <v>0</v>
      </c>
      <c r="HF111" s="77">
        <f t="shared" si="555"/>
        <v>0</v>
      </c>
      <c r="HG111" s="77">
        <f t="shared" si="555"/>
        <v>0</v>
      </c>
      <c r="HH111" s="77">
        <f t="shared" si="555"/>
        <v>0</v>
      </c>
      <c r="HI111" s="77">
        <f t="shared" si="555"/>
        <v>0</v>
      </c>
      <c r="HJ111" s="77">
        <f t="shared" si="555"/>
        <v>0</v>
      </c>
      <c r="HK111" s="77">
        <f t="shared" si="555"/>
        <v>142387.81806816612</v>
      </c>
      <c r="HL111" s="77">
        <f t="shared" si="555"/>
        <v>0</v>
      </c>
      <c r="HM111" s="77">
        <f t="shared" si="555"/>
        <v>0</v>
      </c>
      <c r="HN111" s="77">
        <f t="shared" si="555"/>
        <v>0</v>
      </c>
      <c r="HO111" s="77">
        <f t="shared" si="555"/>
        <v>0</v>
      </c>
      <c r="HP111" s="77">
        <f t="shared" si="555"/>
        <v>0</v>
      </c>
      <c r="HQ111" s="77">
        <f t="shared" si="555"/>
        <v>0</v>
      </c>
      <c r="HR111" s="77">
        <f t="shared" si="555"/>
        <v>0</v>
      </c>
      <c r="HS111" s="77">
        <f t="shared" si="555"/>
        <v>0</v>
      </c>
      <c r="HT111" s="77">
        <f t="shared" si="555"/>
        <v>0</v>
      </c>
      <c r="HU111" s="77">
        <f t="shared" si="555"/>
        <v>0</v>
      </c>
      <c r="HV111" s="77">
        <f t="shared" si="555"/>
        <v>0</v>
      </c>
      <c r="HW111" s="77">
        <f t="shared" si="555"/>
        <v>0</v>
      </c>
      <c r="HX111" s="77">
        <f t="shared" si="555"/>
        <v>0</v>
      </c>
      <c r="HY111" s="77">
        <f t="shared" si="555"/>
        <v>0</v>
      </c>
      <c r="HZ111" s="77">
        <f t="shared" si="555"/>
        <v>174427.98711239634</v>
      </c>
      <c r="IA111" s="77">
        <f t="shared" si="555"/>
        <v>0</v>
      </c>
      <c r="IB111" s="77">
        <f t="shared" si="555"/>
        <v>0</v>
      </c>
      <c r="IC111" s="77">
        <f t="shared" si="555"/>
        <v>0</v>
      </c>
      <c r="ID111" s="77">
        <f t="shared" si="555"/>
        <v>6952.3394031775624</v>
      </c>
      <c r="IE111" s="77">
        <f t="shared" si="555"/>
        <v>83433.334078439351</v>
      </c>
      <c r="IF111" s="77">
        <f t="shared" si="555"/>
        <v>83433.334078439351</v>
      </c>
      <c r="IG111" s="77">
        <f t="shared" si="555"/>
        <v>83433.334078439351</v>
      </c>
      <c r="IH111" s="77">
        <f t="shared" si="555"/>
        <v>83433.334078439351</v>
      </c>
      <c r="II111" s="77">
        <f t="shared" si="555"/>
        <v>83433.334078439351</v>
      </c>
      <c r="IJ111" s="77">
        <f t="shared" si="555"/>
        <v>89939.048364153627</v>
      </c>
      <c r="IK111" s="77">
        <f t="shared" si="555"/>
        <v>89939.048364153627</v>
      </c>
      <c r="IL111" s="77">
        <f t="shared" si="555"/>
        <v>112167</v>
      </c>
      <c r="IM111" s="77">
        <f t="shared" si="555"/>
        <v>343915.54715925007</v>
      </c>
      <c r="IN111" s="77">
        <f t="shared" si="555"/>
        <v>343915.54715925007</v>
      </c>
      <c r="IO111" s="77">
        <f t="shared" si="555"/>
        <v>255826.47457401681</v>
      </c>
      <c r="IP111" s="77">
        <f t="shared" si="555"/>
        <v>0</v>
      </c>
      <c r="IQ111" s="77">
        <f t="shared" si="555"/>
        <v>0</v>
      </c>
      <c r="IR111" s="77">
        <f t="shared" si="555"/>
        <v>0</v>
      </c>
      <c r="IS111" s="77">
        <f t="shared" si="555"/>
        <v>0</v>
      </c>
      <c r="IT111" s="77">
        <f t="shared" si="555"/>
        <v>0</v>
      </c>
      <c r="IU111" s="77">
        <f t="shared" si="555"/>
        <v>0</v>
      </c>
      <c r="IV111" s="77">
        <f t="shared" si="555"/>
        <v>0</v>
      </c>
      <c r="IW111" s="77">
        <f t="shared" si="555"/>
        <v>0</v>
      </c>
      <c r="IX111" s="77">
        <f t="shared" si="555"/>
        <v>0</v>
      </c>
      <c r="IY111" s="77">
        <f t="shared" si="555"/>
        <v>0</v>
      </c>
      <c r="IZ111" s="77">
        <f t="shared" si="555"/>
        <v>0</v>
      </c>
      <c r="JA111" s="77">
        <f t="shared" si="555"/>
        <v>0</v>
      </c>
      <c r="JB111" s="77">
        <f t="shared" si="555"/>
        <v>0</v>
      </c>
      <c r="JC111" s="77">
        <f t="shared" si="555"/>
        <v>0</v>
      </c>
      <c r="JD111" s="77">
        <f t="shared" si="555"/>
        <v>0</v>
      </c>
      <c r="JE111" s="77">
        <f t="shared" si="555"/>
        <v>0</v>
      </c>
      <c r="JF111" s="77">
        <f t="shared" si="555"/>
        <v>0</v>
      </c>
      <c r="JG111" s="77">
        <f t="shared" si="555"/>
        <v>0</v>
      </c>
      <c r="JH111" s="77">
        <f t="shared" si="555"/>
        <v>0</v>
      </c>
      <c r="JI111" s="77">
        <f t="shared" si="555"/>
        <v>0</v>
      </c>
      <c r="JJ111" s="77">
        <f t="shared" si="555"/>
        <v>0</v>
      </c>
      <c r="JK111" s="77">
        <f t="shared" si="555"/>
        <v>0</v>
      </c>
      <c r="JL111" s="77">
        <f t="shared" si="555"/>
        <v>0</v>
      </c>
      <c r="JM111" s="77">
        <f t="shared" ref="JM111:LX111" si="556">-JM107+JM109</f>
        <v>0</v>
      </c>
      <c r="JN111" s="77">
        <f t="shared" si="556"/>
        <v>0</v>
      </c>
      <c r="JO111" s="77">
        <f t="shared" si="556"/>
        <v>0</v>
      </c>
      <c r="JP111" s="77">
        <f t="shared" si="556"/>
        <v>0</v>
      </c>
      <c r="JQ111" s="77">
        <f t="shared" si="556"/>
        <v>0</v>
      </c>
      <c r="JR111" s="77">
        <f t="shared" si="556"/>
        <v>0</v>
      </c>
      <c r="JS111" s="77">
        <f t="shared" si="556"/>
        <v>0</v>
      </c>
      <c r="JT111" s="77">
        <f t="shared" si="556"/>
        <v>0</v>
      </c>
      <c r="JU111" s="77">
        <f t="shared" si="556"/>
        <v>0</v>
      </c>
      <c r="JV111" s="77">
        <f t="shared" si="556"/>
        <v>0</v>
      </c>
      <c r="JW111" s="77">
        <f t="shared" si="556"/>
        <v>0</v>
      </c>
      <c r="JX111" s="77">
        <f t="shared" si="556"/>
        <v>0</v>
      </c>
      <c r="JY111" s="77">
        <f t="shared" si="556"/>
        <v>0</v>
      </c>
      <c r="JZ111" s="77">
        <f t="shared" si="556"/>
        <v>0</v>
      </c>
      <c r="KA111" s="77">
        <f t="shared" si="556"/>
        <v>0</v>
      </c>
      <c r="KB111" s="77">
        <f t="shared" si="556"/>
        <v>0</v>
      </c>
      <c r="KC111" s="77">
        <f t="shared" si="556"/>
        <v>0</v>
      </c>
      <c r="KD111" s="77">
        <f t="shared" si="556"/>
        <v>0</v>
      </c>
      <c r="KE111" s="77">
        <f t="shared" si="556"/>
        <v>0</v>
      </c>
      <c r="KF111" s="77">
        <f t="shared" si="556"/>
        <v>0</v>
      </c>
      <c r="KG111" s="77">
        <f t="shared" si="556"/>
        <v>0</v>
      </c>
      <c r="KH111" s="77">
        <f t="shared" si="556"/>
        <v>0</v>
      </c>
      <c r="KI111" s="77">
        <f t="shared" si="556"/>
        <v>0</v>
      </c>
      <c r="KJ111" s="77">
        <f t="shared" si="556"/>
        <v>0</v>
      </c>
      <c r="KK111" s="77">
        <f t="shared" si="556"/>
        <v>0</v>
      </c>
      <c r="KL111" s="77">
        <f t="shared" si="556"/>
        <v>0</v>
      </c>
      <c r="KM111" s="77">
        <f t="shared" si="556"/>
        <v>0</v>
      </c>
      <c r="KN111" s="77">
        <f t="shared" si="556"/>
        <v>0</v>
      </c>
      <c r="KO111" s="77">
        <f t="shared" si="556"/>
        <v>0</v>
      </c>
      <c r="KP111" s="77">
        <f t="shared" si="556"/>
        <v>0</v>
      </c>
      <c r="KQ111" s="77">
        <f t="shared" si="556"/>
        <v>0</v>
      </c>
      <c r="KR111" s="77">
        <f t="shared" si="556"/>
        <v>0</v>
      </c>
      <c r="KS111" s="77">
        <f t="shared" si="556"/>
        <v>0</v>
      </c>
      <c r="KT111" s="77">
        <f t="shared" si="556"/>
        <v>0</v>
      </c>
      <c r="KU111" s="77">
        <f t="shared" si="556"/>
        <v>0</v>
      </c>
      <c r="KV111" s="77">
        <f t="shared" si="556"/>
        <v>0</v>
      </c>
      <c r="KW111" s="77">
        <f t="shared" si="556"/>
        <v>0</v>
      </c>
      <c r="KX111" s="77">
        <f t="shared" si="556"/>
        <v>0</v>
      </c>
      <c r="KY111" s="77">
        <f t="shared" si="556"/>
        <v>0</v>
      </c>
      <c r="KZ111" s="77">
        <f t="shared" si="556"/>
        <v>0</v>
      </c>
      <c r="LA111" s="77">
        <f t="shared" si="556"/>
        <v>0</v>
      </c>
      <c r="LB111" s="77">
        <f t="shared" si="556"/>
        <v>0</v>
      </c>
      <c r="LC111" s="77">
        <f t="shared" si="556"/>
        <v>0</v>
      </c>
      <c r="LD111" s="77">
        <f t="shared" si="556"/>
        <v>0</v>
      </c>
      <c r="LE111" s="77">
        <f t="shared" si="556"/>
        <v>0</v>
      </c>
      <c r="LF111" s="77">
        <f t="shared" si="556"/>
        <v>0</v>
      </c>
      <c r="LG111" s="77">
        <f t="shared" si="556"/>
        <v>0</v>
      </c>
      <c r="LH111" s="77">
        <f t="shared" si="556"/>
        <v>0</v>
      </c>
      <c r="LI111" s="77">
        <f t="shared" si="556"/>
        <v>0</v>
      </c>
      <c r="LJ111" s="77">
        <f t="shared" si="556"/>
        <v>0</v>
      </c>
      <c r="LK111" s="77">
        <f t="shared" si="556"/>
        <v>0</v>
      </c>
      <c r="LL111" s="77">
        <f t="shared" si="556"/>
        <v>0</v>
      </c>
      <c r="LM111" s="77">
        <f t="shared" si="556"/>
        <v>0</v>
      </c>
      <c r="LN111" s="77">
        <f t="shared" si="556"/>
        <v>0</v>
      </c>
      <c r="LO111" s="77">
        <f t="shared" si="556"/>
        <v>0</v>
      </c>
      <c r="LP111" s="77">
        <f t="shared" si="556"/>
        <v>0</v>
      </c>
      <c r="LQ111" s="77">
        <f t="shared" si="556"/>
        <v>0</v>
      </c>
      <c r="LR111" s="77">
        <f t="shared" si="556"/>
        <v>0</v>
      </c>
      <c r="LS111" s="77">
        <f t="shared" si="556"/>
        <v>0</v>
      </c>
      <c r="LT111" s="77">
        <f t="shared" si="556"/>
        <v>0</v>
      </c>
      <c r="LU111" s="77">
        <f t="shared" si="556"/>
        <v>0</v>
      </c>
      <c r="LV111" s="77">
        <f t="shared" si="556"/>
        <v>0</v>
      </c>
      <c r="LW111" s="77">
        <f t="shared" si="556"/>
        <v>0</v>
      </c>
      <c r="LX111" s="77">
        <f t="shared" si="556"/>
        <v>0</v>
      </c>
      <c r="LY111" s="77">
        <f t="shared" ref="LY111:NW111" si="557">-LY107+LY109</f>
        <v>0</v>
      </c>
      <c r="LZ111" s="77">
        <f t="shared" si="557"/>
        <v>0</v>
      </c>
      <c r="MA111" s="77">
        <f t="shared" si="557"/>
        <v>0</v>
      </c>
      <c r="MB111" s="77">
        <f t="shared" si="557"/>
        <v>0</v>
      </c>
      <c r="MC111" s="77">
        <f t="shared" si="557"/>
        <v>0</v>
      </c>
      <c r="MD111" s="77">
        <f t="shared" si="557"/>
        <v>0</v>
      </c>
      <c r="ME111" s="77">
        <f t="shared" si="557"/>
        <v>0</v>
      </c>
      <c r="MF111" s="77">
        <f t="shared" si="557"/>
        <v>0</v>
      </c>
      <c r="MG111" s="77">
        <f t="shared" si="557"/>
        <v>0</v>
      </c>
      <c r="MH111" s="77">
        <f t="shared" si="557"/>
        <v>0</v>
      </c>
      <c r="MI111" s="77">
        <f t="shared" si="557"/>
        <v>0</v>
      </c>
      <c r="MJ111" s="77">
        <f t="shared" si="557"/>
        <v>0</v>
      </c>
      <c r="MK111" s="77">
        <f t="shared" si="557"/>
        <v>0</v>
      </c>
      <c r="ML111" s="77">
        <f t="shared" si="557"/>
        <v>0</v>
      </c>
      <c r="MM111" s="77">
        <f t="shared" si="557"/>
        <v>0</v>
      </c>
      <c r="MN111" s="77">
        <f t="shared" si="557"/>
        <v>0</v>
      </c>
      <c r="MO111" s="77">
        <f t="shared" si="557"/>
        <v>0</v>
      </c>
      <c r="MP111" s="77">
        <f t="shared" si="557"/>
        <v>0</v>
      </c>
      <c r="MQ111" s="77">
        <f t="shared" si="557"/>
        <v>0</v>
      </c>
      <c r="MR111" s="77">
        <f t="shared" si="557"/>
        <v>0</v>
      </c>
      <c r="MS111" s="77">
        <f t="shared" si="557"/>
        <v>0</v>
      </c>
      <c r="MT111" s="77">
        <f t="shared" si="557"/>
        <v>0</v>
      </c>
      <c r="MU111" s="77">
        <f t="shared" si="557"/>
        <v>0</v>
      </c>
      <c r="MV111" s="77">
        <f t="shared" si="557"/>
        <v>0</v>
      </c>
      <c r="MW111" s="77">
        <f t="shared" si="557"/>
        <v>0</v>
      </c>
      <c r="MX111" s="77">
        <f t="shared" si="557"/>
        <v>0</v>
      </c>
      <c r="MY111" s="77">
        <f t="shared" si="557"/>
        <v>0</v>
      </c>
      <c r="MZ111" s="77">
        <f t="shared" si="557"/>
        <v>0</v>
      </c>
      <c r="NA111" s="77">
        <f t="shared" si="557"/>
        <v>0</v>
      </c>
      <c r="NB111" s="77">
        <f t="shared" si="557"/>
        <v>0</v>
      </c>
      <c r="NC111" s="77">
        <f t="shared" si="557"/>
        <v>0</v>
      </c>
      <c r="ND111" s="77">
        <f t="shared" si="557"/>
        <v>0</v>
      </c>
      <c r="NE111" s="77">
        <f t="shared" si="557"/>
        <v>0</v>
      </c>
      <c r="NF111" s="77">
        <f t="shared" si="557"/>
        <v>0</v>
      </c>
      <c r="NG111" s="77">
        <f t="shared" si="557"/>
        <v>0</v>
      </c>
      <c r="NH111" s="77">
        <f t="shared" si="557"/>
        <v>0</v>
      </c>
      <c r="NI111" s="77">
        <f t="shared" si="557"/>
        <v>0</v>
      </c>
      <c r="NJ111" s="77">
        <f t="shared" si="557"/>
        <v>0</v>
      </c>
      <c r="NK111" s="77">
        <f t="shared" si="557"/>
        <v>0</v>
      </c>
      <c r="NL111" s="77">
        <f t="shared" si="557"/>
        <v>0</v>
      </c>
      <c r="NM111" s="77">
        <f t="shared" si="557"/>
        <v>0</v>
      </c>
      <c r="NN111" s="77">
        <f t="shared" si="557"/>
        <v>0</v>
      </c>
      <c r="NO111" s="77">
        <f t="shared" si="557"/>
        <v>0</v>
      </c>
      <c r="NP111" s="77">
        <f t="shared" si="557"/>
        <v>0</v>
      </c>
      <c r="NQ111" s="77">
        <f t="shared" si="557"/>
        <v>0</v>
      </c>
      <c r="NR111" s="77">
        <f t="shared" si="557"/>
        <v>0</v>
      </c>
      <c r="NS111" s="77">
        <f t="shared" si="557"/>
        <v>0</v>
      </c>
      <c r="NT111" s="77">
        <f t="shared" si="557"/>
        <v>0</v>
      </c>
      <c r="NU111" s="77">
        <f t="shared" si="557"/>
        <v>0</v>
      </c>
      <c r="NV111" s="77">
        <f t="shared" si="557"/>
        <v>0</v>
      </c>
      <c r="NW111" s="77">
        <f t="shared" si="557"/>
        <v>0</v>
      </c>
    </row>
    <row r="112" spans="2:387" ht="15.5" x14ac:dyDescent="0.45">
      <c r="B112" s="26" t="s">
        <v>308</v>
      </c>
      <c r="C112" s="19"/>
      <c r="D112" s="97" t="s">
        <v>161</v>
      </c>
      <c r="E112" s="98">
        <f>1-E111</f>
        <v>0.9</v>
      </c>
      <c r="F112" s="19"/>
      <c r="G112" s="19" t="s">
        <v>309</v>
      </c>
      <c r="H112" s="57">
        <v>0.1</v>
      </c>
      <c r="I112" s="87"/>
      <c r="J112" s="31">
        <f>L112/$L$8</f>
        <v>6537.9595769682728</v>
      </c>
      <c r="K112" s="32">
        <f>L112/$L$7</f>
        <v>0.86421304753028894</v>
      </c>
      <c r="L112" s="31">
        <f>Equity_Total*E112</f>
        <v>1503730.7027027027</v>
      </c>
      <c r="N112" s="9" t="s">
        <v>306</v>
      </c>
      <c r="S112" s="69" t="str">
        <f>IF(ROUND(L112,0)=ROUND(SUM(T112:GQ112),0),"OK","ERROR")</f>
        <v>OK</v>
      </c>
      <c r="T112" s="62">
        <f>$E112*T$67</f>
        <v>1503730.7027027027</v>
      </c>
      <c r="U112" s="62">
        <f t="shared" si="552"/>
        <v>0</v>
      </c>
      <c r="V112" s="62">
        <f t="shared" si="552"/>
        <v>0</v>
      </c>
      <c r="W112" s="62">
        <f t="shared" si="552"/>
        <v>0</v>
      </c>
      <c r="X112" s="62">
        <f t="shared" si="552"/>
        <v>0</v>
      </c>
      <c r="Y112" s="62">
        <f t="shared" si="552"/>
        <v>0</v>
      </c>
      <c r="Z112" s="62">
        <f t="shared" si="552"/>
        <v>0</v>
      </c>
      <c r="AA112" s="62">
        <f t="shared" si="552"/>
        <v>0</v>
      </c>
      <c r="AB112" s="62">
        <f t="shared" si="552"/>
        <v>0</v>
      </c>
      <c r="AC112" s="62">
        <f t="shared" si="552"/>
        <v>0</v>
      </c>
      <c r="AD112" s="62">
        <f t="shared" si="552"/>
        <v>0</v>
      </c>
      <c r="AE112" s="62">
        <f t="shared" si="552"/>
        <v>0</v>
      </c>
      <c r="AF112" s="62">
        <f t="shared" si="552"/>
        <v>0</v>
      </c>
      <c r="AG112" s="62">
        <f t="shared" si="552"/>
        <v>0</v>
      </c>
      <c r="AH112" s="62">
        <f t="shared" si="552"/>
        <v>0</v>
      </c>
      <c r="AI112" s="62">
        <f t="shared" si="552"/>
        <v>0</v>
      </c>
      <c r="AJ112" s="62">
        <f t="shared" si="552"/>
        <v>0</v>
      </c>
      <c r="AK112" s="62">
        <f t="shared" si="552"/>
        <v>0</v>
      </c>
      <c r="AL112" s="62">
        <f t="shared" si="552"/>
        <v>0</v>
      </c>
      <c r="AM112" s="62">
        <f t="shared" si="552"/>
        <v>0</v>
      </c>
      <c r="AN112" s="62">
        <f t="shared" si="552"/>
        <v>0</v>
      </c>
      <c r="AO112" s="62">
        <f t="shared" si="552"/>
        <v>0</v>
      </c>
      <c r="AP112" s="62">
        <f t="shared" si="552"/>
        <v>0</v>
      </c>
      <c r="AQ112" s="62">
        <f t="shared" si="552"/>
        <v>0</v>
      </c>
      <c r="AR112" s="62">
        <f t="shared" si="552"/>
        <v>0</v>
      </c>
      <c r="AS112" s="62">
        <f t="shared" si="552"/>
        <v>0</v>
      </c>
      <c r="AT112" s="62">
        <f t="shared" si="552"/>
        <v>0</v>
      </c>
      <c r="AU112" s="62">
        <f t="shared" si="552"/>
        <v>0</v>
      </c>
      <c r="AV112" s="62">
        <f t="shared" si="552"/>
        <v>0</v>
      </c>
      <c r="AW112" s="62">
        <f t="shared" si="552"/>
        <v>0</v>
      </c>
      <c r="AX112" s="62">
        <f t="shared" si="552"/>
        <v>0</v>
      </c>
      <c r="AY112" s="62">
        <f t="shared" si="552"/>
        <v>0</v>
      </c>
      <c r="AZ112" s="62">
        <f t="shared" si="552"/>
        <v>0</v>
      </c>
      <c r="BA112" s="62">
        <f t="shared" si="552"/>
        <v>0</v>
      </c>
      <c r="BB112" s="62">
        <f t="shared" si="552"/>
        <v>0</v>
      </c>
      <c r="BC112" s="62">
        <f t="shared" si="552"/>
        <v>0</v>
      </c>
      <c r="BD112" s="62">
        <f t="shared" si="552"/>
        <v>0</v>
      </c>
      <c r="BE112" s="62">
        <f t="shared" si="552"/>
        <v>0</v>
      </c>
      <c r="BF112" s="62">
        <f t="shared" si="552"/>
        <v>0</v>
      </c>
      <c r="BG112" s="62">
        <f t="shared" si="552"/>
        <v>0</v>
      </c>
      <c r="BH112" s="62">
        <f t="shared" si="552"/>
        <v>0</v>
      </c>
      <c r="BI112" s="62">
        <f t="shared" si="552"/>
        <v>0</v>
      </c>
      <c r="BJ112" s="62">
        <f t="shared" si="552"/>
        <v>0</v>
      </c>
      <c r="BK112" s="62">
        <f t="shared" si="552"/>
        <v>0</v>
      </c>
      <c r="BL112" s="62">
        <f t="shared" si="552"/>
        <v>0</v>
      </c>
      <c r="BM112" s="62">
        <f t="shared" si="552"/>
        <v>0</v>
      </c>
      <c r="BN112" s="62">
        <f t="shared" si="552"/>
        <v>0</v>
      </c>
      <c r="BO112" s="62">
        <f t="shared" si="552"/>
        <v>0</v>
      </c>
      <c r="BP112" s="62">
        <f t="shared" si="552"/>
        <v>0</v>
      </c>
      <c r="BQ112" s="62">
        <f t="shared" si="552"/>
        <v>0</v>
      </c>
      <c r="BR112" s="62">
        <f t="shared" si="552"/>
        <v>0</v>
      </c>
      <c r="BS112" s="62">
        <f t="shared" si="552"/>
        <v>0</v>
      </c>
      <c r="BT112" s="62">
        <f t="shared" si="552"/>
        <v>0</v>
      </c>
      <c r="BU112" s="62">
        <f t="shared" si="552"/>
        <v>0</v>
      </c>
      <c r="BV112" s="62">
        <f t="shared" si="552"/>
        <v>0</v>
      </c>
      <c r="BW112" s="62">
        <f t="shared" si="552"/>
        <v>0</v>
      </c>
      <c r="BX112" s="62">
        <f t="shared" si="552"/>
        <v>0</v>
      </c>
      <c r="BY112" s="62">
        <f t="shared" si="552"/>
        <v>0</v>
      </c>
      <c r="BZ112" s="62">
        <f t="shared" si="552"/>
        <v>0</v>
      </c>
      <c r="CA112" s="62">
        <f t="shared" si="552"/>
        <v>0</v>
      </c>
      <c r="CB112" s="62">
        <f t="shared" si="552"/>
        <v>0</v>
      </c>
      <c r="CC112" s="62">
        <f t="shared" si="552"/>
        <v>0</v>
      </c>
      <c r="CD112" s="62">
        <f t="shared" si="552"/>
        <v>0</v>
      </c>
      <c r="CE112" s="62">
        <f t="shared" si="552"/>
        <v>0</v>
      </c>
      <c r="CF112" s="62">
        <f t="shared" si="552"/>
        <v>0</v>
      </c>
      <c r="CG112" s="62">
        <f t="shared" si="553"/>
        <v>0</v>
      </c>
      <c r="CH112" s="62">
        <f t="shared" si="553"/>
        <v>0</v>
      </c>
      <c r="CI112" s="62">
        <f t="shared" si="553"/>
        <v>0</v>
      </c>
      <c r="CJ112" s="62">
        <f t="shared" si="553"/>
        <v>0</v>
      </c>
      <c r="CK112" s="62">
        <f t="shared" si="553"/>
        <v>0</v>
      </c>
      <c r="CL112" s="62">
        <f t="shared" si="553"/>
        <v>0</v>
      </c>
      <c r="CM112" s="62">
        <f t="shared" si="553"/>
        <v>0</v>
      </c>
      <c r="CN112" s="62">
        <f t="shared" si="553"/>
        <v>0</v>
      </c>
      <c r="CO112" s="62">
        <f t="shared" si="553"/>
        <v>0</v>
      </c>
      <c r="CP112" s="62">
        <f t="shared" si="553"/>
        <v>0</v>
      </c>
      <c r="CQ112" s="62">
        <f t="shared" si="553"/>
        <v>0</v>
      </c>
      <c r="CR112" s="62">
        <f t="shared" si="553"/>
        <v>0</v>
      </c>
      <c r="CS112" s="62">
        <f t="shared" si="553"/>
        <v>0</v>
      </c>
      <c r="CT112" s="62">
        <f t="shared" si="553"/>
        <v>0</v>
      </c>
      <c r="CU112" s="62">
        <f t="shared" si="553"/>
        <v>0</v>
      </c>
      <c r="CV112" s="62">
        <f t="shared" si="553"/>
        <v>0</v>
      </c>
      <c r="CW112" s="62">
        <f t="shared" si="553"/>
        <v>0</v>
      </c>
      <c r="CX112" s="62">
        <f t="shared" si="553"/>
        <v>0</v>
      </c>
      <c r="CY112" s="62">
        <f t="shared" si="553"/>
        <v>0</v>
      </c>
      <c r="CZ112" s="62">
        <f t="shared" si="553"/>
        <v>0</v>
      </c>
      <c r="DA112" s="62">
        <f t="shared" si="553"/>
        <v>0</v>
      </c>
      <c r="DB112" s="62">
        <f t="shared" si="553"/>
        <v>0</v>
      </c>
      <c r="DC112" s="62">
        <f t="shared" si="553"/>
        <v>0</v>
      </c>
      <c r="DD112" s="62">
        <f t="shared" si="553"/>
        <v>0</v>
      </c>
      <c r="DE112" s="62">
        <f t="shared" si="553"/>
        <v>0</v>
      </c>
      <c r="DF112" s="62">
        <f t="shared" si="553"/>
        <v>0</v>
      </c>
      <c r="DG112" s="62">
        <f t="shared" si="553"/>
        <v>0</v>
      </c>
      <c r="DH112" s="62">
        <f t="shared" si="553"/>
        <v>0</v>
      </c>
      <c r="DI112" s="62">
        <f t="shared" si="553"/>
        <v>0</v>
      </c>
      <c r="DJ112" s="62">
        <f t="shared" si="553"/>
        <v>0</v>
      </c>
      <c r="DK112" s="62">
        <f t="shared" si="553"/>
        <v>0</v>
      </c>
      <c r="DL112" s="62">
        <f t="shared" si="553"/>
        <v>0</v>
      </c>
      <c r="DM112" s="62">
        <f t="shared" si="553"/>
        <v>0</v>
      </c>
      <c r="DN112" s="62">
        <f t="shared" si="553"/>
        <v>0</v>
      </c>
      <c r="DO112" s="62">
        <f t="shared" si="553"/>
        <v>0</v>
      </c>
      <c r="DP112" s="62">
        <f t="shared" si="553"/>
        <v>0</v>
      </c>
      <c r="DQ112" s="62">
        <f t="shared" si="553"/>
        <v>0</v>
      </c>
      <c r="DR112" s="62">
        <f t="shared" si="553"/>
        <v>0</v>
      </c>
      <c r="DS112" s="62">
        <f t="shared" si="553"/>
        <v>0</v>
      </c>
      <c r="DT112" s="62">
        <f t="shared" si="553"/>
        <v>0</v>
      </c>
      <c r="DU112" s="62">
        <f t="shared" si="553"/>
        <v>0</v>
      </c>
      <c r="DV112" s="62">
        <f t="shared" si="553"/>
        <v>0</v>
      </c>
      <c r="DW112" s="62">
        <f t="shared" si="553"/>
        <v>0</v>
      </c>
      <c r="DX112" s="62">
        <f t="shared" si="553"/>
        <v>0</v>
      </c>
      <c r="DY112" s="62">
        <f t="shared" si="553"/>
        <v>0</v>
      </c>
      <c r="DZ112" s="62">
        <f t="shared" si="553"/>
        <v>0</v>
      </c>
      <c r="EA112" s="62">
        <f t="shared" si="553"/>
        <v>0</v>
      </c>
      <c r="EB112" s="62">
        <f t="shared" si="553"/>
        <v>0</v>
      </c>
      <c r="EC112" s="62">
        <f t="shared" si="553"/>
        <v>0</v>
      </c>
      <c r="ED112" s="62">
        <f t="shared" si="553"/>
        <v>0</v>
      </c>
      <c r="EE112" s="62">
        <f t="shared" si="553"/>
        <v>0</v>
      </c>
      <c r="EF112" s="62">
        <f t="shared" si="553"/>
        <v>0</v>
      </c>
      <c r="EG112" s="62">
        <f t="shared" si="553"/>
        <v>0</v>
      </c>
      <c r="EH112" s="62">
        <f t="shared" si="553"/>
        <v>0</v>
      </c>
      <c r="EI112" s="62">
        <f t="shared" si="553"/>
        <v>0</v>
      </c>
      <c r="EJ112" s="62">
        <f t="shared" si="553"/>
        <v>0</v>
      </c>
      <c r="EK112" s="62">
        <f t="shared" si="553"/>
        <v>0</v>
      </c>
      <c r="EL112" s="62">
        <f t="shared" si="553"/>
        <v>0</v>
      </c>
      <c r="EM112" s="62">
        <f t="shared" si="553"/>
        <v>0</v>
      </c>
      <c r="EN112" s="62">
        <f t="shared" si="553"/>
        <v>0</v>
      </c>
      <c r="EO112" s="62">
        <f t="shared" si="553"/>
        <v>0</v>
      </c>
      <c r="EP112" s="62">
        <f t="shared" si="553"/>
        <v>0</v>
      </c>
      <c r="EQ112" s="62">
        <f t="shared" si="553"/>
        <v>0</v>
      </c>
      <c r="ER112" s="62">
        <f t="shared" si="553"/>
        <v>0</v>
      </c>
      <c r="ES112" s="62">
        <f t="shared" si="554"/>
        <v>0</v>
      </c>
      <c r="ET112" s="62">
        <f t="shared" si="554"/>
        <v>0</v>
      </c>
      <c r="EU112" s="62">
        <f t="shared" si="554"/>
        <v>0</v>
      </c>
      <c r="EV112" s="62">
        <f t="shared" si="554"/>
        <v>0</v>
      </c>
      <c r="EW112" s="62">
        <f t="shared" si="554"/>
        <v>0</v>
      </c>
      <c r="EX112" s="62">
        <f t="shared" si="554"/>
        <v>0</v>
      </c>
      <c r="EY112" s="62">
        <f t="shared" si="554"/>
        <v>0</v>
      </c>
      <c r="EZ112" s="62">
        <f t="shared" si="554"/>
        <v>0</v>
      </c>
      <c r="FA112" s="62">
        <f t="shared" si="554"/>
        <v>0</v>
      </c>
      <c r="FB112" s="62">
        <f t="shared" si="554"/>
        <v>0</v>
      </c>
      <c r="FC112" s="62">
        <f t="shared" si="554"/>
        <v>0</v>
      </c>
      <c r="FD112" s="62">
        <f t="shared" si="554"/>
        <v>0</v>
      </c>
      <c r="FE112" s="62">
        <f t="shared" si="554"/>
        <v>0</v>
      </c>
      <c r="FF112" s="62">
        <f t="shared" si="554"/>
        <v>0</v>
      </c>
      <c r="FG112" s="62">
        <f t="shared" si="554"/>
        <v>0</v>
      </c>
      <c r="FH112" s="62">
        <f t="shared" si="554"/>
        <v>0</v>
      </c>
      <c r="FI112" s="62">
        <f t="shared" si="554"/>
        <v>0</v>
      </c>
      <c r="FJ112" s="62">
        <f t="shared" si="554"/>
        <v>0</v>
      </c>
      <c r="FK112" s="62">
        <f t="shared" si="554"/>
        <v>0</v>
      </c>
      <c r="FL112" s="62">
        <f t="shared" si="554"/>
        <v>0</v>
      </c>
      <c r="FM112" s="62">
        <f t="shared" si="554"/>
        <v>0</v>
      </c>
      <c r="FN112" s="62">
        <f t="shared" si="554"/>
        <v>0</v>
      </c>
      <c r="FO112" s="62">
        <f t="shared" si="554"/>
        <v>0</v>
      </c>
      <c r="FP112" s="62">
        <f t="shared" si="554"/>
        <v>0</v>
      </c>
      <c r="FQ112" s="62">
        <f t="shared" si="554"/>
        <v>0</v>
      </c>
      <c r="FR112" s="62">
        <f t="shared" si="554"/>
        <v>0</v>
      </c>
      <c r="FS112" s="62">
        <f t="shared" si="554"/>
        <v>0</v>
      </c>
      <c r="FT112" s="62">
        <f t="shared" si="554"/>
        <v>0</v>
      </c>
      <c r="FU112" s="62">
        <f t="shared" si="554"/>
        <v>0</v>
      </c>
      <c r="FV112" s="62">
        <f t="shared" si="554"/>
        <v>0</v>
      </c>
      <c r="FW112" s="62">
        <f t="shared" si="554"/>
        <v>0</v>
      </c>
      <c r="FX112" s="62">
        <f t="shared" si="554"/>
        <v>0</v>
      </c>
      <c r="FY112" s="62">
        <f t="shared" si="554"/>
        <v>0</v>
      </c>
      <c r="FZ112" s="62">
        <f t="shared" si="554"/>
        <v>0</v>
      </c>
      <c r="GA112" s="62">
        <f t="shared" si="554"/>
        <v>0</v>
      </c>
      <c r="GB112" s="62">
        <f t="shared" si="554"/>
        <v>0</v>
      </c>
      <c r="GC112" s="62">
        <f t="shared" si="554"/>
        <v>0</v>
      </c>
      <c r="GD112" s="62">
        <f t="shared" si="554"/>
        <v>0</v>
      </c>
      <c r="GE112" s="62">
        <f t="shared" si="554"/>
        <v>0</v>
      </c>
      <c r="GF112" s="62">
        <f t="shared" si="554"/>
        <v>0</v>
      </c>
      <c r="GG112" s="62">
        <f t="shared" si="554"/>
        <v>0</v>
      </c>
      <c r="GH112" s="62">
        <f t="shared" si="554"/>
        <v>0</v>
      </c>
      <c r="GI112" s="62">
        <f t="shared" si="554"/>
        <v>0</v>
      </c>
      <c r="GJ112" s="62">
        <f t="shared" si="554"/>
        <v>0</v>
      </c>
      <c r="GK112" s="62">
        <f t="shared" si="554"/>
        <v>0</v>
      </c>
      <c r="GL112" s="62">
        <f t="shared" si="554"/>
        <v>0</v>
      </c>
      <c r="GM112" s="62">
        <f t="shared" si="554"/>
        <v>0</v>
      </c>
      <c r="GN112" s="62">
        <f t="shared" si="554"/>
        <v>0</v>
      </c>
      <c r="GO112" s="62">
        <f t="shared" si="554"/>
        <v>0</v>
      </c>
      <c r="GP112" s="62">
        <f t="shared" si="554"/>
        <v>0</v>
      </c>
      <c r="GQ112" s="62">
        <f t="shared" si="554"/>
        <v>0</v>
      </c>
      <c r="GS112" s="80"/>
      <c r="GT112" s="77"/>
      <c r="GU112" s="77"/>
      <c r="GV112" s="77"/>
      <c r="GW112" s="77"/>
      <c r="GX112" s="77"/>
      <c r="GY112" s="77"/>
      <c r="GZ112" s="77"/>
      <c r="HA112" s="77"/>
      <c r="HB112" s="77"/>
      <c r="HC112" s="77"/>
      <c r="HD112" s="77"/>
      <c r="HE112" s="77"/>
      <c r="HF112" s="77"/>
      <c r="HG112" s="77"/>
      <c r="HH112" s="77"/>
      <c r="HI112" s="77"/>
      <c r="HJ112" s="77"/>
      <c r="HK112" s="77"/>
      <c r="HL112" s="77"/>
      <c r="HM112" s="77"/>
      <c r="HN112" s="77"/>
      <c r="HO112" s="77"/>
      <c r="HP112" s="77"/>
      <c r="HQ112" s="77"/>
      <c r="HR112" s="77"/>
      <c r="HS112" s="77"/>
      <c r="HT112" s="77"/>
      <c r="HU112" s="77"/>
      <c r="HV112" s="77"/>
      <c r="HW112" s="77"/>
      <c r="HX112" s="77"/>
      <c r="HY112" s="77"/>
      <c r="HZ112" s="77"/>
      <c r="IA112" s="77"/>
      <c r="IB112" s="77"/>
      <c r="IC112" s="77"/>
      <c r="ID112" s="77"/>
      <c r="IE112" s="77"/>
      <c r="IF112" s="77"/>
      <c r="IG112" s="77"/>
      <c r="IH112" s="77"/>
      <c r="II112" s="77"/>
      <c r="IJ112" s="77"/>
      <c r="IK112" s="77"/>
      <c r="IL112" s="77"/>
      <c r="IM112" s="77"/>
      <c r="IN112" s="77"/>
      <c r="IO112" s="77"/>
      <c r="IP112" s="77"/>
      <c r="IQ112" s="77"/>
      <c r="IR112" s="77"/>
      <c r="IS112" s="77"/>
      <c r="IT112" s="77"/>
      <c r="IU112" s="77"/>
      <c r="IV112" s="77"/>
      <c r="IW112" s="77"/>
      <c r="IX112" s="77"/>
      <c r="IY112" s="77"/>
      <c r="IZ112" s="77"/>
      <c r="JA112" s="77"/>
      <c r="JB112" s="77"/>
      <c r="JC112" s="77"/>
      <c r="JD112" s="77"/>
      <c r="JE112" s="77"/>
      <c r="JF112" s="77"/>
      <c r="JG112" s="77"/>
      <c r="JH112" s="77"/>
      <c r="JI112" s="77"/>
      <c r="JJ112" s="77"/>
      <c r="JK112" s="77"/>
      <c r="JL112" s="77"/>
      <c r="JM112" s="77"/>
      <c r="JN112" s="77"/>
      <c r="JO112" s="77"/>
      <c r="JP112" s="77"/>
      <c r="JQ112" s="77"/>
      <c r="JR112" s="77"/>
      <c r="JS112" s="77"/>
      <c r="JT112" s="77"/>
      <c r="JU112" s="77"/>
      <c r="JV112" s="77"/>
      <c r="JW112" s="77"/>
      <c r="JX112" s="77"/>
      <c r="JY112" s="77"/>
      <c r="JZ112" s="77"/>
      <c r="KA112" s="77"/>
      <c r="KB112" s="77"/>
      <c r="KC112" s="77"/>
      <c r="KD112" s="77"/>
      <c r="KE112" s="77"/>
      <c r="KF112" s="77"/>
      <c r="KG112" s="77"/>
      <c r="KH112" s="77"/>
      <c r="KI112" s="77"/>
      <c r="KJ112" s="77"/>
      <c r="KK112" s="77"/>
      <c r="KL112" s="77"/>
      <c r="KM112" s="77"/>
      <c r="KN112" s="77"/>
      <c r="KO112" s="77"/>
      <c r="KP112" s="77"/>
      <c r="KQ112" s="77"/>
      <c r="KR112" s="77"/>
      <c r="KS112" s="77"/>
      <c r="KT112" s="77"/>
      <c r="KU112" s="77"/>
      <c r="KV112" s="77"/>
      <c r="KW112" s="77"/>
      <c r="KX112" s="77"/>
      <c r="KY112" s="77"/>
      <c r="KZ112" s="77"/>
      <c r="LA112" s="77"/>
      <c r="LB112" s="77"/>
      <c r="LC112" s="77"/>
      <c r="LD112" s="77"/>
      <c r="LE112" s="77"/>
      <c r="LF112" s="77"/>
      <c r="LG112" s="77"/>
      <c r="LH112" s="77"/>
      <c r="LI112" s="77"/>
      <c r="LJ112" s="77"/>
      <c r="LK112" s="77"/>
      <c r="LL112" s="77"/>
      <c r="LM112" s="77"/>
      <c r="LN112" s="77"/>
      <c r="LO112" s="77"/>
      <c r="LP112" s="77"/>
      <c r="LQ112" s="77"/>
      <c r="LR112" s="77"/>
      <c r="LS112" s="77"/>
      <c r="LT112" s="77"/>
      <c r="LU112" s="77"/>
      <c r="LV112" s="77"/>
      <c r="LW112" s="77"/>
      <c r="LX112" s="77"/>
      <c r="LY112" s="77"/>
      <c r="LZ112" s="77"/>
      <c r="MA112" s="77"/>
      <c r="MB112" s="77"/>
      <c r="MC112" s="77"/>
      <c r="MD112" s="77"/>
      <c r="ME112" s="77"/>
      <c r="MF112" s="77"/>
      <c r="MG112" s="77"/>
      <c r="MH112" s="77"/>
      <c r="MI112" s="77"/>
      <c r="MJ112" s="77"/>
      <c r="MK112" s="77"/>
      <c r="ML112" s="77"/>
      <c r="MM112" s="77"/>
      <c r="MN112" s="77"/>
      <c r="MO112" s="77"/>
      <c r="MP112" s="77"/>
      <c r="MQ112" s="77"/>
      <c r="MR112" s="77"/>
      <c r="MS112" s="77"/>
      <c r="MT112" s="77"/>
      <c r="MU112" s="77"/>
      <c r="MV112" s="77"/>
      <c r="MW112" s="77"/>
      <c r="MX112" s="77"/>
      <c r="MY112" s="77"/>
      <c r="MZ112" s="77"/>
      <c r="NA112" s="77"/>
      <c r="NB112" s="77"/>
      <c r="NC112" s="77"/>
      <c r="ND112" s="77"/>
      <c r="NE112" s="77"/>
      <c r="NF112" s="77"/>
      <c r="NG112" s="77"/>
      <c r="NH112" s="77"/>
      <c r="NI112" s="77"/>
      <c r="NJ112" s="77"/>
      <c r="NK112" s="77"/>
      <c r="NL112" s="77"/>
      <c r="NM112" s="77"/>
      <c r="NN112" s="77"/>
      <c r="NO112" s="77"/>
      <c r="NP112" s="77"/>
      <c r="NQ112" s="77"/>
      <c r="NR112" s="77"/>
      <c r="NS112" s="77"/>
      <c r="NT112" s="77"/>
      <c r="NU112" s="77"/>
      <c r="NV112" s="77"/>
      <c r="NW112" s="77"/>
    </row>
    <row r="113" spans="2:387" x14ac:dyDescent="0.3">
      <c r="B113" s="18" t="s">
        <v>310</v>
      </c>
      <c r="C113" s="19"/>
      <c r="D113" s="63"/>
      <c r="E113" s="63">
        <f>SUM(E111:E112)</f>
        <v>1</v>
      </c>
      <c r="F113" s="19"/>
      <c r="G113" s="19"/>
      <c r="H113" s="19"/>
      <c r="I113" s="87"/>
      <c r="J113" s="23">
        <f>L113/$L$8</f>
        <v>7264.3995299647468</v>
      </c>
      <c r="K113" s="29">
        <f>L113/$L$7</f>
        <v>0.96023671947809874</v>
      </c>
      <c r="L113" s="23">
        <f>SUM(L111:L112)</f>
        <v>1670811.8918918918</v>
      </c>
      <c r="S113" s="69" t="str">
        <f>IF(ROUND(L113,0)=ROUND(SUM(T113:GQ113),0),"OK","ERROR")</f>
        <v>OK</v>
      </c>
      <c r="T113" s="50">
        <f>SUM(T111:T112)</f>
        <v>1670811.8918918918</v>
      </c>
      <c r="U113" s="50">
        <f t="shared" ref="U113:CF113" si="558">SUM(U111:U112)</f>
        <v>0</v>
      </c>
      <c r="V113" s="50">
        <f t="shared" si="558"/>
        <v>0</v>
      </c>
      <c r="W113" s="50">
        <f t="shared" si="558"/>
        <v>0</v>
      </c>
      <c r="X113" s="50">
        <f t="shared" si="558"/>
        <v>0</v>
      </c>
      <c r="Y113" s="50">
        <f t="shared" si="558"/>
        <v>0</v>
      </c>
      <c r="Z113" s="50">
        <f t="shared" si="558"/>
        <v>0</v>
      </c>
      <c r="AA113" s="50">
        <f t="shared" si="558"/>
        <v>0</v>
      </c>
      <c r="AB113" s="50">
        <f t="shared" si="558"/>
        <v>0</v>
      </c>
      <c r="AC113" s="50">
        <f t="shared" si="558"/>
        <v>0</v>
      </c>
      <c r="AD113" s="50">
        <f t="shared" si="558"/>
        <v>0</v>
      </c>
      <c r="AE113" s="50">
        <f t="shared" si="558"/>
        <v>0</v>
      </c>
      <c r="AF113" s="50">
        <f t="shared" si="558"/>
        <v>0</v>
      </c>
      <c r="AG113" s="50">
        <f t="shared" si="558"/>
        <v>0</v>
      </c>
      <c r="AH113" s="50">
        <f t="shared" si="558"/>
        <v>0</v>
      </c>
      <c r="AI113" s="50">
        <f t="shared" si="558"/>
        <v>0</v>
      </c>
      <c r="AJ113" s="50">
        <f t="shared" si="558"/>
        <v>0</v>
      </c>
      <c r="AK113" s="50">
        <f t="shared" si="558"/>
        <v>0</v>
      </c>
      <c r="AL113" s="50">
        <f t="shared" si="558"/>
        <v>0</v>
      </c>
      <c r="AM113" s="50">
        <f t="shared" si="558"/>
        <v>0</v>
      </c>
      <c r="AN113" s="50">
        <f t="shared" si="558"/>
        <v>0</v>
      </c>
      <c r="AO113" s="50">
        <f t="shared" si="558"/>
        <v>0</v>
      </c>
      <c r="AP113" s="50">
        <f t="shared" si="558"/>
        <v>0</v>
      </c>
      <c r="AQ113" s="50">
        <f t="shared" si="558"/>
        <v>0</v>
      </c>
      <c r="AR113" s="50">
        <f t="shared" si="558"/>
        <v>0</v>
      </c>
      <c r="AS113" s="50">
        <f t="shared" si="558"/>
        <v>0</v>
      </c>
      <c r="AT113" s="50">
        <f t="shared" si="558"/>
        <v>0</v>
      </c>
      <c r="AU113" s="50">
        <f t="shared" si="558"/>
        <v>0</v>
      </c>
      <c r="AV113" s="50">
        <f t="shared" si="558"/>
        <v>0</v>
      </c>
      <c r="AW113" s="50">
        <f t="shared" si="558"/>
        <v>0</v>
      </c>
      <c r="AX113" s="50">
        <f t="shared" si="558"/>
        <v>0</v>
      </c>
      <c r="AY113" s="50">
        <f t="shared" si="558"/>
        <v>0</v>
      </c>
      <c r="AZ113" s="50">
        <f t="shared" si="558"/>
        <v>0</v>
      </c>
      <c r="BA113" s="50">
        <f t="shared" si="558"/>
        <v>0</v>
      </c>
      <c r="BB113" s="50">
        <f t="shared" si="558"/>
        <v>0</v>
      </c>
      <c r="BC113" s="50">
        <f t="shared" si="558"/>
        <v>0</v>
      </c>
      <c r="BD113" s="50">
        <f t="shared" si="558"/>
        <v>0</v>
      </c>
      <c r="BE113" s="50">
        <f t="shared" si="558"/>
        <v>0</v>
      </c>
      <c r="BF113" s="50">
        <f t="shared" si="558"/>
        <v>0</v>
      </c>
      <c r="BG113" s="50">
        <f t="shared" si="558"/>
        <v>0</v>
      </c>
      <c r="BH113" s="50">
        <f t="shared" si="558"/>
        <v>0</v>
      </c>
      <c r="BI113" s="50">
        <f t="shared" si="558"/>
        <v>0</v>
      </c>
      <c r="BJ113" s="50">
        <f t="shared" si="558"/>
        <v>0</v>
      </c>
      <c r="BK113" s="50">
        <f t="shared" si="558"/>
        <v>0</v>
      </c>
      <c r="BL113" s="50">
        <f t="shared" si="558"/>
        <v>0</v>
      </c>
      <c r="BM113" s="50">
        <f t="shared" si="558"/>
        <v>0</v>
      </c>
      <c r="BN113" s="50">
        <f t="shared" si="558"/>
        <v>0</v>
      </c>
      <c r="BO113" s="50">
        <f t="shared" si="558"/>
        <v>0</v>
      </c>
      <c r="BP113" s="50">
        <f t="shared" si="558"/>
        <v>0</v>
      </c>
      <c r="BQ113" s="50">
        <f t="shared" si="558"/>
        <v>0</v>
      </c>
      <c r="BR113" s="50">
        <f t="shared" si="558"/>
        <v>0</v>
      </c>
      <c r="BS113" s="50">
        <f t="shared" si="558"/>
        <v>0</v>
      </c>
      <c r="BT113" s="50">
        <f t="shared" si="558"/>
        <v>0</v>
      </c>
      <c r="BU113" s="50">
        <f t="shared" si="558"/>
        <v>0</v>
      </c>
      <c r="BV113" s="50">
        <f t="shared" si="558"/>
        <v>0</v>
      </c>
      <c r="BW113" s="50">
        <f t="shared" si="558"/>
        <v>0</v>
      </c>
      <c r="BX113" s="50">
        <f t="shared" si="558"/>
        <v>0</v>
      </c>
      <c r="BY113" s="50">
        <f t="shared" si="558"/>
        <v>0</v>
      </c>
      <c r="BZ113" s="50">
        <f t="shared" si="558"/>
        <v>0</v>
      </c>
      <c r="CA113" s="50">
        <f t="shared" si="558"/>
        <v>0</v>
      </c>
      <c r="CB113" s="50">
        <f t="shared" si="558"/>
        <v>0</v>
      </c>
      <c r="CC113" s="50">
        <f t="shared" si="558"/>
        <v>0</v>
      </c>
      <c r="CD113" s="50">
        <f t="shared" si="558"/>
        <v>0</v>
      </c>
      <c r="CE113" s="50">
        <f t="shared" si="558"/>
        <v>0</v>
      </c>
      <c r="CF113" s="50">
        <f t="shared" si="558"/>
        <v>0</v>
      </c>
      <c r="CG113" s="50">
        <f t="shared" ref="CG113:ER113" si="559">SUM(CG111:CG112)</f>
        <v>0</v>
      </c>
      <c r="CH113" s="50">
        <f t="shared" si="559"/>
        <v>0</v>
      </c>
      <c r="CI113" s="50">
        <f t="shared" si="559"/>
        <v>0</v>
      </c>
      <c r="CJ113" s="50">
        <f t="shared" si="559"/>
        <v>0</v>
      </c>
      <c r="CK113" s="50">
        <f t="shared" si="559"/>
        <v>0</v>
      </c>
      <c r="CL113" s="50">
        <f t="shared" si="559"/>
        <v>0</v>
      </c>
      <c r="CM113" s="50">
        <f t="shared" si="559"/>
        <v>0</v>
      </c>
      <c r="CN113" s="50">
        <f t="shared" si="559"/>
        <v>0</v>
      </c>
      <c r="CO113" s="50">
        <f t="shared" si="559"/>
        <v>0</v>
      </c>
      <c r="CP113" s="50">
        <f t="shared" si="559"/>
        <v>0</v>
      </c>
      <c r="CQ113" s="50">
        <f t="shared" si="559"/>
        <v>0</v>
      </c>
      <c r="CR113" s="50">
        <f t="shared" si="559"/>
        <v>0</v>
      </c>
      <c r="CS113" s="50">
        <f t="shared" si="559"/>
        <v>0</v>
      </c>
      <c r="CT113" s="50">
        <f t="shared" si="559"/>
        <v>0</v>
      </c>
      <c r="CU113" s="50">
        <f t="shared" si="559"/>
        <v>0</v>
      </c>
      <c r="CV113" s="50">
        <f t="shared" si="559"/>
        <v>0</v>
      </c>
      <c r="CW113" s="50">
        <f t="shared" si="559"/>
        <v>0</v>
      </c>
      <c r="CX113" s="50">
        <f t="shared" si="559"/>
        <v>0</v>
      </c>
      <c r="CY113" s="50">
        <f t="shared" si="559"/>
        <v>0</v>
      </c>
      <c r="CZ113" s="50">
        <f t="shared" si="559"/>
        <v>0</v>
      </c>
      <c r="DA113" s="50">
        <f t="shared" si="559"/>
        <v>0</v>
      </c>
      <c r="DB113" s="50">
        <f t="shared" si="559"/>
        <v>0</v>
      </c>
      <c r="DC113" s="50">
        <f t="shared" si="559"/>
        <v>0</v>
      </c>
      <c r="DD113" s="50">
        <f t="shared" si="559"/>
        <v>0</v>
      </c>
      <c r="DE113" s="50">
        <f t="shared" si="559"/>
        <v>0</v>
      </c>
      <c r="DF113" s="50">
        <f t="shared" si="559"/>
        <v>0</v>
      </c>
      <c r="DG113" s="50">
        <f t="shared" si="559"/>
        <v>0</v>
      </c>
      <c r="DH113" s="50">
        <f t="shared" si="559"/>
        <v>0</v>
      </c>
      <c r="DI113" s="50">
        <f t="shared" si="559"/>
        <v>0</v>
      </c>
      <c r="DJ113" s="50">
        <f t="shared" si="559"/>
        <v>0</v>
      </c>
      <c r="DK113" s="50">
        <f t="shared" si="559"/>
        <v>0</v>
      </c>
      <c r="DL113" s="50">
        <f t="shared" si="559"/>
        <v>0</v>
      </c>
      <c r="DM113" s="50">
        <f t="shared" si="559"/>
        <v>0</v>
      </c>
      <c r="DN113" s="50">
        <f t="shared" si="559"/>
        <v>0</v>
      </c>
      <c r="DO113" s="50">
        <f t="shared" si="559"/>
        <v>0</v>
      </c>
      <c r="DP113" s="50">
        <f t="shared" si="559"/>
        <v>0</v>
      </c>
      <c r="DQ113" s="50">
        <f t="shared" si="559"/>
        <v>0</v>
      </c>
      <c r="DR113" s="50">
        <f t="shared" si="559"/>
        <v>0</v>
      </c>
      <c r="DS113" s="50">
        <f t="shared" si="559"/>
        <v>0</v>
      </c>
      <c r="DT113" s="50">
        <f t="shared" si="559"/>
        <v>0</v>
      </c>
      <c r="DU113" s="50">
        <f t="shared" si="559"/>
        <v>0</v>
      </c>
      <c r="DV113" s="50">
        <f t="shared" si="559"/>
        <v>0</v>
      </c>
      <c r="DW113" s="50">
        <f t="shared" si="559"/>
        <v>0</v>
      </c>
      <c r="DX113" s="50">
        <f t="shared" si="559"/>
        <v>0</v>
      </c>
      <c r="DY113" s="50">
        <f t="shared" si="559"/>
        <v>0</v>
      </c>
      <c r="DZ113" s="50">
        <f t="shared" si="559"/>
        <v>0</v>
      </c>
      <c r="EA113" s="50">
        <f t="shared" si="559"/>
        <v>0</v>
      </c>
      <c r="EB113" s="50">
        <f t="shared" si="559"/>
        <v>0</v>
      </c>
      <c r="EC113" s="50">
        <f t="shared" si="559"/>
        <v>0</v>
      </c>
      <c r="ED113" s="50">
        <f t="shared" si="559"/>
        <v>0</v>
      </c>
      <c r="EE113" s="50">
        <f t="shared" si="559"/>
        <v>0</v>
      </c>
      <c r="EF113" s="50">
        <f t="shared" si="559"/>
        <v>0</v>
      </c>
      <c r="EG113" s="50">
        <f t="shared" si="559"/>
        <v>0</v>
      </c>
      <c r="EH113" s="50">
        <f t="shared" si="559"/>
        <v>0</v>
      </c>
      <c r="EI113" s="50">
        <f t="shared" si="559"/>
        <v>0</v>
      </c>
      <c r="EJ113" s="50">
        <f t="shared" si="559"/>
        <v>0</v>
      </c>
      <c r="EK113" s="50">
        <f t="shared" si="559"/>
        <v>0</v>
      </c>
      <c r="EL113" s="50">
        <f t="shared" si="559"/>
        <v>0</v>
      </c>
      <c r="EM113" s="50">
        <f t="shared" si="559"/>
        <v>0</v>
      </c>
      <c r="EN113" s="50">
        <f t="shared" si="559"/>
        <v>0</v>
      </c>
      <c r="EO113" s="50">
        <f t="shared" si="559"/>
        <v>0</v>
      </c>
      <c r="EP113" s="50">
        <f t="shared" si="559"/>
        <v>0</v>
      </c>
      <c r="EQ113" s="50">
        <f t="shared" si="559"/>
        <v>0</v>
      </c>
      <c r="ER113" s="50">
        <f t="shared" si="559"/>
        <v>0</v>
      </c>
      <c r="ES113" s="50">
        <f t="shared" ref="ES113:GQ113" si="560">SUM(ES111:ES112)</f>
        <v>0</v>
      </c>
      <c r="ET113" s="50">
        <f t="shared" si="560"/>
        <v>0</v>
      </c>
      <c r="EU113" s="50">
        <f t="shared" si="560"/>
        <v>0</v>
      </c>
      <c r="EV113" s="50">
        <f t="shared" si="560"/>
        <v>0</v>
      </c>
      <c r="EW113" s="50">
        <f t="shared" si="560"/>
        <v>0</v>
      </c>
      <c r="EX113" s="50">
        <f t="shared" si="560"/>
        <v>0</v>
      </c>
      <c r="EY113" s="50">
        <f t="shared" si="560"/>
        <v>0</v>
      </c>
      <c r="EZ113" s="50">
        <f t="shared" si="560"/>
        <v>0</v>
      </c>
      <c r="FA113" s="50">
        <f t="shared" si="560"/>
        <v>0</v>
      </c>
      <c r="FB113" s="50">
        <f t="shared" si="560"/>
        <v>0</v>
      </c>
      <c r="FC113" s="50">
        <f t="shared" si="560"/>
        <v>0</v>
      </c>
      <c r="FD113" s="50">
        <f t="shared" si="560"/>
        <v>0</v>
      </c>
      <c r="FE113" s="50">
        <f t="shared" si="560"/>
        <v>0</v>
      </c>
      <c r="FF113" s="50">
        <f t="shared" si="560"/>
        <v>0</v>
      </c>
      <c r="FG113" s="50">
        <f t="shared" si="560"/>
        <v>0</v>
      </c>
      <c r="FH113" s="50">
        <f t="shared" si="560"/>
        <v>0</v>
      </c>
      <c r="FI113" s="50">
        <f t="shared" si="560"/>
        <v>0</v>
      </c>
      <c r="FJ113" s="50">
        <f t="shared" si="560"/>
        <v>0</v>
      </c>
      <c r="FK113" s="50">
        <f t="shared" si="560"/>
        <v>0</v>
      </c>
      <c r="FL113" s="50">
        <f t="shared" si="560"/>
        <v>0</v>
      </c>
      <c r="FM113" s="50">
        <f t="shared" si="560"/>
        <v>0</v>
      </c>
      <c r="FN113" s="50">
        <f t="shared" si="560"/>
        <v>0</v>
      </c>
      <c r="FO113" s="50">
        <f t="shared" si="560"/>
        <v>0</v>
      </c>
      <c r="FP113" s="50">
        <f t="shared" si="560"/>
        <v>0</v>
      </c>
      <c r="FQ113" s="50">
        <f t="shared" si="560"/>
        <v>0</v>
      </c>
      <c r="FR113" s="50">
        <f t="shared" si="560"/>
        <v>0</v>
      </c>
      <c r="FS113" s="50">
        <f t="shared" si="560"/>
        <v>0</v>
      </c>
      <c r="FT113" s="50">
        <f t="shared" si="560"/>
        <v>0</v>
      </c>
      <c r="FU113" s="50">
        <f t="shared" si="560"/>
        <v>0</v>
      </c>
      <c r="FV113" s="50">
        <f t="shared" si="560"/>
        <v>0</v>
      </c>
      <c r="FW113" s="50">
        <f t="shared" si="560"/>
        <v>0</v>
      </c>
      <c r="FX113" s="50">
        <f t="shared" si="560"/>
        <v>0</v>
      </c>
      <c r="FY113" s="50">
        <f t="shared" si="560"/>
        <v>0</v>
      </c>
      <c r="FZ113" s="50">
        <f t="shared" si="560"/>
        <v>0</v>
      </c>
      <c r="GA113" s="50">
        <f t="shared" si="560"/>
        <v>0</v>
      </c>
      <c r="GB113" s="50">
        <f t="shared" si="560"/>
        <v>0</v>
      </c>
      <c r="GC113" s="50">
        <f t="shared" si="560"/>
        <v>0</v>
      </c>
      <c r="GD113" s="50">
        <f t="shared" si="560"/>
        <v>0</v>
      </c>
      <c r="GE113" s="50">
        <f t="shared" si="560"/>
        <v>0</v>
      </c>
      <c r="GF113" s="50">
        <f t="shared" si="560"/>
        <v>0</v>
      </c>
      <c r="GG113" s="50">
        <f t="shared" si="560"/>
        <v>0</v>
      </c>
      <c r="GH113" s="50">
        <f t="shared" si="560"/>
        <v>0</v>
      </c>
      <c r="GI113" s="50">
        <f t="shared" si="560"/>
        <v>0</v>
      </c>
      <c r="GJ113" s="50">
        <f t="shared" si="560"/>
        <v>0</v>
      </c>
      <c r="GK113" s="50">
        <f t="shared" si="560"/>
        <v>0</v>
      </c>
      <c r="GL113" s="50">
        <f t="shared" si="560"/>
        <v>0</v>
      </c>
      <c r="GM113" s="50">
        <f t="shared" si="560"/>
        <v>0</v>
      </c>
      <c r="GN113" s="50">
        <f t="shared" si="560"/>
        <v>0</v>
      </c>
      <c r="GO113" s="50">
        <f t="shared" si="560"/>
        <v>0</v>
      </c>
      <c r="GP113" s="50">
        <f t="shared" si="560"/>
        <v>0</v>
      </c>
      <c r="GQ113" s="50">
        <f t="shared" si="560"/>
        <v>0</v>
      </c>
      <c r="GS113" s="80" t="s">
        <v>311</v>
      </c>
      <c r="GT113" s="77"/>
      <c r="GU113" s="77"/>
      <c r="GV113" s="77"/>
      <c r="GW113" s="77"/>
      <c r="GX113" s="77">
        <f>SUM(GZ113:NW113)</f>
        <v>167081.1891891892</v>
      </c>
      <c r="GY113" s="77"/>
      <c r="GZ113" s="77">
        <f>T111</f>
        <v>167081.1891891892</v>
      </c>
      <c r="HA113" s="77">
        <f t="shared" ref="HA113:JL113" si="561">U111</f>
        <v>0</v>
      </c>
      <c r="HB113" s="77">
        <f t="shared" si="561"/>
        <v>0</v>
      </c>
      <c r="HC113" s="77">
        <f t="shared" si="561"/>
        <v>0</v>
      </c>
      <c r="HD113" s="77">
        <f t="shared" si="561"/>
        <v>0</v>
      </c>
      <c r="HE113" s="77">
        <f t="shared" si="561"/>
        <v>0</v>
      </c>
      <c r="HF113" s="77">
        <f t="shared" si="561"/>
        <v>0</v>
      </c>
      <c r="HG113" s="77">
        <f t="shared" si="561"/>
        <v>0</v>
      </c>
      <c r="HH113" s="77">
        <f t="shared" si="561"/>
        <v>0</v>
      </c>
      <c r="HI113" s="77">
        <f t="shared" si="561"/>
        <v>0</v>
      </c>
      <c r="HJ113" s="77">
        <f t="shared" si="561"/>
        <v>0</v>
      </c>
      <c r="HK113" s="77">
        <f t="shared" si="561"/>
        <v>0</v>
      </c>
      <c r="HL113" s="77">
        <f t="shared" si="561"/>
        <v>0</v>
      </c>
      <c r="HM113" s="77">
        <f t="shared" si="561"/>
        <v>0</v>
      </c>
      <c r="HN113" s="77">
        <f t="shared" si="561"/>
        <v>0</v>
      </c>
      <c r="HO113" s="77">
        <f t="shared" si="561"/>
        <v>0</v>
      </c>
      <c r="HP113" s="77">
        <f t="shared" si="561"/>
        <v>0</v>
      </c>
      <c r="HQ113" s="77">
        <f t="shared" si="561"/>
        <v>0</v>
      </c>
      <c r="HR113" s="77">
        <f t="shared" si="561"/>
        <v>0</v>
      </c>
      <c r="HS113" s="77">
        <f t="shared" si="561"/>
        <v>0</v>
      </c>
      <c r="HT113" s="77">
        <f t="shared" si="561"/>
        <v>0</v>
      </c>
      <c r="HU113" s="77">
        <f t="shared" si="561"/>
        <v>0</v>
      </c>
      <c r="HV113" s="77">
        <f t="shared" si="561"/>
        <v>0</v>
      </c>
      <c r="HW113" s="77">
        <f t="shared" si="561"/>
        <v>0</v>
      </c>
      <c r="HX113" s="77">
        <f t="shared" si="561"/>
        <v>0</v>
      </c>
      <c r="HY113" s="77">
        <f t="shared" si="561"/>
        <v>0</v>
      </c>
      <c r="HZ113" s="77">
        <f t="shared" si="561"/>
        <v>0</v>
      </c>
      <c r="IA113" s="77">
        <f t="shared" si="561"/>
        <v>0</v>
      </c>
      <c r="IB113" s="77">
        <f t="shared" si="561"/>
        <v>0</v>
      </c>
      <c r="IC113" s="77">
        <f t="shared" si="561"/>
        <v>0</v>
      </c>
      <c r="ID113" s="77">
        <f t="shared" si="561"/>
        <v>0</v>
      </c>
      <c r="IE113" s="77">
        <f t="shared" si="561"/>
        <v>0</v>
      </c>
      <c r="IF113" s="77">
        <f t="shared" si="561"/>
        <v>0</v>
      </c>
      <c r="IG113" s="77">
        <f t="shared" si="561"/>
        <v>0</v>
      </c>
      <c r="IH113" s="77">
        <f t="shared" si="561"/>
        <v>0</v>
      </c>
      <c r="II113" s="77">
        <f t="shared" si="561"/>
        <v>0</v>
      </c>
      <c r="IJ113" s="77">
        <f t="shared" si="561"/>
        <v>0</v>
      </c>
      <c r="IK113" s="77">
        <f t="shared" si="561"/>
        <v>0</v>
      </c>
      <c r="IL113" s="77">
        <f t="shared" si="561"/>
        <v>0</v>
      </c>
      <c r="IM113" s="77">
        <f t="shared" si="561"/>
        <v>0</v>
      </c>
      <c r="IN113" s="77">
        <f t="shared" si="561"/>
        <v>0</v>
      </c>
      <c r="IO113" s="77">
        <f t="shared" si="561"/>
        <v>0</v>
      </c>
      <c r="IP113" s="77">
        <f t="shared" si="561"/>
        <v>0</v>
      </c>
      <c r="IQ113" s="77">
        <f t="shared" si="561"/>
        <v>0</v>
      </c>
      <c r="IR113" s="77">
        <f t="shared" si="561"/>
        <v>0</v>
      </c>
      <c r="IS113" s="77">
        <f t="shared" si="561"/>
        <v>0</v>
      </c>
      <c r="IT113" s="77">
        <f t="shared" si="561"/>
        <v>0</v>
      </c>
      <c r="IU113" s="77">
        <f t="shared" si="561"/>
        <v>0</v>
      </c>
      <c r="IV113" s="77">
        <f t="shared" si="561"/>
        <v>0</v>
      </c>
      <c r="IW113" s="77">
        <f t="shared" si="561"/>
        <v>0</v>
      </c>
      <c r="IX113" s="77">
        <f t="shared" si="561"/>
        <v>0</v>
      </c>
      <c r="IY113" s="77">
        <f t="shared" si="561"/>
        <v>0</v>
      </c>
      <c r="IZ113" s="77">
        <f t="shared" si="561"/>
        <v>0</v>
      </c>
      <c r="JA113" s="77">
        <f t="shared" si="561"/>
        <v>0</v>
      </c>
      <c r="JB113" s="77">
        <f t="shared" si="561"/>
        <v>0</v>
      </c>
      <c r="JC113" s="77">
        <f t="shared" si="561"/>
        <v>0</v>
      </c>
      <c r="JD113" s="77">
        <f t="shared" si="561"/>
        <v>0</v>
      </c>
      <c r="JE113" s="77">
        <f t="shared" si="561"/>
        <v>0</v>
      </c>
      <c r="JF113" s="77">
        <f t="shared" si="561"/>
        <v>0</v>
      </c>
      <c r="JG113" s="77">
        <f t="shared" si="561"/>
        <v>0</v>
      </c>
      <c r="JH113" s="77">
        <f t="shared" si="561"/>
        <v>0</v>
      </c>
      <c r="JI113" s="77">
        <f t="shared" si="561"/>
        <v>0</v>
      </c>
      <c r="JJ113" s="77">
        <f t="shared" si="561"/>
        <v>0</v>
      </c>
      <c r="JK113" s="77">
        <f t="shared" si="561"/>
        <v>0</v>
      </c>
      <c r="JL113" s="77">
        <f t="shared" si="561"/>
        <v>0</v>
      </c>
      <c r="JM113" s="77">
        <f t="shared" ref="JM113:LX113" si="562">CG111</f>
        <v>0</v>
      </c>
      <c r="JN113" s="77">
        <f t="shared" si="562"/>
        <v>0</v>
      </c>
      <c r="JO113" s="77">
        <f t="shared" si="562"/>
        <v>0</v>
      </c>
      <c r="JP113" s="77">
        <f t="shared" si="562"/>
        <v>0</v>
      </c>
      <c r="JQ113" s="77">
        <f t="shared" si="562"/>
        <v>0</v>
      </c>
      <c r="JR113" s="77">
        <f t="shared" si="562"/>
        <v>0</v>
      </c>
      <c r="JS113" s="77">
        <f t="shared" si="562"/>
        <v>0</v>
      </c>
      <c r="JT113" s="77">
        <f t="shared" si="562"/>
        <v>0</v>
      </c>
      <c r="JU113" s="77">
        <f t="shared" si="562"/>
        <v>0</v>
      </c>
      <c r="JV113" s="77">
        <f t="shared" si="562"/>
        <v>0</v>
      </c>
      <c r="JW113" s="77">
        <f t="shared" si="562"/>
        <v>0</v>
      </c>
      <c r="JX113" s="77">
        <f t="shared" si="562"/>
        <v>0</v>
      </c>
      <c r="JY113" s="77">
        <f t="shared" si="562"/>
        <v>0</v>
      </c>
      <c r="JZ113" s="77">
        <f t="shared" si="562"/>
        <v>0</v>
      </c>
      <c r="KA113" s="77">
        <f t="shared" si="562"/>
        <v>0</v>
      </c>
      <c r="KB113" s="77">
        <f t="shared" si="562"/>
        <v>0</v>
      </c>
      <c r="KC113" s="77">
        <f t="shared" si="562"/>
        <v>0</v>
      </c>
      <c r="KD113" s="77">
        <f t="shared" si="562"/>
        <v>0</v>
      </c>
      <c r="KE113" s="77">
        <f t="shared" si="562"/>
        <v>0</v>
      </c>
      <c r="KF113" s="77">
        <f t="shared" si="562"/>
        <v>0</v>
      </c>
      <c r="KG113" s="77">
        <f t="shared" si="562"/>
        <v>0</v>
      </c>
      <c r="KH113" s="77">
        <f t="shared" si="562"/>
        <v>0</v>
      </c>
      <c r="KI113" s="77">
        <f t="shared" si="562"/>
        <v>0</v>
      </c>
      <c r="KJ113" s="77">
        <f t="shared" si="562"/>
        <v>0</v>
      </c>
      <c r="KK113" s="77">
        <f t="shared" si="562"/>
        <v>0</v>
      </c>
      <c r="KL113" s="77">
        <f t="shared" si="562"/>
        <v>0</v>
      </c>
      <c r="KM113" s="77">
        <f t="shared" si="562"/>
        <v>0</v>
      </c>
      <c r="KN113" s="77">
        <f t="shared" si="562"/>
        <v>0</v>
      </c>
      <c r="KO113" s="77">
        <f t="shared" si="562"/>
        <v>0</v>
      </c>
      <c r="KP113" s="77">
        <f t="shared" si="562"/>
        <v>0</v>
      </c>
      <c r="KQ113" s="77">
        <f t="shared" si="562"/>
        <v>0</v>
      </c>
      <c r="KR113" s="77">
        <f t="shared" si="562"/>
        <v>0</v>
      </c>
      <c r="KS113" s="77">
        <f t="shared" si="562"/>
        <v>0</v>
      </c>
      <c r="KT113" s="77">
        <f t="shared" si="562"/>
        <v>0</v>
      </c>
      <c r="KU113" s="77">
        <f t="shared" si="562"/>
        <v>0</v>
      </c>
      <c r="KV113" s="77">
        <f t="shared" si="562"/>
        <v>0</v>
      </c>
      <c r="KW113" s="77">
        <f t="shared" si="562"/>
        <v>0</v>
      </c>
      <c r="KX113" s="77">
        <f t="shared" si="562"/>
        <v>0</v>
      </c>
      <c r="KY113" s="77">
        <f t="shared" si="562"/>
        <v>0</v>
      </c>
      <c r="KZ113" s="77">
        <f t="shared" si="562"/>
        <v>0</v>
      </c>
      <c r="LA113" s="77">
        <f t="shared" si="562"/>
        <v>0</v>
      </c>
      <c r="LB113" s="77">
        <f t="shared" si="562"/>
        <v>0</v>
      </c>
      <c r="LC113" s="77">
        <f t="shared" si="562"/>
        <v>0</v>
      </c>
      <c r="LD113" s="77">
        <f t="shared" si="562"/>
        <v>0</v>
      </c>
      <c r="LE113" s="77">
        <f t="shared" si="562"/>
        <v>0</v>
      </c>
      <c r="LF113" s="77">
        <f t="shared" si="562"/>
        <v>0</v>
      </c>
      <c r="LG113" s="77">
        <f t="shared" si="562"/>
        <v>0</v>
      </c>
      <c r="LH113" s="77">
        <f t="shared" si="562"/>
        <v>0</v>
      </c>
      <c r="LI113" s="77">
        <f t="shared" si="562"/>
        <v>0</v>
      </c>
      <c r="LJ113" s="77">
        <f t="shared" si="562"/>
        <v>0</v>
      </c>
      <c r="LK113" s="77">
        <f t="shared" si="562"/>
        <v>0</v>
      </c>
      <c r="LL113" s="77">
        <f t="shared" si="562"/>
        <v>0</v>
      </c>
      <c r="LM113" s="77">
        <f t="shared" si="562"/>
        <v>0</v>
      </c>
      <c r="LN113" s="77">
        <f t="shared" si="562"/>
        <v>0</v>
      </c>
      <c r="LO113" s="77">
        <f t="shared" si="562"/>
        <v>0</v>
      </c>
      <c r="LP113" s="77">
        <f t="shared" si="562"/>
        <v>0</v>
      </c>
      <c r="LQ113" s="77">
        <f t="shared" si="562"/>
        <v>0</v>
      </c>
      <c r="LR113" s="77">
        <f t="shared" si="562"/>
        <v>0</v>
      </c>
      <c r="LS113" s="77">
        <f t="shared" si="562"/>
        <v>0</v>
      </c>
      <c r="LT113" s="77">
        <f t="shared" si="562"/>
        <v>0</v>
      </c>
      <c r="LU113" s="77">
        <f t="shared" si="562"/>
        <v>0</v>
      </c>
      <c r="LV113" s="77">
        <f t="shared" si="562"/>
        <v>0</v>
      </c>
      <c r="LW113" s="77">
        <f t="shared" si="562"/>
        <v>0</v>
      </c>
      <c r="LX113" s="77">
        <f t="shared" si="562"/>
        <v>0</v>
      </c>
      <c r="LY113" s="77">
        <f t="shared" ref="LY113:NW113" si="563">ES111</f>
        <v>0</v>
      </c>
      <c r="LZ113" s="77">
        <f t="shared" si="563"/>
        <v>0</v>
      </c>
      <c r="MA113" s="77">
        <f t="shared" si="563"/>
        <v>0</v>
      </c>
      <c r="MB113" s="77">
        <f t="shared" si="563"/>
        <v>0</v>
      </c>
      <c r="MC113" s="77">
        <f t="shared" si="563"/>
        <v>0</v>
      </c>
      <c r="MD113" s="77">
        <f t="shared" si="563"/>
        <v>0</v>
      </c>
      <c r="ME113" s="77">
        <f t="shared" si="563"/>
        <v>0</v>
      </c>
      <c r="MF113" s="77">
        <f t="shared" si="563"/>
        <v>0</v>
      </c>
      <c r="MG113" s="77">
        <f t="shared" si="563"/>
        <v>0</v>
      </c>
      <c r="MH113" s="77">
        <f t="shared" si="563"/>
        <v>0</v>
      </c>
      <c r="MI113" s="77">
        <f t="shared" si="563"/>
        <v>0</v>
      </c>
      <c r="MJ113" s="77">
        <f t="shared" si="563"/>
        <v>0</v>
      </c>
      <c r="MK113" s="77">
        <f t="shared" si="563"/>
        <v>0</v>
      </c>
      <c r="ML113" s="77">
        <f t="shared" si="563"/>
        <v>0</v>
      </c>
      <c r="MM113" s="77">
        <f t="shared" si="563"/>
        <v>0</v>
      </c>
      <c r="MN113" s="77">
        <f t="shared" si="563"/>
        <v>0</v>
      </c>
      <c r="MO113" s="77">
        <f t="shared" si="563"/>
        <v>0</v>
      </c>
      <c r="MP113" s="77">
        <f t="shared" si="563"/>
        <v>0</v>
      </c>
      <c r="MQ113" s="77">
        <f t="shared" si="563"/>
        <v>0</v>
      </c>
      <c r="MR113" s="77">
        <f t="shared" si="563"/>
        <v>0</v>
      </c>
      <c r="MS113" s="77">
        <f t="shared" si="563"/>
        <v>0</v>
      </c>
      <c r="MT113" s="77">
        <f t="shared" si="563"/>
        <v>0</v>
      </c>
      <c r="MU113" s="77">
        <f t="shared" si="563"/>
        <v>0</v>
      </c>
      <c r="MV113" s="77">
        <f t="shared" si="563"/>
        <v>0</v>
      </c>
      <c r="MW113" s="77">
        <f t="shared" si="563"/>
        <v>0</v>
      </c>
      <c r="MX113" s="77">
        <f t="shared" si="563"/>
        <v>0</v>
      </c>
      <c r="MY113" s="77">
        <f t="shared" si="563"/>
        <v>0</v>
      </c>
      <c r="MZ113" s="77">
        <f t="shared" si="563"/>
        <v>0</v>
      </c>
      <c r="NA113" s="77">
        <f t="shared" si="563"/>
        <v>0</v>
      </c>
      <c r="NB113" s="77">
        <f t="shared" si="563"/>
        <v>0</v>
      </c>
      <c r="NC113" s="77">
        <f t="shared" si="563"/>
        <v>0</v>
      </c>
      <c r="ND113" s="77">
        <f t="shared" si="563"/>
        <v>0</v>
      </c>
      <c r="NE113" s="77">
        <f t="shared" si="563"/>
        <v>0</v>
      </c>
      <c r="NF113" s="77">
        <f t="shared" si="563"/>
        <v>0</v>
      </c>
      <c r="NG113" s="77">
        <f t="shared" si="563"/>
        <v>0</v>
      </c>
      <c r="NH113" s="77">
        <f t="shared" si="563"/>
        <v>0</v>
      </c>
      <c r="NI113" s="77">
        <f t="shared" si="563"/>
        <v>0</v>
      </c>
      <c r="NJ113" s="77">
        <f t="shared" si="563"/>
        <v>0</v>
      </c>
      <c r="NK113" s="77">
        <f t="shared" si="563"/>
        <v>0</v>
      </c>
      <c r="NL113" s="77">
        <f t="shared" si="563"/>
        <v>0</v>
      </c>
      <c r="NM113" s="77">
        <f t="shared" si="563"/>
        <v>0</v>
      </c>
      <c r="NN113" s="77">
        <f t="shared" si="563"/>
        <v>0</v>
      </c>
      <c r="NO113" s="77">
        <f t="shared" si="563"/>
        <v>0</v>
      </c>
      <c r="NP113" s="77">
        <f t="shared" si="563"/>
        <v>0</v>
      </c>
      <c r="NQ113" s="77">
        <f t="shared" si="563"/>
        <v>0</v>
      </c>
      <c r="NR113" s="77">
        <f t="shared" si="563"/>
        <v>0</v>
      </c>
      <c r="NS113" s="77">
        <f t="shared" si="563"/>
        <v>0</v>
      </c>
      <c r="NT113" s="77">
        <f t="shared" si="563"/>
        <v>0</v>
      </c>
      <c r="NU113" s="77">
        <f t="shared" si="563"/>
        <v>0</v>
      </c>
      <c r="NV113" s="77">
        <f t="shared" si="563"/>
        <v>0</v>
      </c>
      <c r="NW113" s="77">
        <f t="shared" si="563"/>
        <v>0</v>
      </c>
    </row>
    <row r="114" spans="2:387" x14ac:dyDescent="0.3">
      <c r="B114" s="18"/>
      <c r="C114" s="19"/>
      <c r="D114" s="19"/>
      <c r="E114" s="19"/>
      <c r="F114" s="19"/>
      <c r="G114" s="19"/>
      <c r="H114" s="19"/>
      <c r="I114" s="19"/>
      <c r="J114" s="23"/>
      <c r="K114" s="29"/>
      <c r="L114" s="23"/>
      <c r="GS114" s="80" t="s">
        <v>312</v>
      </c>
      <c r="GT114" s="77"/>
      <c r="GU114" s="77"/>
      <c r="GV114" s="77"/>
      <c r="GW114" s="77"/>
      <c r="GX114" s="77">
        <f>SUM(GZ114:NW114)</f>
        <v>219626.38673297345</v>
      </c>
      <c r="GY114" s="77"/>
      <c r="GZ114" s="77">
        <f>GZ109/$F$116*$E$116</f>
        <v>0</v>
      </c>
      <c r="HA114" s="77">
        <f t="shared" ref="HA114:JL114" si="564">HA109/$F$116*$E$116</f>
        <v>0</v>
      </c>
      <c r="HB114" s="77">
        <f t="shared" si="564"/>
        <v>0</v>
      </c>
      <c r="HC114" s="77">
        <f t="shared" si="564"/>
        <v>0</v>
      </c>
      <c r="HD114" s="77">
        <f t="shared" si="564"/>
        <v>0</v>
      </c>
      <c r="HE114" s="77">
        <f t="shared" si="564"/>
        <v>0</v>
      </c>
      <c r="HF114" s="77">
        <f t="shared" si="564"/>
        <v>0</v>
      </c>
      <c r="HG114" s="77">
        <f t="shared" si="564"/>
        <v>0</v>
      </c>
      <c r="HH114" s="77">
        <f t="shared" si="564"/>
        <v>0</v>
      </c>
      <c r="HI114" s="77">
        <f t="shared" si="564"/>
        <v>0</v>
      </c>
      <c r="HJ114" s="77">
        <f t="shared" si="564"/>
        <v>0</v>
      </c>
      <c r="HK114" s="77">
        <f t="shared" si="564"/>
        <v>15820.868674240681</v>
      </c>
      <c r="HL114" s="77">
        <f t="shared" si="564"/>
        <v>0</v>
      </c>
      <c r="HM114" s="77">
        <f t="shared" si="564"/>
        <v>0</v>
      </c>
      <c r="HN114" s="77">
        <f t="shared" si="564"/>
        <v>0</v>
      </c>
      <c r="HO114" s="77">
        <f t="shared" si="564"/>
        <v>0</v>
      </c>
      <c r="HP114" s="77">
        <f t="shared" si="564"/>
        <v>0</v>
      </c>
      <c r="HQ114" s="77">
        <f t="shared" si="564"/>
        <v>0</v>
      </c>
      <c r="HR114" s="77">
        <f t="shared" si="564"/>
        <v>0</v>
      </c>
      <c r="HS114" s="77">
        <f t="shared" si="564"/>
        <v>0</v>
      </c>
      <c r="HT114" s="77">
        <f t="shared" si="564"/>
        <v>0</v>
      </c>
      <c r="HU114" s="77">
        <f t="shared" si="564"/>
        <v>0</v>
      </c>
      <c r="HV114" s="77">
        <f t="shared" si="564"/>
        <v>0</v>
      </c>
      <c r="HW114" s="77">
        <f t="shared" si="564"/>
        <v>0</v>
      </c>
      <c r="HX114" s="77">
        <f t="shared" si="564"/>
        <v>0</v>
      </c>
      <c r="HY114" s="77">
        <f t="shared" si="564"/>
        <v>0</v>
      </c>
      <c r="HZ114" s="77">
        <f t="shared" si="564"/>
        <v>19380.887456932927</v>
      </c>
      <c r="IA114" s="77">
        <f t="shared" si="564"/>
        <v>0</v>
      </c>
      <c r="IB114" s="77">
        <f t="shared" si="564"/>
        <v>0</v>
      </c>
      <c r="IC114" s="77">
        <f t="shared" si="564"/>
        <v>0</v>
      </c>
      <c r="ID114" s="77">
        <f t="shared" si="564"/>
        <v>772.4821559086181</v>
      </c>
      <c r="IE114" s="77">
        <f t="shared" si="564"/>
        <v>9270.3704531599269</v>
      </c>
      <c r="IF114" s="77">
        <f t="shared" si="564"/>
        <v>9270.3704531599269</v>
      </c>
      <c r="IG114" s="77">
        <f t="shared" si="564"/>
        <v>9270.3704531599269</v>
      </c>
      <c r="IH114" s="77">
        <f t="shared" si="564"/>
        <v>9270.3704531599269</v>
      </c>
      <c r="II114" s="77">
        <f t="shared" si="564"/>
        <v>9270.3704531599269</v>
      </c>
      <c r="IJ114" s="77">
        <f t="shared" si="564"/>
        <v>9993.22759601707</v>
      </c>
      <c r="IK114" s="77">
        <f t="shared" si="564"/>
        <v>9993.22759601707</v>
      </c>
      <c r="IL114" s="77">
        <f t="shared" si="564"/>
        <v>12463</v>
      </c>
      <c r="IM114" s="77">
        <f t="shared" si="564"/>
        <v>38212.83857325001</v>
      </c>
      <c r="IN114" s="77">
        <f t="shared" si="564"/>
        <v>38212.83857325001</v>
      </c>
      <c r="IO114" s="77">
        <f t="shared" si="564"/>
        <v>28425.163841557423</v>
      </c>
      <c r="IP114" s="77">
        <f t="shared" si="564"/>
        <v>0</v>
      </c>
      <c r="IQ114" s="77">
        <f t="shared" si="564"/>
        <v>0</v>
      </c>
      <c r="IR114" s="77">
        <f t="shared" si="564"/>
        <v>0</v>
      </c>
      <c r="IS114" s="77">
        <f t="shared" si="564"/>
        <v>0</v>
      </c>
      <c r="IT114" s="77">
        <f t="shared" si="564"/>
        <v>0</v>
      </c>
      <c r="IU114" s="77">
        <f t="shared" si="564"/>
        <v>0</v>
      </c>
      <c r="IV114" s="77">
        <f t="shared" si="564"/>
        <v>0</v>
      </c>
      <c r="IW114" s="77">
        <f t="shared" si="564"/>
        <v>0</v>
      </c>
      <c r="IX114" s="77">
        <f t="shared" si="564"/>
        <v>0</v>
      </c>
      <c r="IY114" s="77">
        <f t="shared" si="564"/>
        <v>0</v>
      </c>
      <c r="IZ114" s="77">
        <f t="shared" si="564"/>
        <v>0</v>
      </c>
      <c r="JA114" s="77">
        <f t="shared" si="564"/>
        <v>0</v>
      </c>
      <c r="JB114" s="77">
        <f t="shared" si="564"/>
        <v>0</v>
      </c>
      <c r="JC114" s="77">
        <f t="shared" si="564"/>
        <v>0</v>
      </c>
      <c r="JD114" s="77">
        <f t="shared" si="564"/>
        <v>0</v>
      </c>
      <c r="JE114" s="77">
        <f t="shared" si="564"/>
        <v>0</v>
      </c>
      <c r="JF114" s="77">
        <f t="shared" si="564"/>
        <v>0</v>
      </c>
      <c r="JG114" s="77">
        <f t="shared" si="564"/>
        <v>0</v>
      </c>
      <c r="JH114" s="77">
        <f t="shared" si="564"/>
        <v>0</v>
      </c>
      <c r="JI114" s="77">
        <f t="shared" si="564"/>
        <v>0</v>
      </c>
      <c r="JJ114" s="77">
        <f t="shared" si="564"/>
        <v>0</v>
      </c>
      <c r="JK114" s="77">
        <f t="shared" si="564"/>
        <v>0</v>
      </c>
      <c r="JL114" s="77">
        <f t="shared" si="564"/>
        <v>0</v>
      </c>
      <c r="JM114" s="77">
        <f t="shared" ref="JM114:LX114" si="565">JM109/$F$116*$E$116</f>
        <v>0</v>
      </c>
      <c r="JN114" s="77">
        <f t="shared" si="565"/>
        <v>0</v>
      </c>
      <c r="JO114" s="77">
        <f t="shared" si="565"/>
        <v>0</v>
      </c>
      <c r="JP114" s="77">
        <f t="shared" si="565"/>
        <v>0</v>
      </c>
      <c r="JQ114" s="77">
        <f t="shared" si="565"/>
        <v>0</v>
      </c>
      <c r="JR114" s="77">
        <f t="shared" si="565"/>
        <v>0</v>
      </c>
      <c r="JS114" s="77">
        <f t="shared" si="565"/>
        <v>0</v>
      </c>
      <c r="JT114" s="77">
        <f t="shared" si="565"/>
        <v>0</v>
      </c>
      <c r="JU114" s="77">
        <f t="shared" si="565"/>
        <v>0</v>
      </c>
      <c r="JV114" s="77">
        <f t="shared" si="565"/>
        <v>0</v>
      </c>
      <c r="JW114" s="77">
        <f t="shared" si="565"/>
        <v>0</v>
      </c>
      <c r="JX114" s="77">
        <f t="shared" si="565"/>
        <v>0</v>
      </c>
      <c r="JY114" s="77">
        <f t="shared" si="565"/>
        <v>0</v>
      </c>
      <c r="JZ114" s="77">
        <f t="shared" si="565"/>
        <v>0</v>
      </c>
      <c r="KA114" s="77">
        <f t="shared" si="565"/>
        <v>0</v>
      </c>
      <c r="KB114" s="77">
        <f t="shared" si="565"/>
        <v>0</v>
      </c>
      <c r="KC114" s="77">
        <f t="shared" si="565"/>
        <v>0</v>
      </c>
      <c r="KD114" s="77">
        <f t="shared" si="565"/>
        <v>0</v>
      </c>
      <c r="KE114" s="77">
        <f t="shared" si="565"/>
        <v>0</v>
      </c>
      <c r="KF114" s="77">
        <f t="shared" si="565"/>
        <v>0</v>
      </c>
      <c r="KG114" s="77">
        <f t="shared" si="565"/>
        <v>0</v>
      </c>
      <c r="KH114" s="77">
        <f t="shared" si="565"/>
        <v>0</v>
      </c>
      <c r="KI114" s="77">
        <f t="shared" si="565"/>
        <v>0</v>
      </c>
      <c r="KJ114" s="77">
        <f t="shared" si="565"/>
        <v>0</v>
      </c>
      <c r="KK114" s="77">
        <f t="shared" si="565"/>
        <v>0</v>
      </c>
      <c r="KL114" s="77">
        <f t="shared" si="565"/>
        <v>0</v>
      </c>
      <c r="KM114" s="77">
        <f t="shared" si="565"/>
        <v>0</v>
      </c>
      <c r="KN114" s="77">
        <f t="shared" si="565"/>
        <v>0</v>
      </c>
      <c r="KO114" s="77">
        <f t="shared" si="565"/>
        <v>0</v>
      </c>
      <c r="KP114" s="77">
        <f t="shared" si="565"/>
        <v>0</v>
      </c>
      <c r="KQ114" s="77">
        <f t="shared" si="565"/>
        <v>0</v>
      </c>
      <c r="KR114" s="77">
        <f t="shared" si="565"/>
        <v>0</v>
      </c>
      <c r="KS114" s="77">
        <f t="shared" si="565"/>
        <v>0</v>
      </c>
      <c r="KT114" s="77">
        <f t="shared" si="565"/>
        <v>0</v>
      </c>
      <c r="KU114" s="77">
        <f t="shared" si="565"/>
        <v>0</v>
      </c>
      <c r="KV114" s="77">
        <f t="shared" si="565"/>
        <v>0</v>
      </c>
      <c r="KW114" s="77">
        <f t="shared" si="565"/>
        <v>0</v>
      </c>
      <c r="KX114" s="77">
        <f t="shared" si="565"/>
        <v>0</v>
      </c>
      <c r="KY114" s="77">
        <f t="shared" si="565"/>
        <v>0</v>
      </c>
      <c r="KZ114" s="77">
        <f t="shared" si="565"/>
        <v>0</v>
      </c>
      <c r="LA114" s="77">
        <f t="shared" si="565"/>
        <v>0</v>
      </c>
      <c r="LB114" s="77">
        <f t="shared" si="565"/>
        <v>0</v>
      </c>
      <c r="LC114" s="77">
        <f t="shared" si="565"/>
        <v>0</v>
      </c>
      <c r="LD114" s="77">
        <f t="shared" si="565"/>
        <v>0</v>
      </c>
      <c r="LE114" s="77">
        <f t="shared" si="565"/>
        <v>0</v>
      </c>
      <c r="LF114" s="77">
        <f t="shared" si="565"/>
        <v>0</v>
      </c>
      <c r="LG114" s="77">
        <f t="shared" si="565"/>
        <v>0</v>
      </c>
      <c r="LH114" s="77">
        <f t="shared" si="565"/>
        <v>0</v>
      </c>
      <c r="LI114" s="77">
        <f t="shared" si="565"/>
        <v>0</v>
      </c>
      <c r="LJ114" s="77">
        <f t="shared" si="565"/>
        <v>0</v>
      </c>
      <c r="LK114" s="77">
        <f t="shared" si="565"/>
        <v>0</v>
      </c>
      <c r="LL114" s="77">
        <f t="shared" si="565"/>
        <v>0</v>
      </c>
      <c r="LM114" s="77">
        <f t="shared" si="565"/>
        <v>0</v>
      </c>
      <c r="LN114" s="77">
        <f t="shared" si="565"/>
        <v>0</v>
      </c>
      <c r="LO114" s="77">
        <f t="shared" si="565"/>
        <v>0</v>
      </c>
      <c r="LP114" s="77">
        <f t="shared" si="565"/>
        <v>0</v>
      </c>
      <c r="LQ114" s="77">
        <f t="shared" si="565"/>
        <v>0</v>
      </c>
      <c r="LR114" s="77">
        <f t="shared" si="565"/>
        <v>0</v>
      </c>
      <c r="LS114" s="77">
        <f t="shared" si="565"/>
        <v>0</v>
      </c>
      <c r="LT114" s="77">
        <f t="shared" si="565"/>
        <v>0</v>
      </c>
      <c r="LU114" s="77">
        <f t="shared" si="565"/>
        <v>0</v>
      </c>
      <c r="LV114" s="77">
        <f t="shared" si="565"/>
        <v>0</v>
      </c>
      <c r="LW114" s="77">
        <f t="shared" si="565"/>
        <v>0</v>
      </c>
      <c r="LX114" s="77">
        <f t="shared" si="565"/>
        <v>0</v>
      </c>
      <c r="LY114" s="77">
        <f t="shared" ref="LY114:NW114" si="566">LY109/$F$116*$E$116</f>
        <v>0</v>
      </c>
      <c r="LZ114" s="77">
        <f t="shared" si="566"/>
        <v>0</v>
      </c>
      <c r="MA114" s="77">
        <f t="shared" si="566"/>
        <v>0</v>
      </c>
      <c r="MB114" s="77">
        <f t="shared" si="566"/>
        <v>0</v>
      </c>
      <c r="MC114" s="77">
        <f t="shared" si="566"/>
        <v>0</v>
      </c>
      <c r="MD114" s="77">
        <f t="shared" si="566"/>
        <v>0</v>
      </c>
      <c r="ME114" s="77">
        <f t="shared" si="566"/>
        <v>0</v>
      </c>
      <c r="MF114" s="77">
        <f t="shared" si="566"/>
        <v>0</v>
      </c>
      <c r="MG114" s="77">
        <f t="shared" si="566"/>
        <v>0</v>
      </c>
      <c r="MH114" s="77">
        <f t="shared" si="566"/>
        <v>0</v>
      </c>
      <c r="MI114" s="77">
        <f t="shared" si="566"/>
        <v>0</v>
      </c>
      <c r="MJ114" s="77">
        <f t="shared" si="566"/>
        <v>0</v>
      </c>
      <c r="MK114" s="77">
        <f t="shared" si="566"/>
        <v>0</v>
      </c>
      <c r="ML114" s="77">
        <f t="shared" si="566"/>
        <v>0</v>
      </c>
      <c r="MM114" s="77">
        <f t="shared" si="566"/>
        <v>0</v>
      </c>
      <c r="MN114" s="77">
        <f t="shared" si="566"/>
        <v>0</v>
      </c>
      <c r="MO114" s="77">
        <f t="shared" si="566"/>
        <v>0</v>
      </c>
      <c r="MP114" s="77">
        <f t="shared" si="566"/>
        <v>0</v>
      </c>
      <c r="MQ114" s="77">
        <f t="shared" si="566"/>
        <v>0</v>
      </c>
      <c r="MR114" s="77">
        <f t="shared" si="566"/>
        <v>0</v>
      </c>
      <c r="MS114" s="77">
        <f t="shared" si="566"/>
        <v>0</v>
      </c>
      <c r="MT114" s="77">
        <f t="shared" si="566"/>
        <v>0</v>
      </c>
      <c r="MU114" s="77">
        <f t="shared" si="566"/>
        <v>0</v>
      </c>
      <c r="MV114" s="77">
        <f t="shared" si="566"/>
        <v>0</v>
      </c>
      <c r="MW114" s="77">
        <f t="shared" si="566"/>
        <v>0</v>
      </c>
      <c r="MX114" s="77">
        <f t="shared" si="566"/>
        <v>0</v>
      </c>
      <c r="MY114" s="77">
        <f t="shared" si="566"/>
        <v>0</v>
      </c>
      <c r="MZ114" s="77">
        <f t="shared" si="566"/>
        <v>0</v>
      </c>
      <c r="NA114" s="77">
        <f t="shared" si="566"/>
        <v>0</v>
      </c>
      <c r="NB114" s="77">
        <f t="shared" si="566"/>
        <v>0</v>
      </c>
      <c r="NC114" s="77">
        <f t="shared" si="566"/>
        <v>0</v>
      </c>
      <c r="ND114" s="77">
        <f t="shared" si="566"/>
        <v>0</v>
      </c>
      <c r="NE114" s="77">
        <f t="shared" si="566"/>
        <v>0</v>
      </c>
      <c r="NF114" s="77">
        <f t="shared" si="566"/>
        <v>0</v>
      </c>
      <c r="NG114" s="77">
        <f t="shared" si="566"/>
        <v>0</v>
      </c>
      <c r="NH114" s="77">
        <f t="shared" si="566"/>
        <v>0</v>
      </c>
      <c r="NI114" s="77">
        <f t="shared" si="566"/>
        <v>0</v>
      </c>
      <c r="NJ114" s="77">
        <f t="shared" si="566"/>
        <v>0</v>
      </c>
      <c r="NK114" s="77">
        <f t="shared" si="566"/>
        <v>0</v>
      </c>
      <c r="NL114" s="77">
        <f t="shared" si="566"/>
        <v>0</v>
      </c>
      <c r="NM114" s="77">
        <f t="shared" si="566"/>
        <v>0</v>
      </c>
      <c r="NN114" s="77">
        <f t="shared" si="566"/>
        <v>0</v>
      </c>
      <c r="NO114" s="77">
        <f t="shared" si="566"/>
        <v>0</v>
      </c>
      <c r="NP114" s="77">
        <f t="shared" si="566"/>
        <v>0</v>
      </c>
      <c r="NQ114" s="77">
        <f t="shared" si="566"/>
        <v>0</v>
      </c>
      <c r="NR114" s="77">
        <f t="shared" si="566"/>
        <v>0</v>
      </c>
      <c r="NS114" s="77">
        <f t="shared" si="566"/>
        <v>0</v>
      </c>
      <c r="NT114" s="77">
        <f t="shared" si="566"/>
        <v>0</v>
      </c>
      <c r="NU114" s="77">
        <f t="shared" si="566"/>
        <v>0</v>
      </c>
      <c r="NV114" s="77">
        <f t="shared" si="566"/>
        <v>0</v>
      </c>
      <c r="NW114" s="77">
        <f t="shared" si="566"/>
        <v>0</v>
      </c>
    </row>
    <row r="115" spans="2:387" x14ac:dyDescent="0.3">
      <c r="B115" s="24" t="s">
        <v>162</v>
      </c>
      <c r="C115" s="19"/>
      <c r="D115" s="19"/>
      <c r="E115" s="25" t="s">
        <v>313</v>
      </c>
      <c r="F115" s="25" t="s">
        <v>314</v>
      </c>
      <c r="G115" s="19"/>
      <c r="H115" s="19"/>
      <c r="I115" s="19"/>
      <c r="J115" s="23"/>
      <c r="K115" s="29"/>
      <c r="L115" s="23"/>
      <c r="GS115" s="80"/>
      <c r="GT115" s="77"/>
      <c r="GU115" s="77"/>
      <c r="GV115" s="77"/>
      <c r="GW115" s="77"/>
      <c r="GX115" s="77"/>
      <c r="GY115" s="77"/>
      <c r="GZ115" s="77"/>
      <c r="HA115" s="77"/>
      <c r="HB115" s="77"/>
      <c r="HC115" s="77"/>
      <c r="HD115" s="77"/>
      <c r="HE115" s="77"/>
      <c r="HF115" s="77"/>
      <c r="HG115" s="77"/>
      <c r="HH115" s="77"/>
      <c r="HI115" s="77"/>
      <c r="HJ115" s="77"/>
      <c r="HK115" s="77"/>
      <c r="HL115" s="77"/>
      <c r="HM115" s="77"/>
      <c r="HN115" s="77"/>
      <c r="HO115" s="77"/>
      <c r="HP115" s="77"/>
      <c r="HQ115" s="77"/>
      <c r="HR115" s="77"/>
      <c r="HS115" s="77"/>
      <c r="HT115" s="77"/>
      <c r="HU115" s="77"/>
      <c r="HV115" s="77"/>
      <c r="HW115" s="77"/>
      <c r="HX115" s="77"/>
      <c r="HY115" s="77"/>
      <c r="HZ115" s="77"/>
      <c r="IA115" s="77"/>
      <c r="IB115" s="77"/>
      <c r="IC115" s="77"/>
      <c r="ID115" s="77"/>
      <c r="IE115" s="77"/>
      <c r="IF115" s="77"/>
      <c r="IG115" s="77"/>
      <c r="IH115" s="77"/>
      <c r="II115" s="77"/>
      <c r="IJ115" s="77"/>
      <c r="IK115" s="77"/>
      <c r="IL115" s="77"/>
      <c r="IM115" s="77"/>
      <c r="IN115" s="77"/>
      <c r="IO115" s="77"/>
      <c r="IP115" s="77"/>
      <c r="IQ115" s="77"/>
      <c r="IR115" s="77"/>
      <c r="IS115" s="77"/>
      <c r="IT115" s="77"/>
      <c r="IU115" s="77"/>
      <c r="IV115" s="77"/>
      <c r="IW115" s="77"/>
      <c r="IX115" s="77"/>
      <c r="IY115" s="77"/>
      <c r="IZ115" s="77"/>
      <c r="JA115" s="77"/>
      <c r="JB115" s="77"/>
      <c r="JC115" s="77"/>
      <c r="JD115" s="77"/>
      <c r="JE115" s="77"/>
      <c r="JF115" s="77"/>
      <c r="JG115" s="77"/>
      <c r="JH115" s="77"/>
      <c r="JI115" s="77"/>
      <c r="JJ115" s="77"/>
      <c r="JK115" s="77"/>
      <c r="JL115" s="77"/>
      <c r="JM115" s="77"/>
      <c r="JN115" s="77"/>
      <c r="JO115" s="77"/>
      <c r="JP115" s="77"/>
      <c r="JQ115" s="77"/>
      <c r="JR115" s="77"/>
      <c r="JS115" s="77"/>
      <c r="JT115" s="77"/>
      <c r="JU115" s="77"/>
      <c r="JV115" s="77"/>
      <c r="JW115" s="77"/>
      <c r="JX115" s="77"/>
      <c r="JY115" s="77"/>
      <c r="JZ115" s="77"/>
      <c r="KA115" s="77"/>
      <c r="KB115" s="77"/>
      <c r="KC115" s="77"/>
      <c r="KD115" s="77"/>
      <c r="KE115" s="77"/>
      <c r="KF115" s="77"/>
      <c r="KG115" s="77"/>
      <c r="KH115" s="77"/>
      <c r="KI115" s="77"/>
      <c r="KJ115" s="77"/>
      <c r="KK115" s="77"/>
      <c r="KL115" s="77"/>
      <c r="KM115" s="77"/>
      <c r="KN115" s="77"/>
      <c r="KO115" s="77"/>
      <c r="KP115" s="77"/>
      <c r="KQ115" s="77"/>
      <c r="KR115" s="77"/>
      <c r="KS115" s="77"/>
      <c r="KT115" s="77"/>
      <c r="KU115" s="77"/>
      <c r="KV115" s="77"/>
      <c r="KW115" s="77"/>
      <c r="KX115" s="77"/>
      <c r="KY115" s="77"/>
      <c r="KZ115" s="77"/>
      <c r="LA115" s="77"/>
      <c r="LB115" s="77"/>
      <c r="LC115" s="77"/>
      <c r="LD115" s="77"/>
      <c r="LE115" s="77"/>
      <c r="LF115" s="77"/>
      <c r="LG115" s="77"/>
      <c r="LH115" s="77"/>
      <c r="LI115" s="77"/>
      <c r="LJ115" s="77"/>
      <c r="LK115" s="77"/>
      <c r="LL115" s="77"/>
      <c r="LM115" s="77"/>
      <c r="LN115" s="77"/>
      <c r="LO115" s="77"/>
      <c r="LP115" s="77"/>
      <c r="LQ115" s="77"/>
      <c r="LR115" s="77"/>
      <c r="LS115" s="77"/>
      <c r="LT115" s="77"/>
      <c r="LU115" s="77"/>
      <c r="LV115" s="77"/>
      <c r="LW115" s="77"/>
      <c r="LX115" s="77"/>
      <c r="LY115" s="77"/>
      <c r="LZ115" s="77"/>
      <c r="MA115" s="77"/>
      <c r="MB115" s="77"/>
      <c r="MC115" s="77"/>
      <c r="MD115" s="77"/>
      <c r="ME115" s="77"/>
      <c r="MF115" s="77"/>
      <c r="MG115" s="77"/>
      <c r="MH115" s="77"/>
      <c r="MI115" s="77"/>
      <c r="MJ115" s="77"/>
      <c r="MK115" s="77"/>
      <c r="ML115" s="77"/>
      <c r="MM115" s="77"/>
      <c r="MN115" s="77"/>
      <c r="MO115" s="77"/>
      <c r="MP115" s="77"/>
      <c r="MQ115" s="77"/>
      <c r="MR115" s="77"/>
      <c r="MS115" s="77"/>
      <c r="MT115" s="77"/>
      <c r="MU115" s="77"/>
      <c r="MV115" s="77"/>
      <c r="MW115" s="77"/>
      <c r="MX115" s="77"/>
      <c r="MY115" s="77"/>
      <c r="MZ115" s="77"/>
      <c r="NA115" s="77"/>
      <c r="NB115" s="77"/>
      <c r="NC115" s="77"/>
      <c r="ND115" s="77"/>
      <c r="NE115" s="77"/>
      <c r="NF115" s="77"/>
      <c r="NG115" s="77"/>
      <c r="NH115" s="77"/>
      <c r="NI115" s="77"/>
      <c r="NJ115" s="77"/>
      <c r="NK115" s="77"/>
      <c r="NL115" s="77"/>
      <c r="NM115" s="77"/>
      <c r="NN115" s="77"/>
      <c r="NO115" s="77"/>
      <c r="NP115" s="77"/>
      <c r="NQ115" s="77"/>
      <c r="NR115" s="77"/>
      <c r="NS115" s="77"/>
      <c r="NT115" s="77"/>
      <c r="NU115" s="77"/>
      <c r="NV115" s="77"/>
      <c r="NW115" s="77"/>
    </row>
    <row r="116" spans="2:387" x14ac:dyDescent="0.3">
      <c r="B116" s="49" t="s">
        <v>315</v>
      </c>
      <c r="C116" s="19"/>
      <c r="D116" s="19"/>
      <c r="E116" s="57">
        <v>0.1</v>
      </c>
      <c r="F116" s="63">
        <f>1-E116</f>
        <v>0.9</v>
      </c>
      <c r="G116" s="19"/>
      <c r="H116" s="19"/>
      <c r="I116" s="23"/>
      <c r="J116" s="23">
        <f>L116/$L$8</f>
        <v>9548.9733362162369</v>
      </c>
      <c r="K116" s="29">
        <f>L116/$L$7</f>
        <v>1.2622206134078933</v>
      </c>
      <c r="L116" s="23">
        <f>SUM(T116:GQ116)</f>
        <v>2196263.8673297344</v>
      </c>
      <c r="S116" s="69" t="str">
        <f>IF(ROUND(L116,0)=ROUND(SUM(T116:GQ116),0),"OK","ERROR")</f>
        <v>OK</v>
      </c>
      <c r="T116" s="50">
        <f>GZ109+GZ114</f>
        <v>0</v>
      </c>
      <c r="U116" s="50">
        <f t="shared" ref="U116:CF116" si="567">HA109+HA114</f>
        <v>0</v>
      </c>
      <c r="V116" s="50">
        <f t="shared" si="567"/>
        <v>0</v>
      </c>
      <c r="W116" s="50">
        <f t="shared" si="567"/>
        <v>0</v>
      </c>
      <c r="X116" s="50">
        <f t="shared" si="567"/>
        <v>0</v>
      </c>
      <c r="Y116" s="50">
        <f t="shared" si="567"/>
        <v>0</v>
      </c>
      <c r="Z116" s="50">
        <f t="shared" si="567"/>
        <v>0</v>
      </c>
      <c r="AA116" s="50">
        <f t="shared" si="567"/>
        <v>0</v>
      </c>
      <c r="AB116" s="50">
        <f t="shared" si="567"/>
        <v>0</v>
      </c>
      <c r="AC116" s="50">
        <f t="shared" si="567"/>
        <v>0</v>
      </c>
      <c r="AD116" s="50">
        <f t="shared" si="567"/>
        <v>0</v>
      </c>
      <c r="AE116" s="50">
        <f t="shared" si="567"/>
        <v>158208.6867424068</v>
      </c>
      <c r="AF116" s="50">
        <f t="shared" si="567"/>
        <v>0</v>
      </c>
      <c r="AG116" s="50">
        <f t="shared" si="567"/>
        <v>0</v>
      </c>
      <c r="AH116" s="50">
        <f t="shared" si="567"/>
        <v>0</v>
      </c>
      <c r="AI116" s="50">
        <f t="shared" si="567"/>
        <v>0</v>
      </c>
      <c r="AJ116" s="50">
        <f t="shared" si="567"/>
        <v>0</v>
      </c>
      <c r="AK116" s="50">
        <f t="shared" si="567"/>
        <v>0</v>
      </c>
      <c r="AL116" s="50">
        <f t="shared" si="567"/>
        <v>0</v>
      </c>
      <c r="AM116" s="50">
        <f t="shared" si="567"/>
        <v>0</v>
      </c>
      <c r="AN116" s="50">
        <f t="shared" si="567"/>
        <v>0</v>
      </c>
      <c r="AO116" s="50">
        <f t="shared" si="567"/>
        <v>0</v>
      </c>
      <c r="AP116" s="50">
        <f t="shared" si="567"/>
        <v>0</v>
      </c>
      <c r="AQ116" s="50">
        <f t="shared" si="567"/>
        <v>0</v>
      </c>
      <c r="AR116" s="50">
        <f t="shared" si="567"/>
        <v>0</v>
      </c>
      <c r="AS116" s="50">
        <f t="shared" si="567"/>
        <v>0</v>
      </c>
      <c r="AT116" s="50">
        <f t="shared" si="567"/>
        <v>193808.87456932926</v>
      </c>
      <c r="AU116" s="50">
        <f t="shared" si="567"/>
        <v>0</v>
      </c>
      <c r="AV116" s="50">
        <f t="shared" si="567"/>
        <v>0</v>
      </c>
      <c r="AW116" s="50">
        <f t="shared" si="567"/>
        <v>0</v>
      </c>
      <c r="AX116" s="50">
        <f t="shared" si="567"/>
        <v>7724.8215590861801</v>
      </c>
      <c r="AY116" s="50">
        <f t="shared" si="567"/>
        <v>92703.704531599273</v>
      </c>
      <c r="AZ116" s="50">
        <f t="shared" si="567"/>
        <v>92703.704531599273</v>
      </c>
      <c r="BA116" s="50">
        <f t="shared" si="567"/>
        <v>92703.704531599273</v>
      </c>
      <c r="BB116" s="50">
        <f t="shared" si="567"/>
        <v>92703.704531599273</v>
      </c>
      <c r="BC116" s="50">
        <f t="shared" si="567"/>
        <v>92703.704531599273</v>
      </c>
      <c r="BD116" s="50">
        <f t="shared" si="567"/>
        <v>99932.275960170693</v>
      </c>
      <c r="BE116" s="50">
        <f t="shared" si="567"/>
        <v>99932.275960170693</v>
      </c>
      <c r="BF116" s="50">
        <f t="shared" si="567"/>
        <v>124630</v>
      </c>
      <c r="BG116" s="50">
        <f t="shared" si="567"/>
        <v>382128.38573250006</v>
      </c>
      <c r="BH116" s="50">
        <f t="shared" si="567"/>
        <v>382128.38573250006</v>
      </c>
      <c r="BI116" s="50">
        <f t="shared" si="567"/>
        <v>284251.63841557421</v>
      </c>
      <c r="BJ116" s="50">
        <f t="shared" si="567"/>
        <v>0</v>
      </c>
      <c r="BK116" s="50">
        <f t="shared" si="567"/>
        <v>0</v>
      </c>
      <c r="BL116" s="50">
        <f t="shared" si="567"/>
        <v>0</v>
      </c>
      <c r="BM116" s="50">
        <f t="shared" si="567"/>
        <v>0</v>
      </c>
      <c r="BN116" s="50">
        <f t="shared" si="567"/>
        <v>0</v>
      </c>
      <c r="BO116" s="50">
        <f t="shared" si="567"/>
        <v>0</v>
      </c>
      <c r="BP116" s="50">
        <f t="shared" si="567"/>
        <v>0</v>
      </c>
      <c r="BQ116" s="50">
        <f t="shared" si="567"/>
        <v>0</v>
      </c>
      <c r="BR116" s="50">
        <f t="shared" si="567"/>
        <v>0</v>
      </c>
      <c r="BS116" s="50">
        <f t="shared" si="567"/>
        <v>0</v>
      </c>
      <c r="BT116" s="50">
        <f t="shared" si="567"/>
        <v>0</v>
      </c>
      <c r="BU116" s="50">
        <f t="shared" si="567"/>
        <v>0</v>
      </c>
      <c r="BV116" s="50">
        <f t="shared" si="567"/>
        <v>0</v>
      </c>
      <c r="BW116" s="50">
        <f t="shared" si="567"/>
        <v>0</v>
      </c>
      <c r="BX116" s="50">
        <f t="shared" si="567"/>
        <v>0</v>
      </c>
      <c r="BY116" s="50">
        <f t="shared" si="567"/>
        <v>0</v>
      </c>
      <c r="BZ116" s="50">
        <f t="shared" si="567"/>
        <v>0</v>
      </c>
      <c r="CA116" s="50">
        <f t="shared" si="567"/>
        <v>0</v>
      </c>
      <c r="CB116" s="50">
        <f t="shared" si="567"/>
        <v>0</v>
      </c>
      <c r="CC116" s="50">
        <f t="shared" si="567"/>
        <v>0</v>
      </c>
      <c r="CD116" s="50">
        <f t="shared" si="567"/>
        <v>0</v>
      </c>
      <c r="CE116" s="50">
        <f t="shared" si="567"/>
        <v>0</v>
      </c>
      <c r="CF116" s="50">
        <f t="shared" si="567"/>
        <v>0</v>
      </c>
      <c r="CG116" s="50">
        <f t="shared" ref="CG116:ER116" si="568">JM109+JM114</f>
        <v>0</v>
      </c>
      <c r="CH116" s="50">
        <f t="shared" si="568"/>
        <v>0</v>
      </c>
      <c r="CI116" s="50">
        <f t="shared" si="568"/>
        <v>0</v>
      </c>
      <c r="CJ116" s="50">
        <f t="shared" si="568"/>
        <v>0</v>
      </c>
      <c r="CK116" s="50">
        <f t="shared" si="568"/>
        <v>0</v>
      </c>
      <c r="CL116" s="50">
        <f t="shared" si="568"/>
        <v>0</v>
      </c>
      <c r="CM116" s="50">
        <f t="shared" si="568"/>
        <v>0</v>
      </c>
      <c r="CN116" s="50">
        <f t="shared" si="568"/>
        <v>0</v>
      </c>
      <c r="CO116" s="50">
        <f t="shared" si="568"/>
        <v>0</v>
      </c>
      <c r="CP116" s="50">
        <f t="shared" si="568"/>
        <v>0</v>
      </c>
      <c r="CQ116" s="50">
        <f t="shared" si="568"/>
        <v>0</v>
      </c>
      <c r="CR116" s="50">
        <f t="shared" si="568"/>
        <v>0</v>
      </c>
      <c r="CS116" s="50">
        <f t="shared" si="568"/>
        <v>0</v>
      </c>
      <c r="CT116" s="50">
        <f t="shared" si="568"/>
        <v>0</v>
      </c>
      <c r="CU116" s="50">
        <f t="shared" si="568"/>
        <v>0</v>
      </c>
      <c r="CV116" s="50">
        <f t="shared" si="568"/>
        <v>0</v>
      </c>
      <c r="CW116" s="50">
        <f t="shared" si="568"/>
        <v>0</v>
      </c>
      <c r="CX116" s="50">
        <f t="shared" si="568"/>
        <v>0</v>
      </c>
      <c r="CY116" s="50">
        <f t="shared" si="568"/>
        <v>0</v>
      </c>
      <c r="CZ116" s="50">
        <f t="shared" si="568"/>
        <v>0</v>
      </c>
      <c r="DA116" s="50">
        <f t="shared" si="568"/>
        <v>0</v>
      </c>
      <c r="DB116" s="50">
        <f t="shared" si="568"/>
        <v>0</v>
      </c>
      <c r="DC116" s="50">
        <f t="shared" si="568"/>
        <v>0</v>
      </c>
      <c r="DD116" s="50">
        <f t="shared" si="568"/>
        <v>0</v>
      </c>
      <c r="DE116" s="50">
        <f t="shared" si="568"/>
        <v>0</v>
      </c>
      <c r="DF116" s="50">
        <f t="shared" si="568"/>
        <v>0</v>
      </c>
      <c r="DG116" s="50">
        <f t="shared" si="568"/>
        <v>0</v>
      </c>
      <c r="DH116" s="50">
        <f t="shared" si="568"/>
        <v>0</v>
      </c>
      <c r="DI116" s="50">
        <f t="shared" si="568"/>
        <v>0</v>
      </c>
      <c r="DJ116" s="50">
        <f t="shared" si="568"/>
        <v>0</v>
      </c>
      <c r="DK116" s="50">
        <f t="shared" si="568"/>
        <v>0</v>
      </c>
      <c r="DL116" s="50">
        <f t="shared" si="568"/>
        <v>0</v>
      </c>
      <c r="DM116" s="50">
        <f t="shared" si="568"/>
        <v>0</v>
      </c>
      <c r="DN116" s="50">
        <f t="shared" si="568"/>
        <v>0</v>
      </c>
      <c r="DO116" s="50">
        <f t="shared" si="568"/>
        <v>0</v>
      </c>
      <c r="DP116" s="50">
        <f t="shared" si="568"/>
        <v>0</v>
      </c>
      <c r="DQ116" s="50">
        <f t="shared" si="568"/>
        <v>0</v>
      </c>
      <c r="DR116" s="50">
        <f t="shared" si="568"/>
        <v>0</v>
      </c>
      <c r="DS116" s="50">
        <f t="shared" si="568"/>
        <v>0</v>
      </c>
      <c r="DT116" s="50">
        <f t="shared" si="568"/>
        <v>0</v>
      </c>
      <c r="DU116" s="50">
        <f t="shared" si="568"/>
        <v>0</v>
      </c>
      <c r="DV116" s="50">
        <f t="shared" si="568"/>
        <v>0</v>
      </c>
      <c r="DW116" s="50">
        <f t="shared" si="568"/>
        <v>0</v>
      </c>
      <c r="DX116" s="50">
        <f t="shared" si="568"/>
        <v>0</v>
      </c>
      <c r="DY116" s="50">
        <f t="shared" si="568"/>
        <v>0</v>
      </c>
      <c r="DZ116" s="50">
        <f t="shared" si="568"/>
        <v>0</v>
      </c>
      <c r="EA116" s="50">
        <f t="shared" si="568"/>
        <v>0</v>
      </c>
      <c r="EB116" s="50">
        <f t="shared" si="568"/>
        <v>0</v>
      </c>
      <c r="EC116" s="50">
        <f t="shared" si="568"/>
        <v>0</v>
      </c>
      <c r="ED116" s="50">
        <f t="shared" si="568"/>
        <v>0</v>
      </c>
      <c r="EE116" s="50">
        <f t="shared" si="568"/>
        <v>0</v>
      </c>
      <c r="EF116" s="50">
        <f t="shared" si="568"/>
        <v>0</v>
      </c>
      <c r="EG116" s="50">
        <f t="shared" si="568"/>
        <v>0</v>
      </c>
      <c r="EH116" s="50">
        <f t="shared" si="568"/>
        <v>0</v>
      </c>
      <c r="EI116" s="50">
        <f t="shared" si="568"/>
        <v>0</v>
      </c>
      <c r="EJ116" s="50">
        <f t="shared" si="568"/>
        <v>0</v>
      </c>
      <c r="EK116" s="50">
        <f t="shared" si="568"/>
        <v>0</v>
      </c>
      <c r="EL116" s="50">
        <f t="shared" si="568"/>
        <v>0</v>
      </c>
      <c r="EM116" s="50">
        <f t="shared" si="568"/>
        <v>0</v>
      </c>
      <c r="EN116" s="50">
        <f t="shared" si="568"/>
        <v>0</v>
      </c>
      <c r="EO116" s="50">
        <f t="shared" si="568"/>
        <v>0</v>
      </c>
      <c r="EP116" s="50">
        <f t="shared" si="568"/>
        <v>0</v>
      </c>
      <c r="EQ116" s="50">
        <f t="shared" si="568"/>
        <v>0</v>
      </c>
      <c r="ER116" s="50">
        <f t="shared" si="568"/>
        <v>0</v>
      </c>
      <c r="ES116" s="50">
        <f t="shared" ref="ES116:GQ116" si="569">LY109+LY114</f>
        <v>0</v>
      </c>
      <c r="ET116" s="50">
        <f t="shared" si="569"/>
        <v>0</v>
      </c>
      <c r="EU116" s="50">
        <f t="shared" si="569"/>
        <v>0</v>
      </c>
      <c r="EV116" s="50">
        <f t="shared" si="569"/>
        <v>0</v>
      </c>
      <c r="EW116" s="50">
        <f t="shared" si="569"/>
        <v>0</v>
      </c>
      <c r="EX116" s="50">
        <f t="shared" si="569"/>
        <v>0</v>
      </c>
      <c r="EY116" s="50">
        <f t="shared" si="569"/>
        <v>0</v>
      </c>
      <c r="EZ116" s="50">
        <f t="shared" si="569"/>
        <v>0</v>
      </c>
      <c r="FA116" s="50">
        <f t="shared" si="569"/>
        <v>0</v>
      </c>
      <c r="FB116" s="50">
        <f t="shared" si="569"/>
        <v>0</v>
      </c>
      <c r="FC116" s="50">
        <f t="shared" si="569"/>
        <v>0</v>
      </c>
      <c r="FD116" s="50">
        <f t="shared" si="569"/>
        <v>0</v>
      </c>
      <c r="FE116" s="50">
        <f t="shared" si="569"/>
        <v>0</v>
      </c>
      <c r="FF116" s="50">
        <f t="shared" si="569"/>
        <v>0</v>
      </c>
      <c r="FG116" s="50">
        <f t="shared" si="569"/>
        <v>0</v>
      </c>
      <c r="FH116" s="50">
        <f t="shared" si="569"/>
        <v>0</v>
      </c>
      <c r="FI116" s="50">
        <f t="shared" si="569"/>
        <v>0</v>
      </c>
      <c r="FJ116" s="50">
        <f t="shared" si="569"/>
        <v>0</v>
      </c>
      <c r="FK116" s="50">
        <f t="shared" si="569"/>
        <v>0</v>
      </c>
      <c r="FL116" s="50">
        <f t="shared" si="569"/>
        <v>0</v>
      </c>
      <c r="FM116" s="50">
        <f t="shared" si="569"/>
        <v>0</v>
      </c>
      <c r="FN116" s="50">
        <f t="shared" si="569"/>
        <v>0</v>
      </c>
      <c r="FO116" s="50">
        <f t="shared" si="569"/>
        <v>0</v>
      </c>
      <c r="FP116" s="50">
        <f t="shared" si="569"/>
        <v>0</v>
      </c>
      <c r="FQ116" s="50">
        <f t="shared" si="569"/>
        <v>0</v>
      </c>
      <c r="FR116" s="50">
        <f t="shared" si="569"/>
        <v>0</v>
      </c>
      <c r="FS116" s="50">
        <f t="shared" si="569"/>
        <v>0</v>
      </c>
      <c r="FT116" s="50">
        <f t="shared" si="569"/>
        <v>0</v>
      </c>
      <c r="FU116" s="50">
        <f t="shared" si="569"/>
        <v>0</v>
      </c>
      <c r="FV116" s="50">
        <f t="shared" si="569"/>
        <v>0</v>
      </c>
      <c r="FW116" s="50">
        <f t="shared" si="569"/>
        <v>0</v>
      </c>
      <c r="FX116" s="50">
        <f t="shared" si="569"/>
        <v>0</v>
      </c>
      <c r="FY116" s="50">
        <f t="shared" si="569"/>
        <v>0</v>
      </c>
      <c r="FZ116" s="50">
        <f t="shared" si="569"/>
        <v>0</v>
      </c>
      <c r="GA116" s="50">
        <f t="shared" si="569"/>
        <v>0</v>
      </c>
      <c r="GB116" s="50">
        <f t="shared" si="569"/>
        <v>0</v>
      </c>
      <c r="GC116" s="50">
        <f t="shared" si="569"/>
        <v>0</v>
      </c>
      <c r="GD116" s="50">
        <f t="shared" si="569"/>
        <v>0</v>
      </c>
      <c r="GE116" s="50">
        <f t="shared" si="569"/>
        <v>0</v>
      </c>
      <c r="GF116" s="50">
        <f t="shared" si="569"/>
        <v>0</v>
      </c>
      <c r="GG116" s="50">
        <f t="shared" si="569"/>
        <v>0</v>
      </c>
      <c r="GH116" s="50">
        <f t="shared" si="569"/>
        <v>0</v>
      </c>
      <c r="GI116" s="50">
        <f t="shared" si="569"/>
        <v>0</v>
      </c>
      <c r="GJ116" s="50">
        <f t="shared" si="569"/>
        <v>0</v>
      </c>
      <c r="GK116" s="50">
        <f t="shared" si="569"/>
        <v>0</v>
      </c>
      <c r="GL116" s="50">
        <f t="shared" si="569"/>
        <v>0</v>
      </c>
      <c r="GM116" s="50">
        <f t="shared" si="569"/>
        <v>0</v>
      </c>
      <c r="GN116" s="50">
        <f t="shared" si="569"/>
        <v>0</v>
      </c>
      <c r="GO116" s="50">
        <f t="shared" si="569"/>
        <v>0</v>
      </c>
      <c r="GP116" s="50">
        <f t="shared" si="569"/>
        <v>0</v>
      </c>
      <c r="GQ116" s="50">
        <f t="shared" si="569"/>
        <v>0</v>
      </c>
      <c r="GS116" s="80" t="s">
        <v>316</v>
      </c>
      <c r="GT116" s="77"/>
      <c r="GU116" s="77"/>
      <c r="GV116" s="77"/>
      <c r="GW116" s="77"/>
      <c r="GX116" s="77"/>
      <c r="GY116" s="77"/>
      <c r="GZ116" s="77">
        <f>GZ103-GZ109-GZ114</f>
        <v>0</v>
      </c>
      <c r="HA116" s="77">
        <f t="shared" ref="HA116:JL116" si="570">HA103-HA109-HA114</f>
        <v>0</v>
      </c>
      <c r="HB116" s="77">
        <f t="shared" si="570"/>
        <v>0</v>
      </c>
      <c r="HC116" s="77">
        <f t="shared" si="570"/>
        <v>0</v>
      </c>
      <c r="HD116" s="77">
        <f t="shared" si="570"/>
        <v>0</v>
      </c>
      <c r="HE116" s="77">
        <f t="shared" si="570"/>
        <v>0</v>
      </c>
      <c r="HF116" s="77">
        <f t="shared" si="570"/>
        <v>0</v>
      </c>
      <c r="HG116" s="77">
        <f t="shared" si="570"/>
        <v>0</v>
      </c>
      <c r="HH116" s="77">
        <f t="shared" si="570"/>
        <v>0</v>
      </c>
      <c r="HI116" s="77">
        <f t="shared" si="570"/>
        <v>0</v>
      </c>
      <c r="HJ116" s="77">
        <f t="shared" si="570"/>
        <v>0</v>
      </c>
      <c r="HK116" s="77">
        <f t="shared" si="570"/>
        <v>0</v>
      </c>
      <c r="HL116" s="77">
        <f t="shared" si="570"/>
        <v>0</v>
      </c>
      <c r="HM116" s="77">
        <f t="shared" si="570"/>
        <v>0</v>
      </c>
      <c r="HN116" s="77">
        <f t="shared" si="570"/>
        <v>0</v>
      </c>
      <c r="HO116" s="77">
        <f t="shared" si="570"/>
        <v>0</v>
      </c>
      <c r="HP116" s="77">
        <f t="shared" si="570"/>
        <v>0</v>
      </c>
      <c r="HQ116" s="77">
        <f t="shared" si="570"/>
        <v>0</v>
      </c>
      <c r="HR116" s="77">
        <f t="shared" si="570"/>
        <v>0</v>
      </c>
      <c r="HS116" s="77">
        <f t="shared" si="570"/>
        <v>0</v>
      </c>
      <c r="HT116" s="77">
        <f t="shared" si="570"/>
        <v>0</v>
      </c>
      <c r="HU116" s="77">
        <f t="shared" si="570"/>
        <v>0</v>
      </c>
      <c r="HV116" s="77">
        <f t="shared" si="570"/>
        <v>0</v>
      </c>
      <c r="HW116" s="77">
        <f t="shared" si="570"/>
        <v>0</v>
      </c>
      <c r="HX116" s="77">
        <f t="shared" si="570"/>
        <v>0</v>
      </c>
      <c r="HY116" s="77">
        <f t="shared" si="570"/>
        <v>0</v>
      </c>
      <c r="HZ116" s="77">
        <f t="shared" si="570"/>
        <v>0</v>
      </c>
      <c r="IA116" s="77">
        <f t="shared" si="570"/>
        <v>0</v>
      </c>
      <c r="IB116" s="77">
        <f t="shared" si="570"/>
        <v>0</v>
      </c>
      <c r="IC116" s="77">
        <f t="shared" si="570"/>
        <v>0</v>
      </c>
      <c r="ID116" s="77">
        <f t="shared" si="570"/>
        <v>0</v>
      </c>
      <c r="IE116" s="77">
        <f t="shared" si="570"/>
        <v>0</v>
      </c>
      <c r="IF116" s="77">
        <f t="shared" si="570"/>
        <v>0</v>
      </c>
      <c r="IG116" s="77">
        <f t="shared" si="570"/>
        <v>0</v>
      </c>
      <c r="IH116" s="77">
        <f t="shared" si="570"/>
        <v>0</v>
      </c>
      <c r="II116" s="77">
        <f t="shared" si="570"/>
        <v>0</v>
      </c>
      <c r="IJ116" s="77">
        <f t="shared" si="570"/>
        <v>0</v>
      </c>
      <c r="IK116" s="77">
        <f t="shared" si="570"/>
        <v>0</v>
      </c>
      <c r="IL116" s="77">
        <f t="shared" si="570"/>
        <v>0</v>
      </c>
      <c r="IM116" s="77">
        <f t="shared" si="570"/>
        <v>0</v>
      </c>
      <c r="IN116" s="77">
        <f t="shared" si="570"/>
        <v>0</v>
      </c>
      <c r="IO116" s="77">
        <f t="shared" si="570"/>
        <v>97876.747316925816</v>
      </c>
      <c r="IP116" s="77">
        <f t="shared" si="570"/>
        <v>382128.38573250006</v>
      </c>
      <c r="IQ116" s="77">
        <f t="shared" si="570"/>
        <v>382128.38573250006</v>
      </c>
      <c r="IR116" s="77">
        <f t="shared" si="570"/>
        <v>382128.38573250006</v>
      </c>
      <c r="IS116" s="77">
        <f t="shared" si="570"/>
        <v>382128.38573250006</v>
      </c>
      <c r="IT116" s="77">
        <f t="shared" si="570"/>
        <v>382128.38573250006</v>
      </c>
      <c r="IU116" s="77">
        <f t="shared" si="570"/>
        <v>382128.38573250006</v>
      </c>
      <c r="IV116" s="77">
        <f t="shared" si="570"/>
        <v>257498.38573250003</v>
      </c>
      <c r="IW116" s="77">
        <f t="shared" si="570"/>
        <v>0</v>
      </c>
      <c r="IX116" s="77">
        <f t="shared" si="570"/>
        <v>0</v>
      </c>
      <c r="IY116" s="77">
        <f t="shared" si="570"/>
        <v>0</v>
      </c>
      <c r="IZ116" s="77">
        <f t="shared" si="570"/>
        <v>0</v>
      </c>
      <c r="JA116" s="77">
        <f t="shared" si="570"/>
        <v>0</v>
      </c>
      <c r="JB116" s="77">
        <f t="shared" si="570"/>
        <v>0</v>
      </c>
      <c r="JC116" s="77">
        <f t="shared" si="570"/>
        <v>0</v>
      </c>
      <c r="JD116" s="77">
        <f t="shared" si="570"/>
        <v>0</v>
      </c>
      <c r="JE116" s="77">
        <f t="shared" si="570"/>
        <v>0</v>
      </c>
      <c r="JF116" s="77">
        <f t="shared" si="570"/>
        <v>0</v>
      </c>
      <c r="JG116" s="77">
        <f t="shared" si="570"/>
        <v>0</v>
      </c>
      <c r="JH116" s="77">
        <f t="shared" si="570"/>
        <v>0</v>
      </c>
      <c r="JI116" s="77">
        <f t="shared" si="570"/>
        <v>0</v>
      </c>
      <c r="JJ116" s="77">
        <f t="shared" si="570"/>
        <v>0</v>
      </c>
      <c r="JK116" s="77">
        <f t="shared" si="570"/>
        <v>0</v>
      </c>
      <c r="JL116" s="77">
        <f t="shared" si="570"/>
        <v>0</v>
      </c>
      <c r="JM116" s="77">
        <f t="shared" ref="JM116:LX116" si="571">JM103-JM109-JM114</f>
        <v>0</v>
      </c>
      <c r="JN116" s="77">
        <f t="shared" si="571"/>
        <v>0</v>
      </c>
      <c r="JO116" s="77">
        <f t="shared" si="571"/>
        <v>0</v>
      </c>
      <c r="JP116" s="77">
        <f t="shared" si="571"/>
        <v>0</v>
      </c>
      <c r="JQ116" s="77">
        <f t="shared" si="571"/>
        <v>0</v>
      </c>
      <c r="JR116" s="77">
        <f t="shared" si="571"/>
        <v>0</v>
      </c>
      <c r="JS116" s="77">
        <f t="shared" si="571"/>
        <v>0</v>
      </c>
      <c r="JT116" s="77">
        <f t="shared" si="571"/>
        <v>0</v>
      </c>
      <c r="JU116" s="77">
        <f t="shared" si="571"/>
        <v>0</v>
      </c>
      <c r="JV116" s="77">
        <f t="shared" si="571"/>
        <v>0</v>
      </c>
      <c r="JW116" s="77">
        <f t="shared" si="571"/>
        <v>0</v>
      </c>
      <c r="JX116" s="77">
        <f t="shared" si="571"/>
        <v>0</v>
      </c>
      <c r="JY116" s="77">
        <f t="shared" si="571"/>
        <v>0</v>
      </c>
      <c r="JZ116" s="77">
        <f t="shared" si="571"/>
        <v>0</v>
      </c>
      <c r="KA116" s="77">
        <f t="shared" si="571"/>
        <v>0</v>
      </c>
      <c r="KB116" s="77">
        <f t="shared" si="571"/>
        <v>0</v>
      </c>
      <c r="KC116" s="77">
        <f t="shared" si="571"/>
        <v>0</v>
      </c>
      <c r="KD116" s="77">
        <f t="shared" si="571"/>
        <v>0</v>
      </c>
      <c r="KE116" s="77">
        <f t="shared" si="571"/>
        <v>0</v>
      </c>
      <c r="KF116" s="77">
        <f t="shared" si="571"/>
        <v>0</v>
      </c>
      <c r="KG116" s="77">
        <f t="shared" si="571"/>
        <v>0</v>
      </c>
      <c r="KH116" s="77">
        <f t="shared" si="571"/>
        <v>0</v>
      </c>
      <c r="KI116" s="77">
        <f t="shared" si="571"/>
        <v>0</v>
      </c>
      <c r="KJ116" s="77">
        <f t="shared" si="571"/>
        <v>0</v>
      </c>
      <c r="KK116" s="77">
        <f t="shared" si="571"/>
        <v>0</v>
      </c>
      <c r="KL116" s="77">
        <f t="shared" si="571"/>
        <v>0</v>
      </c>
      <c r="KM116" s="77">
        <f t="shared" si="571"/>
        <v>0</v>
      </c>
      <c r="KN116" s="77">
        <f t="shared" si="571"/>
        <v>0</v>
      </c>
      <c r="KO116" s="77">
        <f t="shared" si="571"/>
        <v>0</v>
      </c>
      <c r="KP116" s="77">
        <f t="shared" si="571"/>
        <v>0</v>
      </c>
      <c r="KQ116" s="77">
        <f t="shared" si="571"/>
        <v>0</v>
      </c>
      <c r="KR116" s="77">
        <f t="shared" si="571"/>
        <v>0</v>
      </c>
      <c r="KS116" s="77">
        <f t="shared" si="571"/>
        <v>0</v>
      </c>
      <c r="KT116" s="77">
        <f t="shared" si="571"/>
        <v>0</v>
      </c>
      <c r="KU116" s="77">
        <f t="shared" si="571"/>
        <v>0</v>
      </c>
      <c r="KV116" s="77">
        <f t="shared" si="571"/>
        <v>0</v>
      </c>
      <c r="KW116" s="77">
        <f t="shared" si="571"/>
        <v>0</v>
      </c>
      <c r="KX116" s="77">
        <f t="shared" si="571"/>
        <v>0</v>
      </c>
      <c r="KY116" s="77">
        <f t="shared" si="571"/>
        <v>0</v>
      </c>
      <c r="KZ116" s="77">
        <f t="shared" si="571"/>
        <v>0</v>
      </c>
      <c r="LA116" s="77">
        <f t="shared" si="571"/>
        <v>0</v>
      </c>
      <c r="LB116" s="77">
        <f t="shared" si="571"/>
        <v>0</v>
      </c>
      <c r="LC116" s="77">
        <f t="shared" si="571"/>
        <v>0</v>
      </c>
      <c r="LD116" s="77">
        <f t="shared" si="571"/>
        <v>0</v>
      </c>
      <c r="LE116" s="77">
        <f t="shared" si="571"/>
        <v>0</v>
      </c>
      <c r="LF116" s="77">
        <f t="shared" si="571"/>
        <v>0</v>
      </c>
      <c r="LG116" s="77">
        <f t="shared" si="571"/>
        <v>0</v>
      </c>
      <c r="LH116" s="77">
        <f t="shared" si="571"/>
        <v>0</v>
      </c>
      <c r="LI116" s="77">
        <f t="shared" si="571"/>
        <v>0</v>
      </c>
      <c r="LJ116" s="77">
        <f t="shared" si="571"/>
        <v>0</v>
      </c>
      <c r="LK116" s="77">
        <f t="shared" si="571"/>
        <v>0</v>
      </c>
      <c r="LL116" s="77">
        <f t="shared" si="571"/>
        <v>0</v>
      </c>
      <c r="LM116" s="77">
        <f t="shared" si="571"/>
        <v>0</v>
      </c>
      <c r="LN116" s="77">
        <f t="shared" si="571"/>
        <v>0</v>
      </c>
      <c r="LO116" s="77">
        <f t="shared" si="571"/>
        <v>0</v>
      </c>
      <c r="LP116" s="77">
        <f t="shared" si="571"/>
        <v>0</v>
      </c>
      <c r="LQ116" s="77">
        <f t="shared" si="571"/>
        <v>0</v>
      </c>
      <c r="LR116" s="77">
        <f t="shared" si="571"/>
        <v>0</v>
      </c>
      <c r="LS116" s="77">
        <f t="shared" si="571"/>
        <v>0</v>
      </c>
      <c r="LT116" s="77">
        <f t="shared" si="571"/>
        <v>0</v>
      </c>
      <c r="LU116" s="77">
        <f t="shared" si="571"/>
        <v>0</v>
      </c>
      <c r="LV116" s="77">
        <f t="shared" si="571"/>
        <v>0</v>
      </c>
      <c r="LW116" s="77">
        <f t="shared" si="571"/>
        <v>0</v>
      </c>
      <c r="LX116" s="77">
        <f t="shared" si="571"/>
        <v>0</v>
      </c>
      <c r="LY116" s="77">
        <f t="shared" ref="LY116:NW116" si="572">LY103-LY109-LY114</f>
        <v>0</v>
      </c>
      <c r="LZ116" s="77">
        <f t="shared" si="572"/>
        <v>0</v>
      </c>
      <c r="MA116" s="77">
        <f t="shared" si="572"/>
        <v>0</v>
      </c>
      <c r="MB116" s="77">
        <f t="shared" si="572"/>
        <v>0</v>
      </c>
      <c r="MC116" s="77">
        <f t="shared" si="572"/>
        <v>0</v>
      </c>
      <c r="MD116" s="77">
        <f t="shared" si="572"/>
        <v>0</v>
      </c>
      <c r="ME116" s="77">
        <f t="shared" si="572"/>
        <v>0</v>
      </c>
      <c r="MF116" s="77">
        <f t="shared" si="572"/>
        <v>0</v>
      </c>
      <c r="MG116" s="77">
        <f t="shared" si="572"/>
        <v>0</v>
      </c>
      <c r="MH116" s="77">
        <f t="shared" si="572"/>
        <v>0</v>
      </c>
      <c r="MI116" s="77">
        <f t="shared" si="572"/>
        <v>0</v>
      </c>
      <c r="MJ116" s="77">
        <f t="shared" si="572"/>
        <v>0</v>
      </c>
      <c r="MK116" s="77">
        <f t="shared" si="572"/>
        <v>0</v>
      </c>
      <c r="ML116" s="77">
        <f t="shared" si="572"/>
        <v>0</v>
      </c>
      <c r="MM116" s="77">
        <f t="shared" si="572"/>
        <v>0</v>
      </c>
      <c r="MN116" s="77">
        <f t="shared" si="572"/>
        <v>0</v>
      </c>
      <c r="MO116" s="77">
        <f t="shared" si="572"/>
        <v>0</v>
      </c>
      <c r="MP116" s="77">
        <f t="shared" si="572"/>
        <v>0</v>
      </c>
      <c r="MQ116" s="77">
        <f t="shared" si="572"/>
        <v>0</v>
      </c>
      <c r="MR116" s="77">
        <f t="shared" si="572"/>
        <v>0</v>
      </c>
      <c r="MS116" s="77">
        <f t="shared" si="572"/>
        <v>0</v>
      </c>
      <c r="MT116" s="77">
        <f t="shared" si="572"/>
        <v>0</v>
      </c>
      <c r="MU116" s="77">
        <f t="shared" si="572"/>
        <v>0</v>
      </c>
      <c r="MV116" s="77">
        <f t="shared" si="572"/>
        <v>0</v>
      </c>
      <c r="MW116" s="77">
        <f t="shared" si="572"/>
        <v>0</v>
      </c>
      <c r="MX116" s="77">
        <f t="shared" si="572"/>
        <v>0</v>
      </c>
      <c r="MY116" s="77">
        <f t="shared" si="572"/>
        <v>0</v>
      </c>
      <c r="MZ116" s="77">
        <f t="shared" si="572"/>
        <v>0</v>
      </c>
      <c r="NA116" s="77">
        <f t="shared" si="572"/>
        <v>0</v>
      </c>
      <c r="NB116" s="77">
        <f t="shared" si="572"/>
        <v>0</v>
      </c>
      <c r="NC116" s="77">
        <f t="shared" si="572"/>
        <v>0</v>
      </c>
      <c r="ND116" s="77">
        <f t="shared" si="572"/>
        <v>0</v>
      </c>
      <c r="NE116" s="77">
        <f t="shared" si="572"/>
        <v>0</v>
      </c>
      <c r="NF116" s="77">
        <f t="shared" si="572"/>
        <v>0</v>
      </c>
      <c r="NG116" s="77">
        <f t="shared" si="572"/>
        <v>0</v>
      </c>
      <c r="NH116" s="77">
        <f t="shared" si="572"/>
        <v>0</v>
      </c>
      <c r="NI116" s="77">
        <f t="shared" si="572"/>
        <v>0</v>
      </c>
      <c r="NJ116" s="77">
        <f t="shared" si="572"/>
        <v>0</v>
      </c>
      <c r="NK116" s="77">
        <f t="shared" si="572"/>
        <v>0</v>
      </c>
      <c r="NL116" s="77">
        <f t="shared" si="572"/>
        <v>0</v>
      </c>
      <c r="NM116" s="77">
        <f t="shared" si="572"/>
        <v>0</v>
      </c>
      <c r="NN116" s="77">
        <f t="shared" si="572"/>
        <v>0</v>
      </c>
      <c r="NO116" s="77">
        <f t="shared" si="572"/>
        <v>0</v>
      </c>
      <c r="NP116" s="77">
        <f t="shared" si="572"/>
        <v>0</v>
      </c>
      <c r="NQ116" s="77">
        <f t="shared" si="572"/>
        <v>0</v>
      </c>
      <c r="NR116" s="77">
        <f t="shared" si="572"/>
        <v>0</v>
      </c>
      <c r="NS116" s="77">
        <f t="shared" si="572"/>
        <v>0</v>
      </c>
      <c r="NT116" s="77">
        <f t="shared" si="572"/>
        <v>0</v>
      </c>
      <c r="NU116" s="77">
        <f t="shared" si="572"/>
        <v>0</v>
      </c>
      <c r="NV116" s="77">
        <f t="shared" si="572"/>
        <v>0</v>
      </c>
      <c r="NW116" s="77">
        <f t="shared" si="572"/>
        <v>0</v>
      </c>
    </row>
    <row r="117" spans="2:387" ht="15.5" x14ac:dyDescent="0.45">
      <c r="B117" s="49" t="s">
        <v>317</v>
      </c>
      <c r="C117" s="19"/>
      <c r="D117" s="19"/>
      <c r="E117" s="63">
        <f>H111+(1-H111)*E111</f>
        <v>0.46</v>
      </c>
      <c r="F117" s="63">
        <f>1-E117</f>
        <v>0.54</v>
      </c>
      <c r="G117" s="19"/>
      <c r="H117" s="19"/>
      <c r="I117" s="19"/>
      <c r="J117" s="31">
        <f>L117/$L$8</f>
        <v>11513.675858454028</v>
      </c>
      <c r="K117" s="32">
        <f>L117/$L$7</f>
        <v>1.5219226709450726</v>
      </c>
      <c r="L117" s="31">
        <f>SUM(T117:GQ117)</f>
        <v>2648145.4474444264</v>
      </c>
      <c r="S117" s="69" t="str">
        <f>IF(ROUND(L117,0)=ROUND(SUM(T117:GQ117),0),"OK","ERROR")</f>
        <v>OK</v>
      </c>
      <c r="T117" s="62">
        <f>GZ119+GZ120</f>
        <v>0</v>
      </c>
      <c r="U117" s="62">
        <f t="shared" ref="U117:CF117" si="573">HA119+HA120</f>
        <v>0</v>
      </c>
      <c r="V117" s="62">
        <f t="shared" si="573"/>
        <v>0</v>
      </c>
      <c r="W117" s="62">
        <f t="shared" si="573"/>
        <v>0</v>
      </c>
      <c r="X117" s="62">
        <f t="shared" si="573"/>
        <v>0</v>
      </c>
      <c r="Y117" s="62">
        <f t="shared" si="573"/>
        <v>0</v>
      </c>
      <c r="Z117" s="62">
        <f t="shared" si="573"/>
        <v>0</v>
      </c>
      <c r="AA117" s="62">
        <f t="shared" si="573"/>
        <v>0</v>
      </c>
      <c r="AB117" s="62">
        <f t="shared" si="573"/>
        <v>0</v>
      </c>
      <c r="AC117" s="62">
        <f t="shared" si="573"/>
        <v>0</v>
      </c>
      <c r="AD117" s="62">
        <f t="shared" si="573"/>
        <v>0</v>
      </c>
      <c r="AE117" s="62">
        <f t="shared" si="573"/>
        <v>0</v>
      </c>
      <c r="AF117" s="62">
        <f t="shared" si="573"/>
        <v>0</v>
      </c>
      <c r="AG117" s="62">
        <f t="shared" si="573"/>
        <v>0</v>
      </c>
      <c r="AH117" s="62">
        <f t="shared" si="573"/>
        <v>0</v>
      </c>
      <c r="AI117" s="62">
        <f t="shared" si="573"/>
        <v>0</v>
      </c>
      <c r="AJ117" s="62">
        <f t="shared" si="573"/>
        <v>0</v>
      </c>
      <c r="AK117" s="62">
        <f t="shared" si="573"/>
        <v>0</v>
      </c>
      <c r="AL117" s="62">
        <f t="shared" si="573"/>
        <v>0</v>
      </c>
      <c r="AM117" s="62">
        <f t="shared" si="573"/>
        <v>0</v>
      </c>
      <c r="AN117" s="62">
        <f t="shared" si="573"/>
        <v>0</v>
      </c>
      <c r="AO117" s="62">
        <f t="shared" si="573"/>
        <v>0</v>
      </c>
      <c r="AP117" s="62">
        <f t="shared" si="573"/>
        <v>0</v>
      </c>
      <c r="AQ117" s="62">
        <f t="shared" si="573"/>
        <v>0</v>
      </c>
      <c r="AR117" s="62">
        <f t="shared" si="573"/>
        <v>0</v>
      </c>
      <c r="AS117" s="62">
        <f t="shared" si="573"/>
        <v>0</v>
      </c>
      <c r="AT117" s="62">
        <f t="shared" si="573"/>
        <v>0</v>
      </c>
      <c r="AU117" s="62">
        <f t="shared" si="573"/>
        <v>0</v>
      </c>
      <c r="AV117" s="62">
        <f t="shared" si="573"/>
        <v>0</v>
      </c>
      <c r="AW117" s="62">
        <f t="shared" si="573"/>
        <v>0</v>
      </c>
      <c r="AX117" s="62">
        <f t="shared" si="573"/>
        <v>0</v>
      </c>
      <c r="AY117" s="62">
        <f t="shared" si="573"/>
        <v>0</v>
      </c>
      <c r="AZ117" s="62">
        <f t="shared" si="573"/>
        <v>0</v>
      </c>
      <c r="BA117" s="62">
        <f t="shared" si="573"/>
        <v>0</v>
      </c>
      <c r="BB117" s="62">
        <f t="shared" si="573"/>
        <v>0</v>
      </c>
      <c r="BC117" s="62">
        <f t="shared" si="573"/>
        <v>0</v>
      </c>
      <c r="BD117" s="62">
        <f t="shared" si="573"/>
        <v>0</v>
      </c>
      <c r="BE117" s="62">
        <f t="shared" si="573"/>
        <v>0</v>
      </c>
      <c r="BF117" s="62">
        <f t="shared" si="573"/>
        <v>0</v>
      </c>
      <c r="BG117" s="62">
        <f t="shared" si="573"/>
        <v>0</v>
      </c>
      <c r="BH117" s="62">
        <f t="shared" si="573"/>
        <v>0</v>
      </c>
      <c r="BI117" s="62">
        <f t="shared" si="573"/>
        <v>97876.747316925816</v>
      </c>
      <c r="BJ117" s="62">
        <f t="shared" si="573"/>
        <v>382128.38573250012</v>
      </c>
      <c r="BK117" s="62">
        <f t="shared" si="573"/>
        <v>382128.38573250012</v>
      </c>
      <c r="BL117" s="62">
        <f t="shared" si="573"/>
        <v>382128.38573250012</v>
      </c>
      <c r="BM117" s="62">
        <f t="shared" si="573"/>
        <v>382128.38573250012</v>
      </c>
      <c r="BN117" s="62">
        <f t="shared" si="573"/>
        <v>382128.38573250012</v>
      </c>
      <c r="BO117" s="62">
        <f t="shared" si="573"/>
        <v>382128.38573250012</v>
      </c>
      <c r="BP117" s="62">
        <f t="shared" si="573"/>
        <v>257498.38573250006</v>
      </c>
      <c r="BQ117" s="62">
        <f t="shared" si="573"/>
        <v>0</v>
      </c>
      <c r="BR117" s="62">
        <f t="shared" si="573"/>
        <v>0</v>
      </c>
      <c r="BS117" s="62">
        <f t="shared" si="573"/>
        <v>0</v>
      </c>
      <c r="BT117" s="62">
        <f t="shared" si="573"/>
        <v>0</v>
      </c>
      <c r="BU117" s="62">
        <f t="shared" si="573"/>
        <v>0</v>
      </c>
      <c r="BV117" s="62">
        <f t="shared" si="573"/>
        <v>0</v>
      </c>
      <c r="BW117" s="62">
        <f t="shared" si="573"/>
        <v>0</v>
      </c>
      <c r="BX117" s="62">
        <f t="shared" si="573"/>
        <v>0</v>
      </c>
      <c r="BY117" s="62">
        <f t="shared" si="573"/>
        <v>0</v>
      </c>
      <c r="BZ117" s="62">
        <f t="shared" si="573"/>
        <v>0</v>
      </c>
      <c r="CA117" s="62">
        <f t="shared" si="573"/>
        <v>0</v>
      </c>
      <c r="CB117" s="62">
        <f t="shared" si="573"/>
        <v>0</v>
      </c>
      <c r="CC117" s="62">
        <f t="shared" si="573"/>
        <v>0</v>
      </c>
      <c r="CD117" s="62">
        <f t="shared" si="573"/>
        <v>0</v>
      </c>
      <c r="CE117" s="62">
        <f t="shared" si="573"/>
        <v>0</v>
      </c>
      <c r="CF117" s="62">
        <f t="shared" si="573"/>
        <v>0</v>
      </c>
      <c r="CG117" s="62">
        <f t="shared" ref="CG117:ER117" si="574">JM119+JM120</f>
        <v>0</v>
      </c>
      <c r="CH117" s="62">
        <f t="shared" si="574"/>
        <v>0</v>
      </c>
      <c r="CI117" s="62">
        <f t="shared" si="574"/>
        <v>0</v>
      </c>
      <c r="CJ117" s="62">
        <f t="shared" si="574"/>
        <v>0</v>
      </c>
      <c r="CK117" s="62">
        <f t="shared" si="574"/>
        <v>0</v>
      </c>
      <c r="CL117" s="62">
        <f t="shared" si="574"/>
        <v>0</v>
      </c>
      <c r="CM117" s="62">
        <f t="shared" si="574"/>
        <v>0</v>
      </c>
      <c r="CN117" s="62">
        <f t="shared" si="574"/>
        <v>0</v>
      </c>
      <c r="CO117" s="62">
        <f t="shared" si="574"/>
        <v>0</v>
      </c>
      <c r="CP117" s="62">
        <f t="shared" si="574"/>
        <v>0</v>
      </c>
      <c r="CQ117" s="62">
        <f t="shared" si="574"/>
        <v>0</v>
      </c>
      <c r="CR117" s="62">
        <f t="shared" si="574"/>
        <v>0</v>
      </c>
      <c r="CS117" s="62">
        <f t="shared" si="574"/>
        <v>0</v>
      </c>
      <c r="CT117" s="62">
        <f t="shared" si="574"/>
        <v>0</v>
      </c>
      <c r="CU117" s="62">
        <f t="shared" si="574"/>
        <v>0</v>
      </c>
      <c r="CV117" s="62">
        <f t="shared" si="574"/>
        <v>0</v>
      </c>
      <c r="CW117" s="62">
        <f t="shared" si="574"/>
        <v>0</v>
      </c>
      <c r="CX117" s="62">
        <f t="shared" si="574"/>
        <v>0</v>
      </c>
      <c r="CY117" s="62">
        <f t="shared" si="574"/>
        <v>0</v>
      </c>
      <c r="CZ117" s="62">
        <f t="shared" si="574"/>
        <v>0</v>
      </c>
      <c r="DA117" s="62">
        <f t="shared" si="574"/>
        <v>0</v>
      </c>
      <c r="DB117" s="62">
        <f t="shared" si="574"/>
        <v>0</v>
      </c>
      <c r="DC117" s="62">
        <f t="shared" si="574"/>
        <v>0</v>
      </c>
      <c r="DD117" s="62">
        <f t="shared" si="574"/>
        <v>0</v>
      </c>
      <c r="DE117" s="62">
        <f t="shared" si="574"/>
        <v>0</v>
      </c>
      <c r="DF117" s="62">
        <f t="shared" si="574"/>
        <v>0</v>
      </c>
      <c r="DG117" s="62">
        <f t="shared" si="574"/>
        <v>0</v>
      </c>
      <c r="DH117" s="62">
        <f t="shared" si="574"/>
        <v>0</v>
      </c>
      <c r="DI117" s="62">
        <f t="shared" si="574"/>
        <v>0</v>
      </c>
      <c r="DJ117" s="62">
        <f t="shared" si="574"/>
        <v>0</v>
      </c>
      <c r="DK117" s="62">
        <f t="shared" si="574"/>
        <v>0</v>
      </c>
      <c r="DL117" s="62">
        <f t="shared" si="574"/>
        <v>0</v>
      </c>
      <c r="DM117" s="62">
        <f t="shared" si="574"/>
        <v>0</v>
      </c>
      <c r="DN117" s="62">
        <f t="shared" si="574"/>
        <v>0</v>
      </c>
      <c r="DO117" s="62">
        <f t="shared" si="574"/>
        <v>0</v>
      </c>
      <c r="DP117" s="62">
        <f t="shared" si="574"/>
        <v>0</v>
      </c>
      <c r="DQ117" s="62">
        <f t="shared" si="574"/>
        <v>0</v>
      </c>
      <c r="DR117" s="62">
        <f t="shared" si="574"/>
        <v>0</v>
      </c>
      <c r="DS117" s="62">
        <f t="shared" si="574"/>
        <v>0</v>
      </c>
      <c r="DT117" s="62">
        <f t="shared" si="574"/>
        <v>0</v>
      </c>
      <c r="DU117" s="62">
        <f t="shared" si="574"/>
        <v>0</v>
      </c>
      <c r="DV117" s="62">
        <f t="shared" si="574"/>
        <v>0</v>
      </c>
      <c r="DW117" s="62">
        <f t="shared" si="574"/>
        <v>0</v>
      </c>
      <c r="DX117" s="62">
        <f t="shared" si="574"/>
        <v>0</v>
      </c>
      <c r="DY117" s="62">
        <f t="shared" si="574"/>
        <v>0</v>
      </c>
      <c r="DZ117" s="62">
        <f t="shared" si="574"/>
        <v>0</v>
      </c>
      <c r="EA117" s="62">
        <f t="shared" si="574"/>
        <v>0</v>
      </c>
      <c r="EB117" s="62">
        <f t="shared" si="574"/>
        <v>0</v>
      </c>
      <c r="EC117" s="62">
        <f t="shared" si="574"/>
        <v>0</v>
      </c>
      <c r="ED117" s="62">
        <f t="shared" si="574"/>
        <v>0</v>
      </c>
      <c r="EE117" s="62">
        <f t="shared" si="574"/>
        <v>0</v>
      </c>
      <c r="EF117" s="62">
        <f t="shared" si="574"/>
        <v>0</v>
      </c>
      <c r="EG117" s="62">
        <f t="shared" si="574"/>
        <v>0</v>
      </c>
      <c r="EH117" s="62">
        <f t="shared" si="574"/>
        <v>0</v>
      </c>
      <c r="EI117" s="62">
        <f t="shared" si="574"/>
        <v>0</v>
      </c>
      <c r="EJ117" s="62">
        <f t="shared" si="574"/>
        <v>0</v>
      </c>
      <c r="EK117" s="62">
        <f t="shared" si="574"/>
        <v>0</v>
      </c>
      <c r="EL117" s="62">
        <f t="shared" si="574"/>
        <v>0</v>
      </c>
      <c r="EM117" s="62">
        <f t="shared" si="574"/>
        <v>0</v>
      </c>
      <c r="EN117" s="62">
        <f t="shared" si="574"/>
        <v>0</v>
      </c>
      <c r="EO117" s="62">
        <f t="shared" si="574"/>
        <v>0</v>
      </c>
      <c r="EP117" s="62">
        <f t="shared" si="574"/>
        <v>0</v>
      </c>
      <c r="EQ117" s="62">
        <f t="shared" si="574"/>
        <v>0</v>
      </c>
      <c r="ER117" s="62">
        <f t="shared" si="574"/>
        <v>0</v>
      </c>
      <c r="ES117" s="62">
        <f t="shared" ref="ES117:GQ117" si="575">LY119+LY120</f>
        <v>0</v>
      </c>
      <c r="ET117" s="62">
        <f t="shared" si="575"/>
        <v>0</v>
      </c>
      <c r="EU117" s="62">
        <f t="shared" si="575"/>
        <v>0</v>
      </c>
      <c r="EV117" s="62">
        <f t="shared" si="575"/>
        <v>0</v>
      </c>
      <c r="EW117" s="62">
        <f t="shared" si="575"/>
        <v>0</v>
      </c>
      <c r="EX117" s="62">
        <f t="shared" si="575"/>
        <v>0</v>
      </c>
      <c r="EY117" s="62">
        <f t="shared" si="575"/>
        <v>0</v>
      </c>
      <c r="EZ117" s="62">
        <f t="shared" si="575"/>
        <v>0</v>
      </c>
      <c r="FA117" s="62">
        <f t="shared" si="575"/>
        <v>0</v>
      </c>
      <c r="FB117" s="62">
        <f t="shared" si="575"/>
        <v>0</v>
      </c>
      <c r="FC117" s="62">
        <f t="shared" si="575"/>
        <v>0</v>
      </c>
      <c r="FD117" s="62">
        <f t="shared" si="575"/>
        <v>0</v>
      </c>
      <c r="FE117" s="62">
        <f t="shared" si="575"/>
        <v>0</v>
      </c>
      <c r="FF117" s="62">
        <f t="shared" si="575"/>
        <v>0</v>
      </c>
      <c r="FG117" s="62">
        <f t="shared" si="575"/>
        <v>0</v>
      </c>
      <c r="FH117" s="62">
        <f t="shared" si="575"/>
        <v>0</v>
      </c>
      <c r="FI117" s="62">
        <f t="shared" si="575"/>
        <v>0</v>
      </c>
      <c r="FJ117" s="62">
        <f t="shared" si="575"/>
        <v>0</v>
      </c>
      <c r="FK117" s="62">
        <f t="shared" si="575"/>
        <v>0</v>
      </c>
      <c r="FL117" s="62">
        <f t="shared" si="575"/>
        <v>0</v>
      </c>
      <c r="FM117" s="62">
        <f t="shared" si="575"/>
        <v>0</v>
      </c>
      <c r="FN117" s="62">
        <f t="shared" si="575"/>
        <v>0</v>
      </c>
      <c r="FO117" s="62">
        <f t="shared" si="575"/>
        <v>0</v>
      </c>
      <c r="FP117" s="62">
        <f t="shared" si="575"/>
        <v>0</v>
      </c>
      <c r="FQ117" s="62">
        <f t="shared" si="575"/>
        <v>0</v>
      </c>
      <c r="FR117" s="62">
        <f t="shared" si="575"/>
        <v>0</v>
      </c>
      <c r="FS117" s="62">
        <f t="shared" si="575"/>
        <v>0</v>
      </c>
      <c r="FT117" s="62">
        <f t="shared" si="575"/>
        <v>0</v>
      </c>
      <c r="FU117" s="62">
        <f t="shared" si="575"/>
        <v>0</v>
      </c>
      <c r="FV117" s="62">
        <f t="shared" si="575"/>
        <v>0</v>
      </c>
      <c r="FW117" s="62">
        <f t="shared" si="575"/>
        <v>0</v>
      </c>
      <c r="FX117" s="62">
        <f t="shared" si="575"/>
        <v>0</v>
      </c>
      <c r="FY117" s="62">
        <f t="shared" si="575"/>
        <v>0</v>
      </c>
      <c r="FZ117" s="62">
        <f t="shared" si="575"/>
        <v>0</v>
      </c>
      <c r="GA117" s="62">
        <f t="shared" si="575"/>
        <v>0</v>
      </c>
      <c r="GB117" s="62">
        <f t="shared" si="575"/>
        <v>0</v>
      </c>
      <c r="GC117" s="62">
        <f t="shared" si="575"/>
        <v>0</v>
      </c>
      <c r="GD117" s="62">
        <f t="shared" si="575"/>
        <v>0</v>
      </c>
      <c r="GE117" s="62">
        <f t="shared" si="575"/>
        <v>0</v>
      </c>
      <c r="GF117" s="62">
        <f t="shared" si="575"/>
        <v>0</v>
      </c>
      <c r="GG117" s="62">
        <f t="shared" si="575"/>
        <v>0</v>
      </c>
      <c r="GH117" s="62">
        <f t="shared" si="575"/>
        <v>0</v>
      </c>
      <c r="GI117" s="62">
        <f t="shared" si="575"/>
        <v>0</v>
      </c>
      <c r="GJ117" s="62">
        <f t="shared" si="575"/>
        <v>0</v>
      </c>
      <c r="GK117" s="62">
        <f t="shared" si="575"/>
        <v>0</v>
      </c>
      <c r="GL117" s="62">
        <f t="shared" si="575"/>
        <v>0</v>
      </c>
      <c r="GM117" s="62">
        <f t="shared" si="575"/>
        <v>0</v>
      </c>
      <c r="GN117" s="62">
        <f t="shared" si="575"/>
        <v>0</v>
      </c>
      <c r="GO117" s="62">
        <f t="shared" si="575"/>
        <v>0</v>
      </c>
      <c r="GP117" s="62">
        <f t="shared" si="575"/>
        <v>0</v>
      </c>
      <c r="GQ117" s="62">
        <f t="shared" si="575"/>
        <v>0</v>
      </c>
      <c r="GS117" s="80"/>
      <c r="GT117" s="77"/>
      <c r="GU117" s="77"/>
      <c r="GV117" s="77"/>
      <c r="GW117" s="77"/>
      <c r="GX117" s="77"/>
      <c r="GY117" s="77"/>
      <c r="GZ117" s="77"/>
      <c r="HA117" s="77"/>
      <c r="HB117" s="77"/>
      <c r="HC117" s="77"/>
      <c r="HD117" s="77"/>
      <c r="HE117" s="77"/>
      <c r="HF117" s="77"/>
      <c r="HG117" s="77"/>
      <c r="HH117" s="77"/>
      <c r="HI117" s="77"/>
      <c r="HJ117" s="77"/>
      <c r="HK117" s="77"/>
      <c r="HL117" s="77"/>
      <c r="HM117" s="77"/>
      <c r="HN117" s="77"/>
      <c r="HO117" s="77"/>
      <c r="HP117" s="77"/>
      <c r="HQ117" s="77"/>
      <c r="HR117" s="77"/>
      <c r="HS117" s="77"/>
      <c r="HT117" s="77"/>
      <c r="HU117" s="77"/>
      <c r="HV117" s="77"/>
      <c r="HW117" s="77"/>
      <c r="HX117" s="77"/>
      <c r="HY117" s="77"/>
      <c r="HZ117" s="77"/>
      <c r="IA117" s="77"/>
      <c r="IB117" s="77"/>
      <c r="IC117" s="77"/>
      <c r="ID117" s="77"/>
      <c r="IE117" s="77"/>
      <c r="IF117" s="77"/>
      <c r="IG117" s="77"/>
      <c r="IH117" s="77"/>
      <c r="II117" s="77"/>
      <c r="IJ117" s="77"/>
      <c r="IK117" s="77"/>
      <c r="IL117" s="77"/>
      <c r="IM117" s="77"/>
      <c r="IN117" s="77"/>
      <c r="IO117" s="77"/>
      <c r="IP117" s="77"/>
      <c r="IQ117" s="77"/>
      <c r="IR117" s="77"/>
      <c r="IS117" s="77"/>
      <c r="IT117" s="77"/>
      <c r="IU117" s="77"/>
      <c r="IV117" s="77"/>
      <c r="IW117" s="77"/>
      <c r="IX117" s="77"/>
      <c r="IY117" s="77"/>
      <c r="IZ117" s="77"/>
      <c r="JA117" s="77"/>
      <c r="JB117" s="77"/>
      <c r="JC117" s="77"/>
      <c r="JD117" s="77"/>
      <c r="JE117" s="77"/>
      <c r="JF117" s="77"/>
      <c r="JG117" s="77"/>
      <c r="JH117" s="77"/>
      <c r="JI117" s="77"/>
      <c r="JJ117" s="77"/>
      <c r="JK117" s="77"/>
      <c r="JL117" s="77"/>
      <c r="JM117" s="77"/>
      <c r="JN117" s="77"/>
      <c r="JO117" s="77"/>
      <c r="JP117" s="77"/>
      <c r="JQ117" s="77"/>
      <c r="JR117" s="77"/>
      <c r="JS117" s="77"/>
      <c r="JT117" s="77"/>
      <c r="JU117" s="77"/>
      <c r="JV117" s="77"/>
      <c r="JW117" s="77"/>
      <c r="JX117" s="77"/>
      <c r="JY117" s="77"/>
      <c r="JZ117" s="77"/>
      <c r="KA117" s="77"/>
      <c r="KB117" s="77"/>
      <c r="KC117" s="77"/>
      <c r="KD117" s="77"/>
      <c r="KE117" s="77"/>
      <c r="KF117" s="77"/>
      <c r="KG117" s="77"/>
      <c r="KH117" s="77"/>
      <c r="KI117" s="77"/>
      <c r="KJ117" s="77"/>
      <c r="KK117" s="77"/>
      <c r="KL117" s="77"/>
      <c r="KM117" s="77"/>
      <c r="KN117" s="77"/>
      <c r="KO117" s="77"/>
      <c r="KP117" s="77"/>
      <c r="KQ117" s="77"/>
      <c r="KR117" s="77"/>
      <c r="KS117" s="77"/>
      <c r="KT117" s="77"/>
      <c r="KU117" s="77"/>
      <c r="KV117" s="77"/>
      <c r="KW117" s="77"/>
      <c r="KX117" s="77"/>
      <c r="KY117" s="77"/>
      <c r="KZ117" s="77"/>
      <c r="LA117" s="77"/>
      <c r="LB117" s="77"/>
      <c r="LC117" s="77"/>
      <c r="LD117" s="77"/>
      <c r="LE117" s="77"/>
      <c r="LF117" s="77"/>
      <c r="LG117" s="77"/>
      <c r="LH117" s="77"/>
      <c r="LI117" s="77"/>
      <c r="LJ117" s="77"/>
      <c r="LK117" s="77"/>
      <c r="LL117" s="77"/>
      <c r="LM117" s="77"/>
      <c r="LN117" s="77"/>
      <c r="LO117" s="77"/>
      <c r="LP117" s="77"/>
      <c r="LQ117" s="77"/>
      <c r="LR117" s="77"/>
      <c r="LS117" s="77"/>
      <c r="LT117" s="77"/>
      <c r="LU117" s="77"/>
      <c r="LV117" s="77"/>
      <c r="LW117" s="77"/>
      <c r="LX117" s="77"/>
      <c r="LY117" s="77"/>
      <c r="LZ117" s="77"/>
      <c r="MA117" s="77"/>
      <c r="MB117" s="77"/>
      <c r="MC117" s="77"/>
      <c r="MD117" s="77"/>
      <c r="ME117" s="77"/>
      <c r="MF117" s="77"/>
      <c r="MG117" s="77"/>
      <c r="MH117" s="77"/>
      <c r="MI117" s="77"/>
      <c r="MJ117" s="77"/>
      <c r="MK117" s="77"/>
      <c r="ML117" s="77"/>
      <c r="MM117" s="77"/>
      <c r="MN117" s="77"/>
      <c r="MO117" s="77"/>
      <c r="MP117" s="77"/>
      <c r="MQ117" s="77"/>
      <c r="MR117" s="77"/>
      <c r="MS117" s="77"/>
      <c r="MT117" s="77"/>
      <c r="MU117" s="77"/>
      <c r="MV117" s="77"/>
      <c r="MW117" s="77"/>
      <c r="MX117" s="77"/>
      <c r="MY117" s="77"/>
      <c r="MZ117" s="77"/>
      <c r="NA117" s="77"/>
      <c r="NB117" s="77"/>
      <c r="NC117" s="77"/>
      <c r="ND117" s="77"/>
      <c r="NE117" s="77"/>
      <c r="NF117" s="77"/>
      <c r="NG117" s="77"/>
      <c r="NH117" s="77"/>
      <c r="NI117" s="77"/>
      <c r="NJ117" s="77"/>
      <c r="NK117" s="77"/>
      <c r="NL117" s="77"/>
      <c r="NM117" s="77"/>
      <c r="NN117" s="77"/>
      <c r="NO117" s="77"/>
      <c r="NP117" s="77"/>
      <c r="NQ117" s="77"/>
      <c r="NR117" s="77"/>
      <c r="NS117" s="77"/>
      <c r="NT117" s="77"/>
      <c r="NU117" s="77"/>
      <c r="NV117" s="77"/>
      <c r="NW117" s="77"/>
    </row>
    <row r="118" spans="2:387" x14ac:dyDescent="0.3">
      <c r="B118" s="18" t="s">
        <v>318</v>
      </c>
      <c r="C118" s="19"/>
      <c r="D118" s="19"/>
      <c r="E118" s="19"/>
      <c r="F118" s="19"/>
      <c r="G118" s="19"/>
      <c r="H118" s="19"/>
      <c r="I118" s="19"/>
      <c r="J118" s="23">
        <f>L118/$L$8</f>
        <v>21062.649194670259</v>
      </c>
      <c r="K118" s="29">
        <f>L118/$L$7</f>
        <v>2.784143284352965</v>
      </c>
      <c r="L118" s="23">
        <f>SUM(T118:GQ118)</f>
        <v>4844409.3147741593</v>
      </c>
      <c r="S118" s="69" t="str">
        <f>IF(ROUND(L118,0)=ROUND(SUM(T118:GQ118),0),"OK","ERROR")</f>
        <v>OK</v>
      </c>
      <c r="T118" s="50">
        <f>SUM(T116:T117)</f>
        <v>0</v>
      </c>
      <c r="U118" s="50">
        <f t="shared" ref="U118:CF118" si="576">SUM(U116:U117)</f>
        <v>0</v>
      </c>
      <c r="V118" s="50">
        <f t="shared" si="576"/>
        <v>0</v>
      </c>
      <c r="W118" s="50">
        <f t="shared" si="576"/>
        <v>0</v>
      </c>
      <c r="X118" s="50">
        <f t="shared" si="576"/>
        <v>0</v>
      </c>
      <c r="Y118" s="50">
        <f t="shared" si="576"/>
        <v>0</v>
      </c>
      <c r="Z118" s="50">
        <f t="shared" si="576"/>
        <v>0</v>
      </c>
      <c r="AA118" s="50">
        <f t="shared" si="576"/>
        <v>0</v>
      </c>
      <c r="AB118" s="50">
        <f t="shared" si="576"/>
        <v>0</v>
      </c>
      <c r="AC118" s="50">
        <f t="shared" si="576"/>
        <v>0</v>
      </c>
      <c r="AD118" s="50">
        <f t="shared" si="576"/>
        <v>0</v>
      </c>
      <c r="AE118" s="50">
        <f t="shared" si="576"/>
        <v>158208.6867424068</v>
      </c>
      <c r="AF118" s="50">
        <f t="shared" si="576"/>
        <v>0</v>
      </c>
      <c r="AG118" s="50">
        <f t="shared" si="576"/>
        <v>0</v>
      </c>
      <c r="AH118" s="50">
        <f t="shared" si="576"/>
        <v>0</v>
      </c>
      <c r="AI118" s="50">
        <f t="shared" si="576"/>
        <v>0</v>
      </c>
      <c r="AJ118" s="50">
        <f t="shared" si="576"/>
        <v>0</v>
      </c>
      <c r="AK118" s="50">
        <f t="shared" si="576"/>
        <v>0</v>
      </c>
      <c r="AL118" s="50">
        <f t="shared" si="576"/>
        <v>0</v>
      </c>
      <c r="AM118" s="50">
        <f t="shared" si="576"/>
        <v>0</v>
      </c>
      <c r="AN118" s="50">
        <f t="shared" si="576"/>
        <v>0</v>
      </c>
      <c r="AO118" s="50">
        <f t="shared" si="576"/>
        <v>0</v>
      </c>
      <c r="AP118" s="50">
        <f t="shared" si="576"/>
        <v>0</v>
      </c>
      <c r="AQ118" s="50">
        <f t="shared" si="576"/>
        <v>0</v>
      </c>
      <c r="AR118" s="50">
        <f t="shared" si="576"/>
        <v>0</v>
      </c>
      <c r="AS118" s="50">
        <f t="shared" si="576"/>
        <v>0</v>
      </c>
      <c r="AT118" s="50">
        <f t="shared" si="576"/>
        <v>193808.87456932926</v>
      </c>
      <c r="AU118" s="50">
        <f t="shared" si="576"/>
        <v>0</v>
      </c>
      <c r="AV118" s="50">
        <f t="shared" si="576"/>
        <v>0</v>
      </c>
      <c r="AW118" s="50">
        <f t="shared" si="576"/>
        <v>0</v>
      </c>
      <c r="AX118" s="50">
        <f t="shared" si="576"/>
        <v>7724.8215590861801</v>
      </c>
      <c r="AY118" s="50">
        <f t="shared" si="576"/>
        <v>92703.704531599273</v>
      </c>
      <c r="AZ118" s="50">
        <f t="shared" si="576"/>
        <v>92703.704531599273</v>
      </c>
      <c r="BA118" s="50">
        <f t="shared" si="576"/>
        <v>92703.704531599273</v>
      </c>
      <c r="BB118" s="50">
        <f t="shared" si="576"/>
        <v>92703.704531599273</v>
      </c>
      <c r="BC118" s="50">
        <f t="shared" si="576"/>
        <v>92703.704531599273</v>
      </c>
      <c r="BD118" s="50">
        <f t="shared" si="576"/>
        <v>99932.275960170693</v>
      </c>
      <c r="BE118" s="50">
        <f t="shared" si="576"/>
        <v>99932.275960170693</v>
      </c>
      <c r="BF118" s="50">
        <f t="shared" si="576"/>
        <v>124630</v>
      </c>
      <c r="BG118" s="50">
        <f t="shared" si="576"/>
        <v>382128.38573250006</v>
      </c>
      <c r="BH118" s="50">
        <f t="shared" si="576"/>
        <v>382128.38573250006</v>
      </c>
      <c r="BI118" s="50">
        <f t="shared" si="576"/>
        <v>382128.3857325</v>
      </c>
      <c r="BJ118" s="50">
        <f t="shared" si="576"/>
        <v>382128.38573250012</v>
      </c>
      <c r="BK118" s="50">
        <f t="shared" si="576"/>
        <v>382128.38573250012</v>
      </c>
      <c r="BL118" s="50">
        <f t="shared" si="576"/>
        <v>382128.38573250012</v>
      </c>
      <c r="BM118" s="50">
        <f t="shared" si="576"/>
        <v>382128.38573250012</v>
      </c>
      <c r="BN118" s="50">
        <f t="shared" si="576"/>
        <v>382128.38573250012</v>
      </c>
      <c r="BO118" s="50">
        <f t="shared" si="576"/>
        <v>382128.38573250012</v>
      </c>
      <c r="BP118" s="50">
        <f t="shared" si="576"/>
        <v>257498.38573250006</v>
      </c>
      <c r="BQ118" s="50">
        <f t="shared" si="576"/>
        <v>0</v>
      </c>
      <c r="BR118" s="50">
        <f t="shared" si="576"/>
        <v>0</v>
      </c>
      <c r="BS118" s="50">
        <f t="shared" si="576"/>
        <v>0</v>
      </c>
      <c r="BT118" s="50">
        <f t="shared" si="576"/>
        <v>0</v>
      </c>
      <c r="BU118" s="50">
        <f t="shared" si="576"/>
        <v>0</v>
      </c>
      <c r="BV118" s="50">
        <f t="shared" si="576"/>
        <v>0</v>
      </c>
      <c r="BW118" s="50">
        <f t="shared" si="576"/>
        <v>0</v>
      </c>
      <c r="BX118" s="50">
        <f t="shared" si="576"/>
        <v>0</v>
      </c>
      <c r="BY118" s="50">
        <f t="shared" si="576"/>
        <v>0</v>
      </c>
      <c r="BZ118" s="50">
        <f t="shared" si="576"/>
        <v>0</v>
      </c>
      <c r="CA118" s="50">
        <f t="shared" si="576"/>
        <v>0</v>
      </c>
      <c r="CB118" s="50">
        <f t="shared" si="576"/>
        <v>0</v>
      </c>
      <c r="CC118" s="50">
        <f t="shared" si="576"/>
        <v>0</v>
      </c>
      <c r="CD118" s="50">
        <f t="shared" si="576"/>
        <v>0</v>
      </c>
      <c r="CE118" s="50">
        <f t="shared" si="576"/>
        <v>0</v>
      </c>
      <c r="CF118" s="50">
        <f t="shared" si="576"/>
        <v>0</v>
      </c>
      <c r="CG118" s="50">
        <f t="shared" ref="CG118:ER118" si="577">SUM(CG116:CG117)</f>
        <v>0</v>
      </c>
      <c r="CH118" s="50">
        <f t="shared" si="577"/>
        <v>0</v>
      </c>
      <c r="CI118" s="50">
        <f t="shared" si="577"/>
        <v>0</v>
      </c>
      <c r="CJ118" s="50">
        <f t="shared" si="577"/>
        <v>0</v>
      </c>
      <c r="CK118" s="50">
        <f t="shared" si="577"/>
        <v>0</v>
      </c>
      <c r="CL118" s="50">
        <f t="shared" si="577"/>
        <v>0</v>
      </c>
      <c r="CM118" s="50">
        <f t="shared" si="577"/>
        <v>0</v>
      </c>
      <c r="CN118" s="50">
        <f t="shared" si="577"/>
        <v>0</v>
      </c>
      <c r="CO118" s="50">
        <f t="shared" si="577"/>
        <v>0</v>
      </c>
      <c r="CP118" s="50">
        <f t="shared" si="577"/>
        <v>0</v>
      </c>
      <c r="CQ118" s="50">
        <f t="shared" si="577"/>
        <v>0</v>
      </c>
      <c r="CR118" s="50">
        <f t="shared" si="577"/>
        <v>0</v>
      </c>
      <c r="CS118" s="50">
        <f t="shared" si="577"/>
        <v>0</v>
      </c>
      <c r="CT118" s="50">
        <f t="shared" si="577"/>
        <v>0</v>
      </c>
      <c r="CU118" s="50">
        <f t="shared" si="577"/>
        <v>0</v>
      </c>
      <c r="CV118" s="50">
        <f t="shared" si="577"/>
        <v>0</v>
      </c>
      <c r="CW118" s="50">
        <f t="shared" si="577"/>
        <v>0</v>
      </c>
      <c r="CX118" s="50">
        <f t="shared" si="577"/>
        <v>0</v>
      </c>
      <c r="CY118" s="50">
        <f t="shared" si="577"/>
        <v>0</v>
      </c>
      <c r="CZ118" s="50">
        <f t="shared" si="577"/>
        <v>0</v>
      </c>
      <c r="DA118" s="50">
        <f t="shared" si="577"/>
        <v>0</v>
      </c>
      <c r="DB118" s="50">
        <f t="shared" si="577"/>
        <v>0</v>
      </c>
      <c r="DC118" s="50">
        <f t="shared" si="577"/>
        <v>0</v>
      </c>
      <c r="DD118" s="50">
        <f t="shared" si="577"/>
        <v>0</v>
      </c>
      <c r="DE118" s="50">
        <f t="shared" si="577"/>
        <v>0</v>
      </c>
      <c r="DF118" s="50">
        <f t="shared" si="577"/>
        <v>0</v>
      </c>
      <c r="DG118" s="50">
        <f t="shared" si="577"/>
        <v>0</v>
      </c>
      <c r="DH118" s="50">
        <f t="shared" si="577"/>
        <v>0</v>
      </c>
      <c r="DI118" s="50">
        <f t="shared" si="577"/>
        <v>0</v>
      </c>
      <c r="DJ118" s="50">
        <f t="shared" si="577"/>
        <v>0</v>
      </c>
      <c r="DK118" s="50">
        <f t="shared" si="577"/>
        <v>0</v>
      </c>
      <c r="DL118" s="50">
        <f t="shared" si="577"/>
        <v>0</v>
      </c>
      <c r="DM118" s="50">
        <f t="shared" si="577"/>
        <v>0</v>
      </c>
      <c r="DN118" s="50">
        <f t="shared" si="577"/>
        <v>0</v>
      </c>
      <c r="DO118" s="50">
        <f t="shared" si="577"/>
        <v>0</v>
      </c>
      <c r="DP118" s="50">
        <f t="shared" si="577"/>
        <v>0</v>
      </c>
      <c r="DQ118" s="50">
        <f t="shared" si="577"/>
        <v>0</v>
      </c>
      <c r="DR118" s="50">
        <f t="shared" si="577"/>
        <v>0</v>
      </c>
      <c r="DS118" s="50">
        <f t="shared" si="577"/>
        <v>0</v>
      </c>
      <c r="DT118" s="50">
        <f t="shared" si="577"/>
        <v>0</v>
      </c>
      <c r="DU118" s="50">
        <f t="shared" si="577"/>
        <v>0</v>
      </c>
      <c r="DV118" s="50">
        <f t="shared" si="577"/>
        <v>0</v>
      </c>
      <c r="DW118" s="50">
        <f t="shared" si="577"/>
        <v>0</v>
      </c>
      <c r="DX118" s="50">
        <f t="shared" si="577"/>
        <v>0</v>
      </c>
      <c r="DY118" s="50">
        <f t="shared" si="577"/>
        <v>0</v>
      </c>
      <c r="DZ118" s="50">
        <f t="shared" si="577"/>
        <v>0</v>
      </c>
      <c r="EA118" s="50">
        <f t="shared" si="577"/>
        <v>0</v>
      </c>
      <c r="EB118" s="50">
        <f t="shared" si="577"/>
        <v>0</v>
      </c>
      <c r="EC118" s="50">
        <f t="shared" si="577"/>
        <v>0</v>
      </c>
      <c r="ED118" s="50">
        <f t="shared" si="577"/>
        <v>0</v>
      </c>
      <c r="EE118" s="50">
        <f t="shared" si="577"/>
        <v>0</v>
      </c>
      <c r="EF118" s="50">
        <f t="shared" si="577"/>
        <v>0</v>
      </c>
      <c r="EG118" s="50">
        <f t="shared" si="577"/>
        <v>0</v>
      </c>
      <c r="EH118" s="50">
        <f t="shared" si="577"/>
        <v>0</v>
      </c>
      <c r="EI118" s="50">
        <f t="shared" si="577"/>
        <v>0</v>
      </c>
      <c r="EJ118" s="50">
        <f t="shared" si="577"/>
        <v>0</v>
      </c>
      <c r="EK118" s="50">
        <f t="shared" si="577"/>
        <v>0</v>
      </c>
      <c r="EL118" s="50">
        <f t="shared" si="577"/>
        <v>0</v>
      </c>
      <c r="EM118" s="50">
        <f t="shared" si="577"/>
        <v>0</v>
      </c>
      <c r="EN118" s="50">
        <f t="shared" si="577"/>
        <v>0</v>
      </c>
      <c r="EO118" s="50">
        <f t="shared" si="577"/>
        <v>0</v>
      </c>
      <c r="EP118" s="50">
        <f t="shared" si="577"/>
        <v>0</v>
      </c>
      <c r="EQ118" s="50">
        <f t="shared" si="577"/>
        <v>0</v>
      </c>
      <c r="ER118" s="50">
        <f t="shared" si="577"/>
        <v>0</v>
      </c>
      <c r="ES118" s="50">
        <f t="shared" ref="ES118:GQ118" si="578">SUM(ES116:ES117)</f>
        <v>0</v>
      </c>
      <c r="ET118" s="50">
        <f t="shared" si="578"/>
        <v>0</v>
      </c>
      <c r="EU118" s="50">
        <f t="shared" si="578"/>
        <v>0</v>
      </c>
      <c r="EV118" s="50">
        <f t="shared" si="578"/>
        <v>0</v>
      </c>
      <c r="EW118" s="50">
        <f t="shared" si="578"/>
        <v>0</v>
      </c>
      <c r="EX118" s="50">
        <f t="shared" si="578"/>
        <v>0</v>
      </c>
      <c r="EY118" s="50">
        <f t="shared" si="578"/>
        <v>0</v>
      </c>
      <c r="EZ118" s="50">
        <f t="shared" si="578"/>
        <v>0</v>
      </c>
      <c r="FA118" s="50">
        <f t="shared" si="578"/>
        <v>0</v>
      </c>
      <c r="FB118" s="50">
        <f t="shared" si="578"/>
        <v>0</v>
      </c>
      <c r="FC118" s="50">
        <f t="shared" si="578"/>
        <v>0</v>
      </c>
      <c r="FD118" s="50">
        <f t="shared" si="578"/>
        <v>0</v>
      </c>
      <c r="FE118" s="50">
        <f t="shared" si="578"/>
        <v>0</v>
      </c>
      <c r="FF118" s="50">
        <f t="shared" si="578"/>
        <v>0</v>
      </c>
      <c r="FG118" s="50">
        <f t="shared" si="578"/>
        <v>0</v>
      </c>
      <c r="FH118" s="50">
        <f t="shared" si="578"/>
        <v>0</v>
      </c>
      <c r="FI118" s="50">
        <f t="shared" si="578"/>
        <v>0</v>
      </c>
      <c r="FJ118" s="50">
        <f t="shared" si="578"/>
        <v>0</v>
      </c>
      <c r="FK118" s="50">
        <f t="shared" si="578"/>
        <v>0</v>
      </c>
      <c r="FL118" s="50">
        <f t="shared" si="578"/>
        <v>0</v>
      </c>
      <c r="FM118" s="50">
        <f t="shared" si="578"/>
        <v>0</v>
      </c>
      <c r="FN118" s="50">
        <f t="shared" si="578"/>
        <v>0</v>
      </c>
      <c r="FO118" s="50">
        <f t="shared" si="578"/>
        <v>0</v>
      </c>
      <c r="FP118" s="50">
        <f t="shared" si="578"/>
        <v>0</v>
      </c>
      <c r="FQ118" s="50">
        <f t="shared" si="578"/>
        <v>0</v>
      </c>
      <c r="FR118" s="50">
        <f t="shared" si="578"/>
        <v>0</v>
      </c>
      <c r="FS118" s="50">
        <f t="shared" si="578"/>
        <v>0</v>
      </c>
      <c r="FT118" s="50">
        <f t="shared" si="578"/>
        <v>0</v>
      </c>
      <c r="FU118" s="50">
        <f t="shared" si="578"/>
        <v>0</v>
      </c>
      <c r="FV118" s="50">
        <f t="shared" si="578"/>
        <v>0</v>
      </c>
      <c r="FW118" s="50">
        <f t="shared" si="578"/>
        <v>0</v>
      </c>
      <c r="FX118" s="50">
        <f t="shared" si="578"/>
        <v>0</v>
      </c>
      <c r="FY118" s="50">
        <f t="shared" si="578"/>
        <v>0</v>
      </c>
      <c r="FZ118" s="50">
        <f t="shared" si="578"/>
        <v>0</v>
      </c>
      <c r="GA118" s="50">
        <f t="shared" si="578"/>
        <v>0</v>
      </c>
      <c r="GB118" s="50">
        <f t="shared" si="578"/>
        <v>0</v>
      </c>
      <c r="GC118" s="50">
        <f t="shared" si="578"/>
        <v>0</v>
      </c>
      <c r="GD118" s="50">
        <f t="shared" si="578"/>
        <v>0</v>
      </c>
      <c r="GE118" s="50">
        <f t="shared" si="578"/>
        <v>0</v>
      </c>
      <c r="GF118" s="50">
        <f t="shared" si="578"/>
        <v>0</v>
      </c>
      <c r="GG118" s="50">
        <f t="shared" si="578"/>
        <v>0</v>
      </c>
      <c r="GH118" s="50">
        <f t="shared" si="578"/>
        <v>0</v>
      </c>
      <c r="GI118" s="50">
        <f t="shared" si="578"/>
        <v>0</v>
      </c>
      <c r="GJ118" s="50">
        <f t="shared" si="578"/>
        <v>0</v>
      </c>
      <c r="GK118" s="50">
        <f t="shared" si="578"/>
        <v>0</v>
      </c>
      <c r="GL118" s="50">
        <f t="shared" si="578"/>
        <v>0</v>
      </c>
      <c r="GM118" s="50">
        <f t="shared" si="578"/>
        <v>0</v>
      </c>
      <c r="GN118" s="50">
        <f t="shared" si="578"/>
        <v>0</v>
      </c>
      <c r="GO118" s="50">
        <f t="shared" si="578"/>
        <v>0</v>
      </c>
      <c r="GP118" s="50">
        <f t="shared" si="578"/>
        <v>0</v>
      </c>
      <c r="GQ118" s="50">
        <f t="shared" si="578"/>
        <v>0</v>
      </c>
      <c r="GS118" s="99" t="str">
        <f>B117</f>
        <v>Tier 2 - Promote + Excess Cash Flow</v>
      </c>
      <c r="GT118" s="77"/>
      <c r="GU118" s="77"/>
      <c r="GV118" s="77"/>
      <c r="GW118" s="77"/>
      <c r="GX118" s="77"/>
      <c r="GY118" s="77"/>
      <c r="GZ118" s="77"/>
      <c r="HA118" s="77"/>
      <c r="HB118" s="77"/>
      <c r="HC118" s="77"/>
      <c r="HD118" s="77"/>
      <c r="HE118" s="77"/>
      <c r="HF118" s="77"/>
      <c r="HG118" s="77"/>
      <c r="HH118" s="77"/>
      <c r="HI118" s="77"/>
      <c r="HJ118" s="77"/>
      <c r="HK118" s="77"/>
      <c r="HL118" s="77"/>
      <c r="HM118" s="77"/>
      <c r="HN118" s="77"/>
      <c r="HO118" s="77"/>
      <c r="HP118" s="77"/>
      <c r="HQ118" s="77"/>
      <c r="HR118" s="77"/>
      <c r="HS118" s="77"/>
      <c r="HT118" s="77"/>
      <c r="HU118" s="77"/>
      <c r="HV118" s="77"/>
      <c r="HW118" s="77"/>
      <c r="HX118" s="77"/>
      <c r="HY118" s="77"/>
      <c r="HZ118" s="77"/>
      <c r="IA118" s="77"/>
      <c r="IB118" s="77"/>
      <c r="IC118" s="77"/>
      <c r="ID118" s="77"/>
      <c r="IE118" s="77"/>
      <c r="IF118" s="77"/>
      <c r="IG118" s="77"/>
      <c r="IH118" s="77"/>
      <c r="II118" s="77"/>
      <c r="IJ118" s="77"/>
      <c r="IK118" s="77"/>
      <c r="IL118" s="77"/>
      <c r="IM118" s="77"/>
      <c r="IN118" s="77"/>
      <c r="IO118" s="77"/>
      <c r="IP118" s="77"/>
      <c r="IQ118" s="77"/>
      <c r="IR118" s="77"/>
      <c r="IS118" s="77"/>
      <c r="IT118" s="77"/>
      <c r="IU118" s="77"/>
      <c r="IV118" s="77"/>
      <c r="IW118" s="77"/>
      <c r="IX118" s="77"/>
      <c r="IY118" s="77"/>
      <c r="IZ118" s="77"/>
      <c r="JA118" s="77"/>
      <c r="JB118" s="77"/>
      <c r="JC118" s="77"/>
      <c r="JD118" s="77"/>
      <c r="JE118" s="77"/>
      <c r="JF118" s="77"/>
      <c r="JG118" s="77"/>
      <c r="JH118" s="77"/>
      <c r="JI118" s="77"/>
      <c r="JJ118" s="77"/>
      <c r="JK118" s="77"/>
      <c r="JL118" s="77"/>
      <c r="JM118" s="77"/>
      <c r="JN118" s="77"/>
      <c r="JO118" s="77"/>
      <c r="JP118" s="77"/>
      <c r="JQ118" s="77"/>
      <c r="JR118" s="77"/>
      <c r="JS118" s="77"/>
      <c r="JT118" s="77"/>
      <c r="JU118" s="77"/>
      <c r="JV118" s="77"/>
      <c r="JW118" s="77"/>
      <c r="JX118" s="77"/>
      <c r="JY118" s="77"/>
      <c r="JZ118" s="77"/>
      <c r="KA118" s="77"/>
      <c r="KB118" s="77"/>
      <c r="KC118" s="77"/>
      <c r="KD118" s="77"/>
      <c r="KE118" s="77"/>
      <c r="KF118" s="77"/>
      <c r="KG118" s="77"/>
      <c r="KH118" s="77"/>
      <c r="KI118" s="77"/>
      <c r="KJ118" s="77"/>
      <c r="KK118" s="77"/>
      <c r="KL118" s="77"/>
      <c r="KM118" s="77"/>
      <c r="KN118" s="77"/>
      <c r="KO118" s="77"/>
      <c r="KP118" s="77"/>
      <c r="KQ118" s="77"/>
      <c r="KR118" s="77"/>
      <c r="KS118" s="77"/>
      <c r="KT118" s="77"/>
      <c r="KU118" s="77"/>
      <c r="KV118" s="77"/>
      <c r="KW118" s="77"/>
      <c r="KX118" s="77"/>
      <c r="KY118" s="77"/>
      <c r="KZ118" s="77"/>
      <c r="LA118" s="77"/>
      <c r="LB118" s="77"/>
      <c r="LC118" s="77"/>
      <c r="LD118" s="77"/>
      <c r="LE118" s="77"/>
      <c r="LF118" s="77"/>
      <c r="LG118" s="77"/>
      <c r="LH118" s="77"/>
      <c r="LI118" s="77"/>
      <c r="LJ118" s="77"/>
      <c r="LK118" s="77"/>
      <c r="LL118" s="77"/>
      <c r="LM118" s="77"/>
      <c r="LN118" s="77"/>
      <c r="LO118" s="77"/>
      <c r="LP118" s="77"/>
      <c r="LQ118" s="77"/>
      <c r="LR118" s="77"/>
      <c r="LS118" s="77"/>
      <c r="LT118" s="77"/>
      <c r="LU118" s="77"/>
      <c r="LV118" s="77"/>
      <c r="LW118" s="77"/>
      <c r="LX118" s="77"/>
      <c r="LY118" s="77"/>
      <c r="LZ118" s="77"/>
      <c r="MA118" s="77"/>
      <c r="MB118" s="77"/>
      <c r="MC118" s="77"/>
      <c r="MD118" s="77"/>
      <c r="ME118" s="77"/>
      <c r="MF118" s="77"/>
      <c r="MG118" s="77"/>
      <c r="MH118" s="77"/>
      <c r="MI118" s="77"/>
      <c r="MJ118" s="77"/>
      <c r="MK118" s="77"/>
      <c r="ML118" s="77"/>
      <c r="MM118" s="77"/>
      <c r="MN118" s="77"/>
      <c r="MO118" s="77"/>
      <c r="MP118" s="77"/>
      <c r="MQ118" s="77"/>
      <c r="MR118" s="77"/>
      <c r="MS118" s="77"/>
      <c r="MT118" s="77"/>
      <c r="MU118" s="77"/>
      <c r="MV118" s="77"/>
      <c r="MW118" s="77"/>
      <c r="MX118" s="77"/>
      <c r="MY118" s="77"/>
      <c r="MZ118" s="77"/>
      <c r="NA118" s="77"/>
      <c r="NB118" s="77"/>
      <c r="NC118" s="77"/>
      <c r="ND118" s="77"/>
      <c r="NE118" s="77"/>
      <c r="NF118" s="77"/>
      <c r="NG118" s="77"/>
      <c r="NH118" s="77"/>
      <c r="NI118" s="77"/>
      <c r="NJ118" s="77"/>
      <c r="NK118" s="77"/>
      <c r="NL118" s="77"/>
      <c r="NM118" s="77"/>
      <c r="NN118" s="77"/>
      <c r="NO118" s="77"/>
      <c r="NP118" s="77"/>
      <c r="NQ118" s="77"/>
      <c r="NR118" s="77"/>
      <c r="NS118" s="77"/>
      <c r="NT118" s="77"/>
      <c r="NU118" s="77"/>
      <c r="NV118" s="77"/>
      <c r="NW118" s="77"/>
    </row>
    <row r="119" spans="2:387" x14ac:dyDescent="0.3">
      <c r="B119" s="18"/>
      <c r="C119" s="19"/>
      <c r="D119" s="19"/>
      <c r="E119" s="19"/>
      <c r="F119" s="19"/>
      <c r="G119" s="19"/>
      <c r="H119" s="19"/>
      <c r="I119" s="19"/>
      <c r="J119" s="23"/>
      <c r="K119" s="29"/>
      <c r="L119" s="23"/>
      <c r="GS119" s="80" t="s">
        <v>299</v>
      </c>
      <c r="GT119" s="77"/>
      <c r="GU119" s="77"/>
      <c r="GV119" s="77"/>
      <c r="GW119" s="77"/>
      <c r="GX119" s="77">
        <f>SUM(GZ119:NW119)</f>
        <v>1429998.5416199905</v>
      </c>
      <c r="GY119" s="77"/>
      <c r="GZ119" s="77">
        <f>GZ116*$F$117</f>
        <v>0</v>
      </c>
      <c r="HA119" s="77">
        <f t="shared" ref="HA119:JL119" si="579">HA116*$F$117</f>
        <v>0</v>
      </c>
      <c r="HB119" s="77">
        <f t="shared" si="579"/>
        <v>0</v>
      </c>
      <c r="HC119" s="77">
        <f t="shared" si="579"/>
        <v>0</v>
      </c>
      <c r="HD119" s="77">
        <f t="shared" si="579"/>
        <v>0</v>
      </c>
      <c r="HE119" s="77">
        <f t="shared" si="579"/>
        <v>0</v>
      </c>
      <c r="HF119" s="77">
        <f t="shared" si="579"/>
        <v>0</v>
      </c>
      <c r="HG119" s="77">
        <f t="shared" si="579"/>
        <v>0</v>
      </c>
      <c r="HH119" s="77">
        <f t="shared" si="579"/>
        <v>0</v>
      </c>
      <c r="HI119" s="77">
        <f t="shared" si="579"/>
        <v>0</v>
      </c>
      <c r="HJ119" s="77">
        <f t="shared" si="579"/>
        <v>0</v>
      </c>
      <c r="HK119" s="77">
        <f t="shared" si="579"/>
        <v>0</v>
      </c>
      <c r="HL119" s="77">
        <f t="shared" si="579"/>
        <v>0</v>
      </c>
      <c r="HM119" s="77">
        <f t="shared" si="579"/>
        <v>0</v>
      </c>
      <c r="HN119" s="77">
        <f t="shared" si="579"/>
        <v>0</v>
      </c>
      <c r="HO119" s="77">
        <f t="shared" si="579"/>
        <v>0</v>
      </c>
      <c r="HP119" s="77">
        <f t="shared" si="579"/>
        <v>0</v>
      </c>
      <c r="HQ119" s="77">
        <f t="shared" si="579"/>
        <v>0</v>
      </c>
      <c r="HR119" s="77">
        <f t="shared" si="579"/>
        <v>0</v>
      </c>
      <c r="HS119" s="77">
        <f t="shared" si="579"/>
        <v>0</v>
      </c>
      <c r="HT119" s="77">
        <f t="shared" si="579"/>
        <v>0</v>
      </c>
      <c r="HU119" s="77">
        <f t="shared" si="579"/>
        <v>0</v>
      </c>
      <c r="HV119" s="77">
        <f t="shared" si="579"/>
        <v>0</v>
      </c>
      <c r="HW119" s="77">
        <f t="shared" si="579"/>
        <v>0</v>
      </c>
      <c r="HX119" s="77">
        <f t="shared" si="579"/>
        <v>0</v>
      </c>
      <c r="HY119" s="77">
        <f t="shared" si="579"/>
        <v>0</v>
      </c>
      <c r="HZ119" s="77">
        <f t="shared" si="579"/>
        <v>0</v>
      </c>
      <c r="IA119" s="77">
        <f t="shared" si="579"/>
        <v>0</v>
      </c>
      <c r="IB119" s="77">
        <f t="shared" si="579"/>
        <v>0</v>
      </c>
      <c r="IC119" s="77">
        <f t="shared" si="579"/>
        <v>0</v>
      </c>
      <c r="ID119" s="77">
        <f t="shared" si="579"/>
        <v>0</v>
      </c>
      <c r="IE119" s="77">
        <f t="shared" si="579"/>
        <v>0</v>
      </c>
      <c r="IF119" s="77">
        <f t="shared" si="579"/>
        <v>0</v>
      </c>
      <c r="IG119" s="77">
        <f t="shared" si="579"/>
        <v>0</v>
      </c>
      <c r="IH119" s="77">
        <f t="shared" si="579"/>
        <v>0</v>
      </c>
      <c r="II119" s="77">
        <f t="shared" si="579"/>
        <v>0</v>
      </c>
      <c r="IJ119" s="77">
        <f t="shared" si="579"/>
        <v>0</v>
      </c>
      <c r="IK119" s="77">
        <f t="shared" si="579"/>
        <v>0</v>
      </c>
      <c r="IL119" s="77">
        <f t="shared" si="579"/>
        <v>0</v>
      </c>
      <c r="IM119" s="77">
        <f t="shared" si="579"/>
        <v>0</v>
      </c>
      <c r="IN119" s="77">
        <f t="shared" si="579"/>
        <v>0</v>
      </c>
      <c r="IO119" s="77">
        <f t="shared" si="579"/>
        <v>52853.443551139942</v>
      </c>
      <c r="IP119" s="77">
        <f t="shared" si="579"/>
        <v>206349.32829555005</v>
      </c>
      <c r="IQ119" s="77">
        <f t="shared" si="579"/>
        <v>206349.32829555005</v>
      </c>
      <c r="IR119" s="77">
        <f t="shared" si="579"/>
        <v>206349.32829555005</v>
      </c>
      <c r="IS119" s="77">
        <f t="shared" si="579"/>
        <v>206349.32829555005</v>
      </c>
      <c r="IT119" s="77">
        <f t="shared" si="579"/>
        <v>206349.32829555005</v>
      </c>
      <c r="IU119" s="77">
        <f t="shared" si="579"/>
        <v>206349.32829555005</v>
      </c>
      <c r="IV119" s="77">
        <f t="shared" si="579"/>
        <v>139049.12829555004</v>
      </c>
      <c r="IW119" s="77">
        <f t="shared" si="579"/>
        <v>0</v>
      </c>
      <c r="IX119" s="77">
        <f t="shared" si="579"/>
        <v>0</v>
      </c>
      <c r="IY119" s="77">
        <f t="shared" si="579"/>
        <v>0</v>
      </c>
      <c r="IZ119" s="77">
        <f t="shared" si="579"/>
        <v>0</v>
      </c>
      <c r="JA119" s="77">
        <f t="shared" si="579"/>
        <v>0</v>
      </c>
      <c r="JB119" s="77">
        <f t="shared" si="579"/>
        <v>0</v>
      </c>
      <c r="JC119" s="77">
        <f t="shared" si="579"/>
        <v>0</v>
      </c>
      <c r="JD119" s="77">
        <f t="shared" si="579"/>
        <v>0</v>
      </c>
      <c r="JE119" s="77">
        <f t="shared" si="579"/>
        <v>0</v>
      </c>
      <c r="JF119" s="77">
        <f t="shared" si="579"/>
        <v>0</v>
      </c>
      <c r="JG119" s="77">
        <f t="shared" si="579"/>
        <v>0</v>
      </c>
      <c r="JH119" s="77">
        <f t="shared" si="579"/>
        <v>0</v>
      </c>
      <c r="JI119" s="77">
        <f t="shared" si="579"/>
        <v>0</v>
      </c>
      <c r="JJ119" s="77">
        <f t="shared" si="579"/>
        <v>0</v>
      </c>
      <c r="JK119" s="77">
        <f t="shared" si="579"/>
        <v>0</v>
      </c>
      <c r="JL119" s="77">
        <f t="shared" si="579"/>
        <v>0</v>
      </c>
      <c r="JM119" s="77">
        <f t="shared" ref="JM119:LX119" si="580">JM116*$F$117</f>
        <v>0</v>
      </c>
      <c r="JN119" s="77">
        <f t="shared" si="580"/>
        <v>0</v>
      </c>
      <c r="JO119" s="77">
        <f t="shared" si="580"/>
        <v>0</v>
      </c>
      <c r="JP119" s="77">
        <f t="shared" si="580"/>
        <v>0</v>
      </c>
      <c r="JQ119" s="77">
        <f t="shared" si="580"/>
        <v>0</v>
      </c>
      <c r="JR119" s="77">
        <f t="shared" si="580"/>
        <v>0</v>
      </c>
      <c r="JS119" s="77">
        <f t="shared" si="580"/>
        <v>0</v>
      </c>
      <c r="JT119" s="77">
        <f t="shared" si="580"/>
        <v>0</v>
      </c>
      <c r="JU119" s="77">
        <f t="shared" si="580"/>
        <v>0</v>
      </c>
      <c r="JV119" s="77">
        <f t="shared" si="580"/>
        <v>0</v>
      </c>
      <c r="JW119" s="77">
        <f t="shared" si="580"/>
        <v>0</v>
      </c>
      <c r="JX119" s="77">
        <f t="shared" si="580"/>
        <v>0</v>
      </c>
      <c r="JY119" s="77">
        <f t="shared" si="580"/>
        <v>0</v>
      </c>
      <c r="JZ119" s="77">
        <f t="shared" si="580"/>
        <v>0</v>
      </c>
      <c r="KA119" s="77">
        <f t="shared" si="580"/>
        <v>0</v>
      </c>
      <c r="KB119" s="77">
        <f t="shared" si="580"/>
        <v>0</v>
      </c>
      <c r="KC119" s="77">
        <f t="shared" si="580"/>
        <v>0</v>
      </c>
      <c r="KD119" s="77">
        <f t="shared" si="580"/>
        <v>0</v>
      </c>
      <c r="KE119" s="77">
        <f t="shared" si="580"/>
        <v>0</v>
      </c>
      <c r="KF119" s="77">
        <f t="shared" si="580"/>
        <v>0</v>
      </c>
      <c r="KG119" s="77">
        <f t="shared" si="580"/>
        <v>0</v>
      </c>
      <c r="KH119" s="77">
        <f t="shared" si="580"/>
        <v>0</v>
      </c>
      <c r="KI119" s="77">
        <f t="shared" si="580"/>
        <v>0</v>
      </c>
      <c r="KJ119" s="77">
        <f t="shared" si="580"/>
        <v>0</v>
      </c>
      <c r="KK119" s="77">
        <f t="shared" si="580"/>
        <v>0</v>
      </c>
      <c r="KL119" s="77">
        <f t="shared" si="580"/>
        <v>0</v>
      </c>
      <c r="KM119" s="77">
        <f t="shared" si="580"/>
        <v>0</v>
      </c>
      <c r="KN119" s="77">
        <f t="shared" si="580"/>
        <v>0</v>
      </c>
      <c r="KO119" s="77">
        <f t="shared" si="580"/>
        <v>0</v>
      </c>
      <c r="KP119" s="77">
        <f t="shared" si="580"/>
        <v>0</v>
      </c>
      <c r="KQ119" s="77">
        <f t="shared" si="580"/>
        <v>0</v>
      </c>
      <c r="KR119" s="77">
        <f t="shared" si="580"/>
        <v>0</v>
      </c>
      <c r="KS119" s="77">
        <f t="shared" si="580"/>
        <v>0</v>
      </c>
      <c r="KT119" s="77">
        <f t="shared" si="580"/>
        <v>0</v>
      </c>
      <c r="KU119" s="77">
        <f t="shared" si="580"/>
        <v>0</v>
      </c>
      <c r="KV119" s="77">
        <f t="shared" si="580"/>
        <v>0</v>
      </c>
      <c r="KW119" s="77">
        <f t="shared" si="580"/>
        <v>0</v>
      </c>
      <c r="KX119" s="77">
        <f t="shared" si="580"/>
        <v>0</v>
      </c>
      <c r="KY119" s="77">
        <f t="shared" si="580"/>
        <v>0</v>
      </c>
      <c r="KZ119" s="77">
        <f t="shared" si="580"/>
        <v>0</v>
      </c>
      <c r="LA119" s="77">
        <f t="shared" si="580"/>
        <v>0</v>
      </c>
      <c r="LB119" s="77">
        <f t="shared" si="580"/>
        <v>0</v>
      </c>
      <c r="LC119" s="77">
        <f t="shared" si="580"/>
        <v>0</v>
      </c>
      <c r="LD119" s="77">
        <f t="shared" si="580"/>
        <v>0</v>
      </c>
      <c r="LE119" s="77">
        <f t="shared" si="580"/>
        <v>0</v>
      </c>
      <c r="LF119" s="77">
        <f t="shared" si="580"/>
        <v>0</v>
      </c>
      <c r="LG119" s="77">
        <f t="shared" si="580"/>
        <v>0</v>
      </c>
      <c r="LH119" s="77">
        <f t="shared" si="580"/>
        <v>0</v>
      </c>
      <c r="LI119" s="77">
        <f t="shared" si="580"/>
        <v>0</v>
      </c>
      <c r="LJ119" s="77">
        <f t="shared" si="580"/>
        <v>0</v>
      </c>
      <c r="LK119" s="77">
        <f t="shared" si="580"/>
        <v>0</v>
      </c>
      <c r="LL119" s="77">
        <f t="shared" si="580"/>
        <v>0</v>
      </c>
      <c r="LM119" s="77">
        <f t="shared" si="580"/>
        <v>0</v>
      </c>
      <c r="LN119" s="77">
        <f t="shared" si="580"/>
        <v>0</v>
      </c>
      <c r="LO119" s="77">
        <f t="shared" si="580"/>
        <v>0</v>
      </c>
      <c r="LP119" s="77">
        <f t="shared" si="580"/>
        <v>0</v>
      </c>
      <c r="LQ119" s="77">
        <f t="shared" si="580"/>
        <v>0</v>
      </c>
      <c r="LR119" s="77">
        <f t="shared" si="580"/>
        <v>0</v>
      </c>
      <c r="LS119" s="77">
        <f t="shared" si="580"/>
        <v>0</v>
      </c>
      <c r="LT119" s="77">
        <f t="shared" si="580"/>
        <v>0</v>
      </c>
      <c r="LU119" s="77">
        <f t="shared" si="580"/>
        <v>0</v>
      </c>
      <c r="LV119" s="77">
        <f t="shared" si="580"/>
        <v>0</v>
      </c>
      <c r="LW119" s="77">
        <f t="shared" si="580"/>
        <v>0</v>
      </c>
      <c r="LX119" s="77">
        <f t="shared" si="580"/>
        <v>0</v>
      </c>
      <c r="LY119" s="77">
        <f t="shared" ref="LY119:NW119" si="581">LY116*$F$117</f>
        <v>0</v>
      </c>
      <c r="LZ119" s="77">
        <f t="shared" si="581"/>
        <v>0</v>
      </c>
      <c r="MA119" s="77">
        <f t="shared" si="581"/>
        <v>0</v>
      </c>
      <c r="MB119" s="77">
        <f t="shared" si="581"/>
        <v>0</v>
      </c>
      <c r="MC119" s="77">
        <f t="shared" si="581"/>
        <v>0</v>
      </c>
      <c r="MD119" s="77">
        <f t="shared" si="581"/>
        <v>0</v>
      </c>
      <c r="ME119" s="77">
        <f t="shared" si="581"/>
        <v>0</v>
      </c>
      <c r="MF119" s="77">
        <f t="shared" si="581"/>
        <v>0</v>
      </c>
      <c r="MG119" s="77">
        <f t="shared" si="581"/>
        <v>0</v>
      </c>
      <c r="MH119" s="77">
        <f t="shared" si="581"/>
        <v>0</v>
      </c>
      <c r="MI119" s="77">
        <f t="shared" si="581"/>
        <v>0</v>
      </c>
      <c r="MJ119" s="77">
        <f t="shared" si="581"/>
        <v>0</v>
      </c>
      <c r="MK119" s="77">
        <f t="shared" si="581"/>
        <v>0</v>
      </c>
      <c r="ML119" s="77">
        <f t="shared" si="581"/>
        <v>0</v>
      </c>
      <c r="MM119" s="77">
        <f t="shared" si="581"/>
        <v>0</v>
      </c>
      <c r="MN119" s="77">
        <f t="shared" si="581"/>
        <v>0</v>
      </c>
      <c r="MO119" s="77">
        <f t="shared" si="581"/>
        <v>0</v>
      </c>
      <c r="MP119" s="77">
        <f t="shared" si="581"/>
        <v>0</v>
      </c>
      <c r="MQ119" s="77">
        <f t="shared" si="581"/>
        <v>0</v>
      </c>
      <c r="MR119" s="77">
        <f t="shared" si="581"/>
        <v>0</v>
      </c>
      <c r="MS119" s="77">
        <f t="shared" si="581"/>
        <v>0</v>
      </c>
      <c r="MT119" s="77">
        <f t="shared" si="581"/>
        <v>0</v>
      </c>
      <c r="MU119" s="77">
        <f t="shared" si="581"/>
        <v>0</v>
      </c>
      <c r="MV119" s="77">
        <f t="shared" si="581"/>
        <v>0</v>
      </c>
      <c r="MW119" s="77">
        <f t="shared" si="581"/>
        <v>0</v>
      </c>
      <c r="MX119" s="77">
        <f t="shared" si="581"/>
        <v>0</v>
      </c>
      <c r="MY119" s="77">
        <f t="shared" si="581"/>
        <v>0</v>
      </c>
      <c r="MZ119" s="77">
        <f t="shared" si="581"/>
        <v>0</v>
      </c>
      <c r="NA119" s="77">
        <f t="shared" si="581"/>
        <v>0</v>
      </c>
      <c r="NB119" s="77">
        <f t="shared" si="581"/>
        <v>0</v>
      </c>
      <c r="NC119" s="77">
        <f t="shared" si="581"/>
        <v>0</v>
      </c>
      <c r="ND119" s="77">
        <f t="shared" si="581"/>
        <v>0</v>
      </c>
      <c r="NE119" s="77">
        <f t="shared" si="581"/>
        <v>0</v>
      </c>
      <c r="NF119" s="77">
        <f t="shared" si="581"/>
        <v>0</v>
      </c>
      <c r="NG119" s="77">
        <f t="shared" si="581"/>
        <v>0</v>
      </c>
      <c r="NH119" s="77">
        <f t="shared" si="581"/>
        <v>0</v>
      </c>
      <c r="NI119" s="77">
        <f t="shared" si="581"/>
        <v>0</v>
      </c>
      <c r="NJ119" s="77">
        <f t="shared" si="581"/>
        <v>0</v>
      </c>
      <c r="NK119" s="77">
        <f t="shared" si="581"/>
        <v>0</v>
      </c>
      <c r="NL119" s="77">
        <f t="shared" si="581"/>
        <v>0</v>
      </c>
      <c r="NM119" s="77">
        <f t="shared" si="581"/>
        <v>0</v>
      </c>
      <c r="NN119" s="77">
        <f t="shared" si="581"/>
        <v>0</v>
      </c>
      <c r="NO119" s="77">
        <f t="shared" si="581"/>
        <v>0</v>
      </c>
      <c r="NP119" s="77">
        <f t="shared" si="581"/>
        <v>0</v>
      </c>
      <c r="NQ119" s="77">
        <f t="shared" si="581"/>
        <v>0</v>
      </c>
      <c r="NR119" s="77">
        <f t="shared" si="581"/>
        <v>0</v>
      </c>
      <c r="NS119" s="77">
        <f t="shared" si="581"/>
        <v>0</v>
      </c>
      <c r="NT119" s="77">
        <f t="shared" si="581"/>
        <v>0</v>
      </c>
      <c r="NU119" s="77">
        <f t="shared" si="581"/>
        <v>0</v>
      </c>
      <c r="NV119" s="77">
        <f t="shared" si="581"/>
        <v>0</v>
      </c>
      <c r="NW119" s="77">
        <f t="shared" si="581"/>
        <v>0</v>
      </c>
    </row>
    <row r="120" spans="2:387" x14ac:dyDescent="0.3">
      <c r="B120" s="24" t="s">
        <v>319</v>
      </c>
      <c r="C120" s="19"/>
      <c r="D120" s="19"/>
      <c r="E120" s="25" t="s">
        <v>284</v>
      </c>
      <c r="F120" s="25" t="s">
        <v>285</v>
      </c>
      <c r="G120" s="19"/>
      <c r="H120" s="19"/>
      <c r="I120" s="25" t="s">
        <v>320</v>
      </c>
      <c r="J120" s="23"/>
      <c r="K120" s="29"/>
      <c r="L120" s="23"/>
      <c r="GS120" s="80" t="s">
        <v>312</v>
      </c>
      <c r="GT120" s="77"/>
      <c r="GU120" s="77"/>
      <c r="GV120" s="77"/>
      <c r="GW120" s="77"/>
      <c r="GX120" s="77">
        <f>SUM(GZ120:NW120)</f>
        <v>1218146.9058244361</v>
      </c>
      <c r="GY120" s="77"/>
      <c r="GZ120" s="77">
        <f>GZ116*$E$117</f>
        <v>0</v>
      </c>
      <c r="HA120" s="77">
        <f t="shared" ref="HA120:JL120" si="582">HA116*$E$117</f>
        <v>0</v>
      </c>
      <c r="HB120" s="77">
        <f t="shared" si="582"/>
        <v>0</v>
      </c>
      <c r="HC120" s="77">
        <f t="shared" si="582"/>
        <v>0</v>
      </c>
      <c r="HD120" s="77">
        <f t="shared" si="582"/>
        <v>0</v>
      </c>
      <c r="HE120" s="77">
        <f t="shared" si="582"/>
        <v>0</v>
      </c>
      <c r="HF120" s="77">
        <f t="shared" si="582"/>
        <v>0</v>
      </c>
      <c r="HG120" s="77">
        <f t="shared" si="582"/>
        <v>0</v>
      </c>
      <c r="HH120" s="77">
        <f t="shared" si="582"/>
        <v>0</v>
      </c>
      <c r="HI120" s="77">
        <f t="shared" si="582"/>
        <v>0</v>
      </c>
      <c r="HJ120" s="77">
        <f t="shared" si="582"/>
        <v>0</v>
      </c>
      <c r="HK120" s="77">
        <f t="shared" si="582"/>
        <v>0</v>
      </c>
      <c r="HL120" s="77">
        <f t="shared" si="582"/>
        <v>0</v>
      </c>
      <c r="HM120" s="77">
        <f t="shared" si="582"/>
        <v>0</v>
      </c>
      <c r="HN120" s="77">
        <f t="shared" si="582"/>
        <v>0</v>
      </c>
      <c r="HO120" s="77">
        <f t="shared" si="582"/>
        <v>0</v>
      </c>
      <c r="HP120" s="77">
        <f t="shared" si="582"/>
        <v>0</v>
      </c>
      <c r="HQ120" s="77">
        <f t="shared" si="582"/>
        <v>0</v>
      </c>
      <c r="HR120" s="77">
        <f t="shared" si="582"/>
        <v>0</v>
      </c>
      <c r="HS120" s="77">
        <f t="shared" si="582"/>
        <v>0</v>
      </c>
      <c r="HT120" s="77">
        <f t="shared" si="582"/>
        <v>0</v>
      </c>
      <c r="HU120" s="77">
        <f t="shared" si="582"/>
        <v>0</v>
      </c>
      <c r="HV120" s="77">
        <f t="shared" si="582"/>
        <v>0</v>
      </c>
      <c r="HW120" s="77">
        <f t="shared" si="582"/>
        <v>0</v>
      </c>
      <c r="HX120" s="77">
        <f t="shared" si="582"/>
        <v>0</v>
      </c>
      <c r="HY120" s="77">
        <f t="shared" si="582"/>
        <v>0</v>
      </c>
      <c r="HZ120" s="77">
        <f t="shared" si="582"/>
        <v>0</v>
      </c>
      <c r="IA120" s="77">
        <f t="shared" si="582"/>
        <v>0</v>
      </c>
      <c r="IB120" s="77">
        <f t="shared" si="582"/>
        <v>0</v>
      </c>
      <c r="IC120" s="77">
        <f t="shared" si="582"/>
        <v>0</v>
      </c>
      <c r="ID120" s="77">
        <f t="shared" si="582"/>
        <v>0</v>
      </c>
      <c r="IE120" s="77">
        <f t="shared" si="582"/>
        <v>0</v>
      </c>
      <c r="IF120" s="77">
        <f t="shared" si="582"/>
        <v>0</v>
      </c>
      <c r="IG120" s="77">
        <f t="shared" si="582"/>
        <v>0</v>
      </c>
      <c r="IH120" s="77">
        <f t="shared" si="582"/>
        <v>0</v>
      </c>
      <c r="II120" s="77">
        <f t="shared" si="582"/>
        <v>0</v>
      </c>
      <c r="IJ120" s="77">
        <f t="shared" si="582"/>
        <v>0</v>
      </c>
      <c r="IK120" s="77">
        <f t="shared" si="582"/>
        <v>0</v>
      </c>
      <c r="IL120" s="77">
        <f t="shared" si="582"/>
        <v>0</v>
      </c>
      <c r="IM120" s="77">
        <f t="shared" si="582"/>
        <v>0</v>
      </c>
      <c r="IN120" s="77">
        <f t="shared" si="582"/>
        <v>0</v>
      </c>
      <c r="IO120" s="77">
        <f t="shared" si="582"/>
        <v>45023.30376578588</v>
      </c>
      <c r="IP120" s="77">
        <f t="shared" si="582"/>
        <v>175779.05743695004</v>
      </c>
      <c r="IQ120" s="77">
        <f t="shared" si="582"/>
        <v>175779.05743695004</v>
      </c>
      <c r="IR120" s="77">
        <f t="shared" si="582"/>
        <v>175779.05743695004</v>
      </c>
      <c r="IS120" s="77">
        <f t="shared" si="582"/>
        <v>175779.05743695004</v>
      </c>
      <c r="IT120" s="77">
        <f t="shared" si="582"/>
        <v>175779.05743695004</v>
      </c>
      <c r="IU120" s="77">
        <f t="shared" si="582"/>
        <v>175779.05743695004</v>
      </c>
      <c r="IV120" s="77">
        <f t="shared" si="582"/>
        <v>118449.25743695002</v>
      </c>
      <c r="IW120" s="77">
        <f t="shared" si="582"/>
        <v>0</v>
      </c>
      <c r="IX120" s="77">
        <f t="shared" si="582"/>
        <v>0</v>
      </c>
      <c r="IY120" s="77">
        <f t="shared" si="582"/>
        <v>0</v>
      </c>
      <c r="IZ120" s="77">
        <f t="shared" si="582"/>
        <v>0</v>
      </c>
      <c r="JA120" s="77">
        <f t="shared" si="582"/>
        <v>0</v>
      </c>
      <c r="JB120" s="77">
        <f t="shared" si="582"/>
        <v>0</v>
      </c>
      <c r="JC120" s="77">
        <f t="shared" si="582"/>
        <v>0</v>
      </c>
      <c r="JD120" s="77">
        <f t="shared" si="582"/>
        <v>0</v>
      </c>
      <c r="JE120" s="77">
        <f t="shared" si="582"/>
        <v>0</v>
      </c>
      <c r="JF120" s="77">
        <f t="shared" si="582"/>
        <v>0</v>
      </c>
      <c r="JG120" s="77">
        <f t="shared" si="582"/>
        <v>0</v>
      </c>
      <c r="JH120" s="77">
        <f t="shared" si="582"/>
        <v>0</v>
      </c>
      <c r="JI120" s="77">
        <f t="shared" si="582"/>
        <v>0</v>
      </c>
      <c r="JJ120" s="77">
        <f t="shared" si="582"/>
        <v>0</v>
      </c>
      <c r="JK120" s="77">
        <f t="shared" si="582"/>
        <v>0</v>
      </c>
      <c r="JL120" s="77">
        <f t="shared" si="582"/>
        <v>0</v>
      </c>
      <c r="JM120" s="77">
        <f t="shared" ref="JM120:LX120" si="583">JM116*$E$117</f>
        <v>0</v>
      </c>
      <c r="JN120" s="77">
        <f t="shared" si="583"/>
        <v>0</v>
      </c>
      <c r="JO120" s="77">
        <f t="shared" si="583"/>
        <v>0</v>
      </c>
      <c r="JP120" s="77">
        <f t="shared" si="583"/>
        <v>0</v>
      </c>
      <c r="JQ120" s="77">
        <f t="shared" si="583"/>
        <v>0</v>
      </c>
      <c r="JR120" s="77">
        <f t="shared" si="583"/>
        <v>0</v>
      </c>
      <c r="JS120" s="77">
        <f t="shared" si="583"/>
        <v>0</v>
      </c>
      <c r="JT120" s="77">
        <f t="shared" si="583"/>
        <v>0</v>
      </c>
      <c r="JU120" s="77">
        <f t="shared" si="583"/>
        <v>0</v>
      </c>
      <c r="JV120" s="77">
        <f t="shared" si="583"/>
        <v>0</v>
      </c>
      <c r="JW120" s="77">
        <f t="shared" si="583"/>
        <v>0</v>
      </c>
      <c r="JX120" s="77">
        <f t="shared" si="583"/>
        <v>0</v>
      </c>
      <c r="JY120" s="77">
        <f t="shared" si="583"/>
        <v>0</v>
      </c>
      <c r="JZ120" s="77">
        <f t="shared" si="583"/>
        <v>0</v>
      </c>
      <c r="KA120" s="77">
        <f t="shared" si="583"/>
        <v>0</v>
      </c>
      <c r="KB120" s="77">
        <f t="shared" si="583"/>
        <v>0</v>
      </c>
      <c r="KC120" s="77">
        <f t="shared" si="583"/>
        <v>0</v>
      </c>
      <c r="KD120" s="77">
        <f t="shared" si="583"/>
        <v>0</v>
      </c>
      <c r="KE120" s="77">
        <f t="shared" si="583"/>
        <v>0</v>
      </c>
      <c r="KF120" s="77">
        <f t="shared" si="583"/>
        <v>0</v>
      </c>
      <c r="KG120" s="77">
        <f t="shared" si="583"/>
        <v>0</v>
      </c>
      <c r="KH120" s="77">
        <f t="shared" si="583"/>
        <v>0</v>
      </c>
      <c r="KI120" s="77">
        <f t="shared" si="583"/>
        <v>0</v>
      </c>
      <c r="KJ120" s="77">
        <f t="shared" si="583"/>
        <v>0</v>
      </c>
      <c r="KK120" s="77">
        <f t="shared" si="583"/>
        <v>0</v>
      </c>
      <c r="KL120" s="77">
        <f t="shared" si="583"/>
        <v>0</v>
      </c>
      <c r="KM120" s="77">
        <f t="shared" si="583"/>
        <v>0</v>
      </c>
      <c r="KN120" s="77">
        <f t="shared" si="583"/>
        <v>0</v>
      </c>
      <c r="KO120" s="77">
        <f t="shared" si="583"/>
        <v>0</v>
      </c>
      <c r="KP120" s="77">
        <f t="shared" si="583"/>
        <v>0</v>
      </c>
      <c r="KQ120" s="77">
        <f t="shared" si="583"/>
        <v>0</v>
      </c>
      <c r="KR120" s="77">
        <f t="shared" si="583"/>
        <v>0</v>
      </c>
      <c r="KS120" s="77">
        <f t="shared" si="583"/>
        <v>0</v>
      </c>
      <c r="KT120" s="77">
        <f t="shared" si="583"/>
        <v>0</v>
      </c>
      <c r="KU120" s="77">
        <f t="shared" si="583"/>
        <v>0</v>
      </c>
      <c r="KV120" s="77">
        <f t="shared" si="583"/>
        <v>0</v>
      </c>
      <c r="KW120" s="77">
        <f t="shared" si="583"/>
        <v>0</v>
      </c>
      <c r="KX120" s="77">
        <f t="shared" si="583"/>
        <v>0</v>
      </c>
      <c r="KY120" s="77">
        <f t="shared" si="583"/>
        <v>0</v>
      </c>
      <c r="KZ120" s="77">
        <f t="shared" si="583"/>
        <v>0</v>
      </c>
      <c r="LA120" s="77">
        <f t="shared" si="583"/>
        <v>0</v>
      </c>
      <c r="LB120" s="77">
        <f t="shared" si="583"/>
        <v>0</v>
      </c>
      <c r="LC120" s="77">
        <f t="shared" si="583"/>
        <v>0</v>
      </c>
      <c r="LD120" s="77">
        <f t="shared" si="583"/>
        <v>0</v>
      </c>
      <c r="LE120" s="77">
        <f t="shared" si="583"/>
        <v>0</v>
      </c>
      <c r="LF120" s="77">
        <f t="shared" si="583"/>
        <v>0</v>
      </c>
      <c r="LG120" s="77">
        <f t="shared" si="583"/>
        <v>0</v>
      </c>
      <c r="LH120" s="77">
        <f t="shared" si="583"/>
        <v>0</v>
      </c>
      <c r="LI120" s="77">
        <f t="shared" si="583"/>
        <v>0</v>
      </c>
      <c r="LJ120" s="77">
        <f t="shared" si="583"/>
        <v>0</v>
      </c>
      <c r="LK120" s="77">
        <f t="shared" si="583"/>
        <v>0</v>
      </c>
      <c r="LL120" s="77">
        <f t="shared" si="583"/>
        <v>0</v>
      </c>
      <c r="LM120" s="77">
        <f t="shared" si="583"/>
        <v>0</v>
      </c>
      <c r="LN120" s="77">
        <f t="shared" si="583"/>
        <v>0</v>
      </c>
      <c r="LO120" s="77">
        <f t="shared" si="583"/>
        <v>0</v>
      </c>
      <c r="LP120" s="77">
        <f t="shared" si="583"/>
        <v>0</v>
      </c>
      <c r="LQ120" s="77">
        <f t="shared" si="583"/>
        <v>0</v>
      </c>
      <c r="LR120" s="77">
        <f t="shared" si="583"/>
        <v>0</v>
      </c>
      <c r="LS120" s="77">
        <f t="shared" si="583"/>
        <v>0</v>
      </c>
      <c r="LT120" s="77">
        <f t="shared" si="583"/>
        <v>0</v>
      </c>
      <c r="LU120" s="77">
        <f t="shared" si="583"/>
        <v>0</v>
      </c>
      <c r="LV120" s="77">
        <f t="shared" si="583"/>
        <v>0</v>
      </c>
      <c r="LW120" s="77">
        <f t="shared" si="583"/>
        <v>0</v>
      </c>
      <c r="LX120" s="77">
        <f t="shared" si="583"/>
        <v>0</v>
      </c>
      <c r="LY120" s="77">
        <f t="shared" ref="LY120:NW120" si="584">LY116*$E$117</f>
        <v>0</v>
      </c>
      <c r="LZ120" s="77">
        <f t="shared" si="584"/>
        <v>0</v>
      </c>
      <c r="MA120" s="77">
        <f t="shared" si="584"/>
        <v>0</v>
      </c>
      <c r="MB120" s="77">
        <f t="shared" si="584"/>
        <v>0</v>
      </c>
      <c r="MC120" s="77">
        <f t="shared" si="584"/>
        <v>0</v>
      </c>
      <c r="MD120" s="77">
        <f t="shared" si="584"/>
        <v>0</v>
      </c>
      <c r="ME120" s="77">
        <f t="shared" si="584"/>
        <v>0</v>
      </c>
      <c r="MF120" s="77">
        <f t="shared" si="584"/>
        <v>0</v>
      </c>
      <c r="MG120" s="77">
        <f t="shared" si="584"/>
        <v>0</v>
      </c>
      <c r="MH120" s="77">
        <f t="shared" si="584"/>
        <v>0</v>
      </c>
      <c r="MI120" s="77">
        <f t="shared" si="584"/>
        <v>0</v>
      </c>
      <c r="MJ120" s="77">
        <f t="shared" si="584"/>
        <v>0</v>
      </c>
      <c r="MK120" s="77">
        <f t="shared" si="584"/>
        <v>0</v>
      </c>
      <c r="ML120" s="77">
        <f t="shared" si="584"/>
        <v>0</v>
      </c>
      <c r="MM120" s="77">
        <f t="shared" si="584"/>
        <v>0</v>
      </c>
      <c r="MN120" s="77">
        <f t="shared" si="584"/>
        <v>0</v>
      </c>
      <c r="MO120" s="77">
        <f t="shared" si="584"/>
        <v>0</v>
      </c>
      <c r="MP120" s="77">
        <f t="shared" si="584"/>
        <v>0</v>
      </c>
      <c r="MQ120" s="77">
        <f t="shared" si="584"/>
        <v>0</v>
      </c>
      <c r="MR120" s="77">
        <f t="shared" si="584"/>
        <v>0</v>
      </c>
      <c r="MS120" s="77">
        <f t="shared" si="584"/>
        <v>0</v>
      </c>
      <c r="MT120" s="77">
        <f t="shared" si="584"/>
        <v>0</v>
      </c>
      <c r="MU120" s="77">
        <f t="shared" si="584"/>
        <v>0</v>
      </c>
      <c r="MV120" s="77">
        <f t="shared" si="584"/>
        <v>0</v>
      </c>
      <c r="MW120" s="77">
        <f t="shared" si="584"/>
        <v>0</v>
      </c>
      <c r="MX120" s="77">
        <f t="shared" si="584"/>
        <v>0</v>
      </c>
      <c r="MY120" s="77">
        <f t="shared" si="584"/>
        <v>0</v>
      </c>
      <c r="MZ120" s="77">
        <f t="shared" si="584"/>
        <v>0</v>
      </c>
      <c r="NA120" s="77">
        <f t="shared" si="584"/>
        <v>0</v>
      </c>
      <c r="NB120" s="77">
        <f t="shared" si="584"/>
        <v>0</v>
      </c>
      <c r="NC120" s="77">
        <f t="shared" si="584"/>
        <v>0</v>
      </c>
      <c r="ND120" s="77">
        <f t="shared" si="584"/>
        <v>0</v>
      </c>
      <c r="NE120" s="77">
        <f t="shared" si="584"/>
        <v>0</v>
      </c>
      <c r="NF120" s="77">
        <f t="shared" si="584"/>
        <v>0</v>
      </c>
      <c r="NG120" s="77">
        <f t="shared" si="584"/>
        <v>0</v>
      </c>
      <c r="NH120" s="77">
        <f t="shared" si="584"/>
        <v>0</v>
      </c>
      <c r="NI120" s="77">
        <f t="shared" si="584"/>
        <v>0</v>
      </c>
      <c r="NJ120" s="77">
        <f t="shared" si="584"/>
        <v>0</v>
      </c>
      <c r="NK120" s="77">
        <f t="shared" si="584"/>
        <v>0</v>
      </c>
      <c r="NL120" s="77">
        <f t="shared" si="584"/>
        <v>0</v>
      </c>
      <c r="NM120" s="77">
        <f t="shared" si="584"/>
        <v>0</v>
      </c>
      <c r="NN120" s="77">
        <f t="shared" si="584"/>
        <v>0</v>
      </c>
      <c r="NO120" s="77">
        <f t="shared" si="584"/>
        <v>0</v>
      </c>
      <c r="NP120" s="77">
        <f t="shared" si="584"/>
        <v>0</v>
      </c>
      <c r="NQ120" s="77">
        <f t="shared" si="584"/>
        <v>0</v>
      </c>
      <c r="NR120" s="77">
        <f t="shared" si="584"/>
        <v>0</v>
      </c>
      <c r="NS120" s="77">
        <f t="shared" si="584"/>
        <v>0</v>
      </c>
      <c r="NT120" s="77">
        <f t="shared" si="584"/>
        <v>0</v>
      </c>
      <c r="NU120" s="77">
        <f t="shared" si="584"/>
        <v>0</v>
      </c>
      <c r="NV120" s="77">
        <f t="shared" si="584"/>
        <v>0</v>
      </c>
      <c r="NW120" s="77">
        <f t="shared" si="584"/>
        <v>0</v>
      </c>
    </row>
    <row r="121" spans="2:387" x14ac:dyDescent="0.3">
      <c r="B121" s="49" t="str">
        <f>B111</f>
        <v>General Partner</v>
      </c>
      <c r="C121" s="19"/>
      <c r="D121" s="19"/>
      <c r="E121" s="95">
        <f>SUMIF(T121:GQ121,"&gt;0")/-SUMIF(T121:GQ121,"&lt;0")</f>
        <v>8.6052373671424593</v>
      </c>
      <c r="F121" s="94">
        <f>XIRR(T121:GQ121,$T$2:$GQ$2)</f>
        <v>0.84351376295089753</v>
      </c>
      <c r="G121" s="19"/>
      <c r="H121" s="19"/>
      <c r="I121" s="63">
        <f>L121/$L$123</f>
        <v>0.40039486237488014</v>
      </c>
      <c r="J121" s="23">
        <f>L121/$L$8</f>
        <v>5524.7482755140018</v>
      </c>
      <c r="K121" s="29">
        <f>L121/$L$7</f>
        <v>0.73028281802771289</v>
      </c>
      <c r="L121" s="23">
        <f>SUM(T121:GQ121)</f>
        <v>1270692.1033682204</v>
      </c>
      <c r="T121" s="50">
        <f>-GZ113+GZ114+GZ120</f>
        <v>-167081.1891891892</v>
      </c>
      <c r="U121" s="50">
        <f t="shared" ref="U121:CF121" si="585">-HA113+HA114+HA120</f>
        <v>0</v>
      </c>
      <c r="V121" s="50">
        <f t="shared" si="585"/>
        <v>0</v>
      </c>
      <c r="W121" s="50">
        <f t="shared" si="585"/>
        <v>0</v>
      </c>
      <c r="X121" s="50">
        <f t="shared" si="585"/>
        <v>0</v>
      </c>
      <c r="Y121" s="50">
        <f t="shared" si="585"/>
        <v>0</v>
      </c>
      <c r="Z121" s="50">
        <f t="shared" si="585"/>
        <v>0</v>
      </c>
      <c r="AA121" s="50">
        <f t="shared" si="585"/>
        <v>0</v>
      </c>
      <c r="AB121" s="50">
        <f t="shared" si="585"/>
        <v>0</v>
      </c>
      <c r="AC121" s="50">
        <f t="shared" si="585"/>
        <v>0</v>
      </c>
      <c r="AD121" s="50">
        <f t="shared" si="585"/>
        <v>0</v>
      </c>
      <c r="AE121" s="50">
        <f t="shared" si="585"/>
        <v>15820.868674240681</v>
      </c>
      <c r="AF121" s="50">
        <f t="shared" si="585"/>
        <v>0</v>
      </c>
      <c r="AG121" s="50">
        <f t="shared" si="585"/>
        <v>0</v>
      </c>
      <c r="AH121" s="50">
        <f t="shared" si="585"/>
        <v>0</v>
      </c>
      <c r="AI121" s="50">
        <f t="shared" si="585"/>
        <v>0</v>
      </c>
      <c r="AJ121" s="50">
        <f t="shared" si="585"/>
        <v>0</v>
      </c>
      <c r="AK121" s="50">
        <f t="shared" si="585"/>
        <v>0</v>
      </c>
      <c r="AL121" s="50">
        <f t="shared" si="585"/>
        <v>0</v>
      </c>
      <c r="AM121" s="50">
        <f t="shared" si="585"/>
        <v>0</v>
      </c>
      <c r="AN121" s="50">
        <f t="shared" si="585"/>
        <v>0</v>
      </c>
      <c r="AO121" s="50">
        <f t="shared" si="585"/>
        <v>0</v>
      </c>
      <c r="AP121" s="50">
        <f t="shared" si="585"/>
        <v>0</v>
      </c>
      <c r="AQ121" s="50">
        <f t="shared" si="585"/>
        <v>0</v>
      </c>
      <c r="AR121" s="50">
        <f t="shared" si="585"/>
        <v>0</v>
      </c>
      <c r="AS121" s="50">
        <f t="shared" si="585"/>
        <v>0</v>
      </c>
      <c r="AT121" s="50">
        <f t="shared" si="585"/>
        <v>19380.887456932927</v>
      </c>
      <c r="AU121" s="50">
        <f t="shared" si="585"/>
        <v>0</v>
      </c>
      <c r="AV121" s="50">
        <f t="shared" si="585"/>
        <v>0</v>
      </c>
      <c r="AW121" s="50">
        <f t="shared" si="585"/>
        <v>0</v>
      </c>
      <c r="AX121" s="50">
        <f t="shared" si="585"/>
        <v>772.4821559086181</v>
      </c>
      <c r="AY121" s="50">
        <f t="shared" si="585"/>
        <v>9270.3704531599269</v>
      </c>
      <c r="AZ121" s="50">
        <f t="shared" si="585"/>
        <v>9270.3704531599269</v>
      </c>
      <c r="BA121" s="50">
        <f t="shared" si="585"/>
        <v>9270.3704531599269</v>
      </c>
      <c r="BB121" s="50">
        <f t="shared" si="585"/>
        <v>9270.3704531599269</v>
      </c>
      <c r="BC121" s="50">
        <f t="shared" si="585"/>
        <v>9270.3704531599269</v>
      </c>
      <c r="BD121" s="50">
        <f t="shared" si="585"/>
        <v>9993.22759601707</v>
      </c>
      <c r="BE121" s="50">
        <f t="shared" si="585"/>
        <v>9993.22759601707</v>
      </c>
      <c r="BF121" s="50">
        <f t="shared" si="585"/>
        <v>12463</v>
      </c>
      <c r="BG121" s="50">
        <f t="shared" si="585"/>
        <v>38212.83857325001</v>
      </c>
      <c r="BH121" s="50">
        <f t="shared" si="585"/>
        <v>38212.83857325001</v>
      </c>
      <c r="BI121" s="50">
        <f t="shared" si="585"/>
        <v>73448.467607343307</v>
      </c>
      <c r="BJ121" s="50">
        <f t="shared" si="585"/>
        <v>175779.05743695004</v>
      </c>
      <c r="BK121" s="50">
        <f t="shared" si="585"/>
        <v>175779.05743695004</v>
      </c>
      <c r="BL121" s="50">
        <f t="shared" si="585"/>
        <v>175779.05743695004</v>
      </c>
      <c r="BM121" s="50">
        <f t="shared" si="585"/>
        <v>175779.05743695004</v>
      </c>
      <c r="BN121" s="50">
        <f t="shared" si="585"/>
        <v>175779.05743695004</v>
      </c>
      <c r="BO121" s="50">
        <f t="shared" si="585"/>
        <v>175779.05743695004</v>
      </c>
      <c r="BP121" s="50">
        <f t="shared" si="585"/>
        <v>118449.25743695002</v>
      </c>
      <c r="BQ121" s="50">
        <f t="shared" si="585"/>
        <v>0</v>
      </c>
      <c r="BR121" s="50">
        <f t="shared" si="585"/>
        <v>0</v>
      </c>
      <c r="BS121" s="50">
        <f t="shared" si="585"/>
        <v>0</v>
      </c>
      <c r="BT121" s="50">
        <f t="shared" si="585"/>
        <v>0</v>
      </c>
      <c r="BU121" s="50">
        <f t="shared" si="585"/>
        <v>0</v>
      </c>
      <c r="BV121" s="50">
        <f t="shared" si="585"/>
        <v>0</v>
      </c>
      <c r="BW121" s="50">
        <f t="shared" si="585"/>
        <v>0</v>
      </c>
      <c r="BX121" s="50">
        <f t="shared" si="585"/>
        <v>0</v>
      </c>
      <c r="BY121" s="50">
        <f t="shared" si="585"/>
        <v>0</v>
      </c>
      <c r="BZ121" s="50">
        <f t="shared" si="585"/>
        <v>0</v>
      </c>
      <c r="CA121" s="50">
        <f t="shared" si="585"/>
        <v>0</v>
      </c>
      <c r="CB121" s="50">
        <f t="shared" si="585"/>
        <v>0</v>
      </c>
      <c r="CC121" s="50">
        <f t="shared" si="585"/>
        <v>0</v>
      </c>
      <c r="CD121" s="50">
        <f t="shared" si="585"/>
        <v>0</v>
      </c>
      <c r="CE121" s="50">
        <f t="shared" si="585"/>
        <v>0</v>
      </c>
      <c r="CF121" s="50">
        <f t="shared" si="585"/>
        <v>0</v>
      </c>
      <c r="CG121" s="50">
        <f t="shared" ref="CG121:ER121" si="586">-JM113+JM114+JM120</f>
        <v>0</v>
      </c>
      <c r="CH121" s="50">
        <f t="shared" si="586"/>
        <v>0</v>
      </c>
      <c r="CI121" s="50">
        <f t="shared" si="586"/>
        <v>0</v>
      </c>
      <c r="CJ121" s="50">
        <f t="shared" si="586"/>
        <v>0</v>
      </c>
      <c r="CK121" s="50">
        <f t="shared" si="586"/>
        <v>0</v>
      </c>
      <c r="CL121" s="50">
        <f t="shared" si="586"/>
        <v>0</v>
      </c>
      <c r="CM121" s="50">
        <f t="shared" si="586"/>
        <v>0</v>
      </c>
      <c r="CN121" s="50">
        <f t="shared" si="586"/>
        <v>0</v>
      </c>
      <c r="CO121" s="50">
        <f t="shared" si="586"/>
        <v>0</v>
      </c>
      <c r="CP121" s="50">
        <f t="shared" si="586"/>
        <v>0</v>
      </c>
      <c r="CQ121" s="50">
        <f t="shared" si="586"/>
        <v>0</v>
      </c>
      <c r="CR121" s="50">
        <f t="shared" si="586"/>
        <v>0</v>
      </c>
      <c r="CS121" s="50">
        <f t="shared" si="586"/>
        <v>0</v>
      </c>
      <c r="CT121" s="50">
        <f t="shared" si="586"/>
        <v>0</v>
      </c>
      <c r="CU121" s="50">
        <f t="shared" si="586"/>
        <v>0</v>
      </c>
      <c r="CV121" s="50">
        <f t="shared" si="586"/>
        <v>0</v>
      </c>
      <c r="CW121" s="50">
        <f t="shared" si="586"/>
        <v>0</v>
      </c>
      <c r="CX121" s="50">
        <f t="shared" si="586"/>
        <v>0</v>
      </c>
      <c r="CY121" s="50">
        <f t="shared" si="586"/>
        <v>0</v>
      </c>
      <c r="CZ121" s="50">
        <f t="shared" si="586"/>
        <v>0</v>
      </c>
      <c r="DA121" s="50">
        <f t="shared" si="586"/>
        <v>0</v>
      </c>
      <c r="DB121" s="50">
        <f t="shared" si="586"/>
        <v>0</v>
      </c>
      <c r="DC121" s="50">
        <f t="shared" si="586"/>
        <v>0</v>
      </c>
      <c r="DD121" s="50">
        <f t="shared" si="586"/>
        <v>0</v>
      </c>
      <c r="DE121" s="50">
        <f t="shared" si="586"/>
        <v>0</v>
      </c>
      <c r="DF121" s="50">
        <f t="shared" si="586"/>
        <v>0</v>
      </c>
      <c r="DG121" s="50">
        <f t="shared" si="586"/>
        <v>0</v>
      </c>
      <c r="DH121" s="50">
        <f t="shared" si="586"/>
        <v>0</v>
      </c>
      <c r="DI121" s="50">
        <f t="shared" si="586"/>
        <v>0</v>
      </c>
      <c r="DJ121" s="50">
        <f t="shared" si="586"/>
        <v>0</v>
      </c>
      <c r="DK121" s="50">
        <f t="shared" si="586"/>
        <v>0</v>
      </c>
      <c r="DL121" s="50">
        <f t="shared" si="586"/>
        <v>0</v>
      </c>
      <c r="DM121" s="50">
        <f t="shared" si="586"/>
        <v>0</v>
      </c>
      <c r="DN121" s="50">
        <f t="shared" si="586"/>
        <v>0</v>
      </c>
      <c r="DO121" s="50">
        <f t="shared" si="586"/>
        <v>0</v>
      </c>
      <c r="DP121" s="50">
        <f t="shared" si="586"/>
        <v>0</v>
      </c>
      <c r="DQ121" s="50">
        <f t="shared" si="586"/>
        <v>0</v>
      </c>
      <c r="DR121" s="50">
        <f t="shared" si="586"/>
        <v>0</v>
      </c>
      <c r="DS121" s="50">
        <f t="shared" si="586"/>
        <v>0</v>
      </c>
      <c r="DT121" s="50">
        <f t="shared" si="586"/>
        <v>0</v>
      </c>
      <c r="DU121" s="50">
        <f t="shared" si="586"/>
        <v>0</v>
      </c>
      <c r="DV121" s="50">
        <f t="shared" si="586"/>
        <v>0</v>
      </c>
      <c r="DW121" s="50">
        <f t="shared" si="586"/>
        <v>0</v>
      </c>
      <c r="DX121" s="50">
        <f t="shared" si="586"/>
        <v>0</v>
      </c>
      <c r="DY121" s="50">
        <f t="shared" si="586"/>
        <v>0</v>
      </c>
      <c r="DZ121" s="50">
        <f t="shared" si="586"/>
        <v>0</v>
      </c>
      <c r="EA121" s="50">
        <f t="shared" si="586"/>
        <v>0</v>
      </c>
      <c r="EB121" s="50">
        <f t="shared" si="586"/>
        <v>0</v>
      </c>
      <c r="EC121" s="50">
        <f t="shared" si="586"/>
        <v>0</v>
      </c>
      <c r="ED121" s="50">
        <f t="shared" si="586"/>
        <v>0</v>
      </c>
      <c r="EE121" s="50">
        <f t="shared" si="586"/>
        <v>0</v>
      </c>
      <c r="EF121" s="50">
        <f t="shared" si="586"/>
        <v>0</v>
      </c>
      <c r="EG121" s="50">
        <f t="shared" si="586"/>
        <v>0</v>
      </c>
      <c r="EH121" s="50">
        <f t="shared" si="586"/>
        <v>0</v>
      </c>
      <c r="EI121" s="50">
        <f t="shared" si="586"/>
        <v>0</v>
      </c>
      <c r="EJ121" s="50">
        <f t="shared" si="586"/>
        <v>0</v>
      </c>
      <c r="EK121" s="50">
        <f t="shared" si="586"/>
        <v>0</v>
      </c>
      <c r="EL121" s="50">
        <f t="shared" si="586"/>
        <v>0</v>
      </c>
      <c r="EM121" s="50">
        <f t="shared" si="586"/>
        <v>0</v>
      </c>
      <c r="EN121" s="50">
        <f t="shared" si="586"/>
        <v>0</v>
      </c>
      <c r="EO121" s="50">
        <f t="shared" si="586"/>
        <v>0</v>
      </c>
      <c r="EP121" s="50">
        <f t="shared" si="586"/>
        <v>0</v>
      </c>
      <c r="EQ121" s="50">
        <f t="shared" si="586"/>
        <v>0</v>
      </c>
      <c r="ER121" s="50">
        <f t="shared" si="586"/>
        <v>0</v>
      </c>
      <c r="ES121" s="50">
        <f t="shared" ref="ES121:GQ121" si="587">-LY113+LY114+LY120</f>
        <v>0</v>
      </c>
      <c r="ET121" s="50">
        <f t="shared" si="587"/>
        <v>0</v>
      </c>
      <c r="EU121" s="50">
        <f t="shared" si="587"/>
        <v>0</v>
      </c>
      <c r="EV121" s="50">
        <f t="shared" si="587"/>
        <v>0</v>
      </c>
      <c r="EW121" s="50">
        <f t="shared" si="587"/>
        <v>0</v>
      </c>
      <c r="EX121" s="50">
        <f t="shared" si="587"/>
        <v>0</v>
      </c>
      <c r="EY121" s="50">
        <f t="shared" si="587"/>
        <v>0</v>
      </c>
      <c r="EZ121" s="50">
        <f t="shared" si="587"/>
        <v>0</v>
      </c>
      <c r="FA121" s="50">
        <f t="shared" si="587"/>
        <v>0</v>
      </c>
      <c r="FB121" s="50">
        <f t="shared" si="587"/>
        <v>0</v>
      </c>
      <c r="FC121" s="50">
        <f t="shared" si="587"/>
        <v>0</v>
      </c>
      <c r="FD121" s="50">
        <f t="shared" si="587"/>
        <v>0</v>
      </c>
      <c r="FE121" s="50">
        <f t="shared" si="587"/>
        <v>0</v>
      </c>
      <c r="FF121" s="50">
        <f t="shared" si="587"/>
        <v>0</v>
      </c>
      <c r="FG121" s="50">
        <f t="shared" si="587"/>
        <v>0</v>
      </c>
      <c r="FH121" s="50">
        <f t="shared" si="587"/>
        <v>0</v>
      </c>
      <c r="FI121" s="50">
        <f t="shared" si="587"/>
        <v>0</v>
      </c>
      <c r="FJ121" s="50">
        <f t="shared" si="587"/>
        <v>0</v>
      </c>
      <c r="FK121" s="50">
        <f t="shared" si="587"/>
        <v>0</v>
      </c>
      <c r="FL121" s="50">
        <f t="shared" si="587"/>
        <v>0</v>
      </c>
      <c r="FM121" s="50">
        <f t="shared" si="587"/>
        <v>0</v>
      </c>
      <c r="FN121" s="50">
        <f t="shared" si="587"/>
        <v>0</v>
      </c>
      <c r="FO121" s="50">
        <f t="shared" si="587"/>
        <v>0</v>
      </c>
      <c r="FP121" s="50">
        <f t="shared" si="587"/>
        <v>0</v>
      </c>
      <c r="FQ121" s="50">
        <f t="shared" si="587"/>
        <v>0</v>
      </c>
      <c r="FR121" s="50">
        <f t="shared" si="587"/>
        <v>0</v>
      </c>
      <c r="FS121" s="50">
        <f t="shared" si="587"/>
        <v>0</v>
      </c>
      <c r="FT121" s="50">
        <f t="shared" si="587"/>
        <v>0</v>
      </c>
      <c r="FU121" s="50">
        <f t="shared" si="587"/>
        <v>0</v>
      </c>
      <c r="FV121" s="50">
        <f t="shared" si="587"/>
        <v>0</v>
      </c>
      <c r="FW121" s="50">
        <f t="shared" si="587"/>
        <v>0</v>
      </c>
      <c r="FX121" s="50">
        <f t="shared" si="587"/>
        <v>0</v>
      </c>
      <c r="FY121" s="50">
        <f t="shared" si="587"/>
        <v>0</v>
      </c>
      <c r="FZ121" s="50">
        <f t="shared" si="587"/>
        <v>0</v>
      </c>
      <c r="GA121" s="50">
        <f t="shared" si="587"/>
        <v>0</v>
      </c>
      <c r="GB121" s="50">
        <f t="shared" si="587"/>
        <v>0</v>
      </c>
      <c r="GC121" s="50">
        <f t="shared" si="587"/>
        <v>0</v>
      </c>
      <c r="GD121" s="50">
        <f t="shared" si="587"/>
        <v>0</v>
      </c>
      <c r="GE121" s="50">
        <f t="shared" si="587"/>
        <v>0</v>
      </c>
      <c r="GF121" s="50">
        <f t="shared" si="587"/>
        <v>0</v>
      </c>
      <c r="GG121" s="50">
        <f t="shared" si="587"/>
        <v>0</v>
      </c>
      <c r="GH121" s="50">
        <f t="shared" si="587"/>
        <v>0</v>
      </c>
      <c r="GI121" s="50">
        <f t="shared" si="587"/>
        <v>0</v>
      </c>
      <c r="GJ121" s="50">
        <f t="shared" si="587"/>
        <v>0</v>
      </c>
      <c r="GK121" s="50">
        <f t="shared" si="587"/>
        <v>0</v>
      </c>
      <c r="GL121" s="50">
        <f t="shared" si="587"/>
        <v>0</v>
      </c>
      <c r="GM121" s="50">
        <f t="shared" si="587"/>
        <v>0</v>
      </c>
      <c r="GN121" s="50">
        <f t="shared" si="587"/>
        <v>0</v>
      </c>
      <c r="GO121" s="50">
        <f t="shared" si="587"/>
        <v>0</v>
      </c>
      <c r="GP121" s="50">
        <f t="shared" si="587"/>
        <v>0</v>
      </c>
      <c r="GQ121" s="50">
        <f t="shared" si="587"/>
        <v>0</v>
      </c>
      <c r="GS121" s="80"/>
      <c r="GT121" s="77"/>
      <c r="GU121" s="77"/>
      <c r="GV121" s="77"/>
      <c r="GW121" s="77"/>
      <c r="GX121" s="77"/>
      <c r="GY121" s="77"/>
      <c r="GZ121" s="77"/>
      <c r="HA121" s="77"/>
      <c r="HB121" s="77"/>
      <c r="HC121" s="77"/>
      <c r="HD121" s="77"/>
      <c r="HE121" s="77"/>
      <c r="HF121" s="77"/>
      <c r="HG121" s="77"/>
      <c r="HH121" s="77"/>
      <c r="HI121" s="77"/>
      <c r="HJ121" s="77"/>
      <c r="HK121" s="77"/>
      <c r="HL121" s="77"/>
      <c r="HM121" s="77"/>
      <c r="HN121" s="77"/>
      <c r="HO121" s="77"/>
      <c r="HP121" s="77"/>
      <c r="HQ121" s="77"/>
      <c r="HR121" s="77"/>
      <c r="HS121" s="77"/>
      <c r="HT121" s="77"/>
      <c r="HU121" s="77"/>
      <c r="HV121" s="77"/>
      <c r="HW121" s="77"/>
      <c r="HX121" s="77"/>
      <c r="HY121" s="77"/>
      <c r="HZ121" s="77"/>
      <c r="IA121" s="77"/>
      <c r="IB121" s="77"/>
      <c r="IC121" s="77"/>
      <c r="ID121" s="77"/>
      <c r="IE121" s="77"/>
      <c r="IF121" s="77"/>
      <c r="IG121" s="77"/>
      <c r="IH121" s="77"/>
      <c r="II121" s="77"/>
      <c r="IJ121" s="77"/>
      <c r="IK121" s="77"/>
      <c r="IL121" s="77"/>
      <c r="IM121" s="77"/>
      <c r="IN121" s="77"/>
      <c r="IO121" s="77"/>
      <c r="IP121" s="77"/>
      <c r="IQ121" s="77"/>
      <c r="IR121" s="77"/>
      <c r="IS121" s="77"/>
      <c r="IT121" s="77"/>
      <c r="IU121" s="77"/>
      <c r="IV121" s="77"/>
      <c r="IW121" s="77"/>
      <c r="IX121" s="77"/>
      <c r="IY121" s="77"/>
      <c r="IZ121" s="77"/>
      <c r="JA121" s="77"/>
      <c r="JB121" s="77"/>
      <c r="JC121" s="77"/>
      <c r="JD121" s="77"/>
      <c r="JE121" s="77"/>
      <c r="JF121" s="77"/>
      <c r="JG121" s="77"/>
      <c r="JH121" s="77"/>
      <c r="JI121" s="77"/>
      <c r="JJ121" s="77"/>
      <c r="JK121" s="77"/>
      <c r="JL121" s="77"/>
      <c r="JM121" s="77"/>
      <c r="JN121" s="77"/>
      <c r="JO121" s="77"/>
      <c r="JP121" s="77"/>
      <c r="JQ121" s="77"/>
      <c r="JR121" s="77"/>
      <c r="JS121" s="77"/>
      <c r="JT121" s="77"/>
      <c r="JU121" s="77"/>
      <c r="JV121" s="77"/>
      <c r="JW121" s="77"/>
      <c r="JX121" s="77"/>
      <c r="JY121" s="77"/>
      <c r="JZ121" s="77"/>
      <c r="KA121" s="77"/>
      <c r="KB121" s="77"/>
      <c r="KC121" s="77"/>
      <c r="KD121" s="77"/>
      <c r="KE121" s="77"/>
      <c r="KF121" s="77"/>
      <c r="KG121" s="77"/>
      <c r="KH121" s="77"/>
      <c r="KI121" s="77"/>
      <c r="KJ121" s="77"/>
      <c r="KK121" s="77"/>
      <c r="KL121" s="77"/>
      <c r="KM121" s="77"/>
      <c r="KN121" s="77"/>
      <c r="KO121" s="77"/>
      <c r="KP121" s="77"/>
      <c r="KQ121" s="77"/>
      <c r="KR121" s="77"/>
      <c r="KS121" s="77"/>
      <c r="KT121" s="77"/>
      <c r="KU121" s="77"/>
      <c r="KV121" s="77"/>
      <c r="KW121" s="77"/>
      <c r="KX121" s="77"/>
      <c r="KY121" s="77"/>
      <c r="KZ121" s="77"/>
      <c r="LA121" s="77"/>
      <c r="LB121" s="77"/>
      <c r="LC121" s="77"/>
      <c r="LD121" s="77"/>
      <c r="LE121" s="77"/>
      <c r="LF121" s="77"/>
      <c r="LG121" s="77"/>
      <c r="LH121" s="77"/>
      <c r="LI121" s="77"/>
      <c r="LJ121" s="77"/>
      <c r="LK121" s="77"/>
      <c r="LL121" s="77"/>
      <c r="LM121" s="77"/>
      <c r="LN121" s="77"/>
      <c r="LO121" s="77"/>
      <c r="LP121" s="77"/>
      <c r="LQ121" s="77"/>
      <c r="LR121" s="77"/>
      <c r="LS121" s="77"/>
      <c r="LT121" s="77"/>
      <c r="LU121" s="77"/>
      <c r="LV121" s="77"/>
      <c r="LW121" s="77"/>
      <c r="LX121" s="77"/>
      <c r="LY121" s="77"/>
      <c r="LZ121" s="77"/>
      <c r="MA121" s="77"/>
      <c r="MB121" s="77"/>
      <c r="MC121" s="77"/>
      <c r="MD121" s="77"/>
      <c r="ME121" s="77"/>
      <c r="MF121" s="77"/>
      <c r="MG121" s="77"/>
      <c r="MH121" s="77"/>
      <c r="MI121" s="77"/>
      <c r="MJ121" s="77"/>
      <c r="MK121" s="77"/>
      <c r="ML121" s="77"/>
      <c r="MM121" s="77"/>
      <c r="MN121" s="77"/>
      <c r="MO121" s="77"/>
      <c r="MP121" s="77"/>
      <c r="MQ121" s="77"/>
      <c r="MR121" s="77"/>
      <c r="MS121" s="77"/>
      <c r="MT121" s="77"/>
      <c r="MU121" s="77"/>
      <c r="MV121" s="77"/>
      <c r="MW121" s="77"/>
      <c r="MX121" s="77"/>
      <c r="MY121" s="77"/>
      <c r="MZ121" s="77"/>
      <c r="NA121" s="77"/>
      <c r="NB121" s="77"/>
      <c r="NC121" s="77"/>
      <c r="ND121" s="77"/>
      <c r="NE121" s="77"/>
      <c r="NF121" s="77"/>
      <c r="NG121" s="77"/>
      <c r="NH121" s="77"/>
      <c r="NI121" s="77"/>
      <c r="NJ121" s="77"/>
      <c r="NK121" s="77"/>
      <c r="NL121" s="77"/>
      <c r="NM121" s="77"/>
      <c r="NN121" s="77"/>
      <c r="NO121" s="77"/>
      <c r="NP121" s="77"/>
      <c r="NQ121" s="77"/>
      <c r="NR121" s="77"/>
      <c r="NS121" s="77"/>
      <c r="NT121" s="77"/>
      <c r="NU121" s="77"/>
      <c r="NV121" s="77"/>
      <c r="NW121" s="77"/>
    </row>
    <row r="122" spans="2:387" ht="15.5" x14ac:dyDescent="0.45">
      <c r="B122" s="49" t="str">
        <f>B112</f>
        <v>Limited Partner</v>
      </c>
      <c r="C122" s="19"/>
      <c r="D122" s="19"/>
      <c r="E122" s="102">
        <f>SUMIF(T122:GQ122,"&gt;0")/-SUMIF(T122:GQ122,"&lt;0")</f>
        <v>2.2654561858010185</v>
      </c>
      <c r="F122" s="103">
        <f>XIRR(T122:GQ122,$T$2:$GQ$2)</f>
        <v>0.2935540735721589</v>
      </c>
      <c r="G122" s="19"/>
      <c r="H122" s="19"/>
      <c r="I122" s="64">
        <f>L122/$L$123</f>
        <v>0.59960513762511991</v>
      </c>
      <c r="J122" s="31">
        <f>L122/$L$8</f>
        <v>8273.5013891915169</v>
      </c>
      <c r="K122" s="32">
        <f>L122/$L$7</f>
        <v>1.0936237468471544</v>
      </c>
      <c r="L122" s="31">
        <f>SUM(T122:GQ122)</f>
        <v>1902905.3195140488</v>
      </c>
      <c r="T122" s="62">
        <f>-GZ107+GZ109+GZ119</f>
        <v>-1503730.7027027027</v>
      </c>
      <c r="U122" s="62">
        <f t="shared" ref="U122:CF122" si="588">-HA107+HA109+HA119</f>
        <v>0</v>
      </c>
      <c r="V122" s="62">
        <f t="shared" si="588"/>
        <v>0</v>
      </c>
      <c r="W122" s="62">
        <f t="shared" si="588"/>
        <v>0</v>
      </c>
      <c r="X122" s="62">
        <f t="shared" si="588"/>
        <v>0</v>
      </c>
      <c r="Y122" s="62">
        <f t="shared" si="588"/>
        <v>0</v>
      </c>
      <c r="Z122" s="62">
        <f t="shared" si="588"/>
        <v>0</v>
      </c>
      <c r="AA122" s="62">
        <f t="shared" si="588"/>
        <v>0</v>
      </c>
      <c r="AB122" s="62">
        <f t="shared" si="588"/>
        <v>0</v>
      </c>
      <c r="AC122" s="62">
        <f t="shared" si="588"/>
        <v>0</v>
      </c>
      <c r="AD122" s="62">
        <f t="shared" si="588"/>
        <v>0</v>
      </c>
      <c r="AE122" s="62">
        <f t="shared" si="588"/>
        <v>142387.81806816612</v>
      </c>
      <c r="AF122" s="62">
        <f t="shared" si="588"/>
        <v>0</v>
      </c>
      <c r="AG122" s="62">
        <f t="shared" si="588"/>
        <v>0</v>
      </c>
      <c r="AH122" s="62">
        <f t="shared" si="588"/>
        <v>0</v>
      </c>
      <c r="AI122" s="62">
        <f t="shared" si="588"/>
        <v>0</v>
      </c>
      <c r="AJ122" s="62">
        <f t="shared" si="588"/>
        <v>0</v>
      </c>
      <c r="AK122" s="62">
        <f t="shared" si="588"/>
        <v>0</v>
      </c>
      <c r="AL122" s="62">
        <f t="shared" si="588"/>
        <v>0</v>
      </c>
      <c r="AM122" s="62">
        <f t="shared" si="588"/>
        <v>0</v>
      </c>
      <c r="AN122" s="62">
        <f t="shared" si="588"/>
        <v>0</v>
      </c>
      <c r="AO122" s="62">
        <f t="shared" si="588"/>
        <v>0</v>
      </c>
      <c r="AP122" s="62">
        <f t="shared" si="588"/>
        <v>0</v>
      </c>
      <c r="AQ122" s="62">
        <f t="shared" si="588"/>
        <v>0</v>
      </c>
      <c r="AR122" s="62">
        <f t="shared" si="588"/>
        <v>0</v>
      </c>
      <c r="AS122" s="62">
        <f t="shared" si="588"/>
        <v>0</v>
      </c>
      <c r="AT122" s="62">
        <f t="shared" si="588"/>
        <v>174427.98711239634</v>
      </c>
      <c r="AU122" s="62">
        <f t="shared" si="588"/>
        <v>0</v>
      </c>
      <c r="AV122" s="62">
        <f t="shared" si="588"/>
        <v>0</v>
      </c>
      <c r="AW122" s="62">
        <f t="shared" si="588"/>
        <v>0</v>
      </c>
      <c r="AX122" s="62">
        <f t="shared" si="588"/>
        <v>6952.3394031775624</v>
      </c>
      <c r="AY122" s="62">
        <f t="shared" si="588"/>
        <v>83433.334078439351</v>
      </c>
      <c r="AZ122" s="62">
        <f t="shared" si="588"/>
        <v>83433.334078439351</v>
      </c>
      <c r="BA122" s="62">
        <f t="shared" si="588"/>
        <v>83433.334078439351</v>
      </c>
      <c r="BB122" s="62">
        <f t="shared" si="588"/>
        <v>83433.334078439351</v>
      </c>
      <c r="BC122" s="62">
        <f t="shared" si="588"/>
        <v>83433.334078439351</v>
      </c>
      <c r="BD122" s="62">
        <f t="shared" si="588"/>
        <v>89939.048364153627</v>
      </c>
      <c r="BE122" s="62">
        <f t="shared" si="588"/>
        <v>89939.048364153627</v>
      </c>
      <c r="BF122" s="62">
        <f t="shared" si="588"/>
        <v>112167</v>
      </c>
      <c r="BG122" s="62">
        <f t="shared" si="588"/>
        <v>343915.54715925007</v>
      </c>
      <c r="BH122" s="62">
        <f t="shared" si="588"/>
        <v>343915.54715925007</v>
      </c>
      <c r="BI122" s="62">
        <f t="shared" si="588"/>
        <v>308679.91812515678</v>
      </c>
      <c r="BJ122" s="62">
        <f t="shared" si="588"/>
        <v>206349.32829555005</v>
      </c>
      <c r="BK122" s="62">
        <f t="shared" si="588"/>
        <v>206349.32829555005</v>
      </c>
      <c r="BL122" s="62">
        <f t="shared" si="588"/>
        <v>206349.32829555005</v>
      </c>
      <c r="BM122" s="62">
        <f t="shared" si="588"/>
        <v>206349.32829555005</v>
      </c>
      <c r="BN122" s="62">
        <f t="shared" si="588"/>
        <v>206349.32829555005</v>
      </c>
      <c r="BO122" s="62">
        <f t="shared" si="588"/>
        <v>206349.32829555005</v>
      </c>
      <c r="BP122" s="62">
        <f t="shared" si="588"/>
        <v>139049.12829555004</v>
      </c>
      <c r="BQ122" s="62">
        <f t="shared" si="588"/>
        <v>0</v>
      </c>
      <c r="BR122" s="62">
        <f t="shared" si="588"/>
        <v>0</v>
      </c>
      <c r="BS122" s="62">
        <f t="shared" si="588"/>
        <v>0</v>
      </c>
      <c r="BT122" s="62">
        <f t="shared" si="588"/>
        <v>0</v>
      </c>
      <c r="BU122" s="62">
        <f t="shared" si="588"/>
        <v>0</v>
      </c>
      <c r="BV122" s="62">
        <f t="shared" si="588"/>
        <v>0</v>
      </c>
      <c r="BW122" s="62">
        <f t="shared" si="588"/>
        <v>0</v>
      </c>
      <c r="BX122" s="62">
        <f t="shared" si="588"/>
        <v>0</v>
      </c>
      <c r="BY122" s="62">
        <f t="shared" si="588"/>
        <v>0</v>
      </c>
      <c r="BZ122" s="62">
        <f t="shared" si="588"/>
        <v>0</v>
      </c>
      <c r="CA122" s="62">
        <f t="shared" si="588"/>
        <v>0</v>
      </c>
      <c r="CB122" s="62">
        <f t="shared" si="588"/>
        <v>0</v>
      </c>
      <c r="CC122" s="62">
        <f t="shared" si="588"/>
        <v>0</v>
      </c>
      <c r="CD122" s="62">
        <f t="shared" si="588"/>
        <v>0</v>
      </c>
      <c r="CE122" s="62">
        <f t="shared" si="588"/>
        <v>0</v>
      </c>
      <c r="CF122" s="62">
        <f t="shared" si="588"/>
        <v>0</v>
      </c>
      <c r="CG122" s="62">
        <f t="shared" ref="CG122:ER122" si="589">-JM107+JM109+JM119</f>
        <v>0</v>
      </c>
      <c r="CH122" s="62">
        <f t="shared" si="589"/>
        <v>0</v>
      </c>
      <c r="CI122" s="62">
        <f t="shared" si="589"/>
        <v>0</v>
      </c>
      <c r="CJ122" s="62">
        <f t="shared" si="589"/>
        <v>0</v>
      </c>
      <c r="CK122" s="62">
        <f t="shared" si="589"/>
        <v>0</v>
      </c>
      <c r="CL122" s="62">
        <f t="shared" si="589"/>
        <v>0</v>
      </c>
      <c r="CM122" s="62">
        <f t="shared" si="589"/>
        <v>0</v>
      </c>
      <c r="CN122" s="62">
        <f t="shared" si="589"/>
        <v>0</v>
      </c>
      <c r="CO122" s="62">
        <f t="shared" si="589"/>
        <v>0</v>
      </c>
      <c r="CP122" s="62">
        <f t="shared" si="589"/>
        <v>0</v>
      </c>
      <c r="CQ122" s="62">
        <f t="shared" si="589"/>
        <v>0</v>
      </c>
      <c r="CR122" s="62">
        <f t="shared" si="589"/>
        <v>0</v>
      </c>
      <c r="CS122" s="62">
        <f t="shared" si="589"/>
        <v>0</v>
      </c>
      <c r="CT122" s="62">
        <f t="shared" si="589"/>
        <v>0</v>
      </c>
      <c r="CU122" s="62">
        <f t="shared" si="589"/>
        <v>0</v>
      </c>
      <c r="CV122" s="62">
        <f t="shared" si="589"/>
        <v>0</v>
      </c>
      <c r="CW122" s="62">
        <f t="shared" si="589"/>
        <v>0</v>
      </c>
      <c r="CX122" s="62">
        <f t="shared" si="589"/>
        <v>0</v>
      </c>
      <c r="CY122" s="62">
        <f t="shared" si="589"/>
        <v>0</v>
      </c>
      <c r="CZ122" s="62">
        <f t="shared" si="589"/>
        <v>0</v>
      </c>
      <c r="DA122" s="62">
        <f t="shared" si="589"/>
        <v>0</v>
      </c>
      <c r="DB122" s="62">
        <f t="shared" si="589"/>
        <v>0</v>
      </c>
      <c r="DC122" s="62">
        <f t="shared" si="589"/>
        <v>0</v>
      </c>
      <c r="DD122" s="62">
        <f t="shared" si="589"/>
        <v>0</v>
      </c>
      <c r="DE122" s="62">
        <f t="shared" si="589"/>
        <v>0</v>
      </c>
      <c r="DF122" s="62">
        <f t="shared" si="589"/>
        <v>0</v>
      </c>
      <c r="DG122" s="62">
        <f t="shared" si="589"/>
        <v>0</v>
      </c>
      <c r="DH122" s="62">
        <f t="shared" si="589"/>
        <v>0</v>
      </c>
      <c r="DI122" s="62">
        <f t="shared" si="589"/>
        <v>0</v>
      </c>
      <c r="DJ122" s="62">
        <f t="shared" si="589"/>
        <v>0</v>
      </c>
      <c r="DK122" s="62">
        <f t="shared" si="589"/>
        <v>0</v>
      </c>
      <c r="DL122" s="62">
        <f t="shared" si="589"/>
        <v>0</v>
      </c>
      <c r="DM122" s="62">
        <f t="shared" si="589"/>
        <v>0</v>
      </c>
      <c r="DN122" s="62">
        <f t="shared" si="589"/>
        <v>0</v>
      </c>
      <c r="DO122" s="62">
        <f t="shared" si="589"/>
        <v>0</v>
      </c>
      <c r="DP122" s="62">
        <f t="shared" si="589"/>
        <v>0</v>
      </c>
      <c r="DQ122" s="62">
        <f t="shared" si="589"/>
        <v>0</v>
      </c>
      <c r="DR122" s="62">
        <f t="shared" si="589"/>
        <v>0</v>
      </c>
      <c r="DS122" s="62">
        <f t="shared" si="589"/>
        <v>0</v>
      </c>
      <c r="DT122" s="62">
        <f t="shared" si="589"/>
        <v>0</v>
      </c>
      <c r="DU122" s="62">
        <f t="shared" si="589"/>
        <v>0</v>
      </c>
      <c r="DV122" s="62">
        <f t="shared" si="589"/>
        <v>0</v>
      </c>
      <c r="DW122" s="62">
        <f t="shared" si="589"/>
        <v>0</v>
      </c>
      <c r="DX122" s="62">
        <f t="shared" si="589"/>
        <v>0</v>
      </c>
      <c r="DY122" s="62">
        <f t="shared" si="589"/>
        <v>0</v>
      </c>
      <c r="DZ122" s="62">
        <f t="shared" si="589"/>
        <v>0</v>
      </c>
      <c r="EA122" s="62">
        <f t="shared" si="589"/>
        <v>0</v>
      </c>
      <c r="EB122" s="62">
        <f t="shared" si="589"/>
        <v>0</v>
      </c>
      <c r="EC122" s="62">
        <f t="shared" si="589"/>
        <v>0</v>
      </c>
      <c r="ED122" s="62">
        <f t="shared" si="589"/>
        <v>0</v>
      </c>
      <c r="EE122" s="62">
        <f t="shared" si="589"/>
        <v>0</v>
      </c>
      <c r="EF122" s="62">
        <f t="shared" si="589"/>
        <v>0</v>
      </c>
      <c r="EG122" s="62">
        <f t="shared" si="589"/>
        <v>0</v>
      </c>
      <c r="EH122" s="62">
        <f t="shared" si="589"/>
        <v>0</v>
      </c>
      <c r="EI122" s="62">
        <f t="shared" si="589"/>
        <v>0</v>
      </c>
      <c r="EJ122" s="62">
        <f t="shared" si="589"/>
        <v>0</v>
      </c>
      <c r="EK122" s="62">
        <f t="shared" si="589"/>
        <v>0</v>
      </c>
      <c r="EL122" s="62">
        <f t="shared" si="589"/>
        <v>0</v>
      </c>
      <c r="EM122" s="62">
        <f t="shared" si="589"/>
        <v>0</v>
      </c>
      <c r="EN122" s="62">
        <f t="shared" si="589"/>
        <v>0</v>
      </c>
      <c r="EO122" s="62">
        <f t="shared" si="589"/>
        <v>0</v>
      </c>
      <c r="EP122" s="62">
        <f t="shared" si="589"/>
        <v>0</v>
      </c>
      <c r="EQ122" s="62">
        <f t="shared" si="589"/>
        <v>0</v>
      </c>
      <c r="ER122" s="62">
        <f t="shared" si="589"/>
        <v>0</v>
      </c>
      <c r="ES122" s="62">
        <f t="shared" ref="ES122:GQ122" si="590">-LY107+LY109+LY119</f>
        <v>0</v>
      </c>
      <c r="ET122" s="62">
        <f t="shared" si="590"/>
        <v>0</v>
      </c>
      <c r="EU122" s="62">
        <f t="shared" si="590"/>
        <v>0</v>
      </c>
      <c r="EV122" s="62">
        <f t="shared" si="590"/>
        <v>0</v>
      </c>
      <c r="EW122" s="62">
        <f t="shared" si="590"/>
        <v>0</v>
      </c>
      <c r="EX122" s="62">
        <f t="shared" si="590"/>
        <v>0</v>
      </c>
      <c r="EY122" s="62">
        <f t="shared" si="590"/>
        <v>0</v>
      </c>
      <c r="EZ122" s="62">
        <f t="shared" si="590"/>
        <v>0</v>
      </c>
      <c r="FA122" s="62">
        <f t="shared" si="590"/>
        <v>0</v>
      </c>
      <c r="FB122" s="62">
        <f t="shared" si="590"/>
        <v>0</v>
      </c>
      <c r="FC122" s="62">
        <f t="shared" si="590"/>
        <v>0</v>
      </c>
      <c r="FD122" s="62">
        <f t="shared" si="590"/>
        <v>0</v>
      </c>
      <c r="FE122" s="62">
        <f t="shared" si="590"/>
        <v>0</v>
      </c>
      <c r="FF122" s="62">
        <f t="shared" si="590"/>
        <v>0</v>
      </c>
      <c r="FG122" s="62">
        <f t="shared" si="590"/>
        <v>0</v>
      </c>
      <c r="FH122" s="62">
        <f t="shared" si="590"/>
        <v>0</v>
      </c>
      <c r="FI122" s="62">
        <f t="shared" si="590"/>
        <v>0</v>
      </c>
      <c r="FJ122" s="62">
        <f t="shared" si="590"/>
        <v>0</v>
      </c>
      <c r="FK122" s="62">
        <f t="shared" si="590"/>
        <v>0</v>
      </c>
      <c r="FL122" s="62">
        <f t="shared" si="590"/>
        <v>0</v>
      </c>
      <c r="FM122" s="62">
        <f t="shared" si="590"/>
        <v>0</v>
      </c>
      <c r="FN122" s="62">
        <f t="shared" si="590"/>
        <v>0</v>
      </c>
      <c r="FO122" s="62">
        <f t="shared" si="590"/>
        <v>0</v>
      </c>
      <c r="FP122" s="62">
        <f t="shared" si="590"/>
        <v>0</v>
      </c>
      <c r="FQ122" s="62">
        <f t="shared" si="590"/>
        <v>0</v>
      </c>
      <c r="FR122" s="62">
        <f t="shared" si="590"/>
        <v>0</v>
      </c>
      <c r="FS122" s="62">
        <f t="shared" si="590"/>
        <v>0</v>
      </c>
      <c r="FT122" s="62">
        <f t="shared" si="590"/>
        <v>0</v>
      </c>
      <c r="FU122" s="62">
        <f t="shared" si="590"/>
        <v>0</v>
      </c>
      <c r="FV122" s="62">
        <f t="shared" si="590"/>
        <v>0</v>
      </c>
      <c r="FW122" s="62">
        <f t="shared" si="590"/>
        <v>0</v>
      </c>
      <c r="FX122" s="62">
        <f t="shared" si="590"/>
        <v>0</v>
      </c>
      <c r="FY122" s="62">
        <f t="shared" si="590"/>
        <v>0</v>
      </c>
      <c r="FZ122" s="62">
        <f t="shared" si="590"/>
        <v>0</v>
      </c>
      <c r="GA122" s="62">
        <f t="shared" si="590"/>
        <v>0</v>
      </c>
      <c r="GB122" s="62">
        <f t="shared" si="590"/>
        <v>0</v>
      </c>
      <c r="GC122" s="62">
        <f t="shared" si="590"/>
        <v>0</v>
      </c>
      <c r="GD122" s="62">
        <f t="shared" si="590"/>
        <v>0</v>
      </c>
      <c r="GE122" s="62">
        <f t="shared" si="590"/>
        <v>0</v>
      </c>
      <c r="GF122" s="62">
        <f t="shared" si="590"/>
        <v>0</v>
      </c>
      <c r="GG122" s="62">
        <f t="shared" si="590"/>
        <v>0</v>
      </c>
      <c r="GH122" s="62">
        <f t="shared" si="590"/>
        <v>0</v>
      </c>
      <c r="GI122" s="62">
        <f t="shared" si="590"/>
        <v>0</v>
      </c>
      <c r="GJ122" s="62">
        <f t="shared" si="590"/>
        <v>0</v>
      </c>
      <c r="GK122" s="62">
        <f t="shared" si="590"/>
        <v>0</v>
      </c>
      <c r="GL122" s="62">
        <f t="shared" si="590"/>
        <v>0</v>
      </c>
      <c r="GM122" s="62">
        <f t="shared" si="590"/>
        <v>0</v>
      </c>
      <c r="GN122" s="62">
        <f t="shared" si="590"/>
        <v>0</v>
      </c>
      <c r="GO122" s="62">
        <f t="shared" si="590"/>
        <v>0</v>
      </c>
      <c r="GP122" s="62">
        <f t="shared" si="590"/>
        <v>0</v>
      </c>
      <c r="GQ122" s="62">
        <f t="shared" si="590"/>
        <v>0</v>
      </c>
      <c r="GS122" s="80"/>
      <c r="GT122" s="77"/>
      <c r="GU122" s="77"/>
      <c r="GV122" s="77"/>
      <c r="GW122" s="77"/>
      <c r="GX122" s="77"/>
      <c r="GY122" s="77"/>
      <c r="GZ122" s="77"/>
      <c r="HA122" s="77"/>
      <c r="HB122" s="77"/>
      <c r="HC122" s="77"/>
      <c r="HD122" s="77"/>
      <c r="HE122" s="77"/>
      <c r="HF122" s="77"/>
      <c r="HG122" s="77"/>
      <c r="HH122" s="77"/>
      <c r="HI122" s="77"/>
      <c r="HJ122" s="77"/>
      <c r="HK122" s="77"/>
      <c r="HL122" s="77"/>
      <c r="HM122" s="77"/>
      <c r="HN122" s="77"/>
      <c r="HO122" s="77"/>
      <c r="HP122" s="77"/>
      <c r="HQ122" s="77"/>
      <c r="HR122" s="77"/>
      <c r="HS122" s="77"/>
      <c r="HT122" s="77"/>
      <c r="HU122" s="77"/>
      <c r="HV122" s="77"/>
      <c r="HW122" s="77"/>
      <c r="HX122" s="77"/>
      <c r="HY122" s="77"/>
      <c r="HZ122" s="77"/>
      <c r="IA122" s="77"/>
      <c r="IB122" s="77"/>
      <c r="IC122" s="77"/>
      <c r="ID122" s="77"/>
      <c r="IE122" s="77"/>
      <c r="IF122" s="77"/>
      <c r="IG122" s="77"/>
      <c r="IH122" s="77"/>
      <c r="II122" s="77"/>
      <c r="IJ122" s="77"/>
      <c r="IK122" s="77"/>
      <c r="IL122" s="77"/>
      <c r="IM122" s="77"/>
      <c r="IN122" s="77"/>
      <c r="IO122" s="77"/>
      <c r="IP122" s="77"/>
      <c r="IQ122" s="77"/>
      <c r="IR122" s="77"/>
      <c r="IS122" s="77"/>
      <c r="IT122" s="77"/>
      <c r="IU122" s="77"/>
      <c r="IV122" s="77"/>
      <c r="IW122" s="77"/>
      <c r="IX122" s="77"/>
      <c r="IY122" s="77"/>
      <c r="IZ122" s="77"/>
      <c r="JA122" s="77"/>
      <c r="JB122" s="77"/>
      <c r="JC122" s="77"/>
      <c r="JD122" s="77"/>
      <c r="JE122" s="77"/>
      <c r="JF122" s="77"/>
      <c r="JG122" s="77"/>
      <c r="JH122" s="77"/>
      <c r="JI122" s="77"/>
      <c r="JJ122" s="77"/>
      <c r="JK122" s="77"/>
      <c r="JL122" s="77"/>
      <c r="JM122" s="77"/>
      <c r="JN122" s="77"/>
      <c r="JO122" s="77"/>
      <c r="JP122" s="77"/>
      <c r="JQ122" s="77"/>
      <c r="JR122" s="77"/>
      <c r="JS122" s="77"/>
      <c r="JT122" s="77"/>
      <c r="JU122" s="77"/>
      <c r="JV122" s="77"/>
      <c r="JW122" s="77"/>
      <c r="JX122" s="77"/>
      <c r="JY122" s="77"/>
      <c r="JZ122" s="77"/>
      <c r="KA122" s="77"/>
      <c r="KB122" s="77"/>
      <c r="KC122" s="77"/>
      <c r="KD122" s="77"/>
      <c r="KE122" s="77"/>
      <c r="KF122" s="77"/>
      <c r="KG122" s="77"/>
      <c r="KH122" s="77"/>
      <c r="KI122" s="77"/>
      <c r="KJ122" s="77"/>
      <c r="KK122" s="77"/>
      <c r="KL122" s="77"/>
      <c r="KM122" s="77"/>
      <c r="KN122" s="77"/>
      <c r="KO122" s="77"/>
      <c r="KP122" s="77"/>
      <c r="KQ122" s="77"/>
      <c r="KR122" s="77"/>
      <c r="KS122" s="77"/>
      <c r="KT122" s="77"/>
      <c r="KU122" s="77"/>
      <c r="KV122" s="77"/>
      <c r="KW122" s="77"/>
      <c r="KX122" s="77"/>
      <c r="KY122" s="77"/>
      <c r="KZ122" s="77"/>
      <c r="LA122" s="77"/>
      <c r="LB122" s="77"/>
      <c r="LC122" s="77"/>
      <c r="LD122" s="77"/>
      <c r="LE122" s="77"/>
      <c r="LF122" s="77"/>
      <c r="LG122" s="77"/>
      <c r="LH122" s="77"/>
      <c r="LI122" s="77"/>
      <c r="LJ122" s="77"/>
      <c r="LK122" s="77"/>
      <c r="LL122" s="77"/>
      <c r="LM122" s="77"/>
      <c r="LN122" s="77"/>
      <c r="LO122" s="77"/>
      <c r="LP122" s="77"/>
      <c r="LQ122" s="77"/>
      <c r="LR122" s="77"/>
      <c r="LS122" s="77"/>
      <c r="LT122" s="77"/>
      <c r="LU122" s="77"/>
      <c r="LV122" s="77"/>
      <c r="LW122" s="77"/>
      <c r="LX122" s="77"/>
      <c r="LY122" s="77"/>
      <c r="LZ122" s="77"/>
      <c r="MA122" s="77"/>
      <c r="MB122" s="77"/>
      <c r="MC122" s="77"/>
      <c r="MD122" s="77"/>
      <c r="ME122" s="77"/>
      <c r="MF122" s="77"/>
      <c r="MG122" s="77"/>
      <c r="MH122" s="77"/>
      <c r="MI122" s="77"/>
      <c r="MJ122" s="77"/>
      <c r="MK122" s="77"/>
      <c r="ML122" s="77"/>
      <c r="MM122" s="77"/>
      <c r="MN122" s="77"/>
      <c r="MO122" s="77"/>
      <c r="MP122" s="77"/>
      <c r="MQ122" s="77"/>
      <c r="MR122" s="77"/>
      <c r="MS122" s="77"/>
      <c r="MT122" s="77"/>
      <c r="MU122" s="77"/>
      <c r="MV122" s="77"/>
      <c r="MW122" s="77"/>
      <c r="MX122" s="77"/>
      <c r="MY122" s="77"/>
      <c r="MZ122" s="77"/>
      <c r="NA122" s="77"/>
      <c r="NB122" s="77"/>
      <c r="NC122" s="77"/>
      <c r="ND122" s="77"/>
      <c r="NE122" s="77"/>
      <c r="NF122" s="77"/>
      <c r="NG122" s="77"/>
      <c r="NH122" s="77"/>
      <c r="NI122" s="77"/>
      <c r="NJ122" s="77"/>
      <c r="NK122" s="77"/>
      <c r="NL122" s="77"/>
      <c r="NM122" s="77"/>
      <c r="NN122" s="77"/>
      <c r="NO122" s="77"/>
      <c r="NP122" s="77"/>
      <c r="NQ122" s="77"/>
      <c r="NR122" s="77"/>
      <c r="NS122" s="77"/>
      <c r="NT122" s="77"/>
      <c r="NU122" s="77"/>
      <c r="NV122" s="77"/>
      <c r="NW122" s="77"/>
    </row>
    <row r="123" spans="2:387" x14ac:dyDescent="0.3">
      <c r="B123" s="18" t="s">
        <v>321</v>
      </c>
      <c r="C123" s="19"/>
      <c r="D123" s="19"/>
      <c r="E123" s="95">
        <f>SUMIF(T123:GQ123,"&gt;0")/-SUMIF(T123:GQ123,"&lt;0")</f>
        <v>2.8994343039351627</v>
      </c>
      <c r="F123" s="94">
        <f>XIRR(T123:GQ123,$T$2:$GQ$2)</f>
        <v>0.38438634276390082</v>
      </c>
      <c r="G123" s="19"/>
      <c r="H123" s="19"/>
      <c r="I123" s="63">
        <f>SUM(I121:I122)</f>
        <v>1</v>
      </c>
      <c r="J123" s="23">
        <f>L123/$L$8</f>
        <v>13798.249664705518</v>
      </c>
      <c r="K123" s="29">
        <f>L123/$L$7</f>
        <v>1.8239065648748674</v>
      </c>
      <c r="L123" s="23">
        <f>SUM(T123:GQ123)</f>
        <v>3173597.4228822691</v>
      </c>
      <c r="S123" s="67" t="str">
        <f>IF(ROUND(SUM(T123:GQ123),0)=ROUND(SUM(T106:GQ106),0),"OK","ERROR")</f>
        <v>OK</v>
      </c>
      <c r="T123" s="50">
        <f>SUM(T121:T122)</f>
        <v>-1670811.8918918918</v>
      </c>
      <c r="U123" s="50">
        <f t="shared" ref="U123:CF123" si="591">SUM(U121:U122)</f>
        <v>0</v>
      </c>
      <c r="V123" s="50">
        <f t="shared" si="591"/>
        <v>0</v>
      </c>
      <c r="W123" s="50">
        <f t="shared" si="591"/>
        <v>0</v>
      </c>
      <c r="X123" s="50">
        <f t="shared" si="591"/>
        <v>0</v>
      </c>
      <c r="Y123" s="50">
        <f t="shared" si="591"/>
        <v>0</v>
      </c>
      <c r="Z123" s="50">
        <f t="shared" si="591"/>
        <v>0</v>
      </c>
      <c r="AA123" s="50">
        <f t="shared" si="591"/>
        <v>0</v>
      </c>
      <c r="AB123" s="50">
        <f t="shared" si="591"/>
        <v>0</v>
      </c>
      <c r="AC123" s="50">
        <f t="shared" si="591"/>
        <v>0</v>
      </c>
      <c r="AD123" s="50">
        <f t="shared" si="591"/>
        <v>0</v>
      </c>
      <c r="AE123" s="50">
        <f t="shared" si="591"/>
        <v>158208.6867424068</v>
      </c>
      <c r="AF123" s="50">
        <f t="shared" si="591"/>
        <v>0</v>
      </c>
      <c r="AG123" s="50">
        <f t="shared" si="591"/>
        <v>0</v>
      </c>
      <c r="AH123" s="50">
        <f t="shared" si="591"/>
        <v>0</v>
      </c>
      <c r="AI123" s="50">
        <f t="shared" si="591"/>
        <v>0</v>
      </c>
      <c r="AJ123" s="50">
        <f t="shared" si="591"/>
        <v>0</v>
      </c>
      <c r="AK123" s="50">
        <f t="shared" si="591"/>
        <v>0</v>
      </c>
      <c r="AL123" s="50">
        <f t="shared" si="591"/>
        <v>0</v>
      </c>
      <c r="AM123" s="50">
        <f t="shared" si="591"/>
        <v>0</v>
      </c>
      <c r="AN123" s="50">
        <f t="shared" si="591"/>
        <v>0</v>
      </c>
      <c r="AO123" s="50">
        <f t="shared" si="591"/>
        <v>0</v>
      </c>
      <c r="AP123" s="50">
        <f t="shared" si="591"/>
        <v>0</v>
      </c>
      <c r="AQ123" s="50">
        <f t="shared" si="591"/>
        <v>0</v>
      </c>
      <c r="AR123" s="50">
        <f t="shared" si="591"/>
        <v>0</v>
      </c>
      <c r="AS123" s="50">
        <f t="shared" si="591"/>
        <v>0</v>
      </c>
      <c r="AT123" s="50">
        <f t="shared" si="591"/>
        <v>193808.87456932926</v>
      </c>
      <c r="AU123" s="50">
        <f t="shared" si="591"/>
        <v>0</v>
      </c>
      <c r="AV123" s="50">
        <f t="shared" si="591"/>
        <v>0</v>
      </c>
      <c r="AW123" s="50">
        <f t="shared" si="591"/>
        <v>0</v>
      </c>
      <c r="AX123" s="50">
        <f t="shared" si="591"/>
        <v>7724.8215590861801</v>
      </c>
      <c r="AY123" s="50">
        <f t="shared" si="591"/>
        <v>92703.704531599273</v>
      </c>
      <c r="AZ123" s="50">
        <f t="shared" si="591"/>
        <v>92703.704531599273</v>
      </c>
      <c r="BA123" s="50">
        <f t="shared" si="591"/>
        <v>92703.704531599273</v>
      </c>
      <c r="BB123" s="50">
        <f t="shared" si="591"/>
        <v>92703.704531599273</v>
      </c>
      <c r="BC123" s="50">
        <f t="shared" si="591"/>
        <v>92703.704531599273</v>
      </c>
      <c r="BD123" s="50">
        <f t="shared" si="591"/>
        <v>99932.275960170693</v>
      </c>
      <c r="BE123" s="50">
        <f t="shared" si="591"/>
        <v>99932.275960170693</v>
      </c>
      <c r="BF123" s="50">
        <f t="shared" si="591"/>
        <v>124630</v>
      </c>
      <c r="BG123" s="50">
        <f t="shared" si="591"/>
        <v>382128.38573250006</v>
      </c>
      <c r="BH123" s="50">
        <f t="shared" si="591"/>
        <v>382128.38573250006</v>
      </c>
      <c r="BI123" s="50">
        <f t="shared" si="591"/>
        <v>382128.38573250012</v>
      </c>
      <c r="BJ123" s="50">
        <f t="shared" si="591"/>
        <v>382128.38573250012</v>
      </c>
      <c r="BK123" s="50">
        <f t="shared" si="591"/>
        <v>382128.38573250012</v>
      </c>
      <c r="BL123" s="50">
        <f t="shared" si="591"/>
        <v>382128.38573250012</v>
      </c>
      <c r="BM123" s="50">
        <f t="shared" si="591"/>
        <v>382128.38573250012</v>
      </c>
      <c r="BN123" s="50">
        <f t="shared" si="591"/>
        <v>382128.38573250012</v>
      </c>
      <c r="BO123" s="50">
        <f t="shared" si="591"/>
        <v>382128.38573250012</v>
      </c>
      <c r="BP123" s="50">
        <f t="shared" si="591"/>
        <v>257498.38573250006</v>
      </c>
      <c r="BQ123" s="50">
        <f t="shared" si="591"/>
        <v>0</v>
      </c>
      <c r="BR123" s="50">
        <f t="shared" si="591"/>
        <v>0</v>
      </c>
      <c r="BS123" s="50">
        <f t="shared" si="591"/>
        <v>0</v>
      </c>
      <c r="BT123" s="50">
        <f t="shared" si="591"/>
        <v>0</v>
      </c>
      <c r="BU123" s="50">
        <f t="shared" si="591"/>
        <v>0</v>
      </c>
      <c r="BV123" s="50">
        <f t="shared" si="591"/>
        <v>0</v>
      </c>
      <c r="BW123" s="50">
        <f t="shared" si="591"/>
        <v>0</v>
      </c>
      <c r="BX123" s="50">
        <f t="shared" si="591"/>
        <v>0</v>
      </c>
      <c r="BY123" s="50">
        <f t="shared" si="591"/>
        <v>0</v>
      </c>
      <c r="BZ123" s="50">
        <f t="shared" si="591"/>
        <v>0</v>
      </c>
      <c r="CA123" s="50">
        <f t="shared" si="591"/>
        <v>0</v>
      </c>
      <c r="CB123" s="50">
        <f t="shared" si="591"/>
        <v>0</v>
      </c>
      <c r="CC123" s="50">
        <f t="shared" si="591"/>
        <v>0</v>
      </c>
      <c r="CD123" s="50">
        <f t="shared" si="591"/>
        <v>0</v>
      </c>
      <c r="CE123" s="50">
        <f t="shared" si="591"/>
        <v>0</v>
      </c>
      <c r="CF123" s="50">
        <f t="shared" si="591"/>
        <v>0</v>
      </c>
      <c r="CG123" s="50">
        <f t="shared" ref="CG123:ER123" si="592">SUM(CG121:CG122)</f>
        <v>0</v>
      </c>
      <c r="CH123" s="50">
        <f t="shared" si="592"/>
        <v>0</v>
      </c>
      <c r="CI123" s="50">
        <f t="shared" si="592"/>
        <v>0</v>
      </c>
      <c r="CJ123" s="50">
        <f t="shared" si="592"/>
        <v>0</v>
      </c>
      <c r="CK123" s="50">
        <f t="shared" si="592"/>
        <v>0</v>
      </c>
      <c r="CL123" s="50">
        <f t="shared" si="592"/>
        <v>0</v>
      </c>
      <c r="CM123" s="50">
        <f t="shared" si="592"/>
        <v>0</v>
      </c>
      <c r="CN123" s="50">
        <f t="shared" si="592"/>
        <v>0</v>
      </c>
      <c r="CO123" s="50">
        <f t="shared" si="592"/>
        <v>0</v>
      </c>
      <c r="CP123" s="50">
        <f t="shared" si="592"/>
        <v>0</v>
      </c>
      <c r="CQ123" s="50">
        <f t="shared" si="592"/>
        <v>0</v>
      </c>
      <c r="CR123" s="50">
        <f t="shared" si="592"/>
        <v>0</v>
      </c>
      <c r="CS123" s="50">
        <f t="shared" si="592"/>
        <v>0</v>
      </c>
      <c r="CT123" s="50">
        <f t="shared" si="592"/>
        <v>0</v>
      </c>
      <c r="CU123" s="50">
        <f t="shared" si="592"/>
        <v>0</v>
      </c>
      <c r="CV123" s="50">
        <f t="shared" si="592"/>
        <v>0</v>
      </c>
      <c r="CW123" s="50">
        <f t="shared" si="592"/>
        <v>0</v>
      </c>
      <c r="CX123" s="50">
        <f t="shared" si="592"/>
        <v>0</v>
      </c>
      <c r="CY123" s="50">
        <f t="shared" si="592"/>
        <v>0</v>
      </c>
      <c r="CZ123" s="50">
        <f t="shared" si="592"/>
        <v>0</v>
      </c>
      <c r="DA123" s="50">
        <f t="shared" si="592"/>
        <v>0</v>
      </c>
      <c r="DB123" s="50">
        <f t="shared" si="592"/>
        <v>0</v>
      </c>
      <c r="DC123" s="50">
        <f t="shared" si="592"/>
        <v>0</v>
      </c>
      <c r="DD123" s="50">
        <f t="shared" si="592"/>
        <v>0</v>
      </c>
      <c r="DE123" s="50">
        <f t="shared" si="592"/>
        <v>0</v>
      </c>
      <c r="DF123" s="50">
        <f t="shared" si="592"/>
        <v>0</v>
      </c>
      <c r="DG123" s="50">
        <f t="shared" si="592"/>
        <v>0</v>
      </c>
      <c r="DH123" s="50">
        <f t="shared" si="592"/>
        <v>0</v>
      </c>
      <c r="DI123" s="50">
        <f t="shared" si="592"/>
        <v>0</v>
      </c>
      <c r="DJ123" s="50">
        <f t="shared" si="592"/>
        <v>0</v>
      </c>
      <c r="DK123" s="50">
        <f t="shared" si="592"/>
        <v>0</v>
      </c>
      <c r="DL123" s="50">
        <f t="shared" si="592"/>
        <v>0</v>
      </c>
      <c r="DM123" s="50">
        <f t="shared" si="592"/>
        <v>0</v>
      </c>
      <c r="DN123" s="50">
        <f t="shared" si="592"/>
        <v>0</v>
      </c>
      <c r="DO123" s="50">
        <f t="shared" si="592"/>
        <v>0</v>
      </c>
      <c r="DP123" s="50">
        <f t="shared" si="592"/>
        <v>0</v>
      </c>
      <c r="DQ123" s="50">
        <f t="shared" si="592"/>
        <v>0</v>
      </c>
      <c r="DR123" s="50">
        <f t="shared" si="592"/>
        <v>0</v>
      </c>
      <c r="DS123" s="50">
        <f t="shared" si="592"/>
        <v>0</v>
      </c>
      <c r="DT123" s="50">
        <f t="shared" si="592"/>
        <v>0</v>
      </c>
      <c r="DU123" s="50">
        <f t="shared" si="592"/>
        <v>0</v>
      </c>
      <c r="DV123" s="50">
        <f t="shared" si="592"/>
        <v>0</v>
      </c>
      <c r="DW123" s="50">
        <f t="shared" si="592"/>
        <v>0</v>
      </c>
      <c r="DX123" s="50">
        <f t="shared" si="592"/>
        <v>0</v>
      </c>
      <c r="DY123" s="50">
        <f t="shared" si="592"/>
        <v>0</v>
      </c>
      <c r="DZ123" s="50">
        <f t="shared" si="592"/>
        <v>0</v>
      </c>
      <c r="EA123" s="50">
        <f t="shared" si="592"/>
        <v>0</v>
      </c>
      <c r="EB123" s="50">
        <f t="shared" si="592"/>
        <v>0</v>
      </c>
      <c r="EC123" s="50">
        <f t="shared" si="592"/>
        <v>0</v>
      </c>
      <c r="ED123" s="50">
        <f t="shared" si="592"/>
        <v>0</v>
      </c>
      <c r="EE123" s="50">
        <f t="shared" si="592"/>
        <v>0</v>
      </c>
      <c r="EF123" s="50">
        <f t="shared" si="592"/>
        <v>0</v>
      </c>
      <c r="EG123" s="50">
        <f t="shared" si="592"/>
        <v>0</v>
      </c>
      <c r="EH123" s="50">
        <f t="shared" si="592"/>
        <v>0</v>
      </c>
      <c r="EI123" s="50">
        <f t="shared" si="592"/>
        <v>0</v>
      </c>
      <c r="EJ123" s="50">
        <f t="shared" si="592"/>
        <v>0</v>
      </c>
      <c r="EK123" s="50">
        <f t="shared" si="592"/>
        <v>0</v>
      </c>
      <c r="EL123" s="50">
        <f t="shared" si="592"/>
        <v>0</v>
      </c>
      <c r="EM123" s="50">
        <f t="shared" si="592"/>
        <v>0</v>
      </c>
      <c r="EN123" s="50">
        <f t="shared" si="592"/>
        <v>0</v>
      </c>
      <c r="EO123" s="50">
        <f t="shared" si="592"/>
        <v>0</v>
      </c>
      <c r="EP123" s="50">
        <f t="shared" si="592"/>
        <v>0</v>
      </c>
      <c r="EQ123" s="50">
        <f t="shared" si="592"/>
        <v>0</v>
      </c>
      <c r="ER123" s="50">
        <f t="shared" si="592"/>
        <v>0</v>
      </c>
      <c r="ES123" s="50">
        <f t="shared" ref="ES123:GQ123" si="593">SUM(ES121:ES122)</f>
        <v>0</v>
      </c>
      <c r="ET123" s="50">
        <f t="shared" si="593"/>
        <v>0</v>
      </c>
      <c r="EU123" s="50">
        <f t="shared" si="593"/>
        <v>0</v>
      </c>
      <c r="EV123" s="50">
        <f t="shared" si="593"/>
        <v>0</v>
      </c>
      <c r="EW123" s="50">
        <f t="shared" si="593"/>
        <v>0</v>
      </c>
      <c r="EX123" s="50">
        <f t="shared" si="593"/>
        <v>0</v>
      </c>
      <c r="EY123" s="50">
        <f t="shared" si="593"/>
        <v>0</v>
      </c>
      <c r="EZ123" s="50">
        <f t="shared" si="593"/>
        <v>0</v>
      </c>
      <c r="FA123" s="50">
        <f t="shared" si="593"/>
        <v>0</v>
      </c>
      <c r="FB123" s="50">
        <f t="shared" si="593"/>
        <v>0</v>
      </c>
      <c r="FC123" s="50">
        <f t="shared" si="593"/>
        <v>0</v>
      </c>
      <c r="FD123" s="50">
        <f t="shared" si="593"/>
        <v>0</v>
      </c>
      <c r="FE123" s="50">
        <f t="shared" si="593"/>
        <v>0</v>
      </c>
      <c r="FF123" s="50">
        <f t="shared" si="593"/>
        <v>0</v>
      </c>
      <c r="FG123" s="50">
        <f t="shared" si="593"/>
        <v>0</v>
      </c>
      <c r="FH123" s="50">
        <f t="shared" si="593"/>
        <v>0</v>
      </c>
      <c r="FI123" s="50">
        <f t="shared" si="593"/>
        <v>0</v>
      </c>
      <c r="FJ123" s="50">
        <f t="shared" si="593"/>
        <v>0</v>
      </c>
      <c r="FK123" s="50">
        <f t="shared" si="593"/>
        <v>0</v>
      </c>
      <c r="FL123" s="50">
        <f t="shared" si="593"/>
        <v>0</v>
      </c>
      <c r="FM123" s="50">
        <f t="shared" si="593"/>
        <v>0</v>
      </c>
      <c r="FN123" s="50">
        <f t="shared" si="593"/>
        <v>0</v>
      </c>
      <c r="FO123" s="50">
        <f t="shared" si="593"/>
        <v>0</v>
      </c>
      <c r="FP123" s="50">
        <f t="shared" si="593"/>
        <v>0</v>
      </c>
      <c r="FQ123" s="50">
        <f t="shared" si="593"/>
        <v>0</v>
      </c>
      <c r="FR123" s="50">
        <f t="shared" si="593"/>
        <v>0</v>
      </c>
      <c r="FS123" s="50">
        <f t="shared" si="593"/>
        <v>0</v>
      </c>
      <c r="FT123" s="50">
        <f t="shared" si="593"/>
        <v>0</v>
      </c>
      <c r="FU123" s="50">
        <f t="shared" si="593"/>
        <v>0</v>
      </c>
      <c r="FV123" s="50">
        <f t="shared" si="593"/>
        <v>0</v>
      </c>
      <c r="FW123" s="50">
        <f t="shared" si="593"/>
        <v>0</v>
      </c>
      <c r="FX123" s="50">
        <f t="shared" si="593"/>
        <v>0</v>
      </c>
      <c r="FY123" s="50">
        <f t="shared" si="593"/>
        <v>0</v>
      </c>
      <c r="FZ123" s="50">
        <f t="shared" si="593"/>
        <v>0</v>
      </c>
      <c r="GA123" s="50">
        <f t="shared" si="593"/>
        <v>0</v>
      </c>
      <c r="GB123" s="50">
        <f t="shared" si="593"/>
        <v>0</v>
      </c>
      <c r="GC123" s="50">
        <f t="shared" si="593"/>
        <v>0</v>
      </c>
      <c r="GD123" s="50">
        <f t="shared" si="593"/>
        <v>0</v>
      </c>
      <c r="GE123" s="50">
        <f t="shared" si="593"/>
        <v>0</v>
      </c>
      <c r="GF123" s="50">
        <f t="shared" si="593"/>
        <v>0</v>
      </c>
      <c r="GG123" s="50">
        <f t="shared" si="593"/>
        <v>0</v>
      </c>
      <c r="GH123" s="50">
        <f t="shared" si="593"/>
        <v>0</v>
      </c>
      <c r="GI123" s="50">
        <f t="shared" si="593"/>
        <v>0</v>
      </c>
      <c r="GJ123" s="50">
        <f t="shared" si="593"/>
        <v>0</v>
      </c>
      <c r="GK123" s="50">
        <f t="shared" si="593"/>
        <v>0</v>
      </c>
      <c r="GL123" s="50">
        <f t="shared" si="593"/>
        <v>0</v>
      </c>
      <c r="GM123" s="50">
        <f t="shared" si="593"/>
        <v>0</v>
      </c>
      <c r="GN123" s="50">
        <f t="shared" si="593"/>
        <v>0</v>
      </c>
      <c r="GO123" s="50">
        <f t="shared" si="593"/>
        <v>0</v>
      </c>
      <c r="GP123" s="50">
        <f t="shared" si="593"/>
        <v>0</v>
      </c>
      <c r="GQ123" s="50">
        <f t="shared" si="593"/>
        <v>0</v>
      </c>
      <c r="GS123" s="80"/>
      <c r="GT123" s="77"/>
      <c r="GU123" s="77"/>
      <c r="GV123" s="77"/>
      <c r="GW123" s="77"/>
      <c r="GX123" s="77"/>
      <c r="GY123" s="77"/>
      <c r="GZ123" s="77"/>
      <c r="HA123" s="77"/>
      <c r="HB123" s="77"/>
      <c r="HC123" s="77"/>
      <c r="HD123" s="77"/>
      <c r="HE123" s="77"/>
      <c r="HF123" s="77"/>
      <c r="HG123" s="77"/>
      <c r="HH123" s="77"/>
      <c r="HI123" s="77"/>
      <c r="HJ123" s="77"/>
      <c r="HK123" s="77"/>
      <c r="HL123" s="77"/>
      <c r="HM123" s="77"/>
      <c r="HN123" s="77"/>
      <c r="HO123" s="77"/>
      <c r="HP123" s="77"/>
      <c r="HQ123" s="77"/>
      <c r="HR123" s="77"/>
      <c r="HS123" s="77"/>
      <c r="HT123" s="77"/>
      <c r="HU123" s="77"/>
      <c r="HV123" s="77"/>
      <c r="HW123" s="77"/>
      <c r="HX123" s="77"/>
      <c r="HY123" s="77"/>
      <c r="HZ123" s="77"/>
      <c r="IA123" s="77"/>
      <c r="IB123" s="77"/>
      <c r="IC123" s="77"/>
      <c r="ID123" s="77"/>
      <c r="IE123" s="77"/>
      <c r="IF123" s="77"/>
      <c r="IG123" s="77"/>
      <c r="IH123" s="77"/>
      <c r="II123" s="77"/>
      <c r="IJ123" s="77"/>
      <c r="IK123" s="77"/>
      <c r="IL123" s="77"/>
      <c r="IM123" s="77"/>
      <c r="IN123" s="77"/>
      <c r="IO123" s="77"/>
      <c r="IP123" s="77"/>
      <c r="IQ123" s="77"/>
      <c r="IR123" s="77"/>
      <c r="IS123" s="77"/>
      <c r="IT123" s="77"/>
      <c r="IU123" s="77"/>
      <c r="IV123" s="77"/>
      <c r="IW123" s="77"/>
      <c r="IX123" s="77"/>
      <c r="IY123" s="77"/>
      <c r="IZ123" s="77"/>
      <c r="JA123" s="77"/>
      <c r="JB123" s="77"/>
      <c r="JC123" s="77"/>
      <c r="JD123" s="77"/>
      <c r="JE123" s="77"/>
      <c r="JF123" s="77"/>
      <c r="JG123" s="77"/>
      <c r="JH123" s="77"/>
      <c r="JI123" s="77"/>
      <c r="JJ123" s="77"/>
      <c r="JK123" s="77"/>
      <c r="JL123" s="77"/>
      <c r="JM123" s="77"/>
      <c r="JN123" s="77"/>
      <c r="JO123" s="77"/>
      <c r="JP123" s="77"/>
      <c r="JQ123" s="77"/>
      <c r="JR123" s="77"/>
      <c r="JS123" s="77"/>
      <c r="JT123" s="77"/>
      <c r="JU123" s="77"/>
      <c r="JV123" s="77"/>
      <c r="JW123" s="77"/>
      <c r="JX123" s="77"/>
      <c r="JY123" s="77"/>
      <c r="JZ123" s="77"/>
      <c r="KA123" s="77"/>
      <c r="KB123" s="77"/>
      <c r="KC123" s="77"/>
      <c r="KD123" s="77"/>
      <c r="KE123" s="77"/>
      <c r="KF123" s="77"/>
      <c r="KG123" s="77"/>
      <c r="KH123" s="77"/>
      <c r="KI123" s="77"/>
      <c r="KJ123" s="77"/>
      <c r="KK123" s="77"/>
      <c r="KL123" s="77"/>
      <c r="KM123" s="77"/>
      <c r="KN123" s="77"/>
      <c r="KO123" s="77"/>
      <c r="KP123" s="77"/>
      <c r="KQ123" s="77"/>
      <c r="KR123" s="77"/>
      <c r="KS123" s="77"/>
      <c r="KT123" s="77"/>
      <c r="KU123" s="77"/>
      <c r="KV123" s="77"/>
      <c r="KW123" s="77"/>
      <c r="KX123" s="77"/>
      <c r="KY123" s="77"/>
      <c r="KZ123" s="77"/>
      <c r="LA123" s="77"/>
      <c r="LB123" s="77"/>
      <c r="LC123" s="77"/>
      <c r="LD123" s="77"/>
      <c r="LE123" s="77"/>
      <c r="LF123" s="77"/>
      <c r="LG123" s="77"/>
      <c r="LH123" s="77"/>
      <c r="LI123" s="77"/>
      <c r="LJ123" s="77"/>
      <c r="LK123" s="77"/>
      <c r="LL123" s="77"/>
      <c r="LM123" s="77"/>
      <c r="LN123" s="77"/>
      <c r="LO123" s="77"/>
      <c r="LP123" s="77"/>
      <c r="LQ123" s="77"/>
      <c r="LR123" s="77"/>
      <c r="LS123" s="77"/>
      <c r="LT123" s="77"/>
      <c r="LU123" s="77"/>
      <c r="LV123" s="77"/>
      <c r="LW123" s="77"/>
      <c r="LX123" s="77"/>
      <c r="LY123" s="77"/>
      <c r="LZ123" s="77"/>
      <c r="MA123" s="77"/>
      <c r="MB123" s="77"/>
      <c r="MC123" s="77"/>
      <c r="MD123" s="77"/>
      <c r="ME123" s="77"/>
      <c r="MF123" s="77"/>
      <c r="MG123" s="77"/>
      <c r="MH123" s="77"/>
      <c r="MI123" s="77"/>
      <c r="MJ123" s="77"/>
      <c r="MK123" s="77"/>
      <c r="ML123" s="77"/>
      <c r="MM123" s="77"/>
      <c r="MN123" s="77"/>
      <c r="MO123" s="77"/>
      <c r="MP123" s="77"/>
      <c r="MQ123" s="77"/>
      <c r="MR123" s="77"/>
      <c r="MS123" s="77"/>
      <c r="MT123" s="77"/>
      <c r="MU123" s="77"/>
      <c r="MV123" s="77"/>
      <c r="MW123" s="77"/>
      <c r="MX123" s="77"/>
      <c r="MY123" s="77"/>
      <c r="MZ123" s="77"/>
      <c r="NA123" s="77"/>
      <c r="NB123" s="77"/>
      <c r="NC123" s="77"/>
      <c r="ND123" s="77"/>
      <c r="NE123" s="77"/>
      <c r="NF123" s="77"/>
      <c r="NG123" s="77"/>
      <c r="NH123" s="77"/>
      <c r="NI123" s="77"/>
      <c r="NJ123" s="77"/>
      <c r="NK123" s="77"/>
      <c r="NL123" s="77"/>
      <c r="NM123" s="77"/>
      <c r="NN123" s="77"/>
      <c r="NO123" s="77"/>
      <c r="NP123" s="77"/>
      <c r="NQ123" s="77"/>
      <c r="NR123" s="77"/>
      <c r="NS123" s="77"/>
      <c r="NT123" s="77"/>
      <c r="NU123" s="77"/>
      <c r="NV123" s="77"/>
      <c r="NW123" s="77"/>
    </row>
    <row r="124" spans="2:387" x14ac:dyDescent="0.3">
      <c r="B124" s="18"/>
      <c r="C124" s="19"/>
      <c r="D124" s="19"/>
      <c r="E124" s="19"/>
      <c r="F124" s="19"/>
      <c r="G124" s="19"/>
      <c r="H124" s="19"/>
      <c r="I124" s="19"/>
      <c r="J124" s="23"/>
      <c r="K124" s="29"/>
      <c r="L124" s="23"/>
      <c r="GS124" s="80"/>
      <c r="GT124" s="77"/>
      <c r="GU124" s="77"/>
      <c r="GV124" s="77"/>
      <c r="GW124" s="77"/>
      <c r="GX124" s="77"/>
      <c r="GY124" s="77"/>
      <c r="GZ124" s="77"/>
      <c r="HA124" s="77"/>
      <c r="HB124" s="77"/>
      <c r="HC124" s="77"/>
      <c r="HD124" s="77"/>
      <c r="HE124" s="77"/>
      <c r="HF124" s="77"/>
      <c r="HG124" s="77"/>
      <c r="HH124" s="77"/>
      <c r="HI124" s="77"/>
      <c r="HJ124" s="77"/>
      <c r="HK124" s="77"/>
      <c r="HL124" s="77"/>
      <c r="HM124" s="77"/>
      <c r="HN124" s="77"/>
      <c r="HO124" s="77"/>
      <c r="HP124" s="77"/>
      <c r="HQ124" s="77"/>
      <c r="HR124" s="77"/>
      <c r="HS124" s="77"/>
      <c r="HT124" s="77"/>
      <c r="HU124" s="77"/>
      <c r="HV124" s="77"/>
      <c r="HW124" s="77"/>
      <c r="HX124" s="77"/>
      <c r="HY124" s="77"/>
      <c r="HZ124" s="77"/>
      <c r="IA124" s="77"/>
      <c r="IB124" s="77"/>
      <c r="IC124" s="77"/>
      <c r="ID124" s="77"/>
      <c r="IE124" s="77"/>
      <c r="IF124" s="77"/>
      <c r="IG124" s="77"/>
      <c r="IH124" s="77"/>
      <c r="II124" s="77"/>
      <c r="IJ124" s="77"/>
      <c r="IK124" s="77"/>
      <c r="IL124" s="77"/>
      <c r="IM124" s="77"/>
      <c r="IN124" s="77"/>
      <c r="IO124" s="77"/>
      <c r="IP124" s="77"/>
      <c r="IQ124" s="77"/>
      <c r="IR124" s="77"/>
      <c r="IS124" s="77"/>
      <c r="IT124" s="77"/>
      <c r="IU124" s="77"/>
      <c r="IV124" s="77"/>
      <c r="IW124" s="77"/>
      <c r="IX124" s="77"/>
      <c r="IY124" s="77"/>
      <c r="IZ124" s="77"/>
      <c r="JA124" s="77"/>
      <c r="JB124" s="77"/>
      <c r="JC124" s="77"/>
      <c r="JD124" s="77"/>
      <c r="JE124" s="77"/>
      <c r="JF124" s="77"/>
      <c r="JG124" s="77"/>
      <c r="JH124" s="77"/>
      <c r="JI124" s="77"/>
      <c r="JJ124" s="77"/>
      <c r="JK124" s="77"/>
      <c r="JL124" s="77"/>
      <c r="JM124" s="77"/>
      <c r="JN124" s="77"/>
      <c r="JO124" s="77"/>
      <c r="JP124" s="77"/>
      <c r="JQ124" s="77"/>
      <c r="JR124" s="77"/>
      <c r="JS124" s="77"/>
      <c r="JT124" s="77"/>
      <c r="JU124" s="77"/>
      <c r="JV124" s="77"/>
      <c r="JW124" s="77"/>
      <c r="JX124" s="77"/>
      <c r="JY124" s="77"/>
      <c r="JZ124" s="77"/>
      <c r="KA124" s="77"/>
      <c r="KB124" s="77"/>
      <c r="KC124" s="77"/>
      <c r="KD124" s="77"/>
      <c r="KE124" s="77"/>
      <c r="KF124" s="77"/>
      <c r="KG124" s="77"/>
      <c r="KH124" s="77"/>
      <c r="KI124" s="77"/>
      <c r="KJ124" s="77"/>
      <c r="KK124" s="77"/>
      <c r="KL124" s="77"/>
      <c r="KM124" s="77"/>
      <c r="KN124" s="77"/>
      <c r="KO124" s="77"/>
      <c r="KP124" s="77"/>
      <c r="KQ124" s="77"/>
      <c r="KR124" s="77"/>
      <c r="KS124" s="77"/>
      <c r="KT124" s="77"/>
      <c r="KU124" s="77"/>
      <c r="KV124" s="77"/>
      <c r="KW124" s="77"/>
      <c r="KX124" s="77"/>
      <c r="KY124" s="77"/>
      <c r="KZ124" s="77"/>
      <c r="LA124" s="77"/>
      <c r="LB124" s="77"/>
      <c r="LC124" s="77"/>
      <c r="LD124" s="77"/>
      <c r="LE124" s="77"/>
      <c r="LF124" s="77"/>
      <c r="LG124" s="77"/>
      <c r="LH124" s="77"/>
      <c r="LI124" s="77"/>
      <c r="LJ124" s="77"/>
      <c r="LK124" s="77"/>
      <c r="LL124" s="77"/>
      <c r="LM124" s="77"/>
      <c r="LN124" s="77"/>
      <c r="LO124" s="77"/>
      <c r="LP124" s="77"/>
      <c r="LQ124" s="77"/>
      <c r="LR124" s="77"/>
      <c r="LS124" s="77"/>
      <c r="LT124" s="77"/>
      <c r="LU124" s="77"/>
      <c r="LV124" s="77"/>
      <c r="LW124" s="77"/>
      <c r="LX124" s="77"/>
      <c r="LY124" s="77"/>
      <c r="LZ124" s="77"/>
      <c r="MA124" s="77"/>
      <c r="MB124" s="77"/>
      <c r="MC124" s="77"/>
      <c r="MD124" s="77"/>
      <c r="ME124" s="77"/>
      <c r="MF124" s="77"/>
      <c r="MG124" s="77"/>
      <c r="MH124" s="77"/>
      <c r="MI124" s="77"/>
      <c r="MJ124" s="77"/>
      <c r="MK124" s="77"/>
      <c r="ML124" s="77"/>
      <c r="MM124" s="77"/>
      <c r="MN124" s="77"/>
      <c r="MO124" s="77"/>
      <c r="MP124" s="77"/>
      <c r="MQ124" s="77"/>
      <c r="MR124" s="77"/>
      <c r="MS124" s="77"/>
      <c r="MT124" s="77"/>
      <c r="MU124" s="77"/>
      <c r="MV124" s="77"/>
      <c r="MW124" s="77"/>
      <c r="MX124" s="77"/>
      <c r="MY124" s="77"/>
      <c r="MZ124" s="77"/>
      <c r="NA124" s="77"/>
      <c r="NB124" s="77"/>
      <c r="NC124" s="77"/>
      <c r="ND124" s="77"/>
      <c r="NE124" s="77"/>
      <c r="NF124" s="77"/>
      <c r="NG124" s="77"/>
      <c r="NH124" s="77"/>
      <c r="NI124" s="77"/>
      <c r="NJ124" s="77"/>
      <c r="NK124" s="77"/>
      <c r="NL124" s="77"/>
      <c r="NM124" s="77"/>
      <c r="NN124" s="77"/>
      <c r="NO124" s="77"/>
      <c r="NP124" s="77"/>
      <c r="NQ124" s="77"/>
      <c r="NR124" s="77"/>
      <c r="NS124" s="77"/>
      <c r="NT124" s="77"/>
      <c r="NU124" s="77"/>
      <c r="NV124" s="77"/>
      <c r="NW124" s="77"/>
    </row>
    <row r="125" spans="2:387" x14ac:dyDescent="0.3">
      <c r="B125" s="35" t="s">
        <v>322</v>
      </c>
      <c r="C125" s="35"/>
      <c r="D125" s="36" t="s">
        <v>323</v>
      </c>
      <c r="E125" s="36" t="s">
        <v>324</v>
      </c>
      <c r="F125" s="36" t="s">
        <v>325</v>
      </c>
      <c r="G125" s="36"/>
      <c r="H125" s="36"/>
      <c r="I125" s="36"/>
      <c r="J125" s="36"/>
      <c r="K125" s="36"/>
      <c r="L125" s="36"/>
      <c r="GS125" s="80"/>
      <c r="GT125" s="77"/>
      <c r="GU125" s="77"/>
      <c r="GV125" s="77"/>
      <c r="GW125" s="77"/>
      <c r="GX125" s="77"/>
      <c r="GY125" s="77"/>
      <c r="GZ125" s="77"/>
      <c r="HA125" s="77"/>
      <c r="HB125" s="77"/>
      <c r="HC125" s="77"/>
      <c r="HD125" s="77"/>
      <c r="HE125" s="77"/>
      <c r="HF125" s="77"/>
      <c r="HG125" s="77"/>
      <c r="HH125" s="77"/>
      <c r="HI125" s="77"/>
      <c r="HJ125" s="77"/>
      <c r="HK125" s="77"/>
      <c r="HL125" s="77"/>
      <c r="HM125" s="77"/>
      <c r="HN125" s="77"/>
      <c r="HO125" s="77"/>
      <c r="HP125" s="77"/>
      <c r="HQ125" s="77"/>
      <c r="HR125" s="77"/>
      <c r="HS125" s="77"/>
      <c r="HT125" s="77"/>
      <c r="HU125" s="77"/>
      <c r="HV125" s="77"/>
      <c r="HW125" s="77"/>
      <c r="HX125" s="77"/>
      <c r="HY125" s="77"/>
      <c r="HZ125" s="77"/>
      <c r="IA125" s="77"/>
      <c r="IB125" s="77"/>
      <c r="IC125" s="77"/>
      <c r="ID125" s="77"/>
      <c r="IE125" s="77"/>
      <c r="IF125" s="77"/>
      <c r="IG125" s="77"/>
      <c r="IH125" s="77"/>
      <c r="II125" s="77"/>
      <c r="IJ125" s="77"/>
      <c r="IK125" s="77"/>
      <c r="IL125" s="77"/>
      <c r="IM125" s="77"/>
      <c r="IN125" s="77"/>
      <c r="IO125" s="77"/>
      <c r="IP125" s="77"/>
      <c r="IQ125" s="77"/>
      <c r="IR125" s="77"/>
      <c r="IS125" s="77"/>
      <c r="IT125" s="77"/>
      <c r="IU125" s="77"/>
      <c r="IV125" s="77"/>
      <c r="IW125" s="77"/>
      <c r="IX125" s="77"/>
      <c r="IY125" s="77"/>
      <c r="IZ125" s="77"/>
      <c r="JA125" s="77"/>
      <c r="JB125" s="77"/>
      <c r="JC125" s="77"/>
      <c r="JD125" s="77"/>
      <c r="JE125" s="77"/>
      <c r="JF125" s="77"/>
      <c r="JG125" s="77"/>
      <c r="JH125" s="77"/>
      <c r="JI125" s="77"/>
      <c r="JJ125" s="77"/>
      <c r="JK125" s="77"/>
      <c r="JL125" s="77"/>
      <c r="JM125" s="77"/>
      <c r="JN125" s="77"/>
      <c r="JO125" s="77"/>
      <c r="JP125" s="77"/>
      <c r="JQ125" s="77"/>
      <c r="JR125" s="77"/>
      <c r="JS125" s="77"/>
      <c r="JT125" s="77"/>
      <c r="JU125" s="77"/>
      <c r="JV125" s="77"/>
      <c r="JW125" s="77"/>
      <c r="JX125" s="77"/>
      <c r="JY125" s="77"/>
      <c r="JZ125" s="77"/>
      <c r="KA125" s="77"/>
      <c r="KB125" s="77"/>
      <c r="KC125" s="77"/>
      <c r="KD125" s="77"/>
      <c r="KE125" s="77"/>
      <c r="KF125" s="77"/>
      <c r="KG125" s="77"/>
      <c r="KH125" s="77"/>
      <c r="KI125" s="77"/>
      <c r="KJ125" s="77"/>
      <c r="KK125" s="77"/>
      <c r="KL125" s="77"/>
      <c r="KM125" s="77"/>
      <c r="KN125" s="77"/>
      <c r="KO125" s="77"/>
      <c r="KP125" s="77"/>
      <c r="KQ125" s="77"/>
      <c r="KR125" s="77"/>
      <c r="KS125" s="77"/>
      <c r="KT125" s="77"/>
      <c r="KU125" s="77"/>
      <c r="KV125" s="77"/>
      <c r="KW125" s="77"/>
      <c r="KX125" s="77"/>
      <c r="KY125" s="77"/>
      <c r="KZ125" s="77"/>
      <c r="LA125" s="77"/>
      <c r="LB125" s="77"/>
      <c r="LC125" s="77"/>
      <c r="LD125" s="77"/>
      <c r="LE125" s="77"/>
      <c r="LF125" s="77"/>
      <c r="LG125" s="77"/>
      <c r="LH125" s="77"/>
      <c r="LI125" s="77"/>
      <c r="LJ125" s="77"/>
      <c r="LK125" s="77"/>
      <c r="LL125" s="77"/>
      <c r="LM125" s="77"/>
      <c r="LN125" s="77"/>
      <c r="LO125" s="77"/>
      <c r="LP125" s="77"/>
      <c r="LQ125" s="77"/>
      <c r="LR125" s="77"/>
      <c r="LS125" s="77"/>
      <c r="LT125" s="77"/>
      <c r="LU125" s="77"/>
      <c r="LV125" s="77"/>
      <c r="LW125" s="77"/>
      <c r="LX125" s="77"/>
      <c r="LY125" s="77"/>
      <c r="LZ125" s="77"/>
      <c r="MA125" s="77"/>
      <c r="MB125" s="77"/>
      <c r="MC125" s="77"/>
      <c r="MD125" s="77"/>
      <c r="ME125" s="77"/>
      <c r="MF125" s="77"/>
      <c r="MG125" s="77"/>
      <c r="MH125" s="77"/>
      <c r="MI125" s="77"/>
      <c r="MJ125" s="77"/>
      <c r="MK125" s="77"/>
      <c r="ML125" s="77"/>
      <c r="MM125" s="77"/>
      <c r="MN125" s="77"/>
      <c r="MO125" s="77"/>
      <c r="MP125" s="77"/>
      <c r="MQ125" s="77"/>
      <c r="MR125" s="77"/>
      <c r="MS125" s="77"/>
      <c r="MT125" s="77"/>
      <c r="MU125" s="77"/>
      <c r="MV125" s="77"/>
      <c r="MW125" s="77"/>
      <c r="MX125" s="77"/>
      <c r="MY125" s="77"/>
      <c r="MZ125" s="77"/>
      <c r="NA125" s="77"/>
      <c r="NB125" s="77"/>
      <c r="NC125" s="77"/>
      <c r="ND125" s="77"/>
      <c r="NE125" s="77"/>
      <c r="NF125" s="77"/>
      <c r="NG125" s="77"/>
      <c r="NH125" s="77"/>
      <c r="NI125" s="77"/>
      <c r="NJ125" s="77"/>
      <c r="NK125" s="77"/>
      <c r="NL125" s="77"/>
      <c r="NM125" s="77"/>
      <c r="NN125" s="77"/>
      <c r="NO125" s="77"/>
      <c r="NP125" s="77"/>
      <c r="NQ125" s="77"/>
      <c r="NR125" s="77"/>
      <c r="NS125" s="77"/>
      <c r="NT125" s="77"/>
      <c r="NU125" s="77"/>
      <c r="NV125" s="77"/>
      <c r="NW125" s="77"/>
    </row>
    <row r="126" spans="2:387" x14ac:dyDescent="0.3">
      <c r="B126" s="18" t="s">
        <v>326</v>
      </c>
      <c r="C126" s="18"/>
      <c r="D126" s="148">
        <f>ROUND(H58,3)</f>
        <v>0.85</v>
      </c>
      <c r="E126" s="148">
        <f>ROUND(D64,3)</f>
        <v>0.85</v>
      </c>
      <c r="F126" s="18" t="b">
        <f>IF(D126=E126,FALSE,TRUE)</f>
        <v>0</v>
      </c>
      <c r="G126" s="18"/>
      <c r="H126" s="18"/>
      <c r="I126" s="18"/>
      <c r="J126" s="18"/>
      <c r="K126" s="18"/>
      <c r="L126" s="18"/>
      <c r="GS126" s="80"/>
      <c r="GT126" s="77"/>
      <c r="GU126" s="77"/>
      <c r="GV126" s="77"/>
      <c r="GW126" s="77"/>
      <c r="GX126" s="77"/>
      <c r="GY126" s="77"/>
      <c r="GZ126" s="77"/>
      <c r="HA126" s="77"/>
      <c r="HB126" s="77"/>
      <c r="HC126" s="77"/>
      <c r="HD126" s="77"/>
      <c r="HE126" s="77"/>
      <c r="HF126" s="77"/>
      <c r="HG126" s="77"/>
      <c r="HH126" s="77"/>
      <c r="HI126" s="77"/>
      <c r="HJ126" s="77"/>
      <c r="HK126" s="77"/>
      <c r="HL126" s="77"/>
      <c r="HM126" s="77"/>
      <c r="HN126" s="77"/>
      <c r="HO126" s="77"/>
      <c r="HP126" s="77"/>
      <c r="HQ126" s="77"/>
      <c r="HR126" s="77"/>
      <c r="HS126" s="77"/>
      <c r="HT126" s="77"/>
      <c r="HU126" s="77"/>
      <c r="HV126" s="77"/>
      <c r="HW126" s="77"/>
      <c r="HX126" s="77"/>
      <c r="HY126" s="77"/>
      <c r="HZ126" s="77"/>
      <c r="IA126" s="77"/>
      <c r="IB126" s="77"/>
      <c r="IC126" s="77"/>
      <c r="ID126" s="77"/>
      <c r="IE126" s="77"/>
      <c r="IF126" s="77"/>
      <c r="IG126" s="77"/>
      <c r="IH126" s="77"/>
      <c r="II126" s="77"/>
      <c r="IJ126" s="77"/>
      <c r="IK126" s="77"/>
      <c r="IL126" s="77"/>
      <c r="IM126" s="77"/>
      <c r="IN126" s="77"/>
      <c r="IO126" s="77"/>
      <c r="IP126" s="77"/>
      <c r="IQ126" s="77"/>
      <c r="IR126" s="77"/>
      <c r="IS126" s="77"/>
      <c r="IT126" s="77"/>
      <c r="IU126" s="77"/>
      <c r="IV126" s="77"/>
      <c r="IW126" s="77"/>
      <c r="IX126" s="77"/>
      <c r="IY126" s="77"/>
      <c r="IZ126" s="77"/>
      <c r="JA126" s="77"/>
      <c r="JB126" s="77"/>
      <c r="JC126" s="77"/>
      <c r="JD126" s="77"/>
      <c r="JE126" s="77"/>
      <c r="JF126" s="77"/>
      <c r="JG126" s="77"/>
      <c r="JH126" s="77"/>
      <c r="JI126" s="77"/>
      <c r="JJ126" s="77"/>
      <c r="JK126" s="77"/>
      <c r="JL126" s="77"/>
      <c r="JM126" s="77"/>
      <c r="JN126" s="77"/>
      <c r="JO126" s="77"/>
      <c r="JP126" s="77"/>
      <c r="JQ126" s="77"/>
      <c r="JR126" s="77"/>
      <c r="JS126" s="77"/>
      <c r="JT126" s="77"/>
      <c r="JU126" s="77"/>
      <c r="JV126" s="77"/>
      <c r="JW126" s="77"/>
      <c r="JX126" s="77"/>
      <c r="JY126" s="77"/>
      <c r="JZ126" s="77"/>
      <c r="KA126" s="77"/>
      <c r="KB126" s="77"/>
      <c r="KC126" s="77"/>
      <c r="KD126" s="77"/>
      <c r="KE126" s="77"/>
      <c r="KF126" s="77"/>
      <c r="KG126" s="77"/>
      <c r="KH126" s="77"/>
      <c r="KI126" s="77"/>
      <c r="KJ126" s="77"/>
      <c r="KK126" s="77"/>
      <c r="KL126" s="77"/>
      <c r="KM126" s="77"/>
      <c r="KN126" s="77"/>
      <c r="KO126" s="77"/>
      <c r="KP126" s="77"/>
      <c r="KQ126" s="77"/>
      <c r="KR126" s="77"/>
      <c r="KS126" s="77"/>
      <c r="KT126" s="77"/>
      <c r="KU126" s="77"/>
      <c r="KV126" s="77"/>
      <c r="KW126" s="77"/>
      <c r="KX126" s="77"/>
      <c r="KY126" s="77"/>
      <c r="KZ126" s="77"/>
      <c r="LA126" s="77"/>
      <c r="LB126" s="77"/>
      <c r="LC126" s="77"/>
      <c r="LD126" s="77"/>
      <c r="LE126" s="77"/>
      <c r="LF126" s="77"/>
      <c r="LG126" s="77"/>
      <c r="LH126" s="77"/>
      <c r="LI126" s="77"/>
      <c r="LJ126" s="77"/>
      <c r="LK126" s="77"/>
      <c r="LL126" s="77"/>
      <c r="LM126" s="77"/>
      <c r="LN126" s="77"/>
      <c r="LO126" s="77"/>
      <c r="LP126" s="77"/>
      <c r="LQ126" s="77"/>
      <c r="LR126" s="77"/>
      <c r="LS126" s="77"/>
      <c r="LT126" s="77"/>
      <c r="LU126" s="77"/>
      <c r="LV126" s="77"/>
      <c r="LW126" s="77"/>
      <c r="LX126" s="77"/>
      <c r="LY126" s="77"/>
      <c r="LZ126" s="77"/>
      <c r="MA126" s="77"/>
      <c r="MB126" s="77"/>
      <c r="MC126" s="77"/>
      <c r="MD126" s="77"/>
      <c r="ME126" s="77"/>
      <c r="MF126" s="77"/>
      <c r="MG126" s="77"/>
      <c r="MH126" s="77"/>
      <c r="MI126" s="77"/>
      <c r="MJ126" s="77"/>
      <c r="MK126" s="77"/>
      <c r="ML126" s="77"/>
      <c r="MM126" s="77"/>
      <c r="MN126" s="77"/>
      <c r="MO126" s="77"/>
      <c r="MP126" s="77"/>
      <c r="MQ126" s="77"/>
      <c r="MR126" s="77"/>
      <c r="MS126" s="77"/>
      <c r="MT126" s="77"/>
      <c r="MU126" s="77"/>
      <c r="MV126" s="77"/>
      <c r="MW126" s="77"/>
      <c r="MX126" s="77"/>
      <c r="MY126" s="77"/>
      <c r="MZ126" s="77"/>
      <c r="NA126" s="77"/>
      <c r="NB126" s="77"/>
      <c r="NC126" s="77"/>
      <c r="ND126" s="77"/>
      <c r="NE126" s="77"/>
      <c r="NF126" s="77"/>
      <c r="NG126" s="77"/>
      <c r="NH126" s="77"/>
      <c r="NI126" s="77"/>
      <c r="NJ126" s="77"/>
      <c r="NK126" s="77"/>
      <c r="NL126" s="77"/>
      <c r="NM126" s="77"/>
      <c r="NN126" s="77"/>
      <c r="NO126" s="77"/>
      <c r="NP126" s="77"/>
      <c r="NQ126" s="77"/>
      <c r="NR126" s="77"/>
      <c r="NS126" s="77"/>
      <c r="NT126" s="77"/>
      <c r="NU126" s="77"/>
      <c r="NV126" s="77"/>
      <c r="NW126" s="77"/>
    </row>
    <row r="127" spans="2:387" x14ac:dyDescent="0.3">
      <c r="B127" s="18" t="s">
        <v>327</v>
      </c>
      <c r="C127" s="18">
        <v>1</v>
      </c>
      <c r="D127" s="146">
        <f>L67</f>
        <v>1670811.8918918918</v>
      </c>
      <c r="E127" s="146">
        <f>Equity_Total</f>
        <v>1670811.8918918918</v>
      </c>
      <c r="F127" s="18" t="b">
        <f>IF(D127=E127,FALSE,TRUE)</f>
        <v>0</v>
      </c>
      <c r="G127" s="147">
        <v>0.65</v>
      </c>
      <c r="H127" s="18"/>
      <c r="I127" s="18"/>
      <c r="J127" s="18"/>
      <c r="K127" s="18"/>
      <c r="L127" s="18"/>
      <c r="GS127" s="80"/>
      <c r="GT127" s="77"/>
      <c r="GU127" s="77"/>
      <c r="GV127" s="77"/>
      <c r="GW127" s="77"/>
      <c r="GX127" s="77"/>
      <c r="GY127" s="77"/>
      <c r="GZ127" s="77"/>
      <c r="HA127" s="77"/>
      <c r="HB127" s="77"/>
      <c r="HC127" s="77"/>
      <c r="HD127" s="77"/>
      <c r="HE127" s="77"/>
      <c r="HF127" s="77"/>
      <c r="HG127" s="77"/>
      <c r="HH127" s="77"/>
      <c r="HI127" s="77"/>
      <c r="HJ127" s="77"/>
      <c r="HK127" s="77"/>
      <c r="HL127" s="77"/>
      <c r="HM127" s="77"/>
      <c r="HN127" s="77"/>
      <c r="HO127" s="77"/>
      <c r="HP127" s="77"/>
      <c r="HQ127" s="77"/>
      <c r="HR127" s="77"/>
      <c r="HS127" s="77"/>
      <c r="HT127" s="77"/>
      <c r="HU127" s="77"/>
      <c r="HV127" s="77"/>
      <c r="HW127" s="77"/>
      <c r="HX127" s="77"/>
      <c r="HY127" s="77"/>
      <c r="HZ127" s="77"/>
      <c r="IA127" s="77"/>
      <c r="IB127" s="77"/>
      <c r="IC127" s="77"/>
      <c r="ID127" s="77"/>
      <c r="IE127" s="77"/>
      <c r="IF127" s="77"/>
      <c r="IG127" s="77"/>
      <c r="IH127" s="77"/>
      <c r="II127" s="77"/>
      <c r="IJ127" s="77"/>
      <c r="IK127" s="77"/>
      <c r="IL127" s="77"/>
      <c r="IM127" s="77"/>
      <c r="IN127" s="77"/>
      <c r="IO127" s="77"/>
      <c r="IP127" s="77"/>
      <c r="IQ127" s="77"/>
      <c r="IR127" s="77"/>
      <c r="IS127" s="77"/>
      <c r="IT127" s="77"/>
      <c r="IU127" s="77"/>
      <c r="IV127" s="77"/>
      <c r="IW127" s="77"/>
      <c r="IX127" s="77"/>
      <c r="IY127" s="77"/>
      <c r="IZ127" s="77"/>
      <c r="JA127" s="77"/>
      <c r="JB127" s="77"/>
      <c r="JC127" s="77"/>
      <c r="JD127" s="77"/>
      <c r="JE127" s="77"/>
      <c r="JF127" s="77"/>
      <c r="JG127" s="77"/>
      <c r="JH127" s="77"/>
      <c r="JI127" s="77"/>
      <c r="JJ127" s="77"/>
      <c r="JK127" s="77"/>
      <c r="JL127" s="77"/>
      <c r="JM127" s="77"/>
      <c r="JN127" s="77"/>
      <c r="JO127" s="77"/>
      <c r="JP127" s="77"/>
      <c r="JQ127" s="77"/>
      <c r="JR127" s="77"/>
      <c r="JS127" s="77"/>
      <c r="JT127" s="77"/>
      <c r="JU127" s="77"/>
      <c r="JV127" s="77"/>
      <c r="JW127" s="77"/>
      <c r="JX127" s="77"/>
      <c r="JY127" s="77"/>
      <c r="JZ127" s="77"/>
      <c r="KA127" s="77"/>
      <c r="KB127" s="77"/>
      <c r="KC127" s="77"/>
      <c r="KD127" s="77"/>
      <c r="KE127" s="77"/>
      <c r="KF127" s="77"/>
      <c r="KG127" s="77"/>
      <c r="KH127" s="77"/>
      <c r="KI127" s="77"/>
      <c r="KJ127" s="77"/>
      <c r="KK127" s="77"/>
      <c r="KL127" s="77"/>
      <c r="KM127" s="77"/>
      <c r="KN127" s="77"/>
      <c r="KO127" s="77"/>
      <c r="KP127" s="77"/>
      <c r="KQ127" s="77"/>
      <c r="KR127" s="77"/>
      <c r="KS127" s="77"/>
      <c r="KT127" s="77"/>
      <c r="KU127" s="77"/>
      <c r="KV127" s="77"/>
      <c r="KW127" s="77"/>
      <c r="KX127" s="77"/>
      <c r="KY127" s="77"/>
      <c r="KZ127" s="77"/>
      <c r="LA127" s="77"/>
      <c r="LB127" s="77"/>
      <c r="LC127" s="77"/>
      <c r="LD127" s="77"/>
      <c r="LE127" s="77"/>
      <c r="LF127" s="77"/>
      <c r="LG127" s="77"/>
      <c r="LH127" s="77"/>
      <c r="LI127" s="77"/>
      <c r="LJ127" s="77"/>
      <c r="LK127" s="77"/>
      <c r="LL127" s="77"/>
      <c r="LM127" s="77"/>
      <c r="LN127" s="77"/>
      <c r="LO127" s="77"/>
      <c r="LP127" s="77"/>
      <c r="LQ127" s="77"/>
      <c r="LR127" s="77"/>
      <c r="LS127" s="77"/>
      <c r="LT127" s="77"/>
      <c r="LU127" s="77"/>
      <c r="LV127" s="77"/>
      <c r="LW127" s="77"/>
      <c r="LX127" s="77"/>
      <c r="LY127" s="77"/>
      <c r="LZ127" s="77"/>
      <c r="MA127" s="77"/>
      <c r="MB127" s="77"/>
      <c r="MC127" s="77"/>
      <c r="MD127" s="77"/>
      <c r="ME127" s="77"/>
      <c r="MF127" s="77"/>
      <c r="MG127" s="77"/>
      <c r="MH127" s="77"/>
      <c r="MI127" s="77"/>
      <c r="MJ127" s="77"/>
      <c r="MK127" s="77"/>
      <c r="ML127" s="77"/>
      <c r="MM127" s="77"/>
      <c r="MN127" s="77"/>
      <c r="MO127" s="77"/>
      <c r="MP127" s="77"/>
      <c r="MQ127" s="77"/>
      <c r="MR127" s="77"/>
      <c r="MS127" s="77"/>
      <c r="MT127" s="77"/>
      <c r="MU127" s="77"/>
      <c r="MV127" s="77"/>
      <c r="MW127" s="77"/>
      <c r="MX127" s="77"/>
      <c r="MY127" s="77"/>
      <c r="MZ127" s="77"/>
      <c r="NA127" s="77"/>
      <c r="NB127" s="77"/>
      <c r="NC127" s="77"/>
      <c r="ND127" s="77"/>
      <c r="NE127" s="77"/>
      <c r="NF127" s="77"/>
      <c r="NG127" s="77"/>
      <c r="NH127" s="77"/>
      <c r="NI127" s="77"/>
      <c r="NJ127" s="77"/>
      <c r="NK127" s="77"/>
      <c r="NL127" s="77"/>
      <c r="NM127" s="77"/>
      <c r="NN127" s="77"/>
      <c r="NO127" s="77"/>
      <c r="NP127" s="77"/>
      <c r="NQ127" s="77"/>
      <c r="NR127" s="77"/>
      <c r="NS127" s="77"/>
      <c r="NT127" s="77"/>
      <c r="NU127" s="77"/>
      <c r="NV127" s="77"/>
      <c r="NW127" s="77"/>
    </row>
    <row r="128" spans="2:387" x14ac:dyDescent="0.3">
      <c r="B128" s="18"/>
      <c r="C128" s="18"/>
      <c r="D128" s="18"/>
      <c r="E128" s="18"/>
      <c r="F128" s="18" t="b">
        <f>(F126*1+F127*1)&gt;0</f>
        <v>0</v>
      </c>
      <c r="G128" s="18"/>
      <c r="H128" s="18"/>
      <c r="I128" s="18"/>
      <c r="J128" s="18"/>
      <c r="K128" s="18"/>
      <c r="L128" s="18"/>
      <c r="GS128" s="80"/>
      <c r="GT128" s="77"/>
      <c r="GU128" s="77"/>
      <c r="GV128" s="77"/>
      <c r="GW128" s="77"/>
      <c r="GX128" s="77"/>
      <c r="GY128" s="77"/>
      <c r="GZ128" s="77"/>
      <c r="HA128" s="77"/>
      <c r="HB128" s="77"/>
      <c r="HC128" s="77"/>
      <c r="HD128" s="77"/>
      <c r="HE128" s="77"/>
      <c r="HF128" s="77"/>
      <c r="HG128" s="77"/>
      <c r="HH128" s="77"/>
      <c r="HI128" s="77"/>
      <c r="HJ128" s="77"/>
      <c r="HK128" s="77"/>
      <c r="HL128" s="77"/>
      <c r="HM128" s="77"/>
      <c r="HN128" s="77"/>
      <c r="HO128" s="77"/>
      <c r="HP128" s="77"/>
      <c r="HQ128" s="77"/>
      <c r="HR128" s="77"/>
      <c r="HS128" s="77"/>
      <c r="HT128" s="77"/>
      <c r="HU128" s="77"/>
      <c r="HV128" s="77"/>
      <c r="HW128" s="77"/>
      <c r="HX128" s="77"/>
      <c r="HY128" s="77"/>
      <c r="HZ128" s="77"/>
      <c r="IA128" s="77"/>
      <c r="IB128" s="77"/>
      <c r="IC128" s="77"/>
      <c r="ID128" s="77"/>
      <c r="IE128" s="77"/>
      <c r="IF128" s="77"/>
      <c r="IG128" s="77"/>
      <c r="IH128" s="77"/>
      <c r="II128" s="77"/>
      <c r="IJ128" s="77"/>
      <c r="IK128" s="77"/>
      <c r="IL128" s="77"/>
      <c r="IM128" s="77"/>
      <c r="IN128" s="77"/>
      <c r="IO128" s="77"/>
      <c r="IP128" s="77"/>
      <c r="IQ128" s="77"/>
      <c r="IR128" s="77"/>
      <c r="IS128" s="77"/>
      <c r="IT128" s="77"/>
      <c r="IU128" s="77"/>
      <c r="IV128" s="77"/>
      <c r="IW128" s="77"/>
      <c r="IX128" s="77"/>
      <c r="IY128" s="77"/>
      <c r="IZ128" s="77"/>
      <c r="JA128" s="77"/>
      <c r="JB128" s="77"/>
      <c r="JC128" s="77"/>
      <c r="JD128" s="77"/>
      <c r="JE128" s="77"/>
      <c r="JF128" s="77"/>
      <c r="JG128" s="77"/>
      <c r="JH128" s="77"/>
      <c r="JI128" s="77"/>
      <c r="JJ128" s="77"/>
      <c r="JK128" s="77"/>
      <c r="JL128" s="77"/>
      <c r="JM128" s="77"/>
      <c r="JN128" s="77"/>
      <c r="JO128" s="77"/>
      <c r="JP128" s="77"/>
      <c r="JQ128" s="77"/>
      <c r="JR128" s="77"/>
      <c r="JS128" s="77"/>
      <c r="JT128" s="77"/>
      <c r="JU128" s="77"/>
      <c r="JV128" s="77"/>
      <c r="JW128" s="77"/>
      <c r="JX128" s="77"/>
      <c r="JY128" s="77"/>
      <c r="JZ128" s="77"/>
      <c r="KA128" s="77"/>
      <c r="KB128" s="77"/>
      <c r="KC128" s="77"/>
      <c r="KD128" s="77"/>
      <c r="KE128" s="77"/>
      <c r="KF128" s="77"/>
      <c r="KG128" s="77"/>
      <c r="KH128" s="77"/>
      <c r="KI128" s="77"/>
      <c r="KJ128" s="77"/>
      <c r="KK128" s="77"/>
      <c r="KL128" s="77"/>
      <c r="KM128" s="77"/>
      <c r="KN128" s="77"/>
      <c r="KO128" s="77"/>
      <c r="KP128" s="77"/>
      <c r="KQ128" s="77"/>
      <c r="KR128" s="77"/>
      <c r="KS128" s="77"/>
      <c r="KT128" s="77"/>
      <c r="KU128" s="77"/>
      <c r="KV128" s="77"/>
      <c r="KW128" s="77"/>
      <c r="KX128" s="77"/>
      <c r="KY128" s="77"/>
      <c r="KZ128" s="77"/>
      <c r="LA128" s="77"/>
      <c r="LB128" s="77"/>
      <c r="LC128" s="77"/>
      <c r="LD128" s="77"/>
      <c r="LE128" s="77"/>
      <c r="LF128" s="77"/>
      <c r="LG128" s="77"/>
      <c r="LH128" s="77"/>
      <c r="LI128" s="77"/>
      <c r="LJ128" s="77"/>
      <c r="LK128" s="77"/>
      <c r="LL128" s="77"/>
      <c r="LM128" s="77"/>
      <c r="LN128" s="77"/>
      <c r="LO128" s="77"/>
      <c r="LP128" s="77"/>
      <c r="LQ128" s="77"/>
      <c r="LR128" s="77"/>
      <c r="LS128" s="77"/>
      <c r="LT128" s="77"/>
      <c r="LU128" s="77"/>
      <c r="LV128" s="77"/>
      <c r="LW128" s="77"/>
      <c r="LX128" s="77"/>
      <c r="LY128" s="77"/>
      <c r="LZ128" s="77"/>
      <c r="MA128" s="77"/>
      <c r="MB128" s="77"/>
      <c r="MC128" s="77"/>
      <c r="MD128" s="77"/>
      <c r="ME128" s="77"/>
      <c r="MF128" s="77"/>
      <c r="MG128" s="77"/>
      <c r="MH128" s="77"/>
      <c r="MI128" s="77"/>
      <c r="MJ128" s="77"/>
      <c r="MK128" s="77"/>
      <c r="ML128" s="77"/>
      <c r="MM128" s="77"/>
      <c r="MN128" s="77"/>
      <c r="MO128" s="77"/>
      <c r="MP128" s="77"/>
      <c r="MQ128" s="77"/>
      <c r="MR128" s="77"/>
      <c r="MS128" s="77"/>
      <c r="MT128" s="77"/>
      <c r="MU128" s="77"/>
      <c r="MV128" s="77"/>
      <c r="MW128" s="77"/>
      <c r="MX128" s="77"/>
      <c r="MY128" s="77"/>
      <c r="MZ128" s="77"/>
      <c r="NA128" s="77"/>
      <c r="NB128" s="77"/>
      <c r="NC128" s="77"/>
      <c r="ND128" s="77"/>
      <c r="NE128" s="77"/>
      <c r="NF128" s="77"/>
      <c r="NG128" s="77"/>
      <c r="NH128" s="77"/>
      <c r="NI128" s="77"/>
      <c r="NJ128" s="77"/>
      <c r="NK128" s="77"/>
      <c r="NL128" s="77"/>
      <c r="NM128" s="77"/>
      <c r="NN128" s="77"/>
      <c r="NO128" s="77"/>
      <c r="NP128" s="77"/>
      <c r="NQ128" s="77"/>
      <c r="NR128" s="77"/>
      <c r="NS128" s="77"/>
      <c r="NT128" s="77"/>
      <c r="NU128" s="77"/>
      <c r="NV128" s="77"/>
      <c r="NW128" s="77"/>
    </row>
    <row r="129" spans="2:387" x14ac:dyDescent="0.3">
      <c r="B129" s="18"/>
      <c r="C129" s="18"/>
      <c r="D129" s="18"/>
      <c r="E129" s="18"/>
      <c r="F129" s="18"/>
      <c r="G129" s="18"/>
      <c r="H129" s="18"/>
      <c r="I129" s="18"/>
      <c r="J129" s="18"/>
      <c r="K129" s="18"/>
      <c r="L129" s="18"/>
      <c r="GS129" s="80"/>
      <c r="GT129" s="77"/>
      <c r="GU129" s="77"/>
      <c r="GV129" s="77"/>
      <c r="GW129" s="77"/>
      <c r="GX129" s="77"/>
      <c r="GY129" s="77"/>
      <c r="GZ129" s="77"/>
      <c r="HA129" s="77"/>
      <c r="HB129" s="77"/>
      <c r="HC129" s="77"/>
      <c r="HD129" s="77"/>
      <c r="HE129" s="77"/>
      <c r="HF129" s="77"/>
      <c r="HG129" s="77"/>
      <c r="HH129" s="77"/>
      <c r="HI129" s="77"/>
      <c r="HJ129" s="77"/>
      <c r="HK129" s="77"/>
      <c r="HL129" s="77"/>
      <c r="HM129" s="77"/>
      <c r="HN129" s="77"/>
      <c r="HO129" s="77"/>
      <c r="HP129" s="77"/>
      <c r="HQ129" s="77"/>
      <c r="HR129" s="77"/>
      <c r="HS129" s="77"/>
      <c r="HT129" s="77"/>
      <c r="HU129" s="77"/>
      <c r="HV129" s="77"/>
      <c r="HW129" s="77"/>
      <c r="HX129" s="77"/>
      <c r="HY129" s="77"/>
      <c r="HZ129" s="77"/>
      <c r="IA129" s="77"/>
      <c r="IB129" s="77"/>
      <c r="IC129" s="77"/>
      <c r="ID129" s="77"/>
      <c r="IE129" s="77"/>
      <c r="IF129" s="77"/>
      <c r="IG129" s="77"/>
      <c r="IH129" s="77"/>
      <c r="II129" s="77"/>
      <c r="IJ129" s="77"/>
      <c r="IK129" s="77"/>
      <c r="IL129" s="77"/>
      <c r="IM129" s="77"/>
      <c r="IN129" s="77"/>
      <c r="IO129" s="77"/>
      <c r="IP129" s="77"/>
      <c r="IQ129" s="77"/>
      <c r="IR129" s="77"/>
      <c r="IS129" s="77"/>
      <c r="IT129" s="77"/>
      <c r="IU129" s="77"/>
      <c r="IV129" s="77"/>
      <c r="IW129" s="77"/>
      <c r="IX129" s="77"/>
      <c r="IY129" s="77"/>
      <c r="IZ129" s="77"/>
      <c r="JA129" s="77"/>
      <c r="JB129" s="77"/>
      <c r="JC129" s="77"/>
      <c r="JD129" s="77"/>
      <c r="JE129" s="77"/>
      <c r="JF129" s="77"/>
      <c r="JG129" s="77"/>
      <c r="JH129" s="77"/>
      <c r="JI129" s="77"/>
      <c r="JJ129" s="77"/>
      <c r="JK129" s="77"/>
      <c r="JL129" s="77"/>
      <c r="JM129" s="77"/>
      <c r="JN129" s="77"/>
      <c r="JO129" s="77"/>
      <c r="JP129" s="77"/>
      <c r="JQ129" s="77"/>
      <c r="JR129" s="77"/>
      <c r="JS129" s="77"/>
      <c r="JT129" s="77"/>
      <c r="JU129" s="77"/>
      <c r="JV129" s="77"/>
      <c r="JW129" s="77"/>
      <c r="JX129" s="77"/>
      <c r="JY129" s="77"/>
      <c r="JZ129" s="77"/>
      <c r="KA129" s="77"/>
      <c r="KB129" s="77"/>
      <c r="KC129" s="77"/>
      <c r="KD129" s="77"/>
      <c r="KE129" s="77"/>
      <c r="KF129" s="77"/>
      <c r="KG129" s="77"/>
      <c r="KH129" s="77"/>
      <c r="KI129" s="77"/>
      <c r="KJ129" s="77"/>
      <c r="KK129" s="77"/>
      <c r="KL129" s="77"/>
      <c r="KM129" s="77"/>
      <c r="KN129" s="77"/>
      <c r="KO129" s="77"/>
      <c r="KP129" s="77"/>
      <c r="KQ129" s="77"/>
      <c r="KR129" s="77"/>
      <c r="KS129" s="77"/>
      <c r="KT129" s="77"/>
      <c r="KU129" s="77"/>
      <c r="KV129" s="77"/>
      <c r="KW129" s="77"/>
      <c r="KX129" s="77"/>
      <c r="KY129" s="77"/>
      <c r="KZ129" s="77"/>
      <c r="LA129" s="77"/>
      <c r="LB129" s="77"/>
      <c r="LC129" s="77"/>
      <c r="LD129" s="77"/>
      <c r="LE129" s="77"/>
      <c r="LF129" s="77"/>
      <c r="LG129" s="77"/>
      <c r="LH129" s="77"/>
      <c r="LI129" s="77"/>
      <c r="LJ129" s="77"/>
      <c r="LK129" s="77"/>
      <c r="LL129" s="77"/>
      <c r="LM129" s="77"/>
      <c r="LN129" s="77"/>
      <c r="LO129" s="77"/>
      <c r="LP129" s="77"/>
      <c r="LQ129" s="77"/>
      <c r="LR129" s="77"/>
      <c r="LS129" s="77"/>
      <c r="LT129" s="77"/>
      <c r="LU129" s="77"/>
      <c r="LV129" s="77"/>
      <c r="LW129" s="77"/>
      <c r="LX129" s="77"/>
      <c r="LY129" s="77"/>
      <c r="LZ129" s="77"/>
      <c r="MA129" s="77"/>
      <c r="MB129" s="77"/>
      <c r="MC129" s="77"/>
      <c r="MD129" s="77"/>
      <c r="ME129" s="77"/>
      <c r="MF129" s="77"/>
      <c r="MG129" s="77"/>
      <c r="MH129" s="77"/>
      <c r="MI129" s="77"/>
      <c r="MJ129" s="77"/>
      <c r="MK129" s="77"/>
      <c r="ML129" s="77"/>
      <c r="MM129" s="77"/>
      <c r="MN129" s="77"/>
      <c r="MO129" s="77"/>
      <c r="MP129" s="77"/>
      <c r="MQ129" s="77"/>
      <c r="MR129" s="77"/>
      <c r="MS129" s="77"/>
      <c r="MT129" s="77"/>
      <c r="MU129" s="77"/>
      <c r="MV129" s="77"/>
      <c r="MW129" s="77"/>
      <c r="MX129" s="77"/>
      <c r="MY129" s="77"/>
      <c r="MZ129" s="77"/>
      <c r="NA129" s="77"/>
      <c r="NB129" s="77"/>
      <c r="NC129" s="77"/>
      <c r="ND129" s="77"/>
      <c r="NE129" s="77"/>
      <c r="NF129" s="77"/>
      <c r="NG129" s="77"/>
      <c r="NH129" s="77"/>
      <c r="NI129" s="77"/>
      <c r="NJ129" s="77"/>
      <c r="NK129" s="77"/>
      <c r="NL129" s="77"/>
      <c r="NM129" s="77"/>
      <c r="NN129" s="77"/>
      <c r="NO129" s="77"/>
      <c r="NP129" s="77"/>
      <c r="NQ129" s="77"/>
      <c r="NR129" s="77"/>
      <c r="NS129" s="77"/>
      <c r="NT129" s="77"/>
      <c r="NU129" s="77"/>
      <c r="NV129" s="77"/>
      <c r="NW129" s="77"/>
    </row>
    <row r="130" spans="2:387" x14ac:dyDescent="0.3">
      <c r="B130" s="18" t="s">
        <v>328</v>
      </c>
      <c r="C130" s="18"/>
      <c r="D130" s="18"/>
      <c r="E130" s="18"/>
      <c r="F130" s="18" t="b">
        <f>D64&gt;0</f>
        <v>1</v>
      </c>
      <c r="G130" s="18"/>
      <c r="H130" s="18"/>
      <c r="I130" s="18"/>
      <c r="J130" s="18"/>
      <c r="K130" s="18"/>
      <c r="L130" s="18"/>
      <c r="GS130" s="80"/>
      <c r="GT130" s="77"/>
      <c r="GU130" s="77"/>
      <c r="GV130" s="77"/>
      <c r="GW130" s="77"/>
      <c r="GX130" s="77"/>
      <c r="GY130" s="77"/>
      <c r="GZ130" s="77"/>
      <c r="HA130" s="77"/>
      <c r="HB130" s="77"/>
      <c r="HC130" s="77"/>
      <c r="HD130" s="77"/>
      <c r="HE130" s="77"/>
      <c r="HF130" s="77"/>
      <c r="HG130" s="77"/>
      <c r="HH130" s="77"/>
      <c r="HI130" s="77"/>
      <c r="HJ130" s="77"/>
      <c r="HK130" s="77"/>
      <c r="HL130" s="77"/>
      <c r="HM130" s="77"/>
      <c r="HN130" s="77"/>
      <c r="HO130" s="77"/>
      <c r="HP130" s="77"/>
      <c r="HQ130" s="77"/>
      <c r="HR130" s="77"/>
      <c r="HS130" s="77"/>
      <c r="HT130" s="77"/>
      <c r="HU130" s="77"/>
      <c r="HV130" s="77"/>
      <c r="HW130" s="77"/>
      <c r="HX130" s="77"/>
      <c r="HY130" s="77"/>
      <c r="HZ130" s="77"/>
      <c r="IA130" s="77"/>
      <c r="IB130" s="77"/>
      <c r="IC130" s="77"/>
      <c r="ID130" s="77"/>
      <c r="IE130" s="77"/>
      <c r="IF130" s="77"/>
      <c r="IG130" s="77"/>
      <c r="IH130" s="77"/>
      <c r="II130" s="77"/>
      <c r="IJ130" s="77"/>
      <c r="IK130" s="77"/>
      <c r="IL130" s="77"/>
      <c r="IM130" s="77"/>
      <c r="IN130" s="77"/>
      <c r="IO130" s="77"/>
      <c r="IP130" s="77"/>
      <c r="IQ130" s="77"/>
      <c r="IR130" s="77"/>
      <c r="IS130" s="77"/>
      <c r="IT130" s="77"/>
      <c r="IU130" s="77"/>
      <c r="IV130" s="77"/>
      <c r="IW130" s="77"/>
      <c r="IX130" s="77"/>
      <c r="IY130" s="77"/>
      <c r="IZ130" s="77"/>
      <c r="JA130" s="77"/>
      <c r="JB130" s="77"/>
      <c r="JC130" s="77"/>
      <c r="JD130" s="77"/>
      <c r="JE130" s="77"/>
      <c r="JF130" s="77"/>
      <c r="JG130" s="77"/>
      <c r="JH130" s="77"/>
      <c r="JI130" s="77"/>
      <c r="JJ130" s="77"/>
      <c r="JK130" s="77"/>
      <c r="JL130" s="77"/>
      <c r="JM130" s="77"/>
      <c r="JN130" s="77"/>
      <c r="JO130" s="77"/>
      <c r="JP130" s="77"/>
      <c r="JQ130" s="77"/>
      <c r="JR130" s="77"/>
      <c r="JS130" s="77"/>
      <c r="JT130" s="77"/>
      <c r="JU130" s="77"/>
      <c r="JV130" s="77"/>
      <c r="JW130" s="77"/>
      <c r="JX130" s="77"/>
      <c r="JY130" s="77"/>
      <c r="JZ130" s="77"/>
      <c r="KA130" s="77"/>
      <c r="KB130" s="77"/>
      <c r="KC130" s="77"/>
      <c r="KD130" s="77"/>
      <c r="KE130" s="77"/>
      <c r="KF130" s="77"/>
      <c r="KG130" s="77"/>
      <c r="KH130" s="77"/>
      <c r="KI130" s="77"/>
      <c r="KJ130" s="77"/>
      <c r="KK130" s="77"/>
      <c r="KL130" s="77"/>
      <c r="KM130" s="77"/>
      <c r="KN130" s="77"/>
      <c r="KO130" s="77"/>
      <c r="KP130" s="77"/>
      <c r="KQ130" s="77"/>
      <c r="KR130" s="77"/>
      <c r="KS130" s="77"/>
      <c r="KT130" s="77"/>
      <c r="KU130" s="77"/>
      <c r="KV130" s="77"/>
      <c r="KW130" s="77"/>
      <c r="KX130" s="77"/>
      <c r="KY130" s="77"/>
      <c r="KZ130" s="77"/>
      <c r="LA130" s="77"/>
      <c r="LB130" s="77"/>
      <c r="LC130" s="77"/>
      <c r="LD130" s="77"/>
      <c r="LE130" s="77"/>
      <c r="LF130" s="77"/>
      <c r="LG130" s="77"/>
      <c r="LH130" s="77"/>
      <c r="LI130" s="77"/>
      <c r="LJ130" s="77"/>
      <c r="LK130" s="77"/>
      <c r="LL130" s="77"/>
      <c r="LM130" s="77"/>
      <c r="LN130" s="77"/>
      <c r="LO130" s="77"/>
      <c r="LP130" s="77"/>
      <c r="LQ130" s="77"/>
      <c r="LR130" s="77"/>
      <c r="LS130" s="77"/>
      <c r="LT130" s="77"/>
      <c r="LU130" s="77"/>
      <c r="LV130" s="77"/>
      <c r="LW130" s="77"/>
      <c r="LX130" s="77"/>
      <c r="LY130" s="77"/>
      <c r="LZ130" s="77"/>
      <c r="MA130" s="77"/>
      <c r="MB130" s="77"/>
      <c r="MC130" s="77"/>
      <c r="MD130" s="77"/>
      <c r="ME130" s="77"/>
      <c r="MF130" s="77"/>
      <c r="MG130" s="77"/>
      <c r="MH130" s="77"/>
      <c r="MI130" s="77"/>
      <c r="MJ130" s="77"/>
      <c r="MK130" s="77"/>
      <c r="ML130" s="77"/>
      <c r="MM130" s="77"/>
      <c r="MN130" s="77"/>
      <c r="MO130" s="77"/>
      <c r="MP130" s="77"/>
      <c r="MQ130" s="77"/>
      <c r="MR130" s="77"/>
      <c r="MS130" s="77"/>
      <c r="MT130" s="77"/>
      <c r="MU130" s="77"/>
      <c r="MV130" s="77"/>
      <c r="MW130" s="77"/>
      <c r="MX130" s="77"/>
      <c r="MY130" s="77"/>
      <c r="MZ130" s="77"/>
      <c r="NA130" s="77"/>
      <c r="NB130" s="77"/>
      <c r="NC130" s="77"/>
      <c r="ND130" s="77"/>
      <c r="NE130" s="77"/>
      <c r="NF130" s="77"/>
      <c r="NG130" s="77"/>
      <c r="NH130" s="77"/>
      <c r="NI130" s="77"/>
      <c r="NJ130" s="77"/>
      <c r="NK130" s="77"/>
      <c r="NL130" s="77"/>
      <c r="NM130" s="77"/>
      <c r="NN130" s="77"/>
      <c r="NO130" s="77"/>
      <c r="NP130" s="77"/>
      <c r="NQ130" s="77"/>
      <c r="NR130" s="77"/>
      <c r="NS130" s="77"/>
      <c r="NT130" s="77"/>
      <c r="NU130" s="77"/>
      <c r="NV130" s="77"/>
      <c r="NW130" s="77"/>
    </row>
    <row r="131" spans="2:387" x14ac:dyDescent="0.3">
      <c r="B131" s="18"/>
      <c r="C131" s="18"/>
      <c r="D131" s="18"/>
      <c r="E131" s="18"/>
      <c r="F131" s="18"/>
      <c r="G131" s="18"/>
      <c r="H131" s="18"/>
      <c r="I131" s="18"/>
      <c r="J131" s="18"/>
      <c r="K131" s="18"/>
      <c r="L131" s="18"/>
    </row>
    <row r="132" spans="2:387" x14ac:dyDescent="0.3">
      <c r="B132" s="18"/>
      <c r="C132" s="18"/>
      <c r="D132" s="18"/>
      <c r="E132" s="18"/>
      <c r="F132" s="18"/>
      <c r="G132" s="18"/>
      <c r="H132" s="18"/>
      <c r="I132" s="18"/>
      <c r="J132" s="18"/>
      <c r="K132" s="18"/>
      <c r="L132" s="18"/>
    </row>
    <row r="133" spans="2:387" x14ac:dyDescent="0.3">
      <c r="B133" s="18"/>
      <c r="C133" s="18"/>
      <c r="D133" s="18"/>
      <c r="E133" s="18"/>
      <c r="F133" s="18"/>
      <c r="G133" s="18"/>
      <c r="H133" s="18"/>
      <c r="I133" s="18"/>
      <c r="J133" s="18"/>
      <c r="K133" s="18"/>
      <c r="L133" s="18"/>
    </row>
    <row r="134" spans="2:387" x14ac:dyDescent="0.3">
      <c r="B134" s="18"/>
      <c r="C134" s="18"/>
      <c r="D134" s="18"/>
      <c r="E134" s="18"/>
      <c r="F134" s="18"/>
      <c r="G134" s="18"/>
      <c r="H134" s="18"/>
      <c r="I134" s="18"/>
      <c r="J134" s="18"/>
      <c r="K134" s="18"/>
      <c r="L134" s="18"/>
    </row>
    <row r="135" spans="2:387" x14ac:dyDescent="0.3">
      <c r="B135" s="18"/>
      <c r="C135" s="18"/>
      <c r="D135" s="18"/>
      <c r="E135" s="18"/>
      <c r="F135" s="18"/>
      <c r="G135" s="18"/>
      <c r="H135" s="18"/>
      <c r="I135" s="18"/>
      <c r="J135" s="18"/>
      <c r="K135" s="18"/>
      <c r="L135" s="18"/>
    </row>
    <row r="136" spans="2:387" x14ac:dyDescent="0.3">
      <c r="B136" s="18"/>
      <c r="C136" s="18"/>
      <c r="D136" s="18"/>
      <c r="E136" s="18"/>
      <c r="F136" s="18"/>
      <c r="G136" s="18"/>
      <c r="H136" s="18"/>
      <c r="I136" s="18"/>
      <c r="J136" s="18"/>
      <c r="K136" s="18"/>
      <c r="L136" s="18"/>
    </row>
    <row r="137" spans="2:387" x14ac:dyDescent="0.3">
      <c r="B137" s="18"/>
      <c r="C137" s="18"/>
      <c r="D137" s="18"/>
      <c r="E137" s="18"/>
      <c r="F137" s="18"/>
      <c r="G137" s="18"/>
      <c r="H137" s="18"/>
      <c r="I137" s="18"/>
      <c r="J137" s="18"/>
      <c r="K137" s="18"/>
      <c r="L137" s="18"/>
    </row>
    <row r="138" spans="2:387" x14ac:dyDescent="0.3">
      <c r="B138" s="18"/>
      <c r="C138" s="18"/>
      <c r="D138" s="18"/>
      <c r="E138" s="18"/>
      <c r="F138" s="18"/>
      <c r="G138" s="18"/>
      <c r="H138" s="18"/>
      <c r="I138" s="18"/>
      <c r="J138" s="18"/>
      <c r="K138" s="18"/>
      <c r="L138" s="18"/>
    </row>
    <row r="139" spans="2:387" x14ac:dyDescent="0.3">
      <c r="B139" s="18"/>
      <c r="C139" s="18"/>
      <c r="D139" s="18"/>
      <c r="E139" s="18"/>
      <c r="F139" s="18"/>
      <c r="G139" s="18"/>
      <c r="H139" s="18"/>
      <c r="I139" s="18"/>
      <c r="J139" s="18"/>
      <c r="K139" s="18"/>
      <c r="L139" s="18"/>
    </row>
    <row r="140" spans="2:387" x14ac:dyDescent="0.3"/>
    <row r="141" spans="2:387" x14ac:dyDescent="0.3"/>
    <row r="142" spans="2:387" x14ac:dyDescent="0.3"/>
    <row r="143" spans="2:387" x14ac:dyDescent="0.3"/>
    <row r="144" spans="2:387" x14ac:dyDescent="0.3"/>
    <row r="145" x14ac:dyDescent="0.3"/>
    <row r="146" x14ac:dyDescent="0.3"/>
    <row r="147" x14ac:dyDescent="0.3"/>
    <row r="148" x14ac:dyDescent="0.3"/>
    <row r="149" x14ac:dyDescent="0.3"/>
    <row r="150" x14ac:dyDescent="0.3"/>
    <row r="151" x14ac:dyDescent="0.3"/>
    <row r="152" x14ac:dyDescent="0.3"/>
    <row r="153" x14ac:dyDescent="0.3"/>
    <row r="154" x14ac:dyDescent="0.3"/>
    <row r="155" x14ac:dyDescent="0.3"/>
    <row r="156" x14ac:dyDescent="0.3"/>
    <row r="157" x14ac:dyDescent="0.3"/>
    <row r="158" x14ac:dyDescent="0.3"/>
  </sheetData>
  <mergeCells count="1">
    <mergeCell ref="F4:H4"/>
  </mergeCells>
  <conditionalFormatting sqref="S74">
    <cfRule type="expression" dxfId="17" priority="22">
      <formula>$S$74="ERROR"</formula>
    </cfRule>
  </conditionalFormatting>
  <conditionalFormatting sqref="F4">
    <cfRule type="expression" dxfId="16" priority="20">
      <formula>$F$4="CLICK TO RECALCULATE"</formula>
    </cfRule>
  </conditionalFormatting>
  <conditionalFormatting sqref="E79:F89">
    <cfRule type="expression" dxfId="15" priority="19">
      <formula>$I79="Detailed"</formula>
    </cfRule>
  </conditionalFormatting>
  <conditionalFormatting sqref="T79:GQ89">
    <cfRule type="expression" dxfId="14" priority="18">
      <formula>$I79="Detailed"</formula>
    </cfRule>
  </conditionalFormatting>
  <conditionalFormatting sqref="T15:GQ18 T38:GQ43 T26:GQ26 T34:GQ34">
    <cfRule type="expression" dxfId="13" priority="17">
      <formula>$I15="Detail"</formula>
    </cfRule>
  </conditionalFormatting>
  <conditionalFormatting sqref="T30:GQ31">
    <cfRule type="expression" dxfId="12" priority="16">
      <formula>$I30="Detail"</formula>
    </cfRule>
  </conditionalFormatting>
  <conditionalFormatting sqref="T22:GQ23">
    <cfRule type="expression" dxfId="11" priority="15">
      <formula>$I22="Detail"</formula>
    </cfRule>
  </conditionalFormatting>
  <conditionalFormatting sqref="T24:GQ24">
    <cfRule type="expression" dxfId="10" priority="13">
      <formula>$I24="Detail"</formula>
    </cfRule>
  </conditionalFormatting>
  <conditionalFormatting sqref="T32:GQ32">
    <cfRule type="expression" dxfId="9" priority="12">
      <formula>$I32="Detail"</formula>
    </cfRule>
  </conditionalFormatting>
  <conditionalFormatting sqref="T25:GQ25">
    <cfRule type="expression" dxfId="8" priority="11">
      <formula>$I25="Detail"</formula>
    </cfRule>
  </conditionalFormatting>
  <conditionalFormatting sqref="T33:GQ33">
    <cfRule type="expression" dxfId="7" priority="10">
      <formula>$I33="Detail"</formula>
    </cfRule>
  </conditionalFormatting>
  <conditionalFormatting sqref="F62">
    <cfRule type="expression" dxfId="6" priority="24">
      <formula>$H$62="Variable"</formula>
    </cfRule>
  </conditionalFormatting>
  <conditionalFormatting sqref="S63:GQ63">
    <cfRule type="expression" dxfId="5" priority="26">
      <formula>$H$63="Fixed"</formula>
    </cfRule>
  </conditionalFormatting>
  <conditionalFormatting sqref="S62:GQ62">
    <cfRule type="expression" dxfId="4" priority="5">
      <formula>$H$62="Fixed"</formula>
    </cfRule>
  </conditionalFormatting>
  <conditionalFormatting sqref="F63">
    <cfRule type="expression" dxfId="3" priority="4">
      <formula>$H$63="Variable"</formula>
    </cfRule>
  </conditionalFormatting>
  <conditionalFormatting sqref="S64">
    <cfRule type="expression" dxfId="2" priority="3">
      <formula>$H$63="Fixed"</formula>
    </cfRule>
  </conditionalFormatting>
  <conditionalFormatting sqref="H90">
    <cfRule type="expression" dxfId="1" priority="2">
      <formula>$H$91&lt;&gt;""</formula>
    </cfRule>
  </conditionalFormatting>
  <conditionalFormatting sqref="L11">
    <cfRule type="expression" dxfId="0" priority="1">
      <formula>$H$11=""</formula>
    </cfRule>
  </conditionalFormatting>
  <dataValidations count="7">
    <dataValidation type="list" allowBlank="1" showInputMessage="1" showErrorMessage="1" sqref="G50 G22 I15:I18 G15:G18 G38:G43 I38:I43 I22:I26 I30:I34 G30:G34" xr:uid="{E6C8CCF4-4372-479F-BDD5-B41740EB15E5}">
      <formula1>"Detail, Straight-Line, S-Curve"</formula1>
    </dataValidation>
    <dataValidation type="list" allowBlank="1" showInputMessage="1" showErrorMessage="1" sqref="F67" xr:uid="{D832A4DF-3E1A-429F-80F9-AFC5EDBEBA24}">
      <formula1>"Equity 1st, Pari Passu"</formula1>
    </dataValidation>
    <dataValidation type="decimal" allowBlank="1" showInputMessage="1" showErrorMessage="1" sqref="F72" xr:uid="{754F0606-21E8-4A0A-A06C-3FF0EC5E5855}">
      <formula1>0</formula1>
      <formula2>1</formula2>
    </dataValidation>
    <dataValidation type="list" allowBlank="1" showInputMessage="1" showErrorMessage="1" errorTitle="Invalid Entry" error="Enter either 2 or 3." sqref="E63" xr:uid="{AEE344B1-153B-48CC-99FC-D3A7D0D16197}">
      <formula1>"2, 3"</formula1>
    </dataValidation>
    <dataValidation type="list" allowBlank="1" showInputMessage="1" showErrorMessage="1" sqref="I64 H62:H63" xr:uid="{3E724902-27CF-4AD5-B452-FB24E902824F}">
      <formula1>"Fixed, Variable"</formula1>
    </dataValidation>
    <dataValidation type="whole" allowBlank="1" showInputMessage="1" showErrorMessage="1" errorTitle="Invalid Entry" error="This tranche of debt must fund either first, or pari passu with the second tranche of debt." sqref="E62" xr:uid="{F1D52C3F-6B6B-4BD5-88AB-C5A93EA6202B}">
      <formula1>2</formula1>
      <formula2>2</formula2>
    </dataValidation>
    <dataValidation type="list" allowBlank="1" showInputMessage="1" showErrorMessage="1" sqref="I79:I89" xr:uid="{7942D5E4-82F5-4A6B-9287-93FCA48BF246}">
      <formula1>"Detailed, Straight-Line"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58040-1FD7-434D-A3D5-58AF79F17479}">
  <dimension ref="A2:AZ27"/>
  <sheetViews>
    <sheetView tabSelected="1" topLeftCell="A9" workbookViewId="0">
      <selection activeCell="H23" sqref="H23"/>
    </sheetView>
  </sheetViews>
  <sheetFormatPr defaultRowHeight="14" x14ac:dyDescent="0.3"/>
  <cols>
    <col min="1" max="1" width="19.5" customWidth="1"/>
    <col min="2" max="2" width="12.58203125" bestFit="1" customWidth="1"/>
    <col min="3" max="4" width="8.75" bestFit="1" customWidth="1"/>
    <col min="5" max="6" width="12.58203125" bestFit="1" customWidth="1"/>
    <col min="7" max="7" width="8.75" bestFit="1" customWidth="1"/>
    <col min="8" max="8" width="30.25" customWidth="1"/>
    <col min="9" max="11" width="12" bestFit="1" customWidth="1"/>
    <col min="12" max="12" width="8.75" bestFit="1" customWidth="1"/>
    <col min="13" max="13" width="10.58203125" bestFit="1" customWidth="1"/>
    <col min="14" max="27" width="8.75" bestFit="1" customWidth="1"/>
    <col min="28" max="28" width="10.58203125" bestFit="1" customWidth="1"/>
    <col min="29" max="32" width="8.75" bestFit="1" customWidth="1"/>
    <col min="33" max="39" width="9.58203125" bestFit="1" customWidth="1"/>
    <col min="40" max="50" width="10.58203125" bestFit="1" customWidth="1"/>
    <col min="52" max="52" width="15.6640625" customWidth="1"/>
  </cols>
  <sheetData>
    <row r="2" spans="1:52" x14ac:dyDescent="0.3">
      <c r="A2" t="s">
        <v>191</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row>
    <row r="3" spans="1:52" x14ac:dyDescent="0.3">
      <c r="A3" t="s">
        <v>342</v>
      </c>
      <c r="B3" s="156">
        <v>167081.1891891892</v>
      </c>
      <c r="C3" s="156">
        <v>0</v>
      </c>
      <c r="D3" s="156">
        <v>0</v>
      </c>
      <c r="E3" s="156">
        <v>0</v>
      </c>
      <c r="F3" s="156">
        <v>0</v>
      </c>
      <c r="G3" s="156">
        <v>0</v>
      </c>
      <c r="H3" s="156">
        <v>0</v>
      </c>
      <c r="I3" s="156">
        <v>0</v>
      </c>
      <c r="J3" s="156">
        <v>0</v>
      </c>
      <c r="K3" s="156">
        <v>0</v>
      </c>
      <c r="L3" s="156">
        <v>0</v>
      </c>
      <c r="M3" s="156">
        <v>0</v>
      </c>
      <c r="N3" s="156">
        <v>0</v>
      </c>
      <c r="O3" s="156">
        <v>0</v>
      </c>
      <c r="P3" s="156">
        <v>0</v>
      </c>
      <c r="Q3" s="156">
        <v>0</v>
      </c>
      <c r="R3" s="156">
        <v>0</v>
      </c>
      <c r="S3" s="156">
        <v>0</v>
      </c>
      <c r="T3" s="156">
        <v>0</v>
      </c>
      <c r="U3" s="156">
        <v>0</v>
      </c>
      <c r="V3" s="156">
        <v>0</v>
      </c>
      <c r="W3" s="156">
        <v>0</v>
      </c>
      <c r="X3" s="156">
        <v>0</v>
      </c>
      <c r="Y3" s="156">
        <v>0</v>
      </c>
      <c r="Z3" s="156">
        <v>0</v>
      </c>
      <c r="AA3" s="156">
        <v>0</v>
      </c>
      <c r="AB3" s="156">
        <v>0</v>
      </c>
      <c r="AC3" s="156">
        <v>0</v>
      </c>
      <c r="AD3" s="156">
        <v>0</v>
      </c>
      <c r="AE3" s="156">
        <v>0</v>
      </c>
      <c r="AF3" s="156">
        <v>0</v>
      </c>
      <c r="AG3" s="156">
        <v>0</v>
      </c>
      <c r="AH3" s="156">
        <v>0</v>
      </c>
      <c r="AI3" s="156">
        <v>0</v>
      </c>
      <c r="AJ3" s="156">
        <v>0</v>
      </c>
      <c r="AK3" s="156">
        <v>0</v>
      </c>
      <c r="AL3" s="156">
        <v>0</v>
      </c>
      <c r="AM3" s="156">
        <v>0</v>
      </c>
      <c r="AN3" s="156">
        <v>0</v>
      </c>
      <c r="AO3" s="156">
        <v>0</v>
      </c>
      <c r="AP3" s="156">
        <v>0</v>
      </c>
      <c r="AQ3" s="156">
        <v>0</v>
      </c>
      <c r="AR3" s="156">
        <v>0</v>
      </c>
      <c r="AS3" s="156">
        <v>0</v>
      </c>
      <c r="AT3" s="156">
        <v>0</v>
      </c>
      <c r="AU3" s="156">
        <v>0</v>
      </c>
      <c r="AV3" s="156">
        <v>0</v>
      </c>
      <c r="AW3" s="156">
        <v>0</v>
      </c>
      <c r="AX3" s="156">
        <v>0</v>
      </c>
    </row>
    <row r="4" spans="1:52" x14ac:dyDescent="0.3">
      <c r="A4" t="s">
        <v>342</v>
      </c>
      <c r="B4" s="156">
        <v>1503730.7027027027</v>
      </c>
      <c r="C4" s="156">
        <v>0</v>
      </c>
      <c r="D4" s="156">
        <v>0</v>
      </c>
      <c r="E4" s="156">
        <v>0</v>
      </c>
      <c r="F4" s="156">
        <v>0</v>
      </c>
      <c r="G4" s="156">
        <v>0</v>
      </c>
      <c r="H4" s="156">
        <v>0</v>
      </c>
      <c r="I4" s="156">
        <v>0</v>
      </c>
      <c r="J4" s="156">
        <v>0</v>
      </c>
      <c r="K4" s="156">
        <v>0</v>
      </c>
      <c r="L4" s="156">
        <v>0</v>
      </c>
      <c r="M4" s="156">
        <v>0</v>
      </c>
      <c r="N4" s="156">
        <v>0</v>
      </c>
      <c r="O4" s="156">
        <v>0</v>
      </c>
      <c r="P4" s="156">
        <v>0</v>
      </c>
      <c r="Q4" s="156">
        <v>0</v>
      </c>
      <c r="R4" s="156">
        <v>0</v>
      </c>
      <c r="S4" s="156">
        <v>0</v>
      </c>
      <c r="T4" s="156">
        <v>0</v>
      </c>
      <c r="U4" s="156">
        <v>0</v>
      </c>
      <c r="V4" s="156">
        <v>0</v>
      </c>
      <c r="W4" s="156">
        <v>0</v>
      </c>
      <c r="X4" s="156">
        <v>0</v>
      </c>
      <c r="Y4" s="156">
        <v>0</v>
      </c>
      <c r="Z4" s="156">
        <v>0</v>
      </c>
      <c r="AA4" s="156">
        <v>0</v>
      </c>
      <c r="AB4" s="156">
        <v>0</v>
      </c>
      <c r="AC4" s="156">
        <v>0</v>
      </c>
      <c r="AD4" s="156">
        <v>0</v>
      </c>
      <c r="AE4" s="156">
        <v>0</v>
      </c>
      <c r="AF4" s="156">
        <v>0</v>
      </c>
      <c r="AG4" s="156">
        <v>0</v>
      </c>
      <c r="AH4" s="156">
        <v>0</v>
      </c>
      <c r="AI4" s="156">
        <v>0</v>
      </c>
      <c r="AJ4" s="156">
        <v>0</v>
      </c>
      <c r="AK4" s="156">
        <v>0</v>
      </c>
      <c r="AL4" s="156">
        <v>0</v>
      </c>
      <c r="AM4" s="156">
        <v>0</v>
      </c>
      <c r="AN4" s="156">
        <v>0</v>
      </c>
      <c r="AO4" s="156">
        <v>0</v>
      </c>
      <c r="AP4" s="156">
        <v>0</v>
      </c>
      <c r="AQ4" s="156">
        <v>0</v>
      </c>
      <c r="AR4" s="156">
        <v>0</v>
      </c>
      <c r="AS4" s="156">
        <v>0</v>
      </c>
      <c r="AT4" s="156">
        <v>0</v>
      </c>
      <c r="AU4" s="156">
        <v>0</v>
      </c>
      <c r="AV4" s="156">
        <v>0</v>
      </c>
      <c r="AW4" s="156">
        <v>0</v>
      </c>
      <c r="AX4" s="156">
        <v>0</v>
      </c>
    </row>
    <row r="5" spans="1:52" x14ac:dyDescent="0.3">
      <c r="A5" t="s">
        <v>342</v>
      </c>
      <c r="B5" s="156">
        <v>1670811.8918918918</v>
      </c>
      <c r="C5" s="156">
        <v>0</v>
      </c>
      <c r="D5" s="156">
        <v>0</v>
      </c>
      <c r="E5" s="156">
        <v>0</v>
      </c>
      <c r="F5" s="156">
        <v>0</v>
      </c>
      <c r="G5" s="156">
        <v>0</v>
      </c>
      <c r="H5" s="156">
        <v>0</v>
      </c>
      <c r="I5" s="156">
        <v>0</v>
      </c>
      <c r="J5" s="156">
        <v>0</v>
      </c>
      <c r="K5" s="156">
        <v>0</v>
      </c>
      <c r="L5" s="156">
        <v>0</v>
      </c>
      <c r="M5" s="156">
        <v>0</v>
      </c>
      <c r="N5" s="156">
        <v>0</v>
      </c>
      <c r="O5" s="156">
        <v>0</v>
      </c>
      <c r="P5" s="156">
        <v>0</v>
      </c>
      <c r="Q5" s="156">
        <v>0</v>
      </c>
      <c r="R5" s="156">
        <v>0</v>
      </c>
      <c r="S5" s="156">
        <v>0</v>
      </c>
      <c r="T5" s="156">
        <v>0</v>
      </c>
      <c r="U5" s="156">
        <v>0</v>
      </c>
      <c r="V5" s="156">
        <v>0</v>
      </c>
      <c r="W5" s="156">
        <v>0</v>
      </c>
      <c r="X5" s="156">
        <v>0</v>
      </c>
      <c r="Y5" s="156">
        <v>0</v>
      </c>
      <c r="Z5" s="156">
        <v>0</v>
      </c>
      <c r="AA5" s="156">
        <v>0</v>
      </c>
      <c r="AB5" s="156">
        <v>0</v>
      </c>
      <c r="AC5" s="156">
        <v>0</v>
      </c>
      <c r="AD5" s="156">
        <v>0</v>
      </c>
      <c r="AE5" s="156">
        <v>0</v>
      </c>
      <c r="AF5" s="156">
        <v>0</v>
      </c>
      <c r="AG5" s="156">
        <v>0</v>
      </c>
      <c r="AH5" s="156">
        <v>0</v>
      </c>
      <c r="AI5" s="156">
        <v>0</v>
      </c>
      <c r="AJ5" s="156">
        <v>0</v>
      </c>
      <c r="AK5" s="156">
        <v>0</v>
      </c>
      <c r="AL5" s="156">
        <v>0</v>
      </c>
      <c r="AM5" s="156">
        <v>0</v>
      </c>
      <c r="AN5" s="156">
        <v>0</v>
      </c>
      <c r="AO5" s="156">
        <v>0</v>
      </c>
      <c r="AP5" s="156">
        <v>0</v>
      </c>
      <c r="AQ5" s="156">
        <v>0</v>
      </c>
      <c r="AR5" s="156">
        <v>0</v>
      </c>
      <c r="AS5" s="156">
        <v>0</v>
      </c>
      <c r="AT5" s="156">
        <v>0</v>
      </c>
      <c r="AU5" s="156">
        <v>0</v>
      </c>
      <c r="AV5" s="156">
        <v>0</v>
      </c>
      <c r="AW5" s="156">
        <v>0</v>
      </c>
      <c r="AX5" s="156">
        <v>0</v>
      </c>
    </row>
    <row r="6" spans="1:52" x14ac:dyDescent="0.3">
      <c r="B6" s="156"/>
      <c r="C6" s="156"/>
      <c r="D6" s="156"/>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6"/>
      <c r="AI6" s="156"/>
      <c r="AJ6" s="156"/>
      <c r="AK6" s="156"/>
      <c r="AL6" s="156"/>
      <c r="AM6" s="156"/>
      <c r="AN6" s="156"/>
      <c r="AO6" s="156"/>
      <c r="AP6" s="156"/>
      <c r="AQ6" s="156"/>
      <c r="AR6" s="156"/>
      <c r="AS6" s="156"/>
      <c r="AT6" s="156"/>
      <c r="AU6" s="156"/>
      <c r="AV6" s="156"/>
      <c r="AW6" s="156"/>
      <c r="AX6" s="156"/>
    </row>
    <row r="7" spans="1:52" x14ac:dyDescent="0.3">
      <c r="A7" t="s">
        <v>343</v>
      </c>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c r="AF7" s="156"/>
      <c r="AG7" s="156"/>
      <c r="AH7" s="156"/>
      <c r="AI7" s="156"/>
      <c r="AJ7" s="156"/>
      <c r="AK7" s="156"/>
      <c r="AL7" s="156"/>
      <c r="AM7" s="156"/>
      <c r="AN7" s="156"/>
      <c r="AO7" s="156"/>
      <c r="AP7" s="156"/>
      <c r="AQ7" s="156"/>
      <c r="AR7" s="156"/>
      <c r="AS7" s="156"/>
      <c r="AT7" s="156"/>
      <c r="AU7" s="156"/>
      <c r="AV7" s="156"/>
      <c r="AW7" s="156"/>
      <c r="AX7" s="156"/>
    </row>
    <row r="8" spans="1:52" x14ac:dyDescent="0.3">
      <c r="A8" t="s">
        <v>342</v>
      </c>
      <c r="B8" s="156">
        <v>0</v>
      </c>
      <c r="C8" s="156">
        <v>0</v>
      </c>
      <c r="D8" s="156">
        <v>0</v>
      </c>
      <c r="E8" s="156">
        <v>0</v>
      </c>
      <c r="F8" s="156">
        <v>0</v>
      </c>
      <c r="G8" s="156">
        <v>0</v>
      </c>
      <c r="H8" s="156">
        <v>0</v>
      </c>
      <c r="I8" s="156">
        <v>0</v>
      </c>
      <c r="J8" s="156">
        <v>0</v>
      </c>
      <c r="K8" s="156">
        <v>0</v>
      </c>
      <c r="L8" s="156">
        <v>0</v>
      </c>
      <c r="M8" s="156">
        <v>158208.6867424068</v>
      </c>
      <c r="N8" s="156">
        <v>0</v>
      </c>
      <c r="O8" s="156">
        <v>0</v>
      </c>
      <c r="P8" s="156">
        <v>0</v>
      </c>
      <c r="Q8" s="156">
        <v>0</v>
      </c>
      <c r="R8" s="156">
        <v>0</v>
      </c>
      <c r="S8" s="156">
        <v>0</v>
      </c>
      <c r="T8" s="156">
        <v>0</v>
      </c>
      <c r="U8" s="156">
        <v>0</v>
      </c>
      <c r="V8" s="156">
        <v>0</v>
      </c>
      <c r="W8" s="156">
        <v>0</v>
      </c>
      <c r="X8" s="156">
        <v>0</v>
      </c>
      <c r="Y8" s="156">
        <v>0</v>
      </c>
      <c r="Z8" s="156">
        <v>0</v>
      </c>
      <c r="AA8" s="156">
        <v>0</v>
      </c>
      <c r="AB8" s="156">
        <v>193808.87456932926</v>
      </c>
      <c r="AC8" s="156">
        <v>0</v>
      </c>
      <c r="AD8" s="156">
        <v>0</v>
      </c>
      <c r="AE8" s="156">
        <v>0</v>
      </c>
      <c r="AF8" s="156">
        <v>7724.8215590861801</v>
      </c>
      <c r="AG8" s="156">
        <v>92703.704531599273</v>
      </c>
      <c r="AH8" s="156">
        <v>92703.704531599273</v>
      </c>
      <c r="AI8" s="156">
        <v>92703.704531599273</v>
      </c>
      <c r="AJ8" s="156">
        <v>92703.704531599273</v>
      </c>
      <c r="AK8" s="156">
        <v>92703.704531599273</v>
      </c>
      <c r="AL8" s="156">
        <v>99932.275960170693</v>
      </c>
      <c r="AM8" s="156">
        <v>99932.275960170693</v>
      </c>
      <c r="AN8" s="156">
        <v>124630</v>
      </c>
      <c r="AO8" s="156">
        <v>382128.38573250006</v>
      </c>
      <c r="AP8" s="156">
        <v>382128.38573250006</v>
      </c>
      <c r="AQ8" s="156">
        <v>284251.63841557421</v>
      </c>
      <c r="AR8" s="156">
        <v>0</v>
      </c>
      <c r="AS8" s="156">
        <v>0</v>
      </c>
      <c r="AT8" s="156">
        <v>0</v>
      </c>
      <c r="AU8" s="156">
        <v>0</v>
      </c>
      <c r="AV8" s="156">
        <v>0</v>
      </c>
      <c r="AW8" s="156">
        <v>0</v>
      </c>
      <c r="AX8" s="156">
        <v>0</v>
      </c>
    </row>
    <row r="9" spans="1:52" x14ac:dyDescent="0.3">
      <c r="A9" t="s">
        <v>342</v>
      </c>
      <c r="B9" s="156">
        <v>0</v>
      </c>
      <c r="C9" s="156">
        <v>0</v>
      </c>
      <c r="D9" s="156">
        <v>0</v>
      </c>
      <c r="E9" s="156">
        <v>0</v>
      </c>
      <c r="F9" s="156">
        <v>0</v>
      </c>
      <c r="G9" s="156">
        <v>0</v>
      </c>
      <c r="H9" s="156">
        <v>0</v>
      </c>
      <c r="I9" s="156">
        <v>0</v>
      </c>
      <c r="J9" s="156">
        <v>0</v>
      </c>
      <c r="K9" s="156">
        <v>0</v>
      </c>
      <c r="L9" s="156">
        <v>0</v>
      </c>
      <c r="M9" s="156">
        <v>0</v>
      </c>
      <c r="N9" s="156">
        <v>0</v>
      </c>
      <c r="O9" s="156">
        <v>0</v>
      </c>
      <c r="P9" s="156">
        <v>0</v>
      </c>
      <c r="Q9" s="156">
        <v>0</v>
      </c>
      <c r="R9" s="156">
        <v>0</v>
      </c>
      <c r="S9" s="156">
        <v>0</v>
      </c>
      <c r="T9" s="156">
        <v>0</v>
      </c>
      <c r="U9" s="156">
        <v>0</v>
      </c>
      <c r="V9" s="156">
        <v>0</v>
      </c>
      <c r="W9" s="156">
        <v>0</v>
      </c>
      <c r="X9" s="156">
        <v>0</v>
      </c>
      <c r="Y9" s="156">
        <v>0</v>
      </c>
      <c r="Z9" s="156">
        <v>0</v>
      </c>
      <c r="AA9" s="156">
        <v>0</v>
      </c>
      <c r="AB9" s="156">
        <v>0</v>
      </c>
      <c r="AC9" s="156">
        <v>0</v>
      </c>
      <c r="AD9" s="156">
        <v>0</v>
      </c>
      <c r="AE9" s="156">
        <v>0</v>
      </c>
      <c r="AF9" s="156">
        <v>0</v>
      </c>
      <c r="AG9" s="156">
        <v>0</v>
      </c>
      <c r="AH9" s="156">
        <v>0</v>
      </c>
      <c r="AI9" s="156">
        <v>0</v>
      </c>
      <c r="AJ9" s="156">
        <v>0</v>
      </c>
      <c r="AK9" s="156">
        <v>0</v>
      </c>
      <c r="AL9" s="156">
        <v>0</v>
      </c>
      <c r="AM9" s="156">
        <v>0</v>
      </c>
      <c r="AN9" s="156">
        <v>0</v>
      </c>
      <c r="AO9" s="156">
        <v>0</v>
      </c>
      <c r="AP9" s="156">
        <v>0</v>
      </c>
      <c r="AQ9" s="156">
        <v>97876.747316925816</v>
      </c>
      <c r="AR9" s="156">
        <v>382128.38573250012</v>
      </c>
      <c r="AS9" s="156">
        <v>382128.38573250012</v>
      </c>
      <c r="AT9" s="156">
        <v>382128.38573250012</v>
      </c>
      <c r="AU9" s="156">
        <v>382128.38573250012</v>
      </c>
      <c r="AV9" s="156">
        <v>382128.38573250012</v>
      </c>
      <c r="AW9" s="156">
        <v>382128.38573250012</v>
      </c>
      <c r="AX9" s="156">
        <v>257498.38573250006</v>
      </c>
    </row>
    <row r="10" spans="1:52" x14ac:dyDescent="0.3">
      <c r="A10" t="s">
        <v>342</v>
      </c>
      <c r="B10" s="156">
        <v>0</v>
      </c>
      <c r="C10" s="156">
        <v>0</v>
      </c>
      <c r="D10" s="156">
        <v>0</v>
      </c>
      <c r="E10" s="156">
        <v>0</v>
      </c>
      <c r="F10" s="156">
        <v>0</v>
      </c>
      <c r="G10" s="156">
        <v>0</v>
      </c>
      <c r="H10" s="156">
        <v>0</v>
      </c>
      <c r="I10" s="156">
        <v>0</v>
      </c>
      <c r="J10" s="156">
        <v>0</v>
      </c>
      <c r="K10" s="156">
        <v>0</v>
      </c>
      <c r="L10" s="156">
        <v>0</v>
      </c>
      <c r="M10" s="156">
        <v>158208.6867424068</v>
      </c>
      <c r="N10" s="156">
        <v>0</v>
      </c>
      <c r="O10" s="156">
        <v>0</v>
      </c>
      <c r="P10" s="156">
        <v>0</v>
      </c>
      <c r="Q10" s="156">
        <v>0</v>
      </c>
      <c r="R10" s="156">
        <v>0</v>
      </c>
      <c r="S10" s="156">
        <v>0</v>
      </c>
      <c r="T10" s="156">
        <v>0</v>
      </c>
      <c r="U10" s="156">
        <v>0</v>
      </c>
      <c r="V10" s="156">
        <v>0</v>
      </c>
      <c r="W10" s="156">
        <v>0</v>
      </c>
      <c r="X10" s="156">
        <v>0</v>
      </c>
      <c r="Y10" s="156">
        <v>0</v>
      </c>
      <c r="Z10" s="156">
        <v>0</v>
      </c>
      <c r="AA10" s="156">
        <v>0</v>
      </c>
      <c r="AB10" s="156">
        <v>193808.87456932926</v>
      </c>
      <c r="AC10" s="156">
        <v>0</v>
      </c>
      <c r="AD10" s="156">
        <v>0</v>
      </c>
      <c r="AE10" s="156">
        <v>0</v>
      </c>
      <c r="AF10" s="156">
        <v>7724.8215590861801</v>
      </c>
      <c r="AG10" s="156">
        <v>92703.704531599273</v>
      </c>
      <c r="AH10" s="156">
        <v>92703.704531599273</v>
      </c>
      <c r="AI10" s="156">
        <v>92703.704531599273</v>
      </c>
      <c r="AJ10" s="156">
        <v>92703.704531599273</v>
      </c>
      <c r="AK10" s="156">
        <v>92703.704531599273</v>
      </c>
      <c r="AL10" s="156">
        <v>99932.275960170693</v>
      </c>
      <c r="AM10" s="156">
        <v>99932.275960170693</v>
      </c>
      <c r="AN10" s="156">
        <v>124630</v>
      </c>
      <c r="AO10" s="156">
        <v>382128.38573250006</v>
      </c>
      <c r="AP10" s="156">
        <v>382128.38573250006</v>
      </c>
      <c r="AQ10" s="156">
        <v>382128.3857325</v>
      </c>
      <c r="AR10" s="156">
        <v>382128.38573250012</v>
      </c>
      <c r="AS10" s="156">
        <v>382128.38573250012</v>
      </c>
      <c r="AT10" s="156">
        <v>382128.38573250012</v>
      </c>
      <c r="AU10" s="156">
        <v>382128.38573250012</v>
      </c>
      <c r="AV10" s="156">
        <v>382128.38573250012</v>
      </c>
      <c r="AW10" s="156">
        <v>382128.38573250012</v>
      </c>
      <c r="AX10" s="156">
        <v>257498.38573250006</v>
      </c>
      <c r="AZ10" s="181">
        <f>SUM(B10:AX10)</f>
        <v>4844409.3147741593</v>
      </c>
    </row>
    <row r="11" spans="1:52" x14ac:dyDescent="0.3">
      <c r="B11" s="156"/>
      <c r="C11" s="156"/>
      <c r="D11" s="156"/>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row>
    <row r="12" spans="1:52" x14ac:dyDescent="0.3">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row>
    <row r="13" spans="1:52" x14ac:dyDescent="0.3">
      <c r="B13" s="156">
        <v>-167081.1891891892</v>
      </c>
      <c r="C13" s="156">
        <v>0</v>
      </c>
      <c r="D13" s="156">
        <v>0</v>
      </c>
      <c r="E13" s="156">
        <v>0</v>
      </c>
      <c r="F13" s="156">
        <v>0</v>
      </c>
      <c r="G13" s="156">
        <v>0</v>
      </c>
      <c r="H13" s="156">
        <v>0</v>
      </c>
      <c r="I13" s="156">
        <v>0</v>
      </c>
      <c r="J13" s="156">
        <v>0</v>
      </c>
      <c r="K13" s="156">
        <v>0</v>
      </c>
      <c r="L13" s="156">
        <v>0</v>
      </c>
      <c r="M13" s="156">
        <v>15820.868674240681</v>
      </c>
      <c r="N13" s="156">
        <v>0</v>
      </c>
      <c r="O13" s="156">
        <v>0</v>
      </c>
      <c r="P13" s="156">
        <v>0</v>
      </c>
      <c r="Q13" s="156">
        <v>0</v>
      </c>
      <c r="R13" s="156">
        <v>0</v>
      </c>
      <c r="S13" s="156">
        <v>0</v>
      </c>
      <c r="T13" s="156">
        <v>0</v>
      </c>
      <c r="U13" s="156">
        <v>0</v>
      </c>
      <c r="V13" s="156">
        <v>0</v>
      </c>
      <c r="W13" s="156">
        <v>0</v>
      </c>
      <c r="X13" s="156">
        <v>0</v>
      </c>
      <c r="Y13" s="156">
        <v>0</v>
      </c>
      <c r="Z13" s="156">
        <v>0</v>
      </c>
      <c r="AA13" s="156">
        <v>0</v>
      </c>
      <c r="AB13" s="156">
        <v>19380.887456932927</v>
      </c>
      <c r="AC13" s="156">
        <v>0</v>
      </c>
      <c r="AD13" s="156">
        <v>0</v>
      </c>
      <c r="AE13" s="156">
        <v>0</v>
      </c>
      <c r="AF13" s="156">
        <v>772.4821559086181</v>
      </c>
      <c r="AG13" s="156">
        <v>9270.3704531599269</v>
      </c>
      <c r="AH13" s="156">
        <v>9270.3704531599269</v>
      </c>
      <c r="AI13" s="156">
        <v>9270.3704531599269</v>
      </c>
      <c r="AJ13" s="156">
        <v>9270.3704531599269</v>
      </c>
      <c r="AK13" s="156">
        <v>9270.3704531599269</v>
      </c>
      <c r="AL13" s="156">
        <v>9993.22759601707</v>
      </c>
      <c r="AM13" s="156">
        <v>9993.22759601707</v>
      </c>
      <c r="AN13" s="156">
        <v>12463</v>
      </c>
      <c r="AO13" s="156">
        <v>38212.83857325001</v>
      </c>
      <c r="AP13" s="156">
        <v>38212.83857325001</v>
      </c>
      <c r="AQ13" s="156">
        <v>73448.467607343307</v>
      </c>
      <c r="AR13" s="156">
        <v>175779.05743695004</v>
      </c>
      <c r="AS13" s="156">
        <v>175779.05743695004</v>
      </c>
      <c r="AT13" s="156">
        <v>175779.05743695004</v>
      </c>
      <c r="AU13" s="156">
        <v>175779.05743695004</v>
      </c>
      <c r="AV13" s="156">
        <v>175779.05743695004</v>
      </c>
      <c r="AW13" s="156">
        <v>175779.05743695004</v>
      </c>
      <c r="AX13" s="156">
        <v>118449.25743695002</v>
      </c>
    </row>
    <row r="14" spans="1:52" x14ac:dyDescent="0.3">
      <c r="B14" s="156">
        <v>-1503730.7027027027</v>
      </c>
      <c r="C14" s="156">
        <v>0</v>
      </c>
      <c r="D14" s="156">
        <v>0</v>
      </c>
      <c r="E14" s="156">
        <v>0</v>
      </c>
      <c r="F14" s="156">
        <v>0</v>
      </c>
      <c r="G14" s="156">
        <v>0</v>
      </c>
      <c r="H14" s="156">
        <v>0</v>
      </c>
      <c r="I14" s="156">
        <v>0</v>
      </c>
      <c r="J14" s="156">
        <v>0</v>
      </c>
      <c r="K14" s="156">
        <v>0</v>
      </c>
      <c r="L14" s="156">
        <v>0</v>
      </c>
      <c r="M14" s="156">
        <v>142387.81806816612</v>
      </c>
      <c r="N14" s="156">
        <v>0</v>
      </c>
      <c r="O14" s="156">
        <v>0</v>
      </c>
      <c r="P14" s="156">
        <v>0</v>
      </c>
      <c r="Q14" s="156">
        <v>0</v>
      </c>
      <c r="R14" s="156">
        <v>0</v>
      </c>
      <c r="S14" s="156">
        <v>0</v>
      </c>
      <c r="T14" s="156">
        <v>0</v>
      </c>
      <c r="U14" s="156">
        <v>0</v>
      </c>
      <c r="V14" s="156">
        <v>0</v>
      </c>
      <c r="W14" s="156">
        <v>0</v>
      </c>
      <c r="X14" s="156">
        <v>0</v>
      </c>
      <c r="Y14" s="156">
        <v>0</v>
      </c>
      <c r="Z14" s="156">
        <v>0</v>
      </c>
      <c r="AA14" s="156">
        <v>0</v>
      </c>
      <c r="AB14" s="156">
        <v>174427.98711239634</v>
      </c>
      <c r="AC14" s="156">
        <v>0</v>
      </c>
      <c r="AD14" s="156">
        <v>0</v>
      </c>
      <c r="AE14" s="156">
        <v>0</v>
      </c>
      <c r="AF14" s="156">
        <v>6952.3394031775624</v>
      </c>
      <c r="AG14" s="156">
        <v>83433.334078439351</v>
      </c>
      <c r="AH14" s="156">
        <v>83433.334078439351</v>
      </c>
      <c r="AI14" s="156">
        <v>83433.334078439351</v>
      </c>
      <c r="AJ14" s="156">
        <v>83433.334078439351</v>
      </c>
      <c r="AK14" s="156">
        <v>83433.334078439351</v>
      </c>
      <c r="AL14" s="156">
        <v>89939.048364153627</v>
      </c>
      <c r="AM14" s="156">
        <v>89939.048364153627</v>
      </c>
      <c r="AN14" s="156">
        <v>112167</v>
      </c>
      <c r="AO14" s="156">
        <v>343915.54715925007</v>
      </c>
      <c r="AP14" s="156">
        <v>343915.54715925007</v>
      </c>
      <c r="AQ14" s="156">
        <v>308679.91812515678</v>
      </c>
      <c r="AR14" s="156">
        <v>206349.32829555005</v>
      </c>
      <c r="AS14" s="156">
        <v>206349.32829555005</v>
      </c>
      <c r="AT14" s="156">
        <v>206349.32829555005</v>
      </c>
      <c r="AU14" s="156">
        <v>206349.32829555005</v>
      </c>
      <c r="AV14" s="156">
        <v>206349.32829555005</v>
      </c>
      <c r="AW14" s="156">
        <v>206349.32829555005</v>
      </c>
      <c r="AX14" s="156">
        <v>139049.12829555004</v>
      </c>
    </row>
    <row r="15" spans="1:52" x14ac:dyDescent="0.3">
      <c r="A15" t="s">
        <v>342</v>
      </c>
      <c r="B15" s="156">
        <v>-1670811.8918918918</v>
      </c>
      <c r="C15" s="156">
        <v>0</v>
      </c>
      <c r="D15" s="156">
        <v>0</v>
      </c>
      <c r="E15" s="156">
        <v>0</v>
      </c>
      <c r="F15" s="156">
        <v>0</v>
      </c>
      <c r="G15" s="156">
        <v>0</v>
      </c>
      <c r="H15" s="156">
        <v>0</v>
      </c>
      <c r="I15" s="156">
        <v>0</v>
      </c>
      <c r="J15" s="156">
        <v>0</v>
      </c>
      <c r="K15" s="156">
        <v>0</v>
      </c>
      <c r="L15" s="156">
        <v>0</v>
      </c>
      <c r="M15" s="156">
        <v>158208.6867424068</v>
      </c>
      <c r="N15" s="156">
        <v>0</v>
      </c>
      <c r="O15" s="156">
        <v>0</v>
      </c>
      <c r="P15" s="156">
        <v>0</v>
      </c>
      <c r="Q15" s="156">
        <v>0</v>
      </c>
      <c r="R15" s="156">
        <v>0</v>
      </c>
      <c r="S15" s="156">
        <v>0</v>
      </c>
      <c r="T15" s="156">
        <v>0</v>
      </c>
      <c r="U15" s="156">
        <v>0</v>
      </c>
      <c r="V15" s="156">
        <v>0</v>
      </c>
      <c r="W15" s="156">
        <v>0</v>
      </c>
      <c r="X15" s="156">
        <v>0</v>
      </c>
      <c r="Y15" s="156">
        <v>0</v>
      </c>
      <c r="Z15" s="156">
        <v>0</v>
      </c>
      <c r="AA15" s="156">
        <v>0</v>
      </c>
      <c r="AB15" s="156">
        <v>193808.87456932926</v>
      </c>
      <c r="AC15" s="156">
        <v>0</v>
      </c>
      <c r="AD15" s="156">
        <v>0</v>
      </c>
      <c r="AE15" s="156">
        <v>0</v>
      </c>
      <c r="AF15" s="156">
        <v>7724.8215590861801</v>
      </c>
      <c r="AG15" s="156">
        <v>92703.704531599273</v>
      </c>
      <c r="AH15" s="156">
        <v>92703.704531599273</v>
      </c>
      <c r="AI15" s="156">
        <v>92703.704531599273</v>
      </c>
      <c r="AJ15" s="156">
        <v>92703.704531599273</v>
      </c>
      <c r="AK15" s="156">
        <v>92703.704531599273</v>
      </c>
      <c r="AL15" s="156">
        <v>99932.275960170693</v>
      </c>
      <c r="AM15" s="156">
        <v>99932.275960170693</v>
      </c>
      <c r="AN15" s="156">
        <v>124630</v>
      </c>
      <c r="AO15" s="156">
        <v>382128.38573250006</v>
      </c>
      <c r="AP15" s="156">
        <v>382128.38573250006</v>
      </c>
      <c r="AQ15" s="156">
        <v>382128.38573250012</v>
      </c>
      <c r="AR15" s="156">
        <v>382128.38573250012</v>
      </c>
      <c r="AS15" s="156">
        <v>382128.38573250012</v>
      </c>
      <c r="AT15" s="156">
        <v>382128.38573250012</v>
      </c>
      <c r="AU15" s="156">
        <v>382128.38573250012</v>
      </c>
      <c r="AV15" s="156">
        <v>382128.38573250012</v>
      </c>
      <c r="AW15" s="156">
        <v>382128.38573250012</v>
      </c>
      <c r="AX15" s="156">
        <v>257498.38573250006</v>
      </c>
    </row>
    <row r="17" spans="1:11" x14ac:dyDescent="0.3">
      <c r="A17" s="179" t="s">
        <v>344</v>
      </c>
      <c r="B17" s="179"/>
      <c r="H17" t="s">
        <v>345</v>
      </c>
      <c r="I17" s="180">
        <v>1670811.89</v>
      </c>
      <c r="J17" t="s">
        <v>346</v>
      </c>
    </row>
    <row r="18" spans="1:11" x14ac:dyDescent="0.3">
      <c r="A18">
        <v>1</v>
      </c>
      <c r="B18" s="156">
        <f>B15</f>
        <v>-1670811.8918918918</v>
      </c>
      <c r="F18" s="156"/>
      <c r="H18" t="s">
        <v>355</v>
      </c>
      <c r="I18" s="156">
        <f>I17*0.1</f>
        <v>167081.18900000001</v>
      </c>
      <c r="J18" s="156">
        <v>0</v>
      </c>
    </row>
    <row r="19" spans="1:11" x14ac:dyDescent="0.3">
      <c r="A19">
        <v>2</v>
      </c>
      <c r="B19" s="156">
        <f>M10</f>
        <v>158208.6867424068</v>
      </c>
      <c r="E19" s="156"/>
      <c r="H19" t="s">
        <v>356</v>
      </c>
      <c r="I19" s="156">
        <f>I17*0.1</f>
        <v>167081.18900000001</v>
      </c>
      <c r="J19" s="156">
        <f>B19</f>
        <v>158208.6867424068</v>
      </c>
    </row>
    <row r="20" spans="1:11" x14ac:dyDescent="0.3">
      <c r="A20">
        <v>3</v>
      </c>
      <c r="B20" s="156">
        <f>AB10+AF10+AG10+AH10+AI10+AI10+AI10+AI10+AJ10+AK10</f>
        <v>943163.33238120982</v>
      </c>
      <c r="E20" s="156"/>
      <c r="H20" t="s">
        <v>357</v>
      </c>
      <c r="I20" s="156">
        <f>I17*0.1</f>
        <v>167081.18900000001</v>
      </c>
      <c r="J20" s="156">
        <f>I18+I19+I20</f>
        <v>501243.56700000004</v>
      </c>
    </row>
    <row r="21" spans="1:11" x14ac:dyDescent="0.3">
      <c r="A21">
        <v>4</v>
      </c>
      <c r="B21" s="156">
        <f>AL10+AM10+AN10+AO10+AP10+AQ10+AR10+AS10+AT10+AU10+AV10+AW10+AX10</f>
        <v>4021148.4092453411</v>
      </c>
      <c r="H21" t="s">
        <v>358</v>
      </c>
      <c r="I21" s="156">
        <f>I17+J20-B20</f>
        <v>1228892.1246187901</v>
      </c>
    </row>
    <row r="22" spans="1:11" x14ac:dyDescent="0.3">
      <c r="A22" t="s">
        <v>285</v>
      </c>
      <c r="B22" s="157">
        <f>IRR(B18:B21)</f>
        <v>0.51532804721861791</v>
      </c>
      <c r="H22" t="s">
        <v>359</v>
      </c>
      <c r="I22" s="156">
        <f>I21*0.1</f>
        <v>122889.21246187901</v>
      </c>
      <c r="J22" s="156">
        <v>122889.21</v>
      </c>
    </row>
    <row r="23" spans="1:11" x14ac:dyDescent="0.3">
      <c r="H23" t="s">
        <v>360</v>
      </c>
      <c r="I23">
        <v>0</v>
      </c>
      <c r="J23" s="156">
        <v>1228892.1200000001</v>
      </c>
    </row>
    <row r="24" spans="1:11" x14ac:dyDescent="0.3">
      <c r="A24" s="179" t="s">
        <v>354</v>
      </c>
      <c r="B24" s="179"/>
      <c r="H24" t="s">
        <v>347</v>
      </c>
      <c r="J24" s="156"/>
      <c r="K24" s="156">
        <f>SUM(J18:J23)</f>
        <v>2011233.5837424069</v>
      </c>
    </row>
    <row r="25" spans="1:11" x14ac:dyDescent="0.3">
      <c r="A25" t="s">
        <v>349</v>
      </c>
      <c r="B25" s="155">
        <f>Underwriting!L116*0.9</f>
        <v>1976637.480596761</v>
      </c>
      <c r="C25" t="s">
        <v>352</v>
      </c>
      <c r="H25" t="s">
        <v>348</v>
      </c>
      <c r="I25" s="156"/>
      <c r="K25" s="155">
        <f>B27-K24</f>
        <v>1395402.4384743443</v>
      </c>
    </row>
    <row r="26" spans="1:11" x14ac:dyDescent="0.3">
      <c r="A26" t="s">
        <v>350</v>
      </c>
      <c r="B26" s="155">
        <f>Underwriting!L117*0.54</f>
        <v>1429998.5416199903</v>
      </c>
      <c r="C26" t="s">
        <v>353</v>
      </c>
    </row>
    <row r="27" spans="1:11" x14ac:dyDescent="0.3">
      <c r="A27" t="s">
        <v>351</v>
      </c>
      <c r="B27" s="155">
        <f>SUM(B25:B26)</f>
        <v>3406636.0222167512</v>
      </c>
      <c r="C27" t="s">
        <v>224</v>
      </c>
    </row>
  </sheetData>
  <mergeCells count="2">
    <mergeCell ref="A17:B17"/>
    <mergeCell ref="A24:B2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75080-5CDA-4EA9-9E63-4014095CD73A}">
  <dimension ref="A1:J17"/>
  <sheetViews>
    <sheetView workbookViewId="0">
      <selection activeCell="G10" sqref="G10"/>
    </sheetView>
  </sheetViews>
  <sheetFormatPr defaultRowHeight="14" x14ac:dyDescent="0.3"/>
  <cols>
    <col min="1" max="1" width="25.5" customWidth="1"/>
    <col min="2" max="2" width="27.75" customWidth="1"/>
    <col min="3" max="3" width="19.25" customWidth="1"/>
    <col min="4" max="4" width="29.83203125" customWidth="1"/>
  </cols>
  <sheetData>
    <row r="1" spans="1:10" x14ac:dyDescent="0.3">
      <c r="A1" t="s">
        <v>329</v>
      </c>
      <c r="B1" t="s">
        <v>330</v>
      </c>
      <c r="C1" t="s">
        <v>331</v>
      </c>
    </row>
    <row r="2" spans="1:10" x14ac:dyDescent="0.3">
      <c r="A2">
        <v>45</v>
      </c>
      <c r="B2">
        <v>15</v>
      </c>
      <c r="C2">
        <f>A2*B2</f>
        <v>675</v>
      </c>
      <c r="D2">
        <f>C2/21</f>
        <v>32.142857142857146</v>
      </c>
    </row>
    <row r="3" spans="1:10" x14ac:dyDescent="0.3">
      <c r="G3" t="s">
        <v>338</v>
      </c>
      <c r="J3" t="s">
        <v>339</v>
      </c>
    </row>
    <row r="4" spans="1:10" x14ac:dyDescent="0.3">
      <c r="A4" t="s">
        <v>332</v>
      </c>
      <c r="B4" t="s">
        <v>333</v>
      </c>
      <c r="C4" t="s">
        <v>334</v>
      </c>
      <c r="D4" t="s">
        <v>335</v>
      </c>
      <c r="G4">
        <v>60500</v>
      </c>
      <c r="J4">
        <v>70500</v>
      </c>
    </row>
    <row r="5" spans="1:10" x14ac:dyDescent="0.3">
      <c r="A5">
        <v>100</v>
      </c>
      <c r="B5">
        <v>15</v>
      </c>
      <c r="C5" s="154">
        <f>A5*B5</f>
        <v>1500</v>
      </c>
      <c r="D5" s="155">
        <f>C5/52</f>
        <v>28.846153846153847</v>
      </c>
      <c r="G5">
        <v>0.03</v>
      </c>
      <c r="J5">
        <v>0.03</v>
      </c>
    </row>
    <row r="6" spans="1:10" x14ac:dyDescent="0.3">
      <c r="G6">
        <f>G4*G5</f>
        <v>1815</v>
      </c>
      <c r="J6">
        <f>J4*J5</f>
        <v>2115</v>
      </c>
    </row>
    <row r="7" spans="1:10" x14ac:dyDescent="0.3">
      <c r="G7">
        <f>G4+G6</f>
        <v>62315</v>
      </c>
      <c r="H7">
        <f>G7*G5</f>
        <v>1869.4499999999998</v>
      </c>
      <c r="J7">
        <f>J4+J6</f>
        <v>72615</v>
      </c>
    </row>
    <row r="8" spans="1:10" x14ac:dyDescent="0.3">
      <c r="G8">
        <f>G7+H7</f>
        <v>64184.45</v>
      </c>
      <c r="H8">
        <f>G8*G5</f>
        <v>1925.5334999999998</v>
      </c>
    </row>
    <row r="9" spans="1:10" x14ac:dyDescent="0.3">
      <c r="A9" s="178"/>
      <c r="B9" s="178"/>
      <c r="G9">
        <f>G8+H8</f>
        <v>66109.983500000002</v>
      </c>
    </row>
    <row r="10" spans="1:10" x14ac:dyDescent="0.3">
      <c r="B10" s="156"/>
    </row>
    <row r="11" spans="1:10" x14ac:dyDescent="0.3">
      <c r="B11" s="156"/>
    </row>
    <row r="12" spans="1:10" x14ac:dyDescent="0.3">
      <c r="B12" s="156"/>
      <c r="C12" s="157"/>
    </row>
    <row r="13" spans="1:10" x14ac:dyDescent="0.3">
      <c r="B13" s="156"/>
      <c r="C13" s="157"/>
    </row>
    <row r="15" spans="1:10" x14ac:dyDescent="0.3">
      <c r="A15" s="179"/>
      <c r="B15" s="179"/>
    </row>
    <row r="16" spans="1:10" x14ac:dyDescent="0.3">
      <c r="B16" s="156"/>
      <c r="C16" s="159"/>
      <c r="D16" s="156"/>
    </row>
    <row r="17" spans="2:2" x14ac:dyDescent="0.3">
      <c r="B17" s="158"/>
    </row>
  </sheetData>
  <mergeCells count="2">
    <mergeCell ref="A9:B9"/>
    <mergeCell ref="A15:B15"/>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25C813CD0721741A0C9B6B6CC3052A0" ma:contentTypeVersion="15" ma:contentTypeDescription="Create a new document." ma:contentTypeScope="" ma:versionID="82b731608f6161ac2f82dd6aac969c7e">
  <xsd:schema xmlns:xsd="http://www.w3.org/2001/XMLSchema" xmlns:xs="http://www.w3.org/2001/XMLSchema" xmlns:p="http://schemas.microsoft.com/office/2006/metadata/properties" xmlns:ns2="f973a707-3aa9-46ff-a34c-6454ac29641e" xmlns:ns3="5cd7767b-fbbb-4564-97b2-00a571431728" targetNamespace="http://schemas.microsoft.com/office/2006/metadata/properties" ma:root="true" ma:fieldsID="a99e9b653a270f9591cd4a59b2aeca91" ns2:_="" ns3:_="">
    <xsd:import namespace="f973a707-3aa9-46ff-a34c-6454ac29641e"/>
    <xsd:import namespace="5cd7767b-fbbb-4564-97b2-00a571431728"/>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SearchProperties" minOccurs="0"/>
                <xsd:element ref="ns2:MediaServiceDateTaken" minOccurs="0"/>
                <xsd:element ref="ns2:MediaServiceLocatio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73a707-3aa9-46ff-a34c-6454ac2964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cf55e77a-921f-4c6b-8061-7eb2adfeb052" ma:termSetId="09814cd3-568e-fe90-9814-8d621ff8fb84" ma:anchorId="fba54fb3-c3e1-fe81-a776-ca4b69148c4d" ma:open="true" ma:isKeyword="false">
      <xsd:complexType>
        <xsd:sequence>
          <xsd:element ref="pc:Terms" minOccurs="0" maxOccurs="1"/>
        </xsd:sequence>
      </xsd:complex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SearchProperties" ma:index="17" nillable="true" ma:displayName="MediaServiceSearchProperties" ma:hidden="true" ma:internalName="MediaServiceSearchProperties" ma:readOnly="true">
      <xsd:simpleType>
        <xsd:restriction base="dms:Note"/>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cd7767b-fbbb-4564-97b2-00a571431728"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cb3f0737-642a-43d2-ad6a-763a047c2d9b}" ma:internalName="TaxCatchAll" ma:showField="CatchAllData" ma:web="5cd7767b-fbbb-4564-97b2-00a571431728">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cd7767b-fbbb-4564-97b2-00a571431728" xsi:nil="true"/>
    <lcf76f155ced4ddcb4097134ff3c332f xmlns="f973a707-3aa9-46ff-a34c-6454ac29641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FDC3AFF-764F-4048-B675-DB8CE59AFD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73a707-3aa9-46ff-a34c-6454ac29641e"/>
    <ds:schemaRef ds:uri="5cd7767b-fbbb-4564-97b2-00a5714317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739806-4CFB-4FB3-BBEE-19D513A4AC8B}">
  <ds:schemaRefs>
    <ds:schemaRef ds:uri="http://schemas.microsoft.com/sharepoint/v3/contenttype/forms"/>
  </ds:schemaRefs>
</ds:datastoreItem>
</file>

<file path=customXml/itemProps3.xml><?xml version="1.0" encoding="utf-8"?>
<ds:datastoreItem xmlns:ds="http://schemas.openxmlformats.org/officeDocument/2006/customXml" ds:itemID="{F91BA055-82F2-4EF9-857A-DBFDF5056F27}">
  <ds:schemaRefs>
    <ds:schemaRef ds:uri="http://schemas.microsoft.com/office/2006/metadata/properties"/>
    <ds:schemaRef ds:uri="http://schemas.microsoft.com/office/infopath/2007/PartnerControls"/>
    <ds:schemaRef ds:uri="5cd7767b-fbbb-4564-97b2-00a571431728"/>
    <ds:schemaRef ds:uri="f973a707-3aa9-46ff-a34c-6454ac29641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33</vt:i4>
      </vt:variant>
    </vt:vector>
  </HeadingPairs>
  <TitlesOfParts>
    <vt:vector size="38" baseType="lpstr">
      <vt:lpstr>Version</vt:lpstr>
      <vt:lpstr>Summary</vt:lpstr>
      <vt:lpstr>Underwriting</vt:lpstr>
      <vt:lpstr>Waterfall</vt:lpstr>
      <vt:lpstr>Sheet1</vt:lpstr>
      <vt:lpstr>Debt?</vt:lpstr>
      <vt:lpstr>Debt_LTC_Actual</vt:lpstr>
      <vt:lpstr>Debt_LTC_Input</vt:lpstr>
      <vt:lpstr>Debt_LTC_Target</vt:lpstr>
      <vt:lpstr>Equity_Total</vt:lpstr>
      <vt:lpstr>Funding_Order</vt:lpstr>
      <vt:lpstr>Items_Hard_Horizontal_Costs</vt:lpstr>
      <vt:lpstr>Items_Hard_Vertical_Costs</vt:lpstr>
      <vt:lpstr>Items_Land_Costs</vt:lpstr>
      <vt:lpstr>Items_Soft_Costs</vt:lpstr>
      <vt:lpstr>Items_Unit_Types</vt:lpstr>
      <vt:lpstr>Land_Type_Plur</vt:lpstr>
      <vt:lpstr>Land_Type_Sing</vt:lpstr>
      <vt:lpstr>LTC_PP_Actual</vt:lpstr>
      <vt:lpstr>LTC_PP_Independent</vt:lpstr>
      <vt:lpstr>LTC_PP_Target</vt:lpstr>
      <vt:lpstr>Model_Type</vt:lpstr>
      <vt:lpstr>Nav_Inv_Desc</vt:lpstr>
      <vt:lpstr>Nav_Returns</vt:lpstr>
      <vt:lpstr>Nav_Sales</vt:lpstr>
      <vt:lpstr>Nav_Sources</vt:lpstr>
      <vt:lpstr>Nav_Uses</vt:lpstr>
      <vt:lpstr>Nav_Waterfall</vt:lpstr>
      <vt:lpstr>Summary!Print_Area</vt:lpstr>
      <vt:lpstr>Recalc?</vt:lpstr>
      <vt:lpstr>Rel_Hard_Horizontal_Costs</vt:lpstr>
      <vt:lpstr>Rel_Hard_Vertical_Costs</vt:lpstr>
      <vt:lpstr>Rel_Land_Costs</vt:lpstr>
      <vt:lpstr>Rel_Soft_Costs</vt:lpstr>
      <vt:lpstr>Rel_Unit_Sales</vt:lpstr>
      <vt:lpstr>Start_Date</vt:lpstr>
      <vt:lpstr>Total_Uses</vt:lpstr>
      <vt:lpstr>Unit_Type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Spencer Burton</dc:creator>
  <cp:keywords/>
  <dc:description/>
  <cp:lastModifiedBy>Bryan De Bruin, Esq.</cp:lastModifiedBy>
  <cp:revision/>
  <dcterms:created xsi:type="dcterms:W3CDTF">2021-04-02T23:44:21Z</dcterms:created>
  <dcterms:modified xsi:type="dcterms:W3CDTF">2025-01-10T19:02:02Z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0x010100425C813CD0721741A0C9B6B6CC3052A0</vt:lpwstr>
  </property>
  <property fmtid="{D5CDD505-2E9C-101B-9397-08002B2CF9AE}" pid="3" name="MediaServiceImageTags">
    <vt:lpwstr/>
  </property>
</Properties>
</file>