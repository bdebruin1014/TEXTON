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vanrockre-my.sharepoint.com/personal/bryan_vanrockre_com/Documents/Atlas - Information for App/"/>
    </mc:Choice>
  </mc:AlternateContent>
  <xr:revisionPtr revIDLastSave="0" documentId="8_{D525899D-2704-46C4-8F19-B319E19636D2}" xr6:coauthVersionLast="47" xr6:coauthVersionMax="47" xr10:uidLastSave="{00000000-0000-0000-0000-000000000000}"/>
  <bookViews>
    <workbookView xWindow="-120" yWindow="-120" windowWidth="29040" windowHeight="15720" tabRatio="500" firstSheet="1" activeTab="1" xr2:uid="{00000000-000D-0000-FFFF-FFFF00000000}"/>
  </bookViews>
  <sheets>
    <sheet name="Sticks &amp; Bricks Detail" sheetId="1" r:id="rId1"/>
    <sheet name="Pricing Summary" sheetId="2" r:id="rId2"/>
    <sheet name="Detailed Breakdown" sheetId="3" r:id="rId3"/>
    <sheet name="Upgrades Menu" sheetId="4" r:id="rId4"/>
    <sheet name="Floor Plan Specs" sheetId="5" r:id="rId5"/>
    <sheet name="Exclusions &amp; Notes" sheetId="6" r:id="rId6"/>
  </sheets>
  <calcPr calcId="191028" iterateCount="2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76" i="3" l="1"/>
  <c r="C668" i="3"/>
  <c r="C664" i="3"/>
  <c r="C658" i="3"/>
  <c r="C654" i="3"/>
  <c r="C645" i="3"/>
  <c r="C637" i="3"/>
  <c r="C633" i="3"/>
  <c r="C627" i="3"/>
  <c r="C614" i="3"/>
  <c r="C606" i="3"/>
  <c r="C602" i="3"/>
  <c r="C596" i="3"/>
  <c r="C592" i="3"/>
  <c r="C583" i="3"/>
  <c r="C575" i="3"/>
  <c r="C571" i="3"/>
  <c r="C565" i="3"/>
  <c r="C561" i="3"/>
  <c r="C552" i="3"/>
  <c r="C544" i="3"/>
  <c r="C540" i="3"/>
  <c r="C534" i="3"/>
  <c r="C521" i="3"/>
  <c r="C513" i="3"/>
  <c r="C509" i="3"/>
  <c r="C503" i="3"/>
  <c r="C499" i="3"/>
  <c r="C522" i="3" s="1"/>
  <c r="C490" i="3"/>
  <c r="C482" i="3"/>
  <c r="C478" i="3"/>
  <c r="C472" i="3"/>
  <c r="C468" i="3"/>
  <c r="C459" i="3"/>
  <c r="C451" i="3"/>
  <c r="C447" i="3"/>
  <c r="C441" i="3"/>
  <c r="C428" i="3"/>
  <c r="C420" i="3"/>
  <c r="C416" i="3"/>
  <c r="C410" i="3"/>
  <c r="C406" i="3"/>
  <c r="C397" i="3"/>
  <c r="C389" i="3"/>
  <c r="C385" i="3"/>
  <c r="C379" i="3"/>
  <c r="C366" i="3"/>
  <c r="C358" i="3"/>
  <c r="C354" i="3"/>
  <c r="C348" i="3"/>
  <c r="C335" i="3"/>
  <c r="C327" i="3"/>
  <c r="C323" i="3"/>
  <c r="C317" i="3"/>
  <c r="C304" i="3"/>
  <c r="C296" i="3"/>
  <c r="C292" i="3"/>
  <c r="C286" i="3"/>
  <c r="C282" i="3"/>
  <c r="C273" i="3"/>
  <c r="C265" i="3"/>
  <c r="C261" i="3"/>
  <c r="C255" i="3"/>
  <c r="C242" i="3"/>
  <c r="C234" i="3"/>
  <c r="C230" i="3"/>
  <c r="C224" i="3"/>
  <c r="C220" i="3"/>
  <c r="C243" i="3" s="1"/>
  <c r="C211" i="3"/>
  <c r="C203" i="3"/>
  <c r="C199" i="3"/>
  <c r="C193" i="3"/>
  <c r="C189" i="3"/>
  <c r="C180" i="3"/>
  <c r="C172" i="3"/>
  <c r="C168" i="3"/>
  <c r="C162" i="3"/>
  <c r="C149" i="3"/>
  <c r="C141" i="3"/>
  <c r="C137" i="3"/>
  <c r="C131" i="3"/>
  <c r="C127" i="3"/>
  <c r="C150" i="3" s="1"/>
  <c r="C118" i="3"/>
  <c r="C110" i="3"/>
  <c r="C106" i="3"/>
  <c r="C100" i="3"/>
  <c r="C96" i="3"/>
  <c r="C87" i="3"/>
  <c r="C79" i="3"/>
  <c r="C75" i="3"/>
  <c r="C69" i="3"/>
  <c r="C56" i="3"/>
  <c r="C48" i="3"/>
  <c r="C44" i="3"/>
  <c r="C38" i="3"/>
  <c r="C34" i="3"/>
  <c r="C57" i="3" s="1"/>
  <c r="C25" i="3"/>
  <c r="C17" i="3"/>
  <c r="C13" i="3"/>
  <c r="C7" i="3"/>
  <c r="E24" i="2"/>
  <c r="J24" i="2" s="1"/>
  <c r="E21" i="2"/>
  <c r="J21" i="2" s="1"/>
  <c r="L21" i="2" s="1"/>
  <c r="E20" i="2"/>
  <c r="E16" i="2"/>
  <c r="E12" i="2"/>
  <c r="J12" i="2" s="1"/>
  <c r="E9" i="2"/>
  <c r="E8" i="2"/>
  <c r="E4" i="2"/>
  <c r="V57" i="1"/>
  <c r="T57" i="1"/>
  <c r="S57" i="1"/>
  <c r="R57" i="1"/>
  <c r="Q57" i="1"/>
  <c r="P57" i="1"/>
  <c r="O57" i="1"/>
  <c r="N57" i="1"/>
  <c r="J57" i="1"/>
  <c r="H57" i="1"/>
  <c r="G57" i="1"/>
  <c r="F57" i="1"/>
  <c r="E57" i="1"/>
  <c r="D57" i="1"/>
  <c r="C57" i="1"/>
  <c r="B57" i="1"/>
  <c r="W56" i="1"/>
  <c r="W57" i="1" s="1"/>
  <c r="V56" i="1"/>
  <c r="E23" i="2" s="1"/>
  <c r="U56" i="1"/>
  <c r="E22" i="2" s="1"/>
  <c r="T56" i="1"/>
  <c r="S56" i="1"/>
  <c r="C530" i="3" s="1"/>
  <c r="R56" i="1"/>
  <c r="E19" i="2" s="1"/>
  <c r="Q56" i="1"/>
  <c r="E18" i="2" s="1"/>
  <c r="P56" i="1"/>
  <c r="C437" i="3" s="1"/>
  <c r="O56" i="1"/>
  <c r="N56" i="1"/>
  <c r="E15" i="2" s="1"/>
  <c r="M56" i="1"/>
  <c r="M57" i="1" s="1"/>
  <c r="L56" i="1"/>
  <c r="L57" i="1" s="1"/>
  <c r="K56" i="1"/>
  <c r="K57" i="1" s="1"/>
  <c r="J56" i="1"/>
  <c r="E11" i="2" s="1"/>
  <c r="I56" i="1"/>
  <c r="E10" i="2" s="1"/>
  <c r="H56" i="1"/>
  <c r="G56" i="1"/>
  <c r="C158" i="3" s="1"/>
  <c r="F56" i="1"/>
  <c r="E7" i="2" s="1"/>
  <c r="E56" i="1"/>
  <c r="E6" i="2" s="1"/>
  <c r="D56" i="1"/>
  <c r="E5" i="2" s="1"/>
  <c r="C56" i="1"/>
  <c r="B56" i="1"/>
  <c r="E3" i="2" s="1"/>
  <c r="J5" i="2" l="1"/>
  <c r="L5" i="2" s="1"/>
  <c r="C460" i="3"/>
  <c r="C462" i="3" s="1"/>
  <c r="C463" i="3" s="1"/>
  <c r="J6" i="2"/>
  <c r="L6" i="2" s="1"/>
  <c r="J18" i="2"/>
  <c r="L18" i="2" s="1"/>
  <c r="J7" i="2"/>
  <c r="L7" i="2"/>
  <c r="J19" i="2"/>
  <c r="L19" i="2"/>
  <c r="C181" i="3"/>
  <c r="C183" i="3" s="1"/>
  <c r="C184" i="3" s="1"/>
  <c r="C553" i="3"/>
  <c r="C555" i="3" s="1"/>
  <c r="C556" i="3" s="1"/>
  <c r="C121" i="3"/>
  <c r="C122" i="3" s="1"/>
  <c r="J10" i="2"/>
  <c r="L10" i="2" s="1"/>
  <c r="J22" i="2"/>
  <c r="L22" i="2" s="1"/>
  <c r="J11" i="2"/>
  <c r="L11" i="2"/>
  <c r="J3" i="2"/>
  <c r="L3" i="2" s="1"/>
  <c r="J23" i="2"/>
  <c r="L23" i="2" s="1"/>
  <c r="J15" i="2"/>
  <c r="L15" i="2"/>
  <c r="J8" i="2"/>
  <c r="L8" i="2" s="1"/>
  <c r="L12" i="2"/>
  <c r="E13" i="2"/>
  <c r="J9" i="2"/>
  <c r="L9" i="2" s="1"/>
  <c r="C615" i="3"/>
  <c r="C617" i="3" s="1"/>
  <c r="C618" i="3" s="1"/>
  <c r="C313" i="3"/>
  <c r="J16" i="2"/>
  <c r="L16" i="2" s="1"/>
  <c r="L24" i="2"/>
  <c r="C3" i="3"/>
  <c r="C375" i="3"/>
  <c r="C429" i="3"/>
  <c r="C431" i="3" s="1"/>
  <c r="C432" i="3" s="1"/>
  <c r="C524" i="3"/>
  <c r="C525" i="3" s="1"/>
  <c r="I57" i="1"/>
  <c r="U57" i="1"/>
  <c r="E14" i="2"/>
  <c r="E17" i="2"/>
  <c r="C59" i="3"/>
  <c r="C60" i="3" s="1"/>
  <c r="C152" i="3"/>
  <c r="C153" i="3" s="1"/>
  <c r="C245" i="3"/>
  <c r="C246" i="3" s="1"/>
  <c r="C65" i="3"/>
  <c r="C251" i="3"/>
  <c r="C344" i="3"/>
  <c r="C623" i="3"/>
  <c r="J4" i="2"/>
  <c r="L4" i="2" s="1"/>
  <c r="J20" i="2"/>
  <c r="L20" i="2" s="1"/>
  <c r="C119" i="3"/>
  <c r="C212" i="3"/>
  <c r="C214" i="3" s="1"/>
  <c r="C215" i="3" s="1"/>
  <c r="C305" i="3"/>
  <c r="C307" i="3" s="1"/>
  <c r="C308" i="3" s="1"/>
  <c r="C491" i="3"/>
  <c r="C493" i="3" s="1"/>
  <c r="C494" i="3" s="1"/>
  <c r="C584" i="3"/>
  <c r="C586" i="3" s="1"/>
  <c r="C587" i="3" s="1"/>
  <c r="C677" i="3"/>
  <c r="C679" i="3" s="1"/>
  <c r="C680" i="3" s="1"/>
  <c r="J13" i="2" l="1"/>
  <c r="L13" i="2"/>
  <c r="C646" i="3"/>
  <c r="C648" i="3" s="1"/>
  <c r="C649" i="3" s="1"/>
  <c r="J14" i="2"/>
  <c r="L14" i="2" s="1"/>
  <c r="C367" i="3"/>
  <c r="C369" i="3"/>
  <c r="C370" i="3" s="1"/>
  <c r="C336" i="3"/>
  <c r="C338" i="3" s="1"/>
  <c r="C339" i="3" s="1"/>
  <c r="J17" i="2"/>
  <c r="L17" i="2" s="1"/>
  <c r="C398" i="3"/>
  <c r="C400" i="3" s="1"/>
  <c r="C401" i="3" s="1"/>
  <c r="C274" i="3"/>
  <c r="C276" i="3" s="1"/>
  <c r="C277" i="3" s="1"/>
  <c r="C26" i="3"/>
  <c r="C28" i="3" s="1"/>
  <c r="C29" i="3" s="1"/>
  <c r="C88" i="3"/>
  <c r="C90" i="3"/>
  <c r="C91" i="3" s="1"/>
</calcChain>
</file>

<file path=xl/sharedStrings.xml><?xml version="1.0" encoding="utf-8"?>
<sst xmlns="http://schemas.openxmlformats.org/spreadsheetml/2006/main" count="1384" uniqueCount="253">
  <si>
    <t>STICKS &amp; BRICKS - ITEMIZED COSTS</t>
  </si>
  <si>
    <t>Line Item</t>
  </si>
  <si>
    <t>TULIP</t>
  </si>
  <si>
    <t>ASH</t>
  </si>
  <si>
    <t>PALMETTO</t>
  </si>
  <si>
    <t>LILAC</t>
  </si>
  <si>
    <t>BANYAN</t>
  </si>
  <si>
    <t>JASMINE</t>
  </si>
  <si>
    <t>DOGWOOD</t>
  </si>
  <si>
    <t>SPRUCE</t>
  </si>
  <si>
    <t>ATLAS</t>
  </si>
  <si>
    <t>PALM</t>
  </si>
  <si>
    <t>ELM</t>
  </si>
  <si>
    <t>HAZEL</t>
  </si>
  <si>
    <t>ASPEN 2-Story</t>
  </si>
  <si>
    <t>FIG</t>
  </si>
  <si>
    <t>WILLOW</t>
  </si>
  <si>
    <t>HOLLY</t>
  </si>
  <si>
    <t>WHITE OAK</t>
  </si>
  <si>
    <t>FIR</t>
  </si>
  <si>
    <t>ASPEN 3-Story</t>
  </si>
  <si>
    <t>CHERRY</t>
  </si>
  <si>
    <t>RED OAK</t>
  </si>
  <si>
    <t>MAGNOLIA</t>
  </si>
  <si>
    <t>Square Footage</t>
  </si>
  <si>
    <t>Dumpster</t>
  </si>
  <si>
    <t>Utilities</t>
  </si>
  <si>
    <t>Portable Toilet</t>
  </si>
  <si>
    <t>Permit Box</t>
  </si>
  <si>
    <t>Termite</t>
  </si>
  <si>
    <t>Lumber All Floors</t>
  </si>
  <si>
    <t>Framing Labor</t>
  </si>
  <si>
    <t>Stairs</t>
  </si>
  <si>
    <t>Roof Trusses</t>
  </si>
  <si>
    <t>I-Joist/EWP</t>
  </si>
  <si>
    <t>Roofing Shingle</t>
  </si>
  <si>
    <t>Siding Material (Vinyl)</t>
  </si>
  <si>
    <t>Siding Labor</t>
  </si>
  <si>
    <t>Brick</t>
  </si>
  <si>
    <t>Window Material</t>
  </si>
  <si>
    <t>Window Labor</t>
  </si>
  <si>
    <t>Exterior Door Material</t>
  </si>
  <si>
    <t>Exterior Door Labor</t>
  </si>
  <si>
    <t>Garage Door Labor &amp; Material</t>
  </si>
  <si>
    <t>Plumbing Turnkey</t>
  </si>
  <si>
    <t>HVAC</t>
  </si>
  <si>
    <t>Electrical Rough &amp; Trim</t>
  </si>
  <si>
    <t>Blower Test</t>
  </si>
  <si>
    <t>Insulation</t>
  </si>
  <si>
    <t>Drywall Material</t>
  </si>
  <si>
    <t>Drywall Labor</t>
  </si>
  <si>
    <t>Exterior Paint Labor &amp; Material</t>
  </si>
  <si>
    <t>Interior Paint</t>
  </si>
  <si>
    <t>Interior Trim Turnkey</t>
  </si>
  <si>
    <t>Door Hardware</t>
  </si>
  <si>
    <t>Shelving</t>
  </si>
  <si>
    <t>Mirrors</t>
  </si>
  <si>
    <t>Bath Accessories</t>
  </si>
  <si>
    <t>Shower Door</t>
  </si>
  <si>
    <t>Countertops</t>
  </si>
  <si>
    <t>Cabinet Labor &amp; Material</t>
  </si>
  <si>
    <t>Tile Labor &amp; Material</t>
  </si>
  <si>
    <t>Light Fixtures</t>
  </si>
  <si>
    <t>Appliances</t>
  </si>
  <si>
    <t>Carpet Labor &amp; Material</t>
  </si>
  <si>
    <t>LVP Labor &amp; Material</t>
  </si>
  <si>
    <t>Interior Clean</t>
  </si>
  <si>
    <t>Gutters</t>
  </si>
  <si>
    <t>Mailbox</t>
  </si>
  <si>
    <t>Pressure Wash</t>
  </si>
  <si>
    <t>Foundation</t>
  </si>
  <si>
    <t>Landscaping</t>
  </si>
  <si>
    <t>Flatwork</t>
  </si>
  <si>
    <t>Deck (PT Deck)</t>
  </si>
  <si>
    <t>Blinds</t>
  </si>
  <si>
    <t>Waterproofing</t>
  </si>
  <si>
    <t>Building Permits</t>
  </si>
  <si>
    <t>STICKS &amp; BRICKS TOTAL</t>
  </si>
  <si>
    <t>Price per SF</t>
  </si>
  <si>
    <t>RED CEDAR HOMES - PRICING SUMMARY (Contract Format)</t>
  </si>
  <si>
    <t>Plan Name</t>
  </si>
  <si>
    <t>Sq Ft</t>
  </si>
  <si>
    <t>Bed/Bath</t>
  </si>
  <si>
    <t>Garage</t>
  </si>
  <si>
    <t>1. Sticks &amp; Bricks</t>
  </si>
  <si>
    <t>2. Upgrades</t>
  </si>
  <si>
    <t>3. Lot Prep</t>
  </si>
  <si>
    <t>4. Vert Costs</t>
  </si>
  <si>
    <t>5. Soft Costs</t>
  </si>
  <si>
    <t>6. Contingency</t>
  </si>
  <si>
    <t>7. Builder Fee</t>
  </si>
  <si>
    <t>TOTAL</t>
  </si>
  <si>
    <t>3/2</t>
  </si>
  <si>
    <t>1-Car</t>
  </si>
  <si>
    <t>2-Car</t>
  </si>
  <si>
    <t>3/2.5</t>
  </si>
  <si>
    <t>None</t>
  </si>
  <si>
    <t>3/3</t>
  </si>
  <si>
    <t>4/2.5</t>
  </si>
  <si>
    <t>3/3.5</t>
  </si>
  <si>
    <t>4/3.5</t>
  </si>
  <si>
    <t>4/3</t>
  </si>
  <si>
    <t>TULIP | 1170 SF | 3BD/2BA | 1-Car Garage</t>
  </si>
  <si>
    <t>Section</t>
  </si>
  <si>
    <t>Description</t>
  </si>
  <si>
    <t>Amount</t>
  </si>
  <si>
    <t>Notes</t>
  </si>
  <si>
    <t>1. STICKS &amp; BRICKS</t>
  </si>
  <si>
    <t>See 'Sticks &amp; Bricks Detail' Tab</t>
  </si>
  <si>
    <t>Full itemization in detail tab</t>
  </si>
  <si>
    <t>2. UPGRADES</t>
  </si>
  <si>
    <t>Hardie Color-Plus Siding</t>
  </si>
  <si>
    <t>$3,500-$4,000 if selected</t>
  </si>
  <si>
    <t>Exterior Elevation Upgrade</t>
  </si>
  <si>
    <t>$3,000-$4,000 if selected</t>
  </si>
  <si>
    <t>Interior Package Upgrade</t>
  </si>
  <si>
    <t>$3,795-$8,623 per level</t>
  </si>
  <si>
    <t>Upgrades Subtotal</t>
  </si>
  <si>
    <t>3. LOT PREP</t>
  </si>
  <si>
    <t>Homesite Preparation &amp; Excavation</t>
  </si>
  <si>
    <t>Utility Trenching &amp; Connections</t>
  </si>
  <si>
    <t>Backfill &amp; Final Grade</t>
  </si>
  <si>
    <t>Exterior Flatwork</t>
  </si>
  <si>
    <t>Other (to meet $15K min)</t>
  </si>
  <si>
    <t>Minimum $15,000 total</t>
  </si>
  <si>
    <t>Lot Prep Subtotal</t>
  </si>
  <si>
    <t>4. ADDED VERTICAL</t>
  </si>
  <si>
    <t>Stepped Foundation Upgrade</t>
  </si>
  <si>
    <t>Rock Hammering</t>
  </si>
  <si>
    <t>Fill Import/Export</t>
  </si>
  <si>
    <t>Added Vertical Subtotal</t>
  </si>
  <si>
    <t>5. SOFT COSTS</t>
  </si>
  <si>
    <t>Permitting &amp; Plan Submittal</t>
  </si>
  <si>
    <t>Architectural Fees</t>
  </si>
  <si>
    <t>Engineering</t>
  </si>
  <si>
    <t>Survey</t>
  </si>
  <si>
    <t>Construction Insurance</t>
  </si>
  <si>
    <t>Blueprints &amp; Misc Supplies</t>
  </si>
  <si>
    <t>Soft Costs Subtotal</t>
  </si>
  <si>
    <t>6. CONTINGENCY</t>
  </si>
  <si>
    <t>Contingency (≤$10K or 5%)</t>
  </si>
  <si>
    <t>Per contract terms</t>
  </si>
  <si>
    <t>7. BUILDER FEE</t>
  </si>
  <si>
    <t>Builder Fee</t>
  </si>
  <si>
    <t>Fixed $25,000 per contract</t>
  </si>
  <si>
    <t>TOTAL COST</t>
  </si>
  <si>
    <t>ASH | 1188 SF | 3BD/2BA | 2-Car Garage</t>
  </si>
  <si>
    <t>PALMETTO | 1304 SF | 3BD/2.5BA | No Garage</t>
  </si>
  <si>
    <t>LILAC | 1383 SF | 3BD/3BA | 1-Car Garage</t>
  </si>
  <si>
    <t>BANYAN | 1400 SF | 3BD/3BA | 2-Car Garage</t>
  </si>
  <si>
    <t>JASMINE | 1500 SF | 3BD/2.5BA | 1-Car Garage</t>
  </si>
  <si>
    <t>DOGWOOD | 1541 SF | 3BD/2.5BA | 2-Car Garage</t>
  </si>
  <si>
    <t>SPRUCE | 1545 SF | 3BD/2BA | 2-Car Garage</t>
  </si>
  <si>
    <t>ATLAS | 1592 SF | 3BD/2.5BA | No Garage</t>
  </si>
  <si>
    <t>PALM | 1700 SF | 3BD/2.5BA | 1-Car Garage</t>
  </si>
  <si>
    <t>ELM | 1712 SF | 4BD/2.5BA | 2-Car Garage</t>
  </si>
  <si>
    <t>HAZEL | 1713 SF | 4BD/2.5BA | 2-Car Garage</t>
  </si>
  <si>
    <t>ASPEN 2-Story | 1788 SF | 3BD/2.5BA | 2-Car Garage</t>
  </si>
  <si>
    <t>FIG | 1798 SF | 3BD/3.5BA | 1-Car Garage</t>
  </si>
  <si>
    <t>WILLOW | 1857 SF | 4BD/2.5BA | 1-Car Garage</t>
  </si>
  <si>
    <t>HOLLY | 2000 SF | 4BD/2.5BA | 2-Car Garage</t>
  </si>
  <si>
    <t>WHITE OAK | 2005 SF | 4BD/2.5BA | 2-Car Garage</t>
  </si>
  <si>
    <t>FIR | 2072 SF | 4BD/3.5BA | 2-Car Garage</t>
  </si>
  <si>
    <t>ASPEN 3-Story | 2157 SF | 4BD/3.5BA | 2-Car Garage</t>
  </si>
  <si>
    <t>CHERRY | 2214 SF | 4BD/3BA | 2-Car Garage</t>
  </si>
  <si>
    <t>RED OAK | 2217 SF | 4BD/3BA | 2-Car Garage</t>
  </si>
  <si>
    <t>MAGNOLIA | 2771 SF | 4BD/3BA | 2-Car Garage</t>
  </si>
  <si>
    <t>RED CEDAR HOMES - UPGRADE OPTIONS</t>
  </si>
  <si>
    <t>Category</t>
  </si>
  <si>
    <t>Upgrade Name</t>
  </si>
  <si>
    <t>Price Range</t>
  </si>
  <si>
    <t>EXTERIOR</t>
  </si>
  <si>
    <t>$3,500 - $4,000</t>
  </si>
  <si>
    <t>Premium fiber cement siding</t>
  </si>
  <si>
    <t>Elevation Upgrade - 1</t>
  </si>
  <si>
    <t>$3,000 - $4,000</t>
  </si>
  <si>
    <t>Enhanced architectural details</t>
  </si>
  <si>
    <t>Elevation Upgrade - 2</t>
  </si>
  <si>
    <t>Premium elevation design</t>
  </si>
  <si>
    <t>INTERIOR - CLASSIC</t>
  </si>
  <si>
    <t>Foxcroft Classic</t>
  </si>
  <si>
    <t>$4,059</t>
  </si>
  <si>
    <t>Classic finish level</t>
  </si>
  <si>
    <t>Midwood Classic</t>
  </si>
  <si>
    <t>$3,792</t>
  </si>
  <si>
    <t>Madison Classic</t>
  </si>
  <si>
    <t>$3,852</t>
  </si>
  <si>
    <t>Uptown Classic</t>
  </si>
  <si>
    <t>$3,984</t>
  </si>
  <si>
    <t>INTERIOR - ELEGANCE</t>
  </si>
  <si>
    <t>Foxcroft Elegance</t>
  </si>
  <si>
    <t>$6,181</t>
  </si>
  <si>
    <t>Elegance finish level</t>
  </si>
  <si>
    <t>Midwood Elegance</t>
  </si>
  <si>
    <t>$6,468</t>
  </si>
  <si>
    <t>Madison Elegance</t>
  </si>
  <si>
    <t>$8,197</t>
  </si>
  <si>
    <t>Premium elegance finishes</t>
  </si>
  <si>
    <t>Uptown Elegance</t>
  </si>
  <si>
    <t>$8,623</t>
  </si>
  <si>
    <t>Top-tier elegance finishes</t>
  </si>
  <si>
    <t>RED CEDAR HOMES - FLOOR PLAN SPECIFICATIONS</t>
  </si>
  <si>
    <t>Bedrooms</t>
  </si>
  <si>
    <t>Bathrooms</t>
  </si>
  <si>
    <t>Width</t>
  </si>
  <si>
    <t>Depth</t>
  </si>
  <si>
    <t>Stories</t>
  </si>
  <si>
    <t>Type</t>
  </si>
  <si>
    <t>30'</t>
  </si>
  <si>
    <t>50'</t>
  </si>
  <si>
    <t>Single Family</t>
  </si>
  <si>
    <t>29'</t>
  </si>
  <si>
    <t>36'</t>
  </si>
  <si>
    <t>20'</t>
  </si>
  <si>
    <t>42'</t>
  </si>
  <si>
    <t>Townhome</t>
  </si>
  <si>
    <t>46'</t>
  </si>
  <si>
    <t>28'</t>
  </si>
  <si>
    <t>24'</t>
  </si>
  <si>
    <t>49'</t>
  </si>
  <si>
    <t>39'</t>
  </si>
  <si>
    <t>54'</t>
  </si>
  <si>
    <t>33'</t>
  </si>
  <si>
    <t>35'</t>
  </si>
  <si>
    <t>43'</t>
  </si>
  <si>
    <t>18'</t>
  </si>
  <si>
    <t>40'</t>
  </si>
  <si>
    <t>48'</t>
  </si>
  <si>
    <t>38'</t>
  </si>
  <si>
    <t>37'</t>
  </si>
  <si>
    <t>EXCLUSIONS - Items NOT Included in Pricing</t>
  </si>
  <si>
    <t>• Stepped foundations (assumes flat lots)</t>
  </si>
  <si>
    <t>• Fill Import/Export (assumes balanced lots)</t>
  </si>
  <si>
    <t>• Rock Hammering</t>
  </si>
  <si>
    <t>• Curb Cuts &amp; Approaches</t>
  </si>
  <si>
    <t>• City Sidewalks</t>
  </si>
  <si>
    <t>• SDC Fees / Permitting Fees</t>
  </si>
  <si>
    <t>• ARC Review Fees</t>
  </si>
  <si>
    <t>• Utility Connection Fees (beyond standard)</t>
  </si>
  <si>
    <t>• Landscaping (beyond standard allowance)</t>
  </si>
  <si>
    <t>• Fencing</t>
  </si>
  <si>
    <t>• Refrigerators</t>
  </si>
  <si>
    <t>• Washers and Dryers</t>
  </si>
  <si>
    <t>• State Tax (applicable to WA projects only)</t>
  </si>
  <si>
    <t>CONTRACT RULES &amp; NOTES</t>
  </si>
  <si>
    <t>• Builder Fee: Fixed at $25,000 per home per contract terms</t>
  </si>
  <si>
    <t>• Contingency: Lower of $10,000 or 5% of costs (excluding contingency and builder fee)</t>
  </si>
  <si>
    <t>• Soft Costs: Minimum $15,000 total required</t>
  </si>
  <si>
    <t>• Lot Prep: Minimum $15,000 total required</t>
  </si>
  <si>
    <t>• Pricing assumes utilities stubbed out within 50 LF of home</t>
  </si>
  <si>
    <t>• All finishes per Inclusive Features Sheet unless upgrades selected</t>
  </si>
  <si>
    <t>• Blue text = Input cells (modifiable)</t>
  </si>
  <si>
    <t>• Black bold text = Calculated values (formulas)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</si>
</sst>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.00"/>
  </numFmts>
  <fonts count="8">
    <font>
      <sz val="11"/>
      <color theme="1"/>
      <name val="Calibri"/>
      <family val="2"/>
      <charset val="1"/>
    </font>
    <font>
      <b/>
      <sz val="14"/>
      <color rgb="FFFFFFFF"/>
      <name val="Cambria"/>
      <charset val="1"/>
    </font>
    <font>
      <b/>
      <sz val="10"/>
      <color rgb="FFFFFFFF"/>
      <name val="Cambria"/>
      <charset val="1"/>
    </font>
    <font>
      <i/>
      <sz val="11"/>
      <name val="Cambria"/>
      <charset val="1"/>
    </font>
    <font>
      <sz val="11"/>
      <color rgb="FF0000FF"/>
      <name val="Cambria"/>
      <charset val="1"/>
    </font>
    <font>
      <b/>
      <sz val="11"/>
      <name val="Cambria"/>
      <charset val="1"/>
    </font>
    <font>
      <b/>
      <sz val="11"/>
      <color rgb="FFFFFFFF"/>
      <name val="Cambria"/>
      <charset val="1"/>
    </font>
    <font>
      <b/>
      <sz val="12"/>
      <color rgb="FFFFFFFF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2F4538"/>
        <bgColor rgb="FF333300"/>
      </patternFill>
    </fill>
    <fill>
      <patternFill patternType="solid">
        <fgColor rgb="FF4A6D5C"/>
        <bgColor rgb="FF808080"/>
      </patternFill>
    </fill>
    <fill>
      <patternFill patternType="solid">
        <fgColor rgb="FFE8F5E9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 textRotation="45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4" fillId="0" borderId="1" xfId="0" applyNumberFormat="1" applyFont="1" applyBorder="1" applyAlignment="1">
      <alignment horizontal="right"/>
    </xf>
    <xf numFmtId="0" fontId="5" fillId="4" borderId="1" xfId="0" applyFont="1" applyFill="1" applyBorder="1"/>
    <xf numFmtId="164" fontId="5" fillId="4" borderId="1" xfId="0" applyNumberFormat="1" applyFont="1" applyFill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center" wrapText="1"/>
    </xf>
    <xf numFmtId="164" fontId="5" fillId="0" borderId="1" xfId="0" applyNumberFormat="1" applyFont="1" applyBorder="1"/>
    <xf numFmtId="164" fontId="4" fillId="0" borderId="1" xfId="0" applyNumberFormat="1" applyFont="1" applyBorder="1"/>
    <xf numFmtId="164" fontId="5" fillId="4" borderId="1" xfId="0" applyNumberFormat="1" applyFont="1" applyFill="1" applyBorder="1"/>
    <xf numFmtId="0" fontId="5" fillId="0" borderId="1" xfId="0" applyFont="1" applyBorder="1"/>
    <xf numFmtId="0" fontId="0" fillId="4" borderId="1" xfId="0" applyFill="1" applyBorder="1"/>
    <xf numFmtId="165" fontId="0" fillId="0" borderId="1" xfId="0" applyNumberFormat="1" applyBorder="1"/>
    <xf numFmtId="0" fontId="7" fillId="3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6" fillId="2" borderId="0" xfId="0" applyFont="1" applyFill="1" applyAlignment="1"/>
    <xf numFmtId="0" fontId="7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6D5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5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7"/>
  <sheetViews>
    <sheetView zoomScaleNormal="100" workbookViewId="0"/>
  </sheetViews>
  <sheetFormatPr defaultColWidth="8.7109375" defaultRowHeight="15"/>
  <cols>
    <col min="1" max="1" width="28" customWidth="1"/>
    <col min="2" max="23" width="12" customWidth="1"/>
  </cols>
  <sheetData>
    <row r="1" spans="1:23" ht="18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3" ht="57.7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3" t="s">
        <v>24</v>
      </c>
      <c r="B3" s="4">
        <v>1170</v>
      </c>
      <c r="C3" s="4">
        <v>1188</v>
      </c>
      <c r="D3" s="4">
        <v>1304</v>
      </c>
      <c r="E3" s="4">
        <v>1383</v>
      </c>
      <c r="F3" s="4">
        <v>1400</v>
      </c>
      <c r="G3" s="4">
        <v>1500</v>
      </c>
      <c r="H3" s="4">
        <v>1541</v>
      </c>
      <c r="I3" s="4">
        <v>1545</v>
      </c>
      <c r="J3" s="4">
        <v>1592</v>
      </c>
      <c r="K3" s="4">
        <v>1700</v>
      </c>
      <c r="L3" s="4">
        <v>1712</v>
      </c>
      <c r="M3" s="4">
        <v>1713</v>
      </c>
      <c r="N3" s="4">
        <v>1788</v>
      </c>
      <c r="O3" s="4">
        <v>1798</v>
      </c>
      <c r="P3" s="4">
        <v>1857</v>
      </c>
      <c r="Q3" s="4">
        <v>2000</v>
      </c>
      <c r="R3" s="4">
        <v>2005</v>
      </c>
      <c r="S3" s="4">
        <v>2072</v>
      </c>
      <c r="T3" s="4">
        <v>2157</v>
      </c>
      <c r="U3" s="4">
        <v>2214</v>
      </c>
      <c r="V3" s="4">
        <v>2217</v>
      </c>
      <c r="W3" s="4">
        <v>2771</v>
      </c>
    </row>
    <row r="4" spans="1:23">
      <c r="A4" s="5" t="s">
        <v>25</v>
      </c>
      <c r="B4" s="6">
        <v>3000</v>
      </c>
      <c r="C4" s="6">
        <v>3000</v>
      </c>
      <c r="D4" s="6">
        <v>3000</v>
      </c>
      <c r="E4" s="6">
        <v>3000</v>
      </c>
      <c r="F4" s="6">
        <v>3000</v>
      </c>
      <c r="G4" s="6">
        <v>3000</v>
      </c>
      <c r="H4" s="6">
        <v>3000</v>
      </c>
      <c r="I4" s="6">
        <v>3000</v>
      </c>
      <c r="J4" s="6">
        <v>3000</v>
      </c>
      <c r="K4" s="6">
        <v>3000</v>
      </c>
      <c r="L4" s="6">
        <v>3000</v>
      </c>
      <c r="M4" s="6">
        <v>3000</v>
      </c>
      <c r="N4" s="6">
        <v>3000</v>
      </c>
      <c r="O4" s="6">
        <v>3000</v>
      </c>
      <c r="P4" s="6">
        <v>3000</v>
      </c>
      <c r="Q4" s="6">
        <v>3000</v>
      </c>
      <c r="R4" s="6">
        <v>3000</v>
      </c>
      <c r="S4" s="6">
        <v>3000</v>
      </c>
      <c r="T4" s="6">
        <v>3000</v>
      </c>
      <c r="U4" s="6">
        <v>3000</v>
      </c>
      <c r="V4" s="6">
        <v>3000</v>
      </c>
      <c r="W4" s="6">
        <v>3000</v>
      </c>
    </row>
    <row r="5" spans="1:23">
      <c r="A5" s="5" t="s">
        <v>26</v>
      </c>
      <c r="B5" s="6">
        <v>600</v>
      </c>
      <c r="C5" s="6">
        <v>600</v>
      </c>
      <c r="D5" s="6">
        <v>600</v>
      </c>
      <c r="E5" s="6">
        <v>600</v>
      </c>
      <c r="F5" s="6">
        <v>600</v>
      </c>
      <c r="G5" s="6">
        <v>600</v>
      </c>
      <c r="H5" s="6">
        <v>600</v>
      </c>
      <c r="I5" s="6">
        <v>600</v>
      </c>
      <c r="J5" s="6">
        <v>600</v>
      </c>
      <c r="K5" s="6">
        <v>600</v>
      </c>
      <c r="L5" s="6">
        <v>600</v>
      </c>
      <c r="M5" s="6">
        <v>600</v>
      </c>
      <c r="N5" s="6">
        <v>600</v>
      </c>
      <c r="O5" s="6">
        <v>600</v>
      </c>
      <c r="P5" s="6">
        <v>600</v>
      </c>
      <c r="Q5" s="6">
        <v>600</v>
      </c>
      <c r="R5" s="6">
        <v>600</v>
      </c>
      <c r="S5" s="6">
        <v>600</v>
      </c>
      <c r="T5" s="6">
        <v>600</v>
      </c>
      <c r="U5" s="6">
        <v>600</v>
      </c>
      <c r="V5" s="6">
        <v>600</v>
      </c>
      <c r="W5" s="6">
        <v>600</v>
      </c>
    </row>
    <row r="6" spans="1:23">
      <c r="A6" s="5" t="s">
        <v>27</v>
      </c>
      <c r="B6" s="6">
        <v>875</v>
      </c>
      <c r="C6" s="6">
        <v>875</v>
      </c>
      <c r="D6" s="6">
        <v>875</v>
      </c>
      <c r="E6" s="6">
        <v>875</v>
      </c>
      <c r="F6" s="6">
        <v>875</v>
      </c>
      <c r="G6" s="6">
        <v>875</v>
      </c>
      <c r="H6" s="6">
        <v>875</v>
      </c>
      <c r="I6" s="6">
        <v>875</v>
      </c>
      <c r="J6" s="6">
        <v>875</v>
      </c>
      <c r="K6" s="6">
        <v>875</v>
      </c>
      <c r="L6" s="6">
        <v>875</v>
      </c>
      <c r="M6" s="6">
        <v>875</v>
      </c>
      <c r="N6" s="6">
        <v>875</v>
      </c>
      <c r="O6" s="6">
        <v>875</v>
      </c>
      <c r="P6" s="6">
        <v>875</v>
      </c>
      <c r="Q6" s="6">
        <v>875</v>
      </c>
      <c r="R6" s="6">
        <v>875</v>
      </c>
      <c r="S6" s="6">
        <v>875</v>
      </c>
      <c r="T6" s="6">
        <v>875</v>
      </c>
      <c r="U6" s="6">
        <v>875</v>
      </c>
      <c r="V6" s="6">
        <v>875</v>
      </c>
      <c r="W6" s="6">
        <v>875</v>
      </c>
    </row>
    <row r="7" spans="1:23">
      <c r="A7" s="5" t="s">
        <v>28</v>
      </c>
      <c r="B7" s="6">
        <v>50</v>
      </c>
      <c r="C7" s="6">
        <v>50</v>
      </c>
      <c r="D7" s="6">
        <v>50</v>
      </c>
      <c r="E7" s="6">
        <v>50</v>
      </c>
      <c r="F7" s="6">
        <v>50</v>
      </c>
      <c r="G7" s="6">
        <v>50</v>
      </c>
      <c r="H7" s="6">
        <v>50</v>
      </c>
      <c r="I7" s="6">
        <v>50</v>
      </c>
      <c r="J7" s="6">
        <v>50</v>
      </c>
      <c r="K7" s="6">
        <v>50</v>
      </c>
      <c r="L7" s="6">
        <v>50</v>
      </c>
      <c r="M7" s="6">
        <v>50</v>
      </c>
      <c r="N7" s="6">
        <v>50</v>
      </c>
      <c r="O7" s="6">
        <v>50</v>
      </c>
      <c r="P7" s="6">
        <v>50</v>
      </c>
      <c r="Q7" s="6">
        <v>50</v>
      </c>
      <c r="R7" s="6">
        <v>50</v>
      </c>
      <c r="S7" s="6">
        <v>50</v>
      </c>
      <c r="T7" s="6">
        <v>50</v>
      </c>
      <c r="U7" s="6">
        <v>50</v>
      </c>
      <c r="V7" s="6">
        <v>50</v>
      </c>
      <c r="W7" s="6">
        <v>50</v>
      </c>
    </row>
    <row r="8" spans="1:23">
      <c r="A8" s="5" t="s">
        <v>29</v>
      </c>
      <c r="B8" s="6">
        <v>250</v>
      </c>
      <c r="C8" s="6">
        <v>250</v>
      </c>
      <c r="D8" s="6">
        <v>250</v>
      </c>
      <c r="E8" s="6">
        <v>250</v>
      </c>
      <c r="F8" s="6">
        <v>250</v>
      </c>
      <c r="G8" s="6">
        <v>250</v>
      </c>
      <c r="H8" s="6">
        <v>250</v>
      </c>
      <c r="I8" s="6">
        <v>250</v>
      </c>
      <c r="J8" s="6">
        <v>250</v>
      </c>
      <c r="K8" s="6">
        <v>250</v>
      </c>
      <c r="L8" s="6">
        <v>250</v>
      </c>
      <c r="M8" s="6">
        <v>250</v>
      </c>
      <c r="N8" s="6">
        <v>250</v>
      </c>
      <c r="O8" s="6">
        <v>250</v>
      </c>
      <c r="P8" s="6">
        <v>250</v>
      </c>
      <c r="Q8" s="6">
        <v>250</v>
      </c>
      <c r="R8" s="6">
        <v>250</v>
      </c>
      <c r="S8" s="6">
        <v>250</v>
      </c>
      <c r="T8" s="6">
        <v>250</v>
      </c>
      <c r="U8" s="6">
        <v>250</v>
      </c>
      <c r="V8" s="6">
        <v>250</v>
      </c>
      <c r="W8" s="6">
        <v>250</v>
      </c>
    </row>
    <row r="9" spans="1:23">
      <c r="A9" s="5" t="s">
        <v>30</v>
      </c>
      <c r="B9" s="6">
        <v>6892</v>
      </c>
      <c r="C9" s="6">
        <v>6998</v>
      </c>
      <c r="D9" s="6">
        <v>7681</v>
      </c>
      <c r="E9" s="6">
        <v>8146</v>
      </c>
      <c r="F9" s="6">
        <v>8246</v>
      </c>
      <c r="G9" s="6">
        <v>8836</v>
      </c>
      <c r="H9" s="6">
        <v>9077</v>
      </c>
      <c r="I9" s="6">
        <v>9101</v>
      </c>
      <c r="J9" s="6">
        <v>9378</v>
      </c>
      <c r="K9" s="6">
        <v>10014</v>
      </c>
      <c r="L9" s="6">
        <v>10084</v>
      </c>
      <c r="M9" s="6">
        <v>10090</v>
      </c>
      <c r="N9" s="6">
        <v>10532</v>
      </c>
      <c r="O9" s="6">
        <v>10591</v>
      </c>
      <c r="P9" s="6">
        <v>10939</v>
      </c>
      <c r="Q9" s="6">
        <v>11781</v>
      </c>
      <c r="R9" s="6">
        <v>11810</v>
      </c>
      <c r="S9" s="6">
        <v>12205</v>
      </c>
      <c r="T9" s="6">
        <v>12706</v>
      </c>
      <c r="U9" s="6">
        <v>13042</v>
      </c>
      <c r="V9" s="6">
        <v>13059</v>
      </c>
      <c r="W9" s="6">
        <v>16323</v>
      </c>
    </row>
    <row r="10" spans="1:23">
      <c r="A10" s="5" t="s">
        <v>31</v>
      </c>
      <c r="B10" s="6">
        <v>4699</v>
      </c>
      <c r="C10" s="6">
        <v>4772</v>
      </c>
      <c r="D10" s="6">
        <v>5238</v>
      </c>
      <c r="E10" s="6">
        <v>5555</v>
      </c>
      <c r="F10" s="6">
        <v>5623</v>
      </c>
      <c r="G10" s="6">
        <v>6025</v>
      </c>
      <c r="H10" s="6">
        <v>6190</v>
      </c>
      <c r="I10" s="6">
        <v>6206</v>
      </c>
      <c r="J10" s="6">
        <v>6395</v>
      </c>
      <c r="K10" s="6">
        <v>6828</v>
      </c>
      <c r="L10" s="6">
        <v>6877</v>
      </c>
      <c r="M10" s="6">
        <v>6881</v>
      </c>
      <c r="N10" s="6">
        <v>7182</v>
      </c>
      <c r="O10" s="6">
        <v>7222</v>
      </c>
      <c r="P10" s="6">
        <v>7459</v>
      </c>
      <c r="Q10" s="6">
        <v>8033</v>
      </c>
      <c r="R10" s="6">
        <v>8054</v>
      </c>
      <c r="S10" s="6">
        <v>8323</v>
      </c>
      <c r="T10" s="6">
        <v>8664</v>
      </c>
      <c r="U10" s="6">
        <v>8893</v>
      </c>
      <c r="V10" s="6">
        <v>8905</v>
      </c>
      <c r="W10" s="6">
        <v>11130</v>
      </c>
    </row>
    <row r="11" spans="1:23">
      <c r="A11" s="5" t="s">
        <v>32</v>
      </c>
      <c r="B11" s="6">
        <v>408</v>
      </c>
      <c r="C11" s="6">
        <v>414</v>
      </c>
      <c r="D11" s="6">
        <v>455</v>
      </c>
      <c r="E11" s="6">
        <v>483</v>
      </c>
      <c r="F11" s="6">
        <v>488</v>
      </c>
      <c r="G11" s="6">
        <v>523</v>
      </c>
      <c r="H11" s="6">
        <v>538</v>
      </c>
      <c r="I11" s="6">
        <v>539</v>
      </c>
      <c r="J11" s="6">
        <v>556</v>
      </c>
      <c r="K11" s="6">
        <v>593</v>
      </c>
      <c r="L11" s="6">
        <v>597</v>
      </c>
      <c r="M11" s="6">
        <v>598</v>
      </c>
      <c r="N11" s="6">
        <v>624</v>
      </c>
      <c r="O11" s="6">
        <v>627</v>
      </c>
      <c r="P11" s="6">
        <v>648</v>
      </c>
      <c r="Q11" s="6">
        <v>698</v>
      </c>
      <c r="R11" s="6">
        <v>700</v>
      </c>
      <c r="S11" s="6">
        <v>723</v>
      </c>
      <c r="T11" s="6">
        <v>753</v>
      </c>
      <c r="U11" s="6">
        <v>773</v>
      </c>
      <c r="V11" s="6">
        <v>774</v>
      </c>
      <c r="W11" s="6">
        <v>967</v>
      </c>
    </row>
    <row r="12" spans="1:23">
      <c r="A12" s="5" t="s">
        <v>33</v>
      </c>
      <c r="B12" s="6">
        <v>2867</v>
      </c>
      <c r="C12" s="6">
        <v>2911</v>
      </c>
      <c r="D12" s="6">
        <v>3196</v>
      </c>
      <c r="E12" s="6">
        <v>3389</v>
      </c>
      <c r="F12" s="6">
        <v>3431</v>
      </c>
      <c r="G12" s="6">
        <v>3676</v>
      </c>
      <c r="H12" s="6">
        <v>3776</v>
      </c>
      <c r="I12" s="6">
        <v>3786</v>
      </c>
      <c r="J12" s="6">
        <v>3902</v>
      </c>
      <c r="K12" s="6">
        <v>4166</v>
      </c>
      <c r="L12" s="6">
        <v>4196</v>
      </c>
      <c r="M12" s="6">
        <v>4198</v>
      </c>
      <c r="N12" s="6">
        <v>4382</v>
      </c>
      <c r="O12" s="6">
        <v>4406</v>
      </c>
      <c r="P12" s="6">
        <v>4551</v>
      </c>
      <c r="Q12" s="6">
        <v>4902</v>
      </c>
      <c r="R12" s="6">
        <v>4914</v>
      </c>
      <c r="S12" s="6">
        <v>5078</v>
      </c>
      <c r="T12" s="6">
        <v>5286</v>
      </c>
      <c r="U12" s="6">
        <v>5426</v>
      </c>
      <c r="V12" s="6">
        <v>5433</v>
      </c>
      <c r="W12" s="6">
        <v>6791</v>
      </c>
    </row>
    <row r="13" spans="1:23">
      <c r="A13" s="5" t="s">
        <v>34</v>
      </c>
      <c r="B13" s="6">
        <v>2421</v>
      </c>
      <c r="C13" s="6">
        <v>2458</v>
      </c>
      <c r="D13" s="6">
        <v>2698</v>
      </c>
      <c r="E13" s="6">
        <v>2862</v>
      </c>
      <c r="F13" s="6">
        <v>2897</v>
      </c>
      <c r="G13" s="6">
        <v>3104</v>
      </c>
      <c r="H13" s="6">
        <v>3189</v>
      </c>
      <c r="I13" s="6">
        <v>3197</v>
      </c>
      <c r="J13" s="6">
        <v>3295</v>
      </c>
      <c r="K13" s="6">
        <v>3518</v>
      </c>
      <c r="L13" s="6">
        <v>3543</v>
      </c>
      <c r="M13" s="6">
        <v>3545</v>
      </c>
      <c r="N13" s="6">
        <v>3700</v>
      </c>
      <c r="O13" s="6">
        <v>3721</v>
      </c>
      <c r="P13" s="6">
        <v>3843</v>
      </c>
      <c r="Q13" s="6">
        <v>4139</v>
      </c>
      <c r="R13" s="6">
        <v>4149</v>
      </c>
      <c r="S13" s="6">
        <v>4288</v>
      </c>
      <c r="T13" s="6">
        <v>4464</v>
      </c>
      <c r="U13" s="6">
        <v>4582</v>
      </c>
      <c r="V13" s="6">
        <v>4588</v>
      </c>
      <c r="W13" s="6">
        <v>5735</v>
      </c>
    </row>
    <row r="14" spans="1:23">
      <c r="A14" s="5" t="s">
        <v>35</v>
      </c>
      <c r="B14" s="6">
        <v>2145</v>
      </c>
      <c r="C14" s="6">
        <v>2178</v>
      </c>
      <c r="D14" s="6">
        <v>2391</v>
      </c>
      <c r="E14" s="6">
        <v>2536</v>
      </c>
      <c r="F14" s="6">
        <v>2567</v>
      </c>
      <c r="G14" s="6">
        <v>2751</v>
      </c>
      <c r="H14" s="6">
        <v>2826</v>
      </c>
      <c r="I14" s="6">
        <v>2833</v>
      </c>
      <c r="J14" s="6">
        <v>2920</v>
      </c>
      <c r="K14" s="6">
        <v>3118</v>
      </c>
      <c r="L14" s="6">
        <v>3140</v>
      </c>
      <c r="M14" s="6">
        <v>3141</v>
      </c>
      <c r="N14" s="6">
        <v>3279</v>
      </c>
      <c r="O14" s="6">
        <v>3297</v>
      </c>
      <c r="P14" s="6">
        <v>3406</v>
      </c>
      <c r="Q14" s="6">
        <v>3668</v>
      </c>
      <c r="R14" s="6">
        <v>3677</v>
      </c>
      <c r="S14" s="6">
        <v>3800</v>
      </c>
      <c r="T14" s="6">
        <v>3956</v>
      </c>
      <c r="U14" s="6">
        <v>4060</v>
      </c>
      <c r="V14" s="6">
        <v>4066</v>
      </c>
      <c r="W14" s="6">
        <v>5082</v>
      </c>
    </row>
    <row r="15" spans="1:23">
      <c r="A15" s="5" t="s">
        <v>36</v>
      </c>
      <c r="B15" s="6">
        <v>2861</v>
      </c>
      <c r="C15" s="6">
        <v>2905</v>
      </c>
      <c r="D15" s="6">
        <v>3188</v>
      </c>
      <c r="E15" s="6">
        <v>3381</v>
      </c>
      <c r="F15" s="6">
        <v>3423</v>
      </c>
      <c r="G15" s="6">
        <v>3668</v>
      </c>
      <c r="H15" s="6">
        <v>3768</v>
      </c>
      <c r="I15" s="6">
        <v>3778</v>
      </c>
      <c r="J15" s="6">
        <v>3893</v>
      </c>
      <c r="K15" s="6">
        <v>4157</v>
      </c>
      <c r="L15" s="6">
        <v>4186</v>
      </c>
      <c r="M15" s="6">
        <v>4188</v>
      </c>
      <c r="N15" s="6">
        <v>4372</v>
      </c>
      <c r="O15" s="6">
        <v>4396</v>
      </c>
      <c r="P15" s="6">
        <v>4541</v>
      </c>
      <c r="Q15" s="6">
        <v>4890</v>
      </c>
      <c r="R15" s="6">
        <v>4902</v>
      </c>
      <c r="S15" s="6">
        <v>5066</v>
      </c>
      <c r="T15" s="6">
        <v>5274</v>
      </c>
      <c r="U15" s="6">
        <v>5414</v>
      </c>
      <c r="V15" s="6">
        <v>5421</v>
      </c>
      <c r="W15" s="6">
        <v>6776</v>
      </c>
    </row>
    <row r="16" spans="1:23">
      <c r="A16" s="5" t="s">
        <v>37</v>
      </c>
      <c r="B16" s="6">
        <v>1719</v>
      </c>
      <c r="C16" s="6">
        <v>1746</v>
      </c>
      <c r="D16" s="6">
        <v>1916</v>
      </c>
      <c r="E16" s="6">
        <v>2032</v>
      </c>
      <c r="F16" s="6">
        <v>2057</v>
      </c>
      <c r="G16" s="6">
        <v>2204</v>
      </c>
      <c r="H16" s="6">
        <v>2265</v>
      </c>
      <c r="I16" s="6">
        <v>2270</v>
      </c>
      <c r="J16" s="6">
        <v>2340</v>
      </c>
      <c r="K16" s="6">
        <v>2498</v>
      </c>
      <c r="L16" s="6">
        <v>2516</v>
      </c>
      <c r="M16" s="6">
        <v>2517</v>
      </c>
      <c r="N16" s="6">
        <v>2628</v>
      </c>
      <c r="O16" s="6">
        <v>2642</v>
      </c>
      <c r="P16" s="6">
        <v>2729</v>
      </c>
      <c r="Q16" s="6">
        <v>2939</v>
      </c>
      <c r="R16" s="6">
        <v>2947</v>
      </c>
      <c r="S16" s="6">
        <v>3045</v>
      </c>
      <c r="T16" s="6">
        <v>3170</v>
      </c>
      <c r="U16" s="6">
        <v>3254</v>
      </c>
      <c r="V16" s="6">
        <v>3258</v>
      </c>
      <c r="W16" s="6">
        <v>4072</v>
      </c>
    </row>
    <row r="17" spans="1:23">
      <c r="A17" s="5" t="s">
        <v>38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</row>
    <row r="18" spans="1:23">
      <c r="A18" s="5" t="s">
        <v>39</v>
      </c>
      <c r="B18" s="6">
        <v>2303</v>
      </c>
      <c r="C18" s="6">
        <v>2339</v>
      </c>
      <c r="D18" s="6">
        <v>2567</v>
      </c>
      <c r="E18" s="6">
        <v>2723</v>
      </c>
      <c r="F18" s="6">
        <v>2756</v>
      </c>
      <c r="G18" s="6">
        <v>2953</v>
      </c>
      <c r="H18" s="6">
        <v>3034</v>
      </c>
      <c r="I18" s="6">
        <v>3042</v>
      </c>
      <c r="J18" s="6">
        <v>3135</v>
      </c>
      <c r="K18" s="6">
        <v>3347</v>
      </c>
      <c r="L18" s="6">
        <v>3371</v>
      </c>
      <c r="M18" s="6">
        <v>3373</v>
      </c>
      <c r="N18" s="6">
        <v>3520</v>
      </c>
      <c r="O18" s="6">
        <v>3540</v>
      </c>
      <c r="P18" s="6">
        <v>3656</v>
      </c>
      <c r="Q18" s="6">
        <v>3938</v>
      </c>
      <c r="R18" s="6">
        <v>3948</v>
      </c>
      <c r="S18" s="6">
        <v>4080</v>
      </c>
      <c r="T18" s="6">
        <v>4247</v>
      </c>
      <c r="U18" s="6">
        <v>4359</v>
      </c>
      <c r="V18" s="6">
        <v>4365</v>
      </c>
      <c r="W18" s="6">
        <v>5456</v>
      </c>
    </row>
    <row r="19" spans="1:23">
      <c r="A19" s="5" t="s">
        <v>40</v>
      </c>
      <c r="B19" s="6">
        <v>440</v>
      </c>
      <c r="C19" s="6">
        <v>447</v>
      </c>
      <c r="D19" s="6">
        <v>491</v>
      </c>
      <c r="E19" s="6">
        <v>521</v>
      </c>
      <c r="F19" s="6">
        <v>527</v>
      </c>
      <c r="G19" s="6">
        <v>565</v>
      </c>
      <c r="H19" s="6">
        <v>580</v>
      </c>
      <c r="I19" s="6">
        <v>582</v>
      </c>
      <c r="J19" s="6">
        <v>600</v>
      </c>
      <c r="K19" s="6">
        <v>640</v>
      </c>
      <c r="L19" s="6">
        <v>645</v>
      </c>
      <c r="M19" s="6">
        <v>645</v>
      </c>
      <c r="N19" s="6">
        <v>673</v>
      </c>
      <c r="O19" s="6">
        <v>677</v>
      </c>
      <c r="P19" s="6">
        <v>699</v>
      </c>
      <c r="Q19" s="6">
        <v>753</v>
      </c>
      <c r="R19" s="6">
        <v>755</v>
      </c>
      <c r="S19" s="6">
        <v>780</v>
      </c>
      <c r="T19" s="6">
        <v>812</v>
      </c>
      <c r="U19" s="6">
        <v>834</v>
      </c>
      <c r="V19" s="6">
        <v>835</v>
      </c>
      <c r="W19" s="6">
        <v>1044</v>
      </c>
    </row>
    <row r="20" spans="1:23">
      <c r="A20" s="5" t="s">
        <v>41</v>
      </c>
      <c r="B20" s="6">
        <v>945</v>
      </c>
      <c r="C20" s="6">
        <v>960</v>
      </c>
      <c r="D20" s="6">
        <v>1054</v>
      </c>
      <c r="E20" s="6">
        <v>1118</v>
      </c>
      <c r="F20" s="6">
        <v>1131</v>
      </c>
      <c r="G20" s="6">
        <v>1212</v>
      </c>
      <c r="H20" s="6">
        <v>1245</v>
      </c>
      <c r="I20" s="6">
        <v>1249</v>
      </c>
      <c r="J20" s="6">
        <v>1287</v>
      </c>
      <c r="K20" s="6">
        <v>1374</v>
      </c>
      <c r="L20" s="6">
        <v>1384</v>
      </c>
      <c r="M20" s="6">
        <v>1384</v>
      </c>
      <c r="N20" s="6">
        <v>1445</v>
      </c>
      <c r="O20" s="6">
        <v>1453</v>
      </c>
      <c r="P20" s="6">
        <v>1501</v>
      </c>
      <c r="Q20" s="6">
        <v>1616</v>
      </c>
      <c r="R20" s="6">
        <v>1620</v>
      </c>
      <c r="S20" s="6">
        <v>1675</v>
      </c>
      <c r="T20" s="6">
        <v>1743</v>
      </c>
      <c r="U20" s="6">
        <v>1789</v>
      </c>
      <c r="V20" s="6">
        <v>1792</v>
      </c>
      <c r="W20" s="6">
        <v>2240</v>
      </c>
    </row>
    <row r="21" spans="1:23">
      <c r="A21" s="5" t="s">
        <v>42</v>
      </c>
      <c r="B21" s="6">
        <v>98</v>
      </c>
      <c r="C21" s="6">
        <v>99</v>
      </c>
      <c r="D21" s="6">
        <v>109</v>
      </c>
      <c r="E21" s="6">
        <v>116</v>
      </c>
      <c r="F21" s="6">
        <v>117</v>
      </c>
      <c r="G21" s="6">
        <v>126</v>
      </c>
      <c r="H21" s="6">
        <v>129</v>
      </c>
      <c r="I21" s="6">
        <v>130</v>
      </c>
      <c r="J21" s="6">
        <v>134</v>
      </c>
      <c r="K21" s="6">
        <v>143</v>
      </c>
      <c r="L21" s="6">
        <v>144</v>
      </c>
      <c r="M21" s="6">
        <v>144</v>
      </c>
      <c r="N21" s="6">
        <v>150</v>
      </c>
      <c r="O21" s="6">
        <v>151</v>
      </c>
      <c r="P21" s="6">
        <v>156</v>
      </c>
      <c r="Q21" s="6">
        <v>168</v>
      </c>
      <c r="R21" s="6">
        <v>168</v>
      </c>
      <c r="S21" s="6">
        <v>174</v>
      </c>
      <c r="T21" s="6">
        <v>181</v>
      </c>
      <c r="U21" s="6">
        <v>186</v>
      </c>
      <c r="V21" s="6">
        <v>186</v>
      </c>
      <c r="W21" s="6">
        <v>233</v>
      </c>
    </row>
    <row r="22" spans="1:23">
      <c r="A22" s="5" t="s">
        <v>43</v>
      </c>
      <c r="B22" s="6">
        <v>1100</v>
      </c>
      <c r="C22" s="6">
        <v>1600</v>
      </c>
      <c r="D22" s="6">
        <v>0</v>
      </c>
      <c r="E22" s="6">
        <v>1100</v>
      </c>
      <c r="F22" s="6">
        <v>1600</v>
      </c>
      <c r="G22" s="6">
        <v>1100</v>
      </c>
      <c r="H22" s="6">
        <v>1600</v>
      </c>
      <c r="I22" s="6">
        <v>1600</v>
      </c>
      <c r="J22" s="6">
        <v>0</v>
      </c>
      <c r="K22" s="6">
        <v>1100</v>
      </c>
      <c r="L22" s="6">
        <v>1600</v>
      </c>
      <c r="M22" s="6">
        <v>1600</v>
      </c>
      <c r="N22" s="6">
        <v>1600</v>
      </c>
      <c r="O22" s="6">
        <v>1100</v>
      </c>
      <c r="P22" s="6">
        <v>1100</v>
      </c>
      <c r="Q22" s="6">
        <v>1600</v>
      </c>
      <c r="R22" s="6">
        <v>1600</v>
      </c>
      <c r="S22" s="6">
        <v>1600</v>
      </c>
      <c r="T22" s="6">
        <v>1600</v>
      </c>
      <c r="U22" s="6">
        <v>1600</v>
      </c>
      <c r="V22" s="6">
        <v>1600</v>
      </c>
      <c r="W22" s="6">
        <v>1600</v>
      </c>
    </row>
    <row r="23" spans="1:23">
      <c r="A23" s="5" t="s">
        <v>44</v>
      </c>
      <c r="B23" s="6">
        <v>8535</v>
      </c>
      <c r="C23" s="6">
        <v>8611</v>
      </c>
      <c r="D23" s="6">
        <v>10476</v>
      </c>
      <c r="E23" s="6">
        <v>12352</v>
      </c>
      <c r="F23" s="6">
        <v>12460</v>
      </c>
      <c r="G23" s="6">
        <v>11510</v>
      </c>
      <c r="H23" s="6">
        <v>11726</v>
      </c>
      <c r="I23" s="6">
        <v>10118</v>
      </c>
      <c r="J23" s="6">
        <v>11995</v>
      </c>
      <c r="K23" s="6">
        <v>12565</v>
      </c>
      <c r="L23" s="6">
        <v>12628</v>
      </c>
      <c r="M23" s="6">
        <v>12634</v>
      </c>
      <c r="N23" s="6">
        <v>13029</v>
      </c>
      <c r="O23" s="6">
        <v>16876</v>
      </c>
      <c r="P23" s="6">
        <v>13393</v>
      </c>
      <c r="Q23" s="6">
        <v>14148</v>
      </c>
      <c r="R23" s="6">
        <v>14174</v>
      </c>
      <c r="S23" s="6">
        <v>18899</v>
      </c>
      <c r="T23" s="6">
        <v>19527</v>
      </c>
      <c r="U23" s="6">
        <v>17612</v>
      </c>
      <c r="V23" s="6">
        <v>17631</v>
      </c>
      <c r="W23" s="6">
        <v>21137</v>
      </c>
    </row>
    <row r="24" spans="1:23">
      <c r="A24" s="5" t="s">
        <v>45</v>
      </c>
      <c r="B24" s="6">
        <v>7422</v>
      </c>
      <c r="C24" s="6">
        <v>7536</v>
      </c>
      <c r="D24" s="6">
        <v>8272</v>
      </c>
      <c r="E24" s="6">
        <v>8774</v>
      </c>
      <c r="F24" s="6">
        <v>8881</v>
      </c>
      <c r="G24" s="6">
        <v>9516</v>
      </c>
      <c r="H24" s="6">
        <v>9776</v>
      </c>
      <c r="I24" s="6">
        <v>9801</v>
      </c>
      <c r="J24" s="6">
        <v>10100</v>
      </c>
      <c r="K24" s="6">
        <v>10785</v>
      </c>
      <c r="L24" s="6">
        <v>10861</v>
      </c>
      <c r="M24" s="6">
        <v>10867</v>
      </c>
      <c r="N24" s="6">
        <v>11343</v>
      </c>
      <c r="O24" s="6">
        <v>11406</v>
      </c>
      <c r="P24" s="6">
        <v>11781</v>
      </c>
      <c r="Q24" s="6">
        <v>12688</v>
      </c>
      <c r="R24" s="6">
        <v>12720</v>
      </c>
      <c r="S24" s="6">
        <v>13145</v>
      </c>
      <c r="T24" s="6">
        <v>13684</v>
      </c>
      <c r="U24" s="6">
        <v>14046</v>
      </c>
      <c r="V24" s="6">
        <v>14065</v>
      </c>
      <c r="W24" s="6">
        <v>17579</v>
      </c>
    </row>
    <row r="25" spans="1:23">
      <c r="A25" s="5" t="s">
        <v>46</v>
      </c>
      <c r="B25" s="6">
        <v>6666</v>
      </c>
      <c r="C25" s="6">
        <v>6769</v>
      </c>
      <c r="D25" s="6">
        <v>7430</v>
      </c>
      <c r="E25" s="6">
        <v>7880</v>
      </c>
      <c r="F25" s="6">
        <v>7977</v>
      </c>
      <c r="G25" s="6">
        <v>8546</v>
      </c>
      <c r="H25" s="6">
        <v>8780</v>
      </c>
      <c r="I25" s="6">
        <v>8803</v>
      </c>
      <c r="J25" s="6">
        <v>9071</v>
      </c>
      <c r="K25" s="6">
        <v>9686</v>
      </c>
      <c r="L25" s="6">
        <v>9754</v>
      </c>
      <c r="M25" s="6">
        <v>9760</v>
      </c>
      <c r="N25" s="6">
        <v>10187</v>
      </c>
      <c r="O25" s="6">
        <v>10244</v>
      </c>
      <c r="P25" s="6">
        <v>10580</v>
      </c>
      <c r="Q25" s="6">
        <v>11395</v>
      </c>
      <c r="R25" s="6">
        <v>11424</v>
      </c>
      <c r="S25" s="6">
        <v>11805</v>
      </c>
      <c r="T25" s="6">
        <v>12290</v>
      </c>
      <c r="U25" s="6">
        <v>12615</v>
      </c>
      <c r="V25" s="6">
        <v>12632</v>
      </c>
      <c r="W25" s="6">
        <v>15788</v>
      </c>
    </row>
    <row r="26" spans="1:23">
      <c r="A26" s="5" t="s">
        <v>47</v>
      </c>
      <c r="B26" s="6">
        <v>300</v>
      </c>
      <c r="C26" s="6">
        <v>300</v>
      </c>
      <c r="D26" s="6">
        <v>300</v>
      </c>
      <c r="E26" s="6">
        <v>300</v>
      </c>
      <c r="F26" s="6">
        <v>300</v>
      </c>
      <c r="G26" s="6">
        <v>300</v>
      </c>
      <c r="H26" s="6">
        <v>300</v>
      </c>
      <c r="I26" s="6">
        <v>300</v>
      </c>
      <c r="J26" s="6">
        <v>300</v>
      </c>
      <c r="K26" s="6">
        <v>300</v>
      </c>
      <c r="L26" s="6">
        <v>300</v>
      </c>
      <c r="M26" s="6">
        <v>300</v>
      </c>
      <c r="N26" s="6">
        <v>300</v>
      </c>
      <c r="O26" s="6">
        <v>300</v>
      </c>
      <c r="P26" s="6">
        <v>300</v>
      </c>
      <c r="Q26" s="6">
        <v>300</v>
      </c>
      <c r="R26" s="6">
        <v>300</v>
      </c>
      <c r="S26" s="6">
        <v>300</v>
      </c>
      <c r="T26" s="6">
        <v>300</v>
      </c>
      <c r="U26" s="6">
        <v>300</v>
      </c>
      <c r="V26" s="6">
        <v>300</v>
      </c>
      <c r="W26" s="6">
        <v>300</v>
      </c>
    </row>
    <row r="27" spans="1:23">
      <c r="A27" s="5" t="s">
        <v>48</v>
      </c>
      <c r="B27" s="6">
        <v>2123</v>
      </c>
      <c r="C27" s="6">
        <v>2156</v>
      </c>
      <c r="D27" s="6">
        <v>2367</v>
      </c>
      <c r="E27" s="6">
        <v>2510</v>
      </c>
      <c r="F27" s="6">
        <v>2541</v>
      </c>
      <c r="G27" s="6">
        <v>2722</v>
      </c>
      <c r="H27" s="6">
        <v>2797</v>
      </c>
      <c r="I27" s="6">
        <v>2804</v>
      </c>
      <c r="J27" s="6">
        <v>2890</v>
      </c>
      <c r="K27" s="6">
        <v>3086</v>
      </c>
      <c r="L27" s="6">
        <v>3107</v>
      </c>
      <c r="M27" s="6">
        <v>3109</v>
      </c>
      <c r="N27" s="6">
        <v>3245</v>
      </c>
      <c r="O27" s="6">
        <v>3263</v>
      </c>
      <c r="P27" s="6">
        <v>3371</v>
      </c>
      <c r="Q27" s="6">
        <v>3630</v>
      </c>
      <c r="R27" s="6">
        <v>3639</v>
      </c>
      <c r="S27" s="6">
        <v>3761</v>
      </c>
      <c r="T27" s="6">
        <v>3915</v>
      </c>
      <c r="U27" s="6">
        <v>4019</v>
      </c>
      <c r="V27" s="6">
        <v>4024</v>
      </c>
      <c r="W27" s="6">
        <v>5030</v>
      </c>
    </row>
    <row r="28" spans="1:23">
      <c r="A28" s="5" t="s">
        <v>49</v>
      </c>
      <c r="B28" s="6">
        <v>2737</v>
      </c>
      <c r="C28" s="6">
        <v>2779</v>
      </c>
      <c r="D28" s="6">
        <v>3051</v>
      </c>
      <c r="E28" s="6">
        <v>3235</v>
      </c>
      <c r="F28" s="6">
        <v>3275</v>
      </c>
      <c r="G28" s="6">
        <v>3509</v>
      </c>
      <c r="H28" s="6">
        <v>3605</v>
      </c>
      <c r="I28" s="6">
        <v>3615</v>
      </c>
      <c r="J28" s="6">
        <v>3725</v>
      </c>
      <c r="K28" s="6">
        <v>3977</v>
      </c>
      <c r="L28" s="6">
        <v>4005</v>
      </c>
      <c r="M28" s="6">
        <v>4008</v>
      </c>
      <c r="N28" s="6">
        <v>4183</v>
      </c>
      <c r="O28" s="6">
        <v>4207</v>
      </c>
      <c r="P28" s="6">
        <v>4345</v>
      </c>
      <c r="Q28" s="6">
        <v>4679</v>
      </c>
      <c r="R28" s="6">
        <v>4691</v>
      </c>
      <c r="S28" s="6">
        <v>4848</v>
      </c>
      <c r="T28" s="6">
        <v>5047</v>
      </c>
      <c r="U28" s="6">
        <v>5180</v>
      </c>
      <c r="V28" s="6">
        <v>5187</v>
      </c>
      <c r="W28" s="6">
        <v>6483</v>
      </c>
    </row>
    <row r="29" spans="1:23">
      <c r="A29" s="5" t="s">
        <v>50</v>
      </c>
      <c r="B29" s="6">
        <v>3083</v>
      </c>
      <c r="C29" s="6">
        <v>3130</v>
      </c>
      <c r="D29" s="6">
        <v>3436</v>
      </c>
      <c r="E29" s="6">
        <v>3644</v>
      </c>
      <c r="F29" s="6">
        <v>3689</v>
      </c>
      <c r="G29" s="6">
        <v>3952</v>
      </c>
      <c r="H29" s="6">
        <v>4060</v>
      </c>
      <c r="I29" s="6">
        <v>4071</v>
      </c>
      <c r="J29" s="6">
        <v>4195</v>
      </c>
      <c r="K29" s="6">
        <v>4479</v>
      </c>
      <c r="L29" s="6">
        <v>4511</v>
      </c>
      <c r="M29" s="6">
        <v>4513</v>
      </c>
      <c r="N29" s="6">
        <v>4711</v>
      </c>
      <c r="O29" s="6">
        <v>4737</v>
      </c>
      <c r="P29" s="6">
        <v>4893</v>
      </c>
      <c r="Q29" s="6">
        <v>5270</v>
      </c>
      <c r="R29" s="6">
        <v>5283</v>
      </c>
      <c r="S29" s="6">
        <v>5459</v>
      </c>
      <c r="T29" s="6">
        <v>5683</v>
      </c>
      <c r="U29" s="6">
        <v>5834</v>
      </c>
      <c r="V29" s="6">
        <v>5841</v>
      </c>
      <c r="W29" s="6">
        <v>7301</v>
      </c>
    </row>
    <row r="30" spans="1:23">
      <c r="A30" s="5" t="s">
        <v>51</v>
      </c>
      <c r="B30" s="6">
        <v>36</v>
      </c>
      <c r="C30" s="6">
        <v>37</v>
      </c>
      <c r="D30" s="6">
        <v>40</v>
      </c>
      <c r="E30" s="6">
        <v>43</v>
      </c>
      <c r="F30" s="6">
        <v>43</v>
      </c>
      <c r="G30" s="6">
        <v>47</v>
      </c>
      <c r="H30" s="6">
        <v>48</v>
      </c>
      <c r="I30" s="6">
        <v>48</v>
      </c>
      <c r="J30" s="6">
        <v>50</v>
      </c>
      <c r="K30" s="6">
        <v>53</v>
      </c>
      <c r="L30" s="6">
        <v>53</v>
      </c>
      <c r="M30" s="6">
        <v>53</v>
      </c>
      <c r="N30" s="6">
        <v>56</v>
      </c>
      <c r="O30" s="6">
        <v>56</v>
      </c>
      <c r="P30" s="6">
        <v>58</v>
      </c>
      <c r="Q30" s="6">
        <v>62</v>
      </c>
      <c r="R30" s="6">
        <v>62</v>
      </c>
      <c r="S30" s="6">
        <v>65</v>
      </c>
      <c r="T30" s="6">
        <v>67</v>
      </c>
      <c r="U30" s="6">
        <v>69</v>
      </c>
      <c r="V30" s="6">
        <v>69</v>
      </c>
      <c r="W30" s="6">
        <v>87</v>
      </c>
    </row>
    <row r="31" spans="1:23">
      <c r="A31" s="5" t="s">
        <v>52</v>
      </c>
      <c r="B31" s="6">
        <v>2152</v>
      </c>
      <c r="C31" s="6">
        <v>2185</v>
      </c>
      <c r="D31" s="6">
        <v>2399</v>
      </c>
      <c r="E31" s="6">
        <v>2544</v>
      </c>
      <c r="F31" s="6">
        <v>2575</v>
      </c>
      <c r="G31" s="6">
        <v>2759</v>
      </c>
      <c r="H31" s="6">
        <v>2835</v>
      </c>
      <c r="I31" s="6">
        <v>2842</v>
      </c>
      <c r="J31" s="6">
        <v>2929</v>
      </c>
      <c r="K31" s="6">
        <v>3127</v>
      </c>
      <c r="L31" s="6">
        <v>3149</v>
      </c>
      <c r="M31" s="6">
        <v>3151</v>
      </c>
      <c r="N31" s="6">
        <v>3289</v>
      </c>
      <c r="O31" s="6">
        <v>3308</v>
      </c>
      <c r="P31" s="6">
        <v>3416</v>
      </c>
      <c r="Q31" s="6">
        <v>3679</v>
      </c>
      <c r="R31" s="6">
        <v>3688</v>
      </c>
      <c r="S31" s="6">
        <v>3812</v>
      </c>
      <c r="T31" s="6">
        <v>3968</v>
      </c>
      <c r="U31" s="6">
        <v>4073</v>
      </c>
      <c r="V31" s="6">
        <v>4078</v>
      </c>
      <c r="W31" s="6">
        <v>5098</v>
      </c>
    </row>
    <row r="32" spans="1:23">
      <c r="A32" s="5" t="s">
        <v>53</v>
      </c>
      <c r="B32" s="6">
        <v>2717</v>
      </c>
      <c r="C32" s="6">
        <v>2759</v>
      </c>
      <c r="D32" s="6">
        <v>3029</v>
      </c>
      <c r="E32" s="6">
        <v>3212</v>
      </c>
      <c r="F32" s="6">
        <v>3252</v>
      </c>
      <c r="G32" s="6">
        <v>3484</v>
      </c>
      <c r="H32" s="6">
        <v>3579</v>
      </c>
      <c r="I32" s="6">
        <v>3588</v>
      </c>
      <c r="J32" s="6">
        <v>3698</v>
      </c>
      <c r="K32" s="6">
        <v>3948</v>
      </c>
      <c r="L32" s="6">
        <v>3976</v>
      </c>
      <c r="M32" s="6">
        <v>3979</v>
      </c>
      <c r="N32" s="6">
        <v>4153</v>
      </c>
      <c r="O32" s="6">
        <v>4176</v>
      </c>
      <c r="P32" s="6">
        <v>4313</v>
      </c>
      <c r="Q32" s="6">
        <v>4645</v>
      </c>
      <c r="R32" s="6">
        <v>4657</v>
      </c>
      <c r="S32" s="6">
        <v>4812</v>
      </c>
      <c r="T32" s="6">
        <v>5010</v>
      </c>
      <c r="U32" s="6">
        <v>5142</v>
      </c>
      <c r="V32" s="6">
        <v>5149</v>
      </c>
      <c r="W32" s="6">
        <v>6436</v>
      </c>
    </row>
    <row r="33" spans="1:23">
      <c r="A33" s="5" t="s">
        <v>54</v>
      </c>
      <c r="B33" s="6">
        <v>465</v>
      </c>
      <c r="C33" s="6">
        <v>472</v>
      </c>
      <c r="D33" s="6">
        <v>518</v>
      </c>
      <c r="E33" s="6">
        <v>549</v>
      </c>
      <c r="F33" s="6">
        <v>556</v>
      </c>
      <c r="G33" s="6">
        <v>596</v>
      </c>
      <c r="H33" s="6">
        <v>612</v>
      </c>
      <c r="I33" s="6">
        <v>614</v>
      </c>
      <c r="J33" s="6">
        <v>633</v>
      </c>
      <c r="K33" s="6">
        <v>675</v>
      </c>
      <c r="L33" s="6">
        <v>680</v>
      </c>
      <c r="M33" s="6">
        <v>681</v>
      </c>
      <c r="N33" s="6">
        <v>710</v>
      </c>
      <c r="O33" s="6">
        <v>714</v>
      </c>
      <c r="P33" s="6">
        <v>738</v>
      </c>
      <c r="Q33" s="6">
        <v>795</v>
      </c>
      <c r="R33" s="6">
        <v>797</v>
      </c>
      <c r="S33" s="6">
        <v>823</v>
      </c>
      <c r="T33" s="6">
        <v>857</v>
      </c>
      <c r="U33" s="6">
        <v>880</v>
      </c>
      <c r="V33" s="6">
        <v>881</v>
      </c>
      <c r="W33" s="6">
        <v>1101</v>
      </c>
    </row>
    <row r="34" spans="1:23">
      <c r="A34" s="5" t="s">
        <v>55</v>
      </c>
      <c r="B34" s="6">
        <v>394</v>
      </c>
      <c r="C34" s="6">
        <v>400</v>
      </c>
      <c r="D34" s="6">
        <v>439</v>
      </c>
      <c r="E34" s="6">
        <v>466</v>
      </c>
      <c r="F34" s="6">
        <v>472</v>
      </c>
      <c r="G34" s="6">
        <v>505</v>
      </c>
      <c r="H34" s="6">
        <v>519</v>
      </c>
      <c r="I34" s="6">
        <v>521</v>
      </c>
      <c r="J34" s="6">
        <v>537</v>
      </c>
      <c r="K34" s="6">
        <v>573</v>
      </c>
      <c r="L34" s="6">
        <v>577</v>
      </c>
      <c r="M34" s="6">
        <v>577</v>
      </c>
      <c r="N34" s="6">
        <v>603</v>
      </c>
      <c r="O34" s="6">
        <v>606</v>
      </c>
      <c r="P34" s="6">
        <v>626</v>
      </c>
      <c r="Q34" s="6">
        <v>674</v>
      </c>
      <c r="R34" s="6">
        <v>676</v>
      </c>
      <c r="S34" s="6">
        <v>698</v>
      </c>
      <c r="T34" s="6">
        <v>727</v>
      </c>
      <c r="U34" s="6">
        <v>746</v>
      </c>
      <c r="V34" s="6">
        <v>747</v>
      </c>
      <c r="W34" s="6">
        <v>934</v>
      </c>
    </row>
    <row r="35" spans="1:23">
      <c r="A35" s="5" t="s">
        <v>56</v>
      </c>
      <c r="B35" s="6">
        <v>507</v>
      </c>
      <c r="C35" s="6">
        <v>514</v>
      </c>
      <c r="D35" s="6">
        <v>565</v>
      </c>
      <c r="E35" s="6">
        <v>599</v>
      </c>
      <c r="F35" s="6">
        <v>606</v>
      </c>
      <c r="G35" s="6">
        <v>650</v>
      </c>
      <c r="H35" s="6">
        <v>667</v>
      </c>
      <c r="I35" s="6">
        <v>669</v>
      </c>
      <c r="J35" s="6">
        <v>690</v>
      </c>
      <c r="K35" s="6">
        <v>736</v>
      </c>
      <c r="L35" s="6">
        <v>742</v>
      </c>
      <c r="M35" s="6">
        <v>742</v>
      </c>
      <c r="N35" s="6">
        <v>774</v>
      </c>
      <c r="O35" s="6">
        <v>779</v>
      </c>
      <c r="P35" s="6">
        <v>804</v>
      </c>
      <c r="Q35" s="6">
        <v>866</v>
      </c>
      <c r="R35" s="6">
        <v>869</v>
      </c>
      <c r="S35" s="6">
        <v>898</v>
      </c>
      <c r="T35" s="6">
        <v>934</v>
      </c>
      <c r="U35" s="6">
        <v>959</v>
      </c>
      <c r="V35" s="6">
        <v>960</v>
      </c>
      <c r="W35" s="6">
        <v>1200</v>
      </c>
    </row>
    <row r="36" spans="1:23">
      <c r="A36" s="5" t="s">
        <v>57</v>
      </c>
      <c r="B36" s="6">
        <v>307</v>
      </c>
      <c r="C36" s="6">
        <v>312</v>
      </c>
      <c r="D36" s="6">
        <v>343</v>
      </c>
      <c r="E36" s="6">
        <v>363</v>
      </c>
      <c r="F36" s="6">
        <v>368</v>
      </c>
      <c r="G36" s="6">
        <v>394</v>
      </c>
      <c r="H36" s="6">
        <v>405</v>
      </c>
      <c r="I36" s="6">
        <v>406</v>
      </c>
      <c r="J36" s="6">
        <v>419</v>
      </c>
      <c r="K36" s="6">
        <v>447</v>
      </c>
      <c r="L36" s="6">
        <v>450</v>
      </c>
      <c r="M36" s="6">
        <v>450</v>
      </c>
      <c r="N36" s="6">
        <v>470</v>
      </c>
      <c r="O36" s="6">
        <v>473</v>
      </c>
      <c r="P36" s="6">
        <v>488</v>
      </c>
      <c r="Q36" s="6">
        <v>526</v>
      </c>
      <c r="R36" s="6">
        <v>527</v>
      </c>
      <c r="S36" s="6">
        <v>545</v>
      </c>
      <c r="T36" s="6">
        <v>567</v>
      </c>
      <c r="U36" s="6">
        <v>582</v>
      </c>
      <c r="V36" s="6">
        <v>583</v>
      </c>
      <c r="W36" s="6">
        <v>729</v>
      </c>
    </row>
    <row r="37" spans="1:23">
      <c r="A37" s="5" t="s">
        <v>58</v>
      </c>
      <c r="B37" s="6">
        <v>578</v>
      </c>
      <c r="C37" s="6">
        <v>587</v>
      </c>
      <c r="D37" s="6">
        <v>644</v>
      </c>
      <c r="E37" s="6">
        <v>683</v>
      </c>
      <c r="F37" s="6">
        <v>692</v>
      </c>
      <c r="G37" s="6">
        <v>741</v>
      </c>
      <c r="H37" s="6">
        <v>761</v>
      </c>
      <c r="I37" s="6">
        <v>763</v>
      </c>
      <c r="J37" s="6">
        <v>787</v>
      </c>
      <c r="K37" s="6">
        <v>840</v>
      </c>
      <c r="L37" s="6">
        <v>846</v>
      </c>
      <c r="M37" s="6">
        <v>846</v>
      </c>
      <c r="N37" s="6">
        <v>883</v>
      </c>
      <c r="O37" s="6">
        <v>888</v>
      </c>
      <c r="P37" s="6">
        <v>918</v>
      </c>
      <c r="Q37" s="6">
        <v>988</v>
      </c>
      <c r="R37" s="6">
        <v>991</v>
      </c>
      <c r="S37" s="6">
        <v>1024</v>
      </c>
      <c r="T37" s="6">
        <v>1066</v>
      </c>
      <c r="U37" s="6">
        <v>1094</v>
      </c>
      <c r="V37" s="6">
        <v>1095</v>
      </c>
      <c r="W37" s="6">
        <v>1369</v>
      </c>
    </row>
    <row r="38" spans="1:23">
      <c r="A38" s="5" t="s">
        <v>59</v>
      </c>
      <c r="B38" s="6">
        <v>3205</v>
      </c>
      <c r="C38" s="6">
        <v>3255</v>
      </c>
      <c r="D38" s="6">
        <v>3572</v>
      </c>
      <c r="E38" s="6">
        <v>3789</v>
      </c>
      <c r="F38" s="6">
        <v>3835</v>
      </c>
      <c r="G38" s="6">
        <v>4109</v>
      </c>
      <c r="H38" s="6">
        <v>4222</v>
      </c>
      <c r="I38" s="6">
        <v>4233</v>
      </c>
      <c r="J38" s="6">
        <v>4362</v>
      </c>
      <c r="K38" s="6">
        <v>4657</v>
      </c>
      <c r="L38" s="6">
        <v>4690</v>
      </c>
      <c r="M38" s="6">
        <v>4693</v>
      </c>
      <c r="N38" s="6">
        <v>4899</v>
      </c>
      <c r="O38" s="6">
        <v>4926</v>
      </c>
      <c r="P38" s="6">
        <v>5088</v>
      </c>
      <c r="Q38" s="6">
        <v>5479</v>
      </c>
      <c r="R38" s="6">
        <v>5493</v>
      </c>
      <c r="S38" s="6">
        <v>5677</v>
      </c>
      <c r="T38" s="6">
        <v>5910</v>
      </c>
      <c r="U38" s="6">
        <v>6066</v>
      </c>
      <c r="V38" s="6">
        <v>6074</v>
      </c>
      <c r="W38" s="6">
        <v>7592</v>
      </c>
    </row>
    <row r="39" spans="1:23">
      <c r="A39" s="5" t="s">
        <v>60</v>
      </c>
      <c r="B39" s="6">
        <v>4254</v>
      </c>
      <c r="C39" s="6">
        <v>4319</v>
      </c>
      <c r="D39" s="6">
        <v>4741</v>
      </c>
      <c r="E39" s="6">
        <v>5029</v>
      </c>
      <c r="F39" s="6">
        <v>5090</v>
      </c>
      <c r="G39" s="6">
        <v>5454</v>
      </c>
      <c r="H39" s="6">
        <v>5603</v>
      </c>
      <c r="I39" s="6">
        <v>5618</v>
      </c>
      <c r="J39" s="6">
        <v>5789</v>
      </c>
      <c r="K39" s="6">
        <v>6181</v>
      </c>
      <c r="L39" s="6">
        <v>6225</v>
      </c>
      <c r="M39" s="6">
        <v>6228</v>
      </c>
      <c r="N39" s="6">
        <v>6501</v>
      </c>
      <c r="O39" s="6">
        <v>6538</v>
      </c>
      <c r="P39" s="6">
        <v>6752</v>
      </c>
      <c r="Q39" s="6">
        <v>7272</v>
      </c>
      <c r="R39" s="6">
        <v>7290</v>
      </c>
      <c r="S39" s="6">
        <v>7534</v>
      </c>
      <c r="T39" s="6">
        <v>7843</v>
      </c>
      <c r="U39" s="6">
        <v>8050</v>
      </c>
      <c r="V39" s="6">
        <v>8061</v>
      </c>
      <c r="W39" s="6">
        <v>10076</v>
      </c>
    </row>
    <row r="40" spans="1:23">
      <c r="A40" s="5" t="s">
        <v>61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</row>
    <row r="41" spans="1:23">
      <c r="A41" s="5" t="s">
        <v>62</v>
      </c>
      <c r="B41" s="6">
        <v>508</v>
      </c>
      <c r="C41" s="6">
        <v>516</v>
      </c>
      <c r="D41" s="6">
        <v>566</v>
      </c>
      <c r="E41" s="6">
        <v>601</v>
      </c>
      <c r="F41" s="6">
        <v>608</v>
      </c>
      <c r="G41" s="6">
        <v>652</v>
      </c>
      <c r="H41" s="6">
        <v>669</v>
      </c>
      <c r="I41" s="6">
        <v>671</v>
      </c>
      <c r="J41" s="6">
        <v>692</v>
      </c>
      <c r="K41" s="6">
        <v>738</v>
      </c>
      <c r="L41" s="6">
        <v>744</v>
      </c>
      <c r="M41" s="6">
        <v>744</v>
      </c>
      <c r="N41" s="6">
        <v>777</v>
      </c>
      <c r="O41" s="6">
        <v>781</v>
      </c>
      <c r="P41" s="6">
        <v>807</v>
      </c>
      <c r="Q41" s="6">
        <v>869</v>
      </c>
      <c r="R41" s="6">
        <v>871</v>
      </c>
      <c r="S41" s="6">
        <v>900</v>
      </c>
      <c r="T41" s="6">
        <v>937</v>
      </c>
      <c r="U41" s="6">
        <v>962</v>
      </c>
      <c r="V41" s="6">
        <v>963</v>
      </c>
      <c r="W41" s="6">
        <v>1204</v>
      </c>
    </row>
    <row r="42" spans="1:23">
      <c r="A42" s="5" t="s">
        <v>63</v>
      </c>
      <c r="B42" s="6">
        <v>1616</v>
      </c>
      <c r="C42" s="6">
        <v>1616</v>
      </c>
      <c r="D42" s="6">
        <v>1616</v>
      </c>
      <c r="E42" s="6">
        <v>1616</v>
      </c>
      <c r="F42" s="6">
        <v>1616</v>
      </c>
      <c r="G42" s="6">
        <v>1616</v>
      </c>
      <c r="H42" s="6">
        <v>1616</v>
      </c>
      <c r="I42" s="6">
        <v>1616</v>
      </c>
      <c r="J42" s="6">
        <v>1616</v>
      </c>
      <c r="K42" s="6">
        <v>1616</v>
      </c>
      <c r="L42" s="6">
        <v>1616</v>
      </c>
      <c r="M42" s="6">
        <v>1616</v>
      </c>
      <c r="N42" s="6">
        <v>1616</v>
      </c>
      <c r="O42" s="6">
        <v>1616</v>
      </c>
      <c r="P42" s="6">
        <v>1616</v>
      </c>
      <c r="Q42" s="6">
        <v>1616</v>
      </c>
      <c r="R42" s="6">
        <v>1616</v>
      </c>
      <c r="S42" s="6">
        <v>1616</v>
      </c>
      <c r="T42" s="6">
        <v>1616</v>
      </c>
      <c r="U42" s="6">
        <v>1616</v>
      </c>
      <c r="V42" s="6">
        <v>1616</v>
      </c>
      <c r="W42" s="6">
        <v>1616</v>
      </c>
    </row>
    <row r="43" spans="1:23">
      <c r="A43" s="5" t="s">
        <v>64</v>
      </c>
      <c r="B43" s="6">
        <v>1027</v>
      </c>
      <c r="C43" s="6">
        <v>1043</v>
      </c>
      <c r="D43" s="6">
        <v>1145</v>
      </c>
      <c r="E43" s="6">
        <v>1214</v>
      </c>
      <c r="F43" s="6">
        <v>1229</v>
      </c>
      <c r="G43" s="6">
        <v>1317</v>
      </c>
      <c r="H43" s="6">
        <v>1353</v>
      </c>
      <c r="I43" s="6">
        <v>1356</v>
      </c>
      <c r="J43" s="6">
        <v>1398</v>
      </c>
      <c r="K43" s="6">
        <v>1492</v>
      </c>
      <c r="L43" s="6">
        <v>1503</v>
      </c>
      <c r="M43" s="6">
        <v>1504</v>
      </c>
      <c r="N43" s="6">
        <v>1570</v>
      </c>
      <c r="O43" s="6">
        <v>1578</v>
      </c>
      <c r="P43" s="6">
        <v>1630</v>
      </c>
      <c r="Q43" s="6">
        <v>1756</v>
      </c>
      <c r="R43" s="6">
        <v>1760</v>
      </c>
      <c r="S43" s="6">
        <v>1819</v>
      </c>
      <c r="T43" s="6">
        <v>1894</v>
      </c>
      <c r="U43" s="6">
        <v>1944</v>
      </c>
      <c r="V43" s="6">
        <v>1946</v>
      </c>
      <c r="W43" s="6">
        <v>2433</v>
      </c>
    </row>
    <row r="44" spans="1:23">
      <c r="A44" s="5" t="s">
        <v>65</v>
      </c>
      <c r="B44" s="6">
        <v>2378</v>
      </c>
      <c r="C44" s="6">
        <v>2415</v>
      </c>
      <c r="D44" s="6">
        <v>2651</v>
      </c>
      <c r="E44" s="6">
        <v>2812</v>
      </c>
      <c r="F44" s="6">
        <v>2846</v>
      </c>
      <c r="G44" s="6">
        <v>3049</v>
      </c>
      <c r="H44" s="6">
        <v>3133</v>
      </c>
      <c r="I44" s="6">
        <v>3141</v>
      </c>
      <c r="J44" s="6">
        <v>3237</v>
      </c>
      <c r="K44" s="6">
        <v>3456</v>
      </c>
      <c r="L44" s="6">
        <v>3480</v>
      </c>
      <c r="M44" s="6">
        <v>3483</v>
      </c>
      <c r="N44" s="6">
        <v>3635</v>
      </c>
      <c r="O44" s="6">
        <v>3655</v>
      </c>
      <c r="P44" s="6">
        <v>3775</v>
      </c>
      <c r="Q44" s="6">
        <v>4066</v>
      </c>
      <c r="R44" s="6">
        <v>4076</v>
      </c>
      <c r="S44" s="6">
        <v>4212</v>
      </c>
      <c r="T44" s="6">
        <v>4385</v>
      </c>
      <c r="U44" s="6">
        <v>4501</v>
      </c>
      <c r="V44" s="6">
        <v>4507</v>
      </c>
      <c r="W44" s="6">
        <v>5634</v>
      </c>
    </row>
    <row r="45" spans="1:23">
      <c r="A45" s="5" t="s">
        <v>66</v>
      </c>
      <c r="B45" s="6">
        <v>352</v>
      </c>
      <c r="C45" s="6">
        <v>358</v>
      </c>
      <c r="D45" s="6">
        <v>393</v>
      </c>
      <c r="E45" s="6">
        <v>416</v>
      </c>
      <c r="F45" s="6">
        <v>422</v>
      </c>
      <c r="G45" s="6">
        <v>452</v>
      </c>
      <c r="H45" s="6">
        <v>464</v>
      </c>
      <c r="I45" s="6">
        <v>465</v>
      </c>
      <c r="J45" s="6">
        <v>480</v>
      </c>
      <c r="K45" s="6">
        <v>512</v>
      </c>
      <c r="L45" s="6">
        <v>516</v>
      </c>
      <c r="M45" s="6">
        <v>516</v>
      </c>
      <c r="N45" s="6">
        <v>539</v>
      </c>
      <c r="O45" s="6">
        <v>542</v>
      </c>
      <c r="P45" s="6">
        <v>559</v>
      </c>
      <c r="Q45" s="6">
        <v>603</v>
      </c>
      <c r="R45" s="6">
        <v>604</v>
      </c>
      <c r="S45" s="6">
        <v>624</v>
      </c>
      <c r="T45" s="6">
        <v>650</v>
      </c>
      <c r="U45" s="6">
        <v>667</v>
      </c>
      <c r="V45" s="6">
        <v>668</v>
      </c>
      <c r="W45" s="6">
        <v>835</v>
      </c>
    </row>
    <row r="46" spans="1:23">
      <c r="A46" s="5" t="s">
        <v>67</v>
      </c>
      <c r="B46" s="6">
        <v>759</v>
      </c>
      <c r="C46" s="6">
        <v>771</v>
      </c>
      <c r="D46" s="6">
        <v>846</v>
      </c>
      <c r="E46" s="6">
        <v>898</v>
      </c>
      <c r="F46" s="6">
        <v>909</v>
      </c>
      <c r="G46" s="6">
        <v>974</v>
      </c>
      <c r="H46" s="6">
        <v>1000</v>
      </c>
      <c r="I46" s="6">
        <v>1003</v>
      </c>
      <c r="J46" s="6">
        <v>1034</v>
      </c>
      <c r="K46" s="6">
        <v>1104</v>
      </c>
      <c r="L46" s="6">
        <v>1111</v>
      </c>
      <c r="M46" s="6">
        <v>1112</v>
      </c>
      <c r="N46" s="6">
        <v>1161</v>
      </c>
      <c r="O46" s="6">
        <v>1167</v>
      </c>
      <c r="P46" s="6">
        <v>1206</v>
      </c>
      <c r="Q46" s="6">
        <v>1298</v>
      </c>
      <c r="R46" s="6">
        <v>1302</v>
      </c>
      <c r="S46" s="6">
        <v>1345</v>
      </c>
      <c r="T46" s="6">
        <v>1400</v>
      </c>
      <c r="U46" s="6">
        <v>1437</v>
      </c>
      <c r="V46" s="6">
        <v>1439</v>
      </c>
      <c r="W46" s="6">
        <v>1799</v>
      </c>
    </row>
    <row r="47" spans="1:23">
      <c r="A47" s="5" t="s">
        <v>68</v>
      </c>
      <c r="B47" s="6">
        <v>250</v>
      </c>
      <c r="C47" s="6">
        <v>250</v>
      </c>
      <c r="D47" s="6">
        <v>250</v>
      </c>
      <c r="E47" s="6">
        <v>250</v>
      </c>
      <c r="F47" s="6">
        <v>250</v>
      </c>
      <c r="G47" s="6">
        <v>250</v>
      </c>
      <c r="H47" s="6">
        <v>250</v>
      </c>
      <c r="I47" s="6">
        <v>250</v>
      </c>
      <c r="J47" s="6">
        <v>250</v>
      </c>
      <c r="K47" s="6">
        <v>250</v>
      </c>
      <c r="L47" s="6">
        <v>250</v>
      </c>
      <c r="M47" s="6">
        <v>250</v>
      </c>
      <c r="N47" s="6">
        <v>250</v>
      </c>
      <c r="O47" s="6">
        <v>250</v>
      </c>
      <c r="P47" s="6">
        <v>250</v>
      </c>
      <c r="Q47" s="6">
        <v>250</v>
      </c>
      <c r="R47" s="6">
        <v>250</v>
      </c>
      <c r="S47" s="6">
        <v>250</v>
      </c>
      <c r="T47" s="6">
        <v>250</v>
      </c>
      <c r="U47" s="6">
        <v>250</v>
      </c>
      <c r="V47" s="6">
        <v>250</v>
      </c>
      <c r="W47" s="6">
        <v>250</v>
      </c>
    </row>
    <row r="48" spans="1:23">
      <c r="A48" s="5" t="s">
        <v>69</v>
      </c>
      <c r="B48" s="6">
        <v>300</v>
      </c>
      <c r="C48" s="6">
        <v>300</v>
      </c>
      <c r="D48" s="6">
        <v>300</v>
      </c>
      <c r="E48" s="6">
        <v>300</v>
      </c>
      <c r="F48" s="6">
        <v>300</v>
      </c>
      <c r="G48" s="6">
        <v>300</v>
      </c>
      <c r="H48" s="6">
        <v>300</v>
      </c>
      <c r="I48" s="6">
        <v>300</v>
      </c>
      <c r="J48" s="6">
        <v>300</v>
      </c>
      <c r="K48" s="6">
        <v>300</v>
      </c>
      <c r="L48" s="6">
        <v>300</v>
      </c>
      <c r="M48" s="6">
        <v>300</v>
      </c>
      <c r="N48" s="6">
        <v>300</v>
      </c>
      <c r="O48" s="6">
        <v>300</v>
      </c>
      <c r="P48" s="6">
        <v>300</v>
      </c>
      <c r="Q48" s="6">
        <v>300</v>
      </c>
      <c r="R48" s="6">
        <v>300</v>
      </c>
      <c r="S48" s="6">
        <v>300</v>
      </c>
      <c r="T48" s="6">
        <v>300</v>
      </c>
      <c r="U48" s="6">
        <v>300</v>
      </c>
      <c r="V48" s="6">
        <v>300</v>
      </c>
      <c r="W48" s="6">
        <v>300</v>
      </c>
    </row>
    <row r="49" spans="1:23">
      <c r="A49" s="5" t="s">
        <v>70</v>
      </c>
      <c r="B49" s="6">
        <v>5111</v>
      </c>
      <c r="C49" s="6">
        <v>5178</v>
      </c>
      <c r="D49" s="6">
        <v>5604</v>
      </c>
      <c r="E49" s="6">
        <v>5892</v>
      </c>
      <c r="F49" s="6">
        <v>5953</v>
      </c>
      <c r="G49" s="6">
        <v>6313</v>
      </c>
      <c r="H49" s="6">
        <v>6459</v>
      </c>
      <c r="I49" s="6">
        <v>6473</v>
      </c>
      <c r="J49" s="6">
        <v>6641</v>
      </c>
      <c r="K49" s="6">
        <v>7022</v>
      </c>
      <c r="L49" s="6">
        <v>7064</v>
      </c>
      <c r="M49" s="6">
        <v>7067</v>
      </c>
      <c r="N49" s="6">
        <v>7329</v>
      </c>
      <c r="O49" s="6">
        <v>7364</v>
      </c>
      <c r="P49" s="6">
        <v>7569</v>
      </c>
      <c r="Q49" s="6">
        <v>8062</v>
      </c>
      <c r="R49" s="6">
        <v>8079</v>
      </c>
      <c r="S49" s="6">
        <v>8308</v>
      </c>
      <c r="T49" s="6">
        <v>8597</v>
      </c>
      <c r="U49" s="6">
        <v>8789</v>
      </c>
      <c r="V49" s="6">
        <v>8800</v>
      </c>
      <c r="W49" s="6">
        <v>10637</v>
      </c>
    </row>
    <row r="50" spans="1:23">
      <c r="A50" s="5" t="s">
        <v>71</v>
      </c>
      <c r="B50" s="6">
        <v>1469</v>
      </c>
      <c r="C50" s="6">
        <v>1492</v>
      </c>
      <c r="D50" s="6">
        <v>1638</v>
      </c>
      <c r="E50" s="6">
        <v>1737</v>
      </c>
      <c r="F50" s="6">
        <v>1758</v>
      </c>
      <c r="G50" s="6">
        <v>1884</v>
      </c>
      <c r="H50" s="6">
        <v>1935</v>
      </c>
      <c r="I50" s="6">
        <v>1940</v>
      </c>
      <c r="J50" s="6">
        <v>2000</v>
      </c>
      <c r="K50" s="6">
        <v>2135</v>
      </c>
      <c r="L50" s="6">
        <v>2150</v>
      </c>
      <c r="M50" s="6">
        <v>2152</v>
      </c>
      <c r="N50" s="6">
        <v>2246</v>
      </c>
      <c r="O50" s="6">
        <v>2258</v>
      </c>
      <c r="P50" s="6">
        <v>2332</v>
      </c>
      <c r="Q50" s="6">
        <v>2512</v>
      </c>
      <c r="R50" s="6">
        <v>2518</v>
      </c>
      <c r="S50" s="6">
        <v>2603</v>
      </c>
      <c r="T50" s="6">
        <v>2709</v>
      </c>
      <c r="U50" s="6">
        <v>2781</v>
      </c>
      <c r="V50" s="6">
        <v>2785</v>
      </c>
      <c r="W50" s="6">
        <v>3481</v>
      </c>
    </row>
    <row r="51" spans="1:23">
      <c r="A51" s="5" t="s">
        <v>72</v>
      </c>
      <c r="B51" s="6">
        <v>1102</v>
      </c>
      <c r="C51" s="6">
        <v>1119</v>
      </c>
      <c r="D51" s="6">
        <v>1228</v>
      </c>
      <c r="E51" s="6">
        <v>1303</v>
      </c>
      <c r="F51" s="6">
        <v>1319</v>
      </c>
      <c r="G51" s="6">
        <v>1413</v>
      </c>
      <c r="H51" s="6">
        <v>1451</v>
      </c>
      <c r="I51" s="6">
        <v>1455</v>
      </c>
      <c r="J51" s="6">
        <v>1500</v>
      </c>
      <c r="K51" s="6">
        <v>1601</v>
      </c>
      <c r="L51" s="6">
        <v>1613</v>
      </c>
      <c r="M51" s="6">
        <v>1614</v>
      </c>
      <c r="N51" s="6">
        <v>1684</v>
      </c>
      <c r="O51" s="6">
        <v>1694</v>
      </c>
      <c r="P51" s="6">
        <v>1749</v>
      </c>
      <c r="Q51" s="6">
        <v>1884</v>
      </c>
      <c r="R51" s="6">
        <v>1889</v>
      </c>
      <c r="S51" s="6">
        <v>1952</v>
      </c>
      <c r="T51" s="6">
        <v>2032</v>
      </c>
      <c r="U51" s="6">
        <v>2086</v>
      </c>
      <c r="V51" s="6">
        <v>2088</v>
      </c>
      <c r="W51" s="6">
        <v>2610</v>
      </c>
    </row>
    <row r="52" spans="1:23">
      <c r="A52" s="5" t="s">
        <v>73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</row>
    <row r="53" spans="1:23">
      <c r="A53" s="5" t="s">
        <v>74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</row>
    <row r="54" spans="1:23">
      <c r="A54" s="5" t="s">
        <v>75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</row>
    <row r="55" spans="1:23">
      <c r="A55" s="5" t="s">
        <v>76</v>
      </c>
      <c r="B55" s="6">
        <v>2050</v>
      </c>
      <c r="C55" s="6">
        <v>2050</v>
      </c>
      <c r="D55" s="6">
        <v>2050</v>
      </c>
      <c r="E55" s="6">
        <v>2050</v>
      </c>
      <c r="F55" s="6">
        <v>2050</v>
      </c>
      <c r="G55" s="6">
        <v>2050</v>
      </c>
      <c r="H55" s="6">
        <v>2050</v>
      </c>
      <c r="I55" s="6">
        <v>2050</v>
      </c>
      <c r="J55" s="6">
        <v>2050</v>
      </c>
      <c r="K55" s="6">
        <v>2050</v>
      </c>
      <c r="L55" s="6">
        <v>2050</v>
      </c>
      <c r="M55" s="6">
        <v>2050</v>
      </c>
      <c r="N55" s="6">
        <v>2050</v>
      </c>
      <c r="O55" s="6">
        <v>2050</v>
      </c>
      <c r="P55" s="6">
        <v>2050</v>
      </c>
      <c r="Q55" s="6">
        <v>2050</v>
      </c>
      <c r="R55" s="6">
        <v>2050</v>
      </c>
      <c r="S55" s="6">
        <v>2050</v>
      </c>
      <c r="T55" s="6">
        <v>2050</v>
      </c>
      <c r="U55" s="6">
        <v>2050</v>
      </c>
      <c r="V55" s="6">
        <v>2050</v>
      </c>
      <c r="W55" s="6">
        <v>2050</v>
      </c>
    </row>
    <row r="56" spans="1:23">
      <c r="A56" s="7" t="s">
        <v>77</v>
      </c>
      <c r="B56" s="8">
        <f t="shared" ref="B56:W56" si="0">SUM(B4:B55)</f>
        <v>96076</v>
      </c>
      <c r="C56" s="8">
        <f t="shared" si="0"/>
        <v>97831</v>
      </c>
      <c r="D56" s="8">
        <f t="shared" si="0"/>
        <v>105668</v>
      </c>
      <c r="E56" s="8">
        <f t="shared" si="0"/>
        <v>113798</v>
      </c>
      <c r="F56" s="8">
        <f t="shared" si="0"/>
        <v>115510</v>
      </c>
      <c r="G56" s="8">
        <f t="shared" si="0"/>
        <v>120582</v>
      </c>
      <c r="H56" s="8">
        <f t="shared" si="0"/>
        <v>123967</v>
      </c>
      <c r="I56" s="8">
        <f t="shared" si="0"/>
        <v>122622</v>
      </c>
      <c r="J56" s="8">
        <f t="shared" si="0"/>
        <v>125978</v>
      </c>
      <c r="K56" s="8">
        <f t="shared" si="0"/>
        <v>134662</v>
      </c>
      <c r="L56" s="8">
        <f t="shared" si="0"/>
        <v>136009</v>
      </c>
      <c r="M56" s="8">
        <f t="shared" si="0"/>
        <v>136078</v>
      </c>
      <c r="N56" s="8">
        <f t="shared" si="0"/>
        <v>141355</v>
      </c>
      <c r="O56" s="8">
        <f t="shared" si="0"/>
        <v>145350</v>
      </c>
      <c r="P56" s="8">
        <f t="shared" si="0"/>
        <v>145710</v>
      </c>
      <c r="Q56" s="8">
        <f t="shared" si="0"/>
        <v>156262</v>
      </c>
      <c r="R56" s="8">
        <f t="shared" si="0"/>
        <v>156615</v>
      </c>
      <c r="S56" s="8">
        <f t="shared" si="0"/>
        <v>165696</v>
      </c>
      <c r="T56" s="8">
        <f t="shared" si="0"/>
        <v>171846</v>
      </c>
      <c r="U56" s="8">
        <f t="shared" si="0"/>
        <v>173637</v>
      </c>
      <c r="V56" s="8">
        <f t="shared" si="0"/>
        <v>173846</v>
      </c>
      <c r="W56" s="8">
        <f t="shared" si="0"/>
        <v>213313</v>
      </c>
    </row>
    <row r="57" spans="1:23">
      <c r="A57" s="3" t="s">
        <v>78</v>
      </c>
      <c r="B57" s="9">
        <f t="shared" ref="B57:W57" si="1">B56/B3</f>
        <v>82.116239316239316</v>
      </c>
      <c r="C57" s="9">
        <f t="shared" si="1"/>
        <v>82.349326599326602</v>
      </c>
      <c r="D57" s="9">
        <f t="shared" si="1"/>
        <v>81.033742331288337</v>
      </c>
      <c r="E57" s="9">
        <f t="shared" si="1"/>
        <v>82.283441793203181</v>
      </c>
      <c r="F57" s="9">
        <f t="shared" si="1"/>
        <v>82.507142857142853</v>
      </c>
      <c r="G57" s="9">
        <f t="shared" si="1"/>
        <v>80.388000000000005</v>
      </c>
      <c r="H57" s="9">
        <f t="shared" si="1"/>
        <v>80.445814406229715</v>
      </c>
      <c r="I57" s="9">
        <f t="shared" si="1"/>
        <v>79.366990291262141</v>
      </c>
      <c r="J57" s="9">
        <f t="shared" si="1"/>
        <v>79.131909547738687</v>
      </c>
      <c r="K57" s="9">
        <f t="shared" si="1"/>
        <v>79.212941176470594</v>
      </c>
      <c r="L57" s="9">
        <f t="shared" si="1"/>
        <v>79.444509345794387</v>
      </c>
      <c r="M57" s="9">
        <f t="shared" si="1"/>
        <v>79.438412142440157</v>
      </c>
      <c r="N57" s="9">
        <f t="shared" si="1"/>
        <v>79.057606263982109</v>
      </c>
      <c r="O57" s="9">
        <f t="shared" si="1"/>
        <v>80.83982202447163</v>
      </c>
      <c r="P57" s="9">
        <f t="shared" si="1"/>
        <v>78.465266558966078</v>
      </c>
      <c r="Q57" s="9">
        <f t="shared" si="1"/>
        <v>78.131</v>
      </c>
      <c r="R57" s="9">
        <f t="shared" si="1"/>
        <v>78.112219451371573</v>
      </c>
      <c r="S57" s="9">
        <f t="shared" si="1"/>
        <v>79.969111969111964</v>
      </c>
      <c r="T57" s="9">
        <f t="shared" si="1"/>
        <v>79.668984700973581</v>
      </c>
      <c r="U57" s="9">
        <f t="shared" si="1"/>
        <v>78.426829268292678</v>
      </c>
      <c r="V57" s="9">
        <f t="shared" si="1"/>
        <v>78.414975191700492</v>
      </c>
      <c r="W57" s="9">
        <f t="shared" si="1"/>
        <v>76.980512450378924</v>
      </c>
    </row>
  </sheetData>
  <mergeCells count="1">
    <mergeCell ref="A1:W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abSelected="1" zoomScaleNormal="100" workbookViewId="0">
      <selection activeCell="G29" sqref="G29"/>
    </sheetView>
  </sheetViews>
  <sheetFormatPr defaultColWidth="8.7109375" defaultRowHeight="15"/>
  <cols>
    <col min="1" max="1" width="16" customWidth="1"/>
    <col min="2" max="2" width="8" customWidth="1"/>
    <col min="3" max="4" width="10" customWidth="1"/>
    <col min="5" max="5" width="18" customWidth="1"/>
    <col min="6" max="9" width="12" customWidth="1"/>
    <col min="10" max="12" width="14" customWidth="1"/>
  </cols>
  <sheetData>
    <row r="1" spans="1:12" ht="18">
      <c r="A1" s="18" t="s">
        <v>79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>
      <c r="A2" s="10" t="s">
        <v>80</v>
      </c>
      <c r="B2" s="10" t="s">
        <v>81</v>
      </c>
      <c r="C2" s="10" t="s">
        <v>82</v>
      </c>
      <c r="D2" s="10" t="s">
        <v>83</v>
      </c>
      <c r="E2" s="10" t="s">
        <v>84</v>
      </c>
      <c r="F2" s="10" t="s">
        <v>85</v>
      </c>
      <c r="G2" s="10" t="s">
        <v>86</v>
      </c>
      <c r="H2" s="10" t="s">
        <v>87</v>
      </c>
      <c r="I2" s="10" t="s">
        <v>88</v>
      </c>
      <c r="J2" s="10" t="s">
        <v>89</v>
      </c>
      <c r="K2" s="10" t="s">
        <v>90</v>
      </c>
      <c r="L2" s="10" t="s">
        <v>91</v>
      </c>
    </row>
    <row r="3" spans="1:12">
      <c r="A3" s="5" t="s">
        <v>2</v>
      </c>
      <c r="B3" s="5">
        <v>1170</v>
      </c>
      <c r="C3" s="5" t="s">
        <v>92</v>
      </c>
      <c r="D3" s="5" t="s">
        <v>93</v>
      </c>
      <c r="E3" s="11">
        <f>'Sticks &amp; Bricks Detail'!B56</f>
        <v>96076</v>
      </c>
      <c r="F3" s="12">
        <v>3500</v>
      </c>
      <c r="G3" s="12">
        <v>15000</v>
      </c>
      <c r="H3" s="12">
        <v>0</v>
      </c>
      <c r="I3" s="12">
        <v>15000</v>
      </c>
      <c r="J3" s="11">
        <f t="shared" ref="J3:J24" si="0">MIN(10000, 0.05*SUM(E3:I3))</f>
        <v>6478.8</v>
      </c>
      <c r="K3" s="12">
        <v>25000</v>
      </c>
      <c r="L3" s="13">
        <f t="shared" ref="L3:L24" si="1">SUM(E3:K3)</f>
        <v>161054.79999999999</v>
      </c>
    </row>
    <row r="4" spans="1:12">
      <c r="A4" s="5" t="s">
        <v>3</v>
      </c>
      <c r="B4" s="5">
        <v>1188</v>
      </c>
      <c r="C4" s="5" t="s">
        <v>92</v>
      </c>
      <c r="D4" s="5" t="s">
        <v>94</v>
      </c>
      <c r="E4" s="11">
        <f>'Sticks &amp; Bricks Detail'!C56</f>
        <v>97831</v>
      </c>
      <c r="F4" s="12">
        <v>3500</v>
      </c>
      <c r="G4" s="12">
        <v>15000</v>
      </c>
      <c r="H4" s="12">
        <v>0</v>
      </c>
      <c r="I4" s="12">
        <v>15000</v>
      </c>
      <c r="J4" s="11">
        <f t="shared" si="0"/>
        <v>6566.55</v>
      </c>
      <c r="K4" s="12">
        <v>25000</v>
      </c>
      <c r="L4" s="13">
        <f t="shared" si="1"/>
        <v>162897.54999999999</v>
      </c>
    </row>
    <row r="5" spans="1:12">
      <c r="A5" s="5" t="s">
        <v>4</v>
      </c>
      <c r="B5" s="5">
        <v>1304</v>
      </c>
      <c r="C5" s="5" t="s">
        <v>95</v>
      </c>
      <c r="D5" s="5" t="s">
        <v>96</v>
      </c>
      <c r="E5" s="11">
        <f>'Sticks &amp; Bricks Detail'!D56</f>
        <v>105668</v>
      </c>
      <c r="F5" s="12">
        <v>3500</v>
      </c>
      <c r="G5" s="12">
        <v>15000</v>
      </c>
      <c r="H5" s="12">
        <v>0</v>
      </c>
      <c r="I5" s="12">
        <v>15000</v>
      </c>
      <c r="J5" s="11">
        <f t="shared" si="0"/>
        <v>6958.4000000000005</v>
      </c>
      <c r="K5" s="12">
        <v>25000</v>
      </c>
      <c r="L5" s="13">
        <f t="shared" si="1"/>
        <v>171126.39999999999</v>
      </c>
    </row>
    <row r="6" spans="1:12">
      <c r="A6" s="5" t="s">
        <v>5</v>
      </c>
      <c r="B6" s="5">
        <v>1383</v>
      </c>
      <c r="C6" s="5" t="s">
        <v>97</v>
      </c>
      <c r="D6" s="5" t="s">
        <v>93</v>
      </c>
      <c r="E6" s="11">
        <f>'Sticks &amp; Bricks Detail'!E56</f>
        <v>113798</v>
      </c>
      <c r="F6" s="12">
        <v>3500</v>
      </c>
      <c r="G6" s="12">
        <v>15000</v>
      </c>
      <c r="H6" s="12">
        <v>0</v>
      </c>
      <c r="I6" s="12">
        <v>15000</v>
      </c>
      <c r="J6" s="11">
        <f t="shared" si="0"/>
        <v>7364.9000000000005</v>
      </c>
      <c r="K6" s="12">
        <v>25000</v>
      </c>
      <c r="L6" s="13">
        <f t="shared" si="1"/>
        <v>179662.9</v>
      </c>
    </row>
    <row r="7" spans="1:12">
      <c r="A7" s="5" t="s">
        <v>6</v>
      </c>
      <c r="B7" s="5">
        <v>1400</v>
      </c>
      <c r="C7" s="5" t="s">
        <v>97</v>
      </c>
      <c r="D7" s="5" t="s">
        <v>94</v>
      </c>
      <c r="E7" s="11">
        <f>'Sticks &amp; Bricks Detail'!F56</f>
        <v>115510</v>
      </c>
      <c r="F7" s="12">
        <v>3500</v>
      </c>
      <c r="G7" s="12">
        <v>15000</v>
      </c>
      <c r="H7" s="12">
        <v>0</v>
      </c>
      <c r="I7" s="12">
        <v>15000</v>
      </c>
      <c r="J7" s="11">
        <f t="shared" si="0"/>
        <v>7450.5</v>
      </c>
      <c r="K7" s="12">
        <v>25000</v>
      </c>
      <c r="L7" s="13">
        <f t="shared" si="1"/>
        <v>181460.5</v>
      </c>
    </row>
    <row r="8" spans="1:12">
      <c r="A8" s="5" t="s">
        <v>7</v>
      </c>
      <c r="B8" s="5">
        <v>1500</v>
      </c>
      <c r="C8" s="5" t="s">
        <v>95</v>
      </c>
      <c r="D8" s="5" t="s">
        <v>93</v>
      </c>
      <c r="E8" s="11">
        <f>'Sticks &amp; Bricks Detail'!G56</f>
        <v>120582</v>
      </c>
      <c r="F8" s="12">
        <v>3500</v>
      </c>
      <c r="G8" s="12">
        <v>15000</v>
      </c>
      <c r="H8" s="12">
        <v>0</v>
      </c>
      <c r="I8" s="12">
        <v>15000</v>
      </c>
      <c r="J8" s="11">
        <f t="shared" si="0"/>
        <v>7704.1</v>
      </c>
      <c r="K8" s="12">
        <v>25000</v>
      </c>
      <c r="L8" s="13">
        <f t="shared" si="1"/>
        <v>186786.1</v>
      </c>
    </row>
    <row r="9" spans="1:12">
      <c r="A9" s="5" t="s">
        <v>8</v>
      </c>
      <c r="B9" s="5">
        <v>1541</v>
      </c>
      <c r="C9" s="5" t="s">
        <v>95</v>
      </c>
      <c r="D9" s="5" t="s">
        <v>94</v>
      </c>
      <c r="E9" s="11">
        <f>'Sticks &amp; Bricks Detail'!H56</f>
        <v>123967</v>
      </c>
      <c r="F9" s="12">
        <v>3500</v>
      </c>
      <c r="G9" s="12">
        <v>15000</v>
      </c>
      <c r="H9" s="12">
        <v>0</v>
      </c>
      <c r="I9" s="12">
        <v>15000</v>
      </c>
      <c r="J9" s="11">
        <f t="shared" si="0"/>
        <v>7873.35</v>
      </c>
      <c r="K9" s="12">
        <v>25000</v>
      </c>
      <c r="L9" s="13">
        <f t="shared" si="1"/>
        <v>190340.35</v>
      </c>
    </row>
    <row r="10" spans="1:12">
      <c r="A10" s="5" t="s">
        <v>9</v>
      </c>
      <c r="B10" s="5">
        <v>1545</v>
      </c>
      <c r="C10" s="5" t="s">
        <v>92</v>
      </c>
      <c r="D10" s="5" t="s">
        <v>94</v>
      </c>
      <c r="E10" s="11">
        <f>'Sticks &amp; Bricks Detail'!I56</f>
        <v>122622</v>
      </c>
      <c r="F10" s="12">
        <v>3500</v>
      </c>
      <c r="G10" s="12">
        <v>15000</v>
      </c>
      <c r="H10" s="12">
        <v>0</v>
      </c>
      <c r="I10" s="12">
        <v>15000</v>
      </c>
      <c r="J10" s="11">
        <f t="shared" si="0"/>
        <v>7806.1</v>
      </c>
      <c r="K10" s="12">
        <v>25000</v>
      </c>
      <c r="L10" s="13">
        <f t="shared" si="1"/>
        <v>188928.1</v>
      </c>
    </row>
    <row r="11" spans="1:12">
      <c r="A11" s="5" t="s">
        <v>10</v>
      </c>
      <c r="B11" s="5">
        <v>1592</v>
      </c>
      <c r="C11" s="5" t="s">
        <v>95</v>
      </c>
      <c r="D11" s="5" t="s">
        <v>96</v>
      </c>
      <c r="E11" s="11">
        <f>'Sticks &amp; Bricks Detail'!J56</f>
        <v>125978</v>
      </c>
      <c r="F11" s="12">
        <v>3500</v>
      </c>
      <c r="G11" s="12">
        <v>15000</v>
      </c>
      <c r="H11" s="12">
        <v>0</v>
      </c>
      <c r="I11" s="12">
        <v>15000</v>
      </c>
      <c r="J11" s="11">
        <f t="shared" si="0"/>
        <v>7973.9000000000005</v>
      </c>
      <c r="K11" s="12">
        <v>25000</v>
      </c>
      <c r="L11" s="13">
        <f t="shared" si="1"/>
        <v>192451.9</v>
      </c>
    </row>
    <row r="12" spans="1:12">
      <c r="A12" s="5" t="s">
        <v>11</v>
      </c>
      <c r="B12" s="5">
        <v>1700</v>
      </c>
      <c r="C12" s="5" t="s">
        <v>95</v>
      </c>
      <c r="D12" s="5" t="s">
        <v>93</v>
      </c>
      <c r="E12" s="11">
        <f>'Sticks &amp; Bricks Detail'!K56</f>
        <v>134662</v>
      </c>
      <c r="F12" s="12">
        <v>3500</v>
      </c>
      <c r="G12" s="12">
        <v>15000</v>
      </c>
      <c r="H12" s="12">
        <v>0</v>
      </c>
      <c r="I12" s="12">
        <v>15000</v>
      </c>
      <c r="J12" s="11">
        <f t="shared" si="0"/>
        <v>8408.1</v>
      </c>
      <c r="K12" s="12">
        <v>25000</v>
      </c>
      <c r="L12" s="13">
        <f t="shared" si="1"/>
        <v>201570.1</v>
      </c>
    </row>
    <row r="13" spans="1:12">
      <c r="A13" s="5" t="s">
        <v>12</v>
      </c>
      <c r="B13" s="5">
        <v>1712</v>
      </c>
      <c r="C13" s="5" t="s">
        <v>98</v>
      </c>
      <c r="D13" s="5" t="s">
        <v>94</v>
      </c>
      <c r="E13" s="11">
        <f>'Sticks &amp; Bricks Detail'!L56</f>
        <v>136009</v>
      </c>
      <c r="F13" s="12">
        <v>3500</v>
      </c>
      <c r="G13" s="12">
        <v>15000</v>
      </c>
      <c r="H13" s="12">
        <v>0</v>
      </c>
      <c r="I13" s="12">
        <v>15000</v>
      </c>
      <c r="J13" s="11">
        <f t="shared" si="0"/>
        <v>8475.4500000000007</v>
      </c>
      <c r="K13" s="12">
        <v>25000</v>
      </c>
      <c r="L13" s="13">
        <f t="shared" si="1"/>
        <v>202984.45</v>
      </c>
    </row>
    <row r="14" spans="1:12">
      <c r="A14" s="5" t="s">
        <v>13</v>
      </c>
      <c r="B14" s="5">
        <v>1713</v>
      </c>
      <c r="C14" s="5" t="s">
        <v>98</v>
      </c>
      <c r="D14" s="5" t="s">
        <v>94</v>
      </c>
      <c r="E14" s="11">
        <f>'Sticks &amp; Bricks Detail'!M56</f>
        <v>136078</v>
      </c>
      <c r="F14" s="12">
        <v>3500</v>
      </c>
      <c r="G14" s="12">
        <v>15000</v>
      </c>
      <c r="H14" s="12">
        <v>0</v>
      </c>
      <c r="I14" s="12">
        <v>15000</v>
      </c>
      <c r="J14" s="11">
        <f t="shared" si="0"/>
        <v>8478.9</v>
      </c>
      <c r="K14" s="12">
        <v>25000</v>
      </c>
      <c r="L14" s="13">
        <f t="shared" si="1"/>
        <v>203056.9</v>
      </c>
    </row>
    <row r="15" spans="1:12">
      <c r="A15" s="5" t="s">
        <v>14</v>
      </c>
      <c r="B15" s="5">
        <v>1788</v>
      </c>
      <c r="C15" s="5" t="s">
        <v>95</v>
      </c>
      <c r="D15" s="5" t="s">
        <v>94</v>
      </c>
      <c r="E15" s="11">
        <f>'Sticks &amp; Bricks Detail'!N56</f>
        <v>141355</v>
      </c>
      <c r="F15" s="12">
        <v>3500</v>
      </c>
      <c r="G15" s="12">
        <v>15000</v>
      </c>
      <c r="H15" s="12">
        <v>0</v>
      </c>
      <c r="I15" s="12">
        <v>15000</v>
      </c>
      <c r="J15" s="11">
        <f t="shared" si="0"/>
        <v>8742.75</v>
      </c>
      <c r="K15" s="12">
        <v>25000</v>
      </c>
      <c r="L15" s="13">
        <f t="shared" si="1"/>
        <v>208597.75</v>
      </c>
    </row>
    <row r="16" spans="1:12">
      <c r="A16" s="5" t="s">
        <v>15</v>
      </c>
      <c r="B16" s="5">
        <v>1798</v>
      </c>
      <c r="C16" s="5" t="s">
        <v>99</v>
      </c>
      <c r="D16" s="5" t="s">
        <v>93</v>
      </c>
      <c r="E16" s="11">
        <f>'Sticks &amp; Bricks Detail'!O56</f>
        <v>145350</v>
      </c>
      <c r="F16" s="12">
        <v>3500</v>
      </c>
      <c r="G16" s="12">
        <v>15000</v>
      </c>
      <c r="H16" s="12">
        <v>0</v>
      </c>
      <c r="I16" s="12">
        <v>15000</v>
      </c>
      <c r="J16" s="11">
        <f t="shared" si="0"/>
        <v>8942.5</v>
      </c>
      <c r="K16" s="12">
        <v>25000</v>
      </c>
      <c r="L16" s="13">
        <f t="shared" si="1"/>
        <v>212792.5</v>
      </c>
    </row>
    <row r="17" spans="1:12">
      <c r="A17" s="5" t="s">
        <v>16</v>
      </c>
      <c r="B17" s="5">
        <v>1857</v>
      </c>
      <c r="C17" s="5" t="s">
        <v>98</v>
      </c>
      <c r="D17" s="5" t="s">
        <v>93</v>
      </c>
      <c r="E17" s="11">
        <f>'Sticks &amp; Bricks Detail'!P56</f>
        <v>145710</v>
      </c>
      <c r="F17" s="12">
        <v>3500</v>
      </c>
      <c r="G17" s="12">
        <v>15000</v>
      </c>
      <c r="H17" s="12">
        <v>0</v>
      </c>
      <c r="I17" s="12">
        <v>15000</v>
      </c>
      <c r="J17" s="11">
        <f t="shared" si="0"/>
        <v>8960.5</v>
      </c>
      <c r="K17" s="12">
        <v>25000</v>
      </c>
      <c r="L17" s="13">
        <f t="shared" si="1"/>
        <v>213170.5</v>
      </c>
    </row>
    <row r="18" spans="1:12">
      <c r="A18" s="5" t="s">
        <v>17</v>
      </c>
      <c r="B18" s="5">
        <v>2000</v>
      </c>
      <c r="C18" s="5" t="s">
        <v>98</v>
      </c>
      <c r="D18" s="5" t="s">
        <v>94</v>
      </c>
      <c r="E18" s="11">
        <f>'Sticks &amp; Bricks Detail'!Q56</f>
        <v>156262</v>
      </c>
      <c r="F18" s="12">
        <v>3500</v>
      </c>
      <c r="G18" s="12">
        <v>15000</v>
      </c>
      <c r="H18" s="12">
        <v>0</v>
      </c>
      <c r="I18" s="12">
        <v>15000</v>
      </c>
      <c r="J18" s="11">
        <f t="shared" si="0"/>
        <v>9488.1</v>
      </c>
      <c r="K18" s="12">
        <v>25000</v>
      </c>
      <c r="L18" s="13">
        <f t="shared" si="1"/>
        <v>224250.1</v>
      </c>
    </row>
    <row r="19" spans="1:12">
      <c r="A19" s="5" t="s">
        <v>18</v>
      </c>
      <c r="B19" s="5">
        <v>2005</v>
      </c>
      <c r="C19" s="5" t="s">
        <v>98</v>
      </c>
      <c r="D19" s="5" t="s">
        <v>94</v>
      </c>
      <c r="E19" s="11">
        <f>'Sticks &amp; Bricks Detail'!R56</f>
        <v>156615</v>
      </c>
      <c r="F19" s="12">
        <v>3500</v>
      </c>
      <c r="G19" s="12">
        <v>15000</v>
      </c>
      <c r="H19" s="12">
        <v>0</v>
      </c>
      <c r="I19" s="12">
        <v>15000</v>
      </c>
      <c r="J19" s="11">
        <f t="shared" si="0"/>
        <v>9505.75</v>
      </c>
      <c r="K19" s="12">
        <v>25000</v>
      </c>
      <c r="L19" s="13">
        <f t="shared" si="1"/>
        <v>224620.75</v>
      </c>
    </row>
    <row r="20" spans="1:12">
      <c r="A20" s="5" t="s">
        <v>19</v>
      </c>
      <c r="B20" s="5">
        <v>2072</v>
      </c>
      <c r="C20" s="5" t="s">
        <v>100</v>
      </c>
      <c r="D20" s="5" t="s">
        <v>94</v>
      </c>
      <c r="E20" s="11">
        <f>'Sticks &amp; Bricks Detail'!S56</f>
        <v>165696</v>
      </c>
      <c r="F20" s="12">
        <v>3500</v>
      </c>
      <c r="G20" s="12">
        <v>15000</v>
      </c>
      <c r="H20" s="12">
        <v>0</v>
      </c>
      <c r="I20" s="12">
        <v>15000</v>
      </c>
      <c r="J20" s="11">
        <f t="shared" si="0"/>
        <v>9959.8000000000011</v>
      </c>
      <c r="K20" s="12">
        <v>25000</v>
      </c>
      <c r="L20" s="13">
        <f t="shared" si="1"/>
        <v>234155.8</v>
      </c>
    </row>
    <row r="21" spans="1:12">
      <c r="A21" s="5" t="s">
        <v>20</v>
      </c>
      <c r="B21" s="5">
        <v>2157</v>
      </c>
      <c r="C21" s="5" t="s">
        <v>100</v>
      </c>
      <c r="D21" s="5" t="s">
        <v>94</v>
      </c>
      <c r="E21" s="11">
        <f>'Sticks &amp; Bricks Detail'!T56</f>
        <v>171846</v>
      </c>
      <c r="F21" s="12">
        <v>3500</v>
      </c>
      <c r="G21" s="12">
        <v>15000</v>
      </c>
      <c r="H21" s="12">
        <v>0</v>
      </c>
      <c r="I21" s="12">
        <v>15000</v>
      </c>
      <c r="J21" s="11">
        <f t="shared" si="0"/>
        <v>10000</v>
      </c>
      <c r="K21" s="12">
        <v>25000</v>
      </c>
      <c r="L21" s="13">
        <f t="shared" si="1"/>
        <v>240346</v>
      </c>
    </row>
    <row r="22" spans="1:12">
      <c r="A22" s="5" t="s">
        <v>21</v>
      </c>
      <c r="B22" s="5">
        <v>2214</v>
      </c>
      <c r="C22" s="5" t="s">
        <v>101</v>
      </c>
      <c r="D22" s="5" t="s">
        <v>94</v>
      </c>
      <c r="E22" s="11">
        <f>'Sticks &amp; Bricks Detail'!U56</f>
        <v>173637</v>
      </c>
      <c r="F22" s="12">
        <v>3500</v>
      </c>
      <c r="G22" s="12">
        <v>15000</v>
      </c>
      <c r="H22" s="12">
        <v>0</v>
      </c>
      <c r="I22" s="12">
        <v>15000</v>
      </c>
      <c r="J22" s="11">
        <f t="shared" si="0"/>
        <v>10000</v>
      </c>
      <c r="K22" s="12">
        <v>25000</v>
      </c>
      <c r="L22" s="13">
        <f t="shared" si="1"/>
        <v>242137</v>
      </c>
    </row>
    <row r="23" spans="1:12">
      <c r="A23" s="5" t="s">
        <v>22</v>
      </c>
      <c r="B23" s="5">
        <v>2217</v>
      </c>
      <c r="C23" s="5" t="s">
        <v>101</v>
      </c>
      <c r="D23" s="5" t="s">
        <v>94</v>
      </c>
      <c r="E23" s="11">
        <f>'Sticks &amp; Bricks Detail'!V56</f>
        <v>173846</v>
      </c>
      <c r="F23" s="12">
        <v>3500</v>
      </c>
      <c r="G23" s="12">
        <v>15000</v>
      </c>
      <c r="H23" s="12">
        <v>0</v>
      </c>
      <c r="I23" s="12">
        <v>15000</v>
      </c>
      <c r="J23" s="11">
        <f t="shared" si="0"/>
        <v>10000</v>
      </c>
      <c r="K23" s="12">
        <v>25000</v>
      </c>
      <c r="L23" s="13">
        <f t="shared" si="1"/>
        <v>242346</v>
      </c>
    </row>
    <row r="24" spans="1:12">
      <c r="A24" s="5" t="s">
        <v>23</v>
      </c>
      <c r="B24" s="5">
        <v>2771</v>
      </c>
      <c r="C24" s="5" t="s">
        <v>101</v>
      </c>
      <c r="D24" s="5" t="s">
        <v>94</v>
      </c>
      <c r="E24" s="11">
        <f>'Sticks &amp; Bricks Detail'!W56</f>
        <v>213313</v>
      </c>
      <c r="F24" s="12">
        <v>3500</v>
      </c>
      <c r="G24" s="12">
        <v>15000</v>
      </c>
      <c r="H24" s="12">
        <v>0</v>
      </c>
      <c r="I24" s="12">
        <v>15000</v>
      </c>
      <c r="J24" s="11">
        <f t="shared" si="0"/>
        <v>10000</v>
      </c>
      <c r="K24" s="12">
        <v>25000</v>
      </c>
      <c r="L24" s="13">
        <f t="shared" si="1"/>
        <v>281813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80"/>
  <sheetViews>
    <sheetView zoomScaleNormal="100" workbookViewId="0"/>
  </sheetViews>
  <sheetFormatPr defaultColWidth="8.7109375" defaultRowHeight="15"/>
  <cols>
    <col min="1" max="1" width="20" customWidth="1"/>
    <col min="2" max="2" width="32" customWidth="1"/>
    <col min="3" max="3" width="16" customWidth="1"/>
    <col min="4" max="4" width="30" customWidth="1"/>
  </cols>
  <sheetData>
    <row r="1" spans="1:4">
      <c r="A1" s="20" t="s">
        <v>102</v>
      </c>
      <c r="B1" s="20"/>
      <c r="C1" s="20"/>
      <c r="D1" s="20"/>
    </row>
    <row r="2" spans="1:4">
      <c r="A2" s="1" t="s">
        <v>103</v>
      </c>
      <c r="B2" s="1" t="s">
        <v>104</v>
      </c>
      <c r="C2" s="1" t="s">
        <v>105</v>
      </c>
      <c r="D2" s="1" t="s">
        <v>106</v>
      </c>
    </row>
    <row r="3" spans="1:4">
      <c r="A3" s="14" t="s">
        <v>107</v>
      </c>
      <c r="B3" s="5" t="s">
        <v>108</v>
      </c>
      <c r="C3" s="11">
        <f>'Sticks &amp; Bricks Detail'!B56</f>
        <v>96076</v>
      </c>
      <c r="D3" s="5" t="s">
        <v>109</v>
      </c>
    </row>
    <row r="4" spans="1:4">
      <c r="A4" s="14" t="s">
        <v>110</v>
      </c>
      <c r="B4" s="5" t="s">
        <v>111</v>
      </c>
      <c r="C4" s="12">
        <v>0</v>
      </c>
      <c r="D4" s="5" t="s">
        <v>112</v>
      </c>
    </row>
    <row r="5" spans="1:4">
      <c r="A5" s="5"/>
      <c r="B5" s="5" t="s">
        <v>113</v>
      </c>
      <c r="C5" s="12">
        <v>0</v>
      </c>
      <c r="D5" s="5" t="s">
        <v>114</v>
      </c>
    </row>
    <row r="6" spans="1:4">
      <c r="A6" s="5"/>
      <c r="B6" s="5" t="s">
        <v>115</v>
      </c>
      <c r="C6" s="12">
        <v>0</v>
      </c>
      <c r="D6" s="5" t="s">
        <v>116</v>
      </c>
    </row>
    <row r="7" spans="1:4">
      <c r="A7" s="5"/>
      <c r="B7" s="14" t="s">
        <v>117</v>
      </c>
      <c r="C7" s="11">
        <f>SUM(C4:C6)</f>
        <v>0</v>
      </c>
      <c r="D7" s="5"/>
    </row>
    <row r="8" spans="1:4">
      <c r="A8" s="14" t="s">
        <v>118</v>
      </c>
      <c r="B8" s="5" t="s">
        <v>119</v>
      </c>
      <c r="C8" s="12">
        <v>5000</v>
      </c>
      <c r="D8" s="5"/>
    </row>
    <row r="9" spans="1:4">
      <c r="A9" s="5"/>
      <c r="B9" s="5" t="s">
        <v>120</v>
      </c>
      <c r="C9" s="12">
        <v>3000</v>
      </c>
      <c r="D9" s="5"/>
    </row>
    <row r="10" spans="1:4">
      <c r="A10" s="5"/>
      <c r="B10" s="5" t="s">
        <v>121</v>
      </c>
      <c r="C10" s="12">
        <v>2500</v>
      </c>
      <c r="D10" s="5"/>
    </row>
    <row r="11" spans="1:4">
      <c r="A11" s="5"/>
      <c r="B11" s="5" t="s">
        <v>122</v>
      </c>
      <c r="C11" s="12">
        <v>3500</v>
      </c>
      <c r="D11" s="5"/>
    </row>
    <row r="12" spans="1:4">
      <c r="A12" s="5"/>
      <c r="B12" s="5" t="s">
        <v>123</v>
      </c>
      <c r="C12" s="12">
        <v>1000</v>
      </c>
      <c r="D12" s="5" t="s">
        <v>124</v>
      </c>
    </row>
    <row r="13" spans="1:4">
      <c r="A13" s="5"/>
      <c r="B13" s="14" t="s">
        <v>125</v>
      </c>
      <c r="C13" s="11">
        <f>SUM(C8:C12)</f>
        <v>15000</v>
      </c>
      <c r="D13" s="5"/>
    </row>
    <row r="14" spans="1:4">
      <c r="A14" s="14" t="s">
        <v>126</v>
      </c>
      <c r="B14" s="5" t="s">
        <v>127</v>
      </c>
      <c r="C14" s="12">
        <v>0</v>
      </c>
      <c r="D14" s="5"/>
    </row>
    <row r="15" spans="1:4">
      <c r="A15" s="5"/>
      <c r="B15" s="5" t="s">
        <v>128</v>
      </c>
      <c r="C15" s="12">
        <v>0</v>
      </c>
      <c r="D15" s="5"/>
    </row>
    <row r="16" spans="1:4">
      <c r="A16" s="5"/>
      <c r="B16" s="5" t="s">
        <v>129</v>
      </c>
      <c r="C16" s="12">
        <v>0</v>
      </c>
      <c r="D16" s="5"/>
    </row>
    <row r="17" spans="1:4">
      <c r="A17" s="5"/>
      <c r="B17" s="14" t="s">
        <v>130</v>
      </c>
      <c r="C17" s="11">
        <f>SUM(C14:C16)</f>
        <v>0</v>
      </c>
      <c r="D17" s="5"/>
    </row>
    <row r="18" spans="1:4">
      <c r="A18" s="14" t="s">
        <v>131</v>
      </c>
      <c r="B18" s="5" t="s">
        <v>132</v>
      </c>
      <c r="C18" s="12">
        <v>3500</v>
      </c>
      <c r="D18" s="5"/>
    </row>
    <row r="19" spans="1:4">
      <c r="A19" s="5"/>
      <c r="B19" s="5" t="s">
        <v>133</v>
      </c>
      <c r="C19" s="12">
        <v>2500</v>
      </c>
      <c r="D19" s="5"/>
    </row>
    <row r="20" spans="1:4">
      <c r="A20" s="5"/>
      <c r="B20" s="5" t="s">
        <v>134</v>
      </c>
      <c r="C20" s="12">
        <v>1500</v>
      </c>
      <c r="D20" s="5"/>
    </row>
    <row r="21" spans="1:4">
      <c r="A21" s="5"/>
      <c r="B21" s="5" t="s">
        <v>135</v>
      </c>
      <c r="C21" s="12">
        <v>1700</v>
      </c>
      <c r="D21" s="5"/>
    </row>
    <row r="22" spans="1:4">
      <c r="A22" s="5"/>
      <c r="B22" s="5" t="s">
        <v>136</v>
      </c>
      <c r="C22" s="12">
        <v>2000</v>
      </c>
      <c r="D22" s="5"/>
    </row>
    <row r="23" spans="1:4">
      <c r="A23" s="5"/>
      <c r="B23" s="5" t="s">
        <v>137</v>
      </c>
      <c r="C23" s="12">
        <v>1500</v>
      </c>
      <c r="D23" s="5"/>
    </row>
    <row r="24" spans="1:4">
      <c r="A24" s="5"/>
      <c r="B24" s="5" t="s">
        <v>123</v>
      </c>
      <c r="C24" s="12">
        <v>2300</v>
      </c>
      <c r="D24" s="5" t="s">
        <v>124</v>
      </c>
    </row>
    <row r="25" spans="1:4">
      <c r="A25" s="5"/>
      <c r="B25" s="14" t="s">
        <v>138</v>
      </c>
      <c r="C25" s="11">
        <f>SUM(C18:C24)</f>
        <v>15000</v>
      </c>
      <c r="D25" s="5"/>
    </row>
    <row r="26" spans="1:4">
      <c r="A26" s="14" t="s">
        <v>139</v>
      </c>
      <c r="B26" s="5" t="s">
        <v>140</v>
      </c>
      <c r="C26" s="11">
        <f>MIN(10000,0.05*(C3+C7+C13+C17+C25))</f>
        <v>6303.8</v>
      </c>
      <c r="D26" s="5" t="s">
        <v>141</v>
      </c>
    </row>
    <row r="27" spans="1:4">
      <c r="A27" s="14" t="s">
        <v>142</v>
      </c>
      <c r="B27" s="5" t="s">
        <v>143</v>
      </c>
      <c r="C27" s="12">
        <v>25000</v>
      </c>
      <c r="D27" s="5" t="s">
        <v>144</v>
      </c>
    </row>
    <row r="28" spans="1:4">
      <c r="A28" s="7" t="s">
        <v>145</v>
      </c>
      <c r="B28" s="15"/>
      <c r="C28" s="13">
        <f>C3+C7+C13+C17+C25+C26+C27</f>
        <v>157379.79999999999</v>
      </c>
      <c r="D28" s="15"/>
    </row>
    <row r="29" spans="1:4">
      <c r="A29" s="5"/>
      <c r="B29" s="5" t="s">
        <v>78</v>
      </c>
      <c r="C29" s="16">
        <f>C28/1170</f>
        <v>134.51264957264956</v>
      </c>
      <c r="D29" s="5"/>
    </row>
    <row r="32" spans="1:4">
      <c r="A32" s="20" t="s">
        <v>146</v>
      </c>
      <c r="B32" s="20"/>
      <c r="C32" s="20"/>
      <c r="D32" s="20"/>
    </row>
    <row r="33" spans="1:4">
      <c r="A33" s="1" t="s">
        <v>103</v>
      </c>
      <c r="B33" s="1" t="s">
        <v>104</v>
      </c>
      <c r="C33" s="1" t="s">
        <v>105</v>
      </c>
      <c r="D33" s="1" t="s">
        <v>106</v>
      </c>
    </row>
    <row r="34" spans="1:4">
      <c r="A34" s="14" t="s">
        <v>107</v>
      </c>
      <c r="B34" s="5" t="s">
        <v>108</v>
      </c>
      <c r="C34" s="11">
        <f>'Sticks &amp; Bricks Detail'!C56</f>
        <v>97831</v>
      </c>
      <c r="D34" s="5" t="s">
        <v>109</v>
      </c>
    </row>
    <row r="35" spans="1:4">
      <c r="A35" s="14" t="s">
        <v>110</v>
      </c>
      <c r="B35" s="5" t="s">
        <v>111</v>
      </c>
      <c r="C35" s="12">
        <v>0</v>
      </c>
      <c r="D35" s="5" t="s">
        <v>112</v>
      </c>
    </row>
    <row r="36" spans="1:4">
      <c r="A36" s="5"/>
      <c r="B36" s="5" t="s">
        <v>113</v>
      </c>
      <c r="C36" s="12">
        <v>0</v>
      </c>
      <c r="D36" s="5" t="s">
        <v>114</v>
      </c>
    </row>
    <row r="37" spans="1:4">
      <c r="A37" s="5"/>
      <c r="B37" s="5" t="s">
        <v>115</v>
      </c>
      <c r="C37" s="12">
        <v>0</v>
      </c>
      <c r="D37" s="5" t="s">
        <v>116</v>
      </c>
    </row>
    <row r="38" spans="1:4">
      <c r="A38" s="5"/>
      <c r="B38" s="14" t="s">
        <v>117</v>
      </c>
      <c r="C38" s="11">
        <f>SUM(C35:C37)</f>
        <v>0</v>
      </c>
      <c r="D38" s="5"/>
    </row>
    <row r="39" spans="1:4">
      <c r="A39" s="14" t="s">
        <v>118</v>
      </c>
      <c r="B39" s="5" t="s">
        <v>119</v>
      </c>
      <c r="C39" s="12">
        <v>5000</v>
      </c>
      <c r="D39" s="5"/>
    </row>
    <row r="40" spans="1:4">
      <c r="A40" s="5"/>
      <c r="B40" s="5" t="s">
        <v>120</v>
      </c>
      <c r="C40" s="12">
        <v>3000</v>
      </c>
      <c r="D40" s="5"/>
    </row>
    <row r="41" spans="1:4">
      <c r="A41" s="5"/>
      <c r="B41" s="5" t="s">
        <v>121</v>
      </c>
      <c r="C41" s="12">
        <v>2500</v>
      </c>
      <c r="D41" s="5"/>
    </row>
    <row r="42" spans="1:4">
      <c r="A42" s="5"/>
      <c r="B42" s="5" t="s">
        <v>122</v>
      </c>
      <c r="C42" s="12">
        <v>3500</v>
      </c>
      <c r="D42" s="5"/>
    </row>
    <row r="43" spans="1:4">
      <c r="A43" s="5"/>
      <c r="B43" s="5" t="s">
        <v>123</v>
      </c>
      <c r="C43" s="12">
        <v>1000</v>
      </c>
      <c r="D43" s="5" t="s">
        <v>124</v>
      </c>
    </row>
    <row r="44" spans="1:4">
      <c r="A44" s="5"/>
      <c r="B44" s="14" t="s">
        <v>125</v>
      </c>
      <c r="C44" s="11">
        <f>SUM(C39:C43)</f>
        <v>15000</v>
      </c>
      <c r="D44" s="5"/>
    </row>
    <row r="45" spans="1:4">
      <c r="A45" s="14" t="s">
        <v>126</v>
      </c>
      <c r="B45" s="5" t="s">
        <v>127</v>
      </c>
      <c r="C45" s="12">
        <v>0</v>
      </c>
      <c r="D45" s="5"/>
    </row>
    <row r="46" spans="1:4">
      <c r="A46" s="5"/>
      <c r="B46" s="5" t="s">
        <v>128</v>
      </c>
      <c r="C46" s="12">
        <v>0</v>
      </c>
      <c r="D46" s="5"/>
    </row>
    <row r="47" spans="1:4">
      <c r="A47" s="5"/>
      <c r="B47" s="5" t="s">
        <v>129</v>
      </c>
      <c r="C47" s="12">
        <v>0</v>
      </c>
      <c r="D47" s="5"/>
    </row>
    <row r="48" spans="1:4">
      <c r="A48" s="5"/>
      <c r="B48" s="14" t="s">
        <v>130</v>
      </c>
      <c r="C48" s="11">
        <f>SUM(C45:C47)</f>
        <v>0</v>
      </c>
      <c r="D48" s="5"/>
    </row>
    <row r="49" spans="1:4">
      <c r="A49" s="14" t="s">
        <v>131</v>
      </c>
      <c r="B49" s="5" t="s">
        <v>132</v>
      </c>
      <c r="C49" s="12">
        <v>3500</v>
      </c>
      <c r="D49" s="5"/>
    </row>
    <row r="50" spans="1:4">
      <c r="A50" s="5"/>
      <c r="B50" s="5" t="s">
        <v>133</v>
      </c>
      <c r="C50" s="12">
        <v>2500</v>
      </c>
      <c r="D50" s="5"/>
    </row>
    <row r="51" spans="1:4">
      <c r="A51" s="5"/>
      <c r="B51" s="5" t="s">
        <v>134</v>
      </c>
      <c r="C51" s="12">
        <v>1500</v>
      </c>
      <c r="D51" s="5"/>
    </row>
    <row r="52" spans="1:4">
      <c r="A52" s="5"/>
      <c r="B52" s="5" t="s">
        <v>135</v>
      </c>
      <c r="C52" s="12">
        <v>1700</v>
      </c>
      <c r="D52" s="5"/>
    </row>
    <row r="53" spans="1:4">
      <c r="A53" s="5"/>
      <c r="B53" s="5" t="s">
        <v>136</v>
      </c>
      <c r="C53" s="12">
        <v>2000</v>
      </c>
      <c r="D53" s="5"/>
    </row>
    <row r="54" spans="1:4">
      <c r="A54" s="5"/>
      <c r="B54" s="5" t="s">
        <v>137</v>
      </c>
      <c r="C54" s="12">
        <v>1500</v>
      </c>
      <c r="D54" s="5"/>
    </row>
    <row r="55" spans="1:4">
      <c r="A55" s="5"/>
      <c r="B55" s="5" t="s">
        <v>123</v>
      </c>
      <c r="C55" s="12">
        <v>2300</v>
      </c>
      <c r="D55" s="5" t="s">
        <v>124</v>
      </c>
    </row>
    <row r="56" spans="1:4">
      <c r="A56" s="5"/>
      <c r="B56" s="14" t="s">
        <v>138</v>
      </c>
      <c r="C56" s="11">
        <f>SUM(C49:C55)</f>
        <v>15000</v>
      </c>
      <c r="D56" s="5"/>
    </row>
    <row r="57" spans="1:4">
      <c r="A57" s="14" t="s">
        <v>139</v>
      </c>
      <c r="B57" s="5" t="s">
        <v>140</v>
      </c>
      <c r="C57" s="11">
        <f>MIN(10000,0.05*(C34+C38+C44+C48+C56))</f>
        <v>6391.55</v>
      </c>
      <c r="D57" s="5" t="s">
        <v>141</v>
      </c>
    </row>
    <row r="58" spans="1:4">
      <c r="A58" s="14" t="s">
        <v>142</v>
      </c>
      <c r="B58" s="5" t="s">
        <v>143</v>
      </c>
      <c r="C58" s="12">
        <v>25000</v>
      </c>
      <c r="D58" s="5" t="s">
        <v>144</v>
      </c>
    </row>
    <row r="59" spans="1:4">
      <c r="A59" s="7" t="s">
        <v>145</v>
      </c>
      <c r="B59" s="15"/>
      <c r="C59" s="13">
        <f>C34+C38+C44+C48+C56+C57+C58</f>
        <v>159222.54999999999</v>
      </c>
      <c r="D59" s="15"/>
    </row>
    <row r="60" spans="1:4">
      <c r="A60" s="5"/>
      <c r="B60" s="5" t="s">
        <v>78</v>
      </c>
      <c r="C60" s="16">
        <f>C59/1188</f>
        <v>134.02571548821547</v>
      </c>
      <c r="D60" s="5"/>
    </row>
    <row r="63" spans="1:4">
      <c r="A63" s="20" t="s">
        <v>147</v>
      </c>
      <c r="B63" s="20"/>
      <c r="C63" s="20"/>
      <c r="D63" s="20"/>
    </row>
    <row r="64" spans="1:4">
      <c r="A64" s="1" t="s">
        <v>103</v>
      </c>
      <c r="B64" s="1" t="s">
        <v>104</v>
      </c>
      <c r="C64" s="1" t="s">
        <v>105</v>
      </c>
      <c r="D64" s="1" t="s">
        <v>106</v>
      </c>
    </row>
    <row r="65" spans="1:4">
      <c r="A65" s="14" t="s">
        <v>107</v>
      </c>
      <c r="B65" s="5" t="s">
        <v>108</v>
      </c>
      <c r="C65" s="11">
        <f>'Sticks &amp; Bricks Detail'!D56</f>
        <v>105668</v>
      </c>
      <c r="D65" s="5" t="s">
        <v>109</v>
      </c>
    </row>
    <row r="66" spans="1:4">
      <c r="A66" s="14" t="s">
        <v>110</v>
      </c>
      <c r="B66" s="5" t="s">
        <v>111</v>
      </c>
      <c r="C66" s="12">
        <v>0</v>
      </c>
      <c r="D66" s="5" t="s">
        <v>112</v>
      </c>
    </row>
    <row r="67" spans="1:4">
      <c r="A67" s="5"/>
      <c r="B67" s="5" t="s">
        <v>113</v>
      </c>
      <c r="C67" s="12">
        <v>0</v>
      </c>
      <c r="D67" s="5" t="s">
        <v>114</v>
      </c>
    </row>
    <row r="68" spans="1:4">
      <c r="A68" s="5"/>
      <c r="B68" s="5" t="s">
        <v>115</v>
      </c>
      <c r="C68" s="12">
        <v>0</v>
      </c>
      <c r="D68" s="5" t="s">
        <v>116</v>
      </c>
    </row>
    <row r="69" spans="1:4">
      <c r="A69" s="5"/>
      <c r="B69" s="14" t="s">
        <v>117</v>
      </c>
      <c r="C69" s="11">
        <f>SUM(C66:C68)</f>
        <v>0</v>
      </c>
      <c r="D69" s="5"/>
    </row>
    <row r="70" spans="1:4">
      <c r="A70" s="14" t="s">
        <v>118</v>
      </c>
      <c r="B70" s="5" t="s">
        <v>119</v>
      </c>
      <c r="C70" s="12">
        <v>5000</v>
      </c>
      <c r="D70" s="5"/>
    </row>
    <row r="71" spans="1:4">
      <c r="A71" s="5"/>
      <c r="B71" s="5" t="s">
        <v>120</v>
      </c>
      <c r="C71" s="12">
        <v>3000</v>
      </c>
      <c r="D71" s="5"/>
    </row>
    <row r="72" spans="1:4">
      <c r="A72" s="5"/>
      <c r="B72" s="5" t="s">
        <v>121</v>
      </c>
      <c r="C72" s="12">
        <v>2500</v>
      </c>
      <c r="D72" s="5"/>
    </row>
    <row r="73" spans="1:4">
      <c r="A73" s="5"/>
      <c r="B73" s="5" t="s">
        <v>122</v>
      </c>
      <c r="C73" s="12">
        <v>3500</v>
      </c>
      <c r="D73" s="5"/>
    </row>
    <row r="74" spans="1:4">
      <c r="A74" s="5"/>
      <c r="B74" s="5" t="s">
        <v>123</v>
      </c>
      <c r="C74" s="12">
        <v>1000</v>
      </c>
      <c r="D74" s="5" t="s">
        <v>124</v>
      </c>
    </row>
    <row r="75" spans="1:4">
      <c r="A75" s="5"/>
      <c r="B75" s="14" t="s">
        <v>125</v>
      </c>
      <c r="C75" s="11">
        <f>SUM(C70:C74)</f>
        <v>15000</v>
      </c>
      <c r="D75" s="5"/>
    </row>
    <row r="76" spans="1:4">
      <c r="A76" s="14" t="s">
        <v>126</v>
      </c>
      <c r="B76" s="5" t="s">
        <v>127</v>
      </c>
      <c r="C76" s="12">
        <v>0</v>
      </c>
      <c r="D76" s="5"/>
    </row>
    <row r="77" spans="1:4">
      <c r="A77" s="5"/>
      <c r="B77" s="5" t="s">
        <v>128</v>
      </c>
      <c r="C77" s="12">
        <v>0</v>
      </c>
      <c r="D77" s="5"/>
    </row>
    <row r="78" spans="1:4">
      <c r="A78" s="5"/>
      <c r="B78" s="5" t="s">
        <v>129</v>
      </c>
      <c r="C78" s="12">
        <v>0</v>
      </c>
      <c r="D78" s="5"/>
    </row>
    <row r="79" spans="1:4">
      <c r="A79" s="5"/>
      <c r="B79" s="14" t="s">
        <v>130</v>
      </c>
      <c r="C79" s="11">
        <f>SUM(C76:C78)</f>
        <v>0</v>
      </c>
      <c r="D79" s="5"/>
    </row>
    <row r="80" spans="1:4">
      <c r="A80" s="14" t="s">
        <v>131</v>
      </c>
      <c r="B80" s="5" t="s">
        <v>132</v>
      </c>
      <c r="C80" s="12">
        <v>3500</v>
      </c>
      <c r="D80" s="5"/>
    </row>
    <row r="81" spans="1:4">
      <c r="A81" s="5"/>
      <c r="B81" s="5" t="s">
        <v>133</v>
      </c>
      <c r="C81" s="12">
        <v>2500</v>
      </c>
      <c r="D81" s="5"/>
    </row>
    <row r="82" spans="1:4">
      <c r="A82" s="5"/>
      <c r="B82" s="5" t="s">
        <v>134</v>
      </c>
      <c r="C82" s="12">
        <v>1500</v>
      </c>
      <c r="D82" s="5"/>
    </row>
    <row r="83" spans="1:4">
      <c r="A83" s="5"/>
      <c r="B83" s="5" t="s">
        <v>135</v>
      </c>
      <c r="C83" s="12">
        <v>1700</v>
      </c>
      <c r="D83" s="5"/>
    </row>
    <row r="84" spans="1:4">
      <c r="A84" s="5"/>
      <c r="B84" s="5" t="s">
        <v>136</v>
      </c>
      <c r="C84" s="12">
        <v>2000</v>
      </c>
      <c r="D84" s="5"/>
    </row>
    <row r="85" spans="1:4">
      <c r="A85" s="5"/>
      <c r="B85" s="5" t="s">
        <v>137</v>
      </c>
      <c r="C85" s="12">
        <v>1500</v>
      </c>
      <c r="D85" s="5"/>
    </row>
    <row r="86" spans="1:4">
      <c r="A86" s="5"/>
      <c r="B86" s="5" t="s">
        <v>123</v>
      </c>
      <c r="C86" s="12">
        <v>2300</v>
      </c>
      <c r="D86" s="5" t="s">
        <v>124</v>
      </c>
    </row>
    <row r="87" spans="1:4">
      <c r="A87" s="5"/>
      <c r="B87" s="14" t="s">
        <v>138</v>
      </c>
      <c r="C87" s="11">
        <f>SUM(C80:C86)</f>
        <v>15000</v>
      </c>
      <c r="D87" s="5"/>
    </row>
    <row r="88" spans="1:4">
      <c r="A88" s="14" t="s">
        <v>139</v>
      </c>
      <c r="B88" s="5" t="s">
        <v>140</v>
      </c>
      <c r="C88" s="11">
        <f>MIN(10000,0.05*(C65+C69+C75+C79+C87))</f>
        <v>6783.4000000000005</v>
      </c>
      <c r="D88" s="5" t="s">
        <v>141</v>
      </c>
    </row>
    <row r="89" spans="1:4">
      <c r="A89" s="14" t="s">
        <v>142</v>
      </c>
      <c r="B89" s="5" t="s">
        <v>143</v>
      </c>
      <c r="C89" s="12">
        <v>25000</v>
      </c>
      <c r="D89" s="5" t="s">
        <v>144</v>
      </c>
    </row>
    <row r="90" spans="1:4">
      <c r="A90" s="7" t="s">
        <v>145</v>
      </c>
      <c r="B90" s="15"/>
      <c r="C90" s="13">
        <f>C65+C69+C75+C79+C87+C88+C89</f>
        <v>167451.4</v>
      </c>
      <c r="D90" s="15"/>
    </row>
    <row r="91" spans="1:4">
      <c r="A91" s="5"/>
      <c r="B91" s="5" t="s">
        <v>78</v>
      </c>
      <c r="C91" s="16">
        <f>C90/1304</f>
        <v>128.41365030674845</v>
      </c>
      <c r="D91" s="5"/>
    </row>
    <row r="94" spans="1:4">
      <c r="A94" s="20" t="s">
        <v>148</v>
      </c>
      <c r="B94" s="20"/>
      <c r="C94" s="20"/>
      <c r="D94" s="20"/>
    </row>
    <row r="95" spans="1:4">
      <c r="A95" s="1" t="s">
        <v>103</v>
      </c>
      <c r="B95" s="1" t="s">
        <v>104</v>
      </c>
      <c r="C95" s="1" t="s">
        <v>105</v>
      </c>
      <c r="D95" s="1" t="s">
        <v>106</v>
      </c>
    </row>
    <row r="96" spans="1:4">
      <c r="A96" s="14" t="s">
        <v>107</v>
      </c>
      <c r="B96" s="5" t="s">
        <v>108</v>
      </c>
      <c r="C96" s="11">
        <f>'Sticks &amp; Bricks Detail'!E56</f>
        <v>113798</v>
      </c>
      <c r="D96" s="5" t="s">
        <v>109</v>
      </c>
    </row>
    <row r="97" spans="1:4">
      <c r="A97" s="14" t="s">
        <v>110</v>
      </c>
      <c r="B97" s="5" t="s">
        <v>111</v>
      </c>
      <c r="C97" s="12">
        <v>0</v>
      </c>
      <c r="D97" s="5" t="s">
        <v>112</v>
      </c>
    </row>
    <row r="98" spans="1:4">
      <c r="A98" s="5"/>
      <c r="B98" s="5" t="s">
        <v>113</v>
      </c>
      <c r="C98" s="12">
        <v>0</v>
      </c>
      <c r="D98" s="5" t="s">
        <v>114</v>
      </c>
    </row>
    <row r="99" spans="1:4">
      <c r="A99" s="5"/>
      <c r="B99" s="5" t="s">
        <v>115</v>
      </c>
      <c r="C99" s="12">
        <v>0</v>
      </c>
      <c r="D99" s="5" t="s">
        <v>116</v>
      </c>
    </row>
    <row r="100" spans="1:4">
      <c r="A100" s="5"/>
      <c r="B100" s="14" t="s">
        <v>117</v>
      </c>
      <c r="C100" s="11">
        <f>SUM(C97:C99)</f>
        <v>0</v>
      </c>
      <c r="D100" s="5"/>
    </row>
    <row r="101" spans="1:4">
      <c r="A101" s="14" t="s">
        <v>118</v>
      </c>
      <c r="B101" s="5" t="s">
        <v>119</v>
      </c>
      <c r="C101" s="12">
        <v>5000</v>
      </c>
      <c r="D101" s="5"/>
    </row>
    <row r="102" spans="1:4">
      <c r="A102" s="5"/>
      <c r="B102" s="5" t="s">
        <v>120</v>
      </c>
      <c r="C102" s="12">
        <v>3000</v>
      </c>
      <c r="D102" s="5"/>
    </row>
    <row r="103" spans="1:4">
      <c r="A103" s="5"/>
      <c r="B103" s="5" t="s">
        <v>121</v>
      </c>
      <c r="C103" s="12">
        <v>2500</v>
      </c>
      <c r="D103" s="5"/>
    </row>
    <row r="104" spans="1:4">
      <c r="A104" s="5"/>
      <c r="B104" s="5" t="s">
        <v>122</v>
      </c>
      <c r="C104" s="12">
        <v>3500</v>
      </c>
      <c r="D104" s="5"/>
    </row>
    <row r="105" spans="1:4">
      <c r="A105" s="5"/>
      <c r="B105" s="5" t="s">
        <v>123</v>
      </c>
      <c r="C105" s="12">
        <v>1000</v>
      </c>
      <c r="D105" s="5" t="s">
        <v>124</v>
      </c>
    </row>
    <row r="106" spans="1:4">
      <c r="A106" s="5"/>
      <c r="B106" s="14" t="s">
        <v>125</v>
      </c>
      <c r="C106" s="11">
        <f>SUM(C101:C105)</f>
        <v>15000</v>
      </c>
      <c r="D106" s="5"/>
    </row>
    <row r="107" spans="1:4">
      <c r="A107" s="14" t="s">
        <v>126</v>
      </c>
      <c r="B107" s="5" t="s">
        <v>127</v>
      </c>
      <c r="C107" s="12">
        <v>0</v>
      </c>
      <c r="D107" s="5"/>
    </row>
    <row r="108" spans="1:4">
      <c r="A108" s="5"/>
      <c r="B108" s="5" t="s">
        <v>128</v>
      </c>
      <c r="C108" s="12">
        <v>0</v>
      </c>
      <c r="D108" s="5"/>
    </row>
    <row r="109" spans="1:4">
      <c r="A109" s="5"/>
      <c r="B109" s="5" t="s">
        <v>129</v>
      </c>
      <c r="C109" s="12">
        <v>0</v>
      </c>
      <c r="D109" s="5"/>
    </row>
    <row r="110" spans="1:4">
      <c r="A110" s="5"/>
      <c r="B110" s="14" t="s">
        <v>130</v>
      </c>
      <c r="C110" s="11">
        <f>SUM(C107:C109)</f>
        <v>0</v>
      </c>
      <c r="D110" s="5"/>
    </row>
    <row r="111" spans="1:4">
      <c r="A111" s="14" t="s">
        <v>131</v>
      </c>
      <c r="B111" s="5" t="s">
        <v>132</v>
      </c>
      <c r="C111" s="12">
        <v>3500</v>
      </c>
      <c r="D111" s="5"/>
    </row>
    <row r="112" spans="1:4">
      <c r="A112" s="5"/>
      <c r="B112" s="5" t="s">
        <v>133</v>
      </c>
      <c r="C112" s="12">
        <v>2500</v>
      </c>
      <c r="D112" s="5"/>
    </row>
    <row r="113" spans="1:4">
      <c r="A113" s="5"/>
      <c r="B113" s="5" t="s">
        <v>134</v>
      </c>
      <c r="C113" s="12">
        <v>1500</v>
      </c>
      <c r="D113" s="5"/>
    </row>
    <row r="114" spans="1:4">
      <c r="A114" s="5"/>
      <c r="B114" s="5" t="s">
        <v>135</v>
      </c>
      <c r="C114" s="12">
        <v>1700</v>
      </c>
      <c r="D114" s="5"/>
    </row>
    <row r="115" spans="1:4">
      <c r="A115" s="5"/>
      <c r="B115" s="5" t="s">
        <v>136</v>
      </c>
      <c r="C115" s="12">
        <v>2000</v>
      </c>
      <c r="D115" s="5"/>
    </row>
    <row r="116" spans="1:4">
      <c r="A116" s="5"/>
      <c r="B116" s="5" t="s">
        <v>137</v>
      </c>
      <c r="C116" s="12">
        <v>1500</v>
      </c>
      <c r="D116" s="5"/>
    </row>
    <row r="117" spans="1:4">
      <c r="A117" s="5"/>
      <c r="B117" s="5" t="s">
        <v>123</v>
      </c>
      <c r="C117" s="12">
        <v>2300</v>
      </c>
      <c r="D117" s="5" t="s">
        <v>124</v>
      </c>
    </row>
    <row r="118" spans="1:4">
      <c r="A118" s="5"/>
      <c r="B118" s="14" t="s">
        <v>138</v>
      </c>
      <c r="C118" s="11">
        <f>SUM(C111:C117)</f>
        <v>15000</v>
      </c>
      <c r="D118" s="5"/>
    </row>
    <row r="119" spans="1:4">
      <c r="A119" s="14" t="s">
        <v>139</v>
      </c>
      <c r="B119" s="5" t="s">
        <v>140</v>
      </c>
      <c r="C119" s="11">
        <f>MIN(10000,0.05*(C96+C100+C106+C110+C118))</f>
        <v>7189.9000000000005</v>
      </c>
      <c r="D119" s="5" t="s">
        <v>141</v>
      </c>
    </row>
    <row r="120" spans="1:4">
      <c r="A120" s="14" t="s">
        <v>142</v>
      </c>
      <c r="B120" s="5" t="s">
        <v>143</v>
      </c>
      <c r="C120" s="12">
        <v>25000</v>
      </c>
      <c r="D120" s="5" t="s">
        <v>144</v>
      </c>
    </row>
    <row r="121" spans="1:4">
      <c r="A121" s="7" t="s">
        <v>145</v>
      </c>
      <c r="B121" s="15"/>
      <c r="C121" s="13">
        <f>C96+C100+C106+C110+C118+C119+C120</f>
        <v>175987.9</v>
      </c>
      <c r="D121" s="15"/>
    </row>
    <row r="122" spans="1:4">
      <c r="A122" s="5"/>
      <c r="B122" s="5" t="s">
        <v>78</v>
      </c>
      <c r="C122" s="16">
        <f>C121/1383</f>
        <v>127.25083152566883</v>
      </c>
      <c r="D122" s="5"/>
    </row>
    <row r="125" spans="1:4">
      <c r="A125" s="20" t="s">
        <v>149</v>
      </c>
      <c r="B125" s="20"/>
      <c r="C125" s="20"/>
      <c r="D125" s="20"/>
    </row>
    <row r="126" spans="1:4">
      <c r="A126" s="1" t="s">
        <v>103</v>
      </c>
      <c r="B126" s="1" t="s">
        <v>104</v>
      </c>
      <c r="C126" s="1" t="s">
        <v>105</v>
      </c>
      <c r="D126" s="1" t="s">
        <v>106</v>
      </c>
    </row>
    <row r="127" spans="1:4">
      <c r="A127" s="14" t="s">
        <v>107</v>
      </c>
      <c r="B127" s="5" t="s">
        <v>108</v>
      </c>
      <c r="C127" s="11">
        <f>'Sticks &amp; Bricks Detail'!F56</f>
        <v>115510</v>
      </c>
      <c r="D127" s="5" t="s">
        <v>109</v>
      </c>
    </row>
    <row r="128" spans="1:4">
      <c r="A128" s="14" t="s">
        <v>110</v>
      </c>
      <c r="B128" s="5" t="s">
        <v>111</v>
      </c>
      <c r="C128" s="12">
        <v>0</v>
      </c>
      <c r="D128" s="5" t="s">
        <v>112</v>
      </c>
    </row>
    <row r="129" spans="1:4">
      <c r="A129" s="5"/>
      <c r="B129" s="5" t="s">
        <v>113</v>
      </c>
      <c r="C129" s="12">
        <v>0</v>
      </c>
      <c r="D129" s="5" t="s">
        <v>114</v>
      </c>
    </row>
    <row r="130" spans="1:4">
      <c r="A130" s="5"/>
      <c r="B130" s="5" t="s">
        <v>115</v>
      </c>
      <c r="C130" s="12">
        <v>0</v>
      </c>
      <c r="D130" s="5" t="s">
        <v>116</v>
      </c>
    </row>
    <row r="131" spans="1:4">
      <c r="A131" s="5"/>
      <c r="B131" s="14" t="s">
        <v>117</v>
      </c>
      <c r="C131" s="11">
        <f>SUM(C128:C130)</f>
        <v>0</v>
      </c>
      <c r="D131" s="5"/>
    </row>
    <row r="132" spans="1:4">
      <c r="A132" s="14" t="s">
        <v>118</v>
      </c>
      <c r="B132" s="5" t="s">
        <v>119</v>
      </c>
      <c r="C132" s="12">
        <v>5000</v>
      </c>
      <c r="D132" s="5"/>
    </row>
    <row r="133" spans="1:4">
      <c r="A133" s="5"/>
      <c r="B133" s="5" t="s">
        <v>120</v>
      </c>
      <c r="C133" s="12">
        <v>3000</v>
      </c>
      <c r="D133" s="5"/>
    </row>
    <row r="134" spans="1:4">
      <c r="A134" s="5"/>
      <c r="B134" s="5" t="s">
        <v>121</v>
      </c>
      <c r="C134" s="12">
        <v>2500</v>
      </c>
      <c r="D134" s="5"/>
    </row>
    <row r="135" spans="1:4">
      <c r="A135" s="5"/>
      <c r="B135" s="5" t="s">
        <v>122</v>
      </c>
      <c r="C135" s="12">
        <v>3500</v>
      </c>
      <c r="D135" s="5"/>
    </row>
    <row r="136" spans="1:4">
      <c r="A136" s="5"/>
      <c r="B136" s="5" t="s">
        <v>123</v>
      </c>
      <c r="C136" s="12">
        <v>1000</v>
      </c>
      <c r="D136" s="5" t="s">
        <v>124</v>
      </c>
    </row>
    <row r="137" spans="1:4">
      <c r="A137" s="5"/>
      <c r="B137" s="14" t="s">
        <v>125</v>
      </c>
      <c r="C137" s="11">
        <f>SUM(C132:C136)</f>
        <v>15000</v>
      </c>
      <c r="D137" s="5"/>
    </row>
    <row r="138" spans="1:4">
      <c r="A138" s="14" t="s">
        <v>126</v>
      </c>
      <c r="B138" s="5" t="s">
        <v>127</v>
      </c>
      <c r="C138" s="12">
        <v>0</v>
      </c>
      <c r="D138" s="5"/>
    </row>
    <row r="139" spans="1:4">
      <c r="A139" s="5"/>
      <c r="B139" s="5" t="s">
        <v>128</v>
      </c>
      <c r="C139" s="12">
        <v>0</v>
      </c>
      <c r="D139" s="5"/>
    </row>
    <row r="140" spans="1:4">
      <c r="A140" s="5"/>
      <c r="B140" s="5" t="s">
        <v>129</v>
      </c>
      <c r="C140" s="12">
        <v>0</v>
      </c>
      <c r="D140" s="5"/>
    </row>
    <row r="141" spans="1:4">
      <c r="A141" s="5"/>
      <c r="B141" s="14" t="s">
        <v>130</v>
      </c>
      <c r="C141" s="11">
        <f>SUM(C138:C140)</f>
        <v>0</v>
      </c>
      <c r="D141" s="5"/>
    </row>
    <row r="142" spans="1:4">
      <c r="A142" s="14" t="s">
        <v>131</v>
      </c>
      <c r="B142" s="5" t="s">
        <v>132</v>
      </c>
      <c r="C142" s="12">
        <v>3500</v>
      </c>
      <c r="D142" s="5"/>
    </row>
    <row r="143" spans="1:4">
      <c r="A143" s="5"/>
      <c r="B143" s="5" t="s">
        <v>133</v>
      </c>
      <c r="C143" s="12">
        <v>2500</v>
      </c>
      <c r="D143" s="5"/>
    </row>
    <row r="144" spans="1:4">
      <c r="A144" s="5"/>
      <c r="B144" s="5" t="s">
        <v>134</v>
      </c>
      <c r="C144" s="12">
        <v>1500</v>
      </c>
      <c r="D144" s="5"/>
    </row>
    <row r="145" spans="1:4">
      <c r="A145" s="5"/>
      <c r="B145" s="5" t="s">
        <v>135</v>
      </c>
      <c r="C145" s="12">
        <v>1700</v>
      </c>
      <c r="D145" s="5"/>
    </row>
    <row r="146" spans="1:4">
      <c r="A146" s="5"/>
      <c r="B146" s="5" t="s">
        <v>136</v>
      </c>
      <c r="C146" s="12">
        <v>2000</v>
      </c>
      <c r="D146" s="5"/>
    </row>
    <row r="147" spans="1:4">
      <c r="A147" s="5"/>
      <c r="B147" s="5" t="s">
        <v>137</v>
      </c>
      <c r="C147" s="12">
        <v>1500</v>
      </c>
      <c r="D147" s="5"/>
    </row>
    <row r="148" spans="1:4">
      <c r="A148" s="5"/>
      <c r="B148" s="5" t="s">
        <v>123</v>
      </c>
      <c r="C148" s="12">
        <v>2300</v>
      </c>
      <c r="D148" s="5" t="s">
        <v>124</v>
      </c>
    </row>
    <row r="149" spans="1:4">
      <c r="A149" s="5"/>
      <c r="B149" s="14" t="s">
        <v>138</v>
      </c>
      <c r="C149" s="11">
        <f>SUM(C142:C148)</f>
        <v>15000</v>
      </c>
      <c r="D149" s="5"/>
    </row>
    <row r="150" spans="1:4">
      <c r="A150" s="14" t="s">
        <v>139</v>
      </c>
      <c r="B150" s="5" t="s">
        <v>140</v>
      </c>
      <c r="C150" s="11">
        <f>MIN(10000,0.05*(C127+C131+C137+C141+C149))</f>
        <v>7275.5</v>
      </c>
      <c r="D150" s="5" t="s">
        <v>141</v>
      </c>
    </row>
    <row r="151" spans="1:4">
      <c r="A151" s="14" t="s">
        <v>142</v>
      </c>
      <c r="B151" s="5" t="s">
        <v>143</v>
      </c>
      <c r="C151" s="12">
        <v>25000</v>
      </c>
      <c r="D151" s="5" t="s">
        <v>144</v>
      </c>
    </row>
    <row r="152" spans="1:4">
      <c r="A152" s="7" t="s">
        <v>145</v>
      </c>
      <c r="B152" s="15"/>
      <c r="C152" s="13">
        <f>C127+C131+C137+C141+C149+C150+C151</f>
        <v>177785.5</v>
      </c>
      <c r="D152" s="15"/>
    </row>
    <row r="153" spans="1:4">
      <c r="A153" s="5"/>
      <c r="B153" s="5" t="s">
        <v>78</v>
      </c>
      <c r="C153" s="16">
        <f>C152/1400</f>
        <v>126.98964285714285</v>
      </c>
      <c r="D153" s="5"/>
    </row>
    <row r="156" spans="1:4">
      <c r="A156" s="20" t="s">
        <v>150</v>
      </c>
      <c r="B156" s="20"/>
      <c r="C156" s="20"/>
      <c r="D156" s="20"/>
    </row>
    <row r="157" spans="1:4">
      <c r="A157" s="1" t="s">
        <v>103</v>
      </c>
      <c r="B157" s="1" t="s">
        <v>104</v>
      </c>
      <c r="C157" s="1" t="s">
        <v>105</v>
      </c>
      <c r="D157" s="1" t="s">
        <v>106</v>
      </c>
    </row>
    <row r="158" spans="1:4">
      <c r="A158" s="14" t="s">
        <v>107</v>
      </c>
      <c r="B158" s="5" t="s">
        <v>108</v>
      </c>
      <c r="C158" s="11">
        <f>'Sticks &amp; Bricks Detail'!G56</f>
        <v>120582</v>
      </c>
      <c r="D158" s="5" t="s">
        <v>109</v>
      </c>
    </row>
    <row r="159" spans="1:4">
      <c r="A159" s="14" t="s">
        <v>110</v>
      </c>
      <c r="B159" s="5" t="s">
        <v>111</v>
      </c>
      <c r="C159" s="12">
        <v>0</v>
      </c>
      <c r="D159" s="5" t="s">
        <v>112</v>
      </c>
    </row>
    <row r="160" spans="1:4">
      <c r="A160" s="5"/>
      <c r="B160" s="5" t="s">
        <v>113</v>
      </c>
      <c r="C160" s="12">
        <v>0</v>
      </c>
      <c r="D160" s="5" t="s">
        <v>114</v>
      </c>
    </row>
    <row r="161" spans="1:4">
      <c r="A161" s="5"/>
      <c r="B161" s="5" t="s">
        <v>115</v>
      </c>
      <c r="C161" s="12">
        <v>0</v>
      </c>
      <c r="D161" s="5" t="s">
        <v>116</v>
      </c>
    </row>
    <row r="162" spans="1:4">
      <c r="A162" s="5"/>
      <c r="B162" s="14" t="s">
        <v>117</v>
      </c>
      <c r="C162" s="11">
        <f>SUM(C159:C161)</f>
        <v>0</v>
      </c>
      <c r="D162" s="5"/>
    </row>
    <row r="163" spans="1:4">
      <c r="A163" s="14" t="s">
        <v>118</v>
      </c>
      <c r="B163" s="5" t="s">
        <v>119</v>
      </c>
      <c r="C163" s="12">
        <v>5000</v>
      </c>
      <c r="D163" s="5"/>
    </row>
    <row r="164" spans="1:4">
      <c r="A164" s="5"/>
      <c r="B164" s="5" t="s">
        <v>120</v>
      </c>
      <c r="C164" s="12">
        <v>3000</v>
      </c>
      <c r="D164" s="5"/>
    </row>
    <row r="165" spans="1:4">
      <c r="A165" s="5"/>
      <c r="B165" s="5" t="s">
        <v>121</v>
      </c>
      <c r="C165" s="12">
        <v>2500</v>
      </c>
      <c r="D165" s="5"/>
    </row>
    <row r="166" spans="1:4">
      <c r="A166" s="5"/>
      <c r="B166" s="5" t="s">
        <v>122</v>
      </c>
      <c r="C166" s="12">
        <v>3500</v>
      </c>
      <c r="D166" s="5"/>
    </row>
    <row r="167" spans="1:4">
      <c r="A167" s="5"/>
      <c r="B167" s="5" t="s">
        <v>123</v>
      </c>
      <c r="C167" s="12">
        <v>1000</v>
      </c>
      <c r="D167" s="5" t="s">
        <v>124</v>
      </c>
    </row>
    <row r="168" spans="1:4">
      <c r="A168" s="5"/>
      <c r="B168" s="14" t="s">
        <v>125</v>
      </c>
      <c r="C168" s="11">
        <f>SUM(C163:C167)</f>
        <v>15000</v>
      </c>
      <c r="D168" s="5"/>
    </row>
    <row r="169" spans="1:4">
      <c r="A169" s="14" t="s">
        <v>126</v>
      </c>
      <c r="B169" s="5" t="s">
        <v>127</v>
      </c>
      <c r="C169" s="12">
        <v>0</v>
      </c>
      <c r="D169" s="5"/>
    </row>
    <row r="170" spans="1:4">
      <c r="A170" s="5"/>
      <c r="B170" s="5" t="s">
        <v>128</v>
      </c>
      <c r="C170" s="12">
        <v>0</v>
      </c>
      <c r="D170" s="5"/>
    </row>
    <row r="171" spans="1:4">
      <c r="A171" s="5"/>
      <c r="B171" s="5" t="s">
        <v>129</v>
      </c>
      <c r="C171" s="12">
        <v>0</v>
      </c>
      <c r="D171" s="5"/>
    </row>
    <row r="172" spans="1:4">
      <c r="A172" s="5"/>
      <c r="B172" s="14" t="s">
        <v>130</v>
      </c>
      <c r="C172" s="11">
        <f>SUM(C169:C171)</f>
        <v>0</v>
      </c>
      <c r="D172" s="5"/>
    </row>
    <row r="173" spans="1:4">
      <c r="A173" s="14" t="s">
        <v>131</v>
      </c>
      <c r="B173" s="5" t="s">
        <v>132</v>
      </c>
      <c r="C173" s="12">
        <v>3500</v>
      </c>
      <c r="D173" s="5"/>
    </row>
    <row r="174" spans="1:4">
      <c r="A174" s="5"/>
      <c r="B174" s="5" t="s">
        <v>133</v>
      </c>
      <c r="C174" s="12">
        <v>2500</v>
      </c>
      <c r="D174" s="5"/>
    </row>
    <row r="175" spans="1:4">
      <c r="A175" s="5"/>
      <c r="B175" s="5" t="s">
        <v>134</v>
      </c>
      <c r="C175" s="12">
        <v>1500</v>
      </c>
      <c r="D175" s="5"/>
    </row>
    <row r="176" spans="1:4">
      <c r="A176" s="5"/>
      <c r="B176" s="5" t="s">
        <v>135</v>
      </c>
      <c r="C176" s="12">
        <v>1700</v>
      </c>
      <c r="D176" s="5"/>
    </row>
    <row r="177" spans="1:4">
      <c r="A177" s="5"/>
      <c r="B177" s="5" t="s">
        <v>136</v>
      </c>
      <c r="C177" s="12">
        <v>2000</v>
      </c>
      <c r="D177" s="5"/>
    </row>
    <row r="178" spans="1:4">
      <c r="A178" s="5"/>
      <c r="B178" s="5" t="s">
        <v>137</v>
      </c>
      <c r="C178" s="12">
        <v>1500</v>
      </c>
      <c r="D178" s="5"/>
    </row>
    <row r="179" spans="1:4">
      <c r="A179" s="5"/>
      <c r="B179" s="5" t="s">
        <v>123</v>
      </c>
      <c r="C179" s="12">
        <v>2300</v>
      </c>
      <c r="D179" s="5" t="s">
        <v>124</v>
      </c>
    </row>
    <row r="180" spans="1:4">
      <c r="A180" s="5"/>
      <c r="B180" s="14" t="s">
        <v>138</v>
      </c>
      <c r="C180" s="11">
        <f>SUM(C173:C179)</f>
        <v>15000</v>
      </c>
      <c r="D180" s="5"/>
    </row>
    <row r="181" spans="1:4">
      <c r="A181" s="14" t="s">
        <v>139</v>
      </c>
      <c r="B181" s="5" t="s">
        <v>140</v>
      </c>
      <c r="C181" s="11">
        <f>MIN(10000,0.05*(C158+C162+C168+C172+C180))</f>
        <v>7529.1</v>
      </c>
      <c r="D181" s="5" t="s">
        <v>141</v>
      </c>
    </row>
    <row r="182" spans="1:4">
      <c r="A182" s="14" t="s">
        <v>142</v>
      </c>
      <c r="B182" s="5" t="s">
        <v>143</v>
      </c>
      <c r="C182" s="12">
        <v>25000</v>
      </c>
      <c r="D182" s="5" t="s">
        <v>144</v>
      </c>
    </row>
    <row r="183" spans="1:4">
      <c r="A183" s="7" t="s">
        <v>145</v>
      </c>
      <c r="B183" s="15"/>
      <c r="C183" s="13">
        <f>C158+C162+C168+C172+C180+C181+C182</f>
        <v>183111.1</v>
      </c>
      <c r="D183" s="15"/>
    </row>
    <row r="184" spans="1:4">
      <c r="A184" s="5"/>
      <c r="B184" s="5" t="s">
        <v>78</v>
      </c>
      <c r="C184" s="16">
        <f>C183/1500</f>
        <v>122.07406666666667</v>
      </c>
      <c r="D184" s="5"/>
    </row>
    <row r="187" spans="1:4">
      <c r="A187" s="20" t="s">
        <v>151</v>
      </c>
      <c r="B187" s="20"/>
      <c r="C187" s="20"/>
      <c r="D187" s="20"/>
    </row>
    <row r="188" spans="1:4">
      <c r="A188" s="1" t="s">
        <v>103</v>
      </c>
      <c r="B188" s="1" t="s">
        <v>104</v>
      </c>
      <c r="C188" s="1" t="s">
        <v>105</v>
      </c>
      <c r="D188" s="1" t="s">
        <v>106</v>
      </c>
    </row>
    <row r="189" spans="1:4">
      <c r="A189" s="14" t="s">
        <v>107</v>
      </c>
      <c r="B189" s="5" t="s">
        <v>108</v>
      </c>
      <c r="C189" s="11">
        <f>'Sticks &amp; Bricks Detail'!H56</f>
        <v>123967</v>
      </c>
      <c r="D189" s="5" t="s">
        <v>109</v>
      </c>
    </row>
    <row r="190" spans="1:4">
      <c r="A190" s="14" t="s">
        <v>110</v>
      </c>
      <c r="B190" s="5" t="s">
        <v>111</v>
      </c>
      <c r="C190" s="12">
        <v>0</v>
      </c>
      <c r="D190" s="5" t="s">
        <v>112</v>
      </c>
    </row>
    <row r="191" spans="1:4">
      <c r="A191" s="5"/>
      <c r="B191" s="5" t="s">
        <v>113</v>
      </c>
      <c r="C191" s="12">
        <v>0</v>
      </c>
      <c r="D191" s="5" t="s">
        <v>114</v>
      </c>
    </row>
    <row r="192" spans="1:4">
      <c r="A192" s="5"/>
      <c r="B192" s="5" t="s">
        <v>115</v>
      </c>
      <c r="C192" s="12">
        <v>0</v>
      </c>
      <c r="D192" s="5" t="s">
        <v>116</v>
      </c>
    </row>
    <row r="193" spans="1:4">
      <c r="A193" s="5"/>
      <c r="B193" s="14" t="s">
        <v>117</v>
      </c>
      <c r="C193" s="11">
        <f>SUM(C190:C192)</f>
        <v>0</v>
      </c>
      <c r="D193" s="5"/>
    </row>
    <row r="194" spans="1:4">
      <c r="A194" s="14" t="s">
        <v>118</v>
      </c>
      <c r="B194" s="5" t="s">
        <v>119</v>
      </c>
      <c r="C194" s="12">
        <v>5000</v>
      </c>
      <c r="D194" s="5"/>
    </row>
    <row r="195" spans="1:4">
      <c r="A195" s="5"/>
      <c r="B195" s="5" t="s">
        <v>120</v>
      </c>
      <c r="C195" s="12">
        <v>3000</v>
      </c>
      <c r="D195" s="5"/>
    </row>
    <row r="196" spans="1:4">
      <c r="A196" s="5"/>
      <c r="B196" s="5" t="s">
        <v>121</v>
      </c>
      <c r="C196" s="12">
        <v>2500</v>
      </c>
      <c r="D196" s="5"/>
    </row>
    <row r="197" spans="1:4">
      <c r="A197" s="5"/>
      <c r="B197" s="5" t="s">
        <v>122</v>
      </c>
      <c r="C197" s="12">
        <v>3500</v>
      </c>
      <c r="D197" s="5"/>
    </row>
    <row r="198" spans="1:4">
      <c r="A198" s="5"/>
      <c r="B198" s="5" t="s">
        <v>123</v>
      </c>
      <c r="C198" s="12">
        <v>1000</v>
      </c>
      <c r="D198" s="5" t="s">
        <v>124</v>
      </c>
    </row>
    <row r="199" spans="1:4">
      <c r="A199" s="5"/>
      <c r="B199" s="14" t="s">
        <v>125</v>
      </c>
      <c r="C199" s="11">
        <f>SUM(C194:C198)</f>
        <v>15000</v>
      </c>
      <c r="D199" s="5"/>
    </row>
    <row r="200" spans="1:4">
      <c r="A200" s="14" t="s">
        <v>126</v>
      </c>
      <c r="B200" s="5" t="s">
        <v>127</v>
      </c>
      <c r="C200" s="12">
        <v>0</v>
      </c>
      <c r="D200" s="5"/>
    </row>
    <row r="201" spans="1:4">
      <c r="A201" s="5"/>
      <c r="B201" s="5" t="s">
        <v>128</v>
      </c>
      <c r="C201" s="12">
        <v>0</v>
      </c>
      <c r="D201" s="5"/>
    </row>
    <row r="202" spans="1:4">
      <c r="A202" s="5"/>
      <c r="B202" s="5" t="s">
        <v>129</v>
      </c>
      <c r="C202" s="12">
        <v>0</v>
      </c>
      <c r="D202" s="5"/>
    </row>
    <row r="203" spans="1:4">
      <c r="A203" s="5"/>
      <c r="B203" s="14" t="s">
        <v>130</v>
      </c>
      <c r="C203" s="11">
        <f>SUM(C200:C202)</f>
        <v>0</v>
      </c>
      <c r="D203" s="5"/>
    </row>
    <row r="204" spans="1:4">
      <c r="A204" s="14" t="s">
        <v>131</v>
      </c>
      <c r="B204" s="5" t="s">
        <v>132</v>
      </c>
      <c r="C204" s="12">
        <v>3500</v>
      </c>
      <c r="D204" s="5"/>
    </row>
    <row r="205" spans="1:4">
      <c r="A205" s="5"/>
      <c r="B205" s="5" t="s">
        <v>133</v>
      </c>
      <c r="C205" s="12">
        <v>2500</v>
      </c>
      <c r="D205" s="5"/>
    </row>
    <row r="206" spans="1:4">
      <c r="A206" s="5"/>
      <c r="B206" s="5" t="s">
        <v>134</v>
      </c>
      <c r="C206" s="12">
        <v>1500</v>
      </c>
      <c r="D206" s="5"/>
    </row>
    <row r="207" spans="1:4">
      <c r="A207" s="5"/>
      <c r="B207" s="5" t="s">
        <v>135</v>
      </c>
      <c r="C207" s="12">
        <v>1700</v>
      </c>
      <c r="D207" s="5"/>
    </row>
    <row r="208" spans="1:4">
      <c r="A208" s="5"/>
      <c r="B208" s="5" t="s">
        <v>136</v>
      </c>
      <c r="C208" s="12">
        <v>2000</v>
      </c>
      <c r="D208" s="5"/>
    </row>
    <row r="209" spans="1:4">
      <c r="A209" s="5"/>
      <c r="B209" s="5" t="s">
        <v>137</v>
      </c>
      <c r="C209" s="12">
        <v>1500</v>
      </c>
      <c r="D209" s="5"/>
    </row>
    <row r="210" spans="1:4">
      <c r="A210" s="5"/>
      <c r="B210" s="5" t="s">
        <v>123</v>
      </c>
      <c r="C210" s="12">
        <v>2300</v>
      </c>
      <c r="D210" s="5" t="s">
        <v>124</v>
      </c>
    </row>
    <row r="211" spans="1:4">
      <c r="A211" s="5"/>
      <c r="B211" s="14" t="s">
        <v>138</v>
      </c>
      <c r="C211" s="11">
        <f>SUM(C204:C210)</f>
        <v>15000</v>
      </c>
      <c r="D211" s="5"/>
    </row>
    <row r="212" spans="1:4">
      <c r="A212" s="14" t="s">
        <v>139</v>
      </c>
      <c r="B212" s="5" t="s">
        <v>140</v>
      </c>
      <c r="C212" s="11">
        <f>MIN(10000,0.05*(C189+C193+C199+C203+C211))</f>
        <v>7698.35</v>
      </c>
      <c r="D212" s="5" t="s">
        <v>141</v>
      </c>
    </row>
    <row r="213" spans="1:4">
      <c r="A213" s="14" t="s">
        <v>142</v>
      </c>
      <c r="B213" s="5" t="s">
        <v>143</v>
      </c>
      <c r="C213" s="12">
        <v>25000</v>
      </c>
      <c r="D213" s="5" t="s">
        <v>144</v>
      </c>
    </row>
    <row r="214" spans="1:4">
      <c r="A214" s="7" t="s">
        <v>145</v>
      </c>
      <c r="B214" s="15"/>
      <c r="C214" s="13">
        <f>C189+C193+C199+C203+C211+C212+C213</f>
        <v>186665.35</v>
      </c>
      <c r="D214" s="15"/>
    </row>
    <row r="215" spans="1:4">
      <c r="A215" s="5"/>
      <c r="B215" s="5" t="s">
        <v>78</v>
      </c>
      <c r="C215" s="16">
        <f>C214/1541</f>
        <v>121.13260869565218</v>
      </c>
      <c r="D215" s="5"/>
    </row>
    <row r="218" spans="1:4">
      <c r="A218" s="20" t="s">
        <v>152</v>
      </c>
      <c r="B218" s="20"/>
      <c r="C218" s="20"/>
      <c r="D218" s="20"/>
    </row>
    <row r="219" spans="1:4">
      <c r="A219" s="1" t="s">
        <v>103</v>
      </c>
      <c r="B219" s="1" t="s">
        <v>104</v>
      </c>
      <c r="C219" s="1" t="s">
        <v>105</v>
      </c>
      <c r="D219" s="1" t="s">
        <v>106</v>
      </c>
    </row>
    <row r="220" spans="1:4">
      <c r="A220" s="14" t="s">
        <v>107</v>
      </c>
      <c r="B220" s="5" t="s">
        <v>108</v>
      </c>
      <c r="C220" s="11">
        <f>'Sticks &amp; Bricks Detail'!I56</f>
        <v>122622</v>
      </c>
      <c r="D220" s="5" t="s">
        <v>109</v>
      </c>
    </row>
    <row r="221" spans="1:4">
      <c r="A221" s="14" t="s">
        <v>110</v>
      </c>
      <c r="B221" s="5" t="s">
        <v>111</v>
      </c>
      <c r="C221" s="12">
        <v>0</v>
      </c>
      <c r="D221" s="5" t="s">
        <v>112</v>
      </c>
    </row>
    <row r="222" spans="1:4">
      <c r="A222" s="5"/>
      <c r="B222" s="5" t="s">
        <v>113</v>
      </c>
      <c r="C222" s="12">
        <v>0</v>
      </c>
      <c r="D222" s="5" t="s">
        <v>114</v>
      </c>
    </row>
    <row r="223" spans="1:4">
      <c r="A223" s="5"/>
      <c r="B223" s="5" t="s">
        <v>115</v>
      </c>
      <c r="C223" s="12">
        <v>0</v>
      </c>
      <c r="D223" s="5" t="s">
        <v>116</v>
      </c>
    </row>
    <row r="224" spans="1:4">
      <c r="A224" s="5"/>
      <c r="B224" s="14" t="s">
        <v>117</v>
      </c>
      <c r="C224" s="11">
        <f>SUM(C221:C223)</f>
        <v>0</v>
      </c>
      <c r="D224" s="5"/>
    </row>
    <row r="225" spans="1:4">
      <c r="A225" s="14" t="s">
        <v>118</v>
      </c>
      <c r="B225" s="5" t="s">
        <v>119</v>
      </c>
      <c r="C225" s="12">
        <v>5000</v>
      </c>
      <c r="D225" s="5"/>
    </row>
    <row r="226" spans="1:4">
      <c r="A226" s="5"/>
      <c r="B226" s="5" t="s">
        <v>120</v>
      </c>
      <c r="C226" s="12">
        <v>3000</v>
      </c>
      <c r="D226" s="5"/>
    </row>
    <row r="227" spans="1:4">
      <c r="A227" s="5"/>
      <c r="B227" s="5" t="s">
        <v>121</v>
      </c>
      <c r="C227" s="12">
        <v>2500</v>
      </c>
      <c r="D227" s="5"/>
    </row>
    <row r="228" spans="1:4">
      <c r="A228" s="5"/>
      <c r="B228" s="5" t="s">
        <v>122</v>
      </c>
      <c r="C228" s="12">
        <v>3500</v>
      </c>
      <c r="D228" s="5"/>
    </row>
    <row r="229" spans="1:4">
      <c r="A229" s="5"/>
      <c r="B229" s="5" t="s">
        <v>123</v>
      </c>
      <c r="C229" s="12">
        <v>1000</v>
      </c>
      <c r="D229" s="5" t="s">
        <v>124</v>
      </c>
    </row>
    <row r="230" spans="1:4">
      <c r="A230" s="5"/>
      <c r="B230" s="14" t="s">
        <v>125</v>
      </c>
      <c r="C230" s="11">
        <f>SUM(C225:C229)</f>
        <v>15000</v>
      </c>
      <c r="D230" s="5"/>
    </row>
    <row r="231" spans="1:4">
      <c r="A231" s="14" t="s">
        <v>126</v>
      </c>
      <c r="B231" s="5" t="s">
        <v>127</v>
      </c>
      <c r="C231" s="12">
        <v>0</v>
      </c>
      <c r="D231" s="5"/>
    </row>
    <row r="232" spans="1:4">
      <c r="A232" s="5"/>
      <c r="B232" s="5" t="s">
        <v>128</v>
      </c>
      <c r="C232" s="12">
        <v>0</v>
      </c>
      <c r="D232" s="5"/>
    </row>
    <row r="233" spans="1:4">
      <c r="A233" s="5"/>
      <c r="B233" s="5" t="s">
        <v>129</v>
      </c>
      <c r="C233" s="12">
        <v>0</v>
      </c>
      <c r="D233" s="5"/>
    </row>
    <row r="234" spans="1:4">
      <c r="A234" s="5"/>
      <c r="B234" s="14" t="s">
        <v>130</v>
      </c>
      <c r="C234" s="11">
        <f>SUM(C231:C233)</f>
        <v>0</v>
      </c>
      <c r="D234" s="5"/>
    </row>
    <row r="235" spans="1:4">
      <c r="A235" s="14" t="s">
        <v>131</v>
      </c>
      <c r="B235" s="5" t="s">
        <v>132</v>
      </c>
      <c r="C235" s="12">
        <v>3500</v>
      </c>
      <c r="D235" s="5"/>
    </row>
    <row r="236" spans="1:4">
      <c r="A236" s="5"/>
      <c r="B236" s="5" t="s">
        <v>133</v>
      </c>
      <c r="C236" s="12">
        <v>2500</v>
      </c>
      <c r="D236" s="5"/>
    </row>
    <row r="237" spans="1:4">
      <c r="A237" s="5"/>
      <c r="B237" s="5" t="s">
        <v>134</v>
      </c>
      <c r="C237" s="12">
        <v>1500</v>
      </c>
      <c r="D237" s="5"/>
    </row>
    <row r="238" spans="1:4">
      <c r="A238" s="5"/>
      <c r="B238" s="5" t="s">
        <v>135</v>
      </c>
      <c r="C238" s="12">
        <v>1700</v>
      </c>
      <c r="D238" s="5"/>
    </row>
    <row r="239" spans="1:4">
      <c r="A239" s="5"/>
      <c r="B239" s="5" t="s">
        <v>136</v>
      </c>
      <c r="C239" s="12">
        <v>2000</v>
      </c>
      <c r="D239" s="5"/>
    </row>
    <row r="240" spans="1:4">
      <c r="A240" s="5"/>
      <c r="B240" s="5" t="s">
        <v>137</v>
      </c>
      <c r="C240" s="12">
        <v>1500</v>
      </c>
      <c r="D240" s="5"/>
    </row>
    <row r="241" spans="1:4">
      <c r="A241" s="5"/>
      <c r="B241" s="5" t="s">
        <v>123</v>
      </c>
      <c r="C241" s="12">
        <v>2300</v>
      </c>
      <c r="D241" s="5" t="s">
        <v>124</v>
      </c>
    </row>
    <row r="242" spans="1:4">
      <c r="A242" s="5"/>
      <c r="B242" s="14" t="s">
        <v>138</v>
      </c>
      <c r="C242" s="11">
        <f>SUM(C235:C241)</f>
        <v>15000</v>
      </c>
      <c r="D242" s="5"/>
    </row>
    <row r="243" spans="1:4">
      <c r="A243" s="14" t="s">
        <v>139</v>
      </c>
      <c r="B243" s="5" t="s">
        <v>140</v>
      </c>
      <c r="C243" s="11">
        <f>MIN(10000,0.05*(C220+C224+C230+C234+C242))</f>
        <v>7631.1</v>
      </c>
      <c r="D243" s="5" t="s">
        <v>141</v>
      </c>
    </row>
    <row r="244" spans="1:4">
      <c r="A244" s="14" t="s">
        <v>142</v>
      </c>
      <c r="B244" s="5" t="s">
        <v>143</v>
      </c>
      <c r="C244" s="12">
        <v>25000</v>
      </c>
      <c r="D244" s="5" t="s">
        <v>144</v>
      </c>
    </row>
    <row r="245" spans="1:4">
      <c r="A245" s="7" t="s">
        <v>145</v>
      </c>
      <c r="B245" s="15"/>
      <c r="C245" s="13">
        <f>C220+C224+C230+C234+C242+C243+C244</f>
        <v>185253.1</v>
      </c>
      <c r="D245" s="15"/>
    </row>
    <row r="246" spans="1:4">
      <c r="A246" s="5"/>
      <c r="B246" s="5" t="s">
        <v>78</v>
      </c>
      <c r="C246" s="16">
        <f>C245/1545</f>
        <v>119.90491909385113</v>
      </c>
      <c r="D246" s="5"/>
    </row>
    <row r="249" spans="1:4">
      <c r="A249" s="20" t="s">
        <v>153</v>
      </c>
      <c r="B249" s="20"/>
      <c r="C249" s="20"/>
      <c r="D249" s="20"/>
    </row>
    <row r="250" spans="1:4">
      <c r="A250" s="1" t="s">
        <v>103</v>
      </c>
      <c r="B250" s="1" t="s">
        <v>104</v>
      </c>
      <c r="C250" s="1" t="s">
        <v>105</v>
      </c>
      <c r="D250" s="1" t="s">
        <v>106</v>
      </c>
    </row>
    <row r="251" spans="1:4">
      <c r="A251" s="14" t="s">
        <v>107</v>
      </c>
      <c r="B251" s="5" t="s">
        <v>108</v>
      </c>
      <c r="C251" s="11">
        <f>'Sticks &amp; Bricks Detail'!J56</f>
        <v>125978</v>
      </c>
      <c r="D251" s="5" t="s">
        <v>109</v>
      </c>
    </row>
    <row r="252" spans="1:4">
      <c r="A252" s="14" t="s">
        <v>110</v>
      </c>
      <c r="B252" s="5" t="s">
        <v>111</v>
      </c>
      <c r="C252" s="12">
        <v>0</v>
      </c>
      <c r="D252" s="5" t="s">
        <v>112</v>
      </c>
    </row>
    <row r="253" spans="1:4">
      <c r="A253" s="5"/>
      <c r="B253" s="5" t="s">
        <v>113</v>
      </c>
      <c r="C253" s="12">
        <v>0</v>
      </c>
      <c r="D253" s="5" t="s">
        <v>114</v>
      </c>
    </row>
    <row r="254" spans="1:4">
      <c r="A254" s="5"/>
      <c r="B254" s="5" t="s">
        <v>115</v>
      </c>
      <c r="C254" s="12">
        <v>0</v>
      </c>
      <c r="D254" s="5" t="s">
        <v>116</v>
      </c>
    </row>
    <row r="255" spans="1:4">
      <c r="A255" s="5"/>
      <c r="B255" s="14" t="s">
        <v>117</v>
      </c>
      <c r="C255" s="11">
        <f>SUM(C252:C254)</f>
        <v>0</v>
      </c>
      <c r="D255" s="5"/>
    </row>
    <row r="256" spans="1:4">
      <c r="A256" s="14" t="s">
        <v>118</v>
      </c>
      <c r="B256" s="5" t="s">
        <v>119</v>
      </c>
      <c r="C256" s="12">
        <v>5000</v>
      </c>
      <c r="D256" s="5"/>
    </row>
    <row r="257" spans="1:4">
      <c r="A257" s="5"/>
      <c r="B257" s="5" t="s">
        <v>120</v>
      </c>
      <c r="C257" s="12">
        <v>3000</v>
      </c>
      <c r="D257" s="5"/>
    </row>
    <row r="258" spans="1:4">
      <c r="A258" s="5"/>
      <c r="B258" s="5" t="s">
        <v>121</v>
      </c>
      <c r="C258" s="12">
        <v>2500</v>
      </c>
      <c r="D258" s="5"/>
    </row>
    <row r="259" spans="1:4">
      <c r="A259" s="5"/>
      <c r="B259" s="5" t="s">
        <v>122</v>
      </c>
      <c r="C259" s="12">
        <v>3500</v>
      </c>
      <c r="D259" s="5"/>
    </row>
    <row r="260" spans="1:4">
      <c r="A260" s="5"/>
      <c r="B260" s="5" t="s">
        <v>123</v>
      </c>
      <c r="C260" s="12">
        <v>1000</v>
      </c>
      <c r="D260" s="5" t="s">
        <v>124</v>
      </c>
    </row>
    <row r="261" spans="1:4">
      <c r="A261" s="5"/>
      <c r="B261" s="14" t="s">
        <v>125</v>
      </c>
      <c r="C261" s="11">
        <f>SUM(C256:C260)</f>
        <v>15000</v>
      </c>
      <c r="D261" s="5"/>
    </row>
    <row r="262" spans="1:4">
      <c r="A262" s="14" t="s">
        <v>126</v>
      </c>
      <c r="B262" s="5" t="s">
        <v>127</v>
      </c>
      <c r="C262" s="12">
        <v>0</v>
      </c>
      <c r="D262" s="5"/>
    </row>
    <row r="263" spans="1:4">
      <c r="A263" s="5"/>
      <c r="B263" s="5" t="s">
        <v>128</v>
      </c>
      <c r="C263" s="12">
        <v>0</v>
      </c>
      <c r="D263" s="5"/>
    </row>
    <row r="264" spans="1:4">
      <c r="A264" s="5"/>
      <c r="B264" s="5" t="s">
        <v>129</v>
      </c>
      <c r="C264" s="12">
        <v>0</v>
      </c>
      <c r="D264" s="5"/>
    </row>
    <row r="265" spans="1:4">
      <c r="A265" s="5"/>
      <c r="B265" s="14" t="s">
        <v>130</v>
      </c>
      <c r="C265" s="11">
        <f>SUM(C262:C264)</f>
        <v>0</v>
      </c>
      <c r="D265" s="5"/>
    </row>
    <row r="266" spans="1:4">
      <c r="A266" s="14" t="s">
        <v>131</v>
      </c>
      <c r="B266" s="5" t="s">
        <v>132</v>
      </c>
      <c r="C266" s="12">
        <v>3500</v>
      </c>
      <c r="D266" s="5"/>
    </row>
    <row r="267" spans="1:4">
      <c r="A267" s="5"/>
      <c r="B267" s="5" t="s">
        <v>133</v>
      </c>
      <c r="C267" s="12">
        <v>2500</v>
      </c>
      <c r="D267" s="5"/>
    </row>
    <row r="268" spans="1:4">
      <c r="A268" s="5"/>
      <c r="B268" s="5" t="s">
        <v>134</v>
      </c>
      <c r="C268" s="12">
        <v>1500</v>
      </c>
      <c r="D268" s="5"/>
    </row>
    <row r="269" spans="1:4">
      <c r="A269" s="5"/>
      <c r="B269" s="5" t="s">
        <v>135</v>
      </c>
      <c r="C269" s="12">
        <v>1700</v>
      </c>
      <c r="D269" s="5"/>
    </row>
    <row r="270" spans="1:4">
      <c r="A270" s="5"/>
      <c r="B270" s="5" t="s">
        <v>136</v>
      </c>
      <c r="C270" s="12">
        <v>2000</v>
      </c>
      <c r="D270" s="5"/>
    </row>
    <row r="271" spans="1:4">
      <c r="A271" s="5"/>
      <c r="B271" s="5" t="s">
        <v>137</v>
      </c>
      <c r="C271" s="12">
        <v>1500</v>
      </c>
      <c r="D271" s="5"/>
    </row>
    <row r="272" spans="1:4">
      <c r="A272" s="5"/>
      <c r="B272" s="5" t="s">
        <v>123</v>
      </c>
      <c r="C272" s="12">
        <v>2300</v>
      </c>
      <c r="D272" s="5" t="s">
        <v>124</v>
      </c>
    </row>
    <row r="273" spans="1:4">
      <c r="A273" s="5"/>
      <c r="B273" s="14" t="s">
        <v>138</v>
      </c>
      <c r="C273" s="11">
        <f>SUM(C266:C272)</f>
        <v>15000</v>
      </c>
      <c r="D273" s="5"/>
    </row>
    <row r="274" spans="1:4">
      <c r="A274" s="14" t="s">
        <v>139</v>
      </c>
      <c r="B274" s="5" t="s">
        <v>140</v>
      </c>
      <c r="C274" s="11">
        <f>MIN(10000,0.05*(C251+C255+C261+C265+C273))</f>
        <v>7798.9000000000005</v>
      </c>
      <c r="D274" s="5" t="s">
        <v>141</v>
      </c>
    </row>
    <row r="275" spans="1:4">
      <c r="A275" s="14" t="s">
        <v>142</v>
      </c>
      <c r="B275" s="5" t="s">
        <v>143</v>
      </c>
      <c r="C275" s="12">
        <v>25000</v>
      </c>
      <c r="D275" s="5" t="s">
        <v>144</v>
      </c>
    </row>
    <row r="276" spans="1:4">
      <c r="A276" s="7" t="s">
        <v>145</v>
      </c>
      <c r="B276" s="15"/>
      <c r="C276" s="13">
        <f>C251+C255+C261+C265+C273+C274+C275</f>
        <v>188776.9</v>
      </c>
      <c r="D276" s="15"/>
    </row>
    <row r="277" spans="1:4">
      <c r="A277" s="5"/>
      <c r="B277" s="5" t="s">
        <v>78</v>
      </c>
      <c r="C277" s="16">
        <f>C276/1592</f>
        <v>118.57845477386934</v>
      </c>
      <c r="D277" s="5"/>
    </row>
    <row r="280" spans="1:4">
      <c r="A280" s="20" t="s">
        <v>154</v>
      </c>
      <c r="B280" s="20"/>
      <c r="C280" s="20"/>
      <c r="D280" s="20"/>
    </row>
    <row r="281" spans="1:4">
      <c r="A281" s="1" t="s">
        <v>103</v>
      </c>
      <c r="B281" s="1" t="s">
        <v>104</v>
      </c>
      <c r="C281" s="1" t="s">
        <v>105</v>
      </c>
      <c r="D281" s="1" t="s">
        <v>106</v>
      </c>
    </row>
    <row r="282" spans="1:4">
      <c r="A282" s="14" t="s">
        <v>107</v>
      </c>
      <c r="B282" s="5" t="s">
        <v>108</v>
      </c>
      <c r="C282" s="11">
        <f>'Sticks &amp; Bricks Detail'!K56</f>
        <v>134662</v>
      </c>
      <c r="D282" s="5" t="s">
        <v>109</v>
      </c>
    </row>
    <row r="283" spans="1:4">
      <c r="A283" s="14" t="s">
        <v>110</v>
      </c>
      <c r="B283" s="5" t="s">
        <v>111</v>
      </c>
      <c r="C283" s="12">
        <v>0</v>
      </c>
      <c r="D283" s="5" t="s">
        <v>112</v>
      </c>
    </row>
    <row r="284" spans="1:4">
      <c r="A284" s="5"/>
      <c r="B284" s="5" t="s">
        <v>113</v>
      </c>
      <c r="C284" s="12">
        <v>0</v>
      </c>
      <c r="D284" s="5" t="s">
        <v>114</v>
      </c>
    </row>
    <row r="285" spans="1:4">
      <c r="A285" s="5"/>
      <c r="B285" s="5" t="s">
        <v>115</v>
      </c>
      <c r="C285" s="12">
        <v>0</v>
      </c>
      <c r="D285" s="5" t="s">
        <v>116</v>
      </c>
    </row>
    <row r="286" spans="1:4">
      <c r="A286" s="5"/>
      <c r="B286" s="14" t="s">
        <v>117</v>
      </c>
      <c r="C286" s="11">
        <f>SUM(C283:C285)</f>
        <v>0</v>
      </c>
      <c r="D286" s="5"/>
    </row>
    <row r="287" spans="1:4">
      <c r="A287" s="14" t="s">
        <v>118</v>
      </c>
      <c r="B287" s="5" t="s">
        <v>119</v>
      </c>
      <c r="C287" s="12">
        <v>5000</v>
      </c>
      <c r="D287" s="5"/>
    </row>
    <row r="288" spans="1:4">
      <c r="A288" s="5"/>
      <c r="B288" s="5" t="s">
        <v>120</v>
      </c>
      <c r="C288" s="12">
        <v>3000</v>
      </c>
      <c r="D288" s="5"/>
    </row>
    <row r="289" spans="1:4">
      <c r="A289" s="5"/>
      <c r="B289" s="5" t="s">
        <v>121</v>
      </c>
      <c r="C289" s="12">
        <v>2500</v>
      </c>
      <c r="D289" s="5"/>
    </row>
    <row r="290" spans="1:4">
      <c r="A290" s="5"/>
      <c r="B290" s="5" t="s">
        <v>122</v>
      </c>
      <c r="C290" s="12">
        <v>3500</v>
      </c>
      <c r="D290" s="5"/>
    </row>
    <row r="291" spans="1:4">
      <c r="A291" s="5"/>
      <c r="B291" s="5" t="s">
        <v>123</v>
      </c>
      <c r="C291" s="12">
        <v>1000</v>
      </c>
      <c r="D291" s="5" t="s">
        <v>124</v>
      </c>
    </row>
    <row r="292" spans="1:4">
      <c r="A292" s="5"/>
      <c r="B292" s="14" t="s">
        <v>125</v>
      </c>
      <c r="C292" s="11">
        <f>SUM(C287:C291)</f>
        <v>15000</v>
      </c>
      <c r="D292" s="5"/>
    </row>
    <row r="293" spans="1:4">
      <c r="A293" s="14" t="s">
        <v>126</v>
      </c>
      <c r="B293" s="5" t="s">
        <v>127</v>
      </c>
      <c r="C293" s="12">
        <v>0</v>
      </c>
      <c r="D293" s="5"/>
    </row>
    <row r="294" spans="1:4">
      <c r="A294" s="5"/>
      <c r="B294" s="5" t="s">
        <v>128</v>
      </c>
      <c r="C294" s="12">
        <v>0</v>
      </c>
      <c r="D294" s="5"/>
    </row>
    <row r="295" spans="1:4">
      <c r="A295" s="5"/>
      <c r="B295" s="5" t="s">
        <v>129</v>
      </c>
      <c r="C295" s="12">
        <v>0</v>
      </c>
      <c r="D295" s="5"/>
    </row>
    <row r="296" spans="1:4">
      <c r="A296" s="5"/>
      <c r="B296" s="14" t="s">
        <v>130</v>
      </c>
      <c r="C296" s="11">
        <f>SUM(C293:C295)</f>
        <v>0</v>
      </c>
      <c r="D296" s="5"/>
    </row>
    <row r="297" spans="1:4">
      <c r="A297" s="14" t="s">
        <v>131</v>
      </c>
      <c r="B297" s="5" t="s">
        <v>132</v>
      </c>
      <c r="C297" s="12">
        <v>3500</v>
      </c>
      <c r="D297" s="5"/>
    </row>
    <row r="298" spans="1:4">
      <c r="A298" s="5"/>
      <c r="B298" s="5" t="s">
        <v>133</v>
      </c>
      <c r="C298" s="12">
        <v>2500</v>
      </c>
      <c r="D298" s="5"/>
    </row>
    <row r="299" spans="1:4">
      <c r="A299" s="5"/>
      <c r="B299" s="5" t="s">
        <v>134</v>
      </c>
      <c r="C299" s="12">
        <v>1500</v>
      </c>
      <c r="D299" s="5"/>
    </row>
    <row r="300" spans="1:4">
      <c r="A300" s="5"/>
      <c r="B300" s="5" t="s">
        <v>135</v>
      </c>
      <c r="C300" s="12">
        <v>1700</v>
      </c>
      <c r="D300" s="5"/>
    </row>
    <row r="301" spans="1:4">
      <c r="A301" s="5"/>
      <c r="B301" s="5" t="s">
        <v>136</v>
      </c>
      <c r="C301" s="12">
        <v>2000</v>
      </c>
      <c r="D301" s="5"/>
    </row>
    <row r="302" spans="1:4">
      <c r="A302" s="5"/>
      <c r="B302" s="5" t="s">
        <v>137</v>
      </c>
      <c r="C302" s="12">
        <v>1500</v>
      </c>
      <c r="D302" s="5"/>
    </row>
    <row r="303" spans="1:4">
      <c r="A303" s="5"/>
      <c r="B303" s="5" t="s">
        <v>123</v>
      </c>
      <c r="C303" s="12">
        <v>2300</v>
      </c>
      <c r="D303" s="5" t="s">
        <v>124</v>
      </c>
    </row>
    <row r="304" spans="1:4">
      <c r="A304" s="5"/>
      <c r="B304" s="14" t="s">
        <v>138</v>
      </c>
      <c r="C304" s="11">
        <f>SUM(C297:C303)</f>
        <v>15000</v>
      </c>
      <c r="D304" s="5"/>
    </row>
    <row r="305" spans="1:4">
      <c r="A305" s="14" t="s">
        <v>139</v>
      </c>
      <c r="B305" s="5" t="s">
        <v>140</v>
      </c>
      <c r="C305" s="11">
        <f>MIN(10000,0.05*(C282+C286+C292+C296+C304))</f>
        <v>8233.1</v>
      </c>
      <c r="D305" s="5" t="s">
        <v>141</v>
      </c>
    </row>
    <row r="306" spans="1:4">
      <c r="A306" s="14" t="s">
        <v>142</v>
      </c>
      <c r="B306" s="5" t="s">
        <v>143</v>
      </c>
      <c r="C306" s="12">
        <v>25000</v>
      </c>
      <c r="D306" s="5" t="s">
        <v>144</v>
      </c>
    </row>
    <row r="307" spans="1:4">
      <c r="A307" s="7" t="s">
        <v>145</v>
      </c>
      <c r="B307" s="15"/>
      <c r="C307" s="13">
        <f>C282+C286+C292+C296+C304+C305+C306</f>
        <v>197895.1</v>
      </c>
      <c r="D307" s="15"/>
    </row>
    <row r="308" spans="1:4">
      <c r="A308" s="5"/>
      <c r="B308" s="5" t="s">
        <v>78</v>
      </c>
      <c r="C308" s="16">
        <f>C307/1700</f>
        <v>116.40888235294118</v>
      </c>
      <c r="D308" s="5"/>
    </row>
    <row r="311" spans="1:4">
      <c r="A311" s="20" t="s">
        <v>155</v>
      </c>
      <c r="B311" s="20"/>
      <c r="C311" s="20"/>
      <c r="D311" s="20"/>
    </row>
    <row r="312" spans="1:4">
      <c r="A312" s="1" t="s">
        <v>103</v>
      </c>
      <c r="B312" s="1" t="s">
        <v>104</v>
      </c>
      <c r="C312" s="1" t="s">
        <v>105</v>
      </c>
      <c r="D312" s="1" t="s">
        <v>106</v>
      </c>
    </row>
    <row r="313" spans="1:4">
      <c r="A313" s="14" t="s">
        <v>107</v>
      </c>
      <c r="B313" s="5" t="s">
        <v>108</v>
      </c>
      <c r="C313" s="11">
        <f>'Sticks &amp; Bricks Detail'!L56</f>
        <v>136009</v>
      </c>
      <c r="D313" s="5" t="s">
        <v>109</v>
      </c>
    </row>
    <row r="314" spans="1:4">
      <c r="A314" s="14" t="s">
        <v>110</v>
      </c>
      <c r="B314" s="5" t="s">
        <v>111</v>
      </c>
      <c r="C314" s="12">
        <v>0</v>
      </c>
      <c r="D314" s="5" t="s">
        <v>112</v>
      </c>
    </row>
    <row r="315" spans="1:4">
      <c r="A315" s="5"/>
      <c r="B315" s="5" t="s">
        <v>113</v>
      </c>
      <c r="C315" s="12">
        <v>0</v>
      </c>
      <c r="D315" s="5" t="s">
        <v>114</v>
      </c>
    </row>
    <row r="316" spans="1:4">
      <c r="A316" s="5"/>
      <c r="B316" s="5" t="s">
        <v>115</v>
      </c>
      <c r="C316" s="12">
        <v>0</v>
      </c>
      <c r="D316" s="5" t="s">
        <v>116</v>
      </c>
    </row>
    <row r="317" spans="1:4">
      <c r="A317" s="5"/>
      <c r="B317" s="14" t="s">
        <v>117</v>
      </c>
      <c r="C317" s="11">
        <f>SUM(C314:C316)</f>
        <v>0</v>
      </c>
      <c r="D317" s="5"/>
    </row>
    <row r="318" spans="1:4">
      <c r="A318" s="14" t="s">
        <v>118</v>
      </c>
      <c r="B318" s="5" t="s">
        <v>119</v>
      </c>
      <c r="C318" s="12">
        <v>5000</v>
      </c>
      <c r="D318" s="5"/>
    </row>
    <row r="319" spans="1:4">
      <c r="A319" s="5"/>
      <c r="B319" s="5" t="s">
        <v>120</v>
      </c>
      <c r="C319" s="12">
        <v>3000</v>
      </c>
      <c r="D319" s="5"/>
    </row>
    <row r="320" spans="1:4">
      <c r="A320" s="5"/>
      <c r="B320" s="5" t="s">
        <v>121</v>
      </c>
      <c r="C320" s="12">
        <v>2500</v>
      </c>
      <c r="D320" s="5"/>
    </row>
    <row r="321" spans="1:4">
      <c r="A321" s="5"/>
      <c r="B321" s="5" t="s">
        <v>122</v>
      </c>
      <c r="C321" s="12">
        <v>3500</v>
      </c>
      <c r="D321" s="5"/>
    </row>
    <row r="322" spans="1:4">
      <c r="A322" s="5"/>
      <c r="B322" s="5" t="s">
        <v>123</v>
      </c>
      <c r="C322" s="12">
        <v>1000</v>
      </c>
      <c r="D322" s="5" t="s">
        <v>124</v>
      </c>
    </row>
    <row r="323" spans="1:4">
      <c r="A323" s="5"/>
      <c r="B323" s="14" t="s">
        <v>125</v>
      </c>
      <c r="C323" s="11">
        <f>SUM(C318:C322)</f>
        <v>15000</v>
      </c>
      <c r="D323" s="5"/>
    </row>
    <row r="324" spans="1:4">
      <c r="A324" s="14" t="s">
        <v>126</v>
      </c>
      <c r="B324" s="5" t="s">
        <v>127</v>
      </c>
      <c r="C324" s="12">
        <v>0</v>
      </c>
      <c r="D324" s="5"/>
    </row>
    <row r="325" spans="1:4">
      <c r="A325" s="5"/>
      <c r="B325" s="5" t="s">
        <v>128</v>
      </c>
      <c r="C325" s="12">
        <v>0</v>
      </c>
      <c r="D325" s="5"/>
    </row>
    <row r="326" spans="1:4">
      <c r="A326" s="5"/>
      <c r="B326" s="5" t="s">
        <v>129</v>
      </c>
      <c r="C326" s="12">
        <v>0</v>
      </c>
      <c r="D326" s="5"/>
    </row>
    <row r="327" spans="1:4">
      <c r="A327" s="5"/>
      <c r="B327" s="14" t="s">
        <v>130</v>
      </c>
      <c r="C327" s="11">
        <f>SUM(C324:C326)</f>
        <v>0</v>
      </c>
      <c r="D327" s="5"/>
    </row>
    <row r="328" spans="1:4">
      <c r="A328" s="14" t="s">
        <v>131</v>
      </c>
      <c r="B328" s="5" t="s">
        <v>132</v>
      </c>
      <c r="C328" s="12">
        <v>3500</v>
      </c>
      <c r="D328" s="5"/>
    </row>
    <row r="329" spans="1:4">
      <c r="A329" s="5"/>
      <c r="B329" s="5" t="s">
        <v>133</v>
      </c>
      <c r="C329" s="12">
        <v>2500</v>
      </c>
      <c r="D329" s="5"/>
    </row>
    <row r="330" spans="1:4">
      <c r="A330" s="5"/>
      <c r="B330" s="5" t="s">
        <v>134</v>
      </c>
      <c r="C330" s="12">
        <v>1500</v>
      </c>
      <c r="D330" s="5"/>
    </row>
    <row r="331" spans="1:4">
      <c r="A331" s="5"/>
      <c r="B331" s="5" t="s">
        <v>135</v>
      </c>
      <c r="C331" s="12">
        <v>1700</v>
      </c>
      <c r="D331" s="5"/>
    </row>
    <row r="332" spans="1:4">
      <c r="A332" s="5"/>
      <c r="B332" s="5" t="s">
        <v>136</v>
      </c>
      <c r="C332" s="12">
        <v>2000</v>
      </c>
      <c r="D332" s="5"/>
    </row>
    <row r="333" spans="1:4">
      <c r="A333" s="5"/>
      <c r="B333" s="5" t="s">
        <v>137</v>
      </c>
      <c r="C333" s="12">
        <v>1500</v>
      </c>
      <c r="D333" s="5"/>
    </row>
    <row r="334" spans="1:4">
      <c r="A334" s="5"/>
      <c r="B334" s="5" t="s">
        <v>123</v>
      </c>
      <c r="C334" s="12">
        <v>2300</v>
      </c>
      <c r="D334" s="5" t="s">
        <v>124</v>
      </c>
    </row>
    <row r="335" spans="1:4">
      <c r="A335" s="5"/>
      <c r="B335" s="14" t="s">
        <v>138</v>
      </c>
      <c r="C335" s="11">
        <f>SUM(C328:C334)</f>
        <v>15000</v>
      </c>
      <c r="D335" s="5"/>
    </row>
    <row r="336" spans="1:4">
      <c r="A336" s="14" t="s">
        <v>139</v>
      </c>
      <c r="B336" s="5" t="s">
        <v>140</v>
      </c>
      <c r="C336" s="11">
        <f>MIN(10000,0.05*(C313+C317+C323+C327+C335))</f>
        <v>8300.4500000000007</v>
      </c>
      <c r="D336" s="5" t="s">
        <v>141</v>
      </c>
    </row>
    <row r="337" spans="1:4">
      <c r="A337" s="14" t="s">
        <v>142</v>
      </c>
      <c r="B337" s="5" t="s">
        <v>143</v>
      </c>
      <c r="C337" s="12">
        <v>25000</v>
      </c>
      <c r="D337" s="5" t="s">
        <v>144</v>
      </c>
    </row>
    <row r="338" spans="1:4">
      <c r="A338" s="7" t="s">
        <v>145</v>
      </c>
      <c r="B338" s="15"/>
      <c r="C338" s="13">
        <f>C313+C317+C323+C327+C335+C336+C337</f>
        <v>199309.45</v>
      </c>
      <c r="D338" s="15"/>
    </row>
    <row r="339" spans="1:4">
      <c r="A339" s="5"/>
      <c r="B339" s="5" t="s">
        <v>78</v>
      </c>
      <c r="C339" s="16">
        <f>C338/1712</f>
        <v>116.41907126168225</v>
      </c>
      <c r="D339" s="5"/>
    </row>
    <row r="342" spans="1:4">
      <c r="A342" s="20" t="s">
        <v>156</v>
      </c>
      <c r="B342" s="20"/>
      <c r="C342" s="20"/>
      <c r="D342" s="20"/>
    </row>
    <row r="343" spans="1:4">
      <c r="A343" s="1" t="s">
        <v>103</v>
      </c>
      <c r="B343" s="1" t="s">
        <v>104</v>
      </c>
      <c r="C343" s="1" t="s">
        <v>105</v>
      </c>
      <c r="D343" s="1" t="s">
        <v>106</v>
      </c>
    </row>
    <row r="344" spans="1:4">
      <c r="A344" s="14" t="s">
        <v>107</v>
      </c>
      <c r="B344" s="5" t="s">
        <v>108</v>
      </c>
      <c r="C344" s="11">
        <f>'Sticks &amp; Bricks Detail'!M56</f>
        <v>136078</v>
      </c>
      <c r="D344" s="5" t="s">
        <v>109</v>
      </c>
    </row>
    <row r="345" spans="1:4">
      <c r="A345" s="14" t="s">
        <v>110</v>
      </c>
      <c r="B345" s="5" t="s">
        <v>111</v>
      </c>
      <c r="C345" s="12">
        <v>0</v>
      </c>
      <c r="D345" s="5" t="s">
        <v>112</v>
      </c>
    </row>
    <row r="346" spans="1:4">
      <c r="A346" s="5"/>
      <c r="B346" s="5" t="s">
        <v>113</v>
      </c>
      <c r="C346" s="12">
        <v>0</v>
      </c>
      <c r="D346" s="5" t="s">
        <v>114</v>
      </c>
    </row>
    <row r="347" spans="1:4">
      <c r="A347" s="5"/>
      <c r="B347" s="5" t="s">
        <v>115</v>
      </c>
      <c r="C347" s="12">
        <v>0</v>
      </c>
      <c r="D347" s="5" t="s">
        <v>116</v>
      </c>
    </row>
    <row r="348" spans="1:4">
      <c r="A348" s="5"/>
      <c r="B348" s="14" t="s">
        <v>117</v>
      </c>
      <c r="C348" s="11">
        <f>SUM(C345:C347)</f>
        <v>0</v>
      </c>
      <c r="D348" s="5"/>
    </row>
    <row r="349" spans="1:4">
      <c r="A349" s="14" t="s">
        <v>118</v>
      </c>
      <c r="B349" s="5" t="s">
        <v>119</v>
      </c>
      <c r="C349" s="12">
        <v>5000</v>
      </c>
      <c r="D349" s="5"/>
    </row>
    <row r="350" spans="1:4">
      <c r="A350" s="5"/>
      <c r="B350" s="5" t="s">
        <v>120</v>
      </c>
      <c r="C350" s="12">
        <v>3000</v>
      </c>
      <c r="D350" s="5"/>
    </row>
    <row r="351" spans="1:4">
      <c r="A351" s="5"/>
      <c r="B351" s="5" t="s">
        <v>121</v>
      </c>
      <c r="C351" s="12">
        <v>2500</v>
      </c>
      <c r="D351" s="5"/>
    </row>
    <row r="352" spans="1:4">
      <c r="A352" s="5"/>
      <c r="B352" s="5" t="s">
        <v>122</v>
      </c>
      <c r="C352" s="12">
        <v>3500</v>
      </c>
      <c r="D352" s="5"/>
    </row>
    <row r="353" spans="1:4">
      <c r="A353" s="5"/>
      <c r="B353" s="5" t="s">
        <v>123</v>
      </c>
      <c r="C353" s="12">
        <v>1000</v>
      </c>
      <c r="D353" s="5" t="s">
        <v>124</v>
      </c>
    </row>
    <row r="354" spans="1:4">
      <c r="A354" s="5"/>
      <c r="B354" s="14" t="s">
        <v>125</v>
      </c>
      <c r="C354" s="11">
        <f>SUM(C349:C353)</f>
        <v>15000</v>
      </c>
      <c r="D354" s="5"/>
    </row>
    <row r="355" spans="1:4">
      <c r="A355" s="14" t="s">
        <v>126</v>
      </c>
      <c r="B355" s="5" t="s">
        <v>127</v>
      </c>
      <c r="C355" s="12">
        <v>0</v>
      </c>
      <c r="D355" s="5"/>
    </row>
    <row r="356" spans="1:4">
      <c r="A356" s="5"/>
      <c r="B356" s="5" t="s">
        <v>128</v>
      </c>
      <c r="C356" s="12">
        <v>0</v>
      </c>
      <c r="D356" s="5"/>
    </row>
    <row r="357" spans="1:4">
      <c r="A357" s="5"/>
      <c r="B357" s="5" t="s">
        <v>129</v>
      </c>
      <c r="C357" s="12">
        <v>0</v>
      </c>
      <c r="D357" s="5"/>
    </row>
    <row r="358" spans="1:4">
      <c r="A358" s="5"/>
      <c r="B358" s="14" t="s">
        <v>130</v>
      </c>
      <c r="C358" s="11">
        <f>SUM(C355:C357)</f>
        <v>0</v>
      </c>
      <c r="D358" s="5"/>
    </row>
    <row r="359" spans="1:4">
      <c r="A359" s="14" t="s">
        <v>131</v>
      </c>
      <c r="B359" s="5" t="s">
        <v>132</v>
      </c>
      <c r="C359" s="12">
        <v>3500</v>
      </c>
      <c r="D359" s="5"/>
    </row>
    <row r="360" spans="1:4">
      <c r="A360" s="5"/>
      <c r="B360" s="5" t="s">
        <v>133</v>
      </c>
      <c r="C360" s="12">
        <v>2500</v>
      </c>
      <c r="D360" s="5"/>
    </row>
    <row r="361" spans="1:4">
      <c r="A361" s="5"/>
      <c r="B361" s="5" t="s">
        <v>134</v>
      </c>
      <c r="C361" s="12">
        <v>1500</v>
      </c>
      <c r="D361" s="5"/>
    </row>
    <row r="362" spans="1:4">
      <c r="A362" s="5"/>
      <c r="B362" s="5" t="s">
        <v>135</v>
      </c>
      <c r="C362" s="12">
        <v>1700</v>
      </c>
      <c r="D362" s="5"/>
    </row>
    <row r="363" spans="1:4">
      <c r="A363" s="5"/>
      <c r="B363" s="5" t="s">
        <v>136</v>
      </c>
      <c r="C363" s="12">
        <v>2000</v>
      </c>
      <c r="D363" s="5"/>
    </row>
    <row r="364" spans="1:4">
      <c r="A364" s="5"/>
      <c r="B364" s="5" t="s">
        <v>137</v>
      </c>
      <c r="C364" s="12">
        <v>1500</v>
      </c>
      <c r="D364" s="5"/>
    </row>
    <row r="365" spans="1:4">
      <c r="A365" s="5"/>
      <c r="B365" s="5" t="s">
        <v>123</v>
      </c>
      <c r="C365" s="12">
        <v>2300</v>
      </c>
      <c r="D365" s="5" t="s">
        <v>124</v>
      </c>
    </row>
    <row r="366" spans="1:4">
      <c r="A366" s="5"/>
      <c r="B366" s="14" t="s">
        <v>138</v>
      </c>
      <c r="C366" s="11">
        <f>SUM(C359:C365)</f>
        <v>15000</v>
      </c>
      <c r="D366" s="5"/>
    </row>
    <row r="367" spans="1:4">
      <c r="A367" s="14" t="s">
        <v>139</v>
      </c>
      <c r="B367" s="5" t="s">
        <v>140</v>
      </c>
      <c r="C367" s="11">
        <f>MIN(10000,0.05*(C344+C348+C354+C358+C366))</f>
        <v>8303.9</v>
      </c>
      <c r="D367" s="5" t="s">
        <v>141</v>
      </c>
    </row>
    <row r="368" spans="1:4">
      <c r="A368" s="14" t="s">
        <v>142</v>
      </c>
      <c r="B368" s="5" t="s">
        <v>143</v>
      </c>
      <c r="C368" s="12">
        <v>25000</v>
      </c>
      <c r="D368" s="5" t="s">
        <v>144</v>
      </c>
    </row>
    <row r="369" spans="1:4">
      <c r="A369" s="7" t="s">
        <v>145</v>
      </c>
      <c r="B369" s="15"/>
      <c r="C369" s="13">
        <f>C344+C348+C354+C358+C366+C367+C368</f>
        <v>199381.9</v>
      </c>
      <c r="D369" s="15"/>
    </row>
    <row r="370" spans="1:4">
      <c r="A370" s="5"/>
      <c r="B370" s="5" t="s">
        <v>78</v>
      </c>
      <c r="C370" s="16">
        <f>C369/1713</f>
        <v>116.39340338587273</v>
      </c>
      <c r="D370" s="5"/>
    </row>
    <row r="373" spans="1:4">
      <c r="A373" s="20" t="s">
        <v>157</v>
      </c>
      <c r="B373" s="20"/>
      <c r="C373" s="20"/>
      <c r="D373" s="20"/>
    </row>
    <row r="374" spans="1:4">
      <c r="A374" s="1" t="s">
        <v>103</v>
      </c>
      <c r="B374" s="1" t="s">
        <v>104</v>
      </c>
      <c r="C374" s="1" t="s">
        <v>105</v>
      </c>
      <c r="D374" s="1" t="s">
        <v>106</v>
      </c>
    </row>
    <row r="375" spans="1:4">
      <c r="A375" s="14" t="s">
        <v>107</v>
      </c>
      <c r="B375" s="5" t="s">
        <v>108</v>
      </c>
      <c r="C375" s="11">
        <f>'Sticks &amp; Bricks Detail'!N56</f>
        <v>141355</v>
      </c>
      <c r="D375" s="5" t="s">
        <v>109</v>
      </c>
    </row>
    <row r="376" spans="1:4">
      <c r="A376" s="14" t="s">
        <v>110</v>
      </c>
      <c r="B376" s="5" t="s">
        <v>111</v>
      </c>
      <c r="C376" s="12">
        <v>0</v>
      </c>
      <c r="D376" s="5" t="s">
        <v>112</v>
      </c>
    </row>
    <row r="377" spans="1:4">
      <c r="A377" s="5"/>
      <c r="B377" s="5" t="s">
        <v>113</v>
      </c>
      <c r="C377" s="12">
        <v>0</v>
      </c>
      <c r="D377" s="5" t="s">
        <v>114</v>
      </c>
    </row>
    <row r="378" spans="1:4">
      <c r="A378" s="5"/>
      <c r="B378" s="5" t="s">
        <v>115</v>
      </c>
      <c r="C378" s="12">
        <v>0</v>
      </c>
      <c r="D378" s="5" t="s">
        <v>116</v>
      </c>
    </row>
    <row r="379" spans="1:4">
      <c r="A379" s="5"/>
      <c r="B379" s="14" t="s">
        <v>117</v>
      </c>
      <c r="C379" s="11">
        <f>SUM(C376:C378)</f>
        <v>0</v>
      </c>
      <c r="D379" s="5"/>
    </row>
    <row r="380" spans="1:4">
      <c r="A380" s="14" t="s">
        <v>118</v>
      </c>
      <c r="B380" s="5" t="s">
        <v>119</v>
      </c>
      <c r="C380" s="12">
        <v>5000</v>
      </c>
      <c r="D380" s="5"/>
    </row>
    <row r="381" spans="1:4">
      <c r="A381" s="5"/>
      <c r="B381" s="5" t="s">
        <v>120</v>
      </c>
      <c r="C381" s="12">
        <v>3000</v>
      </c>
      <c r="D381" s="5"/>
    </row>
    <row r="382" spans="1:4">
      <c r="A382" s="5"/>
      <c r="B382" s="5" t="s">
        <v>121</v>
      </c>
      <c r="C382" s="12">
        <v>2500</v>
      </c>
      <c r="D382" s="5"/>
    </row>
    <row r="383" spans="1:4">
      <c r="A383" s="5"/>
      <c r="B383" s="5" t="s">
        <v>122</v>
      </c>
      <c r="C383" s="12">
        <v>3500</v>
      </c>
      <c r="D383" s="5"/>
    </row>
    <row r="384" spans="1:4">
      <c r="A384" s="5"/>
      <c r="B384" s="5" t="s">
        <v>123</v>
      </c>
      <c r="C384" s="12">
        <v>1000</v>
      </c>
      <c r="D384" s="5" t="s">
        <v>124</v>
      </c>
    </row>
    <row r="385" spans="1:4">
      <c r="A385" s="5"/>
      <c r="B385" s="14" t="s">
        <v>125</v>
      </c>
      <c r="C385" s="11">
        <f>SUM(C380:C384)</f>
        <v>15000</v>
      </c>
      <c r="D385" s="5"/>
    </row>
    <row r="386" spans="1:4">
      <c r="A386" s="14" t="s">
        <v>126</v>
      </c>
      <c r="B386" s="5" t="s">
        <v>127</v>
      </c>
      <c r="C386" s="12">
        <v>0</v>
      </c>
      <c r="D386" s="5"/>
    </row>
    <row r="387" spans="1:4">
      <c r="A387" s="5"/>
      <c r="B387" s="5" t="s">
        <v>128</v>
      </c>
      <c r="C387" s="12">
        <v>0</v>
      </c>
      <c r="D387" s="5"/>
    </row>
    <row r="388" spans="1:4">
      <c r="A388" s="5"/>
      <c r="B388" s="5" t="s">
        <v>129</v>
      </c>
      <c r="C388" s="12">
        <v>0</v>
      </c>
      <c r="D388" s="5"/>
    </row>
    <row r="389" spans="1:4">
      <c r="A389" s="5"/>
      <c r="B389" s="14" t="s">
        <v>130</v>
      </c>
      <c r="C389" s="11">
        <f>SUM(C386:C388)</f>
        <v>0</v>
      </c>
      <c r="D389" s="5"/>
    </row>
    <row r="390" spans="1:4">
      <c r="A390" s="14" t="s">
        <v>131</v>
      </c>
      <c r="B390" s="5" t="s">
        <v>132</v>
      </c>
      <c r="C390" s="12">
        <v>3500</v>
      </c>
      <c r="D390" s="5"/>
    </row>
    <row r="391" spans="1:4">
      <c r="A391" s="5"/>
      <c r="B391" s="5" t="s">
        <v>133</v>
      </c>
      <c r="C391" s="12">
        <v>2500</v>
      </c>
      <c r="D391" s="5"/>
    </row>
    <row r="392" spans="1:4">
      <c r="A392" s="5"/>
      <c r="B392" s="5" t="s">
        <v>134</v>
      </c>
      <c r="C392" s="12">
        <v>1500</v>
      </c>
      <c r="D392" s="5"/>
    </row>
    <row r="393" spans="1:4">
      <c r="A393" s="5"/>
      <c r="B393" s="5" t="s">
        <v>135</v>
      </c>
      <c r="C393" s="12">
        <v>1700</v>
      </c>
      <c r="D393" s="5"/>
    </row>
    <row r="394" spans="1:4">
      <c r="A394" s="5"/>
      <c r="B394" s="5" t="s">
        <v>136</v>
      </c>
      <c r="C394" s="12">
        <v>2000</v>
      </c>
      <c r="D394" s="5"/>
    </row>
    <row r="395" spans="1:4">
      <c r="A395" s="5"/>
      <c r="B395" s="5" t="s">
        <v>137</v>
      </c>
      <c r="C395" s="12">
        <v>1500</v>
      </c>
      <c r="D395" s="5"/>
    </row>
    <row r="396" spans="1:4">
      <c r="A396" s="5"/>
      <c r="B396" s="5" t="s">
        <v>123</v>
      </c>
      <c r="C396" s="12">
        <v>2300</v>
      </c>
      <c r="D396" s="5" t="s">
        <v>124</v>
      </c>
    </row>
    <row r="397" spans="1:4">
      <c r="A397" s="5"/>
      <c r="B397" s="14" t="s">
        <v>138</v>
      </c>
      <c r="C397" s="11">
        <f>SUM(C390:C396)</f>
        <v>15000</v>
      </c>
      <c r="D397" s="5"/>
    </row>
    <row r="398" spans="1:4">
      <c r="A398" s="14" t="s">
        <v>139</v>
      </c>
      <c r="B398" s="5" t="s">
        <v>140</v>
      </c>
      <c r="C398" s="11">
        <f>MIN(10000,0.05*(C375+C379+C385+C389+C397))</f>
        <v>8567.75</v>
      </c>
      <c r="D398" s="5" t="s">
        <v>141</v>
      </c>
    </row>
    <row r="399" spans="1:4">
      <c r="A399" s="14" t="s">
        <v>142</v>
      </c>
      <c r="B399" s="5" t="s">
        <v>143</v>
      </c>
      <c r="C399" s="12">
        <v>25000</v>
      </c>
      <c r="D399" s="5" t="s">
        <v>144</v>
      </c>
    </row>
    <row r="400" spans="1:4">
      <c r="A400" s="7" t="s">
        <v>145</v>
      </c>
      <c r="B400" s="15"/>
      <c r="C400" s="13">
        <f>C375+C379+C385+C389+C397+C398+C399</f>
        <v>204922.75</v>
      </c>
      <c r="D400" s="15"/>
    </row>
    <row r="401" spans="1:4">
      <c r="A401" s="5"/>
      <c r="B401" s="5" t="s">
        <v>78</v>
      </c>
      <c r="C401" s="16">
        <f>C400/1788</f>
        <v>114.61003914988814</v>
      </c>
      <c r="D401" s="5"/>
    </row>
    <row r="404" spans="1:4">
      <c r="A404" s="20" t="s">
        <v>158</v>
      </c>
      <c r="B404" s="20"/>
      <c r="C404" s="20"/>
      <c r="D404" s="20"/>
    </row>
    <row r="405" spans="1:4">
      <c r="A405" s="1" t="s">
        <v>103</v>
      </c>
      <c r="B405" s="1" t="s">
        <v>104</v>
      </c>
      <c r="C405" s="1" t="s">
        <v>105</v>
      </c>
      <c r="D405" s="1" t="s">
        <v>106</v>
      </c>
    </row>
    <row r="406" spans="1:4">
      <c r="A406" s="14" t="s">
        <v>107</v>
      </c>
      <c r="B406" s="5" t="s">
        <v>108</v>
      </c>
      <c r="C406" s="11">
        <f>'Sticks &amp; Bricks Detail'!O56</f>
        <v>145350</v>
      </c>
      <c r="D406" s="5" t="s">
        <v>109</v>
      </c>
    </row>
    <row r="407" spans="1:4">
      <c r="A407" s="14" t="s">
        <v>110</v>
      </c>
      <c r="B407" s="5" t="s">
        <v>111</v>
      </c>
      <c r="C407" s="12">
        <v>0</v>
      </c>
      <c r="D407" s="5" t="s">
        <v>112</v>
      </c>
    </row>
    <row r="408" spans="1:4">
      <c r="A408" s="5"/>
      <c r="B408" s="5" t="s">
        <v>113</v>
      </c>
      <c r="C408" s="12">
        <v>0</v>
      </c>
      <c r="D408" s="5" t="s">
        <v>114</v>
      </c>
    </row>
    <row r="409" spans="1:4">
      <c r="A409" s="5"/>
      <c r="B409" s="5" t="s">
        <v>115</v>
      </c>
      <c r="C409" s="12">
        <v>0</v>
      </c>
      <c r="D409" s="5" t="s">
        <v>116</v>
      </c>
    </row>
    <row r="410" spans="1:4">
      <c r="A410" s="5"/>
      <c r="B410" s="14" t="s">
        <v>117</v>
      </c>
      <c r="C410" s="11">
        <f>SUM(C407:C409)</f>
        <v>0</v>
      </c>
      <c r="D410" s="5"/>
    </row>
    <row r="411" spans="1:4">
      <c r="A411" s="14" t="s">
        <v>118</v>
      </c>
      <c r="B411" s="5" t="s">
        <v>119</v>
      </c>
      <c r="C411" s="12">
        <v>5000</v>
      </c>
      <c r="D411" s="5"/>
    </row>
    <row r="412" spans="1:4">
      <c r="A412" s="5"/>
      <c r="B412" s="5" t="s">
        <v>120</v>
      </c>
      <c r="C412" s="12">
        <v>3000</v>
      </c>
      <c r="D412" s="5"/>
    </row>
    <row r="413" spans="1:4">
      <c r="A413" s="5"/>
      <c r="B413" s="5" t="s">
        <v>121</v>
      </c>
      <c r="C413" s="12">
        <v>2500</v>
      </c>
      <c r="D413" s="5"/>
    </row>
    <row r="414" spans="1:4">
      <c r="A414" s="5"/>
      <c r="B414" s="5" t="s">
        <v>122</v>
      </c>
      <c r="C414" s="12">
        <v>3500</v>
      </c>
      <c r="D414" s="5"/>
    </row>
    <row r="415" spans="1:4">
      <c r="A415" s="5"/>
      <c r="B415" s="5" t="s">
        <v>123</v>
      </c>
      <c r="C415" s="12">
        <v>1000</v>
      </c>
      <c r="D415" s="5" t="s">
        <v>124</v>
      </c>
    </row>
    <row r="416" spans="1:4">
      <c r="A416" s="5"/>
      <c r="B416" s="14" t="s">
        <v>125</v>
      </c>
      <c r="C416" s="11">
        <f>SUM(C411:C415)</f>
        <v>15000</v>
      </c>
      <c r="D416" s="5"/>
    </row>
    <row r="417" spans="1:4">
      <c r="A417" s="14" t="s">
        <v>126</v>
      </c>
      <c r="B417" s="5" t="s">
        <v>127</v>
      </c>
      <c r="C417" s="12">
        <v>0</v>
      </c>
      <c r="D417" s="5"/>
    </row>
    <row r="418" spans="1:4">
      <c r="A418" s="5"/>
      <c r="B418" s="5" t="s">
        <v>128</v>
      </c>
      <c r="C418" s="12">
        <v>0</v>
      </c>
      <c r="D418" s="5"/>
    </row>
    <row r="419" spans="1:4">
      <c r="A419" s="5"/>
      <c r="B419" s="5" t="s">
        <v>129</v>
      </c>
      <c r="C419" s="12">
        <v>0</v>
      </c>
      <c r="D419" s="5"/>
    </row>
    <row r="420" spans="1:4">
      <c r="A420" s="5"/>
      <c r="B420" s="14" t="s">
        <v>130</v>
      </c>
      <c r="C420" s="11">
        <f>SUM(C417:C419)</f>
        <v>0</v>
      </c>
      <c r="D420" s="5"/>
    </row>
    <row r="421" spans="1:4">
      <c r="A421" s="14" t="s">
        <v>131</v>
      </c>
      <c r="B421" s="5" t="s">
        <v>132</v>
      </c>
      <c r="C421" s="12">
        <v>3500</v>
      </c>
      <c r="D421" s="5"/>
    </row>
    <row r="422" spans="1:4">
      <c r="A422" s="5"/>
      <c r="B422" s="5" t="s">
        <v>133</v>
      </c>
      <c r="C422" s="12">
        <v>2500</v>
      </c>
      <c r="D422" s="5"/>
    </row>
    <row r="423" spans="1:4">
      <c r="A423" s="5"/>
      <c r="B423" s="5" t="s">
        <v>134</v>
      </c>
      <c r="C423" s="12">
        <v>1500</v>
      </c>
      <c r="D423" s="5"/>
    </row>
    <row r="424" spans="1:4">
      <c r="A424" s="5"/>
      <c r="B424" s="5" t="s">
        <v>135</v>
      </c>
      <c r="C424" s="12">
        <v>1700</v>
      </c>
      <c r="D424" s="5"/>
    </row>
    <row r="425" spans="1:4">
      <c r="A425" s="5"/>
      <c r="B425" s="5" t="s">
        <v>136</v>
      </c>
      <c r="C425" s="12">
        <v>2000</v>
      </c>
      <c r="D425" s="5"/>
    </row>
    <row r="426" spans="1:4">
      <c r="A426" s="5"/>
      <c r="B426" s="5" t="s">
        <v>137</v>
      </c>
      <c r="C426" s="12">
        <v>1500</v>
      </c>
      <c r="D426" s="5"/>
    </row>
    <row r="427" spans="1:4">
      <c r="A427" s="5"/>
      <c r="B427" s="5" t="s">
        <v>123</v>
      </c>
      <c r="C427" s="12">
        <v>2300</v>
      </c>
      <c r="D427" s="5" t="s">
        <v>124</v>
      </c>
    </row>
    <row r="428" spans="1:4">
      <c r="A428" s="5"/>
      <c r="B428" s="14" t="s">
        <v>138</v>
      </c>
      <c r="C428" s="11">
        <f>SUM(C421:C427)</f>
        <v>15000</v>
      </c>
      <c r="D428" s="5"/>
    </row>
    <row r="429" spans="1:4">
      <c r="A429" s="14" t="s">
        <v>139</v>
      </c>
      <c r="B429" s="5" t="s">
        <v>140</v>
      </c>
      <c r="C429" s="11">
        <f>MIN(10000,0.05*(C406+C410+C416+C420+C428))</f>
        <v>8767.5</v>
      </c>
      <c r="D429" s="5" t="s">
        <v>141</v>
      </c>
    </row>
    <row r="430" spans="1:4">
      <c r="A430" s="14" t="s">
        <v>142</v>
      </c>
      <c r="B430" s="5" t="s">
        <v>143</v>
      </c>
      <c r="C430" s="12">
        <v>25000</v>
      </c>
      <c r="D430" s="5" t="s">
        <v>144</v>
      </c>
    </row>
    <row r="431" spans="1:4">
      <c r="A431" s="7" t="s">
        <v>145</v>
      </c>
      <c r="B431" s="15"/>
      <c r="C431" s="13">
        <f>C406+C410+C416+C420+C428+C429+C430</f>
        <v>209117.5</v>
      </c>
      <c r="D431" s="15"/>
    </row>
    <row r="432" spans="1:4">
      <c r="A432" s="5"/>
      <c r="B432" s="5" t="s">
        <v>78</v>
      </c>
      <c r="C432" s="16">
        <f>C431/1798</f>
        <v>116.30561735261402</v>
      </c>
      <c r="D432" s="5"/>
    </row>
    <row r="435" spans="1:4">
      <c r="A435" s="20" t="s">
        <v>159</v>
      </c>
      <c r="B435" s="20"/>
      <c r="C435" s="20"/>
      <c r="D435" s="20"/>
    </row>
    <row r="436" spans="1:4">
      <c r="A436" s="1" t="s">
        <v>103</v>
      </c>
      <c r="B436" s="1" t="s">
        <v>104</v>
      </c>
      <c r="C436" s="1" t="s">
        <v>105</v>
      </c>
      <c r="D436" s="1" t="s">
        <v>106</v>
      </c>
    </row>
    <row r="437" spans="1:4">
      <c r="A437" s="14" t="s">
        <v>107</v>
      </c>
      <c r="B437" s="5" t="s">
        <v>108</v>
      </c>
      <c r="C437" s="11">
        <f>'Sticks &amp; Bricks Detail'!P56</f>
        <v>145710</v>
      </c>
      <c r="D437" s="5" t="s">
        <v>109</v>
      </c>
    </row>
    <row r="438" spans="1:4">
      <c r="A438" s="14" t="s">
        <v>110</v>
      </c>
      <c r="B438" s="5" t="s">
        <v>111</v>
      </c>
      <c r="C438" s="12">
        <v>0</v>
      </c>
      <c r="D438" s="5" t="s">
        <v>112</v>
      </c>
    </row>
    <row r="439" spans="1:4">
      <c r="A439" s="5"/>
      <c r="B439" s="5" t="s">
        <v>113</v>
      </c>
      <c r="C439" s="12">
        <v>0</v>
      </c>
      <c r="D439" s="5" t="s">
        <v>114</v>
      </c>
    </row>
    <row r="440" spans="1:4">
      <c r="A440" s="5"/>
      <c r="B440" s="5" t="s">
        <v>115</v>
      </c>
      <c r="C440" s="12">
        <v>0</v>
      </c>
      <c r="D440" s="5" t="s">
        <v>116</v>
      </c>
    </row>
    <row r="441" spans="1:4">
      <c r="A441" s="5"/>
      <c r="B441" s="14" t="s">
        <v>117</v>
      </c>
      <c r="C441" s="11">
        <f>SUM(C438:C440)</f>
        <v>0</v>
      </c>
      <c r="D441" s="5"/>
    </row>
    <row r="442" spans="1:4">
      <c r="A442" s="14" t="s">
        <v>118</v>
      </c>
      <c r="B442" s="5" t="s">
        <v>119</v>
      </c>
      <c r="C442" s="12">
        <v>5000</v>
      </c>
      <c r="D442" s="5"/>
    </row>
    <row r="443" spans="1:4">
      <c r="A443" s="5"/>
      <c r="B443" s="5" t="s">
        <v>120</v>
      </c>
      <c r="C443" s="12">
        <v>3000</v>
      </c>
      <c r="D443" s="5"/>
    </row>
    <row r="444" spans="1:4">
      <c r="A444" s="5"/>
      <c r="B444" s="5" t="s">
        <v>121</v>
      </c>
      <c r="C444" s="12">
        <v>2500</v>
      </c>
      <c r="D444" s="5"/>
    </row>
    <row r="445" spans="1:4">
      <c r="A445" s="5"/>
      <c r="B445" s="5" t="s">
        <v>122</v>
      </c>
      <c r="C445" s="12">
        <v>3500</v>
      </c>
      <c r="D445" s="5"/>
    </row>
    <row r="446" spans="1:4">
      <c r="A446" s="5"/>
      <c r="B446" s="5" t="s">
        <v>123</v>
      </c>
      <c r="C446" s="12">
        <v>1000</v>
      </c>
      <c r="D446" s="5" t="s">
        <v>124</v>
      </c>
    </row>
    <row r="447" spans="1:4">
      <c r="A447" s="5"/>
      <c r="B447" s="14" t="s">
        <v>125</v>
      </c>
      <c r="C447" s="11">
        <f>SUM(C442:C446)</f>
        <v>15000</v>
      </c>
      <c r="D447" s="5"/>
    </row>
    <row r="448" spans="1:4">
      <c r="A448" s="14" t="s">
        <v>126</v>
      </c>
      <c r="B448" s="5" t="s">
        <v>127</v>
      </c>
      <c r="C448" s="12">
        <v>0</v>
      </c>
      <c r="D448" s="5"/>
    </row>
    <row r="449" spans="1:4">
      <c r="A449" s="5"/>
      <c r="B449" s="5" t="s">
        <v>128</v>
      </c>
      <c r="C449" s="12">
        <v>0</v>
      </c>
      <c r="D449" s="5"/>
    </row>
    <row r="450" spans="1:4">
      <c r="A450" s="5"/>
      <c r="B450" s="5" t="s">
        <v>129</v>
      </c>
      <c r="C450" s="12">
        <v>0</v>
      </c>
      <c r="D450" s="5"/>
    </row>
    <row r="451" spans="1:4">
      <c r="A451" s="5"/>
      <c r="B451" s="14" t="s">
        <v>130</v>
      </c>
      <c r="C451" s="11">
        <f>SUM(C448:C450)</f>
        <v>0</v>
      </c>
      <c r="D451" s="5"/>
    </row>
    <row r="452" spans="1:4">
      <c r="A452" s="14" t="s">
        <v>131</v>
      </c>
      <c r="B452" s="5" t="s">
        <v>132</v>
      </c>
      <c r="C452" s="12">
        <v>3500</v>
      </c>
      <c r="D452" s="5"/>
    </row>
    <row r="453" spans="1:4">
      <c r="A453" s="5"/>
      <c r="B453" s="5" t="s">
        <v>133</v>
      </c>
      <c r="C453" s="12">
        <v>2500</v>
      </c>
      <c r="D453" s="5"/>
    </row>
    <row r="454" spans="1:4">
      <c r="A454" s="5"/>
      <c r="B454" s="5" t="s">
        <v>134</v>
      </c>
      <c r="C454" s="12">
        <v>1500</v>
      </c>
      <c r="D454" s="5"/>
    </row>
    <row r="455" spans="1:4">
      <c r="A455" s="5"/>
      <c r="B455" s="5" t="s">
        <v>135</v>
      </c>
      <c r="C455" s="12">
        <v>1700</v>
      </c>
      <c r="D455" s="5"/>
    </row>
    <row r="456" spans="1:4">
      <c r="A456" s="5"/>
      <c r="B456" s="5" t="s">
        <v>136</v>
      </c>
      <c r="C456" s="12">
        <v>2000</v>
      </c>
      <c r="D456" s="5"/>
    </row>
    <row r="457" spans="1:4">
      <c r="A457" s="5"/>
      <c r="B457" s="5" t="s">
        <v>137</v>
      </c>
      <c r="C457" s="12">
        <v>1500</v>
      </c>
      <c r="D457" s="5"/>
    </row>
    <row r="458" spans="1:4">
      <c r="A458" s="5"/>
      <c r="B458" s="5" t="s">
        <v>123</v>
      </c>
      <c r="C458" s="12">
        <v>2300</v>
      </c>
      <c r="D458" s="5" t="s">
        <v>124</v>
      </c>
    </row>
    <row r="459" spans="1:4">
      <c r="A459" s="5"/>
      <c r="B459" s="14" t="s">
        <v>138</v>
      </c>
      <c r="C459" s="11">
        <f>SUM(C452:C458)</f>
        <v>15000</v>
      </c>
      <c r="D459" s="5"/>
    </row>
    <row r="460" spans="1:4">
      <c r="A460" s="14" t="s">
        <v>139</v>
      </c>
      <c r="B460" s="5" t="s">
        <v>140</v>
      </c>
      <c r="C460" s="11">
        <f>MIN(10000,0.05*(C437+C441+C447+C451+C459))</f>
        <v>8785.5</v>
      </c>
      <c r="D460" s="5" t="s">
        <v>141</v>
      </c>
    </row>
    <row r="461" spans="1:4">
      <c r="A461" s="14" t="s">
        <v>142</v>
      </c>
      <c r="B461" s="5" t="s">
        <v>143</v>
      </c>
      <c r="C461" s="12">
        <v>25000</v>
      </c>
      <c r="D461" s="5" t="s">
        <v>144</v>
      </c>
    </row>
    <row r="462" spans="1:4">
      <c r="A462" s="7" t="s">
        <v>145</v>
      </c>
      <c r="B462" s="15"/>
      <c r="C462" s="13">
        <f>C437+C441+C447+C451+C459+C460+C461</f>
        <v>209495.5</v>
      </c>
      <c r="D462" s="15"/>
    </row>
    <row r="463" spans="1:4">
      <c r="A463" s="5"/>
      <c r="B463" s="5" t="s">
        <v>78</v>
      </c>
      <c r="C463" s="16">
        <f>C462/1857</f>
        <v>112.81394722670974</v>
      </c>
      <c r="D463" s="5"/>
    </row>
    <row r="466" spans="1:4">
      <c r="A466" s="20" t="s">
        <v>160</v>
      </c>
      <c r="B466" s="20"/>
      <c r="C466" s="20"/>
      <c r="D466" s="20"/>
    </row>
    <row r="467" spans="1:4">
      <c r="A467" s="1" t="s">
        <v>103</v>
      </c>
      <c r="B467" s="1" t="s">
        <v>104</v>
      </c>
      <c r="C467" s="1" t="s">
        <v>105</v>
      </c>
      <c r="D467" s="1" t="s">
        <v>106</v>
      </c>
    </row>
    <row r="468" spans="1:4">
      <c r="A468" s="14" t="s">
        <v>107</v>
      </c>
      <c r="B468" s="5" t="s">
        <v>108</v>
      </c>
      <c r="C468" s="11">
        <f>'Sticks &amp; Bricks Detail'!Q56</f>
        <v>156262</v>
      </c>
      <c r="D468" s="5" t="s">
        <v>109</v>
      </c>
    </row>
    <row r="469" spans="1:4">
      <c r="A469" s="14" t="s">
        <v>110</v>
      </c>
      <c r="B469" s="5" t="s">
        <v>111</v>
      </c>
      <c r="C469" s="12">
        <v>0</v>
      </c>
      <c r="D469" s="5" t="s">
        <v>112</v>
      </c>
    </row>
    <row r="470" spans="1:4">
      <c r="A470" s="5"/>
      <c r="B470" s="5" t="s">
        <v>113</v>
      </c>
      <c r="C470" s="12">
        <v>0</v>
      </c>
      <c r="D470" s="5" t="s">
        <v>114</v>
      </c>
    </row>
    <row r="471" spans="1:4">
      <c r="A471" s="5"/>
      <c r="B471" s="5" t="s">
        <v>115</v>
      </c>
      <c r="C471" s="12">
        <v>0</v>
      </c>
      <c r="D471" s="5" t="s">
        <v>116</v>
      </c>
    </row>
    <row r="472" spans="1:4">
      <c r="A472" s="5"/>
      <c r="B472" s="14" t="s">
        <v>117</v>
      </c>
      <c r="C472" s="11">
        <f>SUM(C469:C471)</f>
        <v>0</v>
      </c>
      <c r="D472" s="5"/>
    </row>
    <row r="473" spans="1:4">
      <c r="A473" s="14" t="s">
        <v>118</v>
      </c>
      <c r="B473" s="5" t="s">
        <v>119</v>
      </c>
      <c r="C473" s="12">
        <v>5000</v>
      </c>
      <c r="D473" s="5"/>
    </row>
    <row r="474" spans="1:4">
      <c r="A474" s="5"/>
      <c r="B474" s="5" t="s">
        <v>120</v>
      </c>
      <c r="C474" s="12">
        <v>3000</v>
      </c>
      <c r="D474" s="5"/>
    </row>
    <row r="475" spans="1:4">
      <c r="A475" s="5"/>
      <c r="B475" s="5" t="s">
        <v>121</v>
      </c>
      <c r="C475" s="12">
        <v>2500</v>
      </c>
      <c r="D475" s="5"/>
    </row>
    <row r="476" spans="1:4">
      <c r="A476" s="5"/>
      <c r="B476" s="5" t="s">
        <v>122</v>
      </c>
      <c r="C476" s="12">
        <v>3500</v>
      </c>
      <c r="D476" s="5"/>
    </row>
    <row r="477" spans="1:4">
      <c r="A477" s="5"/>
      <c r="B477" s="5" t="s">
        <v>123</v>
      </c>
      <c r="C477" s="12">
        <v>1000</v>
      </c>
      <c r="D477" s="5" t="s">
        <v>124</v>
      </c>
    </row>
    <row r="478" spans="1:4">
      <c r="A478" s="5"/>
      <c r="B478" s="14" t="s">
        <v>125</v>
      </c>
      <c r="C478" s="11">
        <f>SUM(C473:C477)</f>
        <v>15000</v>
      </c>
      <c r="D478" s="5"/>
    </row>
    <row r="479" spans="1:4">
      <c r="A479" s="14" t="s">
        <v>126</v>
      </c>
      <c r="B479" s="5" t="s">
        <v>127</v>
      </c>
      <c r="C479" s="12">
        <v>0</v>
      </c>
      <c r="D479" s="5"/>
    </row>
    <row r="480" spans="1:4">
      <c r="A480" s="5"/>
      <c r="B480" s="5" t="s">
        <v>128</v>
      </c>
      <c r="C480" s="12">
        <v>0</v>
      </c>
      <c r="D480" s="5"/>
    </row>
    <row r="481" spans="1:4">
      <c r="A481" s="5"/>
      <c r="B481" s="5" t="s">
        <v>129</v>
      </c>
      <c r="C481" s="12">
        <v>0</v>
      </c>
      <c r="D481" s="5"/>
    </row>
    <row r="482" spans="1:4">
      <c r="A482" s="5"/>
      <c r="B482" s="14" t="s">
        <v>130</v>
      </c>
      <c r="C482" s="11">
        <f>SUM(C479:C481)</f>
        <v>0</v>
      </c>
      <c r="D482" s="5"/>
    </row>
    <row r="483" spans="1:4">
      <c r="A483" s="14" t="s">
        <v>131</v>
      </c>
      <c r="B483" s="5" t="s">
        <v>132</v>
      </c>
      <c r="C483" s="12">
        <v>3500</v>
      </c>
      <c r="D483" s="5"/>
    </row>
    <row r="484" spans="1:4">
      <c r="A484" s="5"/>
      <c r="B484" s="5" t="s">
        <v>133</v>
      </c>
      <c r="C484" s="12">
        <v>2500</v>
      </c>
      <c r="D484" s="5"/>
    </row>
    <row r="485" spans="1:4">
      <c r="A485" s="5"/>
      <c r="B485" s="5" t="s">
        <v>134</v>
      </c>
      <c r="C485" s="12">
        <v>1500</v>
      </c>
      <c r="D485" s="5"/>
    </row>
    <row r="486" spans="1:4">
      <c r="A486" s="5"/>
      <c r="B486" s="5" t="s">
        <v>135</v>
      </c>
      <c r="C486" s="12">
        <v>1700</v>
      </c>
      <c r="D486" s="5"/>
    </row>
    <row r="487" spans="1:4">
      <c r="A487" s="5"/>
      <c r="B487" s="5" t="s">
        <v>136</v>
      </c>
      <c r="C487" s="12">
        <v>2000</v>
      </c>
      <c r="D487" s="5"/>
    </row>
    <row r="488" spans="1:4">
      <c r="A488" s="5"/>
      <c r="B488" s="5" t="s">
        <v>137</v>
      </c>
      <c r="C488" s="12">
        <v>1500</v>
      </c>
      <c r="D488" s="5"/>
    </row>
    <row r="489" spans="1:4">
      <c r="A489" s="5"/>
      <c r="B489" s="5" t="s">
        <v>123</v>
      </c>
      <c r="C489" s="12">
        <v>2300</v>
      </c>
      <c r="D489" s="5" t="s">
        <v>124</v>
      </c>
    </row>
    <row r="490" spans="1:4">
      <c r="A490" s="5"/>
      <c r="B490" s="14" t="s">
        <v>138</v>
      </c>
      <c r="C490" s="11">
        <f>SUM(C483:C489)</f>
        <v>15000</v>
      </c>
      <c r="D490" s="5"/>
    </row>
    <row r="491" spans="1:4">
      <c r="A491" s="14" t="s">
        <v>139</v>
      </c>
      <c r="B491" s="5" t="s">
        <v>140</v>
      </c>
      <c r="C491" s="11">
        <f>MIN(10000,0.05*(C468+C472+C478+C482+C490))</f>
        <v>9313.1</v>
      </c>
      <c r="D491" s="5" t="s">
        <v>141</v>
      </c>
    </row>
    <row r="492" spans="1:4">
      <c r="A492" s="14" t="s">
        <v>142</v>
      </c>
      <c r="B492" s="5" t="s">
        <v>143</v>
      </c>
      <c r="C492" s="12">
        <v>25000</v>
      </c>
      <c r="D492" s="5" t="s">
        <v>144</v>
      </c>
    </row>
    <row r="493" spans="1:4">
      <c r="A493" s="7" t="s">
        <v>145</v>
      </c>
      <c r="B493" s="15"/>
      <c r="C493" s="13">
        <f>C468+C472+C478+C482+C490+C491+C492</f>
        <v>220575.1</v>
      </c>
      <c r="D493" s="15"/>
    </row>
    <row r="494" spans="1:4">
      <c r="A494" s="5"/>
      <c r="B494" s="5" t="s">
        <v>78</v>
      </c>
      <c r="C494" s="16">
        <f>C493/2000</f>
        <v>110.28755</v>
      </c>
      <c r="D494" s="5"/>
    </row>
    <row r="497" spans="1:4">
      <c r="A497" s="20" t="s">
        <v>161</v>
      </c>
      <c r="B497" s="20"/>
      <c r="C497" s="20"/>
      <c r="D497" s="20"/>
    </row>
    <row r="498" spans="1:4">
      <c r="A498" s="1" t="s">
        <v>103</v>
      </c>
      <c r="B498" s="1" t="s">
        <v>104</v>
      </c>
      <c r="C498" s="1" t="s">
        <v>105</v>
      </c>
      <c r="D498" s="1" t="s">
        <v>106</v>
      </c>
    </row>
    <row r="499" spans="1:4">
      <c r="A499" s="14" t="s">
        <v>107</v>
      </c>
      <c r="B499" s="5" t="s">
        <v>108</v>
      </c>
      <c r="C499" s="11">
        <f>'Sticks &amp; Bricks Detail'!R56</f>
        <v>156615</v>
      </c>
      <c r="D499" s="5" t="s">
        <v>109</v>
      </c>
    </row>
    <row r="500" spans="1:4">
      <c r="A500" s="14" t="s">
        <v>110</v>
      </c>
      <c r="B500" s="5" t="s">
        <v>111</v>
      </c>
      <c r="C500" s="12">
        <v>0</v>
      </c>
      <c r="D500" s="5" t="s">
        <v>112</v>
      </c>
    </row>
    <row r="501" spans="1:4">
      <c r="A501" s="5"/>
      <c r="B501" s="5" t="s">
        <v>113</v>
      </c>
      <c r="C501" s="12">
        <v>0</v>
      </c>
      <c r="D501" s="5" t="s">
        <v>114</v>
      </c>
    </row>
    <row r="502" spans="1:4">
      <c r="A502" s="5"/>
      <c r="B502" s="5" t="s">
        <v>115</v>
      </c>
      <c r="C502" s="12">
        <v>0</v>
      </c>
      <c r="D502" s="5" t="s">
        <v>116</v>
      </c>
    </row>
    <row r="503" spans="1:4">
      <c r="A503" s="5"/>
      <c r="B503" s="14" t="s">
        <v>117</v>
      </c>
      <c r="C503" s="11">
        <f>SUM(C500:C502)</f>
        <v>0</v>
      </c>
      <c r="D503" s="5"/>
    </row>
    <row r="504" spans="1:4">
      <c r="A504" s="14" t="s">
        <v>118</v>
      </c>
      <c r="B504" s="5" t="s">
        <v>119</v>
      </c>
      <c r="C504" s="12">
        <v>5000</v>
      </c>
      <c r="D504" s="5"/>
    </row>
    <row r="505" spans="1:4">
      <c r="A505" s="5"/>
      <c r="B505" s="5" t="s">
        <v>120</v>
      </c>
      <c r="C505" s="12">
        <v>3000</v>
      </c>
      <c r="D505" s="5"/>
    </row>
    <row r="506" spans="1:4">
      <c r="A506" s="5"/>
      <c r="B506" s="5" t="s">
        <v>121</v>
      </c>
      <c r="C506" s="12">
        <v>2500</v>
      </c>
      <c r="D506" s="5"/>
    </row>
    <row r="507" spans="1:4">
      <c r="A507" s="5"/>
      <c r="B507" s="5" t="s">
        <v>122</v>
      </c>
      <c r="C507" s="12">
        <v>3500</v>
      </c>
      <c r="D507" s="5"/>
    </row>
    <row r="508" spans="1:4">
      <c r="A508" s="5"/>
      <c r="B508" s="5" t="s">
        <v>123</v>
      </c>
      <c r="C508" s="12">
        <v>1000</v>
      </c>
      <c r="D508" s="5" t="s">
        <v>124</v>
      </c>
    </row>
    <row r="509" spans="1:4">
      <c r="A509" s="5"/>
      <c r="B509" s="14" t="s">
        <v>125</v>
      </c>
      <c r="C509" s="11">
        <f>SUM(C504:C508)</f>
        <v>15000</v>
      </c>
      <c r="D509" s="5"/>
    </row>
    <row r="510" spans="1:4">
      <c r="A510" s="14" t="s">
        <v>126</v>
      </c>
      <c r="B510" s="5" t="s">
        <v>127</v>
      </c>
      <c r="C510" s="12">
        <v>0</v>
      </c>
      <c r="D510" s="5"/>
    </row>
    <row r="511" spans="1:4">
      <c r="A511" s="5"/>
      <c r="B511" s="5" t="s">
        <v>128</v>
      </c>
      <c r="C511" s="12">
        <v>0</v>
      </c>
      <c r="D511" s="5"/>
    </row>
    <row r="512" spans="1:4">
      <c r="A512" s="5"/>
      <c r="B512" s="5" t="s">
        <v>129</v>
      </c>
      <c r="C512" s="12">
        <v>0</v>
      </c>
      <c r="D512" s="5"/>
    </row>
    <row r="513" spans="1:4">
      <c r="A513" s="5"/>
      <c r="B513" s="14" t="s">
        <v>130</v>
      </c>
      <c r="C513" s="11">
        <f>SUM(C510:C512)</f>
        <v>0</v>
      </c>
      <c r="D513" s="5"/>
    </row>
    <row r="514" spans="1:4">
      <c r="A514" s="14" t="s">
        <v>131</v>
      </c>
      <c r="B514" s="5" t="s">
        <v>132</v>
      </c>
      <c r="C514" s="12">
        <v>3500</v>
      </c>
      <c r="D514" s="5"/>
    </row>
    <row r="515" spans="1:4">
      <c r="A515" s="5"/>
      <c r="B515" s="5" t="s">
        <v>133</v>
      </c>
      <c r="C515" s="12">
        <v>2500</v>
      </c>
      <c r="D515" s="5"/>
    </row>
    <row r="516" spans="1:4">
      <c r="A516" s="5"/>
      <c r="B516" s="5" t="s">
        <v>134</v>
      </c>
      <c r="C516" s="12">
        <v>1500</v>
      </c>
      <c r="D516" s="5"/>
    </row>
    <row r="517" spans="1:4">
      <c r="A517" s="5"/>
      <c r="B517" s="5" t="s">
        <v>135</v>
      </c>
      <c r="C517" s="12">
        <v>1700</v>
      </c>
      <c r="D517" s="5"/>
    </row>
    <row r="518" spans="1:4">
      <c r="A518" s="5"/>
      <c r="B518" s="5" t="s">
        <v>136</v>
      </c>
      <c r="C518" s="12">
        <v>2000</v>
      </c>
      <c r="D518" s="5"/>
    </row>
    <row r="519" spans="1:4">
      <c r="A519" s="5"/>
      <c r="B519" s="5" t="s">
        <v>137</v>
      </c>
      <c r="C519" s="12">
        <v>1500</v>
      </c>
      <c r="D519" s="5"/>
    </row>
    <row r="520" spans="1:4">
      <c r="A520" s="5"/>
      <c r="B520" s="5" t="s">
        <v>123</v>
      </c>
      <c r="C520" s="12">
        <v>2300</v>
      </c>
      <c r="D520" s="5" t="s">
        <v>124</v>
      </c>
    </row>
    <row r="521" spans="1:4">
      <c r="A521" s="5"/>
      <c r="B521" s="14" t="s">
        <v>138</v>
      </c>
      <c r="C521" s="11">
        <f>SUM(C514:C520)</f>
        <v>15000</v>
      </c>
      <c r="D521" s="5"/>
    </row>
    <row r="522" spans="1:4">
      <c r="A522" s="14" t="s">
        <v>139</v>
      </c>
      <c r="B522" s="5" t="s">
        <v>140</v>
      </c>
      <c r="C522" s="11">
        <f>MIN(10000,0.05*(C499+C503+C509+C513+C521))</f>
        <v>9330.75</v>
      </c>
      <c r="D522" s="5" t="s">
        <v>141</v>
      </c>
    </row>
    <row r="523" spans="1:4">
      <c r="A523" s="14" t="s">
        <v>142</v>
      </c>
      <c r="B523" s="5" t="s">
        <v>143</v>
      </c>
      <c r="C523" s="12">
        <v>25000</v>
      </c>
      <c r="D523" s="5" t="s">
        <v>144</v>
      </c>
    </row>
    <row r="524" spans="1:4">
      <c r="A524" s="7" t="s">
        <v>145</v>
      </c>
      <c r="B524" s="15"/>
      <c r="C524" s="13">
        <f>C499+C503+C509+C513+C521+C522+C523</f>
        <v>220945.75</v>
      </c>
      <c r="D524" s="15"/>
    </row>
    <row r="525" spans="1:4">
      <c r="A525" s="5"/>
      <c r="B525" s="5" t="s">
        <v>78</v>
      </c>
      <c r="C525" s="16">
        <f>C524/2005</f>
        <v>110.19738154613466</v>
      </c>
      <c r="D525" s="5"/>
    </row>
    <row r="528" spans="1:4">
      <c r="A528" s="20" t="s">
        <v>162</v>
      </c>
      <c r="B528" s="20"/>
      <c r="C528" s="20"/>
      <c r="D528" s="20"/>
    </row>
    <row r="529" spans="1:4">
      <c r="A529" s="1" t="s">
        <v>103</v>
      </c>
      <c r="B529" s="1" t="s">
        <v>104</v>
      </c>
      <c r="C529" s="1" t="s">
        <v>105</v>
      </c>
      <c r="D529" s="1" t="s">
        <v>106</v>
      </c>
    </row>
    <row r="530" spans="1:4">
      <c r="A530" s="14" t="s">
        <v>107</v>
      </c>
      <c r="B530" s="5" t="s">
        <v>108</v>
      </c>
      <c r="C530" s="11">
        <f>'Sticks &amp; Bricks Detail'!S56</f>
        <v>165696</v>
      </c>
      <c r="D530" s="5" t="s">
        <v>109</v>
      </c>
    </row>
    <row r="531" spans="1:4">
      <c r="A531" s="14" t="s">
        <v>110</v>
      </c>
      <c r="B531" s="5" t="s">
        <v>111</v>
      </c>
      <c r="C531" s="12">
        <v>0</v>
      </c>
      <c r="D531" s="5" t="s">
        <v>112</v>
      </c>
    </row>
    <row r="532" spans="1:4">
      <c r="A532" s="5"/>
      <c r="B532" s="5" t="s">
        <v>113</v>
      </c>
      <c r="C532" s="12">
        <v>0</v>
      </c>
      <c r="D532" s="5" t="s">
        <v>114</v>
      </c>
    </row>
    <row r="533" spans="1:4">
      <c r="A533" s="5"/>
      <c r="B533" s="5" t="s">
        <v>115</v>
      </c>
      <c r="C533" s="12">
        <v>0</v>
      </c>
      <c r="D533" s="5" t="s">
        <v>116</v>
      </c>
    </row>
    <row r="534" spans="1:4">
      <c r="A534" s="5"/>
      <c r="B534" s="14" t="s">
        <v>117</v>
      </c>
      <c r="C534" s="11">
        <f>SUM(C531:C533)</f>
        <v>0</v>
      </c>
      <c r="D534" s="5"/>
    </row>
    <row r="535" spans="1:4">
      <c r="A535" s="14" t="s">
        <v>118</v>
      </c>
      <c r="B535" s="5" t="s">
        <v>119</v>
      </c>
      <c r="C535" s="12">
        <v>5000</v>
      </c>
      <c r="D535" s="5"/>
    </row>
    <row r="536" spans="1:4">
      <c r="A536" s="5"/>
      <c r="B536" s="5" t="s">
        <v>120</v>
      </c>
      <c r="C536" s="12">
        <v>3000</v>
      </c>
      <c r="D536" s="5"/>
    </row>
    <row r="537" spans="1:4">
      <c r="A537" s="5"/>
      <c r="B537" s="5" t="s">
        <v>121</v>
      </c>
      <c r="C537" s="12">
        <v>2500</v>
      </c>
      <c r="D537" s="5"/>
    </row>
    <row r="538" spans="1:4">
      <c r="A538" s="5"/>
      <c r="B538" s="5" t="s">
        <v>122</v>
      </c>
      <c r="C538" s="12">
        <v>3500</v>
      </c>
      <c r="D538" s="5"/>
    </row>
    <row r="539" spans="1:4">
      <c r="A539" s="5"/>
      <c r="B539" s="5" t="s">
        <v>123</v>
      </c>
      <c r="C539" s="12">
        <v>1000</v>
      </c>
      <c r="D539" s="5" t="s">
        <v>124</v>
      </c>
    </row>
    <row r="540" spans="1:4">
      <c r="A540" s="5"/>
      <c r="B540" s="14" t="s">
        <v>125</v>
      </c>
      <c r="C540" s="11">
        <f>SUM(C535:C539)</f>
        <v>15000</v>
      </c>
      <c r="D540" s="5"/>
    </row>
    <row r="541" spans="1:4">
      <c r="A541" s="14" t="s">
        <v>126</v>
      </c>
      <c r="B541" s="5" t="s">
        <v>127</v>
      </c>
      <c r="C541" s="12">
        <v>0</v>
      </c>
      <c r="D541" s="5"/>
    </row>
    <row r="542" spans="1:4">
      <c r="A542" s="5"/>
      <c r="B542" s="5" t="s">
        <v>128</v>
      </c>
      <c r="C542" s="12">
        <v>0</v>
      </c>
      <c r="D542" s="5"/>
    </row>
    <row r="543" spans="1:4">
      <c r="A543" s="5"/>
      <c r="B543" s="5" t="s">
        <v>129</v>
      </c>
      <c r="C543" s="12">
        <v>0</v>
      </c>
      <c r="D543" s="5"/>
    </row>
    <row r="544" spans="1:4">
      <c r="A544" s="5"/>
      <c r="B544" s="14" t="s">
        <v>130</v>
      </c>
      <c r="C544" s="11">
        <f>SUM(C541:C543)</f>
        <v>0</v>
      </c>
      <c r="D544" s="5"/>
    </row>
    <row r="545" spans="1:4">
      <c r="A545" s="14" t="s">
        <v>131</v>
      </c>
      <c r="B545" s="5" t="s">
        <v>132</v>
      </c>
      <c r="C545" s="12">
        <v>3500</v>
      </c>
      <c r="D545" s="5"/>
    </row>
    <row r="546" spans="1:4">
      <c r="A546" s="5"/>
      <c r="B546" s="5" t="s">
        <v>133</v>
      </c>
      <c r="C546" s="12">
        <v>2500</v>
      </c>
      <c r="D546" s="5"/>
    </row>
    <row r="547" spans="1:4">
      <c r="A547" s="5"/>
      <c r="B547" s="5" t="s">
        <v>134</v>
      </c>
      <c r="C547" s="12">
        <v>1500</v>
      </c>
      <c r="D547" s="5"/>
    </row>
    <row r="548" spans="1:4">
      <c r="A548" s="5"/>
      <c r="B548" s="5" t="s">
        <v>135</v>
      </c>
      <c r="C548" s="12">
        <v>1700</v>
      </c>
      <c r="D548" s="5"/>
    </row>
    <row r="549" spans="1:4">
      <c r="A549" s="5"/>
      <c r="B549" s="5" t="s">
        <v>136</v>
      </c>
      <c r="C549" s="12">
        <v>2000</v>
      </c>
      <c r="D549" s="5"/>
    </row>
    <row r="550" spans="1:4">
      <c r="A550" s="5"/>
      <c r="B550" s="5" t="s">
        <v>137</v>
      </c>
      <c r="C550" s="12">
        <v>1500</v>
      </c>
      <c r="D550" s="5"/>
    </row>
    <row r="551" spans="1:4">
      <c r="A551" s="5"/>
      <c r="B551" s="5" t="s">
        <v>123</v>
      </c>
      <c r="C551" s="12">
        <v>2300</v>
      </c>
      <c r="D551" s="5" t="s">
        <v>124</v>
      </c>
    </row>
    <row r="552" spans="1:4">
      <c r="A552" s="5"/>
      <c r="B552" s="14" t="s">
        <v>138</v>
      </c>
      <c r="C552" s="11">
        <f>SUM(C545:C551)</f>
        <v>15000</v>
      </c>
      <c r="D552" s="5"/>
    </row>
    <row r="553" spans="1:4">
      <c r="A553" s="14" t="s">
        <v>139</v>
      </c>
      <c r="B553" s="5" t="s">
        <v>140</v>
      </c>
      <c r="C553" s="11">
        <f>MIN(10000,0.05*(C530+C534+C540+C544+C552))</f>
        <v>9784.8000000000011</v>
      </c>
      <c r="D553" s="5" t="s">
        <v>141</v>
      </c>
    </row>
    <row r="554" spans="1:4">
      <c r="A554" s="14" t="s">
        <v>142</v>
      </c>
      <c r="B554" s="5" t="s">
        <v>143</v>
      </c>
      <c r="C554" s="12">
        <v>25000</v>
      </c>
      <c r="D554" s="5" t="s">
        <v>144</v>
      </c>
    </row>
    <row r="555" spans="1:4">
      <c r="A555" s="7" t="s">
        <v>145</v>
      </c>
      <c r="B555" s="15"/>
      <c r="C555" s="13">
        <f>C530+C534+C540+C544+C552+C553+C554</f>
        <v>230480.8</v>
      </c>
      <c r="D555" s="15"/>
    </row>
    <row r="556" spans="1:4">
      <c r="A556" s="5"/>
      <c r="B556" s="5" t="s">
        <v>78</v>
      </c>
      <c r="C556" s="16">
        <f>C555/2072</f>
        <v>111.23590733590733</v>
      </c>
      <c r="D556" s="5"/>
    </row>
    <row r="559" spans="1:4">
      <c r="A559" s="20" t="s">
        <v>163</v>
      </c>
      <c r="B559" s="20"/>
      <c r="C559" s="20"/>
      <c r="D559" s="20"/>
    </row>
    <row r="560" spans="1:4">
      <c r="A560" s="1" t="s">
        <v>103</v>
      </c>
      <c r="B560" s="1" t="s">
        <v>104</v>
      </c>
      <c r="C560" s="1" t="s">
        <v>105</v>
      </c>
      <c r="D560" s="1" t="s">
        <v>106</v>
      </c>
    </row>
    <row r="561" spans="1:4">
      <c r="A561" s="14" t="s">
        <v>107</v>
      </c>
      <c r="B561" s="5" t="s">
        <v>108</v>
      </c>
      <c r="C561" s="11">
        <f>'Sticks &amp; Bricks Detail'!T56</f>
        <v>171846</v>
      </c>
      <c r="D561" s="5" t="s">
        <v>109</v>
      </c>
    </row>
    <row r="562" spans="1:4">
      <c r="A562" s="14" t="s">
        <v>110</v>
      </c>
      <c r="B562" s="5" t="s">
        <v>111</v>
      </c>
      <c r="C562" s="12">
        <v>0</v>
      </c>
      <c r="D562" s="5" t="s">
        <v>112</v>
      </c>
    </row>
    <row r="563" spans="1:4">
      <c r="A563" s="5"/>
      <c r="B563" s="5" t="s">
        <v>113</v>
      </c>
      <c r="C563" s="12">
        <v>0</v>
      </c>
      <c r="D563" s="5" t="s">
        <v>114</v>
      </c>
    </row>
    <row r="564" spans="1:4">
      <c r="A564" s="5"/>
      <c r="B564" s="5" t="s">
        <v>115</v>
      </c>
      <c r="C564" s="12">
        <v>0</v>
      </c>
      <c r="D564" s="5" t="s">
        <v>116</v>
      </c>
    </row>
    <row r="565" spans="1:4">
      <c r="A565" s="5"/>
      <c r="B565" s="14" t="s">
        <v>117</v>
      </c>
      <c r="C565" s="11">
        <f>SUM(C562:C564)</f>
        <v>0</v>
      </c>
      <c r="D565" s="5"/>
    </row>
    <row r="566" spans="1:4">
      <c r="A566" s="14" t="s">
        <v>118</v>
      </c>
      <c r="B566" s="5" t="s">
        <v>119</v>
      </c>
      <c r="C566" s="12">
        <v>5000</v>
      </c>
      <c r="D566" s="5"/>
    </row>
    <row r="567" spans="1:4">
      <c r="A567" s="5"/>
      <c r="B567" s="5" t="s">
        <v>120</v>
      </c>
      <c r="C567" s="12">
        <v>3000</v>
      </c>
      <c r="D567" s="5"/>
    </row>
    <row r="568" spans="1:4">
      <c r="A568" s="5"/>
      <c r="B568" s="5" t="s">
        <v>121</v>
      </c>
      <c r="C568" s="12">
        <v>2500</v>
      </c>
      <c r="D568" s="5"/>
    </row>
    <row r="569" spans="1:4">
      <c r="A569" s="5"/>
      <c r="B569" s="5" t="s">
        <v>122</v>
      </c>
      <c r="C569" s="12">
        <v>3500</v>
      </c>
      <c r="D569" s="5"/>
    </row>
    <row r="570" spans="1:4">
      <c r="A570" s="5"/>
      <c r="B570" s="5" t="s">
        <v>123</v>
      </c>
      <c r="C570" s="12">
        <v>1000</v>
      </c>
      <c r="D570" s="5" t="s">
        <v>124</v>
      </c>
    </row>
    <row r="571" spans="1:4">
      <c r="A571" s="5"/>
      <c r="B571" s="14" t="s">
        <v>125</v>
      </c>
      <c r="C571" s="11">
        <f>SUM(C566:C570)</f>
        <v>15000</v>
      </c>
      <c r="D571" s="5"/>
    </row>
    <row r="572" spans="1:4">
      <c r="A572" s="14" t="s">
        <v>126</v>
      </c>
      <c r="B572" s="5" t="s">
        <v>127</v>
      </c>
      <c r="C572" s="12">
        <v>0</v>
      </c>
      <c r="D572" s="5"/>
    </row>
    <row r="573" spans="1:4">
      <c r="A573" s="5"/>
      <c r="B573" s="5" t="s">
        <v>128</v>
      </c>
      <c r="C573" s="12">
        <v>0</v>
      </c>
      <c r="D573" s="5"/>
    </row>
    <row r="574" spans="1:4">
      <c r="A574" s="5"/>
      <c r="B574" s="5" t="s">
        <v>129</v>
      </c>
      <c r="C574" s="12">
        <v>0</v>
      </c>
      <c r="D574" s="5"/>
    </row>
    <row r="575" spans="1:4">
      <c r="A575" s="5"/>
      <c r="B575" s="14" t="s">
        <v>130</v>
      </c>
      <c r="C575" s="11">
        <f>SUM(C572:C574)</f>
        <v>0</v>
      </c>
      <c r="D575" s="5"/>
    </row>
    <row r="576" spans="1:4">
      <c r="A576" s="14" t="s">
        <v>131</v>
      </c>
      <c r="B576" s="5" t="s">
        <v>132</v>
      </c>
      <c r="C576" s="12">
        <v>3500</v>
      </c>
      <c r="D576" s="5"/>
    </row>
    <row r="577" spans="1:4">
      <c r="A577" s="5"/>
      <c r="B577" s="5" t="s">
        <v>133</v>
      </c>
      <c r="C577" s="12">
        <v>2500</v>
      </c>
      <c r="D577" s="5"/>
    </row>
    <row r="578" spans="1:4">
      <c r="A578" s="5"/>
      <c r="B578" s="5" t="s">
        <v>134</v>
      </c>
      <c r="C578" s="12">
        <v>1500</v>
      </c>
      <c r="D578" s="5"/>
    </row>
    <row r="579" spans="1:4">
      <c r="A579" s="5"/>
      <c r="B579" s="5" t="s">
        <v>135</v>
      </c>
      <c r="C579" s="12">
        <v>1700</v>
      </c>
      <c r="D579" s="5"/>
    </row>
    <row r="580" spans="1:4">
      <c r="A580" s="5"/>
      <c r="B580" s="5" t="s">
        <v>136</v>
      </c>
      <c r="C580" s="12">
        <v>2000</v>
      </c>
      <c r="D580" s="5"/>
    </row>
    <row r="581" spans="1:4">
      <c r="A581" s="5"/>
      <c r="B581" s="5" t="s">
        <v>137</v>
      </c>
      <c r="C581" s="12">
        <v>1500</v>
      </c>
      <c r="D581" s="5"/>
    </row>
    <row r="582" spans="1:4">
      <c r="A582" s="5"/>
      <c r="B582" s="5" t="s">
        <v>123</v>
      </c>
      <c r="C582" s="12">
        <v>2300</v>
      </c>
      <c r="D582" s="5" t="s">
        <v>124</v>
      </c>
    </row>
    <row r="583" spans="1:4">
      <c r="A583" s="5"/>
      <c r="B583" s="14" t="s">
        <v>138</v>
      </c>
      <c r="C583" s="11">
        <f>SUM(C576:C582)</f>
        <v>15000</v>
      </c>
      <c r="D583" s="5"/>
    </row>
    <row r="584" spans="1:4">
      <c r="A584" s="14" t="s">
        <v>139</v>
      </c>
      <c r="B584" s="5" t="s">
        <v>140</v>
      </c>
      <c r="C584" s="11">
        <f>MIN(10000,0.05*(C561+C565+C571+C575+C583))</f>
        <v>10000</v>
      </c>
      <c r="D584" s="5" t="s">
        <v>141</v>
      </c>
    </row>
    <row r="585" spans="1:4">
      <c r="A585" s="14" t="s">
        <v>142</v>
      </c>
      <c r="B585" s="5" t="s">
        <v>143</v>
      </c>
      <c r="C585" s="12">
        <v>25000</v>
      </c>
      <c r="D585" s="5" t="s">
        <v>144</v>
      </c>
    </row>
    <row r="586" spans="1:4">
      <c r="A586" s="7" t="s">
        <v>145</v>
      </c>
      <c r="B586" s="15"/>
      <c r="C586" s="13">
        <f>C561+C565+C571+C575+C583+C584+C585</f>
        <v>236846</v>
      </c>
      <c r="D586" s="15"/>
    </row>
    <row r="587" spans="1:4">
      <c r="A587" s="5"/>
      <c r="B587" s="5" t="s">
        <v>78</v>
      </c>
      <c r="C587" s="16">
        <f>C586/2157</f>
        <v>109.80343069077422</v>
      </c>
      <c r="D587" s="5"/>
    </row>
    <row r="590" spans="1:4">
      <c r="A590" s="20" t="s">
        <v>164</v>
      </c>
      <c r="B590" s="20"/>
      <c r="C590" s="20"/>
      <c r="D590" s="20"/>
    </row>
    <row r="591" spans="1:4">
      <c r="A591" s="1" t="s">
        <v>103</v>
      </c>
      <c r="B591" s="1" t="s">
        <v>104</v>
      </c>
      <c r="C591" s="1" t="s">
        <v>105</v>
      </c>
      <c r="D591" s="1" t="s">
        <v>106</v>
      </c>
    </row>
    <row r="592" spans="1:4">
      <c r="A592" s="14" t="s">
        <v>107</v>
      </c>
      <c r="B592" s="5" t="s">
        <v>108</v>
      </c>
      <c r="C592" s="11">
        <f>'Sticks &amp; Bricks Detail'!U56</f>
        <v>173637</v>
      </c>
      <c r="D592" s="5" t="s">
        <v>109</v>
      </c>
    </row>
    <row r="593" spans="1:4">
      <c r="A593" s="14" t="s">
        <v>110</v>
      </c>
      <c r="B593" s="5" t="s">
        <v>111</v>
      </c>
      <c r="C593" s="12">
        <v>0</v>
      </c>
      <c r="D593" s="5" t="s">
        <v>112</v>
      </c>
    </row>
    <row r="594" spans="1:4">
      <c r="A594" s="5"/>
      <c r="B594" s="5" t="s">
        <v>113</v>
      </c>
      <c r="C594" s="12">
        <v>0</v>
      </c>
      <c r="D594" s="5" t="s">
        <v>114</v>
      </c>
    </row>
    <row r="595" spans="1:4">
      <c r="A595" s="5"/>
      <c r="B595" s="5" t="s">
        <v>115</v>
      </c>
      <c r="C595" s="12">
        <v>0</v>
      </c>
      <c r="D595" s="5" t="s">
        <v>116</v>
      </c>
    </row>
    <row r="596" spans="1:4">
      <c r="A596" s="5"/>
      <c r="B596" s="14" t="s">
        <v>117</v>
      </c>
      <c r="C596" s="11">
        <f>SUM(C593:C595)</f>
        <v>0</v>
      </c>
      <c r="D596" s="5"/>
    </row>
    <row r="597" spans="1:4">
      <c r="A597" s="14" t="s">
        <v>118</v>
      </c>
      <c r="B597" s="5" t="s">
        <v>119</v>
      </c>
      <c r="C597" s="12">
        <v>5000</v>
      </c>
      <c r="D597" s="5"/>
    </row>
    <row r="598" spans="1:4">
      <c r="A598" s="5"/>
      <c r="B598" s="5" t="s">
        <v>120</v>
      </c>
      <c r="C598" s="12">
        <v>3000</v>
      </c>
      <c r="D598" s="5"/>
    </row>
    <row r="599" spans="1:4">
      <c r="A599" s="5"/>
      <c r="B599" s="5" t="s">
        <v>121</v>
      </c>
      <c r="C599" s="12">
        <v>2500</v>
      </c>
      <c r="D599" s="5"/>
    </row>
    <row r="600" spans="1:4">
      <c r="A600" s="5"/>
      <c r="B600" s="5" t="s">
        <v>122</v>
      </c>
      <c r="C600" s="12">
        <v>3500</v>
      </c>
      <c r="D600" s="5"/>
    </row>
    <row r="601" spans="1:4">
      <c r="A601" s="5"/>
      <c r="B601" s="5" t="s">
        <v>123</v>
      </c>
      <c r="C601" s="12">
        <v>1000</v>
      </c>
      <c r="D601" s="5" t="s">
        <v>124</v>
      </c>
    </row>
    <row r="602" spans="1:4">
      <c r="A602" s="5"/>
      <c r="B602" s="14" t="s">
        <v>125</v>
      </c>
      <c r="C602" s="11">
        <f>SUM(C597:C601)</f>
        <v>15000</v>
      </c>
      <c r="D602" s="5"/>
    </row>
    <row r="603" spans="1:4">
      <c r="A603" s="14" t="s">
        <v>126</v>
      </c>
      <c r="B603" s="5" t="s">
        <v>127</v>
      </c>
      <c r="C603" s="12">
        <v>0</v>
      </c>
      <c r="D603" s="5"/>
    </row>
    <row r="604" spans="1:4">
      <c r="A604" s="5"/>
      <c r="B604" s="5" t="s">
        <v>128</v>
      </c>
      <c r="C604" s="12">
        <v>0</v>
      </c>
      <c r="D604" s="5"/>
    </row>
    <row r="605" spans="1:4">
      <c r="A605" s="5"/>
      <c r="B605" s="5" t="s">
        <v>129</v>
      </c>
      <c r="C605" s="12">
        <v>0</v>
      </c>
      <c r="D605" s="5"/>
    </row>
    <row r="606" spans="1:4">
      <c r="A606" s="5"/>
      <c r="B606" s="14" t="s">
        <v>130</v>
      </c>
      <c r="C606" s="11">
        <f>SUM(C603:C605)</f>
        <v>0</v>
      </c>
      <c r="D606" s="5"/>
    </row>
    <row r="607" spans="1:4">
      <c r="A607" s="14" t="s">
        <v>131</v>
      </c>
      <c r="B607" s="5" t="s">
        <v>132</v>
      </c>
      <c r="C607" s="12">
        <v>3500</v>
      </c>
      <c r="D607" s="5"/>
    </row>
    <row r="608" spans="1:4">
      <c r="A608" s="5"/>
      <c r="B608" s="5" t="s">
        <v>133</v>
      </c>
      <c r="C608" s="12">
        <v>2500</v>
      </c>
      <c r="D608" s="5"/>
    </row>
    <row r="609" spans="1:4">
      <c r="A609" s="5"/>
      <c r="B609" s="5" t="s">
        <v>134</v>
      </c>
      <c r="C609" s="12">
        <v>1500</v>
      </c>
      <c r="D609" s="5"/>
    </row>
    <row r="610" spans="1:4">
      <c r="A610" s="5"/>
      <c r="B610" s="5" t="s">
        <v>135</v>
      </c>
      <c r="C610" s="12">
        <v>1700</v>
      </c>
      <c r="D610" s="5"/>
    </row>
    <row r="611" spans="1:4">
      <c r="A611" s="5"/>
      <c r="B611" s="5" t="s">
        <v>136</v>
      </c>
      <c r="C611" s="12">
        <v>2000</v>
      </c>
      <c r="D611" s="5"/>
    </row>
    <row r="612" spans="1:4">
      <c r="A612" s="5"/>
      <c r="B612" s="5" t="s">
        <v>137</v>
      </c>
      <c r="C612" s="12">
        <v>1500</v>
      </c>
      <c r="D612" s="5"/>
    </row>
    <row r="613" spans="1:4">
      <c r="A613" s="5"/>
      <c r="B613" s="5" t="s">
        <v>123</v>
      </c>
      <c r="C613" s="12">
        <v>2300</v>
      </c>
      <c r="D613" s="5" t="s">
        <v>124</v>
      </c>
    </row>
    <row r="614" spans="1:4">
      <c r="A614" s="5"/>
      <c r="B614" s="14" t="s">
        <v>138</v>
      </c>
      <c r="C614" s="11">
        <f>SUM(C607:C613)</f>
        <v>15000</v>
      </c>
      <c r="D614" s="5"/>
    </row>
    <row r="615" spans="1:4">
      <c r="A615" s="14" t="s">
        <v>139</v>
      </c>
      <c r="B615" s="5" t="s">
        <v>140</v>
      </c>
      <c r="C615" s="11">
        <f>MIN(10000,0.05*(C592+C596+C602+C606+C614))</f>
        <v>10000</v>
      </c>
      <c r="D615" s="5" t="s">
        <v>141</v>
      </c>
    </row>
    <row r="616" spans="1:4">
      <c r="A616" s="14" t="s">
        <v>142</v>
      </c>
      <c r="B616" s="5" t="s">
        <v>143</v>
      </c>
      <c r="C616" s="12">
        <v>25000</v>
      </c>
      <c r="D616" s="5" t="s">
        <v>144</v>
      </c>
    </row>
    <row r="617" spans="1:4">
      <c r="A617" s="7" t="s">
        <v>145</v>
      </c>
      <c r="B617" s="15"/>
      <c r="C617" s="13">
        <f>C592+C596+C602+C606+C614+C615+C616</f>
        <v>238637</v>
      </c>
      <c r="D617" s="15"/>
    </row>
    <row r="618" spans="1:4">
      <c r="A618" s="5"/>
      <c r="B618" s="5" t="s">
        <v>78</v>
      </c>
      <c r="C618" s="16">
        <f>C617/2214</f>
        <v>107.78545618789521</v>
      </c>
      <c r="D618" s="5"/>
    </row>
    <row r="621" spans="1:4">
      <c r="A621" s="20" t="s">
        <v>165</v>
      </c>
      <c r="B621" s="20"/>
      <c r="C621" s="20"/>
      <c r="D621" s="20"/>
    </row>
    <row r="622" spans="1:4">
      <c r="A622" s="1" t="s">
        <v>103</v>
      </c>
      <c r="B622" s="1" t="s">
        <v>104</v>
      </c>
      <c r="C622" s="1" t="s">
        <v>105</v>
      </c>
      <c r="D622" s="1" t="s">
        <v>106</v>
      </c>
    </row>
    <row r="623" spans="1:4">
      <c r="A623" s="14" t="s">
        <v>107</v>
      </c>
      <c r="B623" s="5" t="s">
        <v>108</v>
      </c>
      <c r="C623" s="11">
        <f>'Sticks &amp; Bricks Detail'!V56</f>
        <v>173846</v>
      </c>
      <c r="D623" s="5" t="s">
        <v>109</v>
      </c>
    </row>
    <row r="624" spans="1:4">
      <c r="A624" s="14" t="s">
        <v>110</v>
      </c>
      <c r="B624" s="5" t="s">
        <v>111</v>
      </c>
      <c r="C624" s="12">
        <v>0</v>
      </c>
      <c r="D624" s="5" t="s">
        <v>112</v>
      </c>
    </row>
    <row r="625" spans="1:4">
      <c r="A625" s="5"/>
      <c r="B625" s="5" t="s">
        <v>113</v>
      </c>
      <c r="C625" s="12">
        <v>0</v>
      </c>
      <c r="D625" s="5" t="s">
        <v>114</v>
      </c>
    </row>
    <row r="626" spans="1:4">
      <c r="A626" s="5"/>
      <c r="B626" s="5" t="s">
        <v>115</v>
      </c>
      <c r="C626" s="12">
        <v>0</v>
      </c>
      <c r="D626" s="5" t="s">
        <v>116</v>
      </c>
    </row>
    <row r="627" spans="1:4">
      <c r="A627" s="5"/>
      <c r="B627" s="14" t="s">
        <v>117</v>
      </c>
      <c r="C627" s="11">
        <f>SUM(C624:C626)</f>
        <v>0</v>
      </c>
      <c r="D627" s="5"/>
    </row>
    <row r="628" spans="1:4">
      <c r="A628" s="14" t="s">
        <v>118</v>
      </c>
      <c r="B628" s="5" t="s">
        <v>119</v>
      </c>
      <c r="C628" s="12">
        <v>5000</v>
      </c>
      <c r="D628" s="5"/>
    </row>
    <row r="629" spans="1:4">
      <c r="A629" s="5"/>
      <c r="B629" s="5" t="s">
        <v>120</v>
      </c>
      <c r="C629" s="12">
        <v>3000</v>
      </c>
      <c r="D629" s="5"/>
    </row>
    <row r="630" spans="1:4">
      <c r="A630" s="5"/>
      <c r="B630" s="5" t="s">
        <v>121</v>
      </c>
      <c r="C630" s="12">
        <v>2500</v>
      </c>
      <c r="D630" s="5"/>
    </row>
    <row r="631" spans="1:4">
      <c r="A631" s="5"/>
      <c r="B631" s="5" t="s">
        <v>122</v>
      </c>
      <c r="C631" s="12">
        <v>3500</v>
      </c>
      <c r="D631" s="5"/>
    </row>
    <row r="632" spans="1:4">
      <c r="A632" s="5"/>
      <c r="B632" s="5" t="s">
        <v>123</v>
      </c>
      <c r="C632" s="12">
        <v>1000</v>
      </c>
      <c r="D632" s="5" t="s">
        <v>124</v>
      </c>
    </row>
    <row r="633" spans="1:4">
      <c r="A633" s="5"/>
      <c r="B633" s="14" t="s">
        <v>125</v>
      </c>
      <c r="C633" s="11">
        <f>SUM(C628:C632)</f>
        <v>15000</v>
      </c>
      <c r="D633" s="5"/>
    </row>
    <row r="634" spans="1:4">
      <c r="A634" s="14" t="s">
        <v>126</v>
      </c>
      <c r="B634" s="5" t="s">
        <v>127</v>
      </c>
      <c r="C634" s="12">
        <v>0</v>
      </c>
      <c r="D634" s="5"/>
    </row>
    <row r="635" spans="1:4">
      <c r="A635" s="5"/>
      <c r="B635" s="5" t="s">
        <v>128</v>
      </c>
      <c r="C635" s="12">
        <v>0</v>
      </c>
      <c r="D635" s="5"/>
    </row>
    <row r="636" spans="1:4">
      <c r="A636" s="5"/>
      <c r="B636" s="5" t="s">
        <v>129</v>
      </c>
      <c r="C636" s="12">
        <v>0</v>
      </c>
      <c r="D636" s="5"/>
    </row>
    <row r="637" spans="1:4">
      <c r="A637" s="5"/>
      <c r="B637" s="14" t="s">
        <v>130</v>
      </c>
      <c r="C637" s="11">
        <f>SUM(C634:C636)</f>
        <v>0</v>
      </c>
      <c r="D637" s="5"/>
    </row>
    <row r="638" spans="1:4">
      <c r="A638" s="14" t="s">
        <v>131</v>
      </c>
      <c r="B638" s="5" t="s">
        <v>132</v>
      </c>
      <c r="C638" s="12">
        <v>3500</v>
      </c>
      <c r="D638" s="5"/>
    </row>
    <row r="639" spans="1:4">
      <c r="A639" s="5"/>
      <c r="B639" s="5" t="s">
        <v>133</v>
      </c>
      <c r="C639" s="12">
        <v>2500</v>
      </c>
      <c r="D639" s="5"/>
    </row>
    <row r="640" spans="1:4">
      <c r="A640" s="5"/>
      <c r="B640" s="5" t="s">
        <v>134</v>
      </c>
      <c r="C640" s="12">
        <v>1500</v>
      </c>
      <c r="D640" s="5"/>
    </row>
    <row r="641" spans="1:4">
      <c r="A641" s="5"/>
      <c r="B641" s="5" t="s">
        <v>135</v>
      </c>
      <c r="C641" s="12">
        <v>1700</v>
      </c>
      <c r="D641" s="5"/>
    </row>
    <row r="642" spans="1:4">
      <c r="A642" s="5"/>
      <c r="B642" s="5" t="s">
        <v>136</v>
      </c>
      <c r="C642" s="12">
        <v>2000</v>
      </c>
      <c r="D642" s="5"/>
    </row>
    <row r="643" spans="1:4">
      <c r="A643" s="5"/>
      <c r="B643" s="5" t="s">
        <v>137</v>
      </c>
      <c r="C643" s="12">
        <v>1500</v>
      </c>
      <c r="D643" s="5"/>
    </row>
    <row r="644" spans="1:4">
      <c r="A644" s="5"/>
      <c r="B644" s="5" t="s">
        <v>123</v>
      </c>
      <c r="C644" s="12">
        <v>2300</v>
      </c>
      <c r="D644" s="5" t="s">
        <v>124</v>
      </c>
    </row>
    <row r="645" spans="1:4">
      <c r="A645" s="5"/>
      <c r="B645" s="14" t="s">
        <v>138</v>
      </c>
      <c r="C645" s="11">
        <f>SUM(C638:C644)</f>
        <v>15000</v>
      </c>
      <c r="D645" s="5"/>
    </row>
    <row r="646" spans="1:4">
      <c r="A646" s="14" t="s">
        <v>139</v>
      </c>
      <c r="B646" s="5" t="s">
        <v>140</v>
      </c>
      <c r="C646" s="11">
        <f>MIN(10000,0.05*(C623+C627+C633+C637+C645))</f>
        <v>10000</v>
      </c>
      <c r="D646" s="5" t="s">
        <v>141</v>
      </c>
    </row>
    <row r="647" spans="1:4">
      <c r="A647" s="14" t="s">
        <v>142</v>
      </c>
      <c r="B647" s="5" t="s">
        <v>143</v>
      </c>
      <c r="C647" s="12">
        <v>25000</v>
      </c>
      <c r="D647" s="5" t="s">
        <v>144</v>
      </c>
    </row>
    <row r="648" spans="1:4">
      <c r="A648" s="7" t="s">
        <v>145</v>
      </c>
      <c r="B648" s="15"/>
      <c r="C648" s="13">
        <f>C623+C627+C633+C637+C645+C646+C647</f>
        <v>238846</v>
      </c>
      <c r="D648" s="15"/>
    </row>
    <row r="649" spans="1:4">
      <c r="A649" s="5"/>
      <c r="B649" s="5" t="s">
        <v>78</v>
      </c>
      <c r="C649" s="16">
        <f>C648/2217</f>
        <v>107.73387460532251</v>
      </c>
      <c r="D649" s="5"/>
    </row>
    <row r="652" spans="1:4">
      <c r="A652" s="20" t="s">
        <v>166</v>
      </c>
      <c r="B652" s="20"/>
      <c r="C652" s="20"/>
      <c r="D652" s="20"/>
    </row>
    <row r="653" spans="1:4">
      <c r="A653" s="1" t="s">
        <v>103</v>
      </c>
      <c r="B653" s="1" t="s">
        <v>104</v>
      </c>
      <c r="C653" s="1" t="s">
        <v>105</v>
      </c>
      <c r="D653" s="1" t="s">
        <v>106</v>
      </c>
    </row>
    <row r="654" spans="1:4">
      <c r="A654" s="14" t="s">
        <v>107</v>
      </c>
      <c r="B654" s="5" t="s">
        <v>108</v>
      </c>
      <c r="C654" s="11">
        <f>'Sticks &amp; Bricks Detail'!W56</f>
        <v>213313</v>
      </c>
      <c r="D654" s="5" t="s">
        <v>109</v>
      </c>
    </row>
    <row r="655" spans="1:4">
      <c r="A655" s="14" t="s">
        <v>110</v>
      </c>
      <c r="B655" s="5" t="s">
        <v>111</v>
      </c>
      <c r="C655" s="12">
        <v>0</v>
      </c>
      <c r="D655" s="5" t="s">
        <v>112</v>
      </c>
    </row>
    <row r="656" spans="1:4">
      <c r="A656" s="5"/>
      <c r="B656" s="5" t="s">
        <v>113</v>
      </c>
      <c r="C656" s="12">
        <v>0</v>
      </c>
      <c r="D656" s="5" t="s">
        <v>114</v>
      </c>
    </row>
    <row r="657" spans="1:4">
      <c r="A657" s="5"/>
      <c r="B657" s="5" t="s">
        <v>115</v>
      </c>
      <c r="C657" s="12">
        <v>0</v>
      </c>
      <c r="D657" s="5" t="s">
        <v>116</v>
      </c>
    </row>
    <row r="658" spans="1:4">
      <c r="A658" s="5"/>
      <c r="B658" s="14" t="s">
        <v>117</v>
      </c>
      <c r="C658" s="11">
        <f>SUM(C655:C657)</f>
        <v>0</v>
      </c>
      <c r="D658" s="5"/>
    </row>
    <row r="659" spans="1:4">
      <c r="A659" s="14" t="s">
        <v>118</v>
      </c>
      <c r="B659" s="5" t="s">
        <v>119</v>
      </c>
      <c r="C659" s="12">
        <v>5000</v>
      </c>
      <c r="D659" s="5"/>
    </row>
    <row r="660" spans="1:4">
      <c r="A660" s="5"/>
      <c r="B660" s="5" t="s">
        <v>120</v>
      </c>
      <c r="C660" s="12">
        <v>3000</v>
      </c>
      <c r="D660" s="5"/>
    </row>
    <row r="661" spans="1:4">
      <c r="A661" s="5"/>
      <c r="B661" s="5" t="s">
        <v>121</v>
      </c>
      <c r="C661" s="12">
        <v>2500</v>
      </c>
      <c r="D661" s="5"/>
    </row>
    <row r="662" spans="1:4">
      <c r="A662" s="5"/>
      <c r="B662" s="5" t="s">
        <v>122</v>
      </c>
      <c r="C662" s="12">
        <v>3500</v>
      </c>
      <c r="D662" s="5"/>
    </row>
    <row r="663" spans="1:4">
      <c r="A663" s="5"/>
      <c r="B663" s="5" t="s">
        <v>123</v>
      </c>
      <c r="C663" s="12">
        <v>1000</v>
      </c>
      <c r="D663" s="5" t="s">
        <v>124</v>
      </c>
    </row>
    <row r="664" spans="1:4">
      <c r="A664" s="5"/>
      <c r="B664" s="14" t="s">
        <v>125</v>
      </c>
      <c r="C664" s="11">
        <f>SUM(C659:C663)</f>
        <v>15000</v>
      </c>
      <c r="D664" s="5"/>
    </row>
    <row r="665" spans="1:4">
      <c r="A665" s="14" t="s">
        <v>126</v>
      </c>
      <c r="B665" s="5" t="s">
        <v>127</v>
      </c>
      <c r="C665" s="12">
        <v>0</v>
      </c>
      <c r="D665" s="5"/>
    </row>
    <row r="666" spans="1:4">
      <c r="A666" s="5"/>
      <c r="B666" s="5" t="s">
        <v>128</v>
      </c>
      <c r="C666" s="12">
        <v>0</v>
      </c>
      <c r="D666" s="5"/>
    </row>
    <row r="667" spans="1:4">
      <c r="A667" s="5"/>
      <c r="B667" s="5" t="s">
        <v>129</v>
      </c>
      <c r="C667" s="12">
        <v>0</v>
      </c>
      <c r="D667" s="5"/>
    </row>
    <row r="668" spans="1:4">
      <c r="A668" s="5"/>
      <c r="B668" s="14" t="s">
        <v>130</v>
      </c>
      <c r="C668" s="11">
        <f>SUM(C665:C667)</f>
        <v>0</v>
      </c>
      <c r="D668" s="5"/>
    </row>
    <row r="669" spans="1:4">
      <c r="A669" s="14" t="s">
        <v>131</v>
      </c>
      <c r="B669" s="5" t="s">
        <v>132</v>
      </c>
      <c r="C669" s="12">
        <v>3500</v>
      </c>
      <c r="D669" s="5"/>
    </row>
    <row r="670" spans="1:4">
      <c r="A670" s="5"/>
      <c r="B670" s="5" t="s">
        <v>133</v>
      </c>
      <c r="C670" s="12">
        <v>2500</v>
      </c>
      <c r="D670" s="5"/>
    </row>
    <row r="671" spans="1:4">
      <c r="A671" s="5"/>
      <c r="B671" s="5" t="s">
        <v>134</v>
      </c>
      <c r="C671" s="12">
        <v>1500</v>
      </c>
      <c r="D671" s="5"/>
    </row>
    <row r="672" spans="1:4">
      <c r="A672" s="5"/>
      <c r="B672" s="5" t="s">
        <v>135</v>
      </c>
      <c r="C672" s="12">
        <v>1700</v>
      </c>
      <c r="D672" s="5"/>
    </row>
    <row r="673" spans="1:4">
      <c r="A673" s="5"/>
      <c r="B673" s="5" t="s">
        <v>136</v>
      </c>
      <c r="C673" s="12">
        <v>2000</v>
      </c>
      <c r="D673" s="5"/>
    </row>
    <row r="674" spans="1:4">
      <c r="A674" s="5"/>
      <c r="B674" s="5" t="s">
        <v>137</v>
      </c>
      <c r="C674" s="12">
        <v>1500</v>
      </c>
      <c r="D674" s="5"/>
    </row>
    <row r="675" spans="1:4">
      <c r="A675" s="5"/>
      <c r="B675" s="5" t="s">
        <v>123</v>
      </c>
      <c r="C675" s="12">
        <v>2300</v>
      </c>
      <c r="D675" s="5" t="s">
        <v>124</v>
      </c>
    </row>
    <row r="676" spans="1:4">
      <c r="A676" s="5"/>
      <c r="B676" s="14" t="s">
        <v>138</v>
      </c>
      <c r="C676" s="11">
        <f>SUM(C669:C675)</f>
        <v>15000</v>
      </c>
      <c r="D676" s="5"/>
    </row>
    <row r="677" spans="1:4">
      <c r="A677" s="14" t="s">
        <v>139</v>
      </c>
      <c r="B677" s="5" t="s">
        <v>140</v>
      </c>
      <c r="C677" s="11">
        <f>MIN(10000,0.05*(C654+C658+C664+C668+C676))</f>
        <v>10000</v>
      </c>
      <c r="D677" s="5" t="s">
        <v>141</v>
      </c>
    </row>
    <row r="678" spans="1:4">
      <c r="A678" s="14" t="s">
        <v>142</v>
      </c>
      <c r="B678" s="5" t="s">
        <v>143</v>
      </c>
      <c r="C678" s="12">
        <v>25000</v>
      </c>
      <c r="D678" s="5" t="s">
        <v>144</v>
      </c>
    </row>
    <row r="679" spans="1:4">
      <c r="A679" s="7" t="s">
        <v>145</v>
      </c>
      <c r="B679" s="15"/>
      <c r="C679" s="13">
        <f>C654+C658+C664+C668+C676+C677+C678</f>
        <v>278313</v>
      </c>
      <c r="D679" s="15"/>
    </row>
    <row r="680" spans="1:4">
      <c r="A680" s="5"/>
      <c r="B680" s="5" t="s">
        <v>78</v>
      </c>
      <c r="C680" s="16">
        <f>C679/2771</f>
        <v>100.43774810537712</v>
      </c>
      <c r="D680" s="5"/>
    </row>
  </sheetData>
  <mergeCells count="22">
    <mergeCell ref="A1:D1"/>
    <mergeCell ref="A32:D32"/>
    <mergeCell ref="A63:D63"/>
    <mergeCell ref="A94:D94"/>
    <mergeCell ref="A125:D125"/>
    <mergeCell ref="A156:D156"/>
    <mergeCell ref="A187:D187"/>
    <mergeCell ref="A218:D218"/>
    <mergeCell ref="A249:D249"/>
    <mergeCell ref="A280:D280"/>
    <mergeCell ref="A311:D311"/>
    <mergeCell ref="A342:D342"/>
    <mergeCell ref="A373:D373"/>
    <mergeCell ref="A404:D404"/>
    <mergeCell ref="A435:D435"/>
    <mergeCell ref="A621:D621"/>
    <mergeCell ref="A652:D652"/>
    <mergeCell ref="A466:D466"/>
    <mergeCell ref="A497:D497"/>
    <mergeCell ref="A528:D528"/>
    <mergeCell ref="A559:D559"/>
    <mergeCell ref="A590:D59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zoomScaleNormal="100" workbookViewId="0"/>
  </sheetViews>
  <sheetFormatPr defaultColWidth="8.7109375" defaultRowHeight="15"/>
  <cols>
    <col min="1" max="1" width="22" customWidth="1"/>
    <col min="2" max="2" width="28" customWidth="1"/>
    <col min="3" max="3" width="16" customWidth="1"/>
    <col min="4" max="4" width="35" customWidth="1"/>
  </cols>
  <sheetData>
    <row r="1" spans="1:4" ht="18">
      <c r="A1" s="18" t="s">
        <v>167</v>
      </c>
      <c r="B1" s="18"/>
      <c r="C1" s="18"/>
      <c r="D1" s="18"/>
    </row>
    <row r="2" spans="1:4">
      <c r="A2" s="1" t="s">
        <v>168</v>
      </c>
      <c r="B2" s="1" t="s">
        <v>169</v>
      </c>
      <c r="C2" s="1" t="s">
        <v>170</v>
      </c>
      <c r="D2" s="1" t="s">
        <v>104</v>
      </c>
    </row>
    <row r="3" spans="1:4">
      <c r="A3" s="5" t="s">
        <v>171</v>
      </c>
      <c r="B3" s="5" t="s">
        <v>111</v>
      </c>
      <c r="C3" s="5" t="s">
        <v>172</v>
      </c>
      <c r="D3" s="5" t="s">
        <v>173</v>
      </c>
    </row>
    <row r="4" spans="1:4">
      <c r="A4" s="5" t="s">
        <v>171</v>
      </c>
      <c r="B4" s="5" t="s">
        <v>174</v>
      </c>
      <c r="C4" s="5" t="s">
        <v>175</v>
      </c>
      <c r="D4" s="5" t="s">
        <v>176</v>
      </c>
    </row>
    <row r="5" spans="1:4">
      <c r="A5" s="5" t="s">
        <v>171</v>
      </c>
      <c r="B5" s="5" t="s">
        <v>177</v>
      </c>
      <c r="C5" s="5" t="s">
        <v>175</v>
      </c>
      <c r="D5" s="5" t="s">
        <v>178</v>
      </c>
    </row>
    <row r="6" spans="1:4">
      <c r="A6" s="5" t="s">
        <v>179</v>
      </c>
      <c r="B6" s="5" t="s">
        <v>180</v>
      </c>
      <c r="C6" s="5" t="s">
        <v>181</v>
      </c>
      <c r="D6" s="5" t="s">
        <v>182</v>
      </c>
    </row>
    <row r="7" spans="1:4">
      <c r="A7" s="5" t="s">
        <v>179</v>
      </c>
      <c r="B7" s="5" t="s">
        <v>183</v>
      </c>
      <c r="C7" s="5" t="s">
        <v>184</v>
      </c>
      <c r="D7" s="5" t="s">
        <v>182</v>
      </c>
    </row>
    <row r="8" spans="1:4">
      <c r="A8" s="5" t="s">
        <v>179</v>
      </c>
      <c r="B8" s="5" t="s">
        <v>185</v>
      </c>
      <c r="C8" s="5" t="s">
        <v>186</v>
      </c>
      <c r="D8" s="5" t="s">
        <v>182</v>
      </c>
    </row>
    <row r="9" spans="1:4">
      <c r="A9" s="5" t="s">
        <v>179</v>
      </c>
      <c r="B9" s="5" t="s">
        <v>187</v>
      </c>
      <c r="C9" s="5" t="s">
        <v>188</v>
      </c>
      <c r="D9" s="5" t="s">
        <v>182</v>
      </c>
    </row>
    <row r="10" spans="1:4">
      <c r="A10" s="5" t="s">
        <v>189</v>
      </c>
      <c r="B10" s="5" t="s">
        <v>190</v>
      </c>
      <c r="C10" s="5" t="s">
        <v>191</v>
      </c>
      <c r="D10" s="5" t="s">
        <v>192</v>
      </c>
    </row>
    <row r="11" spans="1:4">
      <c r="A11" s="5" t="s">
        <v>189</v>
      </c>
      <c r="B11" s="5" t="s">
        <v>193</v>
      </c>
      <c r="C11" s="5" t="s">
        <v>194</v>
      </c>
      <c r="D11" s="5" t="s">
        <v>192</v>
      </c>
    </row>
    <row r="12" spans="1:4">
      <c r="A12" s="5" t="s">
        <v>189</v>
      </c>
      <c r="B12" s="5" t="s">
        <v>195</v>
      </c>
      <c r="C12" s="5" t="s">
        <v>196</v>
      </c>
      <c r="D12" s="5" t="s">
        <v>197</v>
      </c>
    </row>
    <row r="13" spans="1:4">
      <c r="A13" s="5" t="s">
        <v>189</v>
      </c>
      <c r="B13" s="5" t="s">
        <v>198</v>
      </c>
      <c r="C13" s="5" t="s">
        <v>199</v>
      </c>
      <c r="D13" s="5" t="s">
        <v>200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4"/>
  <sheetViews>
    <sheetView zoomScaleNormal="100" workbookViewId="0"/>
  </sheetViews>
  <sheetFormatPr defaultColWidth="8.7109375" defaultRowHeight="15"/>
  <cols>
    <col min="1" max="1" width="16" customWidth="1"/>
    <col min="2" max="2" width="8" customWidth="1"/>
    <col min="3" max="5" width="10" customWidth="1"/>
    <col min="6" max="7" width="8" customWidth="1"/>
    <col min="8" max="8" width="9" customWidth="1"/>
    <col min="9" max="9" width="14" customWidth="1"/>
  </cols>
  <sheetData>
    <row r="1" spans="1:9" ht="18">
      <c r="A1" s="18" t="s">
        <v>201</v>
      </c>
      <c r="B1" s="18"/>
      <c r="C1" s="18"/>
      <c r="D1" s="18"/>
      <c r="E1" s="18"/>
      <c r="F1" s="18"/>
      <c r="G1" s="18"/>
      <c r="H1" s="18"/>
      <c r="I1" s="18"/>
    </row>
    <row r="2" spans="1:9">
      <c r="A2" s="1" t="s">
        <v>80</v>
      </c>
      <c r="B2" s="1" t="s">
        <v>81</v>
      </c>
      <c r="C2" s="1" t="s">
        <v>202</v>
      </c>
      <c r="D2" s="1" t="s">
        <v>203</v>
      </c>
      <c r="E2" s="1" t="s">
        <v>83</v>
      </c>
      <c r="F2" s="1" t="s">
        <v>204</v>
      </c>
      <c r="G2" s="1" t="s">
        <v>205</v>
      </c>
      <c r="H2" s="1" t="s">
        <v>206</v>
      </c>
      <c r="I2" s="1" t="s">
        <v>207</v>
      </c>
    </row>
    <row r="3" spans="1:9">
      <c r="A3" s="5" t="s">
        <v>2</v>
      </c>
      <c r="B3" s="5">
        <v>1170</v>
      </c>
      <c r="C3" s="5">
        <v>3</v>
      </c>
      <c r="D3" s="5">
        <v>2</v>
      </c>
      <c r="E3" s="5" t="s">
        <v>93</v>
      </c>
      <c r="F3" s="5" t="s">
        <v>208</v>
      </c>
      <c r="G3" s="5" t="s">
        <v>209</v>
      </c>
      <c r="H3" s="5">
        <v>1</v>
      </c>
      <c r="I3" s="5" t="s">
        <v>210</v>
      </c>
    </row>
    <row r="4" spans="1:9">
      <c r="A4" s="5" t="s">
        <v>3</v>
      </c>
      <c r="B4" s="5">
        <v>1188</v>
      </c>
      <c r="C4" s="5">
        <v>3</v>
      </c>
      <c r="D4" s="5">
        <v>2</v>
      </c>
      <c r="E4" s="5" t="s">
        <v>94</v>
      </c>
      <c r="F4" s="5" t="s">
        <v>211</v>
      </c>
      <c r="G4" s="5" t="s">
        <v>212</v>
      </c>
      <c r="H4" s="5">
        <v>1</v>
      </c>
      <c r="I4" s="5" t="s">
        <v>210</v>
      </c>
    </row>
    <row r="5" spans="1:9">
      <c r="A5" s="5" t="s">
        <v>4</v>
      </c>
      <c r="B5" s="5">
        <v>1304</v>
      </c>
      <c r="C5" s="5">
        <v>3</v>
      </c>
      <c r="D5" s="5">
        <v>2.5</v>
      </c>
      <c r="E5" s="5" t="s">
        <v>96</v>
      </c>
      <c r="F5" s="5" t="s">
        <v>213</v>
      </c>
      <c r="G5" s="5" t="s">
        <v>214</v>
      </c>
      <c r="H5" s="5">
        <v>2</v>
      </c>
      <c r="I5" s="5" t="s">
        <v>215</v>
      </c>
    </row>
    <row r="6" spans="1:9">
      <c r="A6" s="5" t="s">
        <v>5</v>
      </c>
      <c r="B6" s="5">
        <v>1383</v>
      </c>
      <c r="C6" s="5">
        <v>3</v>
      </c>
      <c r="D6" s="5">
        <v>3</v>
      </c>
      <c r="E6" s="5" t="s">
        <v>93</v>
      </c>
      <c r="F6" s="5" t="s">
        <v>208</v>
      </c>
      <c r="G6" s="5" t="s">
        <v>216</v>
      </c>
      <c r="H6" s="5">
        <v>1.5</v>
      </c>
      <c r="I6" s="5" t="s">
        <v>210</v>
      </c>
    </row>
    <row r="7" spans="1:9">
      <c r="A7" s="5" t="s">
        <v>6</v>
      </c>
      <c r="B7" s="5">
        <v>1400</v>
      </c>
      <c r="C7" s="5">
        <v>3</v>
      </c>
      <c r="D7" s="5">
        <v>3</v>
      </c>
      <c r="E7" s="5" t="s">
        <v>94</v>
      </c>
      <c r="F7" s="5" t="s">
        <v>217</v>
      </c>
      <c r="G7" s="5" t="s">
        <v>218</v>
      </c>
      <c r="H7" s="5">
        <v>3</v>
      </c>
      <c r="I7" s="5" t="s">
        <v>210</v>
      </c>
    </row>
    <row r="8" spans="1:9">
      <c r="A8" s="5" t="s">
        <v>7</v>
      </c>
      <c r="B8" s="5">
        <v>1500</v>
      </c>
      <c r="C8" s="5">
        <v>3</v>
      </c>
      <c r="D8" s="5">
        <v>2.5</v>
      </c>
      <c r="E8" s="5" t="s">
        <v>93</v>
      </c>
      <c r="F8" s="5" t="s">
        <v>213</v>
      </c>
      <c r="G8" s="5" t="s">
        <v>219</v>
      </c>
      <c r="H8" s="5">
        <v>2</v>
      </c>
      <c r="I8" s="5" t="s">
        <v>215</v>
      </c>
    </row>
    <row r="9" spans="1:9">
      <c r="A9" s="5" t="s">
        <v>8</v>
      </c>
      <c r="B9" s="5">
        <v>1541</v>
      </c>
      <c r="C9" s="5">
        <v>3</v>
      </c>
      <c r="D9" s="5">
        <v>2.5</v>
      </c>
      <c r="E9" s="5" t="s">
        <v>94</v>
      </c>
      <c r="F9" s="5" t="s">
        <v>211</v>
      </c>
      <c r="G9" s="5" t="s">
        <v>212</v>
      </c>
      <c r="H9" s="5">
        <v>2</v>
      </c>
      <c r="I9" s="5" t="s">
        <v>210</v>
      </c>
    </row>
    <row r="10" spans="1:9">
      <c r="A10" s="5" t="s">
        <v>9</v>
      </c>
      <c r="B10" s="5">
        <v>1545</v>
      </c>
      <c r="C10" s="5">
        <v>3</v>
      </c>
      <c r="D10" s="5">
        <v>2</v>
      </c>
      <c r="E10" s="5" t="s">
        <v>94</v>
      </c>
      <c r="F10" s="5" t="s">
        <v>220</v>
      </c>
      <c r="G10" s="5" t="s">
        <v>221</v>
      </c>
      <c r="H10" s="5">
        <v>1</v>
      </c>
      <c r="I10" s="5" t="s">
        <v>210</v>
      </c>
    </row>
    <row r="11" spans="1:9">
      <c r="A11" s="5" t="s">
        <v>10</v>
      </c>
      <c r="B11" s="5">
        <v>1592</v>
      </c>
      <c r="C11" s="5">
        <v>3</v>
      </c>
      <c r="D11" s="5">
        <v>2.5</v>
      </c>
      <c r="E11" s="5" t="s">
        <v>96</v>
      </c>
      <c r="F11" s="5" t="s">
        <v>218</v>
      </c>
      <c r="G11" s="5" t="s">
        <v>222</v>
      </c>
      <c r="H11" s="5">
        <v>2</v>
      </c>
      <c r="I11" s="5" t="s">
        <v>210</v>
      </c>
    </row>
    <row r="12" spans="1:9">
      <c r="A12" s="5" t="s">
        <v>11</v>
      </c>
      <c r="B12" s="5">
        <v>1700</v>
      </c>
      <c r="C12" s="5">
        <v>3</v>
      </c>
      <c r="D12" s="5">
        <v>2.5</v>
      </c>
      <c r="E12" s="5" t="s">
        <v>93</v>
      </c>
      <c r="F12" s="5" t="s">
        <v>213</v>
      </c>
      <c r="G12" s="5" t="s">
        <v>209</v>
      </c>
      <c r="H12" s="5">
        <v>2</v>
      </c>
      <c r="I12" s="5" t="s">
        <v>215</v>
      </c>
    </row>
    <row r="13" spans="1:9">
      <c r="A13" s="5" t="s">
        <v>12</v>
      </c>
      <c r="B13" s="5">
        <v>1712</v>
      </c>
      <c r="C13" s="5">
        <v>4</v>
      </c>
      <c r="D13" s="5">
        <v>2.5</v>
      </c>
      <c r="E13" s="5" t="s">
        <v>94</v>
      </c>
      <c r="F13" s="5" t="s">
        <v>217</v>
      </c>
      <c r="G13" s="5" t="s">
        <v>223</v>
      </c>
      <c r="H13" s="5">
        <v>2</v>
      </c>
      <c r="I13" s="5" t="s">
        <v>210</v>
      </c>
    </row>
    <row r="14" spans="1:9">
      <c r="A14" s="5" t="s">
        <v>13</v>
      </c>
      <c r="B14" s="5">
        <v>1713</v>
      </c>
      <c r="C14" s="5">
        <v>4</v>
      </c>
      <c r="D14" s="5">
        <v>2.5</v>
      </c>
      <c r="E14" s="5" t="s">
        <v>94</v>
      </c>
      <c r="F14" s="5" t="s">
        <v>208</v>
      </c>
      <c r="G14" s="5" t="s">
        <v>224</v>
      </c>
      <c r="H14" s="5">
        <v>2</v>
      </c>
      <c r="I14" s="5" t="s">
        <v>210</v>
      </c>
    </row>
    <row r="15" spans="1:9">
      <c r="A15" s="5" t="s">
        <v>14</v>
      </c>
      <c r="B15" s="5">
        <v>1788</v>
      </c>
      <c r="C15" s="5">
        <v>3</v>
      </c>
      <c r="D15" s="5">
        <v>2.5</v>
      </c>
      <c r="E15" s="5" t="s">
        <v>94</v>
      </c>
      <c r="F15" s="5" t="s">
        <v>208</v>
      </c>
      <c r="G15" s="5" t="s">
        <v>224</v>
      </c>
      <c r="H15" s="5">
        <v>2</v>
      </c>
      <c r="I15" s="5" t="s">
        <v>210</v>
      </c>
    </row>
    <row r="16" spans="1:9">
      <c r="A16" s="5" t="s">
        <v>15</v>
      </c>
      <c r="B16" s="5">
        <v>1798</v>
      </c>
      <c r="C16" s="5">
        <v>3</v>
      </c>
      <c r="D16" s="5">
        <v>3.5</v>
      </c>
      <c r="E16" s="5" t="s">
        <v>93</v>
      </c>
      <c r="F16" s="5" t="s">
        <v>225</v>
      </c>
      <c r="G16" s="5" t="s">
        <v>226</v>
      </c>
      <c r="H16" s="5">
        <v>3</v>
      </c>
      <c r="I16" s="5" t="s">
        <v>215</v>
      </c>
    </row>
    <row r="17" spans="1:9">
      <c r="A17" s="5" t="s">
        <v>16</v>
      </c>
      <c r="B17" s="5">
        <v>1857</v>
      </c>
      <c r="C17" s="5">
        <v>4</v>
      </c>
      <c r="D17" s="5">
        <v>2.5</v>
      </c>
      <c r="E17" s="5" t="s">
        <v>93</v>
      </c>
      <c r="F17" s="5" t="s">
        <v>208</v>
      </c>
      <c r="G17" s="5" t="s">
        <v>226</v>
      </c>
      <c r="H17" s="5">
        <v>2</v>
      </c>
      <c r="I17" s="5" t="s">
        <v>210</v>
      </c>
    </row>
    <row r="18" spans="1:9">
      <c r="A18" s="5" t="s">
        <v>17</v>
      </c>
      <c r="B18" s="5">
        <v>2000</v>
      </c>
      <c r="C18" s="5">
        <v>4</v>
      </c>
      <c r="D18" s="5">
        <v>2.5</v>
      </c>
      <c r="E18" s="5" t="s">
        <v>94</v>
      </c>
      <c r="F18" s="5" t="s">
        <v>211</v>
      </c>
      <c r="G18" s="5" t="s">
        <v>227</v>
      </c>
      <c r="H18" s="5">
        <v>2</v>
      </c>
      <c r="I18" s="5" t="s">
        <v>210</v>
      </c>
    </row>
    <row r="19" spans="1:9">
      <c r="A19" s="5" t="s">
        <v>18</v>
      </c>
      <c r="B19" s="5">
        <v>2005</v>
      </c>
      <c r="C19" s="5">
        <v>4</v>
      </c>
      <c r="D19" s="5">
        <v>2.5</v>
      </c>
      <c r="E19" s="5" t="s">
        <v>94</v>
      </c>
      <c r="F19" s="5" t="s">
        <v>228</v>
      </c>
      <c r="G19" s="5" t="s">
        <v>223</v>
      </c>
      <c r="H19" s="5">
        <v>2</v>
      </c>
      <c r="I19" s="5" t="s">
        <v>210</v>
      </c>
    </row>
    <row r="20" spans="1:9">
      <c r="A20" s="5" t="s">
        <v>19</v>
      </c>
      <c r="B20" s="5">
        <v>2072</v>
      </c>
      <c r="C20" s="5">
        <v>4</v>
      </c>
      <c r="D20" s="5">
        <v>3.5</v>
      </c>
      <c r="E20" s="5" t="s">
        <v>94</v>
      </c>
      <c r="F20" s="5" t="s">
        <v>218</v>
      </c>
      <c r="G20" s="5" t="s">
        <v>229</v>
      </c>
      <c r="H20" s="5">
        <v>3</v>
      </c>
      <c r="I20" s="5" t="s">
        <v>215</v>
      </c>
    </row>
    <row r="21" spans="1:9">
      <c r="A21" s="5" t="s">
        <v>20</v>
      </c>
      <c r="B21" s="5">
        <v>2157</v>
      </c>
      <c r="C21" s="5">
        <v>4</v>
      </c>
      <c r="D21" s="5">
        <v>3.5</v>
      </c>
      <c r="E21" s="5" t="s">
        <v>94</v>
      </c>
      <c r="F21" s="5" t="s">
        <v>208</v>
      </c>
      <c r="G21" s="5" t="s">
        <v>224</v>
      </c>
      <c r="H21" s="5">
        <v>3</v>
      </c>
      <c r="I21" s="5" t="s">
        <v>210</v>
      </c>
    </row>
    <row r="22" spans="1:9">
      <c r="A22" s="5" t="s">
        <v>21</v>
      </c>
      <c r="B22" s="5">
        <v>2214</v>
      </c>
      <c r="C22" s="5">
        <v>4</v>
      </c>
      <c r="D22" s="5">
        <v>3</v>
      </c>
      <c r="E22" s="5" t="s">
        <v>94</v>
      </c>
      <c r="F22" s="5" t="s">
        <v>228</v>
      </c>
      <c r="G22" s="5" t="s">
        <v>228</v>
      </c>
      <c r="H22" s="5">
        <v>2</v>
      </c>
      <c r="I22" s="5" t="s">
        <v>210</v>
      </c>
    </row>
    <row r="23" spans="1:9">
      <c r="A23" s="5" t="s">
        <v>22</v>
      </c>
      <c r="B23" s="5">
        <v>2217</v>
      </c>
      <c r="C23" s="5">
        <v>4</v>
      </c>
      <c r="D23" s="5">
        <v>3</v>
      </c>
      <c r="E23" s="5" t="s">
        <v>94</v>
      </c>
      <c r="F23" s="5" t="s">
        <v>228</v>
      </c>
      <c r="G23" s="5" t="s">
        <v>226</v>
      </c>
      <c r="H23" s="5">
        <v>2</v>
      </c>
      <c r="I23" s="5" t="s">
        <v>210</v>
      </c>
    </row>
    <row r="24" spans="1:9">
      <c r="A24" s="5" t="s">
        <v>23</v>
      </c>
      <c r="B24" s="5">
        <v>2771</v>
      </c>
      <c r="C24" s="5">
        <v>4</v>
      </c>
      <c r="D24" s="5">
        <v>3</v>
      </c>
      <c r="E24" s="5" t="s">
        <v>94</v>
      </c>
      <c r="F24" s="5" t="s">
        <v>228</v>
      </c>
      <c r="G24" s="5" t="s">
        <v>226</v>
      </c>
      <c r="H24" s="5">
        <v>2</v>
      </c>
      <c r="I24" s="5" t="s">
        <v>210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5"/>
  <sheetViews>
    <sheetView zoomScaleNormal="100" workbookViewId="0"/>
  </sheetViews>
  <sheetFormatPr defaultColWidth="8.7109375" defaultRowHeight="15"/>
  <cols>
    <col min="1" max="1" width="75" customWidth="1"/>
  </cols>
  <sheetData>
    <row r="1" spans="1:2" ht="15.75">
      <c r="A1" s="21" t="s">
        <v>230</v>
      </c>
      <c r="B1" s="21"/>
    </row>
    <row r="2" spans="1:2">
      <c r="A2" t="s">
        <v>231</v>
      </c>
    </row>
    <row r="3" spans="1:2">
      <c r="A3" t="s">
        <v>232</v>
      </c>
    </row>
    <row r="4" spans="1:2">
      <c r="A4" t="s">
        <v>233</v>
      </c>
    </row>
    <row r="5" spans="1:2">
      <c r="A5" t="s">
        <v>234</v>
      </c>
    </row>
    <row r="6" spans="1:2">
      <c r="A6" t="s">
        <v>235</v>
      </c>
    </row>
    <row r="7" spans="1:2">
      <c r="A7" t="s">
        <v>236</v>
      </c>
    </row>
    <row r="8" spans="1:2">
      <c r="A8" t="s">
        <v>237</v>
      </c>
    </row>
    <row r="9" spans="1:2">
      <c r="A9" t="s">
        <v>238</v>
      </c>
    </row>
    <row r="10" spans="1:2">
      <c r="A10" t="s">
        <v>239</v>
      </c>
    </row>
    <row r="11" spans="1:2">
      <c r="A11" t="s">
        <v>240</v>
      </c>
    </row>
    <row r="12" spans="1:2">
      <c r="A12" t="s">
        <v>241</v>
      </c>
    </row>
    <row r="13" spans="1:2">
      <c r="A13" t="s">
        <v>242</v>
      </c>
    </row>
    <row r="14" spans="1:2">
      <c r="A14" t="s">
        <v>243</v>
      </c>
    </row>
    <row r="17" spans="1:1" ht="15.75">
      <c r="A17" s="17" t="s">
        <v>244</v>
      </c>
    </row>
    <row r="18" spans="1:1">
      <c r="A18" t="s">
        <v>245</v>
      </c>
    </row>
    <row r="19" spans="1:1">
      <c r="A19" t="s">
        <v>246</v>
      </c>
    </row>
    <row r="20" spans="1:1">
      <c r="A20" t="s">
        <v>247</v>
      </c>
    </row>
    <row r="21" spans="1:1">
      <c r="A21" t="s">
        <v>248</v>
      </c>
    </row>
    <row r="22" spans="1:1">
      <c r="A22" t="s">
        <v>249</v>
      </c>
    </row>
    <row r="23" spans="1:1">
      <c r="A23" t="s">
        <v>250</v>
      </c>
    </row>
    <row r="24" spans="1:1">
      <c r="A24" t="s">
        <v>251</v>
      </c>
    </row>
    <row r="25" spans="1:1">
      <c r="A25" t="s">
        <v>252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2026-01-01T18:18:46Z</dcterms:created>
  <dcterms:modified xsi:type="dcterms:W3CDTF">2026-02-20T08:41:24Z</dcterms:modified>
  <cp:category/>
  <cp:contentStatus/>
</cp:coreProperties>
</file>