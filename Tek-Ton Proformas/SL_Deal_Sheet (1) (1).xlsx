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al Analyzer" sheetId="1" state="visible" r:id="rId3"/>
    <sheet name="Instructions" sheetId="2" state="visible" r:id="rId4"/>
    <sheet name="Floor Plans" sheetId="3" state="visible" r:id="rId5"/>
    <sheet name="Sticks &amp; Bricks Detail" sheetId="4" state="visible" r:id="rId6"/>
    <sheet name="Municipalities" sheetId="5" state="visible" r:id="rId7"/>
    <sheet name="Site Work Itemization" sheetId="6" state="visible" r:id="rId8"/>
    <sheet name="Comps" sheetId="7" state="visible" r:id="rId9"/>
    <sheet name="Upgrades" sheetId="8" state="visible" r:id="rId10"/>
    <sheet name="Jenny's Checklist" sheetId="9" state="visible" r:id="rId11"/>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5" authorId="0">
      <text>
        <r>
          <rPr>
            <sz val="10"/>
            <rFont val="Arial"/>
            <family val="2"/>
          </rPr>
          <t xml:space="preserve">$350/month for every 30 days purchase to sale</t>
        </r>
      </text>
    </comment>
  </commentList>
</comments>
</file>

<file path=xl/sharedStrings.xml><?xml version="1.0" encoding="utf-8"?>
<sst xmlns="http://schemas.openxmlformats.org/spreadsheetml/2006/main" count="556" uniqueCount="390">
  <si>
    <t xml:space="preserve">VANROCK HOLDINGS — SL DEAL SHEET</t>
  </si>
  <si>
    <t xml:space="preserve">PROPERTY ADDRESS</t>
  </si>
  <si>
    <t xml:space="preserve">Street Address</t>
  </si>
  <si>
    <t xml:space="preserve">City</t>
  </si>
  <si>
    <t xml:space="preserve">State</t>
  </si>
  <si>
    <t xml:space="preserve">SC</t>
  </si>
  <si>
    <t xml:space="preserve">Zip Code</t>
  </si>
  <si>
    <t xml:space="preserve">PROJECT INFO</t>
  </si>
  <si>
    <t xml:space="preserve">Purchase Price</t>
  </si>
  <si>
    <t xml:space="preserve">Closing / Purchase Date</t>
  </si>
  <si>
    <t xml:space="preserve">Project Duration (Days)</t>
  </si>
  <si>
    <t xml:space="preserve">Calculated Sale Date</t>
  </si>
  <si>
    <t xml:space="preserve">Interest Rate (Annual %)</t>
  </si>
  <si>
    <t xml:space="preserve">FLOOR PLAN (from Pricing Guide)</t>
  </si>
  <si>
    <t xml:space="preserve">Most likely scattered lot builds: ATLAS (1,592 SF infill), DOGWOOD (1,541 SF w/ garage), PALMETTO (1,304 SF affordable), HOLLY (2,000 SF suburban)</t>
  </si>
  <si>
    <t xml:space="preserve">Select Floor Plan</t>
  </si>
  <si>
    <t xml:space="preserve">ATLAS</t>
  </si>
  <si>
    <t xml:space="preserve">Total Contract Cost</t>
  </si>
  <si>
    <t xml:space="preserve">Bedrooms</t>
  </si>
  <si>
    <t xml:space="preserve">Bathrooms</t>
  </si>
  <si>
    <t xml:space="preserve">Square Footage</t>
  </si>
  <si>
    <t xml:space="preserve">Garage</t>
  </si>
  <si>
    <t xml:space="preserve">Stories</t>
  </si>
  <si>
    <t xml:space="preserve">Type</t>
  </si>
  <si>
    <t xml:space="preserve">Width / Depth</t>
  </si>
  <si>
    <t xml:space="preserve">Upgrade Package</t>
  </si>
  <si>
    <t xml:space="preserve">C</t>
  </si>
  <si>
    <t xml:space="preserve">Upgrade $/SF</t>
  </si>
  <si>
    <t xml:space="preserve">Total Upgrade Cost</t>
  </si>
  <si>
    <t xml:space="preserve">MUNICIPALITY SOFT COSTS (from Municipalities tab)</t>
  </si>
  <si>
    <t xml:space="preserve">Select Municipality</t>
  </si>
  <si>
    <t xml:space="preserve">City of Greenville</t>
  </si>
  <si>
    <t xml:space="preserve">Total Municipality Soft Costs</t>
  </si>
  <si>
    <t xml:space="preserve">Water Tap Fee</t>
  </si>
  <si>
    <t xml:space="preserve">Sewer Tap Fee</t>
  </si>
  <si>
    <t xml:space="preserve">Gas Tap Fee</t>
  </si>
  <si>
    <t xml:space="preserve">Permitting Fees</t>
  </si>
  <si>
    <t xml:space="preserve">Impact Fees</t>
  </si>
  <si>
    <t xml:space="preserve">Architect Fee</t>
  </si>
  <si>
    <t xml:space="preserve">Engineering</t>
  </si>
  <si>
    <t xml:space="preserve">Survey</t>
  </si>
  <si>
    <t xml:space="preserve">SITE-SPECIFIC COSTS (or use Site Work Itemization tab)</t>
  </si>
  <si>
    <t xml:space="preserve">Site Work / Grading</t>
  </si>
  <si>
    <t xml:space="preserve">Other Site Costs</t>
  </si>
  <si>
    <t xml:space="preserve">FIXED PER-HOUSE COSTS</t>
  </si>
  <si>
    <t xml:space="preserve">Builder Warranty</t>
  </si>
  <si>
    <t xml:space="preserve">Builder's Risk Insurance</t>
  </si>
  <si>
    <t xml:space="preserve">PO Fee</t>
  </si>
  <si>
    <t xml:space="preserve">PM Fee</t>
  </si>
  <si>
    <t xml:space="preserve">Builder Fee</t>
  </si>
  <si>
    <t xml:space="preserve">Closing Costs (5% of Purch.)</t>
  </si>
  <si>
    <t xml:space="preserve">Utility Charges</t>
  </si>
  <si>
    <t xml:space="preserve">Misc</t>
  </si>
  <si>
    <t xml:space="preserve">SALES INFO</t>
  </si>
  <si>
    <t xml:space="preserve">Asset Sales Price (ASP)</t>
  </si>
  <si>
    <t xml:space="preserve">Selling Costs (8.5% of ASP)</t>
  </si>
  <si>
    <t xml:space="preserve">Selling Concessions ($)</t>
  </si>
  <si>
    <t xml:space="preserve">COST SUMMARY &amp; FINANCING</t>
  </si>
  <si>
    <t xml:space="preserve">Total Site-Specific Costs</t>
  </si>
  <si>
    <t xml:space="preserve">Total Fixed Per-House</t>
  </si>
  <si>
    <t xml:space="preserve">Closing Costs + Utilities</t>
  </si>
  <si>
    <t xml:space="preserve">TOTAL PROJECT COST (excl. carry)</t>
  </si>
  <si>
    <t xml:space="preserve">Lender LTC (85%)</t>
  </si>
  <si>
    <t xml:space="preserve">Equity Required (before carry)</t>
  </si>
  <si>
    <t xml:space="preserve">Loan Amount</t>
  </si>
  <si>
    <t xml:space="preserve">CARRY COSTS &amp; COST OF CAPITAL</t>
  </si>
  <si>
    <t xml:space="preserve">Interest on Loan</t>
  </si>
  <si>
    <t xml:space="preserve">Duration (Days)</t>
  </si>
  <si>
    <t xml:space="preserve">Cost of Capital (16% ann.)</t>
  </si>
  <si>
    <t xml:space="preserve">Total Equity + Carry Deployed</t>
  </si>
  <si>
    <t xml:space="preserve">Total Carry Costs</t>
  </si>
  <si>
    <t xml:space="preserve">DEAL RESULTS</t>
  </si>
  <si>
    <t xml:space="preserve">Total All-In Cost</t>
  </si>
  <si>
    <t xml:space="preserve">Total Revenue (ASP)</t>
  </si>
  <si>
    <t xml:space="preserve">Total Selling Costs</t>
  </si>
  <si>
    <t xml:space="preserve">Net Sales Proceeds</t>
  </si>
  <si>
    <t xml:space="preserve">NET PROFIT ($)</t>
  </si>
  <si>
    <t xml:space="preserve">NET PROFIT MARGIN (%)</t>
  </si>
  <si>
    <t xml:space="preserve">Land + Site Cost</t>
  </si>
  <si>
    <t xml:space="preserve">LAND COST RATIO (% of ASP)</t>
  </si>
  <si>
    <t xml:space="preserve">NET PROFIT MARGIN — COLOR CODE RUBRIC</t>
  </si>
  <si>
    <t xml:space="preserve">Above 10%</t>
  </si>
  <si>
    <t xml:space="preserve">STRONG DEAL</t>
  </si>
  <si>
    <t xml:space="preserve">7% – 10%</t>
  </si>
  <si>
    <t xml:space="preserve">GOOD DEAL</t>
  </si>
  <si>
    <t xml:space="preserve">5% – 7%</t>
  </si>
  <si>
    <t xml:space="preserve">MARGINAL</t>
  </si>
  <si>
    <t xml:space="preserve">Below 5%</t>
  </si>
  <si>
    <t xml:space="preserve">NO GO / REWORK</t>
  </si>
  <si>
    <t xml:space="preserve">LAND COST RATIO — COLOR CODE RUBRIC (Lot + Site Work as % of ASP)</t>
  </si>
  <si>
    <t xml:space="preserve">Below 20%</t>
  </si>
  <si>
    <t xml:space="preserve">STRONG — IDEAL LAND BASIS</t>
  </si>
  <si>
    <t xml:space="preserve">20% – 25%</t>
  </si>
  <si>
    <t xml:space="preserve">ACCEPTABLE</t>
  </si>
  <si>
    <t xml:space="preserve">25% – 30%</t>
  </si>
  <si>
    <t xml:space="preserve">CAUTION — THIN MARGIN</t>
  </si>
  <si>
    <t xml:space="preserve">Above 30%</t>
  </si>
  <si>
    <t xml:space="preserve">OVERPAYING — REWORK OR PASS</t>
  </si>
  <si>
    <t xml:space="preserve">SL DEAL SHEET — INSTRUCTIONS</t>
  </si>
  <si>
    <t xml:space="preserve">OVERVIEW</t>
  </si>
  <si>
    <t xml:space="preserve">This workbook is VanRock Holdings' back-of-the-napkin deal analyzer for scattered lot acquisitions built with Homes. It allows you to quickly evaluate whether a lot purchase and build makes financial sense before committing capital. Select a floor plan and municipality, enter the lot purchase price and expected sale price, and the sheet calculates your net profit margin with a color-coded go/no-go indicator.</t>
  </si>
  <si>
    <t xml:space="preserve">TAB-BY-TAB GUIDE</t>
  </si>
  <si>
    <t xml:space="preserve">1.</t>
  </si>
  <si>
    <t xml:space="preserve">DEAL ANALYZER (Input + Results) — This is the main working tab. Start at the top with the property address and work your way down. Yellow cells are your inputs. Green cells pull automatically from the Floor Plans and Municipalities tabs. The bottom section shows your all-in cost, net profit, and margin with color coding.</t>
  </si>
  <si>
    <t xml:space="preserve">2.</t>
  </si>
  <si>
    <t xml:space="preserve">FLOOR PLANS — Contains all 22 floor plans with the full 7-category cost breakdown (Sticks &amp; Bricks, Upgrades, Lot Prep, Vertical, Soft Costs, Contingency, Builder Fee). Column R auto-sums to Total Contract Cost. You can edit any blue cell to adjust pricing as updates their guide.</t>
  </si>
  <si>
    <t xml:space="preserve">3.</t>
  </si>
  <si>
    <t xml:space="preserve">STICKS &amp; BRICKS DETAIL — The full 53-line-item breakdown of construction costs per plan. This is the detailed backup for the Sticks &amp; Bricks totals on the Floor Plans tab. Reference only unless you need to audit a specific line item.</t>
  </si>
  <si>
    <t xml:space="preserve">4.</t>
  </si>
  <si>
    <t xml:space="preserve">MUNICIPALITIES — Enter standardized soft costs (tap fees, permitting, impact fees, architect, engineering, survey) for each municipality you build in. Once populated, selecting a municipality on the Deal Analyzer auto-fills all soft cost fields.</t>
  </si>
  <si>
    <t xml:space="preserve">5.</t>
  </si>
  <si>
    <t xml:space="preserve">SITE WORK ITEMIZATION — Optional detailed breakdown of site work costs (clearing, grading, fill, retaining walls, etc.). The total from this tab flows into the Site Work / Grading field on the Deal Analyzer. Use this for complex lots that need detailed site cost tracking.</t>
  </si>
  <si>
    <t xml:space="preserve">6.</t>
  </si>
  <si>
    <t xml:space="preserve">COMPS — Enter comparable sales with MLS links, beds/baths/SF, location, sale date, and price. The sheet calculates average, median, and average $/SF to support your ASP assumption.</t>
  </si>
  <si>
    <t xml:space="preserve">7.</t>
  </si>
  <si>
    <t xml:space="preserve">UPGRADES — 's upgrade menu (Hardie siding, elevation upgrades, interior packages at Classic and Elegance tiers). Reference when selecting upgrade packages on the Deal Analyzer.</t>
  </si>
  <si>
    <t xml:space="preserve">8.</t>
  </si>
  <si>
    <t xml:space="preserve">JENNY'S CHECKLIST — Verification checklist for Jenny to validate soft costs, sticks &amp; bricks totals, and site work estimates against actuals before finalizing a deal.</t>
  </si>
  <si>
    <t xml:space="preserve">HOW TO USE</t>
  </si>
  <si>
    <t xml:space="preserve">Enter the property address, city, state, and zip at the top of the Deal Analyzer tab.</t>
  </si>
  <si>
    <t xml:space="preserve">Enter the lot purchase price, closing date, estimated project duration (120–450 days), and interest rate.</t>
  </si>
  <si>
    <t xml:space="preserve">Select the floor plan from the dropdown. All plan specs and the total contract cost will auto-populate.</t>
  </si>
  <si>
    <t xml:space="preserve">Select the municipality. All soft costs will auto-populate (assuming the Municipalities tab has been filled in for that jurisdiction).</t>
  </si>
  <si>
    <t xml:space="preserve">Enter any site-specific costs (or use the Site Work Itemization tab for complex lots).</t>
  </si>
  <si>
    <t xml:space="preserve">Select an upgrade package (A/B/C/D or None).</t>
  </si>
  <si>
    <t xml:space="preserve">Enter the Asset Sales Price (ASP) based on your comps analysis and any selling concessions.</t>
  </si>
  <si>
    <t xml:space="preserve">Review the Deal Results section at the bottom. Green = strong deal (10%+), Blue = good (7–10%), Yellow = marginal (5–7%), Red = no go (below 5%).</t>
  </si>
  <si>
    <t xml:space="preserve">MOST LIKELY FLOOR PLANS FOR SCATTERED LOTS</t>
  </si>
  <si>
    <t xml:space="preserve">Based on our current pipeline and lot inventory, the four plans we are most likely to build on scattered lots are:</t>
  </si>
  <si>
    <t xml:space="preserve">ATLAS — 1,592 SF, 3/2.5, no garage, 2-story, 24' x 33' footprint. Our most versatile infill plan for narrow urban lots. No garage keeps costs down and fits tight setbacks.</t>
  </si>
  <si>
    <t xml:space="preserve">DOGWOOD — 1,541 SF, 3/2.5, 2-car garage, 2-story, 29' x 36'. Strong suburban scattered lot plan with garage. Works on standard 50'+ lots.</t>
  </si>
  <si>
    <t xml:space="preserve">PALMETTO — 1,304 SF, 3/2.5, no garage, 2-story townhome, 20' x 42'. Ideal for affordable housing scattered lots where we need to hit lower price points.</t>
  </si>
  <si>
    <t xml:space="preserve">HOLLY — 2,000 SF, 4/2.5, 2-car garage, 2-story, 29' x 48'. Our go-to for larger suburban lots where the comps support a higher ASP.</t>
  </si>
  <si>
    <t xml:space="preserve">IMPORTANT NOTES</t>
  </si>
  <si>
    <t xml:space="preserve">All contract pricing includes a fixed $25,000 Builder Fee and contingency capped at the lower of $10,000 or 5% of costs. Lot Prep and Soft Costs each have a $15,000 minimum per contract terms. The fixed per-house costs on the Deal Analyzer (Builder Warranty, Builder's Risk, PO Fee, PM Fee, Builder Fee) are VanRock's costs on top of the contract and should be updated if our standard rates change.</t>
  </si>
  <si>
    <t xml:space="preserve">Municipality soft costs should be verified by Jenny against current fee schedules before relying on them for deal analysis. Tap fees and permitting costs change periodically.</t>
  </si>
  <si>
    <t xml:space="preserve">FLOOR PLAN BUILD COSTS</t>
  </si>
  <si>
    <t xml:space="preserve">Source: Builder Pricing Guide. Column R (Total Contract) is referenced by Deal Analyzer. Blue cells are editable.</t>
  </si>
  <si>
    <t xml:space="preserve">#</t>
  </si>
  <si>
    <t xml:space="preserve">Plan Name</t>
  </si>
  <si>
    <t xml:space="preserve">Sq Ft</t>
  </si>
  <si>
    <t xml:space="preserve">Beds</t>
  </si>
  <si>
    <t xml:space="preserve">Baths</t>
  </si>
  <si>
    <t xml:space="preserve">Width</t>
  </si>
  <si>
    <t xml:space="preserve">Depth</t>
  </si>
  <si>
    <t xml:space="preserve">1. Sticks &amp; Bricks</t>
  </si>
  <si>
    <t xml:space="preserve">2. Upgrades</t>
  </si>
  <si>
    <t xml:space="preserve">3. Lot Prep</t>
  </si>
  <si>
    <t xml:space="preserve">4. Vert Costs</t>
  </si>
  <si>
    <t xml:space="preserve">5. Soft Costs</t>
  </si>
  <si>
    <t xml:space="preserve">6. Contingency</t>
  </si>
  <si>
    <t xml:space="preserve">7. Builder Fee</t>
  </si>
  <si>
    <t xml:space="preserve">TOTAL CONTRACT</t>
  </si>
  <si>
    <t xml:space="preserve">TULIP</t>
  </si>
  <si>
    <t xml:space="preserve">1-Car</t>
  </si>
  <si>
    <t xml:space="preserve">Single Family</t>
  </si>
  <si>
    <t xml:space="preserve">30'</t>
  </si>
  <si>
    <t xml:space="preserve">50'</t>
  </si>
  <si>
    <t xml:space="preserve">ASH</t>
  </si>
  <si>
    <t xml:space="preserve">2-Car</t>
  </si>
  <si>
    <t xml:space="preserve">29'</t>
  </si>
  <si>
    <t xml:space="preserve">36'</t>
  </si>
  <si>
    <t xml:space="preserve">PALMETTO</t>
  </si>
  <si>
    <t xml:space="preserve">None</t>
  </si>
  <si>
    <t xml:space="preserve">Townhome</t>
  </si>
  <si>
    <t xml:space="preserve">20'</t>
  </si>
  <si>
    <t xml:space="preserve">42'</t>
  </si>
  <si>
    <t xml:space="preserve">LILAC</t>
  </si>
  <si>
    <t xml:space="preserve">46'</t>
  </si>
  <si>
    <t xml:space="preserve">BANYAN</t>
  </si>
  <si>
    <t xml:space="preserve">28'</t>
  </si>
  <si>
    <t xml:space="preserve">24'</t>
  </si>
  <si>
    <t xml:space="preserve">JASMINE</t>
  </si>
  <si>
    <t xml:space="preserve">49'</t>
  </si>
  <si>
    <t xml:space="preserve">DOGWOOD</t>
  </si>
  <si>
    <t xml:space="preserve">SPRUCE</t>
  </si>
  <si>
    <t xml:space="preserve">39'</t>
  </si>
  <si>
    <t xml:space="preserve">54'</t>
  </si>
  <si>
    <t xml:space="preserve">33'</t>
  </si>
  <si>
    <t xml:space="preserve">PALM</t>
  </si>
  <si>
    <t xml:space="preserve">ELM</t>
  </si>
  <si>
    <t xml:space="preserve">35'</t>
  </si>
  <si>
    <t xml:space="preserve">HAZEL</t>
  </si>
  <si>
    <t xml:space="preserve">43'</t>
  </si>
  <si>
    <t xml:space="preserve">ASPEN 2-Story</t>
  </si>
  <si>
    <t xml:space="preserve">FIG</t>
  </si>
  <si>
    <t xml:space="preserve">18'</t>
  </si>
  <si>
    <t xml:space="preserve">40'</t>
  </si>
  <si>
    <t xml:space="preserve">WILLOW</t>
  </si>
  <si>
    <t xml:space="preserve">HOLLY</t>
  </si>
  <si>
    <t xml:space="preserve">48'</t>
  </si>
  <si>
    <t xml:space="preserve">WHITE OAK</t>
  </si>
  <si>
    <t xml:space="preserve">38'</t>
  </si>
  <si>
    <t xml:space="preserve">FIR</t>
  </si>
  <si>
    <t xml:space="preserve">37'</t>
  </si>
  <si>
    <t xml:space="preserve">ASPEN 3-Story</t>
  </si>
  <si>
    <t xml:space="preserve">CHERRY</t>
  </si>
  <si>
    <t xml:space="preserve">RED OAK</t>
  </si>
  <si>
    <t xml:space="preserve">MAGNOLIA</t>
  </si>
  <si>
    <t xml:space="preserve">STICKS &amp; BRICKS — ITEMIZED COSTS PER FLOOR PLAN</t>
  </si>
  <si>
    <t xml:space="preserve">Line Item</t>
  </si>
  <si>
    <t xml:space="preserve">Dumpster</t>
  </si>
  <si>
    <t xml:space="preserve">Utilities</t>
  </si>
  <si>
    <t xml:space="preserve">Portable Toilet</t>
  </si>
  <si>
    <t xml:space="preserve">Permit Box</t>
  </si>
  <si>
    <t xml:space="preserve">Termite</t>
  </si>
  <si>
    <t xml:space="preserve">Lumber All Floors</t>
  </si>
  <si>
    <t xml:space="preserve">Framing Labor</t>
  </si>
  <si>
    <t xml:space="preserve">Stairs</t>
  </si>
  <si>
    <t xml:space="preserve">Roof Trusses</t>
  </si>
  <si>
    <t xml:space="preserve">I-Joist/EWP</t>
  </si>
  <si>
    <t xml:space="preserve">Roofing Shingle</t>
  </si>
  <si>
    <t xml:space="preserve">Siding Material (Vinyl)</t>
  </si>
  <si>
    <t xml:space="preserve">Siding Labor</t>
  </si>
  <si>
    <t xml:space="preserve">Brick</t>
  </si>
  <si>
    <t xml:space="preserve">Window Material</t>
  </si>
  <si>
    <t xml:space="preserve">Window Labor</t>
  </si>
  <si>
    <t xml:space="preserve">Exterior Door Material</t>
  </si>
  <si>
    <t xml:space="preserve">Exterior Door Labor</t>
  </si>
  <si>
    <t xml:space="preserve">Garage Door Labor &amp; Material</t>
  </si>
  <si>
    <t xml:space="preserve">Plumbing Turnkey</t>
  </si>
  <si>
    <t xml:space="preserve">HVAC</t>
  </si>
  <si>
    <t xml:space="preserve">Electrical Rough &amp; Trim</t>
  </si>
  <si>
    <t xml:space="preserve">Blower Test</t>
  </si>
  <si>
    <t xml:space="preserve">Insulation</t>
  </si>
  <si>
    <t xml:space="preserve">Drywall Material</t>
  </si>
  <si>
    <t xml:space="preserve">Drywall Labor</t>
  </si>
  <si>
    <t xml:space="preserve">Exterior Paint Labor &amp; Material</t>
  </si>
  <si>
    <t xml:space="preserve">Interior Paint</t>
  </si>
  <si>
    <t xml:space="preserve">Interior Trim Turnkey</t>
  </si>
  <si>
    <t xml:space="preserve">Door Hardware</t>
  </si>
  <si>
    <t xml:space="preserve">Shelving</t>
  </si>
  <si>
    <t xml:space="preserve">Mirrors</t>
  </si>
  <si>
    <t xml:space="preserve">Bath Accessories</t>
  </si>
  <si>
    <t xml:space="preserve">Shower Door</t>
  </si>
  <si>
    <t xml:space="preserve">Countertops</t>
  </si>
  <si>
    <t xml:space="preserve">Cabinet Labor &amp; Material</t>
  </si>
  <si>
    <t xml:space="preserve">Tile Labor &amp; Material</t>
  </si>
  <si>
    <t xml:space="preserve">Light Fixtures</t>
  </si>
  <si>
    <t xml:space="preserve">Appliances</t>
  </si>
  <si>
    <t xml:space="preserve">Carpet Labor &amp; Material</t>
  </si>
  <si>
    <t xml:space="preserve">LVP Labor &amp; Material</t>
  </si>
  <si>
    <t xml:space="preserve">Interior Clean</t>
  </si>
  <si>
    <t xml:space="preserve">Gutters</t>
  </si>
  <si>
    <t xml:space="preserve">Mailbox</t>
  </si>
  <si>
    <t xml:space="preserve">Pressure Wash</t>
  </si>
  <si>
    <t xml:space="preserve">Foundation</t>
  </si>
  <si>
    <t xml:space="preserve">Landscaping</t>
  </si>
  <si>
    <t xml:space="preserve">Flatwork</t>
  </si>
  <si>
    <t xml:space="preserve">Deck (PT Deck)</t>
  </si>
  <si>
    <t xml:space="preserve">Blinds</t>
  </si>
  <si>
    <t xml:space="preserve">Waterproofing</t>
  </si>
  <si>
    <t xml:space="preserve">Building Permits</t>
  </si>
  <si>
    <t xml:space="preserve">STICKS &amp; BRICKS TOTAL</t>
  </si>
  <si>
    <t xml:space="preserve">MUNICIPALITY SOFT COSTS</t>
  </si>
  <si>
    <t xml:space="preserve">Enter standardized soft costs per municipality. Deal Analyzer pulls full row via municipality selection. Blue = inputs.</t>
  </si>
  <si>
    <t xml:space="preserve">Municipality</t>
  </si>
  <si>
    <t xml:space="preserve">Water Tap</t>
  </si>
  <si>
    <t xml:space="preserve">Sewer Tap</t>
  </si>
  <si>
    <t xml:space="preserve">Gas Tap</t>
  </si>
  <si>
    <t xml:space="preserve">Permitting</t>
  </si>
  <si>
    <t xml:space="preserve">Architect</t>
  </si>
  <si>
    <t xml:space="preserve">TOTAL SOFT</t>
  </si>
  <si>
    <t xml:space="preserve">City of Spartanburg</t>
  </si>
  <si>
    <t xml:space="preserve">City of Greer</t>
  </si>
  <si>
    <t xml:space="preserve">City of Mauldin</t>
  </si>
  <si>
    <t xml:space="preserve">City of Simpsonville</t>
  </si>
  <si>
    <t xml:space="preserve">Greenville County</t>
  </si>
  <si>
    <t xml:space="preserve">Spartanburg County</t>
  </si>
  <si>
    <t xml:space="preserve">Town of Travelers Rest</t>
  </si>
  <si>
    <t xml:space="preserve">Town of Lyman</t>
  </si>
  <si>
    <t xml:space="preserve">Town of Duncan</t>
  </si>
  <si>
    <t xml:space="preserve">Town of Wellford</t>
  </si>
  <si>
    <t xml:space="preserve">Town of Inman</t>
  </si>
  <si>
    <t xml:space="preserve">City of Woodruff</t>
  </si>
  <si>
    <t xml:space="preserve">City of Fountain Inn</t>
  </si>
  <si>
    <t xml:space="preserve">Laurens County</t>
  </si>
  <si>
    <t xml:space="preserve">SITE WORK — ITEMIZED BREAKDOWN</t>
  </si>
  <si>
    <t xml:space="preserve">The TOTAL (row 22) flows into the Deal Analyzer Site Work / Grading field automatically. Blue = inputs.</t>
  </si>
  <si>
    <t xml:space="preserve">Site Work Item</t>
  </si>
  <si>
    <t xml:space="preserve">Cost</t>
  </si>
  <si>
    <t xml:space="preserve">Notes</t>
  </si>
  <si>
    <t xml:space="preserve">Clearing &amp; Demolition</t>
  </si>
  <si>
    <t xml:space="preserve">Tree Removal</t>
  </si>
  <si>
    <t xml:space="preserve">Grading &amp; Earthwork</t>
  </si>
  <si>
    <t xml:space="preserve">Fill Dirt (Import)</t>
  </si>
  <si>
    <t xml:space="preserve">Cut &amp; Export</t>
  </si>
  <si>
    <t xml:space="preserve">Retaining Walls</t>
  </si>
  <si>
    <t xml:space="preserve">Erosion Control / Silt Fence</t>
  </si>
  <si>
    <t xml:space="preserve">Storm Water Management</t>
  </si>
  <si>
    <t xml:space="preserve">Driveway Apron / Curb Cut</t>
  </si>
  <si>
    <t xml:space="preserve">Temporary Road / Access</t>
  </si>
  <si>
    <t xml:space="preserve">Utility Trenching (beyond std)</t>
  </si>
  <si>
    <t xml:space="preserve">Rock Removal / Hammering</t>
  </si>
  <si>
    <t xml:space="preserve">Foundation Prep / Over-Dig</t>
  </si>
  <si>
    <t xml:space="preserve">Stepped Foundation Upgrade</t>
  </si>
  <si>
    <t xml:space="preserve">Compaction / Soil Testing</t>
  </si>
  <si>
    <t xml:space="preserve">Sediment Basin</t>
  </si>
  <si>
    <t xml:space="preserve">Misc Site Work</t>
  </si>
  <si>
    <t xml:space="preserve">Other</t>
  </si>
  <si>
    <t xml:space="preserve">TOTAL SITE WORK</t>
  </si>
  <si>
    <t xml:space="preserve">COMPARABLE SALES</t>
  </si>
  <si>
    <t xml:space="preserve">Comp Link / MLS</t>
  </si>
  <si>
    <t xml:space="preserve">Location / Address</t>
  </si>
  <si>
    <t xml:space="preserve">Sale Date</t>
  </si>
  <si>
    <t xml:space="preserve">Sale Price</t>
  </si>
  <si>
    <t xml:space="preserve">Avg SF:</t>
  </si>
  <si>
    <t xml:space="preserve">Median:</t>
  </si>
  <si>
    <t xml:space="preserve">Avg $/SF:</t>
  </si>
  <si>
    <t xml:space="preserve">UPGRADE OPTIONS</t>
  </si>
  <si>
    <t xml:space="preserve">EXTERIOR</t>
  </si>
  <si>
    <t xml:space="preserve">Hardie Color-Plus Siding</t>
  </si>
  <si>
    <t xml:space="preserve">$3,500 - $4,000</t>
  </si>
  <si>
    <t xml:space="preserve">Premium fiber cement siding</t>
  </si>
  <si>
    <t xml:space="preserve">Elevation Upgrade - 1</t>
  </si>
  <si>
    <t xml:space="preserve">$3,000 - $4,000</t>
  </si>
  <si>
    <t xml:space="preserve">Enhanced architectural details</t>
  </si>
  <si>
    <t xml:space="preserve">Elevation Upgrade - 2</t>
  </si>
  <si>
    <t xml:space="preserve">Premium elevation design</t>
  </si>
  <si>
    <t xml:space="preserve">INTERIOR - CLASSIC</t>
  </si>
  <si>
    <t xml:space="preserve">Foxcroft Classic</t>
  </si>
  <si>
    <t xml:space="preserve">$4,059</t>
  </si>
  <si>
    <t xml:space="preserve">Classic finish level</t>
  </si>
  <si>
    <t xml:space="preserve">Midwood Classic</t>
  </si>
  <si>
    <t xml:space="preserve">$3,792</t>
  </si>
  <si>
    <t xml:space="preserve">Madison Classic</t>
  </si>
  <si>
    <t xml:space="preserve">$3,852</t>
  </si>
  <si>
    <t xml:space="preserve">Uptown Classic</t>
  </si>
  <si>
    <t xml:space="preserve">$3,984</t>
  </si>
  <si>
    <t xml:space="preserve">INTERIOR - ELEGANCE</t>
  </si>
  <si>
    <t xml:space="preserve">Foxcroft Elegance</t>
  </si>
  <si>
    <t xml:space="preserve">$6,181</t>
  </si>
  <si>
    <t xml:space="preserve">Elegance finish level</t>
  </si>
  <si>
    <t xml:space="preserve">Midwood Elegance</t>
  </si>
  <si>
    <t xml:space="preserve">$6,468</t>
  </si>
  <si>
    <t xml:space="preserve">Madison Elegance</t>
  </si>
  <si>
    <t xml:space="preserve">$8,197</t>
  </si>
  <si>
    <t xml:space="preserve">Premium elegance finishes</t>
  </si>
  <si>
    <t xml:space="preserve">Uptown Elegance</t>
  </si>
  <si>
    <t xml:space="preserve">$8,623</t>
  </si>
  <si>
    <t xml:space="preserve">Top-tier elegance finishes</t>
  </si>
  <si>
    <t xml:space="preserve">JENNY'S VERIFICATION CHECKLIST — DEAL COST REVIEW</t>
  </si>
  <si>
    <t xml:space="preserve">Use this checklist to verify soft costs, sticks &amp; bricks totals, and site work estimates against actual fee schedules and contractor quotes before finalizing any deal.</t>
  </si>
  <si>
    <t xml:space="preserve">Verification Item</t>
  </si>
  <si>
    <t xml:space="preserve">Status</t>
  </si>
  <si>
    <t xml:space="preserve">Date Verified</t>
  </si>
  <si>
    <t xml:space="preserve">Notes / Source</t>
  </si>
  <si>
    <t xml:space="preserve">  MUNICIPALITY SOFT COSTS</t>
  </si>
  <si>
    <t xml:space="preserve">Verify water tap fee against current municipality fee schedule</t>
  </si>
  <si>
    <t xml:space="preserve">Pending</t>
  </si>
  <si>
    <t xml:space="preserve">Verify sewer tap fee against current municipality fee schedule</t>
  </si>
  <si>
    <t xml:space="preserve">Verify gas tap fee against current gas utility provider rates</t>
  </si>
  <si>
    <t xml:space="preserve">Verify permitting fees against current municipality building dept.</t>
  </si>
  <si>
    <t xml:space="preserve">Verify impact fees (if applicable) against current ordinance</t>
  </si>
  <si>
    <t xml:space="preserve">Verify architect fee matches current contract / quote</t>
  </si>
  <si>
    <t xml:space="preserve">Verify engineering fee matches current contract / quote</t>
  </si>
  <si>
    <t xml:space="preserve">Verify survey fee matches current surveyor quote</t>
  </si>
  <si>
    <t xml:space="preserve">Confirm municipality selected matches actual lot jurisdiction</t>
  </si>
  <si>
    <t xml:space="preserve">Check for any new fees added since last update (ARC, stormwater, etc.)</t>
  </si>
  <si>
    <t xml:space="preserve">STICKS &amp; BRICKS / CONTRACT COSTS</t>
  </si>
  <si>
    <t xml:space="preserve">Confirm selected floor plan matches lot dimensions and setbacks</t>
  </si>
  <si>
    <t xml:space="preserve">Verify Sticks &amp; Bricks total against current Pricing Guide</t>
  </si>
  <si>
    <t xml:space="preserve">Verify Lot Prep allowance ($15K min) is sufficient for this lot</t>
  </si>
  <si>
    <t xml:space="preserve">Verify Soft Costs allowance ($15K min) within contract</t>
  </si>
  <si>
    <t xml:space="preserve">Verify Contingency calculation (lower of $10K or 5%)</t>
  </si>
  <si>
    <t xml:space="preserve">Confirm Builder Fee is $25,000 per contract terms</t>
  </si>
  <si>
    <t xml:space="preserve">Check if any Added Vertical costs apply (stepped foundation, rock, fill)</t>
  </si>
  <si>
    <t xml:space="preserve">Verify upgrade selections and pricing against Upgrades Menu</t>
  </si>
  <si>
    <t xml:space="preserve">Confirm contract total matches Floor Plans tab total</t>
  </si>
  <si>
    <t xml:space="preserve">Check for any price updates or change orders since last quote</t>
  </si>
  <si>
    <t xml:space="preserve">  SITE WORK / GRADING</t>
  </si>
  <si>
    <t xml:space="preserve">Obtain grading contractor quote for this specific lot</t>
  </si>
  <si>
    <t xml:space="preserve">Verify clearing / demo scope and estimate</t>
  </si>
  <si>
    <t xml:space="preserve">Check for rock presence (may need hammering allowance)</t>
  </si>
  <si>
    <t xml:space="preserve">Verify fill import/export needs based on topo survey</t>
  </si>
  <si>
    <t xml:space="preserve">Confirm retaining wall requirements (if any) per engineering</t>
  </si>
  <si>
    <t xml:space="preserve">Verify erosion control / silt fence requirements per municipality</t>
  </si>
  <si>
    <t xml:space="preserve">Confirm driveway apron / curb cut costs with municipality</t>
  </si>
  <si>
    <t xml:space="preserve">Check stormwater management requirements</t>
  </si>
  <si>
    <t xml:space="preserve">Verify utility trenching scope (beyond standard 50 LF)</t>
  </si>
  <si>
    <t xml:space="preserve">Confirm Site Work Itemization tab total matches Deal Analyzer</t>
  </si>
  <si>
    <t xml:space="preserve">  GENERAL DEAL VERIFICATION</t>
  </si>
  <si>
    <t xml:space="preserve">Verify purchase price matches executed contract / LOI</t>
  </si>
  <si>
    <t xml:space="preserve">Confirm closing date and project duration are realistic</t>
  </si>
  <si>
    <t xml:space="preserve">Verify interest rate matches current lender terms</t>
  </si>
  <si>
    <t xml:space="preserve">Confirm ASP is supported by comps on Comps tab</t>
  </si>
  <si>
    <t xml:space="preserve">Verify selling cost assumption (8.5%) is current</t>
  </si>
  <si>
    <t xml:space="preserve">Check all fixed per-house costs match current VanRock standards</t>
  </si>
  <si>
    <t xml:space="preserve">Verify utility charge calculation ($350/mo) covers expected period</t>
  </si>
  <si>
    <t xml:space="preserve">Final review: Net Profit Margin meets minimum threshold</t>
  </si>
</sst>
</file>

<file path=xl/styles.xml><?xml version="1.0" encoding="utf-8"?>
<styleSheet xmlns="http://schemas.openxmlformats.org/spreadsheetml/2006/main">
  <numFmts count="7">
    <numFmt numFmtId="164" formatCode="General"/>
    <numFmt numFmtId="165" formatCode="\$#,##0"/>
    <numFmt numFmtId="166" formatCode="mm/dd/yyyy"/>
    <numFmt numFmtId="167" formatCode="#,##0"/>
    <numFmt numFmtId="168" formatCode="0.0%"/>
    <numFmt numFmtId="169" formatCode="General"/>
    <numFmt numFmtId="170" formatCode="\$#,##0.00"/>
  </numFmts>
  <fonts count="2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1"/>
      <color rgb="FF1F4E79"/>
      <name val="Arial"/>
      <family val="0"/>
      <charset val="1"/>
    </font>
    <font>
      <sz val="10"/>
      <color rgb="FF000000"/>
      <name val="Arial"/>
      <family val="0"/>
      <charset val="1"/>
    </font>
    <font>
      <sz val="10"/>
      <color rgb="FF0000FF"/>
      <name val="Arial"/>
      <family val="0"/>
      <charset val="1"/>
    </font>
    <font>
      <i val="true"/>
      <sz val="9"/>
      <color rgb="FF1F4E79"/>
      <name val="Arial"/>
      <family val="0"/>
      <charset val="1"/>
    </font>
    <font>
      <sz val="10"/>
      <color rgb="FF008000"/>
      <name val="Arial"/>
      <family val="0"/>
      <charset val="1"/>
    </font>
    <font>
      <b val="true"/>
      <sz val="10"/>
      <name val="Arial"/>
      <family val="0"/>
      <charset val="1"/>
    </font>
    <font>
      <b val="true"/>
      <sz val="12"/>
      <color rgb="FFFFFFFF"/>
      <name val="Arial"/>
      <family val="0"/>
      <charset val="1"/>
    </font>
    <font>
      <b val="true"/>
      <sz val="11"/>
      <color rgb="FF000000"/>
      <name val="Arial"/>
      <family val="0"/>
      <charset val="1"/>
    </font>
    <font>
      <b val="true"/>
      <sz val="12"/>
      <name val="Arial"/>
      <family val="0"/>
      <charset val="1"/>
    </font>
    <font>
      <b val="true"/>
      <sz val="14"/>
      <name val="Arial"/>
      <family val="0"/>
      <charset val="1"/>
    </font>
    <font>
      <b val="true"/>
      <sz val="14"/>
      <color rgb="FF000000"/>
      <name val="Arial"/>
      <family val="0"/>
      <charset val="1"/>
    </font>
    <font>
      <b val="true"/>
      <sz val="10"/>
      <color rgb="FFFFFFFF"/>
      <name val="Arial"/>
      <family val="0"/>
      <charset val="1"/>
    </font>
    <font>
      <b val="true"/>
      <sz val="10"/>
      <color rgb="FF000000"/>
      <name val="Arial"/>
      <family val="0"/>
      <charset val="1"/>
    </font>
    <font>
      <sz val="10"/>
      <name val="Arial"/>
      <family val="2"/>
    </font>
    <font>
      <sz val="10"/>
      <color rgb="FF333333"/>
      <name val="Arial"/>
      <family val="0"/>
      <charset val="1"/>
    </font>
    <font>
      <b val="true"/>
      <sz val="10"/>
      <color rgb="FF1F4E79"/>
      <name val="Arial"/>
      <family val="0"/>
      <charset val="1"/>
    </font>
    <font>
      <i val="true"/>
      <sz val="9"/>
      <color rgb="FF666666"/>
      <name val="Arial"/>
      <family val="0"/>
      <charset val="1"/>
    </font>
    <font>
      <sz val="10"/>
      <name val="Arial"/>
      <family val="0"/>
      <charset val="1"/>
    </font>
  </fonts>
  <fills count="20">
    <fill>
      <patternFill patternType="none"/>
    </fill>
    <fill>
      <patternFill patternType="gray125"/>
    </fill>
    <fill>
      <patternFill patternType="solid">
        <fgColor rgb="FF1F4E79"/>
        <bgColor rgb="FF003366"/>
      </patternFill>
    </fill>
    <fill>
      <patternFill patternType="solid">
        <fgColor rgb="FFD6E4F0"/>
        <bgColor rgb="FFDDEBF7"/>
      </patternFill>
    </fill>
    <fill>
      <patternFill patternType="solid">
        <fgColor rgb="FFFFFFFF"/>
        <bgColor rgb="FFF2F7FB"/>
      </patternFill>
    </fill>
    <fill>
      <patternFill patternType="solid">
        <fgColor rgb="FFFFF2CC"/>
        <bgColor rgb="FFE2EFDA"/>
      </patternFill>
    </fill>
    <fill>
      <patternFill patternType="solid">
        <fgColor rgb="FFE2EFDA"/>
        <bgColor rgb="FFDDEBF7"/>
      </patternFill>
    </fill>
    <fill>
      <patternFill patternType="solid">
        <fgColor rgb="FFF2F7FB"/>
        <bgColor rgb="FFFFFFFF"/>
      </patternFill>
    </fill>
    <fill>
      <patternFill patternType="solid">
        <fgColor rgb="FFDDEBF7"/>
        <bgColor rgb="FFD6E4F0"/>
      </patternFill>
    </fill>
    <fill>
      <patternFill patternType="solid">
        <fgColor rgb="FF00B050"/>
        <bgColor rgb="FF008080"/>
      </patternFill>
    </fill>
    <fill>
      <patternFill patternType="solid">
        <fgColor rgb="FF4472C4"/>
        <bgColor rgb="FF666666"/>
      </patternFill>
    </fill>
    <fill>
      <patternFill patternType="solid">
        <fgColor rgb="FFFFD966"/>
        <bgColor rgb="FFFFFF99"/>
      </patternFill>
    </fill>
    <fill>
      <patternFill patternType="solid">
        <fgColor rgb="FFFF6B6B"/>
        <bgColor rgb="FFED7D31"/>
      </patternFill>
    </fill>
    <fill>
      <patternFill patternType="solid">
        <fgColor rgb="FF548235"/>
        <bgColor rgb="FF666666"/>
      </patternFill>
    </fill>
    <fill>
      <patternFill patternType="solid">
        <fgColor rgb="FFED7D31"/>
        <bgColor rgb="FFFF6B6B"/>
      </patternFill>
    </fill>
    <fill>
      <patternFill patternType="solid">
        <fgColor rgb="FFC55A11"/>
        <bgColor rgb="FFED7D31"/>
      </patternFill>
    </fill>
    <fill>
      <patternFill patternType="solid">
        <fgColor rgb="FF7030A0"/>
        <bgColor rgb="FF993366"/>
      </patternFill>
    </fill>
    <fill>
      <patternFill patternType="solid">
        <fgColor rgb="FFBF8F00"/>
        <bgColor rgb="FFED7D31"/>
      </patternFill>
    </fill>
    <fill>
      <patternFill patternType="solid">
        <fgColor rgb="FF70AD47"/>
        <bgColor rgb="FF548235"/>
      </patternFill>
    </fill>
    <fill>
      <patternFill patternType="solid">
        <fgColor rgb="FFC00000"/>
        <bgColor rgb="FFFF00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righ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5" fontId="7" fillId="5" borderId="1" xfId="0" applyFont="true" applyBorder="true" applyAlignment="true" applyProtection="false">
      <alignment horizontal="center" vertical="center" textRotation="0" wrapText="false" indent="0" shrinkToFit="false"/>
      <protection locked="true" hidden="false"/>
    </xf>
    <xf numFmtId="166" fontId="7" fillId="5" borderId="1" xfId="0" applyFont="true" applyBorder="true" applyAlignment="true" applyProtection="false">
      <alignment horizontal="center" vertical="center" textRotation="0" wrapText="false" indent="0" shrinkToFit="false"/>
      <protection locked="true" hidden="false"/>
    </xf>
    <xf numFmtId="167" fontId="7" fillId="5" borderId="1" xfId="0" applyFont="true" applyBorder="true" applyAlignment="true" applyProtection="false">
      <alignment horizontal="center" vertical="center" textRotation="0" wrapText="false" indent="0" shrinkToFit="false"/>
      <protection locked="true" hidden="false"/>
    </xf>
    <xf numFmtId="166" fontId="6" fillId="6" borderId="1" xfId="0" applyFont="true" applyBorder="true" applyAlignment="true" applyProtection="false">
      <alignment horizontal="center" vertical="center" textRotation="0" wrapText="false" indent="0" shrinkToFit="false"/>
      <protection locked="true" hidden="false"/>
    </xf>
    <xf numFmtId="168" fontId="7" fillId="5"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5" fontId="9" fillId="6" borderId="1" xfId="0" applyFont="true" applyBorder="true" applyAlignment="true" applyProtection="false">
      <alignment horizontal="center" vertical="center" textRotation="0" wrapText="false" indent="0" shrinkToFit="false"/>
      <protection locked="true" hidden="false"/>
    </xf>
    <xf numFmtId="169" fontId="9" fillId="6" borderId="1" xfId="0" applyFont="true" applyBorder="true" applyAlignment="true" applyProtection="false">
      <alignment horizontal="center" vertical="center" textRotation="0" wrapText="false" indent="0" shrinkToFit="false"/>
      <protection locked="true" hidden="false"/>
    </xf>
    <xf numFmtId="167" fontId="9" fillId="6" borderId="1" xfId="0" applyFont="true" applyBorder="true" applyAlignment="true" applyProtection="false">
      <alignment horizontal="center" vertical="center" textRotation="0" wrapText="false" indent="0" shrinkToFit="false"/>
      <protection locked="true" hidden="false"/>
    </xf>
    <xf numFmtId="170" fontId="6" fillId="6" borderId="1" xfId="0" applyFont="true" applyBorder="true" applyAlignment="true" applyProtection="false">
      <alignment horizontal="center" vertical="center" textRotation="0" wrapText="false" indent="0" shrinkToFit="false"/>
      <protection locked="true" hidden="false"/>
    </xf>
    <xf numFmtId="165" fontId="6" fillId="6" borderId="1" xfId="0" applyFont="true" applyBorder="true" applyAlignment="true" applyProtection="false">
      <alignment horizontal="center" vertical="center" textRotation="0" wrapText="false" indent="0" shrinkToFit="false"/>
      <protection locked="true" hidden="false"/>
    </xf>
    <xf numFmtId="165" fontId="10" fillId="6" borderId="1" xfId="0" applyFont="true" applyBorder="true" applyAlignment="true" applyProtection="false">
      <alignment horizontal="center" vertical="center" textRotation="0" wrapText="false" indent="0" shrinkToFit="false"/>
      <protection locked="true" hidden="false"/>
    </xf>
    <xf numFmtId="167" fontId="6" fillId="6" borderId="1" xfId="0" applyFont="true" applyBorder="true" applyAlignment="true" applyProtection="false">
      <alignment horizontal="center" vertical="center" textRotation="0" wrapText="false" indent="0" shrinkToFit="false"/>
      <protection locked="true" hidden="false"/>
    </xf>
    <xf numFmtId="164" fontId="11" fillId="2" borderId="0" xfId="0" applyFont="true" applyBorder="true" applyAlignment="true" applyProtection="false">
      <alignment horizontal="left" vertical="center" textRotation="0" wrapText="false" indent="0" shrinkToFit="false"/>
      <protection locked="true" hidden="false"/>
    </xf>
    <xf numFmtId="165" fontId="12" fillId="8" borderId="1" xfId="0" applyFont="true" applyBorder="true" applyAlignment="true" applyProtection="false">
      <alignment horizontal="center" vertical="center" textRotation="0" wrapText="false" indent="0" shrinkToFit="false"/>
      <protection locked="true" hidden="false"/>
    </xf>
    <xf numFmtId="165" fontId="13" fillId="8" borderId="1" xfId="0" applyFont="true" applyBorder="true" applyAlignment="true" applyProtection="false">
      <alignment horizontal="center" vertical="center" textRotation="0" wrapText="false" indent="0" shrinkToFit="false"/>
      <protection locked="true" hidden="false"/>
    </xf>
    <xf numFmtId="168" fontId="14" fillId="8" borderId="1" xfId="0" applyFont="true" applyBorder="true" applyAlignment="true" applyProtection="false">
      <alignment horizontal="center" vertical="center" textRotation="0" wrapText="false" indent="0" shrinkToFit="false"/>
      <protection locked="true" hidden="false"/>
    </xf>
    <xf numFmtId="168" fontId="15" fillId="8" borderId="1" xfId="0" applyFont="true" applyBorder="true" applyAlignment="true" applyProtection="false">
      <alignment horizontal="center" vertical="center" textRotation="0" wrapText="false" indent="0" shrinkToFit="false"/>
      <protection locked="true" hidden="false"/>
    </xf>
    <xf numFmtId="164" fontId="16" fillId="9" borderId="1" xfId="0" applyFont="true" applyBorder="true" applyAlignment="true" applyProtection="false">
      <alignment horizontal="center" vertical="center" textRotation="0" wrapText="false" indent="0" shrinkToFit="false"/>
      <protection locked="true" hidden="false"/>
    </xf>
    <xf numFmtId="164" fontId="16" fillId="10" borderId="1" xfId="0" applyFont="true" applyBorder="true" applyAlignment="true" applyProtection="false">
      <alignment horizontal="center" vertical="center" textRotation="0" wrapText="false" indent="0" shrinkToFit="false"/>
      <protection locked="true" hidden="false"/>
    </xf>
    <xf numFmtId="164" fontId="17" fillId="11" borderId="1" xfId="0" applyFont="true" applyBorder="true" applyAlignment="true" applyProtection="false">
      <alignment horizontal="center" vertical="center" textRotation="0" wrapText="false" indent="0" shrinkToFit="false"/>
      <protection locked="true" hidden="false"/>
    </xf>
    <xf numFmtId="164" fontId="16" fillId="12" borderId="1" xfId="0" applyFont="true" applyBorder="true" applyAlignment="true" applyProtection="false">
      <alignment horizontal="center" vertical="center" textRotation="0" wrapText="false" indent="0" shrinkToFit="false"/>
      <protection locked="true" hidden="false"/>
    </xf>
    <xf numFmtId="164" fontId="4" fillId="13" borderId="0" xfId="0" applyFont="true" applyBorder="true" applyAlignment="true" applyProtection="false">
      <alignment horizontal="center" vertical="center" textRotation="0" wrapText="false" indent="0" shrinkToFit="false"/>
      <protection locked="true" hidden="false"/>
    </xf>
    <xf numFmtId="164" fontId="19" fillId="4" borderId="0" xfId="0" applyFont="true" applyBorder="false" applyAlignment="true" applyProtection="false">
      <alignment horizontal="left" vertical="center" textRotation="0" wrapText="true" indent="0" shrinkToFit="false"/>
      <protection locked="true" hidden="false"/>
    </xf>
    <xf numFmtId="164" fontId="5" fillId="3" borderId="0" xfId="0" applyFont="true" applyBorder="false" applyAlignment="true" applyProtection="false">
      <alignment horizontal="left" vertical="center" textRotation="0" wrapText="true" indent="0" shrinkToFit="false"/>
      <protection locked="true" hidden="false"/>
    </xf>
    <xf numFmtId="164" fontId="20" fillId="4" borderId="0" xfId="0" applyFont="true" applyBorder="false" applyAlignment="true" applyProtection="false">
      <alignment horizontal="center" vertical="center" textRotation="0" wrapText="false" indent="0" shrinkToFit="false"/>
      <protection locked="true" hidden="false"/>
    </xf>
    <xf numFmtId="164" fontId="4" fillId="14" borderId="0" xfId="0" applyFont="true" applyBorder="true" applyAlignment="true" applyProtection="false">
      <alignment horizontal="center" vertical="center" textRotation="0" wrapText="false" indent="0" shrinkToFit="false"/>
      <protection locked="true" hidden="false"/>
    </xf>
    <xf numFmtId="164" fontId="21" fillId="4" borderId="0" xfId="0" applyFont="true" applyBorder="true" applyAlignment="true" applyProtection="false">
      <alignment horizontal="left" vertical="center" textRotation="0" wrapText="true" indent="0" shrinkToFit="false"/>
      <protection locked="true" hidden="false"/>
    </xf>
    <xf numFmtId="164" fontId="16" fillId="14"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4" fillId="15" borderId="0" xfId="0" applyFont="true" applyBorder="true" applyAlignment="true" applyProtection="false">
      <alignment horizontal="center" vertical="center" textRotation="0" wrapText="false" indent="0" shrinkToFit="false"/>
      <protection locked="true" hidden="false"/>
    </xf>
    <xf numFmtId="164" fontId="16" fillId="15"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7" fontId="10" fillId="6" borderId="1" xfId="0" applyFont="true" applyBorder="true" applyAlignment="true" applyProtection="false">
      <alignment horizontal="center" vertical="center" textRotation="0" wrapText="false" indent="0" shrinkToFit="false"/>
      <protection locked="true" hidden="false"/>
    </xf>
    <xf numFmtId="164" fontId="22" fillId="4" borderId="1" xfId="0" applyFont="true" applyBorder="true" applyAlignment="true" applyProtection="false">
      <alignment horizontal="left" vertical="center" textRotation="0" wrapText="true" indent="0" shrinkToFit="false"/>
      <protection locked="true" hidden="false"/>
    </xf>
    <xf numFmtId="165" fontId="22" fillId="4" borderId="1" xfId="0" applyFont="true" applyBorder="true" applyAlignment="true" applyProtection="false">
      <alignment horizontal="center" vertical="center" textRotation="0" wrapText="false" indent="0" shrinkToFit="false"/>
      <protection locked="true" hidden="false"/>
    </xf>
    <xf numFmtId="164" fontId="4" fillId="16" borderId="0" xfId="0" applyFont="true" applyBorder="true" applyAlignment="true" applyProtection="false">
      <alignment horizontal="center" vertical="center" textRotation="0" wrapText="false" indent="0" shrinkToFit="false"/>
      <protection locked="true" hidden="false"/>
    </xf>
    <xf numFmtId="164" fontId="16" fillId="16" borderId="1" xfId="0" applyFont="true" applyBorder="true" applyAlignment="true" applyProtection="false">
      <alignment horizontal="center" vertical="center" textRotation="0" wrapText="true" indent="0" shrinkToFit="false"/>
      <protection locked="true" hidden="false"/>
    </xf>
    <xf numFmtId="164" fontId="4" fillId="17" borderId="0" xfId="0" applyFont="true" applyBorder="true" applyAlignment="true" applyProtection="false">
      <alignment horizontal="center" vertical="center" textRotation="0" wrapText="false" indent="0" shrinkToFit="false"/>
      <protection locked="true" hidden="false"/>
    </xf>
    <xf numFmtId="164" fontId="16" fillId="17"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4" fontId="5" fillId="6" borderId="1" xfId="0" applyFont="true" applyBorder="true" applyAlignment="true" applyProtection="false">
      <alignment horizontal="right" vertical="center" textRotation="0" wrapText="false" indent="0" shrinkToFit="false"/>
      <protection locked="true" hidden="false"/>
    </xf>
    <xf numFmtId="165" fontId="12" fillId="6" borderId="1" xfId="0" applyFont="true" applyBorder="true" applyAlignment="true" applyProtection="false">
      <alignment horizontal="center" vertical="center" textRotation="0" wrapText="false" indent="0" shrinkToFit="false"/>
      <protection locked="true" hidden="false"/>
    </xf>
    <xf numFmtId="164" fontId="4" fillId="10" borderId="0" xfId="0" applyFont="true" applyBorder="true" applyAlignment="true" applyProtection="false">
      <alignment horizontal="center" vertical="center" textRotation="0" wrapText="false" indent="0" shrinkToFit="false"/>
      <protection locked="true" hidden="false"/>
    </xf>
    <xf numFmtId="164" fontId="16" fillId="1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right" vertical="bottom" textRotation="0" wrapText="false" indent="0" shrinkToFit="false"/>
      <protection locked="true" hidden="false"/>
    </xf>
    <xf numFmtId="164" fontId="4" fillId="18" borderId="0" xfId="0" applyFont="true" applyBorder="true" applyAlignment="true" applyProtection="false">
      <alignment horizontal="center" vertical="center" textRotation="0" wrapText="false" indent="0" shrinkToFit="false"/>
      <protection locked="true" hidden="false"/>
    </xf>
    <xf numFmtId="164" fontId="4" fillId="19" borderId="0" xfId="0" applyFont="true" applyBorder="true" applyAlignment="true" applyProtection="false">
      <alignment horizontal="center" vertical="center" textRotation="0" wrapText="false" indent="0" shrinkToFit="false"/>
      <protection locked="true" hidden="false"/>
    </xf>
    <xf numFmtId="164" fontId="16" fillId="19" borderId="1" xfId="0" applyFont="true" applyBorder="true" applyAlignment="true" applyProtection="false">
      <alignment horizontal="center" vertical="center" textRotation="0" wrapText="true" indent="0" shrinkToFit="false"/>
      <protection locked="true" hidden="false"/>
    </xf>
    <xf numFmtId="164" fontId="20" fillId="3"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00B050"/>
        </patternFill>
      </fill>
    </dxf>
    <dxf>
      <fill>
        <patternFill>
          <bgColor rgb="FF4472C4"/>
        </patternFill>
      </fill>
    </dxf>
    <dxf>
      <fill>
        <patternFill>
          <bgColor rgb="FFFFD966"/>
        </patternFill>
      </fill>
    </dxf>
    <dxf>
      <fill>
        <patternFill>
          <bgColor rgb="FFFF6B6B"/>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548235"/>
      <rgbColor rgb="FF800080"/>
      <rgbColor rgb="FF008080"/>
      <rgbColor rgb="FFC0C0C0"/>
      <rgbColor rgb="FF808080"/>
      <rgbColor rgb="FF9999FF"/>
      <rgbColor rgb="FF7030A0"/>
      <rgbColor rgb="FFFFF2CC"/>
      <rgbColor rgb="FFDDEBF7"/>
      <rgbColor rgb="FF660066"/>
      <rgbColor rgb="FFFF6B6B"/>
      <rgbColor rgb="FF0066CC"/>
      <rgbColor rgb="FFD6E4F0"/>
      <rgbColor rgb="FF000080"/>
      <rgbColor rgb="FFFF00FF"/>
      <rgbColor rgb="FFFFFF00"/>
      <rgbColor rgb="FF00FFFF"/>
      <rgbColor rgb="FF800080"/>
      <rgbColor rgb="FF800000"/>
      <rgbColor rgb="FF008080"/>
      <rgbColor rgb="FF0000FF"/>
      <rgbColor rgb="FF00CCFF"/>
      <rgbColor rgb="FFF2F7FB"/>
      <rgbColor rgb="FFE2EFDA"/>
      <rgbColor rgb="FFFFFF99"/>
      <rgbColor rgb="FF99CCFF"/>
      <rgbColor rgb="FFFF99CC"/>
      <rgbColor rgb="FFCC99FF"/>
      <rgbColor rgb="FFFFD966"/>
      <rgbColor rgb="FF4472C4"/>
      <rgbColor rgb="FF33CCCC"/>
      <rgbColor rgb="FF99CC00"/>
      <rgbColor rgb="FFFFCC00"/>
      <rgbColor rgb="FFBF8F00"/>
      <rgbColor rgb="FFED7D31"/>
      <rgbColor rgb="FF666666"/>
      <rgbColor rgb="FF70AD47"/>
      <rgbColor rgb="FF003366"/>
      <rgbColor rgb="FF00B050"/>
      <rgbColor rgb="FF003300"/>
      <rgbColor rgb="FF333300"/>
      <rgbColor rgb="FFC55A11"/>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F6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3" min="3" style="1" width="22"/>
    <col collapsed="false" customWidth="true" hidden="false" outlineLevel="0" max="4" min="4" style="1" width="5"/>
    <col collapsed="false" customWidth="true" hidden="false" outlineLevel="0" max="5" min="5" style="1" width="28"/>
    <col collapsed="false" customWidth="true" hidden="false" outlineLevel="0" max="6" min="6" style="1" width="22"/>
  </cols>
  <sheetData>
    <row r="1" customFormat="false" ht="34.5" hidden="false" customHeight="true" outlineLevel="0" collapsed="false">
      <c r="A1" s="2" t="s">
        <v>0</v>
      </c>
      <c r="B1" s="2"/>
      <c r="C1" s="2"/>
      <c r="D1" s="2"/>
      <c r="E1" s="2"/>
      <c r="F1" s="2"/>
    </row>
    <row r="2" customFormat="false" ht="7.5" hidden="false" customHeight="true" outlineLevel="0" collapsed="false"/>
    <row r="3" customFormat="false" ht="21.75" hidden="false" customHeight="true" outlineLevel="0" collapsed="false">
      <c r="A3" s="3" t="s">
        <v>1</v>
      </c>
      <c r="B3" s="3"/>
      <c r="C3" s="3"/>
      <c r="D3" s="3"/>
      <c r="E3" s="3"/>
      <c r="F3" s="3"/>
    </row>
    <row r="4" customFormat="false" ht="15" hidden="false" customHeight="true" outlineLevel="0" collapsed="false">
      <c r="B4" s="4" t="s">
        <v>2</v>
      </c>
      <c r="C4" s="5"/>
      <c r="E4" s="4" t="s">
        <v>3</v>
      </c>
      <c r="F4" s="5"/>
    </row>
    <row r="5" customFormat="false" ht="15" hidden="false" customHeight="true" outlineLevel="0" collapsed="false">
      <c r="B5" s="4" t="s">
        <v>4</v>
      </c>
      <c r="C5" s="5" t="s">
        <v>5</v>
      </c>
      <c r="E5" s="4" t="s">
        <v>6</v>
      </c>
      <c r="F5" s="5"/>
    </row>
    <row r="7" customFormat="false" ht="21.75" hidden="false" customHeight="true" outlineLevel="0" collapsed="false">
      <c r="A7" s="3" t="s">
        <v>7</v>
      </c>
      <c r="B7" s="3"/>
      <c r="C7" s="3"/>
      <c r="D7" s="3"/>
      <c r="E7" s="3"/>
      <c r="F7" s="3"/>
    </row>
    <row r="8" customFormat="false" ht="15" hidden="false" customHeight="true" outlineLevel="0" collapsed="false">
      <c r="B8" s="4" t="s">
        <v>8</v>
      </c>
      <c r="C8" s="6"/>
      <c r="E8" s="4" t="s">
        <v>9</v>
      </c>
      <c r="F8" s="7"/>
    </row>
    <row r="9" customFormat="false" ht="15" hidden="false" customHeight="true" outlineLevel="0" collapsed="false">
      <c r="B9" s="4" t="s">
        <v>10</v>
      </c>
      <c r="C9" s="8" t="n">
        <v>120</v>
      </c>
      <c r="E9" s="4" t="s">
        <v>11</v>
      </c>
      <c r="F9" s="9" t="str">
        <f aca="false">IF(AND(F8&lt;&gt;"",C9&lt;&gt;""),F8+C9,"")</f>
        <v/>
      </c>
    </row>
    <row r="10" customFormat="false" ht="15" hidden="false" customHeight="true" outlineLevel="0" collapsed="false">
      <c r="B10" s="4" t="s">
        <v>12</v>
      </c>
      <c r="C10" s="10" t="n">
        <v>0.1</v>
      </c>
    </row>
    <row r="12" customFormat="false" ht="21.75" hidden="false" customHeight="true" outlineLevel="0" collapsed="false">
      <c r="A12" s="3" t="s">
        <v>13</v>
      </c>
      <c r="B12" s="3"/>
      <c r="C12" s="3"/>
      <c r="D12" s="3"/>
      <c r="E12" s="3"/>
      <c r="F12" s="3"/>
    </row>
    <row r="13" customFormat="false" ht="19.5" hidden="false" customHeight="true" outlineLevel="0" collapsed="false">
      <c r="A13" s="11" t="s">
        <v>14</v>
      </c>
      <c r="B13" s="11"/>
      <c r="C13" s="11"/>
      <c r="D13" s="11"/>
      <c r="E13" s="11"/>
      <c r="F13" s="11"/>
    </row>
    <row r="14" customFormat="false" ht="15" hidden="false" customHeight="true" outlineLevel="0" collapsed="false">
      <c r="B14" s="4" t="s">
        <v>15</v>
      </c>
      <c r="C14" s="5" t="s">
        <v>16</v>
      </c>
      <c r="E14" s="4" t="s">
        <v>17</v>
      </c>
      <c r="F14" s="12" t="n">
        <f aca="false">IFERROR(INDEX('Floor Plans'!$R$4:$R$33,MATCH(C14,'Floor Plans'!$B$4:$B$33,0)),0)</f>
        <v>192451.9</v>
      </c>
    </row>
    <row r="15" customFormat="false" ht="15" hidden="false" customHeight="true" outlineLevel="0" collapsed="false">
      <c r="B15" s="4" t="s">
        <v>18</v>
      </c>
      <c r="C15" s="13" t="n">
        <f aca="false">IFERROR(INDEX('Floor Plans'!$D$4:$D$33,MATCH(C14,'Floor Plans'!$B$4:$B$33,0)),"")</f>
        <v>3</v>
      </c>
      <c r="E15" s="4" t="s">
        <v>19</v>
      </c>
      <c r="F15" s="13" t="n">
        <f aca="false">IFERROR(INDEX('Floor Plans'!$E$4:$E$33,MATCH(C14,'Floor Plans'!$B$4:$B$33,0)),"")</f>
        <v>2.5</v>
      </c>
    </row>
    <row r="16" customFormat="false" ht="15" hidden="false" customHeight="true" outlineLevel="0" collapsed="false">
      <c r="B16" s="4" t="s">
        <v>20</v>
      </c>
      <c r="C16" s="14" t="n">
        <f aca="false">IFERROR(INDEX('Floor Plans'!$C$4:$C$33,MATCH(C14,'Floor Plans'!$B$4:$B$33,0)),0)</f>
        <v>1592</v>
      </c>
      <c r="E16" s="4" t="s">
        <v>21</v>
      </c>
      <c r="F16" s="13" t="str">
        <f aca="false">IFERROR(INDEX('Floor Plans'!$F$4:$F$33,MATCH(C14,'Floor Plans'!$B$4:$B$33,0)),"")</f>
        <v>None</v>
      </c>
    </row>
    <row r="17" customFormat="false" ht="15" hidden="false" customHeight="true" outlineLevel="0" collapsed="false">
      <c r="B17" s="4" t="s">
        <v>22</v>
      </c>
      <c r="C17" s="13" t="n">
        <f aca="false">IFERROR(INDEX('Floor Plans'!$G$4:$G$33,MATCH(C14,'Floor Plans'!$B$4:$B$33,0)),"")</f>
        <v>2</v>
      </c>
      <c r="E17" s="4" t="s">
        <v>23</v>
      </c>
      <c r="F17" s="13" t="str">
        <f aca="false">IFERROR(INDEX('Floor Plans'!$H$4:$H$33,MATCH(C14,'Floor Plans'!$B$4:$B$33,0)),"")</f>
        <v>Single Family</v>
      </c>
    </row>
    <row r="18" customFormat="false" ht="15" hidden="false" customHeight="true" outlineLevel="0" collapsed="false">
      <c r="B18" s="4" t="s">
        <v>24</v>
      </c>
      <c r="C18" s="13" t="str">
        <f aca="false">IFERROR(INDEX('Floor Plans'!$I$4:$I$33,MATCH(C14,'Floor Plans'!$B$4:$B$33,0)),"")&amp;" x "&amp;IFERROR(INDEX('Floor Plans'!$J$4:$J$33,MATCH(C14,'Floor Plans'!$B$4:$B$33,0)),"")</f>
        <v>24' x 33'</v>
      </c>
      <c r="E18" s="4" t="s">
        <v>25</v>
      </c>
      <c r="F18" s="5" t="s">
        <v>26</v>
      </c>
    </row>
    <row r="19" customFormat="false" ht="15" hidden="false" customHeight="true" outlineLevel="0" collapsed="false">
      <c r="B19" s="4" t="s">
        <v>27</v>
      </c>
      <c r="C19" s="15" t="n">
        <f aca="false">IF(F18="A",8,IF(F18="B",6,IF(F18="C",4.5,IF(F18="D",3,0))))</f>
        <v>4.5</v>
      </c>
      <c r="E19" s="4" t="s">
        <v>28</v>
      </c>
      <c r="F19" s="16" t="n">
        <f aca="false">C19*C16</f>
        <v>7164</v>
      </c>
    </row>
    <row r="21" customFormat="false" ht="21.75" hidden="false" customHeight="true" outlineLevel="0" collapsed="false">
      <c r="A21" s="3" t="s">
        <v>29</v>
      </c>
      <c r="B21" s="3"/>
      <c r="C21" s="3"/>
      <c r="D21" s="3"/>
      <c r="E21" s="3"/>
      <c r="F21" s="3"/>
    </row>
    <row r="22" customFormat="false" ht="15" hidden="false" customHeight="true" outlineLevel="0" collapsed="false">
      <c r="B22" s="4" t="s">
        <v>30</v>
      </c>
      <c r="C22" s="5" t="s">
        <v>31</v>
      </c>
      <c r="E22" s="4" t="s">
        <v>32</v>
      </c>
      <c r="F22" s="12" t="n">
        <f aca="false">IFERROR(INDEX(Municipalities!$K$4:$K$33,MATCH(C22,Municipalities!$B$4:$B$33,0)),0)</f>
        <v>0</v>
      </c>
    </row>
    <row r="23" customFormat="false" ht="15" hidden="false" customHeight="true" outlineLevel="0" collapsed="false">
      <c r="B23" s="4" t="s">
        <v>33</v>
      </c>
      <c r="C23" s="12" t="n">
        <f aca="false">IFERROR(INDEX(Municipalities!$C$4:$C$33,MATCH(C22,Municipalities!$B$4:$B$33,0)),0)</f>
        <v>0</v>
      </c>
      <c r="E23" s="4" t="s">
        <v>34</v>
      </c>
      <c r="F23" s="12" t="n">
        <f aca="false">IFERROR(INDEX(Municipalities!$D$4:$D$33,MATCH(C22,Municipalities!$B$4:$B$33,0)),0)</f>
        <v>0</v>
      </c>
    </row>
    <row r="24" customFormat="false" ht="15" hidden="false" customHeight="true" outlineLevel="0" collapsed="false">
      <c r="B24" s="4" t="s">
        <v>35</v>
      </c>
      <c r="C24" s="12" t="n">
        <f aca="false">IFERROR(INDEX(Municipalities!$E$4:$E$33,MATCH(C22,Municipalities!$B$4:$B$33,0)),0)</f>
        <v>0</v>
      </c>
      <c r="E24" s="4" t="s">
        <v>36</v>
      </c>
      <c r="F24" s="12" t="n">
        <f aca="false">IFERROR(INDEX(Municipalities!$F$4:$F$33,MATCH(C22,Municipalities!$B$4:$B$33,0)),0)</f>
        <v>0</v>
      </c>
    </row>
    <row r="25" customFormat="false" ht="15" hidden="false" customHeight="true" outlineLevel="0" collapsed="false">
      <c r="B25" s="4" t="s">
        <v>37</v>
      </c>
      <c r="C25" s="12" t="n">
        <f aca="false">IFERROR(INDEX(Municipalities!$G$4:$G$33,MATCH(C22,Municipalities!$B$4:$B$33,0)),0)</f>
        <v>0</v>
      </c>
      <c r="E25" s="4" t="s">
        <v>38</v>
      </c>
      <c r="F25" s="12" t="n">
        <f aca="false">IFERROR(INDEX(Municipalities!$H$4:$H$33,MATCH(C22,Municipalities!$B$4:$B$33,0)),0)</f>
        <v>0</v>
      </c>
    </row>
    <row r="26" customFormat="false" ht="15" hidden="false" customHeight="true" outlineLevel="0" collapsed="false">
      <c r="B26" s="4" t="s">
        <v>39</v>
      </c>
      <c r="C26" s="12" t="n">
        <f aca="false">IFERROR(INDEX(Municipalities!$I$4:$I$33,MATCH(C22,Municipalities!$B$4:$B$33,0)),0)</f>
        <v>0</v>
      </c>
      <c r="E26" s="4" t="s">
        <v>40</v>
      </c>
      <c r="F26" s="12" t="n">
        <f aca="false">IFERROR(INDEX(Municipalities!$J$4:$J$33,MATCH(C22,Municipalities!$B$4:$B$33,0)),0)</f>
        <v>0</v>
      </c>
    </row>
    <row r="28" customFormat="false" ht="21.75" hidden="false" customHeight="true" outlineLevel="0" collapsed="false">
      <c r="A28" s="3" t="s">
        <v>41</v>
      </c>
      <c r="B28" s="3"/>
      <c r="C28" s="3"/>
      <c r="D28" s="3"/>
      <c r="E28" s="3"/>
      <c r="F28" s="3"/>
    </row>
    <row r="29" customFormat="false" ht="15" hidden="false" customHeight="true" outlineLevel="0" collapsed="false">
      <c r="B29" s="4" t="s">
        <v>42</v>
      </c>
      <c r="C29" s="12" t="n">
        <f aca="false">IFERROR('Site Work Itemization'!C22,0)</f>
        <v>0</v>
      </c>
      <c r="E29" s="4" t="s">
        <v>43</v>
      </c>
      <c r="F29" s="6" t="n">
        <v>0</v>
      </c>
    </row>
    <row r="31" customFormat="false" ht="21.75" hidden="false" customHeight="true" outlineLevel="0" collapsed="false">
      <c r="A31" s="3" t="s">
        <v>44</v>
      </c>
      <c r="B31" s="3"/>
      <c r="C31" s="3"/>
      <c r="D31" s="3"/>
      <c r="E31" s="3"/>
      <c r="F31" s="3"/>
    </row>
    <row r="32" customFormat="false" ht="15" hidden="false" customHeight="true" outlineLevel="0" collapsed="false">
      <c r="B32" s="4" t="s">
        <v>45</v>
      </c>
      <c r="C32" s="16" t="n">
        <f aca="false">5000</f>
        <v>5000</v>
      </c>
      <c r="E32" s="4" t="s">
        <v>46</v>
      </c>
      <c r="F32" s="16" t="n">
        <f aca="false">1500</f>
        <v>1500</v>
      </c>
    </row>
    <row r="33" customFormat="false" ht="15" hidden="false" customHeight="true" outlineLevel="0" collapsed="false">
      <c r="B33" s="4" t="s">
        <v>47</v>
      </c>
      <c r="C33" s="16" t="n">
        <f aca="false">3000</f>
        <v>3000</v>
      </c>
      <c r="E33" s="4" t="s">
        <v>48</v>
      </c>
      <c r="F33" s="16" t="n">
        <f aca="false">3500</f>
        <v>3500</v>
      </c>
    </row>
    <row r="34" customFormat="false" ht="15" hidden="false" customHeight="true" outlineLevel="0" collapsed="false">
      <c r="B34" s="4" t="s">
        <v>49</v>
      </c>
      <c r="C34" s="16" t="n">
        <f aca="false">17000</f>
        <v>17000</v>
      </c>
      <c r="E34" s="4" t="s">
        <v>50</v>
      </c>
      <c r="F34" s="16" t="n">
        <f aca="false">IF(C8="",0,C8*0.05)</f>
        <v>0</v>
      </c>
    </row>
    <row r="35" customFormat="false" ht="15" hidden="false" customHeight="true" outlineLevel="0" collapsed="false">
      <c r="B35" s="4" t="s">
        <v>51</v>
      </c>
      <c r="C35" s="16" t="n">
        <f aca="false">ROUND(C9/30,0)*350</f>
        <v>1400</v>
      </c>
      <c r="E35" s="4" t="s">
        <v>52</v>
      </c>
      <c r="F35" s="16" t="n">
        <f aca="false">11000</f>
        <v>11000</v>
      </c>
    </row>
    <row r="37" customFormat="false" ht="21.75" hidden="false" customHeight="true" outlineLevel="0" collapsed="false">
      <c r="A37" s="3" t="s">
        <v>53</v>
      </c>
      <c r="B37" s="3"/>
      <c r="C37" s="3"/>
      <c r="D37" s="3"/>
      <c r="E37" s="3"/>
      <c r="F37" s="3"/>
    </row>
    <row r="38" customFormat="false" ht="15" hidden="false" customHeight="true" outlineLevel="0" collapsed="false">
      <c r="B38" s="4" t="s">
        <v>54</v>
      </c>
      <c r="C38" s="6"/>
      <c r="E38" s="4" t="s">
        <v>55</v>
      </c>
      <c r="F38" s="16" t="n">
        <f aca="false">IF(C38="",0,C38*0.085)</f>
        <v>0</v>
      </c>
    </row>
    <row r="39" customFormat="false" ht="15" hidden="false" customHeight="true" outlineLevel="0" collapsed="false">
      <c r="B39" s="4" t="s">
        <v>56</v>
      </c>
      <c r="C39" s="6" t="n">
        <v>0</v>
      </c>
    </row>
    <row r="41" customFormat="false" ht="21.75" hidden="false" customHeight="true" outlineLevel="0" collapsed="false">
      <c r="A41" s="3" t="s">
        <v>57</v>
      </c>
      <c r="B41" s="3"/>
      <c r="C41" s="3"/>
      <c r="D41" s="3"/>
      <c r="E41" s="3"/>
      <c r="F41" s="3"/>
    </row>
    <row r="42" customFormat="false" ht="15" hidden="false" customHeight="true" outlineLevel="0" collapsed="false">
      <c r="B42" s="4" t="s">
        <v>17</v>
      </c>
      <c r="C42" s="12" t="n">
        <f aca="false">F14</f>
        <v>192451.9</v>
      </c>
      <c r="E42" s="4" t="s">
        <v>28</v>
      </c>
      <c r="F42" s="16" t="n">
        <f aca="false">F19</f>
        <v>7164</v>
      </c>
    </row>
    <row r="43" customFormat="false" ht="15" hidden="false" customHeight="true" outlineLevel="0" collapsed="false">
      <c r="B43" s="4" t="s">
        <v>32</v>
      </c>
      <c r="C43" s="12" t="n">
        <f aca="false">F22</f>
        <v>0</v>
      </c>
      <c r="E43" s="4" t="s">
        <v>58</v>
      </c>
      <c r="F43" s="16" t="n">
        <f aca="false">C29+F29</f>
        <v>0</v>
      </c>
    </row>
    <row r="44" customFormat="false" ht="15" hidden="false" customHeight="true" outlineLevel="0" collapsed="false">
      <c r="B44" s="4" t="s">
        <v>59</v>
      </c>
      <c r="C44" s="16" t="n">
        <f aca="false">C32+F32+C33+F33+C34+F35</f>
        <v>41000</v>
      </c>
      <c r="E44" s="4" t="s">
        <v>60</v>
      </c>
      <c r="F44" s="16" t="n">
        <f aca="false">F34+C35</f>
        <v>1400</v>
      </c>
    </row>
    <row r="45" customFormat="false" ht="23.25" hidden="false" customHeight="true" outlineLevel="0" collapsed="false">
      <c r="B45" s="4" t="s">
        <v>61</v>
      </c>
      <c r="C45" s="17" t="n">
        <f aca="false">IF(C8="",0,C8)+C42+F42+C43+F43+C44+F44</f>
        <v>242015.9</v>
      </c>
      <c r="E45" s="4" t="s">
        <v>62</v>
      </c>
      <c r="F45" s="16" t="n">
        <f aca="false">C45*0.85</f>
        <v>205713.515</v>
      </c>
    </row>
    <row r="46" customFormat="false" ht="15" hidden="false" customHeight="true" outlineLevel="0" collapsed="false">
      <c r="B46" s="4" t="s">
        <v>63</v>
      </c>
      <c r="C46" s="16" t="n">
        <f aca="false">C45-F45</f>
        <v>36302.385</v>
      </c>
      <c r="E46" s="4" t="s">
        <v>64</v>
      </c>
      <c r="F46" s="16" t="n">
        <f aca="false">F45</f>
        <v>205713.515</v>
      </c>
    </row>
    <row r="48" customFormat="false" ht="21.75" hidden="false" customHeight="true" outlineLevel="0" collapsed="false">
      <c r="A48" s="3" t="s">
        <v>65</v>
      </c>
      <c r="B48" s="3"/>
      <c r="C48" s="3"/>
      <c r="D48" s="3"/>
      <c r="E48" s="3"/>
      <c r="F48" s="3"/>
    </row>
    <row r="49" customFormat="false" ht="15" hidden="false" customHeight="true" outlineLevel="0" collapsed="false">
      <c r="B49" s="4" t="s">
        <v>66</v>
      </c>
      <c r="C49" s="16" t="n">
        <f aca="false">ROUND(F46*(C10/360)*C9,0)</f>
        <v>6857</v>
      </c>
      <c r="E49" s="4" t="s">
        <v>67</v>
      </c>
      <c r="F49" s="18" t="n">
        <f aca="false">C9</f>
        <v>120</v>
      </c>
    </row>
    <row r="50" customFormat="false" ht="15" hidden="false" customHeight="true" outlineLevel="0" collapsed="false">
      <c r="B50" s="4" t="s">
        <v>68</v>
      </c>
      <c r="C50" s="16" t="n">
        <f aca="false">ROUND(0.16*C46/360*C9,0)</f>
        <v>1936</v>
      </c>
      <c r="E50" s="4" t="s">
        <v>69</v>
      </c>
      <c r="F50" s="16" t="n">
        <f aca="false">C46+C49+C50</f>
        <v>45095.385</v>
      </c>
    </row>
    <row r="51" customFormat="false" ht="15" hidden="false" customHeight="true" outlineLevel="0" collapsed="false">
      <c r="B51" s="4" t="s">
        <v>70</v>
      </c>
      <c r="C51" s="16" t="n">
        <f aca="false">C49+C50</f>
        <v>8793</v>
      </c>
    </row>
    <row r="53" customFormat="false" ht="25.5" hidden="false" customHeight="true" outlineLevel="0" collapsed="false">
      <c r="A53" s="19" t="s">
        <v>71</v>
      </c>
      <c r="B53" s="19"/>
      <c r="C53" s="19"/>
      <c r="D53" s="19"/>
      <c r="E53" s="19"/>
      <c r="F53" s="19"/>
    </row>
    <row r="54" customFormat="false" ht="15" hidden="false" customHeight="true" outlineLevel="0" collapsed="false">
      <c r="B54" s="4" t="s">
        <v>72</v>
      </c>
      <c r="C54" s="20" t="n">
        <f aca="false">C45+C51</f>
        <v>250808.9</v>
      </c>
      <c r="E54" s="4" t="s">
        <v>73</v>
      </c>
      <c r="F54" s="20" t="n">
        <f aca="false">IF(C38="",0,C38)</f>
        <v>0</v>
      </c>
    </row>
    <row r="55" customFormat="false" ht="15" hidden="false" customHeight="true" outlineLevel="0" collapsed="false">
      <c r="B55" s="4" t="s">
        <v>74</v>
      </c>
      <c r="C55" s="20" t="n">
        <f aca="false">F38+C39</f>
        <v>0</v>
      </c>
      <c r="E55" s="4" t="s">
        <v>75</v>
      </c>
      <c r="F55" s="20" t="n">
        <f aca="false">F54-C55</f>
        <v>0</v>
      </c>
    </row>
    <row r="56" customFormat="false" ht="27.75" hidden="false" customHeight="true" outlineLevel="0" collapsed="false">
      <c r="B56" s="4" t="s">
        <v>76</v>
      </c>
      <c r="C56" s="21" t="n">
        <f aca="false">F55-C54</f>
        <v>-250808.9</v>
      </c>
      <c r="E56" s="4" t="s">
        <v>77</v>
      </c>
      <c r="F56" s="22" t="n">
        <f aca="false">IF(F54=0,0,C56/F54)</f>
        <v>0</v>
      </c>
    </row>
    <row r="57" customFormat="false" ht="27.75" hidden="false" customHeight="true" outlineLevel="0" collapsed="false">
      <c r="B57" s="4" t="s">
        <v>78</v>
      </c>
      <c r="C57" s="20" t="n">
        <f aca="false">IF(C8="",0,C8)+C29+F29</f>
        <v>0</v>
      </c>
      <c r="E57" s="4" t="s">
        <v>79</v>
      </c>
      <c r="F57" s="23" t="n">
        <f aca="false">IF(F54=0,0,C57/F54)</f>
        <v>0</v>
      </c>
    </row>
    <row r="58" customFormat="false" ht="21.75" hidden="false" customHeight="true" outlineLevel="0" collapsed="false">
      <c r="A58" s="3" t="s">
        <v>80</v>
      </c>
      <c r="B58" s="3"/>
      <c r="C58" s="3"/>
      <c r="D58" s="3"/>
      <c r="E58" s="3"/>
      <c r="F58" s="3"/>
    </row>
    <row r="59" customFormat="false" ht="15" hidden="false" customHeight="true" outlineLevel="0" collapsed="false">
      <c r="B59" s="24" t="s">
        <v>81</v>
      </c>
      <c r="C59" s="24" t="s">
        <v>82</v>
      </c>
    </row>
    <row r="60" customFormat="false" ht="15" hidden="false" customHeight="true" outlineLevel="0" collapsed="false">
      <c r="B60" s="25" t="s">
        <v>83</v>
      </c>
      <c r="C60" s="25" t="s">
        <v>84</v>
      </c>
    </row>
    <row r="61" customFormat="false" ht="15" hidden="false" customHeight="true" outlineLevel="0" collapsed="false">
      <c r="B61" s="26" t="s">
        <v>85</v>
      </c>
      <c r="C61" s="26" t="s">
        <v>86</v>
      </c>
    </row>
    <row r="62" customFormat="false" ht="15" hidden="false" customHeight="true" outlineLevel="0" collapsed="false">
      <c r="B62" s="27" t="s">
        <v>87</v>
      </c>
      <c r="C62" s="27" t="s">
        <v>88</v>
      </c>
    </row>
    <row r="64" customFormat="false" ht="21.75" hidden="false" customHeight="true" outlineLevel="0" collapsed="false">
      <c r="A64" s="3" t="s">
        <v>89</v>
      </c>
      <c r="B64" s="3"/>
      <c r="C64" s="3"/>
      <c r="D64" s="3"/>
      <c r="E64" s="3"/>
      <c r="F64" s="3"/>
    </row>
    <row r="65" customFormat="false" ht="15" hidden="false" customHeight="true" outlineLevel="0" collapsed="false">
      <c r="B65" s="24" t="s">
        <v>90</v>
      </c>
      <c r="C65" s="24" t="s">
        <v>91</v>
      </c>
    </row>
    <row r="66" customFormat="false" ht="15" hidden="false" customHeight="true" outlineLevel="0" collapsed="false">
      <c r="B66" s="25" t="s">
        <v>92</v>
      </c>
      <c r="C66" s="25" t="s">
        <v>93</v>
      </c>
    </row>
    <row r="67" customFormat="false" ht="15" hidden="false" customHeight="true" outlineLevel="0" collapsed="false">
      <c r="B67" s="26" t="s">
        <v>94</v>
      </c>
      <c r="C67" s="26" t="s">
        <v>95</v>
      </c>
    </row>
    <row r="68" customFormat="false" ht="15" hidden="false" customHeight="true" outlineLevel="0" collapsed="false">
      <c r="B68" s="27" t="s">
        <v>96</v>
      </c>
      <c r="C68" s="27" t="s">
        <v>97</v>
      </c>
    </row>
  </sheetData>
  <mergeCells count="14">
    <mergeCell ref="A1:F1"/>
    <mergeCell ref="A3:F3"/>
    <mergeCell ref="A7:F7"/>
    <mergeCell ref="A12:F12"/>
    <mergeCell ref="A13:F13"/>
    <mergeCell ref="A21:F21"/>
    <mergeCell ref="A28:F28"/>
    <mergeCell ref="A31:F31"/>
    <mergeCell ref="A37:F37"/>
    <mergeCell ref="A41:F41"/>
    <mergeCell ref="A48:F48"/>
    <mergeCell ref="A53:F53"/>
    <mergeCell ref="A58:F58"/>
    <mergeCell ref="A64:F64"/>
  </mergeCells>
  <conditionalFormatting sqref="F56">
    <cfRule type="cellIs" priority="2" operator="greaterThanOrEqual" aboveAverage="0" equalAverage="0" bottom="0" percent="0" rank="0" text="" dxfId="0">
      <formula>0.1</formula>
    </cfRule>
    <cfRule type="cellIs" priority="3" operator="between" aboveAverage="0" equalAverage="0" bottom="0" percent="0" rank="0" text="" dxfId="1">
      <formula>0.07</formula>
      <formula>0.0999</formula>
    </cfRule>
    <cfRule type="cellIs" priority="4" operator="between" aboveAverage="0" equalAverage="0" bottom="0" percent="0" rank="0" text="" dxfId="2">
      <formula>0.05</formula>
      <formula>0.0699</formula>
    </cfRule>
    <cfRule type="cellIs" priority="5" operator="lessThan" aboveAverage="0" equalAverage="0" bottom="0" percent="0" rank="0" text="" dxfId="3">
      <formula>0.05</formula>
    </cfRule>
  </conditionalFormatting>
  <conditionalFormatting sqref="C56">
    <cfRule type="cellIs" priority="6" operator="lessThan" aboveAverage="0" equalAverage="0" bottom="0" percent="0" rank="0" text="" dxfId="3">
      <formula>0</formula>
    </cfRule>
  </conditionalFormatting>
  <conditionalFormatting sqref="F57">
    <cfRule type="cellIs" priority="7" operator="lessThan" aboveAverage="0" equalAverage="0" bottom="0" percent="0" rank="0" text="" dxfId="0">
      <formula>0.2</formula>
    </cfRule>
    <cfRule type="cellIs" priority="8" operator="between" aboveAverage="0" equalAverage="0" bottom="0" percent="0" rank="0" text="" dxfId="1">
      <formula>0.2</formula>
      <formula>0.2499</formula>
    </cfRule>
    <cfRule type="cellIs" priority="9" operator="between" aboveAverage="0" equalAverage="0" bottom="0" percent="0" rank="0" text="" dxfId="2">
      <formula>0.25</formula>
      <formula>0.2999</formula>
    </cfRule>
    <cfRule type="cellIs" priority="10" operator="greaterThanOrEqual" aboveAverage="0" equalAverage="0" bottom="0" percent="0" rank="0" text="" dxfId="3">
      <formula>0.3</formula>
    </cfRule>
  </conditionalFormatting>
  <dataValidations count="3">
    <dataValidation allowBlank="false" errorStyle="stop" operator="between" showDropDown="false" showErrorMessage="false" showInputMessage="false" sqref="C14" type="list">
      <formula1>'Floor Plans'!$B$4:$B$33</formula1>
      <formula2>0</formula2>
    </dataValidation>
    <dataValidation allowBlank="false" errorStyle="stop" operator="between" showDropDown="false" showErrorMessage="false" showInputMessage="false" sqref="F18" type="list">
      <formula1>"A,B,C,D,None"</formula1>
      <formula2>0</formula2>
    </dataValidation>
    <dataValidation allowBlank="false" errorStyle="stop" operator="between" showDropDown="false" showErrorMessage="false" showInputMessage="false" sqref="C22" type="list">
      <formula1>Municipalities!$B$4:$B$33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B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90"/>
  </cols>
  <sheetData>
    <row r="1" customFormat="false" ht="31.5" hidden="false" customHeight="true" outlineLevel="0" collapsed="false">
      <c r="A1" s="28" t="s">
        <v>98</v>
      </c>
      <c r="B1" s="28"/>
    </row>
    <row r="3" customFormat="false" ht="9.75" hidden="false" customHeight="true" outlineLevel="0" collapsed="false">
      <c r="B3" s="29"/>
    </row>
    <row r="4" customFormat="false" ht="24" hidden="false" customHeight="true" outlineLevel="0" collapsed="false">
      <c r="B4" s="30" t="s">
        <v>99</v>
      </c>
    </row>
    <row r="5" customFormat="false" ht="97.5" hidden="false" customHeight="true" outlineLevel="0" collapsed="false">
      <c r="B5" s="29" t="s">
        <v>100</v>
      </c>
    </row>
    <row r="6" customFormat="false" ht="9.75" hidden="false" customHeight="true" outlineLevel="0" collapsed="false">
      <c r="B6" s="29"/>
    </row>
    <row r="7" customFormat="false" ht="24" hidden="false" customHeight="true" outlineLevel="0" collapsed="false">
      <c r="B7" s="30" t="s">
        <v>101</v>
      </c>
    </row>
    <row r="8" customFormat="false" ht="9.75" hidden="false" customHeight="true" outlineLevel="0" collapsed="false">
      <c r="B8" s="29"/>
    </row>
    <row r="9" customFormat="false" ht="81.75" hidden="false" customHeight="true" outlineLevel="0" collapsed="false">
      <c r="A9" s="31" t="s">
        <v>102</v>
      </c>
      <c r="B9" s="29" t="s">
        <v>103</v>
      </c>
    </row>
    <row r="10" customFormat="false" ht="9.75" hidden="false" customHeight="true" outlineLevel="0" collapsed="false">
      <c r="B10" s="29"/>
    </row>
    <row r="11" customFormat="false" ht="66" hidden="false" customHeight="true" outlineLevel="0" collapsed="false">
      <c r="A11" s="31" t="s">
        <v>104</v>
      </c>
      <c r="B11" s="29" t="s">
        <v>105</v>
      </c>
    </row>
    <row r="12" customFormat="false" ht="9.75" hidden="false" customHeight="true" outlineLevel="0" collapsed="false">
      <c r="B12" s="29"/>
    </row>
    <row r="13" customFormat="false" ht="49.5" hidden="false" customHeight="true" outlineLevel="0" collapsed="false">
      <c r="A13" s="31" t="s">
        <v>106</v>
      </c>
      <c r="B13" s="29" t="s">
        <v>107</v>
      </c>
    </row>
    <row r="14" customFormat="false" ht="9.75" hidden="false" customHeight="true" outlineLevel="0" collapsed="false">
      <c r="B14" s="29"/>
    </row>
    <row r="15" customFormat="false" ht="66" hidden="false" customHeight="true" outlineLevel="0" collapsed="false">
      <c r="A15" s="31" t="s">
        <v>108</v>
      </c>
      <c r="B15" s="29" t="s">
        <v>109</v>
      </c>
    </row>
    <row r="16" customFormat="false" ht="9.75" hidden="false" customHeight="true" outlineLevel="0" collapsed="false">
      <c r="B16" s="29"/>
    </row>
    <row r="17" customFormat="false" ht="66" hidden="false" customHeight="true" outlineLevel="0" collapsed="false">
      <c r="A17" s="31" t="s">
        <v>110</v>
      </c>
      <c r="B17" s="29" t="s">
        <v>111</v>
      </c>
    </row>
    <row r="18" customFormat="false" ht="9.75" hidden="false" customHeight="true" outlineLevel="0" collapsed="false">
      <c r="B18" s="29"/>
    </row>
    <row r="19" customFormat="false" ht="49.5" hidden="false" customHeight="true" outlineLevel="0" collapsed="false">
      <c r="A19" s="31" t="s">
        <v>112</v>
      </c>
      <c r="B19" s="29" t="s">
        <v>113</v>
      </c>
    </row>
    <row r="20" customFormat="false" ht="9.75" hidden="false" customHeight="true" outlineLevel="0" collapsed="false">
      <c r="B20" s="29"/>
    </row>
    <row r="21" customFormat="false" ht="49.5" hidden="false" customHeight="true" outlineLevel="0" collapsed="false">
      <c r="A21" s="31" t="s">
        <v>114</v>
      </c>
      <c r="B21" s="29" t="s">
        <v>115</v>
      </c>
    </row>
    <row r="22" customFormat="false" ht="9.75" hidden="false" customHeight="true" outlineLevel="0" collapsed="false">
      <c r="B22" s="29"/>
    </row>
    <row r="23" customFormat="false" ht="49.5" hidden="false" customHeight="true" outlineLevel="0" collapsed="false">
      <c r="A23" s="31" t="s">
        <v>116</v>
      </c>
      <c r="B23" s="29" t="s">
        <v>117</v>
      </c>
    </row>
    <row r="24" customFormat="false" ht="9.75" hidden="false" customHeight="true" outlineLevel="0" collapsed="false">
      <c r="B24" s="29"/>
    </row>
    <row r="25" customFormat="false" ht="24" hidden="false" customHeight="true" outlineLevel="0" collapsed="false">
      <c r="B25" s="30" t="s">
        <v>118</v>
      </c>
    </row>
    <row r="26" customFormat="false" ht="9.75" hidden="false" customHeight="true" outlineLevel="0" collapsed="false">
      <c r="B26" s="29"/>
    </row>
    <row r="27" customFormat="false" ht="33.75" hidden="false" customHeight="true" outlineLevel="0" collapsed="false">
      <c r="A27" s="31" t="s">
        <v>102</v>
      </c>
      <c r="B27" s="29" t="s">
        <v>119</v>
      </c>
    </row>
    <row r="28" customFormat="false" ht="33.75" hidden="false" customHeight="true" outlineLevel="0" collapsed="false">
      <c r="A28" s="31" t="s">
        <v>104</v>
      </c>
      <c r="B28" s="29" t="s">
        <v>120</v>
      </c>
    </row>
    <row r="29" customFormat="false" ht="33.75" hidden="false" customHeight="true" outlineLevel="0" collapsed="false">
      <c r="A29" s="31" t="s">
        <v>106</v>
      </c>
      <c r="B29" s="29" t="s">
        <v>121</v>
      </c>
    </row>
    <row r="30" customFormat="false" ht="33.75" hidden="false" customHeight="true" outlineLevel="0" collapsed="false">
      <c r="A30" s="31" t="s">
        <v>108</v>
      </c>
      <c r="B30" s="29" t="s">
        <v>122</v>
      </c>
    </row>
    <row r="31" customFormat="false" ht="33.75" hidden="false" customHeight="true" outlineLevel="0" collapsed="false">
      <c r="A31" s="31" t="s">
        <v>110</v>
      </c>
      <c r="B31" s="29" t="s">
        <v>123</v>
      </c>
    </row>
    <row r="32" customFormat="false" ht="18" hidden="false" customHeight="true" outlineLevel="0" collapsed="false">
      <c r="A32" s="31" t="s">
        <v>112</v>
      </c>
      <c r="B32" s="29" t="s">
        <v>124</v>
      </c>
    </row>
    <row r="33" customFormat="false" ht="33.75" hidden="false" customHeight="true" outlineLevel="0" collapsed="false">
      <c r="A33" s="31" t="s">
        <v>114</v>
      </c>
      <c r="B33" s="29" t="s">
        <v>125</v>
      </c>
    </row>
    <row r="34" customFormat="false" ht="33.75" hidden="false" customHeight="true" outlineLevel="0" collapsed="false">
      <c r="A34" s="31" t="s">
        <v>116</v>
      </c>
      <c r="B34" s="29" t="s">
        <v>126</v>
      </c>
    </row>
    <row r="35" customFormat="false" ht="9.75" hidden="false" customHeight="true" outlineLevel="0" collapsed="false">
      <c r="B35" s="29"/>
    </row>
    <row r="36" customFormat="false" ht="24" hidden="false" customHeight="true" outlineLevel="0" collapsed="false">
      <c r="B36" s="30" t="s">
        <v>127</v>
      </c>
    </row>
    <row r="37" customFormat="false" ht="9.75" hidden="false" customHeight="true" outlineLevel="0" collapsed="false">
      <c r="B37" s="29"/>
    </row>
    <row r="38" customFormat="false" ht="33.75" hidden="false" customHeight="true" outlineLevel="0" collapsed="false">
      <c r="B38" s="29" t="s">
        <v>128</v>
      </c>
    </row>
    <row r="39" customFormat="false" ht="9.75" hidden="false" customHeight="true" outlineLevel="0" collapsed="false">
      <c r="B39" s="29"/>
    </row>
    <row r="40" customFormat="false" ht="49.5" hidden="false" customHeight="true" outlineLevel="0" collapsed="false">
      <c r="A40" s="31" t="s">
        <v>102</v>
      </c>
      <c r="B40" s="29" t="s">
        <v>129</v>
      </c>
    </row>
    <row r="41" customFormat="false" ht="33.75" hidden="false" customHeight="true" outlineLevel="0" collapsed="false">
      <c r="A41" s="31" t="s">
        <v>104</v>
      </c>
      <c r="B41" s="29" t="s">
        <v>130</v>
      </c>
    </row>
    <row r="42" customFormat="false" ht="33.75" hidden="false" customHeight="true" outlineLevel="0" collapsed="false">
      <c r="A42" s="31" t="s">
        <v>106</v>
      </c>
      <c r="B42" s="29" t="s">
        <v>131</v>
      </c>
    </row>
    <row r="43" customFormat="false" ht="33.75" hidden="false" customHeight="true" outlineLevel="0" collapsed="false">
      <c r="A43" s="31" t="s">
        <v>108</v>
      </c>
      <c r="B43" s="29" t="s">
        <v>132</v>
      </c>
    </row>
    <row r="44" customFormat="false" ht="9.75" hidden="false" customHeight="true" outlineLevel="0" collapsed="false">
      <c r="B44" s="29"/>
    </row>
    <row r="45" customFormat="false" ht="24" hidden="false" customHeight="true" outlineLevel="0" collapsed="false">
      <c r="B45" s="30" t="s">
        <v>133</v>
      </c>
    </row>
    <row r="46" customFormat="false" ht="9.75" hidden="false" customHeight="true" outlineLevel="0" collapsed="false">
      <c r="B46" s="29"/>
    </row>
    <row r="47" customFormat="false" ht="97.5" hidden="false" customHeight="true" outlineLevel="0" collapsed="false">
      <c r="B47" s="29" t="s">
        <v>134</v>
      </c>
    </row>
    <row r="48" customFormat="false" ht="9.75" hidden="false" customHeight="true" outlineLevel="0" collapsed="false">
      <c r="B48" s="29"/>
    </row>
    <row r="49" customFormat="false" ht="49.5" hidden="false" customHeight="true" outlineLevel="0" collapsed="false">
      <c r="B49" s="29" t="s">
        <v>135</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R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8"/>
    <col collapsed="false" customWidth="true" hidden="false" outlineLevel="0" max="3" min="3" style="1" width="8"/>
    <col collapsed="false" customWidth="true" hidden="false" outlineLevel="0" max="4" min="4" style="1" width="6"/>
    <col collapsed="false" customWidth="true" hidden="false" outlineLevel="0" max="5" min="5" style="1" width="7"/>
    <col collapsed="false" customWidth="true" hidden="false" outlineLevel="0" max="6" min="6" style="1" width="9"/>
    <col collapsed="false" customWidth="true" hidden="false" outlineLevel="0" max="7" min="7" style="1" width="8"/>
    <col collapsed="false" customWidth="true" hidden="false" outlineLevel="0" max="8" min="8" style="1" width="14"/>
    <col collapsed="false" customWidth="true" hidden="false" outlineLevel="0" max="10" min="9" style="1" width="8"/>
    <col collapsed="false" customWidth="true" hidden="false" outlineLevel="0" max="11" min="11" style="1" width="16"/>
    <col collapsed="false" customWidth="true" hidden="false" outlineLevel="0" max="17" min="12" style="1" width="14"/>
    <col collapsed="false" customWidth="true" hidden="false" outlineLevel="0" max="18" min="18" style="1" width="18"/>
  </cols>
  <sheetData>
    <row r="1" customFormat="false" ht="31.5" hidden="false" customHeight="true" outlineLevel="0" collapsed="false">
      <c r="A1" s="32" t="s">
        <v>136</v>
      </c>
      <c r="B1" s="32"/>
      <c r="C1" s="32"/>
      <c r="D1" s="32"/>
      <c r="E1" s="32"/>
      <c r="F1" s="32"/>
      <c r="G1" s="32"/>
      <c r="H1" s="32"/>
      <c r="I1" s="32"/>
      <c r="J1" s="32"/>
      <c r="K1" s="32"/>
      <c r="L1" s="32"/>
      <c r="M1" s="32"/>
      <c r="N1" s="32"/>
      <c r="O1" s="32"/>
      <c r="P1" s="32"/>
      <c r="Q1" s="32"/>
      <c r="R1" s="32"/>
    </row>
    <row r="2" customFormat="false" ht="15" hidden="false" customHeight="true" outlineLevel="0" collapsed="false">
      <c r="A2" s="33" t="s">
        <v>137</v>
      </c>
      <c r="B2" s="33"/>
      <c r="C2" s="33"/>
      <c r="D2" s="33"/>
      <c r="E2" s="33"/>
      <c r="F2" s="33"/>
      <c r="G2" s="33"/>
      <c r="H2" s="33"/>
      <c r="I2" s="33"/>
      <c r="J2" s="33"/>
      <c r="K2" s="33"/>
      <c r="L2" s="33"/>
      <c r="M2" s="33"/>
      <c r="N2" s="33"/>
      <c r="O2" s="33"/>
      <c r="P2" s="33"/>
      <c r="Q2" s="33"/>
      <c r="R2" s="33"/>
    </row>
    <row r="3" customFormat="false" ht="15" hidden="false" customHeight="true" outlineLevel="0" collapsed="false">
      <c r="A3" s="34" t="s">
        <v>138</v>
      </c>
      <c r="B3" s="34" t="s">
        <v>139</v>
      </c>
      <c r="C3" s="34" t="s">
        <v>140</v>
      </c>
      <c r="D3" s="34" t="s">
        <v>141</v>
      </c>
      <c r="E3" s="34" t="s">
        <v>142</v>
      </c>
      <c r="F3" s="34" t="s">
        <v>21</v>
      </c>
      <c r="G3" s="34" t="s">
        <v>22</v>
      </c>
      <c r="H3" s="34" t="s">
        <v>23</v>
      </c>
      <c r="I3" s="34" t="s">
        <v>143</v>
      </c>
      <c r="J3" s="34" t="s">
        <v>144</v>
      </c>
      <c r="K3" s="34" t="s">
        <v>145</v>
      </c>
      <c r="L3" s="34" t="s">
        <v>146</v>
      </c>
      <c r="M3" s="34" t="s">
        <v>147</v>
      </c>
      <c r="N3" s="34" t="s">
        <v>148</v>
      </c>
      <c r="O3" s="34" t="s">
        <v>149</v>
      </c>
      <c r="P3" s="34" t="s">
        <v>150</v>
      </c>
      <c r="Q3" s="34" t="s">
        <v>151</v>
      </c>
      <c r="R3" s="34" t="s">
        <v>152</v>
      </c>
    </row>
    <row r="4" customFormat="false" ht="15" hidden="false" customHeight="true" outlineLevel="0" collapsed="false">
      <c r="A4" s="35" t="n">
        <v>1</v>
      </c>
      <c r="B4" s="5" t="s">
        <v>153</v>
      </c>
      <c r="C4" s="8" t="n">
        <v>1170</v>
      </c>
      <c r="D4" s="5" t="n">
        <v>3</v>
      </c>
      <c r="E4" s="5" t="n">
        <v>2</v>
      </c>
      <c r="F4" s="5" t="s">
        <v>154</v>
      </c>
      <c r="G4" s="5" t="n">
        <v>1</v>
      </c>
      <c r="H4" s="5" t="s">
        <v>155</v>
      </c>
      <c r="I4" s="5" t="s">
        <v>156</v>
      </c>
      <c r="J4" s="5" t="s">
        <v>157</v>
      </c>
      <c r="K4" s="6" t="n">
        <v>96076</v>
      </c>
      <c r="L4" s="6" t="n">
        <v>3500</v>
      </c>
      <c r="M4" s="6" t="n">
        <v>15000</v>
      </c>
      <c r="N4" s="6" t="n">
        <v>0</v>
      </c>
      <c r="O4" s="6" t="n">
        <v>15000</v>
      </c>
      <c r="P4" s="6" t="n">
        <v>6478.8</v>
      </c>
      <c r="Q4" s="6" t="n">
        <v>25000</v>
      </c>
      <c r="R4" s="17" t="n">
        <f aca="false">SUM(K4:Q4)</f>
        <v>161054.8</v>
      </c>
    </row>
    <row r="5" customFormat="false" ht="15" hidden="false" customHeight="true" outlineLevel="0" collapsed="false">
      <c r="A5" s="35" t="n">
        <v>2</v>
      </c>
      <c r="B5" s="5" t="s">
        <v>158</v>
      </c>
      <c r="C5" s="8" t="n">
        <v>1188</v>
      </c>
      <c r="D5" s="5" t="n">
        <v>3</v>
      </c>
      <c r="E5" s="5" t="n">
        <v>2</v>
      </c>
      <c r="F5" s="5" t="s">
        <v>159</v>
      </c>
      <c r="G5" s="5" t="n">
        <v>1</v>
      </c>
      <c r="H5" s="5" t="s">
        <v>155</v>
      </c>
      <c r="I5" s="5" t="s">
        <v>160</v>
      </c>
      <c r="J5" s="5" t="s">
        <v>161</v>
      </c>
      <c r="K5" s="6" t="n">
        <v>97831</v>
      </c>
      <c r="L5" s="6" t="n">
        <v>3500</v>
      </c>
      <c r="M5" s="6" t="n">
        <v>15000</v>
      </c>
      <c r="N5" s="6" t="n">
        <v>0</v>
      </c>
      <c r="O5" s="6" t="n">
        <v>15000</v>
      </c>
      <c r="P5" s="6" t="n">
        <v>6566.55</v>
      </c>
      <c r="Q5" s="6" t="n">
        <v>25000</v>
      </c>
      <c r="R5" s="17" t="n">
        <f aca="false">SUM(K5:Q5)</f>
        <v>162897.55</v>
      </c>
    </row>
    <row r="6" customFormat="false" ht="15" hidden="false" customHeight="true" outlineLevel="0" collapsed="false">
      <c r="A6" s="35" t="n">
        <v>3</v>
      </c>
      <c r="B6" s="5" t="s">
        <v>162</v>
      </c>
      <c r="C6" s="8" t="n">
        <v>1304</v>
      </c>
      <c r="D6" s="5" t="n">
        <v>3</v>
      </c>
      <c r="E6" s="5" t="n">
        <v>2.5</v>
      </c>
      <c r="F6" s="5" t="s">
        <v>163</v>
      </c>
      <c r="G6" s="5" t="n">
        <v>2</v>
      </c>
      <c r="H6" s="5" t="s">
        <v>164</v>
      </c>
      <c r="I6" s="5" t="s">
        <v>165</v>
      </c>
      <c r="J6" s="5" t="s">
        <v>166</v>
      </c>
      <c r="K6" s="6" t="n">
        <v>105668</v>
      </c>
      <c r="L6" s="6" t="n">
        <v>3500</v>
      </c>
      <c r="M6" s="6" t="n">
        <v>15000</v>
      </c>
      <c r="N6" s="6" t="n">
        <v>0</v>
      </c>
      <c r="O6" s="6" t="n">
        <v>15000</v>
      </c>
      <c r="P6" s="6" t="n">
        <v>6958.4</v>
      </c>
      <c r="Q6" s="6" t="n">
        <v>25000</v>
      </c>
      <c r="R6" s="17" t="n">
        <f aca="false">SUM(K6:Q6)</f>
        <v>171126.4</v>
      </c>
    </row>
    <row r="7" customFormat="false" ht="15" hidden="false" customHeight="true" outlineLevel="0" collapsed="false">
      <c r="A7" s="35" t="n">
        <v>4</v>
      </c>
      <c r="B7" s="5" t="s">
        <v>167</v>
      </c>
      <c r="C7" s="8" t="n">
        <v>1383</v>
      </c>
      <c r="D7" s="5" t="n">
        <v>3</v>
      </c>
      <c r="E7" s="5" t="n">
        <v>3</v>
      </c>
      <c r="F7" s="5" t="s">
        <v>154</v>
      </c>
      <c r="G7" s="5" t="n">
        <v>1.5</v>
      </c>
      <c r="H7" s="5" t="s">
        <v>155</v>
      </c>
      <c r="I7" s="5" t="s">
        <v>156</v>
      </c>
      <c r="J7" s="5" t="s">
        <v>168</v>
      </c>
      <c r="K7" s="6" t="n">
        <v>113798</v>
      </c>
      <c r="L7" s="6" t="n">
        <v>3500</v>
      </c>
      <c r="M7" s="6" t="n">
        <v>15000</v>
      </c>
      <c r="N7" s="6" t="n">
        <v>0</v>
      </c>
      <c r="O7" s="6" t="n">
        <v>15000</v>
      </c>
      <c r="P7" s="6" t="n">
        <v>7364.9</v>
      </c>
      <c r="Q7" s="6" t="n">
        <v>25000</v>
      </c>
      <c r="R7" s="17" t="n">
        <f aca="false">SUM(K7:Q7)</f>
        <v>179662.9</v>
      </c>
    </row>
    <row r="8" customFormat="false" ht="15" hidden="false" customHeight="true" outlineLevel="0" collapsed="false">
      <c r="A8" s="35" t="n">
        <v>5</v>
      </c>
      <c r="B8" s="5" t="s">
        <v>169</v>
      </c>
      <c r="C8" s="8" t="n">
        <v>1400</v>
      </c>
      <c r="D8" s="5" t="n">
        <v>3</v>
      </c>
      <c r="E8" s="5" t="n">
        <v>3</v>
      </c>
      <c r="F8" s="5" t="s">
        <v>159</v>
      </c>
      <c r="G8" s="5" t="n">
        <v>3</v>
      </c>
      <c r="H8" s="5" t="s">
        <v>155</v>
      </c>
      <c r="I8" s="5" t="s">
        <v>170</v>
      </c>
      <c r="J8" s="5" t="s">
        <v>171</v>
      </c>
      <c r="K8" s="6" t="n">
        <v>115510</v>
      </c>
      <c r="L8" s="6" t="n">
        <v>3500</v>
      </c>
      <c r="M8" s="6" t="n">
        <v>15000</v>
      </c>
      <c r="N8" s="6" t="n">
        <v>0</v>
      </c>
      <c r="O8" s="6" t="n">
        <v>15000</v>
      </c>
      <c r="P8" s="6" t="n">
        <v>7450.5</v>
      </c>
      <c r="Q8" s="6" t="n">
        <v>25000</v>
      </c>
      <c r="R8" s="17" t="n">
        <f aca="false">SUM(K8:Q8)</f>
        <v>181460.5</v>
      </c>
    </row>
    <row r="9" customFormat="false" ht="15" hidden="false" customHeight="true" outlineLevel="0" collapsed="false">
      <c r="A9" s="35" t="n">
        <v>6</v>
      </c>
      <c r="B9" s="5" t="s">
        <v>172</v>
      </c>
      <c r="C9" s="8" t="n">
        <v>1500</v>
      </c>
      <c r="D9" s="5" t="n">
        <v>3</v>
      </c>
      <c r="E9" s="5" t="n">
        <v>2.5</v>
      </c>
      <c r="F9" s="5" t="s">
        <v>154</v>
      </c>
      <c r="G9" s="5" t="n">
        <v>2</v>
      </c>
      <c r="H9" s="5" t="s">
        <v>164</v>
      </c>
      <c r="I9" s="5" t="s">
        <v>165</v>
      </c>
      <c r="J9" s="5" t="s">
        <v>173</v>
      </c>
      <c r="K9" s="6" t="n">
        <v>120582</v>
      </c>
      <c r="L9" s="6" t="n">
        <v>3500</v>
      </c>
      <c r="M9" s="6" t="n">
        <v>15000</v>
      </c>
      <c r="N9" s="6" t="n">
        <v>0</v>
      </c>
      <c r="O9" s="6" t="n">
        <v>15000</v>
      </c>
      <c r="P9" s="6" t="n">
        <v>7704.1</v>
      </c>
      <c r="Q9" s="6" t="n">
        <v>25000</v>
      </c>
      <c r="R9" s="17" t="n">
        <f aca="false">SUM(K9:Q9)</f>
        <v>186786.1</v>
      </c>
    </row>
    <row r="10" customFormat="false" ht="15" hidden="false" customHeight="true" outlineLevel="0" collapsed="false">
      <c r="A10" s="35" t="n">
        <v>7</v>
      </c>
      <c r="B10" s="5" t="s">
        <v>174</v>
      </c>
      <c r="C10" s="8" t="n">
        <v>1541</v>
      </c>
      <c r="D10" s="5" t="n">
        <v>3</v>
      </c>
      <c r="E10" s="5" t="n">
        <v>2.5</v>
      </c>
      <c r="F10" s="5" t="s">
        <v>159</v>
      </c>
      <c r="G10" s="5" t="n">
        <v>2</v>
      </c>
      <c r="H10" s="5" t="s">
        <v>155</v>
      </c>
      <c r="I10" s="5" t="s">
        <v>160</v>
      </c>
      <c r="J10" s="5" t="s">
        <v>161</v>
      </c>
      <c r="K10" s="6" t="n">
        <v>123967</v>
      </c>
      <c r="L10" s="6" t="n">
        <v>3500</v>
      </c>
      <c r="M10" s="6" t="n">
        <v>15000</v>
      </c>
      <c r="N10" s="6" t="n">
        <v>0</v>
      </c>
      <c r="O10" s="6" t="n">
        <v>15000</v>
      </c>
      <c r="P10" s="6" t="n">
        <v>7873.35</v>
      </c>
      <c r="Q10" s="6" t="n">
        <v>25000</v>
      </c>
      <c r="R10" s="17" t="n">
        <f aca="false">SUM(K10:Q10)</f>
        <v>190340.35</v>
      </c>
    </row>
    <row r="11" customFormat="false" ht="15" hidden="false" customHeight="true" outlineLevel="0" collapsed="false">
      <c r="A11" s="35" t="n">
        <v>8</v>
      </c>
      <c r="B11" s="5" t="s">
        <v>175</v>
      </c>
      <c r="C11" s="8" t="n">
        <v>1545</v>
      </c>
      <c r="D11" s="5" t="n">
        <v>3</v>
      </c>
      <c r="E11" s="5" t="n">
        <v>2</v>
      </c>
      <c r="F11" s="5" t="s">
        <v>159</v>
      </c>
      <c r="G11" s="5" t="n">
        <v>1</v>
      </c>
      <c r="H11" s="5" t="s">
        <v>155</v>
      </c>
      <c r="I11" s="5" t="s">
        <v>176</v>
      </c>
      <c r="J11" s="5" t="s">
        <v>177</v>
      </c>
      <c r="K11" s="6" t="n">
        <v>122622</v>
      </c>
      <c r="L11" s="6" t="n">
        <v>3500</v>
      </c>
      <c r="M11" s="6" t="n">
        <v>15000</v>
      </c>
      <c r="N11" s="6" t="n">
        <v>0</v>
      </c>
      <c r="O11" s="6" t="n">
        <v>15000</v>
      </c>
      <c r="P11" s="6" t="n">
        <v>7806.1</v>
      </c>
      <c r="Q11" s="6" t="n">
        <v>25000</v>
      </c>
      <c r="R11" s="17" t="n">
        <f aca="false">SUM(K11:Q11)</f>
        <v>188928.1</v>
      </c>
    </row>
    <row r="12" customFormat="false" ht="15" hidden="false" customHeight="true" outlineLevel="0" collapsed="false">
      <c r="A12" s="35" t="n">
        <v>9</v>
      </c>
      <c r="B12" s="5" t="s">
        <v>16</v>
      </c>
      <c r="C12" s="8" t="n">
        <v>1592</v>
      </c>
      <c r="D12" s="5" t="n">
        <v>3</v>
      </c>
      <c r="E12" s="5" t="n">
        <v>2.5</v>
      </c>
      <c r="F12" s="5" t="s">
        <v>163</v>
      </c>
      <c r="G12" s="5" t="n">
        <v>2</v>
      </c>
      <c r="H12" s="5" t="s">
        <v>155</v>
      </c>
      <c r="I12" s="5" t="s">
        <v>171</v>
      </c>
      <c r="J12" s="5" t="s">
        <v>178</v>
      </c>
      <c r="K12" s="6" t="n">
        <v>125978</v>
      </c>
      <c r="L12" s="6" t="n">
        <v>3500</v>
      </c>
      <c r="M12" s="6" t="n">
        <v>15000</v>
      </c>
      <c r="N12" s="6" t="n">
        <v>0</v>
      </c>
      <c r="O12" s="6" t="n">
        <v>15000</v>
      </c>
      <c r="P12" s="6" t="n">
        <v>7973.9</v>
      </c>
      <c r="Q12" s="6" t="n">
        <v>25000</v>
      </c>
      <c r="R12" s="17" t="n">
        <f aca="false">SUM(K12:Q12)</f>
        <v>192451.9</v>
      </c>
    </row>
    <row r="13" customFormat="false" ht="15" hidden="false" customHeight="true" outlineLevel="0" collapsed="false">
      <c r="A13" s="35" t="n">
        <v>10</v>
      </c>
      <c r="B13" s="5" t="s">
        <v>179</v>
      </c>
      <c r="C13" s="8" t="n">
        <v>1700</v>
      </c>
      <c r="D13" s="5" t="n">
        <v>3</v>
      </c>
      <c r="E13" s="5" t="n">
        <v>2.5</v>
      </c>
      <c r="F13" s="5" t="s">
        <v>154</v>
      </c>
      <c r="G13" s="5" t="n">
        <v>2</v>
      </c>
      <c r="H13" s="5" t="s">
        <v>164</v>
      </c>
      <c r="I13" s="5" t="s">
        <v>165</v>
      </c>
      <c r="J13" s="5" t="s">
        <v>157</v>
      </c>
      <c r="K13" s="6" t="n">
        <v>134662</v>
      </c>
      <c r="L13" s="6" t="n">
        <v>3500</v>
      </c>
      <c r="M13" s="6" t="n">
        <v>15000</v>
      </c>
      <c r="N13" s="6" t="n">
        <v>0</v>
      </c>
      <c r="O13" s="6" t="n">
        <v>15000</v>
      </c>
      <c r="P13" s="6" t="n">
        <v>8408.1</v>
      </c>
      <c r="Q13" s="6" t="n">
        <v>25000</v>
      </c>
      <c r="R13" s="17" t="n">
        <f aca="false">SUM(K13:Q13)</f>
        <v>201570.1</v>
      </c>
    </row>
    <row r="14" customFormat="false" ht="15" hidden="false" customHeight="true" outlineLevel="0" collapsed="false">
      <c r="A14" s="35" t="n">
        <v>11</v>
      </c>
      <c r="B14" s="5" t="s">
        <v>180</v>
      </c>
      <c r="C14" s="8" t="n">
        <v>1712</v>
      </c>
      <c r="D14" s="5" t="n">
        <v>4</v>
      </c>
      <c r="E14" s="5" t="n">
        <v>2.5</v>
      </c>
      <c r="F14" s="5" t="s">
        <v>159</v>
      </c>
      <c r="G14" s="5" t="n">
        <v>2</v>
      </c>
      <c r="H14" s="5" t="s">
        <v>155</v>
      </c>
      <c r="I14" s="5" t="s">
        <v>170</v>
      </c>
      <c r="J14" s="5" t="s">
        <v>181</v>
      </c>
      <c r="K14" s="6" t="n">
        <v>136009</v>
      </c>
      <c r="L14" s="6" t="n">
        <v>3500</v>
      </c>
      <c r="M14" s="6" t="n">
        <v>15000</v>
      </c>
      <c r="N14" s="6" t="n">
        <v>0</v>
      </c>
      <c r="O14" s="6" t="n">
        <v>15000</v>
      </c>
      <c r="P14" s="6" t="n">
        <v>8475.45</v>
      </c>
      <c r="Q14" s="6" t="n">
        <v>25000</v>
      </c>
      <c r="R14" s="17" t="n">
        <f aca="false">SUM(K14:Q14)</f>
        <v>202984.45</v>
      </c>
    </row>
    <row r="15" customFormat="false" ht="15" hidden="false" customHeight="true" outlineLevel="0" collapsed="false">
      <c r="A15" s="35" t="n">
        <v>12</v>
      </c>
      <c r="B15" s="5" t="s">
        <v>182</v>
      </c>
      <c r="C15" s="8" t="n">
        <v>1713</v>
      </c>
      <c r="D15" s="5" t="n">
        <v>4</v>
      </c>
      <c r="E15" s="5" t="n">
        <v>2.5</v>
      </c>
      <c r="F15" s="5" t="s">
        <v>159</v>
      </c>
      <c r="G15" s="5" t="n">
        <v>2</v>
      </c>
      <c r="H15" s="5" t="s">
        <v>155</v>
      </c>
      <c r="I15" s="5" t="s">
        <v>156</v>
      </c>
      <c r="J15" s="5" t="s">
        <v>183</v>
      </c>
      <c r="K15" s="6" t="n">
        <v>136078</v>
      </c>
      <c r="L15" s="6" t="n">
        <v>3500</v>
      </c>
      <c r="M15" s="6" t="n">
        <v>15000</v>
      </c>
      <c r="N15" s="6" t="n">
        <v>0</v>
      </c>
      <c r="O15" s="6" t="n">
        <v>15000</v>
      </c>
      <c r="P15" s="6" t="n">
        <v>8478.9</v>
      </c>
      <c r="Q15" s="6" t="n">
        <v>25000</v>
      </c>
      <c r="R15" s="17" t="n">
        <f aca="false">SUM(K15:Q15)</f>
        <v>203056.9</v>
      </c>
    </row>
    <row r="16" customFormat="false" ht="15" hidden="false" customHeight="true" outlineLevel="0" collapsed="false">
      <c r="A16" s="35" t="n">
        <v>13</v>
      </c>
      <c r="B16" s="5" t="s">
        <v>184</v>
      </c>
      <c r="C16" s="8" t="n">
        <v>1788</v>
      </c>
      <c r="D16" s="5" t="n">
        <v>3</v>
      </c>
      <c r="E16" s="5" t="n">
        <v>2.5</v>
      </c>
      <c r="F16" s="5" t="s">
        <v>159</v>
      </c>
      <c r="G16" s="5" t="n">
        <v>2</v>
      </c>
      <c r="H16" s="5" t="s">
        <v>155</v>
      </c>
      <c r="I16" s="5" t="s">
        <v>156</v>
      </c>
      <c r="J16" s="5" t="s">
        <v>183</v>
      </c>
      <c r="K16" s="6" t="n">
        <v>141355</v>
      </c>
      <c r="L16" s="6" t="n">
        <v>3500</v>
      </c>
      <c r="M16" s="6" t="n">
        <v>15000</v>
      </c>
      <c r="N16" s="6" t="n">
        <v>0</v>
      </c>
      <c r="O16" s="6" t="n">
        <v>15000</v>
      </c>
      <c r="P16" s="6" t="n">
        <v>8742.75</v>
      </c>
      <c r="Q16" s="6" t="n">
        <v>25000</v>
      </c>
      <c r="R16" s="17" t="n">
        <f aca="false">SUM(K16:Q16)</f>
        <v>208597.75</v>
      </c>
    </row>
    <row r="17" customFormat="false" ht="15" hidden="false" customHeight="true" outlineLevel="0" collapsed="false">
      <c r="A17" s="35" t="n">
        <v>14</v>
      </c>
      <c r="B17" s="5" t="s">
        <v>185</v>
      </c>
      <c r="C17" s="8" t="n">
        <v>1798</v>
      </c>
      <c r="D17" s="5" t="n">
        <v>3</v>
      </c>
      <c r="E17" s="5" t="n">
        <v>3.5</v>
      </c>
      <c r="F17" s="5" t="s">
        <v>154</v>
      </c>
      <c r="G17" s="5" t="n">
        <v>3</v>
      </c>
      <c r="H17" s="5" t="s">
        <v>164</v>
      </c>
      <c r="I17" s="5" t="s">
        <v>186</v>
      </c>
      <c r="J17" s="5" t="s">
        <v>187</v>
      </c>
      <c r="K17" s="6" t="n">
        <v>145350</v>
      </c>
      <c r="L17" s="6" t="n">
        <v>3500</v>
      </c>
      <c r="M17" s="6" t="n">
        <v>15000</v>
      </c>
      <c r="N17" s="6" t="n">
        <v>0</v>
      </c>
      <c r="O17" s="6" t="n">
        <v>15000</v>
      </c>
      <c r="P17" s="6" t="n">
        <v>8942.5</v>
      </c>
      <c r="Q17" s="6" t="n">
        <v>25000</v>
      </c>
      <c r="R17" s="17" t="n">
        <f aca="false">SUM(K17:Q17)</f>
        <v>212792.5</v>
      </c>
    </row>
    <row r="18" customFormat="false" ht="15" hidden="false" customHeight="true" outlineLevel="0" collapsed="false">
      <c r="A18" s="35" t="n">
        <v>15</v>
      </c>
      <c r="B18" s="5" t="s">
        <v>188</v>
      </c>
      <c r="C18" s="8" t="n">
        <v>1857</v>
      </c>
      <c r="D18" s="5" t="n">
        <v>4</v>
      </c>
      <c r="E18" s="5" t="n">
        <v>2.5</v>
      </c>
      <c r="F18" s="5" t="s">
        <v>154</v>
      </c>
      <c r="G18" s="5" t="n">
        <v>2</v>
      </c>
      <c r="H18" s="5" t="s">
        <v>155</v>
      </c>
      <c r="I18" s="5" t="s">
        <v>156</v>
      </c>
      <c r="J18" s="5" t="s">
        <v>187</v>
      </c>
      <c r="K18" s="6" t="n">
        <v>145710</v>
      </c>
      <c r="L18" s="6" t="n">
        <v>3500</v>
      </c>
      <c r="M18" s="6" t="n">
        <v>15000</v>
      </c>
      <c r="N18" s="6" t="n">
        <v>0</v>
      </c>
      <c r="O18" s="6" t="n">
        <v>15000</v>
      </c>
      <c r="P18" s="6" t="n">
        <v>8960.5</v>
      </c>
      <c r="Q18" s="6" t="n">
        <v>25000</v>
      </c>
      <c r="R18" s="17" t="n">
        <f aca="false">SUM(K18:Q18)</f>
        <v>213170.5</v>
      </c>
    </row>
    <row r="19" customFormat="false" ht="15" hidden="false" customHeight="true" outlineLevel="0" collapsed="false">
      <c r="A19" s="35" t="n">
        <v>16</v>
      </c>
      <c r="B19" s="5" t="s">
        <v>189</v>
      </c>
      <c r="C19" s="8" t="n">
        <v>2000</v>
      </c>
      <c r="D19" s="5" t="n">
        <v>4</v>
      </c>
      <c r="E19" s="5" t="n">
        <v>2.5</v>
      </c>
      <c r="F19" s="5" t="s">
        <v>159</v>
      </c>
      <c r="G19" s="5" t="n">
        <v>2</v>
      </c>
      <c r="H19" s="5" t="s">
        <v>155</v>
      </c>
      <c r="I19" s="5" t="s">
        <v>160</v>
      </c>
      <c r="J19" s="5" t="s">
        <v>190</v>
      </c>
      <c r="K19" s="6" t="n">
        <v>156262</v>
      </c>
      <c r="L19" s="6" t="n">
        <v>3500</v>
      </c>
      <c r="M19" s="6" t="n">
        <v>15000</v>
      </c>
      <c r="N19" s="6" t="n">
        <v>0</v>
      </c>
      <c r="O19" s="6" t="n">
        <v>15000</v>
      </c>
      <c r="P19" s="6" t="n">
        <v>9488.1</v>
      </c>
      <c r="Q19" s="6" t="n">
        <v>25000</v>
      </c>
      <c r="R19" s="17" t="n">
        <f aca="false">SUM(K19:Q19)</f>
        <v>224250.1</v>
      </c>
    </row>
    <row r="20" customFormat="false" ht="15" hidden="false" customHeight="true" outlineLevel="0" collapsed="false">
      <c r="A20" s="35" t="n">
        <v>17</v>
      </c>
      <c r="B20" s="5" t="s">
        <v>191</v>
      </c>
      <c r="C20" s="8" t="n">
        <v>2005</v>
      </c>
      <c r="D20" s="5" t="n">
        <v>4</v>
      </c>
      <c r="E20" s="5" t="n">
        <v>2.5</v>
      </c>
      <c r="F20" s="5" t="s">
        <v>159</v>
      </c>
      <c r="G20" s="5" t="n">
        <v>2</v>
      </c>
      <c r="H20" s="5" t="s">
        <v>155</v>
      </c>
      <c r="I20" s="5" t="s">
        <v>192</v>
      </c>
      <c r="J20" s="5" t="s">
        <v>181</v>
      </c>
      <c r="K20" s="6" t="n">
        <v>156615</v>
      </c>
      <c r="L20" s="6" t="n">
        <v>3500</v>
      </c>
      <c r="M20" s="6" t="n">
        <v>15000</v>
      </c>
      <c r="N20" s="6" t="n">
        <v>0</v>
      </c>
      <c r="O20" s="6" t="n">
        <v>15000</v>
      </c>
      <c r="P20" s="6" t="n">
        <v>9505.75</v>
      </c>
      <c r="Q20" s="6" t="n">
        <v>25000</v>
      </c>
      <c r="R20" s="17" t="n">
        <f aca="false">SUM(K20:Q20)</f>
        <v>224620.75</v>
      </c>
    </row>
    <row r="21" customFormat="false" ht="15" hidden="false" customHeight="true" outlineLevel="0" collapsed="false">
      <c r="A21" s="35" t="n">
        <v>18</v>
      </c>
      <c r="B21" s="5" t="s">
        <v>193</v>
      </c>
      <c r="C21" s="8" t="n">
        <v>2072</v>
      </c>
      <c r="D21" s="5" t="n">
        <v>4</v>
      </c>
      <c r="E21" s="5" t="n">
        <v>3.5</v>
      </c>
      <c r="F21" s="5" t="s">
        <v>159</v>
      </c>
      <c r="G21" s="5" t="n">
        <v>3</v>
      </c>
      <c r="H21" s="5" t="s">
        <v>164</v>
      </c>
      <c r="I21" s="5" t="s">
        <v>171</v>
      </c>
      <c r="J21" s="5" t="s">
        <v>194</v>
      </c>
      <c r="K21" s="6" t="n">
        <v>165696</v>
      </c>
      <c r="L21" s="6" t="n">
        <v>3500</v>
      </c>
      <c r="M21" s="6" t="n">
        <v>15000</v>
      </c>
      <c r="N21" s="6" t="n">
        <v>0</v>
      </c>
      <c r="O21" s="6" t="n">
        <v>15000</v>
      </c>
      <c r="P21" s="6" t="n">
        <v>9959.8</v>
      </c>
      <c r="Q21" s="6" t="n">
        <v>25000</v>
      </c>
      <c r="R21" s="17" t="n">
        <f aca="false">SUM(K21:Q21)</f>
        <v>234155.8</v>
      </c>
    </row>
    <row r="22" customFormat="false" ht="15" hidden="false" customHeight="true" outlineLevel="0" collapsed="false">
      <c r="A22" s="35" t="n">
        <v>19</v>
      </c>
      <c r="B22" s="5" t="s">
        <v>195</v>
      </c>
      <c r="C22" s="8" t="n">
        <v>2157</v>
      </c>
      <c r="D22" s="5" t="n">
        <v>4</v>
      </c>
      <c r="E22" s="5" t="n">
        <v>3.5</v>
      </c>
      <c r="F22" s="5" t="s">
        <v>159</v>
      </c>
      <c r="G22" s="5" t="n">
        <v>3</v>
      </c>
      <c r="H22" s="5" t="s">
        <v>155</v>
      </c>
      <c r="I22" s="5" t="s">
        <v>156</v>
      </c>
      <c r="J22" s="5" t="s">
        <v>183</v>
      </c>
      <c r="K22" s="6" t="n">
        <v>171846</v>
      </c>
      <c r="L22" s="6" t="n">
        <v>3500</v>
      </c>
      <c r="M22" s="6" t="n">
        <v>15000</v>
      </c>
      <c r="N22" s="6" t="n">
        <v>0</v>
      </c>
      <c r="O22" s="6" t="n">
        <v>15000</v>
      </c>
      <c r="P22" s="6" t="n">
        <v>10000</v>
      </c>
      <c r="Q22" s="6" t="n">
        <v>25000</v>
      </c>
      <c r="R22" s="17" t="n">
        <f aca="false">SUM(K22:Q22)</f>
        <v>240346</v>
      </c>
    </row>
    <row r="23" customFormat="false" ht="15" hidden="false" customHeight="true" outlineLevel="0" collapsed="false">
      <c r="A23" s="35" t="n">
        <v>20</v>
      </c>
      <c r="B23" s="5" t="s">
        <v>196</v>
      </c>
      <c r="C23" s="8" t="n">
        <v>2214</v>
      </c>
      <c r="D23" s="5" t="n">
        <v>4</v>
      </c>
      <c r="E23" s="5" t="n">
        <v>3</v>
      </c>
      <c r="F23" s="5" t="s">
        <v>159</v>
      </c>
      <c r="G23" s="5" t="n">
        <v>2</v>
      </c>
      <c r="H23" s="5" t="s">
        <v>155</v>
      </c>
      <c r="I23" s="5" t="s">
        <v>192</v>
      </c>
      <c r="J23" s="5" t="s">
        <v>192</v>
      </c>
      <c r="K23" s="6" t="n">
        <v>173637</v>
      </c>
      <c r="L23" s="6" t="n">
        <v>3500</v>
      </c>
      <c r="M23" s="6" t="n">
        <v>15000</v>
      </c>
      <c r="N23" s="6" t="n">
        <v>0</v>
      </c>
      <c r="O23" s="6" t="n">
        <v>15000</v>
      </c>
      <c r="P23" s="6" t="n">
        <v>10000</v>
      </c>
      <c r="Q23" s="6" t="n">
        <v>25000</v>
      </c>
      <c r="R23" s="17" t="n">
        <f aca="false">SUM(K23:Q23)</f>
        <v>242137</v>
      </c>
    </row>
    <row r="24" customFormat="false" ht="15" hidden="false" customHeight="true" outlineLevel="0" collapsed="false">
      <c r="A24" s="35" t="n">
        <v>21</v>
      </c>
      <c r="B24" s="5" t="s">
        <v>197</v>
      </c>
      <c r="C24" s="8" t="n">
        <v>2217</v>
      </c>
      <c r="D24" s="5" t="n">
        <v>4</v>
      </c>
      <c r="E24" s="5" t="n">
        <v>3</v>
      </c>
      <c r="F24" s="5" t="s">
        <v>159</v>
      </c>
      <c r="G24" s="5" t="n">
        <v>2</v>
      </c>
      <c r="H24" s="5" t="s">
        <v>155</v>
      </c>
      <c r="I24" s="5" t="s">
        <v>192</v>
      </c>
      <c r="J24" s="5" t="s">
        <v>187</v>
      </c>
      <c r="K24" s="6" t="n">
        <v>173846</v>
      </c>
      <c r="L24" s="6" t="n">
        <v>3500</v>
      </c>
      <c r="M24" s="6" t="n">
        <v>15000</v>
      </c>
      <c r="N24" s="6" t="n">
        <v>0</v>
      </c>
      <c r="O24" s="6" t="n">
        <v>15000</v>
      </c>
      <c r="P24" s="6" t="n">
        <v>10000</v>
      </c>
      <c r="Q24" s="6" t="n">
        <v>25000</v>
      </c>
      <c r="R24" s="17" t="n">
        <f aca="false">SUM(K24:Q24)</f>
        <v>242346</v>
      </c>
    </row>
    <row r="25" customFormat="false" ht="15" hidden="false" customHeight="true" outlineLevel="0" collapsed="false">
      <c r="A25" s="35" t="n">
        <v>22</v>
      </c>
      <c r="B25" s="5" t="s">
        <v>198</v>
      </c>
      <c r="C25" s="8" t="n">
        <v>2771</v>
      </c>
      <c r="D25" s="5" t="n">
        <v>4</v>
      </c>
      <c r="E25" s="5" t="n">
        <v>3</v>
      </c>
      <c r="F25" s="5" t="s">
        <v>159</v>
      </c>
      <c r="G25" s="5" t="n">
        <v>2</v>
      </c>
      <c r="H25" s="5" t="s">
        <v>155</v>
      </c>
      <c r="I25" s="5" t="s">
        <v>192</v>
      </c>
      <c r="J25" s="5" t="s">
        <v>187</v>
      </c>
      <c r="K25" s="6" t="n">
        <v>213313</v>
      </c>
      <c r="L25" s="6" t="n">
        <v>3500</v>
      </c>
      <c r="M25" s="6" t="n">
        <v>15000</v>
      </c>
      <c r="N25" s="6" t="n">
        <v>0</v>
      </c>
      <c r="O25" s="6" t="n">
        <v>15000</v>
      </c>
      <c r="P25" s="6" t="n">
        <v>10000</v>
      </c>
      <c r="Q25" s="6" t="n">
        <v>25000</v>
      </c>
      <c r="R25" s="17" t="n">
        <f aca="false">SUM(K25:Q25)</f>
        <v>281813</v>
      </c>
    </row>
    <row r="26" customFormat="false" ht="15" hidden="false" customHeight="true" outlineLevel="0" collapsed="false">
      <c r="A26" s="35" t="n">
        <v>23</v>
      </c>
      <c r="B26" s="5"/>
      <c r="C26" s="5"/>
      <c r="D26" s="5"/>
      <c r="E26" s="5"/>
      <c r="F26" s="5"/>
      <c r="G26" s="5"/>
      <c r="H26" s="5"/>
      <c r="I26" s="5"/>
      <c r="J26" s="5"/>
      <c r="K26" s="6"/>
      <c r="L26" s="6"/>
      <c r="M26" s="6"/>
      <c r="N26" s="6"/>
      <c r="O26" s="6"/>
      <c r="P26" s="6"/>
      <c r="Q26" s="6"/>
      <c r="R26" s="17" t="n">
        <f aca="false">SUM(K26:Q26)</f>
        <v>0</v>
      </c>
    </row>
    <row r="27" customFormat="false" ht="15" hidden="false" customHeight="true" outlineLevel="0" collapsed="false">
      <c r="A27" s="35" t="n">
        <v>24</v>
      </c>
      <c r="B27" s="5"/>
      <c r="C27" s="5"/>
      <c r="D27" s="5"/>
      <c r="E27" s="5"/>
      <c r="F27" s="5"/>
      <c r="G27" s="5"/>
      <c r="H27" s="5"/>
      <c r="I27" s="5"/>
      <c r="J27" s="5"/>
      <c r="K27" s="6"/>
      <c r="L27" s="6"/>
      <c r="M27" s="6"/>
      <c r="N27" s="6"/>
      <c r="O27" s="6"/>
      <c r="P27" s="6"/>
      <c r="Q27" s="6"/>
      <c r="R27" s="17" t="n">
        <f aca="false">SUM(K27:Q27)</f>
        <v>0</v>
      </c>
    </row>
    <row r="28" customFormat="false" ht="15" hidden="false" customHeight="true" outlineLevel="0" collapsed="false">
      <c r="A28" s="35" t="n">
        <v>25</v>
      </c>
      <c r="B28" s="5"/>
      <c r="C28" s="5"/>
      <c r="D28" s="5"/>
      <c r="E28" s="5"/>
      <c r="F28" s="5"/>
      <c r="G28" s="5"/>
      <c r="H28" s="5"/>
      <c r="I28" s="5"/>
      <c r="J28" s="5"/>
      <c r="K28" s="6"/>
      <c r="L28" s="6"/>
      <c r="M28" s="6"/>
      <c r="N28" s="6"/>
      <c r="O28" s="6"/>
      <c r="P28" s="6"/>
      <c r="Q28" s="6"/>
      <c r="R28" s="17" t="n">
        <f aca="false">SUM(K28:Q28)</f>
        <v>0</v>
      </c>
    </row>
    <row r="29" customFormat="false" ht="15" hidden="false" customHeight="true" outlineLevel="0" collapsed="false">
      <c r="A29" s="35" t="n">
        <v>26</v>
      </c>
      <c r="B29" s="5"/>
      <c r="C29" s="5"/>
      <c r="D29" s="5"/>
      <c r="E29" s="5"/>
      <c r="F29" s="5"/>
      <c r="G29" s="5"/>
      <c r="H29" s="5"/>
      <c r="I29" s="5"/>
      <c r="J29" s="5"/>
      <c r="K29" s="6"/>
      <c r="L29" s="6"/>
      <c r="M29" s="6"/>
      <c r="N29" s="6"/>
      <c r="O29" s="6"/>
      <c r="P29" s="6"/>
      <c r="Q29" s="6"/>
      <c r="R29" s="17" t="n">
        <f aca="false">SUM(K29:Q29)</f>
        <v>0</v>
      </c>
    </row>
    <row r="30" customFormat="false" ht="15" hidden="false" customHeight="true" outlineLevel="0" collapsed="false">
      <c r="A30" s="35" t="n">
        <v>27</v>
      </c>
      <c r="B30" s="5"/>
      <c r="C30" s="5"/>
      <c r="D30" s="5"/>
      <c r="E30" s="5"/>
      <c r="F30" s="5"/>
      <c r="G30" s="5"/>
      <c r="H30" s="5"/>
      <c r="I30" s="5"/>
      <c r="J30" s="5"/>
      <c r="K30" s="6"/>
      <c r="L30" s="6"/>
      <c r="M30" s="6"/>
      <c r="N30" s="6"/>
      <c r="O30" s="6"/>
      <c r="P30" s="6"/>
      <c r="Q30" s="6"/>
      <c r="R30" s="17" t="n">
        <f aca="false">SUM(K30:Q30)</f>
        <v>0</v>
      </c>
    </row>
    <row r="31" customFormat="false" ht="15" hidden="false" customHeight="true" outlineLevel="0" collapsed="false">
      <c r="A31" s="35" t="n">
        <v>28</v>
      </c>
      <c r="B31" s="5"/>
      <c r="C31" s="5"/>
      <c r="D31" s="5"/>
      <c r="E31" s="5"/>
      <c r="F31" s="5"/>
      <c r="G31" s="5"/>
      <c r="H31" s="5"/>
      <c r="I31" s="5"/>
      <c r="J31" s="5"/>
      <c r="K31" s="6"/>
      <c r="L31" s="6"/>
      <c r="M31" s="6"/>
      <c r="N31" s="6"/>
      <c r="O31" s="6"/>
      <c r="P31" s="6"/>
      <c r="Q31" s="6"/>
      <c r="R31" s="17" t="n">
        <f aca="false">SUM(K31:Q31)</f>
        <v>0</v>
      </c>
    </row>
    <row r="32" customFormat="false" ht="15" hidden="false" customHeight="true" outlineLevel="0" collapsed="false">
      <c r="A32" s="35" t="n">
        <v>29</v>
      </c>
      <c r="B32" s="5"/>
      <c r="C32" s="5"/>
      <c r="D32" s="5"/>
      <c r="E32" s="5"/>
      <c r="F32" s="5"/>
      <c r="G32" s="5"/>
      <c r="H32" s="5"/>
      <c r="I32" s="5"/>
      <c r="J32" s="5"/>
      <c r="K32" s="6"/>
      <c r="L32" s="6"/>
      <c r="M32" s="6"/>
      <c r="N32" s="6"/>
      <c r="O32" s="6"/>
      <c r="P32" s="6"/>
      <c r="Q32" s="6"/>
      <c r="R32" s="17" t="n">
        <f aca="false">SUM(K32:Q32)</f>
        <v>0</v>
      </c>
    </row>
    <row r="33" customFormat="false" ht="15" hidden="false" customHeight="true" outlineLevel="0" collapsed="false">
      <c r="A33" s="35" t="n">
        <v>30</v>
      </c>
      <c r="B33" s="5"/>
      <c r="C33" s="5"/>
      <c r="D33" s="5"/>
      <c r="E33" s="5"/>
      <c r="F33" s="5"/>
      <c r="G33" s="5"/>
      <c r="H33" s="5"/>
      <c r="I33" s="5"/>
      <c r="J33" s="5"/>
      <c r="K33" s="6"/>
      <c r="L33" s="6"/>
      <c r="M33" s="6"/>
      <c r="N33" s="6"/>
      <c r="O33" s="6"/>
      <c r="P33" s="6"/>
      <c r="Q33" s="6"/>
      <c r="R33" s="17" t="n">
        <f aca="false">SUM(K33:Q33)</f>
        <v>0</v>
      </c>
    </row>
  </sheetData>
  <mergeCells count="2">
    <mergeCell ref="A1:R1"/>
    <mergeCell ref="A2:R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W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3" min="2" style="1" width="12"/>
  </cols>
  <sheetData>
    <row r="1" customFormat="false" ht="30" hidden="false" customHeight="true" outlineLevel="0" collapsed="false">
      <c r="A1" s="36" t="s">
        <v>199</v>
      </c>
      <c r="B1" s="36"/>
      <c r="C1" s="36"/>
      <c r="D1" s="36"/>
      <c r="E1" s="36"/>
      <c r="F1" s="36"/>
      <c r="G1" s="36"/>
      <c r="H1" s="36"/>
      <c r="I1" s="36"/>
      <c r="J1" s="36"/>
      <c r="K1" s="36"/>
      <c r="L1" s="36"/>
      <c r="M1" s="36"/>
      <c r="N1" s="36"/>
      <c r="O1" s="36"/>
      <c r="P1" s="36"/>
      <c r="Q1" s="36"/>
      <c r="R1" s="36"/>
      <c r="S1" s="36"/>
      <c r="T1" s="36"/>
      <c r="U1" s="36"/>
      <c r="V1" s="36"/>
      <c r="W1" s="36"/>
    </row>
    <row r="2" customFormat="false" ht="23.25" hidden="false" customHeight="true" outlineLevel="0" collapsed="false">
      <c r="A2" s="37" t="s">
        <v>200</v>
      </c>
      <c r="B2" s="37" t="s">
        <v>153</v>
      </c>
      <c r="C2" s="37" t="s">
        <v>158</v>
      </c>
      <c r="D2" s="37" t="s">
        <v>162</v>
      </c>
      <c r="E2" s="37" t="s">
        <v>167</v>
      </c>
      <c r="F2" s="37" t="s">
        <v>169</v>
      </c>
      <c r="G2" s="37" t="s">
        <v>172</v>
      </c>
      <c r="H2" s="37" t="s">
        <v>174</v>
      </c>
      <c r="I2" s="37" t="s">
        <v>175</v>
      </c>
      <c r="J2" s="37" t="s">
        <v>16</v>
      </c>
      <c r="K2" s="37" t="s">
        <v>179</v>
      </c>
      <c r="L2" s="37" t="s">
        <v>180</v>
      </c>
      <c r="M2" s="37" t="s">
        <v>182</v>
      </c>
      <c r="N2" s="37" t="s">
        <v>184</v>
      </c>
      <c r="O2" s="37" t="s">
        <v>185</v>
      </c>
      <c r="P2" s="37" t="s">
        <v>188</v>
      </c>
      <c r="Q2" s="37" t="s">
        <v>189</v>
      </c>
      <c r="R2" s="37" t="s">
        <v>191</v>
      </c>
      <c r="S2" s="37" t="s">
        <v>193</v>
      </c>
      <c r="T2" s="37" t="s">
        <v>195</v>
      </c>
      <c r="U2" s="37" t="s">
        <v>196</v>
      </c>
      <c r="V2" s="37" t="s">
        <v>197</v>
      </c>
      <c r="W2" s="37" t="s">
        <v>198</v>
      </c>
    </row>
    <row r="3" customFormat="false" ht="15" hidden="false" customHeight="true" outlineLevel="0" collapsed="false">
      <c r="A3" s="38" t="s">
        <v>20</v>
      </c>
      <c r="B3" s="39" t="n">
        <v>1170</v>
      </c>
      <c r="C3" s="39" t="n">
        <v>1188</v>
      </c>
      <c r="D3" s="39" t="n">
        <v>1304</v>
      </c>
      <c r="E3" s="39" t="n">
        <v>1383</v>
      </c>
      <c r="F3" s="39" t="n">
        <v>1400</v>
      </c>
      <c r="G3" s="39" t="n">
        <v>1500</v>
      </c>
      <c r="H3" s="39" t="n">
        <v>1541</v>
      </c>
      <c r="I3" s="39" t="n">
        <v>1545</v>
      </c>
      <c r="J3" s="39" t="n">
        <v>1592</v>
      </c>
      <c r="K3" s="39" t="n">
        <v>1700</v>
      </c>
      <c r="L3" s="39" t="n">
        <v>1712</v>
      </c>
      <c r="M3" s="39" t="n">
        <v>1713</v>
      </c>
      <c r="N3" s="39" t="n">
        <v>1788</v>
      </c>
      <c r="O3" s="39" t="n">
        <v>1798</v>
      </c>
      <c r="P3" s="39" t="n">
        <v>1857</v>
      </c>
      <c r="Q3" s="39" t="n">
        <v>2000</v>
      </c>
      <c r="R3" s="39" t="n">
        <v>2005</v>
      </c>
      <c r="S3" s="39" t="n">
        <v>2072</v>
      </c>
      <c r="T3" s="39" t="n">
        <v>2157</v>
      </c>
      <c r="U3" s="39" t="n">
        <v>2214</v>
      </c>
      <c r="V3" s="39" t="n">
        <v>2217</v>
      </c>
      <c r="W3" s="39" t="n">
        <v>2771</v>
      </c>
    </row>
    <row r="4" customFormat="false" ht="15" hidden="false" customHeight="true" outlineLevel="0" collapsed="false">
      <c r="A4" s="40" t="s">
        <v>201</v>
      </c>
      <c r="B4" s="41" t="n">
        <v>3000</v>
      </c>
      <c r="C4" s="41" t="n">
        <v>3000</v>
      </c>
      <c r="D4" s="41" t="n">
        <v>3000</v>
      </c>
      <c r="E4" s="41" t="n">
        <v>3000</v>
      </c>
      <c r="F4" s="41" t="n">
        <v>3000</v>
      </c>
      <c r="G4" s="41" t="n">
        <v>3000</v>
      </c>
      <c r="H4" s="41" t="n">
        <v>3000</v>
      </c>
      <c r="I4" s="41" t="n">
        <v>3000</v>
      </c>
      <c r="J4" s="41" t="n">
        <v>3000</v>
      </c>
      <c r="K4" s="41" t="n">
        <v>3000</v>
      </c>
      <c r="L4" s="41" t="n">
        <v>3000</v>
      </c>
      <c r="M4" s="41" t="n">
        <v>3000</v>
      </c>
      <c r="N4" s="41" t="n">
        <v>3000</v>
      </c>
      <c r="O4" s="41" t="n">
        <v>3000</v>
      </c>
      <c r="P4" s="41" t="n">
        <v>3000</v>
      </c>
      <c r="Q4" s="41" t="n">
        <v>3000</v>
      </c>
      <c r="R4" s="41" t="n">
        <v>3000</v>
      </c>
      <c r="S4" s="41" t="n">
        <v>3000</v>
      </c>
      <c r="T4" s="41" t="n">
        <v>3000</v>
      </c>
      <c r="U4" s="41" t="n">
        <v>3000</v>
      </c>
      <c r="V4" s="41" t="n">
        <v>3000</v>
      </c>
      <c r="W4" s="41" t="n">
        <v>3000</v>
      </c>
    </row>
    <row r="5" customFormat="false" ht="15" hidden="false" customHeight="true" outlineLevel="0" collapsed="false">
      <c r="A5" s="40" t="s">
        <v>202</v>
      </c>
      <c r="B5" s="41" t="n">
        <v>600</v>
      </c>
      <c r="C5" s="41" t="n">
        <v>600</v>
      </c>
      <c r="D5" s="41" t="n">
        <v>600</v>
      </c>
      <c r="E5" s="41" t="n">
        <v>600</v>
      </c>
      <c r="F5" s="41" t="n">
        <v>600</v>
      </c>
      <c r="G5" s="41" t="n">
        <v>600</v>
      </c>
      <c r="H5" s="41" t="n">
        <v>600</v>
      </c>
      <c r="I5" s="41" t="n">
        <v>600</v>
      </c>
      <c r="J5" s="41" t="n">
        <v>600</v>
      </c>
      <c r="K5" s="41" t="n">
        <v>600</v>
      </c>
      <c r="L5" s="41" t="n">
        <v>600</v>
      </c>
      <c r="M5" s="41" t="n">
        <v>600</v>
      </c>
      <c r="N5" s="41" t="n">
        <v>600</v>
      </c>
      <c r="O5" s="41" t="n">
        <v>600</v>
      </c>
      <c r="P5" s="41" t="n">
        <v>600</v>
      </c>
      <c r="Q5" s="41" t="n">
        <v>600</v>
      </c>
      <c r="R5" s="41" t="n">
        <v>600</v>
      </c>
      <c r="S5" s="41" t="n">
        <v>600</v>
      </c>
      <c r="T5" s="41" t="n">
        <v>600</v>
      </c>
      <c r="U5" s="41" t="n">
        <v>600</v>
      </c>
      <c r="V5" s="41" t="n">
        <v>600</v>
      </c>
      <c r="W5" s="41" t="n">
        <v>600</v>
      </c>
    </row>
    <row r="6" customFormat="false" ht="15" hidden="false" customHeight="true" outlineLevel="0" collapsed="false">
      <c r="A6" s="40" t="s">
        <v>203</v>
      </c>
      <c r="B6" s="41" t="n">
        <v>875</v>
      </c>
      <c r="C6" s="41" t="n">
        <v>875</v>
      </c>
      <c r="D6" s="41" t="n">
        <v>875</v>
      </c>
      <c r="E6" s="41" t="n">
        <v>875</v>
      </c>
      <c r="F6" s="41" t="n">
        <v>875</v>
      </c>
      <c r="G6" s="41" t="n">
        <v>875</v>
      </c>
      <c r="H6" s="41" t="n">
        <v>875</v>
      </c>
      <c r="I6" s="41" t="n">
        <v>875</v>
      </c>
      <c r="J6" s="41" t="n">
        <v>875</v>
      </c>
      <c r="K6" s="41" t="n">
        <v>875</v>
      </c>
      <c r="L6" s="41" t="n">
        <v>875</v>
      </c>
      <c r="M6" s="41" t="n">
        <v>875</v>
      </c>
      <c r="N6" s="41" t="n">
        <v>875</v>
      </c>
      <c r="O6" s="41" t="n">
        <v>875</v>
      </c>
      <c r="P6" s="41" t="n">
        <v>875</v>
      </c>
      <c r="Q6" s="41" t="n">
        <v>875</v>
      </c>
      <c r="R6" s="41" t="n">
        <v>875</v>
      </c>
      <c r="S6" s="41" t="n">
        <v>875</v>
      </c>
      <c r="T6" s="41" t="n">
        <v>875</v>
      </c>
      <c r="U6" s="41" t="n">
        <v>875</v>
      </c>
      <c r="V6" s="41" t="n">
        <v>875</v>
      </c>
      <c r="W6" s="41" t="n">
        <v>875</v>
      </c>
    </row>
    <row r="7" customFormat="false" ht="15" hidden="false" customHeight="true" outlineLevel="0" collapsed="false">
      <c r="A7" s="40" t="s">
        <v>204</v>
      </c>
      <c r="B7" s="41" t="n">
        <v>50</v>
      </c>
      <c r="C7" s="41" t="n">
        <v>50</v>
      </c>
      <c r="D7" s="41" t="n">
        <v>50</v>
      </c>
      <c r="E7" s="41" t="n">
        <v>50</v>
      </c>
      <c r="F7" s="41" t="n">
        <v>50</v>
      </c>
      <c r="G7" s="41" t="n">
        <v>50</v>
      </c>
      <c r="H7" s="41" t="n">
        <v>50</v>
      </c>
      <c r="I7" s="41" t="n">
        <v>50</v>
      </c>
      <c r="J7" s="41" t="n">
        <v>50</v>
      </c>
      <c r="K7" s="41" t="n">
        <v>50</v>
      </c>
      <c r="L7" s="41" t="n">
        <v>50</v>
      </c>
      <c r="M7" s="41" t="n">
        <v>50</v>
      </c>
      <c r="N7" s="41" t="n">
        <v>50</v>
      </c>
      <c r="O7" s="41" t="n">
        <v>50</v>
      </c>
      <c r="P7" s="41" t="n">
        <v>50</v>
      </c>
      <c r="Q7" s="41" t="n">
        <v>50</v>
      </c>
      <c r="R7" s="41" t="n">
        <v>50</v>
      </c>
      <c r="S7" s="41" t="n">
        <v>50</v>
      </c>
      <c r="T7" s="41" t="n">
        <v>50</v>
      </c>
      <c r="U7" s="41" t="n">
        <v>50</v>
      </c>
      <c r="V7" s="41" t="n">
        <v>50</v>
      </c>
      <c r="W7" s="41" t="n">
        <v>50</v>
      </c>
    </row>
    <row r="8" customFormat="false" ht="15" hidden="false" customHeight="true" outlineLevel="0" collapsed="false">
      <c r="A8" s="40" t="s">
        <v>205</v>
      </c>
      <c r="B8" s="41" t="n">
        <v>250</v>
      </c>
      <c r="C8" s="41" t="n">
        <v>250</v>
      </c>
      <c r="D8" s="41" t="n">
        <v>250</v>
      </c>
      <c r="E8" s="41" t="n">
        <v>250</v>
      </c>
      <c r="F8" s="41" t="n">
        <v>250</v>
      </c>
      <c r="G8" s="41" t="n">
        <v>250</v>
      </c>
      <c r="H8" s="41" t="n">
        <v>250</v>
      </c>
      <c r="I8" s="41" t="n">
        <v>250</v>
      </c>
      <c r="J8" s="41" t="n">
        <v>250</v>
      </c>
      <c r="K8" s="41" t="n">
        <v>250</v>
      </c>
      <c r="L8" s="41" t="n">
        <v>250</v>
      </c>
      <c r="M8" s="41" t="n">
        <v>250</v>
      </c>
      <c r="N8" s="41" t="n">
        <v>250</v>
      </c>
      <c r="O8" s="41" t="n">
        <v>250</v>
      </c>
      <c r="P8" s="41" t="n">
        <v>250</v>
      </c>
      <c r="Q8" s="41" t="n">
        <v>250</v>
      </c>
      <c r="R8" s="41" t="n">
        <v>250</v>
      </c>
      <c r="S8" s="41" t="n">
        <v>250</v>
      </c>
      <c r="T8" s="41" t="n">
        <v>250</v>
      </c>
      <c r="U8" s="41" t="n">
        <v>250</v>
      </c>
      <c r="V8" s="41" t="n">
        <v>250</v>
      </c>
      <c r="W8" s="41" t="n">
        <v>250</v>
      </c>
    </row>
    <row r="9" customFormat="false" ht="15" hidden="false" customHeight="true" outlineLevel="0" collapsed="false">
      <c r="A9" s="40" t="s">
        <v>206</v>
      </c>
      <c r="B9" s="41" t="n">
        <v>6892</v>
      </c>
      <c r="C9" s="41" t="n">
        <v>6998</v>
      </c>
      <c r="D9" s="41" t="n">
        <v>7681</v>
      </c>
      <c r="E9" s="41" t="n">
        <v>8146</v>
      </c>
      <c r="F9" s="41" t="n">
        <v>8246</v>
      </c>
      <c r="G9" s="41" t="n">
        <v>8836</v>
      </c>
      <c r="H9" s="41" t="n">
        <v>9077</v>
      </c>
      <c r="I9" s="41" t="n">
        <v>9101</v>
      </c>
      <c r="J9" s="41" t="n">
        <v>9378</v>
      </c>
      <c r="K9" s="41" t="n">
        <v>10014</v>
      </c>
      <c r="L9" s="41" t="n">
        <v>10084</v>
      </c>
      <c r="M9" s="41" t="n">
        <v>10090</v>
      </c>
      <c r="N9" s="41" t="n">
        <v>10532</v>
      </c>
      <c r="O9" s="41" t="n">
        <v>10591</v>
      </c>
      <c r="P9" s="41" t="n">
        <v>10939</v>
      </c>
      <c r="Q9" s="41" t="n">
        <v>11781</v>
      </c>
      <c r="R9" s="41" t="n">
        <v>11810</v>
      </c>
      <c r="S9" s="41" t="n">
        <v>12205</v>
      </c>
      <c r="T9" s="41" t="n">
        <v>12706</v>
      </c>
      <c r="U9" s="41" t="n">
        <v>13042</v>
      </c>
      <c r="V9" s="41" t="n">
        <v>13059</v>
      </c>
      <c r="W9" s="41" t="n">
        <v>16323</v>
      </c>
    </row>
    <row r="10" customFormat="false" ht="15" hidden="false" customHeight="true" outlineLevel="0" collapsed="false">
      <c r="A10" s="40" t="s">
        <v>207</v>
      </c>
      <c r="B10" s="41" t="n">
        <v>4699</v>
      </c>
      <c r="C10" s="41" t="n">
        <v>4772</v>
      </c>
      <c r="D10" s="41" t="n">
        <v>5238</v>
      </c>
      <c r="E10" s="41" t="n">
        <v>5555</v>
      </c>
      <c r="F10" s="41" t="n">
        <v>5623</v>
      </c>
      <c r="G10" s="41" t="n">
        <v>6025</v>
      </c>
      <c r="H10" s="41" t="n">
        <v>6190</v>
      </c>
      <c r="I10" s="41" t="n">
        <v>6206</v>
      </c>
      <c r="J10" s="41" t="n">
        <v>6395</v>
      </c>
      <c r="K10" s="41" t="n">
        <v>6828</v>
      </c>
      <c r="L10" s="41" t="n">
        <v>6877</v>
      </c>
      <c r="M10" s="41" t="n">
        <v>6881</v>
      </c>
      <c r="N10" s="41" t="n">
        <v>7182</v>
      </c>
      <c r="O10" s="41" t="n">
        <v>7222</v>
      </c>
      <c r="P10" s="41" t="n">
        <v>7459</v>
      </c>
      <c r="Q10" s="41" t="n">
        <v>8033</v>
      </c>
      <c r="R10" s="41" t="n">
        <v>8054</v>
      </c>
      <c r="S10" s="41" t="n">
        <v>8323</v>
      </c>
      <c r="T10" s="41" t="n">
        <v>8664</v>
      </c>
      <c r="U10" s="41" t="n">
        <v>8893</v>
      </c>
      <c r="V10" s="41" t="n">
        <v>8905</v>
      </c>
      <c r="W10" s="41" t="n">
        <v>11130</v>
      </c>
    </row>
    <row r="11" customFormat="false" ht="15" hidden="false" customHeight="true" outlineLevel="0" collapsed="false">
      <c r="A11" s="40" t="s">
        <v>208</v>
      </c>
      <c r="B11" s="41" t="n">
        <v>408</v>
      </c>
      <c r="C11" s="41" t="n">
        <v>414</v>
      </c>
      <c r="D11" s="41" t="n">
        <v>455</v>
      </c>
      <c r="E11" s="41" t="n">
        <v>483</v>
      </c>
      <c r="F11" s="41" t="n">
        <v>488</v>
      </c>
      <c r="G11" s="41" t="n">
        <v>523</v>
      </c>
      <c r="H11" s="41" t="n">
        <v>538</v>
      </c>
      <c r="I11" s="41" t="n">
        <v>539</v>
      </c>
      <c r="J11" s="41" t="n">
        <v>556</v>
      </c>
      <c r="K11" s="41" t="n">
        <v>593</v>
      </c>
      <c r="L11" s="41" t="n">
        <v>597</v>
      </c>
      <c r="M11" s="41" t="n">
        <v>598</v>
      </c>
      <c r="N11" s="41" t="n">
        <v>624</v>
      </c>
      <c r="O11" s="41" t="n">
        <v>627</v>
      </c>
      <c r="P11" s="41" t="n">
        <v>648</v>
      </c>
      <c r="Q11" s="41" t="n">
        <v>698</v>
      </c>
      <c r="R11" s="41" t="n">
        <v>700</v>
      </c>
      <c r="S11" s="41" t="n">
        <v>723</v>
      </c>
      <c r="T11" s="41" t="n">
        <v>753</v>
      </c>
      <c r="U11" s="41" t="n">
        <v>773</v>
      </c>
      <c r="V11" s="41" t="n">
        <v>774</v>
      </c>
      <c r="W11" s="41" t="n">
        <v>967</v>
      </c>
    </row>
    <row r="12" customFormat="false" ht="15" hidden="false" customHeight="true" outlineLevel="0" collapsed="false">
      <c r="A12" s="40" t="s">
        <v>209</v>
      </c>
      <c r="B12" s="41" t="n">
        <v>2867</v>
      </c>
      <c r="C12" s="41" t="n">
        <v>2911</v>
      </c>
      <c r="D12" s="41" t="n">
        <v>3196</v>
      </c>
      <c r="E12" s="41" t="n">
        <v>3389</v>
      </c>
      <c r="F12" s="41" t="n">
        <v>3431</v>
      </c>
      <c r="G12" s="41" t="n">
        <v>3676</v>
      </c>
      <c r="H12" s="41" t="n">
        <v>3776</v>
      </c>
      <c r="I12" s="41" t="n">
        <v>3786</v>
      </c>
      <c r="J12" s="41" t="n">
        <v>3902</v>
      </c>
      <c r="K12" s="41" t="n">
        <v>4166</v>
      </c>
      <c r="L12" s="41" t="n">
        <v>4196</v>
      </c>
      <c r="M12" s="41" t="n">
        <v>4198</v>
      </c>
      <c r="N12" s="41" t="n">
        <v>4382</v>
      </c>
      <c r="O12" s="41" t="n">
        <v>4406</v>
      </c>
      <c r="P12" s="41" t="n">
        <v>4551</v>
      </c>
      <c r="Q12" s="41" t="n">
        <v>4902</v>
      </c>
      <c r="R12" s="41" t="n">
        <v>4914</v>
      </c>
      <c r="S12" s="41" t="n">
        <v>5078</v>
      </c>
      <c r="T12" s="41" t="n">
        <v>5286</v>
      </c>
      <c r="U12" s="41" t="n">
        <v>5426</v>
      </c>
      <c r="V12" s="41" t="n">
        <v>5433</v>
      </c>
      <c r="W12" s="41" t="n">
        <v>6791</v>
      </c>
    </row>
    <row r="13" customFormat="false" ht="15" hidden="false" customHeight="true" outlineLevel="0" collapsed="false">
      <c r="A13" s="40" t="s">
        <v>210</v>
      </c>
      <c r="B13" s="41" t="n">
        <v>2421</v>
      </c>
      <c r="C13" s="41" t="n">
        <v>2458</v>
      </c>
      <c r="D13" s="41" t="n">
        <v>2698</v>
      </c>
      <c r="E13" s="41" t="n">
        <v>2862</v>
      </c>
      <c r="F13" s="41" t="n">
        <v>2897</v>
      </c>
      <c r="G13" s="41" t="n">
        <v>3104</v>
      </c>
      <c r="H13" s="41" t="n">
        <v>3189</v>
      </c>
      <c r="I13" s="41" t="n">
        <v>3197</v>
      </c>
      <c r="J13" s="41" t="n">
        <v>3295</v>
      </c>
      <c r="K13" s="41" t="n">
        <v>3518</v>
      </c>
      <c r="L13" s="41" t="n">
        <v>3543</v>
      </c>
      <c r="M13" s="41" t="n">
        <v>3545</v>
      </c>
      <c r="N13" s="41" t="n">
        <v>3700</v>
      </c>
      <c r="O13" s="41" t="n">
        <v>3721</v>
      </c>
      <c r="P13" s="41" t="n">
        <v>3843</v>
      </c>
      <c r="Q13" s="41" t="n">
        <v>4139</v>
      </c>
      <c r="R13" s="41" t="n">
        <v>4149</v>
      </c>
      <c r="S13" s="41" t="n">
        <v>4288</v>
      </c>
      <c r="T13" s="41" t="n">
        <v>4464</v>
      </c>
      <c r="U13" s="41" t="n">
        <v>4582</v>
      </c>
      <c r="V13" s="41" t="n">
        <v>4588</v>
      </c>
      <c r="W13" s="41" t="n">
        <v>5735</v>
      </c>
    </row>
    <row r="14" customFormat="false" ht="15" hidden="false" customHeight="true" outlineLevel="0" collapsed="false">
      <c r="A14" s="40" t="s">
        <v>211</v>
      </c>
      <c r="B14" s="41" t="n">
        <v>2145</v>
      </c>
      <c r="C14" s="41" t="n">
        <v>2178</v>
      </c>
      <c r="D14" s="41" t="n">
        <v>2391</v>
      </c>
      <c r="E14" s="41" t="n">
        <v>2536</v>
      </c>
      <c r="F14" s="41" t="n">
        <v>2567</v>
      </c>
      <c r="G14" s="41" t="n">
        <v>2751</v>
      </c>
      <c r="H14" s="41" t="n">
        <v>2826</v>
      </c>
      <c r="I14" s="41" t="n">
        <v>2833</v>
      </c>
      <c r="J14" s="41" t="n">
        <v>2920</v>
      </c>
      <c r="K14" s="41" t="n">
        <v>3118</v>
      </c>
      <c r="L14" s="41" t="n">
        <v>3140</v>
      </c>
      <c r="M14" s="41" t="n">
        <v>3141</v>
      </c>
      <c r="N14" s="41" t="n">
        <v>3279</v>
      </c>
      <c r="O14" s="41" t="n">
        <v>3297</v>
      </c>
      <c r="P14" s="41" t="n">
        <v>3406</v>
      </c>
      <c r="Q14" s="41" t="n">
        <v>3668</v>
      </c>
      <c r="R14" s="41" t="n">
        <v>3677</v>
      </c>
      <c r="S14" s="41" t="n">
        <v>3800</v>
      </c>
      <c r="T14" s="41" t="n">
        <v>3956</v>
      </c>
      <c r="U14" s="41" t="n">
        <v>4060</v>
      </c>
      <c r="V14" s="41" t="n">
        <v>4066</v>
      </c>
      <c r="W14" s="41" t="n">
        <v>5082</v>
      </c>
    </row>
    <row r="15" customFormat="false" ht="15" hidden="false" customHeight="true" outlineLevel="0" collapsed="false">
      <c r="A15" s="40" t="s">
        <v>212</v>
      </c>
      <c r="B15" s="41" t="n">
        <v>2861</v>
      </c>
      <c r="C15" s="41" t="n">
        <v>2905</v>
      </c>
      <c r="D15" s="41" t="n">
        <v>3188</v>
      </c>
      <c r="E15" s="41" t="n">
        <v>3381</v>
      </c>
      <c r="F15" s="41" t="n">
        <v>3423</v>
      </c>
      <c r="G15" s="41" t="n">
        <v>3668</v>
      </c>
      <c r="H15" s="41" t="n">
        <v>3768</v>
      </c>
      <c r="I15" s="41" t="n">
        <v>3778</v>
      </c>
      <c r="J15" s="41" t="n">
        <v>3893</v>
      </c>
      <c r="K15" s="41" t="n">
        <v>4157</v>
      </c>
      <c r="L15" s="41" t="n">
        <v>4186</v>
      </c>
      <c r="M15" s="41" t="n">
        <v>4188</v>
      </c>
      <c r="N15" s="41" t="n">
        <v>4372</v>
      </c>
      <c r="O15" s="41" t="n">
        <v>4396</v>
      </c>
      <c r="P15" s="41" t="n">
        <v>4541</v>
      </c>
      <c r="Q15" s="41" t="n">
        <v>4890</v>
      </c>
      <c r="R15" s="41" t="n">
        <v>4902</v>
      </c>
      <c r="S15" s="41" t="n">
        <v>5066</v>
      </c>
      <c r="T15" s="41" t="n">
        <v>5274</v>
      </c>
      <c r="U15" s="41" t="n">
        <v>5414</v>
      </c>
      <c r="V15" s="41" t="n">
        <v>5421</v>
      </c>
      <c r="W15" s="41" t="n">
        <v>6776</v>
      </c>
    </row>
    <row r="16" customFormat="false" ht="15" hidden="false" customHeight="true" outlineLevel="0" collapsed="false">
      <c r="A16" s="40" t="s">
        <v>213</v>
      </c>
      <c r="B16" s="41" t="n">
        <v>1719</v>
      </c>
      <c r="C16" s="41" t="n">
        <v>1746</v>
      </c>
      <c r="D16" s="41" t="n">
        <v>1916</v>
      </c>
      <c r="E16" s="41" t="n">
        <v>2032</v>
      </c>
      <c r="F16" s="41" t="n">
        <v>2057</v>
      </c>
      <c r="G16" s="41" t="n">
        <v>2204</v>
      </c>
      <c r="H16" s="41" t="n">
        <v>2265</v>
      </c>
      <c r="I16" s="41" t="n">
        <v>2270</v>
      </c>
      <c r="J16" s="41" t="n">
        <v>2340</v>
      </c>
      <c r="K16" s="41" t="n">
        <v>2498</v>
      </c>
      <c r="L16" s="41" t="n">
        <v>2516</v>
      </c>
      <c r="M16" s="41" t="n">
        <v>2517</v>
      </c>
      <c r="N16" s="41" t="n">
        <v>2628</v>
      </c>
      <c r="O16" s="41" t="n">
        <v>2642</v>
      </c>
      <c r="P16" s="41" t="n">
        <v>2729</v>
      </c>
      <c r="Q16" s="41" t="n">
        <v>2939</v>
      </c>
      <c r="R16" s="41" t="n">
        <v>2947</v>
      </c>
      <c r="S16" s="41" t="n">
        <v>3045</v>
      </c>
      <c r="T16" s="41" t="n">
        <v>3170</v>
      </c>
      <c r="U16" s="41" t="n">
        <v>3254</v>
      </c>
      <c r="V16" s="41" t="n">
        <v>3258</v>
      </c>
      <c r="W16" s="41" t="n">
        <v>4072</v>
      </c>
    </row>
    <row r="17" customFormat="false" ht="15" hidden="false" customHeight="true" outlineLevel="0" collapsed="false">
      <c r="A17" s="40" t="s">
        <v>214</v>
      </c>
      <c r="B17" s="41" t="n">
        <v>0</v>
      </c>
      <c r="C17" s="41" t="n">
        <v>0</v>
      </c>
      <c r="D17" s="41" t="n">
        <v>0</v>
      </c>
      <c r="E17" s="41" t="n">
        <v>0</v>
      </c>
      <c r="F17" s="41" t="n">
        <v>0</v>
      </c>
      <c r="G17" s="41" t="n">
        <v>0</v>
      </c>
      <c r="H17" s="41" t="n">
        <v>0</v>
      </c>
      <c r="I17" s="41" t="n">
        <v>0</v>
      </c>
      <c r="J17" s="41" t="n">
        <v>0</v>
      </c>
      <c r="K17" s="41" t="n">
        <v>0</v>
      </c>
      <c r="L17" s="41" t="n">
        <v>0</v>
      </c>
      <c r="M17" s="41" t="n">
        <v>0</v>
      </c>
      <c r="N17" s="41" t="n">
        <v>0</v>
      </c>
      <c r="O17" s="41" t="n">
        <v>0</v>
      </c>
      <c r="P17" s="41" t="n">
        <v>0</v>
      </c>
      <c r="Q17" s="41" t="n">
        <v>0</v>
      </c>
      <c r="R17" s="41" t="n">
        <v>0</v>
      </c>
      <c r="S17" s="41" t="n">
        <v>0</v>
      </c>
      <c r="T17" s="41" t="n">
        <v>0</v>
      </c>
      <c r="U17" s="41" t="n">
        <v>0</v>
      </c>
      <c r="V17" s="41" t="n">
        <v>0</v>
      </c>
      <c r="W17" s="41" t="n">
        <v>0</v>
      </c>
    </row>
    <row r="18" customFormat="false" ht="15" hidden="false" customHeight="true" outlineLevel="0" collapsed="false">
      <c r="A18" s="40" t="s">
        <v>215</v>
      </c>
      <c r="B18" s="41" t="n">
        <v>2303</v>
      </c>
      <c r="C18" s="41" t="n">
        <v>2339</v>
      </c>
      <c r="D18" s="41" t="n">
        <v>2567</v>
      </c>
      <c r="E18" s="41" t="n">
        <v>2723</v>
      </c>
      <c r="F18" s="41" t="n">
        <v>2756</v>
      </c>
      <c r="G18" s="41" t="n">
        <v>2953</v>
      </c>
      <c r="H18" s="41" t="n">
        <v>3034</v>
      </c>
      <c r="I18" s="41" t="n">
        <v>3042</v>
      </c>
      <c r="J18" s="41" t="n">
        <v>3135</v>
      </c>
      <c r="K18" s="41" t="n">
        <v>3347</v>
      </c>
      <c r="L18" s="41" t="n">
        <v>3371</v>
      </c>
      <c r="M18" s="41" t="n">
        <v>3373</v>
      </c>
      <c r="N18" s="41" t="n">
        <v>3520</v>
      </c>
      <c r="O18" s="41" t="n">
        <v>3540</v>
      </c>
      <c r="P18" s="41" t="n">
        <v>3656</v>
      </c>
      <c r="Q18" s="41" t="n">
        <v>3938</v>
      </c>
      <c r="R18" s="41" t="n">
        <v>3948</v>
      </c>
      <c r="S18" s="41" t="n">
        <v>4080</v>
      </c>
      <c r="T18" s="41" t="n">
        <v>4247</v>
      </c>
      <c r="U18" s="41" t="n">
        <v>4359</v>
      </c>
      <c r="V18" s="41" t="n">
        <v>4365</v>
      </c>
      <c r="W18" s="41" t="n">
        <v>5456</v>
      </c>
    </row>
    <row r="19" customFormat="false" ht="15" hidden="false" customHeight="true" outlineLevel="0" collapsed="false">
      <c r="A19" s="40" t="s">
        <v>216</v>
      </c>
      <c r="B19" s="41" t="n">
        <v>440</v>
      </c>
      <c r="C19" s="41" t="n">
        <v>447</v>
      </c>
      <c r="D19" s="41" t="n">
        <v>491</v>
      </c>
      <c r="E19" s="41" t="n">
        <v>521</v>
      </c>
      <c r="F19" s="41" t="n">
        <v>527</v>
      </c>
      <c r="G19" s="41" t="n">
        <v>565</v>
      </c>
      <c r="H19" s="41" t="n">
        <v>580</v>
      </c>
      <c r="I19" s="41" t="n">
        <v>582</v>
      </c>
      <c r="J19" s="41" t="n">
        <v>600</v>
      </c>
      <c r="K19" s="41" t="n">
        <v>640</v>
      </c>
      <c r="L19" s="41" t="n">
        <v>645</v>
      </c>
      <c r="M19" s="41" t="n">
        <v>645</v>
      </c>
      <c r="N19" s="41" t="n">
        <v>673</v>
      </c>
      <c r="O19" s="41" t="n">
        <v>677</v>
      </c>
      <c r="P19" s="41" t="n">
        <v>699</v>
      </c>
      <c r="Q19" s="41" t="n">
        <v>753</v>
      </c>
      <c r="R19" s="41" t="n">
        <v>755</v>
      </c>
      <c r="S19" s="41" t="n">
        <v>780</v>
      </c>
      <c r="T19" s="41" t="n">
        <v>812</v>
      </c>
      <c r="U19" s="41" t="n">
        <v>834</v>
      </c>
      <c r="V19" s="41" t="n">
        <v>835</v>
      </c>
      <c r="W19" s="41" t="n">
        <v>1044</v>
      </c>
    </row>
    <row r="20" customFormat="false" ht="15" hidden="false" customHeight="true" outlineLevel="0" collapsed="false">
      <c r="A20" s="40" t="s">
        <v>217</v>
      </c>
      <c r="B20" s="41" t="n">
        <v>945</v>
      </c>
      <c r="C20" s="41" t="n">
        <v>960</v>
      </c>
      <c r="D20" s="41" t="n">
        <v>1054</v>
      </c>
      <c r="E20" s="41" t="n">
        <v>1118</v>
      </c>
      <c r="F20" s="41" t="n">
        <v>1131</v>
      </c>
      <c r="G20" s="41" t="n">
        <v>1212</v>
      </c>
      <c r="H20" s="41" t="n">
        <v>1245</v>
      </c>
      <c r="I20" s="41" t="n">
        <v>1249</v>
      </c>
      <c r="J20" s="41" t="n">
        <v>1287</v>
      </c>
      <c r="K20" s="41" t="n">
        <v>1374</v>
      </c>
      <c r="L20" s="41" t="n">
        <v>1384</v>
      </c>
      <c r="M20" s="41" t="n">
        <v>1384</v>
      </c>
      <c r="N20" s="41" t="n">
        <v>1445</v>
      </c>
      <c r="O20" s="41" t="n">
        <v>1453</v>
      </c>
      <c r="P20" s="41" t="n">
        <v>1501</v>
      </c>
      <c r="Q20" s="41" t="n">
        <v>1616</v>
      </c>
      <c r="R20" s="41" t="n">
        <v>1620</v>
      </c>
      <c r="S20" s="41" t="n">
        <v>1675</v>
      </c>
      <c r="T20" s="41" t="n">
        <v>1743</v>
      </c>
      <c r="U20" s="41" t="n">
        <v>1789</v>
      </c>
      <c r="V20" s="41" t="n">
        <v>1792</v>
      </c>
      <c r="W20" s="41" t="n">
        <v>2240</v>
      </c>
    </row>
    <row r="21" customFormat="false" ht="15" hidden="false" customHeight="true" outlineLevel="0" collapsed="false">
      <c r="A21" s="40" t="s">
        <v>218</v>
      </c>
      <c r="B21" s="41" t="n">
        <v>98</v>
      </c>
      <c r="C21" s="41" t="n">
        <v>99</v>
      </c>
      <c r="D21" s="41" t="n">
        <v>109</v>
      </c>
      <c r="E21" s="41" t="n">
        <v>116</v>
      </c>
      <c r="F21" s="41" t="n">
        <v>117</v>
      </c>
      <c r="G21" s="41" t="n">
        <v>126</v>
      </c>
      <c r="H21" s="41" t="n">
        <v>129</v>
      </c>
      <c r="I21" s="41" t="n">
        <v>130</v>
      </c>
      <c r="J21" s="41" t="n">
        <v>134</v>
      </c>
      <c r="K21" s="41" t="n">
        <v>143</v>
      </c>
      <c r="L21" s="41" t="n">
        <v>144</v>
      </c>
      <c r="M21" s="41" t="n">
        <v>144</v>
      </c>
      <c r="N21" s="41" t="n">
        <v>150</v>
      </c>
      <c r="O21" s="41" t="n">
        <v>151</v>
      </c>
      <c r="P21" s="41" t="n">
        <v>156</v>
      </c>
      <c r="Q21" s="41" t="n">
        <v>168</v>
      </c>
      <c r="R21" s="41" t="n">
        <v>168</v>
      </c>
      <c r="S21" s="41" t="n">
        <v>174</v>
      </c>
      <c r="T21" s="41" t="n">
        <v>181</v>
      </c>
      <c r="U21" s="41" t="n">
        <v>186</v>
      </c>
      <c r="V21" s="41" t="n">
        <v>186</v>
      </c>
      <c r="W21" s="41" t="n">
        <v>233</v>
      </c>
    </row>
    <row r="22" customFormat="false" ht="15" hidden="false" customHeight="true" outlineLevel="0" collapsed="false">
      <c r="A22" s="40" t="s">
        <v>219</v>
      </c>
      <c r="B22" s="41" t="n">
        <v>1100</v>
      </c>
      <c r="C22" s="41" t="n">
        <v>1600</v>
      </c>
      <c r="D22" s="41" t="n">
        <v>0</v>
      </c>
      <c r="E22" s="41" t="n">
        <v>1100</v>
      </c>
      <c r="F22" s="41" t="n">
        <v>1600</v>
      </c>
      <c r="G22" s="41" t="n">
        <v>1100</v>
      </c>
      <c r="H22" s="41" t="n">
        <v>1600</v>
      </c>
      <c r="I22" s="41" t="n">
        <v>1600</v>
      </c>
      <c r="J22" s="41" t="n">
        <v>0</v>
      </c>
      <c r="K22" s="41" t="n">
        <v>1100</v>
      </c>
      <c r="L22" s="41" t="n">
        <v>1600</v>
      </c>
      <c r="M22" s="41" t="n">
        <v>1600</v>
      </c>
      <c r="N22" s="41" t="n">
        <v>1600</v>
      </c>
      <c r="O22" s="41" t="n">
        <v>1100</v>
      </c>
      <c r="P22" s="41" t="n">
        <v>1100</v>
      </c>
      <c r="Q22" s="41" t="n">
        <v>1600</v>
      </c>
      <c r="R22" s="41" t="n">
        <v>1600</v>
      </c>
      <c r="S22" s="41" t="n">
        <v>1600</v>
      </c>
      <c r="T22" s="41" t="n">
        <v>1600</v>
      </c>
      <c r="U22" s="41" t="n">
        <v>1600</v>
      </c>
      <c r="V22" s="41" t="n">
        <v>1600</v>
      </c>
      <c r="W22" s="41" t="n">
        <v>1600</v>
      </c>
    </row>
    <row r="23" customFormat="false" ht="15" hidden="false" customHeight="true" outlineLevel="0" collapsed="false">
      <c r="A23" s="40" t="s">
        <v>220</v>
      </c>
      <c r="B23" s="41" t="n">
        <v>8535</v>
      </c>
      <c r="C23" s="41" t="n">
        <v>8611</v>
      </c>
      <c r="D23" s="41" t="n">
        <v>10476</v>
      </c>
      <c r="E23" s="41" t="n">
        <v>12352</v>
      </c>
      <c r="F23" s="41" t="n">
        <v>12460</v>
      </c>
      <c r="G23" s="41" t="n">
        <v>11510</v>
      </c>
      <c r="H23" s="41" t="n">
        <v>11726</v>
      </c>
      <c r="I23" s="41" t="n">
        <v>10118</v>
      </c>
      <c r="J23" s="41" t="n">
        <v>11995</v>
      </c>
      <c r="K23" s="41" t="n">
        <v>12565</v>
      </c>
      <c r="L23" s="41" t="n">
        <v>12628</v>
      </c>
      <c r="M23" s="41" t="n">
        <v>12634</v>
      </c>
      <c r="N23" s="41" t="n">
        <v>13029</v>
      </c>
      <c r="O23" s="41" t="n">
        <v>16876</v>
      </c>
      <c r="P23" s="41" t="n">
        <v>13393</v>
      </c>
      <c r="Q23" s="41" t="n">
        <v>14148</v>
      </c>
      <c r="R23" s="41" t="n">
        <v>14174</v>
      </c>
      <c r="S23" s="41" t="n">
        <v>18899</v>
      </c>
      <c r="T23" s="41" t="n">
        <v>19527</v>
      </c>
      <c r="U23" s="41" t="n">
        <v>17612</v>
      </c>
      <c r="V23" s="41" t="n">
        <v>17631</v>
      </c>
      <c r="W23" s="41" t="n">
        <v>21137</v>
      </c>
    </row>
    <row r="24" customFormat="false" ht="15" hidden="false" customHeight="true" outlineLevel="0" collapsed="false">
      <c r="A24" s="40" t="s">
        <v>221</v>
      </c>
      <c r="B24" s="41" t="n">
        <v>7422</v>
      </c>
      <c r="C24" s="41" t="n">
        <v>7536</v>
      </c>
      <c r="D24" s="41" t="n">
        <v>8272</v>
      </c>
      <c r="E24" s="41" t="n">
        <v>8774</v>
      </c>
      <c r="F24" s="41" t="n">
        <v>8881</v>
      </c>
      <c r="G24" s="41" t="n">
        <v>9516</v>
      </c>
      <c r="H24" s="41" t="n">
        <v>9776</v>
      </c>
      <c r="I24" s="41" t="n">
        <v>9801</v>
      </c>
      <c r="J24" s="41" t="n">
        <v>10100</v>
      </c>
      <c r="K24" s="41" t="n">
        <v>10785</v>
      </c>
      <c r="L24" s="41" t="n">
        <v>10861</v>
      </c>
      <c r="M24" s="41" t="n">
        <v>10867</v>
      </c>
      <c r="N24" s="41" t="n">
        <v>11343</v>
      </c>
      <c r="O24" s="41" t="n">
        <v>11406</v>
      </c>
      <c r="P24" s="41" t="n">
        <v>11781</v>
      </c>
      <c r="Q24" s="41" t="n">
        <v>12688</v>
      </c>
      <c r="R24" s="41" t="n">
        <v>12720</v>
      </c>
      <c r="S24" s="41" t="n">
        <v>13145</v>
      </c>
      <c r="T24" s="41" t="n">
        <v>13684</v>
      </c>
      <c r="U24" s="41" t="n">
        <v>14046</v>
      </c>
      <c r="V24" s="41" t="n">
        <v>14065</v>
      </c>
      <c r="W24" s="41" t="n">
        <v>17579</v>
      </c>
    </row>
    <row r="25" customFormat="false" ht="15" hidden="false" customHeight="true" outlineLevel="0" collapsed="false">
      <c r="A25" s="40" t="s">
        <v>222</v>
      </c>
      <c r="B25" s="41" t="n">
        <v>6666</v>
      </c>
      <c r="C25" s="41" t="n">
        <v>6769</v>
      </c>
      <c r="D25" s="41" t="n">
        <v>7430</v>
      </c>
      <c r="E25" s="41" t="n">
        <v>7880</v>
      </c>
      <c r="F25" s="41" t="n">
        <v>7977</v>
      </c>
      <c r="G25" s="41" t="n">
        <v>8546</v>
      </c>
      <c r="H25" s="41" t="n">
        <v>8780</v>
      </c>
      <c r="I25" s="41" t="n">
        <v>8803</v>
      </c>
      <c r="J25" s="41" t="n">
        <v>9071</v>
      </c>
      <c r="K25" s="41" t="n">
        <v>9686</v>
      </c>
      <c r="L25" s="41" t="n">
        <v>9754</v>
      </c>
      <c r="M25" s="41" t="n">
        <v>9760</v>
      </c>
      <c r="N25" s="41" t="n">
        <v>10187</v>
      </c>
      <c r="O25" s="41" t="n">
        <v>10244</v>
      </c>
      <c r="P25" s="41" t="n">
        <v>10580</v>
      </c>
      <c r="Q25" s="41" t="n">
        <v>11395</v>
      </c>
      <c r="R25" s="41" t="n">
        <v>11424</v>
      </c>
      <c r="S25" s="41" t="n">
        <v>11805</v>
      </c>
      <c r="T25" s="41" t="n">
        <v>12290</v>
      </c>
      <c r="U25" s="41" t="n">
        <v>12615</v>
      </c>
      <c r="V25" s="41" t="n">
        <v>12632</v>
      </c>
      <c r="W25" s="41" t="n">
        <v>15788</v>
      </c>
    </row>
    <row r="26" customFormat="false" ht="15" hidden="false" customHeight="true" outlineLevel="0" collapsed="false">
      <c r="A26" s="40" t="s">
        <v>223</v>
      </c>
      <c r="B26" s="41" t="n">
        <v>300</v>
      </c>
      <c r="C26" s="41" t="n">
        <v>300</v>
      </c>
      <c r="D26" s="41" t="n">
        <v>300</v>
      </c>
      <c r="E26" s="41" t="n">
        <v>300</v>
      </c>
      <c r="F26" s="41" t="n">
        <v>300</v>
      </c>
      <c r="G26" s="41" t="n">
        <v>300</v>
      </c>
      <c r="H26" s="41" t="n">
        <v>300</v>
      </c>
      <c r="I26" s="41" t="n">
        <v>300</v>
      </c>
      <c r="J26" s="41" t="n">
        <v>300</v>
      </c>
      <c r="K26" s="41" t="n">
        <v>300</v>
      </c>
      <c r="L26" s="41" t="n">
        <v>300</v>
      </c>
      <c r="M26" s="41" t="n">
        <v>300</v>
      </c>
      <c r="N26" s="41" t="n">
        <v>300</v>
      </c>
      <c r="O26" s="41" t="n">
        <v>300</v>
      </c>
      <c r="P26" s="41" t="n">
        <v>300</v>
      </c>
      <c r="Q26" s="41" t="n">
        <v>300</v>
      </c>
      <c r="R26" s="41" t="n">
        <v>300</v>
      </c>
      <c r="S26" s="41" t="n">
        <v>300</v>
      </c>
      <c r="T26" s="41" t="n">
        <v>300</v>
      </c>
      <c r="U26" s="41" t="n">
        <v>300</v>
      </c>
      <c r="V26" s="41" t="n">
        <v>300</v>
      </c>
      <c r="W26" s="41" t="n">
        <v>300</v>
      </c>
    </row>
    <row r="27" customFormat="false" ht="15" hidden="false" customHeight="true" outlineLevel="0" collapsed="false">
      <c r="A27" s="40" t="s">
        <v>224</v>
      </c>
      <c r="B27" s="41" t="n">
        <v>2123</v>
      </c>
      <c r="C27" s="41" t="n">
        <v>2156</v>
      </c>
      <c r="D27" s="41" t="n">
        <v>2367</v>
      </c>
      <c r="E27" s="41" t="n">
        <v>2510</v>
      </c>
      <c r="F27" s="41" t="n">
        <v>2541</v>
      </c>
      <c r="G27" s="41" t="n">
        <v>2722</v>
      </c>
      <c r="H27" s="41" t="n">
        <v>2797</v>
      </c>
      <c r="I27" s="41" t="n">
        <v>2804</v>
      </c>
      <c r="J27" s="41" t="n">
        <v>2890</v>
      </c>
      <c r="K27" s="41" t="n">
        <v>3086</v>
      </c>
      <c r="L27" s="41" t="n">
        <v>3107</v>
      </c>
      <c r="M27" s="41" t="n">
        <v>3109</v>
      </c>
      <c r="N27" s="41" t="n">
        <v>3245</v>
      </c>
      <c r="O27" s="41" t="n">
        <v>3263</v>
      </c>
      <c r="P27" s="41" t="n">
        <v>3371</v>
      </c>
      <c r="Q27" s="41" t="n">
        <v>3630</v>
      </c>
      <c r="R27" s="41" t="n">
        <v>3639</v>
      </c>
      <c r="S27" s="41" t="n">
        <v>3761</v>
      </c>
      <c r="T27" s="41" t="n">
        <v>3915</v>
      </c>
      <c r="U27" s="41" t="n">
        <v>4019</v>
      </c>
      <c r="V27" s="41" t="n">
        <v>4024</v>
      </c>
      <c r="W27" s="41" t="n">
        <v>5030</v>
      </c>
    </row>
    <row r="28" customFormat="false" ht="15" hidden="false" customHeight="true" outlineLevel="0" collapsed="false">
      <c r="A28" s="40" t="s">
        <v>225</v>
      </c>
      <c r="B28" s="41" t="n">
        <v>2737</v>
      </c>
      <c r="C28" s="41" t="n">
        <v>2779</v>
      </c>
      <c r="D28" s="41" t="n">
        <v>3051</v>
      </c>
      <c r="E28" s="41" t="n">
        <v>3235</v>
      </c>
      <c r="F28" s="41" t="n">
        <v>3275</v>
      </c>
      <c r="G28" s="41" t="n">
        <v>3509</v>
      </c>
      <c r="H28" s="41" t="n">
        <v>3605</v>
      </c>
      <c r="I28" s="41" t="n">
        <v>3615</v>
      </c>
      <c r="J28" s="41" t="n">
        <v>3725</v>
      </c>
      <c r="K28" s="41" t="n">
        <v>3977</v>
      </c>
      <c r="L28" s="41" t="n">
        <v>4005</v>
      </c>
      <c r="M28" s="41" t="n">
        <v>4008</v>
      </c>
      <c r="N28" s="41" t="n">
        <v>4183</v>
      </c>
      <c r="O28" s="41" t="n">
        <v>4207</v>
      </c>
      <c r="P28" s="41" t="n">
        <v>4345</v>
      </c>
      <c r="Q28" s="41" t="n">
        <v>4679</v>
      </c>
      <c r="R28" s="41" t="n">
        <v>4691</v>
      </c>
      <c r="S28" s="41" t="n">
        <v>4848</v>
      </c>
      <c r="T28" s="41" t="n">
        <v>5047</v>
      </c>
      <c r="U28" s="41" t="n">
        <v>5180</v>
      </c>
      <c r="V28" s="41" t="n">
        <v>5187</v>
      </c>
      <c r="W28" s="41" t="n">
        <v>6483</v>
      </c>
    </row>
    <row r="29" customFormat="false" ht="15" hidden="false" customHeight="true" outlineLevel="0" collapsed="false">
      <c r="A29" s="40" t="s">
        <v>226</v>
      </c>
      <c r="B29" s="41" t="n">
        <v>3083</v>
      </c>
      <c r="C29" s="41" t="n">
        <v>3130</v>
      </c>
      <c r="D29" s="41" t="n">
        <v>3436</v>
      </c>
      <c r="E29" s="41" t="n">
        <v>3644</v>
      </c>
      <c r="F29" s="41" t="n">
        <v>3689</v>
      </c>
      <c r="G29" s="41" t="n">
        <v>3952</v>
      </c>
      <c r="H29" s="41" t="n">
        <v>4060</v>
      </c>
      <c r="I29" s="41" t="n">
        <v>4071</v>
      </c>
      <c r="J29" s="41" t="n">
        <v>4195</v>
      </c>
      <c r="K29" s="41" t="n">
        <v>4479</v>
      </c>
      <c r="L29" s="41" t="n">
        <v>4511</v>
      </c>
      <c r="M29" s="41" t="n">
        <v>4513</v>
      </c>
      <c r="N29" s="41" t="n">
        <v>4711</v>
      </c>
      <c r="O29" s="41" t="n">
        <v>4737</v>
      </c>
      <c r="P29" s="41" t="n">
        <v>4893</v>
      </c>
      <c r="Q29" s="41" t="n">
        <v>5270</v>
      </c>
      <c r="R29" s="41" t="n">
        <v>5283</v>
      </c>
      <c r="S29" s="41" t="n">
        <v>5459</v>
      </c>
      <c r="T29" s="41" t="n">
        <v>5683</v>
      </c>
      <c r="U29" s="41" t="n">
        <v>5834</v>
      </c>
      <c r="V29" s="41" t="n">
        <v>5841</v>
      </c>
      <c r="W29" s="41" t="n">
        <v>7301</v>
      </c>
    </row>
    <row r="30" customFormat="false" ht="15" hidden="false" customHeight="true" outlineLevel="0" collapsed="false">
      <c r="A30" s="40" t="s">
        <v>227</v>
      </c>
      <c r="B30" s="41" t="n">
        <v>36</v>
      </c>
      <c r="C30" s="41" t="n">
        <v>37</v>
      </c>
      <c r="D30" s="41" t="n">
        <v>40</v>
      </c>
      <c r="E30" s="41" t="n">
        <v>43</v>
      </c>
      <c r="F30" s="41" t="n">
        <v>43</v>
      </c>
      <c r="G30" s="41" t="n">
        <v>47</v>
      </c>
      <c r="H30" s="41" t="n">
        <v>48</v>
      </c>
      <c r="I30" s="41" t="n">
        <v>48</v>
      </c>
      <c r="J30" s="41" t="n">
        <v>50</v>
      </c>
      <c r="K30" s="41" t="n">
        <v>53</v>
      </c>
      <c r="L30" s="41" t="n">
        <v>53</v>
      </c>
      <c r="M30" s="41" t="n">
        <v>53</v>
      </c>
      <c r="N30" s="41" t="n">
        <v>56</v>
      </c>
      <c r="O30" s="41" t="n">
        <v>56</v>
      </c>
      <c r="P30" s="41" t="n">
        <v>58</v>
      </c>
      <c r="Q30" s="41" t="n">
        <v>62</v>
      </c>
      <c r="R30" s="41" t="n">
        <v>62</v>
      </c>
      <c r="S30" s="41" t="n">
        <v>65</v>
      </c>
      <c r="T30" s="41" t="n">
        <v>67</v>
      </c>
      <c r="U30" s="41" t="n">
        <v>69</v>
      </c>
      <c r="V30" s="41" t="n">
        <v>69</v>
      </c>
      <c r="W30" s="41" t="n">
        <v>87</v>
      </c>
    </row>
    <row r="31" customFormat="false" ht="15" hidden="false" customHeight="true" outlineLevel="0" collapsed="false">
      <c r="A31" s="40" t="s">
        <v>228</v>
      </c>
      <c r="B31" s="41" t="n">
        <v>2152</v>
      </c>
      <c r="C31" s="41" t="n">
        <v>2185</v>
      </c>
      <c r="D31" s="41" t="n">
        <v>2399</v>
      </c>
      <c r="E31" s="41" t="n">
        <v>2544</v>
      </c>
      <c r="F31" s="41" t="n">
        <v>2575</v>
      </c>
      <c r="G31" s="41" t="n">
        <v>2759</v>
      </c>
      <c r="H31" s="41" t="n">
        <v>2835</v>
      </c>
      <c r="I31" s="41" t="n">
        <v>2842</v>
      </c>
      <c r="J31" s="41" t="n">
        <v>2929</v>
      </c>
      <c r="K31" s="41" t="n">
        <v>3127</v>
      </c>
      <c r="L31" s="41" t="n">
        <v>3149</v>
      </c>
      <c r="M31" s="41" t="n">
        <v>3151</v>
      </c>
      <c r="N31" s="41" t="n">
        <v>3289</v>
      </c>
      <c r="O31" s="41" t="n">
        <v>3308</v>
      </c>
      <c r="P31" s="41" t="n">
        <v>3416</v>
      </c>
      <c r="Q31" s="41" t="n">
        <v>3679</v>
      </c>
      <c r="R31" s="41" t="n">
        <v>3688</v>
      </c>
      <c r="S31" s="41" t="n">
        <v>3812</v>
      </c>
      <c r="T31" s="41" t="n">
        <v>3968</v>
      </c>
      <c r="U31" s="41" t="n">
        <v>4073</v>
      </c>
      <c r="V31" s="41" t="n">
        <v>4078</v>
      </c>
      <c r="W31" s="41" t="n">
        <v>5098</v>
      </c>
    </row>
    <row r="32" customFormat="false" ht="15" hidden="false" customHeight="true" outlineLevel="0" collapsed="false">
      <c r="A32" s="40" t="s">
        <v>229</v>
      </c>
      <c r="B32" s="41" t="n">
        <v>2717</v>
      </c>
      <c r="C32" s="41" t="n">
        <v>2759</v>
      </c>
      <c r="D32" s="41" t="n">
        <v>3029</v>
      </c>
      <c r="E32" s="41" t="n">
        <v>3212</v>
      </c>
      <c r="F32" s="41" t="n">
        <v>3252</v>
      </c>
      <c r="G32" s="41" t="n">
        <v>3484</v>
      </c>
      <c r="H32" s="41" t="n">
        <v>3579</v>
      </c>
      <c r="I32" s="41" t="n">
        <v>3588</v>
      </c>
      <c r="J32" s="41" t="n">
        <v>3698</v>
      </c>
      <c r="K32" s="41" t="n">
        <v>3948</v>
      </c>
      <c r="L32" s="41" t="n">
        <v>3976</v>
      </c>
      <c r="M32" s="41" t="n">
        <v>3979</v>
      </c>
      <c r="N32" s="41" t="n">
        <v>4153</v>
      </c>
      <c r="O32" s="41" t="n">
        <v>4176</v>
      </c>
      <c r="P32" s="41" t="n">
        <v>4313</v>
      </c>
      <c r="Q32" s="41" t="n">
        <v>4645</v>
      </c>
      <c r="R32" s="41" t="n">
        <v>4657</v>
      </c>
      <c r="S32" s="41" t="n">
        <v>4812</v>
      </c>
      <c r="T32" s="41" t="n">
        <v>5010</v>
      </c>
      <c r="U32" s="41" t="n">
        <v>5142</v>
      </c>
      <c r="V32" s="41" t="n">
        <v>5149</v>
      </c>
      <c r="W32" s="41" t="n">
        <v>6436</v>
      </c>
    </row>
    <row r="33" customFormat="false" ht="15" hidden="false" customHeight="true" outlineLevel="0" collapsed="false">
      <c r="A33" s="40" t="s">
        <v>230</v>
      </c>
      <c r="B33" s="41" t="n">
        <v>465</v>
      </c>
      <c r="C33" s="41" t="n">
        <v>472</v>
      </c>
      <c r="D33" s="41" t="n">
        <v>518</v>
      </c>
      <c r="E33" s="41" t="n">
        <v>549</v>
      </c>
      <c r="F33" s="41" t="n">
        <v>556</v>
      </c>
      <c r="G33" s="41" t="n">
        <v>596</v>
      </c>
      <c r="H33" s="41" t="n">
        <v>612</v>
      </c>
      <c r="I33" s="41" t="n">
        <v>614</v>
      </c>
      <c r="J33" s="41" t="n">
        <v>633</v>
      </c>
      <c r="K33" s="41" t="n">
        <v>675</v>
      </c>
      <c r="L33" s="41" t="n">
        <v>680</v>
      </c>
      <c r="M33" s="41" t="n">
        <v>681</v>
      </c>
      <c r="N33" s="41" t="n">
        <v>710</v>
      </c>
      <c r="O33" s="41" t="n">
        <v>714</v>
      </c>
      <c r="P33" s="41" t="n">
        <v>738</v>
      </c>
      <c r="Q33" s="41" t="n">
        <v>795</v>
      </c>
      <c r="R33" s="41" t="n">
        <v>797</v>
      </c>
      <c r="S33" s="41" t="n">
        <v>823</v>
      </c>
      <c r="T33" s="41" t="n">
        <v>857</v>
      </c>
      <c r="U33" s="41" t="n">
        <v>880</v>
      </c>
      <c r="V33" s="41" t="n">
        <v>881</v>
      </c>
      <c r="W33" s="41" t="n">
        <v>1101</v>
      </c>
    </row>
    <row r="34" customFormat="false" ht="15" hidden="false" customHeight="true" outlineLevel="0" collapsed="false">
      <c r="A34" s="40" t="s">
        <v>231</v>
      </c>
      <c r="B34" s="41" t="n">
        <v>394</v>
      </c>
      <c r="C34" s="41" t="n">
        <v>400</v>
      </c>
      <c r="D34" s="41" t="n">
        <v>439</v>
      </c>
      <c r="E34" s="41" t="n">
        <v>466</v>
      </c>
      <c r="F34" s="41" t="n">
        <v>472</v>
      </c>
      <c r="G34" s="41" t="n">
        <v>505</v>
      </c>
      <c r="H34" s="41" t="n">
        <v>519</v>
      </c>
      <c r="I34" s="41" t="n">
        <v>521</v>
      </c>
      <c r="J34" s="41" t="n">
        <v>537</v>
      </c>
      <c r="K34" s="41" t="n">
        <v>573</v>
      </c>
      <c r="L34" s="41" t="n">
        <v>577</v>
      </c>
      <c r="M34" s="41" t="n">
        <v>577</v>
      </c>
      <c r="N34" s="41" t="n">
        <v>603</v>
      </c>
      <c r="O34" s="41" t="n">
        <v>606</v>
      </c>
      <c r="P34" s="41" t="n">
        <v>626</v>
      </c>
      <c r="Q34" s="41" t="n">
        <v>674</v>
      </c>
      <c r="R34" s="41" t="n">
        <v>676</v>
      </c>
      <c r="S34" s="41" t="n">
        <v>698</v>
      </c>
      <c r="T34" s="41" t="n">
        <v>727</v>
      </c>
      <c r="U34" s="41" t="n">
        <v>746</v>
      </c>
      <c r="V34" s="41" t="n">
        <v>747</v>
      </c>
      <c r="W34" s="41" t="n">
        <v>934</v>
      </c>
    </row>
    <row r="35" customFormat="false" ht="15" hidden="false" customHeight="true" outlineLevel="0" collapsed="false">
      <c r="A35" s="40" t="s">
        <v>232</v>
      </c>
      <c r="B35" s="41" t="n">
        <v>507</v>
      </c>
      <c r="C35" s="41" t="n">
        <v>514</v>
      </c>
      <c r="D35" s="41" t="n">
        <v>565</v>
      </c>
      <c r="E35" s="41" t="n">
        <v>599</v>
      </c>
      <c r="F35" s="41" t="n">
        <v>606</v>
      </c>
      <c r="G35" s="41" t="n">
        <v>650</v>
      </c>
      <c r="H35" s="41" t="n">
        <v>667</v>
      </c>
      <c r="I35" s="41" t="n">
        <v>669</v>
      </c>
      <c r="J35" s="41" t="n">
        <v>690</v>
      </c>
      <c r="K35" s="41" t="n">
        <v>736</v>
      </c>
      <c r="L35" s="41" t="n">
        <v>742</v>
      </c>
      <c r="M35" s="41" t="n">
        <v>742</v>
      </c>
      <c r="N35" s="41" t="n">
        <v>774</v>
      </c>
      <c r="O35" s="41" t="n">
        <v>779</v>
      </c>
      <c r="P35" s="41" t="n">
        <v>804</v>
      </c>
      <c r="Q35" s="41" t="n">
        <v>866</v>
      </c>
      <c r="R35" s="41" t="n">
        <v>869</v>
      </c>
      <c r="S35" s="41" t="n">
        <v>898</v>
      </c>
      <c r="T35" s="41" t="n">
        <v>934</v>
      </c>
      <c r="U35" s="41" t="n">
        <v>959</v>
      </c>
      <c r="V35" s="41" t="n">
        <v>960</v>
      </c>
      <c r="W35" s="41" t="n">
        <v>1200</v>
      </c>
    </row>
    <row r="36" customFormat="false" ht="15" hidden="false" customHeight="true" outlineLevel="0" collapsed="false">
      <c r="A36" s="40" t="s">
        <v>233</v>
      </c>
      <c r="B36" s="41" t="n">
        <v>307</v>
      </c>
      <c r="C36" s="41" t="n">
        <v>312</v>
      </c>
      <c r="D36" s="41" t="n">
        <v>343</v>
      </c>
      <c r="E36" s="41" t="n">
        <v>363</v>
      </c>
      <c r="F36" s="41" t="n">
        <v>368</v>
      </c>
      <c r="G36" s="41" t="n">
        <v>394</v>
      </c>
      <c r="H36" s="41" t="n">
        <v>405</v>
      </c>
      <c r="I36" s="41" t="n">
        <v>406</v>
      </c>
      <c r="J36" s="41" t="n">
        <v>419</v>
      </c>
      <c r="K36" s="41" t="n">
        <v>447</v>
      </c>
      <c r="L36" s="41" t="n">
        <v>450</v>
      </c>
      <c r="M36" s="41" t="n">
        <v>450</v>
      </c>
      <c r="N36" s="41" t="n">
        <v>470</v>
      </c>
      <c r="O36" s="41" t="n">
        <v>473</v>
      </c>
      <c r="P36" s="41" t="n">
        <v>488</v>
      </c>
      <c r="Q36" s="41" t="n">
        <v>526</v>
      </c>
      <c r="R36" s="41" t="n">
        <v>527</v>
      </c>
      <c r="S36" s="41" t="n">
        <v>545</v>
      </c>
      <c r="T36" s="41" t="n">
        <v>567</v>
      </c>
      <c r="U36" s="41" t="n">
        <v>582</v>
      </c>
      <c r="V36" s="41" t="n">
        <v>583</v>
      </c>
      <c r="W36" s="41" t="n">
        <v>729</v>
      </c>
    </row>
    <row r="37" customFormat="false" ht="15" hidden="false" customHeight="true" outlineLevel="0" collapsed="false">
      <c r="A37" s="40" t="s">
        <v>234</v>
      </c>
      <c r="B37" s="41" t="n">
        <v>578</v>
      </c>
      <c r="C37" s="41" t="n">
        <v>587</v>
      </c>
      <c r="D37" s="41" t="n">
        <v>644</v>
      </c>
      <c r="E37" s="41" t="n">
        <v>683</v>
      </c>
      <c r="F37" s="41" t="n">
        <v>692</v>
      </c>
      <c r="G37" s="41" t="n">
        <v>741</v>
      </c>
      <c r="H37" s="41" t="n">
        <v>761</v>
      </c>
      <c r="I37" s="41" t="n">
        <v>763</v>
      </c>
      <c r="J37" s="41" t="n">
        <v>787</v>
      </c>
      <c r="K37" s="41" t="n">
        <v>840</v>
      </c>
      <c r="L37" s="41" t="n">
        <v>846</v>
      </c>
      <c r="M37" s="41" t="n">
        <v>846</v>
      </c>
      <c r="N37" s="41" t="n">
        <v>883</v>
      </c>
      <c r="O37" s="41" t="n">
        <v>888</v>
      </c>
      <c r="P37" s="41" t="n">
        <v>918</v>
      </c>
      <c r="Q37" s="41" t="n">
        <v>988</v>
      </c>
      <c r="R37" s="41" t="n">
        <v>991</v>
      </c>
      <c r="S37" s="41" t="n">
        <v>1024</v>
      </c>
      <c r="T37" s="41" t="n">
        <v>1066</v>
      </c>
      <c r="U37" s="41" t="n">
        <v>1094</v>
      </c>
      <c r="V37" s="41" t="n">
        <v>1095</v>
      </c>
      <c r="W37" s="41" t="n">
        <v>1369</v>
      </c>
    </row>
    <row r="38" customFormat="false" ht="15" hidden="false" customHeight="true" outlineLevel="0" collapsed="false">
      <c r="A38" s="40" t="s">
        <v>235</v>
      </c>
      <c r="B38" s="41" t="n">
        <v>3205</v>
      </c>
      <c r="C38" s="41" t="n">
        <v>3255</v>
      </c>
      <c r="D38" s="41" t="n">
        <v>3572</v>
      </c>
      <c r="E38" s="41" t="n">
        <v>3789</v>
      </c>
      <c r="F38" s="41" t="n">
        <v>3835</v>
      </c>
      <c r="G38" s="41" t="n">
        <v>4109</v>
      </c>
      <c r="H38" s="41" t="n">
        <v>4222</v>
      </c>
      <c r="I38" s="41" t="n">
        <v>4233</v>
      </c>
      <c r="J38" s="41" t="n">
        <v>4362</v>
      </c>
      <c r="K38" s="41" t="n">
        <v>4657</v>
      </c>
      <c r="L38" s="41" t="n">
        <v>4690</v>
      </c>
      <c r="M38" s="41" t="n">
        <v>4693</v>
      </c>
      <c r="N38" s="41" t="n">
        <v>4899</v>
      </c>
      <c r="O38" s="41" t="n">
        <v>4926</v>
      </c>
      <c r="P38" s="41" t="n">
        <v>5088</v>
      </c>
      <c r="Q38" s="41" t="n">
        <v>5479</v>
      </c>
      <c r="R38" s="41" t="n">
        <v>5493</v>
      </c>
      <c r="S38" s="41" t="n">
        <v>5677</v>
      </c>
      <c r="T38" s="41" t="n">
        <v>5910</v>
      </c>
      <c r="U38" s="41" t="n">
        <v>6066</v>
      </c>
      <c r="V38" s="41" t="n">
        <v>6074</v>
      </c>
      <c r="W38" s="41" t="n">
        <v>7592</v>
      </c>
    </row>
    <row r="39" customFormat="false" ht="15" hidden="false" customHeight="true" outlineLevel="0" collapsed="false">
      <c r="A39" s="40" t="s">
        <v>236</v>
      </c>
      <c r="B39" s="41" t="n">
        <v>4254</v>
      </c>
      <c r="C39" s="41" t="n">
        <v>4319</v>
      </c>
      <c r="D39" s="41" t="n">
        <v>4741</v>
      </c>
      <c r="E39" s="41" t="n">
        <v>5029</v>
      </c>
      <c r="F39" s="41" t="n">
        <v>5090</v>
      </c>
      <c r="G39" s="41" t="n">
        <v>5454</v>
      </c>
      <c r="H39" s="41" t="n">
        <v>5603</v>
      </c>
      <c r="I39" s="41" t="n">
        <v>5618</v>
      </c>
      <c r="J39" s="41" t="n">
        <v>5789</v>
      </c>
      <c r="K39" s="41" t="n">
        <v>6181</v>
      </c>
      <c r="L39" s="41" t="n">
        <v>6225</v>
      </c>
      <c r="M39" s="41" t="n">
        <v>6228</v>
      </c>
      <c r="N39" s="41" t="n">
        <v>6501</v>
      </c>
      <c r="O39" s="41" t="n">
        <v>6538</v>
      </c>
      <c r="P39" s="41" t="n">
        <v>6752</v>
      </c>
      <c r="Q39" s="41" t="n">
        <v>7272</v>
      </c>
      <c r="R39" s="41" t="n">
        <v>7290</v>
      </c>
      <c r="S39" s="41" t="n">
        <v>7534</v>
      </c>
      <c r="T39" s="41" t="n">
        <v>7843</v>
      </c>
      <c r="U39" s="41" t="n">
        <v>8050</v>
      </c>
      <c r="V39" s="41" t="n">
        <v>8061</v>
      </c>
      <c r="W39" s="41" t="n">
        <v>10076</v>
      </c>
    </row>
    <row r="40" customFormat="false" ht="15" hidden="false" customHeight="true" outlineLevel="0" collapsed="false">
      <c r="A40" s="40" t="s">
        <v>237</v>
      </c>
      <c r="B40" s="41" t="n">
        <v>0</v>
      </c>
      <c r="C40" s="41" t="n">
        <v>0</v>
      </c>
      <c r="D40" s="41" t="n">
        <v>0</v>
      </c>
      <c r="E40" s="41" t="n">
        <v>0</v>
      </c>
      <c r="F40" s="41" t="n">
        <v>0</v>
      </c>
      <c r="G40" s="41" t="n">
        <v>0</v>
      </c>
      <c r="H40" s="41" t="n">
        <v>0</v>
      </c>
      <c r="I40" s="41" t="n">
        <v>0</v>
      </c>
      <c r="J40" s="41" t="n">
        <v>0</v>
      </c>
      <c r="K40" s="41" t="n">
        <v>0</v>
      </c>
      <c r="L40" s="41" t="n">
        <v>0</v>
      </c>
      <c r="M40" s="41" t="n">
        <v>0</v>
      </c>
      <c r="N40" s="41" t="n">
        <v>0</v>
      </c>
      <c r="O40" s="41" t="n">
        <v>0</v>
      </c>
      <c r="P40" s="41" t="n">
        <v>0</v>
      </c>
      <c r="Q40" s="41" t="n">
        <v>0</v>
      </c>
      <c r="R40" s="41" t="n">
        <v>0</v>
      </c>
      <c r="S40" s="41" t="n">
        <v>0</v>
      </c>
      <c r="T40" s="41" t="n">
        <v>0</v>
      </c>
      <c r="U40" s="41" t="n">
        <v>0</v>
      </c>
      <c r="V40" s="41" t="n">
        <v>0</v>
      </c>
      <c r="W40" s="41" t="n">
        <v>0</v>
      </c>
    </row>
    <row r="41" customFormat="false" ht="15" hidden="false" customHeight="true" outlineLevel="0" collapsed="false">
      <c r="A41" s="40" t="s">
        <v>238</v>
      </c>
      <c r="B41" s="41" t="n">
        <v>508</v>
      </c>
      <c r="C41" s="41" t="n">
        <v>516</v>
      </c>
      <c r="D41" s="41" t="n">
        <v>566</v>
      </c>
      <c r="E41" s="41" t="n">
        <v>601</v>
      </c>
      <c r="F41" s="41" t="n">
        <v>608</v>
      </c>
      <c r="G41" s="41" t="n">
        <v>652</v>
      </c>
      <c r="H41" s="41" t="n">
        <v>669</v>
      </c>
      <c r="I41" s="41" t="n">
        <v>671</v>
      </c>
      <c r="J41" s="41" t="n">
        <v>692</v>
      </c>
      <c r="K41" s="41" t="n">
        <v>738</v>
      </c>
      <c r="L41" s="41" t="n">
        <v>744</v>
      </c>
      <c r="M41" s="41" t="n">
        <v>744</v>
      </c>
      <c r="N41" s="41" t="n">
        <v>777</v>
      </c>
      <c r="O41" s="41" t="n">
        <v>781</v>
      </c>
      <c r="P41" s="41" t="n">
        <v>807</v>
      </c>
      <c r="Q41" s="41" t="n">
        <v>869</v>
      </c>
      <c r="R41" s="41" t="n">
        <v>871</v>
      </c>
      <c r="S41" s="41" t="n">
        <v>900</v>
      </c>
      <c r="T41" s="41" t="n">
        <v>937</v>
      </c>
      <c r="U41" s="41" t="n">
        <v>962</v>
      </c>
      <c r="V41" s="41" t="n">
        <v>963</v>
      </c>
      <c r="W41" s="41" t="n">
        <v>1204</v>
      </c>
    </row>
    <row r="42" customFormat="false" ht="15" hidden="false" customHeight="true" outlineLevel="0" collapsed="false">
      <c r="A42" s="40" t="s">
        <v>239</v>
      </c>
      <c r="B42" s="41" t="n">
        <v>1616</v>
      </c>
      <c r="C42" s="41" t="n">
        <v>1616</v>
      </c>
      <c r="D42" s="41" t="n">
        <v>1616</v>
      </c>
      <c r="E42" s="41" t="n">
        <v>1616</v>
      </c>
      <c r="F42" s="41" t="n">
        <v>1616</v>
      </c>
      <c r="G42" s="41" t="n">
        <v>1616</v>
      </c>
      <c r="H42" s="41" t="n">
        <v>1616</v>
      </c>
      <c r="I42" s="41" t="n">
        <v>1616</v>
      </c>
      <c r="J42" s="41" t="n">
        <v>1616</v>
      </c>
      <c r="K42" s="41" t="n">
        <v>1616</v>
      </c>
      <c r="L42" s="41" t="n">
        <v>1616</v>
      </c>
      <c r="M42" s="41" t="n">
        <v>1616</v>
      </c>
      <c r="N42" s="41" t="n">
        <v>1616</v>
      </c>
      <c r="O42" s="41" t="n">
        <v>1616</v>
      </c>
      <c r="P42" s="41" t="n">
        <v>1616</v>
      </c>
      <c r="Q42" s="41" t="n">
        <v>1616</v>
      </c>
      <c r="R42" s="41" t="n">
        <v>1616</v>
      </c>
      <c r="S42" s="41" t="n">
        <v>1616</v>
      </c>
      <c r="T42" s="41" t="n">
        <v>1616</v>
      </c>
      <c r="U42" s="41" t="n">
        <v>1616</v>
      </c>
      <c r="V42" s="41" t="n">
        <v>1616</v>
      </c>
      <c r="W42" s="41" t="n">
        <v>1616</v>
      </c>
    </row>
    <row r="43" customFormat="false" ht="15" hidden="false" customHeight="true" outlineLevel="0" collapsed="false">
      <c r="A43" s="40" t="s">
        <v>240</v>
      </c>
      <c r="B43" s="41" t="n">
        <v>1027</v>
      </c>
      <c r="C43" s="41" t="n">
        <v>1043</v>
      </c>
      <c r="D43" s="41" t="n">
        <v>1145</v>
      </c>
      <c r="E43" s="41" t="n">
        <v>1214</v>
      </c>
      <c r="F43" s="41" t="n">
        <v>1229</v>
      </c>
      <c r="G43" s="41" t="n">
        <v>1317</v>
      </c>
      <c r="H43" s="41" t="n">
        <v>1353</v>
      </c>
      <c r="I43" s="41" t="n">
        <v>1356</v>
      </c>
      <c r="J43" s="41" t="n">
        <v>1398</v>
      </c>
      <c r="K43" s="41" t="n">
        <v>1492</v>
      </c>
      <c r="L43" s="41" t="n">
        <v>1503</v>
      </c>
      <c r="M43" s="41" t="n">
        <v>1504</v>
      </c>
      <c r="N43" s="41" t="n">
        <v>1570</v>
      </c>
      <c r="O43" s="41" t="n">
        <v>1578</v>
      </c>
      <c r="P43" s="41" t="n">
        <v>1630</v>
      </c>
      <c r="Q43" s="41" t="n">
        <v>1756</v>
      </c>
      <c r="R43" s="41" t="n">
        <v>1760</v>
      </c>
      <c r="S43" s="41" t="n">
        <v>1819</v>
      </c>
      <c r="T43" s="41" t="n">
        <v>1894</v>
      </c>
      <c r="U43" s="41" t="n">
        <v>1944</v>
      </c>
      <c r="V43" s="41" t="n">
        <v>1946</v>
      </c>
      <c r="W43" s="41" t="n">
        <v>2433</v>
      </c>
    </row>
    <row r="44" customFormat="false" ht="15" hidden="false" customHeight="true" outlineLevel="0" collapsed="false">
      <c r="A44" s="40" t="s">
        <v>241</v>
      </c>
      <c r="B44" s="41" t="n">
        <v>2378</v>
      </c>
      <c r="C44" s="41" t="n">
        <v>2415</v>
      </c>
      <c r="D44" s="41" t="n">
        <v>2651</v>
      </c>
      <c r="E44" s="41" t="n">
        <v>2812</v>
      </c>
      <c r="F44" s="41" t="n">
        <v>2846</v>
      </c>
      <c r="G44" s="41" t="n">
        <v>3049</v>
      </c>
      <c r="H44" s="41" t="n">
        <v>3133</v>
      </c>
      <c r="I44" s="41" t="n">
        <v>3141</v>
      </c>
      <c r="J44" s="41" t="n">
        <v>3237</v>
      </c>
      <c r="K44" s="41" t="n">
        <v>3456</v>
      </c>
      <c r="L44" s="41" t="n">
        <v>3480</v>
      </c>
      <c r="M44" s="41" t="n">
        <v>3483</v>
      </c>
      <c r="N44" s="41" t="n">
        <v>3635</v>
      </c>
      <c r="O44" s="41" t="n">
        <v>3655</v>
      </c>
      <c r="P44" s="41" t="n">
        <v>3775</v>
      </c>
      <c r="Q44" s="41" t="n">
        <v>4066</v>
      </c>
      <c r="R44" s="41" t="n">
        <v>4076</v>
      </c>
      <c r="S44" s="41" t="n">
        <v>4212</v>
      </c>
      <c r="T44" s="41" t="n">
        <v>4385</v>
      </c>
      <c r="U44" s="41" t="n">
        <v>4501</v>
      </c>
      <c r="V44" s="41" t="n">
        <v>4507</v>
      </c>
      <c r="W44" s="41" t="n">
        <v>5634</v>
      </c>
    </row>
    <row r="45" customFormat="false" ht="15" hidden="false" customHeight="true" outlineLevel="0" collapsed="false">
      <c r="A45" s="40" t="s">
        <v>242</v>
      </c>
      <c r="B45" s="41" t="n">
        <v>352</v>
      </c>
      <c r="C45" s="41" t="n">
        <v>358</v>
      </c>
      <c r="D45" s="41" t="n">
        <v>393</v>
      </c>
      <c r="E45" s="41" t="n">
        <v>416</v>
      </c>
      <c r="F45" s="41" t="n">
        <v>422</v>
      </c>
      <c r="G45" s="41" t="n">
        <v>452</v>
      </c>
      <c r="H45" s="41" t="n">
        <v>464</v>
      </c>
      <c r="I45" s="41" t="n">
        <v>465</v>
      </c>
      <c r="J45" s="41" t="n">
        <v>480</v>
      </c>
      <c r="K45" s="41" t="n">
        <v>512</v>
      </c>
      <c r="L45" s="41" t="n">
        <v>516</v>
      </c>
      <c r="M45" s="41" t="n">
        <v>516</v>
      </c>
      <c r="N45" s="41" t="n">
        <v>539</v>
      </c>
      <c r="O45" s="41" t="n">
        <v>542</v>
      </c>
      <c r="P45" s="41" t="n">
        <v>559</v>
      </c>
      <c r="Q45" s="41" t="n">
        <v>603</v>
      </c>
      <c r="R45" s="41" t="n">
        <v>604</v>
      </c>
      <c r="S45" s="41" t="n">
        <v>624</v>
      </c>
      <c r="T45" s="41" t="n">
        <v>650</v>
      </c>
      <c r="U45" s="41" t="n">
        <v>667</v>
      </c>
      <c r="V45" s="41" t="n">
        <v>668</v>
      </c>
      <c r="W45" s="41" t="n">
        <v>835</v>
      </c>
    </row>
    <row r="46" customFormat="false" ht="15" hidden="false" customHeight="true" outlineLevel="0" collapsed="false">
      <c r="A46" s="40" t="s">
        <v>243</v>
      </c>
      <c r="B46" s="41" t="n">
        <v>759</v>
      </c>
      <c r="C46" s="41" t="n">
        <v>771</v>
      </c>
      <c r="D46" s="41" t="n">
        <v>846</v>
      </c>
      <c r="E46" s="41" t="n">
        <v>898</v>
      </c>
      <c r="F46" s="41" t="n">
        <v>909</v>
      </c>
      <c r="G46" s="41" t="n">
        <v>974</v>
      </c>
      <c r="H46" s="41" t="n">
        <v>1000</v>
      </c>
      <c r="I46" s="41" t="n">
        <v>1003</v>
      </c>
      <c r="J46" s="41" t="n">
        <v>1034</v>
      </c>
      <c r="K46" s="41" t="n">
        <v>1104</v>
      </c>
      <c r="L46" s="41" t="n">
        <v>1111</v>
      </c>
      <c r="M46" s="41" t="n">
        <v>1112</v>
      </c>
      <c r="N46" s="41" t="n">
        <v>1161</v>
      </c>
      <c r="O46" s="41" t="n">
        <v>1167</v>
      </c>
      <c r="P46" s="41" t="n">
        <v>1206</v>
      </c>
      <c r="Q46" s="41" t="n">
        <v>1298</v>
      </c>
      <c r="R46" s="41" t="n">
        <v>1302</v>
      </c>
      <c r="S46" s="41" t="n">
        <v>1345</v>
      </c>
      <c r="T46" s="41" t="n">
        <v>1400</v>
      </c>
      <c r="U46" s="41" t="n">
        <v>1437</v>
      </c>
      <c r="V46" s="41" t="n">
        <v>1439</v>
      </c>
      <c r="W46" s="41" t="n">
        <v>1799</v>
      </c>
    </row>
    <row r="47" customFormat="false" ht="15" hidden="false" customHeight="true" outlineLevel="0" collapsed="false">
      <c r="A47" s="40" t="s">
        <v>244</v>
      </c>
      <c r="B47" s="41" t="n">
        <v>250</v>
      </c>
      <c r="C47" s="41" t="n">
        <v>250</v>
      </c>
      <c r="D47" s="41" t="n">
        <v>250</v>
      </c>
      <c r="E47" s="41" t="n">
        <v>250</v>
      </c>
      <c r="F47" s="41" t="n">
        <v>250</v>
      </c>
      <c r="G47" s="41" t="n">
        <v>250</v>
      </c>
      <c r="H47" s="41" t="n">
        <v>250</v>
      </c>
      <c r="I47" s="41" t="n">
        <v>250</v>
      </c>
      <c r="J47" s="41" t="n">
        <v>250</v>
      </c>
      <c r="K47" s="41" t="n">
        <v>250</v>
      </c>
      <c r="L47" s="41" t="n">
        <v>250</v>
      </c>
      <c r="M47" s="41" t="n">
        <v>250</v>
      </c>
      <c r="N47" s="41" t="n">
        <v>250</v>
      </c>
      <c r="O47" s="41" t="n">
        <v>250</v>
      </c>
      <c r="P47" s="41" t="n">
        <v>250</v>
      </c>
      <c r="Q47" s="41" t="n">
        <v>250</v>
      </c>
      <c r="R47" s="41" t="n">
        <v>250</v>
      </c>
      <c r="S47" s="41" t="n">
        <v>250</v>
      </c>
      <c r="T47" s="41" t="n">
        <v>250</v>
      </c>
      <c r="U47" s="41" t="n">
        <v>250</v>
      </c>
      <c r="V47" s="41" t="n">
        <v>250</v>
      </c>
      <c r="W47" s="41" t="n">
        <v>250</v>
      </c>
    </row>
    <row r="48" customFormat="false" ht="15" hidden="false" customHeight="true" outlineLevel="0" collapsed="false">
      <c r="A48" s="40" t="s">
        <v>245</v>
      </c>
      <c r="B48" s="41" t="n">
        <v>300</v>
      </c>
      <c r="C48" s="41" t="n">
        <v>300</v>
      </c>
      <c r="D48" s="41" t="n">
        <v>300</v>
      </c>
      <c r="E48" s="41" t="n">
        <v>300</v>
      </c>
      <c r="F48" s="41" t="n">
        <v>300</v>
      </c>
      <c r="G48" s="41" t="n">
        <v>300</v>
      </c>
      <c r="H48" s="41" t="n">
        <v>300</v>
      </c>
      <c r="I48" s="41" t="n">
        <v>300</v>
      </c>
      <c r="J48" s="41" t="n">
        <v>300</v>
      </c>
      <c r="K48" s="41" t="n">
        <v>300</v>
      </c>
      <c r="L48" s="41" t="n">
        <v>300</v>
      </c>
      <c r="M48" s="41" t="n">
        <v>300</v>
      </c>
      <c r="N48" s="41" t="n">
        <v>300</v>
      </c>
      <c r="O48" s="41" t="n">
        <v>300</v>
      </c>
      <c r="P48" s="41" t="n">
        <v>300</v>
      </c>
      <c r="Q48" s="41" t="n">
        <v>300</v>
      </c>
      <c r="R48" s="41" t="n">
        <v>300</v>
      </c>
      <c r="S48" s="41" t="n">
        <v>300</v>
      </c>
      <c r="T48" s="41" t="n">
        <v>300</v>
      </c>
      <c r="U48" s="41" t="n">
        <v>300</v>
      </c>
      <c r="V48" s="41" t="n">
        <v>300</v>
      </c>
      <c r="W48" s="41" t="n">
        <v>300</v>
      </c>
    </row>
    <row r="49" customFormat="false" ht="15" hidden="false" customHeight="true" outlineLevel="0" collapsed="false">
      <c r="A49" s="40" t="s">
        <v>246</v>
      </c>
      <c r="B49" s="41" t="n">
        <v>5111</v>
      </c>
      <c r="C49" s="41" t="n">
        <v>5178</v>
      </c>
      <c r="D49" s="41" t="n">
        <v>5604</v>
      </c>
      <c r="E49" s="41" t="n">
        <v>5892</v>
      </c>
      <c r="F49" s="41" t="n">
        <v>5953</v>
      </c>
      <c r="G49" s="41" t="n">
        <v>6313</v>
      </c>
      <c r="H49" s="41" t="n">
        <v>6459</v>
      </c>
      <c r="I49" s="41" t="n">
        <v>6473</v>
      </c>
      <c r="J49" s="41" t="n">
        <v>6641</v>
      </c>
      <c r="K49" s="41" t="n">
        <v>7022</v>
      </c>
      <c r="L49" s="41" t="n">
        <v>7064</v>
      </c>
      <c r="M49" s="41" t="n">
        <v>7067</v>
      </c>
      <c r="N49" s="41" t="n">
        <v>7329</v>
      </c>
      <c r="O49" s="41" t="n">
        <v>7364</v>
      </c>
      <c r="P49" s="41" t="n">
        <v>7569</v>
      </c>
      <c r="Q49" s="41" t="n">
        <v>8062</v>
      </c>
      <c r="R49" s="41" t="n">
        <v>8079</v>
      </c>
      <c r="S49" s="41" t="n">
        <v>8308</v>
      </c>
      <c r="T49" s="41" t="n">
        <v>8597</v>
      </c>
      <c r="U49" s="41" t="n">
        <v>8789</v>
      </c>
      <c r="V49" s="41" t="n">
        <v>8800</v>
      </c>
      <c r="W49" s="41" t="n">
        <v>10637</v>
      </c>
    </row>
    <row r="50" customFormat="false" ht="15" hidden="false" customHeight="true" outlineLevel="0" collapsed="false">
      <c r="A50" s="40" t="s">
        <v>247</v>
      </c>
      <c r="B50" s="41" t="n">
        <v>1469</v>
      </c>
      <c r="C50" s="41" t="n">
        <v>1492</v>
      </c>
      <c r="D50" s="41" t="n">
        <v>1638</v>
      </c>
      <c r="E50" s="41" t="n">
        <v>1737</v>
      </c>
      <c r="F50" s="41" t="n">
        <v>1758</v>
      </c>
      <c r="G50" s="41" t="n">
        <v>1884</v>
      </c>
      <c r="H50" s="41" t="n">
        <v>1935</v>
      </c>
      <c r="I50" s="41" t="n">
        <v>1940</v>
      </c>
      <c r="J50" s="41" t="n">
        <v>2000</v>
      </c>
      <c r="K50" s="41" t="n">
        <v>2135</v>
      </c>
      <c r="L50" s="41" t="n">
        <v>2150</v>
      </c>
      <c r="M50" s="41" t="n">
        <v>2152</v>
      </c>
      <c r="N50" s="41" t="n">
        <v>2246</v>
      </c>
      <c r="O50" s="41" t="n">
        <v>2258</v>
      </c>
      <c r="P50" s="41" t="n">
        <v>2332</v>
      </c>
      <c r="Q50" s="41" t="n">
        <v>2512</v>
      </c>
      <c r="R50" s="41" t="n">
        <v>2518</v>
      </c>
      <c r="S50" s="41" t="n">
        <v>2603</v>
      </c>
      <c r="T50" s="41" t="n">
        <v>2709</v>
      </c>
      <c r="U50" s="41" t="n">
        <v>2781</v>
      </c>
      <c r="V50" s="41" t="n">
        <v>2785</v>
      </c>
      <c r="W50" s="41" t="n">
        <v>3481</v>
      </c>
    </row>
    <row r="51" customFormat="false" ht="15" hidden="false" customHeight="true" outlineLevel="0" collapsed="false">
      <c r="A51" s="40" t="s">
        <v>248</v>
      </c>
      <c r="B51" s="41" t="n">
        <v>1102</v>
      </c>
      <c r="C51" s="41" t="n">
        <v>1119</v>
      </c>
      <c r="D51" s="41" t="n">
        <v>1228</v>
      </c>
      <c r="E51" s="41" t="n">
        <v>1303</v>
      </c>
      <c r="F51" s="41" t="n">
        <v>1319</v>
      </c>
      <c r="G51" s="41" t="n">
        <v>1413</v>
      </c>
      <c r="H51" s="41" t="n">
        <v>1451</v>
      </c>
      <c r="I51" s="41" t="n">
        <v>1455</v>
      </c>
      <c r="J51" s="41" t="n">
        <v>1500</v>
      </c>
      <c r="K51" s="41" t="n">
        <v>1601</v>
      </c>
      <c r="L51" s="41" t="n">
        <v>1613</v>
      </c>
      <c r="M51" s="41" t="n">
        <v>1614</v>
      </c>
      <c r="N51" s="41" t="n">
        <v>1684</v>
      </c>
      <c r="O51" s="41" t="n">
        <v>1694</v>
      </c>
      <c r="P51" s="41" t="n">
        <v>1749</v>
      </c>
      <c r="Q51" s="41" t="n">
        <v>1884</v>
      </c>
      <c r="R51" s="41" t="n">
        <v>1889</v>
      </c>
      <c r="S51" s="41" t="n">
        <v>1952</v>
      </c>
      <c r="T51" s="41" t="n">
        <v>2032</v>
      </c>
      <c r="U51" s="41" t="n">
        <v>2086</v>
      </c>
      <c r="V51" s="41" t="n">
        <v>2088</v>
      </c>
      <c r="W51" s="41" t="n">
        <v>2610</v>
      </c>
    </row>
    <row r="52" customFormat="false" ht="15" hidden="false" customHeight="true" outlineLevel="0" collapsed="false">
      <c r="A52" s="40" t="s">
        <v>249</v>
      </c>
      <c r="B52" s="41" t="n">
        <v>0</v>
      </c>
      <c r="C52" s="41" t="n">
        <v>0</v>
      </c>
      <c r="D52" s="41" t="n">
        <v>0</v>
      </c>
      <c r="E52" s="41" t="n">
        <v>0</v>
      </c>
      <c r="F52" s="41" t="n">
        <v>0</v>
      </c>
      <c r="G52" s="41" t="n">
        <v>0</v>
      </c>
      <c r="H52" s="41" t="n">
        <v>0</v>
      </c>
      <c r="I52" s="41" t="n">
        <v>0</v>
      </c>
      <c r="J52" s="41" t="n">
        <v>0</v>
      </c>
      <c r="K52" s="41" t="n">
        <v>0</v>
      </c>
      <c r="L52" s="41" t="n">
        <v>0</v>
      </c>
      <c r="M52" s="41" t="n">
        <v>0</v>
      </c>
      <c r="N52" s="41" t="n">
        <v>0</v>
      </c>
      <c r="O52" s="41" t="n">
        <v>0</v>
      </c>
      <c r="P52" s="41" t="n">
        <v>0</v>
      </c>
      <c r="Q52" s="41" t="n">
        <v>0</v>
      </c>
      <c r="R52" s="41" t="n">
        <v>0</v>
      </c>
      <c r="S52" s="41" t="n">
        <v>0</v>
      </c>
      <c r="T52" s="41" t="n">
        <v>0</v>
      </c>
      <c r="U52" s="41" t="n">
        <v>0</v>
      </c>
      <c r="V52" s="41" t="n">
        <v>0</v>
      </c>
      <c r="W52" s="41" t="n">
        <v>0</v>
      </c>
    </row>
    <row r="53" customFormat="false" ht="15" hidden="false" customHeight="true" outlineLevel="0" collapsed="false">
      <c r="A53" s="40" t="s">
        <v>250</v>
      </c>
      <c r="B53" s="41" t="n">
        <v>0</v>
      </c>
      <c r="C53" s="41" t="n">
        <v>0</v>
      </c>
      <c r="D53" s="41" t="n">
        <v>0</v>
      </c>
      <c r="E53" s="41" t="n">
        <v>0</v>
      </c>
      <c r="F53" s="41" t="n">
        <v>0</v>
      </c>
      <c r="G53" s="41" t="n">
        <v>0</v>
      </c>
      <c r="H53" s="41" t="n">
        <v>0</v>
      </c>
      <c r="I53" s="41" t="n">
        <v>0</v>
      </c>
      <c r="J53" s="41" t="n">
        <v>0</v>
      </c>
      <c r="K53" s="41" t="n">
        <v>0</v>
      </c>
      <c r="L53" s="41" t="n">
        <v>0</v>
      </c>
      <c r="M53" s="41" t="n">
        <v>0</v>
      </c>
      <c r="N53" s="41" t="n">
        <v>0</v>
      </c>
      <c r="O53" s="41" t="n">
        <v>0</v>
      </c>
      <c r="P53" s="41" t="n">
        <v>0</v>
      </c>
      <c r="Q53" s="41" t="n">
        <v>0</v>
      </c>
      <c r="R53" s="41" t="n">
        <v>0</v>
      </c>
      <c r="S53" s="41" t="n">
        <v>0</v>
      </c>
      <c r="T53" s="41" t="n">
        <v>0</v>
      </c>
      <c r="U53" s="41" t="n">
        <v>0</v>
      </c>
      <c r="V53" s="41" t="n">
        <v>0</v>
      </c>
      <c r="W53" s="41" t="n">
        <v>0</v>
      </c>
    </row>
    <row r="54" customFormat="false" ht="15" hidden="false" customHeight="true" outlineLevel="0" collapsed="false">
      <c r="A54" s="40" t="s">
        <v>251</v>
      </c>
      <c r="B54" s="41" t="n">
        <v>0</v>
      </c>
      <c r="C54" s="41" t="n">
        <v>0</v>
      </c>
      <c r="D54" s="41" t="n">
        <v>0</v>
      </c>
      <c r="E54" s="41" t="n">
        <v>0</v>
      </c>
      <c r="F54" s="41" t="n">
        <v>0</v>
      </c>
      <c r="G54" s="41" t="n">
        <v>0</v>
      </c>
      <c r="H54" s="41" t="n">
        <v>0</v>
      </c>
      <c r="I54" s="41" t="n">
        <v>0</v>
      </c>
      <c r="J54" s="41" t="n">
        <v>0</v>
      </c>
      <c r="K54" s="41" t="n">
        <v>0</v>
      </c>
      <c r="L54" s="41" t="n">
        <v>0</v>
      </c>
      <c r="M54" s="41" t="n">
        <v>0</v>
      </c>
      <c r="N54" s="41" t="n">
        <v>0</v>
      </c>
      <c r="O54" s="41" t="n">
        <v>0</v>
      </c>
      <c r="P54" s="41" t="n">
        <v>0</v>
      </c>
      <c r="Q54" s="41" t="n">
        <v>0</v>
      </c>
      <c r="R54" s="41" t="n">
        <v>0</v>
      </c>
      <c r="S54" s="41" t="n">
        <v>0</v>
      </c>
      <c r="T54" s="41" t="n">
        <v>0</v>
      </c>
      <c r="U54" s="41" t="n">
        <v>0</v>
      </c>
      <c r="V54" s="41" t="n">
        <v>0</v>
      </c>
      <c r="W54" s="41" t="n">
        <v>0</v>
      </c>
    </row>
    <row r="55" customFormat="false" ht="15" hidden="false" customHeight="true" outlineLevel="0" collapsed="false">
      <c r="A55" s="40" t="s">
        <v>252</v>
      </c>
      <c r="B55" s="41" t="n">
        <v>2050</v>
      </c>
      <c r="C55" s="41" t="n">
        <v>2050</v>
      </c>
      <c r="D55" s="41" t="n">
        <v>2050</v>
      </c>
      <c r="E55" s="41" t="n">
        <v>2050</v>
      </c>
      <c r="F55" s="41" t="n">
        <v>2050</v>
      </c>
      <c r="G55" s="41" t="n">
        <v>2050</v>
      </c>
      <c r="H55" s="41" t="n">
        <v>2050</v>
      </c>
      <c r="I55" s="41" t="n">
        <v>2050</v>
      </c>
      <c r="J55" s="41" t="n">
        <v>2050</v>
      </c>
      <c r="K55" s="41" t="n">
        <v>2050</v>
      </c>
      <c r="L55" s="41" t="n">
        <v>2050</v>
      </c>
      <c r="M55" s="41" t="n">
        <v>2050</v>
      </c>
      <c r="N55" s="41" t="n">
        <v>2050</v>
      </c>
      <c r="O55" s="41" t="n">
        <v>2050</v>
      </c>
      <c r="P55" s="41" t="n">
        <v>2050</v>
      </c>
      <c r="Q55" s="41" t="n">
        <v>2050</v>
      </c>
      <c r="R55" s="41" t="n">
        <v>2050</v>
      </c>
      <c r="S55" s="41" t="n">
        <v>2050</v>
      </c>
      <c r="T55" s="41" t="n">
        <v>2050</v>
      </c>
      <c r="U55" s="41" t="n">
        <v>2050</v>
      </c>
      <c r="V55" s="41" t="n">
        <v>2050</v>
      </c>
      <c r="W55" s="41" t="n">
        <v>2050</v>
      </c>
    </row>
    <row r="56" customFormat="false" ht="15" hidden="false" customHeight="true" outlineLevel="0" collapsed="false">
      <c r="A56" s="38" t="s">
        <v>253</v>
      </c>
      <c r="B56" s="17" t="n">
        <v>96076</v>
      </c>
      <c r="C56" s="17" t="n">
        <v>97831</v>
      </c>
      <c r="D56" s="17" t="n">
        <v>105668</v>
      </c>
      <c r="E56" s="17" t="n">
        <v>113798</v>
      </c>
      <c r="F56" s="17" t="n">
        <v>115510</v>
      </c>
      <c r="G56" s="17" t="n">
        <v>120582</v>
      </c>
      <c r="H56" s="17" t="n">
        <v>123967</v>
      </c>
      <c r="I56" s="17" t="n">
        <v>122622</v>
      </c>
      <c r="J56" s="17" t="n">
        <v>125978</v>
      </c>
      <c r="K56" s="17" t="n">
        <v>134662</v>
      </c>
      <c r="L56" s="17" t="n">
        <v>136009</v>
      </c>
      <c r="M56" s="17" t="n">
        <v>136078</v>
      </c>
      <c r="N56" s="17" t="n">
        <v>141355</v>
      </c>
      <c r="O56" s="17" t="n">
        <v>145350</v>
      </c>
      <c r="P56" s="17" t="n">
        <v>145710</v>
      </c>
      <c r="Q56" s="17" t="n">
        <v>156262</v>
      </c>
      <c r="R56" s="17" t="n">
        <v>156615</v>
      </c>
      <c r="S56" s="17" t="n">
        <v>165696</v>
      </c>
      <c r="T56" s="17" t="n">
        <v>171846</v>
      </c>
      <c r="U56" s="17" t="n">
        <v>173637</v>
      </c>
      <c r="V56" s="17" t="n">
        <v>173846</v>
      </c>
      <c r="W56" s="17" t="n">
        <v>213313</v>
      </c>
    </row>
  </sheetData>
  <mergeCells count="1">
    <mergeCell ref="A1:W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K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10" min="3" style="1" width="16"/>
    <col collapsed="false" customWidth="true" hidden="false" outlineLevel="0" max="11" min="11" style="1" width="18"/>
  </cols>
  <sheetData>
    <row r="1" customFormat="false" ht="31.5" hidden="false" customHeight="true" outlineLevel="0" collapsed="false">
      <c r="A1" s="42" t="s">
        <v>254</v>
      </c>
      <c r="B1" s="42"/>
      <c r="C1" s="42"/>
      <c r="D1" s="42"/>
      <c r="E1" s="42"/>
      <c r="F1" s="42"/>
      <c r="G1" s="42"/>
      <c r="H1" s="42"/>
      <c r="I1" s="42"/>
      <c r="J1" s="42"/>
      <c r="K1" s="42"/>
    </row>
    <row r="2" customFormat="false" ht="15" hidden="false" customHeight="true" outlineLevel="0" collapsed="false">
      <c r="A2" s="33" t="s">
        <v>255</v>
      </c>
      <c r="B2" s="33"/>
      <c r="C2" s="33"/>
      <c r="D2" s="33"/>
      <c r="E2" s="33"/>
      <c r="F2" s="33"/>
      <c r="G2" s="33"/>
      <c r="H2" s="33"/>
      <c r="I2" s="33"/>
      <c r="J2" s="33"/>
      <c r="K2" s="33"/>
    </row>
    <row r="3" customFormat="false" ht="15" hidden="false" customHeight="true" outlineLevel="0" collapsed="false">
      <c r="A3" s="43" t="s">
        <v>138</v>
      </c>
      <c r="B3" s="43" t="s">
        <v>256</v>
      </c>
      <c r="C3" s="43" t="s">
        <v>257</v>
      </c>
      <c r="D3" s="43" t="s">
        <v>258</v>
      </c>
      <c r="E3" s="43" t="s">
        <v>259</v>
      </c>
      <c r="F3" s="43" t="s">
        <v>260</v>
      </c>
      <c r="G3" s="43" t="s">
        <v>37</v>
      </c>
      <c r="H3" s="43" t="s">
        <v>261</v>
      </c>
      <c r="I3" s="43" t="s">
        <v>39</v>
      </c>
      <c r="J3" s="43" t="s">
        <v>40</v>
      </c>
      <c r="K3" s="43" t="s">
        <v>262</v>
      </c>
    </row>
    <row r="4" customFormat="false" ht="15" hidden="false" customHeight="true" outlineLevel="0" collapsed="false">
      <c r="A4" s="35" t="n">
        <v>1</v>
      </c>
      <c r="B4" s="5" t="s">
        <v>31</v>
      </c>
      <c r="C4" s="6" t="n">
        <v>0</v>
      </c>
      <c r="D4" s="6" t="n">
        <v>0</v>
      </c>
      <c r="E4" s="6" t="n">
        <v>0</v>
      </c>
      <c r="F4" s="6" t="n">
        <v>0</v>
      </c>
      <c r="G4" s="6" t="n">
        <v>0</v>
      </c>
      <c r="H4" s="6" t="n">
        <v>0</v>
      </c>
      <c r="I4" s="6" t="n">
        <v>0</v>
      </c>
      <c r="J4" s="6" t="n">
        <v>0</v>
      </c>
      <c r="K4" s="17" t="n">
        <f aca="false">SUM(C4:J4)</f>
        <v>0</v>
      </c>
    </row>
    <row r="5" customFormat="false" ht="15" hidden="false" customHeight="true" outlineLevel="0" collapsed="false">
      <c r="A5" s="35" t="n">
        <v>2</v>
      </c>
      <c r="B5" s="5" t="s">
        <v>263</v>
      </c>
      <c r="C5" s="6" t="n">
        <v>0</v>
      </c>
      <c r="D5" s="6" t="n">
        <v>0</v>
      </c>
      <c r="E5" s="6" t="n">
        <v>0</v>
      </c>
      <c r="F5" s="6" t="n">
        <v>0</v>
      </c>
      <c r="G5" s="6" t="n">
        <v>0</v>
      </c>
      <c r="H5" s="6" t="n">
        <v>0</v>
      </c>
      <c r="I5" s="6" t="n">
        <v>0</v>
      </c>
      <c r="J5" s="6" t="n">
        <v>0</v>
      </c>
      <c r="K5" s="17" t="n">
        <f aca="false">SUM(C5:J5)</f>
        <v>0</v>
      </c>
    </row>
    <row r="6" customFormat="false" ht="15" hidden="false" customHeight="true" outlineLevel="0" collapsed="false">
      <c r="A6" s="35" t="n">
        <v>3</v>
      </c>
      <c r="B6" s="5" t="s">
        <v>264</v>
      </c>
      <c r="C6" s="6" t="n">
        <v>0</v>
      </c>
      <c r="D6" s="6" t="n">
        <v>0</v>
      </c>
      <c r="E6" s="6" t="n">
        <v>0</v>
      </c>
      <c r="F6" s="6" t="n">
        <v>0</v>
      </c>
      <c r="G6" s="6" t="n">
        <v>0</v>
      </c>
      <c r="H6" s="6" t="n">
        <v>0</v>
      </c>
      <c r="I6" s="6" t="n">
        <v>0</v>
      </c>
      <c r="J6" s="6" t="n">
        <v>0</v>
      </c>
      <c r="K6" s="17" t="n">
        <f aca="false">SUM(C6:J6)</f>
        <v>0</v>
      </c>
    </row>
    <row r="7" customFormat="false" ht="15" hidden="false" customHeight="true" outlineLevel="0" collapsed="false">
      <c r="A7" s="35" t="n">
        <v>4</v>
      </c>
      <c r="B7" s="5" t="s">
        <v>265</v>
      </c>
      <c r="C7" s="6" t="n">
        <v>0</v>
      </c>
      <c r="D7" s="6" t="n">
        <v>0</v>
      </c>
      <c r="E7" s="6" t="n">
        <v>0</v>
      </c>
      <c r="F7" s="6" t="n">
        <v>0</v>
      </c>
      <c r="G7" s="6" t="n">
        <v>0</v>
      </c>
      <c r="H7" s="6" t="n">
        <v>0</v>
      </c>
      <c r="I7" s="6" t="n">
        <v>0</v>
      </c>
      <c r="J7" s="6" t="n">
        <v>0</v>
      </c>
      <c r="K7" s="17" t="n">
        <f aca="false">SUM(C7:J7)</f>
        <v>0</v>
      </c>
    </row>
    <row r="8" customFormat="false" ht="15" hidden="false" customHeight="true" outlineLevel="0" collapsed="false">
      <c r="A8" s="35" t="n">
        <v>5</v>
      </c>
      <c r="B8" s="5" t="s">
        <v>266</v>
      </c>
      <c r="C8" s="6" t="n">
        <v>0</v>
      </c>
      <c r="D8" s="6" t="n">
        <v>0</v>
      </c>
      <c r="E8" s="6" t="n">
        <v>0</v>
      </c>
      <c r="F8" s="6" t="n">
        <v>0</v>
      </c>
      <c r="G8" s="6" t="n">
        <v>0</v>
      </c>
      <c r="H8" s="6" t="n">
        <v>0</v>
      </c>
      <c r="I8" s="6" t="n">
        <v>0</v>
      </c>
      <c r="J8" s="6" t="n">
        <v>0</v>
      </c>
      <c r="K8" s="17" t="n">
        <f aca="false">SUM(C8:J8)</f>
        <v>0</v>
      </c>
    </row>
    <row r="9" customFormat="false" ht="15" hidden="false" customHeight="true" outlineLevel="0" collapsed="false">
      <c r="A9" s="35" t="n">
        <v>6</v>
      </c>
      <c r="B9" s="5" t="s">
        <v>267</v>
      </c>
      <c r="C9" s="6" t="n">
        <v>0</v>
      </c>
      <c r="D9" s="6" t="n">
        <v>0</v>
      </c>
      <c r="E9" s="6" t="n">
        <v>0</v>
      </c>
      <c r="F9" s="6" t="n">
        <v>0</v>
      </c>
      <c r="G9" s="6" t="n">
        <v>0</v>
      </c>
      <c r="H9" s="6" t="n">
        <v>0</v>
      </c>
      <c r="I9" s="6" t="n">
        <v>0</v>
      </c>
      <c r="J9" s="6" t="n">
        <v>0</v>
      </c>
      <c r="K9" s="17" t="n">
        <f aca="false">SUM(C9:J9)</f>
        <v>0</v>
      </c>
    </row>
    <row r="10" customFormat="false" ht="15" hidden="false" customHeight="true" outlineLevel="0" collapsed="false">
      <c r="A10" s="35" t="n">
        <v>7</v>
      </c>
      <c r="B10" s="5" t="s">
        <v>268</v>
      </c>
      <c r="C10" s="6" t="n">
        <v>0</v>
      </c>
      <c r="D10" s="6" t="n">
        <v>0</v>
      </c>
      <c r="E10" s="6" t="n">
        <v>0</v>
      </c>
      <c r="F10" s="6" t="n">
        <v>0</v>
      </c>
      <c r="G10" s="6" t="n">
        <v>0</v>
      </c>
      <c r="H10" s="6" t="n">
        <v>0</v>
      </c>
      <c r="I10" s="6" t="n">
        <v>0</v>
      </c>
      <c r="J10" s="6" t="n">
        <v>0</v>
      </c>
      <c r="K10" s="17" t="n">
        <f aca="false">SUM(C10:J10)</f>
        <v>0</v>
      </c>
    </row>
    <row r="11" customFormat="false" ht="15" hidden="false" customHeight="true" outlineLevel="0" collapsed="false">
      <c r="A11" s="35" t="n">
        <v>8</v>
      </c>
      <c r="B11" s="5" t="s">
        <v>269</v>
      </c>
      <c r="C11" s="6" t="n">
        <v>0</v>
      </c>
      <c r="D11" s="6" t="n">
        <v>0</v>
      </c>
      <c r="E11" s="6" t="n">
        <v>0</v>
      </c>
      <c r="F11" s="6" t="n">
        <v>0</v>
      </c>
      <c r="G11" s="6" t="n">
        <v>0</v>
      </c>
      <c r="H11" s="6" t="n">
        <v>0</v>
      </c>
      <c r="I11" s="6" t="n">
        <v>0</v>
      </c>
      <c r="J11" s="6" t="n">
        <v>0</v>
      </c>
      <c r="K11" s="17" t="n">
        <f aca="false">SUM(C11:J11)</f>
        <v>0</v>
      </c>
    </row>
    <row r="12" customFormat="false" ht="15" hidden="false" customHeight="true" outlineLevel="0" collapsed="false">
      <c r="A12" s="35" t="n">
        <v>9</v>
      </c>
      <c r="B12" s="5" t="s">
        <v>270</v>
      </c>
      <c r="C12" s="6" t="n">
        <v>0</v>
      </c>
      <c r="D12" s="6" t="n">
        <v>0</v>
      </c>
      <c r="E12" s="6" t="n">
        <v>0</v>
      </c>
      <c r="F12" s="6" t="n">
        <v>0</v>
      </c>
      <c r="G12" s="6" t="n">
        <v>0</v>
      </c>
      <c r="H12" s="6" t="n">
        <v>0</v>
      </c>
      <c r="I12" s="6" t="n">
        <v>0</v>
      </c>
      <c r="J12" s="6" t="n">
        <v>0</v>
      </c>
      <c r="K12" s="17" t="n">
        <f aca="false">SUM(C12:J12)</f>
        <v>0</v>
      </c>
    </row>
    <row r="13" customFormat="false" ht="15" hidden="false" customHeight="true" outlineLevel="0" collapsed="false">
      <c r="A13" s="35" t="n">
        <v>10</v>
      </c>
      <c r="B13" s="5" t="s">
        <v>271</v>
      </c>
      <c r="C13" s="6" t="n">
        <v>0</v>
      </c>
      <c r="D13" s="6" t="n">
        <v>0</v>
      </c>
      <c r="E13" s="6" t="n">
        <v>0</v>
      </c>
      <c r="F13" s="6" t="n">
        <v>0</v>
      </c>
      <c r="G13" s="6" t="n">
        <v>0</v>
      </c>
      <c r="H13" s="6" t="n">
        <v>0</v>
      </c>
      <c r="I13" s="6" t="n">
        <v>0</v>
      </c>
      <c r="J13" s="6" t="n">
        <v>0</v>
      </c>
      <c r="K13" s="17" t="n">
        <f aca="false">SUM(C13:J13)</f>
        <v>0</v>
      </c>
    </row>
    <row r="14" customFormat="false" ht="15" hidden="false" customHeight="true" outlineLevel="0" collapsed="false">
      <c r="A14" s="35" t="n">
        <v>11</v>
      </c>
      <c r="B14" s="5" t="s">
        <v>272</v>
      </c>
      <c r="C14" s="6" t="n">
        <v>0</v>
      </c>
      <c r="D14" s="6" t="n">
        <v>0</v>
      </c>
      <c r="E14" s="6" t="n">
        <v>0</v>
      </c>
      <c r="F14" s="6" t="n">
        <v>0</v>
      </c>
      <c r="G14" s="6" t="n">
        <v>0</v>
      </c>
      <c r="H14" s="6" t="n">
        <v>0</v>
      </c>
      <c r="I14" s="6" t="n">
        <v>0</v>
      </c>
      <c r="J14" s="6" t="n">
        <v>0</v>
      </c>
      <c r="K14" s="17" t="n">
        <f aca="false">SUM(C14:J14)</f>
        <v>0</v>
      </c>
    </row>
    <row r="15" customFormat="false" ht="15" hidden="false" customHeight="true" outlineLevel="0" collapsed="false">
      <c r="A15" s="35" t="n">
        <v>12</v>
      </c>
      <c r="B15" s="5" t="s">
        <v>273</v>
      </c>
      <c r="C15" s="6" t="n">
        <v>0</v>
      </c>
      <c r="D15" s="6" t="n">
        <v>0</v>
      </c>
      <c r="E15" s="6" t="n">
        <v>0</v>
      </c>
      <c r="F15" s="6" t="n">
        <v>0</v>
      </c>
      <c r="G15" s="6" t="n">
        <v>0</v>
      </c>
      <c r="H15" s="6" t="n">
        <v>0</v>
      </c>
      <c r="I15" s="6" t="n">
        <v>0</v>
      </c>
      <c r="J15" s="6" t="n">
        <v>0</v>
      </c>
      <c r="K15" s="17" t="n">
        <f aca="false">SUM(C15:J15)</f>
        <v>0</v>
      </c>
    </row>
    <row r="16" customFormat="false" ht="15" hidden="false" customHeight="true" outlineLevel="0" collapsed="false">
      <c r="A16" s="35" t="n">
        <v>13</v>
      </c>
      <c r="B16" s="5" t="s">
        <v>274</v>
      </c>
      <c r="C16" s="6" t="n">
        <v>0</v>
      </c>
      <c r="D16" s="6" t="n">
        <v>0</v>
      </c>
      <c r="E16" s="6" t="n">
        <v>0</v>
      </c>
      <c r="F16" s="6" t="n">
        <v>0</v>
      </c>
      <c r="G16" s="6" t="n">
        <v>0</v>
      </c>
      <c r="H16" s="6" t="n">
        <v>0</v>
      </c>
      <c r="I16" s="6" t="n">
        <v>0</v>
      </c>
      <c r="J16" s="6" t="n">
        <v>0</v>
      </c>
      <c r="K16" s="17" t="n">
        <f aca="false">SUM(C16:J16)</f>
        <v>0</v>
      </c>
    </row>
    <row r="17" customFormat="false" ht="15" hidden="false" customHeight="true" outlineLevel="0" collapsed="false">
      <c r="A17" s="35" t="n">
        <v>14</v>
      </c>
      <c r="B17" s="5" t="s">
        <v>275</v>
      </c>
      <c r="C17" s="6" t="n">
        <v>0</v>
      </c>
      <c r="D17" s="6" t="n">
        <v>0</v>
      </c>
      <c r="E17" s="6" t="n">
        <v>0</v>
      </c>
      <c r="F17" s="6" t="n">
        <v>0</v>
      </c>
      <c r="G17" s="6" t="n">
        <v>0</v>
      </c>
      <c r="H17" s="6" t="n">
        <v>0</v>
      </c>
      <c r="I17" s="6" t="n">
        <v>0</v>
      </c>
      <c r="J17" s="6" t="n">
        <v>0</v>
      </c>
      <c r="K17" s="17" t="n">
        <f aca="false">SUM(C17:J17)</f>
        <v>0</v>
      </c>
    </row>
    <row r="18" customFormat="false" ht="15" hidden="false" customHeight="true" outlineLevel="0" collapsed="false">
      <c r="A18" s="35" t="n">
        <v>15</v>
      </c>
      <c r="B18" s="5" t="s">
        <v>276</v>
      </c>
      <c r="C18" s="6" t="n">
        <v>0</v>
      </c>
      <c r="D18" s="6" t="n">
        <v>0</v>
      </c>
      <c r="E18" s="6" t="n">
        <v>0</v>
      </c>
      <c r="F18" s="6" t="n">
        <v>0</v>
      </c>
      <c r="G18" s="6" t="n">
        <v>0</v>
      </c>
      <c r="H18" s="6" t="n">
        <v>0</v>
      </c>
      <c r="I18" s="6" t="n">
        <v>0</v>
      </c>
      <c r="J18" s="6" t="n">
        <v>0</v>
      </c>
      <c r="K18" s="17" t="n">
        <f aca="false">SUM(C18:J18)</f>
        <v>0</v>
      </c>
    </row>
    <row r="19" customFormat="false" ht="15" hidden="false" customHeight="true" outlineLevel="0" collapsed="false">
      <c r="A19" s="35" t="n">
        <v>16</v>
      </c>
      <c r="B19" s="5"/>
      <c r="C19" s="6"/>
      <c r="D19" s="6"/>
      <c r="E19" s="6"/>
      <c r="F19" s="6"/>
      <c r="G19" s="6"/>
      <c r="H19" s="6"/>
      <c r="I19" s="6"/>
      <c r="J19" s="6"/>
      <c r="K19" s="17" t="n">
        <f aca="false">SUM(C19:J19)</f>
        <v>0</v>
      </c>
    </row>
    <row r="20" customFormat="false" ht="15" hidden="false" customHeight="true" outlineLevel="0" collapsed="false">
      <c r="A20" s="35" t="n">
        <v>17</v>
      </c>
      <c r="B20" s="5"/>
      <c r="C20" s="6"/>
      <c r="D20" s="6"/>
      <c r="E20" s="6"/>
      <c r="F20" s="6"/>
      <c r="G20" s="6"/>
      <c r="H20" s="6"/>
      <c r="I20" s="6"/>
      <c r="J20" s="6"/>
      <c r="K20" s="17" t="n">
        <f aca="false">SUM(C20:J20)</f>
        <v>0</v>
      </c>
    </row>
    <row r="21" customFormat="false" ht="15" hidden="false" customHeight="true" outlineLevel="0" collapsed="false">
      <c r="A21" s="35" t="n">
        <v>18</v>
      </c>
      <c r="B21" s="5"/>
      <c r="C21" s="6"/>
      <c r="D21" s="6"/>
      <c r="E21" s="6"/>
      <c r="F21" s="6"/>
      <c r="G21" s="6"/>
      <c r="H21" s="6"/>
      <c r="I21" s="6"/>
      <c r="J21" s="6"/>
      <c r="K21" s="17" t="n">
        <f aca="false">SUM(C21:J21)</f>
        <v>0</v>
      </c>
    </row>
    <row r="22" customFormat="false" ht="15" hidden="false" customHeight="true" outlineLevel="0" collapsed="false">
      <c r="A22" s="35" t="n">
        <v>19</v>
      </c>
      <c r="B22" s="5"/>
      <c r="C22" s="6"/>
      <c r="D22" s="6"/>
      <c r="E22" s="6"/>
      <c r="F22" s="6"/>
      <c r="G22" s="6"/>
      <c r="H22" s="6"/>
      <c r="I22" s="6"/>
      <c r="J22" s="6"/>
      <c r="K22" s="17" t="n">
        <f aca="false">SUM(C22:J22)</f>
        <v>0</v>
      </c>
    </row>
    <row r="23" customFormat="false" ht="15" hidden="false" customHeight="true" outlineLevel="0" collapsed="false">
      <c r="A23" s="35" t="n">
        <v>20</v>
      </c>
      <c r="B23" s="5"/>
      <c r="C23" s="6"/>
      <c r="D23" s="6"/>
      <c r="E23" s="6"/>
      <c r="F23" s="6"/>
      <c r="G23" s="6"/>
      <c r="H23" s="6"/>
      <c r="I23" s="6"/>
      <c r="J23" s="6"/>
      <c r="K23" s="17" t="n">
        <f aca="false">SUM(C23:J23)</f>
        <v>0</v>
      </c>
    </row>
    <row r="24" customFormat="false" ht="15" hidden="false" customHeight="true" outlineLevel="0" collapsed="false">
      <c r="A24" s="35" t="n">
        <v>21</v>
      </c>
      <c r="B24" s="5"/>
      <c r="C24" s="6"/>
      <c r="D24" s="6"/>
      <c r="E24" s="6"/>
      <c r="F24" s="6"/>
      <c r="G24" s="6"/>
      <c r="H24" s="6"/>
      <c r="I24" s="6"/>
      <c r="J24" s="6"/>
      <c r="K24" s="17" t="n">
        <f aca="false">SUM(C24:J24)</f>
        <v>0</v>
      </c>
    </row>
    <row r="25" customFormat="false" ht="15" hidden="false" customHeight="true" outlineLevel="0" collapsed="false">
      <c r="A25" s="35" t="n">
        <v>22</v>
      </c>
      <c r="B25" s="5"/>
      <c r="C25" s="6"/>
      <c r="D25" s="6"/>
      <c r="E25" s="6"/>
      <c r="F25" s="6"/>
      <c r="G25" s="6"/>
      <c r="H25" s="6"/>
      <c r="I25" s="6"/>
      <c r="J25" s="6"/>
      <c r="K25" s="17" t="n">
        <f aca="false">SUM(C25:J25)</f>
        <v>0</v>
      </c>
    </row>
    <row r="26" customFormat="false" ht="15" hidden="false" customHeight="true" outlineLevel="0" collapsed="false">
      <c r="A26" s="35" t="n">
        <v>23</v>
      </c>
      <c r="B26" s="5"/>
      <c r="C26" s="6"/>
      <c r="D26" s="6"/>
      <c r="E26" s="6"/>
      <c r="F26" s="6"/>
      <c r="G26" s="6"/>
      <c r="H26" s="6"/>
      <c r="I26" s="6"/>
      <c r="J26" s="6"/>
      <c r="K26" s="17" t="n">
        <f aca="false">SUM(C26:J26)</f>
        <v>0</v>
      </c>
    </row>
    <row r="27" customFormat="false" ht="15" hidden="false" customHeight="true" outlineLevel="0" collapsed="false">
      <c r="A27" s="35" t="n">
        <v>24</v>
      </c>
      <c r="B27" s="5"/>
      <c r="C27" s="6"/>
      <c r="D27" s="6"/>
      <c r="E27" s="6"/>
      <c r="F27" s="6"/>
      <c r="G27" s="6"/>
      <c r="H27" s="6"/>
      <c r="I27" s="6"/>
      <c r="J27" s="6"/>
      <c r="K27" s="17" t="n">
        <f aca="false">SUM(C27:J27)</f>
        <v>0</v>
      </c>
    </row>
    <row r="28" customFormat="false" ht="15" hidden="false" customHeight="true" outlineLevel="0" collapsed="false">
      <c r="A28" s="35" t="n">
        <v>25</v>
      </c>
      <c r="B28" s="5"/>
      <c r="C28" s="6"/>
      <c r="D28" s="6"/>
      <c r="E28" s="6"/>
      <c r="F28" s="6"/>
      <c r="G28" s="6"/>
      <c r="H28" s="6"/>
      <c r="I28" s="6"/>
      <c r="J28" s="6"/>
      <c r="K28" s="17" t="n">
        <f aca="false">SUM(C28:J28)</f>
        <v>0</v>
      </c>
    </row>
    <row r="29" customFormat="false" ht="15" hidden="false" customHeight="true" outlineLevel="0" collapsed="false">
      <c r="A29" s="35" t="n">
        <v>26</v>
      </c>
      <c r="B29" s="5"/>
      <c r="C29" s="6"/>
      <c r="D29" s="6"/>
      <c r="E29" s="6"/>
      <c r="F29" s="6"/>
      <c r="G29" s="6"/>
      <c r="H29" s="6"/>
      <c r="I29" s="6"/>
      <c r="J29" s="6"/>
      <c r="K29" s="17" t="n">
        <f aca="false">SUM(C29:J29)</f>
        <v>0</v>
      </c>
    </row>
    <row r="30" customFormat="false" ht="15" hidden="false" customHeight="true" outlineLevel="0" collapsed="false">
      <c r="A30" s="35" t="n">
        <v>27</v>
      </c>
      <c r="B30" s="5"/>
      <c r="C30" s="6"/>
      <c r="D30" s="6"/>
      <c r="E30" s="6"/>
      <c r="F30" s="6"/>
      <c r="G30" s="6"/>
      <c r="H30" s="6"/>
      <c r="I30" s="6"/>
      <c r="J30" s="6"/>
      <c r="K30" s="17" t="n">
        <f aca="false">SUM(C30:J30)</f>
        <v>0</v>
      </c>
    </row>
    <row r="31" customFormat="false" ht="15" hidden="false" customHeight="true" outlineLevel="0" collapsed="false">
      <c r="A31" s="35" t="n">
        <v>28</v>
      </c>
      <c r="B31" s="5"/>
      <c r="C31" s="6"/>
      <c r="D31" s="6"/>
      <c r="E31" s="6"/>
      <c r="F31" s="6"/>
      <c r="G31" s="6"/>
      <c r="H31" s="6"/>
      <c r="I31" s="6"/>
      <c r="J31" s="6"/>
      <c r="K31" s="17" t="n">
        <f aca="false">SUM(C31:J31)</f>
        <v>0</v>
      </c>
    </row>
    <row r="32" customFormat="false" ht="15" hidden="false" customHeight="true" outlineLevel="0" collapsed="false">
      <c r="A32" s="35" t="n">
        <v>29</v>
      </c>
      <c r="B32" s="5"/>
      <c r="C32" s="6"/>
      <c r="D32" s="6"/>
      <c r="E32" s="6"/>
      <c r="F32" s="6"/>
      <c r="G32" s="6"/>
      <c r="H32" s="6"/>
      <c r="I32" s="6"/>
      <c r="J32" s="6"/>
      <c r="K32" s="17" t="n">
        <f aca="false">SUM(C32:J32)</f>
        <v>0</v>
      </c>
    </row>
    <row r="33" customFormat="false" ht="15" hidden="false" customHeight="true" outlineLevel="0" collapsed="false">
      <c r="A33" s="35" t="n">
        <v>30</v>
      </c>
      <c r="B33" s="5"/>
      <c r="C33" s="6"/>
      <c r="D33" s="6"/>
      <c r="E33" s="6"/>
      <c r="F33" s="6"/>
      <c r="G33" s="6"/>
      <c r="H33" s="6"/>
      <c r="I33" s="6"/>
      <c r="J33" s="6"/>
      <c r="K33" s="17" t="n">
        <f aca="false">SUM(C33:J33)</f>
        <v>0</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5"/>
    <col collapsed="false" customWidth="true" hidden="false" outlineLevel="0" max="3" min="3" style="1" width="18"/>
    <col collapsed="false" customWidth="true" hidden="false" outlineLevel="0" max="4" min="4" style="1" width="40"/>
  </cols>
  <sheetData>
    <row r="1" customFormat="false" ht="30" hidden="false" customHeight="true" outlineLevel="0" collapsed="false">
      <c r="A1" s="44" t="s">
        <v>277</v>
      </c>
      <c r="B1" s="44"/>
      <c r="C1" s="44"/>
      <c r="D1" s="44"/>
    </row>
    <row r="2" customFormat="false" ht="15" hidden="false" customHeight="true" outlineLevel="0" collapsed="false">
      <c r="A2" s="33" t="s">
        <v>278</v>
      </c>
      <c r="B2" s="33"/>
      <c r="C2" s="33"/>
      <c r="D2" s="33"/>
    </row>
    <row r="3" customFormat="false" ht="15" hidden="false" customHeight="true" outlineLevel="0" collapsed="false">
      <c r="A3" s="45" t="s">
        <v>138</v>
      </c>
      <c r="B3" s="45" t="s">
        <v>279</v>
      </c>
      <c r="C3" s="45" t="s">
        <v>280</v>
      </c>
      <c r="D3" s="45" t="s">
        <v>281</v>
      </c>
    </row>
    <row r="4" customFormat="false" ht="15" hidden="false" customHeight="true" outlineLevel="0" collapsed="false">
      <c r="A4" s="35" t="n">
        <v>1</v>
      </c>
      <c r="B4" s="46" t="s">
        <v>282</v>
      </c>
      <c r="C4" s="6" t="n">
        <v>0</v>
      </c>
      <c r="D4" s="5"/>
    </row>
    <row r="5" customFormat="false" ht="15" hidden="false" customHeight="true" outlineLevel="0" collapsed="false">
      <c r="A5" s="35" t="n">
        <v>2</v>
      </c>
      <c r="B5" s="46" t="s">
        <v>283</v>
      </c>
      <c r="C5" s="6" t="n">
        <v>0</v>
      </c>
      <c r="D5" s="5"/>
    </row>
    <row r="6" customFormat="false" ht="15" hidden="false" customHeight="true" outlineLevel="0" collapsed="false">
      <c r="A6" s="35" t="n">
        <v>3</v>
      </c>
      <c r="B6" s="46" t="s">
        <v>284</v>
      </c>
      <c r="C6" s="6" t="n">
        <v>0</v>
      </c>
      <c r="D6" s="5"/>
    </row>
    <row r="7" customFormat="false" ht="15" hidden="false" customHeight="true" outlineLevel="0" collapsed="false">
      <c r="A7" s="35" t="n">
        <v>4</v>
      </c>
      <c r="B7" s="46" t="s">
        <v>285</v>
      </c>
      <c r="C7" s="6" t="n">
        <v>0</v>
      </c>
      <c r="D7" s="5"/>
    </row>
    <row r="8" customFormat="false" ht="15" hidden="false" customHeight="true" outlineLevel="0" collapsed="false">
      <c r="A8" s="35" t="n">
        <v>5</v>
      </c>
      <c r="B8" s="46" t="s">
        <v>286</v>
      </c>
      <c r="C8" s="6" t="n">
        <v>0</v>
      </c>
      <c r="D8" s="5"/>
    </row>
    <row r="9" customFormat="false" ht="15" hidden="false" customHeight="true" outlineLevel="0" collapsed="false">
      <c r="A9" s="35" t="n">
        <v>6</v>
      </c>
      <c r="B9" s="46" t="s">
        <v>287</v>
      </c>
      <c r="C9" s="6" t="n">
        <v>0</v>
      </c>
      <c r="D9" s="5"/>
    </row>
    <row r="10" customFormat="false" ht="15" hidden="false" customHeight="true" outlineLevel="0" collapsed="false">
      <c r="A10" s="35" t="n">
        <v>7</v>
      </c>
      <c r="B10" s="46" t="s">
        <v>288</v>
      </c>
      <c r="C10" s="6" t="n">
        <v>0</v>
      </c>
      <c r="D10" s="5"/>
    </row>
    <row r="11" customFormat="false" ht="15" hidden="false" customHeight="true" outlineLevel="0" collapsed="false">
      <c r="A11" s="35" t="n">
        <v>8</v>
      </c>
      <c r="B11" s="46" t="s">
        <v>289</v>
      </c>
      <c r="C11" s="6" t="n">
        <v>0</v>
      </c>
      <c r="D11" s="5"/>
    </row>
    <row r="12" customFormat="false" ht="15" hidden="false" customHeight="true" outlineLevel="0" collapsed="false">
      <c r="A12" s="35" t="n">
        <v>9</v>
      </c>
      <c r="B12" s="46" t="s">
        <v>290</v>
      </c>
      <c r="C12" s="6" t="n">
        <v>0</v>
      </c>
      <c r="D12" s="5"/>
    </row>
    <row r="13" customFormat="false" ht="15" hidden="false" customHeight="true" outlineLevel="0" collapsed="false">
      <c r="A13" s="35" t="n">
        <v>10</v>
      </c>
      <c r="B13" s="46" t="s">
        <v>291</v>
      </c>
      <c r="C13" s="6" t="n">
        <v>0</v>
      </c>
      <c r="D13" s="5"/>
    </row>
    <row r="14" customFormat="false" ht="15" hidden="false" customHeight="true" outlineLevel="0" collapsed="false">
      <c r="A14" s="35" t="n">
        <v>11</v>
      </c>
      <c r="B14" s="46" t="s">
        <v>292</v>
      </c>
      <c r="C14" s="6" t="n">
        <v>0</v>
      </c>
      <c r="D14" s="5"/>
    </row>
    <row r="15" customFormat="false" ht="15" hidden="false" customHeight="true" outlineLevel="0" collapsed="false">
      <c r="A15" s="35" t="n">
        <v>12</v>
      </c>
      <c r="B15" s="46" t="s">
        <v>293</v>
      </c>
      <c r="C15" s="6" t="n">
        <v>0</v>
      </c>
      <c r="D15" s="5"/>
    </row>
    <row r="16" customFormat="false" ht="15" hidden="false" customHeight="true" outlineLevel="0" collapsed="false">
      <c r="A16" s="35" t="n">
        <v>13</v>
      </c>
      <c r="B16" s="46" t="s">
        <v>294</v>
      </c>
      <c r="C16" s="6" t="n">
        <v>0</v>
      </c>
      <c r="D16" s="5"/>
    </row>
    <row r="17" customFormat="false" ht="15" hidden="false" customHeight="true" outlineLevel="0" collapsed="false">
      <c r="A17" s="35" t="n">
        <v>14</v>
      </c>
      <c r="B17" s="46" t="s">
        <v>295</v>
      </c>
      <c r="C17" s="6" t="n">
        <v>0</v>
      </c>
      <c r="D17" s="5"/>
    </row>
    <row r="18" customFormat="false" ht="15" hidden="false" customHeight="true" outlineLevel="0" collapsed="false">
      <c r="A18" s="35" t="n">
        <v>15</v>
      </c>
      <c r="B18" s="46" t="s">
        <v>296</v>
      </c>
      <c r="C18" s="6" t="n">
        <v>0</v>
      </c>
      <c r="D18" s="5"/>
    </row>
    <row r="19" customFormat="false" ht="15" hidden="false" customHeight="true" outlineLevel="0" collapsed="false">
      <c r="A19" s="35" t="n">
        <v>16</v>
      </c>
      <c r="B19" s="46" t="s">
        <v>297</v>
      </c>
      <c r="C19" s="6" t="n">
        <v>0</v>
      </c>
      <c r="D19" s="5"/>
    </row>
    <row r="20" customFormat="false" ht="15" hidden="false" customHeight="true" outlineLevel="0" collapsed="false">
      <c r="A20" s="35" t="n">
        <v>17</v>
      </c>
      <c r="B20" s="46" t="s">
        <v>298</v>
      </c>
      <c r="C20" s="6" t="n">
        <v>0</v>
      </c>
      <c r="D20" s="5"/>
    </row>
    <row r="21" customFormat="false" ht="15" hidden="false" customHeight="true" outlineLevel="0" collapsed="false">
      <c r="A21" s="35" t="n">
        <v>18</v>
      </c>
      <c r="B21" s="46" t="s">
        <v>299</v>
      </c>
      <c r="C21" s="6" t="n">
        <v>0</v>
      </c>
      <c r="D21" s="5"/>
    </row>
    <row r="22" customFormat="false" ht="24" hidden="false" customHeight="true" outlineLevel="0" collapsed="false">
      <c r="A22" s="47"/>
      <c r="B22" s="48" t="s">
        <v>300</v>
      </c>
      <c r="C22" s="49" t="n">
        <f aca="false">SUM(C4:C21)</f>
        <v>0</v>
      </c>
      <c r="D22" s="47"/>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40"/>
    <col collapsed="false" customWidth="true" hidden="false" outlineLevel="0" max="5" min="3" style="1" width="12"/>
    <col collapsed="false" customWidth="true" hidden="false" outlineLevel="0" max="6" min="6" style="1" width="30"/>
    <col collapsed="false" customWidth="true" hidden="false" outlineLevel="0" max="8" min="7" style="1" width="16"/>
  </cols>
  <sheetData>
    <row r="1" customFormat="false" ht="30" hidden="false" customHeight="true" outlineLevel="0" collapsed="false">
      <c r="A1" s="50" t="s">
        <v>301</v>
      </c>
      <c r="B1" s="50"/>
      <c r="C1" s="50"/>
      <c r="D1" s="50"/>
      <c r="E1" s="50"/>
      <c r="F1" s="50"/>
      <c r="G1" s="50"/>
      <c r="H1" s="50"/>
    </row>
    <row r="3" customFormat="false" ht="15" hidden="false" customHeight="true" outlineLevel="0" collapsed="false">
      <c r="A3" s="51" t="s">
        <v>138</v>
      </c>
      <c r="B3" s="51" t="s">
        <v>302</v>
      </c>
      <c r="C3" s="51" t="s">
        <v>141</v>
      </c>
      <c r="D3" s="51" t="s">
        <v>142</v>
      </c>
      <c r="E3" s="51" t="s">
        <v>140</v>
      </c>
      <c r="F3" s="51" t="s">
        <v>303</v>
      </c>
      <c r="G3" s="51" t="s">
        <v>304</v>
      </c>
      <c r="H3" s="51" t="s">
        <v>305</v>
      </c>
    </row>
    <row r="4" customFormat="false" ht="15" hidden="false" customHeight="true" outlineLevel="0" collapsed="false">
      <c r="A4" s="35" t="n">
        <v>1</v>
      </c>
      <c r="B4" s="5"/>
      <c r="C4" s="5"/>
      <c r="D4" s="5"/>
      <c r="E4" s="5"/>
      <c r="F4" s="5"/>
      <c r="G4" s="7"/>
      <c r="H4" s="6"/>
    </row>
    <row r="5" customFormat="false" ht="15" hidden="false" customHeight="true" outlineLevel="0" collapsed="false">
      <c r="A5" s="35" t="n">
        <v>2</v>
      </c>
      <c r="B5" s="5"/>
      <c r="C5" s="5"/>
      <c r="D5" s="5"/>
      <c r="E5" s="5"/>
      <c r="F5" s="5"/>
      <c r="G5" s="7"/>
      <c r="H5" s="6"/>
    </row>
    <row r="6" customFormat="false" ht="15" hidden="false" customHeight="true" outlineLevel="0" collapsed="false">
      <c r="A6" s="35" t="n">
        <v>3</v>
      </c>
      <c r="B6" s="5"/>
      <c r="C6" s="5"/>
      <c r="D6" s="5"/>
      <c r="E6" s="5"/>
      <c r="F6" s="5"/>
      <c r="G6" s="7"/>
      <c r="H6" s="6"/>
    </row>
    <row r="7" customFormat="false" ht="15" hidden="false" customHeight="true" outlineLevel="0" collapsed="false">
      <c r="A7" s="35" t="n">
        <v>4</v>
      </c>
      <c r="B7" s="5"/>
      <c r="C7" s="5"/>
      <c r="D7" s="5"/>
      <c r="E7" s="5"/>
      <c r="F7" s="5"/>
      <c r="G7" s="7"/>
      <c r="H7" s="6"/>
    </row>
    <row r="8" customFormat="false" ht="15" hidden="false" customHeight="true" outlineLevel="0" collapsed="false">
      <c r="A8" s="35" t="n">
        <v>5</v>
      </c>
      <c r="B8" s="5"/>
      <c r="C8" s="5"/>
      <c r="D8" s="5"/>
      <c r="E8" s="5"/>
      <c r="F8" s="5"/>
      <c r="G8" s="7"/>
      <c r="H8" s="6"/>
    </row>
    <row r="9" customFormat="false" ht="15" hidden="false" customHeight="true" outlineLevel="0" collapsed="false">
      <c r="A9" s="35" t="n">
        <v>6</v>
      </c>
      <c r="B9" s="5"/>
      <c r="C9" s="5"/>
      <c r="D9" s="5"/>
      <c r="E9" s="5"/>
      <c r="F9" s="5"/>
      <c r="G9" s="7"/>
      <c r="H9" s="6"/>
    </row>
    <row r="10" customFormat="false" ht="15" hidden="false" customHeight="true" outlineLevel="0" collapsed="false">
      <c r="A10" s="35" t="n">
        <v>7</v>
      </c>
      <c r="B10" s="5"/>
      <c r="C10" s="5"/>
      <c r="D10" s="5"/>
      <c r="E10" s="5"/>
      <c r="F10" s="5"/>
      <c r="G10" s="7"/>
      <c r="H10" s="6"/>
    </row>
    <row r="11" customFormat="false" ht="15" hidden="false" customHeight="true" outlineLevel="0" collapsed="false">
      <c r="A11" s="35" t="n">
        <v>8</v>
      </c>
      <c r="B11" s="5"/>
      <c r="C11" s="5"/>
      <c r="D11" s="5"/>
      <c r="E11" s="5"/>
      <c r="F11" s="5"/>
      <c r="G11" s="7"/>
      <c r="H11" s="6"/>
    </row>
    <row r="12" customFormat="false" ht="15" hidden="false" customHeight="true" outlineLevel="0" collapsed="false">
      <c r="A12" s="35" t="n">
        <v>9</v>
      </c>
      <c r="B12" s="5"/>
      <c r="C12" s="5"/>
      <c r="D12" s="5"/>
      <c r="E12" s="5"/>
      <c r="F12" s="5"/>
      <c r="G12" s="7"/>
      <c r="H12" s="6"/>
    </row>
    <row r="13" customFormat="false" ht="15" hidden="false" customHeight="true" outlineLevel="0" collapsed="false">
      <c r="A13" s="35" t="n">
        <v>10</v>
      </c>
      <c r="B13" s="5"/>
      <c r="C13" s="5"/>
      <c r="D13" s="5"/>
      <c r="E13" s="5"/>
      <c r="F13" s="5"/>
      <c r="G13" s="7"/>
      <c r="H13" s="6"/>
    </row>
    <row r="14" customFormat="false" ht="15" hidden="false" customHeight="true" outlineLevel="0" collapsed="false">
      <c r="A14" s="35" t="n">
        <v>11</v>
      </c>
      <c r="B14" s="5"/>
      <c r="C14" s="5"/>
      <c r="D14" s="5"/>
      <c r="E14" s="5"/>
      <c r="F14" s="5"/>
      <c r="G14" s="7"/>
      <c r="H14" s="6"/>
    </row>
    <row r="15" customFormat="false" ht="15" hidden="false" customHeight="true" outlineLevel="0" collapsed="false">
      <c r="A15" s="35" t="n">
        <v>12</v>
      </c>
      <c r="B15" s="5"/>
      <c r="C15" s="5"/>
      <c r="D15" s="5"/>
      <c r="E15" s="5"/>
      <c r="F15" s="5"/>
      <c r="G15" s="7"/>
      <c r="H15" s="6"/>
    </row>
    <row r="16" customFormat="false" ht="15" hidden="false" customHeight="true" outlineLevel="0" collapsed="false">
      <c r="A16" s="35" t="n">
        <v>13</v>
      </c>
      <c r="B16" s="5"/>
      <c r="C16" s="5"/>
      <c r="D16" s="5"/>
      <c r="E16" s="5"/>
      <c r="F16" s="5"/>
      <c r="G16" s="7"/>
      <c r="H16" s="6"/>
    </row>
    <row r="17" customFormat="false" ht="15" hidden="false" customHeight="true" outlineLevel="0" collapsed="false">
      <c r="A17" s="35" t="n">
        <v>14</v>
      </c>
      <c r="B17" s="5"/>
      <c r="C17" s="5"/>
      <c r="D17" s="5"/>
      <c r="E17" s="5"/>
      <c r="F17" s="5"/>
      <c r="G17" s="7"/>
      <c r="H17" s="6"/>
    </row>
    <row r="18" customFormat="false" ht="15" hidden="false" customHeight="true" outlineLevel="0" collapsed="false">
      <c r="A18" s="35" t="n">
        <v>15</v>
      </c>
      <c r="B18" s="5"/>
      <c r="C18" s="5"/>
      <c r="D18" s="5"/>
      <c r="E18" s="5"/>
      <c r="F18" s="5"/>
      <c r="G18" s="7"/>
      <c r="H18" s="6"/>
    </row>
    <row r="20" customFormat="false" ht="15" hidden="false" customHeight="true" outlineLevel="0" collapsed="false">
      <c r="D20" s="52" t="s">
        <v>306</v>
      </c>
      <c r="E20" s="18" t="str">
        <f aca="false">IF(COUNTA(E4:E18)&gt;0,AVERAGE(E4:E18),"")</f>
        <v/>
      </c>
      <c r="H20" s="16" t="str">
        <f aca="false">IF(COUNTA(H4:H18)&gt;0,AVERAGE(H4:H18),"")</f>
        <v/>
      </c>
    </row>
    <row r="21" customFormat="false" ht="15" hidden="false" customHeight="true" outlineLevel="0" collapsed="false">
      <c r="E21" s="52" t="s">
        <v>307</v>
      </c>
      <c r="H21" s="16" t="str">
        <f aca="false">IF(COUNTA(H4:H18)&gt;0,MEDIAN(H4:H18),"")</f>
        <v/>
      </c>
    </row>
    <row r="22" customFormat="false" ht="15" hidden="false" customHeight="true" outlineLevel="0" collapsed="false">
      <c r="E22" s="52" t="s">
        <v>308</v>
      </c>
      <c r="H22" s="15" t="str">
        <f aca="false">IF(AND(COUNTA(H4:H18)&gt;0,COUNTA(E4:E18)&gt;0),AVERAGE(H4:H18)/AVERAGE(E4:E18),"")</f>
        <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14"/>
    <col collapsed="false" customWidth="true" hidden="false" outlineLevel="0" max="4" min="4" style="1" width="40"/>
  </cols>
  <sheetData>
    <row r="1" customFormat="false" ht="30" hidden="false" customHeight="true" outlineLevel="0" collapsed="false">
      <c r="A1" s="53" t="s">
        <v>309</v>
      </c>
      <c r="B1" s="53"/>
      <c r="C1" s="53"/>
      <c r="D1" s="53"/>
    </row>
    <row r="3" customFormat="false" ht="15" hidden="false" customHeight="true" outlineLevel="0" collapsed="false">
      <c r="A3" s="35" t="s">
        <v>310</v>
      </c>
      <c r="B3" s="46" t="s">
        <v>311</v>
      </c>
      <c r="C3" s="46" t="s">
        <v>312</v>
      </c>
      <c r="D3" s="46" t="s">
        <v>313</v>
      </c>
    </row>
    <row r="4" customFormat="false" ht="15" hidden="false" customHeight="true" outlineLevel="0" collapsed="false">
      <c r="A4" s="35" t="s">
        <v>310</v>
      </c>
      <c r="B4" s="46" t="s">
        <v>314</v>
      </c>
      <c r="C4" s="46" t="s">
        <v>315</v>
      </c>
      <c r="D4" s="46" t="s">
        <v>316</v>
      </c>
    </row>
    <row r="5" customFormat="false" ht="15" hidden="false" customHeight="true" outlineLevel="0" collapsed="false">
      <c r="A5" s="35" t="s">
        <v>310</v>
      </c>
      <c r="B5" s="46" t="s">
        <v>317</v>
      </c>
      <c r="C5" s="46" t="s">
        <v>315</v>
      </c>
      <c r="D5" s="46" t="s">
        <v>318</v>
      </c>
    </row>
    <row r="6" customFormat="false" ht="15" hidden="false" customHeight="true" outlineLevel="0" collapsed="false">
      <c r="A6" s="35" t="s">
        <v>319</v>
      </c>
      <c r="B6" s="46" t="s">
        <v>320</v>
      </c>
      <c r="C6" s="46" t="s">
        <v>321</v>
      </c>
      <c r="D6" s="46" t="s">
        <v>322</v>
      </c>
    </row>
    <row r="7" customFormat="false" ht="15" hidden="false" customHeight="true" outlineLevel="0" collapsed="false">
      <c r="A7" s="35" t="s">
        <v>319</v>
      </c>
      <c r="B7" s="46" t="s">
        <v>323</v>
      </c>
      <c r="C7" s="46" t="s">
        <v>324</v>
      </c>
      <c r="D7" s="46" t="s">
        <v>322</v>
      </c>
    </row>
    <row r="8" customFormat="false" ht="15" hidden="false" customHeight="true" outlineLevel="0" collapsed="false">
      <c r="A8" s="35" t="s">
        <v>319</v>
      </c>
      <c r="B8" s="46" t="s">
        <v>325</v>
      </c>
      <c r="C8" s="46" t="s">
        <v>326</v>
      </c>
      <c r="D8" s="46" t="s">
        <v>322</v>
      </c>
    </row>
    <row r="9" customFormat="false" ht="15" hidden="false" customHeight="true" outlineLevel="0" collapsed="false">
      <c r="A9" s="35" t="s">
        <v>319</v>
      </c>
      <c r="B9" s="46" t="s">
        <v>327</v>
      </c>
      <c r="C9" s="46" t="s">
        <v>328</v>
      </c>
      <c r="D9" s="46" t="s">
        <v>322</v>
      </c>
    </row>
    <row r="10" customFormat="false" ht="15" hidden="false" customHeight="true" outlineLevel="0" collapsed="false">
      <c r="A10" s="35" t="s">
        <v>329</v>
      </c>
      <c r="B10" s="46" t="s">
        <v>330</v>
      </c>
      <c r="C10" s="46" t="s">
        <v>331</v>
      </c>
      <c r="D10" s="46" t="s">
        <v>332</v>
      </c>
    </row>
    <row r="11" customFormat="false" ht="15" hidden="false" customHeight="true" outlineLevel="0" collapsed="false">
      <c r="A11" s="35" t="s">
        <v>329</v>
      </c>
      <c r="B11" s="46" t="s">
        <v>333</v>
      </c>
      <c r="C11" s="46" t="s">
        <v>334</v>
      </c>
      <c r="D11" s="46" t="s">
        <v>332</v>
      </c>
    </row>
    <row r="12" customFormat="false" ht="15" hidden="false" customHeight="true" outlineLevel="0" collapsed="false">
      <c r="A12" s="35" t="s">
        <v>329</v>
      </c>
      <c r="B12" s="46" t="s">
        <v>335</v>
      </c>
      <c r="C12" s="46" t="s">
        <v>336</v>
      </c>
      <c r="D12" s="46" t="s">
        <v>337</v>
      </c>
    </row>
    <row r="13" customFormat="false" ht="15" hidden="false" customHeight="true" outlineLevel="0" collapsed="false">
      <c r="A13" s="35" t="s">
        <v>329</v>
      </c>
      <c r="B13" s="46" t="s">
        <v>338</v>
      </c>
      <c r="C13" s="46" t="s">
        <v>339</v>
      </c>
      <c r="D13" s="46" t="s">
        <v>340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E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45"/>
    <col collapsed="false" customWidth="true" hidden="false" outlineLevel="0" max="4" min="3" style="1" width="14"/>
    <col collapsed="false" customWidth="true" hidden="false" outlineLevel="0" max="5" min="5" style="1" width="40"/>
  </cols>
  <sheetData>
    <row r="1" customFormat="false" ht="31.5" hidden="false" customHeight="true" outlineLevel="0" collapsed="false">
      <c r="A1" s="54" t="s">
        <v>341</v>
      </c>
      <c r="B1" s="54"/>
      <c r="C1" s="54"/>
      <c r="D1" s="54"/>
      <c r="E1" s="54"/>
    </row>
    <row r="2" customFormat="false" ht="21.75" hidden="false" customHeight="true" outlineLevel="0" collapsed="false">
      <c r="A2" s="33" t="s">
        <v>342</v>
      </c>
      <c r="B2" s="33"/>
      <c r="C2" s="33"/>
      <c r="D2" s="33"/>
      <c r="E2" s="33"/>
    </row>
    <row r="3" customFormat="false" ht="15" hidden="false" customHeight="true" outlineLevel="0" collapsed="false">
      <c r="A3" s="55" t="s">
        <v>138</v>
      </c>
      <c r="B3" s="55" t="s">
        <v>343</v>
      </c>
      <c r="C3" s="55" t="s">
        <v>344</v>
      </c>
      <c r="D3" s="55" t="s">
        <v>345</v>
      </c>
      <c r="E3" s="55" t="s">
        <v>346</v>
      </c>
    </row>
    <row r="4" customFormat="false" ht="21.75" hidden="false" customHeight="true" outlineLevel="0" collapsed="false">
      <c r="A4" s="56" t="s">
        <v>347</v>
      </c>
      <c r="B4" s="56"/>
      <c r="C4" s="56"/>
      <c r="D4" s="56"/>
      <c r="E4" s="56"/>
    </row>
    <row r="5" customFormat="false" ht="23.25" hidden="false" customHeight="true" outlineLevel="0" collapsed="false">
      <c r="A5" s="35" t="n">
        <v>1</v>
      </c>
      <c r="B5" s="46" t="s">
        <v>348</v>
      </c>
      <c r="C5" s="5" t="s">
        <v>349</v>
      </c>
      <c r="D5" s="7"/>
      <c r="E5" s="5"/>
    </row>
    <row r="6" customFormat="false" ht="23.25" hidden="false" customHeight="true" outlineLevel="0" collapsed="false">
      <c r="A6" s="35" t="n">
        <v>2</v>
      </c>
      <c r="B6" s="46" t="s">
        <v>350</v>
      </c>
      <c r="C6" s="5" t="s">
        <v>349</v>
      </c>
      <c r="D6" s="7"/>
      <c r="E6" s="5"/>
    </row>
    <row r="7" customFormat="false" ht="23.25" hidden="false" customHeight="true" outlineLevel="0" collapsed="false">
      <c r="A7" s="35" t="n">
        <v>3</v>
      </c>
      <c r="B7" s="46" t="s">
        <v>351</v>
      </c>
      <c r="C7" s="5" t="s">
        <v>349</v>
      </c>
      <c r="D7" s="7"/>
      <c r="E7" s="5"/>
    </row>
    <row r="8" customFormat="false" ht="23.25" hidden="false" customHeight="true" outlineLevel="0" collapsed="false">
      <c r="A8" s="35" t="n">
        <v>4</v>
      </c>
      <c r="B8" s="46" t="s">
        <v>352</v>
      </c>
      <c r="C8" s="5" t="s">
        <v>349</v>
      </c>
      <c r="D8" s="7"/>
      <c r="E8" s="5"/>
    </row>
    <row r="9" customFormat="false" ht="23.25" hidden="false" customHeight="true" outlineLevel="0" collapsed="false">
      <c r="A9" s="35" t="n">
        <v>5</v>
      </c>
      <c r="B9" s="46" t="s">
        <v>353</v>
      </c>
      <c r="C9" s="5" t="s">
        <v>349</v>
      </c>
      <c r="D9" s="7"/>
      <c r="E9" s="5"/>
    </row>
    <row r="10" customFormat="false" ht="15" hidden="false" customHeight="true" outlineLevel="0" collapsed="false">
      <c r="A10" s="35" t="n">
        <v>6</v>
      </c>
      <c r="B10" s="46" t="s">
        <v>354</v>
      </c>
      <c r="C10" s="5" t="s">
        <v>349</v>
      </c>
      <c r="D10" s="7"/>
      <c r="E10" s="5"/>
    </row>
    <row r="11" customFormat="false" ht="15" hidden="false" customHeight="true" outlineLevel="0" collapsed="false">
      <c r="A11" s="35" t="n">
        <v>7</v>
      </c>
      <c r="B11" s="46" t="s">
        <v>355</v>
      </c>
      <c r="C11" s="5" t="s">
        <v>349</v>
      </c>
      <c r="D11" s="7"/>
      <c r="E11" s="5"/>
    </row>
    <row r="12" customFormat="false" ht="15" hidden="false" customHeight="true" outlineLevel="0" collapsed="false">
      <c r="A12" s="35" t="n">
        <v>8</v>
      </c>
      <c r="B12" s="46" t="s">
        <v>356</v>
      </c>
      <c r="C12" s="5" t="s">
        <v>349</v>
      </c>
      <c r="D12" s="7"/>
      <c r="E12" s="5"/>
    </row>
    <row r="13" customFormat="false" ht="23.25" hidden="false" customHeight="true" outlineLevel="0" collapsed="false">
      <c r="A13" s="35" t="n">
        <v>9</v>
      </c>
      <c r="B13" s="46" t="s">
        <v>357</v>
      </c>
      <c r="C13" s="5" t="s">
        <v>349</v>
      </c>
      <c r="D13" s="7"/>
      <c r="E13" s="5"/>
    </row>
    <row r="14" customFormat="false" ht="23.25" hidden="false" customHeight="true" outlineLevel="0" collapsed="false">
      <c r="A14" s="35" t="n">
        <v>10</v>
      </c>
      <c r="B14" s="46" t="s">
        <v>358</v>
      </c>
      <c r="C14" s="5" t="s">
        <v>349</v>
      </c>
      <c r="D14" s="7"/>
      <c r="E14" s="5"/>
    </row>
    <row r="16" customFormat="false" ht="21.75" hidden="false" customHeight="true" outlineLevel="0" collapsed="false">
      <c r="A16" s="56" t="s">
        <v>359</v>
      </c>
      <c r="B16" s="56"/>
      <c r="C16" s="56"/>
      <c r="D16" s="56"/>
      <c r="E16" s="56"/>
    </row>
    <row r="17" customFormat="false" ht="23.25" hidden="false" customHeight="true" outlineLevel="0" collapsed="false">
      <c r="A17" s="35" t="n">
        <v>1</v>
      </c>
      <c r="B17" s="46" t="s">
        <v>360</v>
      </c>
      <c r="C17" s="5" t="s">
        <v>349</v>
      </c>
      <c r="D17" s="7"/>
      <c r="E17" s="5"/>
    </row>
    <row r="18" customFormat="false" ht="23.25" hidden="false" customHeight="true" outlineLevel="0" collapsed="false">
      <c r="A18" s="35" t="n">
        <v>2</v>
      </c>
      <c r="B18" s="46" t="s">
        <v>361</v>
      </c>
      <c r="C18" s="5" t="s">
        <v>349</v>
      </c>
      <c r="D18" s="7"/>
      <c r="E18" s="5"/>
    </row>
    <row r="19" customFormat="false" ht="23.25" hidden="false" customHeight="true" outlineLevel="0" collapsed="false">
      <c r="A19" s="35" t="n">
        <v>3</v>
      </c>
      <c r="B19" s="46" t="s">
        <v>362</v>
      </c>
      <c r="C19" s="5" t="s">
        <v>349</v>
      </c>
      <c r="D19" s="7"/>
      <c r="E19" s="5"/>
    </row>
    <row r="20" customFormat="false" ht="23.25" hidden="false" customHeight="true" outlineLevel="0" collapsed="false">
      <c r="A20" s="35" t="n">
        <v>4</v>
      </c>
      <c r="B20" s="46" t="s">
        <v>363</v>
      </c>
      <c r="C20" s="5" t="s">
        <v>349</v>
      </c>
      <c r="D20" s="7"/>
      <c r="E20" s="5"/>
    </row>
    <row r="21" customFormat="false" ht="15" hidden="false" customHeight="true" outlineLevel="0" collapsed="false">
      <c r="A21" s="35" t="n">
        <v>5</v>
      </c>
      <c r="B21" s="46" t="s">
        <v>364</v>
      </c>
      <c r="C21" s="5" t="s">
        <v>349</v>
      </c>
      <c r="D21" s="7"/>
      <c r="E21" s="5"/>
    </row>
    <row r="22" customFormat="false" ht="15" hidden="false" customHeight="true" outlineLevel="0" collapsed="false">
      <c r="A22" s="35" t="n">
        <v>6</v>
      </c>
      <c r="B22" s="46" t="s">
        <v>365</v>
      </c>
      <c r="C22" s="5" t="s">
        <v>349</v>
      </c>
      <c r="D22" s="7"/>
      <c r="E22" s="5"/>
    </row>
    <row r="23" customFormat="false" ht="23.25" hidden="false" customHeight="true" outlineLevel="0" collapsed="false">
      <c r="A23" s="35" t="n">
        <v>7</v>
      </c>
      <c r="B23" s="46" t="s">
        <v>366</v>
      </c>
      <c r="C23" s="5" t="s">
        <v>349</v>
      </c>
      <c r="D23" s="7"/>
      <c r="E23" s="5"/>
    </row>
    <row r="24" customFormat="false" ht="23.25" hidden="false" customHeight="true" outlineLevel="0" collapsed="false">
      <c r="A24" s="35" t="n">
        <v>8</v>
      </c>
      <c r="B24" s="46" t="s">
        <v>367</v>
      </c>
      <c r="C24" s="5" t="s">
        <v>349</v>
      </c>
      <c r="D24" s="7"/>
      <c r="E24" s="5"/>
    </row>
    <row r="25" customFormat="false" ht="15" hidden="false" customHeight="true" outlineLevel="0" collapsed="false">
      <c r="A25" s="35" t="n">
        <v>9</v>
      </c>
      <c r="B25" s="46" t="s">
        <v>368</v>
      </c>
      <c r="C25" s="5" t="s">
        <v>349</v>
      </c>
      <c r="D25" s="7"/>
      <c r="E25" s="5"/>
    </row>
    <row r="26" customFormat="false" ht="23.25" hidden="false" customHeight="true" outlineLevel="0" collapsed="false">
      <c r="A26" s="35" t="n">
        <v>10</v>
      </c>
      <c r="B26" s="46" t="s">
        <v>369</v>
      </c>
      <c r="C26" s="5" t="s">
        <v>349</v>
      </c>
      <c r="D26" s="7"/>
      <c r="E26" s="5"/>
    </row>
    <row r="28" customFormat="false" ht="21.75" hidden="false" customHeight="true" outlineLevel="0" collapsed="false">
      <c r="A28" s="56" t="s">
        <v>370</v>
      </c>
      <c r="B28" s="56"/>
      <c r="C28" s="56"/>
      <c r="D28" s="56"/>
      <c r="E28" s="56"/>
    </row>
    <row r="29" customFormat="false" ht="15" hidden="false" customHeight="true" outlineLevel="0" collapsed="false">
      <c r="A29" s="35" t="n">
        <v>1</v>
      </c>
      <c r="B29" s="46" t="s">
        <v>371</v>
      </c>
      <c r="C29" s="5" t="s">
        <v>349</v>
      </c>
      <c r="D29" s="7"/>
      <c r="E29" s="5"/>
    </row>
    <row r="30" customFormat="false" ht="15" hidden="false" customHeight="true" outlineLevel="0" collapsed="false">
      <c r="A30" s="35" t="n">
        <v>2</v>
      </c>
      <c r="B30" s="46" t="s">
        <v>372</v>
      </c>
      <c r="C30" s="5" t="s">
        <v>349</v>
      </c>
      <c r="D30" s="7"/>
      <c r="E30" s="5"/>
    </row>
    <row r="31" customFormat="false" ht="23.25" hidden="false" customHeight="true" outlineLevel="0" collapsed="false">
      <c r="A31" s="35" t="n">
        <v>3</v>
      </c>
      <c r="B31" s="46" t="s">
        <v>373</v>
      </c>
      <c r="C31" s="5" t="s">
        <v>349</v>
      </c>
      <c r="D31" s="7"/>
      <c r="E31" s="5"/>
    </row>
    <row r="32" customFormat="false" ht="15" hidden="false" customHeight="true" outlineLevel="0" collapsed="false">
      <c r="A32" s="35" t="n">
        <v>4</v>
      </c>
      <c r="B32" s="46" t="s">
        <v>374</v>
      </c>
      <c r="C32" s="5" t="s">
        <v>349</v>
      </c>
      <c r="D32" s="7"/>
      <c r="E32" s="5"/>
    </row>
    <row r="33" customFormat="false" ht="23.25" hidden="false" customHeight="true" outlineLevel="0" collapsed="false">
      <c r="A33" s="35" t="n">
        <v>5</v>
      </c>
      <c r="B33" s="46" t="s">
        <v>375</v>
      </c>
      <c r="C33" s="5" t="s">
        <v>349</v>
      </c>
      <c r="D33" s="7"/>
      <c r="E33" s="5"/>
    </row>
    <row r="34" customFormat="false" ht="23.25" hidden="false" customHeight="true" outlineLevel="0" collapsed="false">
      <c r="A34" s="35" t="n">
        <v>6</v>
      </c>
      <c r="B34" s="46" t="s">
        <v>376</v>
      </c>
      <c r="C34" s="5" t="s">
        <v>349</v>
      </c>
      <c r="D34" s="7"/>
      <c r="E34" s="5"/>
    </row>
    <row r="35" customFormat="false" ht="23.25" hidden="false" customHeight="true" outlineLevel="0" collapsed="false">
      <c r="A35" s="35" t="n">
        <v>7</v>
      </c>
      <c r="B35" s="46" t="s">
        <v>377</v>
      </c>
      <c r="C35" s="5" t="s">
        <v>349</v>
      </c>
      <c r="D35" s="7"/>
      <c r="E35" s="5"/>
    </row>
    <row r="36" customFormat="false" ht="15" hidden="false" customHeight="true" outlineLevel="0" collapsed="false">
      <c r="A36" s="35" t="n">
        <v>8</v>
      </c>
      <c r="B36" s="46" t="s">
        <v>378</v>
      </c>
      <c r="C36" s="5" t="s">
        <v>349</v>
      </c>
      <c r="D36" s="7"/>
      <c r="E36" s="5"/>
    </row>
    <row r="37" customFormat="false" ht="15" hidden="false" customHeight="true" outlineLevel="0" collapsed="false">
      <c r="A37" s="35" t="n">
        <v>9</v>
      </c>
      <c r="B37" s="46" t="s">
        <v>379</v>
      </c>
      <c r="C37" s="5" t="s">
        <v>349</v>
      </c>
      <c r="D37" s="7"/>
      <c r="E37" s="5"/>
    </row>
    <row r="38" customFormat="false" ht="23.25" hidden="false" customHeight="true" outlineLevel="0" collapsed="false">
      <c r="A38" s="35" t="n">
        <v>10</v>
      </c>
      <c r="B38" s="46" t="s">
        <v>380</v>
      </c>
      <c r="C38" s="5" t="s">
        <v>349</v>
      </c>
      <c r="D38" s="7"/>
      <c r="E38" s="5"/>
    </row>
    <row r="40" customFormat="false" ht="21.75" hidden="false" customHeight="true" outlineLevel="0" collapsed="false">
      <c r="A40" s="56" t="s">
        <v>381</v>
      </c>
      <c r="B40" s="56"/>
      <c r="C40" s="56"/>
      <c r="D40" s="56"/>
      <c r="E40" s="56"/>
    </row>
    <row r="41" customFormat="false" ht="15" hidden="false" customHeight="true" outlineLevel="0" collapsed="false">
      <c r="A41" s="35" t="n">
        <v>1</v>
      </c>
      <c r="B41" s="46" t="s">
        <v>382</v>
      </c>
      <c r="C41" s="5" t="s">
        <v>349</v>
      </c>
      <c r="D41" s="7"/>
      <c r="E41" s="5"/>
    </row>
    <row r="42" customFormat="false" ht="15" hidden="false" customHeight="true" outlineLevel="0" collapsed="false">
      <c r="A42" s="35" t="n">
        <v>2</v>
      </c>
      <c r="B42" s="46" t="s">
        <v>383</v>
      </c>
      <c r="C42" s="5" t="s">
        <v>349</v>
      </c>
      <c r="D42" s="7"/>
      <c r="E42" s="5"/>
    </row>
    <row r="43" customFormat="false" ht="15" hidden="false" customHeight="true" outlineLevel="0" collapsed="false">
      <c r="A43" s="35" t="n">
        <v>3</v>
      </c>
      <c r="B43" s="46" t="s">
        <v>384</v>
      </c>
      <c r="C43" s="5" t="s">
        <v>349</v>
      </c>
      <c r="D43" s="7"/>
      <c r="E43" s="5"/>
    </row>
    <row r="44" customFormat="false" ht="15" hidden="false" customHeight="true" outlineLevel="0" collapsed="false">
      <c r="A44" s="35" t="n">
        <v>4</v>
      </c>
      <c r="B44" s="46" t="s">
        <v>385</v>
      </c>
      <c r="C44" s="5" t="s">
        <v>349</v>
      </c>
      <c r="D44" s="7"/>
      <c r="E44" s="5"/>
    </row>
    <row r="45" customFormat="false" ht="15" hidden="false" customHeight="true" outlineLevel="0" collapsed="false">
      <c r="A45" s="35" t="n">
        <v>5</v>
      </c>
      <c r="B45" s="46" t="s">
        <v>386</v>
      </c>
      <c r="C45" s="5" t="s">
        <v>349</v>
      </c>
      <c r="D45" s="7"/>
      <c r="E45" s="5"/>
    </row>
    <row r="46" customFormat="false" ht="23.25" hidden="false" customHeight="true" outlineLevel="0" collapsed="false">
      <c r="A46" s="35" t="n">
        <v>6</v>
      </c>
      <c r="B46" s="46" t="s">
        <v>387</v>
      </c>
      <c r="C46" s="5" t="s">
        <v>349</v>
      </c>
      <c r="D46" s="7"/>
      <c r="E46" s="5"/>
    </row>
    <row r="47" customFormat="false" ht="23.25" hidden="false" customHeight="true" outlineLevel="0" collapsed="false">
      <c r="A47" s="35" t="n">
        <v>7</v>
      </c>
      <c r="B47" s="46" t="s">
        <v>388</v>
      </c>
      <c r="C47" s="5" t="s">
        <v>349</v>
      </c>
      <c r="D47" s="7"/>
      <c r="E47" s="5"/>
    </row>
    <row r="48" customFormat="false" ht="23.25" hidden="false" customHeight="true" outlineLevel="0" collapsed="false">
      <c r="A48" s="35" t="n">
        <v>8</v>
      </c>
      <c r="B48" s="46" t="s">
        <v>389</v>
      </c>
      <c r="C48" s="5" t="s">
        <v>349</v>
      </c>
      <c r="D48" s="7"/>
      <c r="E48" s="5"/>
    </row>
  </sheetData>
  <mergeCells count="6">
    <mergeCell ref="A1:E1"/>
    <mergeCell ref="A2:E2"/>
    <mergeCell ref="A4:E4"/>
    <mergeCell ref="A16:E16"/>
    <mergeCell ref="A28:E28"/>
    <mergeCell ref="A40:E40"/>
  </mergeCells>
  <conditionalFormatting sqref="C5:C48">
    <cfRule type="cellIs" priority="2" operator="equal" aboveAverage="0" equalAverage="0" bottom="0" percent="0" rank="0" text="" dxfId="0">
      <formula>"Verified"</formula>
    </cfRule>
    <cfRule type="cellIs" priority="3" operator="equal" aboveAverage="0" equalAverage="0" bottom="0" percent="0" rank="0" text="" dxfId="3">
      <formula>"Issue Found"</formula>
    </cfRule>
    <cfRule type="cellIs" priority="4" operator="equal" aboveAverage="0" equalAverage="0" bottom="0" percent="0" rank="0" text="" dxfId="2">
      <formula>"Pending"</formula>
    </cfRule>
  </conditionalFormatting>
  <dataValidations count="1">
    <dataValidation allowBlank="true" errorStyle="stop" operator="between" showDropDown="false" showErrorMessage="false" showInputMessage="false" sqref="C5:C14 C17:C26 C29:C38 C41:C48" type="list">
      <formula1>"Pending,Verified,Issue Found,N/A"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2026-02-17T02:37:17Z</dcterms:created>
  <dc:creator>openpyxl</dc:creator>
  <dc:description/>
  <dc:language>en-US</dc:language>
  <cp:lastModifiedBy/>
  <dcterms:modified xsi:type="dcterms:W3CDTF">2026-02-17T14:47:30Z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