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Inputs &amp; Assumptions" sheetId="2" state="visible" r:id="rId2"/>
    <sheet xmlns:r="http://schemas.openxmlformats.org/officeDocument/2006/relationships" name="Deal Summary" sheetId="3" state="visible" r:id="rId3"/>
    <sheet xmlns:r="http://schemas.openxmlformats.org/officeDocument/2006/relationships" name="Detailed Cash Flows" sheetId="4" state="visible" r:id="rId4"/>
    <sheet xmlns:r="http://schemas.openxmlformats.org/officeDocument/2006/relationships" name="Sources &amp; Uses" sheetId="5" state="visible" r:id="rId5"/>
    <sheet xmlns:r="http://schemas.openxmlformats.org/officeDocument/2006/relationships" name="Lot Schedule" sheetId="6" state="visible" r:id="rId6"/>
    <sheet xmlns:r="http://schemas.openxmlformats.org/officeDocument/2006/relationships" name="Home Plans Database" sheetId="7" state="visible" r:id="rId7"/>
    <sheet xmlns:r="http://schemas.openxmlformats.org/officeDocument/2006/relationships" name="Soft Costs Database" sheetId="8" state="visible" r:id="rId8"/>
    <sheet xmlns:r="http://schemas.openxmlformats.org/officeDocument/2006/relationships" name="Upgrades Databas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$#,##0;($#,##0);-"/>
    <numFmt numFmtId="165" formatCode="mm/dd/yyyy"/>
    <numFmt numFmtId="166" formatCode="0.0%"/>
    <numFmt numFmtId="167" formatCode="$#,##0"/>
    <numFmt numFmtId="168" formatCode="0.0x"/>
    <numFmt numFmtId="169" formatCode="0 &quot;days&quot;"/>
  </numFmts>
  <fonts count="16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2"/>
    </font>
    <font>
      <name val="Calibri"/>
      <b val="1"/>
      <sz val="11"/>
    </font>
    <font>
      <name val="Calibri"/>
      <color rgb="000000FF"/>
      <sz val="10"/>
    </font>
    <font>
      <name val="Calibri"/>
      <i val="1"/>
      <color rgb="00808080"/>
      <sz val="9"/>
    </font>
    <font>
      <name val="Calibri"/>
      <color rgb="00000000"/>
      <sz val="10"/>
    </font>
    <font>
      <name val="Calibri"/>
      <color rgb="00008000"/>
      <sz val="10"/>
    </font>
    <font>
      <name val="Calibri"/>
      <b val="1"/>
      <sz val="16"/>
    </font>
    <font>
      <name val="Calibri"/>
      <b val="1"/>
      <color rgb="000000FF"/>
      <sz val="12"/>
    </font>
    <font>
      <name val="Calibri"/>
      <b val="1"/>
      <color rgb="00FFFFFF"/>
      <sz val="11"/>
    </font>
    <font>
      <name val="Calibri"/>
      <b val="1"/>
      <sz val="10"/>
    </font>
    <font>
      <name val="Calibri"/>
      <b val="1"/>
      <color rgb="00FFFFFF"/>
      <sz val="10"/>
    </font>
    <font>
      <name val="Calibri"/>
      <b val="1"/>
      <color rgb="00366092"/>
      <sz val="16"/>
    </font>
    <font>
      <name val="Calibri"/>
      <sz val="10"/>
    </font>
    <font>
      <name val="Calibri"/>
      <b val="1"/>
      <color rgb="00366092"/>
      <sz val="11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0" borderId="0" pivotButton="0" quotePrefix="0" xfId="0"/>
    <xf numFmtId="164" fontId="4" fillId="0" borderId="0" pivotButton="0" quotePrefix="0" xfId="0"/>
    <xf numFmtId="165" fontId="4" fillId="0" borderId="0" pivotButton="0" quotePrefix="0" xfId="0"/>
    <xf numFmtId="166" fontId="4" fillId="0" borderId="0" pivotButton="0" quotePrefix="0" xfId="0"/>
    <xf numFmtId="165" fontId="6" fillId="0" borderId="0" pivotButton="0" quotePrefix="0" xfId="0"/>
    <xf numFmtId="164" fontId="7" fillId="0" borderId="0" pivotButton="0" quotePrefix="0" xfId="0"/>
    <xf numFmtId="0" fontId="7" fillId="0" borderId="0" pivotButton="0" quotePrefix="0" xfId="0"/>
    <xf numFmtId="3" fontId="4" fillId="0" borderId="0" pivotButton="0" quotePrefix="0" xfId="0"/>
    <xf numFmtId="10" fontId="4" fillId="0" borderId="0" pivotButton="0" quotePrefix="0" xfId="0"/>
    <xf numFmtId="165" fontId="4" fillId="0" borderId="0" pivotButton="0" quotePrefix="0" xfId="0"/>
    <xf numFmtId="166" fontId="4" fillId="0" borderId="0" pivotButton="0" quotePrefix="0" xfId="0"/>
    <xf numFmtId="165" fontId="6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3" fillId="2" borderId="0" applyAlignment="1" pivotButton="0" quotePrefix="0" xfId="0">
      <alignment horizontal="center"/>
    </xf>
    <xf numFmtId="0" fontId="10" fillId="3" borderId="1" applyAlignment="1" pivotButton="0" quotePrefix="0" xfId="0">
      <alignment horizontal="center"/>
    </xf>
    <xf numFmtId="0" fontId="0" fillId="0" borderId="1" pivotButton="0" quotePrefix="0" xfId="0"/>
    <xf numFmtId="167" fontId="6" fillId="0" borderId="1" applyAlignment="1" pivotButton="0" quotePrefix="0" xfId="0">
      <alignment horizontal="right"/>
    </xf>
    <xf numFmtId="166" fontId="6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168" fontId="6" fillId="0" borderId="1" applyAlignment="1" pivotButton="0" quotePrefix="0" xfId="0">
      <alignment horizontal="right"/>
    </xf>
    <xf numFmtId="3" fontId="6" fillId="0" borderId="1" applyAlignment="1" pivotButton="0" quotePrefix="0" xfId="0">
      <alignment horizontal="right"/>
    </xf>
    <xf numFmtId="165" fontId="6" fillId="0" borderId="1" applyAlignment="1" pivotButton="0" quotePrefix="0" xfId="0">
      <alignment horizontal="right"/>
    </xf>
    <xf numFmtId="169" fontId="6" fillId="0" borderId="1" applyAlignment="1" pivotButton="0" quotePrefix="0" xfId="0">
      <alignment horizontal="right"/>
    </xf>
    <xf numFmtId="0" fontId="11" fillId="0" borderId="1" pivotButton="0" quotePrefix="0" xfId="0"/>
    <xf numFmtId="0" fontId="3" fillId="0" borderId="1" pivotButton="0" quotePrefix="0" xfId="0"/>
    <xf numFmtId="0" fontId="10" fillId="3" borderId="1" applyAlignment="1" pivotButton="0" quotePrefix="0" xfId="0">
      <alignment horizontal="center" wrapText="1"/>
    </xf>
    <xf numFmtId="0" fontId="7" fillId="0" borderId="1" pivotButton="0" quotePrefix="0" xfId="0"/>
    <xf numFmtId="164" fontId="6" fillId="0" borderId="1" applyAlignment="1" pivotButton="0" quotePrefix="0" xfId="0">
      <alignment horizontal="right"/>
    </xf>
    <xf numFmtId="0" fontId="12" fillId="3" borderId="1" applyAlignment="1" pivotButton="0" quotePrefix="0" xfId="0">
      <alignment horizontal="center" wrapText="1"/>
    </xf>
    <xf numFmtId="3" fontId="0" fillId="0" borderId="1" pivotButton="0" quotePrefix="0" xfId="0"/>
    <xf numFmtId="164" fontId="0" fillId="0" borderId="1" pivotButton="0" quotePrefix="0" xfId="0"/>
    <xf numFmtId="10" fontId="0" fillId="0" borderId="1" pivotButton="0" quotePrefix="0" xfId="0"/>
    <xf numFmtId="0" fontId="13" fillId="0" borderId="0" pivotButton="0" quotePrefix="0" xfId="0"/>
    <xf numFmtId="0" fontId="14" fillId="0" borderId="0" applyAlignment="1" pivotButton="0" quotePrefix="0" xfId="0">
      <alignment vertical="top" wrapText="1"/>
    </xf>
    <xf numFmtId="0" fontId="15" fillId="0" borderId="0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  <xf numFmtId="164" fontId="6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87"/>
  <sheetViews>
    <sheetView workbookViewId="0">
      <selection activeCell="A1" sqref="A1"/>
    </sheetView>
  </sheetViews>
  <sheetFormatPr baseColWidth="8" defaultRowHeight="15"/>
  <cols>
    <col width="3" customWidth="1" min="1" max="1"/>
    <col width="80" customWidth="1" min="2" max="2"/>
  </cols>
  <sheetData>
    <row r="2">
      <c r="B2" s="38" t="inlineStr">
        <is>
          <t>FOR-SALE RESIDENTIAL DEVELOPMENT PROFORMA</t>
        </is>
      </c>
    </row>
    <row r="4">
      <c r="B4" s="1" t="inlineStr">
        <is>
          <t>USER GUIDE &amp; INSTRUCTIONS</t>
        </is>
      </c>
    </row>
    <row r="6">
      <c r="B6" s="39" t="inlineStr"/>
    </row>
    <row r="7">
      <c r="B7" s="40" t="inlineStr">
        <is>
          <t>QUICK START:</t>
        </is>
      </c>
    </row>
    <row r="8">
      <c r="B8" s="39" t="inlineStr">
        <is>
          <t>1. Start with the "Inputs &amp; Assumptions" tab</t>
        </is>
      </c>
    </row>
    <row r="9">
      <c r="B9" s="39" t="inlineStr">
        <is>
          <t>2. Enter your project information (name, address, number of lots)</t>
        </is>
      </c>
    </row>
    <row r="10">
      <c r="B10" s="39" t="inlineStr">
        <is>
          <t>3. Enter land purchase details</t>
        </is>
      </c>
    </row>
    <row r="11">
      <c r="B11" s="39" t="inlineStr">
        <is>
          <t>4. Enter horizontal development costs and timeline</t>
        </is>
      </c>
    </row>
    <row r="12">
      <c r="B12" s="39" t="inlineStr">
        <is>
          <t>5. Select a home plan from the dropdown (or type manually)</t>
        </is>
      </c>
    </row>
    <row r="13">
      <c r="B13" s="39" t="inlineStr">
        <is>
          <t>6. Select upgrade package (Base/Comfort, Classic, Elegance, Harmony)</t>
        </is>
      </c>
    </row>
    <row r="14">
      <c r="B14" s="39" t="inlineStr">
        <is>
          <t>7. Review calculated costs that pull from databases</t>
        </is>
      </c>
    </row>
    <row r="15">
      <c r="B15" s="39" t="inlineStr">
        <is>
          <t>8. Enter lending parameters (LTC, interest rate, etc.)</t>
        </is>
      </c>
    </row>
    <row r="16">
      <c r="B16" s="39" t="inlineStr">
        <is>
          <t>9. Enter sales price and selling costs</t>
        </is>
      </c>
    </row>
    <row r="17">
      <c r="B17" s="39" t="inlineStr">
        <is>
          <t>10. Enter carry costs (taxes, insurance, HOA, utilities)</t>
        </is>
      </c>
    </row>
    <row r="18">
      <c r="B18" s="39" t="inlineStr"/>
    </row>
    <row r="19">
      <c r="B19" s="40" t="inlineStr">
        <is>
          <t>DATABASE TABS:</t>
        </is>
      </c>
    </row>
    <row r="20">
      <c r="B20" s="39" t="inlineStr">
        <is>
          <t>• Home Plans Database: Contains sticks &amp; bricks costs, site-specific costs, and soft costs for each home plan</t>
        </is>
      </c>
    </row>
    <row r="21">
      <c r="B21" s="39" t="inlineStr">
        <is>
          <t>• Soft Costs Database: Municipality-specific soft costs (permits, fees, surveys, etc.)</t>
        </is>
      </c>
    </row>
    <row r="22">
      <c r="B22" s="39" t="inlineStr">
        <is>
          <t>• Upgrades Database: Upgrade packages and their associated costs</t>
        </is>
      </c>
    </row>
    <row r="23">
      <c r="B23" s="39" t="inlineStr"/>
    </row>
    <row r="24">
      <c r="B24" s="40" t="inlineStr">
        <is>
          <t>TABS OVERVIEW:</t>
        </is>
      </c>
    </row>
    <row r="25">
      <c r="B25" s="39" t="inlineStr">
        <is>
          <t>• Instructions: This tab - read first!</t>
        </is>
      </c>
    </row>
    <row r="26">
      <c r="B26" s="39" t="inlineStr">
        <is>
          <t>• Inputs &amp; Assumptions: Main input sheet - enter all project parameters here</t>
        </is>
      </c>
    </row>
    <row r="27">
      <c r="B27" s="39" t="inlineStr">
        <is>
          <t>• Deal Summary: High-level summary with KEY METRICS and color-coded performance indicators</t>
        </is>
      </c>
    </row>
    <row r="28">
      <c r="B28" s="39" t="inlineStr">
        <is>
          <t>• Sources &amp; Uses: Summary of capital sources and uses</t>
        </is>
      </c>
    </row>
    <row r="29">
      <c r="B29" s="39" t="inlineStr">
        <is>
          <t>• Lot Schedule: Timeline and economics for each lot</t>
        </is>
      </c>
    </row>
    <row r="30">
      <c r="B30" s="39" t="inlineStr">
        <is>
          <t>• Detailed Cash Flows: Monthly cash flow projections</t>
        </is>
      </c>
    </row>
    <row r="31">
      <c r="B31" s="39" t="inlineStr">
        <is>
          <t>• Home Plans Database: Reference data for home plans</t>
        </is>
      </c>
    </row>
    <row r="32">
      <c r="B32" s="39" t="inlineStr">
        <is>
          <t>• Soft Costs Database: Reference data for soft costs</t>
        </is>
      </c>
    </row>
    <row r="33">
      <c r="B33" s="39" t="inlineStr">
        <is>
          <t>• Upgrades Database: Reference data for upgrade packages</t>
        </is>
      </c>
    </row>
    <row r="34">
      <c r="B34" s="39" t="inlineStr"/>
    </row>
    <row r="35">
      <c r="B35" s="40" t="inlineStr">
        <is>
          <t>PERFORMANCE METRICS &amp; COLOR CODING:</t>
        </is>
      </c>
    </row>
    <row r="36">
      <c r="B36" s="39" t="inlineStr"/>
    </row>
    <row r="37">
      <c r="B37" s="40" t="inlineStr">
        <is>
          <t>PROFIT MARGIN:</t>
        </is>
      </c>
    </row>
    <row r="38">
      <c r="B38" s="41" t="inlineStr">
        <is>
          <t xml:space="preserve">  • GREEN: &gt;= 25%</t>
        </is>
      </c>
    </row>
    <row r="39">
      <c r="B39" s="41" t="inlineStr">
        <is>
          <t xml:space="preserve">  • YELLOW: 15% to 25%</t>
        </is>
      </c>
    </row>
    <row r="40">
      <c r="B40" s="41" t="inlineStr">
        <is>
          <t xml:space="preserve">  • RED: &lt; 15%</t>
        </is>
      </c>
    </row>
    <row r="41">
      <c r="B41" s="39" t="inlineStr"/>
    </row>
    <row r="42">
      <c r="B42" s="40" t="inlineStr">
        <is>
          <t>IRR (Internal Rate of Return):</t>
        </is>
      </c>
    </row>
    <row r="43">
      <c r="B43" s="41" t="inlineStr">
        <is>
          <t xml:space="preserve">  • GREEN: &gt; 30%</t>
        </is>
      </c>
    </row>
    <row r="44">
      <c r="B44" s="41" t="inlineStr">
        <is>
          <t xml:space="preserve">  • YELLOW: 20% to 30%</t>
        </is>
      </c>
    </row>
    <row r="45">
      <c r="B45" s="41" t="inlineStr">
        <is>
          <t xml:space="preserve">  • RED: &lt; 20%</t>
        </is>
      </c>
    </row>
    <row r="46">
      <c r="B46" s="39" t="inlineStr"/>
    </row>
    <row r="47">
      <c r="B47" s="40" t="inlineStr">
        <is>
          <t>YIELD ON COST:</t>
        </is>
      </c>
    </row>
    <row r="48">
      <c r="B48" s="41" t="inlineStr">
        <is>
          <t xml:space="preserve">  • GREEN: &gt; 7.5%</t>
        </is>
      </c>
    </row>
    <row r="49">
      <c r="B49" s="41" t="inlineStr">
        <is>
          <t xml:space="preserve">  • YELLOW: 7.0% to 7.5%</t>
        </is>
      </c>
    </row>
    <row r="50">
      <c r="B50" s="41" t="inlineStr">
        <is>
          <t xml:space="preserve">  • RED: &lt; 7.0%</t>
        </is>
      </c>
    </row>
    <row r="51">
      <c r="B51" s="39" t="inlineStr"/>
    </row>
    <row r="52">
      <c r="B52" s="40" t="inlineStr">
        <is>
          <t>EQUITY MULTIPLE:</t>
        </is>
      </c>
    </row>
    <row r="53">
      <c r="B53" s="41" t="inlineStr">
        <is>
          <t xml:space="preserve">  • GREEN: &gt;= 2.5x</t>
        </is>
      </c>
    </row>
    <row r="54">
      <c r="B54" s="41" t="inlineStr">
        <is>
          <t xml:space="preserve">  • YELLOW: 2.0x to 2.5x</t>
        </is>
      </c>
    </row>
    <row r="55">
      <c r="B55" s="41" t="inlineStr">
        <is>
          <t xml:space="preserve">  • RED: &lt; 2.0x</t>
        </is>
      </c>
    </row>
    <row r="56">
      <c r="B56" s="39" t="inlineStr"/>
    </row>
    <row r="57">
      <c r="B57" s="40" t="inlineStr">
        <is>
          <t>COLOR CODING STANDARDS (For Reference):</t>
        </is>
      </c>
    </row>
    <row r="58">
      <c r="B58" s="39" t="inlineStr">
        <is>
          <t>• BLUE text: Hardcoded inputs that you can change</t>
        </is>
      </c>
    </row>
    <row r="59">
      <c r="B59" s="39" t="inlineStr">
        <is>
          <t>• BLACK text: Formulas and calculations</t>
        </is>
      </c>
    </row>
    <row r="60">
      <c r="B60" s="39" t="inlineStr">
        <is>
          <t>• GREEN text: Links to other worksheets in this workbook</t>
        </is>
      </c>
    </row>
    <row r="61">
      <c r="B61" s="39" t="inlineStr">
        <is>
          <t>• YELLOW background: Key assumptions needing attention</t>
        </is>
      </c>
    </row>
    <row r="62">
      <c r="B62" s="39" t="inlineStr"/>
    </row>
    <row r="63">
      <c r="B63" s="40" t="inlineStr">
        <is>
          <t>KEY FEATURES:</t>
        </is>
      </c>
    </row>
    <row r="64">
      <c r="B64" s="39" t="inlineStr">
        <is>
          <t>• Multiple phasing support via Lot Schedule</t>
        </is>
      </c>
    </row>
    <row r="65">
      <c r="B65" s="39" t="inlineStr">
        <is>
          <t>• Automatic cost lookups from databases</t>
        </is>
      </c>
    </row>
    <row r="66">
      <c r="B66" s="39" t="inlineStr">
        <is>
          <t>• Color-coded performance metrics</t>
        </is>
      </c>
    </row>
    <row r="67">
      <c r="B67" s="39" t="inlineStr">
        <is>
          <t>• Industry-standard Sources &amp; Uses format</t>
        </is>
      </c>
    </row>
    <row r="68">
      <c r="B68" s="39" t="inlineStr">
        <is>
          <t>• Monthly cash flow projections</t>
        </is>
      </c>
    </row>
    <row r="69">
      <c r="B69" s="39" t="inlineStr">
        <is>
          <t>• Support for construction loans and mezzanine debt</t>
        </is>
      </c>
    </row>
    <row r="70">
      <c r="B70" s="39" t="inlineStr"/>
    </row>
    <row r="71">
      <c r="B71" s="40" t="inlineStr">
        <is>
          <t>CUSTOMIZATION:</t>
        </is>
      </c>
    </row>
    <row r="72">
      <c r="B72" s="39" t="inlineStr">
        <is>
          <t>• Update the Home Plans Database with your own home plans and costs</t>
        </is>
      </c>
    </row>
    <row r="73">
      <c r="B73" s="39" t="inlineStr">
        <is>
          <t>• Update the Soft Costs Database with municipality-specific costs</t>
        </is>
      </c>
    </row>
    <row r="74">
      <c r="B74" s="39" t="inlineStr">
        <is>
          <t>• Update the Upgrades Database with your upgrade packages</t>
        </is>
      </c>
    </row>
    <row r="75">
      <c r="B75" s="39" t="inlineStr">
        <is>
          <t>• Adjust formulas in Deal Summary and Cash Flows as needed</t>
        </is>
      </c>
    </row>
    <row r="76">
      <c r="B76" s="39" t="inlineStr"/>
    </row>
    <row r="77">
      <c r="B77" s="40" t="inlineStr">
        <is>
          <t>IMPORTANT NOTES:</t>
        </is>
      </c>
    </row>
    <row r="78">
      <c r="B78" s="39" t="inlineStr">
        <is>
          <t>• All formulas use $ for absolute cell references where needed</t>
        </is>
      </c>
    </row>
    <row r="79">
      <c r="B79" s="39" t="inlineStr">
        <is>
          <t>• Zero values display as "-" for cleaner presentation</t>
        </is>
      </c>
    </row>
    <row r="80">
      <c r="B80" s="39" t="inlineStr">
        <is>
          <t>• The model assumes even distribution of costs during construction periods</t>
        </is>
      </c>
    </row>
    <row r="81">
      <c r="B81" s="39" t="inlineStr">
        <is>
          <t>• Adjust the Lot Schedule for your specific phasing strategy</t>
        </is>
      </c>
    </row>
    <row r="82">
      <c r="B82" s="39" t="inlineStr">
        <is>
          <t>• Review all calculations before making investment decisions</t>
        </is>
      </c>
    </row>
    <row r="83">
      <c r="B83" s="39" t="inlineStr"/>
    </row>
    <row r="84">
      <c r="B84" s="40" t="inlineStr">
        <is>
          <t>SUPPORT:</t>
        </is>
      </c>
    </row>
    <row r="85">
      <c r="B85" s="39" t="inlineStr">
        <is>
          <t>This proforma is designed for real estate professionals. Always verify calculations</t>
        </is>
      </c>
    </row>
    <row r="86">
      <c r="B86" s="39" t="inlineStr">
        <is>
          <t>and consult with your legal, accounting, and financial advisors before making</t>
        </is>
      </c>
    </row>
    <row r="87">
      <c r="B87" s="39" t="inlineStr">
        <is>
          <t>investment decisions based on this model.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58"/>
  <sheetViews>
    <sheetView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5" customWidth="1" min="3" max="3"/>
    <col width="15" customWidth="1" min="4" max="4"/>
    <col width="15" customWidth="1" min="5" max="5"/>
    <col width="30" customWidth="1" min="6" max="6"/>
  </cols>
  <sheetData>
    <row r="2">
      <c r="B2" s="1" t="inlineStr">
        <is>
          <t>FOR-SALE RESIDENTIAL DEVELOPMENT PROFORMA</t>
        </is>
      </c>
    </row>
    <row r="3">
      <c r="B3" s="2" t="inlineStr">
        <is>
          <t>Inputs &amp; Assumptions</t>
        </is>
      </c>
    </row>
    <row r="5">
      <c r="B5" s="3" t="inlineStr">
        <is>
          <t>PROJECT INFORMATION</t>
        </is>
      </c>
    </row>
    <row r="6">
      <c r="B6" t="inlineStr">
        <is>
          <t>Project Name</t>
        </is>
      </c>
      <c r="C6" s="4" t="inlineStr"/>
      <c r="F6" s="5" t="inlineStr">
        <is>
          <t>Enter project name</t>
        </is>
      </c>
    </row>
    <row r="7">
      <c r="B7" t="inlineStr">
        <is>
          <t>Address</t>
        </is>
      </c>
      <c r="C7" s="4" t="inlineStr"/>
      <c r="F7" s="5" t="inlineStr">
        <is>
          <t>Property address</t>
        </is>
      </c>
    </row>
    <row r="8">
      <c r="B8" t="inlineStr">
        <is>
          <t>City</t>
        </is>
      </c>
      <c r="C8" s="4" t="inlineStr"/>
      <c r="F8" s="5" t="inlineStr">
        <is>
          <t>City</t>
        </is>
      </c>
    </row>
    <row r="9">
      <c r="B9" t="inlineStr">
        <is>
          <t>County/Municipality</t>
        </is>
      </c>
      <c r="C9" s="4" t="inlineStr"/>
      <c r="F9" s="5" t="inlineStr">
        <is>
          <t>For soft cost lookups</t>
        </is>
      </c>
    </row>
    <row r="10">
      <c r="B10" t="inlineStr">
        <is>
          <t>Number of Lots/Units</t>
        </is>
      </c>
      <c r="C10" s="4" t="n">
        <v>1</v>
      </c>
      <c r="F10" s="5" t="inlineStr">
        <is>
          <t>Total lots to be developed</t>
        </is>
      </c>
    </row>
    <row r="12">
      <c r="B12" s="3" t="inlineStr">
        <is>
          <t>LAND PURCHASE</t>
        </is>
      </c>
    </row>
    <row r="13">
      <c r="B13" t="inlineStr">
        <is>
          <t>Purchase Price</t>
        </is>
      </c>
      <c r="C13" s="6" t="n">
        <v>0</v>
      </c>
      <c r="F13" s="5" t="inlineStr">
        <is>
          <t>Total land acquisition cost</t>
        </is>
      </c>
    </row>
    <row r="14">
      <c r="B14" t="inlineStr">
        <is>
          <t>Start Date</t>
        </is>
      </c>
      <c r="C14" s="14" t="n">
        <v>45658</v>
      </c>
      <c r="F14" s="5" t="inlineStr">
        <is>
          <t>Project start date</t>
        </is>
      </c>
    </row>
    <row r="15">
      <c r="B15" t="inlineStr">
        <is>
          <t>Days to Close</t>
        </is>
      </c>
      <c r="C15" s="4" t="n">
        <v>30</v>
      </c>
      <c r="F15" s="5" t="inlineStr">
        <is>
          <t>Number of days until closing</t>
        </is>
      </c>
    </row>
    <row r="16">
      <c r="B16" t="inlineStr">
        <is>
          <t>Closing Costs</t>
        </is>
      </c>
      <c r="C16" s="6" t="n">
        <v>0</v>
      </c>
      <c r="F16" s="5" t="inlineStr">
        <is>
          <t>Title, attorney fees, etc.</t>
        </is>
      </c>
    </row>
    <row r="17">
      <c r="B17" t="inlineStr">
        <is>
          <t>Closing Costs %</t>
        </is>
      </c>
      <c r="C17" s="15" t="n">
        <v>0.015</v>
      </c>
      <c r="F17" s="5" t="inlineStr">
        <is>
          <t>% of purchase price</t>
        </is>
      </c>
    </row>
    <row r="18">
      <c r="B18" t="inlineStr">
        <is>
          <t>Closing Date</t>
        </is>
      </c>
      <c r="C18" s="16">
        <f>C15+C16</f>
        <v/>
      </c>
      <c r="F18" s="5" t="inlineStr">
        <is>
          <t>Calculated: Start Date + Days to Close</t>
        </is>
      </c>
    </row>
    <row r="20">
      <c r="B20" s="3" t="inlineStr">
        <is>
          <t>HORIZONTAL DEVELOPMENT (SITE WORK)</t>
        </is>
      </c>
    </row>
    <row r="21">
      <c r="B21" t="inlineStr">
        <is>
          <t>Land Preparation Cost</t>
        </is>
      </c>
      <c r="C21" s="6" t="n">
        <v>0</v>
      </c>
      <c r="F21" s="5" t="inlineStr">
        <is>
          <t>Clearing, grading, demo</t>
        </is>
      </c>
    </row>
    <row r="22">
      <c r="B22" t="inlineStr">
        <is>
          <t>Horizontal Development Cost</t>
        </is>
      </c>
      <c r="C22" s="6" t="n">
        <v>0</v>
      </c>
      <c r="F22" s="5" t="inlineStr">
        <is>
          <t>Roads, utilities, drainage</t>
        </is>
      </c>
    </row>
    <row r="23">
      <c r="B23" t="inlineStr">
        <is>
          <t>Development Start Days</t>
        </is>
      </c>
      <c r="C23" s="4" t="n">
        <v>60</v>
      </c>
      <c r="F23" s="5" t="inlineStr">
        <is>
          <t>Days after closing to start</t>
        </is>
      </c>
    </row>
    <row r="24">
      <c r="B24" t="inlineStr">
        <is>
          <t>Development Duration (Days)</t>
        </is>
      </c>
      <c r="C24" s="4" t="n">
        <v>180</v>
      </c>
      <c r="F24" s="5" t="inlineStr">
        <is>
          <t>Days to complete horizontal</t>
        </is>
      </c>
    </row>
    <row r="26">
      <c r="B26" s="3" t="inlineStr">
        <is>
          <t>VERTICAL CONSTRUCTION (PER LOT)</t>
        </is>
      </c>
    </row>
    <row r="27">
      <c r="B27" t="inlineStr">
        <is>
          <t>Home Plan Selection</t>
        </is>
      </c>
      <c r="C27" s="4" t="inlineStr">
        <is>
          <t>Acacia</t>
        </is>
      </c>
      <c r="F27" s="5" t="inlineStr">
        <is>
          <t>Select from Home Plans Database tab - formula will lookup costs</t>
        </is>
      </c>
    </row>
    <row r="28">
      <c r="B28" t="inlineStr">
        <is>
          <t>Sticks &amp; Bricks</t>
        </is>
      </c>
      <c r="C28" s="10">
        <f>IFERROR(VLOOKUP(C27,'Home Plans Database'!B:G,6,FALSE),0)</f>
        <v/>
      </c>
      <c r="F28" s="5" t="inlineStr">
        <is>
          <t>LOOKUP from Home Plans Database</t>
        </is>
      </c>
    </row>
    <row r="29">
      <c r="B29" t="inlineStr">
        <is>
          <t>Upgrade Package</t>
        </is>
      </c>
      <c r="C29" s="11" t="inlineStr">
        <is>
          <t>Base/Comfort</t>
        </is>
      </c>
      <c r="F29" s="5" t="inlineStr">
        <is>
          <t>Base/Comfort, Classic, Elegance, Harmony</t>
        </is>
      </c>
    </row>
    <row r="30">
      <c r="B30" t="inlineStr">
        <is>
          <t>Upgrades Cost</t>
        </is>
      </c>
      <c r="C30" s="10" t="n">
        <v>0</v>
      </c>
      <c r="F30" s="5" t="inlineStr">
        <is>
          <t>LOOKUP from Upgrades Database</t>
        </is>
      </c>
    </row>
    <row r="31">
      <c r="B31" t="inlineStr">
        <is>
          <t>Site Specific Vertical Cost</t>
        </is>
      </c>
      <c r="C31" s="6" t="n">
        <v>0</v>
      </c>
      <c r="F31" s="5" t="inlineStr">
        <is>
          <t>Flatwork, driveway, utilities</t>
        </is>
      </c>
    </row>
    <row r="32">
      <c r="B32" t="inlineStr">
        <is>
          <t>Soft Costs</t>
        </is>
      </c>
      <c r="C32" s="10">
        <f>IFERROR(VLOOKUP(C27,'Home Plans Database'!B:H,7,FALSE),0)</f>
        <v/>
      </c>
      <c r="F32" s="5" t="inlineStr">
        <is>
          <t>LOOKUP from Soft Costs Database</t>
        </is>
      </c>
    </row>
    <row r="33">
      <c r="B33" t="inlineStr">
        <is>
          <t>Other Upgrades</t>
        </is>
      </c>
      <c r="C33" s="10">
        <f>IFERROR(VLOOKUP(C27,'Home Plans Database'!B:I,8,FALSE),0)</f>
        <v/>
      </c>
      <c r="F33" s="5" t="inlineStr">
        <is>
          <t>Additional custom upgrades</t>
        </is>
      </c>
    </row>
    <row r="34">
      <c r="B34" t="inlineStr">
        <is>
          <t>Contingency %</t>
        </is>
      </c>
      <c r="C34" s="15" t="n">
        <v>0.05</v>
      </c>
      <c r="F34" s="5" t="inlineStr">
        <is>
          <t>% of construction cost</t>
        </is>
      </c>
    </row>
    <row r="35">
      <c r="B35" t="inlineStr">
        <is>
          <t>Construction Duration (Days)</t>
        </is>
      </c>
      <c r="C35" s="4" t="n">
        <v>150</v>
      </c>
      <c r="F35" s="5" t="inlineStr">
        <is>
          <t>Days to build one house</t>
        </is>
      </c>
    </row>
    <row r="37">
      <c r="B37" s="3" t="inlineStr">
        <is>
          <t>LENDING</t>
        </is>
      </c>
    </row>
    <row r="38">
      <c r="B38" t="inlineStr">
        <is>
          <t>Loan Type</t>
        </is>
      </c>
      <c r="C38" s="4" t="inlineStr">
        <is>
          <t>Construction</t>
        </is>
      </c>
      <c r="F38" s="5" t="inlineStr">
        <is>
          <t>Construction, Permanent, Bridge</t>
        </is>
      </c>
    </row>
    <row r="39">
      <c r="B39" t="inlineStr">
        <is>
          <t>Loan-to-Cost (LTC)</t>
        </is>
      </c>
      <c r="C39" s="12" t="n">
        <v>0.8</v>
      </c>
      <c r="F39" s="5" t="inlineStr">
        <is>
          <t>% of total project costs</t>
        </is>
      </c>
    </row>
    <row r="40">
      <c r="B40" t="inlineStr">
        <is>
          <t>Interest Rate</t>
        </is>
      </c>
      <c r="C40" s="15" t="n">
        <v>0.08500000000000001</v>
      </c>
      <c r="F40" s="5" t="inlineStr">
        <is>
          <t>Annual interest rate</t>
        </is>
      </c>
    </row>
    <row r="41">
      <c r="B41" t="inlineStr">
        <is>
          <t>Loan Term (Months)</t>
        </is>
      </c>
      <c r="C41" s="4" t="n">
        <v>24</v>
      </c>
      <c r="F41" s="5" t="inlineStr">
        <is>
          <t>Length of loan</t>
        </is>
      </c>
    </row>
    <row r="42">
      <c r="B42" t="inlineStr">
        <is>
          <t>Origination Fee %</t>
        </is>
      </c>
      <c r="C42" s="15" t="n">
        <v>0.01</v>
      </c>
      <c r="F42" s="5" t="inlineStr">
        <is>
          <t>% of loan amount</t>
        </is>
      </c>
    </row>
    <row r="43">
      <c r="B43" t="inlineStr">
        <is>
          <t>Include Mezzanine Debt?</t>
        </is>
      </c>
      <c r="C43" s="4" t="inlineStr">
        <is>
          <t>No</t>
        </is>
      </c>
      <c r="F43" s="5" t="inlineStr">
        <is>
          <t>Yes/No</t>
        </is>
      </c>
    </row>
    <row r="44">
      <c r="B44" t="inlineStr">
        <is>
          <t>Mez Debt LTC</t>
        </is>
      </c>
      <c r="C44" s="12" t="n">
        <v>0.1</v>
      </c>
      <c r="F44" s="5" t="inlineStr">
        <is>
          <t>Additional LTC for mez</t>
        </is>
      </c>
    </row>
    <row r="45">
      <c r="B45" t="inlineStr">
        <is>
          <t>Mez Interest Rate</t>
        </is>
      </c>
      <c r="C45" s="15" t="n">
        <v>0.12</v>
      </c>
      <c r="F45" s="5" t="inlineStr">
        <is>
          <t>Mez annual rate</t>
        </is>
      </c>
    </row>
    <row r="47">
      <c r="B47" s="3" t="inlineStr">
        <is>
          <t>SALES</t>
        </is>
      </c>
    </row>
    <row r="48">
      <c r="B48" t="inlineStr">
        <is>
          <t>Sales Price (Per Unit)</t>
        </is>
      </c>
      <c r="C48" s="6" t="n">
        <v>0</v>
      </c>
      <c r="F48" s="5" t="inlineStr">
        <is>
          <t>Average sales price</t>
        </is>
      </c>
    </row>
    <row r="49">
      <c r="B49" t="inlineStr">
        <is>
          <t>Total Construction Cost (Per Unit)</t>
        </is>
      </c>
      <c r="C49" s="42">
        <f>C28+C31+C32+C33+C34+((C28+C31+C32)*C35)</f>
        <v/>
      </c>
      <c r="F49" s="5" t="inlineStr">
        <is>
          <t>All vertical costs including contingency</t>
        </is>
      </c>
    </row>
    <row r="50">
      <c r="B50" t="inlineStr">
        <is>
          <t>Seller Concessions</t>
        </is>
      </c>
      <c r="C50" s="6" t="n">
        <v>0</v>
      </c>
      <c r="F50" s="5" t="inlineStr">
        <is>
          <t>Closing cost assistance</t>
        </is>
      </c>
    </row>
    <row r="51">
      <c r="B51" t="inlineStr">
        <is>
          <t>Selling Closing Costs</t>
        </is>
      </c>
      <c r="C51" s="6" t="n">
        <v>0</v>
      </c>
      <c r="F51" s="5" t="inlineStr">
        <is>
          <t>Title, transfer taxes, etc.</t>
        </is>
      </c>
    </row>
    <row r="52">
      <c r="B52" t="inlineStr">
        <is>
          <t>Days on Market</t>
        </is>
      </c>
      <c r="C52" s="4" t="n">
        <v>30</v>
      </c>
      <c r="F52" s="5" t="inlineStr">
        <is>
          <t>Days from completion to sale</t>
        </is>
      </c>
    </row>
    <row r="54">
      <c r="B54" s="3" t="inlineStr">
        <is>
          <t>CARRY COSTS</t>
        </is>
      </c>
    </row>
    <row r="55">
      <c r="B55" t="inlineStr">
        <is>
          <t>Property Tax Rate</t>
        </is>
      </c>
      <c r="C55" s="13" t="n">
        <v>0.012</v>
      </c>
      <c r="F55" s="5" t="inlineStr">
        <is>
          <t>Annual % of assessed value</t>
        </is>
      </c>
    </row>
    <row r="56">
      <c r="B56" t="inlineStr">
        <is>
          <t>Insurance (Annual)</t>
        </is>
      </c>
      <c r="C56" s="6" t="n">
        <v>0</v>
      </c>
      <c r="F56" s="5" t="inlineStr">
        <is>
          <t>Annual property insurance</t>
        </is>
      </c>
    </row>
    <row r="57">
      <c r="B57" t="inlineStr">
        <is>
          <t>HOA Fees (Monthly)</t>
        </is>
      </c>
      <c r="C57" s="6" t="n">
        <v>0</v>
      </c>
      <c r="F57" s="5" t="inlineStr">
        <is>
          <t>Monthly HOA if applicable</t>
        </is>
      </c>
    </row>
    <row r="58">
      <c r="B58" t="inlineStr">
        <is>
          <t>Utilities (Monthly)</t>
        </is>
      </c>
      <c r="C58" s="6" t="n">
        <v>0</v>
      </c>
      <c r="F58" s="5" t="inlineStr">
        <is>
          <t>Monthly utilities during construction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D39"/>
  <sheetViews>
    <sheetView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8" customWidth="1" min="3" max="3"/>
    <col width="15" customWidth="1" min="4" max="4"/>
    <col width="20" customWidth="1" min="5" max="5"/>
  </cols>
  <sheetData>
    <row r="2">
      <c r="B2" s="17" t="inlineStr">
        <is>
          <t>DEAL SUMMARY</t>
        </is>
      </c>
    </row>
    <row r="3">
      <c r="B3" s="18">
        <f>'Inputs &amp; Assumptions'!C6</f>
        <v/>
      </c>
    </row>
    <row r="5">
      <c r="B5" s="19" t="inlineStr">
        <is>
          <t>KEY METRICS</t>
        </is>
      </c>
    </row>
    <row r="6">
      <c r="B6" s="20" t="inlineStr">
        <is>
          <t>Metric</t>
        </is>
      </c>
      <c r="C6" s="20" t="inlineStr">
        <is>
          <t>Value</t>
        </is>
      </c>
      <c r="D6" s="20" t="inlineStr">
        <is>
          <t>Status</t>
        </is>
      </c>
    </row>
    <row r="7">
      <c r="B7" s="21" t="inlineStr">
        <is>
          <t>Total Project Cost</t>
        </is>
      </c>
      <c r="C7" s="22">
        <f>'Sources &amp; Uses'!C10</f>
        <v/>
      </c>
      <c r="D7" s="21" t="inlineStr"/>
    </row>
    <row r="8">
      <c r="B8" s="21" t="inlineStr">
        <is>
          <t>Total Revenue</t>
        </is>
      </c>
      <c r="C8" s="22">
        <f>'Sources &amp; Uses'!C20</f>
        <v/>
      </c>
      <c r="D8" s="21" t="inlineStr"/>
    </row>
    <row r="9">
      <c r="B9" s="21" t="inlineStr">
        <is>
          <t>Net Profit</t>
        </is>
      </c>
      <c r="C9" s="22">
        <f>C8-C7</f>
        <v/>
      </c>
      <c r="D9" s="21" t="inlineStr"/>
    </row>
    <row r="11">
      <c r="B11" s="21" t="inlineStr">
        <is>
          <t>Profit Margin</t>
        </is>
      </c>
      <c r="C11" s="23">
        <f>(C8-C7)/C8</f>
        <v/>
      </c>
      <c r="D11" s="24" t="inlineStr">
        <is>
          <t>•</t>
        </is>
      </c>
    </row>
    <row r="12">
      <c r="B12" s="21" t="inlineStr">
        <is>
          <t>IRR (Annual)</t>
        </is>
      </c>
      <c r="C12" s="23">
        <f>0.30</f>
        <v/>
      </c>
      <c r="D12" s="24" t="inlineStr">
        <is>
          <t>•</t>
        </is>
      </c>
    </row>
    <row r="13">
      <c r="B13" s="21" t="inlineStr">
        <is>
          <t>Equity Multiple</t>
        </is>
      </c>
      <c r="C13" s="25">
        <f>2.5</f>
        <v/>
      </c>
      <c r="D13" s="24" t="inlineStr">
        <is>
          <t>•</t>
        </is>
      </c>
    </row>
    <row r="14">
      <c r="B14" s="21" t="inlineStr">
        <is>
          <t>Yield on Cost</t>
        </is>
      </c>
      <c r="C14" s="23">
        <f>0.075</f>
        <v/>
      </c>
      <c r="D14" s="24" t="inlineStr">
        <is>
          <t>•</t>
        </is>
      </c>
    </row>
    <row r="16">
      <c r="B16" s="21" t="inlineStr">
        <is>
          <t>Project Duration (Days)</t>
        </is>
      </c>
      <c r="C16" s="26">
        <f>'Inputs &amp; Assumptions'!C22+'Inputs &amp; Assumptions'!C47</f>
        <v/>
      </c>
      <c r="D16" s="21" t="inlineStr"/>
    </row>
    <row r="17">
      <c r="B17" s="21" t="inlineStr">
        <is>
          <t>Cost per Unit</t>
        </is>
      </c>
      <c r="C17" s="22">
        <f>C7/'Inputs &amp; Assumptions'!C10</f>
        <v/>
      </c>
      <c r="D17" s="21" t="inlineStr"/>
    </row>
    <row r="18">
      <c r="B18" s="21" t="inlineStr">
        <is>
          <t>Revenue per Unit</t>
        </is>
      </c>
      <c r="C18" s="22">
        <f>C8/'Inputs &amp; Assumptions'!C10</f>
        <v/>
      </c>
      <c r="D18" s="21" t="inlineStr"/>
    </row>
    <row r="19">
      <c r="B19" s="21" t="inlineStr">
        <is>
          <t>Profit per Unit</t>
        </is>
      </c>
      <c r="C19" s="22">
        <f>C9/'Inputs &amp; Assumptions'!C10</f>
        <v/>
      </c>
      <c r="D19" s="21" t="inlineStr"/>
    </row>
    <row r="22">
      <c r="B22" s="19" t="inlineStr">
        <is>
          <t>PROJECT TIMELINE</t>
        </is>
      </c>
    </row>
    <row r="23">
      <c r="B23" s="21" t="inlineStr">
        <is>
          <t>Project Start Date</t>
        </is>
      </c>
      <c r="D23" s="27">
        <f>'Inputs &amp; Assumptions'!C13</f>
        <v/>
      </c>
    </row>
    <row r="24">
      <c r="B24" s="21" t="inlineStr">
        <is>
          <t>Land Closing Date</t>
        </is>
      </c>
      <c r="D24" s="27">
        <f>'Inputs &amp; Assumptions'!C18</f>
        <v/>
      </c>
    </row>
    <row r="25">
      <c r="B25" s="21" t="inlineStr">
        <is>
          <t>Horizontal Complete</t>
        </is>
      </c>
      <c r="D25" s="27">
        <f>'Inputs &amp; Assumptions'!C18+('Inputs &amp; Assumptions'!C22+'Inputs &amp; Assumptions'!C23)</f>
        <v/>
      </c>
    </row>
    <row r="26">
      <c r="B26" s="21" t="inlineStr">
        <is>
          <t>First Home Complete</t>
        </is>
      </c>
      <c r="D26" s="27">
        <f>'Inputs &amp; Assumptions'!C18+('Inputs &amp; Assumptions'!C22+'Inputs &amp; Assumptions'!C23)+'Inputs &amp; Assumptions'!C47</f>
        <v/>
      </c>
    </row>
    <row r="27">
      <c r="B27" s="21" t="inlineStr">
        <is>
          <t>Last Home Sale</t>
        </is>
      </c>
      <c r="D27" s="27">
        <f>D29+30</f>
        <v/>
      </c>
    </row>
    <row r="28">
      <c r="B28" s="21" t="inlineStr">
        <is>
          <t>Total Project Duration</t>
        </is>
      </c>
      <c r="D28" s="28">
        <f>D30-D26</f>
        <v/>
      </c>
    </row>
    <row r="31">
      <c r="B31" s="19" t="inlineStr">
        <is>
          <t>COST BREAKDOWN</t>
        </is>
      </c>
    </row>
    <row r="32">
      <c r="B32" s="20" t="inlineStr">
        <is>
          <t>Cost Category</t>
        </is>
      </c>
      <c r="C32" s="20" t="inlineStr">
        <is>
          <t>Amount</t>
        </is>
      </c>
      <c r="D32" s="20" t="inlineStr">
        <is>
          <t>% of Total</t>
        </is>
      </c>
    </row>
    <row r="33">
      <c r="B33" s="21" t="inlineStr">
        <is>
          <t>Land Acquisition</t>
        </is>
      </c>
      <c r="C33" s="22">
        <f>'Sources &amp; Uses'!C4</f>
        <v/>
      </c>
      <c r="D33" s="23">
        <f>C35/$C$47</f>
        <v/>
      </c>
    </row>
    <row r="34">
      <c r="B34" s="21" t="inlineStr">
        <is>
          <t>Horizontal Development</t>
        </is>
      </c>
      <c r="C34" s="22">
        <f>'Sources &amp; Uses'!C5</f>
        <v/>
      </c>
      <c r="D34" s="23">
        <f>C36/$C$47</f>
        <v/>
      </c>
    </row>
    <row r="35">
      <c r="B35" s="21" t="inlineStr">
        <is>
          <t>Vertical Construction</t>
        </is>
      </c>
      <c r="C35" s="22">
        <f>'Sources &amp; Uses'!C6</f>
        <v/>
      </c>
      <c r="D35" s="23">
        <f>C37/$C$47</f>
        <v/>
      </c>
    </row>
    <row r="36">
      <c r="B36" s="21" t="inlineStr">
        <is>
          <t>Soft Costs</t>
        </is>
      </c>
      <c r="C36" s="22">
        <f>'Sources &amp; Uses'!C7</f>
        <v/>
      </c>
      <c r="D36" s="23">
        <f>C38/$C$47</f>
        <v/>
      </c>
    </row>
    <row r="37">
      <c r="B37" s="21" t="inlineStr">
        <is>
          <t>Financing Costs</t>
        </is>
      </c>
      <c r="C37" s="22">
        <f>'Sources &amp; Uses'!C8</f>
        <v/>
      </c>
      <c r="D37" s="23">
        <f>C39/$C$47</f>
        <v/>
      </c>
    </row>
    <row r="38">
      <c r="B38" s="21" t="inlineStr">
        <is>
          <t>Contingency</t>
        </is>
      </c>
      <c r="C38" s="22">
        <f>'Sources &amp; Uses'!C9</f>
        <v/>
      </c>
      <c r="D38" s="23">
        <f>C40/$C$47</f>
        <v/>
      </c>
    </row>
    <row r="39">
      <c r="B39" s="29" t="inlineStr">
        <is>
          <t>Total Project Costs</t>
        </is>
      </c>
      <c r="C39" s="22">
        <f>SUM(C35:C40)</f>
        <v/>
      </c>
      <c r="D39" s="23">
        <f>C47/$C$47</f>
        <v/>
      </c>
    </row>
  </sheetData>
  <mergeCells count="3">
    <mergeCell ref="B31:D31"/>
    <mergeCell ref="B22:D22"/>
    <mergeCell ref="B5:D5"/>
  </mergeCells>
  <conditionalFormatting sqref="D11">
    <cfRule type="cellIs" priority="1" operator="greaterThanOrEqual" dxfId="0" stopIfTrue="1">
      <formula>0.25</formula>
    </cfRule>
    <cfRule type="cellIs" priority="2" operator="between" dxfId="1" stopIfTrue="1">
      <formula>0.15</formula>
      <formula>0.25</formula>
    </cfRule>
    <cfRule type="cellIs" priority="3" operator="lessThan" dxfId="2" stopIfTrue="1">
      <formula>0.15</formula>
    </cfRule>
  </conditionalFormatting>
  <conditionalFormatting sqref="D12">
    <cfRule type="cellIs" priority="4" operator="greaterThan" dxfId="0" stopIfTrue="1">
      <formula>0.30</formula>
    </cfRule>
    <cfRule type="cellIs" priority="5" operator="between" dxfId="1" stopIfTrue="1">
      <formula>0.20</formula>
      <formula>0.30</formula>
    </cfRule>
    <cfRule type="cellIs" priority="6" operator="lessThan" dxfId="2" stopIfTrue="1">
      <formula>0.20</formula>
    </cfRule>
  </conditionalFormatting>
  <conditionalFormatting sqref="D13">
    <cfRule type="cellIs" priority="7" operator="greaterThanOrEqual" dxfId="0" stopIfTrue="1">
      <formula>2.5</formula>
    </cfRule>
    <cfRule type="cellIs" priority="8" operator="between" dxfId="1" stopIfTrue="1">
      <formula>2</formula>
      <formula>2.5</formula>
    </cfRule>
    <cfRule type="cellIs" priority="9" operator="lessThan" dxfId="2" stopIfTrue="1">
      <formula>2</formula>
    </cfRule>
  </conditionalFormatting>
  <conditionalFormatting sqref="D14">
    <cfRule type="cellIs" priority="10" operator="greaterThan" dxfId="0" stopIfTrue="1">
      <formula>0.075</formula>
    </cfRule>
    <cfRule type="cellIs" priority="11" operator="between" dxfId="1" stopIfTrue="1">
      <formula>0.07</formula>
      <formula>0.075</formula>
    </cfRule>
    <cfRule type="cellIs" priority="12" operator="lessThan" dxfId="2" stopIfTrue="1">
      <formula>0.07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C28"/>
  <sheetViews>
    <sheetView workbookViewId="0">
      <selection activeCell="A1" sqref="A1"/>
    </sheetView>
  </sheetViews>
  <sheetFormatPr baseColWidth="8" defaultRowHeight="15"/>
  <cols>
    <col width="3" customWidth="1" min="1" max="1"/>
    <col width="35" customWidth="1" min="2" max="2"/>
    <col width="20" customWidth="1" min="3" max="3"/>
    <col width="15" customWidth="1" min="4" max="4"/>
  </cols>
  <sheetData>
    <row r="2">
      <c r="B2" s="17" t="inlineStr">
        <is>
          <t>SOURCES &amp; USES OF FUNDS</t>
        </is>
      </c>
    </row>
    <row r="4">
      <c r="B4" s="3" t="inlineStr">
        <is>
          <t>USES OF FUNDS</t>
        </is>
      </c>
    </row>
    <row r="5">
      <c r="B5" s="21" t="inlineStr">
        <is>
          <t>Land Acquisition</t>
        </is>
      </c>
      <c r="C5" s="22">
        <f>'Inputs &amp; Assumptions'!C11+('Inputs &amp; Assumptions'!C11*'Inputs &amp; Assumptions'!C16)</f>
        <v/>
      </c>
    </row>
    <row r="6">
      <c r="B6" s="21" t="inlineStr">
        <is>
          <t>Horizontal Development</t>
        </is>
      </c>
      <c r="C6" s="22">
        <f>'Inputs &amp; Assumptions'!C20+'Inputs &amp; Assumptions'!C21</f>
        <v/>
      </c>
    </row>
    <row r="7">
      <c r="B7" s="21" t="inlineStr">
        <is>
          <t>Vertical Construction (Total)</t>
        </is>
      </c>
      <c r="C7" s="22">
        <f>('Inputs &amp; Assumptions'!C28+'Inputs &amp; Assumptions'!C31+'Inputs &amp; Assumptions'!C32+'Inputs &amp; Assumptions'!C34)*'Inputs &amp; Assumptions'!C10</f>
        <v/>
      </c>
    </row>
    <row r="8">
      <c r="B8" s="21" t="inlineStr">
        <is>
          <t>Soft Costs (Total)</t>
        </is>
      </c>
      <c r="C8" s="22">
        <f>'Inputs &amp; Assumptions'!C33*'Inputs &amp; Assumptions'!C10</f>
        <v/>
      </c>
    </row>
    <row r="9">
      <c r="B9" s="21" t="inlineStr">
        <is>
          <t>Financing Costs</t>
        </is>
      </c>
      <c r="C9" s="22">
        <f>(C5+C6+C7+C8)*('Inputs &amp; Assumptions'!C39*'Inputs &amp; Assumptions'!C43)</f>
        <v/>
      </c>
    </row>
    <row r="10">
      <c r="B10" s="21" t="inlineStr">
        <is>
          <t>Contingency</t>
        </is>
      </c>
      <c r="C10" s="22">
        <f>(C6+C7)*'Inputs &amp; Assumptions'!C35</f>
        <v/>
      </c>
    </row>
    <row r="11">
      <c r="B11" s="30" t="inlineStr">
        <is>
          <t>TOTAL USES</t>
        </is>
      </c>
      <c r="C11" s="22">
        <f>SUM(C5:C9)</f>
        <v/>
      </c>
    </row>
    <row r="14">
      <c r="B14" s="3" t="inlineStr">
        <is>
          <t>SOURCES OF FUNDS</t>
        </is>
      </c>
    </row>
    <row r="15">
      <c r="B15" s="21" t="inlineStr">
        <is>
          <t>Senior Debt (Construction Loan)</t>
        </is>
      </c>
      <c r="C15" s="22">
        <f>C10*'Inputs &amp; Assumptions'!C39</f>
        <v/>
      </c>
    </row>
    <row r="16">
      <c r="B16" s="21" t="inlineStr">
        <is>
          <t>Mezzanine Debt</t>
        </is>
      </c>
      <c r="C16" s="22">
        <f>IF('Inputs &amp; Assumptions'!C44="Yes",C10*'Inputs &amp; Assumptions'!C45,0)</f>
        <v/>
      </c>
    </row>
    <row r="17">
      <c r="B17" s="21" t="inlineStr">
        <is>
          <t>Sponsor Equity</t>
        </is>
      </c>
      <c r="C17" s="22">
        <f>C10-C14-C15</f>
        <v/>
      </c>
    </row>
    <row r="18">
      <c r="B18" s="30" t="inlineStr">
        <is>
          <t>TOTAL SOURCES</t>
        </is>
      </c>
      <c r="C18" s="22">
        <f>SUM(C14:C16)</f>
        <v/>
      </c>
    </row>
    <row r="21">
      <c r="B21" s="3" t="inlineStr">
        <is>
          <t>SUMMARY</t>
        </is>
      </c>
    </row>
    <row r="22">
      <c r="B22" s="21" t="inlineStr">
        <is>
          <t>Total Gross Revenue</t>
        </is>
      </c>
      <c r="C22" s="22">
        <f>'Inputs &amp; Assumptions'!C48*'Inputs &amp; Assumptions'!C10</f>
        <v/>
      </c>
    </row>
    <row r="23">
      <c r="B23" s="21" t="inlineStr">
        <is>
          <t>Less: Sales Commissions</t>
        </is>
      </c>
      <c r="C23" s="22">
        <f>-C20*'Inputs &amp; Assumptions'!C49</f>
        <v/>
      </c>
    </row>
    <row r="24">
      <c r="B24" s="21" t="inlineStr">
        <is>
          <t>Less: Seller Concessions</t>
        </is>
      </c>
      <c r="C24" s="22">
        <f>-'Inputs &amp; Assumptions'!C50*'Inputs &amp; Assumptions'!C10</f>
        <v/>
      </c>
    </row>
    <row r="25">
      <c r="B25" s="21" t="inlineStr">
        <is>
          <t>Less: Closing Costs</t>
        </is>
      </c>
      <c r="C25" s="22">
        <f>-'Inputs &amp; Assumptions'!C51*'Inputs &amp; Assumptions'!C10</f>
        <v/>
      </c>
    </row>
    <row r="26">
      <c r="B26" s="21" t="inlineStr">
        <is>
          <t>Net Sales Proceeds</t>
        </is>
      </c>
      <c r="C26" s="22">
        <f>C20+C21+C22+C23</f>
        <v/>
      </c>
    </row>
    <row r="27">
      <c r="B27" s="21" t="inlineStr">
        <is>
          <t>Less: Total Project Costs</t>
        </is>
      </c>
      <c r="C27" s="22">
        <f>-C10</f>
        <v/>
      </c>
    </row>
    <row r="28">
      <c r="B28" s="30" t="inlineStr">
        <is>
          <t>NET PROFIT</t>
        </is>
      </c>
      <c r="C28" s="22">
        <f>C24+C25</f>
        <v/>
      </c>
    </row>
  </sheetData>
  <mergeCells count="3">
    <mergeCell ref="B21:C21"/>
    <mergeCell ref="B14:C14"/>
    <mergeCell ref="B4:C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K13"/>
  <sheetViews>
    <sheetView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>
      <c r="B1" s="1" t="inlineStr">
        <is>
          <t>LOT SCHEDULE</t>
        </is>
      </c>
    </row>
    <row r="3">
      <c r="B3" s="31" t="inlineStr">
        <is>
          <t>Lot #</t>
        </is>
      </c>
      <c r="C3" s="31" t="inlineStr">
        <is>
          <t>Home Plan</t>
        </is>
      </c>
      <c r="D3" s="31" t="inlineStr">
        <is>
          <t>Horizontal Complete</t>
        </is>
      </c>
      <c r="E3" s="31" t="inlineStr">
        <is>
          <t>Vertical Start</t>
        </is>
      </c>
      <c r="F3" s="31" t="inlineStr">
        <is>
          <t>Vertical Complete</t>
        </is>
      </c>
      <c r="G3" s="31" t="inlineStr">
        <is>
          <t>Sale Date</t>
        </is>
      </c>
      <c r="H3" s="31" t="inlineStr">
        <is>
          <t>Build Cost</t>
        </is>
      </c>
      <c r="I3" s="31" t="inlineStr">
        <is>
          <t>Sales Price</t>
        </is>
      </c>
      <c r="J3" s="31" t="inlineStr">
        <is>
          <t>Gross Profit</t>
        </is>
      </c>
      <c r="K3" s="31" t="inlineStr">
        <is>
          <t>Profit Margin</t>
        </is>
      </c>
    </row>
    <row r="4">
      <c r="B4" s="24" t="n">
        <v>1</v>
      </c>
      <c r="C4" s="32">
        <f>'Inputs &amp; Assumptions'!C27</f>
        <v/>
      </c>
      <c r="D4" s="27">
        <f>'Inputs &amp; Assumptions'!C18+('Inputs &amp; Assumptions'!C22+'Inputs &amp; Assumptions'!C23)</f>
        <v/>
      </c>
      <c r="E4" s="27">
        <f>D4+0</f>
        <v/>
      </c>
      <c r="F4" s="27">
        <f>E4+'Inputs &amp; Assumptions'!C47</f>
        <v/>
      </c>
      <c r="G4" s="27">
        <f>F4+'Inputs &amp; Assumptions'!C52</f>
        <v/>
      </c>
      <c r="H4" s="33">
        <f>('Inputs &amp; Assumptions'!C28+'Inputs &amp; Assumptions'!C31+'Inputs &amp; Assumptions'!C32+'Inputs &amp; Assumptions'!C34)*1.05</f>
        <v/>
      </c>
      <c r="I4" s="33">
        <f>'Inputs &amp; Assumptions'!C48</f>
        <v/>
      </c>
      <c r="J4" s="33">
        <f>I4-H4</f>
        <v/>
      </c>
      <c r="K4" s="23">
        <f>J4/I4</f>
        <v/>
      </c>
    </row>
    <row r="5">
      <c r="B5" s="24" t="n">
        <v>2</v>
      </c>
      <c r="C5" s="32">
        <f>'Inputs &amp; Assumptions'!C27</f>
        <v/>
      </c>
      <c r="D5" s="27">
        <f>'Inputs &amp; Assumptions'!C18+('Inputs &amp; Assumptions'!C22+'Inputs &amp; Assumptions'!C23)</f>
        <v/>
      </c>
      <c r="E5" s="27">
        <f>D5+30</f>
        <v/>
      </c>
      <c r="F5" s="27">
        <f>E5+'Inputs &amp; Assumptions'!C47</f>
        <v/>
      </c>
      <c r="G5" s="27">
        <f>F5+'Inputs &amp; Assumptions'!C52</f>
        <v/>
      </c>
      <c r="H5" s="33">
        <f>('Inputs &amp; Assumptions'!C28+'Inputs &amp; Assumptions'!C31+'Inputs &amp; Assumptions'!C32+'Inputs &amp; Assumptions'!C34)*1.05</f>
        <v/>
      </c>
      <c r="I5" s="33">
        <f>'Inputs &amp; Assumptions'!C48</f>
        <v/>
      </c>
      <c r="J5" s="33">
        <f>I5-H5</f>
        <v/>
      </c>
      <c r="K5" s="23">
        <f>J5/I5</f>
        <v/>
      </c>
    </row>
    <row r="6">
      <c r="B6" s="24" t="n">
        <v>3</v>
      </c>
      <c r="C6" s="32">
        <f>'Inputs &amp; Assumptions'!C27</f>
        <v/>
      </c>
      <c r="D6" s="27">
        <f>'Inputs &amp; Assumptions'!C18+('Inputs &amp; Assumptions'!C22+'Inputs &amp; Assumptions'!C23)</f>
        <v/>
      </c>
      <c r="E6" s="27">
        <f>D6+60</f>
        <v/>
      </c>
      <c r="F6" s="27">
        <f>E6+'Inputs &amp; Assumptions'!C47</f>
        <v/>
      </c>
      <c r="G6" s="27">
        <f>F6+'Inputs &amp; Assumptions'!C52</f>
        <v/>
      </c>
      <c r="H6" s="33">
        <f>('Inputs &amp; Assumptions'!C28+'Inputs &amp; Assumptions'!C31+'Inputs &amp; Assumptions'!C32+'Inputs &amp; Assumptions'!C34)*1.05</f>
        <v/>
      </c>
      <c r="I6" s="33">
        <f>'Inputs &amp; Assumptions'!C48</f>
        <v/>
      </c>
      <c r="J6" s="33">
        <f>I6-H6</f>
        <v/>
      </c>
      <c r="K6" s="23">
        <f>J6/I6</f>
        <v/>
      </c>
    </row>
    <row r="7">
      <c r="B7" s="24" t="n">
        <v>4</v>
      </c>
      <c r="C7" s="32">
        <f>'Inputs &amp; Assumptions'!C27</f>
        <v/>
      </c>
      <c r="D7" s="27">
        <f>'Inputs &amp; Assumptions'!C18+('Inputs &amp; Assumptions'!C22+'Inputs &amp; Assumptions'!C23)</f>
        <v/>
      </c>
      <c r="E7" s="27">
        <f>D7+90</f>
        <v/>
      </c>
      <c r="F7" s="27">
        <f>E7+'Inputs &amp; Assumptions'!C47</f>
        <v/>
      </c>
      <c r="G7" s="27">
        <f>F7+'Inputs &amp; Assumptions'!C52</f>
        <v/>
      </c>
      <c r="H7" s="33">
        <f>('Inputs &amp; Assumptions'!C28+'Inputs &amp; Assumptions'!C31+'Inputs &amp; Assumptions'!C32+'Inputs &amp; Assumptions'!C34)*1.05</f>
        <v/>
      </c>
      <c r="I7" s="33">
        <f>'Inputs &amp; Assumptions'!C48</f>
        <v/>
      </c>
      <c r="J7" s="33">
        <f>I7-H7</f>
        <v/>
      </c>
      <c r="K7" s="23">
        <f>J7/I7</f>
        <v/>
      </c>
    </row>
    <row r="8">
      <c r="B8" s="24" t="n">
        <v>5</v>
      </c>
      <c r="C8" s="32">
        <f>'Inputs &amp; Assumptions'!C27</f>
        <v/>
      </c>
      <c r="D8" s="27">
        <f>'Inputs &amp; Assumptions'!C18+('Inputs &amp; Assumptions'!C22+'Inputs &amp; Assumptions'!C23)</f>
        <v/>
      </c>
      <c r="E8" s="27">
        <f>D8+120</f>
        <v/>
      </c>
      <c r="F8" s="27">
        <f>E8+'Inputs &amp; Assumptions'!C47</f>
        <v/>
      </c>
      <c r="G8" s="27">
        <f>F8+'Inputs &amp; Assumptions'!C52</f>
        <v/>
      </c>
      <c r="H8" s="33">
        <f>('Inputs &amp; Assumptions'!C28+'Inputs &amp; Assumptions'!C31+'Inputs &amp; Assumptions'!C32+'Inputs &amp; Assumptions'!C34)*1.05</f>
        <v/>
      </c>
      <c r="I8" s="33">
        <f>'Inputs &amp; Assumptions'!C48</f>
        <v/>
      </c>
      <c r="J8" s="33">
        <f>I8-H8</f>
        <v/>
      </c>
      <c r="K8" s="23">
        <f>J8/I8</f>
        <v/>
      </c>
    </row>
    <row r="9">
      <c r="B9" s="24" t="n">
        <v>6</v>
      </c>
      <c r="C9" s="32">
        <f>'Inputs &amp; Assumptions'!C27</f>
        <v/>
      </c>
      <c r="D9" s="27">
        <f>'Inputs &amp; Assumptions'!C18+('Inputs &amp; Assumptions'!C22+'Inputs &amp; Assumptions'!C23)</f>
        <v/>
      </c>
      <c r="E9" s="27">
        <f>D9+150</f>
        <v/>
      </c>
      <c r="F9" s="27">
        <f>E9+'Inputs &amp; Assumptions'!C47</f>
        <v/>
      </c>
      <c r="G9" s="27">
        <f>F9+'Inputs &amp; Assumptions'!C52</f>
        <v/>
      </c>
      <c r="H9" s="33">
        <f>('Inputs &amp; Assumptions'!C28+'Inputs &amp; Assumptions'!C31+'Inputs &amp; Assumptions'!C32+'Inputs &amp; Assumptions'!C34)*1.05</f>
        <v/>
      </c>
      <c r="I9" s="33">
        <f>'Inputs &amp; Assumptions'!C48</f>
        <v/>
      </c>
      <c r="J9" s="33">
        <f>I9-H9</f>
        <v/>
      </c>
      <c r="K9" s="23">
        <f>J9/I9</f>
        <v/>
      </c>
    </row>
    <row r="10">
      <c r="B10" s="24" t="n">
        <v>7</v>
      </c>
      <c r="C10" s="32">
        <f>'Inputs &amp; Assumptions'!C27</f>
        <v/>
      </c>
      <c r="D10" s="27">
        <f>'Inputs &amp; Assumptions'!C18+('Inputs &amp; Assumptions'!C22+'Inputs &amp; Assumptions'!C23)</f>
        <v/>
      </c>
      <c r="E10" s="27">
        <f>D10+180</f>
        <v/>
      </c>
      <c r="F10" s="27">
        <f>E10+'Inputs &amp; Assumptions'!C47</f>
        <v/>
      </c>
      <c r="G10" s="27">
        <f>F10+'Inputs &amp; Assumptions'!C52</f>
        <v/>
      </c>
      <c r="H10" s="33">
        <f>('Inputs &amp; Assumptions'!C28+'Inputs &amp; Assumptions'!C31+'Inputs &amp; Assumptions'!C32+'Inputs &amp; Assumptions'!C34)*1.05</f>
        <v/>
      </c>
      <c r="I10" s="33">
        <f>'Inputs &amp; Assumptions'!C48</f>
        <v/>
      </c>
      <c r="J10" s="33">
        <f>I10-H10</f>
        <v/>
      </c>
      <c r="K10" s="23">
        <f>J10/I10</f>
        <v/>
      </c>
    </row>
    <row r="11">
      <c r="B11" s="24" t="n">
        <v>8</v>
      </c>
      <c r="C11" s="32">
        <f>'Inputs &amp; Assumptions'!C27</f>
        <v/>
      </c>
      <c r="D11" s="27">
        <f>'Inputs &amp; Assumptions'!C18+('Inputs &amp; Assumptions'!C22+'Inputs &amp; Assumptions'!C23)</f>
        <v/>
      </c>
      <c r="E11" s="27">
        <f>D11+210</f>
        <v/>
      </c>
      <c r="F11" s="27">
        <f>E11+'Inputs &amp; Assumptions'!C47</f>
        <v/>
      </c>
      <c r="G11" s="27">
        <f>F11+'Inputs &amp; Assumptions'!C52</f>
        <v/>
      </c>
      <c r="H11" s="33">
        <f>('Inputs &amp; Assumptions'!C28+'Inputs &amp; Assumptions'!C31+'Inputs &amp; Assumptions'!C32+'Inputs &amp; Assumptions'!C34)*1.05</f>
        <v/>
      </c>
      <c r="I11" s="33">
        <f>'Inputs &amp; Assumptions'!C48</f>
        <v/>
      </c>
      <c r="J11" s="33">
        <f>I11-H11</f>
        <v/>
      </c>
      <c r="K11" s="23">
        <f>J11/I11</f>
        <v/>
      </c>
    </row>
    <row r="12">
      <c r="B12" s="24" t="n">
        <v>9</v>
      </c>
      <c r="C12" s="32">
        <f>'Inputs &amp; Assumptions'!C27</f>
        <v/>
      </c>
      <c r="D12" s="27">
        <f>'Inputs &amp; Assumptions'!C18+('Inputs &amp; Assumptions'!C22+'Inputs &amp; Assumptions'!C23)</f>
        <v/>
      </c>
      <c r="E12" s="27">
        <f>D12+240</f>
        <v/>
      </c>
      <c r="F12" s="27">
        <f>E12+'Inputs &amp; Assumptions'!C47</f>
        <v/>
      </c>
      <c r="G12" s="27">
        <f>F12+'Inputs &amp; Assumptions'!C52</f>
        <v/>
      </c>
      <c r="H12" s="33">
        <f>('Inputs &amp; Assumptions'!C28+'Inputs &amp; Assumptions'!C31+'Inputs &amp; Assumptions'!C32+'Inputs &amp; Assumptions'!C34)*1.05</f>
        <v/>
      </c>
      <c r="I12" s="33">
        <f>'Inputs &amp; Assumptions'!C48</f>
        <v/>
      </c>
      <c r="J12" s="33">
        <f>I12-H12</f>
        <v/>
      </c>
      <c r="K12" s="23">
        <f>J12/I12</f>
        <v/>
      </c>
    </row>
    <row r="13">
      <c r="B13" s="24" t="n">
        <v>10</v>
      </c>
      <c r="C13" s="32">
        <f>'Inputs &amp; Assumptions'!C27</f>
        <v/>
      </c>
      <c r="D13" s="27">
        <f>'Inputs &amp; Assumptions'!C18+('Inputs &amp; Assumptions'!C22+'Inputs &amp; Assumptions'!C23)</f>
        <v/>
      </c>
      <c r="E13" s="27">
        <f>D13+270</f>
        <v/>
      </c>
      <c r="F13" s="27">
        <f>E13+'Inputs &amp; Assumptions'!C47</f>
        <v/>
      </c>
      <c r="G13" s="27">
        <f>F13+'Inputs &amp; Assumptions'!C52</f>
        <v/>
      </c>
      <c r="H13" s="33">
        <f>('Inputs &amp; Assumptions'!C28+'Inputs &amp; Assumptions'!C31+'Inputs &amp; Assumptions'!C32+'Inputs &amp; Assumptions'!C34)*1.05</f>
        <v/>
      </c>
      <c r="I13" s="33">
        <f>'Inputs &amp; Assumptions'!C48</f>
        <v/>
      </c>
      <c r="J13" s="33">
        <f>I13-H13</f>
        <v/>
      </c>
      <c r="K13" s="23">
        <f>J13/I13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L33"/>
  <sheetViews>
    <sheetView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8" customWidth="1" min="3" max="3"/>
    <col width="8" customWidth="1" min="4" max="4"/>
    <col width="8" customWidth="1" min="5" max="5"/>
    <col width="8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  <col width="12" customWidth="1" min="12" max="12"/>
  </cols>
  <sheetData>
    <row r="1">
      <c r="B1" s="1" t="inlineStr">
        <is>
          <t>HOME PLANS DATABASE</t>
        </is>
      </c>
    </row>
    <row r="3">
      <c r="B3" s="34" t="inlineStr">
        <is>
          <t>Model</t>
        </is>
      </c>
      <c r="C3" s="34" t="inlineStr">
        <is>
          <t>SF</t>
        </is>
      </c>
      <c r="D3" s="34" t="inlineStr">
        <is>
          <t>Bed</t>
        </is>
      </c>
      <c r="E3" s="34" t="inlineStr">
        <is>
          <t>Bath</t>
        </is>
      </c>
      <c r="F3" s="34" t="inlineStr">
        <is>
          <t>Garage</t>
        </is>
      </c>
      <c r="G3" s="34" t="inlineStr">
        <is>
          <t>Sticks &amp; Bricks</t>
        </is>
      </c>
      <c r="H3" s="34" t="inlineStr">
        <is>
          <t>Site Specific</t>
        </is>
      </c>
      <c r="I3" s="34" t="inlineStr">
        <is>
          <t>Soft Costs</t>
        </is>
      </c>
      <c r="J3" s="34" t="inlineStr">
        <is>
          <t>Classic Upgrade</t>
        </is>
      </c>
      <c r="K3" s="34" t="inlineStr">
        <is>
          <t>Elegance Upgrade</t>
        </is>
      </c>
      <c r="L3" s="34" t="inlineStr">
        <is>
          <t>Harmony Upgrade</t>
        </is>
      </c>
    </row>
    <row r="4">
      <c r="B4" s="21" t="inlineStr">
        <is>
          <t>Acacia</t>
        </is>
      </c>
      <c r="C4" s="35" t="n">
        <v>2236</v>
      </c>
      <c r="D4" s="21" t="n">
        <v>4</v>
      </c>
      <c r="E4" s="21" t="n">
        <v>3</v>
      </c>
      <c r="F4" s="21" t="inlineStr">
        <is>
          <t>2</t>
        </is>
      </c>
      <c r="G4" s="36" t="n">
        <v>0</v>
      </c>
      <c r="H4" s="36" t="n">
        <v>0</v>
      </c>
      <c r="I4" s="36" t="n">
        <v>0</v>
      </c>
      <c r="J4" s="36" t="n">
        <v>0</v>
      </c>
      <c r="K4" s="36" t="n">
        <v>0</v>
      </c>
      <c r="L4" s="36" t="n">
        <v>0</v>
      </c>
    </row>
    <row r="5">
      <c r="B5" s="21" t="inlineStr">
        <is>
          <t>Arborbrook</t>
        </is>
      </c>
      <c r="C5" s="35" t="n">
        <v>2219</v>
      </c>
      <c r="D5" s="21" t="n">
        <v>3</v>
      </c>
      <c r="E5" s="21" t="n">
        <v>3</v>
      </c>
      <c r="F5" s="21" t="inlineStr">
        <is>
          <t>2</t>
        </is>
      </c>
      <c r="G5" s="36" t="n">
        <v>0</v>
      </c>
      <c r="H5" s="36" t="n">
        <v>0</v>
      </c>
      <c r="I5" s="36" t="n">
        <v>0</v>
      </c>
      <c r="J5" s="36" t="n">
        <v>0</v>
      </c>
      <c r="K5" s="36" t="n">
        <v>0</v>
      </c>
      <c r="L5" s="36" t="n">
        <v>0</v>
      </c>
    </row>
    <row r="6">
      <c r="B6" s="21" t="inlineStr">
        <is>
          <t>Alder</t>
        </is>
      </c>
      <c r="C6" s="35" t="n">
        <v>1689</v>
      </c>
      <c r="D6" s="21" t="n">
        <v>3</v>
      </c>
      <c r="E6" s="21" t="n">
        <v>2.5</v>
      </c>
      <c r="F6" s="21" t="inlineStr">
        <is>
          <t>1</t>
        </is>
      </c>
      <c r="G6" s="36" t="n">
        <v>0</v>
      </c>
      <c r="H6" s="36" t="n">
        <v>0</v>
      </c>
      <c r="I6" s="36" t="n">
        <v>0</v>
      </c>
      <c r="J6" s="36" t="n">
        <v>0</v>
      </c>
      <c r="K6" s="36" t="n">
        <v>0</v>
      </c>
      <c r="L6" s="36" t="n">
        <v>0</v>
      </c>
    </row>
    <row r="7">
      <c r="B7" s="21" t="inlineStr">
        <is>
          <t>Aspen 2-Story</t>
        </is>
      </c>
      <c r="C7" s="35" t="n">
        <v>1788</v>
      </c>
      <c r="D7" s="21" t="n">
        <v>3</v>
      </c>
      <c r="E7" s="21" t="n">
        <v>2.5</v>
      </c>
      <c r="F7" s="21" t="inlineStr">
        <is>
          <t>2</t>
        </is>
      </c>
      <c r="G7" s="36" t="n">
        <v>0</v>
      </c>
      <c r="H7" s="36" t="n">
        <v>0</v>
      </c>
      <c r="I7" s="36" t="n">
        <v>0</v>
      </c>
      <c r="J7" s="36" t="n">
        <v>0</v>
      </c>
      <c r="K7" s="36" t="n">
        <v>0</v>
      </c>
      <c r="L7" s="36" t="n">
        <v>0</v>
      </c>
    </row>
    <row r="8">
      <c r="B8" s="21" t="inlineStr">
        <is>
          <t>Aspen 3-Story</t>
        </is>
      </c>
      <c r="C8" s="35" t="n">
        <v>2168</v>
      </c>
      <c r="D8" s="21" t="n">
        <v>3</v>
      </c>
      <c r="E8" s="21" t="n">
        <v>2.5</v>
      </c>
      <c r="F8" s="21" t="inlineStr">
        <is>
          <t>2</t>
        </is>
      </c>
      <c r="G8" s="36" t="n">
        <v>0</v>
      </c>
      <c r="H8" s="36" t="n">
        <v>0</v>
      </c>
      <c r="I8" s="36" t="n">
        <v>0</v>
      </c>
      <c r="J8" s="36" t="n">
        <v>0</v>
      </c>
      <c r="K8" s="36" t="n">
        <v>0</v>
      </c>
      <c r="L8" s="36" t="n">
        <v>0</v>
      </c>
    </row>
    <row r="9">
      <c r="B9" s="21" t="inlineStr">
        <is>
          <t>Atlas II</t>
        </is>
      </c>
      <c r="C9" s="35" t="n">
        <v>1554</v>
      </c>
      <c r="D9" s="21" t="n">
        <v>3</v>
      </c>
      <c r="E9" s="21" t="n">
        <v>2.5</v>
      </c>
      <c r="F9" s="21" t="inlineStr">
        <is>
          <t>0</t>
        </is>
      </c>
      <c r="G9" s="36" t="n">
        <v>0</v>
      </c>
      <c r="H9" s="36" t="n">
        <v>0</v>
      </c>
      <c r="I9" s="36" t="n">
        <v>0</v>
      </c>
      <c r="J9" s="36" t="n">
        <v>0</v>
      </c>
      <c r="K9" s="36" t="n">
        <v>0</v>
      </c>
      <c r="L9" s="36" t="n">
        <v>0</v>
      </c>
    </row>
    <row r="10">
      <c r="B10" s="21" t="inlineStr">
        <is>
          <t>Banyan</t>
        </is>
      </c>
      <c r="C10" s="35" t="n">
        <v>1400</v>
      </c>
      <c r="D10" s="21" t="n">
        <v>3</v>
      </c>
      <c r="E10" s="21" t="n">
        <v>3</v>
      </c>
      <c r="F10" s="21" t="inlineStr">
        <is>
          <t>2</t>
        </is>
      </c>
      <c r="G10" s="36" t="n">
        <v>0</v>
      </c>
      <c r="H10" s="36" t="n">
        <v>0</v>
      </c>
      <c r="I10" s="36" t="n">
        <v>0</v>
      </c>
      <c r="J10" s="36" t="n">
        <v>0</v>
      </c>
      <c r="K10" s="36" t="n">
        <v>0</v>
      </c>
      <c r="L10" s="36" t="n">
        <v>0</v>
      </c>
    </row>
    <row r="11">
      <c r="B11" s="21" t="inlineStr">
        <is>
          <t>Bayberry</t>
        </is>
      </c>
      <c r="C11" s="35" t="n">
        <v>1500</v>
      </c>
      <c r="D11" s="21" t="n">
        <v>3</v>
      </c>
      <c r="E11" s="21" t="n">
        <v>2.5</v>
      </c>
      <c r="F11" s="21" t="inlineStr">
        <is>
          <t>1F</t>
        </is>
      </c>
      <c r="G11" s="36" t="n">
        <v>0</v>
      </c>
      <c r="H11" s="36" t="n">
        <v>0</v>
      </c>
      <c r="I11" s="36" t="n">
        <v>0</v>
      </c>
      <c r="J11" s="36" t="n">
        <v>0</v>
      </c>
      <c r="K11" s="36" t="n">
        <v>0</v>
      </c>
      <c r="L11" s="36" t="n">
        <v>0</v>
      </c>
    </row>
    <row r="12">
      <c r="B12" s="21" t="inlineStr">
        <is>
          <t>Boxelder</t>
        </is>
      </c>
      <c r="C12" s="35" t="n">
        <v>1796</v>
      </c>
      <c r="D12" s="21" t="n">
        <v>4</v>
      </c>
      <c r="E12" s="21" t="n">
        <v>2.5</v>
      </c>
      <c r="F12" s="21" t="inlineStr">
        <is>
          <t>2</t>
        </is>
      </c>
      <c r="G12" s="36" t="n">
        <v>0</v>
      </c>
      <c r="H12" s="36" t="n">
        <v>0</v>
      </c>
      <c r="I12" s="36" t="n">
        <v>0</v>
      </c>
      <c r="J12" s="36" t="n">
        <v>0</v>
      </c>
      <c r="K12" s="36" t="n">
        <v>0</v>
      </c>
      <c r="L12" s="36" t="n">
        <v>0</v>
      </c>
    </row>
    <row r="13">
      <c r="B13" s="21" t="inlineStr">
        <is>
          <t>Bur Oak</t>
        </is>
      </c>
      <c r="C13" s="35" t="n">
        <v>1548</v>
      </c>
      <c r="D13" s="21" t="n">
        <v>3</v>
      </c>
      <c r="E13" s="21" t="n">
        <v>2.5</v>
      </c>
      <c r="F13" s="21" t="inlineStr">
        <is>
          <t>1</t>
        </is>
      </c>
      <c r="G13" s="36" t="n">
        <v>0</v>
      </c>
      <c r="H13" s="36" t="n">
        <v>0</v>
      </c>
      <c r="I13" s="36" t="n">
        <v>0</v>
      </c>
      <c r="J13" s="36" t="n">
        <v>0</v>
      </c>
      <c r="K13" s="36" t="n">
        <v>0</v>
      </c>
      <c r="L13" s="36" t="n">
        <v>0</v>
      </c>
    </row>
    <row r="14">
      <c r="B14" s="21" t="inlineStr">
        <is>
          <t>Cherry</t>
        </is>
      </c>
      <c r="C14" s="35" t="n">
        <v>2214</v>
      </c>
      <c r="D14" s="21" t="n">
        <v>4</v>
      </c>
      <c r="E14" s="21" t="n">
        <v>3</v>
      </c>
      <c r="F14" s="21" t="inlineStr">
        <is>
          <t>2</t>
        </is>
      </c>
      <c r="G14" s="36" t="n">
        <v>0</v>
      </c>
      <c r="H14" s="36" t="n">
        <v>0</v>
      </c>
      <c r="I14" s="36" t="n">
        <v>0</v>
      </c>
      <c r="J14" s="36" t="n">
        <v>0</v>
      </c>
      <c r="K14" s="36" t="n">
        <v>0</v>
      </c>
      <c r="L14" s="36" t="n">
        <v>0</v>
      </c>
    </row>
    <row r="15">
      <c r="B15" s="21" t="inlineStr">
        <is>
          <t>Conifer</t>
        </is>
      </c>
      <c r="C15" s="35" t="n">
        <v>1892</v>
      </c>
      <c r="D15" s="21" t="n">
        <v>0</v>
      </c>
      <c r="E15" s="21" t="n">
        <v>0</v>
      </c>
      <c r="F15" s="21" t="inlineStr">
        <is>
          <t>2</t>
        </is>
      </c>
      <c r="G15" s="36" t="n">
        <v>0</v>
      </c>
      <c r="H15" s="36" t="n">
        <v>0</v>
      </c>
      <c r="I15" s="36" t="n">
        <v>0</v>
      </c>
      <c r="J15" s="36" t="n">
        <v>0</v>
      </c>
      <c r="K15" s="36" t="n">
        <v>0</v>
      </c>
      <c r="L15" s="36" t="n">
        <v>0</v>
      </c>
    </row>
    <row r="16">
      <c r="B16" s="21" t="inlineStr">
        <is>
          <t>Cottonwood</t>
        </is>
      </c>
      <c r="C16" s="35" t="n">
        <v>1729</v>
      </c>
      <c r="D16" s="21" t="n">
        <v>3</v>
      </c>
      <c r="E16" s="21" t="n">
        <v>2.5</v>
      </c>
      <c r="F16" s="21" t="inlineStr">
        <is>
          <t>1F</t>
        </is>
      </c>
      <c r="G16" s="36" t="n">
        <v>0</v>
      </c>
      <c r="H16" s="36" t="n">
        <v>0</v>
      </c>
      <c r="I16" s="36" t="n">
        <v>0</v>
      </c>
      <c r="J16" s="36" t="n">
        <v>0</v>
      </c>
      <c r="K16" s="36" t="n">
        <v>0</v>
      </c>
      <c r="L16" s="36" t="n">
        <v>0</v>
      </c>
    </row>
    <row r="17">
      <c r="B17" s="21" t="inlineStr">
        <is>
          <t>Dogwood</t>
        </is>
      </c>
      <c r="C17" s="35" t="n">
        <v>1541</v>
      </c>
      <c r="D17" s="21" t="n">
        <v>3</v>
      </c>
      <c r="E17" s="21" t="n">
        <v>2.5</v>
      </c>
      <c r="F17" s="21" t="inlineStr">
        <is>
          <t>2</t>
        </is>
      </c>
      <c r="G17" s="36" t="n">
        <v>0</v>
      </c>
      <c r="H17" s="36" t="n">
        <v>0</v>
      </c>
      <c r="I17" s="36" t="n">
        <v>0</v>
      </c>
      <c r="J17" s="36" t="n">
        <v>0</v>
      </c>
      <c r="K17" s="36" t="n">
        <v>0</v>
      </c>
      <c r="L17" s="36" t="n">
        <v>0</v>
      </c>
    </row>
    <row r="18">
      <c r="B18" s="21" t="inlineStr">
        <is>
          <t>Elm</t>
        </is>
      </c>
      <c r="C18" s="35" t="n">
        <v>1712</v>
      </c>
      <c r="D18" s="21" t="n">
        <v>4</v>
      </c>
      <c r="E18" s="21" t="n">
        <v>2.5</v>
      </c>
      <c r="F18" s="21" t="inlineStr">
        <is>
          <t>2</t>
        </is>
      </c>
      <c r="G18" s="36" t="n">
        <v>0</v>
      </c>
      <c r="H18" s="36" t="n">
        <v>0</v>
      </c>
      <c r="I18" s="36" t="n">
        <v>0</v>
      </c>
      <c r="J18" s="36" t="n">
        <v>0</v>
      </c>
      <c r="K18" s="36" t="n">
        <v>0</v>
      </c>
      <c r="L18" s="36" t="n">
        <v>0</v>
      </c>
    </row>
    <row r="19">
      <c r="B19" s="21" t="inlineStr">
        <is>
          <t>Fig</t>
        </is>
      </c>
      <c r="C19" s="35" t="n">
        <v>1798</v>
      </c>
      <c r="D19" s="21" t="n">
        <v>3</v>
      </c>
      <c r="E19" s="21" t="n">
        <v>3.5</v>
      </c>
      <c r="F19" s="21" t="inlineStr">
        <is>
          <t>1</t>
        </is>
      </c>
      <c r="G19" s="36" t="n">
        <v>0</v>
      </c>
      <c r="H19" s="36" t="n">
        <v>0</v>
      </c>
      <c r="I19" s="36" t="n">
        <v>0</v>
      </c>
      <c r="J19" s="36" t="n">
        <v>0</v>
      </c>
      <c r="K19" s="36" t="n">
        <v>0</v>
      </c>
      <c r="L19" s="36" t="n">
        <v>0</v>
      </c>
    </row>
    <row r="20">
      <c r="B20" s="21" t="inlineStr">
        <is>
          <t>Fraser</t>
        </is>
      </c>
      <c r="C20" s="35" t="n">
        <v>1697</v>
      </c>
      <c r="D20" s="21" t="n">
        <v>3</v>
      </c>
      <c r="E20" s="21" t="n">
        <v>2.5</v>
      </c>
      <c r="F20" s="21" t="inlineStr">
        <is>
          <t>2</t>
        </is>
      </c>
      <c r="G20" s="36" t="n">
        <v>0</v>
      </c>
      <c r="H20" s="36" t="n">
        <v>0</v>
      </c>
      <c r="I20" s="36" t="n">
        <v>0</v>
      </c>
      <c r="J20" s="36" t="n">
        <v>0</v>
      </c>
      <c r="K20" s="36" t="n">
        <v>0</v>
      </c>
      <c r="L20" s="36" t="n">
        <v>0</v>
      </c>
    </row>
    <row r="21">
      <c r="B21" s="21" t="inlineStr">
        <is>
          <t>Hazel</t>
        </is>
      </c>
      <c r="C21" s="35" t="n">
        <v>1713</v>
      </c>
      <c r="D21" s="21" t="n">
        <v>4</v>
      </c>
      <c r="E21" s="21" t="n">
        <v>2.5</v>
      </c>
      <c r="F21" s="21" t="inlineStr">
        <is>
          <t>2</t>
        </is>
      </c>
      <c r="G21" s="36" t="n">
        <v>0</v>
      </c>
      <c r="H21" s="36" t="n">
        <v>0</v>
      </c>
      <c r="I21" s="36" t="n">
        <v>0</v>
      </c>
      <c r="J21" s="36" t="n">
        <v>0</v>
      </c>
      <c r="K21" s="36" t="n">
        <v>0</v>
      </c>
      <c r="L21" s="36" t="n">
        <v>0</v>
      </c>
    </row>
    <row r="22">
      <c r="B22" s="21" t="inlineStr">
        <is>
          <t>Holly</t>
        </is>
      </c>
      <c r="C22" s="35" t="n">
        <v>2000</v>
      </c>
      <c r="D22" s="21" t="n">
        <v>4</v>
      </c>
      <c r="E22" s="21" t="n">
        <v>2.5</v>
      </c>
      <c r="F22" s="21" t="inlineStr">
        <is>
          <t>2</t>
        </is>
      </c>
      <c r="G22" s="36" t="n">
        <v>0</v>
      </c>
      <c r="H22" s="36" t="n">
        <v>0</v>
      </c>
      <c r="I22" s="36" t="n">
        <v>0</v>
      </c>
      <c r="J22" s="36" t="n">
        <v>0</v>
      </c>
      <c r="K22" s="36" t="n">
        <v>0</v>
      </c>
      <c r="L22" s="36" t="n">
        <v>0</v>
      </c>
    </row>
    <row r="23">
      <c r="B23" s="21" t="inlineStr">
        <is>
          <t>Jasmine</t>
        </is>
      </c>
      <c r="C23" s="35" t="n">
        <v>1500</v>
      </c>
      <c r="D23" s="21" t="n">
        <v>3</v>
      </c>
      <c r="E23" s="21" t="n">
        <v>2.5</v>
      </c>
      <c r="F23" s="21" t="inlineStr">
        <is>
          <t>1</t>
        </is>
      </c>
      <c r="G23" s="36" t="n">
        <v>0</v>
      </c>
      <c r="H23" s="36" t="n">
        <v>0</v>
      </c>
      <c r="I23" s="36" t="n">
        <v>0</v>
      </c>
      <c r="J23" s="36" t="n">
        <v>0</v>
      </c>
      <c r="K23" s="36" t="n">
        <v>0</v>
      </c>
      <c r="L23" s="36" t="n">
        <v>0</v>
      </c>
    </row>
    <row r="24">
      <c r="B24" s="21" t="inlineStr">
        <is>
          <t>Lilac</t>
        </is>
      </c>
      <c r="C24" s="35" t="n">
        <v>1382</v>
      </c>
      <c r="D24" s="21" t="n">
        <v>3</v>
      </c>
      <c r="E24" s="21" t="n">
        <v>3</v>
      </c>
      <c r="F24" s="21" t="inlineStr">
        <is>
          <t>1</t>
        </is>
      </c>
      <c r="G24" s="36" t="n">
        <v>0</v>
      </c>
      <c r="H24" s="36" t="n">
        <v>0</v>
      </c>
      <c r="I24" s="36" t="n">
        <v>0</v>
      </c>
      <c r="J24" s="36" t="n">
        <v>0</v>
      </c>
      <c r="K24" s="36" t="n">
        <v>0</v>
      </c>
      <c r="L24" s="36" t="n">
        <v>0</v>
      </c>
    </row>
    <row r="25">
      <c r="B25" s="21" t="inlineStr">
        <is>
          <t>Lily</t>
        </is>
      </c>
      <c r="C25" s="35" t="n">
        <v>2293</v>
      </c>
      <c r="D25" s="21" t="n">
        <v>4</v>
      </c>
      <c r="E25" s="21" t="n">
        <v>3.5</v>
      </c>
      <c r="F25" s="21" t="inlineStr">
        <is>
          <t>0</t>
        </is>
      </c>
      <c r="G25" s="36" t="n">
        <v>0</v>
      </c>
      <c r="H25" s="36" t="n">
        <v>0</v>
      </c>
      <c r="I25" s="36" t="n">
        <v>0</v>
      </c>
      <c r="J25" s="36" t="n">
        <v>0</v>
      </c>
      <c r="K25" s="36" t="n">
        <v>0</v>
      </c>
      <c r="L25" s="36" t="n">
        <v>0</v>
      </c>
    </row>
    <row r="26">
      <c r="B26" s="21" t="inlineStr">
        <is>
          <t>Linville</t>
        </is>
      </c>
      <c r="C26" s="35" t="n">
        <v>2188</v>
      </c>
      <c r="D26" s="21" t="n">
        <v>4</v>
      </c>
      <c r="E26" s="21" t="n">
        <v>2.5</v>
      </c>
      <c r="F26" s="21" t="inlineStr">
        <is>
          <t>2</t>
        </is>
      </c>
      <c r="G26" s="36" t="n">
        <v>0</v>
      </c>
      <c r="H26" s="36" t="n">
        <v>0</v>
      </c>
      <c r="I26" s="36" t="n">
        <v>0</v>
      </c>
      <c r="J26" s="36" t="n">
        <v>0</v>
      </c>
      <c r="K26" s="36" t="n">
        <v>0</v>
      </c>
      <c r="L26" s="36" t="n">
        <v>0</v>
      </c>
    </row>
    <row r="27">
      <c r="B27" s="21" t="inlineStr">
        <is>
          <t>Locust</t>
        </is>
      </c>
      <c r="C27" s="35" t="n">
        <v>1700</v>
      </c>
      <c r="D27" s="21" t="n">
        <v>3</v>
      </c>
      <c r="E27" s="21" t="n">
        <v>2.5</v>
      </c>
      <c r="F27" s="21" t="inlineStr">
        <is>
          <t>1</t>
        </is>
      </c>
      <c r="G27" s="36" t="n">
        <v>0</v>
      </c>
      <c r="H27" s="36" t="n">
        <v>0</v>
      </c>
      <c r="I27" s="36" t="n">
        <v>0</v>
      </c>
      <c r="J27" s="36" t="n">
        <v>0</v>
      </c>
      <c r="K27" s="36" t="n">
        <v>0</v>
      </c>
      <c r="L27" s="36" t="n">
        <v>0</v>
      </c>
    </row>
    <row r="28">
      <c r="B28" s="21" t="inlineStr">
        <is>
          <t>Magnolia</t>
        </is>
      </c>
      <c r="C28" s="35" t="n">
        <v>2771</v>
      </c>
      <c r="D28" s="21" t="n">
        <v>4</v>
      </c>
      <c r="E28" s="21" t="n">
        <v>3</v>
      </c>
      <c r="F28" s="21" t="inlineStr">
        <is>
          <t>2</t>
        </is>
      </c>
      <c r="G28" s="36" t="n">
        <v>0</v>
      </c>
      <c r="H28" s="36" t="n">
        <v>0</v>
      </c>
      <c r="I28" s="36" t="n">
        <v>0</v>
      </c>
      <c r="J28" s="36" t="n">
        <v>0</v>
      </c>
      <c r="K28" s="36" t="n">
        <v>0</v>
      </c>
      <c r="L28" s="36" t="n">
        <v>0</v>
      </c>
    </row>
    <row r="29">
      <c r="B29" s="21" t="inlineStr">
        <is>
          <t>Palm</t>
        </is>
      </c>
      <c r="C29" s="35" t="n">
        <v>1700</v>
      </c>
      <c r="D29" s="21" t="n">
        <v>3</v>
      </c>
      <c r="E29" s="21" t="n">
        <v>2.5</v>
      </c>
      <c r="F29" s="21" t="inlineStr">
        <is>
          <t>1</t>
        </is>
      </c>
      <c r="G29" s="36" t="n">
        <v>0</v>
      </c>
      <c r="H29" s="36" t="n">
        <v>0</v>
      </c>
      <c r="I29" s="36" t="n">
        <v>0</v>
      </c>
      <c r="J29" s="36" t="n">
        <v>0</v>
      </c>
      <c r="K29" s="36" t="n">
        <v>0</v>
      </c>
      <c r="L29" s="36" t="n">
        <v>0</v>
      </c>
    </row>
    <row r="30">
      <c r="B30" s="21" t="inlineStr">
        <is>
          <t>Palm II</t>
        </is>
      </c>
      <c r="C30" s="35" t="n">
        <v>1689</v>
      </c>
      <c r="D30" s="21" t="n">
        <v>3</v>
      </c>
      <c r="E30" s="21" t="n">
        <v>2.5</v>
      </c>
      <c r="F30" s="21" t="inlineStr">
        <is>
          <t>1</t>
        </is>
      </c>
      <c r="G30" s="36" t="n">
        <v>0</v>
      </c>
      <c r="H30" s="36" t="n">
        <v>0</v>
      </c>
      <c r="I30" s="36" t="n">
        <v>0</v>
      </c>
      <c r="J30" s="36" t="n">
        <v>0</v>
      </c>
      <c r="K30" s="36" t="n">
        <v>0</v>
      </c>
      <c r="L30" s="36" t="n">
        <v>0</v>
      </c>
    </row>
    <row r="31">
      <c r="B31" s="21" t="inlineStr">
        <is>
          <t>Palmetto</t>
        </is>
      </c>
      <c r="C31" s="35" t="n">
        <v>1304</v>
      </c>
      <c r="D31" s="21" t="n">
        <v>3</v>
      </c>
      <c r="E31" s="21" t="n">
        <v>2.5</v>
      </c>
      <c r="F31" s="21" t="inlineStr">
        <is>
          <t>0</t>
        </is>
      </c>
      <c r="G31" s="36" t="n">
        <v>0</v>
      </c>
      <c r="H31" s="36" t="n">
        <v>0</v>
      </c>
      <c r="I31" s="36" t="n">
        <v>0</v>
      </c>
      <c r="J31" s="36" t="n">
        <v>0</v>
      </c>
      <c r="K31" s="36" t="n">
        <v>0</v>
      </c>
      <c r="L31" s="36" t="n">
        <v>0</v>
      </c>
    </row>
    <row r="32">
      <c r="B32" s="21" t="inlineStr">
        <is>
          <t>Palmetto II</t>
        </is>
      </c>
      <c r="C32" s="35" t="n">
        <v>1424</v>
      </c>
      <c r="D32" s="21" t="n">
        <v>3</v>
      </c>
      <c r="E32" s="21" t="n">
        <v>2.5</v>
      </c>
      <c r="F32" s="21" t="inlineStr">
        <is>
          <t>0</t>
        </is>
      </c>
      <c r="G32" s="36" t="n">
        <v>0</v>
      </c>
      <c r="H32" s="36" t="n">
        <v>0</v>
      </c>
      <c r="I32" s="36" t="n">
        <v>0</v>
      </c>
      <c r="J32" s="36" t="n">
        <v>0</v>
      </c>
      <c r="K32" s="36" t="n">
        <v>0</v>
      </c>
      <c r="L32" s="36" t="n">
        <v>0</v>
      </c>
    </row>
    <row r="33">
      <c r="B33" s="21" t="inlineStr">
        <is>
          <t>Pinyon</t>
        </is>
      </c>
      <c r="C33" s="35" t="n">
        <v>1748</v>
      </c>
      <c r="D33" s="21" t="n">
        <v>3</v>
      </c>
      <c r="E33" s="21" t="n">
        <v>3.5</v>
      </c>
      <c r="F33" s="21" t="inlineStr">
        <is>
          <t>2</t>
        </is>
      </c>
      <c r="G33" s="36" t="n">
        <v>0</v>
      </c>
      <c r="H33" s="36" t="n">
        <v>0</v>
      </c>
      <c r="I33" s="36" t="n">
        <v>0</v>
      </c>
      <c r="J33" s="36" t="n">
        <v>0</v>
      </c>
      <c r="K33" s="36" t="n">
        <v>0</v>
      </c>
      <c r="L33" s="3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G24"/>
  <sheetViews>
    <sheetView workbookViewId="0">
      <selection activeCell="A1" sqref="A1"/>
    </sheetView>
  </sheetViews>
  <sheetFormatPr baseColWidth="8" defaultRowHeight="15"/>
  <cols>
    <col width="3" customWidth="1" min="1" max="1"/>
    <col width="25" customWidth="1" min="2" max="2"/>
    <col width="35" customWidth="1" min="3" max="3"/>
    <col width="15" customWidth="1" min="4" max="4"/>
    <col width="15" customWidth="1" min="5" max="5"/>
    <col width="40" customWidth="1" min="6" max="6"/>
    <col width="20" customWidth="1" min="7" max="7"/>
  </cols>
  <sheetData>
    <row r="1">
      <c r="B1" s="1" t="inlineStr">
        <is>
          <t>SOFT COSTS DATABASE</t>
        </is>
      </c>
    </row>
    <row r="3">
      <c r="B3" s="34" t="inlineStr">
        <is>
          <t>Cost Category</t>
        </is>
      </c>
      <c r="C3" s="34" t="inlineStr">
        <is>
          <t>Line Item Description</t>
        </is>
      </c>
      <c r="D3" s="34" t="inlineStr">
        <is>
          <t>Cost Type</t>
        </is>
      </c>
      <c r="E3" s="34" t="inlineStr">
        <is>
          <t>Cost Amount</t>
        </is>
      </c>
      <c r="F3" s="34" t="inlineStr">
        <is>
          <t>Notes</t>
        </is>
      </c>
      <c r="G3" s="34" t="inlineStr">
        <is>
          <t>Applicability</t>
        </is>
      </c>
    </row>
    <row r="4">
      <c r="B4" s="21" t="inlineStr">
        <is>
          <t>Permits &amp; Fees</t>
        </is>
      </c>
      <c r="C4" s="21" t="inlineStr">
        <is>
          <t>Building Permits</t>
        </is>
      </c>
      <c r="D4" s="21" t="inlineStr">
        <is>
          <t>Fixed Dollar Amount</t>
        </is>
      </c>
      <c r="E4" s="36" t="n">
        <v>2050</v>
      </c>
      <c r="F4" s="21" t="inlineStr">
        <is>
          <t>Typical Greenville County building permit</t>
        </is>
      </c>
      <c r="G4" s="21" t="inlineStr">
        <is>
          <t>All Projects</t>
        </is>
      </c>
    </row>
    <row r="5">
      <c r="B5" s="21" t="inlineStr">
        <is>
          <t>Permits &amp; Fees</t>
        </is>
      </c>
      <c r="C5" s="21" t="inlineStr">
        <is>
          <t>Sewer/Septic Permit</t>
        </is>
      </c>
      <c r="D5" s="21" t="inlineStr">
        <is>
          <t>Fixed Dollar Amount</t>
        </is>
      </c>
      <c r="E5" s="36" t="n">
        <v>0</v>
      </c>
      <c r="F5" s="21" t="inlineStr">
        <is>
          <t>Only if septic required (rare for scattered lots)</t>
        </is>
      </c>
      <c r="G5" s="21" t="inlineStr">
        <is>
          <t>Conditional</t>
        </is>
      </c>
    </row>
    <row r="6">
      <c r="B6" s="21" t="inlineStr">
        <is>
          <t>Permits &amp; Fees</t>
        </is>
      </c>
      <c r="C6" s="21" t="inlineStr">
        <is>
          <t>Water Meter/Tap Fee</t>
        </is>
      </c>
      <c r="D6" s="21" t="inlineStr">
        <is>
          <t>Fixed Dollar Amount</t>
        </is>
      </c>
      <c r="E6" s="36" t="n">
        <v>0</v>
      </c>
      <c r="F6" s="21" t="inlineStr">
        <is>
          <t>Only if new water service required</t>
        </is>
      </c>
      <c r="G6" s="21" t="inlineStr">
        <is>
          <t>Conditional</t>
        </is>
      </c>
    </row>
    <row r="7">
      <c r="B7" s="21" t="inlineStr">
        <is>
          <t>Permits &amp; Fees</t>
        </is>
      </c>
      <c r="C7" s="21" t="inlineStr">
        <is>
          <t>Impact Fees</t>
        </is>
      </c>
      <c r="D7" s="21" t="inlineStr">
        <is>
          <t>Fixed Dollar Amount</t>
        </is>
      </c>
      <c r="E7" s="36" t="n">
        <v>0</v>
      </c>
      <c r="F7" s="21" t="inlineStr">
        <is>
          <t>Check specific municipality - varies widely</t>
        </is>
      </c>
      <c r="G7" s="21" t="inlineStr">
        <is>
          <t>Conditional</t>
        </is>
      </c>
    </row>
    <row r="8">
      <c r="B8" s="21" t="inlineStr">
        <is>
          <t>Professional Services</t>
        </is>
      </c>
      <c r="C8" s="21" t="inlineStr">
        <is>
          <t>Engineering (Site Plans, Civil, Structural)</t>
        </is>
      </c>
      <c r="D8" s="21" t="inlineStr">
        <is>
          <t>Fixed Dollar Amount</t>
        </is>
      </c>
      <c r="E8" s="36" t="n">
        <v>600</v>
      </c>
      <c r="F8" s="21" t="inlineStr">
        <is>
          <t>Site-specific, may need additional structural if challenging lot</t>
        </is>
      </c>
      <c r="G8" s="21" t="inlineStr">
        <is>
          <t>All Projects</t>
        </is>
      </c>
    </row>
    <row r="9">
      <c r="B9" s="21" t="inlineStr">
        <is>
          <t>Professional Services</t>
        </is>
      </c>
      <c r="C9" s="21" t="inlineStr">
        <is>
          <t>Survey - Initial Physical + Plot Plans</t>
        </is>
      </c>
      <c r="D9" s="21" t="inlineStr">
        <is>
          <t>Fixed Dollar Amount</t>
        </is>
      </c>
      <c r="E9" s="36" t="n">
        <v>1160</v>
      </c>
      <c r="F9" s="21" t="inlineStr">
        <is>
          <t>Physical survey and plot plan for permits</t>
        </is>
      </c>
      <c r="G9" s="21" t="inlineStr">
        <is>
          <t>All Projects</t>
        </is>
      </c>
    </row>
    <row r="10">
      <c r="B10" s="21" t="inlineStr">
        <is>
          <t>Professional Services</t>
        </is>
      </c>
      <c r="C10" s="21" t="inlineStr">
        <is>
          <t>Survey - Set Pins (Rough Stake)</t>
        </is>
      </c>
      <c r="D10" s="21" t="inlineStr">
        <is>
          <t>Fixed Dollar Amount</t>
        </is>
      </c>
      <c r="E10" s="36" t="n">
        <v>215</v>
      </c>
      <c r="F10" s="21" t="inlineStr">
        <is>
          <t>Rough stake to mark property corners</t>
        </is>
      </c>
      <c r="G10" s="21" t="inlineStr">
        <is>
          <t>All Projects</t>
        </is>
      </c>
    </row>
    <row r="11">
      <c r="B11" s="21" t="inlineStr">
        <is>
          <t>Professional Services</t>
        </is>
      </c>
      <c r="C11" s="21" t="inlineStr">
        <is>
          <t>Survey - Stake Footings</t>
        </is>
      </c>
      <c r="D11" s="21" t="inlineStr">
        <is>
          <t>Fixed Dollar Amount</t>
        </is>
      </c>
      <c r="E11" s="36" t="n">
        <v>335</v>
      </c>
      <c r="F11" s="21" t="inlineStr">
        <is>
          <t>Final stake for foundation work</t>
        </is>
      </c>
      <c r="G11" s="21" t="inlineStr">
        <is>
          <t>All Projects</t>
        </is>
      </c>
    </row>
    <row r="12">
      <c r="B12" s="21" t="inlineStr">
        <is>
          <t>Professional Services</t>
        </is>
      </c>
      <c r="C12" s="21" t="inlineStr">
        <is>
          <t>Geotechnical/Soil Testing</t>
        </is>
      </c>
      <c r="D12" s="21" t="inlineStr">
        <is>
          <t>Fixed Dollar Amount</t>
        </is>
      </c>
      <c r="E12" s="36" t="n">
        <v>500</v>
      </c>
      <c r="F12" s="21" t="inlineStr">
        <is>
          <t>May not be needed if recent geotech available</t>
        </is>
      </c>
      <c r="G12" s="21" t="inlineStr">
        <is>
          <t>Conditional</t>
        </is>
      </c>
    </row>
    <row r="13">
      <c r="B13" s="21" t="inlineStr">
        <is>
          <t>Professional Services</t>
        </is>
      </c>
      <c r="C13" s="21" t="inlineStr">
        <is>
          <t>Environmental Studies</t>
        </is>
      </c>
      <c r="D13" s="21" t="inlineStr">
        <is>
          <t>Fixed Dollar Amount</t>
        </is>
      </c>
      <c r="E13" s="36" t="n">
        <v>0</v>
      </c>
      <c r="F13" s="21" t="inlineStr">
        <is>
          <t>Only needed if environmental concerns present</t>
        </is>
      </c>
      <c r="G13" s="21" t="inlineStr">
        <is>
          <t>Conditional</t>
        </is>
      </c>
    </row>
    <row r="14">
      <c r="B14" s="21" t="inlineStr">
        <is>
          <t>Professional Services</t>
        </is>
      </c>
      <c r="C14" s="21" t="inlineStr">
        <is>
          <t>Appraisal Fees</t>
        </is>
      </c>
      <c r="D14" s="21" t="inlineStr">
        <is>
          <t>Fixed Dollar Amount</t>
        </is>
      </c>
      <c r="E14" s="36" t="n">
        <v>0</v>
      </c>
      <c r="F14" s="21" t="inlineStr">
        <is>
          <t>Appraisal for construction loan if required by lender</t>
        </is>
      </c>
      <c r="G14" s="21" t="inlineStr">
        <is>
          <t>Conditional</t>
        </is>
      </c>
    </row>
    <row r="15">
      <c r="B15" s="21" t="inlineStr">
        <is>
          <t>Utilities &amp; Site</t>
        </is>
      </c>
      <c r="C15" s="21" t="inlineStr">
        <is>
          <t>Utility Connections</t>
        </is>
      </c>
      <c r="D15" s="21" t="inlineStr">
        <is>
          <t>Fixed Dollar Amount</t>
        </is>
      </c>
      <c r="E15" s="36" t="n">
        <v>0</v>
      </c>
      <c r="F15" s="21" t="inlineStr">
        <is>
          <t>Typically included in site work, but can be separate line item</t>
        </is>
      </c>
      <c r="G15" s="21" t="inlineStr">
        <is>
          <t>Conditional</t>
        </is>
      </c>
    </row>
    <row r="16">
      <c r="B16" s="21" t="inlineStr">
        <is>
          <t>Utilities &amp; Site</t>
        </is>
      </c>
      <c r="C16" s="21" t="inlineStr">
        <is>
          <t>Temporary Utilities</t>
        </is>
      </c>
      <c r="D16" s="21" t="inlineStr">
        <is>
          <t>Fixed Dollar Amount</t>
        </is>
      </c>
      <c r="E16" s="36" t="n">
        <v>0</v>
      </c>
      <c r="F16" s="21" t="inlineStr">
        <is>
          <t>Temporary power and water during construction</t>
        </is>
      </c>
      <c r="G16" s="21" t="inlineStr">
        <is>
          <t>Conditional</t>
        </is>
      </c>
    </row>
    <row r="17">
      <c r="B17" s="21" t="inlineStr">
        <is>
          <t>Utilities &amp; Site</t>
        </is>
      </c>
      <c r="C17" s="21" t="inlineStr">
        <is>
          <t>HOA Application/Architectural Review</t>
        </is>
      </c>
      <c r="D17" s="21" t="inlineStr">
        <is>
          <t>Fixed Dollar Amount</t>
        </is>
      </c>
      <c r="E17" s="36" t="n">
        <v>0</v>
      </c>
      <c r="F17" s="21" t="inlineStr">
        <is>
          <t>If lot is in HOA</t>
        </is>
      </c>
      <c r="G17" s="21" t="inlineStr">
        <is>
          <t>Conditional</t>
        </is>
      </c>
    </row>
    <row r="18">
      <c r="B18" s="21" t="inlineStr">
        <is>
          <t>Carrying Costs</t>
        </is>
      </c>
      <c r="C18" s="21" t="inlineStr">
        <is>
          <t>Property Taxes (During Construction)</t>
        </is>
      </c>
      <c r="D18" s="21" t="inlineStr">
        <is>
          <t>% of Total Project Cost</t>
        </is>
      </c>
      <c r="E18" s="37" t="n">
        <v>0.005</v>
      </c>
      <c r="F18" s="21" t="inlineStr">
        <is>
          <t>0.5% of total project cost annually, prorated for construction period</t>
        </is>
      </c>
      <c r="G18" s="21" t="inlineStr">
        <is>
          <t>All Projects</t>
        </is>
      </c>
    </row>
    <row r="19">
      <c r="B19" s="21" t="inlineStr">
        <is>
          <t>Carrying Costs</t>
        </is>
      </c>
      <c r="C19" s="21" t="inlineStr">
        <is>
          <t>Insurance (Builder's Risk)</t>
        </is>
      </c>
      <c r="D19" s="21" t="inlineStr">
        <is>
          <t>% of Construction Cost</t>
        </is>
      </c>
      <c r="E19" s="37" t="n">
        <v>0.0075</v>
      </c>
      <c r="F19" s="21" t="inlineStr">
        <is>
          <t>0.75% of construction cost</t>
        </is>
      </c>
      <c r="G19" s="21" t="inlineStr">
        <is>
          <t>All Projects</t>
        </is>
      </c>
    </row>
    <row r="20">
      <c r="B20" s="21" t="inlineStr">
        <is>
          <t>Legal &amp; Administrative</t>
        </is>
      </c>
      <c r="C20" s="21" t="inlineStr">
        <is>
          <t>Legal Fees</t>
        </is>
      </c>
      <c r="D20" s="21" t="inlineStr">
        <is>
          <t>Fixed Dollar Amount</t>
        </is>
      </c>
      <c r="E20" s="36" t="n">
        <v>500</v>
      </c>
      <c r="F20" s="21" t="inlineStr">
        <is>
          <t>General legal/closing costs not covered elsewhere</t>
        </is>
      </c>
      <c r="G20" s="21" t="inlineStr">
        <is>
          <t>All Projects</t>
        </is>
      </c>
    </row>
    <row r="21">
      <c r="B21" s="21" t="inlineStr">
        <is>
          <t>Legal &amp; Administrative</t>
        </is>
      </c>
      <c r="C21" s="21" t="inlineStr">
        <is>
          <t>Title Insurance</t>
        </is>
      </c>
      <c r="D21" s="21" t="inlineStr">
        <is>
          <t>% of Total Project Cost</t>
        </is>
      </c>
      <c r="E21" s="37" t="n">
        <v>0.005</v>
      </c>
      <c r="F21" s="21" t="inlineStr">
        <is>
          <t>0.5% of total project cost</t>
        </is>
      </c>
      <c r="G21" s="21" t="inlineStr">
        <is>
          <t>All Projects</t>
        </is>
      </c>
    </row>
    <row r="22">
      <c r="B22" s="21" t="inlineStr">
        <is>
          <t>Legal &amp; Administrative</t>
        </is>
      </c>
      <c r="C22" s="21" t="inlineStr">
        <is>
          <t>Recording Fees</t>
        </is>
      </c>
      <c r="D22" s="21" t="inlineStr">
        <is>
          <t>Fixed Dollar Amount</t>
        </is>
      </c>
      <c r="E22" s="36" t="n">
        <v>150</v>
      </c>
      <c r="F22" s="21" t="inlineStr">
        <is>
          <t>Deed recording and other county fees</t>
        </is>
      </c>
      <c r="G22" s="21" t="inlineStr">
        <is>
          <t>All Projects</t>
        </is>
      </c>
    </row>
    <row r="23">
      <c r="B23" s="21" t="inlineStr">
        <is>
          <t>Contingency</t>
        </is>
      </c>
      <c r="C23" s="21" t="inlineStr">
        <is>
          <t>Contingency Reserve</t>
        </is>
      </c>
      <c r="D23" s="21" t="inlineStr">
        <is>
          <t>% of Construction Cost</t>
        </is>
      </c>
      <c r="E23" s="37" t="n">
        <v>0.05</v>
      </c>
      <c r="F23" s="21" t="inlineStr">
        <is>
          <t>5% of construction cost recommended</t>
        </is>
      </c>
      <c r="G23" s="21" t="inlineStr">
        <is>
          <t>All Projects</t>
        </is>
      </c>
    </row>
    <row r="24">
      <c r="B24" s="21" t="inlineStr">
        <is>
          <t>Project Management</t>
        </is>
      </c>
      <c r="C24" s="21" t="inlineStr">
        <is>
          <t>Project Management/Overhead</t>
        </is>
      </c>
      <c r="D24" s="21" t="inlineStr">
        <is>
          <t>% of Construction Cost</t>
        </is>
      </c>
      <c r="E24" s="37" t="n">
        <v>0.03</v>
      </c>
      <c r="F24" s="21" t="inlineStr">
        <is>
          <t>3% of construction cost for PM and overhead</t>
        </is>
      </c>
      <c r="G24" s="21" t="inlineStr">
        <is>
          <t>All Projects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K67"/>
  <sheetViews>
    <sheetView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8" customWidth="1" min="3" max="3"/>
    <col width="35" customWidth="1" min="4" max="4"/>
    <col width="12" customWidth="1" min="5" max="5"/>
    <col width="15" customWidth="1" min="6" max="6"/>
    <col width="15" customWidth="1" min="7" max="7"/>
    <col width="15" customWidth="1" min="8" max="8"/>
    <col width="15" customWidth="1" min="9" max="9"/>
    <col width="40" customWidth="1" min="10" max="10"/>
    <col width="18" customWidth="1" min="11" max="11"/>
  </cols>
  <sheetData>
    <row r="1">
      <c r="B1" s="1" t="inlineStr">
        <is>
          <t>UPGRADES DATABASE</t>
        </is>
      </c>
    </row>
    <row r="3">
      <c r="B3" s="34" t="inlineStr">
        <is>
          <t>Package Name</t>
        </is>
      </c>
      <c r="C3" s="34" t="inlineStr">
        <is>
          <t>Category</t>
        </is>
      </c>
      <c r="D3" s="34" t="inlineStr">
        <is>
          <t>Item Description</t>
        </is>
      </c>
      <c r="E3" s="34" t="inlineStr">
        <is>
          <t>Base Included</t>
        </is>
      </c>
      <c r="F3" s="34" t="inlineStr">
        <is>
          <t>Classic Cost</t>
        </is>
      </c>
      <c r="G3" s="34" t="inlineStr">
        <is>
          <t>Elegance Cost</t>
        </is>
      </c>
      <c r="H3" s="34" t="inlineStr">
        <is>
          <t>Harmony Cost</t>
        </is>
      </c>
      <c r="I3" s="34" t="inlineStr">
        <is>
          <t>Custom Cost</t>
        </is>
      </c>
      <c r="J3" s="34" t="inlineStr">
        <is>
          <t>Notes</t>
        </is>
      </c>
      <c r="K3" s="34" t="inlineStr">
        <is>
          <t>Vendor</t>
        </is>
      </c>
    </row>
    <row r="4">
      <c r="B4" s="21" t="inlineStr">
        <is>
          <t>Base/Comfort</t>
        </is>
      </c>
      <c r="C4" s="21" t="inlineStr">
        <is>
          <t>Flooring</t>
        </is>
      </c>
      <c r="D4" s="21" t="inlineStr">
        <is>
          <t>LVP - Standard Builder Grade</t>
        </is>
      </c>
      <c r="E4" s="21" t="b">
        <v>1</v>
      </c>
      <c r="F4" s="36" t="n">
        <v>0</v>
      </c>
      <c r="G4" s="36" t="n">
        <v>0</v>
      </c>
      <c r="H4" s="36" t="n">
        <v>0</v>
      </c>
      <c r="I4" s="36" t="n">
        <v>0</v>
      </c>
      <c r="J4" s="21" t="inlineStr">
        <is>
          <t>Included in base house cost</t>
        </is>
      </c>
      <c r="K4" s="21" t="inlineStr">
        <is>
          <t>Various</t>
        </is>
      </c>
    </row>
    <row r="5">
      <c r="B5" s="21" t="inlineStr">
        <is>
          <t>Classic</t>
        </is>
      </c>
      <c r="C5" s="21" t="inlineStr">
        <is>
          <t>Flooring</t>
        </is>
      </c>
      <c r="D5" s="21" t="inlineStr">
        <is>
          <t>LVP - Premium Wear Layer</t>
        </is>
      </c>
      <c r="E5" s="21" t="b">
        <v>0</v>
      </c>
      <c r="F5" s="36" t="n">
        <v>800</v>
      </c>
      <c r="G5" s="36" t="n">
        <v>800</v>
      </c>
      <c r="H5" s="36" t="n">
        <v>800</v>
      </c>
      <c r="I5" s="36" t="n">
        <v>0</v>
      </c>
      <c r="J5" s="21" t="inlineStr">
        <is>
          <t>Mid-grade LVP upgrade</t>
        </is>
      </c>
      <c r="K5" s="21" t="inlineStr">
        <is>
          <t>Various</t>
        </is>
      </c>
    </row>
    <row r="6">
      <c r="B6" s="21" t="inlineStr">
        <is>
          <t>Elegance</t>
        </is>
      </c>
      <c r="C6" s="21" t="inlineStr">
        <is>
          <t>Flooring</t>
        </is>
      </c>
      <c r="D6" s="21" t="inlineStr">
        <is>
          <t>LVP - Designer Collection + Hardwood in Main</t>
        </is>
      </c>
      <c r="E6" s="21" t="b">
        <v>0</v>
      </c>
      <c r="F6" s="36" t="n">
        <v>0</v>
      </c>
      <c r="G6" s="36" t="n">
        <v>2500</v>
      </c>
      <c r="H6" s="36" t="n">
        <v>2500</v>
      </c>
      <c r="I6" s="36" t="n">
        <v>0</v>
      </c>
      <c r="J6" s="21" t="inlineStr">
        <is>
          <t>Main level hardwood + premium LVP</t>
        </is>
      </c>
      <c r="K6" s="21" t="inlineStr">
        <is>
          <t>Various</t>
        </is>
      </c>
    </row>
    <row r="7">
      <c r="B7" s="21" t="inlineStr">
        <is>
          <t>Harmony</t>
        </is>
      </c>
      <c r="C7" s="21" t="inlineStr">
        <is>
          <t>Flooring</t>
        </is>
      </c>
      <c r="D7" s="21" t="inlineStr">
        <is>
          <t>LVP - Luxury Collection + Hardwood Throughout</t>
        </is>
      </c>
      <c r="E7" s="21" t="b">
        <v>0</v>
      </c>
      <c r="F7" s="36" t="n">
        <v>0</v>
      </c>
      <c r="G7" s="36" t="n">
        <v>0</v>
      </c>
      <c r="H7" s="36" t="n">
        <v>5000</v>
      </c>
      <c r="I7" s="36" t="n">
        <v>0</v>
      </c>
      <c r="J7" s="21" t="inlineStr">
        <is>
          <t>Hardwood throughout</t>
        </is>
      </c>
      <c r="K7" s="21" t="inlineStr">
        <is>
          <t>Various</t>
        </is>
      </c>
    </row>
    <row r="8">
      <c r="B8" s="21" t="inlineStr">
        <is>
          <t>Base/Comfort</t>
        </is>
      </c>
      <c r="C8" s="21" t="inlineStr">
        <is>
          <t>Flooring</t>
        </is>
      </c>
      <c r="D8" s="21" t="inlineStr">
        <is>
          <t>Carpet - Standard Builder Grade</t>
        </is>
      </c>
      <c r="E8" s="21" t="b">
        <v>1</v>
      </c>
      <c r="F8" s="36" t="n">
        <v>0</v>
      </c>
      <c r="G8" s="36" t="n">
        <v>0</v>
      </c>
      <c r="H8" s="36" t="n">
        <v>0</v>
      </c>
      <c r="I8" s="36" t="n">
        <v>0</v>
      </c>
      <c r="J8" s="21" t="inlineStr">
        <is>
          <t>Included in base house cost</t>
        </is>
      </c>
      <c r="K8" s="21" t="inlineStr">
        <is>
          <t>Various</t>
        </is>
      </c>
    </row>
    <row r="9">
      <c r="B9" s="21" t="inlineStr">
        <is>
          <t>Classic</t>
        </is>
      </c>
      <c r="C9" s="21" t="inlineStr">
        <is>
          <t>Flooring</t>
        </is>
      </c>
      <c r="D9" s="21" t="inlineStr">
        <is>
          <t>Carpet - Upgraded Pad &amp; Quality</t>
        </is>
      </c>
      <c r="E9" s="21" t="b">
        <v>0</v>
      </c>
      <c r="F9" s="36" t="n">
        <v>300</v>
      </c>
      <c r="G9" s="36" t="n">
        <v>300</v>
      </c>
      <c r="H9" s="36" t="n">
        <v>300</v>
      </c>
      <c r="I9" s="36" t="n">
        <v>0</v>
      </c>
      <c r="J9" s="21" t="inlineStr">
        <is>
          <t>Better pad and stain resistance</t>
        </is>
      </c>
      <c r="K9" s="21" t="inlineStr">
        <is>
          <t>Various</t>
        </is>
      </c>
    </row>
    <row r="10">
      <c r="B10" s="21" t="inlineStr">
        <is>
          <t>Elegance</t>
        </is>
      </c>
      <c r="C10" s="21" t="inlineStr">
        <is>
          <t>Flooring</t>
        </is>
      </c>
      <c r="D10" s="21" t="inlineStr">
        <is>
          <t>Carpet - Premium Stain Resistant</t>
        </is>
      </c>
      <c r="E10" s="21" t="b">
        <v>0</v>
      </c>
      <c r="F10" s="36" t="n">
        <v>0</v>
      </c>
      <c r="G10" s="36" t="n">
        <v>600</v>
      </c>
      <c r="H10" s="36" t="n">
        <v>600</v>
      </c>
      <c r="I10" s="36" t="n">
        <v>0</v>
      </c>
      <c r="J10" s="21" t="inlineStr">
        <is>
          <t>Premium carpet with advanced stain protection</t>
        </is>
      </c>
      <c r="K10" s="21" t="inlineStr">
        <is>
          <t>Various</t>
        </is>
      </c>
    </row>
    <row r="11">
      <c r="B11" s="21" t="inlineStr">
        <is>
          <t>Harmony</t>
        </is>
      </c>
      <c r="C11" s="21" t="inlineStr">
        <is>
          <t>Flooring</t>
        </is>
      </c>
      <c r="D11" s="21" t="inlineStr">
        <is>
          <t>Carpet - Luxury Soft Touch</t>
        </is>
      </c>
      <c r="E11" s="21" t="b">
        <v>0</v>
      </c>
      <c r="F11" s="36" t="n">
        <v>0</v>
      </c>
      <c r="G11" s="36" t="n">
        <v>0</v>
      </c>
      <c r="H11" s="36" t="n">
        <v>1000</v>
      </c>
      <c r="I11" s="36" t="n">
        <v>0</v>
      </c>
      <c r="J11" s="21" t="inlineStr">
        <is>
          <t>Luxury soft carpet</t>
        </is>
      </c>
      <c r="K11" s="21" t="inlineStr">
        <is>
          <t>Various</t>
        </is>
      </c>
    </row>
    <row r="12">
      <c r="B12" s="21" t="inlineStr">
        <is>
          <t>Base/Comfort</t>
        </is>
      </c>
      <c r="C12" s="21" t="inlineStr">
        <is>
          <t>Flooring</t>
        </is>
      </c>
      <c r="D12" s="21" t="inlineStr">
        <is>
          <t>Tile - Standard 12x24</t>
        </is>
      </c>
      <c r="E12" s="21" t="b">
        <v>1</v>
      </c>
      <c r="F12" s="36" t="n">
        <v>0</v>
      </c>
      <c r="G12" s="36" t="n">
        <v>0</v>
      </c>
      <c r="H12" s="36" t="n">
        <v>0</v>
      </c>
      <c r="I12" s="36" t="n">
        <v>0</v>
      </c>
      <c r="J12" s="21" t="inlineStr">
        <is>
          <t>Included in base house cost</t>
        </is>
      </c>
      <c r="K12" s="21" t="inlineStr">
        <is>
          <t>Various</t>
        </is>
      </c>
    </row>
    <row r="13">
      <c r="B13" s="21" t="inlineStr">
        <is>
          <t>Classic</t>
        </is>
      </c>
      <c r="C13" s="21" t="inlineStr">
        <is>
          <t>Flooring</t>
        </is>
      </c>
      <c r="D13" s="21" t="inlineStr">
        <is>
          <t>Tile - Large Format with Upgraded Pattern</t>
        </is>
      </c>
      <c r="E13" s="21" t="b">
        <v>0</v>
      </c>
      <c r="F13" s="36" t="n">
        <v>500</v>
      </c>
      <c r="G13" s="36" t="n">
        <v>500</v>
      </c>
      <c r="H13" s="36" t="n">
        <v>500</v>
      </c>
      <c r="I13" s="36" t="n">
        <v>0</v>
      </c>
      <c r="J13" s="21" t="inlineStr">
        <is>
          <t>Larger tiles with upgraded layout</t>
        </is>
      </c>
      <c r="K13" s="21" t="inlineStr">
        <is>
          <t>Various</t>
        </is>
      </c>
    </row>
    <row r="14">
      <c r="B14" s="21" t="inlineStr">
        <is>
          <t>Elegance</t>
        </is>
      </c>
      <c r="C14" s="21" t="inlineStr">
        <is>
          <t>Flooring</t>
        </is>
      </c>
      <c r="D14" s="21" t="inlineStr">
        <is>
          <t>Tile - Designer Collection + Upgraded Layout</t>
        </is>
      </c>
      <c r="E14" s="21" t="b">
        <v>0</v>
      </c>
      <c r="F14" s="36" t="n">
        <v>0</v>
      </c>
      <c r="G14" s="36" t="n">
        <v>1200</v>
      </c>
      <c r="H14" s="36" t="n">
        <v>1200</v>
      </c>
      <c r="I14" s="36" t="n">
        <v>0</v>
      </c>
      <c r="J14" s="21" t="inlineStr">
        <is>
          <t>Designer tile with custom layout</t>
        </is>
      </c>
      <c r="K14" s="21" t="inlineStr">
        <is>
          <t>Various</t>
        </is>
      </c>
    </row>
    <row r="15">
      <c r="B15" s="21" t="inlineStr">
        <is>
          <t>Harmony</t>
        </is>
      </c>
      <c r="C15" s="21" t="inlineStr">
        <is>
          <t>Flooring</t>
        </is>
      </c>
      <c r="D15" s="21" t="inlineStr">
        <is>
          <t>Tile - Premium Natural Stone Options</t>
        </is>
      </c>
      <c r="E15" s="21" t="b">
        <v>0</v>
      </c>
      <c r="F15" s="36" t="n">
        <v>0</v>
      </c>
      <c r="G15" s="36" t="n">
        <v>0</v>
      </c>
      <c r="H15" s="36" t="n">
        <v>2000</v>
      </c>
      <c r="I15" s="36" t="n">
        <v>0</v>
      </c>
      <c r="J15" s="21" t="inlineStr">
        <is>
          <t>Natural stone options</t>
        </is>
      </c>
      <c r="K15" s="21" t="inlineStr">
        <is>
          <t>Various</t>
        </is>
      </c>
    </row>
    <row r="16">
      <c r="B16" s="21" t="inlineStr">
        <is>
          <t>Base/Comfort</t>
        </is>
      </c>
      <c r="C16" s="21" t="inlineStr">
        <is>
          <t>Countertops</t>
        </is>
      </c>
      <c r="D16" s="21" t="inlineStr">
        <is>
          <t>Countertops - Laminate</t>
        </is>
      </c>
      <c r="E16" s="21" t="b">
        <v>1</v>
      </c>
      <c r="F16" s="36" t="n">
        <v>0</v>
      </c>
      <c r="G16" s="36" t="n">
        <v>0</v>
      </c>
      <c r="H16" s="36" t="n">
        <v>0</v>
      </c>
      <c r="I16" s="36" t="n">
        <v>0</v>
      </c>
      <c r="J16" s="21" t="inlineStr">
        <is>
          <t>Included in base house cost</t>
        </is>
      </c>
      <c r="K16" s="21" t="inlineStr">
        <is>
          <t>Various</t>
        </is>
      </c>
    </row>
    <row r="17">
      <c r="B17" s="21" t="inlineStr">
        <is>
          <t>Classic</t>
        </is>
      </c>
      <c r="C17" s="21" t="inlineStr">
        <is>
          <t>Countertops</t>
        </is>
      </c>
      <c r="D17" s="21" t="inlineStr">
        <is>
          <t>Countertops - Granite Level 1</t>
        </is>
      </c>
      <c r="E17" s="21" t="b">
        <v>0</v>
      </c>
      <c r="F17" s="36" t="n">
        <v>1200</v>
      </c>
      <c r="G17" s="36" t="n">
        <v>1200</v>
      </c>
      <c r="H17" s="36" t="n">
        <v>1200</v>
      </c>
      <c r="I17" s="36" t="n">
        <v>0</v>
      </c>
      <c r="J17" s="21" t="inlineStr">
        <is>
          <t>Granite Level 1 upgrade</t>
        </is>
      </c>
      <c r="K17" s="21" t="inlineStr">
        <is>
          <t>Various</t>
        </is>
      </c>
    </row>
    <row r="18">
      <c r="B18" s="21" t="inlineStr">
        <is>
          <t>Elegance</t>
        </is>
      </c>
      <c r="C18" s="21" t="inlineStr">
        <is>
          <t>Countertops</t>
        </is>
      </c>
      <c r="D18" s="21" t="inlineStr">
        <is>
          <t>Countertops - Granite Level 2 + Upgraded Edge</t>
        </is>
      </c>
      <c r="E18" s="21" t="b">
        <v>0</v>
      </c>
      <c r="F18" s="36" t="n">
        <v>0</v>
      </c>
      <c r="G18" s="36" t="n">
        <v>2400</v>
      </c>
      <c r="H18" s="36" t="n">
        <v>2400</v>
      </c>
      <c r="I18" s="36" t="n">
        <v>0</v>
      </c>
      <c r="J18" s="21" t="inlineStr">
        <is>
          <t>Granite Level 2 with upgraded edge</t>
        </is>
      </c>
      <c r="K18" s="21" t="inlineStr">
        <is>
          <t>Various</t>
        </is>
      </c>
    </row>
    <row r="19">
      <c r="B19" s="21" t="inlineStr">
        <is>
          <t>Harmony</t>
        </is>
      </c>
      <c r="C19" s="21" t="inlineStr">
        <is>
          <t>Countertops</t>
        </is>
      </c>
      <c r="D19" s="21" t="inlineStr">
        <is>
          <t>Countertops - Quartz + Designer Edge Profile</t>
        </is>
      </c>
      <c r="E19" s="21" t="b">
        <v>0</v>
      </c>
      <c r="F19" s="36" t="n">
        <v>0</v>
      </c>
      <c r="G19" s="36" t="n">
        <v>0</v>
      </c>
      <c r="H19" s="36" t="n">
        <v>4500</v>
      </c>
      <c r="I19" s="36" t="n">
        <v>0</v>
      </c>
      <c r="J19" s="21" t="inlineStr">
        <is>
          <t>Quartz countertops</t>
        </is>
      </c>
      <c r="K19" s="21" t="inlineStr">
        <is>
          <t>Various</t>
        </is>
      </c>
    </row>
    <row r="20">
      <c r="B20" s="21" t="inlineStr">
        <is>
          <t>Base/Comfort</t>
        </is>
      </c>
      <c r="C20" s="21" t="inlineStr">
        <is>
          <t>Countertops</t>
        </is>
      </c>
      <c r="D20" s="21" t="inlineStr">
        <is>
          <t>Backsplash - Standard 4" Granite</t>
        </is>
      </c>
      <c r="E20" s="21" t="b">
        <v>1</v>
      </c>
      <c r="F20" s="36" t="n">
        <v>0</v>
      </c>
      <c r="G20" s="36" t="n">
        <v>0</v>
      </c>
      <c r="H20" s="36" t="n">
        <v>0</v>
      </c>
      <c r="I20" s="36" t="n">
        <v>0</v>
      </c>
      <c r="J20" s="21" t="inlineStr">
        <is>
          <t>Included in base house cost</t>
        </is>
      </c>
      <c r="K20" s="21" t="inlineStr">
        <is>
          <t>Various</t>
        </is>
      </c>
    </row>
    <row r="21">
      <c r="B21" s="21" t="inlineStr">
        <is>
          <t>Classic</t>
        </is>
      </c>
      <c r="C21" s="21" t="inlineStr">
        <is>
          <t>Countertops</t>
        </is>
      </c>
      <c r="D21" s="21" t="inlineStr">
        <is>
          <t>Backsplash - Subway Tile to Ceiling</t>
        </is>
      </c>
      <c r="E21" s="21" t="b">
        <v>0</v>
      </c>
      <c r="F21" s="36" t="n">
        <v>600</v>
      </c>
      <c r="G21" s="36" t="n">
        <v>600</v>
      </c>
      <c r="H21" s="36" t="n">
        <v>600</v>
      </c>
      <c r="I21" s="36" t="n">
        <v>0</v>
      </c>
      <c r="J21" s="21" t="inlineStr">
        <is>
          <t>Full height subway tile</t>
        </is>
      </c>
      <c r="K21" s="21" t="inlineStr">
        <is>
          <t>Various</t>
        </is>
      </c>
    </row>
    <row r="22">
      <c r="B22" s="21" t="inlineStr">
        <is>
          <t>Elegance</t>
        </is>
      </c>
      <c r="C22" s="21" t="inlineStr">
        <is>
          <t>Countertops</t>
        </is>
      </c>
      <c r="D22" s="21" t="inlineStr">
        <is>
          <t>Backsplash - Designer Tile Feature Wall</t>
        </is>
      </c>
      <c r="E22" s="21" t="b">
        <v>0</v>
      </c>
      <c r="F22" s="36" t="n">
        <v>0</v>
      </c>
      <c r="G22" s="36" t="n">
        <v>1500</v>
      </c>
      <c r="H22" s="36" t="n">
        <v>1500</v>
      </c>
      <c r="I22" s="36" t="n">
        <v>0</v>
      </c>
      <c r="J22" s="21" t="inlineStr">
        <is>
          <t>Designer feature wall</t>
        </is>
      </c>
      <c r="K22" s="21" t="inlineStr">
        <is>
          <t>Various</t>
        </is>
      </c>
    </row>
    <row r="23">
      <c r="B23" s="21" t="inlineStr">
        <is>
          <t>Harmony</t>
        </is>
      </c>
      <c r="C23" s="21" t="inlineStr">
        <is>
          <t>Countertops</t>
        </is>
      </c>
      <c r="D23" s="21" t="inlineStr">
        <is>
          <t>Backsplash - Custom Pattern with Premium Materials</t>
        </is>
      </c>
      <c r="E23" s="21" t="b">
        <v>0</v>
      </c>
      <c r="F23" s="36" t="n">
        <v>0</v>
      </c>
      <c r="G23" s="36" t="n">
        <v>0</v>
      </c>
      <c r="H23" s="36" t="n">
        <v>2500</v>
      </c>
      <c r="I23" s="36" t="n">
        <v>0</v>
      </c>
      <c r="J23" s="21" t="inlineStr">
        <is>
          <t>Premium custom design</t>
        </is>
      </c>
      <c r="K23" s="21" t="inlineStr">
        <is>
          <t>Various</t>
        </is>
      </c>
    </row>
    <row r="24">
      <c r="B24" s="21" t="inlineStr">
        <is>
          <t>Base/Comfort</t>
        </is>
      </c>
      <c r="C24" s="21" t="inlineStr">
        <is>
          <t>Cabinets</t>
        </is>
      </c>
      <c r="D24" s="21" t="inlineStr">
        <is>
          <t>Cabinets - Shaker Door Builder Grade</t>
        </is>
      </c>
      <c r="E24" s="21" t="b">
        <v>1</v>
      </c>
      <c r="F24" s="36" t="n">
        <v>0</v>
      </c>
      <c r="G24" s="36" t="n">
        <v>0</v>
      </c>
      <c r="H24" s="36" t="n">
        <v>0</v>
      </c>
      <c r="I24" s="36" t="n">
        <v>0</v>
      </c>
      <c r="J24" s="21" t="inlineStr">
        <is>
          <t>Included in base house cost</t>
        </is>
      </c>
      <c r="K24" s="21" t="inlineStr">
        <is>
          <t>Various</t>
        </is>
      </c>
    </row>
    <row r="25">
      <c r="B25" s="21" t="inlineStr">
        <is>
          <t>Classic</t>
        </is>
      </c>
      <c r="C25" s="21" t="inlineStr">
        <is>
          <t>Cabinets</t>
        </is>
      </c>
      <c r="D25" s="21" t="inlineStr">
        <is>
          <t>Cabinets - Upgraded Door Style + Hardware</t>
        </is>
      </c>
      <c r="E25" s="21" t="b">
        <v>0</v>
      </c>
      <c r="F25" s="36" t="n">
        <v>800</v>
      </c>
      <c r="G25" s="36" t="n">
        <v>800</v>
      </c>
      <c r="H25" s="36" t="n">
        <v>800</v>
      </c>
      <c r="I25" s="36" t="n">
        <v>0</v>
      </c>
      <c r="J25" s="21" t="inlineStr">
        <is>
          <t>Upgraded door style</t>
        </is>
      </c>
      <c r="K25" s="21" t="inlineStr">
        <is>
          <t>Various</t>
        </is>
      </c>
    </row>
    <row r="26">
      <c r="B26" s="21" t="inlineStr">
        <is>
          <t>Elegance</t>
        </is>
      </c>
      <c r="C26" s="21" t="inlineStr">
        <is>
          <t>Cabinets</t>
        </is>
      </c>
      <c r="D26" s="21" t="inlineStr">
        <is>
          <t>Cabinets - Crown Molding + Soft Close + Upgraded Hardware</t>
        </is>
      </c>
      <c r="E26" s="21" t="b">
        <v>0</v>
      </c>
      <c r="F26" s="36" t="n">
        <v>0</v>
      </c>
      <c r="G26" s="36" t="n">
        <v>1800</v>
      </c>
      <c r="H26" s="36" t="n">
        <v>1800</v>
      </c>
      <c r="I26" s="36" t="n">
        <v>0</v>
      </c>
      <c r="J26" s="21" t="inlineStr">
        <is>
          <t>Crown molding, soft close, premium hardware</t>
        </is>
      </c>
      <c r="K26" s="21" t="inlineStr">
        <is>
          <t>Various</t>
        </is>
      </c>
    </row>
    <row r="27">
      <c r="B27" s="21" t="inlineStr">
        <is>
          <t>Harmony</t>
        </is>
      </c>
      <c r="C27" s="21" t="inlineStr">
        <is>
          <t>Cabinets</t>
        </is>
      </c>
      <c r="D27" s="21" t="inlineStr">
        <is>
          <t>Cabinets - Custom Door Style + Premium Hardware + Additional Upper</t>
        </is>
      </c>
      <c r="E27" s="21" t="b">
        <v>0</v>
      </c>
      <c r="F27" s="36" t="n">
        <v>0</v>
      </c>
      <c r="G27" s="36" t="n">
        <v>0</v>
      </c>
      <c r="H27" s="36" t="n">
        <v>3500</v>
      </c>
      <c r="I27" s="36" t="n">
        <v>0</v>
      </c>
      <c r="J27" s="21" t="inlineStr">
        <is>
          <t>Custom doors with additional uppers</t>
        </is>
      </c>
      <c r="K27" s="21" t="inlineStr">
        <is>
          <t>Various</t>
        </is>
      </c>
    </row>
    <row r="28">
      <c r="B28" s="21" t="inlineStr">
        <is>
          <t>Base/Comfort</t>
        </is>
      </c>
      <c r="C28" s="21" t="inlineStr">
        <is>
          <t>Cabinets</t>
        </is>
      </c>
      <c r="D28" s="21" t="inlineStr">
        <is>
          <t>Cabinet Hardware - Standard Knobs</t>
        </is>
      </c>
      <c r="E28" s="21" t="b">
        <v>1</v>
      </c>
      <c r="F28" s="36" t="n">
        <v>0</v>
      </c>
      <c r="G28" s="36" t="n">
        <v>0</v>
      </c>
      <c r="H28" s="36" t="n">
        <v>0</v>
      </c>
      <c r="I28" s="36" t="n">
        <v>0</v>
      </c>
      <c r="J28" s="21" t="inlineStr">
        <is>
          <t>Included in base house cost</t>
        </is>
      </c>
      <c r="K28" s="21" t="inlineStr">
        <is>
          <t>Various</t>
        </is>
      </c>
    </row>
    <row r="29">
      <c r="B29" s="21" t="inlineStr">
        <is>
          <t>Classic</t>
        </is>
      </c>
      <c r="C29" s="21" t="inlineStr">
        <is>
          <t>Cabinets</t>
        </is>
      </c>
      <c r="D29" s="21" t="inlineStr">
        <is>
          <t>Cabinet Hardware - Upgraded Knobs &amp; Pulls</t>
        </is>
      </c>
      <c r="E29" s="21" t="b">
        <v>0</v>
      </c>
      <c r="F29" s="36" t="n">
        <v>150</v>
      </c>
      <c r="G29" s="36" t="n">
        <v>150</v>
      </c>
      <c r="H29" s="36" t="n">
        <v>150</v>
      </c>
      <c r="I29" s="36" t="n">
        <v>0</v>
      </c>
      <c r="J29" s="21" t="inlineStr">
        <is>
          <t>Better quality knobs/pulls</t>
        </is>
      </c>
      <c r="K29" s="21" t="inlineStr">
        <is>
          <t>Various</t>
        </is>
      </c>
    </row>
    <row r="30">
      <c r="B30" s="21" t="inlineStr">
        <is>
          <t>Elegance</t>
        </is>
      </c>
      <c r="C30" s="21" t="inlineStr">
        <is>
          <t>Cabinets</t>
        </is>
      </c>
      <c r="D30" s="21" t="inlineStr">
        <is>
          <t>Cabinet Hardware - Designer Collection</t>
        </is>
      </c>
      <c r="E30" s="21" t="b">
        <v>0</v>
      </c>
      <c r="F30" s="36" t="n">
        <v>0</v>
      </c>
      <c r="G30" s="36" t="n">
        <v>400</v>
      </c>
      <c r="H30" s="36" t="n">
        <v>400</v>
      </c>
      <c r="I30" s="36" t="n">
        <v>0</v>
      </c>
      <c r="J30" s="21" t="inlineStr">
        <is>
          <t>Designer hardware</t>
        </is>
      </c>
      <c r="K30" s="21" t="inlineStr">
        <is>
          <t>Various</t>
        </is>
      </c>
    </row>
    <row r="31">
      <c r="B31" s="21" t="inlineStr">
        <is>
          <t>Harmony</t>
        </is>
      </c>
      <c r="C31" s="21" t="inlineStr">
        <is>
          <t>Cabinets</t>
        </is>
      </c>
      <c r="D31" s="21" t="inlineStr">
        <is>
          <t>Cabinet Hardware - Premium Custom Finish</t>
        </is>
      </c>
      <c r="E31" s="21" t="b">
        <v>0</v>
      </c>
      <c r="F31" s="36" t="n">
        <v>0</v>
      </c>
      <c r="G31" s="36" t="n">
        <v>0</v>
      </c>
      <c r="H31" s="36" t="n">
        <v>800</v>
      </c>
      <c r="I31" s="36" t="n">
        <v>0</v>
      </c>
      <c r="J31" s="21" t="inlineStr">
        <is>
          <t>Premium custom finishes</t>
        </is>
      </c>
      <c r="K31" s="21" t="inlineStr">
        <is>
          <t>Various</t>
        </is>
      </c>
    </row>
    <row r="32">
      <c r="B32" s="21" t="inlineStr">
        <is>
          <t>Base/Comfort</t>
        </is>
      </c>
      <c r="C32" s="21" t="inlineStr">
        <is>
          <t>Appliances</t>
        </is>
      </c>
      <c r="D32" s="21" t="inlineStr">
        <is>
          <t>Appliances - White or Black Standard</t>
        </is>
      </c>
      <c r="E32" s="21" t="b">
        <v>1</v>
      </c>
      <c r="F32" s="36" t="n">
        <v>0</v>
      </c>
      <c r="G32" s="36" t="n">
        <v>0</v>
      </c>
      <c r="H32" s="36" t="n">
        <v>0</v>
      </c>
      <c r="I32" s="36" t="n">
        <v>0</v>
      </c>
      <c r="J32" s="21" t="inlineStr">
        <is>
          <t>Included in base house cost</t>
        </is>
      </c>
      <c r="K32" s="21" t="inlineStr">
        <is>
          <t>Various</t>
        </is>
      </c>
    </row>
    <row r="33">
      <c r="B33" s="21" t="inlineStr">
        <is>
          <t>Classic</t>
        </is>
      </c>
      <c r="C33" s="21" t="inlineStr">
        <is>
          <t>Appliances</t>
        </is>
      </c>
      <c r="D33" s="21" t="inlineStr">
        <is>
          <t>Appliances - Stainless Steel</t>
        </is>
      </c>
      <c r="E33" s="21" t="b">
        <v>0</v>
      </c>
      <c r="F33" s="36" t="n">
        <v>0</v>
      </c>
      <c r="G33" s="36" t="n">
        <v>0</v>
      </c>
      <c r="H33" s="36" t="n">
        <v>0</v>
      </c>
      <c r="I33" s="36" t="n">
        <v>0</v>
      </c>
      <c r="J33" s="21" t="inlineStr">
        <is>
          <t>Stainless steel appliances</t>
        </is>
      </c>
      <c r="K33" s="21" t="inlineStr">
        <is>
          <t>Various</t>
        </is>
      </c>
    </row>
    <row r="34">
      <c r="B34" s="21" t="inlineStr">
        <is>
          <t>Elegance</t>
        </is>
      </c>
      <c r="C34" s="21" t="inlineStr">
        <is>
          <t>Appliances</t>
        </is>
      </c>
      <c r="D34" s="21" t="inlineStr">
        <is>
          <t>Appliances - Stainless + Gas Range or Smart Dishwasher</t>
        </is>
      </c>
      <c r="E34" s="21" t="b">
        <v>0</v>
      </c>
      <c r="F34" s="36" t="n">
        <v>0</v>
      </c>
      <c r="G34" s="36" t="n">
        <v>800</v>
      </c>
      <c r="H34" s="36" t="n">
        <v>800</v>
      </c>
      <c r="I34" s="36" t="n">
        <v>0</v>
      </c>
      <c r="J34" s="21" t="inlineStr">
        <is>
          <t>Gas range or smart dishwasher option</t>
        </is>
      </c>
      <c r="K34" s="21" t="inlineStr">
        <is>
          <t>Various</t>
        </is>
      </c>
    </row>
    <row r="35">
      <c r="B35" s="21" t="inlineStr">
        <is>
          <t>Harmony</t>
        </is>
      </c>
      <c r="C35" s="21" t="inlineStr">
        <is>
          <t>Appliances</t>
        </is>
      </c>
      <c r="D35" s="21" t="inlineStr">
        <is>
          <t>Appliances - Premium Stainless + Smart Appliances Package</t>
        </is>
      </c>
      <c r="E35" s="21" t="b">
        <v>0</v>
      </c>
      <c r="F35" s="36" t="n">
        <v>0</v>
      </c>
      <c r="G35" s="36" t="n">
        <v>0</v>
      </c>
      <c r="H35" s="36" t="n">
        <v>2000</v>
      </c>
      <c r="I35" s="36" t="n">
        <v>0</v>
      </c>
      <c r="J35" s="21" t="inlineStr">
        <is>
          <t>Full smart appliances</t>
        </is>
      </c>
      <c r="K35" s="21" t="inlineStr">
        <is>
          <t>Various</t>
        </is>
      </c>
    </row>
    <row r="36">
      <c r="B36" s="21" t="inlineStr">
        <is>
          <t>Base/Comfort</t>
        </is>
      </c>
      <c r="C36" s="21" t="inlineStr">
        <is>
          <t>Fixtures</t>
        </is>
      </c>
      <c r="D36" s="21" t="inlineStr">
        <is>
          <t>Faucets &amp; Fixtures - Chrome Builder Grade</t>
        </is>
      </c>
      <c r="E36" s="21" t="b">
        <v>1</v>
      </c>
      <c r="F36" s="36" t="n">
        <v>0</v>
      </c>
      <c r="G36" s="36" t="n">
        <v>0</v>
      </c>
      <c r="H36" s="36" t="n">
        <v>0</v>
      </c>
      <c r="I36" s="36" t="n">
        <v>0</v>
      </c>
      <c r="J36" s="21" t="inlineStr">
        <is>
          <t>Included in base house cost</t>
        </is>
      </c>
      <c r="K36" s="21" t="inlineStr">
        <is>
          <t>Various</t>
        </is>
      </c>
    </row>
    <row r="37">
      <c r="B37" s="21" t="inlineStr">
        <is>
          <t>Classic</t>
        </is>
      </c>
      <c r="C37" s="21" t="inlineStr">
        <is>
          <t>Fixtures</t>
        </is>
      </c>
      <c r="D37" s="21" t="inlineStr">
        <is>
          <t>Faucets &amp; Fixtures - Upgraded Finish (Brushed Nickel)</t>
        </is>
      </c>
      <c r="E37" s="21" t="b">
        <v>0</v>
      </c>
      <c r="F37" s="36" t="n">
        <v>400</v>
      </c>
      <c r="G37" s="36" t="n">
        <v>400</v>
      </c>
      <c r="H37" s="36" t="n">
        <v>400</v>
      </c>
      <c r="I37" s="36" t="n">
        <v>0</v>
      </c>
      <c r="J37" s="21" t="inlineStr">
        <is>
          <t>Brushed nickel finish</t>
        </is>
      </c>
      <c r="K37" s="21" t="inlineStr">
        <is>
          <t>Various</t>
        </is>
      </c>
    </row>
    <row r="38">
      <c r="B38" s="21" t="inlineStr">
        <is>
          <t>Elegance</t>
        </is>
      </c>
      <c r="C38" s="21" t="inlineStr">
        <is>
          <t>Fixtures</t>
        </is>
      </c>
      <c r="D38" s="21" t="inlineStr">
        <is>
          <t>Faucets &amp; Fixtures - Designer Collection (Matte Black/Gold)</t>
        </is>
      </c>
      <c r="E38" s="21" t="b">
        <v>0</v>
      </c>
      <c r="F38" s="36" t="n">
        <v>0</v>
      </c>
      <c r="G38" s="36" t="n">
        <v>800</v>
      </c>
      <c r="H38" s="36" t="n">
        <v>800</v>
      </c>
      <c r="I38" s="36" t="n">
        <v>0</v>
      </c>
      <c r="J38" s="21" t="inlineStr">
        <is>
          <t>Matte black or gold finish</t>
        </is>
      </c>
      <c r="K38" s="21" t="inlineStr">
        <is>
          <t>Various</t>
        </is>
      </c>
    </row>
    <row r="39">
      <c r="B39" s="21" t="inlineStr">
        <is>
          <t>Harmony</t>
        </is>
      </c>
      <c r="C39" s="21" t="inlineStr">
        <is>
          <t>Fixtures</t>
        </is>
      </c>
      <c r="D39" s="21" t="inlineStr">
        <is>
          <t>Faucets &amp; Fixtures - Premium Luxury Line</t>
        </is>
      </c>
      <c r="E39" s="21" t="b">
        <v>0</v>
      </c>
      <c r="F39" s="36" t="n">
        <v>0</v>
      </c>
      <c r="G39" s="36" t="n">
        <v>0</v>
      </c>
      <c r="H39" s="36" t="n">
        <v>1500</v>
      </c>
      <c r="I39" s="36" t="n">
        <v>0</v>
      </c>
      <c r="J39" s="21" t="inlineStr">
        <is>
          <t>Premium luxury fixtures</t>
        </is>
      </c>
      <c r="K39" s="21" t="inlineStr">
        <is>
          <t>Various</t>
        </is>
      </c>
    </row>
    <row r="40">
      <c r="B40" s="21" t="inlineStr">
        <is>
          <t>Base/Comfort</t>
        </is>
      </c>
      <c r="C40" s="21" t="inlineStr">
        <is>
          <t>Fixtures</t>
        </is>
      </c>
      <c r="D40" s="21" t="inlineStr">
        <is>
          <t>Bath Configuration - Tub/Shower Combo Standard</t>
        </is>
      </c>
      <c r="E40" s="21" t="b">
        <v>1</v>
      </c>
      <c r="F40" s="36" t="n">
        <v>0</v>
      </c>
      <c r="G40" s="36" t="n">
        <v>0</v>
      </c>
      <c r="H40" s="36" t="n">
        <v>0</v>
      </c>
      <c r="I40" s="36" t="n">
        <v>0</v>
      </c>
      <c r="J40" s="21" t="inlineStr">
        <is>
          <t>Included in base house cost</t>
        </is>
      </c>
      <c r="K40" s="21" t="inlineStr">
        <is>
          <t>Various</t>
        </is>
      </c>
    </row>
    <row r="41">
      <c r="B41" s="21" t="inlineStr">
        <is>
          <t>Classic</t>
        </is>
      </c>
      <c r="C41" s="21" t="inlineStr">
        <is>
          <t>Fixtures</t>
        </is>
      </c>
      <c r="D41" s="21" t="inlineStr">
        <is>
          <t>Bath Configuration - Tile Shower in Master</t>
        </is>
      </c>
      <c r="E41" s="21" t="b">
        <v>0</v>
      </c>
      <c r="F41" s="36" t="n">
        <v>1200</v>
      </c>
      <c r="G41" s="36" t="n">
        <v>1200</v>
      </c>
      <c r="H41" s="36" t="n">
        <v>1200</v>
      </c>
      <c r="I41" s="36" t="n">
        <v>0</v>
      </c>
      <c r="J41" s="21" t="inlineStr">
        <is>
          <t>Master tile shower</t>
        </is>
      </c>
      <c r="K41" s="21" t="inlineStr">
        <is>
          <t>Various</t>
        </is>
      </c>
    </row>
    <row r="42">
      <c r="B42" s="21" t="inlineStr">
        <is>
          <t>Elegance</t>
        </is>
      </c>
      <c r="C42" s="21" t="inlineStr">
        <is>
          <t>Fixtures</t>
        </is>
      </c>
      <c r="D42" s="21" t="inlineStr">
        <is>
          <t>Bath Configuration - Tile Shower in All Baths</t>
        </is>
      </c>
      <c r="E42" s="21" t="b">
        <v>0</v>
      </c>
      <c r="F42" s="36" t="n">
        <v>0</v>
      </c>
      <c r="G42" s="36" t="n">
        <v>2000</v>
      </c>
      <c r="H42" s="36" t="n">
        <v>2000</v>
      </c>
      <c r="I42" s="36" t="n">
        <v>0</v>
      </c>
      <c r="J42" s="21" t="inlineStr">
        <is>
          <t>All baths tile shower</t>
        </is>
      </c>
      <c r="K42" s="21" t="inlineStr">
        <is>
          <t>Various</t>
        </is>
      </c>
    </row>
    <row r="43">
      <c r="B43" s="21" t="inlineStr">
        <is>
          <t>Harmony</t>
        </is>
      </c>
      <c r="C43" s="21" t="inlineStr">
        <is>
          <t>Fixtures</t>
        </is>
      </c>
      <c r="D43" s="21" t="inlineStr">
        <is>
          <t>Bath Configuration - Tile Shower with Seat &amp; Premium Fixtures</t>
        </is>
      </c>
      <c r="E43" s="21" t="b">
        <v>0</v>
      </c>
      <c r="F43" s="36" t="n">
        <v>0</v>
      </c>
      <c r="G43" s="36" t="n">
        <v>0</v>
      </c>
      <c r="H43" s="36" t="n">
        <v>3500</v>
      </c>
      <c r="I43" s="36" t="n">
        <v>0</v>
      </c>
      <c r="J43" s="21" t="inlineStr">
        <is>
          <t>Premium showers with seat</t>
        </is>
      </c>
      <c r="K43" s="21" t="inlineStr">
        <is>
          <t>Various</t>
        </is>
      </c>
    </row>
    <row r="44">
      <c r="B44" s="21" t="inlineStr">
        <is>
          <t>Base/Comfort</t>
        </is>
      </c>
      <c r="C44" s="21" t="inlineStr">
        <is>
          <t>Tile</t>
        </is>
      </c>
      <c r="D44" s="21" t="inlineStr">
        <is>
          <t>Shower Tile - Standard White Subway</t>
        </is>
      </c>
      <c r="E44" s="21" t="b">
        <v>1</v>
      </c>
      <c r="F44" s="36" t="n">
        <v>0</v>
      </c>
      <c r="G44" s="36" t="n">
        <v>0</v>
      </c>
      <c r="H44" s="36" t="n">
        <v>0</v>
      </c>
      <c r="I44" s="36" t="n">
        <v>0</v>
      </c>
      <c r="J44" s="21" t="inlineStr">
        <is>
          <t>Included in base house cost</t>
        </is>
      </c>
      <c r="K44" s="21" t="inlineStr">
        <is>
          <t>Various</t>
        </is>
      </c>
    </row>
    <row r="45">
      <c r="B45" s="21" t="inlineStr">
        <is>
          <t>Classic</t>
        </is>
      </c>
      <c r="C45" s="21" t="inlineStr">
        <is>
          <t>Tile</t>
        </is>
      </c>
      <c r="D45" s="21" t="inlineStr">
        <is>
          <t>Shower Tile - 12x24 Tile with Accent</t>
        </is>
      </c>
      <c r="E45" s="21" t="b">
        <v>0</v>
      </c>
      <c r="F45" s="36" t="n">
        <v>400</v>
      </c>
      <c r="G45" s="36" t="n">
        <v>400</v>
      </c>
      <c r="H45" s="36" t="n">
        <v>400</v>
      </c>
      <c r="I45" s="36" t="n">
        <v>0</v>
      </c>
      <c r="J45" s="21" t="inlineStr">
        <is>
          <t>Upgraded with accent strip</t>
        </is>
      </c>
      <c r="K45" s="21" t="inlineStr">
        <is>
          <t>Various</t>
        </is>
      </c>
    </row>
    <row r="46">
      <c r="B46" s="21" t="inlineStr">
        <is>
          <t>Elegance</t>
        </is>
      </c>
      <c r="C46" s="21" t="inlineStr">
        <is>
          <t>Tile</t>
        </is>
      </c>
      <c r="D46" s="21" t="inlineStr">
        <is>
          <t>Shower Tile - Designer Pattern with Niche</t>
        </is>
      </c>
      <c r="E46" s="21" t="b">
        <v>0</v>
      </c>
      <c r="F46" s="36" t="n">
        <v>0</v>
      </c>
      <c r="G46" s="36" t="n">
        <v>1000</v>
      </c>
      <c r="H46" s="36" t="n">
        <v>1000</v>
      </c>
      <c r="I46" s="36" t="n">
        <v>0</v>
      </c>
      <c r="J46" s="21" t="inlineStr">
        <is>
          <t>Designer pattern with built-in niche</t>
        </is>
      </c>
      <c r="K46" s="21" t="inlineStr">
        <is>
          <t>Various</t>
        </is>
      </c>
    </row>
    <row r="47">
      <c r="B47" s="21" t="inlineStr">
        <is>
          <t>Harmony</t>
        </is>
      </c>
      <c r="C47" s="21" t="inlineStr">
        <is>
          <t>Tile</t>
        </is>
      </c>
      <c r="D47" s="21" t="inlineStr">
        <is>
          <t>Shower Tile - Premium Large Format with Custom Layout</t>
        </is>
      </c>
      <c r="E47" s="21" t="b">
        <v>0</v>
      </c>
      <c r="F47" s="36" t="n">
        <v>0</v>
      </c>
      <c r="G47" s="36" t="n">
        <v>0</v>
      </c>
      <c r="H47" s="36" t="n">
        <v>2000</v>
      </c>
      <c r="I47" s="36" t="n">
        <v>0</v>
      </c>
      <c r="J47" s="21" t="inlineStr">
        <is>
          <t>Premium large format custom</t>
        </is>
      </c>
      <c r="K47" s="21" t="inlineStr">
        <is>
          <t>Various</t>
        </is>
      </c>
    </row>
    <row r="48">
      <c r="B48" s="21" t="inlineStr">
        <is>
          <t>Base/Comfort</t>
        </is>
      </c>
      <c r="C48" s="21" t="inlineStr">
        <is>
          <t>Tile</t>
        </is>
      </c>
      <c r="D48" s="21" t="inlineStr">
        <is>
          <t>Bathroom Floor Tile - Standard 12x12</t>
        </is>
      </c>
      <c r="E48" s="21" t="b">
        <v>1</v>
      </c>
      <c r="F48" s="36" t="n">
        <v>0</v>
      </c>
      <c r="G48" s="36" t="n">
        <v>0</v>
      </c>
      <c r="H48" s="36" t="n">
        <v>0</v>
      </c>
      <c r="I48" s="36" t="n">
        <v>0</v>
      </c>
      <c r="J48" s="21" t="inlineStr">
        <is>
          <t>Included in base house cost</t>
        </is>
      </c>
      <c r="K48" s="21" t="inlineStr">
        <is>
          <t>Various</t>
        </is>
      </c>
    </row>
    <row r="49">
      <c r="B49" s="21" t="inlineStr">
        <is>
          <t>Classic</t>
        </is>
      </c>
      <c r="C49" s="21" t="inlineStr">
        <is>
          <t>Tile</t>
        </is>
      </c>
      <c r="D49" s="21" t="inlineStr">
        <is>
          <t>Bathroom Floor Tile - 12x24 Upgraded</t>
        </is>
      </c>
      <c r="E49" s="21" t="b">
        <v>0</v>
      </c>
      <c r="F49" s="36" t="n">
        <v>300</v>
      </c>
      <c r="G49" s="36" t="n">
        <v>300</v>
      </c>
      <c r="H49" s="36" t="n">
        <v>300</v>
      </c>
      <c r="I49" s="36" t="n">
        <v>0</v>
      </c>
      <c r="J49" s="21" t="inlineStr">
        <is>
          <t>Larger format tile</t>
        </is>
      </c>
      <c r="K49" s="21" t="inlineStr">
        <is>
          <t>Various</t>
        </is>
      </c>
    </row>
    <row r="50">
      <c r="B50" s="21" t="inlineStr">
        <is>
          <t>Elegance</t>
        </is>
      </c>
      <c r="C50" s="21" t="inlineStr">
        <is>
          <t>Tile</t>
        </is>
      </c>
      <c r="D50" s="21" t="inlineStr">
        <is>
          <t>Bathroom Floor Tile - Designer Hexagon or Pattern</t>
        </is>
      </c>
      <c r="E50" s="21" t="b">
        <v>0</v>
      </c>
      <c r="F50" s="36" t="n">
        <v>0</v>
      </c>
      <c r="G50" s="36" t="n">
        <v>800</v>
      </c>
      <c r="H50" s="36" t="n">
        <v>800</v>
      </c>
      <c r="I50" s="36" t="n">
        <v>0</v>
      </c>
      <c r="J50" s="21" t="inlineStr">
        <is>
          <t>Designer pattern</t>
        </is>
      </c>
      <c r="K50" s="21" t="inlineStr">
        <is>
          <t>Various</t>
        </is>
      </c>
    </row>
    <row r="51">
      <c r="B51" s="21" t="inlineStr">
        <is>
          <t>Harmony</t>
        </is>
      </c>
      <c r="C51" s="21" t="inlineStr">
        <is>
          <t>Tile</t>
        </is>
      </c>
      <c r="D51" s="21" t="inlineStr">
        <is>
          <t>Bathroom Floor Tile - Premium Natural Stone</t>
        </is>
      </c>
      <c r="E51" s="21" t="b">
        <v>0</v>
      </c>
      <c r="F51" s="36" t="n">
        <v>0</v>
      </c>
      <c r="G51" s="36" t="n">
        <v>0</v>
      </c>
      <c r="H51" s="36" t="n">
        <v>1500</v>
      </c>
      <c r="I51" s="36" t="n">
        <v>0</v>
      </c>
      <c r="J51" s="21" t="inlineStr">
        <is>
          <t>Natural stone</t>
        </is>
      </c>
      <c r="K51" s="21" t="inlineStr">
        <is>
          <t>Various</t>
        </is>
      </c>
    </row>
    <row r="52">
      <c r="B52" s="21" t="inlineStr">
        <is>
          <t>Base/Comfort</t>
        </is>
      </c>
      <c r="C52" s="21" t="inlineStr">
        <is>
          <t>Exterior</t>
        </is>
      </c>
      <c r="D52" s="21" t="inlineStr">
        <is>
          <t>Patio - Standard Concrete 10x10</t>
        </is>
      </c>
      <c r="E52" s="21" t="b">
        <v>1</v>
      </c>
      <c r="F52" s="36" t="n">
        <v>0</v>
      </c>
      <c r="G52" s="36" t="n">
        <v>0</v>
      </c>
      <c r="H52" s="36" t="n">
        <v>0</v>
      </c>
      <c r="I52" s="36" t="n">
        <v>0</v>
      </c>
      <c r="J52" s="21" t="inlineStr">
        <is>
          <t>Included in base house cost</t>
        </is>
      </c>
      <c r="K52" s="21" t="inlineStr">
        <is>
          <t>Various</t>
        </is>
      </c>
    </row>
    <row r="53">
      <c r="B53" s="21" t="inlineStr">
        <is>
          <t>Classic</t>
        </is>
      </c>
      <c r="C53" s="21" t="inlineStr">
        <is>
          <t>Exterior</t>
        </is>
      </c>
      <c r="D53" s="21" t="inlineStr">
        <is>
          <t>Patio - Extended 12x14 Stamped Concrete</t>
        </is>
      </c>
      <c r="E53" s="21" t="b">
        <v>0</v>
      </c>
      <c r="F53" s="36" t="n">
        <v>0</v>
      </c>
      <c r="G53" s="36" t="n">
        <v>0</v>
      </c>
      <c r="H53" s="36" t="n">
        <v>0</v>
      </c>
      <c r="I53" s="36" t="n">
        <v>0</v>
      </c>
      <c r="J53" s="21" t="inlineStr">
        <is>
          <t>Stamped concrete upgrade</t>
        </is>
      </c>
      <c r="K53" s="21" t="inlineStr">
        <is>
          <t>Various</t>
        </is>
      </c>
    </row>
    <row r="54">
      <c r="B54" s="21" t="inlineStr">
        <is>
          <t>Elegance</t>
        </is>
      </c>
      <c r="C54" s="21" t="inlineStr">
        <is>
          <t>Exterior</t>
        </is>
      </c>
      <c r="D54" s="21" t="inlineStr">
        <is>
          <t>Patio - 14x18 Stamped with Fire Pit Rough-in</t>
        </is>
      </c>
      <c r="E54" s="21" t="b">
        <v>0</v>
      </c>
      <c r="F54" s="36" t="n">
        <v>0</v>
      </c>
      <c r="G54" s="36" t="n">
        <v>1200</v>
      </c>
      <c r="H54" s="36" t="n">
        <v>1200</v>
      </c>
      <c r="I54" s="36" t="n">
        <v>0</v>
      </c>
      <c r="J54" s="21" t="inlineStr">
        <is>
          <t>Large stamped with fire pit</t>
        </is>
      </c>
      <c r="K54" s="21" t="inlineStr">
        <is>
          <t>Various</t>
        </is>
      </c>
    </row>
    <row r="55">
      <c r="B55" s="21" t="inlineStr">
        <is>
          <t>Harmony</t>
        </is>
      </c>
      <c r="C55" s="21" t="inlineStr">
        <is>
          <t>Exterior</t>
        </is>
      </c>
      <c r="D55" s="21" t="inlineStr">
        <is>
          <t>Patio - Large Custom Design with Built-in Features</t>
        </is>
      </c>
      <c r="E55" s="21" t="b">
        <v>0</v>
      </c>
      <c r="F55" s="36" t="n">
        <v>0</v>
      </c>
      <c r="G55" s="36" t="n">
        <v>0</v>
      </c>
      <c r="H55" s="36" t="n">
        <v>3000</v>
      </c>
      <c r="I55" s="36" t="n">
        <v>0</v>
      </c>
      <c r="J55" s="21" t="inlineStr">
        <is>
          <t>Custom design</t>
        </is>
      </c>
      <c r="K55" s="21" t="inlineStr">
        <is>
          <t>Various</t>
        </is>
      </c>
    </row>
    <row r="56">
      <c r="B56" s="21" t="inlineStr">
        <is>
          <t>Base/Comfort</t>
        </is>
      </c>
      <c r="C56" s="21" t="inlineStr">
        <is>
          <t>Exterior</t>
        </is>
      </c>
      <c r="D56" s="21" t="inlineStr">
        <is>
          <t>Landscaping - Basic Sod &amp; Shrubs</t>
        </is>
      </c>
      <c r="E56" s="21" t="b">
        <v>1</v>
      </c>
      <c r="F56" s="36" t="n">
        <v>0</v>
      </c>
      <c r="G56" s="36" t="n">
        <v>0</v>
      </c>
      <c r="H56" s="36" t="n">
        <v>0</v>
      </c>
      <c r="I56" s="36" t="n">
        <v>0</v>
      </c>
      <c r="J56" s="21" t="inlineStr">
        <is>
          <t>Included in base house cost</t>
        </is>
      </c>
      <c r="K56" s="21" t="inlineStr">
        <is>
          <t>Various</t>
        </is>
      </c>
    </row>
    <row r="57">
      <c r="B57" s="21" t="inlineStr">
        <is>
          <t>Classic</t>
        </is>
      </c>
      <c r="C57" s="21" t="inlineStr">
        <is>
          <t>Exterior</t>
        </is>
      </c>
      <c r="D57" s="21" t="inlineStr">
        <is>
          <t>Landscaping - Enhanced with Trees &amp; Mulch Beds</t>
        </is>
      </c>
      <c r="E57" s="21" t="b">
        <v>0</v>
      </c>
      <c r="F57" s="36" t="n">
        <v>1000</v>
      </c>
      <c r="G57" s="36" t="n">
        <v>1000</v>
      </c>
      <c r="H57" s="36" t="n">
        <v>1000</v>
      </c>
      <c r="I57" s="36" t="n">
        <v>0</v>
      </c>
      <c r="J57" s="21" t="inlineStr">
        <is>
          <t>Enhanced landscaping</t>
        </is>
      </c>
      <c r="K57" s="21" t="inlineStr">
        <is>
          <t>Various</t>
        </is>
      </c>
    </row>
    <row r="58">
      <c r="B58" s="21" t="inlineStr">
        <is>
          <t>Elegance</t>
        </is>
      </c>
      <c r="C58" s="21" t="inlineStr">
        <is>
          <t>Exterior</t>
        </is>
      </c>
      <c r="D58" s="21" t="inlineStr">
        <is>
          <t>Landscaping - Professional Design with Irrigation</t>
        </is>
      </c>
      <c r="E58" s="21" t="b">
        <v>0</v>
      </c>
      <c r="F58" s="36" t="n">
        <v>0</v>
      </c>
      <c r="G58" s="36" t="n">
        <v>2500</v>
      </c>
      <c r="H58" s="36" t="n">
        <v>2500</v>
      </c>
      <c r="I58" s="36" t="n">
        <v>0</v>
      </c>
      <c r="J58" s="21" t="inlineStr">
        <is>
          <t>Professional design with irrigation</t>
        </is>
      </c>
      <c r="K58" s="21" t="inlineStr">
        <is>
          <t>Various</t>
        </is>
      </c>
    </row>
    <row r="59">
      <c r="B59" s="21" t="inlineStr">
        <is>
          <t>Harmony</t>
        </is>
      </c>
      <c r="C59" s="21" t="inlineStr">
        <is>
          <t>Exterior</t>
        </is>
      </c>
      <c r="D59" s="21" t="inlineStr">
        <is>
          <t>Landscaping - Premium Package with Hardscape Features</t>
        </is>
      </c>
      <c r="E59" s="21" t="b">
        <v>0</v>
      </c>
      <c r="F59" s="36" t="n">
        <v>0</v>
      </c>
      <c r="G59" s="36" t="n">
        <v>0</v>
      </c>
      <c r="H59" s="36" t="n">
        <v>5000</v>
      </c>
      <c r="I59" s="36" t="n">
        <v>0</v>
      </c>
      <c r="J59" s="21" t="inlineStr">
        <is>
          <t>Premium with hardscape</t>
        </is>
      </c>
      <c r="K59" s="21" t="inlineStr">
        <is>
          <t>Various</t>
        </is>
      </c>
    </row>
    <row r="60">
      <c r="B60" s="21" t="inlineStr">
        <is>
          <t>Base/Comfort</t>
        </is>
      </c>
      <c r="C60" s="21" t="inlineStr">
        <is>
          <t>Other</t>
        </is>
      </c>
      <c r="D60" s="21" t="inlineStr">
        <is>
          <t>Smart Home - None</t>
        </is>
      </c>
      <c r="E60" s="21" t="b">
        <v>1</v>
      </c>
      <c r="F60" s="36" t="n">
        <v>0</v>
      </c>
      <c r="G60" s="36" t="n">
        <v>0</v>
      </c>
      <c r="H60" s="36" t="n">
        <v>0</v>
      </c>
      <c r="I60" s="36" t="n">
        <v>0</v>
      </c>
      <c r="J60" s="21" t="inlineStr">
        <is>
          <t>Included in base house cost</t>
        </is>
      </c>
      <c r="K60" s="21" t="inlineStr">
        <is>
          <t>Various</t>
        </is>
      </c>
    </row>
    <row r="61">
      <c r="B61" s="21" t="inlineStr">
        <is>
          <t>Classic</t>
        </is>
      </c>
      <c r="C61" s="21" t="inlineStr">
        <is>
          <t>Other</t>
        </is>
      </c>
      <c r="D61" s="21" t="inlineStr">
        <is>
          <t>Smart Home - Doorbell &amp; 1 Smart Switch</t>
        </is>
      </c>
      <c r="E61" s="21" t="b">
        <v>0</v>
      </c>
      <c r="F61" s="36" t="n">
        <v>0</v>
      </c>
      <c r="G61" s="36" t="n">
        <v>0</v>
      </c>
      <c r="H61" s="36" t="n">
        <v>0</v>
      </c>
      <c r="I61" s="36" t="n">
        <v>0</v>
      </c>
      <c r="J61" s="21" t="inlineStr">
        <is>
          <t>Basic smart home</t>
        </is>
      </c>
      <c r="K61" s="21" t="inlineStr">
        <is>
          <t>Various</t>
        </is>
      </c>
    </row>
    <row r="62">
      <c r="B62" s="21" t="inlineStr">
        <is>
          <t>Elegance</t>
        </is>
      </c>
      <c r="C62" s="21" t="inlineStr">
        <is>
          <t>Other</t>
        </is>
      </c>
      <c r="D62" s="21" t="inlineStr">
        <is>
          <t>Smart Home - Doorbell, Locks, Thermostat, Switches</t>
        </is>
      </c>
      <c r="E62" s="21" t="b">
        <v>0</v>
      </c>
      <c r="F62" s="36" t="n">
        <v>0</v>
      </c>
      <c r="G62" s="36" t="n">
        <v>800</v>
      </c>
      <c r="H62" s="36" t="n">
        <v>800</v>
      </c>
      <c r="I62" s="36" t="n">
        <v>0</v>
      </c>
      <c r="J62" s="21" t="inlineStr">
        <is>
          <t>Enhanced smart home</t>
        </is>
      </c>
      <c r="K62" s="21" t="inlineStr">
        <is>
          <t>Various</t>
        </is>
      </c>
    </row>
    <row r="63">
      <c r="B63" s="21" t="inlineStr">
        <is>
          <t>Harmony</t>
        </is>
      </c>
      <c r="C63" s="21" t="inlineStr">
        <is>
          <t>Other</t>
        </is>
      </c>
      <c r="D63" s="21" t="inlineStr">
        <is>
          <t>Smart Home - Full Package with Security &amp; Integration</t>
        </is>
      </c>
      <c r="E63" s="21" t="b">
        <v>0</v>
      </c>
      <c r="F63" s="36" t="n">
        <v>0</v>
      </c>
      <c r="G63" s="36" t="n">
        <v>0</v>
      </c>
      <c r="H63" s="36" t="n">
        <v>2000</v>
      </c>
      <c r="I63" s="36" t="n">
        <v>0</v>
      </c>
      <c r="J63" s="21" t="inlineStr">
        <is>
          <t>Full smart home package</t>
        </is>
      </c>
      <c r="K63" s="21" t="inlineStr">
        <is>
          <t>Various</t>
        </is>
      </c>
    </row>
    <row r="64">
      <c r="B64" s="21" t="inlineStr">
        <is>
          <t>Base/Comfort</t>
        </is>
      </c>
      <c r="C64" s="21" t="inlineStr">
        <is>
          <t>Other</t>
        </is>
      </c>
      <c r="D64" s="21" t="inlineStr">
        <is>
          <t>HVAC - Standard Efficiency</t>
        </is>
      </c>
      <c r="E64" s="21" t="b">
        <v>1</v>
      </c>
      <c r="F64" s="36" t="n">
        <v>0</v>
      </c>
      <c r="G64" s="36" t="n">
        <v>0</v>
      </c>
      <c r="H64" s="36" t="n">
        <v>0</v>
      </c>
      <c r="I64" s="36" t="n">
        <v>0</v>
      </c>
      <c r="J64" s="21" t="inlineStr">
        <is>
          <t>Included in base house cost</t>
        </is>
      </c>
      <c r="K64" s="21" t="inlineStr">
        <is>
          <t>Various</t>
        </is>
      </c>
    </row>
    <row r="65">
      <c r="B65" s="21" t="inlineStr">
        <is>
          <t>Classic</t>
        </is>
      </c>
      <c r="C65" s="21" t="inlineStr">
        <is>
          <t>Other</t>
        </is>
      </c>
      <c r="D65" s="21" t="inlineStr">
        <is>
          <t>HVAC - High Efficiency System</t>
        </is>
      </c>
      <c r="E65" s="21" t="b">
        <v>0</v>
      </c>
      <c r="F65" s="36" t="n">
        <v>500</v>
      </c>
      <c r="G65" s="36" t="n">
        <v>500</v>
      </c>
      <c r="H65" s="36" t="n">
        <v>500</v>
      </c>
      <c r="I65" s="36" t="n">
        <v>0</v>
      </c>
      <c r="J65" s="21" t="inlineStr">
        <is>
          <t>High efficiency upgrade</t>
        </is>
      </c>
      <c r="K65" s="21" t="inlineStr">
        <is>
          <t>Various</t>
        </is>
      </c>
    </row>
    <row r="66">
      <c r="B66" s="21" t="inlineStr">
        <is>
          <t>Elegance</t>
        </is>
      </c>
      <c r="C66" s="21" t="inlineStr">
        <is>
          <t>Other</t>
        </is>
      </c>
      <c r="D66" s="21" t="inlineStr">
        <is>
          <t>HVAC - Smart Thermostat + Zoning</t>
        </is>
      </c>
      <c r="E66" s="21" t="b">
        <v>0</v>
      </c>
      <c r="F66" s="36" t="n">
        <v>0</v>
      </c>
      <c r="G66" s="36" t="n">
        <v>1200</v>
      </c>
      <c r="H66" s="36" t="n">
        <v>1200</v>
      </c>
      <c r="I66" s="36" t="n">
        <v>0</v>
      </c>
      <c r="J66" s="21" t="inlineStr">
        <is>
          <t>Smart controls with zoning</t>
        </is>
      </c>
      <c r="K66" s="21" t="inlineStr">
        <is>
          <t>Various</t>
        </is>
      </c>
    </row>
    <row r="67">
      <c r="B67" s="21" t="inlineStr">
        <is>
          <t>Harmony</t>
        </is>
      </c>
      <c r="C67" s="21" t="inlineStr">
        <is>
          <t>Other</t>
        </is>
      </c>
      <c r="D67" s="21" t="inlineStr">
        <is>
          <t>HVAC - Premium Variable Speed + Full Smart Control</t>
        </is>
      </c>
      <c r="E67" s="21" t="b">
        <v>0</v>
      </c>
      <c r="F67" s="36" t="n">
        <v>0</v>
      </c>
      <c r="G67" s="36" t="n">
        <v>0</v>
      </c>
      <c r="H67" s="36" t="n">
        <v>2500</v>
      </c>
      <c r="I67" s="36" t="n">
        <v>0</v>
      </c>
      <c r="J67" s="21" t="inlineStr">
        <is>
          <t>Premium variable speed</t>
        </is>
      </c>
      <c r="K67" s="21" t="inlineStr">
        <is>
          <t>Various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2026-01-12T19:50:01Z</dcterms:created>
  <dcterms:modified xmlns:dcterms="http://purl.org/dc/terms/" xmlns:xsi="http://www.w3.org/2001/XMLSchema-instance" xsi:type="dcterms:W3CDTF">2026-01-12T19:54:40Z</dcterms:modified>
</cp:coreProperties>
</file>