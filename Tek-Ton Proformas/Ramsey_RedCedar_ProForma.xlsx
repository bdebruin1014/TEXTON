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hase 1 S&amp;U" sheetId="2" state="visible" r:id="rId4"/>
    <sheet name="Phase 1 Waterfall" sheetId="3" state="visible" r:id="rId5"/>
    <sheet name="Phase 2 S&amp;U" sheetId="4" state="visible" r:id="rId6"/>
    <sheet name="Phase 2 Waterfall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<sst xmlns="http://schemas.openxmlformats.org/spreadsheetml/2006/main" count="155" uniqueCount="128">
  <si>
    <t xml:space="preserve">RAMSEY-RED CEDAR JV PRO FORMA</t>
  </si>
  <si>
    <t xml:space="preserve">Edward Road - 137 Single Family Lots</t>
  </si>
  <si>
    <t xml:space="preserve">PHASE 1 ASSUMPTIONS</t>
  </si>
  <si>
    <t xml:space="preserve">Total Lots</t>
  </si>
  <si>
    <t xml:space="preserve">lots</t>
  </si>
  <si>
    <t xml:space="preserve">Land Value per Lot</t>
  </si>
  <si>
    <t xml:space="preserve">$</t>
  </si>
  <si>
    <t xml:space="preserve">Horizontal Dev Cost per Lot</t>
  </si>
  <si>
    <t xml:space="preserve">A&amp;E per Lot</t>
  </si>
  <si>
    <t xml:space="preserve">Amenity Package</t>
  </si>
  <si>
    <t xml:space="preserve">Monument Sign</t>
  </si>
  <si>
    <t xml:space="preserve">Carry Costs per Lot</t>
  </si>
  <si>
    <t xml:space="preserve">Contingency %</t>
  </si>
  <si>
    <t xml:space="preserve">%</t>
  </si>
  <si>
    <t xml:space="preserve">Const Mgmt Fee per Lot</t>
  </si>
  <si>
    <t xml:space="preserve">Const Mgmt Fee Cap</t>
  </si>
  <si>
    <t xml:space="preserve">Developer Fee per Lot</t>
  </si>
  <si>
    <t xml:space="preserve">Lot Sales Price</t>
  </si>
  <si>
    <t xml:space="preserve">Bank LTC</t>
  </si>
  <si>
    <t xml:space="preserve">Bank Interest Rate</t>
  </si>
  <si>
    <t xml:space="preserve">LP Pref Return</t>
  </si>
  <si>
    <t xml:space="preserve">LP Buyout IRR</t>
  </si>
  <si>
    <t xml:space="preserve">PHASE 2 ASSUMPTIONS</t>
  </si>
  <si>
    <t xml:space="preserve">Home Sales Price</t>
  </si>
  <si>
    <t xml:space="preserve">Selling Costs %</t>
  </si>
  <si>
    <t xml:space="preserve">Seller Concession</t>
  </si>
  <si>
    <t xml:space="preserve">Vertical Cost (incl RCC fee)</t>
  </si>
  <si>
    <t xml:space="preserve">Vertical Lender Rate</t>
  </si>
  <si>
    <t xml:space="preserve">Construction Period (mo)</t>
  </si>
  <si>
    <t xml:space="preserve">mo</t>
  </si>
  <si>
    <t xml:space="preserve">Scattered Lot Fund LP Return</t>
  </si>
  <si>
    <t xml:space="preserve">PHASE 1: SOURCES &amp; USES</t>
  </si>
  <si>
    <t xml:space="preserve">USES</t>
  </si>
  <si>
    <t xml:space="preserve">Land Acquisition</t>
  </si>
  <si>
    <t xml:space="preserve">Horizontal Development</t>
  </si>
  <si>
    <t xml:space="preserve">Architecture &amp; Engineering</t>
  </si>
  <si>
    <t xml:space="preserve">Carry Costs (Taxes/Ins)</t>
  </si>
  <si>
    <t xml:space="preserve">Subtotal Hard Costs</t>
  </si>
  <si>
    <t xml:space="preserve">Contingency (10%)</t>
  </si>
  <si>
    <t xml:space="preserve">Total Hard + Contingency</t>
  </si>
  <si>
    <t xml:space="preserve">Construction Mgmt Fee</t>
  </si>
  <si>
    <t xml:space="preserve">Developer Fee</t>
  </si>
  <si>
    <t xml:space="preserve">Interest Reserve (est)</t>
  </si>
  <si>
    <t xml:space="preserve">TOTAL USES</t>
  </si>
  <si>
    <t xml:space="preserve">SOURCES</t>
  </si>
  <si>
    <t xml:space="preserve">Senior Debt (75% LTC)</t>
  </si>
  <si>
    <t xml:space="preserve">LP Equity (100% of equity)</t>
  </si>
  <si>
    <t xml:space="preserve">TOTAL SOURCES</t>
  </si>
  <si>
    <t xml:space="preserve">LOT SALES</t>
  </si>
  <si>
    <t xml:space="preserve">Lot Sales Proceeds (137 x $70k)</t>
  </si>
  <si>
    <t xml:space="preserve">Gross Margin</t>
  </si>
  <si>
    <t xml:space="preserve">PHASE 1: LP BUYOUT WATERFALL</t>
  </si>
  <si>
    <t xml:space="preserve">LP Investment</t>
  </si>
  <si>
    <t xml:space="preserve">Target IRR</t>
  </si>
  <si>
    <t xml:space="preserve">BUYOUT SCHEDULE</t>
  </si>
  <si>
    <t xml:space="preserve">Period</t>
  </si>
  <si>
    <t xml:space="preserve">Month</t>
  </si>
  <si>
    <t xml:space="preserve">Lots</t>
  </si>
  <si>
    <t xml:space="preserve">% Total</t>
  </si>
  <si>
    <t xml:space="preserve">LP Principal</t>
  </si>
  <si>
    <t xml:space="preserve">IRR Factor</t>
  </si>
  <si>
    <t xml:space="preserve">Buyout Amt</t>
  </si>
  <si>
    <t xml:space="preserve">Lot Proceeds</t>
  </si>
  <si>
    <t xml:space="preserve">GP Equity</t>
  </si>
  <si>
    <t xml:space="preserve">TOTAL</t>
  </si>
  <si>
    <t xml:space="preserve">SUMMARY</t>
  </si>
  <si>
    <t xml:space="preserve">Total LP Investment</t>
  </si>
  <si>
    <t xml:space="preserve">Total LP Buyout</t>
  </si>
  <si>
    <t xml:space="preserve">LP Profit</t>
  </si>
  <si>
    <t xml:space="preserve">LP Multiple</t>
  </si>
  <si>
    <t xml:space="preserve">GP ROLLED EQUITY TO PHASE 2</t>
  </si>
  <si>
    <t xml:space="preserve">Ramsey (50%)</t>
  </si>
  <si>
    <t xml:space="preserve">Red Cedar (50%)</t>
  </si>
  <si>
    <t xml:space="preserve">PHASE 2: VERTICAL - PER HOME</t>
  </si>
  <si>
    <t xml:space="preserve">REVENUE</t>
  </si>
  <si>
    <t xml:space="preserve">COSTS</t>
  </si>
  <si>
    <t xml:space="preserve">Lot Cost</t>
  </si>
  <si>
    <t xml:space="preserve">Vertical Construction</t>
  </si>
  <si>
    <t xml:space="preserve">Construction Interest</t>
  </si>
  <si>
    <t xml:space="preserve">Selling Costs (8%)</t>
  </si>
  <si>
    <t xml:space="preserve">TOTAL COST</t>
  </si>
  <si>
    <t xml:space="preserve">PROFIT PER HOME</t>
  </si>
  <si>
    <t xml:space="preserve">Margin %</t>
  </si>
  <si>
    <t xml:space="preserve">PROJECT TOTALS (137 homes)</t>
  </si>
  <si>
    <t xml:space="preserve">Total Revenue</t>
  </si>
  <si>
    <t xml:space="preserve">Total Costs</t>
  </si>
  <si>
    <t xml:space="preserve">Total Profit</t>
  </si>
  <si>
    <t xml:space="preserve">PHASE 2: SCATTERED LOT FUND WATERFALL</t>
  </si>
  <si>
    <t xml:space="preserve">CAPITAL STRUCTURE</t>
  </si>
  <si>
    <t xml:space="preserve">GP Rolled Equity from Phase 1</t>
  </si>
  <si>
    <t xml:space="preserve">Total Lot Cost (137 x $70k)</t>
  </si>
  <si>
    <t xml:space="preserve">Scattered Lot Fund LP Capital</t>
  </si>
  <si>
    <t xml:space="preserve">LP RETURN CALC</t>
  </si>
  <si>
    <t xml:space="preserve">LP Capital</t>
  </si>
  <si>
    <t xml:space="preserve">Accruing Return</t>
  </si>
  <si>
    <t xml:space="preserve">Investment Period (months)</t>
  </si>
  <si>
    <t xml:space="preserve">Accrued Return</t>
  </si>
  <si>
    <t xml:space="preserve">Total LP Payout</t>
  </si>
  <si>
    <t xml:space="preserve">WATERFALL</t>
  </si>
  <si>
    <t xml:space="preserve">Gross Profit from Home Sales</t>
  </si>
  <si>
    <t xml:space="preserve">Less: LP Accrued Return</t>
  </si>
  <si>
    <t xml:space="preserve">REMAINING TO GPs</t>
  </si>
  <si>
    <t xml:space="preserve">GP SPLIT (50/50)</t>
  </si>
  <si>
    <t xml:space="preserve">Ramsey Roes, LLC</t>
  </si>
  <si>
    <t xml:space="preserve">Red Cedar Homes, LLC</t>
  </si>
  <si>
    <t xml:space="preserve">TOTAL GP RETURNS</t>
  </si>
  <si>
    <t xml:space="preserve">Phase 1 Rolled Equity</t>
  </si>
  <si>
    <t xml:space="preserve">Phase 2 Profit</t>
  </si>
  <si>
    <t xml:space="preserve">TOTAL GP VALUE</t>
  </si>
  <si>
    <t xml:space="preserve">Ramsey Total</t>
  </si>
  <si>
    <t xml:space="preserve">Red Cedar Total</t>
  </si>
  <si>
    <t xml:space="preserve">EXECUTIVE SUMMARY</t>
  </si>
  <si>
    <t xml:space="preserve">PROJECT OVERVIEW</t>
  </si>
  <si>
    <t xml:space="preserve">Total Lots/Homes</t>
  </si>
  <si>
    <t xml:space="preserve">PHASE 1: LOT DEVELOPMENT</t>
  </si>
  <si>
    <t xml:space="preserve">Total Development Cost</t>
  </si>
  <si>
    <t xml:space="preserve">Senior Debt</t>
  </si>
  <si>
    <t xml:space="preserve">LP Equity</t>
  </si>
  <si>
    <t xml:space="preserve">LP Buyout (25% IRR)</t>
  </si>
  <si>
    <t xml:space="preserve">GP Rolled Equity</t>
  </si>
  <si>
    <t xml:space="preserve">PHASE 2: VERTICAL</t>
  </si>
  <si>
    <t xml:space="preserve">Home Sales Revenue</t>
  </si>
  <si>
    <t xml:space="preserve">Gross Profit</t>
  </si>
  <si>
    <t xml:space="preserve">Scattered Lot Fund LP Payout</t>
  </si>
  <si>
    <t xml:space="preserve">Remaining to GPs</t>
  </si>
  <si>
    <t xml:space="preserve">Phase 1 + Phase 2</t>
  </si>
  <si>
    <t xml:space="preserve">Ramsey Roes, LLC (50%)</t>
  </si>
  <si>
    <t xml:space="preserve">Red Cedar Homes, LLC (50%)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</si>
</sst>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"/>
    <numFmt numFmtId="167" formatCode="0.0%"/>
    <numFmt numFmtId="168" formatCode="0.000"/>
    <numFmt numFmtId="169" formatCode="0.00\x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6" customFormat="false" ht="15" hidden="false" customHeight="false" outlineLevel="0" collapsed="false">
      <c r="A6" s="0" t="s">
        <v>3</v>
      </c>
      <c r="B6" s="3" t="n">
        <v>137</v>
      </c>
      <c r="C6" s="4" t="s">
        <v>4</v>
      </c>
    </row>
    <row r="7" customFormat="false" ht="15" hidden="false" customHeight="false" outlineLevel="0" collapsed="false">
      <c r="A7" s="0" t="s">
        <v>5</v>
      </c>
      <c r="B7" s="5" t="n">
        <v>20000</v>
      </c>
      <c r="C7" s="4" t="s">
        <v>6</v>
      </c>
    </row>
    <row r="8" customFormat="false" ht="15" hidden="false" customHeight="false" outlineLevel="0" collapsed="false">
      <c r="A8" s="0" t="s">
        <v>7</v>
      </c>
      <c r="B8" s="5" t="n">
        <v>40000</v>
      </c>
      <c r="C8" s="4" t="s">
        <v>6</v>
      </c>
    </row>
    <row r="9" customFormat="false" ht="15" hidden="false" customHeight="false" outlineLevel="0" collapsed="false">
      <c r="A9" s="0" t="s">
        <v>8</v>
      </c>
      <c r="B9" s="5" t="n">
        <v>1500</v>
      </c>
      <c r="C9" s="4" t="s">
        <v>6</v>
      </c>
    </row>
    <row r="10" customFormat="false" ht="15" hidden="false" customHeight="false" outlineLevel="0" collapsed="false">
      <c r="A10" s="0" t="s">
        <v>9</v>
      </c>
      <c r="B10" s="5" t="n">
        <v>500000</v>
      </c>
      <c r="C10" s="4" t="s">
        <v>6</v>
      </c>
    </row>
    <row r="11" customFormat="false" ht="15" hidden="false" customHeight="false" outlineLevel="0" collapsed="false">
      <c r="A11" s="0" t="s">
        <v>10</v>
      </c>
      <c r="B11" s="5" t="n">
        <v>20000</v>
      </c>
      <c r="C11" s="4" t="s">
        <v>6</v>
      </c>
    </row>
    <row r="12" customFormat="false" ht="15" hidden="false" customHeight="false" outlineLevel="0" collapsed="false">
      <c r="A12" s="0" t="s">
        <v>11</v>
      </c>
      <c r="B12" s="5" t="n">
        <v>1500</v>
      </c>
      <c r="C12" s="4" t="s">
        <v>6</v>
      </c>
    </row>
    <row r="13" customFormat="false" ht="15" hidden="false" customHeight="false" outlineLevel="0" collapsed="false">
      <c r="A13" s="0" t="s">
        <v>12</v>
      </c>
      <c r="B13" s="6" t="n">
        <v>0.1</v>
      </c>
      <c r="C13" s="4" t="s">
        <v>13</v>
      </c>
    </row>
    <row r="14" customFormat="false" ht="15" hidden="false" customHeight="false" outlineLevel="0" collapsed="false">
      <c r="A14" s="0" t="s">
        <v>14</v>
      </c>
      <c r="B14" s="5" t="n">
        <v>1500</v>
      </c>
      <c r="C14" s="4" t="s">
        <v>6</v>
      </c>
    </row>
    <row r="15" customFormat="false" ht="15" hidden="false" customHeight="false" outlineLevel="0" collapsed="false">
      <c r="A15" s="0" t="s">
        <v>15</v>
      </c>
      <c r="B15" s="5" t="n">
        <v>250000</v>
      </c>
      <c r="C15" s="4" t="s">
        <v>6</v>
      </c>
    </row>
    <row r="16" customFormat="false" ht="15" hidden="false" customHeight="false" outlineLevel="0" collapsed="false">
      <c r="A16" s="0" t="s">
        <v>16</v>
      </c>
      <c r="B16" s="5" t="n">
        <v>3000</v>
      </c>
      <c r="C16" s="4" t="s">
        <v>6</v>
      </c>
    </row>
    <row r="17" customFormat="false" ht="15" hidden="false" customHeight="false" outlineLevel="0" collapsed="false">
      <c r="A17" s="0" t="s">
        <v>17</v>
      </c>
      <c r="B17" s="5" t="n">
        <v>70000</v>
      </c>
      <c r="C17" s="4" t="s">
        <v>6</v>
      </c>
    </row>
    <row r="18" customFormat="false" ht="15" hidden="false" customHeight="false" outlineLevel="0" collapsed="false">
      <c r="A18" s="0" t="s">
        <v>18</v>
      </c>
      <c r="B18" s="6" t="n">
        <v>0.75</v>
      </c>
      <c r="C18" s="4" t="s">
        <v>13</v>
      </c>
    </row>
    <row r="19" customFormat="false" ht="15" hidden="false" customHeight="false" outlineLevel="0" collapsed="false">
      <c r="A19" s="0" t="s">
        <v>19</v>
      </c>
      <c r="B19" s="6" t="n">
        <v>0.07</v>
      </c>
      <c r="C19" s="4" t="s">
        <v>13</v>
      </c>
    </row>
    <row r="20" customFormat="false" ht="15" hidden="false" customHeight="false" outlineLevel="0" collapsed="false">
      <c r="A20" s="0" t="s">
        <v>20</v>
      </c>
      <c r="B20" s="6" t="n">
        <v>0.09</v>
      </c>
      <c r="C20" s="4" t="s">
        <v>13</v>
      </c>
    </row>
    <row r="21" customFormat="false" ht="15" hidden="false" customHeight="false" outlineLevel="0" collapsed="false">
      <c r="A21" s="0" t="s">
        <v>21</v>
      </c>
      <c r="B21" s="6" t="n">
        <v>0.25</v>
      </c>
      <c r="C21" s="4" t="s">
        <v>13</v>
      </c>
    </row>
    <row r="23" customFormat="false" ht="15" hidden="false" customHeight="false" outlineLevel="0" collapsed="false">
      <c r="A23" s="2" t="s">
        <v>22</v>
      </c>
    </row>
    <row r="25" customFormat="false" ht="15" hidden="false" customHeight="false" outlineLevel="0" collapsed="false">
      <c r="A25" s="0" t="s">
        <v>23</v>
      </c>
      <c r="B25" s="5" t="n">
        <v>295000</v>
      </c>
      <c r="C25" s="4" t="s">
        <v>6</v>
      </c>
    </row>
    <row r="26" customFormat="false" ht="15" hidden="false" customHeight="false" outlineLevel="0" collapsed="false">
      <c r="A26" s="0" t="s">
        <v>24</v>
      </c>
      <c r="B26" s="6" t="n">
        <v>0.08</v>
      </c>
      <c r="C26" s="4" t="s">
        <v>13</v>
      </c>
    </row>
    <row r="27" customFormat="false" ht="15" hidden="false" customHeight="false" outlineLevel="0" collapsed="false">
      <c r="A27" s="0" t="s">
        <v>25</v>
      </c>
      <c r="B27" s="5" t="n">
        <v>10000</v>
      </c>
      <c r="C27" s="4" t="s">
        <v>6</v>
      </c>
    </row>
    <row r="28" customFormat="false" ht="15" hidden="false" customHeight="false" outlineLevel="0" collapsed="false">
      <c r="A28" s="0" t="s">
        <v>26</v>
      </c>
      <c r="B28" s="5" t="n">
        <v>208000</v>
      </c>
      <c r="C28" s="4" t="s">
        <v>6</v>
      </c>
    </row>
    <row r="29" customFormat="false" ht="15" hidden="false" customHeight="false" outlineLevel="0" collapsed="false">
      <c r="A29" s="0" t="s">
        <v>27</v>
      </c>
      <c r="B29" s="6" t="n">
        <v>0.1</v>
      </c>
      <c r="C29" s="4" t="s">
        <v>13</v>
      </c>
    </row>
    <row r="30" customFormat="false" ht="15" hidden="false" customHeight="false" outlineLevel="0" collapsed="false">
      <c r="A30" s="0" t="s">
        <v>28</v>
      </c>
      <c r="B30" s="3" t="n">
        <v>6</v>
      </c>
      <c r="C30" s="4" t="s">
        <v>29</v>
      </c>
    </row>
    <row r="31" customFormat="false" ht="15" hidden="false" customHeight="false" outlineLevel="0" collapsed="false">
      <c r="A31" s="0" t="s">
        <v>30</v>
      </c>
      <c r="B31" s="6" t="n">
        <v>0.2</v>
      </c>
      <c r="C31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31</v>
      </c>
    </row>
    <row r="3" customFormat="false" ht="15" hidden="false" customHeight="false" outlineLevel="0" collapsed="false">
      <c r="A3" s="2" t="s">
        <v>32</v>
      </c>
    </row>
    <row r="4" customFormat="false" ht="15" hidden="false" customHeight="false" outlineLevel="0" collapsed="false">
      <c r="A4" s="0" t="s">
        <v>33</v>
      </c>
      <c r="B4" s="7" t="n">
        <f aca="false">Assumptions!B6*Assumptions!B7</f>
        <v>2740000</v>
      </c>
    </row>
    <row r="5" customFormat="false" ht="15" hidden="false" customHeight="false" outlineLevel="0" collapsed="false">
      <c r="A5" s="0" t="s">
        <v>34</v>
      </c>
      <c r="B5" s="7" t="n">
        <f aca="false">Assumptions!B6*Assumptions!B8</f>
        <v>5480000</v>
      </c>
    </row>
    <row r="6" customFormat="false" ht="15" hidden="false" customHeight="false" outlineLevel="0" collapsed="false">
      <c r="A6" s="0" t="s">
        <v>35</v>
      </c>
      <c r="B6" s="7" t="n">
        <f aca="false">Assumptions!B6*Assumptions!B9</f>
        <v>205500</v>
      </c>
    </row>
    <row r="7" customFormat="false" ht="15" hidden="false" customHeight="false" outlineLevel="0" collapsed="false">
      <c r="A7" s="0" t="s">
        <v>9</v>
      </c>
      <c r="B7" s="7" t="n">
        <f aca="false">Assumptions!B10</f>
        <v>500000</v>
      </c>
    </row>
    <row r="8" customFormat="false" ht="15" hidden="false" customHeight="false" outlineLevel="0" collapsed="false">
      <c r="A8" s="0" t="s">
        <v>10</v>
      </c>
      <c r="B8" s="7" t="n">
        <f aca="false">Assumptions!B11</f>
        <v>20000</v>
      </c>
    </row>
    <row r="9" customFormat="false" ht="15" hidden="false" customHeight="false" outlineLevel="0" collapsed="false">
      <c r="A9" s="0" t="s">
        <v>36</v>
      </c>
      <c r="B9" s="7" t="n">
        <f aca="false">Assumptions!B6*Assumptions!B12</f>
        <v>205500</v>
      </c>
    </row>
    <row r="10" customFormat="false" ht="15" hidden="false" customHeight="false" outlineLevel="0" collapsed="false">
      <c r="A10" s="8" t="s">
        <v>37</v>
      </c>
      <c r="B10" s="9" t="n">
        <f aca="false">SUM(B4:B9)</f>
        <v>9151000</v>
      </c>
    </row>
    <row r="11" customFormat="false" ht="15" hidden="false" customHeight="false" outlineLevel="0" collapsed="false">
      <c r="A11" s="0" t="s">
        <v>38</v>
      </c>
      <c r="B11" s="7" t="n">
        <f aca="false">B10*Assumptions!B13</f>
        <v>915100</v>
      </c>
    </row>
    <row r="12" customFormat="false" ht="15" hidden="false" customHeight="false" outlineLevel="0" collapsed="false">
      <c r="A12" s="8" t="s">
        <v>39</v>
      </c>
      <c r="B12" s="9" t="n">
        <f aca="false">B10+B11</f>
        <v>10066100</v>
      </c>
    </row>
    <row r="13" customFormat="false" ht="15" hidden="false" customHeight="false" outlineLevel="0" collapsed="false">
      <c r="A13" s="0" t="s">
        <v>40</v>
      </c>
      <c r="B13" s="7" t="n">
        <f aca="false">MIN(Assumptions!B6*Assumptions!B14,Assumptions!B15)</f>
        <v>205500</v>
      </c>
    </row>
    <row r="14" customFormat="false" ht="15" hidden="false" customHeight="false" outlineLevel="0" collapsed="false">
      <c r="A14" s="0" t="s">
        <v>41</v>
      </c>
      <c r="B14" s="7" t="n">
        <f aca="false">Assumptions!B6*Assumptions!B16</f>
        <v>411000</v>
      </c>
    </row>
    <row r="15" customFormat="false" ht="15" hidden="false" customHeight="false" outlineLevel="0" collapsed="false">
      <c r="A15" s="0" t="s">
        <v>42</v>
      </c>
      <c r="B15" s="7" t="n">
        <f aca="false">B12*Assumptions!B18*Assumptions!B19*1.5</f>
        <v>792705.375</v>
      </c>
    </row>
    <row r="16" customFormat="false" ht="15" hidden="false" customHeight="false" outlineLevel="0" collapsed="false">
      <c r="A16" s="8" t="s">
        <v>43</v>
      </c>
      <c r="B16" s="9" t="n">
        <f aca="false">B12+B13+B14+B15</f>
        <v>11475305.375</v>
      </c>
    </row>
    <row r="18" customFormat="false" ht="15" hidden="false" customHeight="false" outlineLevel="0" collapsed="false">
      <c r="A18" s="2" t="s">
        <v>44</v>
      </c>
    </row>
    <row r="19" customFormat="false" ht="15" hidden="false" customHeight="false" outlineLevel="0" collapsed="false">
      <c r="A19" s="0" t="s">
        <v>45</v>
      </c>
      <c r="B19" s="7" t="n">
        <f aca="false">B16*Assumptions!B18</f>
        <v>8606479.03125</v>
      </c>
    </row>
    <row r="20" customFormat="false" ht="15" hidden="false" customHeight="false" outlineLevel="0" collapsed="false">
      <c r="A20" s="0" t="s">
        <v>46</v>
      </c>
      <c r="B20" s="7" t="n">
        <f aca="false">B16-B19</f>
        <v>2868826.34375</v>
      </c>
    </row>
    <row r="21" customFormat="false" ht="15" hidden="false" customHeight="false" outlineLevel="0" collapsed="false">
      <c r="A21" s="8" t="s">
        <v>47</v>
      </c>
      <c r="B21" s="9" t="n">
        <f aca="false">B19+B20</f>
        <v>11475305.375</v>
      </c>
    </row>
    <row r="23" customFormat="false" ht="15" hidden="false" customHeight="false" outlineLevel="0" collapsed="false">
      <c r="A23" s="2" t="s">
        <v>48</v>
      </c>
    </row>
    <row r="24" customFormat="false" ht="15" hidden="false" customHeight="false" outlineLevel="0" collapsed="false">
      <c r="A24" s="0" t="s">
        <v>49</v>
      </c>
      <c r="B24" s="7" t="n">
        <f aca="false">Assumptions!B6*Assumptions!B17</f>
        <v>9590000</v>
      </c>
    </row>
    <row r="25" customFormat="false" ht="15" hidden="false" customHeight="false" outlineLevel="0" collapsed="false">
      <c r="A25" s="0" t="s">
        <v>50</v>
      </c>
      <c r="B25" s="9" t="n">
        <f aca="false">B24-B16</f>
        <v>-1885305.375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5"/>
    <col collapsed="false" customWidth="true" hidden="false" outlineLevel="0" max="5" min="5" style="0" width="18"/>
    <col collapsed="false" customWidth="true" hidden="false" outlineLevel="0" max="7" min="6" style="0" width="15"/>
    <col collapsed="false" customWidth="true" hidden="false" outlineLevel="0" max="10" min="8" style="0" width="18"/>
  </cols>
  <sheetData>
    <row r="1" customFormat="false" ht="17.35" hidden="false" customHeight="false" outlineLevel="0" collapsed="false">
      <c r="A1" s="1" t="s">
        <v>51</v>
      </c>
    </row>
    <row r="3" customFormat="false" ht="15" hidden="false" customHeight="false" outlineLevel="0" collapsed="false">
      <c r="A3" s="0" t="s">
        <v>52</v>
      </c>
      <c r="B3" s="7" t="n">
        <f aca="false">'Phase 1 S&amp;U'!B20</f>
        <v>2868826.34375</v>
      </c>
    </row>
    <row r="4" customFormat="false" ht="15" hidden="false" customHeight="false" outlineLevel="0" collapsed="false">
      <c r="A4" s="0" t="s">
        <v>53</v>
      </c>
      <c r="B4" s="10" t="n">
        <f aca="false">Assumptions!B21</f>
        <v>0.25</v>
      </c>
    </row>
    <row r="6" customFormat="false" ht="15" hidden="false" customHeight="false" outlineLevel="0" collapsed="false">
      <c r="A6" s="2" t="s">
        <v>54</v>
      </c>
    </row>
    <row r="7" customFormat="false" ht="15" hidden="false" customHeight="false" outlineLevel="0" collapsed="false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</row>
    <row r="8" customFormat="false" ht="15" hidden="false" customHeight="false" outlineLevel="0" collapsed="false">
      <c r="A8" s="0" t="n">
        <v>1</v>
      </c>
      <c r="B8" s="0" t="n">
        <v>16</v>
      </c>
      <c r="C8" s="11" t="n">
        <v>20</v>
      </c>
      <c r="D8" s="10" t="n">
        <f aca="false">C8/137</f>
        <v>0.145985401459854</v>
      </c>
      <c r="E8" s="7" t="n">
        <f aca="false">$B$3*D8</f>
        <v>418806.765510949</v>
      </c>
      <c r="F8" s="12" t="n">
        <f aca="false">(1+$B$4)^(B8/12)</f>
        <v>1.34652168126993</v>
      </c>
      <c r="G8" s="7" t="n">
        <f aca="false">E8*F8</f>
        <v>563932.390023023</v>
      </c>
      <c r="H8" s="7" t="n">
        <f aca="false">C8*Assumptions!$B$17</f>
        <v>1400000</v>
      </c>
      <c r="I8" s="7" t="n">
        <f aca="false">H8-G8</f>
        <v>836067.609976977</v>
      </c>
    </row>
    <row r="9" customFormat="false" ht="15" hidden="false" customHeight="false" outlineLevel="0" collapsed="false">
      <c r="A9" s="0" t="n">
        <v>2</v>
      </c>
      <c r="B9" s="0" t="n">
        <v>19</v>
      </c>
      <c r="C9" s="11" t="n">
        <v>20</v>
      </c>
      <c r="D9" s="10" t="n">
        <f aca="false">C9/137</f>
        <v>0.145985401459854</v>
      </c>
      <c r="E9" s="7" t="n">
        <f aca="false">$B$3*D9</f>
        <v>418806.765510949</v>
      </c>
      <c r="F9" s="12" t="n">
        <f aca="false">(1+$B$4)^(B9/12)</f>
        <v>1.4237733313745</v>
      </c>
      <c r="G9" s="7" t="n">
        <f aca="false">E9*F9</f>
        <v>596285.903733701</v>
      </c>
      <c r="H9" s="7" t="n">
        <f aca="false">C9*Assumptions!$B$17</f>
        <v>1400000</v>
      </c>
      <c r="I9" s="7" t="n">
        <f aca="false">H9-G9</f>
        <v>803714.096266299</v>
      </c>
    </row>
    <row r="10" customFormat="false" ht="15" hidden="false" customHeight="false" outlineLevel="0" collapsed="false">
      <c r="A10" s="0" t="n">
        <v>3</v>
      </c>
      <c r="B10" s="0" t="n">
        <v>22</v>
      </c>
      <c r="C10" s="11" t="n">
        <v>20</v>
      </c>
      <c r="D10" s="10" t="n">
        <f aca="false">C10/137</f>
        <v>0.145985401459854</v>
      </c>
      <c r="E10" s="7" t="n">
        <f aca="false">$B$3*D10</f>
        <v>418806.765510949</v>
      </c>
      <c r="F10" s="12" t="n">
        <f aca="false">(1+$B$4)^(B10/12)</f>
        <v>1.50545700624843</v>
      </c>
      <c r="G10" s="7" t="n">
        <f aca="false">E10*F10</f>
        <v>630495.579402702</v>
      </c>
      <c r="H10" s="7" t="n">
        <f aca="false">C10*Assumptions!$B$17</f>
        <v>1400000</v>
      </c>
      <c r="I10" s="7" t="n">
        <f aca="false">H10-G10</f>
        <v>769504.420597298</v>
      </c>
    </row>
    <row r="11" customFormat="false" ht="15" hidden="false" customHeight="false" outlineLevel="0" collapsed="false">
      <c r="A11" s="0" t="n">
        <v>4</v>
      </c>
      <c r="B11" s="0" t="n">
        <v>25</v>
      </c>
      <c r="C11" s="11" t="n">
        <v>20</v>
      </c>
      <c r="D11" s="10" t="n">
        <f aca="false">C11/137</f>
        <v>0.145985401459854</v>
      </c>
      <c r="E11" s="7" t="n">
        <f aca="false">$B$3*D11</f>
        <v>418806.765510949</v>
      </c>
      <c r="F11" s="12" t="n">
        <f aca="false">(1+$B$4)^(B11/12)</f>
        <v>1.59182697675235</v>
      </c>
      <c r="G11" s="7" t="n">
        <f aca="false">E11*F11</f>
        <v>666667.907386726</v>
      </c>
      <c r="H11" s="7" t="n">
        <f aca="false">C11*Assumptions!$B$17</f>
        <v>1400000</v>
      </c>
      <c r="I11" s="7" t="n">
        <f aca="false">H11-G11</f>
        <v>733332.092613275</v>
      </c>
    </row>
    <row r="12" customFormat="false" ht="15" hidden="false" customHeight="false" outlineLevel="0" collapsed="false">
      <c r="A12" s="0" t="n">
        <v>5</v>
      </c>
      <c r="B12" s="0" t="n">
        <v>28</v>
      </c>
      <c r="C12" s="11" t="n">
        <v>20</v>
      </c>
      <c r="D12" s="10" t="n">
        <f aca="false">C12/137</f>
        <v>0.145985401459854</v>
      </c>
      <c r="E12" s="7" t="n">
        <f aca="false">$B$3*D12</f>
        <v>418806.765510949</v>
      </c>
      <c r="F12" s="12" t="n">
        <f aca="false">(1+$B$4)^(B12/12)</f>
        <v>1.68315210158741</v>
      </c>
      <c r="G12" s="7" t="n">
        <f aca="false">E12*F12</f>
        <v>704915.487528779</v>
      </c>
      <c r="H12" s="7" t="n">
        <f aca="false">C12*Assumptions!$B$17</f>
        <v>1400000</v>
      </c>
      <c r="I12" s="7" t="n">
        <f aca="false">H12-G12</f>
        <v>695084.512471221</v>
      </c>
    </row>
    <row r="13" customFormat="false" ht="15" hidden="false" customHeight="false" outlineLevel="0" collapsed="false">
      <c r="A13" s="0" t="n">
        <v>6</v>
      </c>
      <c r="B13" s="0" t="n">
        <v>31</v>
      </c>
      <c r="C13" s="11" t="n">
        <v>20</v>
      </c>
      <c r="D13" s="10" t="n">
        <f aca="false">C13/137</f>
        <v>0.145985401459854</v>
      </c>
      <c r="E13" s="7" t="n">
        <f aca="false">$B$3*D13</f>
        <v>418806.765510949</v>
      </c>
      <c r="F13" s="12" t="n">
        <f aca="false">(1+$B$4)^(B13/12)</f>
        <v>1.77971666421812</v>
      </c>
      <c r="G13" s="7" t="n">
        <f aca="false">E13*F13</f>
        <v>745357.379667126</v>
      </c>
      <c r="H13" s="7" t="n">
        <f aca="false">C13*Assumptions!$B$17</f>
        <v>1400000</v>
      </c>
      <c r="I13" s="7" t="n">
        <f aca="false">H13-G13</f>
        <v>654642.620332874</v>
      </c>
    </row>
    <row r="14" customFormat="false" ht="15" hidden="false" customHeight="false" outlineLevel="0" collapsed="false">
      <c r="A14" s="0" t="n">
        <v>7</v>
      </c>
      <c r="B14" s="0" t="n">
        <v>34</v>
      </c>
      <c r="C14" s="11" t="n">
        <v>17</v>
      </c>
      <c r="D14" s="10" t="n">
        <f aca="false">C14/137</f>
        <v>0.124087591240876</v>
      </c>
      <c r="E14" s="7" t="n">
        <f aca="false">$B$3*D14</f>
        <v>355985.750684307</v>
      </c>
      <c r="F14" s="12" t="n">
        <f aca="false">(1+$B$4)^(B14/12)</f>
        <v>1.88182125781054</v>
      </c>
      <c r="G14" s="7" t="n">
        <f aca="false">E14*F14</f>
        <v>669901.553115371</v>
      </c>
      <c r="H14" s="7" t="n">
        <f aca="false">C14*Assumptions!$B$17</f>
        <v>1190000</v>
      </c>
      <c r="I14" s="7" t="n">
        <f aca="false">H14-G14</f>
        <v>520098.446884629</v>
      </c>
    </row>
    <row r="15" customFormat="false" ht="15" hidden="false" customHeight="false" outlineLevel="0" collapsed="false">
      <c r="A15" s="8" t="s">
        <v>64</v>
      </c>
      <c r="C15" s="4" t="n">
        <f aca="false">SUM(C8:C14)</f>
        <v>137</v>
      </c>
      <c r="E15" s="7" t="n">
        <f aca="false">SUM(E8:E14)</f>
        <v>2868826.34375</v>
      </c>
      <c r="G15" s="9" t="n">
        <f aca="false">SUM(G8:G14)</f>
        <v>4577556.20085743</v>
      </c>
      <c r="H15" s="7" t="n">
        <f aca="false">SUM(H8:H14)</f>
        <v>9590000</v>
      </c>
      <c r="I15" s="13" t="n">
        <f aca="false">SUM(I8:I14)</f>
        <v>5012443.79914257</v>
      </c>
    </row>
    <row r="17" customFormat="false" ht="15" hidden="false" customHeight="false" outlineLevel="0" collapsed="false">
      <c r="A17" s="2" t="s">
        <v>65</v>
      </c>
    </row>
    <row r="18" customFormat="false" ht="15" hidden="false" customHeight="false" outlineLevel="0" collapsed="false">
      <c r="A18" s="0" t="s">
        <v>66</v>
      </c>
      <c r="B18" s="7" t="n">
        <f aca="false">B3</f>
        <v>2868826.34375</v>
      </c>
    </row>
    <row r="19" customFormat="false" ht="15" hidden="false" customHeight="false" outlineLevel="0" collapsed="false">
      <c r="A19" s="0" t="s">
        <v>67</v>
      </c>
      <c r="B19" s="7" t="n">
        <f aca="false">G15</f>
        <v>4577556.20085743</v>
      </c>
    </row>
    <row r="20" customFormat="false" ht="15" hidden="false" customHeight="false" outlineLevel="0" collapsed="false">
      <c r="A20" s="0" t="s">
        <v>68</v>
      </c>
      <c r="B20" s="7" t="n">
        <f aca="false">B19-B18</f>
        <v>1708729.85710743</v>
      </c>
    </row>
    <row r="21" customFormat="false" ht="15" hidden="false" customHeight="false" outlineLevel="0" collapsed="false">
      <c r="A21" s="0" t="s">
        <v>69</v>
      </c>
      <c r="B21" s="14" t="n">
        <f aca="false">B19/B18</f>
        <v>1.59561982928317</v>
      </c>
    </row>
    <row r="23" customFormat="false" ht="15" hidden="false" customHeight="false" outlineLevel="0" collapsed="false">
      <c r="A23" s="8" t="s">
        <v>70</v>
      </c>
      <c r="B23" s="13" t="n">
        <f aca="false">I15</f>
        <v>5012443.79914257</v>
      </c>
    </row>
    <row r="25" customFormat="false" ht="15" hidden="false" customHeight="false" outlineLevel="0" collapsed="false">
      <c r="A25" s="0" t="s">
        <v>71</v>
      </c>
      <c r="B25" s="7" t="n">
        <f aca="false">B23*0.5</f>
        <v>2506221.89957129</v>
      </c>
    </row>
    <row r="26" customFormat="false" ht="15" hidden="false" customHeight="false" outlineLevel="0" collapsed="false">
      <c r="A26" s="0" t="s">
        <v>72</v>
      </c>
      <c r="B26" s="7" t="n">
        <f aca="false">B23*0.5</f>
        <v>2506221.89957129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18"/>
  </cols>
  <sheetData>
    <row r="1" customFormat="false" ht="17.35" hidden="false" customHeight="false" outlineLevel="0" collapsed="false">
      <c r="A1" s="1" t="s">
        <v>73</v>
      </c>
    </row>
    <row r="3" customFormat="false" ht="15" hidden="false" customHeight="false" outlineLevel="0" collapsed="false">
      <c r="A3" s="2" t="s">
        <v>74</v>
      </c>
    </row>
    <row r="4" customFormat="false" ht="15" hidden="false" customHeight="false" outlineLevel="0" collapsed="false">
      <c r="A4" s="0" t="s">
        <v>23</v>
      </c>
      <c r="B4" s="7" t="n">
        <f aca="false">Assumptions!B25</f>
        <v>295000</v>
      </c>
    </row>
    <row r="6" customFormat="false" ht="15" hidden="false" customHeight="false" outlineLevel="0" collapsed="false">
      <c r="A6" s="2" t="s">
        <v>75</v>
      </c>
    </row>
    <row r="7" customFormat="false" ht="15" hidden="false" customHeight="false" outlineLevel="0" collapsed="false">
      <c r="A7" s="0" t="s">
        <v>76</v>
      </c>
      <c r="B7" s="7" t="n">
        <f aca="false">Assumptions!B17</f>
        <v>70000</v>
      </c>
    </row>
    <row r="8" customFormat="false" ht="15" hidden="false" customHeight="false" outlineLevel="0" collapsed="false">
      <c r="A8" s="0" t="s">
        <v>77</v>
      </c>
      <c r="B8" s="7" t="n">
        <f aca="false">Assumptions!B28</f>
        <v>208000</v>
      </c>
    </row>
    <row r="9" customFormat="false" ht="15" hidden="false" customHeight="false" outlineLevel="0" collapsed="false">
      <c r="A9" s="0" t="s">
        <v>78</v>
      </c>
      <c r="B9" s="7" t="n">
        <f aca="false">B8*0.5*Assumptions!B29*(Assumptions!B30/12)</f>
        <v>5200</v>
      </c>
    </row>
    <row r="10" customFormat="false" ht="15" hidden="false" customHeight="false" outlineLevel="0" collapsed="false">
      <c r="A10" s="0" t="s">
        <v>79</v>
      </c>
      <c r="B10" s="7" t="n">
        <f aca="false">B4*Assumptions!B26</f>
        <v>23600</v>
      </c>
    </row>
    <row r="11" customFormat="false" ht="15" hidden="false" customHeight="false" outlineLevel="0" collapsed="false">
      <c r="A11" s="0" t="s">
        <v>25</v>
      </c>
      <c r="B11" s="7" t="n">
        <f aca="false">Assumptions!B27</f>
        <v>10000</v>
      </c>
    </row>
    <row r="12" customFormat="false" ht="15" hidden="false" customHeight="false" outlineLevel="0" collapsed="false">
      <c r="A12" s="8" t="s">
        <v>80</v>
      </c>
      <c r="B12" s="9" t="n">
        <f aca="false">SUM(B7:B11)</f>
        <v>316800</v>
      </c>
    </row>
    <row r="14" customFormat="false" ht="15" hidden="false" customHeight="false" outlineLevel="0" collapsed="false">
      <c r="A14" s="8" t="s">
        <v>81</v>
      </c>
      <c r="B14" s="9" t="n">
        <f aca="false">B4-B12</f>
        <v>-21800</v>
      </c>
    </row>
    <row r="15" customFormat="false" ht="15" hidden="false" customHeight="false" outlineLevel="0" collapsed="false">
      <c r="A15" s="0" t="s">
        <v>82</v>
      </c>
      <c r="B15" s="10" t="n">
        <f aca="false">B14/B4</f>
        <v>-0.0738983050847458</v>
      </c>
    </row>
    <row r="17" customFormat="false" ht="15" hidden="false" customHeight="false" outlineLevel="0" collapsed="false">
      <c r="A17" s="2" t="s">
        <v>83</v>
      </c>
    </row>
    <row r="18" customFormat="false" ht="15" hidden="false" customHeight="false" outlineLevel="0" collapsed="false">
      <c r="A18" s="0" t="s">
        <v>84</v>
      </c>
      <c r="B18" s="7" t="n">
        <f aca="false">B4*137</f>
        <v>40415000</v>
      </c>
    </row>
    <row r="19" customFormat="false" ht="15" hidden="false" customHeight="false" outlineLevel="0" collapsed="false">
      <c r="A19" s="0" t="s">
        <v>85</v>
      </c>
      <c r="B19" s="7" t="n">
        <f aca="false">B12*137</f>
        <v>43401600</v>
      </c>
    </row>
    <row r="20" customFormat="false" ht="15" hidden="false" customHeight="false" outlineLevel="0" collapsed="false">
      <c r="A20" s="8" t="s">
        <v>86</v>
      </c>
      <c r="B20" s="13" t="n">
        <f aca="false">B14*137</f>
        <v>-2986600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87</v>
      </c>
    </row>
    <row r="3" customFormat="false" ht="15" hidden="false" customHeight="false" outlineLevel="0" collapsed="false">
      <c r="A3" s="2" t="s">
        <v>88</v>
      </c>
    </row>
    <row r="4" customFormat="false" ht="15" hidden="false" customHeight="false" outlineLevel="0" collapsed="false">
      <c r="A4" s="0" t="s">
        <v>89</v>
      </c>
      <c r="B4" s="7" t="n">
        <f aca="false">'Phase 1 Waterfall'!B23</f>
        <v>5012443.79914257</v>
      </c>
    </row>
    <row r="5" customFormat="false" ht="15" hidden="false" customHeight="false" outlineLevel="0" collapsed="false">
      <c r="A5" s="0" t="s">
        <v>90</v>
      </c>
      <c r="B5" s="7" t="n">
        <f aca="false">137*Assumptions!B17</f>
        <v>9590000</v>
      </c>
    </row>
    <row r="6" customFormat="false" ht="15" hidden="false" customHeight="false" outlineLevel="0" collapsed="false">
      <c r="A6" s="8" t="s">
        <v>91</v>
      </c>
      <c r="B6" s="9" t="n">
        <f aca="false">B5-B4</f>
        <v>4577556.20085743</v>
      </c>
    </row>
    <row r="8" customFormat="false" ht="15" hidden="false" customHeight="false" outlineLevel="0" collapsed="false">
      <c r="A8" s="2" t="s">
        <v>92</v>
      </c>
    </row>
    <row r="9" customFormat="false" ht="15" hidden="false" customHeight="false" outlineLevel="0" collapsed="false">
      <c r="A9" s="0" t="s">
        <v>93</v>
      </c>
      <c r="B9" s="7" t="n">
        <f aca="false">B6</f>
        <v>4577556.20085743</v>
      </c>
    </row>
    <row r="10" customFormat="false" ht="15" hidden="false" customHeight="false" outlineLevel="0" collapsed="false">
      <c r="A10" s="0" t="s">
        <v>94</v>
      </c>
      <c r="B10" s="10" t="n">
        <f aca="false">Assumptions!B31</f>
        <v>0.2</v>
      </c>
    </row>
    <row r="11" customFormat="false" ht="15" hidden="false" customHeight="false" outlineLevel="0" collapsed="false">
      <c r="A11" s="0" t="s">
        <v>95</v>
      </c>
      <c r="B11" s="11" t="n">
        <v>36</v>
      </c>
    </row>
    <row r="12" customFormat="false" ht="15" hidden="false" customHeight="false" outlineLevel="0" collapsed="false">
      <c r="A12" s="0" t="s">
        <v>96</v>
      </c>
      <c r="B12" s="7" t="n">
        <f aca="false">B9*B10*(B11/12)</f>
        <v>2746533.72051446</v>
      </c>
    </row>
    <row r="13" customFormat="false" ht="15" hidden="false" customHeight="false" outlineLevel="0" collapsed="false">
      <c r="A13" s="8" t="s">
        <v>97</v>
      </c>
      <c r="B13" s="9" t="n">
        <f aca="false">B9+B12</f>
        <v>7324089.92137188</v>
      </c>
    </row>
    <row r="15" customFormat="false" ht="15" hidden="false" customHeight="false" outlineLevel="0" collapsed="false">
      <c r="A15" s="2" t="s">
        <v>98</v>
      </c>
    </row>
    <row r="16" customFormat="false" ht="15" hidden="false" customHeight="false" outlineLevel="0" collapsed="false">
      <c r="A16" s="0" t="s">
        <v>99</v>
      </c>
      <c r="B16" s="7" t="n">
        <f aca="false">'Phase 2 S&amp;U'!B20</f>
        <v>-2986600</v>
      </c>
    </row>
    <row r="17" customFormat="false" ht="15" hidden="false" customHeight="false" outlineLevel="0" collapsed="false">
      <c r="A17" s="0" t="s">
        <v>100</v>
      </c>
      <c r="B17" s="7" t="n">
        <f aca="false">-B12</f>
        <v>-2746533.72051446</v>
      </c>
    </row>
    <row r="18" customFormat="false" ht="15" hidden="false" customHeight="false" outlineLevel="0" collapsed="false">
      <c r="A18" s="8" t="s">
        <v>101</v>
      </c>
      <c r="B18" s="13" t="n">
        <f aca="false">B16+B17</f>
        <v>-5733133.72051446</v>
      </c>
    </row>
    <row r="20" customFormat="false" ht="15" hidden="false" customHeight="false" outlineLevel="0" collapsed="false">
      <c r="A20" s="2" t="s">
        <v>102</v>
      </c>
    </row>
    <row r="21" customFormat="false" ht="15" hidden="false" customHeight="false" outlineLevel="0" collapsed="false">
      <c r="A21" s="0" t="s">
        <v>103</v>
      </c>
      <c r="B21" s="15" t="n">
        <f aca="false">B18*0.5</f>
        <v>-2866566.86025723</v>
      </c>
    </row>
    <row r="22" customFormat="false" ht="15" hidden="false" customHeight="false" outlineLevel="0" collapsed="false">
      <c r="A22" s="0" t="s">
        <v>104</v>
      </c>
      <c r="B22" s="15" t="n">
        <f aca="false">B18*0.5</f>
        <v>-2866566.86025723</v>
      </c>
    </row>
    <row r="24" customFormat="false" ht="15" hidden="false" customHeight="false" outlineLevel="0" collapsed="false">
      <c r="A24" s="2" t="s">
        <v>105</v>
      </c>
    </row>
    <row r="25" customFormat="false" ht="15" hidden="false" customHeight="false" outlineLevel="0" collapsed="false">
      <c r="A25" s="0" t="s">
        <v>106</v>
      </c>
      <c r="B25" s="7" t="n">
        <f aca="false">B4</f>
        <v>5012443.79914257</v>
      </c>
    </row>
    <row r="26" customFormat="false" ht="15" hidden="false" customHeight="false" outlineLevel="0" collapsed="false">
      <c r="A26" s="0" t="s">
        <v>107</v>
      </c>
      <c r="B26" s="7" t="n">
        <f aca="false">B18</f>
        <v>-5733133.72051446</v>
      </c>
    </row>
    <row r="27" customFormat="false" ht="15" hidden="false" customHeight="false" outlineLevel="0" collapsed="false">
      <c r="A27" s="8" t="s">
        <v>108</v>
      </c>
      <c r="B27" s="13" t="n">
        <f aca="false">B25+B26</f>
        <v>-720689.921371883</v>
      </c>
    </row>
    <row r="29" customFormat="false" ht="15" hidden="false" customHeight="false" outlineLevel="0" collapsed="false">
      <c r="A29" s="0" t="s">
        <v>109</v>
      </c>
      <c r="B29" s="7" t="n">
        <f aca="false">B27*0.5</f>
        <v>-360344.960685941</v>
      </c>
    </row>
    <row r="30" customFormat="false" ht="15" hidden="false" customHeight="false" outlineLevel="0" collapsed="false">
      <c r="A30" s="0" t="s">
        <v>110</v>
      </c>
      <c r="B30" s="7" t="n">
        <f aca="false">B27*0.5</f>
        <v>-360344.960685941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111</v>
      </c>
    </row>
    <row r="3" customFormat="false" ht="15" hidden="false" customHeight="false" outlineLevel="0" collapsed="false">
      <c r="A3" s="2" t="s">
        <v>112</v>
      </c>
    </row>
    <row r="4" customFormat="false" ht="15" hidden="false" customHeight="false" outlineLevel="0" collapsed="false">
      <c r="A4" s="0" t="s">
        <v>113</v>
      </c>
      <c r="B4" s="16" t="n">
        <f aca="false">Assumptions!B6</f>
        <v>137</v>
      </c>
    </row>
    <row r="5" customFormat="false" ht="15" hidden="false" customHeight="false" outlineLevel="0" collapsed="false">
      <c r="A5" s="0" t="s">
        <v>23</v>
      </c>
      <c r="B5" s="7" t="n">
        <f aca="false">Assumptions!B25</f>
        <v>295000</v>
      </c>
    </row>
    <row r="6" customFormat="false" ht="15" hidden="false" customHeight="false" outlineLevel="0" collapsed="false">
      <c r="A6" s="0" t="s">
        <v>84</v>
      </c>
      <c r="B6" s="7" t="n">
        <f aca="false">'Phase 2 S&amp;U'!B18</f>
        <v>40415000</v>
      </c>
    </row>
    <row r="8" customFormat="false" ht="15" hidden="false" customHeight="false" outlineLevel="0" collapsed="false">
      <c r="A8" s="2" t="s">
        <v>114</v>
      </c>
    </row>
    <row r="9" customFormat="false" ht="15" hidden="false" customHeight="false" outlineLevel="0" collapsed="false">
      <c r="A9" s="0" t="s">
        <v>115</v>
      </c>
      <c r="B9" s="7" t="n">
        <f aca="false">'Phase 1 S&amp;U'!B16</f>
        <v>11475305.375</v>
      </c>
    </row>
    <row r="10" customFormat="false" ht="15" hidden="false" customHeight="false" outlineLevel="0" collapsed="false">
      <c r="A10" s="0" t="s">
        <v>116</v>
      </c>
      <c r="B10" s="7" t="n">
        <f aca="false">'Phase 1 S&amp;U'!B19</f>
        <v>8606479.03125</v>
      </c>
    </row>
    <row r="11" customFormat="false" ht="15" hidden="false" customHeight="false" outlineLevel="0" collapsed="false">
      <c r="A11" s="0" t="s">
        <v>117</v>
      </c>
      <c r="B11" s="7" t="n">
        <f aca="false">'Phase 1 S&amp;U'!B20</f>
        <v>2868826.34375</v>
      </c>
    </row>
    <row r="12" customFormat="false" ht="15" hidden="false" customHeight="false" outlineLevel="0" collapsed="false">
      <c r="A12" s="0" t="s">
        <v>118</v>
      </c>
      <c r="B12" s="7" t="n">
        <f aca="false">'Phase 1 Waterfall'!G15</f>
        <v>4577556.20085743</v>
      </c>
    </row>
    <row r="13" customFormat="false" ht="15" hidden="false" customHeight="false" outlineLevel="0" collapsed="false">
      <c r="A13" s="0" t="s">
        <v>119</v>
      </c>
      <c r="B13" s="9" t="n">
        <f aca="false">'Phase 1 Waterfall'!B23</f>
        <v>5012443.79914257</v>
      </c>
    </row>
    <row r="15" customFormat="false" ht="15" hidden="false" customHeight="false" outlineLevel="0" collapsed="false">
      <c r="A15" s="2" t="s">
        <v>120</v>
      </c>
    </row>
    <row r="16" customFormat="false" ht="15" hidden="false" customHeight="false" outlineLevel="0" collapsed="false">
      <c r="A16" s="0" t="s">
        <v>121</v>
      </c>
      <c r="B16" s="7" t="n">
        <f aca="false">'Phase 2 S&amp;U'!B18</f>
        <v>40415000</v>
      </c>
    </row>
    <row r="17" customFormat="false" ht="15" hidden="false" customHeight="false" outlineLevel="0" collapsed="false">
      <c r="A17" s="0" t="s">
        <v>85</v>
      </c>
      <c r="B17" s="7" t="n">
        <f aca="false">'Phase 2 S&amp;U'!B19</f>
        <v>43401600</v>
      </c>
    </row>
    <row r="18" customFormat="false" ht="15" hidden="false" customHeight="false" outlineLevel="0" collapsed="false">
      <c r="A18" s="0" t="s">
        <v>122</v>
      </c>
      <c r="B18" s="7" t="n">
        <f aca="false">'Phase 2 S&amp;U'!B20</f>
        <v>-2986600</v>
      </c>
    </row>
    <row r="19" customFormat="false" ht="15" hidden="false" customHeight="false" outlineLevel="0" collapsed="false">
      <c r="A19" s="0" t="s">
        <v>123</v>
      </c>
      <c r="B19" s="7" t="n">
        <f aca="false">'Phase 2 Waterfall'!B13</f>
        <v>7324089.92137188</v>
      </c>
    </row>
    <row r="20" customFormat="false" ht="15" hidden="false" customHeight="false" outlineLevel="0" collapsed="false">
      <c r="A20" s="0" t="s">
        <v>124</v>
      </c>
      <c r="B20" s="9" t="n">
        <f aca="false">'Phase 2 Waterfall'!B18</f>
        <v>-5733133.72051446</v>
      </c>
    </row>
    <row r="22" customFormat="false" ht="15" hidden="false" customHeight="false" outlineLevel="0" collapsed="false">
      <c r="A22" s="2" t="s">
        <v>105</v>
      </c>
    </row>
    <row r="23" customFormat="false" ht="15" hidden="false" customHeight="false" outlineLevel="0" collapsed="false">
      <c r="A23" s="0" t="s">
        <v>125</v>
      </c>
      <c r="B23" s="13" t="n">
        <f aca="false">'Phase 2 Waterfall'!B27</f>
        <v>-720689.921371883</v>
      </c>
    </row>
    <row r="25" customFormat="false" ht="15" hidden="false" customHeight="false" outlineLevel="0" collapsed="false">
      <c r="A25" s="0" t="s">
        <v>126</v>
      </c>
      <c r="B25" s="15" t="n">
        <f aca="false">B23*0.5</f>
        <v>-360344.960685941</v>
      </c>
    </row>
    <row r="26" customFormat="false" ht="15" hidden="false" customHeight="false" outlineLevel="0" collapsed="false">
      <c r="A26" s="0" t="s">
        <v>127</v>
      </c>
      <c r="B26" s="15" t="n">
        <f aca="false">B23*0.5</f>
        <v>-360344.960685941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2026-02-19T14:38:20Z</dcterms:created>
  <dc:creator>openpyxl</dc:creator>
  <dc:description/>
  <dc:language>en-US</dc:language>
  <cp:lastModifiedBy/>
  <dcterms:modified xsi:type="dcterms:W3CDTF">2026-02-19T14:38:20Z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