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vanrockre-my.sharepoint.com/personal/bryan_vanrockre_com/Documents/Atlas - Information for App/"/>
    </mc:Choice>
  </mc:AlternateContent>
  <xr:revisionPtr revIDLastSave="0" documentId="8_{D6062C79-7D9E-4436-A5E7-D7965E19511D}" xr6:coauthVersionLast="47" xr6:coauthVersionMax="47" xr10:uidLastSave="{00000000-0000-0000-0000-000000000000}"/>
  <bookViews>
    <workbookView xWindow="28680" yWindow="-45" windowWidth="29040" windowHeight="15720" tabRatio="753" firstSheet="1" xr2:uid="{E1B75893-587E-458C-8CB8-11452A60022F}"/>
  </bookViews>
  <sheets>
    <sheet name="Summary" sheetId="27" r:id="rId1"/>
    <sheet name="Trends" sheetId="28" r:id="rId2"/>
    <sheet name="MODEL SUMMARY" sheetId="35" r:id="rId3"/>
    <sheet name="Acacia" sheetId="123" state="hidden" r:id="rId4"/>
    <sheet name="Aspen 2-Story" sheetId="124" state="hidden" r:id="rId5"/>
    <sheet name="Atlas" sheetId="125" state="hidden" r:id="rId6"/>
    <sheet name="Banyan" sheetId="126" state="hidden" r:id="rId7"/>
    <sheet name="Cherry" sheetId="127" state="hidden" r:id="rId8"/>
    <sheet name="Dogwood" sheetId="128" state="hidden" r:id="rId9"/>
    <sheet name="Hazel" sheetId="129" state="hidden" r:id="rId10"/>
    <sheet name="Holly" sheetId="130" state="hidden" r:id="rId11"/>
    <sheet name="Elm" sheetId="131" state="hidden" r:id="rId12"/>
    <sheet name="Lilac" sheetId="132" state="hidden" r:id="rId13"/>
    <sheet name="Lily" sheetId="133" state="hidden" r:id="rId14"/>
    <sheet name="Magnolia" sheetId="134" state="hidden" r:id="rId15"/>
    <sheet name="Spindle" sheetId="135" state="hidden" r:id="rId16"/>
    <sheet name="Spruce" sheetId="136" state="hidden" r:id="rId17"/>
    <sheet name="Tulip" sheetId="137" state="hidden" r:id="rId18"/>
    <sheet name="White Oak" sheetId="138" state="hidden" r:id="rId19"/>
    <sheet name="Willow" sheetId="139" state="hidden" r:id="rId20"/>
    <sheet name="Alder" sheetId="140" state="hidden" r:id="rId21"/>
    <sheet name="Bayberry" sheetId="141" state="hidden" r:id="rId22"/>
    <sheet name="Boxelder" sheetId="142" state="hidden" r:id="rId23"/>
    <sheet name="Bur Oak" sheetId="143" state="hidden" r:id="rId24"/>
    <sheet name="Conifer" sheetId="144" state="hidden" r:id="rId25"/>
    <sheet name="Cottonwood" sheetId="145" state="hidden" r:id="rId26"/>
    <sheet name="Fig" sheetId="146" state="hidden" r:id="rId27"/>
    <sheet name="Fraser" sheetId="147" state="hidden" r:id="rId28"/>
    <sheet name="Jasmine" sheetId="148" state="hidden" r:id="rId29"/>
    <sheet name="Linville" sheetId="149" state="hidden" r:id="rId30"/>
    <sheet name="Locust" sheetId="150" state="hidden" r:id="rId31"/>
    <sheet name="Palm II" sheetId="151" state="hidden" r:id="rId32"/>
    <sheet name="Palmetto" sheetId="152" state="hidden" r:id="rId33"/>
    <sheet name="Palmetto II" sheetId="153" state="hidden" r:id="rId34"/>
    <sheet name="Pinyon" sheetId="154" state="hidden" r:id="rId35"/>
    <sheet name="Poplar" sheetId="155" state="hidden" r:id="rId36"/>
    <sheet name="Sycamore" sheetId="156" state="hidden" r:id="rId37"/>
    <sheet name="Water &amp; Sewer Data" sheetId="30" state="hidden" r:id="rId38"/>
    <sheet name="Fir" sheetId="31" state="hidden" r:id="rId39"/>
    <sheet name="West End" sheetId="33" state="hidden" r:id="rId40"/>
    <sheet name="Long Farm" sheetId="34" state="hidden" r:id="rId41"/>
  </sheets>
  <definedNames>
    <definedName name="_xlnm.Print_Titles" localSheetId="17">Tulip!$3:$3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49" l="1"/>
  <c r="F6" i="149"/>
  <c r="F7" i="149"/>
  <c r="F8" i="149"/>
  <c r="F9" i="149"/>
  <c r="F10" i="149"/>
  <c r="F11" i="149"/>
  <c r="F12" i="149"/>
  <c r="F13" i="149"/>
  <c r="F14" i="149"/>
  <c r="F15" i="149"/>
  <c r="F16" i="149"/>
  <c r="F17" i="149"/>
  <c r="F18" i="149"/>
  <c r="F19" i="149"/>
  <c r="F20" i="149"/>
  <c r="F21" i="149"/>
  <c r="F22" i="149"/>
  <c r="F23" i="149"/>
  <c r="F24" i="149"/>
  <c r="F25" i="149"/>
  <c r="F26" i="149"/>
  <c r="F27" i="149"/>
  <c r="F28" i="149"/>
  <c r="F29" i="149"/>
  <c r="F30" i="149"/>
  <c r="F31" i="149"/>
  <c r="F32" i="149"/>
  <c r="F33" i="149"/>
  <c r="F34" i="149"/>
  <c r="F35" i="149"/>
  <c r="F36" i="149"/>
  <c r="F37" i="149"/>
  <c r="F38" i="149"/>
  <c r="F39" i="149"/>
  <c r="F40" i="149"/>
  <c r="F41" i="149"/>
  <c r="F42" i="149"/>
  <c r="F43" i="149"/>
  <c r="F44" i="149"/>
  <c r="F45" i="149"/>
  <c r="F46" i="149"/>
  <c r="F47" i="149"/>
  <c r="F48" i="149"/>
  <c r="F49" i="149"/>
  <c r="F50" i="149"/>
  <c r="F51" i="149"/>
  <c r="F52" i="149"/>
  <c r="F53" i="149"/>
  <c r="F54" i="149"/>
  <c r="F55" i="149"/>
  <c r="F56" i="149"/>
  <c r="F57" i="149"/>
  <c r="F4" i="149"/>
  <c r="D5" i="149"/>
  <c r="C5" i="149" s="1"/>
  <c r="D6" i="149"/>
  <c r="C6" i="149" s="1"/>
  <c r="D7" i="149"/>
  <c r="C7" i="149" s="1"/>
  <c r="D8" i="149"/>
  <c r="C8" i="149" s="1"/>
  <c r="D9" i="149"/>
  <c r="C9" i="149" s="1"/>
  <c r="C10" i="149"/>
  <c r="D10" i="149"/>
  <c r="C11" i="149"/>
  <c r="D11" i="149"/>
  <c r="D12" i="149"/>
  <c r="C12" i="149" s="1"/>
  <c r="D13" i="149"/>
  <c r="C13" i="149" s="1"/>
  <c r="D14" i="149"/>
  <c r="C14" i="149" s="1"/>
  <c r="D15" i="149"/>
  <c r="C15" i="149" s="1"/>
  <c r="D16" i="149"/>
  <c r="C16" i="149" s="1"/>
  <c r="C17" i="149"/>
  <c r="D17" i="149"/>
  <c r="C18" i="149"/>
  <c r="D18" i="149"/>
  <c r="D19" i="149"/>
  <c r="C19" i="149" s="1"/>
  <c r="D20" i="149"/>
  <c r="C20" i="149" s="1"/>
  <c r="D21" i="149"/>
  <c r="C21" i="149" s="1"/>
  <c r="D22" i="149"/>
  <c r="C22" i="149" s="1"/>
  <c r="D23" i="149"/>
  <c r="C23" i="149" s="1"/>
  <c r="D24" i="149"/>
  <c r="C24" i="149" s="1"/>
  <c r="D25" i="149"/>
  <c r="C25" i="149" s="1"/>
  <c r="C26" i="149"/>
  <c r="D26" i="149"/>
  <c r="C27" i="149"/>
  <c r="D27" i="149"/>
  <c r="D28" i="149"/>
  <c r="C28" i="149" s="1"/>
  <c r="D29" i="149"/>
  <c r="C29" i="149" s="1"/>
  <c r="D30" i="149"/>
  <c r="C30" i="149" s="1"/>
  <c r="D31" i="149"/>
  <c r="C31" i="149" s="1"/>
  <c r="D32" i="149"/>
  <c r="C32" i="149" s="1"/>
  <c r="C33" i="149"/>
  <c r="D33" i="149"/>
  <c r="C34" i="149"/>
  <c r="D34" i="149"/>
  <c r="D35" i="149"/>
  <c r="C35" i="149" s="1"/>
  <c r="D36" i="149"/>
  <c r="C36" i="149" s="1"/>
  <c r="D37" i="149"/>
  <c r="C37" i="149" s="1"/>
  <c r="D38" i="149"/>
  <c r="C38" i="149" s="1"/>
  <c r="D39" i="149"/>
  <c r="C39" i="149" s="1"/>
  <c r="D40" i="149"/>
  <c r="C40" i="149" s="1"/>
  <c r="D41" i="149"/>
  <c r="C41" i="149" s="1"/>
  <c r="C42" i="149"/>
  <c r="D42" i="149"/>
  <c r="C43" i="149"/>
  <c r="D43" i="149"/>
  <c r="D44" i="149"/>
  <c r="C44" i="149" s="1"/>
  <c r="D45" i="149"/>
  <c r="C45" i="149" s="1"/>
  <c r="D46" i="149"/>
  <c r="C46" i="149" s="1"/>
  <c r="D47" i="149"/>
  <c r="C47" i="149" s="1"/>
  <c r="D48" i="149"/>
  <c r="C48" i="149" s="1"/>
  <c r="C49" i="149"/>
  <c r="D49" i="149"/>
  <c r="C50" i="149"/>
  <c r="D50" i="149"/>
  <c r="D51" i="149"/>
  <c r="C51" i="149" s="1"/>
  <c r="D52" i="149"/>
  <c r="C52" i="149" s="1"/>
  <c r="D53" i="149"/>
  <c r="C53" i="149" s="1"/>
  <c r="C54" i="149"/>
  <c r="D54" i="149"/>
  <c r="D55" i="149"/>
  <c r="C55" i="149" s="1"/>
  <c r="D56" i="149"/>
  <c r="C56" i="149" s="1"/>
  <c r="D57" i="149"/>
  <c r="C57" i="149" s="1"/>
  <c r="C4" i="149"/>
  <c r="D4" i="149"/>
  <c r="C14" i="129"/>
  <c r="D14" i="129"/>
  <c r="C15" i="129"/>
  <c r="C16" i="129"/>
  <c r="C17" i="129"/>
  <c r="C18" i="129"/>
  <c r="C19" i="129"/>
  <c r="C27" i="129"/>
  <c r="C28" i="129"/>
  <c r="C29" i="129"/>
  <c r="C30" i="129"/>
  <c r="C31" i="129"/>
  <c r="C32" i="129"/>
  <c r="C33" i="129"/>
  <c r="C34" i="129"/>
  <c r="C35" i="129"/>
  <c r="C43" i="129"/>
  <c r="C45" i="129"/>
  <c r="D54" i="129"/>
  <c r="D55" i="129"/>
  <c r="D56" i="129"/>
  <c r="D57" i="129"/>
  <c r="D58" i="129"/>
  <c r="D15" i="129"/>
  <c r="D16" i="129"/>
  <c r="D17" i="129"/>
  <c r="D18" i="129"/>
  <c r="D19" i="129"/>
  <c r="D20" i="129"/>
  <c r="C20" i="129" s="1"/>
  <c r="D21" i="129"/>
  <c r="C21" i="129" s="1"/>
  <c r="D22" i="129"/>
  <c r="C22" i="129" s="1"/>
  <c r="D23" i="129"/>
  <c r="C23" i="129" s="1"/>
  <c r="D24" i="129"/>
  <c r="C24" i="129" s="1"/>
  <c r="D25" i="129"/>
  <c r="C25" i="129" s="1"/>
  <c r="D26" i="129"/>
  <c r="C26" i="129" s="1"/>
  <c r="D27" i="129"/>
  <c r="D28" i="129"/>
  <c r="D29" i="129"/>
  <c r="D30" i="129"/>
  <c r="D31" i="129"/>
  <c r="D32" i="129"/>
  <c r="D33" i="129"/>
  <c r="D34" i="129"/>
  <c r="D35" i="129"/>
  <c r="D36" i="129"/>
  <c r="C36" i="129" s="1"/>
  <c r="D37" i="129"/>
  <c r="C37" i="129" s="1"/>
  <c r="D38" i="129"/>
  <c r="C38" i="129" s="1"/>
  <c r="D39" i="129"/>
  <c r="C39" i="129" s="1"/>
  <c r="D40" i="129"/>
  <c r="C40" i="129" s="1"/>
  <c r="D41" i="129"/>
  <c r="C41" i="129" s="1"/>
  <c r="D42" i="129"/>
  <c r="C42" i="129" s="1"/>
  <c r="D43" i="129"/>
  <c r="D44" i="129"/>
  <c r="C44" i="129" s="1"/>
  <c r="D45" i="129"/>
  <c r="D46" i="129"/>
  <c r="D47" i="129"/>
  <c r="D48" i="129"/>
  <c r="D49" i="129"/>
  <c r="D50" i="129"/>
  <c r="D51" i="129"/>
  <c r="D52" i="129"/>
  <c r="D53" i="129"/>
  <c r="C34" i="28" l="1"/>
  <c r="D34" i="28"/>
  <c r="E34" i="28"/>
  <c r="F34" i="28"/>
  <c r="G34" i="28"/>
  <c r="H34" i="28"/>
  <c r="I34" i="28"/>
  <c r="C35" i="28"/>
  <c r="D35" i="28"/>
  <c r="E35" i="28"/>
  <c r="F35" i="28"/>
  <c r="G35" i="28"/>
  <c r="H35" i="28"/>
  <c r="I35" i="28"/>
  <c r="C36" i="28"/>
  <c r="D36" i="28"/>
  <c r="E36" i="28"/>
  <c r="F36" i="28"/>
  <c r="G36" i="28"/>
  <c r="H36" i="28"/>
  <c r="I36" i="28"/>
  <c r="C37" i="28"/>
  <c r="D37" i="28"/>
  <c r="E37" i="28"/>
  <c r="F37" i="28"/>
  <c r="G37" i="28"/>
  <c r="H37" i="28"/>
  <c r="I37" i="28"/>
  <c r="C38" i="28"/>
  <c r="D38" i="28"/>
  <c r="E38" i="28"/>
  <c r="F38" i="28"/>
  <c r="G38" i="28"/>
  <c r="H38" i="28"/>
  <c r="I38" i="28"/>
  <c r="S34" i="28"/>
  <c r="T34" i="28"/>
  <c r="U34" i="28"/>
  <c r="V34" i="28"/>
  <c r="W34" i="28"/>
  <c r="S35" i="28"/>
  <c r="T35" i="28"/>
  <c r="U35" i="28"/>
  <c r="V35" i="28"/>
  <c r="W35" i="28"/>
  <c r="S36" i="28"/>
  <c r="T36" i="28"/>
  <c r="U36" i="28"/>
  <c r="V36" i="28"/>
  <c r="W36" i="28"/>
  <c r="S37" i="28"/>
  <c r="T37" i="28"/>
  <c r="U37" i="28"/>
  <c r="V37" i="28"/>
  <c r="W37" i="28"/>
  <c r="S38" i="28"/>
  <c r="T38" i="28"/>
  <c r="U38" i="28"/>
  <c r="V38" i="28"/>
  <c r="W38" i="28"/>
  <c r="AC69" i="35"/>
  <c r="AC68" i="35"/>
  <c r="AB69" i="35"/>
  <c r="AB68" i="35"/>
  <c r="AA69" i="35"/>
  <c r="AA68" i="35"/>
  <c r="Z69" i="35"/>
  <c r="Z68" i="35"/>
  <c r="Y69" i="35"/>
  <c r="Y68" i="35"/>
  <c r="B63" i="156"/>
  <c r="B59" i="156"/>
  <c r="B64" i="156" s="1"/>
  <c r="B52" i="156"/>
  <c r="B63" i="155"/>
  <c r="B59" i="155"/>
  <c r="B52" i="155"/>
  <c r="B64" i="154"/>
  <c r="B63" i="154"/>
  <c r="B59" i="154"/>
  <c r="B52" i="154"/>
  <c r="B63" i="153"/>
  <c r="B59" i="153"/>
  <c r="B52" i="153"/>
  <c r="B64" i="153" s="1"/>
  <c r="B63" i="152"/>
  <c r="B59" i="152"/>
  <c r="B64" i="152" s="1"/>
  <c r="B52" i="152"/>
  <c r="B63" i="151"/>
  <c r="B64" i="151" s="1"/>
  <c r="B59" i="151"/>
  <c r="B52" i="151"/>
  <c r="B64" i="150"/>
  <c r="B63" i="150"/>
  <c r="B59" i="150"/>
  <c r="B52" i="150"/>
  <c r="B63" i="149"/>
  <c r="B59" i="149"/>
  <c r="B52" i="149"/>
  <c r="B64" i="149" s="1"/>
  <c r="B63" i="148"/>
  <c r="B59" i="148"/>
  <c r="B64" i="148" s="1"/>
  <c r="B52" i="148"/>
  <c r="B63" i="147"/>
  <c r="B64" i="147" s="1"/>
  <c r="B59" i="147"/>
  <c r="B52" i="147"/>
  <c r="B64" i="146"/>
  <c r="B63" i="146"/>
  <c r="B59" i="146"/>
  <c r="B52" i="146"/>
  <c r="B63" i="145"/>
  <c r="B59" i="145"/>
  <c r="B52" i="145"/>
  <c r="B64" i="145" s="1"/>
  <c r="B63" i="144"/>
  <c r="B59" i="144"/>
  <c r="B64" i="144" s="1"/>
  <c r="B52" i="144"/>
  <c r="B63" i="143"/>
  <c r="B64" i="143" s="1"/>
  <c r="B59" i="143"/>
  <c r="B52" i="143"/>
  <c r="B64" i="142"/>
  <c r="B63" i="142"/>
  <c r="B59" i="142"/>
  <c r="B52" i="142"/>
  <c r="B63" i="141"/>
  <c r="B59" i="141"/>
  <c r="B52" i="141"/>
  <c r="B64" i="141" s="1"/>
  <c r="B63" i="140"/>
  <c r="B59" i="140"/>
  <c r="B64" i="140" s="1"/>
  <c r="B52" i="140"/>
  <c r="B63" i="139"/>
  <c r="B64" i="139" s="1"/>
  <c r="B59" i="139"/>
  <c r="B52" i="139"/>
  <c r="B64" i="138"/>
  <c r="B63" i="138"/>
  <c r="B59" i="138"/>
  <c r="B52" i="138"/>
  <c r="B63" i="137"/>
  <c r="B59" i="137"/>
  <c r="B52" i="137"/>
  <c r="B64" i="137" s="1"/>
  <c r="B63" i="136"/>
  <c r="B59" i="136"/>
  <c r="B64" i="136" s="1"/>
  <c r="B52" i="136"/>
  <c r="B63" i="135"/>
  <c r="B64" i="135" s="1"/>
  <c r="B59" i="135"/>
  <c r="B52" i="135"/>
  <c r="B64" i="134"/>
  <c r="B63" i="134"/>
  <c r="B59" i="134"/>
  <c r="B52" i="134"/>
  <c r="B63" i="133"/>
  <c r="B59" i="133"/>
  <c r="B52" i="133"/>
  <c r="B64" i="133" s="1"/>
  <c r="B63" i="132"/>
  <c r="B59" i="132"/>
  <c r="B64" i="132" s="1"/>
  <c r="B52" i="132"/>
  <c r="B63" i="131"/>
  <c r="B64" i="131" s="1"/>
  <c r="B59" i="131"/>
  <c r="B52" i="131"/>
  <c r="B64" i="130"/>
  <c r="B63" i="130"/>
  <c r="B59" i="130"/>
  <c r="B52" i="130"/>
  <c r="B63" i="129"/>
  <c r="B59" i="129"/>
  <c r="B52" i="129"/>
  <c r="B64" i="129" s="1"/>
  <c r="B63" i="128"/>
  <c r="B59" i="128"/>
  <c r="B64" i="128" s="1"/>
  <c r="B52" i="128"/>
  <c r="B63" i="127"/>
  <c r="B64" i="127" s="1"/>
  <c r="B59" i="127"/>
  <c r="B52" i="127"/>
  <c r="B64" i="126"/>
  <c r="B63" i="126"/>
  <c r="B59" i="126"/>
  <c r="B52" i="126"/>
  <c r="B63" i="125"/>
  <c r="B59" i="125"/>
  <c r="B52" i="125"/>
  <c r="B64" i="125" s="1"/>
  <c r="B63" i="124"/>
  <c r="B59" i="124"/>
  <c r="B64" i="124" s="1"/>
  <c r="B52" i="124"/>
  <c r="B63" i="123"/>
  <c r="B64" i="123" s="1"/>
  <c r="B59" i="123"/>
  <c r="B52" i="123"/>
  <c r="Z36" i="35" a="1"/>
  <c r="Z34" i="35" a="1"/>
  <c r="Z32" i="35" a="1"/>
  <c r="AB48" i="35" a="1"/>
  <c r="AC63" i="35" a="1"/>
  <c r="Y51" i="35" a="1"/>
  <c r="Y27" i="35" a="1"/>
  <c r="Z7" i="35" a="1"/>
  <c r="AC39" i="35" a="1"/>
  <c r="AC46" i="35" a="1"/>
  <c r="AB70" i="35" a="1"/>
  <c r="Y40" i="35" a="1"/>
  <c r="AC19" i="35" a="1"/>
  <c r="Y44" i="35" a="1"/>
  <c r="AC18" i="35" a="1"/>
  <c r="Y43" i="35" a="1"/>
  <c r="AA35" i="35" a="1"/>
  <c r="Y63" i="35" a="1"/>
  <c r="Y32" i="35" a="1"/>
  <c r="Y17" i="35" a="1"/>
  <c r="AB35" i="35" a="1"/>
  <c r="AA30" i="35" a="1"/>
  <c r="Y7" i="35" a="1"/>
  <c r="AA27" i="35" a="1"/>
  <c r="AA26" i="35" a="1"/>
  <c r="AC52" i="35" a="1"/>
  <c r="AC38" i="35" a="1"/>
  <c r="AB57" i="35" a="1"/>
  <c r="AB4" i="35" a="1"/>
  <c r="Z30" i="35" a="1"/>
  <c r="Z33" i="35" a="1"/>
  <c r="Z46" i="35" a="1"/>
  <c r="AB50" i="35" a="1"/>
  <c r="AA24" i="35" a="1"/>
  <c r="AA43" i="35" a="1"/>
  <c r="Z23" i="35" a="1"/>
  <c r="AB56" i="35" a="1"/>
  <c r="AC51" i="35" a="1"/>
  <c r="Y54" i="35" a="1"/>
  <c r="AA29" i="35" a="1"/>
  <c r="AA54" i="35" a="1"/>
  <c r="AB36" i="35" a="1"/>
  <c r="Z70" i="35" a="1"/>
  <c r="Z49" i="35" a="1"/>
  <c r="Z37" i="35" a="1"/>
  <c r="Z12" i="35" a="1"/>
  <c r="AC5" i="35" a="1"/>
  <c r="Z42" i="35" a="1"/>
  <c r="AA70" i="35" a="1"/>
  <c r="AB11" i="35" a="1"/>
  <c r="B64" i="155" l="1"/>
  <c r="AC38" i="35"/>
  <c r="AC63" i="35"/>
  <c r="AC39" i="35"/>
  <c r="AC18" i="35"/>
  <c r="AC52" i="35"/>
  <c r="AC46" i="35"/>
  <c r="AC51" i="35"/>
  <c r="AC19" i="35"/>
  <c r="AC5" i="35"/>
  <c r="AB56" i="35"/>
  <c r="AB48" i="35"/>
  <c r="AB57" i="35"/>
  <c r="AB50" i="35"/>
  <c r="AB11" i="35"/>
  <c r="AB35" i="35"/>
  <c r="AB4" i="35"/>
  <c r="AB36" i="35"/>
  <c r="AB70" i="35"/>
  <c r="AA26" i="35"/>
  <c r="AA54" i="35"/>
  <c r="AA27" i="35"/>
  <c r="AA35" i="35"/>
  <c r="AA70" i="35"/>
  <c r="AA30" i="35"/>
  <c r="AA24" i="35"/>
  <c r="AA43" i="35"/>
  <c r="AA29" i="35"/>
  <c r="Z32" i="35"/>
  <c r="Z33" i="35"/>
  <c r="Z49" i="35"/>
  <c r="Z23" i="35"/>
  <c r="Z46" i="35"/>
  <c r="Z34" i="35"/>
  <c r="Z42" i="35"/>
  <c r="Z70" i="35"/>
  <c r="Z30" i="35"/>
  <c r="Z12" i="35"/>
  <c r="Z36" i="35"/>
  <c r="Z7" i="35"/>
  <c r="Z37" i="35"/>
  <c r="Y54" i="35"/>
  <c r="Y63" i="35"/>
  <c r="Y32" i="35"/>
  <c r="Y40" i="35"/>
  <c r="Y17" i="35"/>
  <c r="Y7" i="35"/>
  <c r="Y27" i="35"/>
  <c r="Y43" i="35"/>
  <c r="Y44" i="35"/>
  <c r="Y51" i="35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AB16" i="35" a="1"/>
  <c r="Y42" i="35" a="1"/>
  <c r="AB16" i="35" l="1"/>
  <c r="Y42" i="35"/>
  <c r="AB32" i="35" a="1"/>
  <c r="AC32" i="35" a="1"/>
  <c r="AB41" i="35" a="1"/>
  <c r="AC50" i="35" a="1"/>
  <c r="AB62" i="35" a="1"/>
  <c r="Z10" i="35" a="1"/>
  <c r="AC9" i="35" a="1"/>
  <c r="Y10" i="35" a="1"/>
  <c r="AC35" i="35" a="1"/>
  <c r="Y29" i="35" a="1"/>
  <c r="AB8" i="35" a="1"/>
  <c r="AB28" i="35" a="1"/>
  <c r="AB33" i="35" a="1"/>
  <c r="AA31" i="35" a="1"/>
  <c r="Z9" i="35" a="1"/>
  <c r="AA8" i="35" a="1"/>
  <c r="AB33" i="35" l="1"/>
  <c r="Y10" i="35"/>
  <c r="AC9" i="35"/>
  <c r="AA31" i="35"/>
  <c r="AB32" i="35"/>
  <c r="Z9" i="35"/>
  <c r="AC32" i="35"/>
  <c r="AA8" i="35"/>
  <c r="AC50" i="35"/>
  <c r="AB62" i="35"/>
  <c r="AC35" i="35"/>
  <c r="AB41" i="35"/>
  <c r="Y29" i="35"/>
  <c r="Z10" i="35"/>
  <c r="AB28" i="35"/>
  <c r="AB8" i="35"/>
  <c r="AC54" i="35" a="1"/>
  <c r="AC8" i="35" a="1"/>
  <c r="Z38" i="35" a="1"/>
  <c r="Z40" i="35" a="1"/>
  <c r="AA41" i="35" a="1"/>
  <c r="AB51" i="35" a="1"/>
  <c r="Y26" i="35" a="1"/>
  <c r="Z4" i="35" a="1"/>
  <c r="AB64" i="35" a="1"/>
  <c r="AC7" i="35" a="1"/>
  <c r="Z41" i="35" a="1"/>
  <c r="Y8" i="35" a="1"/>
  <c r="AB67" i="35" a="1"/>
  <c r="AC64" i="35" a="1"/>
  <c r="AA47" i="35" a="1"/>
  <c r="AA15" i="35" a="1"/>
  <c r="Y34" i="35" a="1"/>
  <c r="AB39" i="35" a="1"/>
  <c r="AA65" i="35" a="1"/>
  <c r="Y61" i="35" a="1"/>
  <c r="AA48" i="35" a="1"/>
  <c r="AB17" i="35" a="1"/>
  <c r="Y36" i="35" a="1"/>
  <c r="AA33" i="35" a="1"/>
  <c r="Z25" i="35" a="1"/>
  <c r="Y60" i="35" a="1"/>
  <c r="Z44" i="35" a="1"/>
  <c r="AB7" i="35" a="1"/>
  <c r="AA59" i="35" a="1"/>
  <c r="Y39" i="35" a="1"/>
  <c r="Y13" i="35" a="1"/>
  <c r="Y65" i="35" a="1"/>
  <c r="Z65" i="35" a="1"/>
  <c r="Z31" i="35" a="1"/>
  <c r="AB9" i="35" a="1"/>
  <c r="AC55" i="35" a="1"/>
  <c r="AC34" i="35" a="1"/>
  <c r="AB59" i="35" a="1"/>
  <c r="AB12" i="35" a="1"/>
  <c r="AC40" i="35" a="1"/>
  <c r="Y25" i="35" a="1"/>
  <c r="AB31" i="35" a="1"/>
  <c r="Y28" i="35" a="1"/>
  <c r="Y70" i="35" a="1"/>
  <c r="AC41" i="35" a="1"/>
  <c r="AA40" i="35" a="1"/>
  <c r="AC42" i="35" a="1"/>
  <c r="AA63" i="35" a="1"/>
  <c r="Z56" i="35" a="1"/>
  <c r="AA16" i="35" a="1"/>
  <c r="Z53" i="35" a="1"/>
  <c r="AA32" i="35" a="1"/>
  <c r="Z15" i="35" a="1"/>
  <c r="AC36" i="35" a="1"/>
  <c r="AB13" i="35" a="1"/>
  <c r="AC24" i="35" a="1"/>
  <c r="AA51" i="35" a="1"/>
  <c r="AB61" i="35" a="1"/>
  <c r="AC14" i="35" a="1"/>
  <c r="AB42" i="35" a="1"/>
  <c r="AA42" i="35" a="1"/>
  <c r="Y33" i="35" a="1"/>
  <c r="AA46" i="35" a="1"/>
  <c r="Y21" i="35" a="1"/>
  <c r="AB54" i="35" a="1"/>
  <c r="AA56" i="35" a="1"/>
  <c r="Y31" i="35" a="1"/>
  <c r="AA34" i="35" a="1"/>
  <c r="AC33" i="35" a="1"/>
  <c r="AB34" i="35" a="1"/>
  <c r="Y30" i="35" a="1"/>
  <c r="Y57" i="35" a="1"/>
  <c r="AC16" i="35" a="1"/>
  <c r="AC53" i="35" a="1"/>
  <c r="Y23" i="35" a="1"/>
  <c r="AC65" i="35" a="1"/>
  <c r="Z20" i="35" a="1"/>
  <c r="AA23" i="35" a="1"/>
  <c r="AA25" i="35" a="1"/>
  <c r="Y5" i="35" a="1"/>
  <c r="AA17" i="35" a="1"/>
  <c r="Z61" i="35" a="1"/>
  <c r="AA49" i="35" a="1"/>
  <c r="AC61" i="35" a="1"/>
  <c r="AC44" i="35" a="1"/>
  <c r="AC49" i="35" a="1"/>
  <c r="AA14" i="35" a="1"/>
  <c r="Y45" i="35" a="1"/>
  <c r="AB5" i="35" a="1"/>
  <c r="AC25" i="35" a="1"/>
  <c r="Y59" i="35" a="1"/>
  <c r="AB14" i="35" a="1"/>
  <c r="AC56" i="35" a="1"/>
  <c r="AA38" i="35" a="1"/>
  <c r="Y53" i="35" a="1"/>
  <c r="AC12" i="35" a="1"/>
  <c r="Y22" i="35" a="1"/>
  <c r="AC45" i="35" a="1"/>
  <c r="Z21" i="35" a="1"/>
  <c r="Y64" i="35" a="1"/>
  <c r="AB52" i="35" a="1"/>
  <c r="AC29" i="35" a="1"/>
  <c r="AA21" i="35" a="1"/>
  <c r="Z29" i="35" a="1"/>
  <c r="AA13" i="35" a="1"/>
  <c r="Y18" i="35" a="1"/>
  <c r="AC22" i="35" a="1"/>
  <c r="AB53" i="35" a="1"/>
  <c r="AA62" i="35" a="1"/>
  <c r="AC17" i="35" a="1"/>
  <c r="AA22" i="35" a="1"/>
  <c r="AB47" i="35" a="1"/>
  <c r="Y12" i="35" a="1"/>
  <c r="AB49" i="35" a="1"/>
  <c r="Z47" i="35" a="1"/>
  <c r="AB38" i="35" a="1"/>
  <c r="Y9" i="35" a="1"/>
  <c r="Y67" i="35" a="1"/>
  <c r="AC4" i="35" a="1"/>
  <c r="Z19" i="35" a="1"/>
  <c r="AC6" i="35" a="1"/>
  <c r="AA36" i="35" a="1"/>
  <c r="AC15" i="35" a="1"/>
  <c r="AB29" i="35" a="1"/>
  <c r="AA37" i="35" a="1"/>
  <c r="Z52" i="35" a="1"/>
  <c r="Y46" i="35" a="1"/>
  <c r="Z55" i="35" a="1"/>
  <c r="Z39" i="35" a="1"/>
  <c r="AC70" i="35" a="1"/>
  <c r="AC31" i="35" a="1"/>
  <c r="AC30" i="35" a="1"/>
  <c r="Z14" i="35" a="1"/>
  <c r="AA4" i="35" a="1"/>
  <c r="AB40" i="35" a="1"/>
  <c r="AC23" i="35" a="1"/>
  <c r="AA44" i="35" a="1"/>
  <c r="Y49" i="35" a="1"/>
  <c r="AC62" i="35" a="1"/>
  <c r="Y14" i="35" a="1"/>
  <c r="AB30" i="35" a="1"/>
  <c r="AC48" i="35" a="1"/>
  <c r="Y41" i="35" a="1"/>
  <c r="Y35" i="35" a="1"/>
  <c r="AA7" i="35" a="1"/>
  <c r="Z50" i="35" a="1"/>
  <c r="AA28" i="35" a="1"/>
  <c r="AA6" i="35" a="1"/>
  <c r="Z26" i="35" a="1"/>
  <c r="AB23" i="35" a="1"/>
  <c r="AB43" i="35" a="1"/>
  <c r="AC60" i="35" a="1"/>
  <c r="AA61" i="35" a="1"/>
  <c r="AB44" i="35" a="1"/>
  <c r="Z54" i="35" a="1"/>
  <c r="Z48" i="35" a="1"/>
  <c r="AC28" i="35" a="1"/>
  <c r="AA5" i="35" a="1"/>
  <c r="AB20" i="35" a="1"/>
  <c r="Y52" i="35" a="1"/>
  <c r="AB6" i="35" a="1"/>
  <c r="Z62" i="35" a="1"/>
  <c r="AA18" i="35" a="1"/>
  <c r="Z6" i="35" a="1"/>
  <c r="Y6" i="35" a="1"/>
  <c r="AB19" i="35" a="1"/>
  <c r="Y11" i="35" a="1"/>
  <c r="AB22" i="35" a="1"/>
  <c r="Z45" i="35" a="1"/>
  <c r="AA9" i="35" a="1"/>
  <c r="AB18" i="35" a="1"/>
  <c r="AB24" i="35" a="1"/>
  <c r="AA10" i="35" a="1"/>
  <c r="AA20" i="35" a="1"/>
  <c r="Z8" i="35" a="1"/>
  <c r="Y24" i="35" a="1"/>
  <c r="AB27" i="35" a="1"/>
  <c r="AC59" i="35" a="1"/>
  <c r="AB60" i="35" a="1"/>
  <c r="AC21" i="35" a="1"/>
  <c r="Y56" i="35" a="1"/>
  <c r="Y19" i="35" a="1"/>
  <c r="Y20" i="35" a="1"/>
  <c r="Z35" i="35" a="1"/>
  <c r="AC47" i="35" a="1"/>
  <c r="Z5" i="35" a="1"/>
  <c r="AA11" i="35" a="1"/>
  <c r="AA64" i="35" a="1"/>
  <c r="AC20" i="35" a="1"/>
  <c r="AC43" i="35" a="1"/>
  <c r="AB45" i="35" a="1"/>
  <c r="Y15" i="35" a="1"/>
  <c r="AB55" i="35" a="1"/>
  <c r="AB65" i="35" a="1"/>
  <c r="Z67" i="35" a="1"/>
  <c r="Y47" i="35" a="1"/>
  <c r="Z59" i="35" a="1"/>
  <c r="Z22" i="35" a="1"/>
  <c r="AA39" i="35" a="1"/>
  <c r="Z27" i="35" a="1"/>
  <c r="Y16" i="35" a="1"/>
  <c r="Z11" i="35" a="1"/>
  <c r="AB46" i="35" a="1"/>
  <c r="Z60" i="35" a="1"/>
  <c r="Z51" i="35" a="1"/>
  <c r="AC26" i="35" a="1"/>
  <c r="AB15" i="35" a="1"/>
  <c r="Z16" i="35" a="1"/>
  <c r="AA60" i="35" a="1"/>
  <c r="AC13" i="35" a="1"/>
  <c r="Z57" i="35" a="1"/>
  <c r="AB10" i="35" a="1"/>
  <c r="Z13" i="35" a="1"/>
  <c r="Y4" i="35" a="1"/>
  <c r="Y37" i="35" a="1"/>
  <c r="AA45" i="35" a="1"/>
  <c r="AB37" i="35" a="1"/>
  <c r="Z63" i="35" a="1"/>
  <c r="Y38" i="35" a="1"/>
  <c r="AA55" i="35" a="1"/>
  <c r="Y50" i="35" a="1"/>
  <c r="AC10" i="35" a="1"/>
  <c r="AB26" i="35" a="1"/>
  <c r="Y55" i="35" a="1"/>
  <c r="Z28" i="35" a="1"/>
  <c r="Y62" i="35" a="1"/>
  <c r="Z24" i="35" a="1"/>
  <c r="AB21" i="35" a="1"/>
  <c r="AC11" i="35" a="1"/>
  <c r="AB63" i="35" a="1"/>
  <c r="AA67" i="35" a="1"/>
  <c r="Z17" i="35" a="1"/>
  <c r="Z64" i="35" a="1"/>
  <c r="AB25" i="35" a="1"/>
  <c r="AC57" i="35" a="1"/>
  <c r="AC67" i="35" a="1"/>
  <c r="Z18" i="35" a="1"/>
  <c r="Z43" i="35" a="1"/>
  <c r="AA52" i="35" a="1"/>
  <c r="AA12" i="35" a="1"/>
  <c r="AA19" i="35" a="1"/>
  <c r="AA53" i="35" a="1"/>
  <c r="AC37" i="35" a="1"/>
  <c r="AA57" i="35" a="1"/>
  <c r="AC27" i="35" a="1"/>
  <c r="AA50" i="35" a="1"/>
  <c r="Y48" i="35" a="1"/>
  <c r="AA18" i="35" l="1"/>
  <c r="Y15" i="35"/>
  <c r="AC11" i="35"/>
  <c r="Y47" i="35"/>
  <c r="AA7" i="35"/>
  <c r="Y14" i="35"/>
  <c r="Z67" i="35"/>
  <c r="Z71" i="35" s="1"/>
  <c r="J36" i="27" s="1"/>
  <c r="Y18" i="35"/>
  <c r="AA12" i="35"/>
  <c r="AB10" i="35"/>
  <c r="AB40" i="35"/>
  <c r="Z15" i="35"/>
  <c r="Z19" i="35"/>
  <c r="Z65" i="35"/>
  <c r="AA11" i="35"/>
  <c r="AB46" i="35"/>
  <c r="AA39" i="35"/>
  <c r="AC49" i="35"/>
  <c r="Z53" i="35"/>
  <c r="AB42" i="35"/>
  <c r="AC43" i="35"/>
  <c r="AA20" i="35"/>
  <c r="AB14" i="35"/>
  <c r="AA14" i="35"/>
  <c r="AC53" i="35"/>
  <c r="AA34" i="35"/>
  <c r="AA22" i="35"/>
  <c r="Y62" i="35"/>
  <c r="AC42" i="35"/>
  <c r="AB67" i="35"/>
  <c r="AB71" i="35" s="1"/>
  <c r="J38" i="27" s="1"/>
  <c r="Z20" i="35"/>
  <c r="Y34" i="35"/>
  <c r="Y35" i="35"/>
  <c r="AA52" i="35"/>
  <c r="AA40" i="35"/>
  <c r="AB5" i="35"/>
  <c r="Y13" i="35"/>
  <c r="Y23" i="35"/>
  <c r="AA51" i="35"/>
  <c r="AA32" i="35"/>
  <c r="Y11" i="35"/>
  <c r="AC17" i="35"/>
  <c r="Y21" i="35"/>
  <c r="Y50" i="35"/>
  <c r="AB52" i="35"/>
  <c r="AC47" i="35"/>
  <c r="Z38" i="35"/>
  <c r="AC28" i="35"/>
  <c r="AC57" i="35"/>
  <c r="AA63" i="35"/>
  <c r="AB26" i="35"/>
  <c r="AA67" i="35"/>
  <c r="AA71" i="35" s="1"/>
  <c r="J37" i="27" s="1"/>
  <c r="AB39" i="35"/>
  <c r="Z16" i="35"/>
  <c r="Y56" i="35"/>
  <c r="AC70" i="35"/>
  <c r="AB13" i="35"/>
  <c r="AC62" i="35"/>
  <c r="AB15" i="35"/>
  <c r="Y45" i="35"/>
  <c r="AC59" i="35"/>
  <c r="Z39" i="35"/>
  <c r="AA60" i="35"/>
  <c r="Y65" i="35"/>
  <c r="AC29" i="35"/>
  <c r="AA19" i="35"/>
  <c r="Z4" i="35"/>
  <c r="AC55" i="35"/>
  <c r="Y8" i="35"/>
  <c r="AC12" i="35"/>
  <c r="AA57" i="35"/>
  <c r="AC37" i="35"/>
  <c r="Z27" i="35"/>
  <c r="Y33" i="35"/>
  <c r="AB34" i="35"/>
  <c r="Y19" i="35"/>
  <c r="AB18" i="35"/>
  <c r="Y22" i="35"/>
  <c r="AC27" i="35"/>
  <c r="AB65" i="35"/>
  <c r="AA45" i="35"/>
  <c r="AA16" i="35"/>
  <c r="Z43" i="35"/>
  <c r="AA44" i="35"/>
  <c r="Z18" i="35"/>
  <c r="Z50" i="35"/>
  <c r="AB27" i="35"/>
  <c r="AB23" i="35"/>
  <c r="Z5" i="35"/>
  <c r="AB37" i="35"/>
  <c r="Z26" i="35"/>
  <c r="AA6" i="35"/>
  <c r="AC44" i="35"/>
  <c r="Y26" i="35"/>
  <c r="AC21" i="35"/>
  <c r="Z8" i="35"/>
  <c r="Z62" i="35"/>
  <c r="AB20" i="35"/>
  <c r="AB54" i="35"/>
  <c r="AB64" i="35"/>
  <c r="AC24" i="35"/>
  <c r="Y12" i="35"/>
  <c r="AA48" i="35"/>
  <c r="AA13" i="35"/>
  <c r="AB9" i="35"/>
  <c r="Z57" i="35"/>
  <c r="AA4" i="35"/>
  <c r="AB43" i="35"/>
  <c r="AC4" i="35"/>
  <c r="Z25" i="35"/>
  <c r="AB30" i="35"/>
  <c r="AB22" i="35"/>
  <c r="AC10" i="35"/>
  <c r="Y16" i="35"/>
  <c r="Z28" i="35"/>
  <c r="AC14" i="35"/>
  <c r="AC20" i="35"/>
  <c r="AB12" i="35"/>
  <c r="Y59" i="35"/>
  <c r="AC7" i="35"/>
  <c r="AC16" i="35"/>
  <c r="Y52" i="35"/>
  <c r="AC64" i="35"/>
  <c r="AB31" i="35"/>
  <c r="Z40" i="35"/>
  <c r="Y31" i="35"/>
  <c r="Z60" i="35"/>
  <c r="AA15" i="35"/>
  <c r="Y41" i="35"/>
  <c r="AA23" i="35"/>
  <c r="AC41" i="35"/>
  <c r="AA49" i="35"/>
  <c r="Y39" i="35"/>
  <c r="AB29" i="35"/>
  <c r="AA50" i="35"/>
  <c r="AC23" i="35"/>
  <c r="AA61" i="35"/>
  <c r="AA33" i="35"/>
  <c r="AA17" i="35"/>
  <c r="AA55" i="35"/>
  <c r="Y64" i="35"/>
  <c r="Z35" i="35"/>
  <c r="AC8" i="35"/>
  <c r="AB59" i="35"/>
  <c r="AB25" i="35"/>
  <c r="AA21" i="35"/>
  <c r="AC61" i="35"/>
  <c r="AC22" i="35"/>
  <c r="Z6" i="35"/>
  <c r="AB21" i="35"/>
  <c r="Z22" i="35"/>
  <c r="Y25" i="35"/>
  <c r="AC36" i="35"/>
  <c r="Y49" i="35"/>
  <c r="AC26" i="35"/>
  <c r="AA53" i="35"/>
  <c r="AC30" i="35"/>
  <c r="AB44" i="35"/>
  <c r="AB17" i="35"/>
  <c r="Z48" i="35"/>
  <c r="AA5" i="35"/>
  <c r="AC31" i="35"/>
  <c r="AC60" i="35"/>
  <c r="Y5" i="35"/>
  <c r="Z41" i="35"/>
  <c r="Y53" i="35"/>
  <c r="AA10" i="35"/>
  <c r="AA37" i="35"/>
  <c r="AB24" i="35"/>
  <c r="AA65" i="35"/>
  <c r="Y46" i="35"/>
  <c r="Z13" i="35"/>
  <c r="Z47" i="35"/>
  <c r="AA9" i="35"/>
  <c r="AA62" i="35"/>
  <c r="AB55" i="35"/>
  <c r="Y37" i="35"/>
  <c r="Z56" i="35"/>
  <c r="AB19" i="35"/>
  <c r="AB53" i="35"/>
  <c r="Y6" i="35"/>
  <c r="AA41" i="35"/>
  <c r="Z45" i="35"/>
  <c r="Z51" i="35"/>
  <c r="AC33" i="35"/>
  <c r="AC67" i="35"/>
  <c r="AA46" i="35"/>
  <c r="AA28" i="35"/>
  <c r="AC40" i="35"/>
  <c r="AB51" i="35"/>
  <c r="AB60" i="35"/>
  <c r="AA36" i="35"/>
  <c r="AB6" i="35"/>
  <c r="AB38" i="35"/>
  <c r="Z44" i="35"/>
  <c r="AC34" i="35"/>
  <c r="Y60" i="35"/>
  <c r="Z54" i="35"/>
  <c r="Y61" i="35"/>
  <c r="Z29" i="35"/>
  <c r="AA25" i="35"/>
  <c r="AC13" i="35"/>
  <c r="Z14" i="35"/>
  <c r="AA38" i="35"/>
  <c r="Y67" i="35"/>
  <c r="Y9" i="35"/>
  <c r="Z63" i="35"/>
  <c r="AB45" i="35"/>
  <c r="AB63" i="35"/>
  <c r="AB47" i="35"/>
  <c r="Y55" i="35"/>
  <c r="AB61" i="35"/>
  <c r="AA64" i="35"/>
  <c r="Z55" i="35"/>
  <c r="AC25" i="35"/>
  <c r="AB49" i="35"/>
  <c r="Y57" i="35"/>
  <c r="Y30" i="35"/>
  <c r="AC45" i="35"/>
  <c r="AA42" i="35"/>
  <c r="Y48" i="35"/>
  <c r="AA56" i="35"/>
  <c r="Y24" i="35"/>
  <c r="AA47" i="35"/>
  <c r="AC48" i="35"/>
  <c r="Z31" i="35"/>
  <c r="Y70" i="35"/>
  <c r="AC65" i="35"/>
  <c r="AA59" i="35"/>
  <c r="AB7" i="35"/>
  <c r="AC15" i="35"/>
  <c r="AC56" i="35"/>
  <c r="Z61" i="35"/>
  <c r="Y36" i="35"/>
  <c r="Z52" i="35"/>
  <c r="Y38" i="35"/>
  <c r="Z21" i="35"/>
  <c r="Y20" i="35"/>
  <c r="AC54" i="35"/>
  <c r="Y4" i="35"/>
  <c r="Z64" i="35"/>
  <c r="Z17" i="35"/>
  <c r="Y28" i="35"/>
  <c r="Z11" i="35"/>
  <c r="AC6" i="35"/>
  <c r="Z24" i="35"/>
  <c r="Z59" i="35"/>
  <c r="Z66" i="35" l="1"/>
  <c r="K36" i="27" s="1"/>
  <c r="AC71" i="35"/>
  <c r="J39" i="27" s="1"/>
  <c r="Y66" i="35"/>
  <c r="K35" i="27" s="1"/>
  <c r="AA66" i="35"/>
  <c r="K37" i="27" s="1"/>
  <c r="Y71" i="35"/>
  <c r="J35" i="27" s="1"/>
  <c r="Y58" i="35"/>
  <c r="L35" i="27" s="1"/>
  <c r="X34" i="28" s="1"/>
  <c r="B34" i="28" s="1"/>
  <c r="AB58" i="35"/>
  <c r="L38" i="27" s="1"/>
  <c r="M38" i="27" s="1"/>
  <c r="AC58" i="35"/>
  <c r="L39" i="27" s="1"/>
  <c r="X38" i="28" s="1"/>
  <c r="B38" i="28" s="1"/>
  <c r="AB66" i="35"/>
  <c r="K38" i="27" s="1"/>
  <c r="AA58" i="35"/>
  <c r="L37" i="27" s="1"/>
  <c r="X36" i="28" s="1"/>
  <c r="B36" i="28" s="1"/>
  <c r="Z58" i="35"/>
  <c r="L36" i="27" s="1"/>
  <c r="X35" i="28" s="1"/>
  <c r="B35" i="28" s="1"/>
  <c r="AC66" i="35"/>
  <c r="K39" i="27" s="1"/>
  <c r="AE54" i="35" a="1"/>
  <c r="AH54" i="35" a="1"/>
  <c r="K54" i="35" a="1"/>
  <c r="S54" i="35" a="1"/>
  <c r="AL54" i="35" a="1"/>
  <c r="N54" i="35" a="1"/>
  <c r="I54" i="35" a="1"/>
  <c r="M54" i="35" a="1"/>
  <c r="G54" i="35" a="1"/>
  <c r="H54" i="35" a="1"/>
  <c r="AF54" i="35" a="1"/>
  <c r="O54" i="35" a="1"/>
  <c r="E54" i="35" a="1"/>
  <c r="B54" i="35" a="1"/>
  <c r="R54" i="35" a="1"/>
  <c r="W54" i="35" a="1"/>
  <c r="N38" i="27" l="1"/>
  <c r="I38" i="27" s="1"/>
  <c r="X37" i="28"/>
  <c r="B37" i="28" s="1"/>
  <c r="M35" i="27"/>
  <c r="N39" i="27"/>
  <c r="I39" i="27" s="1"/>
  <c r="M39" i="27"/>
  <c r="N36" i="27"/>
  <c r="I36" i="27" s="1"/>
  <c r="M37" i="27"/>
  <c r="N37" i="27"/>
  <c r="I37" i="27" s="1"/>
  <c r="M36" i="27"/>
  <c r="AL54" i="35"/>
  <c r="W54" i="35"/>
  <c r="E54" i="149" s="1"/>
  <c r="G54" i="149" s="1"/>
  <c r="E54" i="35"/>
  <c r="N54" i="35"/>
  <c r="G54" i="35"/>
  <c r="M54" i="35"/>
  <c r="I54" i="35"/>
  <c r="H54" i="35"/>
  <c r="E54" i="129" s="1"/>
  <c r="O54" i="35"/>
  <c r="AH54" i="35"/>
  <c r="AF54" i="35"/>
  <c r="K54" i="35"/>
  <c r="AE54" i="35"/>
  <c r="R54" i="35"/>
  <c r="S54" i="35"/>
  <c r="B54" i="35"/>
  <c r="AM54" i="35" a="1"/>
  <c r="AG54" i="35" a="1"/>
  <c r="AM54" i="35" l="1"/>
  <c r="AG54" i="35"/>
  <c r="W25" i="28"/>
  <c r="G29" i="27"/>
  <c r="M55" i="27"/>
  <c r="S28" i="28"/>
  <c r="S27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D5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E27" i="28"/>
  <c r="F27" i="28"/>
  <c r="G27" i="28"/>
  <c r="H27" i="28"/>
  <c r="I27" i="28"/>
  <c r="J27" i="28"/>
  <c r="K27" i="28"/>
  <c r="L27" i="28"/>
  <c r="M27" i="28"/>
  <c r="N27" i="28"/>
  <c r="O27" i="28"/>
  <c r="W68" i="35"/>
  <c r="W69" i="35"/>
  <c r="V68" i="35"/>
  <c r="V69" i="35"/>
  <c r="T53" i="35" a="1"/>
  <c r="U54" i="35" a="1"/>
  <c r="V54" i="35" a="1"/>
  <c r="W47" i="35" a="1"/>
  <c r="I53" i="35" a="1"/>
  <c r="H53" i="35" a="1"/>
  <c r="V29" i="35" a="1"/>
  <c r="V47" i="35" a="1"/>
  <c r="V8" i="35" a="1"/>
  <c r="V64" i="35" a="1"/>
  <c r="V19" i="35" a="1"/>
  <c r="V46" i="35" a="1"/>
  <c r="X54" i="35" a="1"/>
  <c r="AI54" i="35" a="1"/>
  <c r="W56" i="35" a="1"/>
  <c r="W34" i="35" a="1"/>
  <c r="V51" i="35" a="1"/>
  <c r="W44" i="35" a="1"/>
  <c r="V31" i="35" a="1"/>
  <c r="Q53" i="35" a="1"/>
  <c r="V65" i="35" a="1"/>
  <c r="V9" i="35" a="1"/>
  <c r="AD54" i="35" a="1"/>
  <c r="V18" i="35" a="1"/>
  <c r="L53" i="35" a="1"/>
  <c r="V41" i="35" a="1"/>
  <c r="V25" i="35" a="1"/>
  <c r="P54" i="35" a="1"/>
  <c r="AG53" i="35" a="1"/>
  <c r="W16" i="35" a="1"/>
  <c r="W35" i="35" a="1"/>
  <c r="G53" i="35" a="1"/>
  <c r="W10" i="35" a="1"/>
  <c r="W43" i="35" a="1"/>
  <c r="V45" i="35" a="1"/>
  <c r="W41" i="35" a="1"/>
  <c r="V40" i="35" a="1"/>
  <c r="F54" i="35" a="1"/>
  <c r="AH53" i="35" a="1"/>
  <c r="W48" i="35" a="1"/>
  <c r="W57" i="35" a="1"/>
  <c r="V7" i="35" a="1"/>
  <c r="U53" i="35" a="1"/>
  <c r="V10" i="35" a="1"/>
  <c r="T54" i="35" a="1"/>
  <c r="W28" i="35" a="1"/>
  <c r="V24" i="35" a="1"/>
  <c r="V49" i="35" a="1"/>
  <c r="V70" i="35" a="1"/>
  <c r="W32" i="35" a="1"/>
  <c r="W65" i="35" a="1"/>
  <c r="V37" i="35" a="1"/>
  <c r="C53" i="35" a="1"/>
  <c r="W30" i="35" a="1"/>
  <c r="V57" i="35" a="1"/>
  <c r="W60" i="35" a="1"/>
  <c r="AL53" i="35" a="1"/>
  <c r="W62" i="35" a="1"/>
  <c r="V27" i="35" a="1"/>
  <c r="D54" i="35" a="1"/>
  <c r="V16" i="35" a="1"/>
  <c r="W14" i="35" a="1"/>
  <c r="W25" i="35" a="1"/>
  <c r="V59" i="35" a="1"/>
  <c r="O53" i="35" a="1"/>
  <c r="W38" i="35" a="1"/>
  <c r="W36" i="35" a="1"/>
  <c r="X53" i="35" a="1"/>
  <c r="V6" i="35" a="1"/>
  <c r="V33" i="35" a="1"/>
  <c r="J54" i="35" a="1"/>
  <c r="W26" i="35" a="1"/>
  <c r="W21" i="35" a="1"/>
  <c r="W13" i="35" a="1"/>
  <c r="W59" i="35" a="1"/>
  <c r="L54" i="35" a="1"/>
  <c r="V35" i="35" a="1"/>
  <c r="W52" i="35" a="1"/>
  <c r="W37" i="35" a="1"/>
  <c r="W42" i="35" a="1"/>
  <c r="V15" i="35" a="1"/>
  <c r="W33" i="35" a="1"/>
  <c r="V12" i="35" a="1"/>
  <c r="W6" i="35" a="1"/>
  <c r="W55" i="35" a="1"/>
  <c r="W15" i="35" a="1"/>
  <c r="AF53" i="35" a="1"/>
  <c r="W50" i="35" a="1"/>
  <c r="W46" i="35" a="1"/>
  <c r="W40" i="35" a="1"/>
  <c r="W29" i="35" a="1"/>
  <c r="W67" i="35" a="1"/>
  <c r="W49" i="35" a="1"/>
  <c r="AI53" i="35" a="1"/>
  <c r="B53" i="35" a="1"/>
  <c r="W27" i="35" a="1"/>
  <c r="V5" i="35" a="1"/>
  <c r="V44" i="35" a="1"/>
  <c r="AD53" i="35" a="1"/>
  <c r="AK53" i="35" a="1"/>
  <c r="AK54" i="35" a="1"/>
  <c r="W64" i="35" a="1"/>
  <c r="R53" i="35" a="1"/>
  <c r="V14" i="35" a="1"/>
  <c r="J53" i="35" a="1"/>
  <c r="W63" i="35" a="1"/>
  <c r="V30" i="35" a="1"/>
  <c r="V13" i="35" a="1"/>
  <c r="W24" i="35" a="1"/>
  <c r="V48" i="35" a="1"/>
  <c r="W7" i="35" a="1"/>
  <c r="W53" i="35" a="1"/>
  <c r="W23" i="35" a="1"/>
  <c r="Q54" i="35" a="1"/>
  <c r="W61" i="35" a="1"/>
  <c r="W39" i="35" a="1"/>
  <c r="AE53" i="35" a="1"/>
  <c r="P53" i="35" a="1"/>
  <c r="V50" i="35" a="1"/>
  <c r="W11" i="35" a="1"/>
  <c r="V52" i="35" a="1"/>
  <c r="V63" i="35" a="1"/>
  <c r="W45" i="35" a="1"/>
  <c r="W8" i="35" a="1"/>
  <c r="V39" i="35" a="1"/>
  <c r="V55" i="35" a="1"/>
  <c r="W4" i="35" a="1"/>
  <c r="V11" i="35" a="1"/>
  <c r="W17" i="35" a="1"/>
  <c r="W19" i="35" a="1"/>
  <c r="W5" i="35" a="1"/>
  <c r="W9" i="35" a="1"/>
  <c r="AM53" i="35" a="1"/>
  <c r="S53" i="35" a="1"/>
  <c r="V32" i="35" a="1"/>
  <c r="V62" i="35" a="1"/>
  <c r="W31" i="35" a="1"/>
  <c r="D53" i="35" a="1"/>
  <c r="E53" i="35" a="1"/>
  <c r="V23" i="35" a="1"/>
  <c r="C54" i="35" a="1"/>
  <c r="V4" i="35" a="1"/>
  <c r="V42" i="35" a="1"/>
  <c r="V53" i="35" a="1"/>
  <c r="V56" i="35" a="1"/>
  <c r="W12" i="35" a="1"/>
  <c r="V26" i="35" a="1"/>
  <c r="V21" i="35" a="1"/>
  <c r="W22" i="35" a="1"/>
  <c r="V36" i="35" a="1"/>
  <c r="V17" i="35" a="1"/>
  <c r="V60" i="35" a="1"/>
  <c r="F53" i="35" a="1"/>
  <c r="V38" i="35" a="1"/>
  <c r="V22" i="35" a="1"/>
  <c r="M53" i="35" a="1"/>
  <c r="V67" i="35" a="1"/>
  <c r="V34" i="35" a="1"/>
  <c r="W70" i="35" a="1"/>
  <c r="K53" i="35" a="1"/>
  <c r="V43" i="35" a="1"/>
  <c r="W18" i="35" a="1"/>
  <c r="V20" i="35" a="1"/>
  <c r="V28" i="35" a="1"/>
  <c r="W20" i="35" a="1"/>
  <c r="N53" i="35" a="1"/>
  <c r="V61" i="35" a="1"/>
  <c r="W51" i="35" a="1"/>
  <c r="L54" i="35" l="1"/>
  <c r="V54" i="35"/>
  <c r="D54" i="35"/>
  <c r="T54" i="35"/>
  <c r="P54" i="35"/>
  <c r="AK54" i="35"/>
  <c r="F54" i="35"/>
  <c r="Q54" i="35"/>
  <c r="AI54" i="35"/>
  <c r="U54" i="35"/>
  <c r="C54" i="35"/>
  <c r="AJ54" i="35" s="1"/>
  <c r="AD54" i="35"/>
  <c r="X54" i="35"/>
  <c r="J54" i="35"/>
  <c r="W61" i="35"/>
  <c r="W51" i="35"/>
  <c r="E51" i="149" s="1"/>
  <c r="G51" i="149" s="1"/>
  <c r="W60" i="35"/>
  <c r="W34" i="35"/>
  <c r="E34" i="149" s="1"/>
  <c r="G34" i="149" s="1"/>
  <c r="W59" i="35"/>
  <c r="W49" i="35"/>
  <c r="E49" i="149" s="1"/>
  <c r="G49" i="149" s="1"/>
  <c r="W25" i="35"/>
  <c r="E25" i="149" s="1"/>
  <c r="G25" i="149" s="1"/>
  <c r="W9" i="35"/>
  <c r="E9" i="149" s="1"/>
  <c r="G9" i="149" s="1"/>
  <c r="W48" i="35"/>
  <c r="E48" i="149" s="1"/>
  <c r="G48" i="149" s="1"/>
  <c r="W24" i="35"/>
  <c r="E24" i="149" s="1"/>
  <c r="G24" i="149" s="1"/>
  <c r="W65" i="35"/>
  <c r="W56" i="35"/>
  <c r="E56" i="149" s="1"/>
  <c r="G56" i="149" s="1"/>
  <c r="W47" i="35"/>
  <c r="E47" i="149" s="1"/>
  <c r="G47" i="149" s="1"/>
  <c r="W39" i="35"/>
  <c r="E39" i="149" s="1"/>
  <c r="G39" i="149" s="1"/>
  <c r="W31" i="35"/>
  <c r="E31" i="149" s="1"/>
  <c r="G31" i="149" s="1"/>
  <c r="W23" i="35"/>
  <c r="E23" i="149" s="1"/>
  <c r="G23" i="149" s="1"/>
  <c r="W15" i="35"/>
  <c r="E15" i="149" s="1"/>
  <c r="G15" i="149" s="1"/>
  <c r="W7" i="35"/>
  <c r="E7" i="149" s="1"/>
  <c r="G7" i="149" s="1"/>
  <c r="W35" i="35"/>
  <c r="E35" i="149" s="1"/>
  <c r="G35" i="149" s="1"/>
  <c r="W26" i="35"/>
  <c r="E26" i="149" s="1"/>
  <c r="G26" i="149" s="1"/>
  <c r="W64" i="35"/>
  <c r="W11" i="35"/>
  <c r="E11" i="149" s="1"/>
  <c r="G11" i="149" s="1"/>
  <c r="W50" i="35"/>
  <c r="E50" i="149" s="1"/>
  <c r="G50" i="149" s="1"/>
  <c r="W63" i="35"/>
  <c r="W19" i="35"/>
  <c r="E19" i="149" s="1"/>
  <c r="G19" i="149" s="1"/>
  <c r="W42" i="35"/>
  <c r="E42" i="149" s="1"/>
  <c r="G42" i="149" s="1"/>
  <c r="W38" i="35"/>
  <c r="E38" i="149" s="1"/>
  <c r="G38" i="149" s="1"/>
  <c r="W22" i="35"/>
  <c r="E22" i="149" s="1"/>
  <c r="G22" i="149" s="1"/>
  <c r="W53" i="35"/>
  <c r="E53" i="149" s="1"/>
  <c r="G53" i="149" s="1"/>
  <c r="W45" i="35"/>
  <c r="E45" i="149" s="1"/>
  <c r="G45" i="149" s="1"/>
  <c r="W37" i="35"/>
  <c r="E37" i="149" s="1"/>
  <c r="G37" i="149" s="1"/>
  <c r="W29" i="35"/>
  <c r="E29" i="149" s="1"/>
  <c r="G29" i="149" s="1"/>
  <c r="W21" i="35"/>
  <c r="E21" i="149" s="1"/>
  <c r="G21" i="149" s="1"/>
  <c r="W13" i="35"/>
  <c r="E13" i="149" s="1"/>
  <c r="G13" i="149" s="1"/>
  <c r="W5" i="35"/>
  <c r="E5" i="149" s="1"/>
  <c r="G5" i="149" s="1"/>
  <c r="W70" i="35"/>
  <c r="W43" i="35"/>
  <c r="E43" i="149" s="1"/>
  <c r="G43" i="149" s="1"/>
  <c r="W10" i="35"/>
  <c r="E10" i="149" s="1"/>
  <c r="G10" i="149" s="1"/>
  <c r="W67" i="35"/>
  <c r="W41" i="35"/>
  <c r="E41" i="149" s="1"/>
  <c r="G41" i="149" s="1"/>
  <c r="W40" i="35"/>
  <c r="E40" i="149" s="1"/>
  <c r="G40" i="149" s="1"/>
  <c r="W16" i="35"/>
  <c r="E16" i="149" s="1"/>
  <c r="G16" i="149" s="1"/>
  <c r="W46" i="35"/>
  <c r="E46" i="149" s="1"/>
  <c r="G46" i="149" s="1"/>
  <c r="W14" i="35"/>
  <c r="E14" i="149" s="1"/>
  <c r="G14" i="149" s="1"/>
  <c r="W62" i="35"/>
  <c r="W27" i="35"/>
  <c r="E27" i="149" s="1"/>
  <c r="G27" i="149" s="1"/>
  <c r="W18" i="35"/>
  <c r="E18" i="149" s="1"/>
  <c r="G18" i="149" s="1"/>
  <c r="W33" i="35"/>
  <c r="E33" i="149" s="1"/>
  <c r="G33" i="149" s="1"/>
  <c r="W17" i="35"/>
  <c r="E17" i="149" s="1"/>
  <c r="G17" i="149" s="1"/>
  <c r="W57" i="35"/>
  <c r="E57" i="149" s="1"/>
  <c r="G57" i="149" s="1"/>
  <c r="W32" i="35"/>
  <c r="E32" i="149" s="1"/>
  <c r="G32" i="149" s="1"/>
  <c r="W8" i="35"/>
  <c r="E8" i="149" s="1"/>
  <c r="G8" i="149" s="1"/>
  <c r="W55" i="35"/>
  <c r="E55" i="149" s="1"/>
  <c r="G55" i="149" s="1"/>
  <c r="W30" i="35"/>
  <c r="E30" i="149" s="1"/>
  <c r="G30" i="149" s="1"/>
  <c r="W6" i="35"/>
  <c r="E6" i="149" s="1"/>
  <c r="G6" i="149" s="1"/>
  <c r="W52" i="35"/>
  <c r="E52" i="149" s="1"/>
  <c r="G52" i="149" s="1"/>
  <c r="W44" i="35"/>
  <c r="E44" i="149" s="1"/>
  <c r="G44" i="149" s="1"/>
  <c r="W36" i="35"/>
  <c r="E36" i="149" s="1"/>
  <c r="G36" i="149" s="1"/>
  <c r="W28" i="35"/>
  <c r="E28" i="149" s="1"/>
  <c r="G28" i="149" s="1"/>
  <c r="W20" i="35"/>
  <c r="E20" i="149" s="1"/>
  <c r="G20" i="149" s="1"/>
  <c r="W12" i="35"/>
  <c r="E12" i="149" s="1"/>
  <c r="G12" i="149" s="1"/>
  <c r="W4" i="35"/>
  <c r="E4" i="149" s="1"/>
  <c r="V42" i="35"/>
  <c r="V10" i="35"/>
  <c r="V67" i="35"/>
  <c r="V41" i="35"/>
  <c r="V25" i="35"/>
  <c r="V57" i="35"/>
  <c r="V48" i="35"/>
  <c r="V32" i="35"/>
  <c r="V16" i="35"/>
  <c r="V65" i="35"/>
  <c r="V56" i="35"/>
  <c r="V47" i="35"/>
  <c r="V39" i="35"/>
  <c r="V31" i="35"/>
  <c r="V23" i="35"/>
  <c r="V15" i="35"/>
  <c r="V7" i="35"/>
  <c r="V50" i="35"/>
  <c r="V34" i="35"/>
  <c r="V59" i="35"/>
  <c r="V49" i="35"/>
  <c r="V33" i="35"/>
  <c r="V17" i="35"/>
  <c r="V9" i="35"/>
  <c r="V40" i="35"/>
  <c r="V24" i="35"/>
  <c r="V8" i="35"/>
  <c r="V64" i="35"/>
  <c r="V61" i="35"/>
  <c r="V70" i="35"/>
  <c r="V43" i="35"/>
  <c r="V27" i="35"/>
  <c r="V19" i="35"/>
  <c r="V60" i="35"/>
  <c r="V18" i="35"/>
  <c r="V46" i="35"/>
  <c r="V63" i="35"/>
  <c r="V51" i="35"/>
  <c r="V55" i="35"/>
  <c r="V38" i="35"/>
  <c r="V30" i="35"/>
  <c r="V22" i="35"/>
  <c r="V14" i="35"/>
  <c r="V6" i="35"/>
  <c r="V62" i="35"/>
  <c r="V35" i="35"/>
  <c r="V11" i="35"/>
  <c r="V26" i="35"/>
  <c r="V53" i="35"/>
  <c r="V45" i="35"/>
  <c r="V37" i="35"/>
  <c r="V29" i="35"/>
  <c r="V21" i="35"/>
  <c r="V13" i="35"/>
  <c r="V5" i="35"/>
  <c r="V52" i="35"/>
  <c r="V44" i="35"/>
  <c r="V36" i="35"/>
  <c r="V28" i="35"/>
  <c r="V20" i="35"/>
  <c r="V12" i="35"/>
  <c r="V4" i="35"/>
  <c r="O53" i="35"/>
  <c r="X53" i="35"/>
  <c r="F53" i="35"/>
  <c r="M53" i="35"/>
  <c r="S53" i="35"/>
  <c r="AG53" i="35"/>
  <c r="R53" i="35"/>
  <c r="K53" i="35"/>
  <c r="AL53" i="35"/>
  <c r="H53" i="35"/>
  <c r="E53" i="129" s="1"/>
  <c r="G53" i="35"/>
  <c r="U53" i="35"/>
  <c r="E53" i="35"/>
  <c r="AH53" i="35"/>
  <c r="L53" i="35"/>
  <c r="C53" i="35"/>
  <c r="AJ53" i="35" s="1"/>
  <c r="Q53" i="35"/>
  <c r="AE53" i="35"/>
  <c r="P53" i="35"/>
  <c r="I53" i="35"/>
  <c r="AD53" i="35"/>
  <c r="AK53" i="35"/>
  <c r="N53" i="35"/>
  <c r="AI53" i="35"/>
  <c r="AM53" i="35"/>
  <c r="T53" i="35"/>
  <c r="D53" i="35"/>
  <c r="AF53" i="35"/>
  <c r="J53" i="35"/>
  <c r="B53" i="35"/>
  <c r="E58" i="149" l="1"/>
  <c r="G4" i="149"/>
  <c r="W58" i="35"/>
  <c r="L29" i="27" s="1"/>
  <c r="W71" i="35"/>
  <c r="J29" i="27" s="1"/>
  <c r="W66" i="35"/>
  <c r="K29" i="27" s="1"/>
  <c r="V58" i="35"/>
  <c r="L25" i="27" s="1"/>
  <c r="V71" i="35"/>
  <c r="J25" i="27" s="1"/>
  <c r="V66" i="35"/>
  <c r="K25" i="27" s="1"/>
  <c r="X28" i="28" l="1"/>
  <c r="B28" i="28" s="1"/>
  <c r="M25" i="27"/>
  <c r="X24" i="28"/>
  <c r="B24" i="28" s="1"/>
  <c r="M29" i="27"/>
  <c r="N29" i="27"/>
  <c r="I29" i="27" s="1"/>
  <c r="N25" i="27"/>
  <c r="I25" i="27" s="1"/>
  <c r="E41" i="28" l="1"/>
  <c r="E6" i="28"/>
  <c r="E7" i="28"/>
  <c r="E8" i="28"/>
  <c r="E9" i="28"/>
  <c r="E10" i="28"/>
  <c r="E11" i="28"/>
  <c r="E12" i="28"/>
  <c r="E13" i="28"/>
  <c r="E14" i="28"/>
  <c r="E15" i="28"/>
  <c r="E16" i="28"/>
  <c r="E42" i="28"/>
  <c r="E17" i="28"/>
  <c r="E18" i="28"/>
  <c r="E19" i="28"/>
  <c r="E20" i="28"/>
  <c r="E21" i="28"/>
  <c r="E22" i="28"/>
  <c r="E43" i="28"/>
  <c r="E23" i="28"/>
  <c r="E26" i="28"/>
  <c r="E29" i="28"/>
  <c r="E30" i="28"/>
  <c r="E31" i="28"/>
  <c r="E32" i="28"/>
  <c r="E33" i="28"/>
  <c r="E5" i="28"/>
  <c r="AF69" i="35"/>
  <c r="AG69" i="35"/>
  <c r="AH69" i="35"/>
  <c r="AM69" i="35"/>
  <c r="AI69" i="35"/>
  <c r="AJ69" i="35"/>
  <c r="AK69" i="35"/>
  <c r="AL69" i="35"/>
  <c r="F30" i="28"/>
  <c r="G30" i="28"/>
  <c r="H30" i="28"/>
  <c r="I30" i="28"/>
  <c r="J30" i="28"/>
  <c r="K30" i="28"/>
  <c r="L30" i="28"/>
  <c r="M30" i="28"/>
  <c r="N30" i="28"/>
  <c r="O30" i="28"/>
  <c r="F31" i="28"/>
  <c r="G31" i="28"/>
  <c r="H31" i="28"/>
  <c r="I31" i="28"/>
  <c r="J31" i="28"/>
  <c r="K31" i="28"/>
  <c r="L31" i="28"/>
  <c r="M31" i="28"/>
  <c r="N31" i="28"/>
  <c r="O31" i="28"/>
  <c r="F32" i="28"/>
  <c r="G32" i="28"/>
  <c r="H32" i="28"/>
  <c r="I32" i="28"/>
  <c r="J32" i="28"/>
  <c r="K32" i="28"/>
  <c r="L32" i="28"/>
  <c r="M32" i="28"/>
  <c r="N32" i="28"/>
  <c r="O32" i="28"/>
  <c r="F33" i="28"/>
  <c r="G33" i="28"/>
  <c r="H33" i="28"/>
  <c r="I33" i="28"/>
  <c r="J33" i="28"/>
  <c r="K33" i="28"/>
  <c r="L33" i="28"/>
  <c r="M33" i="28"/>
  <c r="N33" i="28"/>
  <c r="O33" i="28"/>
  <c r="S31" i="28"/>
  <c r="T31" i="28"/>
  <c r="U31" i="28"/>
  <c r="V31" i="28"/>
  <c r="W31" i="28"/>
  <c r="S32" i="28"/>
  <c r="T32" i="28"/>
  <c r="U32" i="28"/>
  <c r="V32" i="28"/>
  <c r="W32" i="28"/>
  <c r="S33" i="28"/>
  <c r="T33" i="28"/>
  <c r="U33" i="28"/>
  <c r="V33" i="28"/>
  <c r="W33" i="28"/>
  <c r="S30" i="28"/>
  <c r="T30" i="28"/>
  <c r="U30" i="28"/>
  <c r="V30" i="28"/>
  <c r="W30" i="28"/>
  <c r="F41" i="28"/>
  <c r="F6" i="28"/>
  <c r="F7" i="28"/>
  <c r="F8" i="28"/>
  <c r="F9" i="28"/>
  <c r="F10" i="28"/>
  <c r="F11" i="28"/>
  <c r="F12" i="28"/>
  <c r="F13" i="28"/>
  <c r="F14" i="28"/>
  <c r="F15" i="28"/>
  <c r="F16" i="28"/>
  <c r="F42" i="28"/>
  <c r="F17" i="28"/>
  <c r="F18" i="28"/>
  <c r="F19" i="28"/>
  <c r="F20" i="28"/>
  <c r="F21" i="28"/>
  <c r="F22" i="28"/>
  <c r="F43" i="28"/>
  <c r="F23" i="28"/>
  <c r="F26" i="28"/>
  <c r="F29" i="28"/>
  <c r="F5" i="28"/>
  <c r="B1" i="35"/>
  <c r="AM1" i="35"/>
  <c r="AF10" i="35" a="1"/>
  <c r="AD36" i="35" a="1"/>
  <c r="Q36" i="35" a="1"/>
  <c r="AH16" i="35" a="1"/>
  <c r="AH40" i="35" a="1"/>
  <c r="K36" i="35" a="1"/>
  <c r="AK36" i="35" a="1"/>
  <c r="O36" i="35" a="1"/>
  <c r="AF14" i="35" a="1"/>
  <c r="B36" i="35" a="1"/>
  <c r="AH62" i="35" a="1"/>
  <c r="T36" i="35" a="1"/>
  <c r="E36" i="35" a="1"/>
  <c r="AE36" i="35" a="1"/>
  <c r="AG32" i="35" a="1"/>
  <c r="AG36" i="35" a="1"/>
  <c r="H36" i="35" a="1"/>
  <c r="J36" i="35" a="1"/>
  <c r="AM36" i="35" a="1"/>
  <c r="AF49" i="35" a="1"/>
  <c r="R36" i="35" a="1"/>
  <c r="AF36" i="35" a="1"/>
  <c r="AI36" i="35" a="1"/>
  <c r="AG23" i="35" a="1"/>
  <c r="X36" i="35" a="1"/>
  <c r="AH35" i="35" a="1"/>
  <c r="AF21" i="35" a="1"/>
  <c r="P36" i="35" a="1"/>
  <c r="AG52" i="35" a="1"/>
  <c r="L36" i="35" a="1"/>
  <c r="I36" i="35" a="1"/>
  <c r="G36" i="35" a="1"/>
  <c r="F36" i="35" a="1"/>
  <c r="AF48" i="35" a="1"/>
  <c r="N36" i="35" a="1"/>
  <c r="AF37" i="35" a="1"/>
  <c r="AH36" i="35" a="1"/>
  <c r="AG19" i="35" a="1"/>
  <c r="C36" i="35" a="1"/>
  <c r="AG68" i="35" a="1"/>
  <c r="AK36" i="35" l="1"/>
  <c r="T36" i="35"/>
  <c r="AD36" i="35"/>
  <c r="N36" i="35"/>
  <c r="G36" i="35"/>
  <c r="AI36" i="35"/>
  <c r="E36" i="35"/>
  <c r="H36" i="35"/>
  <c r="E36" i="129" s="1"/>
  <c r="O36" i="35"/>
  <c r="AM36" i="35"/>
  <c r="F36" i="35"/>
  <c r="X36" i="35"/>
  <c r="AH36" i="35"/>
  <c r="R36" i="35"/>
  <c r="K36" i="35"/>
  <c r="C36" i="35"/>
  <c r="AJ36" i="35" s="1"/>
  <c r="Q36" i="35"/>
  <c r="AF36" i="35"/>
  <c r="AE36" i="35"/>
  <c r="J36" i="35"/>
  <c r="AG36" i="35"/>
  <c r="P36" i="35"/>
  <c r="L36" i="35"/>
  <c r="I36" i="35"/>
  <c r="B36" i="35"/>
  <c r="AG68" i="35"/>
  <c r="AH62" i="35"/>
  <c r="AG23" i="35"/>
  <c r="AF10" i="35"/>
  <c r="AH35" i="35"/>
  <c r="AF37" i="35"/>
  <c r="AG52" i="35"/>
  <c r="AG19" i="35"/>
  <c r="AH16" i="35"/>
  <c r="AF14" i="35"/>
  <c r="AG32" i="35"/>
  <c r="AF49" i="35"/>
  <c r="AF48" i="35"/>
  <c r="AH40" i="35"/>
  <c r="AF21" i="35"/>
  <c r="U36" i="35" a="1"/>
  <c r="AF24" i="35" a="1"/>
  <c r="S36" i="35" a="1"/>
  <c r="D36" i="35" a="1"/>
  <c r="M36" i="35" a="1"/>
  <c r="AL36" i="35" a="1"/>
  <c r="U36" i="35" l="1"/>
  <c r="S36" i="35"/>
  <c r="D36" i="35"/>
  <c r="AL36" i="35"/>
  <c r="M36" i="35"/>
  <c r="AF24" i="35"/>
  <c r="B68" i="35"/>
  <c r="C68" i="35"/>
  <c r="AJ68" i="35" s="1"/>
  <c r="D68" i="35"/>
  <c r="E68" i="35"/>
  <c r="F68" i="35"/>
  <c r="G68" i="35"/>
  <c r="H68" i="35"/>
  <c r="I68" i="35"/>
  <c r="J68" i="35"/>
  <c r="K68" i="35"/>
  <c r="L68" i="35"/>
  <c r="M68" i="35"/>
  <c r="N68" i="35"/>
  <c r="O68" i="35"/>
  <c r="P68" i="35"/>
  <c r="Q68" i="35"/>
  <c r="R68" i="35"/>
  <c r="S68" i="35"/>
  <c r="T68" i="35"/>
  <c r="U68" i="35"/>
  <c r="X68" i="35"/>
  <c r="AD68" i="35"/>
  <c r="AE68" i="35"/>
  <c r="AM68" i="35"/>
  <c r="AI68" i="35"/>
  <c r="AK68" i="35"/>
  <c r="AL68" i="35"/>
  <c r="B69" i="35"/>
  <c r="C69" i="35"/>
  <c r="D69" i="35"/>
  <c r="E69" i="35"/>
  <c r="F69" i="35"/>
  <c r="G69" i="35"/>
  <c r="H69" i="35"/>
  <c r="I69" i="35"/>
  <c r="J69" i="35"/>
  <c r="K69" i="35"/>
  <c r="L69" i="35"/>
  <c r="M69" i="35"/>
  <c r="N69" i="35"/>
  <c r="O69" i="35"/>
  <c r="P69" i="35"/>
  <c r="Q69" i="35"/>
  <c r="R69" i="35"/>
  <c r="S69" i="35"/>
  <c r="T69" i="35"/>
  <c r="U69" i="35"/>
  <c r="X69" i="35"/>
  <c r="AD69" i="35"/>
  <c r="AE69" i="35"/>
  <c r="G26" i="28"/>
  <c r="H26" i="28"/>
  <c r="I26" i="28"/>
  <c r="J26" i="28"/>
  <c r="K26" i="28"/>
  <c r="L26" i="28"/>
  <c r="M26" i="28"/>
  <c r="N26" i="28"/>
  <c r="O26" i="28"/>
  <c r="G29" i="28"/>
  <c r="H29" i="28"/>
  <c r="I29" i="28"/>
  <c r="J29" i="28"/>
  <c r="K29" i="28"/>
  <c r="L29" i="28"/>
  <c r="M29" i="28"/>
  <c r="N29" i="28"/>
  <c r="O29" i="28"/>
  <c r="G5" i="28"/>
  <c r="H5" i="28"/>
  <c r="I5" i="28"/>
  <c r="J5" i="28"/>
  <c r="K5" i="28"/>
  <c r="L5" i="28"/>
  <c r="M5" i="28"/>
  <c r="N5" i="28"/>
  <c r="O5" i="28"/>
  <c r="S41" i="28"/>
  <c r="T41" i="28"/>
  <c r="U41" i="28"/>
  <c r="V41" i="28"/>
  <c r="W41" i="28"/>
  <c r="S6" i="28"/>
  <c r="T6" i="28"/>
  <c r="U6" i="28"/>
  <c r="V6" i="28"/>
  <c r="W6" i="28"/>
  <c r="S7" i="28"/>
  <c r="T7" i="28"/>
  <c r="U7" i="28"/>
  <c r="V7" i="28"/>
  <c r="W7" i="28"/>
  <c r="S8" i="28"/>
  <c r="T8" i="28"/>
  <c r="U8" i="28"/>
  <c r="V8" i="28"/>
  <c r="W8" i="28"/>
  <c r="S9" i="28"/>
  <c r="T9" i="28"/>
  <c r="U9" i="28"/>
  <c r="V9" i="28"/>
  <c r="W9" i="28"/>
  <c r="S10" i="28"/>
  <c r="T10" i="28"/>
  <c r="U10" i="28"/>
  <c r="V10" i="28"/>
  <c r="W10" i="28"/>
  <c r="S11" i="28"/>
  <c r="T11" i="28"/>
  <c r="U11" i="28"/>
  <c r="V11" i="28"/>
  <c r="W11" i="28"/>
  <c r="S12" i="28"/>
  <c r="T12" i="28"/>
  <c r="U12" i="28"/>
  <c r="V12" i="28"/>
  <c r="W12" i="28"/>
  <c r="S13" i="28"/>
  <c r="T13" i="28"/>
  <c r="U13" i="28"/>
  <c r="V13" i="28"/>
  <c r="W13" i="28"/>
  <c r="S14" i="28"/>
  <c r="T14" i="28"/>
  <c r="U14" i="28"/>
  <c r="V14" i="28"/>
  <c r="W14" i="28"/>
  <c r="S15" i="28"/>
  <c r="T15" i="28"/>
  <c r="U15" i="28"/>
  <c r="V15" i="28"/>
  <c r="W15" i="28"/>
  <c r="S16" i="28"/>
  <c r="T16" i="28"/>
  <c r="U16" i="28"/>
  <c r="V16" i="28"/>
  <c r="W16" i="28"/>
  <c r="S42" i="28"/>
  <c r="T42" i="28"/>
  <c r="U42" i="28"/>
  <c r="V42" i="28"/>
  <c r="W42" i="28"/>
  <c r="S17" i="28"/>
  <c r="T17" i="28"/>
  <c r="U17" i="28"/>
  <c r="V17" i="28"/>
  <c r="W17" i="28"/>
  <c r="S18" i="28"/>
  <c r="T18" i="28"/>
  <c r="U18" i="28"/>
  <c r="V18" i="28"/>
  <c r="W18" i="28"/>
  <c r="S19" i="28"/>
  <c r="T19" i="28"/>
  <c r="U19" i="28"/>
  <c r="V19" i="28"/>
  <c r="W19" i="28"/>
  <c r="S20" i="28"/>
  <c r="T20" i="28"/>
  <c r="U20" i="28"/>
  <c r="V20" i="28"/>
  <c r="W20" i="28"/>
  <c r="S21" i="28"/>
  <c r="T21" i="28"/>
  <c r="U21" i="28"/>
  <c r="V21" i="28"/>
  <c r="W21" i="28"/>
  <c r="S22" i="28"/>
  <c r="T22" i="28"/>
  <c r="U22" i="28"/>
  <c r="V22" i="28"/>
  <c r="W22" i="28"/>
  <c r="S43" i="28"/>
  <c r="T43" i="28"/>
  <c r="U43" i="28"/>
  <c r="V43" i="28"/>
  <c r="W43" i="28"/>
  <c r="S23" i="28"/>
  <c r="T23" i="28"/>
  <c r="U23" i="28"/>
  <c r="V23" i="28"/>
  <c r="W23" i="28"/>
  <c r="S26" i="28"/>
  <c r="T26" i="28"/>
  <c r="U26" i="28"/>
  <c r="V26" i="28"/>
  <c r="W26" i="28"/>
  <c r="T27" i="28"/>
  <c r="U27" i="28"/>
  <c r="V27" i="28"/>
  <c r="W27" i="28"/>
  <c r="S29" i="28"/>
  <c r="T29" i="28"/>
  <c r="U29" i="28"/>
  <c r="V29" i="28"/>
  <c r="W29" i="28"/>
  <c r="W5" i="28"/>
  <c r="V5" i="28"/>
  <c r="U5" i="28"/>
  <c r="T5" i="28"/>
  <c r="S5" i="28"/>
  <c r="B65" i="34"/>
  <c r="B62" i="34"/>
  <c r="E56" i="34"/>
  <c r="B56" i="34"/>
  <c r="B66" i="34" s="1"/>
  <c r="E66" i="34" s="1"/>
  <c r="B65" i="33"/>
  <c r="B60" i="33"/>
  <c r="B52" i="33"/>
  <c r="B65" i="31"/>
  <c r="B66" i="31" s="1"/>
  <c r="B60" i="31"/>
  <c r="B47" i="31"/>
  <c r="B41" i="31"/>
  <c r="B27" i="31"/>
  <c r="B24" i="31"/>
  <c r="B23" i="31"/>
  <c r="B22" i="31"/>
  <c r="B52" i="31" s="1"/>
  <c r="J27" i="30"/>
  <c r="G27" i="30"/>
  <c r="K27" i="30" s="1"/>
  <c r="J26" i="30"/>
  <c r="G26" i="30"/>
  <c r="K26" i="30" s="1"/>
  <c r="J25" i="30"/>
  <c r="G25" i="30"/>
  <c r="K25" i="30" s="1"/>
  <c r="J24" i="30"/>
  <c r="G24" i="30"/>
  <c r="K24" i="30" s="1"/>
  <c r="J23" i="30"/>
  <c r="G23" i="30"/>
  <c r="K23" i="30" s="1"/>
  <c r="K22" i="30"/>
  <c r="J22" i="30"/>
  <c r="G22" i="30"/>
  <c r="J21" i="30"/>
  <c r="G21" i="30"/>
  <c r="K21" i="30" s="1"/>
  <c r="J20" i="30"/>
  <c r="G20" i="30"/>
  <c r="K20" i="30" s="1"/>
  <c r="J19" i="30"/>
  <c r="G19" i="30"/>
  <c r="K19" i="30" s="1"/>
  <c r="K18" i="30"/>
  <c r="J18" i="30"/>
  <c r="G18" i="30"/>
  <c r="J17" i="30"/>
  <c r="K17" i="30" s="1"/>
  <c r="G17" i="30"/>
  <c r="J16" i="30"/>
  <c r="G16" i="30"/>
  <c r="K16" i="30" s="1"/>
  <c r="J15" i="30"/>
  <c r="G15" i="30"/>
  <c r="K15" i="30" s="1"/>
  <c r="J14" i="30"/>
  <c r="K14" i="30" s="1"/>
  <c r="G14" i="30"/>
  <c r="J13" i="30"/>
  <c r="G13" i="30"/>
  <c r="J12" i="30"/>
  <c r="G12" i="30"/>
  <c r="K12" i="30" s="1"/>
  <c r="J11" i="30"/>
  <c r="K11" i="30" s="1"/>
  <c r="G11" i="30"/>
  <c r="K10" i="30"/>
  <c r="J10" i="30"/>
  <c r="G10" i="30"/>
  <c r="J9" i="30"/>
  <c r="G9" i="30"/>
  <c r="K9" i="30" s="1"/>
  <c r="J8" i="30"/>
  <c r="G8" i="30"/>
  <c r="K8" i="30" s="1"/>
  <c r="J7" i="30"/>
  <c r="G7" i="30"/>
  <c r="K7" i="30" s="1"/>
  <c r="K6" i="30"/>
  <c r="J6" i="30"/>
  <c r="G6" i="30"/>
  <c r="J5" i="30"/>
  <c r="G5" i="30"/>
  <c r="K5" i="30" s="1"/>
  <c r="O23" i="28"/>
  <c r="N23" i="28"/>
  <c r="M23" i="28"/>
  <c r="L23" i="28"/>
  <c r="K23" i="28"/>
  <c r="J23" i="28"/>
  <c r="I23" i="28"/>
  <c r="H23" i="28"/>
  <c r="O43" i="28"/>
  <c r="N43" i="28"/>
  <c r="M43" i="28"/>
  <c r="L43" i="28"/>
  <c r="K43" i="28"/>
  <c r="J43" i="28"/>
  <c r="I43" i="28"/>
  <c r="H43" i="28"/>
  <c r="O22" i="28"/>
  <c r="N22" i="28"/>
  <c r="M22" i="28"/>
  <c r="L22" i="28"/>
  <c r="K22" i="28"/>
  <c r="J22" i="28"/>
  <c r="I22" i="28"/>
  <c r="H22" i="28"/>
  <c r="O21" i="28"/>
  <c r="N21" i="28"/>
  <c r="M21" i="28"/>
  <c r="L21" i="28"/>
  <c r="K21" i="28"/>
  <c r="J21" i="28"/>
  <c r="I21" i="28"/>
  <c r="H21" i="28"/>
  <c r="O20" i="28"/>
  <c r="N20" i="28"/>
  <c r="M20" i="28"/>
  <c r="L20" i="28"/>
  <c r="K20" i="28"/>
  <c r="J20" i="28"/>
  <c r="I20" i="28"/>
  <c r="H20" i="28"/>
  <c r="O19" i="28"/>
  <c r="N19" i="28"/>
  <c r="M19" i="28"/>
  <c r="L19" i="28"/>
  <c r="K19" i="28"/>
  <c r="J19" i="28"/>
  <c r="I19" i="28"/>
  <c r="H19" i="28"/>
  <c r="O18" i="28"/>
  <c r="N18" i="28"/>
  <c r="M18" i="28"/>
  <c r="L18" i="28"/>
  <c r="K18" i="28"/>
  <c r="J18" i="28"/>
  <c r="I18" i="28"/>
  <c r="H18" i="28"/>
  <c r="O17" i="28"/>
  <c r="N17" i="28"/>
  <c r="M17" i="28"/>
  <c r="L17" i="28"/>
  <c r="K17" i="28"/>
  <c r="J17" i="28"/>
  <c r="I17" i="28"/>
  <c r="H17" i="28"/>
  <c r="O42" i="28"/>
  <c r="N42" i="28"/>
  <c r="M42" i="28"/>
  <c r="L42" i="28"/>
  <c r="K42" i="28"/>
  <c r="J42" i="28"/>
  <c r="I42" i="28"/>
  <c r="H42" i="28"/>
  <c r="O16" i="28"/>
  <c r="N16" i="28"/>
  <c r="M16" i="28"/>
  <c r="L16" i="28"/>
  <c r="K16" i="28"/>
  <c r="J16" i="28"/>
  <c r="I16" i="28"/>
  <c r="H16" i="28"/>
  <c r="O15" i="28"/>
  <c r="N15" i="28"/>
  <c r="M15" i="28"/>
  <c r="L15" i="28"/>
  <c r="K15" i="28"/>
  <c r="J15" i="28"/>
  <c r="I15" i="28"/>
  <c r="H15" i="28"/>
  <c r="O14" i="28"/>
  <c r="N14" i="28"/>
  <c r="M14" i="28"/>
  <c r="L14" i="28"/>
  <c r="K14" i="28"/>
  <c r="J14" i="28"/>
  <c r="I14" i="28"/>
  <c r="H14" i="28"/>
  <c r="O13" i="28"/>
  <c r="N13" i="28"/>
  <c r="M13" i="28"/>
  <c r="L13" i="28"/>
  <c r="K13" i="28"/>
  <c r="J13" i="28"/>
  <c r="I13" i="28"/>
  <c r="H13" i="28"/>
  <c r="O12" i="28"/>
  <c r="N12" i="28"/>
  <c r="M12" i="28"/>
  <c r="L12" i="28"/>
  <c r="K12" i="28"/>
  <c r="J12" i="28"/>
  <c r="I12" i="28"/>
  <c r="H12" i="28"/>
  <c r="O11" i="28"/>
  <c r="N11" i="28"/>
  <c r="M11" i="28"/>
  <c r="L11" i="28"/>
  <c r="K11" i="28"/>
  <c r="J11" i="28"/>
  <c r="I11" i="28"/>
  <c r="H11" i="28"/>
  <c r="O10" i="28"/>
  <c r="N10" i="28"/>
  <c r="M10" i="28"/>
  <c r="L10" i="28"/>
  <c r="K10" i="28"/>
  <c r="J10" i="28"/>
  <c r="I10" i="28"/>
  <c r="H10" i="28"/>
  <c r="O9" i="28"/>
  <c r="N9" i="28"/>
  <c r="M9" i="28"/>
  <c r="L9" i="28"/>
  <c r="K9" i="28"/>
  <c r="J9" i="28"/>
  <c r="I9" i="28"/>
  <c r="H9" i="28"/>
  <c r="O8" i="28"/>
  <c r="N8" i="28"/>
  <c r="M8" i="28"/>
  <c r="L8" i="28"/>
  <c r="K8" i="28"/>
  <c r="J8" i="28"/>
  <c r="I8" i="28"/>
  <c r="H8" i="28"/>
  <c r="O7" i="28"/>
  <c r="N7" i="28"/>
  <c r="M7" i="28"/>
  <c r="L7" i="28"/>
  <c r="K7" i="28"/>
  <c r="J7" i="28"/>
  <c r="I7" i="28"/>
  <c r="H7" i="28"/>
  <c r="O6" i="28"/>
  <c r="N6" i="28"/>
  <c r="M6" i="28"/>
  <c r="L6" i="28"/>
  <c r="K6" i="28"/>
  <c r="J6" i="28"/>
  <c r="I6" i="28"/>
  <c r="H6" i="28"/>
  <c r="O41" i="28"/>
  <c r="N41" i="28"/>
  <c r="M41" i="28"/>
  <c r="L41" i="28"/>
  <c r="K41" i="28"/>
  <c r="J41" i="28"/>
  <c r="I41" i="28"/>
  <c r="H41" i="28"/>
  <c r="M52" i="27"/>
  <c r="M51" i="27"/>
  <c r="M50" i="27"/>
  <c r="M49" i="27"/>
  <c r="M48" i="27"/>
  <c r="M47" i="27"/>
  <c r="M44" i="27"/>
  <c r="M43" i="27"/>
  <c r="M42" i="27"/>
  <c r="AG43" i="35" a="1"/>
  <c r="AH18" i="35" a="1"/>
  <c r="AH32" i="35" a="1"/>
  <c r="AG49" i="35" a="1"/>
  <c r="AG57" i="35" a="1"/>
  <c r="AH18" i="35" l="1"/>
  <c r="AH32" i="35"/>
  <c r="AG43" i="35"/>
  <c r="AG49" i="35"/>
  <c r="AG57" i="35"/>
  <c r="B66" i="33"/>
  <c r="K13" i="30"/>
  <c r="AH55" i="35" a="1"/>
  <c r="P13" i="35" a="1"/>
  <c r="G9" i="35" a="1"/>
  <c r="AH8" i="35" a="1"/>
  <c r="AF6" i="35" a="1"/>
  <c r="AG13" i="35" a="1"/>
  <c r="AF61" i="35" a="1"/>
  <c r="AH67" i="35" a="1"/>
  <c r="AG11" i="35" a="1"/>
  <c r="AG7" i="35" a="1"/>
  <c r="AH34" i="35" a="1"/>
  <c r="AF63" i="35" a="1"/>
  <c r="AH4" i="35" a="1"/>
  <c r="AH9" i="35" a="1"/>
  <c r="AF28" i="35" a="1"/>
  <c r="AF4" i="35" a="1"/>
  <c r="AF46" i="35" a="1"/>
  <c r="AH20" i="35" a="1"/>
  <c r="AG22" i="35" a="1"/>
  <c r="AF64" i="35" a="1"/>
  <c r="AF45" i="35" a="1"/>
  <c r="AF11" i="35" a="1"/>
  <c r="AG5" i="35" a="1"/>
  <c r="AH29" i="35" a="1"/>
  <c r="AG44" i="35" a="1"/>
  <c r="AF34" i="35" a="1"/>
  <c r="AF32" i="35" a="1"/>
  <c r="K17" i="35" a="1"/>
  <c r="AF60" i="35" a="1"/>
  <c r="AG48" i="35" a="1"/>
  <c r="I13" i="35" a="1"/>
  <c r="AG46" i="35" a="1"/>
  <c r="C17" i="35" a="1"/>
  <c r="AF70" i="35" a="1"/>
  <c r="AF68" i="35" a="1"/>
  <c r="AH38" i="35" a="1"/>
  <c r="AH25" i="35" a="1"/>
  <c r="AF20" i="35" a="1"/>
  <c r="AH6" i="35" a="1"/>
  <c r="AH41" i="35" a="1"/>
  <c r="AH14" i="35" a="1"/>
  <c r="J7" i="35" a="1"/>
  <c r="AF43" i="35" a="1"/>
  <c r="AF55" i="35" a="1"/>
  <c r="N9" i="35" a="1"/>
  <c r="AG50" i="35" a="1"/>
  <c r="AF56" i="35" a="1"/>
  <c r="AG67" i="35" a="1"/>
  <c r="B4" i="35" a="1"/>
  <c r="AH39" i="35" a="1"/>
  <c r="AG47" i="35" a="1"/>
  <c r="AG34" i="35" a="1"/>
  <c r="AH56" i="35" a="1"/>
  <c r="AF16" i="35" a="1"/>
  <c r="AG38" i="35" a="1"/>
  <c r="AH11" i="35" a="1"/>
  <c r="AF12" i="35" a="1"/>
  <c r="Q7" i="35" a="1"/>
  <c r="AG61" i="35" a="1"/>
  <c r="AH13" i="35" a="1"/>
  <c r="AH31" i="35" a="1"/>
  <c r="AF44" i="35" a="1"/>
  <c r="E21" i="35" a="1"/>
  <c r="AG42" i="35" a="1"/>
  <c r="AH30" i="35" a="1"/>
  <c r="AG28" i="35" a="1"/>
  <c r="AG45" i="35" a="1"/>
  <c r="AF51" i="35" a="1"/>
  <c r="AH57" i="35" a="1"/>
  <c r="AF52" i="35" a="1"/>
  <c r="AG64" i="35" a="1"/>
  <c r="AF39" i="35" a="1"/>
  <c r="AH50" i="35" a="1"/>
  <c r="AG39" i="35" a="1"/>
  <c r="AH15" i="35" a="1"/>
  <c r="AG16" i="35" a="1"/>
  <c r="AF17" i="35" a="1"/>
  <c r="AH61" i="35" a="1"/>
  <c r="AF25" i="35" a="1"/>
  <c r="AH48" i="35" a="1"/>
  <c r="AF26" i="35" a="1"/>
  <c r="AG70" i="35" a="1"/>
  <c r="AG27" i="35" a="1"/>
  <c r="AG20" i="35" a="1"/>
  <c r="AG10" i="35" a="1"/>
  <c r="AG65" i="35" a="1"/>
  <c r="AG40" i="35" a="1"/>
  <c r="AF38" i="35" a="1"/>
  <c r="AL18" i="35" a="1"/>
  <c r="AH7" i="35" a="1"/>
  <c r="AH59" i="35" a="1"/>
  <c r="H19" i="35" a="1"/>
  <c r="AF7" i="35" a="1"/>
  <c r="AF62" i="35" a="1"/>
  <c r="AG29" i="35" a="1"/>
  <c r="AF31" i="35" a="1"/>
  <c r="AH68" i="35" a="1"/>
  <c r="AG18" i="35" a="1"/>
  <c r="AF27" i="35" a="1"/>
  <c r="L11" i="35" a="1"/>
  <c r="AF9" i="35" a="1"/>
  <c r="AH5" i="35" a="1"/>
  <c r="X9" i="35" a="1"/>
  <c r="AG8" i="35" a="1"/>
  <c r="AG26" i="35" a="1"/>
  <c r="AF29" i="35" a="1"/>
  <c r="AG33" i="35" a="1"/>
  <c r="AF40" i="35" a="1"/>
  <c r="AG55" i="35" a="1"/>
  <c r="S11" i="35" a="1"/>
  <c r="AH28" i="35" a="1"/>
  <c r="AF22" i="35" a="1"/>
  <c r="AF35" i="35" a="1"/>
  <c r="AH27" i="35" a="1"/>
  <c r="AF30" i="35" a="1"/>
  <c r="AG6" i="35" a="1"/>
  <c r="AI17" i="35" a="1"/>
  <c r="AG21" i="35" a="1"/>
  <c r="AM7" i="35" a="1"/>
  <c r="AH63" i="35" a="1"/>
  <c r="AG17" i="35" a="1"/>
  <c r="AH22" i="35" a="1"/>
  <c r="T5" i="35" a="1"/>
  <c r="F15" i="35" a="1"/>
  <c r="AG37" i="35" a="1"/>
  <c r="AF33" i="35" a="1"/>
  <c r="AH64" i="35" a="1"/>
  <c r="AF42" i="35" a="1"/>
  <c r="AG51" i="35" a="1"/>
  <c r="AF41" i="35" a="1"/>
  <c r="U15" i="35" a="1"/>
  <c r="AG59" i="35" a="1"/>
  <c r="AH24" i="35" a="1"/>
  <c r="AH21" i="35" a="1"/>
  <c r="AH49" i="35" a="1"/>
  <c r="AF15" i="35" a="1"/>
  <c r="AF8" i="35" a="1"/>
  <c r="R17" i="35" a="1"/>
  <c r="M5" i="35" a="1"/>
  <c r="AF23" i="35" a="1"/>
  <c r="AF5" i="35" a="1"/>
  <c r="AH70" i="35" a="1"/>
  <c r="AF50" i="35" a="1"/>
  <c r="AG31" i="35" a="1"/>
  <c r="AG15" i="35" a="1"/>
  <c r="AH45" i="35" a="1"/>
  <c r="AH46" i="35" a="1"/>
  <c r="AF18" i="35" a="1"/>
  <c r="AH42" i="35" a="1"/>
  <c r="AH10" i="35" a="1"/>
  <c r="AG12" i="35" a="1"/>
  <c r="AH65" i="35" a="1"/>
  <c r="AF67" i="35" a="1"/>
  <c r="AH60" i="35" a="1"/>
  <c r="AH37" i="35" a="1"/>
  <c r="AG14" i="35" a="1"/>
  <c r="AG30" i="35" a="1"/>
  <c r="AG24" i="35" a="1"/>
  <c r="AH47" i="35" a="1"/>
  <c r="D11" i="35" a="1"/>
  <c r="AH12" i="35" a="1"/>
  <c r="AG9" i="35" a="1"/>
  <c r="AH52" i="35" a="1"/>
  <c r="AM23" i="35" a="1"/>
  <c r="AH43" i="35" a="1"/>
  <c r="AG4" i="35" a="1"/>
  <c r="AF57" i="35" a="1"/>
  <c r="AE13" i="35" a="1"/>
  <c r="B13" i="35" a="1"/>
  <c r="AH44" i="35" a="1"/>
  <c r="E5" i="35" a="1"/>
  <c r="AG25" i="35" a="1"/>
  <c r="AG56" i="35" a="1"/>
  <c r="AH23" i="35" a="1"/>
  <c r="AF47" i="35" a="1"/>
  <c r="AG63" i="35" a="1"/>
  <c r="AK8" i="35" a="1"/>
  <c r="AH33" i="35" a="1"/>
  <c r="AF59" i="35" a="1"/>
  <c r="AG60" i="35" a="1"/>
  <c r="AH19" i="35" a="1"/>
  <c r="AG62" i="35" a="1"/>
  <c r="AG41" i="35" a="1"/>
  <c r="AG35" i="35" a="1"/>
  <c r="AF13" i="35" a="1"/>
  <c r="AF19" i="35" a="1"/>
  <c r="AH51" i="35" a="1"/>
  <c r="AH26" i="35" a="1"/>
  <c r="AF65" i="35" a="1"/>
  <c r="AH17" i="35" a="1"/>
  <c r="AF57" i="35" l="1"/>
  <c r="AG14" i="35"/>
  <c r="AH17" i="35"/>
  <c r="AH22" i="35"/>
  <c r="AG61" i="35"/>
  <c r="AF59" i="35"/>
  <c r="AH42" i="35"/>
  <c r="AH65" i="35"/>
  <c r="AG4" i="35"/>
  <c r="AH47" i="35"/>
  <c r="AF47" i="35"/>
  <c r="AG59" i="35"/>
  <c r="AH9" i="35"/>
  <c r="AF35" i="35"/>
  <c r="AF5" i="35"/>
  <c r="AH70" i="35"/>
  <c r="AH38" i="35"/>
  <c r="AF45" i="35"/>
  <c r="AG12" i="35"/>
  <c r="AF7" i="35"/>
  <c r="AG48" i="35"/>
  <c r="AH6" i="35"/>
  <c r="AH10" i="35"/>
  <c r="AG7" i="35"/>
  <c r="AF64" i="35"/>
  <c r="AG5" i="35"/>
  <c r="AH57" i="35"/>
  <c r="AH28" i="35"/>
  <c r="AG13" i="35"/>
  <c r="AG45" i="35"/>
  <c r="AH26" i="35"/>
  <c r="AG33" i="35"/>
  <c r="AG63" i="35"/>
  <c r="AF62" i="35"/>
  <c r="AG56" i="35"/>
  <c r="AF34" i="35"/>
  <c r="AG17" i="35"/>
  <c r="AH23" i="35"/>
  <c r="AG39" i="35"/>
  <c r="AH12" i="35"/>
  <c r="AF30" i="35"/>
  <c r="AH11" i="35"/>
  <c r="AG60" i="35"/>
  <c r="AF20" i="35"/>
  <c r="I13" i="35"/>
  <c r="AG15" i="35"/>
  <c r="AF50" i="35"/>
  <c r="AG16" i="35"/>
  <c r="AG46" i="35"/>
  <c r="AH51" i="35"/>
  <c r="D11" i="35"/>
  <c r="AF67" i="35"/>
  <c r="AF52" i="35"/>
  <c r="P13" i="35"/>
  <c r="AF33" i="35"/>
  <c r="AG70" i="35"/>
  <c r="AF65" i="35"/>
  <c r="AG9" i="35"/>
  <c r="AG37" i="35"/>
  <c r="AH8" i="35"/>
  <c r="AF56" i="35"/>
  <c r="AF40" i="35"/>
  <c r="AF9" i="35"/>
  <c r="AH55" i="35"/>
  <c r="AL18" i="35"/>
  <c r="AH67" i="35"/>
  <c r="AH29" i="35"/>
  <c r="AG28" i="35"/>
  <c r="AF28" i="35"/>
  <c r="AG50" i="35"/>
  <c r="AG42" i="35"/>
  <c r="AG67" i="35"/>
  <c r="AH13" i="35"/>
  <c r="AG31" i="35"/>
  <c r="AH39" i="35"/>
  <c r="AG65" i="35"/>
  <c r="L11" i="35"/>
  <c r="AH19" i="35"/>
  <c r="AF51" i="35"/>
  <c r="S11" i="35"/>
  <c r="AG10" i="35"/>
  <c r="E5" i="35"/>
  <c r="AF39" i="35"/>
  <c r="AF68" i="35"/>
  <c r="AH44" i="35"/>
  <c r="Q7" i="35"/>
  <c r="AH68" i="35"/>
  <c r="AF44" i="35"/>
  <c r="AF4" i="35"/>
  <c r="AF41" i="35"/>
  <c r="AH7" i="35"/>
  <c r="AH48" i="35"/>
  <c r="AF8" i="35"/>
  <c r="AH49" i="35"/>
  <c r="AG35" i="35"/>
  <c r="AH64" i="35"/>
  <c r="AF63" i="35"/>
  <c r="X9" i="35"/>
  <c r="AG8" i="35"/>
  <c r="AF11" i="35"/>
  <c r="AH30" i="35"/>
  <c r="AF46" i="35"/>
  <c r="AH14" i="35"/>
  <c r="B13" i="35"/>
  <c r="AH34" i="35"/>
  <c r="G9" i="35"/>
  <c r="AF27" i="35"/>
  <c r="AI17" i="35"/>
  <c r="AF23" i="35"/>
  <c r="AF15" i="35"/>
  <c r="AF32" i="35"/>
  <c r="AF55" i="35"/>
  <c r="R17" i="35"/>
  <c r="AH37" i="35"/>
  <c r="AH46" i="35"/>
  <c r="AF26" i="35"/>
  <c r="AH25" i="35"/>
  <c r="AH43" i="35"/>
  <c r="AG51" i="35"/>
  <c r="AH56" i="35"/>
  <c r="AF42" i="35"/>
  <c r="K17" i="35"/>
  <c r="AG44" i="35"/>
  <c r="U15" i="35"/>
  <c r="AF60" i="35"/>
  <c r="AH24" i="35"/>
  <c r="AH20" i="35"/>
  <c r="AG24" i="35"/>
  <c r="M5" i="35"/>
  <c r="AH15" i="35"/>
  <c r="AF25" i="35"/>
  <c r="AG6" i="35"/>
  <c r="AK8" i="35"/>
  <c r="AF17" i="35"/>
  <c r="AG55" i="35"/>
  <c r="AG22" i="35"/>
  <c r="AG27" i="35"/>
  <c r="AH63" i="35"/>
  <c r="AG26" i="35"/>
  <c r="AE13" i="35"/>
  <c r="F15" i="35"/>
  <c r="AF38" i="35"/>
  <c r="AG47" i="35"/>
  <c r="AH52" i="35"/>
  <c r="AG11" i="35"/>
  <c r="AF31" i="35"/>
  <c r="AM7" i="35"/>
  <c r="AG34" i="35"/>
  <c r="AF22" i="35"/>
  <c r="B4" i="35"/>
  <c r="AH4" i="35"/>
  <c r="AF16" i="35"/>
  <c r="AH60" i="35"/>
  <c r="AG62" i="35"/>
  <c r="AF18" i="35"/>
  <c r="AH5" i="35"/>
  <c r="AF43" i="35"/>
  <c r="AH31" i="35"/>
  <c r="AF61" i="35"/>
  <c r="AG20" i="35"/>
  <c r="AF6" i="35"/>
  <c r="J7" i="35"/>
  <c r="AG38" i="35"/>
  <c r="AG29" i="35"/>
  <c r="AG21" i="35"/>
  <c r="AG25" i="35"/>
  <c r="AH59" i="35"/>
  <c r="T5" i="35"/>
  <c r="AG40" i="35"/>
  <c r="AG30" i="35"/>
  <c r="AF13" i="35"/>
  <c r="AG41" i="35"/>
  <c r="AH50" i="35"/>
  <c r="N9" i="35"/>
  <c r="AG18" i="35"/>
  <c r="AF12" i="35"/>
  <c r="AH41" i="35"/>
  <c r="AH33" i="35"/>
  <c r="AH27" i="35"/>
  <c r="AF29" i="35"/>
  <c r="AF19" i="35"/>
  <c r="AG64" i="35"/>
  <c r="AH45" i="35"/>
  <c r="AH61" i="35"/>
  <c r="C17" i="35"/>
  <c r="AJ17" i="35" s="1"/>
  <c r="AH21" i="35"/>
  <c r="AF70" i="35"/>
  <c r="AM23" i="35"/>
  <c r="E21" i="35"/>
  <c r="H19" i="35"/>
  <c r="E19" i="129" s="1"/>
  <c r="N48" i="27"/>
  <c r="I48" i="27" s="1"/>
  <c r="N44" i="27"/>
  <c r="I44" i="27" s="1"/>
  <c r="N52" i="27"/>
  <c r="I52" i="27" s="1"/>
  <c r="N47" i="27"/>
  <c r="I47" i="27" s="1"/>
  <c r="N51" i="27"/>
  <c r="I51" i="27" s="1"/>
  <c r="N49" i="27"/>
  <c r="I49" i="27" s="1"/>
  <c r="N43" i="27"/>
  <c r="I43" i="27" s="1"/>
  <c r="N50" i="27"/>
  <c r="I50" i="27" s="1"/>
  <c r="N42" i="27"/>
  <c r="I42" i="27" s="1"/>
  <c r="M21" i="35" a="1"/>
  <c r="Q23" i="35" a="1"/>
  <c r="O19" i="35" a="1"/>
  <c r="T21" i="35" a="1"/>
  <c r="AD19" i="35" a="1"/>
  <c r="J23" i="35" a="1"/>
  <c r="AG71" i="35" l="1"/>
  <c r="J34" i="27" s="1"/>
  <c r="AF66" i="35"/>
  <c r="K33" i="27" s="1"/>
  <c r="AH71" i="35"/>
  <c r="J32" i="27" s="1"/>
  <c r="AF71" i="35"/>
  <c r="J33" i="27" s="1"/>
  <c r="AF58" i="35"/>
  <c r="L33" i="27" s="1"/>
  <c r="AG58" i="35"/>
  <c r="L34" i="27" s="1"/>
  <c r="AH58" i="35"/>
  <c r="L32" i="27" s="1"/>
  <c r="AG66" i="35"/>
  <c r="K34" i="27" s="1"/>
  <c r="AH66" i="35"/>
  <c r="K32" i="27" s="1"/>
  <c r="AD19" i="35"/>
  <c r="Q23" i="35"/>
  <c r="J23" i="35"/>
  <c r="T21" i="35"/>
  <c r="M21" i="35"/>
  <c r="O19" i="35"/>
  <c r="G8" i="28"/>
  <c r="G15" i="28"/>
  <c r="G41" i="28"/>
  <c r="G11" i="28"/>
  <c r="G17" i="28"/>
  <c r="M34" i="27" l="1"/>
  <c r="D31" i="28"/>
  <c r="X31" i="28"/>
  <c r="B31" i="28" s="1"/>
  <c r="D33" i="28"/>
  <c r="X33" i="28"/>
  <c r="B33" i="28" s="1"/>
  <c r="D32" i="28"/>
  <c r="X32" i="28"/>
  <c r="B32" i="28" s="1"/>
  <c r="M32" i="27"/>
  <c r="M33" i="27"/>
  <c r="N33" i="27"/>
  <c r="I33" i="27" s="1"/>
  <c r="N32" i="27"/>
  <c r="I32" i="27" s="1"/>
  <c r="N34" i="27"/>
  <c r="I34" i="27" s="1"/>
  <c r="G6" i="28"/>
  <c r="G16" i="28"/>
  <c r="G18" i="28"/>
  <c r="G12" i="28"/>
  <c r="G7" i="28"/>
  <c r="G42" i="28"/>
  <c r="G14" i="28"/>
  <c r="G21" i="28"/>
  <c r="G10" i="28"/>
  <c r="G9" i="28"/>
  <c r="G23" i="28"/>
  <c r="G19" i="28"/>
  <c r="G22" i="28"/>
  <c r="G13" i="28"/>
  <c r="G20" i="28"/>
  <c r="G43" i="28"/>
  <c r="D12" i="28" l="1"/>
  <c r="D11" i="28"/>
  <c r="D16" i="28"/>
  <c r="D17" i="28"/>
  <c r="D19" i="28"/>
  <c r="D26" i="28"/>
  <c r="D21" i="28"/>
  <c r="D27" i="28"/>
  <c r="D30" i="28"/>
  <c r="D29" i="28"/>
  <c r="D20" i="28"/>
  <c r="D23" i="28"/>
  <c r="D22" i="28"/>
  <c r="D14" i="28"/>
  <c r="D13" i="28"/>
  <c r="D15" i="28"/>
  <c r="D7" i="28"/>
  <c r="N55" i="27"/>
  <c r="I55" i="27" s="1"/>
  <c r="N41" i="27"/>
  <c r="I41" i="27" s="1"/>
  <c r="D9" i="28"/>
  <c r="D18" i="28"/>
  <c r="D8" i="28"/>
  <c r="M41" i="27"/>
  <c r="D41" i="28"/>
  <c r="M46" i="27"/>
  <c r="D42" i="28"/>
  <c r="M45" i="27"/>
  <c r="D43" i="28"/>
  <c r="N46" i="27"/>
  <c r="I46" i="27" s="1"/>
  <c r="D10" i="28"/>
  <c r="D6" i="28" l="1"/>
  <c r="N45" i="27"/>
  <c r="I45" i="27" s="1"/>
  <c r="N35" i="27"/>
  <c r="I35" i="27" s="1"/>
  <c r="Q41" i="35" l="1" a="1"/>
  <c r="M41" i="35" a="1"/>
  <c r="J19" i="35" a="1"/>
  <c r="D20" i="35" a="1"/>
  <c r="E27" i="35" a="1"/>
  <c r="E46" i="35" a="1"/>
  <c r="R25" i="35" a="1"/>
  <c r="B42" i="35" a="1"/>
  <c r="S67" i="35" a="1"/>
  <c r="T52" i="35" a="1"/>
  <c r="J35" i="35" a="1"/>
  <c r="C50" i="35" a="1"/>
  <c r="AK64" i="35" a="1"/>
  <c r="Q26" i="35" a="1"/>
  <c r="F24" i="35" a="1"/>
  <c r="E41" i="35" a="1"/>
  <c r="K23" i="35" a="1"/>
  <c r="AE70" i="35" a="1"/>
  <c r="I19" i="35" a="1"/>
  <c r="S57" i="35" a="1"/>
  <c r="C29" i="35" a="1"/>
  <c r="T28" i="35" a="1"/>
  <c r="S62" i="35" a="1"/>
  <c r="AL37" i="35" a="1"/>
  <c r="N48" i="35" a="1"/>
  <c r="C47" i="35" a="1"/>
  <c r="AE26" i="35" a="1"/>
  <c r="Q21" i="35" a="1"/>
  <c r="G34" i="35" a="1"/>
  <c r="AE8" i="35" a="1"/>
  <c r="T61" i="35" a="1"/>
  <c r="C33" i="35" a="1"/>
  <c r="G46" i="35" a="1"/>
  <c r="M42" i="35" a="1"/>
  <c r="B29" i="35" a="1"/>
  <c r="X37" i="35" a="1"/>
  <c r="H40" i="35" a="1"/>
  <c r="X19" i="35" a="1"/>
  <c r="N60" i="35" a="1"/>
  <c r="G15" i="35" a="1"/>
  <c r="G49" i="35" a="1"/>
  <c r="E31" i="35" a="1"/>
  <c r="K35" i="35" a="1"/>
  <c r="K22" i="35" a="1"/>
  <c r="I35" i="35" a="1"/>
  <c r="H64" i="35" a="1"/>
  <c r="AL42" i="35" a="1"/>
  <c r="K16" i="35" a="1"/>
  <c r="AL49" i="35" a="1"/>
  <c r="AM4" i="35" a="1"/>
  <c r="O11" i="35" a="1"/>
  <c r="AI27" i="35" a="1"/>
  <c r="G23" i="35" a="1"/>
  <c r="D48" i="35" a="1"/>
  <c r="AE33" i="35" a="1"/>
  <c r="F22" i="35" a="1"/>
  <c r="L37" i="35" a="1"/>
  <c r="U7" i="35" a="1"/>
  <c r="T35" i="35" a="1"/>
  <c r="F13" i="35" a="1"/>
  <c r="P12" i="35" a="1"/>
  <c r="E65" i="35" a="1"/>
  <c r="D6" i="35" a="1"/>
  <c r="AL20" i="35" a="1"/>
  <c r="E45" i="35" a="1"/>
  <c r="AI6" i="35" a="1"/>
  <c r="AK32" i="35" a="1"/>
  <c r="AM65" i="35" a="1"/>
  <c r="AL12" i="35" a="1"/>
  <c r="L52" i="35" a="1"/>
  <c r="S42" i="35" a="1"/>
  <c r="Q27" i="35" a="1"/>
  <c r="B18" i="35" a="1"/>
  <c r="S8" i="35" a="1"/>
  <c r="AL9" i="35" a="1"/>
  <c r="AL44" i="35" a="1"/>
  <c r="H22" i="35" a="1"/>
  <c r="R37" i="35" a="1"/>
  <c r="O34" i="35" a="1"/>
  <c r="F55" i="35" a="1"/>
  <c r="P50" i="35" a="1"/>
  <c r="K65" i="35" a="1"/>
  <c r="E16" i="35" a="1"/>
  <c r="K30" i="35" a="1"/>
  <c r="J47" i="35" a="1"/>
  <c r="R45" i="35" a="1"/>
  <c r="U8" i="35" a="1"/>
  <c r="AL46" i="35" a="1"/>
  <c r="L24" i="35" a="1"/>
  <c r="N49" i="35" a="1"/>
  <c r="I9" i="35" a="1"/>
  <c r="AE61" i="35" a="1"/>
  <c r="H33" i="35" a="1"/>
  <c r="AL11" i="35" a="1"/>
  <c r="X43" i="35" a="1"/>
  <c r="P47" i="35" a="1"/>
  <c r="I32" i="35" a="1"/>
  <c r="AL7" i="35" a="1"/>
  <c r="M57" i="35" a="1"/>
  <c r="S39" i="35" a="1"/>
  <c r="AL50" i="35" a="1"/>
  <c r="AK67" i="35" a="1"/>
  <c r="O40" i="35" a="1"/>
  <c r="R30" i="35" a="1"/>
  <c r="I50" i="35" a="1"/>
  <c r="F10" i="35" a="1"/>
  <c r="T41" i="35" a="1"/>
  <c r="O49" i="35" a="1"/>
  <c r="AM16" i="35" a="1"/>
  <c r="O15" i="35" a="1"/>
  <c r="T42" i="35" a="1"/>
  <c r="C62" i="35" a="1"/>
  <c r="S14" i="35" a="1"/>
  <c r="AE62" i="35" a="1"/>
  <c r="N11" i="35" a="1"/>
  <c r="H11" i="35" a="1"/>
  <c r="M12" i="35" a="1"/>
  <c r="F49" i="35" a="1"/>
  <c r="L57" i="35" a="1"/>
  <c r="X63" i="35" a="1"/>
  <c r="X50" i="35" a="1"/>
  <c r="P5" i="35" a="1"/>
  <c r="L51" i="35" a="1"/>
  <c r="G70" i="35" a="1"/>
  <c r="O31" i="35" a="1"/>
  <c r="AL8" i="35" a="1"/>
  <c r="M25" i="35" a="1"/>
  <c r="J33" i="35" a="1"/>
  <c r="N32" i="35" a="1"/>
  <c r="AK20" i="35" a="1"/>
  <c r="C65" i="35" a="1"/>
  <c r="O16" i="35" a="1"/>
  <c r="G14" i="35" a="1"/>
  <c r="M45" i="35" a="1"/>
  <c r="L29" i="35" a="1"/>
  <c r="I26" i="35" a="1"/>
  <c r="J46" i="35" a="1"/>
  <c r="X51" i="35" a="1"/>
  <c r="J41" i="35" a="1"/>
  <c r="AK70" i="35" a="1"/>
  <c r="O44" i="35" a="1"/>
  <c r="H31" i="35" a="1"/>
  <c r="J14" i="35" a="1"/>
  <c r="AK24" i="35" a="1"/>
  <c r="AI31" i="35" a="1"/>
  <c r="AM37" i="35" a="1"/>
  <c r="T9" i="35" a="1"/>
  <c r="B25" i="35" a="1"/>
  <c r="I15" i="35" a="1"/>
  <c r="AD35" i="35" a="1"/>
  <c r="D55" i="35" a="1"/>
  <c r="L70" i="35" a="1"/>
  <c r="E7" i="35" a="1"/>
  <c r="Q35" i="35" a="1"/>
  <c r="AE45" i="35" a="1"/>
  <c r="C27" i="35" a="1"/>
  <c r="K60" i="35" a="1"/>
  <c r="T45" i="35" a="1"/>
  <c r="B65" i="35" a="1"/>
  <c r="F25" i="35" a="1"/>
  <c r="AL15" i="35" a="1"/>
  <c r="B8" i="35" a="1"/>
  <c r="H46" i="35" a="1"/>
  <c r="J16" i="35" a="1"/>
  <c r="T33" i="35" a="1"/>
  <c r="G27" i="35" a="1"/>
  <c r="B19" i="35" a="1"/>
  <c r="P48" i="35" a="1"/>
  <c r="M24" i="35" a="1"/>
  <c r="K56" i="35" a="1"/>
  <c r="R4" i="35" a="1"/>
  <c r="K32" i="35" a="1"/>
  <c r="O21" i="35" a="1"/>
  <c r="AK15" i="35" a="1"/>
  <c r="AE37" i="35" a="1"/>
  <c r="G30" i="35" a="1"/>
  <c r="AM12" i="35" a="1"/>
  <c r="O42" i="35" a="1"/>
  <c r="AE42" i="35" a="1"/>
  <c r="D8" i="35" a="1"/>
  <c r="F18" i="35" a="1"/>
  <c r="X32" i="35" a="1"/>
  <c r="C45" i="35" a="1"/>
  <c r="G28" i="35" a="1"/>
  <c r="AL5" i="35" a="1"/>
  <c r="H8" i="35" a="1"/>
  <c r="N42" i="35" a="1"/>
  <c r="K47" i="35" a="1"/>
  <c r="H52" i="35" a="1"/>
  <c r="F37" i="35" a="1"/>
  <c r="I23" i="35" a="1"/>
  <c r="X52" i="35" a="1"/>
  <c r="M38" i="35" a="1"/>
  <c r="M63" i="35" a="1"/>
  <c r="AD48" i="35" a="1"/>
  <c r="N20" i="35" a="1"/>
  <c r="E55" i="35" a="1"/>
  <c r="E29" i="35" a="1"/>
  <c r="I27" i="35" a="1"/>
  <c r="C9" i="35" a="1"/>
  <c r="M33" i="35" a="1"/>
  <c r="AI16" i="35" a="1"/>
  <c r="T63" i="35" a="1"/>
  <c r="G29" i="35" a="1"/>
  <c r="H67" i="35" a="1"/>
  <c r="AD49" i="35" a="1"/>
  <c r="AL30" i="35" a="1"/>
  <c r="E22" i="35" a="1"/>
  <c r="AM57" i="35" a="1"/>
  <c r="H65" i="35" a="1"/>
  <c r="AK49" i="35" a="1"/>
  <c r="C16" i="35" a="1"/>
  <c r="E24" i="35" a="1"/>
  <c r="J39" i="35" a="1"/>
  <c r="L27" i="35" a="1"/>
  <c r="M37" i="35" a="1"/>
  <c r="I62" i="35" a="1"/>
  <c r="P40" i="35" a="1"/>
  <c r="AE55" i="35" a="1"/>
  <c r="L62" i="35" a="1"/>
  <c r="O29" i="35" a="1"/>
  <c r="X48" i="35" a="1"/>
  <c r="F40" i="35" a="1"/>
  <c r="AD30" i="35" a="1"/>
  <c r="B41" i="35" a="1"/>
  <c r="K19" i="35" a="1"/>
  <c r="M23" i="35" a="1"/>
  <c r="D45" i="35" a="1"/>
  <c r="S59" i="35" a="1"/>
  <c r="N21" i="35" a="1"/>
  <c r="X39" i="35" a="1"/>
  <c r="N52" i="35" a="1"/>
  <c r="C31" i="35" a="1"/>
  <c r="T55" i="35" a="1"/>
  <c r="K52" i="35" a="1"/>
  <c r="AM39" i="35" a="1"/>
  <c r="L33" i="35" a="1"/>
  <c r="C28" i="35" a="1"/>
  <c r="T18" i="35" a="1"/>
  <c r="R24" i="35" a="1"/>
  <c r="F31" i="35" a="1"/>
  <c r="P26" i="35" a="1"/>
  <c r="AK63" i="35" a="1"/>
  <c r="AD25" i="35" a="1"/>
  <c r="AM25" i="35" a="1"/>
  <c r="D22" i="35" a="1"/>
  <c r="B35" i="35" a="1"/>
  <c r="AI44" i="35" a="1"/>
  <c r="O26" i="35" a="1"/>
  <c r="AE57" i="35" a="1"/>
  <c r="N45" i="35" a="1"/>
  <c r="P11" i="35" a="1"/>
  <c r="R11" i="35" a="1"/>
  <c r="M15" i="35" a="1"/>
  <c r="O47" i="35" a="1"/>
  <c r="F52" i="35" a="1"/>
  <c r="E44" i="35" a="1"/>
  <c r="K61" i="35" a="1"/>
  <c r="D21" i="35" a="1"/>
  <c r="G44" i="35" a="1"/>
  <c r="AL22" i="35" a="1"/>
  <c r="AE10" i="35" a="1"/>
  <c r="M32" i="35" a="1"/>
  <c r="O67" i="35" a="1"/>
  <c r="I55" i="35" a="1"/>
  <c r="P63" i="35" a="1"/>
  <c r="G11" i="35" a="1"/>
  <c r="U13" i="35" a="1"/>
  <c r="R51" i="35" a="1"/>
  <c r="E67" i="35" a="1"/>
  <c r="D27" i="35" a="1"/>
  <c r="D15" i="35" a="1"/>
  <c r="B20" i="35" a="1"/>
  <c r="U65" i="35" a="1"/>
  <c r="D37" i="35" a="1"/>
  <c r="U70" i="35" a="1"/>
  <c r="E9" i="35" a="1"/>
  <c r="AE52" i="35" a="1"/>
  <c r="F28" i="35" a="1"/>
  <c r="K9" i="35" a="1"/>
  <c r="L50" i="35" a="1"/>
  <c r="B32" i="35" a="1"/>
  <c r="D30" i="35" a="1"/>
  <c r="E47" i="35" a="1"/>
  <c r="G6" i="35" a="1"/>
  <c r="AM33" i="35" a="1"/>
  <c r="I17" i="35" a="1"/>
  <c r="D38" i="35" a="1"/>
  <c r="T25" i="35" a="1"/>
  <c r="T7" i="35" a="1"/>
  <c r="J18" i="35" a="1"/>
  <c r="O37" i="35" a="1"/>
  <c r="AD60" i="35" a="1"/>
  <c r="G51" i="35" a="1"/>
  <c r="E33" i="35" a="1"/>
  <c r="AD61" i="35" a="1"/>
  <c r="R39" i="35" a="1"/>
  <c r="N35" i="35" a="1"/>
  <c r="T26" i="35" a="1"/>
  <c r="B46" i="35" a="1"/>
  <c r="U46" i="35" a="1"/>
  <c r="N44" i="35" a="1"/>
  <c r="N15" i="35" a="1"/>
  <c r="O14" i="35" a="1"/>
  <c r="AE48" i="35" a="1"/>
  <c r="R61" i="35" a="1"/>
  <c r="I59" i="35" a="1"/>
  <c r="L22" i="35" a="1"/>
  <c r="F8" i="35" a="1"/>
  <c r="J4" i="35" a="1"/>
  <c r="F67" i="35" a="1"/>
  <c r="AE39" i="35" a="1"/>
  <c r="T59" i="35" a="1"/>
  <c r="AK61" i="35" a="1"/>
  <c r="T57" i="35" a="1"/>
  <c r="R43" i="35" a="1"/>
  <c r="L56" i="35" a="1"/>
  <c r="R44" i="35" a="1"/>
  <c r="M59" i="35" a="1"/>
  <c r="N59" i="35" a="1"/>
  <c r="E61" i="35" a="1"/>
  <c r="K55" i="35" a="1"/>
  <c r="P22" i="35" a="1"/>
  <c r="L30" i="35" a="1"/>
  <c r="U6" i="35" a="1"/>
  <c r="O48" i="35" a="1"/>
  <c r="P19" i="35" a="1"/>
  <c r="D12" i="35" a="1"/>
  <c r="Q46" i="35" a="1"/>
  <c r="L59" i="35" a="1"/>
  <c r="K11" i="35" a="1"/>
  <c r="M61" i="35" a="1"/>
  <c r="D18" i="35" a="1"/>
  <c r="D14" i="35" a="1"/>
  <c r="X13" i="35" a="1"/>
  <c r="P31" i="35" a="1"/>
  <c r="X28" i="35" a="1"/>
  <c r="Q64" i="35" a="1"/>
  <c r="C4" i="35" a="1"/>
  <c r="AL67" i="35" a="1"/>
  <c r="N51" i="35" a="1"/>
  <c r="M6" i="35" a="1"/>
  <c r="J9" i="35" a="1"/>
  <c r="J25" i="35" a="1"/>
  <c r="L60" i="35" a="1"/>
  <c r="N17" i="35" a="1"/>
  <c r="K26" i="35" a="1"/>
  <c r="N43" i="35" a="1"/>
  <c r="AD8" i="35" a="1"/>
  <c r="AD20" i="35" a="1"/>
  <c r="AD7" i="35" a="1"/>
  <c r="AD6" i="35" a="1"/>
  <c r="D49" i="35" a="1"/>
  <c r="U9" i="35" a="1"/>
  <c r="Q67" i="35" a="1"/>
  <c r="C22" i="35" a="1"/>
  <c r="R5" i="35" a="1"/>
  <c r="X14" i="35" a="1"/>
  <c r="J31" i="35" a="1"/>
  <c r="AK34" i="35" a="1"/>
  <c r="D17" i="35" a="1"/>
  <c r="D70" i="35" a="1"/>
  <c r="AD23" i="35" a="1"/>
  <c r="B52" i="35" a="1"/>
  <c r="L14" i="35" a="1"/>
  <c r="I20" i="35" a="1"/>
  <c r="H43" i="35" a="1"/>
  <c r="AK17" i="35" a="1"/>
  <c r="J70" i="35" a="1"/>
  <c r="U52" i="35" a="1"/>
  <c r="AD31" i="35" a="1"/>
  <c r="I28" i="35" a="1"/>
  <c r="B28" i="35" a="1"/>
  <c r="E62" i="35" a="1"/>
  <c r="G13" i="35" a="1"/>
  <c r="D10" i="35" a="1"/>
  <c r="B22" i="35" a="1"/>
  <c r="B34" i="35" a="1"/>
  <c r="N34" i="35" a="1"/>
  <c r="G56" i="35" a="1"/>
  <c r="Q34" i="35" a="1"/>
  <c r="F35" i="35" a="1"/>
  <c r="H63" i="35" a="1"/>
  <c r="T70" i="35" a="1"/>
  <c r="N57" i="35" a="1"/>
  <c r="AE35" i="35" a="1"/>
  <c r="AM41" i="35" a="1"/>
  <c r="AD70" i="35" a="1"/>
  <c r="P32" i="35" a="1"/>
  <c r="AD15" i="35" a="1"/>
  <c r="AE5" i="35" a="1"/>
  <c r="L21" i="35" a="1"/>
  <c r="X38" i="35" a="1"/>
  <c r="L41" i="35" a="1"/>
  <c r="M29" i="35" a="1"/>
  <c r="AM32" i="35" a="1"/>
  <c r="I7" i="35" a="1"/>
  <c r="S17" i="35" a="1"/>
  <c r="P25" i="35" a="1"/>
  <c r="H59" i="35" a="1"/>
  <c r="T20" i="35" a="1"/>
  <c r="AM50" i="35" a="1"/>
  <c r="B64" i="35" a="1"/>
  <c r="P7" i="35" a="1"/>
  <c r="O64" i="35" a="1"/>
  <c r="AM43" i="35" a="1"/>
  <c r="J10" i="35" a="1"/>
  <c r="H24" i="35" a="1"/>
  <c r="H4" i="35" a="1"/>
  <c r="AE27" i="35" a="1"/>
  <c r="Q62" i="35" a="1"/>
  <c r="K28" i="35" a="1"/>
  <c r="J11" i="35" a="1"/>
  <c r="X42" i="35" a="1"/>
  <c r="I38" i="35" a="1"/>
  <c r="G64" i="35" a="1"/>
  <c r="B27" i="35" a="1"/>
  <c r="T10" i="35" a="1"/>
  <c r="AI32" i="35" a="1"/>
  <c r="E11" i="35" a="1"/>
  <c r="X11" i="35" a="1"/>
  <c r="AI70" i="35" a="1"/>
  <c r="AI34" i="35" a="1"/>
  <c r="U24" i="35" a="1"/>
  <c r="G63" i="35" a="1"/>
  <c r="R29" i="35" a="1"/>
  <c r="X4" i="35" a="1"/>
  <c r="R12" i="35" a="1"/>
  <c r="S48" i="35" a="1"/>
  <c r="AE44" i="35" a="1"/>
  <c r="M55" i="35" a="1"/>
  <c r="R27" i="35" a="1"/>
  <c r="G4" i="35" a="1"/>
  <c r="I52" i="35" a="1"/>
  <c r="AD26" i="35" a="1"/>
  <c r="T40" i="35" a="1"/>
  <c r="J38" i="35" a="1"/>
  <c r="I49" i="35" a="1"/>
  <c r="AD59" i="35" a="1"/>
  <c r="AE16" i="35" a="1"/>
  <c r="K33" i="35" a="1"/>
  <c r="D61" i="35" a="1"/>
  <c r="AD16" i="35" a="1"/>
  <c r="P30" i="35" a="1"/>
  <c r="AK5" i="35" a="1"/>
  <c r="S43" i="35" a="1"/>
  <c r="AK37" i="35" a="1"/>
  <c r="AI50" i="35" a="1"/>
  <c r="N23" i="35" a="1"/>
  <c r="R22" i="35" a="1"/>
  <c r="AK40" i="35" a="1"/>
  <c r="M46" i="35" a="1"/>
  <c r="R48" i="35" a="1"/>
  <c r="X34" i="35" a="1"/>
  <c r="C44" i="35" a="1"/>
  <c r="X60" i="35" a="1"/>
  <c r="K67" i="35" a="1"/>
  <c r="F17" i="35" a="1"/>
  <c r="D56" i="35" a="1"/>
  <c r="C35" i="35" a="1"/>
  <c r="F43" i="35" a="1"/>
  <c r="S61" i="35" a="1"/>
  <c r="M64" i="35" a="1"/>
  <c r="D43" i="35" a="1"/>
  <c r="AL33" i="35" a="1"/>
  <c r="N47" i="35" a="1"/>
  <c r="D13" i="35" a="1"/>
  <c r="T48" i="35" a="1"/>
  <c r="J20" i="35" a="1"/>
  <c r="G22" i="35" a="1"/>
  <c r="D51" i="35" a="1"/>
  <c r="AL38" i="35" a="1"/>
  <c r="O56" i="35" a="1"/>
  <c r="B17" i="35" a="1"/>
  <c r="F50" i="35" a="1"/>
  <c r="U45" i="35" a="1"/>
  <c r="AE19" i="35" a="1"/>
  <c r="U25" i="35" a="1"/>
  <c r="AD55" i="35" a="1"/>
  <c r="C39" i="35" a="1"/>
  <c r="N39" i="35" a="1"/>
  <c r="P49" i="35" a="1"/>
  <c r="U10" i="35" a="1"/>
  <c r="Q20" i="35" a="1"/>
  <c r="G31" i="35" a="1"/>
  <c r="G24" i="35" a="1"/>
  <c r="K51" i="35" a="1"/>
  <c r="T44" i="35" a="1"/>
  <c r="P20" i="35" a="1"/>
  <c r="AE65" i="35" a="1"/>
  <c r="H49" i="35" a="1"/>
  <c r="P24" i="35" a="1"/>
  <c r="H26" i="35" a="1"/>
  <c r="R55" i="35" a="1"/>
  <c r="T6" i="35" a="1"/>
  <c r="B44" i="35" a="1"/>
  <c r="AK46" i="35" a="1"/>
  <c r="J12" i="35" a="1"/>
  <c r="Q45" i="35" a="1"/>
  <c r="Q28" i="35" a="1"/>
  <c r="N29" i="35" a="1"/>
  <c r="AM61" i="35" a="1"/>
  <c r="J44" i="35" a="1"/>
  <c r="T12" i="35" a="1"/>
  <c r="R38" i="35" a="1"/>
  <c r="R70" i="35" a="1"/>
  <c r="G40" i="35" a="1"/>
  <c r="AM46" i="35" a="1"/>
  <c r="S60" i="35" a="1"/>
  <c r="S45" i="35" a="1"/>
  <c r="AM9" i="35" a="1"/>
  <c r="D67" i="35" a="1"/>
  <c r="O9" i="35" a="1"/>
  <c r="O22" i="35" a="1"/>
  <c r="E32" i="35" a="1"/>
  <c r="X6" i="35" a="1"/>
  <c r="C8" i="35" a="1"/>
  <c r="AM20" i="35" a="1"/>
  <c r="AI21" i="35" a="1"/>
  <c r="B50" i="35" a="1"/>
  <c r="S65" i="35" a="1"/>
  <c r="U59" i="35" a="1"/>
  <c r="K4" i="35" a="1"/>
  <c r="H47" i="35" a="1"/>
  <c r="Q12" i="35" a="1"/>
  <c r="R34" i="35" a="1"/>
  <c r="I39" i="35" a="1"/>
  <c r="N22" i="35" a="1"/>
  <c r="AE23" i="35" a="1"/>
  <c r="AE38" i="35" a="1"/>
  <c r="AD63" i="35" a="1"/>
  <c r="J63" i="35" a="1"/>
  <c r="G8" i="35" a="1"/>
  <c r="L5" i="35" a="1"/>
  <c r="AI39" i="35" a="1"/>
  <c r="AD40" i="35" a="1"/>
  <c r="P17" i="35" a="1"/>
  <c r="AI35" i="35" a="1"/>
  <c r="E10" i="35" a="1"/>
  <c r="G18" i="35" a="1"/>
  <c r="E20" i="35" a="1"/>
  <c r="AM34" i="35" a="1"/>
  <c r="Q42" i="35" a="1"/>
  <c r="H28" i="35" a="1"/>
  <c r="M26" i="35" a="1"/>
  <c r="D35" i="35" a="1"/>
  <c r="F9" i="35" a="1"/>
  <c r="AI43" i="35" a="1"/>
  <c r="X16" i="35" a="1"/>
  <c r="AI38" i="35" a="1"/>
  <c r="M60" i="35" a="1"/>
  <c r="K6" i="35" a="1"/>
  <c r="L13" i="35" a="1"/>
  <c r="AK35" i="35" a="1"/>
  <c r="U67" i="35" a="1"/>
  <c r="F60" i="35" a="1"/>
  <c r="K63" i="35" a="1"/>
  <c r="J48" i="35" a="1"/>
  <c r="L28" i="35" a="1"/>
  <c r="E18" i="35" a="1"/>
  <c r="X40" i="35" a="1"/>
  <c r="X5" i="35" a="1"/>
  <c r="R31" i="35" a="1"/>
  <c r="AI60" i="35" a="1"/>
  <c r="O70" i="35" a="1"/>
  <c r="F47" i="35" a="1"/>
  <c r="AD45" i="35" a="1"/>
  <c r="AI5" i="35" a="1"/>
  <c r="I65" i="35" a="1"/>
  <c r="AD37" i="35" a="1"/>
  <c r="K42" i="35" a="1"/>
  <c r="I64" i="35" a="1"/>
  <c r="E56" i="35" a="1"/>
  <c r="AE32" i="35" a="1"/>
  <c r="K10" i="35" a="1"/>
  <c r="H61" i="35" a="1"/>
  <c r="H60" i="35" a="1"/>
  <c r="AK41" i="35" a="1"/>
  <c r="N7" i="35" a="1"/>
  <c r="E59" i="35" a="1"/>
  <c r="R20" i="35" a="1"/>
  <c r="N37" i="35" a="1"/>
  <c r="E14" i="35" a="1"/>
  <c r="O35" i="35" a="1"/>
  <c r="AL24" i="35" a="1"/>
  <c r="N41" i="35" a="1"/>
  <c r="R14" i="35" a="1"/>
  <c r="D44" i="35" a="1"/>
  <c r="AL55" i="35" a="1"/>
  <c r="AE67" i="35" a="1"/>
  <c r="L46" i="35" a="1"/>
  <c r="AI45" i="35" a="1"/>
  <c r="F14" i="35" a="1"/>
  <c r="AI24" i="35" a="1"/>
  <c r="AD42" i="35" a="1"/>
  <c r="U21" i="35" a="1"/>
  <c r="P51" i="35" a="1"/>
  <c r="R47" i="35" a="1"/>
  <c r="S16" i="35" a="1"/>
  <c r="AI55" i="35" a="1"/>
  <c r="AL63" i="35" a="1"/>
  <c r="G17" i="35" a="1"/>
  <c r="C26" i="35" a="1"/>
  <c r="AM17" i="35" a="1"/>
  <c r="P15" i="35" a="1"/>
  <c r="R67" i="35" a="1"/>
  <c r="T51" i="35" a="1"/>
  <c r="G47" i="35" a="1"/>
  <c r="J13" i="35" a="1"/>
  <c r="P39" i="35" a="1"/>
  <c r="AM14" i="35" a="1"/>
  <c r="R28" i="35" a="1"/>
  <c r="P6" i="35" a="1"/>
  <c r="O24" i="35" a="1"/>
  <c r="N56" i="35" a="1"/>
  <c r="H35" i="35" a="1"/>
  <c r="E40" i="35" a="1"/>
  <c r="M39" i="35" a="1"/>
  <c r="D4" i="35" a="1"/>
  <c r="AI49" i="35" a="1"/>
  <c r="AI19" i="35" a="1"/>
  <c r="L48" i="35" a="1"/>
  <c r="X26" i="35" a="1"/>
  <c r="H51" i="35" a="1"/>
  <c r="U38" i="35" a="1"/>
  <c r="AM18" i="35" a="1"/>
  <c r="AI67" i="35" a="1"/>
  <c r="E35" i="35" a="1"/>
  <c r="K15" i="35" a="1"/>
  <c r="C32" i="35" a="1"/>
  <c r="I57" i="35" a="1"/>
  <c r="O57" i="35" a="1"/>
  <c r="S24" i="35" a="1"/>
  <c r="G25" i="35" a="1"/>
  <c r="AI48" i="35" a="1"/>
  <c r="S5" i="35" a="1"/>
  <c r="P55" i="35" a="1"/>
  <c r="AM27" i="35" a="1"/>
  <c r="H18" i="35" a="1"/>
  <c r="K31" i="35" a="1"/>
  <c r="R46" i="35" a="1"/>
  <c r="B37" i="35" a="1"/>
  <c r="AK12" i="35" a="1"/>
  <c r="AL35" i="35" a="1"/>
  <c r="I34" i="35" a="1"/>
  <c r="S46" i="35" a="1"/>
  <c r="X41" i="35" a="1"/>
  <c r="U56" i="35" a="1"/>
  <c r="N40" i="35" a="1"/>
  <c r="C11" i="35" a="1"/>
  <c r="H34" i="35" a="1"/>
  <c r="J67" i="35" a="1"/>
  <c r="H5" i="35" a="1"/>
  <c r="Q39" i="35" a="1"/>
  <c r="M22" i="35" a="1"/>
  <c r="S52" i="35" a="1"/>
  <c r="AI30" i="35" a="1"/>
  <c r="AK39" i="35" a="1"/>
  <c r="X31" i="35" a="1"/>
  <c r="S35" i="35" a="1"/>
  <c r="L12" i="35" a="1"/>
  <c r="N4" i="35" a="1"/>
  <c r="N38" i="35" a="1"/>
  <c r="AE22" i="35" a="1"/>
  <c r="AE24" i="35" a="1"/>
  <c r="F56" i="35" a="1"/>
  <c r="R19" i="35" a="1"/>
  <c r="AM5" i="35" a="1"/>
  <c r="P29" i="35" a="1"/>
  <c r="O4" i="35" a="1"/>
  <c r="P28" i="35" a="1"/>
  <c r="T15" i="35" a="1"/>
  <c r="I24" i="35" a="1"/>
  <c r="T16" i="35" a="1"/>
  <c r="I29" i="35" a="1"/>
  <c r="N50" i="35" a="1"/>
  <c r="C6" i="35" a="1"/>
  <c r="D40" i="35" a="1"/>
  <c r="T30" i="35" a="1"/>
  <c r="S32" i="35" a="1"/>
  <c r="AI40" i="35" a="1"/>
  <c r="AK4" i="35" a="1"/>
  <c r="C48" i="35" a="1"/>
  <c r="Q25" i="35" a="1"/>
  <c r="J40" i="35" a="1"/>
  <c r="H6" i="35" a="1"/>
  <c r="T60" i="35" a="1"/>
  <c r="S19" i="35" a="1"/>
  <c r="O20" i="35" a="1"/>
  <c r="C40" i="35" a="1"/>
  <c r="I33" i="35" a="1"/>
  <c r="E43" i="35" a="1"/>
  <c r="X33" i="35" a="1"/>
  <c r="T62" i="35" a="1"/>
  <c r="I31" i="35" a="1"/>
  <c r="L43" i="35" a="1"/>
  <c r="L42" i="35" a="1"/>
  <c r="H25" i="35" a="1"/>
  <c r="K8" i="35" a="1"/>
  <c r="P46" i="35" a="1"/>
  <c r="R63" i="35" a="1"/>
  <c r="T37" i="35" a="1"/>
  <c r="AK43" i="35" a="1"/>
  <c r="I60" i="35" a="1"/>
  <c r="P27" i="35" a="1"/>
  <c r="AK33" i="35" a="1"/>
  <c r="C34" i="35" a="1"/>
  <c r="T65" i="35" a="1"/>
  <c r="AD4" i="35" a="1"/>
  <c r="AI63" i="35" a="1"/>
  <c r="D57" i="35" a="1"/>
  <c r="S37" i="35" a="1"/>
  <c r="X21" i="35" a="1"/>
  <c r="H15" i="35" a="1"/>
  <c r="U26" i="35" a="1"/>
  <c r="AL47" i="35" a="1"/>
  <c r="N26" i="35" a="1"/>
  <c r="AK65" i="35" a="1"/>
  <c r="S6" i="35" a="1"/>
  <c r="B56" i="35" a="1"/>
  <c r="S41" i="35" a="1"/>
  <c r="H10" i="35" a="1"/>
  <c r="C51" i="35" a="1"/>
  <c r="L39" i="35" a="1"/>
  <c r="C23" i="35" a="1"/>
  <c r="AK13" i="35" a="1"/>
  <c r="K12" i="35" a="1"/>
  <c r="M18" i="35" a="1"/>
  <c r="AL10" i="35" a="1"/>
  <c r="AK28" i="35" a="1"/>
  <c r="U43" i="35" a="1"/>
  <c r="F46" i="35" a="1"/>
  <c r="AK21" i="35" a="1"/>
  <c r="U48" i="35" a="1"/>
  <c r="P38" i="35" a="1"/>
  <c r="AI10" i="35" a="1"/>
  <c r="O55" i="35" a="1"/>
  <c r="AI23" i="35" a="1"/>
  <c r="U16" i="35" a="1"/>
  <c r="F61" i="35" a="1"/>
  <c r="H70" i="35" a="1"/>
  <c r="F26" i="35" a="1"/>
  <c r="D19" i="35" a="1"/>
  <c r="AD18" i="35" a="1"/>
  <c r="J30" i="35" a="1"/>
  <c r="H9" i="35" a="1"/>
  <c r="P41" i="35" a="1"/>
  <c r="AL26" i="35" a="1"/>
  <c r="R15" i="35" a="1"/>
  <c r="M48" i="35" a="1"/>
  <c r="AM35" i="35" a="1"/>
  <c r="M56" i="35" a="1"/>
  <c r="F21" i="35" a="1"/>
  <c r="I4" i="35" a="1"/>
  <c r="O18" i="35" a="1"/>
  <c r="N33" i="35" a="1"/>
  <c r="F65" i="35" a="1"/>
  <c r="E6" i="35" a="1"/>
  <c r="S51" i="35" a="1"/>
  <c r="U37" i="35" a="1"/>
  <c r="Q70" i="35" a="1"/>
  <c r="AK47" i="35" a="1"/>
  <c r="N28" i="35" a="1"/>
  <c r="C14" i="35" a="1"/>
  <c r="M4" i="35" a="1"/>
  <c r="AK31" i="35" a="1"/>
  <c r="G65" i="35" a="1"/>
  <c r="S12" i="35" a="1"/>
  <c r="E51" i="35" a="1"/>
  <c r="AE17" i="35" a="1"/>
  <c r="T39" i="35" a="1"/>
  <c r="P37" i="35" a="1"/>
  <c r="O7" i="35" a="1"/>
  <c r="C42" i="35" a="1"/>
  <c r="C52" i="35" a="1"/>
  <c r="L16" i="35" a="1"/>
  <c r="E39" i="35" a="1"/>
  <c r="F5" i="35" a="1"/>
  <c r="Q13" i="35" a="1"/>
  <c r="G7" i="35" a="1"/>
  <c r="M51" i="35" a="1"/>
  <c r="G16" i="35" a="1"/>
  <c r="J6" i="35" a="1"/>
  <c r="D64" i="35" a="1"/>
  <c r="C20" i="35" a="1"/>
  <c r="AM30" i="35" a="1"/>
  <c r="X65" i="35" a="1"/>
  <c r="P35" i="35" a="1"/>
  <c r="AE43" i="35" a="1"/>
  <c r="R64" i="35" a="1"/>
  <c r="T49" i="35" a="1"/>
  <c r="G60" i="35" a="1"/>
  <c r="AD43" i="35" a="1"/>
  <c r="T14" i="35" a="1"/>
  <c r="U31" i="35" a="1"/>
  <c r="B26" i="35" a="1"/>
  <c r="P42" i="35" a="1"/>
  <c r="U27" i="35" a="1"/>
  <c r="P33" i="35" a="1"/>
  <c r="K40" i="35" a="1"/>
  <c r="K34" i="35" a="1"/>
  <c r="J15" i="35" a="1"/>
  <c r="O30" i="35" a="1"/>
  <c r="N14" i="35" a="1"/>
  <c r="AL23" i="35" a="1"/>
  <c r="AE15" i="35" a="1"/>
  <c r="K43" i="35" a="1"/>
  <c r="D25" i="35" a="1"/>
  <c r="O38" i="35" a="1"/>
  <c r="R56" i="35" a="1"/>
  <c r="I14" i="35" a="1"/>
  <c r="J61" i="35" a="1"/>
  <c r="AE4" i="35" a="1"/>
  <c r="AM38" i="35" a="1"/>
  <c r="R57" i="35" a="1"/>
  <c r="AL16" i="35" a="1"/>
  <c r="U29" i="35" a="1"/>
  <c r="T23" i="35" a="1"/>
  <c r="X29" i="35" a="1"/>
  <c r="N10" i="35" a="1"/>
  <c r="M30" i="35" a="1"/>
  <c r="J51" i="35" a="1"/>
  <c r="B61" i="35" a="1"/>
  <c r="AI62" i="35" a="1"/>
  <c r="M62" i="35" a="1"/>
  <c r="AK57" i="35" a="1"/>
  <c r="AL70" i="35" a="1"/>
  <c r="Q9" i="35" a="1"/>
  <c r="H57" i="35" a="1"/>
  <c r="T32" i="35" a="1"/>
  <c r="K64" i="35" a="1"/>
  <c r="S27" i="35" a="1"/>
  <c r="C30" i="35" a="1"/>
  <c r="B45" i="35" a="1"/>
  <c r="AD39" i="35" a="1"/>
  <c r="P62" i="35" a="1"/>
  <c r="S33" i="35" a="1"/>
  <c r="B39" i="35" a="1"/>
  <c r="R60" i="35" a="1"/>
  <c r="O25" i="35" a="1"/>
  <c r="B63" i="35" a="1"/>
  <c r="F39" i="35" a="1"/>
  <c r="D9" i="35" a="1"/>
  <c r="H21" i="35" a="1"/>
  <c r="U35" i="35" a="1"/>
  <c r="AL40" i="35" a="1"/>
  <c r="B11" i="35" a="1"/>
  <c r="C24" i="35" a="1"/>
  <c r="X62" i="35" a="1"/>
  <c r="D59" i="35" a="1"/>
  <c r="I16" i="35" a="1"/>
  <c r="M43" i="35" a="1"/>
  <c r="AL60" i="35" a="1"/>
  <c r="E17" i="35" a="1"/>
  <c r="N67" i="35" a="1"/>
  <c r="M7" i="35" a="1"/>
  <c r="AI4" i="35" a="1"/>
  <c r="U14" i="35" a="1"/>
  <c r="J37" i="35" a="1"/>
  <c r="Q30" i="35" a="1"/>
  <c r="AK27" i="35" a="1"/>
  <c r="P43" i="35" a="1"/>
  <c r="AD46" i="35" a="1"/>
  <c r="AD33" i="35" a="1"/>
  <c r="H7" i="35" a="1"/>
  <c r="R65" i="35" a="1"/>
  <c r="S7" i="35" a="1"/>
  <c r="S70" i="35" a="1"/>
  <c r="AI46" i="35" a="1"/>
  <c r="AI57" i="35" a="1"/>
  <c r="P16" i="35" a="1"/>
  <c r="I45" i="35" a="1"/>
  <c r="Q22" i="35" a="1"/>
  <c r="P21" i="35" a="1"/>
  <c r="L63" i="35" a="1"/>
  <c r="H55" i="35" a="1"/>
  <c r="AD38" i="35" a="1"/>
  <c r="R59" i="35" a="1"/>
  <c r="AI11" i="35" a="1"/>
  <c r="Q29" i="35" a="1"/>
  <c r="AM52" i="35" a="1"/>
  <c r="F57" i="35" a="1"/>
  <c r="H17" i="35" a="1"/>
  <c r="AM62" i="35" a="1"/>
  <c r="M19" i="35" a="1"/>
  <c r="P60" i="35" a="1"/>
  <c r="K62" i="35" a="1"/>
  <c r="B47" i="35" a="1"/>
  <c r="AL4" i="35" a="1"/>
  <c r="S18" i="35" a="1"/>
  <c r="D16" i="35" a="1"/>
  <c r="Q55" i="35" a="1"/>
  <c r="T31" i="35" a="1"/>
  <c r="X64" i="35" a="1"/>
  <c r="B12" i="35" a="1"/>
  <c r="F12" i="35" a="1"/>
  <c r="U4" i="35" a="1"/>
  <c r="AD29" i="35" a="1"/>
  <c r="B24" i="35" a="1"/>
  <c r="N16" i="35" a="1"/>
  <c r="L6" i="35" a="1"/>
  <c r="AK59" i="35" a="1"/>
  <c r="H27" i="35" a="1"/>
  <c r="T19" i="35" a="1"/>
  <c r="P57" i="35" a="1"/>
  <c r="AM22" i="35" a="1"/>
  <c r="AE14" i="35" a="1"/>
  <c r="X47" i="35" a="1"/>
  <c r="J5" i="35" a="1"/>
  <c r="D5" i="35" a="1"/>
  <c r="T46" i="35" a="1"/>
  <c r="U20" i="35" a="1"/>
  <c r="I37" i="35" a="1"/>
  <c r="Q6" i="35" a="1"/>
  <c r="N30" i="35" a="1"/>
  <c r="C21" i="35" a="1"/>
  <c r="AD34" i="35" a="1"/>
  <c r="R9" i="35" a="1"/>
  <c r="AL45" i="35" a="1"/>
  <c r="H39" i="35" a="1"/>
  <c r="G48" i="35" a="1"/>
  <c r="AI42" i="35" a="1"/>
  <c r="AL62" i="35" a="1"/>
  <c r="E60" i="35" a="1"/>
  <c r="AD13" i="35" a="1"/>
  <c r="AK62" i="35" a="1"/>
  <c r="O52" i="35" a="1"/>
  <c r="T24" i="35" a="1"/>
  <c r="E52" i="35" a="1"/>
  <c r="AL28" i="35" a="1"/>
  <c r="AM59" i="35" a="1"/>
  <c r="S29" i="35" a="1"/>
  <c r="L7" i="35" a="1"/>
  <c r="F59" i="35" a="1"/>
  <c r="K21" i="35" a="1"/>
  <c r="X46" i="35" a="1"/>
  <c r="H42" i="35" a="1"/>
  <c r="B16" i="35" a="1"/>
  <c r="AI20" i="35" a="1"/>
  <c r="AI47" i="35" a="1"/>
  <c r="Q65" i="35" a="1"/>
  <c r="AM51" i="35" a="1"/>
  <c r="AL59" i="35" a="1"/>
  <c r="P18" i="35" a="1"/>
  <c r="P45" i="35" a="1"/>
  <c r="S56" i="35" a="1"/>
  <c r="L55" i="35" a="1"/>
  <c r="O46" i="35" a="1"/>
  <c r="H48" i="35" a="1"/>
  <c r="M13" i="35" a="1"/>
  <c r="AL41" i="35" a="1"/>
  <c r="U23" i="35" a="1"/>
  <c r="Q16" i="35" a="1"/>
  <c r="F7" i="35" a="1"/>
  <c r="K38" i="35" a="1"/>
  <c r="C38" i="35" a="1"/>
  <c r="R41" i="35" a="1"/>
  <c r="I25" i="35" a="1"/>
  <c r="G12" i="35" a="1"/>
  <c r="F51" i="35" a="1"/>
  <c r="AD27" i="35" a="1"/>
  <c r="AK9" i="35" a="1"/>
  <c r="Q57" i="35" a="1"/>
  <c r="AD41" i="35" a="1"/>
  <c r="L32" i="35" a="1"/>
  <c r="O60" i="35" a="1"/>
  <c r="B40" i="35" a="1"/>
  <c r="AE41" i="35" a="1"/>
  <c r="M28" i="35" a="1"/>
  <c r="Q47" i="35" a="1"/>
  <c r="AE56" i="35" a="1"/>
  <c r="Q60" i="35" a="1"/>
  <c r="S40" i="35" a="1"/>
  <c r="J28" i="35" a="1"/>
  <c r="H41" i="35" a="1"/>
  <c r="AI18" i="35" a="1"/>
  <c r="I12" i="35" a="1"/>
  <c r="B60" i="35" a="1"/>
  <c r="AL27" i="35" a="1"/>
  <c r="AK7" i="35" a="1"/>
  <c r="I11" i="35" a="1"/>
  <c r="P64" i="35" a="1"/>
  <c r="D46" i="35" a="1"/>
  <c r="Q40" i="35" a="1"/>
  <c r="K39" i="35" a="1"/>
  <c r="N8" i="35" a="1"/>
  <c r="AM11" i="35" a="1"/>
  <c r="I46" i="35" a="1"/>
  <c r="AK25" i="35" a="1"/>
  <c r="AM19" i="35" a="1"/>
  <c r="AE28" i="35" a="1"/>
  <c r="R7" i="35" a="1"/>
  <c r="Q50" i="35" a="1"/>
  <c r="B14" i="35" a="1"/>
  <c r="B23" i="35" a="1"/>
  <c r="R6" i="35" a="1"/>
  <c r="C43" i="35" a="1"/>
  <c r="G26" i="35" a="1"/>
  <c r="Q17" i="35" a="1"/>
  <c r="B70" i="35" a="1"/>
  <c r="B59" i="35" a="1"/>
  <c r="G59" i="35" a="1"/>
  <c r="AE18" i="35" a="1"/>
  <c r="J49" i="35" a="1"/>
  <c r="R49" i="35" a="1"/>
  <c r="Q31" i="35" a="1"/>
  <c r="AE34" i="35" a="1"/>
  <c r="AI9" i="35" a="1"/>
  <c r="N61" i="35" a="1"/>
  <c r="L35" i="35" a="1"/>
  <c r="U41" i="35" a="1"/>
  <c r="AI7" i="35" a="1"/>
  <c r="G5" i="35" a="1"/>
  <c r="D41" i="35" a="1"/>
  <c r="AL48" i="35" a="1"/>
  <c r="H50" i="35" a="1"/>
  <c r="AD24" i="35" a="1"/>
  <c r="AK56" i="35" a="1"/>
  <c r="T27" i="35" a="1"/>
  <c r="X44" i="35" a="1"/>
  <c r="H23" i="35" a="1"/>
  <c r="I67" i="35" a="1"/>
  <c r="P34" i="35" a="1"/>
  <c r="AI28" i="35" a="1"/>
  <c r="O59" i="35" a="1"/>
  <c r="L67" i="35" a="1"/>
  <c r="AM24" i="35" a="1"/>
  <c r="J26" i="35" a="1"/>
  <c r="J22" i="35" a="1"/>
  <c r="O51" i="35" a="1"/>
  <c r="B38" i="35" a="1"/>
  <c r="O27" i="35" a="1"/>
  <c r="AM28" i="35" a="1"/>
  <c r="G61" i="35" a="1"/>
  <c r="M40" i="35" a="1"/>
  <c r="L23" i="35" a="1"/>
  <c r="AL64" i="35" a="1"/>
  <c r="F42" i="35" a="1"/>
  <c r="AK26" i="35" a="1"/>
  <c r="I5" i="35" a="1"/>
  <c r="U63" i="35" a="1"/>
  <c r="M9" i="35" a="1"/>
  <c r="N19" i="35" a="1"/>
  <c r="S63" i="35" a="1"/>
  <c r="D65" i="35" a="1"/>
  <c r="K18" i="35" a="1"/>
  <c r="D34" i="35" a="1"/>
  <c r="M65" i="35" a="1"/>
  <c r="G32" i="35" a="1"/>
  <c r="D32" i="35" a="1"/>
  <c r="R16" i="35" a="1"/>
  <c r="B31" i="35" a="1"/>
  <c r="X56" i="35" a="1"/>
  <c r="C12" i="35" a="1"/>
  <c r="T4" i="35" a="1"/>
  <c r="O13" i="35" a="1"/>
  <c r="S50" i="35" a="1"/>
  <c r="X23" i="35" a="1"/>
  <c r="J45" i="35" a="1"/>
  <c r="J24" i="35" a="1"/>
  <c r="AL31" i="35" a="1"/>
  <c r="S47" i="35" a="1"/>
  <c r="AK44" i="35" a="1"/>
  <c r="AI15" i="35" a="1"/>
  <c r="I47" i="35" a="1"/>
  <c r="AK60" i="35" a="1"/>
  <c r="L47" i="35" a="1"/>
  <c r="I51" i="35" a="1"/>
  <c r="I40" i="35" a="1"/>
  <c r="N6" i="35" a="1"/>
  <c r="B51" i="35" a="1"/>
  <c r="P67" i="35" a="1"/>
  <c r="AD5" i="35" a="1"/>
  <c r="AL57" i="35" a="1"/>
  <c r="I18" i="35" a="1"/>
  <c r="Q10" i="35" a="1"/>
  <c r="O33" i="35" a="1"/>
  <c r="J43" i="35" a="1"/>
  <c r="B62" i="35" a="1"/>
  <c r="F63" i="35" a="1"/>
  <c r="F48" i="35" a="1"/>
  <c r="AI59" i="35" a="1"/>
  <c r="R26" i="35" a="1"/>
  <c r="AM47" i="35" a="1"/>
  <c r="C60" i="35" a="1"/>
  <c r="E26" i="35" a="1"/>
  <c r="AK18" i="35" a="1"/>
  <c r="H44" i="35" a="1"/>
  <c r="G41" i="35" a="1"/>
  <c r="F29" i="35" a="1"/>
  <c r="U5" i="35" a="1"/>
  <c r="R10" i="35" a="1"/>
  <c r="U18" i="35" a="1"/>
  <c r="I42" i="35" a="1"/>
  <c r="N70" i="35" a="1"/>
  <c r="E49" i="35" a="1"/>
  <c r="AL43" i="35" a="1"/>
  <c r="J42" i="35" a="1"/>
  <c r="Q15" i="35" a="1"/>
  <c r="O8" i="35" a="1"/>
  <c r="AE60" i="35" a="1"/>
  <c r="AL21" i="35" a="1"/>
  <c r="G43" i="35" a="1"/>
  <c r="AD10" i="35" a="1"/>
  <c r="U40" i="35" a="1"/>
  <c r="D50" i="35" a="1"/>
  <c r="H45" i="35" a="1"/>
  <c r="P65" i="35" a="1"/>
  <c r="AM42" i="35" a="1"/>
  <c r="F41" i="35" a="1"/>
  <c r="C5" i="35" a="1"/>
  <c r="J65" i="35" a="1"/>
  <c r="J52" i="35" a="1"/>
  <c r="F34" i="35" a="1"/>
  <c r="N46" i="35" a="1"/>
  <c r="AD50" i="35" a="1"/>
  <c r="U51" i="35" a="1"/>
  <c r="AE6" i="35" a="1"/>
  <c r="X7" i="35" a="1"/>
  <c r="U11" i="35" a="1"/>
  <c r="AI22" i="35" a="1"/>
  <c r="L40" i="35" a="1"/>
  <c r="T64" i="35" a="1"/>
  <c r="Q56" i="35" a="1"/>
  <c r="AK23" i="35" a="1"/>
  <c r="T11" i="35" a="1"/>
  <c r="M17" i="35" a="1"/>
  <c r="S15" i="35" a="1"/>
  <c r="M52" i="35" a="1"/>
  <c r="O5" i="35" a="1"/>
  <c r="N5" i="35" a="1"/>
  <c r="P70" i="35" a="1"/>
  <c r="H37" i="35" a="1"/>
  <c r="O28" i="35" a="1"/>
  <c r="I48" i="35" a="1"/>
  <c r="S34" i="35" a="1"/>
  <c r="T13" i="35" a="1"/>
  <c r="C7" i="35" a="1"/>
  <c r="H16" i="35" a="1"/>
  <c r="M70" i="35" a="1"/>
  <c r="X24" i="35" a="1"/>
  <c r="I44" i="35" a="1"/>
  <c r="F33" i="35" a="1"/>
  <c r="AD67" i="35" a="1"/>
  <c r="AM21" i="35" a="1"/>
  <c r="P23" i="35" a="1"/>
  <c r="AK10" i="35" a="1"/>
  <c r="T17" i="35" a="1"/>
  <c r="X12" i="35" a="1"/>
  <c r="AM70" i="35" a="1"/>
  <c r="D42" i="35" a="1"/>
  <c r="C67" i="35" a="1"/>
  <c r="M31" i="35" a="1"/>
  <c r="AM64" i="35" a="1"/>
  <c r="C13" i="35" a="1"/>
  <c r="AE11" i="35" a="1"/>
  <c r="AK30" i="35" a="1"/>
  <c r="H30" i="35" a="1"/>
  <c r="S23" i="35" a="1"/>
  <c r="E30" i="35" a="1"/>
  <c r="U39" i="35" a="1"/>
  <c r="AL65" i="35" a="1"/>
  <c r="K37" i="35" a="1"/>
  <c r="K25" i="35" a="1"/>
  <c r="N64" i="35" a="1"/>
  <c r="O41" i="35" a="1"/>
  <c r="AK16" i="35" a="1"/>
  <c r="Q38" i="35" a="1"/>
  <c r="X61" i="35" a="1"/>
  <c r="K7" i="35" a="1"/>
  <c r="L17" i="35" a="1"/>
  <c r="O63" i="35" a="1"/>
  <c r="X55" i="35" a="1"/>
  <c r="G50" i="35" a="1"/>
  <c r="AK48" i="35" a="1"/>
  <c r="K48" i="35" a="1"/>
  <c r="AM44" i="35" a="1"/>
  <c r="O61" i="35" a="1"/>
  <c r="E64" i="35" a="1"/>
  <c r="J32" i="35" a="1"/>
  <c r="N18" i="35" a="1"/>
  <c r="R40" i="35" a="1"/>
  <c r="Q51" i="35" a="1"/>
  <c r="AI29" i="35" a="1"/>
  <c r="L49" i="35" a="1"/>
  <c r="K70" i="35" a="1"/>
  <c r="G37" i="35" a="1"/>
  <c r="M35" i="35" a="1"/>
  <c r="AK55" i="35" a="1"/>
  <c r="E12" i="35" a="1"/>
  <c r="AM29" i="35" a="1"/>
  <c r="U47" i="35" a="1"/>
  <c r="O43" i="35" a="1"/>
  <c r="G45" i="35" a="1"/>
  <c r="F30" i="35" a="1"/>
  <c r="G57" i="35" a="1"/>
  <c r="U64" i="35" a="1"/>
  <c r="P8" i="35" a="1"/>
  <c r="J29" i="35" a="1"/>
  <c r="K24" i="35" a="1"/>
  <c r="G19" i="35" a="1"/>
  <c r="O62" i="35" a="1"/>
  <c r="I22" i="35" a="1"/>
  <c r="H20" i="35" a="1"/>
  <c r="D23" i="35" a="1"/>
  <c r="AD51" i="35" a="1"/>
  <c r="AK38" i="35" a="1"/>
  <c r="R18" i="35" a="1"/>
  <c r="Q4" i="35" a="1"/>
  <c r="M34" i="35" a="1"/>
  <c r="B21" i="35" a="1"/>
  <c r="G52" i="35" a="1"/>
  <c r="K13" i="35" a="1"/>
  <c r="AI65" i="35" a="1"/>
  <c r="M16" i="35" a="1"/>
  <c r="AD32" i="35" a="1"/>
  <c r="AM45" i="35" a="1"/>
  <c r="C59" i="35" a="1"/>
  <c r="U22" i="35" a="1"/>
  <c r="AL61" i="35" a="1"/>
  <c r="AK51" i="35" a="1"/>
  <c r="AD9" i="35" a="1"/>
  <c r="F4" i="35" a="1"/>
  <c r="N63" i="35" a="1"/>
  <c r="AK19" i="35" a="1"/>
  <c r="X8" i="35" a="1"/>
  <c r="P9" i="35" a="1"/>
  <c r="AD47" i="35" a="1"/>
  <c r="F6" i="35" a="1"/>
  <c r="T38" i="35" a="1"/>
  <c r="U17" i="35" a="1"/>
  <c r="AD64" i="35" a="1"/>
  <c r="T29" i="35" a="1"/>
  <c r="N55" i="35" a="1"/>
  <c r="I41" i="35" a="1"/>
  <c r="L15" i="35" a="1"/>
  <c r="AI51" i="35" a="1"/>
  <c r="P59" i="35" a="1"/>
  <c r="E19" i="35" a="1"/>
  <c r="B48" i="35" a="1"/>
  <c r="S49" i="35" a="1"/>
  <c r="H38" i="35" a="1"/>
  <c r="AM48" i="35" a="1"/>
  <c r="B49" i="35" a="1"/>
  <c r="D39" i="35" a="1"/>
  <c r="C70" i="35" a="1"/>
  <c r="T67" i="35" a="1"/>
  <c r="C56" i="35" a="1"/>
  <c r="J60" i="35" a="1"/>
  <c r="D62" i="35" a="1"/>
  <c r="X45" i="35" a="1"/>
  <c r="T8" i="35" a="1"/>
  <c r="I21" i="35" a="1"/>
  <c r="Q32" i="35" a="1"/>
  <c r="R23" i="35" a="1"/>
  <c r="Q33" i="35" a="1"/>
  <c r="J21" i="35" a="1"/>
  <c r="K14" i="35" a="1"/>
  <c r="O6" i="35" a="1"/>
  <c r="AE31" i="35" a="1"/>
  <c r="P4" i="35" a="1"/>
  <c r="G42" i="35" a="1"/>
  <c r="AL25" i="35" a="1"/>
  <c r="K20" i="35" a="1"/>
  <c r="S21" i="35" a="1"/>
  <c r="AD57" i="35" a="1"/>
  <c r="L45" i="35" a="1"/>
  <c r="F23" i="35" a="1"/>
  <c r="G67" i="35" a="1"/>
  <c r="S64" i="35" a="1"/>
  <c r="L20" i="35" a="1"/>
  <c r="L34" i="35" a="1"/>
  <c r="AL51" i="35" a="1"/>
  <c r="T34" i="35" a="1"/>
  <c r="AM56" i="35" a="1"/>
  <c r="X18" i="35" a="1"/>
  <c r="L9" i="35" a="1"/>
  <c r="Q52" i="35" a="1"/>
  <c r="U30" i="35" a="1"/>
  <c r="F70" i="35" a="1"/>
  <c r="N27" i="35" a="1"/>
  <c r="AE21" i="35" a="1"/>
  <c r="R32" i="35" a="1"/>
  <c r="F19" i="35" a="1"/>
  <c r="E63" i="35" a="1"/>
  <c r="C15" i="35" a="1"/>
  <c r="D24" i="35" a="1"/>
  <c r="C18" i="35" a="1"/>
  <c r="AE30" i="35" a="1"/>
  <c r="I43" i="35" a="1"/>
  <c r="L65" i="35" a="1"/>
  <c r="AD52" i="35" a="1"/>
  <c r="AI61" i="35" a="1"/>
  <c r="L10" i="35" a="1"/>
  <c r="B7" i="35" a="1"/>
  <c r="E23" i="35" a="1"/>
  <c r="C10" i="35" a="1"/>
  <c r="F62" i="35" a="1"/>
  <c r="P14" i="35" a="1"/>
  <c r="U44" i="35" a="1"/>
  <c r="O50" i="35" a="1"/>
  <c r="X30" i="35" a="1"/>
  <c r="D60" i="35" a="1"/>
  <c r="AM8" i="35" a="1"/>
  <c r="AL13" i="35" a="1"/>
  <c r="D26" i="35" a="1"/>
  <c r="AD28" i="35" a="1"/>
  <c r="AI12" i="35" a="1"/>
  <c r="R42" i="35" a="1"/>
  <c r="I61" i="35" a="1"/>
  <c r="G21" i="35" a="1"/>
  <c r="T43" i="35" a="1"/>
  <c r="AD44" i="35" a="1"/>
  <c r="C55" i="35" a="1"/>
  <c r="S28" i="35" a="1"/>
  <c r="L4" i="35" a="1"/>
  <c r="AE50" i="35" a="1"/>
  <c r="S30" i="35" a="1"/>
  <c r="L8" i="35" a="1"/>
  <c r="N31" i="35" a="1"/>
  <c r="K46" i="35" a="1"/>
  <c r="AK52" i="35" a="1"/>
  <c r="H12" i="35" a="1"/>
  <c r="U50" i="35" a="1"/>
  <c r="X35" i="35" a="1"/>
  <c r="Q19" i="35" a="1"/>
  <c r="R21" i="35" a="1"/>
  <c r="S20" i="35" a="1"/>
  <c r="B43" i="35" a="1"/>
  <c r="P44" i="35" a="1"/>
  <c r="R35" i="35" a="1"/>
  <c r="O12" i="35" a="1"/>
  <c r="Q61" i="35" a="1"/>
  <c r="S22" i="35" a="1"/>
  <c r="AD22" i="35" a="1"/>
  <c r="AE59" i="35" a="1"/>
  <c r="D52" i="35" a="1"/>
  <c r="H62" i="35" a="1"/>
  <c r="C19" i="35" a="1"/>
  <c r="T56" i="35" a="1"/>
  <c r="N65" i="35" a="1"/>
  <c r="X20" i="35" a="1"/>
  <c r="Q5" i="35" a="1"/>
  <c r="AK11" i="35" a="1"/>
  <c r="AM60" i="35" a="1"/>
  <c r="U55" i="35" a="1"/>
  <c r="J56" i="35" a="1"/>
  <c r="AM15" i="35" a="1"/>
  <c r="E34" i="35" a="1"/>
  <c r="AI13" i="35" a="1"/>
  <c r="AI8" i="35" a="1"/>
  <c r="M11" i="35" a="1"/>
  <c r="Q8" i="35" a="1"/>
  <c r="AE9" i="35" a="1"/>
  <c r="B33" i="35" a="1"/>
  <c r="Q43" i="35" a="1"/>
  <c r="G38" i="35" a="1"/>
  <c r="AD56" i="35" a="1"/>
  <c r="E57" i="35" a="1"/>
  <c r="AI37" i="35" a="1"/>
  <c r="M27" i="35" a="1"/>
  <c r="AM6" i="35" a="1"/>
  <c r="AE63" i="35" a="1"/>
  <c r="S13" i="35" a="1"/>
  <c r="B15" i="35" a="1"/>
  <c r="S31" i="35" a="1"/>
  <c r="S9" i="35" a="1"/>
  <c r="AD21" i="35" a="1"/>
  <c r="K44" i="35" a="1"/>
  <c r="U42" i="35" a="1"/>
  <c r="AM13" i="35" a="1"/>
  <c r="O65" i="35" a="1"/>
  <c r="AK6" i="35" a="1"/>
  <c r="F38" i="35" a="1"/>
  <c r="AE40" i="35" a="1"/>
  <c r="E50" i="35" a="1"/>
  <c r="S44" i="35" a="1"/>
  <c r="AL56" i="35" a="1"/>
  <c r="D29" i="35" a="1"/>
  <c r="X27" i="35" a="1"/>
  <c r="I56" i="35" a="1"/>
  <c r="R62" i="35" a="1"/>
  <c r="G55" i="35" a="1"/>
  <c r="F32" i="35" a="1"/>
  <c r="X67" i="35" a="1"/>
  <c r="C25" i="35" a="1"/>
  <c r="H29" i="35" a="1"/>
  <c r="U12" i="35" a="1"/>
  <c r="L25" i="35" a="1"/>
  <c r="D33" i="35" a="1"/>
  <c r="H14" i="35" a="1"/>
  <c r="U28" i="35" a="1"/>
  <c r="F11" i="35" a="1"/>
  <c r="G39" i="35" a="1"/>
  <c r="AK29" i="35" a="1"/>
  <c r="I10" i="35" a="1"/>
  <c r="AD17" i="35" a="1"/>
  <c r="AI52" i="35" a="1"/>
  <c r="E48" i="35" a="1"/>
  <c r="B5" i="35" a="1"/>
  <c r="U49" i="35" a="1"/>
  <c r="B10" i="35" a="1"/>
  <c r="L19" i="35" a="1"/>
  <c r="G35" i="35" a="1"/>
  <c r="AI56" i="35" a="1"/>
  <c r="AM63" i="35" a="1"/>
  <c r="AL19" i="35" a="1"/>
  <c r="C49" i="35" a="1"/>
  <c r="H32" i="35" a="1"/>
  <c r="B55" i="35" a="1"/>
  <c r="X15" i="35" a="1"/>
  <c r="I63" i="35" a="1"/>
  <c r="D7" i="35" a="1"/>
  <c r="L26" i="35" a="1"/>
  <c r="AL14" i="35" a="1"/>
  <c r="K57" i="35" a="1"/>
  <c r="J8" i="35" a="1"/>
  <c r="AI41" i="35" a="1"/>
  <c r="AL17" i="35" a="1"/>
  <c r="U19" i="35" a="1"/>
  <c r="H13" i="35" a="1"/>
  <c r="F16" i="35" a="1"/>
  <c r="K41" i="35" a="1"/>
  <c r="L38" i="35" a="1"/>
  <c r="Q14" i="35" a="1"/>
  <c r="T47" i="35" a="1"/>
  <c r="AM67" i="35" a="1"/>
  <c r="AK42" i="35" a="1"/>
  <c r="F64" i="35" a="1"/>
  <c r="AE7" i="35" a="1"/>
  <c r="Q59" i="35" a="1"/>
  <c r="B30" i="35" a="1"/>
  <c r="S4" i="35" a="1"/>
  <c r="AM31" i="35" a="1"/>
  <c r="AI26" i="35" a="1"/>
  <c r="X25" i="35" a="1"/>
  <c r="X59" i="35" a="1"/>
  <c r="K59" i="35" a="1"/>
  <c r="AE25" i="35" a="1"/>
  <c r="S26" i="35" a="1"/>
  <c r="Q48" i="35" a="1"/>
  <c r="AE64" i="35" a="1"/>
  <c r="S38" i="35" a="1"/>
  <c r="U60" i="35" a="1"/>
  <c r="AE47" i="35" a="1"/>
  <c r="J50" i="35" a="1"/>
  <c r="R8" i="35" a="1"/>
  <c r="M47" i="35" a="1"/>
  <c r="K5" i="35" a="1"/>
  <c r="C61" i="35" a="1"/>
  <c r="S10" i="35" a="1"/>
  <c r="E28" i="35" a="1"/>
  <c r="R50" i="35" a="1"/>
  <c r="L18" i="35" a="1"/>
  <c r="J55" i="35" a="1"/>
  <c r="I8" i="35" a="1"/>
  <c r="G10" i="35" a="1"/>
  <c r="M67" i="35" a="1"/>
  <c r="AE20" i="35" a="1"/>
  <c r="L31" i="35" a="1"/>
  <c r="I6" i="35" a="1"/>
  <c r="D47" i="35" a="1"/>
  <c r="AE12" i="35" a="1"/>
  <c r="P61" i="35" a="1"/>
  <c r="J62" i="35" a="1"/>
  <c r="R13" i="35" a="1"/>
  <c r="N12" i="35" a="1"/>
  <c r="Q49" i="35" a="1"/>
  <c r="R52" i="35" a="1"/>
  <c r="C63" i="35" a="1"/>
  <c r="AE51" i="35" a="1"/>
  <c r="O45" i="35" a="1"/>
  <c r="N13" i="35" a="1"/>
  <c r="E42" i="35" a="1"/>
  <c r="F44" i="35" a="1"/>
  <c r="B9" i="35" a="1"/>
  <c r="B6" i="35" a="1"/>
  <c r="X22" i="35" a="1"/>
  <c r="D63" i="35" a="1"/>
  <c r="I30" i="35" a="1"/>
  <c r="M50" i="35" a="1"/>
  <c r="N62" i="35" a="1"/>
  <c r="J57" i="35" a="1"/>
  <c r="AD12" i="35" a="1"/>
  <c r="O23" i="35" a="1"/>
  <c r="L64" i="35" a="1"/>
  <c r="E15" i="35" a="1"/>
  <c r="Q44" i="35" a="1"/>
  <c r="C37" i="35" a="1"/>
  <c r="K29" i="35" a="1"/>
  <c r="M44" i="35" a="1"/>
  <c r="C64" i="35" a="1"/>
  <c r="O10" i="35" a="1"/>
  <c r="X57" i="35" a="1"/>
  <c r="O17" i="35" a="1"/>
  <c r="AK50" i="35" a="1"/>
  <c r="Q63" i="35" a="1"/>
  <c r="AK22" i="35" a="1"/>
  <c r="X10" i="35" a="1"/>
  <c r="S55" i="35" a="1"/>
  <c r="D28" i="35" a="1"/>
  <c r="F20" i="35" a="1"/>
  <c r="AK14" i="35" a="1"/>
  <c r="B67" i="35" a="1"/>
  <c r="AI33" i="35" a="1"/>
  <c r="M14" i="35" a="1"/>
  <c r="AL34" i="35" a="1"/>
  <c r="E37" i="35" a="1"/>
  <c r="E25" i="35" a="1"/>
  <c r="AD14" i="35" a="1"/>
  <c r="H56" i="35" a="1"/>
  <c r="R33" i="35" a="1"/>
  <c r="N24" i="35" a="1"/>
  <c r="AI14" i="35" a="1"/>
  <c r="G20" i="35" a="1"/>
  <c r="Q11" i="35" a="1"/>
  <c r="J64" i="35" a="1"/>
  <c r="E70" i="35" a="1"/>
  <c r="J17" i="35" a="1"/>
  <c r="K27" i="35" a="1"/>
  <c r="D31" i="35" a="1"/>
  <c r="J59" i="35" a="1"/>
  <c r="C57" i="35" a="1"/>
  <c r="E38" i="35" a="1"/>
  <c r="C41" i="35" a="1"/>
  <c r="J27" i="35" a="1"/>
  <c r="U62" i="35" a="1"/>
  <c r="E8" i="35" a="1"/>
  <c r="O39" i="35" a="1"/>
  <c r="T50" i="35" a="1"/>
  <c r="I70" i="35" a="1"/>
  <c r="K45" i="35" a="1"/>
  <c r="Q37" i="35" a="1"/>
  <c r="AE29" i="35" a="1"/>
  <c r="AL39" i="35" a="1"/>
  <c r="L44" i="35" a="1"/>
  <c r="X70" i="35" a="1"/>
  <c r="U34" i="35" a="1"/>
  <c r="B57" i="35" a="1"/>
  <c r="G33" i="35" a="1"/>
  <c r="U57" i="35" a="1"/>
  <c r="K50" i="35" a="1"/>
  <c r="K49" i="35" a="1"/>
  <c r="U33" i="35" a="1"/>
  <c r="AM55" i="35" a="1"/>
  <c r="S25" i="35" a="1"/>
  <c r="AM40" i="35" a="1"/>
  <c r="AE49" i="35" a="1"/>
  <c r="AM49" i="35" a="1"/>
  <c r="AD11" i="35" a="1"/>
  <c r="Q18" i="35" a="1"/>
  <c r="X17" i="35" a="1"/>
  <c r="F45" i="35" a="1"/>
  <c r="AL6" i="35" a="1"/>
  <c r="M20" i="35" a="1"/>
  <c r="AM10" i="35" a="1"/>
  <c r="M10" i="35" a="1"/>
  <c r="M8" i="35" a="1"/>
  <c r="AL52" i="35" a="1"/>
  <c r="AE46" i="35" a="1"/>
  <c r="AM26" i="35" a="1"/>
  <c r="N25" i="35" a="1"/>
  <c r="F27" i="35" a="1"/>
  <c r="U32" i="35" a="1"/>
  <c r="AL32" i="35" a="1"/>
  <c r="O32" i="35" a="1"/>
  <c r="L61" i="35" a="1"/>
  <c r="X49" i="35" a="1"/>
  <c r="M49" i="35" a="1"/>
  <c r="AL29" i="35" a="1"/>
  <c r="P56" i="35" a="1"/>
  <c r="AI25" i="35" a="1"/>
  <c r="C46" i="35" a="1"/>
  <c r="E13" i="35" a="1"/>
  <c r="P52" i="35" a="1"/>
  <c r="AD65" i="35" a="1"/>
  <c r="T22" i="35" a="1"/>
  <c r="Q24" i="35" a="1"/>
  <c r="AI64" i="35" a="1"/>
  <c r="G62" i="35" a="1"/>
  <c r="P10" i="35" a="1"/>
  <c r="AK45" i="35" a="1"/>
  <c r="U61" i="35" a="1"/>
  <c r="AD62" i="35" a="1"/>
  <c r="E4" i="35" a="1"/>
  <c r="J34" i="35" a="1"/>
  <c r="J34" i="35" l="1"/>
  <c r="E4" i="35"/>
  <c r="AD62" i="35"/>
  <c r="U61" i="35"/>
  <c r="AK45" i="35"/>
  <c r="P10" i="35"/>
  <c r="G62" i="35"/>
  <c r="AI64" i="35"/>
  <c r="Q24" i="35"/>
  <c r="T22" i="35"/>
  <c r="AD65" i="35"/>
  <c r="P52" i="35"/>
  <c r="E13" i="35"/>
  <c r="C46" i="35"/>
  <c r="AJ46" i="35" s="1"/>
  <c r="AI25" i="35"/>
  <c r="P56" i="35"/>
  <c r="AL29" i="35"/>
  <c r="M49" i="35"/>
  <c r="X49" i="35"/>
  <c r="L61" i="35"/>
  <c r="O32" i="35"/>
  <c r="AL32" i="35"/>
  <c r="U32" i="35"/>
  <c r="F27" i="35"/>
  <c r="N25" i="35"/>
  <c r="AM26" i="35"/>
  <c r="AE46" i="35"/>
  <c r="AL52" i="35"/>
  <c r="M8" i="35"/>
  <c r="M10" i="35"/>
  <c r="AM10" i="35"/>
  <c r="M20" i="35"/>
  <c r="AL6" i="35"/>
  <c r="F45" i="35"/>
  <c r="X17" i="35"/>
  <c r="Q18" i="35"/>
  <c r="AD11" i="35"/>
  <c r="AM49" i="35"/>
  <c r="AE49" i="35"/>
  <c r="AM40" i="35"/>
  <c r="S25" i="35"/>
  <c r="AM55" i="35"/>
  <c r="U33" i="35"/>
  <c r="K49" i="35"/>
  <c r="K50" i="35"/>
  <c r="U57" i="35"/>
  <c r="G33" i="35"/>
  <c r="B57" i="35"/>
  <c r="U34" i="35"/>
  <c r="X70" i="35"/>
  <c r="L44" i="35"/>
  <c r="AL39" i="35"/>
  <c r="AE29" i="35"/>
  <c r="Q37" i="35"/>
  <c r="K45" i="35"/>
  <c r="I70" i="35"/>
  <c r="T50" i="35"/>
  <c r="O39" i="35"/>
  <c r="E8" i="35"/>
  <c r="U62" i="35"/>
  <c r="J27" i="35"/>
  <c r="C41" i="35"/>
  <c r="AJ41" i="35" s="1"/>
  <c r="E38" i="35"/>
  <c r="C57" i="35"/>
  <c r="AJ57" i="35" s="1"/>
  <c r="J59" i="35"/>
  <c r="D31" i="35"/>
  <c r="K27" i="35"/>
  <c r="J17" i="35"/>
  <c r="E70" i="35"/>
  <c r="J64" i="35"/>
  <c r="Q11" i="35"/>
  <c r="G20" i="35"/>
  <c r="AI14" i="35"/>
  <c r="N24" i="35"/>
  <c r="R33" i="35"/>
  <c r="H56" i="35"/>
  <c r="E56" i="129" s="1"/>
  <c r="AD14" i="35"/>
  <c r="E25" i="35"/>
  <c r="E37" i="35"/>
  <c r="AL34" i="35"/>
  <c r="M14" i="35"/>
  <c r="AI33" i="35"/>
  <c r="B67" i="35"/>
  <c r="AK14" i="35"/>
  <c r="F20" i="35"/>
  <c r="D28" i="35"/>
  <c r="S55" i="35"/>
  <c r="X10" i="35"/>
  <c r="AK22" i="35"/>
  <c r="Q63" i="35"/>
  <c r="AK50" i="35"/>
  <c r="O17" i="35"/>
  <c r="X57" i="35"/>
  <c r="O10" i="35"/>
  <c r="C64" i="35"/>
  <c r="AJ64" i="35" s="1"/>
  <c r="M44" i="35"/>
  <c r="K29" i="35"/>
  <c r="C37" i="35"/>
  <c r="AJ37" i="35" s="1"/>
  <c r="Q44" i="35"/>
  <c r="E15" i="35"/>
  <c r="L64" i="35"/>
  <c r="O23" i="35"/>
  <c r="AD12" i="35"/>
  <c r="J57" i="35"/>
  <c r="N62" i="35"/>
  <c r="M50" i="35"/>
  <c r="I30" i="35"/>
  <c r="D63" i="35"/>
  <c r="X22" i="35"/>
  <c r="B6" i="35"/>
  <c r="B9" i="35"/>
  <c r="F44" i="35"/>
  <c r="E42" i="35"/>
  <c r="N13" i="35"/>
  <c r="O45" i="35"/>
  <c r="AE51" i="35"/>
  <c r="C63" i="35"/>
  <c r="AJ63" i="35" s="1"/>
  <c r="R52" i="35"/>
  <c r="Q49" i="35"/>
  <c r="N12" i="35"/>
  <c r="R13" i="35"/>
  <c r="J62" i="35"/>
  <c r="P61" i="35"/>
  <c r="AE12" i="35"/>
  <c r="D47" i="35"/>
  <c r="I6" i="35"/>
  <c r="L31" i="35"/>
  <c r="AE20" i="35"/>
  <c r="M67" i="35"/>
  <c r="G10" i="35"/>
  <c r="I8" i="35"/>
  <c r="J55" i="35"/>
  <c r="L18" i="35"/>
  <c r="R50" i="35"/>
  <c r="E28" i="35"/>
  <c r="S10" i="35"/>
  <c r="C61" i="35"/>
  <c r="AJ61" i="35" s="1"/>
  <c r="K5" i="35"/>
  <c r="M47" i="35"/>
  <c r="R8" i="35"/>
  <c r="J50" i="35"/>
  <c r="AE47" i="35"/>
  <c r="U60" i="35"/>
  <c r="S38" i="35"/>
  <c r="AE64" i="35"/>
  <c r="Q48" i="35"/>
  <c r="S26" i="35"/>
  <c r="AE25" i="35"/>
  <c r="K59" i="35"/>
  <c r="X59" i="35"/>
  <c r="X25" i="35"/>
  <c r="AI26" i="35"/>
  <c r="AM31" i="35"/>
  <c r="S4" i="35"/>
  <c r="B30" i="35"/>
  <c r="Q59" i="35"/>
  <c r="AE7" i="35"/>
  <c r="F64" i="35"/>
  <c r="AK42" i="35"/>
  <c r="AM67" i="35"/>
  <c r="T47" i="35"/>
  <c r="Q14" i="35"/>
  <c r="L38" i="35"/>
  <c r="K41" i="35"/>
  <c r="F16" i="35"/>
  <c r="H13" i="35"/>
  <c r="U19" i="35"/>
  <c r="AL17" i="35"/>
  <c r="AI41" i="35"/>
  <c r="J8" i="35"/>
  <c r="K57" i="35"/>
  <c r="AL14" i="35"/>
  <c r="L26" i="35"/>
  <c r="D7" i="35"/>
  <c r="I63" i="35"/>
  <c r="X15" i="35"/>
  <c r="B55" i="35"/>
  <c r="H32" i="35"/>
  <c r="E32" i="129" s="1"/>
  <c r="C49" i="35"/>
  <c r="AJ49" i="35" s="1"/>
  <c r="AL19" i="35"/>
  <c r="AM63" i="35"/>
  <c r="AI56" i="35"/>
  <c r="G35" i="35"/>
  <c r="L19" i="35"/>
  <c r="B10" i="35"/>
  <c r="U49" i="35"/>
  <c r="B5" i="35"/>
  <c r="E48" i="35"/>
  <c r="AI52" i="35"/>
  <c r="AD17" i="35"/>
  <c r="I10" i="35"/>
  <c r="AK29" i="35"/>
  <c r="G39" i="35"/>
  <c r="F11" i="35"/>
  <c r="U28" i="35"/>
  <c r="H14" i="35"/>
  <c r="E14" i="129" s="1"/>
  <c r="D33" i="35"/>
  <c r="L25" i="35"/>
  <c r="U12" i="35"/>
  <c r="H29" i="35"/>
  <c r="E29" i="129" s="1"/>
  <c r="C25" i="35"/>
  <c r="AJ25" i="35" s="1"/>
  <c r="X67" i="35"/>
  <c r="X71" i="35" s="1"/>
  <c r="J27" i="27" s="1"/>
  <c r="F32" i="35"/>
  <c r="G55" i="35"/>
  <c r="R62" i="35"/>
  <c r="I56" i="35"/>
  <c r="X27" i="35"/>
  <c r="D29" i="35"/>
  <c r="AL56" i="35"/>
  <c r="S44" i="35"/>
  <c r="E50" i="35"/>
  <c r="AE40" i="35"/>
  <c r="F38" i="35"/>
  <c r="AK6" i="35"/>
  <c r="O65" i="35"/>
  <c r="AM13" i="35"/>
  <c r="U42" i="35"/>
  <c r="K44" i="35"/>
  <c r="AD21" i="35"/>
  <c r="S9" i="35"/>
  <c r="S31" i="35"/>
  <c r="B15" i="35"/>
  <c r="S13" i="35"/>
  <c r="AE63" i="35"/>
  <c r="AM6" i="35"/>
  <c r="M27" i="35"/>
  <c r="AI37" i="35"/>
  <c r="E57" i="35"/>
  <c r="AD56" i="35"/>
  <c r="G38" i="35"/>
  <c r="Q43" i="35"/>
  <c r="B33" i="35"/>
  <c r="AE9" i="35"/>
  <c r="Q8" i="35"/>
  <c r="M11" i="35"/>
  <c r="AI8" i="35"/>
  <c r="AI13" i="35"/>
  <c r="E34" i="35"/>
  <c r="AM15" i="35"/>
  <c r="J56" i="35"/>
  <c r="U55" i="35"/>
  <c r="AM60" i="35"/>
  <c r="AK11" i="35"/>
  <c r="Q5" i="35"/>
  <c r="X20" i="35"/>
  <c r="N65" i="35"/>
  <c r="T56" i="35"/>
  <c r="C19" i="35"/>
  <c r="AJ19" i="35" s="1"/>
  <c r="H62" i="35"/>
  <c r="D52" i="35"/>
  <c r="AE59" i="35"/>
  <c r="AD22" i="35"/>
  <c r="S22" i="35"/>
  <c r="Q61" i="35"/>
  <c r="O12" i="35"/>
  <c r="R35" i="35"/>
  <c r="P44" i="35"/>
  <c r="B43" i="35"/>
  <c r="S20" i="35"/>
  <c r="R21" i="35"/>
  <c r="Q19" i="35"/>
  <c r="X35" i="35"/>
  <c r="U50" i="35"/>
  <c r="H12" i="35"/>
  <c r="AK52" i="35"/>
  <c r="K46" i="35"/>
  <c r="N31" i="35"/>
  <c r="L8" i="35"/>
  <c r="S30" i="35"/>
  <c r="AE50" i="35"/>
  <c r="L4" i="35"/>
  <c r="S28" i="35"/>
  <c r="C55" i="35"/>
  <c r="AJ55" i="35" s="1"/>
  <c r="AD44" i="35"/>
  <c r="T43" i="35"/>
  <c r="G21" i="35"/>
  <c r="I61" i="35"/>
  <c r="R42" i="35"/>
  <c r="AI12" i="35"/>
  <c r="AD28" i="35"/>
  <c r="D26" i="35"/>
  <c r="AL13" i="35"/>
  <c r="AM8" i="35"/>
  <c r="D60" i="35"/>
  <c r="X30" i="35"/>
  <c r="O50" i="35"/>
  <c r="U44" i="35"/>
  <c r="P14" i="35"/>
  <c r="F62" i="35"/>
  <c r="C10" i="35"/>
  <c r="AJ10" i="35" s="1"/>
  <c r="E23" i="35"/>
  <c r="B7" i="35"/>
  <c r="L10" i="35"/>
  <c r="AI61" i="35"/>
  <c r="AD52" i="35"/>
  <c r="L65" i="35"/>
  <c r="I43" i="35"/>
  <c r="AE30" i="35"/>
  <c r="C18" i="35"/>
  <c r="AJ18" i="35" s="1"/>
  <c r="D24" i="35"/>
  <c r="C15" i="35"/>
  <c r="AJ15" i="35" s="1"/>
  <c r="E63" i="35"/>
  <c r="F19" i="35"/>
  <c r="R32" i="35"/>
  <c r="AE21" i="35"/>
  <c r="N27" i="35"/>
  <c r="F70" i="35"/>
  <c r="U30" i="35"/>
  <c r="Q52" i="35"/>
  <c r="L9" i="35"/>
  <c r="X18" i="35"/>
  <c r="AM56" i="35"/>
  <c r="T34" i="35"/>
  <c r="AL51" i="35"/>
  <c r="L34" i="35"/>
  <c r="L20" i="35"/>
  <c r="S64" i="35"/>
  <c r="G67" i="35"/>
  <c r="F23" i="35"/>
  <c r="L45" i="35"/>
  <c r="AD57" i="35"/>
  <c r="S21" i="35"/>
  <c r="K20" i="35"/>
  <c r="AL25" i="35"/>
  <c r="G42" i="35"/>
  <c r="P4" i="35"/>
  <c r="AE31" i="35"/>
  <c r="O6" i="35"/>
  <c r="K14" i="35"/>
  <c r="J21" i="35"/>
  <c r="Q33" i="35"/>
  <c r="R23" i="35"/>
  <c r="Q32" i="35"/>
  <c r="I21" i="35"/>
  <c r="T8" i="35"/>
  <c r="X45" i="35"/>
  <c r="D62" i="35"/>
  <c r="J60" i="35"/>
  <c r="C56" i="35"/>
  <c r="AJ56" i="35" s="1"/>
  <c r="T67" i="35"/>
  <c r="C70" i="35"/>
  <c r="AJ70" i="35" s="1"/>
  <c r="D39" i="35"/>
  <c r="B49" i="35"/>
  <c r="AM48" i="35"/>
  <c r="H38" i="35"/>
  <c r="E38" i="129" s="1"/>
  <c r="S49" i="35"/>
  <c r="B48" i="35"/>
  <c r="E19" i="35"/>
  <c r="P59" i="35"/>
  <c r="AI51" i="35"/>
  <c r="L15" i="35"/>
  <c r="I41" i="35"/>
  <c r="N55" i="35"/>
  <c r="T29" i="35"/>
  <c r="AD64" i="35"/>
  <c r="U17" i="35"/>
  <c r="T38" i="35"/>
  <c r="F6" i="35"/>
  <c r="AD47" i="35"/>
  <c r="P9" i="35"/>
  <c r="X8" i="35"/>
  <c r="AK19" i="35"/>
  <c r="N63" i="35"/>
  <c r="F4" i="35"/>
  <c r="AD9" i="35"/>
  <c r="AK51" i="35"/>
  <c r="AL61" i="35"/>
  <c r="U22" i="35"/>
  <c r="C59" i="35"/>
  <c r="AM45" i="35"/>
  <c r="AD32" i="35"/>
  <c r="M16" i="35"/>
  <c r="AI65" i="35"/>
  <c r="K13" i="35"/>
  <c r="G52" i="35"/>
  <c r="B21" i="35"/>
  <c r="M34" i="35"/>
  <c r="Q4" i="35"/>
  <c r="R18" i="35"/>
  <c r="AK38" i="35"/>
  <c r="AD51" i="35"/>
  <c r="D23" i="35"/>
  <c r="H20" i="35"/>
  <c r="E20" i="129" s="1"/>
  <c r="I22" i="35"/>
  <c r="O62" i="35"/>
  <c r="G19" i="35"/>
  <c r="K24" i="35"/>
  <c r="J29" i="35"/>
  <c r="P8" i="35"/>
  <c r="U64" i="35"/>
  <c r="G57" i="35"/>
  <c r="F30" i="35"/>
  <c r="G45" i="35"/>
  <c r="O43" i="35"/>
  <c r="U47" i="35"/>
  <c r="AM29" i="35"/>
  <c r="E12" i="35"/>
  <c r="AK55" i="35"/>
  <c r="M35" i="35"/>
  <c r="G37" i="35"/>
  <c r="K70" i="35"/>
  <c r="L49" i="35"/>
  <c r="AI29" i="35"/>
  <c r="Q51" i="35"/>
  <c r="R40" i="35"/>
  <c r="N18" i="35"/>
  <c r="J32" i="35"/>
  <c r="E64" i="35"/>
  <c r="O61" i="35"/>
  <c r="AM44" i="35"/>
  <c r="K48" i="35"/>
  <c r="AK48" i="35"/>
  <c r="G50" i="35"/>
  <c r="X55" i="35"/>
  <c r="O63" i="35"/>
  <c r="L17" i="35"/>
  <c r="K7" i="35"/>
  <c r="X61" i="35"/>
  <c r="Q38" i="35"/>
  <c r="AK16" i="35"/>
  <c r="O41" i="35"/>
  <c r="N64" i="35"/>
  <c r="K25" i="35"/>
  <c r="K37" i="35"/>
  <c r="AL65" i="35"/>
  <c r="U39" i="35"/>
  <c r="E30" i="35"/>
  <c r="S23" i="35"/>
  <c r="H30" i="35"/>
  <c r="E30" i="129" s="1"/>
  <c r="AK30" i="35"/>
  <c r="AE11" i="35"/>
  <c r="C13" i="35"/>
  <c r="AJ13" i="35" s="1"/>
  <c r="AM64" i="35"/>
  <c r="M31" i="35"/>
  <c r="C67" i="35"/>
  <c r="D42" i="35"/>
  <c r="AM70" i="35"/>
  <c r="X12" i="35"/>
  <c r="T17" i="35"/>
  <c r="AK10" i="35"/>
  <c r="P23" i="35"/>
  <c r="AM21" i="35"/>
  <c r="AD67" i="35"/>
  <c r="F33" i="35"/>
  <c r="I44" i="35"/>
  <c r="X24" i="35"/>
  <c r="M70" i="35"/>
  <c r="H16" i="35"/>
  <c r="E16" i="129" s="1"/>
  <c r="C7" i="35"/>
  <c r="AJ7" i="35" s="1"/>
  <c r="T13" i="35"/>
  <c r="S34" i="35"/>
  <c r="I48" i="35"/>
  <c r="O28" i="35"/>
  <c r="H37" i="35"/>
  <c r="E37" i="129" s="1"/>
  <c r="P70" i="35"/>
  <c r="N5" i="35"/>
  <c r="O5" i="35"/>
  <c r="M52" i="35"/>
  <c r="S15" i="35"/>
  <c r="M17" i="35"/>
  <c r="T11" i="35"/>
  <c r="AK23" i="35"/>
  <c r="Q56" i="35"/>
  <c r="T64" i="35"/>
  <c r="L40" i="35"/>
  <c r="AI22" i="35"/>
  <c r="U11" i="35"/>
  <c r="X7" i="35"/>
  <c r="AE6" i="35"/>
  <c r="U51" i="35"/>
  <c r="AD50" i="35"/>
  <c r="N46" i="35"/>
  <c r="F34" i="35"/>
  <c r="J52" i="35"/>
  <c r="J65" i="35"/>
  <c r="C5" i="35"/>
  <c r="AJ5" i="35" s="1"/>
  <c r="F41" i="35"/>
  <c r="AM42" i="35"/>
  <c r="P65" i="35"/>
  <c r="H45" i="35"/>
  <c r="E45" i="129" s="1"/>
  <c r="D50" i="35"/>
  <c r="U40" i="35"/>
  <c r="AD10" i="35"/>
  <c r="G43" i="35"/>
  <c r="AL21" i="35"/>
  <c r="AE60" i="35"/>
  <c r="O8" i="35"/>
  <c r="Q15" i="35"/>
  <c r="J42" i="35"/>
  <c r="AL43" i="35"/>
  <c r="E49" i="35"/>
  <c r="N70" i="35"/>
  <c r="I42" i="35"/>
  <c r="U18" i="35"/>
  <c r="R10" i="35"/>
  <c r="U5" i="35"/>
  <c r="F29" i="35"/>
  <c r="G41" i="35"/>
  <c r="H44" i="35"/>
  <c r="E44" i="129" s="1"/>
  <c r="AK18" i="35"/>
  <c r="E26" i="35"/>
  <c r="C60" i="35"/>
  <c r="AJ60" i="35" s="1"/>
  <c r="AM47" i="35"/>
  <c r="R26" i="35"/>
  <c r="AI59" i="35"/>
  <c r="F48" i="35"/>
  <c r="F63" i="35"/>
  <c r="B62" i="35"/>
  <c r="J43" i="35"/>
  <c r="O33" i="35"/>
  <c r="Q10" i="35"/>
  <c r="I18" i="35"/>
  <c r="AL57" i="35"/>
  <c r="AD5" i="35"/>
  <c r="P67" i="35"/>
  <c r="B51" i="35"/>
  <c r="N6" i="35"/>
  <c r="I40" i="35"/>
  <c r="I51" i="35"/>
  <c r="L47" i="35"/>
  <c r="AK60" i="35"/>
  <c r="I47" i="35"/>
  <c r="AI15" i="35"/>
  <c r="AK44" i="35"/>
  <c r="S47" i="35"/>
  <c r="AL31" i="35"/>
  <c r="J24" i="35"/>
  <c r="J45" i="35"/>
  <c r="X23" i="35"/>
  <c r="S50" i="35"/>
  <c r="O13" i="35"/>
  <c r="T4" i="35"/>
  <c r="C12" i="35"/>
  <c r="AJ12" i="35" s="1"/>
  <c r="X56" i="35"/>
  <c r="B31" i="35"/>
  <c r="R16" i="35"/>
  <c r="D32" i="35"/>
  <c r="G32" i="35"/>
  <c r="M65" i="35"/>
  <c r="D34" i="35"/>
  <c r="K18" i="35"/>
  <c r="D65" i="35"/>
  <c r="S63" i="35"/>
  <c r="N19" i="35"/>
  <c r="M9" i="35"/>
  <c r="U63" i="35"/>
  <c r="I5" i="35"/>
  <c r="AK26" i="35"/>
  <c r="F42" i="35"/>
  <c r="AL64" i="35"/>
  <c r="L23" i="35"/>
  <c r="M40" i="35"/>
  <c r="G61" i="35"/>
  <c r="AM28" i="35"/>
  <c r="O27" i="35"/>
  <c r="B38" i="35"/>
  <c r="O51" i="35"/>
  <c r="J22" i="35"/>
  <c r="J26" i="35"/>
  <c r="AM24" i="35"/>
  <c r="L67" i="35"/>
  <c r="O59" i="35"/>
  <c r="AI28" i="35"/>
  <c r="P34" i="35"/>
  <c r="I67" i="35"/>
  <c r="H23" i="35"/>
  <c r="E23" i="129" s="1"/>
  <c r="X44" i="35"/>
  <c r="T27" i="35"/>
  <c r="AK56" i="35"/>
  <c r="AD24" i="35"/>
  <c r="H50" i="35"/>
  <c r="E50" i="129" s="1"/>
  <c r="AL48" i="35"/>
  <c r="D41" i="35"/>
  <c r="G5" i="35"/>
  <c r="AI7" i="35"/>
  <c r="U41" i="35"/>
  <c r="L35" i="35"/>
  <c r="N61" i="35"/>
  <c r="AI9" i="35"/>
  <c r="AE34" i="35"/>
  <c r="Q31" i="35"/>
  <c r="R49" i="35"/>
  <c r="J49" i="35"/>
  <c r="AE18" i="35"/>
  <c r="G59" i="35"/>
  <c r="B59" i="35"/>
  <c r="B70" i="35"/>
  <c r="Q17" i="35"/>
  <c r="G26" i="35"/>
  <c r="C43" i="35"/>
  <c r="AJ43" i="35" s="1"/>
  <c r="R6" i="35"/>
  <c r="B23" i="35"/>
  <c r="B14" i="35"/>
  <c r="Q50" i="35"/>
  <c r="R7" i="35"/>
  <c r="AE28" i="35"/>
  <c r="AM19" i="35"/>
  <c r="AK25" i="35"/>
  <c r="I46" i="35"/>
  <c r="AM11" i="35"/>
  <c r="N8" i="35"/>
  <c r="K39" i="35"/>
  <c r="Q40" i="35"/>
  <c r="D46" i="35"/>
  <c r="P64" i="35"/>
  <c r="I11" i="35"/>
  <c r="AK7" i="35"/>
  <c r="AL27" i="35"/>
  <c r="B60" i="35"/>
  <c r="I12" i="35"/>
  <c r="AI18" i="35"/>
  <c r="H41" i="35"/>
  <c r="E41" i="129" s="1"/>
  <c r="J28" i="35"/>
  <c r="S40" i="35"/>
  <c r="Q60" i="35"/>
  <c r="AE56" i="35"/>
  <c r="Q47" i="35"/>
  <c r="M28" i="35"/>
  <c r="AE41" i="35"/>
  <c r="B40" i="35"/>
  <c r="O60" i="35"/>
  <c r="L32" i="35"/>
  <c r="AD41" i="35"/>
  <c r="Q57" i="35"/>
  <c r="AK9" i="35"/>
  <c r="AD27" i="35"/>
  <c r="F51" i="35"/>
  <c r="G12" i="35"/>
  <c r="I25" i="35"/>
  <c r="R41" i="35"/>
  <c r="C38" i="35"/>
  <c r="AJ38" i="35" s="1"/>
  <c r="K38" i="35"/>
  <c r="F7" i="35"/>
  <c r="Q16" i="35"/>
  <c r="U23" i="35"/>
  <c r="AL41" i="35"/>
  <c r="M13" i="35"/>
  <c r="H48" i="35"/>
  <c r="E48" i="129" s="1"/>
  <c r="O46" i="35"/>
  <c r="L55" i="35"/>
  <c r="S56" i="35"/>
  <c r="P45" i="35"/>
  <c r="P18" i="35"/>
  <c r="AL59" i="35"/>
  <c r="AM51" i="35"/>
  <c r="Q65" i="35"/>
  <c r="AI47" i="35"/>
  <c r="AI20" i="35"/>
  <c r="B16" i="35"/>
  <c r="H42" i="35"/>
  <c r="E42" i="129" s="1"/>
  <c r="X46" i="35"/>
  <c r="K21" i="35"/>
  <c r="F59" i="35"/>
  <c r="L7" i="35"/>
  <c r="S29" i="35"/>
  <c r="AM59" i="35"/>
  <c r="AL28" i="35"/>
  <c r="E52" i="35"/>
  <c r="T24" i="35"/>
  <c r="O52" i="35"/>
  <c r="AK62" i="35"/>
  <c r="AD13" i="35"/>
  <c r="E60" i="35"/>
  <c r="AL62" i="35"/>
  <c r="AI42" i="35"/>
  <c r="G48" i="35"/>
  <c r="H39" i="35"/>
  <c r="E39" i="129" s="1"/>
  <c r="AL45" i="35"/>
  <c r="R9" i="35"/>
  <c r="AD34" i="35"/>
  <c r="C21" i="35"/>
  <c r="AJ21" i="35" s="1"/>
  <c r="N30" i="35"/>
  <c r="Q6" i="35"/>
  <c r="I37" i="35"/>
  <c r="U20" i="35"/>
  <c r="T46" i="35"/>
  <c r="D5" i="35"/>
  <c r="J5" i="35"/>
  <c r="X47" i="35"/>
  <c r="AE14" i="35"/>
  <c r="AM22" i="35"/>
  <c r="P57" i="35"/>
  <c r="T19" i="35"/>
  <c r="H27" i="35"/>
  <c r="E27" i="129" s="1"/>
  <c r="AK59" i="35"/>
  <c r="L6" i="35"/>
  <c r="N16" i="35"/>
  <c r="B24" i="35"/>
  <c r="AD29" i="35"/>
  <c r="U4" i="35"/>
  <c r="F12" i="35"/>
  <c r="B12" i="35"/>
  <c r="X64" i="35"/>
  <c r="T31" i="35"/>
  <c r="Q55" i="35"/>
  <c r="D16" i="35"/>
  <c r="S18" i="35"/>
  <c r="AL4" i="35"/>
  <c r="B47" i="35"/>
  <c r="K62" i="35"/>
  <c r="P60" i="35"/>
  <c r="M19" i="35"/>
  <c r="AM62" i="35"/>
  <c r="H17" i="35"/>
  <c r="E17" i="129" s="1"/>
  <c r="F57" i="35"/>
  <c r="AM52" i="35"/>
  <c r="Q29" i="35"/>
  <c r="AI11" i="35"/>
  <c r="R59" i="35"/>
  <c r="AD38" i="35"/>
  <c r="H55" i="35"/>
  <c r="E55" i="129" s="1"/>
  <c r="L63" i="35"/>
  <c r="P21" i="35"/>
  <c r="Q22" i="35"/>
  <c r="I45" i="35"/>
  <c r="P16" i="35"/>
  <c r="AI57" i="35"/>
  <c r="AI46" i="35"/>
  <c r="S70" i="35"/>
  <c r="S7" i="35"/>
  <c r="R65" i="35"/>
  <c r="H7" i="35"/>
  <c r="AD33" i="35"/>
  <c r="AD46" i="35"/>
  <c r="P43" i="35"/>
  <c r="AK27" i="35"/>
  <c r="Q30" i="35"/>
  <c r="J37" i="35"/>
  <c r="U14" i="35"/>
  <c r="AI4" i="35"/>
  <c r="M7" i="35"/>
  <c r="N67" i="35"/>
  <c r="N71" i="35" s="1"/>
  <c r="J18" i="27" s="1"/>
  <c r="E17" i="35"/>
  <c r="AL60" i="35"/>
  <c r="M43" i="35"/>
  <c r="I16" i="35"/>
  <c r="D59" i="35"/>
  <c r="X62" i="35"/>
  <c r="C24" i="35"/>
  <c r="AJ24" i="35" s="1"/>
  <c r="B11" i="35"/>
  <c r="AL40" i="35"/>
  <c r="U35" i="35"/>
  <c r="H21" i="35"/>
  <c r="E21" i="129" s="1"/>
  <c r="D9" i="35"/>
  <c r="F39" i="35"/>
  <c r="B63" i="35"/>
  <c r="O25" i="35"/>
  <c r="R60" i="35"/>
  <c r="B39" i="35"/>
  <c r="S33" i="35"/>
  <c r="P62" i="35"/>
  <c r="AD39" i="35"/>
  <c r="B45" i="35"/>
  <c r="C30" i="35"/>
  <c r="AJ30" i="35" s="1"/>
  <c r="S27" i="35"/>
  <c r="K64" i="35"/>
  <c r="T32" i="35"/>
  <c r="H57" i="35"/>
  <c r="E57" i="129" s="1"/>
  <c r="Q9" i="35"/>
  <c r="AL70" i="35"/>
  <c r="AK57" i="35"/>
  <c r="M62" i="35"/>
  <c r="AI62" i="35"/>
  <c r="B61" i="35"/>
  <c r="J51" i="35"/>
  <c r="M30" i="35"/>
  <c r="N10" i="35"/>
  <c r="X29" i="35"/>
  <c r="T23" i="35"/>
  <c r="U29" i="35"/>
  <c r="AL16" i="35"/>
  <c r="R57" i="35"/>
  <c r="AM38" i="35"/>
  <c r="AE4" i="35"/>
  <c r="J61" i="35"/>
  <c r="I14" i="35"/>
  <c r="R56" i="35"/>
  <c r="O38" i="35"/>
  <c r="D25" i="35"/>
  <c r="K43" i="35"/>
  <c r="AE15" i="35"/>
  <c r="AL23" i="35"/>
  <c r="N14" i="35"/>
  <c r="O30" i="35"/>
  <c r="J15" i="35"/>
  <c r="K34" i="35"/>
  <c r="K40" i="35"/>
  <c r="P33" i="35"/>
  <c r="U27" i="35"/>
  <c r="P42" i="35"/>
  <c r="B26" i="35"/>
  <c r="U31" i="35"/>
  <c r="T14" i="35"/>
  <c r="AD43" i="35"/>
  <c r="G60" i="35"/>
  <c r="T49" i="35"/>
  <c r="R64" i="35"/>
  <c r="AE43" i="35"/>
  <c r="P35" i="35"/>
  <c r="X65" i="35"/>
  <c r="AM30" i="35"/>
  <c r="C20" i="35"/>
  <c r="AJ20" i="35" s="1"/>
  <c r="D64" i="35"/>
  <c r="J6" i="35"/>
  <c r="G16" i="35"/>
  <c r="M51" i="35"/>
  <c r="G7" i="35"/>
  <c r="Q13" i="35"/>
  <c r="F5" i="35"/>
  <c r="E39" i="35"/>
  <c r="L16" i="35"/>
  <c r="C52" i="35"/>
  <c r="AJ52" i="35" s="1"/>
  <c r="C42" i="35"/>
  <c r="AJ42" i="35" s="1"/>
  <c r="O7" i="35"/>
  <c r="P37" i="35"/>
  <c r="T39" i="35"/>
  <c r="AE17" i="35"/>
  <c r="E51" i="35"/>
  <c r="S12" i="35"/>
  <c r="G65" i="35"/>
  <c r="AK31" i="35"/>
  <c r="M4" i="35"/>
  <c r="C14" i="35"/>
  <c r="AJ14" i="35" s="1"/>
  <c r="N28" i="35"/>
  <c r="AK47" i="35"/>
  <c r="Q70" i="35"/>
  <c r="U37" i="35"/>
  <c r="S51" i="35"/>
  <c r="E6" i="35"/>
  <c r="F65" i="35"/>
  <c r="N33" i="35"/>
  <c r="O18" i="35"/>
  <c r="I4" i="35"/>
  <c r="F21" i="35"/>
  <c r="M56" i="35"/>
  <c r="AM35" i="35"/>
  <c r="M48" i="35"/>
  <c r="R15" i="35"/>
  <c r="AL26" i="35"/>
  <c r="P41" i="35"/>
  <c r="H9" i="35"/>
  <c r="J30" i="35"/>
  <c r="AD18" i="35"/>
  <c r="D19" i="35"/>
  <c r="F26" i="35"/>
  <c r="H70" i="35"/>
  <c r="F61" i="35"/>
  <c r="U16" i="35"/>
  <c r="AI23" i="35"/>
  <c r="O55" i="35"/>
  <c r="AI10" i="35"/>
  <c r="P38" i="35"/>
  <c r="U48" i="35"/>
  <c r="AK21" i="35"/>
  <c r="F46" i="35"/>
  <c r="U43" i="35"/>
  <c r="AK28" i="35"/>
  <c r="AL10" i="35"/>
  <c r="M18" i="35"/>
  <c r="K12" i="35"/>
  <c r="AK13" i="35"/>
  <c r="C23" i="35"/>
  <c r="AJ23" i="35" s="1"/>
  <c r="L39" i="35"/>
  <c r="C51" i="35"/>
  <c r="AJ51" i="35" s="1"/>
  <c r="H10" i="35"/>
  <c r="S41" i="35"/>
  <c r="B56" i="35"/>
  <c r="S6" i="35"/>
  <c r="AK65" i="35"/>
  <c r="N26" i="35"/>
  <c r="AL47" i="35"/>
  <c r="U26" i="35"/>
  <c r="H15" i="35"/>
  <c r="E15" i="129" s="1"/>
  <c r="X21" i="35"/>
  <c r="S37" i="35"/>
  <c r="D57" i="35"/>
  <c r="AI63" i="35"/>
  <c r="AD4" i="35"/>
  <c r="T65" i="35"/>
  <c r="C34" i="35"/>
  <c r="AJ34" i="35" s="1"/>
  <c r="AK33" i="35"/>
  <c r="P27" i="35"/>
  <c r="I60" i="35"/>
  <c r="AK43" i="35"/>
  <c r="T37" i="35"/>
  <c r="R63" i="35"/>
  <c r="P46" i="35"/>
  <c r="K8" i="35"/>
  <c r="H25" i="35"/>
  <c r="E25" i="129" s="1"/>
  <c r="L42" i="35"/>
  <c r="L43" i="35"/>
  <c r="I31" i="35"/>
  <c r="T62" i="35"/>
  <c r="X33" i="35"/>
  <c r="E43" i="35"/>
  <c r="I33" i="35"/>
  <c r="C40" i="35"/>
  <c r="AJ40" i="35" s="1"/>
  <c r="O20" i="35"/>
  <c r="S19" i="35"/>
  <c r="T60" i="35"/>
  <c r="H6" i="35"/>
  <c r="J40" i="35"/>
  <c r="Q25" i="35"/>
  <c r="C48" i="35"/>
  <c r="AJ48" i="35" s="1"/>
  <c r="AK4" i="35"/>
  <c r="AI40" i="35"/>
  <c r="S32" i="35"/>
  <c r="T30" i="35"/>
  <c r="D40" i="35"/>
  <c r="C6" i="35"/>
  <c r="AJ6" i="35" s="1"/>
  <c r="N50" i="35"/>
  <c r="I29" i="35"/>
  <c r="T16" i="35"/>
  <c r="I24" i="35"/>
  <c r="T15" i="35"/>
  <c r="P28" i="35"/>
  <c r="O4" i="35"/>
  <c r="P29" i="35"/>
  <c r="AM5" i="35"/>
  <c r="R19" i="35"/>
  <c r="F56" i="35"/>
  <c r="AE24" i="35"/>
  <c r="AE22" i="35"/>
  <c r="N38" i="35"/>
  <c r="N4" i="35"/>
  <c r="L12" i="35"/>
  <c r="S35" i="35"/>
  <c r="X31" i="35"/>
  <c r="AK39" i="35"/>
  <c r="AI30" i="35"/>
  <c r="S52" i="35"/>
  <c r="M22" i="35"/>
  <c r="Q39" i="35"/>
  <c r="H5" i="35"/>
  <c r="J67" i="35"/>
  <c r="H34" i="35"/>
  <c r="E34" i="129" s="1"/>
  <c r="C11" i="35"/>
  <c r="AJ11" i="35" s="1"/>
  <c r="N40" i="35"/>
  <c r="U56" i="35"/>
  <c r="X41" i="35"/>
  <c r="S46" i="35"/>
  <c r="I34" i="35"/>
  <c r="AL35" i="35"/>
  <c r="AK12" i="35"/>
  <c r="B37" i="35"/>
  <c r="R46" i="35"/>
  <c r="K31" i="35"/>
  <c r="H18" i="35"/>
  <c r="E18" i="129" s="1"/>
  <c r="AM27" i="35"/>
  <c r="P55" i="35"/>
  <c r="S5" i="35"/>
  <c r="AI48" i="35"/>
  <c r="G25" i="35"/>
  <c r="S24" i="35"/>
  <c r="O57" i="35"/>
  <c r="I57" i="35"/>
  <c r="C32" i="35"/>
  <c r="AJ32" i="35" s="1"/>
  <c r="K15" i="35"/>
  <c r="E35" i="35"/>
  <c r="AI67" i="35"/>
  <c r="AM18" i="35"/>
  <c r="U38" i="35"/>
  <c r="H51" i="35"/>
  <c r="E51" i="129" s="1"/>
  <c r="X26" i="35"/>
  <c r="L48" i="35"/>
  <c r="AI19" i="35"/>
  <c r="AI49" i="35"/>
  <c r="D4" i="35"/>
  <c r="M39" i="35"/>
  <c r="E40" i="35"/>
  <c r="H35" i="35"/>
  <c r="E35" i="129" s="1"/>
  <c r="N56" i="35"/>
  <c r="O24" i="35"/>
  <c r="P6" i="35"/>
  <c r="R28" i="35"/>
  <c r="AM14" i="35"/>
  <c r="P39" i="35"/>
  <c r="J13" i="35"/>
  <c r="G47" i="35"/>
  <c r="T51" i="35"/>
  <c r="R67" i="35"/>
  <c r="P15" i="35"/>
  <c r="AM17" i="35"/>
  <c r="C26" i="35"/>
  <c r="AJ26" i="35" s="1"/>
  <c r="G17" i="35"/>
  <c r="AL63" i="35"/>
  <c r="AI55" i="35"/>
  <c r="S16" i="35"/>
  <c r="R47" i="35"/>
  <c r="P51" i="35"/>
  <c r="U21" i="35"/>
  <c r="AD42" i="35"/>
  <c r="AI24" i="35"/>
  <c r="F14" i="35"/>
  <c r="AI45" i="35"/>
  <c r="L46" i="35"/>
  <c r="AE67" i="35"/>
  <c r="AL55" i="35"/>
  <c r="D44" i="35"/>
  <c r="R14" i="35"/>
  <c r="N41" i="35"/>
  <c r="AL24" i="35"/>
  <c r="O35" i="35"/>
  <c r="E14" i="35"/>
  <c r="N37" i="35"/>
  <c r="R20" i="35"/>
  <c r="E59" i="35"/>
  <c r="N7" i="35"/>
  <c r="AK41" i="35"/>
  <c r="H60" i="35"/>
  <c r="H61" i="35"/>
  <c r="K10" i="35"/>
  <c r="AE32" i="35"/>
  <c r="E56" i="35"/>
  <c r="I64" i="35"/>
  <c r="K42" i="35"/>
  <c r="AD37" i="35"/>
  <c r="I65" i="35"/>
  <c r="AI5" i="35"/>
  <c r="AD45" i="35"/>
  <c r="F47" i="35"/>
  <c r="O70" i="35"/>
  <c r="AI60" i="35"/>
  <c r="R31" i="35"/>
  <c r="X5" i="35"/>
  <c r="X40" i="35"/>
  <c r="E18" i="35"/>
  <c r="L28" i="35"/>
  <c r="J48" i="35"/>
  <c r="K63" i="35"/>
  <c r="F60" i="35"/>
  <c r="U67" i="35"/>
  <c r="AK35" i="35"/>
  <c r="L13" i="35"/>
  <c r="K6" i="35"/>
  <c r="M60" i="35"/>
  <c r="AI38" i="35"/>
  <c r="X16" i="35"/>
  <c r="AI43" i="35"/>
  <c r="F9" i="35"/>
  <c r="D35" i="35"/>
  <c r="M26" i="35"/>
  <c r="H28" i="35"/>
  <c r="E28" i="129" s="1"/>
  <c r="Q42" i="35"/>
  <c r="AM34" i="35"/>
  <c r="E20" i="35"/>
  <c r="G18" i="35"/>
  <c r="E10" i="35"/>
  <c r="AI35" i="35"/>
  <c r="P17" i="35"/>
  <c r="AD40" i="35"/>
  <c r="AI39" i="35"/>
  <c r="L5" i="35"/>
  <c r="G8" i="35"/>
  <c r="J63" i="35"/>
  <c r="AD63" i="35"/>
  <c r="AE38" i="35"/>
  <c r="AE23" i="35"/>
  <c r="N22" i="35"/>
  <c r="I39" i="35"/>
  <c r="R34" i="35"/>
  <c r="Q12" i="35"/>
  <c r="H47" i="35"/>
  <c r="E47" i="129" s="1"/>
  <c r="K4" i="35"/>
  <c r="U59" i="35"/>
  <c r="S65" i="35"/>
  <c r="B50" i="35"/>
  <c r="AI21" i="35"/>
  <c r="AM20" i="35"/>
  <c r="C8" i="35"/>
  <c r="AJ8" i="35" s="1"/>
  <c r="X6" i="35"/>
  <c r="E32" i="35"/>
  <c r="O22" i="35"/>
  <c r="O9" i="35"/>
  <c r="D67" i="35"/>
  <c r="AM9" i="35"/>
  <c r="S45" i="35"/>
  <c r="S60" i="35"/>
  <c r="AM46" i="35"/>
  <c r="G40" i="35"/>
  <c r="R70" i="35"/>
  <c r="R38" i="35"/>
  <c r="T12" i="35"/>
  <c r="J44" i="35"/>
  <c r="AM61" i="35"/>
  <c r="N29" i="35"/>
  <c r="Q28" i="35"/>
  <c r="Q45" i="35"/>
  <c r="J12" i="35"/>
  <c r="AK46" i="35"/>
  <c r="B44" i="35"/>
  <c r="T6" i="35"/>
  <c r="R55" i="35"/>
  <c r="H26" i="35"/>
  <c r="E26" i="129" s="1"/>
  <c r="P24" i="35"/>
  <c r="H49" i="35"/>
  <c r="E49" i="129" s="1"/>
  <c r="AE65" i="35"/>
  <c r="P20" i="35"/>
  <c r="T44" i="35"/>
  <c r="K51" i="35"/>
  <c r="G24" i="35"/>
  <c r="G31" i="35"/>
  <c r="Q20" i="35"/>
  <c r="U10" i="35"/>
  <c r="P49" i="35"/>
  <c r="N39" i="35"/>
  <c r="C39" i="35"/>
  <c r="AJ39" i="35" s="1"/>
  <c r="AD55" i="35"/>
  <c r="U25" i="35"/>
  <c r="AE19" i="35"/>
  <c r="U45" i="35"/>
  <c r="F50" i="35"/>
  <c r="B17" i="35"/>
  <c r="O56" i="35"/>
  <c r="AL38" i="35"/>
  <c r="D51" i="35"/>
  <c r="G22" i="35"/>
  <c r="J20" i="35"/>
  <c r="T48" i="35"/>
  <c r="D13" i="35"/>
  <c r="N47" i="35"/>
  <c r="AL33" i="35"/>
  <c r="D43" i="35"/>
  <c r="M64" i="35"/>
  <c r="S61" i="35"/>
  <c r="F43" i="35"/>
  <c r="C35" i="35"/>
  <c r="AJ35" i="35" s="1"/>
  <c r="D56" i="35"/>
  <c r="F17" i="35"/>
  <c r="K67" i="35"/>
  <c r="K71" i="35" s="1"/>
  <c r="J15" i="27" s="1"/>
  <c r="X60" i="35"/>
  <c r="C44" i="35"/>
  <c r="AJ44" i="35" s="1"/>
  <c r="X34" i="35"/>
  <c r="R48" i="35"/>
  <c r="M46" i="35"/>
  <c r="AK40" i="35"/>
  <c r="R22" i="35"/>
  <c r="N23" i="35"/>
  <c r="AI50" i="35"/>
  <c r="AK37" i="35"/>
  <c r="S43" i="35"/>
  <c r="AK5" i="35"/>
  <c r="P30" i="35"/>
  <c r="AD16" i="35"/>
  <c r="D61" i="35"/>
  <c r="K33" i="35"/>
  <c r="AE16" i="35"/>
  <c r="AD59" i="35"/>
  <c r="I49" i="35"/>
  <c r="J38" i="35"/>
  <c r="T40" i="35"/>
  <c r="AD26" i="35"/>
  <c r="I52" i="35"/>
  <c r="G4" i="35"/>
  <c r="R27" i="35"/>
  <c r="M55" i="35"/>
  <c r="AE44" i="35"/>
  <c r="S48" i="35"/>
  <c r="R12" i="35"/>
  <c r="X4" i="35"/>
  <c r="R29" i="35"/>
  <c r="G63" i="35"/>
  <c r="U24" i="35"/>
  <c r="AI34" i="35"/>
  <c r="AI70" i="35"/>
  <c r="X11" i="35"/>
  <c r="E11" i="35"/>
  <c r="AI32" i="35"/>
  <c r="T10" i="35"/>
  <c r="B27" i="35"/>
  <c r="G64" i="35"/>
  <c r="I38" i="35"/>
  <c r="X42" i="35"/>
  <c r="J11" i="35"/>
  <c r="K28" i="35"/>
  <c r="Q62" i="35"/>
  <c r="AE27" i="35"/>
  <c r="H4" i="35"/>
  <c r="H24" i="35"/>
  <c r="E24" i="129" s="1"/>
  <c r="J10" i="35"/>
  <c r="AM43" i="35"/>
  <c r="O64" i="35"/>
  <c r="P7" i="35"/>
  <c r="B64" i="35"/>
  <c r="AM50" i="35"/>
  <c r="T20" i="35"/>
  <c r="H59" i="35"/>
  <c r="P25" i="35"/>
  <c r="S17" i="35"/>
  <c r="I7" i="35"/>
  <c r="AM32" i="35"/>
  <c r="M29" i="35"/>
  <c r="L41" i="35"/>
  <c r="X38" i="35"/>
  <c r="L21" i="35"/>
  <c r="AE5" i="35"/>
  <c r="AD15" i="35"/>
  <c r="P32" i="35"/>
  <c r="AD70" i="35"/>
  <c r="AM41" i="35"/>
  <c r="AE35" i="35"/>
  <c r="N57" i="35"/>
  <c r="T70" i="35"/>
  <c r="H63" i="35"/>
  <c r="F35" i="35"/>
  <c r="Q34" i="35"/>
  <c r="G56" i="35"/>
  <c r="N34" i="35"/>
  <c r="B34" i="35"/>
  <c r="B22" i="35"/>
  <c r="D10" i="35"/>
  <c r="G13" i="35"/>
  <c r="E62" i="35"/>
  <c r="B28" i="35"/>
  <c r="I28" i="35"/>
  <c r="AD31" i="35"/>
  <c r="U52" i="35"/>
  <c r="J70" i="35"/>
  <c r="AK17" i="35"/>
  <c r="H43" i="35"/>
  <c r="E43" i="129" s="1"/>
  <c r="I20" i="35"/>
  <c r="L14" i="35"/>
  <c r="B52" i="35"/>
  <c r="AD23" i="35"/>
  <c r="D70" i="35"/>
  <c r="D17" i="35"/>
  <c r="AK34" i="35"/>
  <c r="J31" i="35"/>
  <c r="X14" i="35"/>
  <c r="R5" i="35"/>
  <c r="C22" i="35"/>
  <c r="AJ22" i="35" s="1"/>
  <c r="Q67" i="35"/>
  <c r="U9" i="35"/>
  <c r="D49" i="35"/>
  <c r="AD6" i="35"/>
  <c r="AD7" i="35"/>
  <c r="AD20" i="35"/>
  <c r="AD8" i="35"/>
  <c r="N43" i="35"/>
  <c r="K26" i="35"/>
  <c r="N17" i="35"/>
  <c r="L60" i="35"/>
  <c r="J25" i="35"/>
  <c r="J9" i="35"/>
  <c r="M6" i="35"/>
  <c r="N51" i="35"/>
  <c r="AL67" i="35"/>
  <c r="C4" i="35"/>
  <c r="AJ4" i="35" s="1"/>
  <c r="Q64" i="35"/>
  <c r="X28" i="35"/>
  <c r="P31" i="35"/>
  <c r="X13" i="35"/>
  <c r="D14" i="35"/>
  <c r="D18" i="35"/>
  <c r="M61" i="35"/>
  <c r="K11" i="35"/>
  <c r="L59" i="35"/>
  <c r="Q46" i="35"/>
  <c r="D12" i="35"/>
  <c r="P19" i="35"/>
  <c r="O48" i="35"/>
  <c r="U6" i="35"/>
  <c r="L30" i="35"/>
  <c r="P22" i="35"/>
  <c r="K55" i="35"/>
  <c r="E61" i="35"/>
  <c r="N59" i="35"/>
  <c r="M59" i="35"/>
  <c r="R44" i="35"/>
  <c r="L56" i="35"/>
  <c r="R43" i="35"/>
  <c r="T57" i="35"/>
  <c r="AK61" i="35"/>
  <c r="T59" i="35"/>
  <c r="AE39" i="35"/>
  <c r="F67" i="35"/>
  <c r="F71" i="35" s="1"/>
  <c r="J10" i="27" s="1"/>
  <c r="J4" i="35"/>
  <c r="F8" i="35"/>
  <c r="L22" i="35"/>
  <c r="I59" i="35"/>
  <c r="R61" i="35"/>
  <c r="AE48" i="35"/>
  <c r="O14" i="35"/>
  <c r="N15" i="35"/>
  <c r="N44" i="35"/>
  <c r="U46" i="35"/>
  <c r="B46" i="35"/>
  <c r="T26" i="35"/>
  <c r="N35" i="35"/>
  <c r="R39" i="35"/>
  <c r="AD61" i="35"/>
  <c r="E33" i="35"/>
  <c r="G51" i="35"/>
  <c r="AD60" i="35"/>
  <c r="O37" i="35"/>
  <c r="J18" i="35"/>
  <c r="T7" i="35"/>
  <c r="T25" i="35"/>
  <c r="D38" i="35"/>
  <c r="I17" i="35"/>
  <c r="AM33" i="35"/>
  <c r="G6" i="35"/>
  <c r="E47" i="35"/>
  <c r="D30" i="35"/>
  <c r="B32" i="35"/>
  <c r="L50" i="35"/>
  <c r="K9" i="35"/>
  <c r="F28" i="35"/>
  <c r="AE52" i="35"/>
  <c r="E9" i="35"/>
  <c r="U70" i="35"/>
  <c r="D37" i="35"/>
  <c r="U65" i="35"/>
  <c r="B20" i="35"/>
  <c r="D15" i="35"/>
  <c r="D27" i="35"/>
  <c r="E67" i="35"/>
  <c r="E71" i="35" s="1"/>
  <c r="J9" i="27" s="1"/>
  <c r="R51" i="35"/>
  <c r="U13" i="35"/>
  <c r="G11" i="35"/>
  <c r="P63" i="35"/>
  <c r="I55" i="35"/>
  <c r="O67" i="35"/>
  <c r="M32" i="35"/>
  <c r="AE10" i="35"/>
  <c r="AL22" i="35"/>
  <c r="G44" i="35"/>
  <c r="D21" i="35"/>
  <c r="K61" i="35"/>
  <c r="E44" i="35"/>
  <c r="F52" i="35"/>
  <c r="O47" i="35"/>
  <c r="M15" i="35"/>
  <c r="R11" i="35"/>
  <c r="P11" i="35"/>
  <c r="N45" i="35"/>
  <c r="AE57" i="35"/>
  <c r="O26" i="35"/>
  <c r="AI44" i="35"/>
  <c r="B35" i="35"/>
  <c r="D22" i="35"/>
  <c r="AM25" i="35"/>
  <c r="AD25" i="35"/>
  <c r="AK63" i="35"/>
  <c r="P26" i="35"/>
  <c r="F31" i="35"/>
  <c r="R24" i="35"/>
  <c r="T18" i="35"/>
  <c r="C28" i="35"/>
  <c r="AJ28" i="35" s="1"/>
  <c r="L33" i="35"/>
  <c r="AM39" i="35"/>
  <c r="K52" i="35"/>
  <c r="T55" i="35"/>
  <c r="C31" i="35"/>
  <c r="AJ31" i="35" s="1"/>
  <c r="N52" i="35"/>
  <c r="X39" i="35"/>
  <c r="N21" i="35"/>
  <c r="S59" i="35"/>
  <c r="D45" i="35"/>
  <c r="M23" i="35"/>
  <c r="K19" i="35"/>
  <c r="B41" i="35"/>
  <c r="AD30" i="35"/>
  <c r="F40" i="35"/>
  <c r="X48" i="35"/>
  <c r="O29" i="35"/>
  <c r="L62" i="35"/>
  <c r="AE55" i="35"/>
  <c r="P40" i="35"/>
  <c r="I62" i="35"/>
  <c r="M37" i="35"/>
  <c r="L27" i="35"/>
  <c r="J39" i="35"/>
  <c r="E24" i="35"/>
  <c r="C16" i="35"/>
  <c r="AJ16" i="35" s="1"/>
  <c r="AK49" i="35"/>
  <c r="H65" i="35"/>
  <c r="AM57" i="35"/>
  <c r="E22" i="35"/>
  <c r="AL30" i="35"/>
  <c r="AD49" i="35"/>
  <c r="H67" i="35"/>
  <c r="H71" i="35" s="1"/>
  <c r="J12" i="27" s="1"/>
  <c r="G29" i="35"/>
  <c r="T63" i="35"/>
  <c r="AI16" i="35"/>
  <c r="M33" i="35"/>
  <c r="C9" i="35"/>
  <c r="AJ9" i="35" s="1"/>
  <c r="I27" i="35"/>
  <c r="E29" i="35"/>
  <c r="E55" i="35"/>
  <c r="N20" i="35"/>
  <c r="AD48" i="35"/>
  <c r="M63" i="35"/>
  <c r="M38" i="35"/>
  <c r="X52" i="35"/>
  <c r="I23" i="35"/>
  <c r="F37" i="35"/>
  <c r="H52" i="35"/>
  <c r="E52" i="129" s="1"/>
  <c r="K47" i="35"/>
  <c r="N42" i="35"/>
  <c r="H8" i="35"/>
  <c r="AL5" i="35"/>
  <c r="G28" i="35"/>
  <c r="C45" i="35"/>
  <c r="AJ45" i="35" s="1"/>
  <c r="X32" i="35"/>
  <c r="F18" i="35"/>
  <c r="D8" i="35"/>
  <c r="AE42" i="35"/>
  <c r="O42" i="35"/>
  <c r="AM12" i="35"/>
  <c r="G30" i="35"/>
  <c r="AE37" i="35"/>
  <c r="AK15" i="35"/>
  <c r="O21" i="35"/>
  <c r="K32" i="35"/>
  <c r="R4" i="35"/>
  <c r="K56" i="35"/>
  <c r="M24" i="35"/>
  <c r="P48" i="35"/>
  <c r="B19" i="35"/>
  <c r="G27" i="35"/>
  <c r="T33" i="35"/>
  <c r="J16" i="35"/>
  <c r="H46" i="35"/>
  <c r="E46" i="129" s="1"/>
  <c r="B8" i="35"/>
  <c r="AL15" i="35"/>
  <c r="F25" i="35"/>
  <c r="B65" i="35"/>
  <c r="T45" i="35"/>
  <c r="K60" i="35"/>
  <c r="C27" i="35"/>
  <c r="AJ27" i="35" s="1"/>
  <c r="AE45" i="35"/>
  <c r="Q35" i="35"/>
  <c r="E7" i="35"/>
  <c r="L70" i="35"/>
  <c r="D55" i="35"/>
  <c r="AD35" i="35"/>
  <c r="I15" i="35"/>
  <c r="B25" i="35"/>
  <c r="T9" i="35"/>
  <c r="AM37" i="35"/>
  <c r="AI31" i="35"/>
  <c r="AK24" i="35"/>
  <c r="AJ59" i="35"/>
  <c r="C71" i="35"/>
  <c r="J7" i="27" s="1"/>
  <c r="AJ67" i="35"/>
  <c r="AJ71" i="35" s="1"/>
  <c r="J40" i="27" s="1"/>
  <c r="J14" i="35"/>
  <c r="H31" i="35"/>
  <c r="E31" i="129" s="1"/>
  <c r="O44" i="35"/>
  <c r="AK70" i="35"/>
  <c r="J41" i="35"/>
  <c r="X51" i="35"/>
  <c r="J46" i="35"/>
  <c r="I26" i="35"/>
  <c r="L29" i="35"/>
  <c r="M45" i="35"/>
  <c r="G14" i="35"/>
  <c r="O16" i="35"/>
  <c r="C65" i="35"/>
  <c r="AJ65" i="35" s="1"/>
  <c r="AK20" i="35"/>
  <c r="N32" i="35"/>
  <c r="J33" i="35"/>
  <c r="M25" i="35"/>
  <c r="AL8" i="35"/>
  <c r="O31" i="35"/>
  <c r="G70" i="35"/>
  <c r="L51" i="35"/>
  <c r="P5" i="35"/>
  <c r="X50" i="35"/>
  <c r="X63" i="35"/>
  <c r="L57" i="35"/>
  <c r="F49" i="35"/>
  <c r="M12" i="35"/>
  <c r="H11" i="35"/>
  <c r="N11" i="35"/>
  <c r="AE62" i="35"/>
  <c r="S14" i="35"/>
  <c r="C62" i="35"/>
  <c r="AJ62" i="35" s="1"/>
  <c r="T42" i="35"/>
  <c r="O15" i="35"/>
  <c r="AM16" i="35"/>
  <c r="O49" i="35"/>
  <c r="T41" i="35"/>
  <c r="F10" i="35"/>
  <c r="I50" i="35"/>
  <c r="R30" i="35"/>
  <c r="O40" i="35"/>
  <c r="AK67" i="35"/>
  <c r="AL50" i="35"/>
  <c r="S39" i="35"/>
  <c r="M57" i="35"/>
  <c r="AL7" i="35"/>
  <c r="I32" i="35"/>
  <c r="P47" i="35"/>
  <c r="X43" i="35"/>
  <c r="AL11" i="35"/>
  <c r="H33" i="35"/>
  <c r="E33" i="129" s="1"/>
  <c r="AE61" i="35"/>
  <c r="I9" i="35"/>
  <c r="N49" i="35"/>
  <c r="L24" i="35"/>
  <c r="AL46" i="35"/>
  <c r="U8" i="35"/>
  <c r="R45" i="35"/>
  <c r="J47" i="35"/>
  <c r="K30" i="35"/>
  <c r="E16" i="35"/>
  <c r="K65" i="35"/>
  <c r="P50" i="35"/>
  <c r="F55" i="35"/>
  <c r="O34" i="35"/>
  <c r="R37" i="35"/>
  <c r="H22" i="35"/>
  <c r="E22" i="129" s="1"/>
  <c r="AL44" i="35"/>
  <c r="AL9" i="35"/>
  <c r="S8" i="35"/>
  <c r="B18" i="35"/>
  <c r="Q27" i="35"/>
  <c r="S42" i="35"/>
  <c r="L52" i="35"/>
  <c r="AL12" i="35"/>
  <c r="AM65" i="35"/>
  <c r="AK32" i="35"/>
  <c r="AI6" i="35"/>
  <c r="E45" i="35"/>
  <c r="AL20" i="35"/>
  <c r="D6" i="35"/>
  <c r="E65" i="35"/>
  <c r="P12" i="35"/>
  <c r="F13" i="35"/>
  <c r="T35" i="35"/>
  <c r="U7" i="35"/>
  <c r="L37" i="35"/>
  <c r="F22" i="35"/>
  <c r="AE33" i="35"/>
  <c r="D48" i="35"/>
  <c r="G23" i="35"/>
  <c r="AI27" i="35"/>
  <c r="O11" i="35"/>
  <c r="AM4" i="35"/>
  <c r="AL49" i="35"/>
  <c r="K16" i="35"/>
  <c r="AL42" i="35"/>
  <c r="H64" i="35"/>
  <c r="I35" i="35"/>
  <c r="K22" i="35"/>
  <c r="K35" i="35"/>
  <c r="E31" i="35"/>
  <c r="G49" i="35"/>
  <c r="G15" i="35"/>
  <c r="N60" i="35"/>
  <c r="X19" i="35"/>
  <c r="H40" i="35"/>
  <c r="E40" i="129" s="1"/>
  <c r="X37" i="35"/>
  <c r="B29" i="35"/>
  <c r="M42" i="35"/>
  <c r="G46" i="35"/>
  <c r="C33" i="35"/>
  <c r="AJ33" i="35" s="1"/>
  <c r="T61" i="35"/>
  <c r="AE8" i="35"/>
  <c r="G34" i="35"/>
  <c r="Q21" i="35"/>
  <c r="AE26" i="35"/>
  <c r="C47" i="35"/>
  <c r="AJ47" i="35" s="1"/>
  <c r="N48" i="35"/>
  <c r="AL37" i="35"/>
  <c r="S62" i="35"/>
  <c r="T28" i="35"/>
  <c r="C29" i="35"/>
  <c r="AJ29" i="35" s="1"/>
  <c r="S57" i="35"/>
  <c r="I19" i="35"/>
  <c r="AE70" i="35"/>
  <c r="K23" i="35"/>
  <c r="E41" i="35"/>
  <c r="F24" i="35"/>
  <c r="Q26" i="35"/>
  <c r="AK64" i="35"/>
  <c r="C50" i="35"/>
  <c r="AJ50" i="35" s="1"/>
  <c r="J35" i="35"/>
  <c r="T52" i="35"/>
  <c r="S67" i="35"/>
  <c r="B42" i="35"/>
  <c r="R25" i="35"/>
  <c r="E46" i="35"/>
  <c r="E27" i="35"/>
  <c r="D20" i="35"/>
  <c r="J19" i="35"/>
  <c r="M41" i="35"/>
  <c r="Q41" i="35"/>
  <c r="AL71" i="35" l="1"/>
  <c r="J54" i="27" s="1"/>
  <c r="J71" i="35"/>
  <c r="J14" i="27" s="1"/>
  <c r="G71" i="35"/>
  <c r="J11" i="27" s="1"/>
  <c r="R71" i="35"/>
  <c r="J22" i="27" s="1"/>
  <c r="I71" i="35"/>
  <c r="J13" i="27" s="1"/>
  <c r="AK71" i="35"/>
  <c r="J53" i="27" s="1"/>
  <c r="L58" i="35"/>
  <c r="L16" i="27" s="1"/>
  <c r="AD58" i="35"/>
  <c r="L28" i="27" s="1"/>
  <c r="AE58" i="35"/>
  <c r="L30" i="27" s="1"/>
  <c r="P58" i="35"/>
  <c r="L20" i="27" s="1"/>
  <c r="AJ66" i="35"/>
  <c r="K40" i="27" s="1"/>
  <c r="R58" i="35"/>
  <c r="L22" i="27" s="1"/>
  <c r="I66" i="35"/>
  <c r="K13" i="27" s="1"/>
  <c r="Q71" i="35"/>
  <c r="J21" i="27" s="1"/>
  <c r="X58" i="35"/>
  <c r="L27" i="27" s="1"/>
  <c r="K58" i="35"/>
  <c r="L15" i="27" s="1"/>
  <c r="U71" i="35"/>
  <c r="J24" i="27" s="1"/>
  <c r="D58" i="35"/>
  <c r="L8" i="27" s="1"/>
  <c r="AI71" i="35"/>
  <c r="J31" i="27" s="1"/>
  <c r="N31" i="27" s="1"/>
  <c r="I31" i="27" s="1"/>
  <c r="AM66" i="35"/>
  <c r="AM71" i="35"/>
  <c r="E66" i="35"/>
  <c r="K9" i="27" s="1"/>
  <c r="M58" i="35"/>
  <c r="L17" i="27" s="1"/>
  <c r="AM58" i="35"/>
  <c r="J58" i="35"/>
  <c r="L14" i="27" s="1"/>
  <c r="AE71" i="35"/>
  <c r="J30" i="27" s="1"/>
  <c r="N58" i="35"/>
  <c r="L18" i="27" s="1"/>
  <c r="O58" i="35"/>
  <c r="L19" i="27" s="1"/>
  <c r="R66" i="35"/>
  <c r="K22" i="27" s="1"/>
  <c r="AK66" i="35"/>
  <c r="K53" i="27" s="1"/>
  <c r="F66" i="35"/>
  <c r="K10" i="27" s="1"/>
  <c r="P66" i="35"/>
  <c r="K20" i="27" s="1"/>
  <c r="K66" i="35"/>
  <c r="K15" i="27" s="1"/>
  <c r="N15" i="27" s="1"/>
  <c r="I15" i="27" s="1"/>
  <c r="S71" i="35"/>
  <c r="J23" i="27" s="1"/>
  <c r="S66" i="35"/>
  <c r="K23" i="27" s="1"/>
  <c r="M66" i="35"/>
  <c r="K17" i="27" s="1"/>
  <c r="AD66" i="35"/>
  <c r="K28" i="27" s="1"/>
  <c r="AL66" i="35"/>
  <c r="K54" i="27" s="1"/>
  <c r="T58" i="35"/>
  <c r="L26" i="27" s="1"/>
  <c r="F58" i="35"/>
  <c r="L10" i="27" s="1"/>
  <c r="T71" i="35"/>
  <c r="J26" i="27" s="1"/>
  <c r="N26" i="27" s="1"/>
  <c r="I26" i="27" s="1"/>
  <c r="Q66" i="35"/>
  <c r="K21" i="27" s="1"/>
  <c r="AJ58" i="35"/>
  <c r="L40" i="27" s="1"/>
  <c r="M40" i="27" s="1"/>
  <c r="O71" i="35"/>
  <c r="J19" i="27" s="1"/>
  <c r="N66" i="35"/>
  <c r="K18" i="27" s="1"/>
  <c r="H66" i="35"/>
  <c r="K12" i="27" s="1"/>
  <c r="D71" i="35"/>
  <c r="J8" i="27" s="1"/>
  <c r="P71" i="35"/>
  <c r="J20" i="27" s="1"/>
  <c r="N20" i="27" s="1"/>
  <c r="I20" i="27" s="1"/>
  <c r="AD71" i="35"/>
  <c r="J28" i="27" s="1"/>
  <c r="N28" i="27" s="1"/>
  <c r="I28" i="27" s="1"/>
  <c r="AE66" i="35"/>
  <c r="K30" i="27" s="1"/>
  <c r="B58" i="35"/>
  <c r="L6" i="27" s="1"/>
  <c r="B71" i="35"/>
  <c r="J6" i="27" s="1"/>
  <c r="X66" i="35"/>
  <c r="K27" i="27" s="1"/>
  <c r="N27" i="27" s="1"/>
  <c r="I27" i="27" s="1"/>
  <c r="C58" i="35"/>
  <c r="AJ1" i="35" s="1"/>
  <c r="T66" i="35"/>
  <c r="K26" i="27" s="1"/>
  <c r="H58" i="35"/>
  <c r="G58" i="35"/>
  <c r="L11" i="27" s="1"/>
  <c r="AI58" i="35"/>
  <c r="L31" i="27" s="1"/>
  <c r="AL58" i="35"/>
  <c r="L54" i="27" s="1"/>
  <c r="M54" i="27" s="1"/>
  <c r="U58" i="35"/>
  <c r="L24" i="27" s="1"/>
  <c r="B66" i="35"/>
  <c r="K6" i="27" s="1"/>
  <c r="O66" i="35"/>
  <c r="K19" i="27" s="1"/>
  <c r="N19" i="27" s="1"/>
  <c r="I19" i="27" s="1"/>
  <c r="Q58" i="35"/>
  <c r="L21" i="27" s="1"/>
  <c r="S58" i="35"/>
  <c r="L23" i="27" s="1"/>
  <c r="E58" i="35"/>
  <c r="L9" i="27" s="1"/>
  <c r="C66" i="35"/>
  <c r="K7" i="27" s="1"/>
  <c r="L66" i="35"/>
  <c r="K16" i="27" s="1"/>
  <c r="U66" i="35"/>
  <c r="K24" i="27" s="1"/>
  <c r="AK58" i="35"/>
  <c r="L53" i="27" s="1"/>
  <c r="M53" i="27" s="1"/>
  <c r="I58" i="35"/>
  <c r="L13" i="27" s="1"/>
  <c r="N13" i="27" s="1"/>
  <c r="I13" i="27" s="1"/>
  <c r="D66" i="35"/>
  <c r="K8" i="27" s="1"/>
  <c r="G66" i="35"/>
  <c r="K11" i="27" s="1"/>
  <c r="L71" i="35"/>
  <c r="J16" i="27" s="1"/>
  <c r="AI66" i="35"/>
  <c r="K31" i="27" s="1"/>
  <c r="M71" i="35"/>
  <c r="J17" i="27" s="1"/>
  <c r="N17" i="27" s="1"/>
  <c r="I17" i="27" s="1"/>
  <c r="J66" i="35"/>
  <c r="K14" i="27" s="1"/>
  <c r="N54" i="27" l="1"/>
  <c r="I54" i="27" s="1"/>
  <c r="N18" i="27"/>
  <c r="I18" i="27" s="1"/>
  <c r="N14" i="27"/>
  <c r="I14" i="27" s="1"/>
  <c r="N40" i="27"/>
  <c r="I40" i="27" s="1"/>
  <c r="N30" i="27"/>
  <c r="I30" i="27" s="1"/>
  <c r="L7" i="27"/>
  <c r="N11" i="27"/>
  <c r="I11" i="27" s="1"/>
  <c r="M9" i="27"/>
  <c r="X8" i="28"/>
  <c r="B8" i="28" s="1"/>
  <c r="N23" i="27"/>
  <c r="I23" i="27" s="1"/>
  <c r="M18" i="27"/>
  <c r="X17" i="28"/>
  <c r="B17" i="28" s="1"/>
  <c r="M23" i="27"/>
  <c r="X22" i="28"/>
  <c r="B22" i="28" s="1"/>
  <c r="M11" i="27"/>
  <c r="X10" i="28"/>
  <c r="B10" i="28" s="1"/>
  <c r="M22" i="27"/>
  <c r="X21" i="28"/>
  <c r="B21" i="28" s="1"/>
  <c r="M21" i="27"/>
  <c r="X20" i="28"/>
  <c r="B20" i="28" s="1"/>
  <c r="M10" i="27"/>
  <c r="X9" i="28"/>
  <c r="B9" i="28" s="1"/>
  <c r="M14" i="27"/>
  <c r="X13" i="28"/>
  <c r="B13" i="28" s="1"/>
  <c r="N8" i="27"/>
  <c r="I8" i="27" s="1"/>
  <c r="X25" i="28"/>
  <c r="B25" i="28" s="1"/>
  <c r="M26" i="27"/>
  <c r="N9" i="27"/>
  <c r="I9" i="27" s="1"/>
  <c r="M8" i="27"/>
  <c r="X7" i="28"/>
  <c r="B7" i="28" s="1"/>
  <c r="M20" i="27"/>
  <c r="X19" i="28"/>
  <c r="B19" i="28" s="1"/>
  <c r="N10" i="27"/>
  <c r="I10" i="27" s="1"/>
  <c r="N24" i="27"/>
  <c r="I24" i="27" s="1"/>
  <c r="X29" i="28"/>
  <c r="B29" i="28" s="1"/>
  <c r="M30" i="27"/>
  <c r="M24" i="27"/>
  <c r="X23" i="28"/>
  <c r="B23" i="28" s="1"/>
  <c r="N53" i="27"/>
  <c r="I53" i="27" s="1"/>
  <c r="X14" i="28"/>
  <c r="B14" i="28" s="1"/>
  <c r="M15" i="27"/>
  <c r="M28" i="27"/>
  <c r="X27" i="28"/>
  <c r="B27" i="28" s="1"/>
  <c r="X12" i="28"/>
  <c r="B12" i="28" s="1"/>
  <c r="M13" i="27"/>
  <c r="L12" i="27"/>
  <c r="E58" i="129"/>
  <c r="N6" i="27"/>
  <c r="I6" i="27" s="1"/>
  <c r="N22" i="27"/>
  <c r="I22" i="27" s="1"/>
  <c r="X16" i="28"/>
  <c r="B16" i="28" s="1"/>
  <c r="M17" i="27"/>
  <c r="X26" i="28"/>
  <c r="B26" i="28" s="1"/>
  <c r="M27" i="27"/>
  <c r="M16" i="27"/>
  <c r="X15" i="28"/>
  <c r="B15" i="28" s="1"/>
  <c r="N16" i="27"/>
  <c r="I16" i="27" s="1"/>
  <c r="M31" i="27"/>
  <c r="X30" i="28"/>
  <c r="B30" i="28" s="1"/>
  <c r="X5" i="28"/>
  <c r="B5" i="28" s="1"/>
  <c r="M6" i="27"/>
  <c r="X18" i="28"/>
  <c r="B18" i="28" s="1"/>
  <c r="M19" i="27"/>
  <c r="N21" i="27"/>
  <c r="I21" i="27" s="1"/>
  <c r="N7" i="27"/>
  <c r="I7" i="27" s="1"/>
  <c r="X6" i="28"/>
  <c r="B6" i="28" s="1"/>
  <c r="M7" i="27"/>
  <c r="X11" i="28" l="1"/>
  <c r="B11" i="28" s="1"/>
  <c r="M12" i="27"/>
  <c r="N12" i="27"/>
  <c r="I12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tc={C295E294-8318-4096-A36A-9016C1CE9179}</author>
    <author>tc={6BCB5EC2-4207-4D3B-B019-B7FDDCFB7C73}</author>
    <author>tc={1CD610EF-3229-41BB-879B-4E1152EA5E77}</author>
  </authors>
  <commentList>
    <comment ref="G12" authorId="0" shapeId="0" xr:uid="{C295E294-8318-4096-A36A-9016C1CE91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garage, rear patio, opt. covered patio/deck, and front stoop</t>
      </text>
    </comment>
    <comment ref="C33" authorId="1" shapeId="0" xr:uid="{6BCB5EC2-4207-4D3B-B019-B7FDDCFB7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 is three units (2 end units, one middle unit)
End Unit SF: 1689
Middle Unit: 1656</t>
      </text>
    </comment>
    <comment ref="A40" authorId="2" shapeId="0" xr:uid="{1CD610EF-3229-41BB-879B-4E1152EA5E77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Option- No floorplan. Will never have line itemed budget.  Per Angel 21k more than 2-story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<sst xmlns="http://schemas.openxmlformats.org/spreadsheetml/2006/main" count="3105" uniqueCount="346">
  <si>
    <t>Red Cedar Model Comparison</t>
  </si>
  <si>
    <t>County</t>
  </si>
  <si>
    <t>None</t>
  </si>
  <si>
    <t>Model</t>
  </si>
  <si>
    <t>SFR/TH</t>
  </si>
  <si>
    <t>Heated SF</t>
  </si>
  <si>
    <t>Bed</t>
  </si>
  <si>
    <t>Bath</t>
  </si>
  <si>
    <t>Garage</t>
  </si>
  <si>
    <t>Unheated SF</t>
  </si>
  <si>
    <t>Floors</t>
  </si>
  <si>
    <t>Total $/ Heated SF</t>
  </si>
  <si>
    <t>Soft Cost</t>
  </si>
  <si>
    <t>Site Specific</t>
  </si>
  <si>
    <t>Sticks &amp; Bricks</t>
  </si>
  <si>
    <t xml:space="preserve">S&amp;B $/ Heated SF </t>
  </si>
  <si>
    <t>Total</t>
  </si>
  <si>
    <t>Classic</t>
  </si>
  <si>
    <t>Elegance</t>
  </si>
  <si>
    <t>Harmony</t>
  </si>
  <si>
    <t>Pad Size</t>
  </si>
  <si>
    <t>Floorplan</t>
  </si>
  <si>
    <t>Notes</t>
  </si>
  <si>
    <t>Acacia</t>
  </si>
  <si>
    <t>SFH</t>
  </si>
  <si>
    <t>TBD</t>
  </si>
  <si>
    <t>39/54</t>
  </si>
  <si>
    <t>Standard covered back porch</t>
  </si>
  <si>
    <t>=LEFT(FIND("/",R6)</t>
  </si>
  <si>
    <t>Aspen 2-Story</t>
  </si>
  <si>
    <t>24-33</t>
  </si>
  <si>
    <t>Last Updated 12.14.2024</t>
  </si>
  <si>
    <t>Atlas</t>
  </si>
  <si>
    <t>24/33</t>
  </si>
  <si>
    <t>Old Pricing numbers from old deal sheet</t>
  </si>
  <si>
    <t>Banyan</t>
  </si>
  <si>
    <t>28/24</t>
  </si>
  <si>
    <t>Archived Models. No pricing updates</t>
  </si>
  <si>
    <t>Cherry</t>
  </si>
  <si>
    <t>38/38</t>
  </si>
  <si>
    <t>One time models</t>
  </si>
  <si>
    <t>Dogwood</t>
  </si>
  <si>
    <t>29/36</t>
  </si>
  <si>
    <t>Future Plans - No line-itemed budget. Still being bidded out</t>
  </si>
  <si>
    <t>Hazel</t>
  </si>
  <si>
    <t>28/34</t>
  </si>
  <si>
    <t>Holly</t>
  </si>
  <si>
    <t>29/48</t>
  </si>
  <si>
    <t>Elm</t>
  </si>
  <si>
    <t>28/35</t>
  </si>
  <si>
    <t>Lilac</t>
  </si>
  <si>
    <t>30/46</t>
  </si>
  <si>
    <t>Lily</t>
  </si>
  <si>
    <t>34/30</t>
  </si>
  <si>
    <t>Widest point of plan, 26 ft at marrowest depth</t>
  </si>
  <si>
    <t>Magnolia</t>
  </si>
  <si>
    <t>38/40</t>
  </si>
  <si>
    <t>Spindle</t>
  </si>
  <si>
    <t>24/51</t>
  </si>
  <si>
    <t>Spruce</t>
  </si>
  <si>
    <t>Tulip</t>
  </si>
  <si>
    <t>30/50</t>
  </si>
  <si>
    <t>White Oak</t>
  </si>
  <si>
    <t>38/35</t>
  </si>
  <si>
    <t>Willow</t>
  </si>
  <si>
    <t>30/40</t>
  </si>
  <si>
    <t>Jasmine</t>
  </si>
  <si>
    <t>TH</t>
  </si>
  <si>
    <t>20/49</t>
  </si>
  <si>
    <t>Palmetto</t>
  </si>
  <si>
    <t>20/42</t>
  </si>
  <si>
    <t>Palmetto II</t>
  </si>
  <si>
    <t>20x37</t>
  </si>
  <si>
    <t>Palm II</t>
  </si>
  <si>
    <t>1F</t>
  </si>
  <si>
    <t>20/50</t>
  </si>
  <si>
    <t>Bayberry</t>
  </si>
  <si>
    <t>Width is per unit</t>
  </si>
  <si>
    <t>Cottonwood</t>
  </si>
  <si>
    <t>18/40</t>
  </si>
  <si>
    <t>Linville</t>
  </si>
  <si>
    <t>2F</t>
  </si>
  <si>
    <t>27/56</t>
  </si>
  <si>
    <t>Locust</t>
  </si>
  <si>
    <t>22/47</t>
  </si>
  <si>
    <t>Fig</t>
  </si>
  <si>
    <t>1R</t>
  </si>
  <si>
    <t>Poplar</t>
  </si>
  <si>
    <t>2R</t>
  </si>
  <si>
    <t>Fraser</t>
  </si>
  <si>
    <t>22/50</t>
  </si>
  <si>
    <t>Sycamore</t>
  </si>
  <si>
    <t>Alder</t>
  </si>
  <si>
    <t>Per Ryan, Alder is identical to Palm but with a flipped garages</t>
  </si>
  <si>
    <t>Boxelder</t>
  </si>
  <si>
    <t>22/54</t>
  </si>
  <si>
    <t>Bur Oak</t>
  </si>
  <si>
    <t>Conifer</t>
  </si>
  <si>
    <t>Pinyon</t>
  </si>
  <si>
    <t>Aspen 3-Story</t>
  </si>
  <si>
    <t>Arborbrook</t>
  </si>
  <si>
    <t>44/52</t>
  </si>
  <si>
    <t>Widest point of plan, 47 ft at narrowest depth</t>
  </si>
  <si>
    <t>Ash</t>
  </si>
  <si>
    <t>30/62</t>
  </si>
  <si>
    <t>Hemlock</t>
  </si>
  <si>
    <t>38/39</t>
  </si>
  <si>
    <t>Hickory</t>
  </si>
  <si>
    <t>Palm</t>
  </si>
  <si>
    <t>Red Oak</t>
  </si>
  <si>
    <t>Walnut</t>
  </si>
  <si>
    <t>Maple</t>
  </si>
  <si>
    <t>Braxton Cottage</t>
  </si>
  <si>
    <t>Harrison Cottage</t>
  </si>
  <si>
    <t>-</t>
  </si>
  <si>
    <t>17/30</t>
  </si>
  <si>
    <t>West End</t>
  </si>
  <si>
    <t>Long Farm</t>
  </si>
  <si>
    <t>Fir</t>
  </si>
  <si>
    <t>24/37</t>
  </si>
  <si>
    <t>Red Cedar Model Historical Trends</t>
  </si>
  <si>
    <t>Historical Data</t>
  </si>
  <si>
    <t>03.31.2025</t>
  </si>
  <si>
    <t>02.27.2025</t>
  </si>
  <si>
    <t>1.28.2025</t>
  </si>
  <si>
    <t>1.10.2025</t>
  </si>
  <si>
    <t>11.25.2024</t>
  </si>
  <si>
    <t>10.29.2024</t>
  </si>
  <si>
    <t>09.23.2024</t>
  </si>
  <si>
    <t>8.27.2024</t>
  </si>
  <si>
    <t>7.22.2024</t>
  </si>
  <si>
    <t>3.15.2024</t>
  </si>
  <si>
    <t xml:space="preserve"> Current Month Variance to Historical Data</t>
  </si>
  <si>
    <t>September</t>
  </si>
  <si>
    <t>August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</si>
  <si>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</si>
  <si>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</si>
  <si>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</si>
  <si>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</si>
  <si>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</si>
  <si>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</si>
  <si>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</si>
  <si>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</si>
  <si>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</si>
  <si>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July</t>
  </si>
  <si>
    <t>SF</t>
  </si>
  <si>
    <t>Retired</t>
  </si>
  <si>
    <t>MODEL</t>
  </si>
  <si>
    <t>Do not copy models to deal sheet</t>
  </si>
  <si>
    <t>ACTIVITY</t>
  </si>
  <si>
    <t>Dumpster</t>
  </si>
  <si>
    <t>Utilities</t>
  </si>
  <si>
    <t>Portable toilet</t>
  </si>
  <si>
    <t xml:space="preserve">Permit Box </t>
  </si>
  <si>
    <t>Termite</t>
  </si>
  <si>
    <t>Lumber All Floors</t>
  </si>
  <si>
    <t>Framing Labor</t>
  </si>
  <si>
    <t>Floor Trusses</t>
  </si>
  <si>
    <t>Stairs</t>
  </si>
  <si>
    <t>Roof Trusses</t>
  </si>
  <si>
    <t>I-Joist/EWP</t>
  </si>
  <si>
    <t>Roofing Shingle</t>
  </si>
  <si>
    <t>Roofing Metal</t>
  </si>
  <si>
    <t>Roofing Labor &amp; Material</t>
  </si>
  <si>
    <t>Siding Material</t>
  </si>
  <si>
    <t>Siding Labor</t>
  </si>
  <si>
    <t>Window Material</t>
  </si>
  <si>
    <t>Exterior Door Material</t>
  </si>
  <si>
    <t>Exterior Door Labor</t>
  </si>
  <si>
    <t>Windows Labor</t>
  </si>
  <si>
    <t>Garage Door Labor &amp; Material</t>
  </si>
  <si>
    <t>Plumbing Turnkey</t>
  </si>
  <si>
    <t>HVAC</t>
  </si>
  <si>
    <t>Electrical Rough &amp; Trim</t>
  </si>
  <si>
    <t>Blower Test</t>
  </si>
  <si>
    <t>Low Voltage/AV</t>
  </si>
  <si>
    <t>Insulation</t>
  </si>
  <si>
    <t>Drywall Material</t>
  </si>
  <si>
    <t>Drywall Labor</t>
  </si>
  <si>
    <t>Exterior Paint Labor &amp; Material</t>
  </si>
  <si>
    <t>Interior Paint</t>
  </si>
  <si>
    <t>Interior Trim Material</t>
  </si>
  <si>
    <t>Interior Trim Turnkey</t>
  </si>
  <si>
    <t>Door Hardware</t>
  </si>
  <si>
    <t>Shelving</t>
  </si>
  <si>
    <t>Interior Trim Labor</t>
  </si>
  <si>
    <t>Mirrors</t>
  </si>
  <si>
    <t>Bath Accessories</t>
  </si>
  <si>
    <t>Shower Door</t>
  </si>
  <si>
    <t>Countertops</t>
  </si>
  <si>
    <t>Cabinet Labor &amp; Material</t>
  </si>
  <si>
    <t>Tile Labor &amp; Material</t>
  </si>
  <si>
    <t>Light Fixtures</t>
  </si>
  <si>
    <t>Appliances</t>
  </si>
  <si>
    <t>Carpet Labor &amp; Material</t>
  </si>
  <si>
    <t>Hardwood Labor &amp; Material</t>
  </si>
  <si>
    <t>LVP Labor &amp; Material</t>
  </si>
  <si>
    <t>Interior Clean</t>
  </si>
  <si>
    <t>Gutters</t>
  </si>
  <si>
    <t>QI Inspection</t>
  </si>
  <si>
    <t>Deck</t>
  </si>
  <si>
    <t>Mailbox</t>
  </si>
  <si>
    <t>Pressure Wash</t>
  </si>
  <si>
    <t>Foundation</t>
  </si>
  <si>
    <t>Sticks &amp; Bricks Subtotal</t>
  </si>
  <si>
    <t>Survey</t>
  </si>
  <si>
    <t>Stake House</t>
  </si>
  <si>
    <t>Grading/Lot Clear/Hauling</t>
  </si>
  <si>
    <t>Silt Fence</t>
  </si>
  <si>
    <t>Temp Drive</t>
  </si>
  <si>
    <t>Landscaping</t>
  </si>
  <si>
    <t>Flatwork</t>
  </si>
  <si>
    <t>Site Specific Subtotal</t>
  </si>
  <si>
    <t>Building Permits</t>
  </si>
  <si>
    <t>Sewer Septic Permit</t>
  </si>
  <si>
    <t>Water Meter</t>
  </si>
  <si>
    <t>Engineering</t>
  </si>
  <si>
    <t>Soft Costs Subtotal</t>
  </si>
  <si>
    <t>ACACIA BASE HOUSE COSTS</t>
  </si>
  <si>
    <t>COSTS</t>
  </si>
  <si>
    <t>TOTAL</t>
  </si>
  <si>
    <t>Classic Package</t>
  </si>
  <si>
    <t>Elegance Package</t>
  </si>
  <si>
    <t>BTR Harmony Package</t>
  </si>
  <si>
    <t>ASPEN BASE HOUSE COSTS</t>
  </si>
  <si>
    <t>ATLAS BASE HOUSE COSTS</t>
  </si>
  <si>
    <t>BANYAN BASE HOUSE COSTS</t>
  </si>
  <si>
    <t>CHERRY BASE HOUSE COSTS</t>
  </si>
  <si>
    <t>DOGWOOD BASE HOUSE COSTS</t>
  </si>
  <si>
    <t>HAZEL BASE HOUSE COSTS</t>
  </si>
  <si>
    <t>HOLLY BASE HOUSE COSTS</t>
  </si>
  <si>
    <t>ELM BASE HOUSE COSTS</t>
  </si>
  <si>
    <t>LILAC BASE HOUSE COSTS</t>
  </si>
  <si>
    <t>LILY BASE HOUSE COSTS</t>
  </si>
  <si>
    <t>MAGNOLIA BASE HOUSE COSTS</t>
  </si>
  <si>
    <t>SPINDLE BASE HOUSE COSTS</t>
  </si>
  <si>
    <t>SPRUCE BASE HOUSE COSTS</t>
  </si>
  <si>
    <t>TULIP BASE HOUSE COSTS</t>
  </si>
  <si>
    <t>WHITE OAK BASE HOUSE COSTS</t>
  </si>
  <si>
    <t>WILLOW BASE HOUSE COSTS</t>
  </si>
  <si>
    <t>ALDER TH BASE HOUSE COSTS</t>
  </si>
  <si>
    <t>BAYBERRY TH BASE HOUSE COSTS</t>
  </si>
  <si>
    <t>BOXELDER TH BASE HOUSE COSTS</t>
  </si>
  <si>
    <t>BUR OAK TH BASE HOUSE COSTS</t>
  </si>
  <si>
    <t>CONIFER TH BASE HOUSE COSTS</t>
  </si>
  <si>
    <t>COTTONWOOD TH BASE HOUSE COSTS</t>
  </si>
  <si>
    <t>FIG TH BASE HOUSE COSTS</t>
  </si>
  <si>
    <t>FRASER TH BASE HOUSE COSTS</t>
  </si>
  <si>
    <t>JASMINE TH BASE HOUSE COSTS</t>
  </si>
  <si>
    <t>LINVILLE TH BASE HOUSE COSTS</t>
  </si>
  <si>
    <t>LOCUST TH BASE HOUSE COSTS</t>
  </si>
  <si>
    <t>PALM II TH BASE HOUSE COSTS</t>
  </si>
  <si>
    <t>PALMETTO TH BASE HOUSE COSTS</t>
  </si>
  <si>
    <t>PALMETTO II TH BASE HOUSE COSTS</t>
  </si>
  <si>
    <t>PINYON TH BASE HOUSE COSTS</t>
  </si>
  <si>
    <t>POPLAR TH BASE HOUSE COSTS</t>
  </si>
  <si>
    <t>SYCAMORE TH BASE HOUSE COSTS</t>
  </si>
  <si>
    <t>Water Meter Size</t>
  </si>
  <si>
    <t>Water Tap Fee</t>
  </si>
  <si>
    <t>Water System Dev. Fee</t>
  </si>
  <si>
    <t>Total Water</t>
  </si>
  <si>
    <t>Sewer Tap Fee</t>
  </si>
  <si>
    <t>Sewer System Dev. Fee</t>
  </si>
  <si>
    <t>Total Sewer</t>
  </si>
  <si>
    <t>TOTAL W/S Tap/Dev. Fees</t>
  </si>
  <si>
    <t>Meter Charge/Unit</t>
  </si>
  <si>
    <t>Misc. Fees/Notes</t>
  </si>
  <si>
    <t>Other</t>
  </si>
  <si>
    <t>Alexander</t>
  </si>
  <si>
    <t>3/4"</t>
  </si>
  <si>
    <t>Cabarras</t>
  </si>
  <si>
    <t>5/8" &amp; 3/4"</t>
  </si>
  <si>
    <t>Catawba</t>
  </si>
  <si>
    <t>1" or Less</t>
  </si>
  <si>
    <t>Cleveland - In District</t>
  </si>
  <si>
    <t>Cleveland - Out of District</t>
  </si>
  <si>
    <t>Davidson</t>
  </si>
  <si>
    <t>Capital Recovery Fee: $1075 Paid by Developer to Davidson Co. if we install</t>
  </si>
  <si>
    <t>Davie</t>
  </si>
  <si>
    <t>Forsyth</t>
  </si>
  <si>
    <t>Gaston</t>
  </si>
  <si>
    <t>Guilford</t>
  </si>
  <si>
    <t>Water:$593/Sewer:$505</t>
  </si>
  <si>
    <t>Iredell</t>
  </si>
  <si>
    <t>City of Statesville</t>
  </si>
  <si>
    <t>Lancaster</t>
  </si>
  <si>
    <t>City of Lexington</t>
  </si>
  <si>
    <t>Lincoln</t>
  </si>
  <si>
    <t>Mecklenburg</t>
  </si>
  <si>
    <t>5/8"</t>
  </si>
  <si>
    <t>Rowan</t>
  </si>
  <si>
    <t>Stanly</t>
  </si>
  <si>
    <t>Union</t>
  </si>
  <si>
    <t>York</t>
  </si>
  <si>
    <t>$50 Deposit</t>
  </si>
  <si>
    <t>Town of Clover</t>
  </si>
  <si>
    <t>City of Statesville, NC</t>
  </si>
  <si>
    <t>Is there any fees after total water fees per county</t>
  </si>
  <si>
    <t>Did we develop this lot yes or no</t>
  </si>
  <si>
    <t>Will there be an impact fee</t>
  </si>
  <si>
    <t>Did we get a horizontally done lot or did we get raw land?</t>
  </si>
  <si>
    <t>FIR BASE HOUSE COSTS</t>
  </si>
  <si>
    <t>Window &amp; Ext Door Labor</t>
  </si>
  <si>
    <t>Survey Set Pins</t>
  </si>
  <si>
    <t>NO MD</t>
  </si>
  <si>
    <t>MD</t>
  </si>
  <si>
    <t>WEST END TH</t>
  </si>
  <si>
    <t>Brick Turnkey</t>
  </si>
  <si>
    <t>Lockout Labor</t>
  </si>
  <si>
    <t>Deck Turnkey</t>
  </si>
  <si>
    <t xml:space="preserve"> BASE HOUSE COSTS - LONG FARM</t>
  </si>
  <si>
    <t>VENDOR</t>
  </si>
  <si>
    <t xml:space="preserve">Budget </t>
  </si>
  <si>
    <t>THIS PRICING IS BASED OFF THE AVERAGE PRICE PER SF PER COST CODE AND IS NOT ACTUAL BID COSTS</t>
  </si>
  <si>
    <t>Northwest Exterminating</t>
  </si>
  <si>
    <t>Carter</t>
  </si>
  <si>
    <t>Robert Helms Roofing</t>
  </si>
  <si>
    <t>Siding Material (Hardi Color Plus)</t>
  </si>
  <si>
    <t>Alsides</t>
  </si>
  <si>
    <t>Siding Labor (Hardi Color Plus)</t>
  </si>
  <si>
    <t>Sarah Construction</t>
  </si>
  <si>
    <t>Assa Abloy</t>
  </si>
  <si>
    <t>Piedmont Plumbers</t>
  </si>
  <si>
    <t>Central Heating &amp; Air</t>
  </si>
  <si>
    <t>Lansing Electric</t>
  </si>
  <si>
    <t>Austin Company</t>
  </si>
  <si>
    <t>Morrison Brothers</t>
  </si>
  <si>
    <t>East Coast Drywall</t>
  </si>
  <si>
    <t>Evergreen</t>
  </si>
  <si>
    <t>Metro Stone &amp; Granite</t>
  </si>
  <si>
    <t>Builders Wholesale</t>
  </si>
  <si>
    <t>Lightstyles</t>
  </si>
  <si>
    <t>Ferguson</t>
  </si>
  <si>
    <t>Total Care Solutions</t>
  </si>
  <si>
    <t>Precision Performance Concrete</t>
  </si>
  <si>
    <t>Southern Shade Tree (Budget)</t>
  </si>
  <si>
    <t>PPC (Budget)</t>
  </si>
  <si>
    <t>Brick</t>
  </si>
  <si>
    <t>NorthStone Masonry</t>
  </si>
  <si>
    <t>Appliances - Refrigerator</t>
  </si>
  <si>
    <t>4' Black Aluminum Fence</t>
  </si>
  <si>
    <t>Plaza Fence</t>
  </si>
  <si>
    <t>Blinds</t>
  </si>
  <si>
    <t>Haskell's Hardware</t>
  </si>
  <si>
    <t>Price Per SF</t>
  </si>
  <si>
    <t>Sewer/Water Impact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</si>
</sst>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&quot;$&quot;#,##0"/>
    <numFmt numFmtId="168" formatCode="_([$$-409]* #,##0.00_);_([$$-409]* \(#,##0.00\);_([$$-409]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rgb="FFD9D9D9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DashDot">
        <color indexed="64"/>
      </left>
      <right/>
      <top/>
      <bottom/>
      <diagonal/>
    </border>
    <border>
      <left style="mediumDashDot">
        <color indexed="64"/>
      </left>
      <right style="medium">
        <color indexed="64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29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3" xfId="0" applyFont="1" applyBorder="1"/>
    <xf numFmtId="0" fontId="4" fillId="0" borderId="3" xfId="0" applyFont="1" applyBorder="1" applyAlignment="1">
      <alignment horizontal="right"/>
    </xf>
    <xf numFmtId="164" fontId="0" fillId="0" borderId="0" xfId="0" applyNumberForma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64" fontId="0" fillId="0" borderId="0" xfId="0" applyNumberFormat="1"/>
    <xf numFmtId="0" fontId="8" fillId="0" borderId="7" xfId="0" applyFont="1" applyBorder="1"/>
    <xf numFmtId="0" fontId="0" fillId="0" borderId="7" xfId="0" applyBorder="1"/>
    <xf numFmtId="165" fontId="0" fillId="0" borderId="7" xfId="2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6" fontId="0" fillId="0" borderId="7" xfId="1" applyNumberFormat="1" applyFont="1" applyBorder="1"/>
    <xf numFmtId="10" fontId="0" fillId="0" borderId="0" xfId="3" applyNumberFormat="1" applyFont="1"/>
    <xf numFmtId="165" fontId="0" fillId="0" borderId="0" xfId="2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66" fontId="0" fillId="0" borderId="0" xfId="1" applyNumberFormat="1" applyFont="1"/>
    <xf numFmtId="10" fontId="9" fillId="0" borderId="0" xfId="3" applyNumberFormat="1" applyFont="1" applyAlignment="1">
      <alignment horizontal="center"/>
    </xf>
    <xf numFmtId="10" fontId="10" fillId="0" borderId="0" xfId="3" applyNumberFormat="1" applyFont="1"/>
    <xf numFmtId="0" fontId="0" fillId="0" borderId="8" xfId="0" applyBorder="1" applyAlignment="1">
      <alignment horizontal="center" wrapText="1"/>
    </xf>
    <xf numFmtId="10" fontId="0" fillId="0" borderId="9" xfId="3" applyNumberFormat="1" applyFont="1" applyBorder="1" applyAlignment="1">
      <alignment horizontal="center" wrapText="1"/>
    </xf>
    <xf numFmtId="165" fontId="0" fillId="0" borderId="9" xfId="2" applyNumberFormat="1" applyFont="1" applyBorder="1" applyAlignment="1">
      <alignment horizontal="center" wrapText="1"/>
    </xf>
    <xf numFmtId="0" fontId="0" fillId="0" borderId="10" xfId="3" applyNumberFormat="1" applyFont="1" applyBorder="1" applyAlignment="1">
      <alignment horizontal="center" wrapText="1"/>
    </xf>
    <xf numFmtId="10" fontId="0" fillId="0" borderId="11" xfId="3" applyNumberFormat="1" applyFont="1" applyBorder="1" applyAlignment="1">
      <alignment horizontal="center" wrapText="1"/>
    </xf>
    <xf numFmtId="166" fontId="0" fillId="2" borderId="12" xfId="1" applyNumberFormat="1" applyFont="1" applyFill="1" applyBorder="1" applyAlignment="1">
      <alignment horizontal="center" wrapText="1"/>
    </xf>
    <xf numFmtId="166" fontId="0" fillId="0" borderId="9" xfId="1" applyNumberFormat="1" applyFont="1" applyBorder="1" applyAlignment="1">
      <alignment horizontal="center" wrapText="1"/>
    </xf>
    <xf numFmtId="166" fontId="0" fillId="0" borderId="10" xfId="1" applyNumberFormat="1" applyFont="1" applyBorder="1" applyAlignment="1">
      <alignment horizontal="center" wrapText="1"/>
    </xf>
    <xf numFmtId="166" fontId="6" fillId="0" borderId="13" xfId="1" applyNumberFormat="1" applyFont="1" applyBorder="1" applyAlignment="1">
      <alignment horizontal="center" wrapText="1"/>
    </xf>
    <xf numFmtId="10" fontId="0" fillId="0" borderId="14" xfId="3" applyNumberFormat="1" applyFont="1" applyBorder="1" applyAlignment="1">
      <alignment horizontal="center" wrapText="1"/>
    </xf>
    <xf numFmtId="10" fontId="0" fillId="0" borderId="0" xfId="3" quotePrefix="1" applyNumberFormat="1" applyFont="1" applyAlignment="1">
      <alignment horizontal="center" wrapText="1"/>
    </xf>
    <xf numFmtId="10" fontId="0" fillId="0" borderId="0" xfId="3" applyNumberFormat="1" applyFont="1" applyAlignment="1">
      <alignment wrapText="1"/>
    </xf>
    <xf numFmtId="0" fontId="0" fillId="0" borderId="0" xfId="0" applyAlignment="1">
      <alignment wrapText="1"/>
    </xf>
    <xf numFmtId="167" fontId="0" fillId="0" borderId="16" xfId="1" applyNumberFormat="1" applyFont="1" applyBorder="1" applyAlignment="1">
      <alignment horizontal="center"/>
    </xf>
    <xf numFmtId="0" fontId="0" fillId="0" borderId="3" xfId="0" applyBorder="1"/>
    <xf numFmtId="0" fontId="0" fillId="0" borderId="0" xfId="3" applyNumberFormat="1" applyFont="1"/>
    <xf numFmtId="0" fontId="0" fillId="0" borderId="15" xfId="0" applyBorder="1" applyAlignment="1">
      <alignment horizontal="center"/>
    </xf>
    <xf numFmtId="10" fontId="0" fillId="0" borderId="16" xfId="3" applyNumberFormat="1" applyFont="1" applyBorder="1" applyAlignment="1">
      <alignment horizontal="center"/>
    </xf>
    <xf numFmtId="165" fontId="0" fillId="0" borderId="16" xfId="2" applyNumberFormat="1" applyFont="1" applyBorder="1" applyAlignment="1">
      <alignment horizontal="center"/>
    </xf>
    <xf numFmtId="0" fontId="0" fillId="0" borderId="17" xfId="2" applyNumberFormat="1" applyFont="1" applyBorder="1" applyAlignment="1">
      <alignment horizontal="center"/>
    </xf>
    <xf numFmtId="0" fontId="0" fillId="0" borderId="18" xfId="2" applyNumberFormat="1" applyFont="1" applyBorder="1" applyAlignment="1">
      <alignment horizontal="center"/>
    </xf>
    <xf numFmtId="167" fontId="0" fillId="2" borderId="19" xfId="1" applyNumberFormat="1" applyFont="1" applyFill="1" applyBorder="1" applyAlignment="1">
      <alignment horizontal="center"/>
    </xf>
    <xf numFmtId="0" fontId="0" fillId="0" borderId="17" xfId="3" applyNumberFormat="1" applyFont="1" applyFill="1" applyBorder="1" applyAlignment="1">
      <alignment horizontal="center"/>
    </xf>
    <xf numFmtId="10" fontId="0" fillId="0" borderId="3" xfId="3" applyNumberFormat="1" applyFont="1" applyBorder="1"/>
    <xf numFmtId="165" fontId="0" fillId="0" borderId="0" xfId="3" applyNumberFormat="1" applyFont="1"/>
    <xf numFmtId="0" fontId="0" fillId="7" borderId="0" xfId="0" applyFill="1"/>
    <xf numFmtId="0" fontId="0" fillId="0" borderId="17" xfId="3" applyNumberFormat="1" applyFont="1" applyBorder="1" applyAlignment="1">
      <alignment horizontal="center"/>
    </xf>
    <xf numFmtId="10" fontId="7" fillId="0" borderId="4" xfId="3" applyNumberFormat="1" applyFont="1" applyBorder="1" applyAlignment="1">
      <alignment horizontal="center"/>
    </xf>
    <xf numFmtId="10" fontId="0" fillId="8" borderId="0" xfId="3" applyNumberFormat="1" applyFont="1" applyFill="1"/>
    <xf numFmtId="10" fontId="0" fillId="9" borderId="0" xfId="3" applyNumberFormat="1" applyFont="1" applyFill="1"/>
    <xf numFmtId="0" fontId="0" fillId="10" borderId="0" xfId="3" applyNumberFormat="1" applyFont="1" applyFill="1" applyBorder="1" applyAlignment="1">
      <alignment horizontal="center"/>
    </xf>
    <xf numFmtId="10" fontId="0" fillId="5" borderId="0" xfId="3" applyNumberFormat="1" applyFont="1" applyFill="1"/>
    <xf numFmtId="0" fontId="0" fillId="0" borderId="17" xfId="2" quotePrefix="1" applyNumberFormat="1" applyFont="1" applyBorder="1" applyAlignment="1">
      <alignment horizontal="center"/>
    </xf>
    <xf numFmtId="0" fontId="0" fillId="0" borderId="18" xfId="2" quotePrefix="1" applyNumberFormat="1" applyFont="1" applyBorder="1" applyAlignment="1">
      <alignment horizontal="center"/>
    </xf>
    <xf numFmtId="0" fontId="0" fillId="0" borderId="16" xfId="3" applyNumberFormat="1" applyFont="1" applyBorder="1" applyAlignment="1">
      <alignment horizontal="center"/>
    </xf>
    <xf numFmtId="0" fontId="0" fillId="9" borderId="15" xfId="0" applyFill="1" applyBorder="1" applyAlignment="1">
      <alignment horizontal="center"/>
    </xf>
    <xf numFmtId="10" fontId="0" fillId="9" borderId="16" xfId="3" applyNumberFormat="1" applyFont="1" applyFill="1" applyBorder="1" applyAlignment="1">
      <alignment horizontal="center"/>
    </xf>
    <xf numFmtId="165" fontId="0" fillId="9" borderId="16" xfId="2" applyNumberFormat="1" applyFont="1" applyFill="1" applyBorder="1" applyAlignment="1">
      <alignment horizontal="center"/>
    </xf>
    <xf numFmtId="0" fontId="0" fillId="9" borderId="16" xfId="3" applyNumberFormat="1" applyFont="1" applyFill="1" applyBorder="1" applyAlignment="1">
      <alignment horizontal="center"/>
    </xf>
    <xf numFmtId="0" fontId="0" fillId="9" borderId="17" xfId="3" applyNumberFormat="1" applyFont="1" applyFill="1" applyBorder="1" applyAlignment="1">
      <alignment horizontal="center"/>
    </xf>
    <xf numFmtId="0" fontId="0" fillId="9" borderId="18" xfId="3" applyNumberFormat="1" applyFont="1" applyFill="1" applyBorder="1" applyAlignment="1">
      <alignment horizontal="center"/>
    </xf>
    <xf numFmtId="167" fontId="0" fillId="9" borderId="19" xfId="1" applyNumberFormat="1" applyFont="1" applyFill="1" applyBorder="1" applyAlignment="1">
      <alignment horizontal="center"/>
    </xf>
    <xf numFmtId="10" fontId="0" fillId="9" borderId="4" xfId="3" applyNumberFormat="1" applyFont="1" applyFill="1" applyBorder="1" applyAlignment="1">
      <alignment horizontal="center"/>
    </xf>
    <xf numFmtId="167" fontId="0" fillId="7" borderId="16" xfId="1" applyNumberFormat="1" applyFont="1" applyFill="1" applyBorder="1" applyAlignment="1">
      <alignment horizontal="center"/>
    </xf>
    <xf numFmtId="10" fontId="0" fillId="0" borderId="16" xfId="3" applyNumberFormat="1" applyFont="1" applyFill="1" applyBorder="1" applyAlignment="1">
      <alignment horizontal="center"/>
    </xf>
    <xf numFmtId="165" fontId="0" fillId="0" borderId="16" xfId="2" applyNumberFormat="1" applyFont="1" applyFill="1" applyBorder="1" applyAlignment="1">
      <alignment horizontal="center"/>
    </xf>
    <xf numFmtId="0" fontId="0" fillId="0" borderId="16" xfId="3" applyNumberFormat="1" applyFont="1" applyFill="1" applyBorder="1" applyAlignment="1">
      <alignment horizontal="center"/>
    </xf>
    <xf numFmtId="0" fontId="0" fillId="0" borderId="18" xfId="3" applyNumberFormat="1" applyFont="1" applyFill="1" applyBorder="1" applyAlignment="1">
      <alignment horizontal="center"/>
    </xf>
    <xf numFmtId="167" fontId="0" fillId="0" borderId="16" xfId="1" applyNumberFormat="1" applyFont="1" applyFill="1" applyBorder="1" applyAlignment="1">
      <alignment horizontal="center"/>
    </xf>
    <xf numFmtId="10" fontId="0" fillId="0" borderId="4" xfId="3" applyNumberFormat="1" applyFont="1" applyFill="1" applyBorder="1" applyAlignment="1">
      <alignment horizontal="center"/>
    </xf>
    <xf numFmtId="10" fontId="0" fillId="0" borderId="3" xfId="3" applyNumberFormat="1" applyFont="1" applyBorder="1" applyAlignment="1"/>
    <xf numFmtId="10" fontId="0" fillId="0" borderId="3" xfId="3" applyNumberFormat="1" applyFont="1" applyFill="1" applyBorder="1" applyAlignment="1">
      <alignment wrapText="1"/>
    </xf>
    <xf numFmtId="167" fontId="0" fillId="9" borderId="16" xfId="1" applyNumberFormat="1" applyFont="1" applyFill="1" applyBorder="1" applyAlignment="1">
      <alignment horizontal="center"/>
    </xf>
    <xf numFmtId="10" fontId="0" fillId="0" borderId="0" xfId="3" applyNumberFormat="1" applyFont="1" applyBorder="1" applyAlignment="1"/>
    <xf numFmtId="166" fontId="0" fillId="9" borderId="16" xfId="1" applyNumberFormat="1" applyFont="1" applyFill="1" applyBorder="1"/>
    <xf numFmtId="0" fontId="0" fillId="10" borderId="15" xfId="0" applyFill="1" applyBorder="1" applyAlignment="1">
      <alignment horizontal="center"/>
    </xf>
    <xf numFmtId="10" fontId="0" fillId="10" borderId="16" xfId="3" applyNumberFormat="1" applyFont="1" applyFill="1" applyBorder="1" applyAlignment="1">
      <alignment horizontal="center"/>
    </xf>
    <xf numFmtId="165" fontId="0" fillId="10" borderId="16" xfId="2" applyNumberFormat="1" applyFont="1" applyFill="1" applyBorder="1" applyAlignment="1">
      <alignment horizontal="center"/>
    </xf>
    <xf numFmtId="0" fontId="0" fillId="10" borderId="16" xfId="3" applyNumberFormat="1" applyFont="1" applyFill="1" applyBorder="1" applyAlignment="1">
      <alignment horizontal="center"/>
    </xf>
    <xf numFmtId="0" fontId="0" fillId="10" borderId="17" xfId="3" applyNumberFormat="1" applyFont="1" applyFill="1" applyBorder="1" applyAlignment="1">
      <alignment horizontal="center"/>
    </xf>
    <xf numFmtId="0" fontId="0" fillId="10" borderId="18" xfId="3" applyNumberFormat="1" applyFont="1" applyFill="1" applyBorder="1" applyAlignment="1">
      <alignment horizontal="center"/>
    </xf>
    <xf numFmtId="167" fontId="0" fillId="10" borderId="16" xfId="1" applyNumberFormat="1" applyFont="1" applyFill="1" applyBorder="1" applyAlignment="1">
      <alignment horizontal="center"/>
    </xf>
    <xf numFmtId="10" fontId="0" fillId="10" borderId="4" xfId="3" applyNumberFormat="1" applyFont="1" applyFill="1" applyBorder="1" applyAlignment="1">
      <alignment horizontal="center"/>
    </xf>
    <xf numFmtId="10" fontId="0" fillId="0" borderId="0" xfId="3" applyNumberFormat="1" applyFont="1" applyFill="1" applyBorder="1" applyAlignment="1"/>
    <xf numFmtId="0" fontId="0" fillId="0" borderId="0" xfId="0" applyAlignment="1">
      <alignment horizontal="center"/>
    </xf>
    <xf numFmtId="10" fontId="0" fillId="0" borderId="0" xfId="3" applyNumberFormat="1" applyFont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0" fillId="0" borderId="0" xfId="3" applyNumberFormat="1" applyFont="1" applyBorder="1" applyAlignment="1">
      <alignment horizontal="center"/>
    </xf>
    <xf numFmtId="10" fontId="0" fillId="0" borderId="0" xfId="3" applyNumberFormat="1" applyFont="1" applyBorder="1"/>
    <xf numFmtId="166" fontId="0" fillId="0" borderId="0" xfId="1" applyNumberFormat="1" applyFont="1" applyBorder="1"/>
    <xf numFmtId="0" fontId="0" fillId="0" borderId="0" xfId="3" applyNumberFormat="1" applyFont="1" applyBorder="1"/>
    <xf numFmtId="10" fontId="0" fillId="0" borderId="0" xfId="3" applyNumberFormat="1" applyFont="1" applyAlignment="1">
      <alignment horizontal="center"/>
    </xf>
    <xf numFmtId="0" fontId="8" fillId="0" borderId="0" xfId="0" applyFont="1"/>
    <xf numFmtId="14" fontId="0" fillId="0" borderId="27" xfId="3" applyNumberFormat="1" applyFont="1" applyBorder="1" applyAlignment="1">
      <alignment horizontal="center"/>
    </xf>
    <xf numFmtId="0" fontId="0" fillId="0" borderId="28" xfId="3" applyNumberFormat="1" applyFont="1" applyBorder="1" applyAlignment="1">
      <alignment horizontal="center"/>
    </xf>
    <xf numFmtId="14" fontId="0" fillId="0" borderId="28" xfId="3" applyNumberFormat="1" applyFont="1" applyBorder="1" applyAlignment="1">
      <alignment horizontal="center"/>
    </xf>
    <xf numFmtId="166" fontId="0" fillId="0" borderId="28" xfId="1" applyNumberFormat="1" applyFont="1" applyBorder="1" applyAlignment="1">
      <alignment horizontal="center"/>
    </xf>
    <xf numFmtId="166" fontId="0" fillId="0" borderId="29" xfId="1" applyNumberFormat="1" applyFont="1" applyBorder="1" applyAlignment="1">
      <alignment horizontal="center"/>
    </xf>
    <xf numFmtId="166" fontId="0" fillId="0" borderId="30" xfId="1" applyNumberFormat="1" applyFont="1" applyBorder="1" applyAlignment="1">
      <alignment horizontal="center"/>
    </xf>
    <xf numFmtId="10" fontId="0" fillId="0" borderId="35" xfId="3" applyNumberFormat="1" applyFont="1" applyBorder="1" applyAlignment="1">
      <alignment horizontal="center"/>
    </xf>
    <xf numFmtId="10" fontId="0" fillId="0" borderId="36" xfId="3" applyNumberFormat="1" applyFont="1" applyBorder="1" applyAlignment="1">
      <alignment horizontal="center"/>
    </xf>
    <xf numFmtId="10" fontId="0" fillId="0" borderId="37" xfId="3" applyNumberFormat="1" applyFont="1" applyBorder="1" applyAlignment="1">
      <alignment horizontal="center"/>
    </xf>
    <xf numFmtId="17" fontId="0" fillId="0" borderId="37" xfId="1" applyNumberFormat="1" applyFont="1" applyBorder="1" applyAlignment="1">
      <alignment horizontal="center"/>
    </xf>
    <xf numFmtId="17" fontId="0" fillId="0" borderId="38" xfId="1" applyNumberFormat="1" applyFont="1" applyBorder="1" applyAlignment="1">
      <alignment horizontal="center"/>
    </xf>
    <xf numFmtId="17" fontId="0" fillId="0" borderId="39" xfId="1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10" fontId="0" fillId="0" borderId="22" xfId="3" applyNumberFormat="1" applyFont="1" applyBorder="1" applyAlignment="1">
      <alignment horizontal="center"/>
    </xf>
    <xf numFmtId="0" fontId="0" fillId="0" borderId="16" xfId="2" applyNumberFormat="1" applyFont="1" applyBorder="1" applyAlignment="1">
      <alignment horizontal="center"/>
    </xf>
    <xf numFmtId="10" fontId="0" fillId="0" borderId="6" xfId="3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11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164" fontId="0" fillId="0" borderId="38" xfId="0" applyNumberFormat="1" applyBorder="1" applyAlignment="1">
      <alignment horizontal="center"/>
    </xf>
    <xf numFmtId="164" fontId="0" fillId="6" borderId="38" xfId="0" applyNumberFormat="1" applyFill="1" applyBorder="1" applyAlignment="1">
      <alignment horizontal="center"/>
    </xf>
    <xf numFmtId="164" fontId="0" fillId="11" borderId="38" xfId="0" applyNumberFormat="1" applyFill="1" applyBorder="1" applyAlignment="1">
      <alignment horizontal="center"/>
    </xf>
    <xf numFmtId="0" fontId="0" fillId="0" borderId="38" xfId="0" applyBorder="1"/>
    <xf numFmtId="164" fontId="0" fillId="0" borderId="38" xfId="0" applyNumberFormat="1" applyBorder="1" applyAlignment="1">
      <alignment horizontal="left"/>
    </xf>
    <xf numFmtId="0" fontId="0" fillId="0" borderId="38" xfId="0" applyBorder="1" applyAlignment="1">
      <alignment horizontal="center"/>
    </xf>
    <xf numFmtId="0" fontId="5" fillId="3" borderId="43" xfId="0" applyFont="1" applyFill="1" applyBorder="1"/>
    <xf numFmtId="164" fontId="5" fillId="3" borderId="43" xfId="0" applyNumberFormat="1" applyFont="1" applyFill="1" applyBorder="1" applyAlignment="1">
      <alignment horizontal="center"/>
    </xf>
    <xf numFmtId="0" fontId="0" fillId="4" borderId="43" xfId="0" applyFill="1" applyBorder="1"/>
    <xf numFmtId="164" fontId="0" fillId="4" borderId="43" xfId="0" applyNumberFormat="1" applyFill="1" applyBorder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6" fillId="4" borderId="0" xfId="0" applyFont="1" applyFill="1" applyAlignment="1">
      <alignment horizontal="right"/>
    </xf>
    <xf numFmtId="164" fontId="6" fillId="4" borderId="0" xfId="0" applyNumberFormat="1" applyFont="1" applyFill="1" applyAlignment="1">
      <alignment horizontal="center"/>
    </xf>
    <xf numFmtId="164" fontId="0" fillId="0" borderId="0" xfId="1" applyNumberFormat="1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center"/>
    </xf>
    <xf numFmtId="0" fontId="6" fillId="4" borderId="44" xfId="0" applyFont="1" applyFill="1" applyBorder="1" applyAlignment="1">
      <alignment horizontal="right"/>
    </xf>
    <xf numFmtId="164" fontId="6" fillId="4" borderId="44" xfId="0" applyNumberFormat="1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0" fillId="4" borderId="4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6" fillId="0" borderId="44" xfId="0" applyFont="1" applyBorder="1" applyAlignment="1">
      <alignment horizontal="right"/>
    </xf>
    <xf numFmtId="164" fontId="6" fillId="0" borderId="44" xfId="0" applyNumberFormat="1" applyFont="1" applyBorder="1" applyAlignment="1">
      <alignment horizontal="center"/>
    </xf>
    <xf numFmtId="0" fontId="0" fillId="0" borderId="0" xfId="2" applyNumberFormat="1" applyFont="1" applyBorder="1" applyAlignment="1">
      <alignment horizontal="center"/>
    </xf>
    <xf numFmtId="0" fontId="0" fillId="0" borderId="40" xfId="0" applyBorder="1" applyAlignment="1">
      <alignment horizontal="center"/>
    </xf>
    <xf numFmtId="167" fontId="0" fillId="7" borderId="4" xfId="1" applyNumberFormat="1" applyFont="1" applyFill="1" applyBorder="1" applyAlignment="1">
      <alignment horizontal="center"/>
    </xf>
    <xf numFmtId="10" fontId="0" fillId="0" borderId="4" xfId="3" applyNumberFormat="1" applyFont="1" applyBorder="1" applyAlignment="1">
      <alignment horizontal="center"/>
    </xf>
    <xf numFmtId="0" fontId="0" fillId="0" borderId="52" xfId="0" applyBorder="1" applyAlignment="1">
      <alignment horizontal="center"/>
    </xf>
    <xf numFmtId="166" fontId="0" fillId="0" borderId="14" xfId="1" applyNumberFormat="1" applyFont="1" applyFill="1" applyBorder="1" applyAlignment="1">
      <alignment horizontal="center"/>
    </xf>
    <xf numFmtId="166" fontId="0" fillId="0" borderId="9" xfId="1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37" xfId="1" applyNumberFormat="1" applyFont="1" applyBorder="1" applyAlignment="1">
      <alignment horizontal="center"/>
    </xf>
    <xf numFmtId="166" fontId="0" fillId="0" borderId="38" xfId="1" applyNumberFormat="1" applyFont="1" applyBorder="1" applyAlignment="1">
      <alignment horizontal="center"/>
    </xf>
    <xf numFmtId="166" fontId="0" fillId="0" borderId="39" xfId="1" applyNumberFormat="1" applyFont="1" applyBorder="1" applyAlignment="1">
      <alignment horizontal="center"/>
    </xf>
    <xf numFmtId="0" fontId="1" fillId="0" borderId="0" xfId="4"/>
    <xf numFmtId="167" fontId="1" fillId="0" borderId="0" xfId="4" applyNumberFormat="1" applyAlignment="1">
      <alignment horizontal="center"/>
    </xf>
    <xf numFmtId="164" fontId="6" fillId="0" borderId="32" xfId="4" applyNumberFormat="1" applyFont="1" applyBorder="1" applyAlignment="1">
      <alignment horizontal="center"/>
    </xf>
    <xf numFmtId="164" fontId="1" fillId="0" borderId="4" xfId="4" applyNumberFormat="1" applyBorder="1" applyAlignment="1">
      <alignment horizontal="center"/>
    </xf>
    <xf numFmtId="164" fontId="1" fillId="0" borderId="42" xfId="4" applyNumberFormat="1" applyBorder="1" applyAlignment="1">
      <alignment horizontal="center"/>
    </xf>
    <xf numFmtId="164" fontId="1" fillId="0" borderId="0" xfId="4" applyNumberFormat="1" applyAlignment="1">
      <alignment horizontal="center"/>
    </xf>
    <xf numFmtId="164" fontId="1" fillId="0" borderId="26" xfId="4" applyNumberFormat="1" applyBorder="1" applyAlignment="1">
      <alignment horizontal="center"/>
    </xf>
    <xf numFmtId="164" fontId="1" fillId="0" borderId="0" xfId="4" applyNumberFormat="1"/>
    <xf numFmtId="164" fontId="6" fillId="0" borderId="20" xfId="1" applyNumberFormat="1" applyFont="1" applyBorder="1" applyAlignment="1">
      <alignment horizontal="center"/>
    </xf>
    <xf numFmtId="164" fontId="6" fillId="0" borderId="16" xfId="1" applyNumberFormat="1" applyFont="1" applyBorder="1" applyAlignment="1">
      <alignment horizontal="center"/>
    </xf>
    <xf numFmtId="164" fontId="6" fillId="10" borderId="16" xfId="1" applyNumberFormat="1" applyFont="1" applyFill="1" applyBorder="1" applyAlignment="1">
      <alignment horizontal="center"/>
    </xf>
    <xf numFmtId="164" fontId="6" fillId="0" borderId="16" xfId="1" applyNumberFormat="1" applyFont="1" applyFill="1" applyBorder="1" applyAlignment="1">
      <alignment horizontal="center"/>
    </xf>
    <xf numFmtId="164" fontId="6" fillId="9" borderId="16" xfId="1" applyNumberFormat="1" applyFont="1" applyFill="1" applyBorder="1" applyAlignment="1">
      <alignment horizontal="center"/>
    </xf>
    <xf numFmtId="167" fontId="0" fillId="9" borderId="53" xfId="1" applyNumberFormat="1" applyFont="1" applyFill="1" applyBorder="1" applyAlignment="1">
      <alignment horizontal="center"/>
    </xf>
    <xf numFmtId="167" fontId="0" fillId="9" borderId="17" xfId="1" applyNumberFormat="1" applyFont="1" applyFill="1" applyBorder="1" applyAlignment="1">
      <alignment horizontal="center"/>
    </xf>
    <xf numFmtId="167" fontId="0" fillId="10" borderId="19" xfId="1" applyNumberFormat="1" applyFont="1" applyFill="1" applyBorder="1" applyAlignment="1">
      <alignment horizontal="center"/>
    </xf>
    <xf numFmtId="8" fontId="14" fillId="12" borderId="0" xfId="0" applyNumberFormat="1" applyFont="1" applyFill="1"/>
    <xf numFmtId="8" fontId="14" fillId="0" borderId="0" xfId="0" applyNumberFormat="1" applyFont="1"/>
    <xf numFmtId="0" fontId="2" fillId="0" borderId="54" xfId="0" applyFont="1" applyBorder="1"/>
    <xf numFmtId="164" fontId="2" fillId="0" borderId="54" xfId="1" applyNumberFormat="1" applyFont="1" applyBorder="1" applyAlignment="1">
      <alignment horizontal="center"/>
    </xf>
    <xf numFmtId="0" fontId="2" fillId="0" borderId="0" xfId="0" applyFont="1"/>
    <xf numFmtId="164" fontId="2" fillId="0" borderId="0" xfId="1" applyNumberFormat="1" applyFont="1" applyBorder="1" applyAlignment="1">
      <alignment horizontal="center"/>
    </xf>
    <xf numFmtId="0" fontId="4" fillId="2" borderId="0" xfId="0" applyFont="1" applyFill="1" applyAlignment="1">
      <alignment horizontal="right"/>
    </xf>
    <xf numFmtId="164" fontId="4" fillId="2" borderId="0" xfId="1" applyNumberFormat="1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0" fontId="0" fillId="0" borderId="57" xfId="3" applyNumberFormat="1" applyFont="1" applyBorder="1" applyAlignment="1">
      <alignment horizontal="center"/>
    </xf>
    <xf numFmtId="164" fontId="0" fillId="7" borderId="16" xfId="2" applyNumberFormat="1" applyFont="1" applyFill="1" applyBorder="1" applyAlignment="1">
      <alignment horizontal="center"/>
    </xf>
    <xf numFmtId="165" fontId="0" fillId="0" borderId="22" xfId="2" applyNumberFormat="1" applyFont="1" applyFill="1" applyBorder="1" applyAlignment="1">
      <alignment horizontal="center"/>
    </xf>
    <xf numFmtId="167" fontId="0" fillId="0" borderId="22" xfId="1" applyNumberFormat="1" applyFont="1" applyFill="1" applyBorder="1" applyAlignment="1">
      <alignment horizontal="center"/>
    </xf>
    <xf numFmtId="164" fontId="6" fillId="0" borderId="22" xfId="1" applyNumberFormat="1" applyFont="1" applyFill="1" applyBorder="1" applyAlignment="1">
      <alignment horizontal="center"/>
    </xf>
    <xf numFmtId="0" fontId="0" fillId="0" borderId="22" xfId="3" applyNumberFormat="1" applyFont="1" applyFill="1" applyBorder="1" applyAlignment="1">
      <alignment horizontal="center"/>
    </xf>
    <xf numFmtId="0" fontId="0" fillId="0" borderId="16" xfId="2" applyNumberFormat="1" applyFont="1" applyFill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0" fontId="0" fillId="0" borderId="18" xfId="2" applyNumberFormat="1" applyFont="1" applyFill="1" applyBorder="1" applyAlignment="1">
      <alignment horizontal="center"/>
    </xf>
    <xf numFmtId="10" fontId="7" fillId="0" borderId="4" xfId="3" applyNumberFormat="1" applyFont="1" applyFill="1" applyBorder="1" applyAlignment="1">
      <alignment horizontal="center"/>
    </xf>
    <xf numFmtId="167" fontId="0" fillId="0" borderId="20" xfId="1" applyNumberFormat="1" applyFont="1" applyFill="1" applyBorder="1" applyAlignment="1">
      <alignment horizontal="center"/>
    </xf>
    <xf numFmtId="167" fontId="0" fillId="0" borderId="17" xfId="1" applyNumberFormat="1" applyFont="1" applyFill="1" applyBorder="1" applyAlignment="1">
      <alignment horizontal="center"/>
    </xf>
    <xf numFmtId="10" fontId="7" fillId="0" borderId="4" xfId="5" applyNumberFormat="1" applyFill="1" applyBorder="1" applyAlignment="1">
      <alignment horizontal="center"/>
    </xf>
    <xf numFmtId="14" fontId="0" fillId="0" borderId="58" xfId="3" applyNumberFormat="1" applyFont="1" applyBorder="1" applyAlignment="1">
      <alignment horizontal="center"/>
    </xf>
    <xf numFmtId="10" fontId="0" fillId="0" borderId="59" xfId="3" applyNumberFormat="1" applyFont="1" applyBorder="1" applyAlignment="1">
      <alignment horizontal="center"/>
    </xf>
    <xf numFmtId="10" fontId="0" fillId="0" borderId="60" xfId="3" applyNumberFormat="1" applyFont="1" applyBorder="1" applyAlignment="1">
      <alignment horizontal="center"/>
    </xf>
    <xf numFmtId="164" fontId="0" fillId="0" borderId="40" xfId="2" applyNumberFormat="1" applyFont="1" applyBorder="1" applyAlignment="1">
      <alignment horizontal="center"/>
    </xf>
    <xf numFmtId="0" fontId="2" fillId="4" borderId="54" xfId="0" applyFont="1" applyFill="1" applyBorder="1"/>
    <xf numFmtId="164" fontId="2" fillId="4" borderId="54" xfId="1" applyNumberFormat="1" applyFont="1" applyFill="1" applyBorder="1" applyAlignment="1">
      <alignment horizontal="center"/>
    </xf>
    <xf numFmtId="0" fontId="2" fillId="4" borderId="0" xfId="0" applyFont="1" applyFill="1"/>
    <xf numFmtId="164" fontId="2" fillId="4" borderId="0" xfId="1" applyNumberFormat="1" applyFont="1" applyFill="1" applyBorder="1" applyAlignment="1">
      <alignment horizontal="center"/>
    </xf>
    <xf numFmtId="0" fontId="2" fillId="4" borderId="26" xfId="0" applyFont="1" applyFill="1" applyBorder="1"/>
    <xf numFmtId="164" fontId="2" fillId="4" borderId="26" xfId="1" applyNumberFormat="1" applyFont="1" applyFill="1" applyBorder="1" applyAlignment="1">
      <alignment horizontal="center"/>
    </xf>
    <xf numFmtId="0" fontId="2" fillId="0" borderId="26" xfId="0" applyFont="1" applyBorder="1"/>
    <xf numFmtId="164" fontId="2" fillId="0" borderId="26" xfId="1" applyNumberFormat="1" applyFont="1" applyBorder="1" applyAlignment="1">
      <alignment horizontal="center"/>
    </xf>
    <xf numFmtId="0" fontId="2" fillId="4" borderId="1" xfId="0" applyFont="1" applyFill="1" applyBorder="1"/>
    <xf numFmtId="164" fontId="2" fillId="4" borderId="2" xfId="1" applyNumberFormat="1" applyFont="1" applyFill="1" applyBorder="1" applyAlignment="1">
      <alignment horizontal="center"/>
    </xf>
    <xf numFmtId="0" fontId="2" fillId="4" borderId="3" xfId="0" applyFont="1" applyFill="1" applyBorder="1"/>
    <xf numFmtId="164" fontId="2" fillId="4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164" fontId="4" fillId="2" borderId="4" xfId="1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right"/>
    </xf>
    <xf numFmtId="164" fontId="4" fillId="4" borderId="6" xfId="1" applyNumberFormat="1" applyFont="1" applyFill="1" applyBorder="1" applyAlignment="1">
      <alignment horizontal="center"/>
    </xf>
    <xf numFmtId="167" fontId="0" fillId="2" borderId="25" xfId="1" applyNumberFormat="1" applyFont="1" applyFill="1" applyBorder="1" applyAlignment="1">
      <alignment horizontal="center"/>
    </xf>
    <xf numFmtId="166" fontId="6" fillId="0" borderId="9" xfId="1" applyNumberFormat="1" applyFont="1" applyBorder="1" applyAlignment="1">
      <alignment horizontal="center" wrapText="1"/>
    </xf>
    <xf numFmtId="14" fontId="0" fillId="0" borderId="62" xfId="3" applyNumberFormat="1" applyFont="1" applyBorder="1" applyAlignment="1">
      <alignment horizontal="center"/>
    </xf>
    <xf numFmtId="10" fontId="0" fillId="0" borderId="55" xfId="3" applyNumberFormat="1" applyFont="1" applyBorder="1" applyAlignment="1">
      <alignment horizontal="center"/>
    </xf>
    <xf numFmtId="10" fontId="0" fillId="0" borderId="63" xfId="3" applyNumberFormat="1" applyFont="1" applyBorder="1" applyAlignment="1">
      <alignment horizontal="center"/>
    </xf>
    <xf numFmtId="166" fontId="6" fillId="0" borderId="0" xfId="1" applyNumberFormat="1" applyFont="1"/>
    <xf numFmtId="164" fontId="0" fillId="0" borderId="0" xfId="2" applyNumberFormat="1" applyFont="1" applyBorder="1" applyAlignment="1">
      <alignment horizontal="center"/>
    </xf>
    <xf numFmtId="164" fontId="12" fillId="0" borderId="0" xfId="4" applyNumberFormat="1" applyFont="1"/>
    <xf numFmtId="164" fontId="3" fillId="0" borderId="31" xfId="4" applyNumberFormat="1" applyFont="1" applyBorder="1"/>
    <xf numFmtId="164" fontId="3" fillId="0" borderId="32" xfId="4" applyNumberFormat="1" applyFont="1" applyBorder="1"/>
    <xf numFmtId="164" fontId="3" fillId="0" borderId="0" xfId="4" applyNumberFormat="1" applyFont="1" applyAlignment="1">
      <alignment horizontal="center"/>
    </xf>
    <xf numFmtId="164" fontId="1" fillId="0" borderId="41" xfId="4" applyNumberFormat="1" applyBorder="1"/>
    <xf numFmtId="164" fontId="6" fillId="0" borderId="31" xfId="4" applyNumberFormat="1" applyFont="1" applyBorder="1" applyAlignment="1">
      <alignment horizontal="center"/>
    </xf>
    <xf numFmtId="164" fontId="6" fillId="0" borderId="0" xfId="4" applyNumberFormat="1" applyFont="1" applyAlignment="1">
      <alignment horizontal="center"/>
    </xf>
    <xf numFmtId="164" fontId="6" fillId="0" borderId="41" xfId="4" applyNumberFormat="1" applyFont="1" applyBorder="1" applyAlignment="1">
      <alignment horizontal="center"/>
    </xf>
    <xf numFmtId="164" fontId="1" fillId="0" borderId="3" xfId="4" applyNumberFormat="1" applyBorder="1"/>
    <xf numFmtId="164" fontId="2" fillId="0" borderId="3" xfId="4" applyNumberFormat="1" applyFont="1" applyBorder="1"/>
    <xf numFmtId="164" fontId="6" fillId="0" borderId="31" xfId="4" applyNumberFormat="1" applyFont="1" applyBorder="1"/>
    <xf numFmtId="164" fontId="1" fillId="0" borderId="1" xfId="4" applyNumberFormat="1" applyBorder="1"/>
    <xf numFmtId="164" fontId="1" fillId="0" borderId="64" xfId="4" applyNumberFormat="1" applyBorder="1" applyAlignment="1">
      <alignment horizontal="center"/>
    </xf>
    <xf numFmtId="164" fontId="1" fillId="0" borderId="61" xfId="4" applyNumberFormat="1" applyBorder="1" applyAlignment="1">
      <alignment horizontal="center"/>
    </xf>
    <xf numFmtId="164" fontId="1" fillId="0" borderId="65" xfId="4" applyNumberFormat="1" applyBorder="1" applyAlignment="1">
      <alignment horizontal="center"/>
    </xf>
    <xf numFmtId="168" fontId="0" fillId="0" borderId="0" xfId="3" applyNumberFormat="1" applyFont="1"/>
    <xf numFmtId="168" fontId="0" fillId="0" borderId="0" xfId="3" applyNumberFormat="1" applyFont="1" applyFill="1" applyBorder="1" applyAlignment="1">
      <alignment wrapText="1"/>
    </xf>
    <xf numFmtId="44" fontId="0" fillId="0" borderId="0" xfId="1" applyFont="1" applyFill="1" applyBorder="1"/>
    <xf numFmtId="14" fontId="0" fillId="0" borderId="0" xfId="3" applyNumberFormat="1" applyFont="1" applyAlignment="1">
      <alignment horizontal="center"/>
    </xf>
    <xf numFmtId="14" fontId="0" fillId="0" borderId="0" xfId="3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9" fontId="0" fillId="0" borderId="0" xfId="3" applyFont="1" applyAlignment="1">
      <alignment horizontal="center"/>
    </xf>
    <xf numFmtId="9" fontId="0" fillId="0" borderId="0" xfId="3" applyFont="1"/>
    <xf numFmtId="164" fontId="0" fillId="0" borderId="3" xfId="2" applyNumberFormat="1" applyFont="1" applyBorder="1" applyAlignment="1">
      <alignment horizontal="center"/>
    </xf>
    <xf numFmtId="164" fontId="0" fillId="0" borderId="16" xfId="2" applyNumberFormat="1" applyFont="1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3" applyNumberFormat="1" applyFont="1" applyFill="1" applyBorder="1" applyAlignment="1">
      <alignment horizontal="center"/>
    </xf>
    <xf numFmtId="0" fontId="0" fillId="0" borderId="24" xfId="3" applyNumberFormat="1" applyFont="1" applyFill="1" applyBorder="1" applyAlignment="1">
      <alignment horizontal="center"/>
    </xf>
    <xf numFmtId="10" fontId="0" fillId="0" borderId="6" xfId="3" applyNumberFormat="1" applyFont="1" applyFill="1" applyBorder="1" applyAlignment="1">
      <alignment horizontal="center"/>
    </xf>
    <xf numFmtId="10" fontId="0" fillId="0" borderId="0" xfId="3" applyNumberFormat="1" applyFont="1" applyFill="1" applyBorder="1" applyAlignment="1">
      <alignment wrapText="1"/>
    </xf>
    <xf numFmtId="10" fontId="0" fillId="0" borderId="23" xfId="3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1" applyNumberFormat="1" applyFont="1" applyBorder="1" applyAlignment="1">
      <alignment horizontal="center"/>
    </xf>
    <xf numFmtId="0" fontId="4" fillId="4" borderId="51" xfId="0" applyFont="1" applyFill="1" applyBorder="1" applyAlignment="1">
      <alignment horizontal="right"/>
    </xf>
    <xf numFmtId="164" fontId="4" fillId="4" borderId="51" xfId="1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7" xfId="3" applyNumberFormat="1" applyFont="1" applyBorder="1" applyAlignment="1">
      <alignment horizontal="center"/>
    </xf>
    <xf numFmtId="10" fontId="0" fillId="0" borderId="40" xfId="3" applyNumberFormat="1" applyFont="1" applyBorder="1" applyAlignment="1">
      <alignment horizontal="center"/>
    </xf>
    <xf numFmtId="10" fontId="0" fillId="0" borderId="4" xfId="3" applyNumberFormat="1" applyFont="1" applyBorder="1"/>
    <xf numFmtId="0" fontId="0" fillId="0" borderId="51" xfId="0" applyBorder="1"/>
    <xf numFmtId="10" fontId="0" fillId="0" borderId="51" xfId="3" applyNumberFormat="1" applyFont="1" applyBorder="1"/>
    <xf numFmtId="10" fontId="0" fillId="0" borderId="6" xfId="3" applyNumberFormat="1" applyFont="1" applyBorder="1"/>
    <xf numFmtId="10" fontId="0" fillId="0" borderId="0" xfId="3" applyNumberFormat="1" applyFont="1" applyFill="1" applyBorder="1" applyAlignment="1">
      <alignment horizontal="center"/>
    </xf>
    <xf numFmtId="164" fontId="0" fillId="0" borderId="0" xfId="3" applyNumberFormat="1" applyFont="1" applyFill="1" applyBorder="1" applyAlignment="1">
      <alignment horizontal="center"/>
    </xf>
    <xf numFmtId="164" fontId="0" fillId="0" borderId="0" xfId="3" applyNumberFormat="1" applyFont="1" applyAlignment="1">
      <alignment horizontal="center"/>
    </xf>
    <xf numFmtId="164" fontId="0" fillId="0" borderId="0" xfId="3" applyNumberFormat="1" applyFont="1"/>
    <xf numFmtId="164" fontId="0" fillId="0" borderId="0" xfId="3" applyNumberFormat="1" applyFont="1" applyBorder="1"/>
    <xf numFmtId="167" fontId="0" fillId="0" borderId="0" xfId="1" applyNumberFormat="1" applyFont="1" applyFill="1" applyBorder="1" applyAlignment="1">
      <alignment horizontal="center"/>
    </xf>
    <xf numFmtId="10" fontId="0" fillId="0" borderId="0" xfId="3" applyNumberFormat="1" applyFont="1" applyFill="1" applyBorder="1"/>
    <xf numFmtId="10" fontId="0" fillId="0" borderId="0" xfId="3" quotePrefix="1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168" fontId="0" fillId="0" borderId="0" xfId="0" applyNumberFormat="1"/>
    <xf numFmtId="168" fontId="0" fillId="0" borderId="0" xfId="3" applyNumberFormat="1" applyFont="1" applyFill="1" applyBorder="1"/>
    <xf numFmtId="168" fontId="0" fillId="0" borderId="0" xfId="3" applyNumberFormat="1" applyFont="1" applyFill="1" applyBorder="1" applyAlignment="1"/>
    <xf numFmtId="0" fontId="11" fillId="0" borderId="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0" fillId="0" borderId="0" xfId="0" applyAlignment="1">
      <alignment horizontal="center" vertical="center" textRotation="180"/>
    </xf>
    <xf numFmtId="0" fontId="13" fillId="0" borderId="45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49" xfId="0" applyFont="1" applyBorder="1" applyAlignment="1">
      <alignment horizontal="center" wrapText="1"/>
    </xf>
    <xf numFmtId="0" fontId="13" fillId="0" borderId="50" xfId="0" applyFont="1" applyBorder="1" applyAlignment="1">
      <alignment horizontal="center" wrapText="1"/>
    </xf>
  </cellXfs>
  <cellStyles count="6">
    <cellStyle name="Comma" xfId="2" builtinId="3"/>
    <cellStyle name="Currency" xfId="1" builtinId="4"/>
    <cellStyle name="Hyperlink" xfId="5" builtinId="8"/>
    <cellStyle name="Normal" xfId="0" builtinId="0"/>
    <cellStyle name="Normal 3" xfId="4" xr:uid="{D272723A-C0A8-4442-9113-4EBD14DB77CE}"/>
    <cellStyle name="Percent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Sticks</a:t>
            </a:r>
            <a:r>
              <a:rPr lang="en-US" baseline="0"/>
              <a:t> &amp; Bricks per Sq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0895226360069"/>
          <c:y val="0.19816095442453432"/>
          <c:w val="0.80318285214348206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Summary!$M$5</c:f>
              <c:strCache>
                <c:ptCount val="1"/>
                <c:pt idx="0">
                  <c:v> S&amp;B $/ Heated SF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334740056119741E-3"/>
                  <c:y val="-4.9002479325464081E-2"/>
                </c:manualLayout>
              </c:layout>
              <c:tx>
                <c:rich>
                  <a:bodyPr/>
                  <a:lstStyle/>
                  <a:p>
                    <a:fld id="{4628CBD2-0F85-4782-B796-8884ACB1996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BD73822-41BC-41DE-A7BF-76FCE42C818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F13-4375-8AE3-F1A545CC257B}"/>
                </c:ext>
              </c:extLst>
            </c:dLbl>
            <c:dLbl>
              <c:idx val="1"/>
              <c:layout>
                <c:manualLayout>
                  <c:x val="-2.4021158096894382E-2"/>
                  <c:y val="3.263793112158539E-2"/>
                </c:manualLayout>
              </c:layout>
              <c:tx>
                <c:rich>
                  <a:bodyPr/>
                  <a:lstStyle/>
                  <a:p>
                    <a:fld id="{4F5D99C9-1BEC-4BCF-ACEC-6935DF60376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5355F47-1518-42BD-A533-FFA5C435A24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F13-4375-8AE3-F1A545CC257B}"/>
                </c:ext>
              </c:extLst>
            </c:dLbl>
            <c:dLbl>
              <c:idx val="2"/>
              <c:layout>
                <c:manualLayout>
                  <c:x val="5.5149791654256495E-3"/>
                  <c:y val="3.0071939041717437E-2"/>
                </c:manualLayout>
              </c:layout>
              <c:tx>
                <c:rich>
                  <a:bodyPr/>
                  <a:lstStyle/>
                  <a:p>
                    <a:fld id="{44C951DA-9741-4133-83BC-604C2671C88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5D114BE-9FA3-43FF-A524-B4449790688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F13-4375-8AE3-F1A545CC25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765D31-43B1-4C4E-B5B0-17A908172FB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FFFA412-F8B3-4DD2-85B9-70E87A07296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F13-4375-8AE3-F1A545CC257B}"/>
                </c:ext>
              </c:extLst>
            </c:dLbl>
            <c:dLbl>
              <c:idx val="4"/>
              <c:layout>
                <c:manualLayout>
                  <c:x val="1.0616276576321674E-2"/>
                  <c:y val="-0.12807689769264594"/>
                </c:manualLayout>
              </c:layout>
              <c:tx>
                <c:rich>
                  <a:bodyPr/>
                  <a:lstStyle/>
                  <a:p>
                    <a:fld id="{14E39151-730C-4181-AF6E-349A6DA6907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C2EE5F7-1447-4DB4-B854-EFB2B90E6A2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F13-4375-8AE3-F1A545CC257B}"/>
                </c:ext>
              </c:extLst>
            </c:dLbl>
            <c:dLbl>
              <c:idx val="5"/>
              <c:layout>
                <c:manualLayout>
                  <c:x val="-5.9452514301492065E-2"/>
                  <c:y val="0.14710207822514654"/>
                </c:manualLayout>
              </c:layout>
              <c:tx>
                <c:rich>
                  <a:bodyPr/>
                  <a:lstStyle/>
                  <a:p>
                    <a:fld id="{2703F6AD-8929-4BAC-84E5-8C4EAED2D5E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06DF44D-41EF-48EF-B91C-862CB03B2A6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F13-4375-8AE3-F1A545CC257B}"/>
                </c:ext>
              </c:extLst>
            </c:dLbl>
            <c:dLbl>
              <c:idx val="6"/>
              <c:layout>
                <c:manualLayout>
                  <c:x val="1.0639887899128787E-3"/>
                  <c:y val="0.11230933414358669"/>
                </c:manualLayout>
              </c:layout>
              <c:tx>
                <c:rich>
                  <a:bodyPr/>
                  <a:lstStyle/>
                  <a:p>
                    <a:fld id="{75EE6C7A-37CA-4D59-8B6E-941FE68E9BE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06741F5-149C-4CD9-A2BC-6C5FE7413BF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F13-4375-8AE3-F1A545CC257B}"/>
                </c:ext>
              </c:extLst>
            </c:dLbl>
            <c:dLbl>
              <c:idx val="7"/>
              <c:layout>
                <c:manualLayout>
                  <c:x val="-1.8496362925285271E-2"/>
                  <c:y val="5.047867315338242E-2"/>
                </c:manualLayout>
              </c:layout>
              <c:tx>
                <c:rich>
                  <a:bodyPr/>
                  <a:lstStyle/>
                  <a:p>
                    <a:fld id="{8AE1A34D-5375-42A6-85E8-F5E71D44603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B65D28-915C-4AB8-A710-A4FDE76BF46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F13-4375-8AE3-F1A545CC257B}"/>
                </c:ext>
              </c:extLst>
            </c:dLbl>
            <c:dLbl>
              <c:idx val="8"/>
              <c:layout>
                <c:manualLayout>
                  <c:x val="2.3658869743788124E-2"/>
                  <c:y val="-0.25364438737766509"/>
                </c:manualLayout>
              </c:layout>
              <c:tx>
                <c:rich>
                  <a:bodyPr/>
                  <a:lstStyle/>
                  <a:p>
                    <a:fld id="{1A15924E-3457-45DC-92C2-0BFAD044464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0811C7F-C9FF-46A0-9A99-AF9A59377F6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F13-4375-8AE3-F1A545CC257B}"/>
                </c:ext>
              </c:extLst>
            </c:dLbl>
            <c:dLbl>
              <c:idx val="9"/>
              <c:layout>
                <c:manualLayout>
                  <c:x val="-3.4615185062441912E-2"/>
                  <c:y val="-4.6491919390935776E-2"/>
                </c:manualLayout>
              </c:layout>
              <c:tx>
                <c:rich>
                  <a:bodyPr/>
                  <a:lstStyle/>
                  <a:p>
                    <a:fld id="{BC0F248C-FF9D-4E17-8730-DBC48CBA931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750CE70-539A-4123-898B-57515A6360B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F13-4375-8AE3-F1A545CC257B}"/>
                </c:ext>
              </c:extLst>
            </c:dLbl>
            <c:dLbl>
              <c:idx val="10"/>
              <c:layout>
                <c:manualLayout>
                  <c:x val="4.7905951606574144E-3"/>
                  <c:y val="-5.5328432794838622E-2"/>
                </c:manualLayout>
              </c:layout>
              <c:tx>
                <c:rich>
                  <a:bodyPr/>
                  <a:lstStyle/>
                  <a:p>
                    <a:fld id="{4CC82061-FDCD-44D0-A20B-8BF9BA35F6A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DC29789-532E-453C-BB9B-3D0F9526160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F13-4375-8AE3-F1A545CC257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F3C238-FBB3-4993-9F33-37BD3D61757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0C33D3D-D9A2-4057-A2AE-B75AE9FEAE7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F13-4375-8AE3-F1A545CC257B}"/>
                </c:ext>
              </c:extLst>
            </c:dLbl>
            <c:dLbl>
              <c:idx val="12"/>
              <c:layout>
                <c:manualLayout>
                  <c:x val="1.6770587019524868E-2"/>
                  <c:y val="-3.1735398574337173E-2"/>
                </c:manualLayout>
              </c:layout>
              <c:tx>
                <c:rich>
                  <a:bodyPr/>
                  <a:lstStyle/>
                  <a:p>
                    <a:fld id="{0C4ADB35-1E51-43BB-A9C4-FE123CC7EC2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7998F2A-715A-48E0-8546-D863DDC7F4A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F13-4375-8AE3-F1A545CC257B}"/>
                </c:ext>
              </c:extLst>
            </c:dLbl>
            <c:dLbl>
              <c:idx val="13"/>
              <c:layout>
                <c:manualLayout>
                  <c:x val="-1.5947053272666729E-2"/>
                  <c:y val="-5.9628529425137543E-2"/>
                </c:manualLayout>
              </c:layout>
              <c:tx>
                <c:rich>
                  <a:bodyPr/>
                  <a:lstStyle/>
                  <a:p>
                    <a:fld id="{AD46B1CE-21D9-427B-B9DC-385876E02EC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B27B5CC-A9AA-427E-BE52-C3FD714DB88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F13-4375-8AE3-F1A545CC257B}"/>
                </c:ext>
              </c:extLst>
            </c:dLbl>
            <c:dLbl>
              <c:idx val="14"/>
              <c:layout>
                <c:manualLayout>
                  <c:x val="-4.1196506827271315E-2"/>
                  <c:y val="2.8484462698857752E-2"/>
                </c:manualLayout>
              </c:layout>
              <c:tx>
                <c:rich>
                  <a:bodyPr/>
                  <a:lstStyle/>
                  <a:p>
                    <a:fld id="{180FF9ED-A0BA-4F6F-BA21-06F9D08BEA0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F817753-8FBD-4A0A-8171-11F5F043806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F13-4375-8AE3-F1A545CC257B}"/>
                </c:ext>
              </c:extLst>
            </c:dLbl>
            <c:dLbl>
              <c:idx val="15"/>
              <c:layout>
                <c:manualLayout>
                  <c:x val="2.5421450229259606E-2"/>
                  <c:y val="4.2093683535159111E-2"/>
                </c:manualLayout>
              </c:layout>
              <c:tx>
                <c:rich>
                  <a:bodyPr/>
                  <a:lstStyle/>
                  <a:p>
                    <a:fld id="{E1B804C1-EF7B-4BF3-BA77-9042B6CF18F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746FE55-257A-4334-A226-D93B98B1244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F13-4375-8AE3-F1A545CC257B}"/>
                </c:ext>
              </c:extLst>
            </c:dLbl>
            <c:dLbl>
              <c:idx val="16"/>
              <c:layout>
                <c:manualLayout>
                  <c:x val="-3.9256817176476387E-3"/>
                  <c:y val="4.3331918784700767E-2"/>
                </c:manualLayout>
              </c:layout>
              <c:tx>
                <c:rich>
                  <a:bodyPr/>
                  <a:lstStyle/>
                  <a:p>
                    <a:fld id="{7A7C2616-DFB1-42A6-9FC6-E21FC1A4511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FBBC12-F150-4F46-A829-826AB99A886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F13-4375-8AE3-F1A545CC257B}"/>
                </c:ext>
              </c:extLst>
            </c:dLbl>
            <c:dLbl>
              <c:idx val="17"/>
              <c:layout>
                <c:manualLayout>
                  <c:x val="-4.9109007804474539E-2"/>
                  <c:y val="-6.1192254631406477E-2"/>
                </c:manualLayout>
              </c:layout>
              <c:tx>
                <c:rich>
                  <a:bodyPr/>
                  <a:lstStyle/>
                  <a:p>
                    <a:fld id="{29FF3B6C-4ADE-4ED6-9758-CF4A0160926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B235FF6-2787-434D-972C-D4DF2527581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F13-4375-8AE3-F1A545CC257B}"/>
                </c:ext>
              </c:extLst>
            </c:dLbl>
            <c:dLbl>
              <c:idx val="18"/>
              <c:layout>
                <c:manualLayout>
                  <c:x val="-4.0265959255354637E-2"/>
                  <c:y val="3.0499941902466871E-2"/>
                </c:manualLayout>
              </c:layout>
              <c:tx>
                <c:rich>
                  <a:bodyPr/>
                  <a:lstStyle/>
                  <a:p>
                    <a:fld id="{5E23E572-B13E-452E-8A8A-8466CDD7016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FCA5F62-414A-4EE1-9A5D-7F92A48E00A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F13-4375-8AE3-F1A545CC257B}"/>
                </c:ext>
              </c:extLst>
            </c:dLbl>
            <c:dLbl>
              <c:idx val="19"/>
              <c:layout>
                <c:manualLayout>
                  <c:x val="-4.824575067122841E-2"/>
                  <c:y val="3.0499941902466871E-2"/>
                </c:manualLayout>
              </c:layout>
              <c:tx>
                <c:rich>
                  <a:bodyPr/>
                  <a:lstStyle/>
                  <a:p>
                    <a:fld id="{F873C9C0-6873-4431-8875-C9367D794A2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5E39523-FF32-432B-8965-DDD0A3AB785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F13-4375-8AE3-F1A545CC257B}"/>
                </c:ext>
              </c:extLst>
            </c:dLbl>
            <c:dLbl>
              <c:idx val="20"/>
              <c:layout>
                <c:manualLayout>
                  <c:x val="-4.6663142605619282E-2"/>
                  <c:y val="-8.0632246672336899E-2"/>
                </c:manualLayout>
              </c:layout>
              <c:tx>
                <c:rich>
                  <a:bodyPr/>
                  <a:lstStyle/>
                  <a:p>
                    <a:fld id="{37F1746F-56EC-4D6C-BA66-A7F52CCD544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B0B0225-38A4-417C-9239-50F325E52C4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F13-4375-8AE3-F1A545CC257B}"/>
                </c:ext>
              </c:extLst>
            </c:dLbl>
            <c:dLbl>
              <c:idx val="21"/>
              <c:layout>
                <c:manualLayout>
                  <c:x val="-6.3641731154503764E-2"/>
                  <c:y val="1.6833128728976359E-3"/>
                </c:manualLayout>
              </c:layout>
              <c:tx>
                <c:rich>
                  <a:bodyPr/>
                  <a:lstStyle/>
                  <a:p>
                    <a:fld id="{56F32A52-B39B-4F07-9803-A3089B8F813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16B059-9825-4DDE-AA40-C433A80D4F4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F13-4375-8AE3-F1A545CC257B}"/>
                </c:ext>
              </c:extLst>
            </c:dLbl>
            <c:dLbl>
              <c:idx val="22"/>
              <c:layout>
                <c:manualLayout>
                  <c:x val="-4.2272031094719491E-2"/>
                  <c:y val="-0.2221919332650287"/>
                </c:manualLayout>
              </c:layout>
              <c:tx>
                <c:rich>
                  <a:bodyPr/>
                  <a:lstStyle/>
                  <a:p>
                    <a:fld id="{32174C4F-C9BC-443B-B344-25D4231170C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42AA17C-F86A-4C26-A28A-348B3BA7156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F13-4375-8AE3-F1A545CC257B}"/>
                </c:ext>
              </c:extLst>
            </c:dLbl>
            <c:dLbl>
              <c:idx val="23"/>
              <c:layout>
                <c:manualLayout>
                  <c:x val="2.9371916624379639E-3"/>
                  <c:y val="-0.14705475810076946"/>
                </c:manualLayout>
              </c:layout>
              <c:tx>
                <c:rich>
                  <a:bodyPr/>
                  <a:lstStyle/>
                  <a:p>
                    <a:fld id="{1C3791C1-9811-4116-BD66-252314FF29F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25A7DA9-FD84-4023-8260-43A371FF6A5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F13-4375-8AE3-F1A545CC257B}"/>
                </c:ext>
              </c:extLst>
            </c:dLbl>
            <c:dLbl>
              <c:idx val="24"/>
              <c:layout>
                <c:manualLayout>
                  <c:x val="-3.2845910288466076E-2"/>
                  <c:y val="-0.17552154871295489"/>
                </c:manualLayout>
              </c:layout>
              <c:tx>
                <c:rich>
                  <a:bodyPr/>
                  <a:lstStyle/>
                  <a:p>
                    <a:fld id="{DF86734F-31E3-4565-A6C7-50821E28DE5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BCF64C4-C0B1-4822-A4D8-374A0346C47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5F13-4375-8AE3-F1A545CC257B}"/>
                </c:ext>
              </c:extLst>
            </c:dLbl>
            <c:dLbl>
              <c:idx val="25"/>
              <c:layout>
                <c:manualLayout>
                  <c:x val="-1.121908110605708E-3"/>
                  <c:y val="-3.3604623553245241E-2"/>
                </c:manualLayout>
              </c:layout>
              <c:tx>
                <c:rich>
                  <a:bodyPr/>
                  <a:lstStyle/>
                  <a:p>
                    <a:fld id="{6D4C0106-55D4-497D-B337-1B22D773E55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FD7EAFE-CCB5-40D4-99D1-46BCE2476C0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F13-4375-8AE3-F1A545CC257B}"/>
                </c:ext>
              </c:extLst>
            </c:dLbl>
            <c:dLbl>
              <c:idx val="26"/>
              <c:layout>
                <c:manualLayout>
                  <c:x val="-1.011526696922057E-2"/>
                  <c:y val="-5.1071164365491646E-2"/>
                </c:manualLayout>
              </c:layout>
              <c:tx>
                <c:rich>
                  <a:bodyPr/>
                  <a:lstStyle/>
                  <a:p>
                    <a:fld id="{3158A81D-62B5-4A18-AB09-6EB9D8A03D9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24BA3DE-B2CB-40BF-B9EF-6A4ACC5B941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5F13-4375-8AE3-F1A545CC257B}"/>
                </c:ext>
              </c:extLst>
            </c:dLbl>
            <c:dLbl>
              <c:idx val="27"/>
              <c:layout>
                <c:manualLayout>
                  <c:x val="-2.0710486892216814E-2"/>
                  <c:y val="-0.13756582789670777"/>
                </c:manualLayout>
              </c:layout>
              <c:tx>
                <c:rich>
                  <a:bodyPr/>
                  <a:lstStyle/>
                  <a:p>
                    <a:fld id="{867DD23B-0877-47C7-ABC8-C1B120A05A0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55FAF6-6608-4814-89FA-A1D6720EF3B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F13-4375-8AE3-F1A545CC257B}"/>
                </c:ext>
              </c:extLst>
            </c:dLbl>
            <c:dLbl>
              <c:idx val="28"/>
              <c:layout>
                <c:manualLayout>
                  <c:x val="-6.6844628170811375E-3"/>
                  <c:y val="-9.5771762578115927E-2"/>
                </c:manualLayout>
              </c:layout>
              <c:tx>
                <c:rich>
                  <a:bodyPr/>
                  <a:lstStyle/>
                  <a:p>
                    <a:fld id="{53E79C9F-0D32-42DE-8BF5-FB434D07601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9B0F86E-C5A5-4968-99FA-F7857D8DC6D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5F13-4375-8AE3-F1A545CC257B}"/>
                </c:ext>
              </c:extLst>
            </c:dLbl>
            <c:dLbl>
              <c:idx val="29"/>
              <c:layout>
                <c:manualLayout>
                  <c:x val="-3.1612647086345008E-2"/>
                  <c:y val="4.6644235966919773E-2"/>
                </c:manualLayout>
              </c:layout>
              <c:tx>
                <c:rich>
                  <a:bodyPr/>
                  <a:lstStyle/>
                  <a:p>
                    <a:fld id="{0ED1AA5A-AC4E-4E69-B031-F3B9CE98D89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FE68428-3BBB-4EAC-9E0A-8AA006CC843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5F13-4375-8AE3-F1A545CC257B}"/>
                </c:ext>
              </c:extLst>
            </c:dLbl>
            <c:dLbl>
              <c:idx val="30"/>
              <c:layout>
                <c:manualLayout>
                  <c:x val="6.404313266542051E-4"/>
                  <c:y val="-1.7192575640462154E-2"/>
                </c:manualLayout>
              </c:layout>
              <c:tx>
                <c:rich>
                  <a:bodyPr/>
                  <a:lstStyle/>
                  <a:p>
                    <a:fld id="{664E910C-BC5A-404A-9BCE-B9A41F3BFE8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CA05305-C2E2-44A3-867E-A571021EE5C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6B0-4AFE-B6BC-B95A7E76F2BC}"/>
                </c:ext>
              </c:extLst>
            </c:dLbl>
            <c:dLbl>
              <c:idx val="31"/>
              <c:layout>
                <c:manualLayout>
                  <c:x val="2.4986788434237387E-3"/>
                  <c:y val="3.9098882001384117E-2"/>
                </c:manualLayout>
              </c:layout>
              <c:tx>
                <c:rich>
                  <a:bodyPr/>
                  <a:lstStyle/>
                  <a:p>
                    <a:fld id="{8FE2D91E-896E-4E32-B6EC-FC2E0FB0D49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329ADC1-50A7-4D56-9A66-F1BC6587F88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8B7-477B-BC26-A75F075BA6C1}"/>
                </c:ext>
              </c:extLst>
            </c:dLbl>
            <c:dLbl>
              <c:idx val="32"/>
              <c:layout>
                <c:manualLayout>
                  <c:x val="1.0074335026398434E-3"/>
                  <c:y val="-1.8396710164037121E-3"/>
                </c:manualLayout>
              </c:layout>
              <c:tx>
                <c:rich>
                  <a:bodyPr/>
                  <a:lstStyle/>
                  <a:p>
                    <a:fld id="{047D56E6-7475-4A62-B279-1C335E0AB25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275EEF-2CC9-4743-8CD6-B69849D9B43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8B7-477B-BC26-A75F075BA6C1}"/>
                </c:ext>
              </c:extLst>
            </c:dLbl>
            <c:dLbl>
              <c:idx val="33"/>
              <c:layout>
                <c:manualLayout>
                  <c:x val="-1.7690028845892632E-3"/>
                  <c:y val="-4.2733261595509817E-2"/>
                </c:manualLayout>
              </c:layout>
              <c:tx>
                <c:rich>
                  <a:bodyPr/>
                  <a:lstStyle/>
                  <a:p>
                    <a:fld id="{99738321-9E96-4A25-8453-223D6CD2EDA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739B6CE-993E-4B3F-9F5B-A2A648FE7F1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8B7-477B-BC26-A75F075BA6C1}"/>
                </c:ext>
              </c:extLst>
            </c:dLbl>
            <c:dLbl>
              <c:idx val="34"/>
              <c:layout>
                <c:manualLayout>
                  <c:x val="-2.7616372102613331E-2"/>
                  <c:y val="-0.20082536259045317"/>
                </c:manualLayout>
              </c:layout>
              <c:tx>
                <c:rich>
                  <a:bodyPr/>
                  <a:lstStyle/>
                  <a:p>
                    <a:fld id="{05853C0D-9939-4CC4-A73F-12C815B7831B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B8EEC0A-00D2-4838-950D-B7CA04470F3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A7-43AD-BBBD-EB68D2E32F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Summary!$C$6:$C$40</c:f>
              <c:numCache>
                <c:formatCode>_(* #,##0_);_(* \(#,##0\);_(* "-"??_);_(@_)</c:formatCode>
                <c:ptCount val="35"/>
                <c:pt idx="0">
                  <c:v>2236</c:v>
                </c:pt>
                <c:pt idx="1">
                  <c:v>1788</c:v>
                </c:pt>
                <c:pt idx="2">
                  <c:v>1554</c:v>
                </c:pt>
                <c:pt idx="3">
                  <c:v>1400</c:v>
                </c:pt>
                <c:pt idx="4">
                  <c:v>2214</c:v>
                </c:pt>
                <c:pt idx="5">
                  <c:v>1541</c:v>
                </c:pt>
                <c:pt idx="6">
                  <c:v>1713</c:v>
                </c:pt>
                <c:pt idx="7">
                  <c:v>2000</c:v>
                </c:pt>
                <c:pt idx="8">
                  <c:v>1712</c:v>
                </c:pt>
                <c:pt idx="9">
                  <c:v>1382</c:v>
                </c:pt>
                <c:pt idx="10">
                  <c:v>2293</c:v>
                </c:pt>
                <c:pt idx="11">
                  <c:v>2771</c:v>
                </c:pt>
                <c:pt idx="12">
                  <c:v>2001</c:v>
                </c:pt>
                <c:pt idx="13">
                  <c:v>1545</c:v>
                </c:pt>
                <c:pt idx="14">
                  <c:v>1170</c:v>
                </c:pt>
                <c:pt idx="15">
                  <c:v>2005</c:v>
                </c:pt>
                <c:pt idx="16">
                  <c:v>1857</c:v>
                </c:pt>
                <c:pt idx="17">
                  <c:v>1500</c:v>
                </c:pt>
                <c:pt idx="18">
                  <c:v>1304</c:v>
                </c:pt>
                <c:pt idx="19">
                  <c:v>1424</c:v>
                </c:pt>
                <c:pt idx="20">
                  <c:v>1689</c:v>
                </c:pt>
                <c:pt idx="21">
                  <c:v>1500</c:v>
                </c:pt>
                <c:pt idx="22">
                  <c:v>1729</c:v>
                </c:pt>
                <c:pt idx="23">
                  <c:v>2188</c:v>
                </c:pt>
                <c:pt idx="24">
                  <c:v>1669</c:v>
                </c:pt>
                <c:pt idx="25">
                  <c:v>1798</c:v>
                </c:pt>
                <c:pt idx="26">
                  <c:v>1483</c:v>
                </c:pt>
                <c:pt idx="27">
                  <c:v>1689</c:v>
                </c:pt>
                <c:pt idx="28">
                  <c:v>1993</c:v>
                </c:pt>
                <c:pt idx="29">
                  <c:v>1700</c:v>
                </c:pt>
                <c:pt idx="30">
                  <c:v>1796</c:v>
                </c:pt>
                <c:pt idx="31">
                  <c:v>1548</c:v>
                </c:pt>
                <c:pt idx="32">
                  <c:v>1892</c:v>
                </c:pt>
                <c:pt idx="33">
                  <c:v>1748</c:v>
                </c:pt>
                <c:pt idx="34">
                  <c:v>2168</c:v>
                </c:pt>
              </c:numCache>
            </c:numRef>
          </c:xVal>
          <c:yVal>
            <c:numRef>
              <c:f>Summary!$M$6:$M$40</c:f>
              <c:numCache>
                <c:formatCode>"$"#,##0</c:formatCode>
                <c:ptCount val="35"/>
                <c:pt idx="0">
                  <c:v>73.797920393559934</c:v>
                </c:pt>
                <c:pt idx="1">
                  <c:v>77.970654362416127</c:v>
                </c:pt>
                <c:pt idx="2">
                  <c:v>73.215398970398979</c:v>
                </c:pt>
                <c:pt idx="3">
                  <c:v>95.755385714285694</c:v>
                </c:pt>
                <c:pt idx="4">
                  <c:v>70.873112014453469</c:v>
                </c:pt>
                <c:pt idx="5">
                  <c:v>80.487332900713824</c:v>
                </c:pt>
                <c:pt idx="6">
                  <c:v>78.342235843549332</c:v>
                </c:pt>
                <c:pt idx="7">
                  <c:v>72.177600000000012</c:v>
                </c:pt>
                <c:pt idx="8">
                  <c:v>78.586483644859811</c:v>
                </c:pt>
                <c:pt idx="9">
                  <c:v>88.661266280752557</c:v>
                </c:pt>
                <c:pt idx="10">
                  <c:v>68.881386829481016</c:v>
                </c:pt>
                <c:pt idx="11">
                  <c:v>64.303258751353312</c:v>
                </c:pt>
                <c:pt idx="12">
                  <c:v>73.716911544227884</c:v>
                </c:pt>
                <c:pt idx="13">
                  <c:v>83.830265372168284</c:v>
                </c:pt>
                <c:pt idx="14">
                  <c:v>90.445410256410256</c:v>
                </c:pt>
                <c:pt idx="15">
                  <c:v>71.746907730673328</c:v>
                </c:pt>
                <c:pt idx="16">
                  <c:v>72.100506192784067</c:v>
                </c:pt>
                <c:pt idx="17">
                  <c:v>84.761226666666673</c:v>
                </c:pt>
                <c:pt idx="18">
                  <c:v>84.388941717791411</c:v>
                </c:pt>
                <c:pt idx="19">
                  <c:v>77.987851123595519</c:v>
                </c:pt>
                <c:pt idx="20">
                  <c:v>78.390917702782716</c:v>
                </c:pt>
                <c:pt idx="21">
                  <c:v>83.501226666666668</c:v>
                </c:pt>
                <c:pt idx="22">
                  <c:v>82.173458646616538</c:v>
                </c:pt>
                <c:pt idx="23">
                  <c:v>73.406224862888479</c:v>
                </c:pt>
                <c:pt idx="24">
                  <c:v>80.255895745955684</c:v>
                </c:pt>
                <c:pt idx="25">
                  <c:v>83.523197997775313</c:v>
                </c:pt>
                <c:pt idx="26">
                  <c:v>88.208907619689811</c:v>
                </c:pt>
                <c:pt idx="27">
                  <c:v>79.078271166370641</c:v>
                </c:pt>
                <c:pt idx="28">
                  <c:v>73.688439538384344</c:v>
                </c:pt>
                <c:pt idx="29">
                  <c:v>76.585664705882351</c:v>
                </c:pt>
                <c:pt idx="30">
                  <c:v>78.781976614699332</c:v>
                </c:pt>
                <c:pt idx="31">
                  <c:v>80.675710594315248</c:v>
                </c:pt>
                <c:pt idx="32">
                  <c:v>86.167272727272717</c:v>
                </c:pt>
                <c:pt idx="33">
                  <c:v>86.753032036613277</c:v>
                </c:pt>
                <c:pt idx="34">
                  <c:v>73.990558118081196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Summary!$A$6:$A$40</c15:f>
                <c15:dlblRangeCache>
                  <c:ptCount val="35"/>
                  <c:pt idx="0">
                    <c:v>Acacia</c:v>
                  </c:pt>
                  <c:pt idx="1">
                    <c:v>Aspen 2-Story</c:v>
                  </c:pt>
                  <c:pt idx="2">
                    <c:v>Atlas</c:v>
                  </c:pt>
                  <c:pt idx="3">
                    <c:v>Banyan</c:v>
                  </c:pt>
                  <c:pt idx="4">
                    <c:v>Cherry</c:v>
                  </c:pt>
                  <c:pt idx="5">
                    <c:v>Dogwood</c:v>
                  </c:pt>
                  <c:pt idx="6">
                    <c:v>Hazel</c:v>
                  </c:pt>
                  <c:pt idx="7">
                    <c:v>Holly</c:v>
                  </c:pt>
                  <c:pt idx="8">
                    <c:v>Elm</c:v>
                  </c:pt>
                  <c:pt idx="9">
                    <c:v>Lilac</c:v>
                  </c:pt>
                  <c:pt idx="10">
                    <c:v>Lily</c:v>
                  </c:pt>
                  <c:pt idx="11">
                    <c:v>Magnolia</c:v>
                  </c:pt>
                  <c:pt idx="12">
                    <c:v>Spindle</c:v>
                  </c:pt>
                  <c:pt idx="13">
                    <c:v>Spruce</c:v>
                  </c:pt>
                  <c:pt idx="14">
                    <c:v>Tulip</c:v>
                  </c:pt>
                  <c:pt idx="15">
                    <c:v>White Oak</c:v>
                  </c:pt>
                  <c:pt idx="16">
                    <c:v>Willow</c:v>
                  </c:pt>
                  <c:pt idx="17">
                    <c:v>Jasmine</c:v>
                  </c:pt>
                  <c:pt idx="18">
                    <c:v>Palmetto</c:v>
                  </c:pt>
                  <c:pt idx="19">
                    <c:v>Palmetto II</c:v>
                  </c:pt>
                  <c:pt idx="20">
                    <c:v>Palm II</c:v>
                  </c:pt>
                  <c:pt idx="21">
                    <c:v>Bayberry</c:v>
                  </c:pt>
                  <c:pt idx="22">
                    <c:v>Cottonwood</c:v>
                  </c:pt>
                  <c:pt idx="23">
                    <c:v>Linville</c:v>
                  </c:pt>
                  <c:pt idx="24">
                    <c:v>Locust</c:v>
                  </c:pt>
                  <c:pt idx="25">
                    <c:v>Fig</c:v>
                  </c:pt>
                  <c:pt idx="26">
                    <c:v>Poplar</c:v>
                  </c:pt>
                  <c:pt idx="27">
                    <c:v>Fraser</c:v>
                  </c:pt>
                  <c:pt idx="28">
                    <c:v>Sycamore</c:v>
                  </c:pt>
                  <c:pt idx="29">
                    <c:v>Alder</c:v>
                  </c:pt>
                  <c:pt idx="30">
                    <c:v>Boxelder</c:v>
                  </c:pt>
                  <c:pt idx="31">
                    <c:v>Bur Oak</c:v>
                  </c:pt>
                  <c:pt idx="32">
                    <c:v>Conifer</c:v>
                  </c:pt>
                  <c:pt idx="33">
                    <c:v>Pinyon</c:v>
                  </c:pt>
                  <c:pt idx="34">
                    <c:v>Aspen 3-Story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5F13-4375-8AE3-F1A545CC25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33866224"/>
        <c:axId val="1833866704"/>
      </c:scatterChart>
      <c:valAx>
        <c:axId val="1833866224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 Footage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66704"/>
        <c:crosses val="autoZero"/>
        <c:crossBetween val="midCat"/>
      </c:valAx>
      <c:valAx>
        <c:axId val="1833866704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$/SF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140573</xdr:rowOff>
    </xdr:from>
    <xdr:to>
      <xdr:col>19</xdr:col>
      <xdr:colOff>1406225</xdr:colOff>
      <xdr:row>77</xdr:row>
      <xdr:rowOff>155279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A88DE-2DDA-4070-ABB8-BC0F1BA49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lan Minihane" id="{218DDF48-C04C-4107-9785-824198E3B710}" userId="S::dylan.minihane@redcedarco.com::8f94c401-0e44-4406-857d-17b9f49550a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5-02-28T15:43:04.90" personId="{218DDF48-C04C-4107-9785-824198E3B710}" id="{C295E294-8318-4096-A36A-9016C1CE9179}">
    <text>Includes garage, rear patio, opt. covered patio/deck, and front stoop</text>
  </threadedComment>
  <threadedComment ref="C33" dT="2025-06-04T20:48:17.92" personId="{218DDF48-C04C-4107-9785-824198E3B710}" id="{6BCB5EC2-4207-4D3B-B019-B7FDDCFB7C73}">
    <text>Plan is three units (2 end units, one middle unit)
End Unit SF: 1689
Middle Unit: 1656</text>
  </threadedComment>
  <threadedComment ref="A40" dT="2025-03-17T19:04:24.69" personId="{218DDF48-C04C-4107-9785-824198E3B710}" id="{1CD610EF-3229-41BB-879B-4E1152EA5E77}">
    <text>Option- No floorplan. Will never have line itemed budget.  Per Angel 21k more than 2-story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2678-2FBE-47F6-864A-D4BFD9C2EDB1}">
  <sheetPr codeName="Sheet1">
    <tabColor theme="4" tint="0.39997558519241921"/>
    <pageSetUpPr fitToPage="1"/>
  </sheetPr>
  <dimension ref="A1:AB110"/>
  <sheetViews>
    <sheetView showGridLines="0" tabSelected="1" zoomScale="93" zoomScaleNormal="93" workbookViewId="0">
      <selection activeCell="H7" sqref="H7"/>
    </sheetView>
  </sheetViews>
  <sheetFormatPr defaultColWidth="8.85546875" defaultRowHeight="15" x14ac:dyDescent="0.25"/>
  <cols>
    <col min="1" max="1" width="15.42578125" customWidth="1"/>
    <col min="2" max="2" width="15.85546875" customWidth="1"/>
    <col min="3" max="3" width="9.140625" style="16" bestFit="1" customWidth="1"/>
    <col min="4" max="5" width="5.85546875" bestFit="1" customWidth="1"/>
    <col min="6" max="6" width="9.5703125" style="85" bestFit="1" customWidth="1"/>
    <col min="7" max="7" width="16.28515625" bestFit="1" customWidth="1"/>
    <col min="8" max="8" width="14.28515625" bestFit="1" customWidth="1"/>
    <col min="9" max="9" width="12.5703125" style="18" bestFit="1" customWidth="1"/>
    <col min="10" max="10" width="10.42578125" style="18" bestFit="1" customWidth="1"/>
    <col min="11" max="11" width="12.140625" style="18" bestFit="1" customWidth="1"/>
    <col min="12" max="12" width="14.42578125" style="18" bestFit="1" customWidth="1"/>
    <col min="13" max="13" width="9.85546875" style="18" customWidth="1"/>
    <col min="14" max="14" width="16.42578125" style="18" bestFit="1" customWidth="1"/>
    <col min="15" max="17" width="16.42578125" style="18" customWidth="1"/>
    <col min="18" max="18" width="12" style="85" bestFit="1" customWidth="1"/>
    <col min="19" max="19" width="13" style="85" bestFit="1" customWidth="1"/>
    <col min="20" max="20" width="71.42578125" customWidth="1"/>
    <col min="21" max="21" width="6" bestFit="1" customWidth="1"/>
    <col min="22" max="22" width="12.5703125" bestFit="1" customWidth="1"/>
    <col min="23" max="23" width="12.42578125" bestFit="1" customWidth="1"/>
    <col min="24" max="24" width="12.5703125" bestFit="1" customWidth="1"/>
    <col min="25" max="25" width="10.42578125" customWidth="1"/>
    <col min="26" max="26" width="11.5703125" bestFit="1" customWidth="1"/>
    <col min="27" max="27" width="50.7109375" customWidth="1"/>
    <col min="28" max="28" width="5" bestFit="1" customWidth="1"/>
    <col min="29" max="29" width="9" bestFit="1" customWidth="1"/>
    <col min="30" max="30" width="7.42578125" bestFit="1" customWidth="1"/>
    <col min="35" max="35" width="23.42578125" bestFit="1" customWidth="1"/>
    <col min="36" max="36" width="10.42578125" bestFit="1" customWidth="1"/>
    <col min="37" max="40" width="10" bestFit="1" customWidth="1"/>
    <col min="41" max="41" width="11.140625" bestFit="1" customWidth="1"/>
    <col min="42" max="42" width="8.42578125" bestFit="1" customWidth="1"/>
    <col min="43" max="43" width="22.42578125" bestFit="1" customWidth="1"/>
  </cols>
  <sheetData>
    <row r="1" spans="1:28" ht="29.25" thickBot="1" x14ac:dyDescent="0.5">
      <c r="A1" s="10" t="s">
        <v>0</v>
      </c>
      <c r="B1" s="11"/>
      <c r="C1" s="12"/>
      <c r="D1" s="11"/>
      <c r="E1" s="11"/>
      <c r="F1" s="13"/>
      <c r="G1" s="11"/>
      <c r="H1" s="11"/>
      <c r="I1" s="14"/>
      <c r="J1" s="14"/>
      <c r="K1" s="14"/>
      <c r="L1" s="14"/>
      <c r="M1" s="14"/>
      <c r="N1" s="14"/>
      <c r="O1" s="14"/>
      <c r="P1" s="14"/>
      <c r="Q1" s="14"/>
      <c r="R1" s="13"/>
      <c r="S1" s="13"/>
      <c r="T1" s="11"/>
      <c r="Y1" s="11"/>
      <c r="Z1" s="11"/>
      <c r="AA1" s="11"/>
      <c r="AB1" s="11"/>
    </row>
    <row r="2" spans="1:28" ht="15.75" thickTop="1" x14ac:dyDescent="0.25">
      <c r="B2" s="15"/>
      <c r="D2" s="15"/>
      <c r="E2" s="15"/>
      <c r="F2" s="17"/>
      <c r="G2" s="15"/>
      <c r="H2" s="15"/>
      <c r="R2" s="17"/>
      <c r="S2" s="19"/>
      <c r="T2" s="15"/>
      <c r="U2" s="269"/>
      <c r="V2" s="269"/>
      <c r="W2" s="269"/>
      <c r="X2" s="269"/>
      <c r="Y2" s="15"/>
      <c r="Z2" s="15"/>
      <c r="AA2" s="15"/>
      <c r="AB2" s="15"/>
    </row>
    <row r="3" spans="1:28" ht="18.75" x14ac:dyDescent="0.3">
      <c r="A3" s="1" t="s">
        <v>1</v>
      </c>
      <c r="B3" s="20" t="s">
        <v>2</v>
      </c>
      <c r="D3" s="15"/>
      <c r="E3" s="15"/>
      <c r="F3" s="17"/>
      <c r="G3" s="15"/>
      <c r="H3" s="15"/>
      <c r="R3" s="17"/>
      <c r="S3" s="19"/>
      <c r="T3" s="15"/>
      <c r="U3" s="269"/>
      <c r="V3" s="269"/>
      <c r="W3" s="269"/>
      <c r="X3" s="269"/>
      <c r="Y3" s="15"/>
      <c r="Z3" s="15"/>
      <c r="AA3" s="15"/>
      <c r="AB3" s="15"/>
    </row>
    <row r="4" spans="1:28" ht="15.75" thickBot="1" x14ac:dyDescent="0.3">
      <c r="B4" s="15"/>
      <c r="D4" s="15"/>
      <c r="E4" s="15"/>
      <c r="F4" s="17"/>
      <c r="G4" s="15"/>
      <c r="H4" s="15"/>
      <c r="R4" s="17"/>
      <c r="S4" s="19"/>
      <c r="T4" s="15"/>
      <c r="U4" s="269"/>
      <c r="V4" s="269"/>
      <c r="W4" s="269"/>
      <c r="X4" s="269"/>
      <c r="Y4" s="15"/>
      <c r="Z4" s="15"/>
      <c r="AA4" s="15"/>
      <c r="AB4" s="15"/>
    </row>
    <row r="5" spans="1:28" s="33" customFormat="1" ht="30.75" thickBot="1" x14ac:dyDescent="0.3">
      <c r="A5" s="21" t="s">
        <v>3</v>
      </c>
      <c r="B5" s="22" t="s">
        <v>4</v>
      </c>
      <c r="C5" s="23" t="s">
        <v>5</v>
      </c>
      <c r="D5" s="22" t="s">
        <v>6</v>
      </c>
      <c r="E5" s="22" t="s">
        <v>7</v>
      </c>
      <c r="F5" s="24" t="s">
        <v>8</v>
      </c>
      <c r="G5" s="25" t="s">
        <v>9</v>
      </c>
      <c r="H5" s="25" t="s">
        <v>10</v>
      </c>
      <c r="I5" s="26" t="s">
        <v>11</v>
      </c>
      <c r="J5" s="27" t="s">
        <v>12</v>
      </c>
      <c r="K5" s="27" t="s">
        <v>13</v>
      </c>
      <c r="L5" s="28" t="s">
        <v>14</v>
      </c>
      <c r="M5" s="26" t="s">
        <v>15</v>
      </c>
      <c r="N5" s="29" t="s">
        <v>16</v>
      </c>
      <c r="O5" s="211" t="s">
        <v>17</v>
      </c>
      <c r="P5" s="211" t="s">
        <v>18</v>
      </c>
      <c r="Q5" s="211" t="s">
        <v>19</v>
      </c>
      <c r="R5" s="24" t="s">
        <v>20</v>
      </c>
      <c r="S5" s="30" t="s">
        <v>21</v>
      </c>
      <c r="T5" s="31" t="s">
        <v>22</v>
      </c>
      <c r="U5" s="270"/>
      <c r="V5" s="270"/>
      <c r="W5" s="270"/>
      <c r="X5" s="270"/>
      <c r="Y5" s="32"/>
      <c r="Z5" s="32"/>
      <c r="AA5" s="32"/>
      <c r="AB5" s="32"/>
    </row>
    <row r="6" spans="1:28" x14ac:dyDescent="0.25">
      <c r="A6" s="37" t="s">
        <v>23</v>
      </c>
      <c r="B6" s="65" t="s">
        <v>24</v>
      </c>
      <c r="C6" s="66">
        <v>2236</v>
      </c>
      <c r="D6" s="67">
        <v>4</v>
      </c>
      <c r="E6" s="67">
        <v>3</v>
      </c>
      <c r="F6" s="43">
        <v>2</v>
      </c>
      <c r="G6" s="68">
        <v>413</v>
      </c>
      <c r="H6" s="68">
        <v>1.5</v>
      </c>
      <c r="I6" s="42">
        <f ca="1">N6/C6</f>
        <v>79.846668157423977</v>
      </c>
      <c r="J6" s="69">
        <f ca="1">IFERROR(_xlfn.XLOOKUP(A6,'MODEL SUMMARY'!$B$3:$AL$3,'MODEL SUMMARY'!$B$71:$AL$71)+_xlfn.XLOOKUP($B$3,'Water &amp; Sewer Data'!$C:$C,'Water &amp; Sewer Data'!$K:$K),"")</f>
        <v>2650</v>
      </c>
      <c r="K6" s="69">
        <f ca="1">IFERROR(_xlfn.XLOOKUP(A6,'MODEL SUMMARY'!$B$3:$AL$3,'MODEL SUMMARY'!$B$66:$AL$66),"")</f>
        <v>10875</v>
      </c>
      <c r="L6" s="69">
        <f ca="1">IFERROR(_xlfn.XLOOKUP(A6,'MODEL SUMMARY'!$B$3:$AL$3,'MODEL SUMMARY'!$B$58:$AL$58),"")</f>
        <v>165012.15000000002</v>
      </c>
      <c r="M6" s="42">
        <f ca="1">L6/C6</f>
        <v>73.797920393559934</v>
      </c>
      <c r="N6" s="163">
        <f ca="1">SUM(J6:L6)</f>
        <v>178537.15000000002</v>
      </c>
      <c r="O6" s="163">
        <v>4200</v>
      </c>
      <c r="P6" s="163">
        <v>10000</v>
      </c>
      <c r="Q6" s="163" t="s">
        <v>25</v>
      </c>
      <c r="R6" s="67" t="s">
        <v>26</v>
      </c>
      <c r="S6" s="70"/>
      <c r="T6" s="35" t="s">
        <v>27</v>
      </c>
      <c r="U6" t="s">
        <v>28</v>
      </c>
      <c r="V6" s="234"/>
      <c r="W6" s="271"/>
      <c r="X6" s="272"/>
      <c r="Y6" s="15"/>
      <c r="Z6" s="36"/>
      <c r="AA6" s="15"/>
      <c r="AB6" s="15"/>
    </row>
    <row r="7" spans="1:28" x14ac:dyDescent="0.25">
      <c r="A7" s="37" t="s">
        <v>29</v>
      </c>
      <c r="B7" s="38" t="s">
        <v>24</v>
      </c>
      <c r="C7" s="39">
        <v>1788</v>
      </c>
      <c r="D7" s="108">
        <v>3</v>
      </c>
      <c r="E7" s="108">
        <v>2.5</v>
      </c>
      <c r="F7" s="40">
        <v>2</v>
      </c>
      <c r="G7" s="41">
        <v>400</v>
      </c>
      <c r="H7" s="41">
        <v>2</v>
      </c>
      <c r="I7" s="42">
        <f t="shared" ref="I7:I26" ca="1" si="0">N7/C7</f>
        <v>85.534972035794198</v>
      </c>
      <c r="J7" s="34">
        <f ca="1">IFERROR(_xlfn.XLOOKUP(A7,'MODEL SUMMARY'!$B$3:$AL$3,'MODEL SUMMARY'!$B$71:$AL$71)+_xlfn.XLOOKUP($B$3,'Water &amp; Sewer Data'!$C:$C,'Water &amp; Sewer Data'!$K:$K),"")</f>
        <v>2650</v>
      </c>
      <c r="K7" s="34">
        <f ca="1">IFERROR(_xlfn.XLOOKUP(A7,'MODEL SUMMARY'!$B$3:$AL$3,'MODEL SUMMARY'!$B$66:$AL$66),"")</f>
        <v>10875</v>
      </c>
      <c r="L7" s="34">
        <f ca="1">IFERROR(_xlfn.XLOOKUP(A7,'MODEL SUMMARY'!$B$3:$AL$3,'MODEL SUMMARY'!$B$58:$AL$58),"")</f>
        <v>139411.53000000003</v>
      </c>
      <c r="M7" s="42">
        <f t="shared" ref="M7:M55" ca="1" si="1">L7/C7</f>
        <v>77.970654362416127</v>
      </c>
      <c r="N7" s="160">
        <f ca="1">SUM(J7:L7)</f>
        <v>152936.53000000003</v>
      </c>
      <c r="O7" s="161">
        <v>4750</v>
      </c>
      <c r="P7" s="161">
        <v>9600</v>
      </c>
      <c r="Q7" s="163" t="s">
        <v>25</v>
      </c>
      <c r="R7" s="43" t="s">
        <v>30</v>
      </c>
      <c r="S7" s="186"/>
      <c r="T7" s="44"/>
      <c r="V7" s="234"/>
      <c r="W7" s="271"/>
      <c r="X7" s="273"/>
      <c r="Y7" s="45"/>
      <c r="Z7" s="46"/>
      <c r="AA7" t="s">
        <v>31</v>
      </c>
      <c r="AB7" s="15"/>
    </row>
    <row r="8" spans="1:28" x14ac:dyDescent="0.25">
      <c r="A8" s="37" t="s">
        <v>32</v>
      </c>
      <c r="B8" s="38" t="s">
        <v>24</v>
      </c>
      <c r="C8" s="39">
        <v>1554</v>
      </c>
      <c r="D8" s="108">
        <v>3</v>
      </c>
      <c r="E8" s="108">
        <v>2.5</v>
      </c>
      <c r="F8" s="40">
        <v>0</v>
      </c>
      <c r="G8" s="41">
        <v>0</v>
      </c>
      <c r="H8" s="41">
        <v>2</v>
      </c>
      <c r="I8" s="42">
        <f t="shared" ca="1" si="0"/>
        <v>81.918745173745179</v>
      </c>
      <c r="J8" s="34">
        <f ca="1">IFERROR(_xlfn.XLOOKUP(A8,'MODEL SUMMARY'!$B$3:$AL$3,'MODEL SUMMARY'!$B$71:$AL$71)+_xlfn.XLOOKUP($B$3,'Water &amp; Sewer Data'!$C:$C,'Water &amp; Sewer Data'!$K:$K),"")</f>
        <v>2650</v>
      </c>
      <c r="K8" s="34">
        <f ca="1">IFERROR(_xlfn.XLOOKUP(A8,'MODEL SUMMARY'!$B$3:$AL$3,'MODEL SUMMARY'!$B$66:$AL$66),"")</f>
        <v>10875</v>
      </c>
      <c r="L8" s="34">
        <f ca="1">IFERROR(_xlfn.XLOOKUP(A8,'MODEL SUMMARY'!$B$3:$AL$3,'MODEL SUMMARY'!$B$58:$AL$58),"")</f>
        <v>113776.73000000001</v>
      </c>
      <c r="M8" s="42">
        <f t="shared" ca="1" si="1"/>
        <v>73.215398970398979</v>
      </c>
      <c r="N8" s="160">
        <f t="shared" ref="N8:N22" ca="1" si="2">SUM(J8:L8)</f>
        <v>127301.73000000001</v>
      </c>
      <c r="O8" s="161">
        <v>4200</v>
      </c>
      <c r="P8" s="161">
        <v>8800</v>
      </c>
      <c r="Q8" s="161" t="s">
        <v>25</v>
      </c>
      <c r="R8" s="47" t="s">
        <v>33</v>
      </c>
      <c r="S8" s="186"/>
      <c r="T8" s="44"/>
      <c r="V8" s="234"/>
      <c r="W8" s="271"/>
      <c r="X8" s="273"/>
      <c r="Y8" s="45"/>
      <c r="Z8" s="49"/>
      <c r="AA8" s="15" t="s">
        <v>34</v>
      </c>
      <c r="AB8" s="15"/>
    </row>
    <row r="9" spans="1:28" x14ac:dyDescent="0.25">
      <c r="A9" s="37" t="s">
        <v>35</v>
      </c>
      <c r="B9" s="38" t="s">
        <v>24</v>
      </c>
      <c r="C9" s="39">
        <v>1400</v>
      </c>
      <c r="D9" s="108">
        <v>3</v>
      </c>
      <c r="E9" s="108">
        <v>3</v>
      </c>
      <c r="F9" s="40">
        <v>2</v>
      </c>
      <c r="G9" s="41">
        <v>582</v>
      </c>
      <c r="H9" s="41">
        <v>3</v>
      </c>
      <c r="I9" s="42">
        <f t="shared" ca="1" si="0"/>
        <v>105.41609999999999</v>
      </c>
      <c r="J9" s="34">
        <f ca="1">IFERROR(_xlfn.XLOOKUP(A9,'MODEL SUMMARY'!$B$3:$AL$3,'MODEL SUMMARY'!$B$71:$AL$71)+_xlfn.XLOOKUP($B$3,'Water &amp; Sewer Data'!$C:$C,'Water &amp; Sewer Data'!$K:$K),"")</f>
        <v>2650</v>
      </c>
      <c r="K9" s="34">
        <f ca="1">IFERROR(_xlfn.XLOOKUP(A9,'MODEL SUMMARY'!$B$3:$AL$3,'MODEL SUMMARY'!$B$66:$AL$66),"")</f>
        <v>10875</v>
      </c>
      <c r="L9" s="34">
        <f ca="1">IFERROR(_xlfn.XLOOKUP(A9,'MODEL SUMMARY'!$B$3:$AL$3,'MODEL SUMMARY'!$B$58:$AL$58),"")</f>
        <v>134057.53999999998</v>
      </c>
      <c r="M9" s="42">
        <f t="shared" ca="1" si="1"/>
        <v>95.755385714285694</v>
      </c>
      <c r="N9" s="160">
        <f t="shared" ca="1" si="2"/>
        <v>147582.53999999998</v>
      </c>
      <c r="O9" s="161">
        <v>4600</v>
      </c>
      <c r="P9" s="161">
        <v>10300</v>
      </c>
      <c r="Q9" s="161" t="s">
        <v>25</v>
      </c>
      <c r="R9" s="47" t="s">
        <v>36</v>
      </c>
      <c r="S9" s="186"/>
      <c r="T9" s="44"/>
      <c r="V9" s="234"/>
      <c r="W9" s="271"/>
      <c r="X9" s="273"/>
      <c r="Y9" s="45"/>
      <c r="Z9" s="50"/>
      <c r="AA9" s="15" t="s">
        <v>37</v>
      </c>
      <c r="AB9" s="15"/>
    </row>
    <row r="10" spans="1:28" x14ac:dyDescent="0.25">
      <c r="A10" s="37" t="s">
        <v>38</v>
      </c>
      <c r="B10" s="38" t="s">
        <v>24</v>
      </c>
      <c r="C10" s="39">
        <v>2214</v>
      </c>
      <c r="D10" s="108">
        <v>4</v>
      </c>
      <c r="E10" s="108">
        <v>3</v>
      </c>
      <c r="F10" s="40">
        <v>2</v>
      </c>
      <c r="G10" s="41">
        <v>428</v>
      </c>
      <c r="H10" s="41">
        <v>2</v>
      </c>
      <c r="I10" s="42">
        <f t="shared" ca="1" si="0"/>
        <v>76.981964769647689</v>
      </c>
      <c r="J10" s="34">
        <f ca="1">IFERROR(_xlfn.XLOOKUP(A10,'MODEL SUMMARY'!$B$3:$AL$3,'MODEL SUMMARY'!$B$71:$AL$71)+_xlfn.XLOOKUP($B$3,'Water &amp; Sewer Data'!$C:$C,'Water &amp; Sewer Data'!$K:$K),"")</f>
        <v>2650</v>
      </c>
      <c r="K10" s="34">
        <f ca="1">IFERROR(_xlfn.XLOOKUP(A10,'MODEL SUMMARY'!$B$3:$AL$3,'MODEL SUMMARY'!$B$66:$AL$66),"")</f>
        <v>10875</v>
      </c>
      <c r="L10" s="34">
        <f ca="1">IFERROR(_xlfn.XLOOKUP(A10,'MODEL SUMMARY'!$B$3:$AL$3,'MODEL SUMMARY'!$B$58:$AL$58),"")</f>
        <v>156913.06999999998</v>
      </c>
      <c r="M10" s="42">
        <f t="shared" ca="1" si="1"/>
        <v>70.873112014453469</v>
      </c>
      <c r="N10" s="160">
        <f t="shared" ca="1" si="2"/>
        <v>170438.06999999998</v>
      </c>
      <c r="O10" s="161">
        <v>5000</v>
      </c>
      <c r="P10" s="161">
        <v>11000</v>
      </c>
      <c r="Q10" s="161" t="s">
        <v>25</v>
      </c>
      <c r="R10" s="47" t="s">
        <v>39</v>
      </c>
      <c r="S10" s="186"/>
      <c r="T10" s="44"/>
      <c r="V10" s="234"/>
      <c r="W10" s="271"/>
      <c r="X10" s="273"/>
      <c r="Y10" s="45"/>
      <c r="Z10" s="51"/>
      <c r="AA10" s="15" t="s">
        <v>40</v>
      </c>
      <c r="AB10" s="15"/>
    </row>
    <row r="11" spans="1:28" ht="12" customHeight="1" x14ac:dyDescent="0.25">
      <c r="A11" s="37" t="s">
        <v>41</v>
      </c>
      <c r="B11" s="38" t="s">
        <v>24</v>
      </c>
      <c r="C11" s="39">
        <v>1541</v>
      </c>
      <c r="D11" s="108">
        <v>3</v>
      </c>
      <c r="E11" s="108">
        <v>2.5</v>
      </c>
      <c r="F11" s="40">
        <v>2</v>
      </c>
      <c r="G11" s="41">
        <v>397</v>
      </c>
      <c r="H11" s="41">
        <v>2</v>
      </c>
      <c r="I11" s="42">
        <f t="shared" ca="1" si="0"/>
        <v>89.264101232965615</v>
      </c>
      <c r="J11" s="34">
        <f ca="1">IFERROR(_xlfn.XLOOKUP(A11,'MODEL SUMMARY'!$B$3:$AL$3,'MODEL SUMMARY'!$B$71:$AL$71)+_xlfn.XLOOKUP($B$3,'Water &amp; Sewer Data'!$C:$C,'Water &amp; Sewer Data'!$K:$K),"")</f>
        <v>2650</v>
      </c>
      <c r="K11" s="34">
        <f ca="1">IFERROR(_xlfn.XLOOKUP(A11,'MODEL SUMMARY'!$B$3:$AL$3,'MODEL SUMMARY'!$B$66:$AL$66),"")</f>
        <v>10875</v>
      </c>
      <c r="L11" s="34">
        <f ca="1">IFERROR(_xlfn.XLOOKUP(A11,'MODEL SUMMARY'!$B$3:$AL$3,'MODEL SUMMARY'!$B$58:$AL$58),"")</f>
        <v>124030.98000000001</v>
      </c>
      <c r="M11" s="42">
        <f t="shared" ca="1" si="1"/>
        <v>80.487332900713824</v>
      </c>
      <c r="N11" s="160">
        <f t="shared" ca="1" si="2"/>
        <v>137555.98000000001</v>
      </c>
      <c r="O11" s="161">
        <v>4000</v>
      </c>
      <c r="P11" s="161">
        <v>8300</v>
      </c>
      <c r="Q11" s="161" t="s">
        <v>25</v>
      </c>
      <c r="R11" s="47" t="s">
        <v>42</v>
      </c>
      <c r="S11" s="186"/>
      <c r="T11" s="44"/>
      <c r="V11" s="234"/>
      <c r="W11" s="271"/>
      <c r="X11" s="273"/>
      <c r="Y11" s="45"/>
      <c r="Z11" s="52"/>
      <c r="AA11" s="32" t="s">
        <v>43</v>
      </c>
      <c r="AB11" s="15"/>
    </row>
    <row r="12" spans="1:28" x14ac:dyDescent="0.25">
      <c r="A12" s="37" t="s">
        <v>44</v>
      </c>
      <c r="B12" s="38" t="s">
        <v>24</v>
      </c>
      <c r="C12" s="39">
        <v>1713</v>
      </c>
      <c r="D12" s="108">
        <v>4</v>
      </c>
      <c r="E12" s="108">
        <v>2.5</v>
      </c>
      <c r="F12" s="40">
        <v>2</v>
      </c>
      <c r="G12" s="41">
        <v>677</v>
      </c>
      <c r="H12" s="41">
        <v>2</v>
      </c>
      <c r="I12" s="42">
        <f t="shared" ca="1" si="0"/>
        <v>86.237740805604204</v>
      </c>
      <c r="J12" s="34">
        <f ca="1">IFERROR(_xlfn.XLOOKUP(A12,'MODEL SUMMARY'!$B$3:$AL$3,'MODEL SUMMARY'!$B$71:$AL$71)+_xlfn.XLOOKUP($B$3,'Water &amp; Sewer Data'!$C:$C,'Water &amp; Sewer Data'!$K:$K),"")</f>
        <v>2650</v>
      </c>
      <c r="K12" s="34">
        <f ca="1">IFERROR(_xlfn.XLOOKUP(A12,'MODEL SUMMARY'!$B$3:$AL$3,'MODEL SUMMARY'!$B$66:$AL$66),"")</f>
        <v>10875</v>
      </c>
      <c r="L12" s="34">
        <f ca="1">IFERROR(_xlfn.XLOOKUP(A12,'MODEL SUMMARY'!$B$3:$AL$3,'MODEL SUMMARY'!$B$58:$AL$58),"")</f>
        <v>134200.25</v>
      </c>
      <c r="M12" s="42">
        <f t="shared" ca="1" si="1"/>
        <v>78.342235843549332</v>
      </c>
      <c r="N12" s="160">
        <f t="shared" ca="1" si="2"/>
        <v>147725.25</v>
      </c>
      <c r="O12" s="161">
        <v>4450</v>
      </c>
      <c r="P12" s="161">
        <v>9100</v>
      </c>
      <c r="Q12" s="161" t="s">
        <v>25</v>
      </c>
      <c r="R12" s="47" t="s">
        <v>45</v>
      </c>
      <c r="S12" s="186"/>
      <c r="T12" s="44"/>
      <c r="V12" s="234"/>
      <c r="W12" s="271"/>
      <c r="X12" s="273"/>
      <c r="Y12" s="45"/>
      <c r="Z12" s="15"/>
      <c r="AA12" s="15"/>
      <c r="AB12" s="15"/>
    </row>
    <row r="13" spans="1:28" x14ac:dyDescent="0.25">
      <c r="A13" s="37" t="s">
        <v>46</v>
      </c>
      <c r="B13" s="38" t="s">
        <v>24</v>
      </c>
      <c r="C13" s="39">
        <v>2000</v>
      </c>
      <c r="D13" s="108">
        <v>4</v>
      </c>
      <c r="E13" s="108">
        <v>2.5</v>
      </c>
      <c r="F13" s="40">
        <v>2</v>
      </c>
      <c r="G13" s="41">
        <v>404</v>
      </c>
      <c r="H13" s="41">
        <v>2</v>
      </c>
      <c r="I13" s="42">
        <f t="shared" ca="1" si="0"/>
        <v>78.940100000000001</v>
      </c>
      <c r="J13" s="34">
        <f ca="1">IFERROR(_xlfn.XLOOKUP(A13,'MODEL SUMMARY'!$B$3:$AL$3,'MODEL SUMMARY'!$B$71:$AL$71)+_xlfn.XLOOKUP($B$3,'Water &amp; Sewer Data'!$C:$C,'Water &amp; Sewer Data'!$K:$K),"")</f>
        <v>2650</v>
      </c>
      <c r="K13" s="34">
        <f ca="1">IFERROR(_xlfn.XLOOKUP(A13,'MODEL SUMMARY'!$B$3:$AL$3,'MODEL SUMMARY'!$B$66:$AL$66),"")</f>
        <v>10875</v>
      </c>
      <c r="L13" s="34">
        <f ca="1">IFERROR(_xlfn.XLOOKUP(A13,'MODEL SUMMARY'!$B$3:$AL$3,'MODEL SUMMARY'!$B$58:$AL$58),"")</f>
        <v>144355.20000000001</v>
      </c>
      <c r="M13" s="42">
        <f t="shared" ca="1" si="1"/>
        <v>72.177600000000012</v>
      </c>
      <c r="N13" s="160">
        <f t="shared" ca="1" si="2"/>
        <v>157880.20000000001</v>
      </c>
      <c r="O13" s="161">
        <v>4000</v>
      </c>
      <c r="P13" s="161">
        <v>8500</v>
      </c>
      <c r="Q13" s="161" t="s">
        <v>25</v>
      </c>
      <c r="R13" s="47" t="s">
        <v>47</v>
      </c>
      <c r="S13" s="186"/>
      <c r="T13" s="44"/>
      <c r="V13" s="234"/>
      <c r="W13" s="271"/>
      <c r="X13" s="273"/>
      <c r="Y13" s="45"/>
      <c r="Z13" s="15"/>
      <c r="AA13" s="15"/>
      <c r="AB13" s="15"/>
    </row>
    <row r="14" spans="1:28" x14ac:dyDescent="0.25">
      <c r="A14" s="37" t="s">
        <v>48</v>
      </c>
      <c r="B14" s="38" t="s">
        <v>24</v>
      </c>
      <c r="C14" s="39">
        <v>1712</v>
      </c>
      <c r="D14" s="108">
        <v>4</v>
      </c>
      <c r="E14" s="108">
        <v>2.5</v>
      </c>
      <c r="F14" s="40">
        <v>2</v>
      </c>
      <c r="G14" s="41">
        <v>408</v>
      </c>
      <c r="H14" s="41">
        <v>2</v>
      </c>
      <c r="I14" s="42">
        <f t="shared" ca="1" si="0"/>
        <v>86.486600467289719</v>
      </c>
      <c r="J14" s="34">
        <f ca="1">IFERROR(_xlfn.XLOOKUP(A14,'MODEL SUMMARY'!$B$3:$AL$3,'MODEL SUMMARY'!$B$71:$AL$71)+_xlfn.XLOOKUP($B$3,'Water &amp; Sewer Data'!$C:$C,'Water &amp; Sewer Data'!$K:$K),"")</f>
        <v>2650</v>
      </c>
      <c r="K14" s="34">
        <f ca="1">IFERROR(_xlfn.XLOOKUP(A14,'MODEL SUMMARY'!$B$3:$AL$3,'MODEL SUMMARY'!$B$66:$AL$66),"")</f>
        <v>10875</v>
      </c>
      <c r="L14" s="34">
        <f ca="1">IFERROR(_xlfn.XLOOKUP(A14,'MODEL SUMMARY'!$B$3:$AL$3,'MODEL SUMMARY'!$B$58:$AL$58),"")</f>
        <v>134540.06</v>
      </c>
      <c r="M14" s="42">
        <f t="shared" ca="1" si="1"/>
        <v>78.586483644859811</v>
      </c>
      <c r="N14" s="160">
        <f t="shared" ca="1" si="2"/>
        <v>148065.06</v>
      </c>
      <c r="O14" s="161">
        <v>4300</v>
      </c>
      <c r="P14" s="161">
        <v>9000</v>
      </c>
      <c r="Q14" s="161" t="s">
        <v>25</v>
      </c>
      <c r="R14" s="47" t="s">
        <v>49</v>
      </c>
      <c r="S14" s="186"/>
      <c r="T14" s="44"/>
      <c r="V14" s="234"/>
      <c r="W14" s="271"/>
      <c r="X14" s="273"/>
      <c r="Y14" s="45"/>
      <c r="Z14" s="15"/>
      <c r="AA14" s="15"/>
      <c r="AB14" s="15"/>
    </row>
    <row r="15" spans="1:28" x14ac:dyDescent="0.25">
      <c r="A15" s="37" t="s">
        <v>50</v>
      </c>
      <c r="B15" s="38" t="s">
        <v>24</v>
      </c>
      <c r="C15" s="39">
        <v>1382</v>
      </c>
      <c r="D15" s="108">
        <v>3</v>
      </c>
      <c r="E15" s="108">
        <v>3</v>
      </c>
      <c r="F15" s="40">
        <v>1</v>
      </c>
      <c r="G15" s="41">
        <v>425</v>
      </c>
      <c r="H15" s="41">
        <v>1.5</v>
      </c>
      <c r="I15" s="42">
        <f t="shared" ca="1" si="0"/>
        <v>98.447807525325629</v>
      </c>
      <c r="J15" s="34">
        <f ca="1">IFERROR(_xlfn.XLOOKUP(A15,'MODEL SUMMARY'!$B$3:$AL$3,'MODEL SUMMARY'!$B$71:$AL$71)+_xlfn.XLOOKUP($B$3,'Water &amp; Sewer Data'!$C:$C,'Water &amp; Sewer Data'!$K:$K),"")</f>
        <v>2650</v>
      </c>
      <c r="K15" s="34">
        <f ca="1">IFERROR(_xlfn.XLOOKUP(A15,'MODEL SUMMARY'!$B$3:$AL$3,'MODEL SUMMARY'!$B$66:$AL$66),"")</f>
        <v>10875</v>
      </c>
      <c r="L15" s="34">
        <f ca="1">IFERROR(_xlfn.XLOOKUP(A15,'MODEL SUMMARY'!$B$3:$AL$3,'MODEL SUMMARY'!$B$58:$AL$58),"")</f>
        <v>122529.87000000002</v>
      </c>
      <c r="M15" s="42">
        <f t="shared" ca="1" si="1"/>
        <v>88.661266280752557</v>
      </c>
      <c r="N15" s="160">
        <f t="shared" ca="1" si="2"/>
        <v>136054.87000000002</v>
      </c>
      <c r="O15" s="161">
        <v>4000</v>
      </c>
      <c r="P15" s="161">
        <v>9000</v>
      </c>
      <c r="Q15" s="161" t="s">
        <v>25</v>
      </c>
      <c r="R15" s="47" t="s">
        <v>51</v>
      </c>
      <c r="S15" s="186"/>
      <c r="T15" s="44"/>
      <c r="V15" s="234"/>
      <c r="W15" s="271"/>
      <c r="X15" s="273"/>
      <c r="Y15" s="45"/>
      <c r="Z15" s="15"/>
      <c r="AA15" s="15"/>
      <c r="AB15" s="15"/>
    </row>
    <row r="16" spans="1:28" x14ac:dyDescent="0.25">
      <c r="A16" s="37" t="s">
        <v>52</v>
      </c>
      <c r="B16" s="38" t="s">
        <v>24</v>
      </c>
      <c r="C16" s="39">
        <v>2293</v>
      </c>
      <c r="D16" s="108">
        <v>4</v>
      </c>
      <c r="E16" s="108">
        <v>3.5</v>
      </c>
      <c r="F16" s="53">
        <v>0</v>
      </c>
      <c r="G16" s="54">
        <v>0</v>
      </c>
      <c r="H16" s="54">
        <v>2.5</v>
      </c>
      <c r="I16" s="42">
        <f t="shared" ca="1" si="0"/>
        <v>74.779773222852143</v>
      </c>
      <c r="J16" s="34">
        <f ca="1">IFERROR(_xlfn.XLOOKUP(A16,'MODEL SUMMARY'!$B$3:$AL$3,'MODEL SUMMARY'!$B$71:$AL$71)+_xlfn.XLOOKUP($B$3,'Water &amp; Sewer Data'!$C:$C,'Water &amp; Sewer Data'!$K:$K),"")</f>
        <v>2650</v>
      </c>
      <c r="K16" s="34">
        <f ca="1">IFERROR(_xlfn.XLOOKUP(A16,'MODEL SUMMARY'!$B$3:$AL$3,'MODEL SUMMARY'!$B$66:$AL$66),"")</f>
        <v>10875</v>
      </c>
      <c r="L16" s="34">
        <f ca="1">IFERROR(_xlfn.XLOOKUP(A16,'MODEL SUMMARY'!$B$3:$AL$3,'MODEL SUMMARY'!$B$58:$AL$58),"")</f>
        <v>157945.01999999996</v>
      </c>
      <c r="M16" s="42">
        <f t="shared" ca="1" si="1"/>
        <v>68.881386829481016</v>
      </c>
      <c r="N16" s="160">
        <f t="shared" ca="1" si="2"/>
        <v>171470.01999999996</v>
      </c>
      <c r="O16" s="161">
        <v>5400</v>
      </c>
      <c r="P16" s="161">
        <v>10700</v>
      </c>
      <c r="Q16" s="161" t="s">
        <v>25</v>
      </c>
      <c r="R16" s="43" t="s">
        <v>53</v>
      </c>
      <c r="S16" s="186"/>
      <c r="T16" s="44" t="s">
        <v>54</v>
      </c>
      <c r="V16" s="234"/>
      <c r="W16" s="271"/>
      <c r="X16" s="273"/>
      <c r="Y16" s="45"/>
      <c r="Z16" s="232"/>
      <c r="AA16" s="15"/>
      <c r="AB16" s="15"/>
    </row>
    <row r="17" spans="1:28" x14ac:dyDescent="0.25">
      <c r="A17" s="37" t="s">
        <v>55</v>
      </c>
      <c r="B17" s="38" t="s">
        <v>24</v>
      </c>
      <c r="C17" s="39">
        <v>2771</v>
      </c>
      <c r="D17" s="108">
        <v>4</v>
      </c>
      <c r="E17" s="108">
        <v>3</v>
      </c>
      <c r="F17" s="40">
        <v>2</v>
      </c>
      <c r="G17" s="41">
        <v>423</v>
      </c>
      <c r="H17" s="41">
        <v>2</v>
      </c>
      <c r="I17" s="42">
        <f t="shared" ca="1" si="0"/>
        <v>69.184168170335624</v>
      </c>
      <c r="J17" s="34">
        <f ca="1">IFERROR(_xlfn.XLOOKUP(A17,'MODEL SUMMARY'!$B$3:$AL$3,'MODEL SUMMARY'!$B$71:$AL$71)+_xlfn.XLOOKUP($B$3,'Water &amp; Sewer Data'!$C:$C,'Water &amp; Sewer Data'!$K:$K),"")</f>
        <v>2650</v>
      </c>
      <c r="K17" s="34">
        <f ca="1">IFERROR(_xlfn.XLOOKUP(A17,'MODEL SUMMARY'!$B$3:$AL$3,'MODEL SUMMARY'!$B$66:$AL$66),"")</f>
        <v>10875</v>
      </c>
      <c r="L17" s="34">
        <f ca="1">IFERROR(_xlfn.XLOOKUP(A17,'MODEL SUMMARY'!$B$3:$AL$3,'MODEL SUMMARY'!$B$58:$AL$58),"")</f>
        <v>178184.33000000002</v>
      </c>
      <c r="M17" s="42">
        <f t="shared" ca="1" si="1"/>
        <v>64.303258751353312</v>
      </c>
      <c r="N17" s="160">
        <f t="shared" ca="1" si="2"/>
        <v>191709.33000000002</v>
      </c>
      <c r="O17" s="161">
        <v>4600</v>
      </c>
      <c r="P17" s="161">
        <v>11100</v>
      </c>
      <c r="Q17" s="161" t="s">
        <v>25</v>
      </c>
      <c r="R17" s="47" t="s">
        <v>56</v>
      </c>
      <c r="S17" s="186"/>
      <c r="T17" s="44"/>
      <c r="V17" s="234"/>
      <c r="W17" s="271"/>
      <c r="X17" s="273"/>
      <c r="Y17" s="45"/>
      <c r="Z17" s="232"/>
      <c r="AA17" s="15"/>
      <c r="AB17" s="15"/>
    </row>
    <row r="18" spans="1:28" x14ac:dyDescent="0.25">
      <c r="A18" s="37" t="s">
        <v>57</v>
      </c>
      <c r="B18" s="38" t="s">
        <v>24</v>
      </c>
      <c r="C18" s="39">
        <v>2001</v>
      </c>
      <c r="D18" s="108">
        <v>3</v>
      </c>
      <c r="E18" s="108">
        <v>2</v>
      </c>
      <c r="F18" s="40">
        <v>0</v>
      </c>
      <c r="G18" s="41">
        <v>0</v>
      </c>
      <c r="H18" s="41">
        <v>2</v>
      </c>
      <c r="I18" s="42">
        <f t="shared" ca="1" si="0"/>
        <v>80.476031984008003</v>
      </c>
      <c r="J18" s="34">
        <f ca="1">IFERROR(_xlfn.XLOOKUP(A18,'MODEL SUMMARY'!$B$3:$AL$3,'MODEL SUMMARY'!$B$71:$AL$71)+_xlfn.XLOOKUP($B$3,'Water &amp; Sewer Data'!$C:$C,'Water &amp; Sewer Data'!$K:$K),"")</f>
        <v>2650</v>
      </c>
      <c r="K18" s="34">
        <f ca="1">IFERROR(_xlfn.XLOOKUP(A18,'MODEL SUMMARY'!$B$3:$AL$3,'MODEL SUMMARY'!$B$66:$AL$66),"")</f>
        <v>10875</v>
      </c>
      <c r="L18" s="34">
        <f ca="1">IFERROR(_xlfn.XLOOKUP(A18,'MODEL SUMMARY'!$B$3:$AL$3,'MODEL SUMMARY'!$B$58:$AL$58),"")</f>
        <v>147507.54</v>
      </c>
      <c r="M18" s="42">
        <f t="shared" ca="1" si="1"/>
        <v>73.716911544227884</v>
      </c>
      <c r="N18" s="160">
        <f t="shared" ca="1" si="2"/>
        <v>161032.54</v>
      </c>
      <c r="O18" s="161">
        <v>4100</v>
      </c>
      <c r="P18" s="161">
        <v>8800</v>
      </c>
      <c r="Q18" s="161" t="s">
        <v>25</v>
      </c>
      <c r="R18" s="43" t="s">
        <v>58</v>
      </c>
      <c r="S18" s="186"/>
      <c r="T18" s="44"/>
      <c r="V18" s="234"/>
      <c r="W18" s="271"/>
      <c r="X18" s="273"/>
      <c r="Y18" s="45"/>
      <c r="Z18" s="36"/>
      <c r="AA18" s="15"/>
      <c r="AB18" s="15"/>
    </row>
    <row r="19" spans="1:28" x14ac:dyDescent="0.25">
      <c r="A19" s="37" t="s">
        <v>59</v>
      </c>
      <c r="B19" s="38" t="s">
        <v>24</v>
      </c>
      <c r="C19" s="39">
        <v>1545</v>
      </c>
      <c r="D19" s="108">
        <v>3</v>
      </c>
      <c r="E19" s="108">
        <v>2</v>
      </c>
      <c r="F19" s="40">
        <v>2</v>
      </c>
      <c r="G19" s="41">
        <v>425</v>
      </c>
      <c r="H19" s="41">
        <v>1</v>
      </c>
      <c r="I19" s="42">
        <f t="shared" ca="1" si="0"/>
        <v>92.584310679611661</v>
      </c>
      <c r="J19" s="34">
        <f ca="1">IFERROR(_xlfn.XLOOKUP(A19,'MODEL SUMMARY'!$B$3:$AL$3,'MODEL SUMMARY'!$B$71:$AL$71)+_xlfn.XLOOKUP($B$3,'Water &amp; Sewer Data'!$C:$C,'Water &amp; Sewer Data'!$K:$K),"")</f>
        <v>2650</v>
      </c>
      <c r="K19" s="34">
        <f ca="1">IFERROR(_xlfn.XLOOKUP(A19,'MODEL SUMMARY'!$B$3:$AL$3,'MODEL SUMMARY'!$B$66:$AL$66),"")</f>
        <v>10875</v>
      </c>
      <c r="L19" s="34">
        <f ca="1">IFERROR(_xlfn.XLOOKUP(A19,'MODEL SUMMARY'!$B$3:$AL$3,'MODEL SUMMARY'!$B$58:$AL$58),"")</f>
        <v>129517.76000000001</v>
      </c>
      <c r="M19" s="42">
        <f t="shared" ca="1" si="1"/>
        <v>83.830265372168284</v>
      </c>
      <c r="N19" s="160">
        <f t="shared" ca="1" si="2"/>
        <v>143042.76</v>
      </c>
      <c r="O19" s="161">
        <v>2800</v>
      </c>
      <c r="P19" s="161">
        <v>7300</v>
      </c>
      <c r="Q19" s="161" t="s">
        <v>25</v>
      </c>
      <c r="R19" s="47" t="s">
        <v>26</v>
      </c>
      <c r="S19" s="186"/>
      <c r="T19" s="44"/>
      <c r="V19" s="234"/>
      <c r="W19" s="271"/>
      <c r="X19" s="273"/>
      <c r="Y19" s="45"/>
      <c r="Z19" s="36"/>
      <c r="AA19" s="15"/>
      <c r="AB19" s="15"/>
    </row>
    <row r="20" spans="1:28" x14ac:dyDescent="0.25">
      <c r="A20" s="37" t="s">
        <v>60</v>
      </c>
      <c r="B20" s="38" t="s">
        <v>24</v>
      </c>
      <c r="C20" s="39">
        <v>1170</v>
      </c>
      <c r="D20" s="108">
        <v>3</v>
      </c>
      <c r="E20" s="108">
        <v>2</v>
      </c>
      <c r="F20" s="40">
        <v>1</v>
      </c>
      <c r="G20" s="41">
        <v>246</v>
      </c>
      <c r="H20" s="41">
        <v>1</v>
      </c>
      <c r="I20" s="42">
        <f t="shared" ca="1" si="0"/>
        <v>102.00523931623933</v>
      </c>
      <c r="J20" s="34">
        <f ca="1">IFERROR(_xlfn.XLOOKUP(A20,'MODEL SUMMARY'!$B$3:$AL$3,'MODEL SUMMARY'!$B$71:$AL$71)+_xlfn.XLOOKUP($B$3,'Water &amp; Sewer Data'!$C:$C,'Water &amp; Sewer Data'!$K:$K),"")</f>
        <v>2650</v>
      </c>
      <c r="K20" s="34">
        <f ca="1">IFERROR(_xlfn.XLOOKUP(A20,'MODEL SUMMARY'!$B$3:$AL$3,'MODEL SUMMARY'!$B$66:$AL$66),"")</f>
        <v>10875</v>
      </c>
      <c r="L20" s="34">
        <f ca="1">IFERROR(_xlfn.XLOOKUP(A20,'MODEL SUMMARY'!$B$3:$AL$3,'MODEL SUMMARY'!$B$58:$AL$58),"")</f>
        <v>105821.13</v>
      </c>
      <c r="M20" s="42">
        <f t="shared" ca="1" si="1"/>
        <v>90.445410256410256</v>
      </c>
      <c r="N20" s="160">
        <f t="shared" ca="1" si="2"/>
        <v>119346.13</v>
      </c>
      <c r="O20" s="161">
        <v>3000</v>
      </c>
      <c r="P20" s="161">
        <v>6500</v>
      </c>
      <c r="Q20" s="161" t="s">
        <v>25</v>
      </c>
      <c r="R20" s="47" t="s">
        <v>61</v>
      </c>
      <c r="S20" s="186"/>
      <c r="T20" s="44"/>
      <c r="V20" s="234"/>
      <c r="W20" s="271"/>
      <c r="X20" s="273"/>
      <c r="Y20" s="45"/>
      <c r="Z20" s="36"/>
      <c r="AA20" s="15"/>
      <c r="AB20" s="15"/>
    </row>
    <row r="21" spans="1:28" x14ac:dyDescent="0.25">
      <c r="A21" s="37" t="s">
        <v>62</v>
      </c>
      <c r="B21" s="38" t="s">
        <v>24</v>
      </c>
      <c r="C21" s="39">
        <v>2005</v>
      </c>
      <c r="D21" s="108">
        <v>4</v>
      </c>
      <c r="E21" s="108">
        <v>2.5</v>
      </c>
      <c r="F21" s="40">
        <v>2</v>
      </c>
      <c r="G21" s="41">
        <v>442</v>
      </c>
      <c r="H21" s="41">
        <v>2</v>
      </c>
      <c r="I21" s="42">
        <f t="shared" ca="1" si="0"/>
        <v>78.492543640897765</v>
      </c>
      <c r="J21" s="34">
        <f ca="1">IFERROR(_xlfn.XLOOKUP(A21,'MODEL SUMMARY'!$B$3:$AL$3,'MODEL SUMMARY'!$B$71:$AL$71)+_xlfn.XLOOKUP($B$3,'Water &amp; Sewer Data'!$C:$C,'Water &amp; Sewer Data'!$K:$K),"")</f>
        <v>2650</v>
      </c>
      <c r="K21" s="34">
        <f ca="1">IFERROR(_xlfn.XLOOKUP(A21,'MODEL SUMMARY'!$B$3:$AL$3,'MODEL SUMMARY'!$B$66:$AL$66),"")</f>
        <v>10875</v>
      </c>
      <c r="L21" s="34">
        <f ca="1">IFERROR(_xlfn.XLOOKUP(A21,'MODEL SUMMARY'!$B$3:$AL$3,'MODEL SUMMARY'!$B$58:$AL$58),"")</f>
        <v>143852.55000000002</v>
      </c>
      <c r="M21" s="42">
        <f t="shared" ca="1" si="1"/>
        <v>71.746907730673328</v>
      </c>
      <c r="N21" s="160">
        <f t="shared" ca="1" si="2"/>
        <v>157377.55000000002</v>
      </c>
      <c r="O21" s="161">
        <v>4400</v>
      </c>
      <c r="P21" s="161">
        <v>6700</v>
      </c>
      <c r="Q21" s="161" t="s">
        <v>25</v>
      </c>
      <c r="R21" s="47" t="s">
        <v>63</v>
      </c>
      <c r="S21" s="48"/>
      <c r="T21" s="44"/>
      <c r="V21" s="234"/>
      <c r="W21" s="271"/>
      <c r="X21" s="273"/>
      <c r="Y21" s="45"/>
      <c r="Z21" s="36"/>
      <c r="AA21" s="15"/>
      <c r="AB21" s="15"/>
    </row>
    <row r="22" spans="1:28" x14ac:dyDescent="0.25">
      <c r="A22" s="37" t="s">
        <v>64</v>
      </c>
      <c r="B22" s="38" t="s">
        <v>24</v>
      </c>
      <c r="C22" s="39">
        <v>1857</v>
      </c>
      <c r="D22" s="108">
        <v>4</v>
      </c>
      <c r="E22" s="108">
        <v>2.5</v>
      </c>
      <c r="F22" s="40">
        <v>1</v>
      </c>
      <c r="G22" s="41">
        <v>250</v>
      </c>
      <c r="H22" s="41">
        <v>2</v>
      </c>
      <c r="I22" s="42">
        <f t="shared" ca="1" si="0"/>
        <v>79.383758750673138</v>
      </c>
      <c r="J22" s="34">
        <f ca="1">IFERROR(_xlfn.XLOOKUP(A22,'MODEL SUMMARY'!$B$3:$AL$3,'MODEL SUMMARY'!$B$71:$AL$71)+_xlfn.XLOOKUP($B$3,'Water &amp; Sewer Data'!$C:$C,'Water &amp; Sewer Data'!$K:$K),"")</f>
        <v>2650</v>
      </c>
      <c r="K22" s="34">
        <f ca="1">IFERROR(_xlfn.XLOOKUP(A22,'MODEL SUMMARY'!$B$3:$AL$3,'MODEL SUMMARY'!$B$66:$AL$66),"")</f>
        <v>10875</v>
      </c>
      <c r="L22" s="34">
        <f ca="1">IFERROR(_xlfn.XLOOKUP(A22,'MODEL SUMMARY'!$B$3:$AL$3,'MODEL SUMMARY'!$B$58:$AL$58),"")</f>
        <v>133890.64000000001</v>
      </c>
      <c r="M22" s="42">
        <f t="shared" ca="1" si="1"/>
        <v>72.100506192784067</v>
      </c>
      <c r="N22" s="160">
        <f t="shared" ca="1" si="2"/>
        <v>147415.64000000001</v>
      </c>
      <c r="O22" s="161">
        <v>4100</v>
      </c>
      <c r="P22" s="161">
        <v>9000</v>
      </c>
      <c r="Q22" s="161" t="s">
        <v>25</v>
      </c>
      <c r="R22" s="47" t="s">
        <v>65</v>
      </c>
      <c r="S22" s="48"/>
      <c r="T22" s="44"/>
      <c r="V22" s="234"/>
      <c r="W22" s="271"/>
      <c r="X22" s="273"/>
      <c r="Y22" s="45"/>
      <c r="Z22" s="36"/>
      <c r="AA22" s="15"/>
      <c r="AB22" s="15"/>
    </row>
    <row r="23" spans="1:28" x14ac:dyDescent="0.25">
      <c r="A23" s="37" t="s">
        <v>66</v>
      </c>
      <c r="B23" s="38" t="s">
        <v>67</v>
      </c>
      <c r="C23" s="39">
        <v>1500</v>
      </c>
      <c r="D23" s="108">
        <v>3</v>
      </c>
      <c r="E23" s="108">
        <v>2.5</v>
      </c>
      <c r="F23" s="40">
        <v>1</v>
      </c>
      <c r="G23" s="41">
        <v>244</v>
      </c>
      <c r="H23" s="41">
        <v>2</v>
      </c>
      <c r="I23" s="42">
        <f t="shared" ca="1" si="0"/>
        <v>93.777893333333353</v>
      </c>
      <c r="J23" s="34">
        <f ca="1">IFERROR(_xlfn.XLOOKUP(A23,'MODEL SUMMARY'!$B$3:$AL$3,'MODEL SUMMARY'!$B$71:$AL$71)+_xlfn.XLOOKUP($B$3,'Water &amp; Sewer Data'!$C:$C,'Water &amp; Sewer Data'!$K:$K),"")</f>
        <v>2650</v>
      </c>
      <c r="K23" s="34">
        <f ca="1">IFERROR(_xlfn.XLOOKUP(A23,'MODEL SUMMARY'!$B$3:$AL$3,'MODEL SUMMARY'!$B$66:$AL$66),"")</f>
        <v>10875</v>
      </c>
      <c r="L23" s="34">
        <f ca="1">IFERROR(_xlfn.XLOOKUP(A23,'MODEL SUMMARY'!$B$3:$AL$3,'MODEL SUMMARY'!$B$58:$AL$58),"")</f>
        <v>127141.84000000001</v>
      </c>
      <c r="M23" s="42">
        <f t="shared" ca="1" si="1"/>
        <v>84.761226666666673</v>
      </c>
      <c r="N23" s="160">
        <f ca="1">SUM(J23:L23)</f>
        <v>140666.84000000003</v>
      </c>
      <c r="O23" s="161">
        <v>3800</v>
      </c>
      <c r="P23" s="161">
        <v>8000</v>
      </c>
      <c r="Q23" s="161">
        <v>4500</v>
      </c>
      <c r="R23" s="47" t="s">
        <v>68</v>
      </c>
      <c r="S23" s="48"/>
      <c r="T23" s="44"/>
      <c r="V23" s="234"/>
      <c r="W23" s="271"/>
      <c r="X23" s="273"/>
      <c r="Y23" s="45"/>
      <c r="Z23" s="36"/>
      <c r="AA23" s="15"/>
      <c r="AB23" s="15"/>
    </row>
    <row r="24" spans="1:28" x14ac:dyDescent="0.25">
      <c r="A24" s="37" t="s">
        <v>69</v>
      </c>
      <c r="B24" s="38" t="s">
        <v>67</v>
      </c>
      <c r="C24" s="39">
        <v>1304</v>
      </c>
      <c r="D24" s="108">
        <v>3</v>
      </c>
      <c r="E24" s="108">
        <v>2.5</v>
      </c>
      <c r="F24" s="40">
        <v>0</v>
      </c>
      <c r="G24" s="41">
        <v>0</v>
      </c>
      <c r="H24" s="41">
        <v>2</v>
      </c>
      <c r="I24" s="42">
        <f t="shared" ca="1" si="0"/>
        <v>94.760874233128845</v>
      </c>
      <c r="J24" s="34">
        <f ca="1">IFERROR(_xlfn.XLOOKUP(A24,'MODEL SUMMARY'!$B$3:$AL$3,'MODEL SUMMARY'!$B$71:$AL$71)+_xlfn.XLOOKUP($B$3,'Water &amp; Sewer Data'!$C:$C,'Water &amp; Sewer Data'!$K:$K),"")</f>
        <v>2650</v>
      </c>
      <c r="K24" s="34">
        <f ca="1">IFERROR(_xlfn.XLOOKUP(A24,'MODEL SUMMARY'!$B$3:$AL$3,'MODEL SUMMARY'!$B$66:$AL$66),"")</f>
        <v>10875</v>
      </c>
      <c r="L24" s="34">
        <f ca="1">IFERROR(_xlfn.XLOOKUP(A24,'MODEL SUMMARY'!$B$3:$AL$3,'MODEL SUMMARY'!$B$58:$AL$58),"")</f>
        <v>110043.18000000001</v>
      </c>
      <c r="M24" s="42">
        <f t="shared" ca="1" si="1"/>
        <v>84.388941717791411</v>
      </c>
      <c r="N24" s="161">
        <f t="shared" ref="N24:N26" ca="1" si="3">SUM(J24:L24)</f>
        <v>123568.18000000001</v>
      </c>
      <c r="O24" s="161">
        <v>3900</v>
      </c>
      <c r="P24" s="161">
        <v>8200</v>
      </c>
      <c r="Q24" s="161" t="s">
        <v>25</v>
      </c>
      <c r="R24" s="55" t="s">
        <v>70</v>
      </c>
      <c r="S24" s="48"/>
      <c r="T24" s="44"/>
      <c r="V24" s="234"/>
      <c r="W24" s="271"/>
      <c r="X24" s="273"/>
      <c r="Y24" s="45"/>
      <c r="Z24" s="232"/>
      <c r="AA24" s="15"/>
      <c r="AB24" s="15"/>
    </row>
    <row r="25" spans="1:28" x14ac:dyDescent="0.25">
      <c r="A25" s="37" t="s">
        <v>71</v>
      </c>
      <c r="B25" s="38" t="s">
        <v>67</v>
      </c>
      <c r="C25" s="39">
        <v>1424</v>
      </c>
      <c r="D25" s="108">
        <v>3</v>
      </c>
      <c r="E25" s="108">
        <v>2.5</v>
      </c>
      <c r="F25" s="40">
        <v>0</v>
      </c>
      <c r="G25" s="41">
        <v>32</v>
      </c>
      <c r="H25" s="41">
        <v>2</v>
      </c>
      <c r="I25" s="42">
        <f t="shared" ca="1" si="0"/>
        <v>87.485744382022474</v>
      </c>
      <c r="J25" s="34">
        <f ca="1">IFERROR(_xlfn.XLOOKUP(A25,'MODEL SUMMARY'!$B$3:$AL$3,'MODEL SUMMARY'!$B$71:$AL$71)+_xlfn.XLOOKUP($B$3,'Water &amp; Sewer Data'!$C:$C,'Water &amp; Sewer Data'!$K:$K),"")</f>
        <v>2650</v>
      </c>
      <c r="K25" s="34">
        <f ca="1">IFERROR(_xlfn.XLOOKUP(A25,'MODEL SUMMARY'!$B$3:$AL$3,'MODEL SUMMARY'!$B$66:$AL$66),"")</f>
        <v>10875</v>
      </c>
      <c r="L25" s="34">
        <f ca="1">IFERROR(_xlfn.XLOOKUP(A25,'MODEL SUMMARY'!$B$3:$AL$3,'MODEL SUMMARY'!$B$58:$AL$58),"")</f>
        <v>111054.70000000001</v>
      </c>
      <c r="M25" s="42">
        <f t="shared" ca="1" si="1"/>
        <v>77.987851123595519</v>
      </c>
      <c r="N25" s="161">
        <f t="shared" ca="1" si="3"/>
        <v>124579.70000000001</v>
      </c>
      <c r="O25" s="161">
        <v>4100</v>
      </c>
      <c r="P25" s="161">
        <v>7200</v>
      </c>
      <c r="Q25" s="161">
        <v>5000</v>
      </c>
      <c r="R25" s="55" t="s">
        <v>72</v>
      </c>
      <c r="S25" s="48"/>
      <c r="T25" s="89"/>
      <c r="V25" s="234"/>
      <c r="W25" s="271"/>
      <c r="X25" s="273"/>
      <c r="Y25" s="45"/>
      <c r="Z25" s="36"/>
      <c r="AA25" s="15"/>
      <c r="AB25" s="15"/>
    </row>
    <row r="26" spans="1:28" x14ac:dyDescent="0.25">
      <c r="A26" s="37" t="s">
        <v>73</v>
      </c>
      <c r="B26" s="38" t="s">
        <v>67</v>
      </c>
      <c r="C26" s="39">
        <v>1689</v>
      </c>
      <c r="D26" s="108">
        <v>3</v>
      </c>
      <c r="E26" s="108">
        <v>2.5</v>
      </c>
      <c r="F26" s="40" t="s">
        <v>74</v>
      </c>
      <c r="G26" s="41">
        <v>261</v>
      </c>
      <c r="H26" s="41">
        <v>2</v>
      </c>
      <c r="I26" s="42">
        <f t="shared" ca="1" si="0"/>
        <v>86.398614564831263</v>
      </c>
      <c r="J26" s="34">
        <f ca="1">IFERROR(_xlfn.XLOOKUP(A26,'MODEL SUMMARY'!$B$3:$AL$3,'MODEL SUMMARY'!$B$71:$AL$71)+_xlfn.XLOOKUP($B$3,'Water &amp; Sewer Data'!$C:$C,'Water &amp; Sewer Data'!$K:$K),"")</f>
        <v>2650</v>
      </c>
      <c r="K26" s="34">
        <f ca="1">IFERROR(_xlfn.XLOOKUP(A26,'MODEL SUMMARY'!$B$3:$AL$3,'MODEL SUMMARY'!$B$66:$AL$66),"")</f>
        <v>10875</v>
      </c>
      <c r="L26" s="34">
        <f ca="1">IFERROR(_xlfn.XLOOKUP(A26,'MODEL SUMMARY'!$B$3:$AL$3,'MODEL SUMMARY'!$B$58:$AL$58),"")</f>
        <v>132402.26</v>
      </c>
      <c r="M26" s="42">
        <f t="shared" ca="1" si="1"/>
        <v>78.390917702782716</v>
      </c>
      <c r="N26" s="161">
        <f t="shared" ca="1" si="3"/>
        <v>145927.26</v>
      </c>
      <c r="O26" s="161">
        <v>5000</v>
      </c>
      <c r="P26" s="161">
        <v>8500</v>
      </c>
      <c r="Q26" s="161" t="s">
        <v>25</v>
      </c>
      <c r="R26" s="55" t="s">
        <v>75</v>
      </c>
      <c r="S26" s="48"/>
      <c r="T26" s="89"/>
      <c r="V26" s="234"/>
      <c r="W26" s="271"/>
      <c r="X26" s="273"/>
      <c r="Y26" s="45"/>
      <c r="Z26" s="36"/>
      <c r="AA26" s="15"/>
      <c r="AB26" s="15"/>
    </row>
    <row r="27" spans="1:28" x14ac:dyDescent="0.25">
      <c r="A27" s="37" t="s">
        <v>76</v>
      </c>
      <c r="B27" s="65" t="s">
        <v>67</v>
      </c>
      <c r="C27" s="66">
        <v>1500</v>
      </c>
      <c r="D27" s="67">
        <v>3</v>
      </c>
      <c r="E27" s="67">
        <v>2.5</v>
      </c>
      <c r="F27" s="43" t="s">
        <v>74</v>
      </c>
      <c r="G27" s="68">
        <v>259</v>
      </c>
      <c r="H27" s="68">
        <v>2</v>
      </c>
      <c r="I27" s="42">
        <f t="shared" ref="I27:I32" ca="1" si="4">N27/C27</f>
        <v>92.517893333333333</v>
      </c>
      <c r="J27" s="69">
        <f ca="1">IFERROR(_xlfn.XLOOKUP(A27,'MODEL SUMMARY'!$B$3:$AL$3,'MODEL SUMMARY'!$B$71:$AL$71)+_xlfn.XLOOKUP($B$3,'Water &amp; Sewer Data'!$C:$C,'Water &amp; Sewer Data'!$K:$K),"")</f>
        <v>2650</v>
      </c>
      <c r="K27" s="69">
        <f ca="1">IFERROR(_xlfn.XLOOKUP(A27,'MODEL SUMMARY'!$B$3:$AL$3,'MODEL SUMMARY'!$B$66:$AL$66),"")</f>
        <v>10875</v>
      </c>
      <c r="L27" s="69">
        <f ca="1">IFERROR(_xlfn.XLOOKUP(A27,'MODEL SUMMARY'!$B$3:$AL$3,'MODEL SUMMARY'!$B$58:$AL$58),"")</f>
        <v>125251.84</v>
      </c>
      <c r="M27" s="42">
        <f ca="1">L27/C27</f>
        <v>83.501226666666668</v>
      </c>
      <c r="N27" s="163">
        <f ca="1">SUM(J27:L27)</f>
        <v>138776.84</v>
      </c>
      <c r="O27" s="163">
        <v>3600</v>
      </c>
      <c r="P27" s="163">
        <v>5500</v>
      </c>
      <c r="Q27" s="163">
        <v>6100</v>
      </c>
      <c r="R27" s="67" t="s">
        <v>75</v>
      </c>
      <c r="S27" s="70"/>
      <c r="T27" s="15" t="s">
        <v>77</v>
      </c>
      <c r="V27" s="234"/>
      <c r="W27" s="271"/>
      <c r="X27" s="273"/>
      <c r="Y27" s="15"/>
      <c r="Z27" s="36"/>
      <c r="AA27" s="15"/>
      <c r="AB27" s="15"/>
    </row>
    <row r="28" spans="1:28" x14ac:dyDescent="0.25">
      <c r="A28" s="37" t="s">
        <v>78</v>
      </c>
      <c r="B28" s="65" t="s">
        <v>67</v>
      </c>
      <c r="C28" s="66">
        <v>1729</v>
      </c>
      <c r="D28" s="67">
        <v>3</v>
      </c>
      <c r="E28" s="67">
        <v>2.5</v>
      </c>
      <c r="F28" s="43" t="s">
        <v>74</v>
      </c>
      <c r="G28" s="68">
        <v>270</v>
      </c>
      <c r="H28" s="68">
        <v>3</v>
      </c>
      <c r="I28" s="42">
        <f t="shared" ca="1" si="4"/>
        <v>89.995899363794109</v>
      </c>
      <c r="J28" s="69">
        <f ca="1">IFERROR(_xlfn.XLOOKUP(A28,'MODEL SUMMARY'!$B$3:$AL$3,'MODEL SUMMARY'!$B$71:$AL$71)+_xlfn.XLOOKUP($B$3,'Water &amp; Sewer Data'!$C:$C,'Water &amp; Sewer Data'!$K:$K),"")</f>
        <v>2650</v>
      </c>
      <c r="K28" s="69">
        <f ca="1">IFERROR(_xlfn.XLOOKUP(A28,'MODEL SUMMARY'!$B$3:$AL$3,'MODEL SUMMARY'!$B$66:$AL$66),"")</f>
        <v>10875</v>
      </c>
      <c r="L28" s="69">
        <f ca="1">IFERROR(_xlfn.XLOOKUP(A28,'MODEL SUMMARY'!$B$3:$AL$3,'MODEL SUMMARY'!$B$58:$AL$58),"")</f>
        <v>142077.91</v>
      </c>
      <c r="M28" s="42">
        <f ca="1">L28/C28</f>
        <v>82.173458646616538</v>
      </c>
      <c r="N28" s="163">
        <f ca="1">SUM(J28:L28)</f>
        <v>155602.91</v>
      </c>
      <c r="O28" s="163">
        <v>6500</v>
      </c>
      <c r="P28" s="163">
        <v>7100</v>
      </c>
      <c r="Q28" s="163" t="s">
        <v>25</v>
      </c>
      <c r="R28" s="67" t="s">
        <v>79</v>
      </c>
      <c r="S28" s="189"/>
      <c r="T28" s="15" t="s">
        <v>77</v>
      </c>
      <c r="V28" s="234"/>
      <c r="W28" s="271"/>
      <c r="X28" s="273"/>
      <c r="Y28" s="15"/>
      <c r="Z28" s="232"/>
      <c r="AA28" s="15"/>
      <c r="AB28" s="15"/>
    </row>
    <row r="29" spans="1:28" x14ac:dyDescent="0.25">
      <c r="A29" s="37" t="s">
        <v>80</v>
      </c>
      <c r="B29" s="65" t="s">
        <v>67</v>
      </c>
      <c r="C29" s="66">
        <v>2188</v>
      </c>
      <c r="D29" s="67">
        <v>4</v>
      </c>
      <c r="E29" s="67">
        <v>2.5</v>
      </c>
      <c r="F29" s="43" t="s">
        <v>81</v>
      </c>
      <c r="G29" s="68">
        <f>36+404+88</f>
        <v>528</v>
      </c>
      <c r="H29" s="68">
        <v>2</v>
      </c>
      <c r="I29" s="42">
        <f t="shared" ca="1" si="4"/>
        <v>79.58766910420475</v>
      </c>
      <c r="J29" s="69">
        <f ca="1">IFERROR(_xlfn.XLOOKUP(A29,'MODEL SUMMARY'!$B$3:$AL$3,'MODEL SUMMARY'!$B$71:$AL$71)+_xlfn.XLOOKUP($B$3,'Water &amp; Sewer Data'!$C:$C,'Water &amp; Sewer Data'!$K:$K),"")</f>
        <v>2650</v>
      </c>
      <c r="K29" s="69">
        <f ca="1">IFERROR(_xlfn.XLOOKUP(A29,'MODEL SUMMARY'!$B$3:$AL$3,'MODEL SUMMARY'!$B$66:$AL$66),"")</f>
        <v>10875</v>
      </c>
      <c r="L29" s="69">
        <f ca="1">IFERROR(_xlfn.XLOOKUP(A29,'MODEL SUMMARY'!$B$3:$AL$3,'MODEL SUMMARY'!$B$58:$AL$58),"")</f>
        <v>160612.81999999998</v>
      </c>
      <c r="M29" s="42">
        <f ca="1">L29/C29</f>
        <v>73.406224862888479</v>
      </c>
      <c r="N29" s="163">
        <f ca="1">SUM(J29:L29)</f>
        <v>174137.81999999998</v>
      </c>
      <c r="O29" s="163">
        <v>4700</v>
      </c>
      <c r="P29" s="163">
        <v>8900</v>
      </c>
      <c r="Q29" s="163">
        <v>7300</v>
      </c>
      <c r="R29" s="67" t="s">
        <v>82</v>
      </c>
      <c r="S29" s="189"/>
      <c r="T29" s="15"/>
      <c r="V29" s="234"/>
      <c r="W29" s="271"/>
      <c r="X29" s="273"/>
      <c r="Y29" s="15"/>
      <c r="Z29" s="36"/>
      <c r="AA29" s="15"/>
      <c r="AB29" s="15"/>
    </row>
    <row r="30" spans="1:28" x14ac:dyDescent="0.25">
      <c r="A30" s="37" t="s">
        <v>83</v>
      </c>
      <c r="B30" s="65" t="s">
        <v>67</v>
      </c>
      <c r="C30" s="66">
        <v>1669</v>
      </c>
      <c r="D30" s="67">
        <v>3</v>
      </c>
      <c r="E30" s="67">
        <v>2.5</v>
      </c>
      <c r="F30" s="43" t="s">
        <v>74</v>
      </c>
      <c r="G30" s="68">
        <v>258</v>
      </c>
      <c r="H30" s="68">
        <v>2</v>
      </c>
      <c r="I30" s="42">
        <f t="shared" ca="1" si="4"/>
        <v>88.359550629119255</v>
      </c>
      <c r="J30" s="69">
        <f ca="1">IFERROR(_xlfn.XLOOKUP(A30,'MODEL SUMMARY'!$B$3:$AL$3,'MODEL SUMMARY'!$B$71:$AL$71)+_xlfn.XLOOKUP($B$3,'Water &amp; Sewer Data'!$C:$C,'Water &amp; Sewer Data'!$K:$K),"")</f>
        <v>2650</v>
      </c>
      <c r="K30" s="69">
        <f ca="1">IFERROR(_xlfn.XLOOKUP(A30,'MODEL SUMMARY'!$B$3:$AL$3,'MODEL SUMMARY'!$B$66:$AL$66),"")</f>
        <v>10875</v>
      </c>
      <c r="L30" s="69">
        <f ca="1">IFERROR(_xlfn.XLOOKUP(A30,'MODEL SUMMARY'!$B$3:$AL$3,'MODEL SUMMARY'!$B$58:$AL$58),"")</f>
        <v>133947.09000000003</v>
      </c>
      <c r="M30" s="42">
        <f ca="1">L30/C30</f>
        <v>80.255895745955684</v>
      </c>
      <c r="N30" s="163">
        <f ca="1">SUM(J30:L30)</f>
        <v>147472.09000000003</v>
      </c>
      <c r="O30" s="163">
        <v>4600</v>
      </c>
      <c r="P30" s="163">
        <v>7200</v>
      </c>
      <c r="Q30" s="163" t="s">
        <v>25</v>
      </c>
      <c r="R30" s="67" t="s">
        <v>84</v>
      </c>
      <c r="S30" s="70"/>
      <c r="T30" s="15" t="s">
        <v>77</v>
      </c>
      <c r="V30" s="234"/>
      <c r="W30" s="271"/>
      <c r="X30" s="273"/>
      <c r="Y30" s="15"/>
      <c r="Z30" s="232"/>
      <c r="AA30" s="15"/>
      <c r="AB30" s="15"/>
    </row>
    <row r="31" spans="1:28" x14ac:dyDescent="0.25">
      <c r="A31" s="37" t="s">
        <v>85</v>
      </c>
      <c r="B31" s="65" t="s">
        <v>67</v>
      </c>
      <c r="C31" s="66">
        <v>1798</v>
      </c>
      <c r="D31" s="183">
        <v>3</v>
      </c>
      <c r="E31" s="183">
        <v>3.5</v>
      </c>
      <c r="F31" s="184" t="s">
        <v>86</v>
      </c>
      <c r="G31" s="185">
        <v>324</v>
      </c>
      <c r="H31" s="185">
        <v>3</v>
      </c>
      <c r="I31" s="42">
        <f t="shared" ca="1" si="4"/>
        <v>91.045444938820921</v>
      </c>
      <c r="J31" s="187">
        <f ca="1">IFERROR(_xlfn.XLOOKUP(A31,'MODEL SUMMARY'!$B$3:$AL$3,'MODEL SUMMARY'!$B$71:$AL$71)+_xlfn.XLOOKUP($B$3,'Water &amp; Sewer Data'!$C:$C,'Water &amp; Sewer Data'!$K:$K),"")</f>
        <v>2650</v>
      </c>
      <c r="K31" s="69">
        <f ca="1">IFERROR(_xlfn.XLOOKUP(A31,'MODEL SUMMARY'!$B$3:$AL$3,'MODEL SUMMARY'!$B$66:$AL$66),"")</f>
        <v>10875</v>
      </c>
      <c r="L31" s="188">
        <f ca="1">IFERROR(_xlfn.XLOOKUP(A31,'MODEL SUMMARY'!$B$3:$AL$3,'MODEL SUMMARY'!$B$58:$AL$58),"")</f>
        <v>150174.71000000002</v>
      </c>
      <c r="M31" s="42">
        <f ca="1">L31/C31</f>
        <v>83.523197997775313</v>
      </c>
      <c r="N31" s="163">
        <f ca="1">SUM(J31:L31)</f>
        <v>163699.71000000002</v>
      </c>
      <c r="O31" s="163">
        <v>3900</v>
      </c>
      <c r="P31" s="163">
        <v>8200</v>
      </c>
      <c r="Q31" s="163">
        <v>9000</v>
      </c>
      <c r="R31" s="67" t="s">
        <v>79</v>
      </c>
      <c r="S31" s="186"/>
      <c r="T31" s="44" t="s">
        <v>77</v>
      </c>
      <c r="V31" s="234"/>
      <c r="W31" s="271"/>
      <c r="X31" s="273"/>
      <c r="Y31" s="45"/>
      <c r="Z31" s="36"/>
      <c r="AA31" s="15"/>
      <c r="AB31" s="15"/>
    </row>
    <row r="32" spans="1:28" x14ac:dyDescent="0.25">
      <c r="A32" s="37" t="s">
        <v>87</v>
      </c>
      <c r="B32" s="65" t="s">
        <v>67</v>
      </c>
      <c r="C32" s="66">
        <v>1483</v>
      </c>
      <c r="D32" s="183">
        <v>3</v>
      </c>
      <c r="E32" s="183">
        <v>2.5</v>
      </c>
      <c r="F32" s="184" t="s">
        <v>88</v>
      </c>
      <c r="G32" s="185">
        <v>439</v>
      </c>
      <c r="H32" s="185">
        <v>2</v>
      </c>
      <c r="I32" s="42">
        <f t="shared" ca="1" si="4"/>
        <v>97.328934592043154</v>
      </c>
      <c r="J32" s="187">
        <f ca="1">IFERROR(_xlfn.XLOOKUP(A32,'MODEL SUMMARY'!$B$3:$AL$3,'MODEL SUMMARY'!$B$71:$AL$71)+_xlfn.XLOOKUP($B$3,'Water &amp; Sewer Data'!$C:$C,'Water &amp; Sewer Data'!$K:$K),"")</f>
        <v>2650</v>
      </c>
      <c r="K32" s="69">
        <f ca="1">IFERROR(_xlfn.XLOOKUP(A32,'MODEL SUMMARY'!$B$3:$AL$3,'MODEL SUMMARY'!$B$66:$AL$66),"")</f>
        <v>10875</v>
      </c>
      <c r="L32" s="188">
        <f ca="1">IFERROR(_xlfn.XLOOKUP(A32,'MODEL SUMMARY'!$B$3:$AL$3,'MODEL SUMMARY'!$B$58:$AL$58),"")</f>
        <v>130813.80999999998</v>
      </c>
      <c r="M32" s="42">
        <f t="shared" ref="M32" ca="1" si="5">L32/C32</f>
        <v>88.208907619689811</v>
      </c>
      <c r="N32" s="163">
        <f t="shared" ref="N32" ca="1" si="6">SUM(J32:L32)</f>
        <v>144338.81</v>
      </c>
      <c r="O32" s="163">
        <v>3900</v>
      </c>
      <c r="P32" s="163">
        <v>8200</v>
      </c>
      <c r="Q32" s="163">
        <v>3600</v>
      </c>
      <c r="R32" s="67" t="s">
        <v>75</v>
      </c>
      <c r="S32" s="186"/>
      <c r="T32" s="44"/>
      <c r="V32" s="234"/>
      <c r="W32" s="271"/>
      <c r="X32" s="273"/>
      <c r="Y32" s="45"/>
      <c r="Z32" s="36"/>
      <c r="AA32" s="15"/>
      <c r="AB32" s="15"/>
    </row>
    <row r="33" spans="1:28" x14ac:dyDescent="0.25">
      <c r="A33" s="37" t="s">
        <v>89</v>
      </c>
      <c r="B33" s="65" t="s">
        <v>67</v>
      </c>
      <c r="C33" s="66">
        <v>1689</v>
      </c>
      <c r="D33" s="183">
        <v>3</v>
      </c>
      <c r="E33" s="183">
        <v>2.5</v>
      </c>
      <c r="F33" s="184" t="s">
        <v>88</v>
      </c>
      <c r="G33" s="185">
        <v>445</v>
      </c>
      <c r="H33" s="185" t="s">
        <v>88</v>
      </c>
      <c r="I33" s="42">
        <f t="shared" ref="I33:I40" ca="1" si="7">N33/C33</f>
        <v>87.085968028419188</v>
      </c>
      <c r="J33" s="187">
        <f ca="1">IFERROR(_xlfn.XLOOKUP(A33,'MODEL SUMMARY'!$B$3:$AL$3,'MODEL SUMMARY'!$B$71:$AL$71)+_xlfn.XLOOKUP($B$3,'Water &amp; Sewer Data'!$C:$C,'Water &amp; Sewer Data'!$K:$K),"")</f>
        <v>2650</v>
      </c>
      <c r="K33" s="69">
        <f ca="1">IFERROR(_xlfn.XLOOKUP(A33,'MODEL SUMMARY'!$B$3:$AL$3,'MODEL SUMMARY'!$B$66:$AL$66),"")</f>
        <v>10875</v>
      </c>
      <c r="L33" s="188">
        <f ca="1">IFERROR(_xlfn.XLOOKUP(A33,'MODEL SUMMARY'!$B$3:$AL$3,'MODEL SUMMARY'!$B$58:$AL$58),"")</f>
        <v>133563.20000000001</v>
      </c>
      <c r="M33" s="42">
        <f t="shared" ref="M33:M40" ca="1" si="8">L33/C33</f>
        <v>79.078271166370641</v>
      </c>
      <c r="N33" s="163">
        <f t="shared" ref="N33:N34" ca="1" si="9">SUM(J33:L33)</f>
        <v>147088.20000000001</v>
      </c>
      <c r="O33" s="163">
        <v>3300</v>
      </c>
      <c r="P33" s="163">
        <v>2700</v>
      </c>
      <c r="Q33" s="163" t="s">
        <v>25</v>
      </c>
      <c r="R33" s="67" t="s">
        <v>90</v>
      </c>
      <c r="S33" s="189"/>
      <c r="T33" s="44"/>
      <c r="V33" s="234"/>
      <c r="W33" s="271"/>
      <c r="X33" s="273"/>
      <c r="Y33" s="45"/>
      <c r="Z33" s="36"/>
      <c r="AA33" s="15"/>
      <c r="AB33" s="15"/>
    </row>
    <row r="34" spans="1:28" x14ac:dyDescent="0.25">
      <c r="A34" s="244" t="s">
        <v>91</v>
      </c>
      <c r="B34" s="65" t="s">
        <v>67</v>
      </c>
      <c r="C34" s="66">
        <v>1993</v>
      </c>
      <c r="D34" s="183">
        <v>3</v>
      </c>
      <c r="E34" s="183">
        <v>2.5</v>
      </c>
      <c r="F34" s="183" t="s">
        <v>88</v>
      </c>
      <c r="G34" s="183">
        <v>480</v>
      </c>
      <c r="H34" s="183">
        <v>2</v>
      </c>
      <c r="I34" s="42">
        <f t="shared" ca="1" si="7"/>
        <v>80.474691419969886</v>
      </c>
      <c r="J34" s="69">
        <f ca="1">IFERROR(_xlfn.XLOOKUP(A34,'MODEL SUMMARY'!$B$3:$AL$3,'MODEL SUMMARY'!$B$71:$AL$71)+_xlfn.XLOOKUP($B$3,'Water &amp; Sewer Data'!$C:$C,'Water &amp; Sewer Data'!$K:$K),"")</f>
        <v>2650</v>
      </c>
      <c r="K34" s="69">
        <f ca="1">IFERROR(_xlfn.XLOOKUP(A34,'MODEL SUMMARY'!$B$3:$AL$3,'MODEL SUMMARY'!$B$66:$AL$66),"")</f>
        <v>10875</v>
      </c>
      <c r="L34" s="69">
        <f ca="1">IFERROR(_xlfn.XLOOKUP(A34,'MODEL SUMMARY'!$B$3:$AL$3,'MODEL SUMMARY'!$B$58:$AL$58),"")</f>
        <v>146861.06</v>
      </c>
      <c r="M34" s="42">
        <f t="shared" ca="1" si="8"/>
        <v>73.688439538384344</v>
      </c>
      <c r="N34" s="163">
        <f t="shared" ca="1" si="9"/>
        <v>160386.06</v>
      </c>
      <c r="O34" s="163">
        <v>5500</v>
      </c>
      <c r="P34" s="163">
        <v>8600</v>
      </c>
      <c r="Q34" s="163">
        <v>4400</v>
      </c>
      <c r="R34" s="67"/>
      <c r="S34" s="189"/>
      <c r="T34" s="89"/>
      <c r="V34" s="268"/>
      <c r="W34" s="271"/>
      <c r="X34" s="273"/>
      <c r="Y34" s="45"/>
      <c r="Z34" s="36"/>
      <c r="AA34" s="15"/>
      <c r="AB34" s="15"/>
    </row>
    <row r="35" spans="1:28" x14ac:dyDescent="0.25">
      <c r="A35" s="244" t="s">
        <v>92</v>
      </c>
      <c r="B35" s="65" t="s">
        <v>67</v>
      </c>
      <c r="C35" s="66">
        <v>1700</v>
      </c>
      <c r="D35" s="183">
        <v>3</v>
      </c>
      <c r="E35" s="183">
        <v>2.5</v>
      </c>
      <c r="F35" s="183" t="s">
        <v>86</v>
      </c>
      <c r="G35" s="183">
        <v>241</v>
      </c>
      <c r="H35" s="183">
        <v>2</v>
      </c>
      <c r="I35" s="42">
        <f t="shared" ca="1" si="7"/>
        <v>84.541547058823525</v>
      </c>
      <c r="J35" s="69">
        <f ca="1">IFERROR(_xlfn.XLOOKUP(A35,'MODEL SUMMARY'!$B$3:$AL$3,'MODEL SUMMARY'!$B$71:$AL$71)+_xlfn.XLOOKUP($B$3,'Water &amp; Sewer Data'!$C:$C,'Water &amp; Sewer Data'!$K:$K),"")</f>
        <v>2650</v>
      </c>
      <c r="K35" s="69">
        <f ca="1">IFERROR(_xlfn.XLOOKUP(A35,'MODEL SUMMARY'!$B$3:$AL$3,'MODEL SUMMARY'!$B$66:$AL$66),"")</f>
        <v>10875</v>
      </c>
      <c r="L35" s="69">
        <f ca="1">IFERROR(_xlfn.XLOOKUP(A35,'MODEL SUMMARY'!$B$3:$AL$3,'MODEL SUMMARY'!$B$58:$AL$58),"")</f>
        <v>130195.62999999999</v>
      </c>
      <c r="M35" s="42">
        <f t="shared" ca="1" si="8"/>
        <v>76.585664705882351</v>
      </c>
      <c r="N35" s="163">
        <f ca="1">SUM(J35:L35)</f>
        <v>143720.63</v>
      </c>
      <c r="O35" s="163">
        <v>4600</v>
      </c>
      <c r="P35" s="163">
        <v>8800</v>
      </c>
      <c r="Q35" s="163">
        <v>5900</v>
      </c>
      <c r="R35" s="67" t="s">
        <v>68</v>
      </c>
      <c r="S35" s="189"/>
      <c r="T35" s="248" t="s">
        <v>93</v>
      </c>
      <c r="V35" s="234"/>
      <c r="W35" s="271"/>
      <c r="X35" s="233"/>
      <c r="Y35" s="15"/>
      <c r="Z35" s="36"/>
      <c r="AA35" s="15"/>
      <c r="AB35" s="15"/>
    </row>
    <row r="36" spans="1:28" x14ac:dyDescent="0.25">
      <c r="A36" s="37" t="s">
        <v>94</v>
      </c>
      <c r="B36" s="65" t="s">
        <v>67</v>
      </c>
      <c r="C36" s="66">
        <v>1796</v>
      </c>
      <c r="D36" s="67">
        <v>4</v>
      </c>
      <c r="E36" s="67">
        <v>2.5</v>
      </c>
      <c r="F36" s="43">
        <v>2</v>
      </c>
      <c r="G36" s="68">
        <v>354</v>
      </c>
      <c r="H36" s="68" t="s">
        <v>86</v>
      </c>
      <c r="I36" s="42">
        <f t="shared" ca="1" si="7"/>
        <v>86.312600222717151</v>
      </c>
      <c r="J36" s="69">
        <f ca="1">IFERROR(_xlfn.XLOOKUP(A36,'MODEL SUMMARY'!$B$3:$AL$3,'MODEL SUMMARY'!$B$71:$AL$71)+_xlfn.XLOOKUP($B$3,'Water &amp; Sewer Data'!$C:$C,'Water &amp; Sewer Data'!$K:$K),"")</f>
        <v>2650</v>
      </c>
      <c r="K36" s="69">
        <f ca="1">IFERROR(_xlfn.XLOOKUP(A36,'MODEL SUMMARY'!$B$3:$AL$3,'MODEL SUMMARY'!$B$66:$AL$66),"")</f>
        <v>10875</v>
      </c>
      <c r="L36" s="69">
        <f ca="1">IFERROR(_xlfn.XLOOKUP(A36,'MODEL SUMMARY'!$B$3:$AL$3,'MODEL SUMMARY'!$B$58:$AL$58),"")</f>
        <v>141492.43</v>
      </c>
      <c r="M36" s="42">
        <f t="shared" ca="1" si="8"/>
        <v>78.781976614699332</v>
      </c>
      <c r="N36" s="163">
        <f t="shared" ref="N36:N39" ca="1" si="10">SUM(J36:L36)</f>
        <v>155017.43</v>
      </c>
      <c r="O36" s="163">
        <v>6300</v>
      </c>
      <c r="P36" s="163">
        <v>9200</v>
      </c>
      <c r="Q36" s="163">
        <v>4800</v>
      </c>
      <c r="R36" s="67" t="s">
        <v>95</v>
      </c>
      <c r="S36" s="70"/>
      <c r="T36" s="72"/>
      <c r="V36" s="234"/>
      <c r="W36" s="271"/>
      <c r="X36" s="233"/>
      <c r="Y36" s="15"/>
      <c r="Z36" s="232"/>
      <c r="AA36" s="15"/>
      <c r="AB36" s="15"/>
    </row>
    <row r="37" spans="1:28" x14ac:dyDescent="0.25">
      <c r="A37" s="37" t="s">
        <v>96</v>
      </c>
      <c r="B37" s="65" t="s">
        <v>67</v>
      </c>
      <c r="C37" s="66">
        <v>1548</v>
      </c>
      <c r="D37" s="67">
        <v>3</v>
      </c>
      <c r="E37" s="67">
        <v>2.5</v>
      </c>
      <c r="F37" s="43">
        <v>1</v>
      </c>
      <c r="G37" s="68"/>
      <c r="H37" s="68"/>
      <c r="I37" s="42">
        <f t="shared" ca="1" si="7"/>
        <v>89.412790697674424</v>
      </c>
      <c r="J37" s="69">
        <f ca="1">IFERROR(_xlfn.XLOOKUP(A37,'MODEL SUMMARY'!$B$3:$AL$3,'MODEL SUMMARY'!$B$71:$AL$71)+_xlfn.XLOOKUP($B$3,'Water &amp; Sewer Data'!$C:$C,'Water &amp; Sewer Data'!$K:$K),"")</f>
        <v>2650</v>
      </c>
      <c r="K37" s="69">
        <f ca="1">IFERROR(_xlfn.XLOOKUP(A37,'MODEL SUMMARY'!$B$3:$AL$3,'MODEL SUMMARY'!$B$66:$AL$66),"")</f>
        <v>10875</v>
      </c>
      <c r="L37" s="69">
        <f ca="1">IFERROR(_xlfn.XLOOKUP(A37,'MODEL SUMMARY'!$B$3:$AL$3,'MODEL SUMMARY'!$B$58:$AL$58),"")</f>
        <v>124886</v>
      </c>
      <c r="M37" s="42">
        <f t="shared" ca="1" si="8"/>
        <v>80.675710594315248</v>
      </c>
      <c r="N37" s="163">
        <f t="shared" ca="1" si="10"/>
        <v>138411</v>
      </c>
      <c r="O37" s="163">
        <v>5700</v>
      </c>
      <c r="P37" s="163">
        <v>8500</v>
      </c>
      <c r="Q37" s="163">
        <v>5200</v>
      </c>
      <c r="R37" s="67"/>
      <c r="S37" s="70"/>
      <c r="T37" s="72"/>
      <c r="V37" s="234"/>
      <c r="W37" s="271"/>
      <c r="X37" s="233"/>
      <c r="Y37" s="15"/>
      <c r="Z37" s="36"/>
      <c r="AA37" s="15"/>
      <c r="AB37" s="15"/>
    </row>
    <row r="38" spans="1:28" x14ac:dyDescent="0.25">
      <c r="A38" s="37" t="s">
        <v>97</v>
      </c>
      <c r="B38" s="65" t="s">
        <v>67</v>
      </c>
      <c r="C38" s="66">
        <v>1892</v>
      </c>
      <c r="D38" s="67"/>
      <c r="E38" s="67"/>
      <c r="F38" s="43">
        <v>2</v>
      </c>
      <c r="G38" s="68"/>
      <c r="H38" s="68"/>
      <c r="I38" s="42">
        <f t="shared" ca="1" si="7"/>
        <v>93.315792811839316</v>
      </c>
      <c r="J38" s="69">
        <f ca="1">IFERROR(_xlfn.XLOOKUP(A38,'MODEL SUMMARY'!$B$3:$AL$3,'MODEL SUMMARY'!$B$71:$AL$71)+_xlfn.XLOOKUP($B$3,'Water &amp; Sewer Data'!$C:$C,'Water &amp; Sewer Data'!$K:$K),"")</f>
        <v>2650</v>
      </c>
      <c r="K38" s="69">
        <f ca="1">IFERROR(_xlfn.XLOOKUP(A38,'MODEL SUMMARY'!$B$3:$AL$3,'MODEL SUMMARY'!$B$66:$AL$66),"")</f>
        <v>10875</v>
      </c>
      <c r="L38" s="69">
        <f ca="1">IFERROR(_xlfn.XLOOKUP(A38,'MODEL SUMMARY'!$B$3:$AL$3,'MODEL SUMMARY'!$B$58:$AL$58),"")</f>
        <v>163028.47999999998</v>
      </c>
      <c r="M38" s="42">
        <f ca="1">L38/C38</f>
        <v>86.167272727272717</v>
      </c>
      <c r="N38" s="163">
        <f t="shared" ca="1" si="10"/>
        <v>176553.47999999998</v>
      </c>
      <c r="O38" s="163">
        <v>4700</v>
      </c>
      <c r="P38" s="163">
        <v>5900</v>
      </c>
      <c r="Q38" s="163">
        <v>7700</v>
      </c>
      <c r="R38" s="67"/>
      <c r="S38" s="70"/>
      <c r="T38" s="72"/>
      <c r="V38" s="234"/>
      <c r="W38" s="271"/>
      <c r="X38" s="233"/>
      <c r="Y38" s="15"/>
      <c r="Z38" s="36"/>
      <c r="AA38" s="15"/>
      <c r="AB38" s="15"/>
    </row>
    <row r="39" spans="1:28" ht="15.75" thickBot="1" x14ac:dyDescent="0.3">
      <c r="A39" s="106" t="s">
        <v>98</v>
      </c>
      <c r="B39" s="249" t="s">
        <v>67</v>
      </c>
      <c r="C39" s="179">
        <v>1748</v>
      </c>
      <c r="D39" s="182">
        <v>3</v>
      </c>
      <c r="E39" s="182">
        <v>3.5</v>
      </c>
      <c r="F39" s="245">
        <v>2</v>
      </c>
      <c r="G39" s="246"/>
      <c r="H39" s="246"/>
      <c r="I39" s="210">
        <f t="shared" ca="1" si="7"/>
        <v>94.490446224256303</v>
      </c>
      <c r="J39" s="180">
        <f ca="1">IFERROR(_xlfn.XLOOKUP(A39,'MODEL SUMMARY'!$B$3:$AL$3,'MODEL SUMMARY'!$B$71:$AL$71)+_xlfn.XLOOKUP($B$3,'Water &amp; Sewer Data'!$C:$C,'Water &amp; Sewer Data'!$K:$K),"")</f>
        <v>2650</v>
      </c>
      <c r="K39" s="180">
        <f ca="1">IFERROR(_xlfn.XLOOKUP(A39,'MODEL SUMMARY'!$B$3:$AL$3,'MODEL SUMMARY'!$B$66:$AL$66),"")</f>
        <v>10875</v>
      </c>
      <c r="L39" s="180">
        <f ca="1">IFERROR(_xlfn.XLOOKUP(A39,'MODEL SUMMARY'!$B$3:$AL$3,'MODEL SUMMARY'!$B$58:$AL$58),"")</f>
        <v>151644.30000000002</v>
      </c>
      <c r="M39" s="210">
        <f t="shared" ca="1" si="8"/>
        <v>86.753032036613277</v>
      </c>
      <c r="N39" s="181">
        <f t="shared" ca="1" si="10"/>
        <v>165169.30000000002</v>
      </c>
      <c r="O39" s="181">
        <v>6600</v>
      </c>
      <c r="P39" s="181">
        <v>11200</v>
      </c>
      <c r="Q39" s="181">
        <v>6200</v>
      </c>
      <c r="R39" s="182"/>
      <c r="S39" s="247"/>
      <c r="T39" s="72"/>
      <c r="V39" s="234"/>
      <c r="W39" s="271"/>
      <c r="X39" s="233"/>
      <c r="Y39" s="15"/>
      <c r="Z39" s="232"/>
      <c r="AA39" s="15"/>
      <c r="AB39" s="15"/>
    </row>
    <row r="40" spans="1:28" x14ac:dyDescent="0.25">
      <c r="A40" s="37" t="s">
        <v>99</v>
      </c>
      <c r="B40" s="65" t="s">
        <v>24</v>
      </c>
      <c r="C40" s="66">
        <v>2168</v>
      </c>
      <c r="D40" s="67">
        <v>3</v>
      </c>
      <c r="E40" s="67">
        <v>2.5</v>
      </c>
      <c r="F40" s="43">
        <v>2</v>
      </c>
      <c r="G40" s="68">
        <v>400</v>
      </c>
      <c r="H40" s="68">
        <v>2</v>
      </c>
      <c r="I40" s="42">
        <f t="shared" ca="1" si="7"/>
        <v>80.229026752767538</v>
      </c>
      <c r="J40" s="69">
        <f ca="1">IFERROR(_xlfn.XLOOKUP(A40,'MODEL SUMMARY'!$B$3:$AL$3,'MODEL SUMMARY'!$B$71:$AL$71)+_xlfn.XLOOKUP($B$3,'Water &amp; Sewer Data'!$C:$C,'Water &amp; Sewer Data'!$K:$K),"")</f>
        <v>2650</v>
      </c>
      <c r="K40" s="69">
        <f ca="1">IFERROR(_xlfn.XLOOKUP(A40,'MODEL SUMMARY'!$B$3:$AL$3,'MODEL SUMMARY'!$B$66:$AL$66),"")</f>
        <v>10875</v>
      </c>
      <c r="L40" s="69">
        <f ca="1">IFERROR(_xlfn.XLOOKUP(A40,'MODEL SUMMARY'!$B$3:$AL$3,'MODEL SUMMARY'!$B$58:$AL$58),"")</f>
        <v>160411.53000000003</v>
      </c>
      <c r="M40" s="42">
        <f t="shared" ca="1" si="8"/>
        <v>73.990558118081196</v>
      </c>
      <c r="N40" s="163">
        <f ca="1">SUM(J40:L40)</f>
        <v>173936.53000000003</v>
      </c>
      <c r="O40" s="163">
        <v>5050</v>
      </c>
      <c r="P40" s="163">
        <v>10100</v>
      </c>
      <c r="Q40" s="163" t="s">
        <v>25</v>
      </c>
      <c r="R40" s="67" t="s">
        <v>33</v>
      </c>
      <c r="S40" s="70"/>
      <c r="T40" s="71"/>
      <c r="V40" s="234"/>
      <c r="W40" s="271"/>
      <c r="X40" s="274"/>
      <c r="Y40" s="15"/>
      <c r="Z40" s="36"/>
      <c r="AA40" s="15"/>
      <c r="AB40" s="15"/>
    </row>
    <row r="41" spans="1:28" x14ac:dyDescent="0.25">
      <c r="A41" s="56" t="s">
        <v>100</v>
      </c>
      <c r="B41" s="57" t="s">
        <v>24</v>
      </c>
      <c r="C41" s="58">
        <v>2219</v>
      </c>
      <c r="D41" s="59">
        <v>3</v>
      </c>
      <c r="E41" s="59">
        <v>3</v>
      </c>
      <c r="F41" s="60">
        <v>2</v>
      </c>
      <c r="G41" s="61">
        <v>496</v>
      </c>
      <c r="H41" s="61">
        <v>1.5</v>
      </c>
      <c r="I41" s="62">
        <f>N41/C41</f>
        <v>84.730509238395669</v>
      </c>
      <c r="J41" s="73">
        <v>2650</v>
      </c>
      <c r="K41" s="73">
        <v>10875</v>
      </c>
      <c r="L41" s="73">
        <v>174492</v>
      </c>
      <c r="M41" s="62">
        <f>L41/C41</f>
        <v>78.63542136097341</v>
      </c>
      <c r="N41" s="164">
        <f>SUM(J41:L41)</f>
        <v>188017</v>
      </c>
      <c r="O41" s="164"/>
      <c r="P41" s="164"/>
      <c r="Q41" s="164"/>
      <c r="R41" s="59" t="s">
        <v>101</v>
      </c>
      <c r="S41" s="63"/>
      <c r="T41" s="35" t="s">
        <v>102</v>
      </c>
      <c r="V41" s="234"/>
      <c r="W41" s="271"/>
      <c r="X41" s="272"/>
      <c r="Y41" s="15"/>
      <c r="Z41" s="232"/>
      <c r="AA41" s="15"/>
      <c r="AB41" s="15"/>
    </row>
    <row r="42" spans="1:28" x14ac:dyDescent="0.25">
      <c r="A42" s="56" t="s">
        <v>103</v>
      </c>
      <c r="B42" s="57" t="s">
        <v>24</v>
      </c>
      <c r="C42" s="58">
        <v>1188</v>
      </c>
      <c r="D42" s="59">
        <v>3</v>
      </c>
      <c r="E42" s="59">
        <v>2</v>
      </c>
      <c r="F42" s="60">
        <v>2</v>
      </c>
      <c r="G42" s="61">
        <v>406</v>
      </c>
      <c r="H42" s="61">
        <v>1</v>
      </c>
      <c r="I42" s="62">
        <f t="shared" ref="I42:I52" si="11">N42/C42</f>
        <v>145.25420875420875</v>
      </c>
      <c r="J42" s="73">
        <v>19289</v>
      </c>
      <c r="K42" s="73">
        <v>12513</v>
      </c>
      <c r="L42" s="73">
        <v>140760</v>
      </c>
      <c r="M42" s="62">
        <f t="shared" si="1"/>
        <v>118.48484848484848</v>
      </c>
      <c r="N42" s="164">
        <f t="shared" ref="N42:N54" si="12">SUM(J42:L42)</f>
        <v>172562</v>
      </c>
      <c r="O42" s="164"/>
      <c r="P42" s="164"/>
      <c r="Q42" s="164"/>
      <c r="R42" s="59" t="s">
        <v>104</v>
      </c>
      <c r="S42" s="63"/>
      <c r="T42" s="74"/>
      <c r="V42" s="234"/>
      <c r="W42" s="271"/>
      <c r="X42" s="274"/>
      <c r="Y42" s="15"/>
      <c r="Z42" s="36"/>
      <c r="AA42" s="15"/>
      <c r="AB42" s="15"/>
    </row>
    <row r="43" spans="1:28" x14ac:dyDescent="0.25">
      <c r="A43" s="56" t="s">
        <v>105</v>
      </c>
      <c r="B43" s="57" t="s">
        <v>24</v>
      </c>
      <c r="C43" s="58">
        <v>2295</v>
      </c>
      <c r="D43" s="59">
        <v>4</v>
      </c>
      <c r="E43" s="59">
        <v>2.5</v>
      </c>
      <c r="F43" s="60">
        <v>2</v>
      </c>
      <c r="G43" s="61">
        <v>408</v>
      </c>
      <c r="H43" s="61">
        <v>2</v>
      </c>
      <c r="I43" s="62">
        <f t="shared" si="11"/>
        <v>93.831372549019605</v>
      </c>
      <c r="J43" s="73">
        <v>19289</v>
      </c>
      <c r="K43" s="73">
        <v>12513</v>
      </c>
      <c r="L43" s="73">
        <v>183541</v>
      </c>
      <c r="M43" s="62">
        <f t="shared" si="1"/>
        <v>79.974291938997823</v>
      </c>
      <c r="N43" s="164">
        <f t="shared" si="12"/>
        <v>215343</v>
      </c>
      <c r="O43" s="164"/>
      <c r="P43" s="164"/>
      <c r="Q43" s="164"/>
      <c r="R43" s="59" t="s">
        <v>106</v>
      </c>
      <c r="S43" s="63"/>
      <c r="T43" s="74"/>
      <c r="V43" s="234"/>
      <c r="W43" s="271"/>
      <c r="X43" s="84"/>
      <c r="Y43" s="15"/>
      <c r="Z43" s="36"/>
      <c r="AA43" s="15"/>
      <c r="AB43" s="15"/>
    </row>
    <row r="44" spans="1:28" x14ac:dyDescent="0.25">
      <c r="A44" s="56" t="s">
        <v>107</v>
      </c>
      <c r="B44" s="57" t="s">
        <v>24</v>
      </c>
      <c r="C44" s="58">
        <v>2295</v>
      </c>
      <c r="D44" s="59">
        <v>4</v>
      </c>
      <c r="E44" s="59">
        <v>2.5</v>
      </c>
      <c r="F44" s="60">
        <v>2</v>
      </c>
      <c r="G44" s="61">
        <v>408</v>
      </c>
      <c r="H44" s="61">
        <v>2</v>
      </c>
      <c r="I44" s="62">
        <f t="shared" si="11"/>
        <v>95.431372549019613</v>
      </c>
      <c r="J44" s="73">
        <v>19289</v>
      </c>
      <c r="K44" s="73">
        <v>12513</v>
      </c>
      <c r="L44" s="73">
        <v>187213</v>
      </c>
      <c r="M44" s="62">
        <f t="shared" si="1"/>
        <v>81.574291938997817</v>
      </c>
      <c r="N44" s="164">
        <f t="shared" si="12"/>
        <v>219015</v>
      </c>
      <c r="O44" s="164"/>
      <c r="P44" s="164"/>
      <c r="Q44" s="164"/>
      <c r="R44" s="59" t="s">
        <v>106</v>
      </c>
      <c r="S44" s="63"/>
      <c r="T44" s="74"/>
      <c r="V44" s="234"/>
      <c r="W44" s="271"/>
      <c r="X44" s="84"/>
      <c r="Y44" s="15"/>
      <c r="Z44" s="36"/>
      <c r="AA44" s="15"/>
      <c r="AB44" s="15"/>
    </row>
    <row r="45" spans="1:28" x14ac:dyDescent="0.25">
      <c r="A45" s="56" t="s">
        <v>108</v>
      </c>
      <c r="B45" s="57" t="s">
        <v>67</v>
      </c>
      <c r="C45" s="58">
        <v>1700</v>
      </c>
      <c r="D45" s="59">
        <v>3</v>
      </c>
      <c r="E45" s="59">
        <v>2.5</v>
      </c>
      <c r="F45" s="60" t="s">
        <v>74</v>
      </c>
      <c r="G45" s="61">
        <v>241</v>
      </c>
      <c r="H45" s="61">
        <v>2</v>
      </c>
      <c r="I45" s="62">
        <f>N45/C45</f>
        <v>86.818823529411759</v>
      </c>
      <c r="J45" s="73">
        <v>2650</v>
      </c>
      <c r="K45" s="73">
        <v>10875</v>
      </c>
      <c r="L45" s="73">
        <v>134067</v>
      </c>
      <c r="M45" s="62">
        <f>L45/C45</f>
        <v>78.862941176470585</v>
      </c>
      <c r="N45" s="164">
        <f>SUM(J45:L45)</f>
        <v>147592</v>
      </c>
      <c r="O45" s="164"/>
      <c r="P45" s="164"/>
      <c r="Q45" s="164"/>
      <c r="R45" s="59" t="s">
        <v>75</v>
      </c>
      <c r="S45" s="63"/>
      <c r="T45" s="44"/>
      <c r="U45" s="269"/>
      <c r="V45" s="269"/>
      <c r="W45" s="269"/>
      <c r="X45" s="269"/>
      <c r="Y45" s="45"/>
      <c r="Z45" s="36"/>
      <c r="AA45" s="15"/>
      <c r="AB45" s="15"/>
    </row>
    <row r="46" spans="1:28" x14ac:dyDescent="0.25">
      <c r="A46" s="56" t="s">
        <v>109</v>
      </c>
      <c r="B46" s="57" t="s">
        <v>24</v>
      </c>
      <c r="C46" s="58">
        <v>2217</v>
      </c>
      <c r="D46" s="59">
        <v>4</v>
      </c>
      <c r="E46" s="59">
        <v>3</v>
      </c>
      <c r="F46" s="60">
        <v>2</v>
      </c>
      <c r="G46" s="61">
        <v>412</v>
      </c>
      <c r="H46" s="61">
        <v>2</v>
      </c>
      <c r="I46" s="62">
        <f>N46/C46</f>
        <v>77.363103292737932</v>
      </c>
      <c r="J46" s="73">
        <v>2650</v>
      </c>
      <c r="K46" s="73">
        <v>10875</v>
      </c>
      <c r="L46" s="73">
        <v>157989</v>
      </c>
      <c r="M46" s="62">
        <f>L46/C46</f>
        <v>71.262516914749668</v>
      </c>
      <c r="N46" s="164">
        <f>SUM(J46:L46)</f>
        <v>171514</v>
      </c>
      <c r="O46" s="164"/>
      <c r="P46" s="164"/>
      <c r="Q46" s="164"/>
      <c r="R46" s="59" t="s">
        <v>56</v>
      </c>
      <c r="S46" s="63"/>
      <c r="T46" s="44"/>
      <c r="U46" s="269"/>
      <c r="V46" s="269"/>
      <c r="W46" s="269"/>
      <c r="X46" s="269"/>
      <c r="Y46" s="45"/>
      <c r="Z46" s="36"/>
      <c r="AA46" s="15"/>
      <c r="AB46" s="15"/>
    </row>
    <row r="47" spans="1:28" x14ac:dyDescent="0.25">
      <c r="A47" s="56" t="s">
        <v>110</v>
      </c>
      <c r="B47" s="57" t="s">
        <v>24</v>
      </c>
      <c r="C47" s="58">
        <v>2781</v>
      </c>
      <c r="D47" s="59">
        <v>3</v>
      </c>
      <c r="E47" s="59">
        <v>2.5</v>
      </c>
      <c r="F47" s="60">
        <v>2</v>
      </c>
      <c r="G47" s="61">
        <v>403</v>
      </c>
      <c r="H47" s="61">
        <v>2</v>
      </c>
      <c r="I47" s="62">
        <f>N47/C47</f>
        <v>84.536857245595115</v>
      </c>
      <c r="J47" s="73">
        <v>19289</v>
      </c>
      <c r="K47" s="73">
        <v>12513</v>
      </c>
      <c r="L47" s="73">
        <v>203295</v>
      </c>
      <c r="M47" s="62">
        <f>L47/C47</f>
        <v>73.101402373247026</v>
      </c>
      <c r="N47" s="164">
        <f>SUM(J47:L47)</f>
        <v>235097</v>
      </c>
      <c r="O47" s="164"/>
      <c r="P47" s="164"/>
      <c r="Q47" s="164"/>
      <c r="R47" s="59" t="s">
        <v>106</v>
      </c>
      <c r="S47" s="63"/>
      <c r="T47" s="74"/>
      <c r="U47" s="84"/>
      <c r="V47" s="84"/>
      <c r="W47" s="84"/>
      <c r="X47" s="84"/>
      <c r="Y47" s="15"/>
      <c r="Z47" s="36"/>
      <c r="AA47" s="15"/>
      <c r="AB47" s="15"/>
    </row>
    <row r="48" spans="1:28" hidden="1" x14ac:dyDescent="0.25">
      <c r="A48" s="56" t="s">
        <v>111</v>
      </c>
      <c r="B48" s="57" t="s">
        <v>24</v>
      </c>
      <c r="C48" s="58">
        <v>1596</v>
      </c>
      <c r="D48" s="59">
        <v>3</v>
      </c>
      <c r="E48" s="59">
        <v>2</v>
      </c>
      <c r="F48" s="60">
        <v>2</v>
      </c>
      <c r="G48" s="61">
        <v>391</v>
      </c>
      <c r="H48" s="61">
        <v>1</v>
      </c>
      <c r="I48" s="62">
        <f t="shared" si="11"/>
        <v>0</v>
      </c>
      <c r="J48" s="75"/>
      <c r="K48" s="75"/>
      <c r="L48" s="73"/>
      <c r="M48" s="62">
        <f t="shared" si="1"/>
        <v>0</v>
      </c>
      <c r="N48" s="164">
        <f t="shared" si="12"/>
        <v>0</v>
      </c>
      <c r="O48" s="164"/>
      <c r="P48" s="164"/>
      <c r="Q48" s="164"/>
      <c r="R48" s="59" t="s">
        <v>26</v>
      </c>
      <c r="S48" s="63"/>
      <c r="T48" s="74"/>
      <c r="U48" s="84"/>
      <c r="V48" s="84"/>
      <c r="W48" s="84"/>
      <c r="X48" s="84"/>
      <c r="Y48" s="15"/>
      <c r="Z48" s="36"/>
      <c r="AA48" s="15"/>
      <c r="AB48" s="15"/>
    </row>
    <row r="49" spans="1:28" hidden="1" x14ac:dyDescent="0.25">
      <c r="A49" s="56" t="s">
        <v>94</v>
      </c>
      <c r="B49" s="57" t="s">
        <v>67</v>
      </c>
      <c r="C49" s="58">
        <v>1960</v>
      </c>
      <c r="D49" s="59">
        <v>4</v>
      </c>
      <c r="E49" s="59">
        <v>2.5</v>
      </c>
      <c r="F49" s="60" t="s">
        <v>81</v>
      </c>
      <c r="G49" s="61">
        <v>362</v>
      </c>
      <c r="H49" s="61">
        <v>2</v>
      </c>
      <c r="I49" s="62">
        <f t="shared" si="11"/>
        <v>0</v>
      </c>
      <c r="J49" s="75"/>
      <c r="K49" s="75"/>
      <c r="L49" s="73"/>
      <c r="M49" s="62">
        <f t="shared" si="1"/>
        <v>0</v>
      </c>
      <c r="N49" s="164">
        <f t="shared" si="12"/>
        <v>0</v>
      </c>
      <c r="O49" s="164"/>
      <c r="P49" s="164"/>
      <c r="Q49" s="164"/>
      <c r="R49" s="59" t="s">
        <v>95</v>
      </c>
      <c r="S49" s="63"/>
      <c r="T49" s="15" t="s">
        <v>77</v>
      </c>
      <c r="U49" s="269"/>
      <c r="V49" s="269"/>
      <c r="W49" s="269"/>
      <c r="X49" s="269"/>
      <c r="Y49" s="15"/>
      <c r="Z49" s="36"/>
      <c r="AA49" s="15"/>
      <c r="AB49" s="15"/>
    </row>
    <row r="50" spans="1:28" hidden="1" x14ac:dyDescent="0.25">
      <c r="A50" s="56" t="s">
        <v>89</v>
      </c>
      <c r="B50" s="57" t="s">
        <v>67</v>
      </c>
      <c r="C50" s="58">
        <v>1689</v>
      </c>
      <c r="D50" s="59">
        <v>3</v>
      </c>
      <c r="E50" s="59">
        <v>2.5</v>
      </c>
      <c r="F50" s="60" t="s">
        <v>88</v>
      </c>
      <c r="G50" s="61">
        <v>445</v>
      </c>
      <c r="H50" s="61">
        <v>2</v>
      </c>
      <c r="I50" s="62">
        <f t="shared" si="11"/>
        <v>0</v>
      </c>
      <c r="J50" s="75"/>
      <c r="K50" s="75"/>
      <c r="L50" s="73"/>
      <c r="M50" s="62">
        <f t="shared" si="1"/>
        <v>0</v>
      </c>
      <c r="N50" s="164">
        <f t="shared" si="12"/>
        <v>0</v>
      </c>
      <c r="O50" s="164"/>
      <c r="P50" s="164"/>
      <c r="Q50" s="164"/>
      <c r="R50" s="59" t="s">
        <v>90</v>
      </c>
      <c r="S50" s="63"/>
      <c r="T50" s="15" t="s">
        <v>77</v>
      </c>
      <c r="U50" s="269"/>
      <c r="V50" s="269"/>
      <c r="W50" s="269"/>
      <c r="X50" s="269"/>
      <c r="Y50" s="15"/>
      <c r="Z50" s="36"/>
      <c r="AA50" s="15"/>
      <c r="AB50" s="15"/>
    </row>
    <row r="51" spans="1:28" hidden="1" x14ac:dyDescent="0.25">
      <c r="A51" s="56" t="s">
        <v>112</v>
      </c>
      <c r="B51" s="57" t="s">
        <v>24</v>
      </c>
      <c r="C51" s="58">
        <v>802</v>
      </c>
      <c r="D51" s="59">
        <v>1</v>
      </c>
      <c r="E51" s="59">
        <v>1</v>
      </c>
      <c r="F51" s="60" t="s">
        <v>81</v>
      </c>
      <c r="G51" s="61">
        <v>542</v>
      </c>
      <c r="H51" s="61">
        <v>2</v>
      </c>
      <c r="I51" s="62">
        <f t="shared" si="11"/>
        <v>0</v>
      </c>
      <c r="J51" s="75"/>
      <c r="K51" s="75"/>
      <c r="L51" s="73"/>
      <c r="M51" s="62">
        <f t="shared" si="1"/>
        <v>0</v>
      </c>
      <c r="N51" s="164">
        <f t="shared" si="12"/>
        <v>0</v>
      </c>
      <c r="O51" s="164"/>
      <c r="P51" s="164"/>
      <c r="Q51" s="164"/>
      <c r="R51" s="59" t="s">
        <v>36</v>
      </c>
      <c r="S51" s="63"/>
      <c r="T51" s="15" t="s">
        <v>77</v>
      </c>
      <c r="U51" s="269"/>
      <c r="V51" s="269"/>
      <c r="W51" s="269"/>
      <c r="X51" s="269"/>
      <c r="Y51" s="15"/>
      <c r="Z51" s="36"/>
      <c r="AA51" s="15"/>
      <c r="AB51" s="15"/>
    </row>
    <row r="52" spans="1:28" hidden="1" x14ac:dyDescent="0.25">
      <c r="A52" s="56" t="s">
        <v>113</v>
      </c>
      <c r="B52" s="57" t="s">
        <v>24</v>
      </c>
      <c r="C52" s="58">
        <v>1020</v>
      </c>
      <c r="D52" s="59">
        <v>3</v>
      </c>
      <c r="E52" s="59">
        <v>2.5</v>
      </c>
      <c r="F52" s="60" t="s">
        <v>114</v>
      </c>
      <c r="G52" s="61">
        <v>0</v>
      </c>
      <c r="H52" s="61">
        <v>2</v>
      </c>
      <c r="I52" s="62">
        <f t="shared" si="11"/>
        <v>0</v>
      </c>
      <c r="J52" s="75"/>
      <c r="K52" s="75"/>
      <c r="L52" s="166"/>
      <c r="M52" s="165">
        <f t="shared" si="1"/>
        <v>0</v>
      </c>
      <c r="N52" s="164">
        <f t="shared" si="12"/>
        <v>0</v>
      </c>
      <c r="O52" s="164"/>
      <c r="P52" s="164"/>
      <c r="Q52" s="164"/>
      <c r="R52" s="59" t="s">
        <v>115</v>
      </c>
      <c r="S52" s="63"/>
      <c r="T52" s="15" t="s">
        <v>77</v>
      </c>
      <c r="U52" s="269"/>
      <c r="V52" s="269"/>
      <c r="W52" s="269"/>
      <c r="X52" s="269"/>
      <c r="Y52" s="15"/>
      <c r="Z52" s="36"/>
      <c r="AA52" s="15"/>
      <c r="AB52" s="15"/>
    </row>
    <row r="53" spans="1:28" x14ac:dyDescent="0.25">
      <c r="A53" s="76" t="s">
        <v>116</v>
      </c>
      <c r="B53" s="77" t="s">
        <v>67</v>
      </c>
      <c r="C53" s="78">
        <v>1627</v>
      </c>
      <c r="D53" s="79">
        <v>3</v>
      </c>
      <c r="E53" s="79">
        <v>3.5</v>
      </c>
      <c r="F53" s="80">
        <v>1</v>
      </c>
      <c r="G53" s="81"/>
      <c r="H53" s="80"/>
      <c r="I53" s="167">
        <f ca="1">N53/C53</f>
        <v>103.50487400122927</v>
      </c>
      <c r="J53" s="82">
        <f ca="1">IFERROR(_xlfn.XLOOKUP(A53,'MODEL SUMMARY'!$B$3:$AL$3,'MODEL SUMMARY'!$B$71:$AL$71)+_xlfn.XLOOKUP($B$3,'Water &amp; Sewer Data'!$C:$C,'Water &amp; Sewer Data'!$K:$K),"")</f>
        <v>2200</v>
      </c>
      <c r="K53" s="82">
        <f ca="1">IFERROR(_xlfn.XLOOKUP(A53,'MODEL SUMMARY'!$B$3:$AL$3,'MODEL SUMMARY'!$B$66:$AL$66),"")</f>
        <v>12549.99</v>
      </c>
      <c r="L53" s="82">
        <f ca="1">IFERROR(_xlfn.XLOOKUP(A53,'MODEL SUMMARY'!$B$3:$AL$3,'MODEL SUMMARY'!$B$58:$AL$58),"")</f>
        <v>153652.44000000003</v>
      </c>
      <c r="M53" s="167">
        <f t="shared" ca="1" si="1"/>
        <v>94.439114935464062</v>
      </c>
      <c r="N53" s="162">
        <f t="shared" ca="1" si="12"/>
        <v>168402.43000000002</v>
      </c>
      <c r="O53" s="162"/>
      <c r="P53" s="162"/>
      <c r="Q53" s="162"/>
      <c r="R53" s="79"/>
      <c r="S53" s="83"/>
      <c r="T53" s="84"/>
      <c r="U53" s="84"/>
      <c r="V53" s="84"/>
      <c r="W53" s="84"/>
      <c r="X53" s="84"/>
      <c r="Y53" s="15"/>
      <c r="Z53" s="36"/>
      <c r="AA53" s="15"/>
      <c r="AB53" s="15"/>
    </row>
    <row r="54" spans="1:28" x14ac:dyDescent="0.25">
      <c r="A54" s="76" t="s">
        <v>117</v>
      </c>
      <c r="B54" s="77" t="s">
        <v>67</v>
      </c>
      <c r="C54" s="78">
        <v>1718</v>
      </c>
      <c r="D54" s="79">
        <v>3</v>
      </c>
      <c r="E54" s="79">
        <v>2.5</v>
      </c>
      <c r="F54" s="80">
        <v>1</v>
      </c>
      <c r="G54" s="81"/>
      <c r="H54" s="80"/>
      <c r="I54" s="167">
        <f ca="1">N54/C54</f>
        <v>84.77642259060319</v>
      </c>
      <c r="J54" s="82">
        <f ca="1">IFERROR(_xlfn.XLOOKUP(A54,'MODEL SUMMARY'!$B$3:$AL$3,'MODEL SUMMARY'!$B$71:$AL$71)+_xlfn.XLOOKUP($B$3,'Water &amp; Sewer Data'!$C:$C,'Water &amp; Sewer Data'!$K:$K),"")</f>
        <v>1600</v>
      </c>
      <c r="K54" s="82">
        <f ca="1">IFERROR(_xlfn.XLOOKUP(A54,'MODEL SUMMARY'!$B$3:$AL$3,'MODEL SUMMARY'!$B$66:$AL$66),"")</f>
        <v>9400</v>
      </c>
      <c r="L54" s="82">
        <f ca="1">IFERROR(_xlfn.XLOOKUP(A54,'MODEL SUMMARY'!$B$3:$AL$3,'MODEL SUMMARY'!$B$58:$AL$58),"")</f>
        <v>134645.89401065628</v>
      </c>
      <c r="M54" s="167">
        <f t="shared" ca="1" si="1"/>
        <v>78.373628644153825</v>
      </c>
      <c r="N54" s="162">
        <f t="shared" ca="1" si="12"/>
        <v>145645.89401065628</v>
      </c>
      <c r="O54" s="162"/>
      <c r="P54" s="162"/>
      <c r="Q54" s="162"/>
      <c r="R54" s="79"/>
      <c r="S54" s="83"/>
      <c r="T54" s="84"/>
      <c r="U54" s="84"/>
      <c r="V54" s="84"/>
      <c r="W54" s="84"/>
      <c r="X54" s="84"/>
      <c r="Y54" s="15"/>
      <c r="Z54" s="36"/>
      <c r="AA54" s="15"/>
      <c r="AB54" s="15"/>
    </row>
    <row r="55" spans="1:28" x14ac:dyDescent="0.25">
      <c r="A55" s="76" t="s">
        <v>118</v>
      </c>
      <c r="B55" s="77" t="s">
        <v>67</v>
      </c>
      <c r="C55" s="78">
        <v>2072</v>
      </c>
      <c r="D55" s="79">
        <v>4</v>
      </c>
      <c r="E55" s="79">
        <v>3.5</v>
      </c>
      <c r="F55" s="80" t="s">
        <v>88</v>
      </c>
      <c r="G55" s="81">
        <v>483</v>
      </c>
      <c r="H55" s="80">
        <v>3</v>
      </c>
      <c r="I55" s="167">
        <f>N55/C55</f>
        <v>92.354729729729726</v>
      </c>
      <c r="J55" s="82">
        <v>2650</v>
      </c>
      <c r="K55" s="82">
        <v>8263</v>
      </c>
      <c r="L55" s="82">
        <v>180446</v>
      </c>
      <c r="M55" s="167">
        <f t="shared" si="1"/>
        <v>87.087837837837839</v>
      </c>
      <c r="N55" s="162">
        <f>SUM(J55:L55)</f>
        <v>191359</v>
      </c>
      <c r="O55" s="162"/>
      <c r="P55" s="162"/>
      <c r="Q55" s="162"/>
      <c r="R55" s="79" t="s">
        <v>119</v>
      </c>
      <c r="S55" s="83"/>
      <c r="T55" s="44" t="s">
        <v>77</v>
      </c>
      <c r="U55" s="269"/>
      <c r="V55" s="269"/>
      <c r="W55" s="269"/>
      <c r="X55" s="269"/>
      <c r="Y55" s="45"/>
      <c r="Z55" s="36"/>
      <c r="AA55" s="15"/>
      <c r="AB55" s="15"/>
    </row>
    <row r="56" spans="1:28" x14ac:dyDescent="0.25">
      <c r="A56" s="85"/>
      <c r="B56" s="86"/>
      <c r="C56" s="87"/>
      <c r="D56" s="88"/>
      <c r="E56" s="88"/>
      <c r="F56" s="88"/>
      <c r="G56" s="88"/>
      <c r="H56" s="88"/>
      <c r="I56" s="89"/>
      <c r="J56" s="90"/>
      <c r="K56" s="90"/>
      <c r="L56" s="90"/>
      <c r="M56" s="90"/>
      <c r="N56" s="90"/>
      <c r="O56" s="90"/>
      <c r="P56" s="90"/>
      <c r="Q56" s="90"/>
      <c r="R56" s="88"/>
      <c r="S56" s="86"/>
      <c r="T56" s="74"/>
      <c r="U56" s="84"/>
      <c r="V56" s="84"/>
      <c r="W56" s="84"/>
      <c r="X56" s="84"/>
      <c r="Y56" s="89"/>
      <c r="Z56" s="91"/>
      <c r="AA56" s="89"/>
      <c r="AB56" s="89"/>
    </row>
    <row r="57" spans="1:28" x14ac:dyDescent="0.25">
      <c r="A57" s="85"/>
      <c r="B57" s="86"/>
      <c r="C57" s="87"/>
      <c r="D57" s="88"/>
      <c r="E57" s="88"/>
      <c r="F57" s="88"/>
      <c r="G57" s="88"/>
      <c r="H57" s="88"/>
      <c r="I57" s="89"/>
      <c r="J57" s="90"/>
      <c r="K57" s="90"/>
      <c r="L57" s="90"/>
      <c r="M57" s="90"/>
      <c r="N57" s="90"/>
      <c r="O57" s="90"/>
      <c r="P57" s="90"/>
      <c r="Q57" s="90"/>
      <c r="R57" s="88"/>
      <c r="S57" s="86"/>
      <c r="T57" s="74"/>
      <c r="U57" s="84"/>
      <c r="V57" s="84"/>
      <c r="W57" s="84"/>
      <c r="X57" s="84"/>
      <c r="Y57" s="89"/>
      <c r="Z57" s="91"/>
      <c r="AA57" s="89"/>
      <c r="AB57" s="89"/>
    </row>
    <row r="58" spans="1:28" x14ac:dyDescent="0.25">
      <c r="A58" s="85"/>
      <c r="B58" s="86"/>
      <c r="C58" s="87"/>
      <c r="D58" s="88"/>
      <c r="E58" s="88"/>
      <c r="F58" s="88"/>
      <c r="H58" s="88"/>
      <c r="I58" s="89"/>
      <c r="J58" s="90"/>
      <c r="K58" s="90"/>
      <c r="L58" s="90"/>
      <c r="M58" s="90"/>
      <c r="N58" s="90"/>
      <c r="O58" s="90"/>
      <c r="P58" s="90"/>
      <c r="Q58" s="90"/>
      <c r="R58" s="88"/>
      <c r="S58" s="86"/>
      <c r="T58" s="74"/>
      <c r="U58" s="84"/>
      <c r="V58" s="84"/>
      <c r="W58" s="84"/>
      <c r="X58" s="84"/>
      <c r="Y58" s="89"/>
      <c r="Z58" s="91"/>
      <c r="AA58" s="89"/>
      <c r="AB58" s="89"/>
    </row>
    <row r="59" spans="1:28" x14ac:dyDescent="0.25">
      <c r="B59" s="15"/>
      <c r="D59" s="15"/>
      <c r="E59" s="15"/>
      <c r="F59" s="17"/>
      <c r="G59" s="88"/>
      <c r="H59" s="15"/>
      <c r="R59" s="17"/>
      <c r="S59" s="92"/>
      <c r="T59" s="15"/>
      <c r="U59" s="269"/>
      <c r="V59" s="269"/>
      <c r="W59" s="269"/>
      <c r="X59" s="269"/>
      <c r="Y59" s="15"/>
      <c r="Z59" s="15"/>
      <c r="AA59" s="15"/>
      <c r="AB59" s="15"/>
    </row>
    <row r="60" spans="1:28" x14ac:dyDescent="0.25">
      <c r="B60" s="15"/>
      <c r="D60" s="15"/>
      <c r="E60" s="15"/>
      <c r="F60" s="17"/>
      <c r="G60" s="15"/>
      <c r="H60" s="15"/>
      <c r="R60" s="17"/>
      <c r="S60" s="92"/>
      <c r="T60" s="15"/>
      <c r="U60" s="269"/>
      <c r="V60" s="269"/>
      <c r="W60" s="269"/>
      <c r="X60" s="269"/>
      <c r="Y60" s="15"/>
      <c r="Z60" s="15"/>
      <c r="AA60" s="15"/>
      <c r="AB60" s="15"/>
    </row>
    <row r="61" spans="1:28" x14ac:dyDescent="0.25">
      <c r="B61" s="15"/>
      <c r="D61" s="15"/>
      <c r="E61" s="15"/>
      <c r="F61" s="17"/>
      <c r="G61" s="15"/>
      <c r="H61" s="15"/>
      <c r="R61" s="17"/>
      <c r="S61" s="92"/>
      <c r="T61" s="15"/>
      <c r="U61" s="269"/>
      <c r="V61" s="269"/>
      <c r="W61" s="269"/>
      <c r="X61" s="269"/>
      <c r="Y61" s="15"/>
      <c r="Z61" s="15"/>
      <c r="AA61" s="15"/>
      <c r="AB61" s="15"/>
    </row>
    <row r="62" spans="1:28" x14ac:dyDescent="0.25">
      <c r="B62" s="15"/>
      <c r="D62" s="15"/>
      <c r="E62" s="15"/>
      <c r="F62" s="17"/>
      <c r="G62" s="15"/>
      <c r="H62" s="15"/>
      <c r="R62" s="17"/>
      <c r="S62" s="92"/>
      <c r="T62" s="15"/>
      <c r="U62" s="269"/>
      <c r="V62" s="269"/>
      <c r="W62" s="269"/>
      <c r="X62" s="269"/>
      <c r="Y62" s="15"/>
      <c r="Z62" s="15"/>
      <c r="AA62" s="15"/>
      <c r="AB62" s="15"/>
    </row>
    <row r="63" spans="1:28" x14ac:dyDescent="0.25">
      <c r="B63" s="15"/>
      <c r="D63" s="15"/>
      <c r="E63" s="15"/>
      <c r="F63" s="17"/>
      <c r="G63" s="15"/>
      <c r="H63" s="15"/>
      <c r="R63" s="17"/>
      <c r="S63" s="92"/>
      <c r="T63" s="15"/>
      <c r="U63" s="269"/>
      <c r="V63" s="269"/>
      <c r="W63" s="269"/>
      <c r="X63" s="269"/>
      <c r="Y63" s="15"/>
      <c r="Z63" s="15"/>
      <c r="AA63" s="15"/>
      <c r="AB63" s="15"/>
    </row>
    <row r="64" spans="1:28" x14ac:dyDescent="0.25">
      <c r="B64" s="15"/>
      <c r="D64" s="15"/>
      <c r="E64" s="15"/>
      <c r="F64" s="17"/>
      <c r="G64" s="15"/>
      <c r="H64" s="15"/>
      <c r="R64" s="17"/>
      <c r="S64" s="92"/>
      <c r="T64" s="15"/>
      <c r="U64" s="269"/>
      <c r="V64" s="269"/>
      <c r="W64" s="269"/>
      <c r="X64" s="269"/>
      <c r="Y64" s="15"/>
      <c r="Z64" s="15"/>
      <c r="AA64" s="15"/>
      <c r="AB64" s="15"/>
    </row>
    <row r="65" spans="2:28" x14ac:dyDescent="0.25">
      <c r="B65" s="15"/>
      <c r="D65" s="15"/>
      <c r="E65" s="15"/>
      <c r="F65" s="17"/>
      <c r="G65" s="15"/>
      <c r="H65" s="15"/>
      <c r="R65" s="17"/>
      <c r="S65" s="92"/>
      <c r="T65" s="15"/>
      <c r="U65" s="269"/>
      <c r="V65" s="269"/>
      <c r="W65" s="269"/>
      <c r="X65" s="269"/>
      <c r="Y65" s="15"/>
      <c r="Z65" s="15"/>
      <c r="AA65" s="15"/>
      <c r="AB65" s="15"/>
    </row>
    <row r="66" spans="2:28" x14ac:dyDescent="0.25">
      <c r="B66" s="15"/>
      <c r="D66" s="15"/>
      <c r="E66" s="15"/>
      <c r="F66" s="17"/>
      <c r="G66" s="15"/>
      <c r="H66" s="15"/>
      <c r="R66" s="17"/>
      <c r="S66" s="92"/>
      <c r="T66" s="15"/>
      <c r="U66" s="269"/>
      <c r="V66" s="269"/>
      <c r="W66" s="269"/>
      <c r="X66" s="269"/>
      <c r="Y66" s="15"/>
      <c r="Z66" s="15"/>
      <c r="AA66" s="15"/>
      <c r="AB66" s="15"/>
    </row>
    <row r="67" spans="2:28" x14ac:dyDescent="0.25">
      <c r="B67" s="15"/>
      <c r="D67" s="15"/>
      <c r="E67" s="15"/>
      <c r="F67" s="17"/>
      <c r="G67" s="15"/>
      <c r="H67" s="15"/>
      <c r="R67" s="17"/>
      <c r="S67" s="92"/>
      <c r="T67" s="15"/>
      <c r="U67" s="269"/>
      <c r="V67" s="269"/>
      <c r="W67" s="269"/>
      <c r="X67" s="269"/>
      <c r="Y67" s="15"/>
      <c r="Z67" s="15"/>
      <c r="AA67" s="15"/>
      <c r="AB67" s="15"/>
    </row>
    <row r="68" spans="2:28" x14ac:dyDescent="0.25">
      <c r="B68" s="15"/>
      <c r="D68" s="15"/>
      <c r="E68" s="15"/>
      <c r="F68" s="17"/>
      <c r="G68" s="15"/>
      <c r="H68" s="15"/>
      <c r="R68" s="17"/>
      <c r="S68" s="92"/>
      <c r="T68" s="15"/>
      <c r="U68" s="269"/>
      <c r="V68" s="269"/>
      <c r="W68" s="269"/>
      <c r="X68" s="269"/>
      <c r="Y68" s="15"/>
      <c r="Z68" s="15"/>
      <c r="AA68" s="15"/>
      <c r="AB68" s="15"/>
    </row>
    <row r="69" spans="2:28" x14ac:dyDescent="0.25">
      <c r="B69" s="15"/>
      <c r="D69" s="15"/>
      <c r="E69" s="15"/>
      <c r="F69" s="17"/>
      <c r="G69" s="15"/>
      <c r="H69" s="15"/>
      <c r="R69" s="17"/>
      <c r="S69" s="92"/>
      <c r="T69" s="15"/>
      <c r="U69" s="269"/>
      <c r="V69" s="269"/>
      <c r="W69" s="269"/>
      <c r="X69" s="269"/>
      <c r="Y69" s="15"/>
      <c r="Z69" s="15"/>
      <c r="AA69" s="15"/>
      <c r="AB69" s="15"/>
    </row>
    <row r="70" spans="2:28" x14ac:dyDescent="0.25">
      <c r="B70" s="15"/>
      <c r="D70" s="15"/>
      <c r="E70" s="15"/>
      <c r="F70" s="17"/>
      <c r="G70" s="15"/>
      <c r="H70" s="15"/>
      <c r="R70" s="17"/>
      <c r="S70" s="92"/>
      <c r="T70" s="15"/>
      <c r="U70" s="269"/>
      <c r="V70" s="269"/>
      <c r="W70" s="269"/>
      <c r="X70" s="269"/>
      <c r="Y70" s="15"/>
      <c r="Z70" s="15"/>
      <c r="AA70" s="15"/>
      <c r="AB70" s="15"/>
    </row>
    <row r="71" spans="2:28" x14ac:dyDescent="0.25">
      <c r="B71" s="15"/>
      <c r="D71" s="15"/>
      <c r="E71" s="15"/>
      <c r="F71" s="17"/>
      <c r="G71" s="15"/>
      <c r="H71" s="15"/>
      <c r="R71" s="17"/>
      <c r="S71" s="92"/>
      <c r="T71" s="15"/>
      <c r="U71" s="269"/>
      <c r="V71" s="269"/>
      <c r="W71" s="269"/>
      <c r="X71" s="269"/>
      <c r="Y71" s="15"/>
      <c r="Z71" s="15"/>
      <c r="AA71" s="15"/>
      <c r="AB71" s="15"/>
    </row>
    <row r="72" spans="2:28" x14ac:dyDescent="0.25">
      <c r="B72" s="15"/>
      <c r="D72" s="15"/>
      <c r="E72" s="15"/>
      <c r="F72" s="17"/>
      <c r="G72" s="15"/>
      <c r="H72" s="15"/>
      <c r="R72" s="17"/>
      <c r="S72" s="92"/>
      <c r="T72" s="15"/>
      <c r="U72" s="269"/>
      <c r="V72" s="269"/>
      <c r="W72" s="269"/>
      <c r="X72" s="269"/>
      <c r="Y72" s="15"/>
      <c r="Z72" s="15"/>
      <c r="AA72" s="15"/>
      <c r="AB72" s="15"/>
    </row>
    <row r="73" spans="2:28" x14ac:dyDescent="0.25">
      <c r="B73" s="15"/>
      <c r="D73" s="15"/>
      <c r="E73" s="15"/>
      <c r="F73" s="17"/>
      <c r="G73" s="15"/>
      <c r="H73" s="15"/>
      <c r="R73" s="17"/>
      <c r="S73" s="92"/>
      <c r="T73" s="15"/>
      <c r="U73" s="269"/>
      <c r="V73" s="269"/>
      <c r="W73" s="269"/>
      <c r="X73" s="269"/>
      <c r="Y73" s="15"/>
      <c r="Z73" s="15"/>
      <c r="AA73" s="15"/>
      <c r="AB73" s="15"/>
    </row>
    <row r="74" spans="2:28" x14ac:dyDescent="0.25">
      <c r="B74" s="15"/>
      <c r="D74" s="15"/>
      <c r="E74" s="15"/>
      <c r="F74" s="17"/>
      <c r="G74" s="15"/>
      <c r="H74" s="15"/>
      <c r="R74" s="17"/>
      <c r="S74" s="92"/>
      <c r="T74" s="15"/>
      <c r="U74" s="269"/>
      <c r="V74" s="269"/>
      <c r="W74" s="269"/>
      <c r="X74" s="269"/>
      <c r="Y74" s="15"/>
      <c r="Z74" s="15"/>
      <c r="AA74" s="15"/>
      <c r="AB74" s="15"/>
    </row>
    <row r="75" spans="2:28" x14ac:dyDescent="0.25">
      <c r="B75" s="15"/>
      <c r="D75" s="15"/>
      <c r="E75" s="15"/>
      <c r="F75" s="17"/>
      <c r="G75" s="15"/>
      <c r="H75" s="15"/>
      <c r="R75" s="17"/>
      <c r="S75" s="92"/>
      <c r="T75" s="15"/>
      <c r="U75" s="269"/>
      <c r="V75" s="269"/>
      <c r="W75" s="269"/>
      <c r="X75" s="269"/>
      <c r="Y75" s="15"/>
      <c r="Z75" s="15"/>
      <c r="AA75" s="15"/>
      <c r="AB75" s="15"/>
    </row>
    <row r="76" spans="2:28" x14ac:dyDescent="0.25">
      <c r="B76" s="15"/>
      <c r="D76" s="15"/>
      <c r="E76" s="15"/>
      <c r="F76" s="17"/>
      <c r="G76" s="15"/>
      <c r="H76" s="15"/>
      <c r="R76" s="17"/>
      <c r="S76" s="92"/>
      <c r="T76" s="15"/>
      <c r="U76" s="269"/>
      <c r="V76" s="269"/>
      <c r="W76" s="269"/>
      <c r="X76" s="269"/>
      <c r="Y76" s="15"/>
      <c r="Z76" s="15"/>
      <c r="AA76" s="15"/>
      <c r="AB76" s="15"/>
    </row>
    <row r="77" spans="2:28" x14ac:dyDescent="0.25">
      <c r="B77" s="15"/>
      <c r="D77" s="15"/>
      <c r="E77" s="15"/>
      <c r="F77" s="17"/>
      <c r="G77" s="15"/>
      <c r="H77" s="15"/>
      <c r="R77" s="17"/>
      <c r="S77" s="92"/>
      <c r="T77" s="15"/>
      <c r="U77" s="269"/>
      <c r="V77" s="269"/>
      <c r="W77" s="269"/>
      <c r="X77" s="269"/>
      <c r="Y77" s="15"/>
      <c r="Z77" s="15"/>
      <c r="AA77" s="15"/>
      <c r="AB77" s="15"/>
    </row>
    <row r="78" spans="2:28" x14ac:dyDescent="0.25">
      <c r="B78" s="15"/>
      <c r="D78" s="15"/>
      <c r="E78" s="15"/>
      <c r="F78" s="17"/>
      <c r="G78" s="15"/>
      <c r="H78" s="15"/>
      <c r="R78" s="17"/>
      <c r="S78" s="92"/>
      <c r="T78" s="15"/>
      <c r="U78" s="269"/>
      <c r="V78" s="269"/>
      <c r="W78" s="269"/>
      <c r="X78" s="269"/>
      <c r="Y78" s="15"/>
      <c r="Z78" s="15"/>
      <c r="AA78" s="15"/>
      <c r="AB78" s="15"/>
    </row>
    <row r="79" spans="2:28" x14ac:dyDescent="0.25">
      <c r="B79" s="15"/>
      <c r="D79" s="15"/>
      <c r="E79" s="15"/>
      <c r="F79" s="17"/>
      <c r="G79" s="15"/>
      <c r="H79" s="15"/>
      <c r="R79" s="17"/>
      <c r="S79" s="92"/>
      <c r="T79" s="15"/>
      <c r="U79" s="269"/>
      <c r="V79" s="269"/>
      <c r="W79" s="269"/>
      <c r="X79" s="269"/>
      <c r="Y79" s="15"/>
      <c r="Z79" s="15"/>
      <c r="AA79" s="15"/>
      <c r="AB79" s="15"/>
    </row>
    <row r="80" spans="2:28" x14ac:dyDescent="0.25">
      <c r="B80" s="15"/>
      <c r="D80" s="15"/>
      <c r="E80" s="15"/>
      <c r="F80" s="17"/>
      <c r="G80" s="15"/>
      <c r="H80" s="15"/>
      <c r="R80" s="17"/>
      <c r="S80" s="92"/>
      <c r="T80" s="15"/>
      <c r="U80" s="269"/>
      <c r="V80" s="269"/>
      <c r="W80" s="269"/>
      <c r="X80" s="269"/>
      <c r="Y80" s="15"/>
      <c r="Z80" s="15"/>
      <c r="AA80" s="15"/>
      <c r="AB80" s="15"/>
    </row>
    <row r="81" spans="2:28" x14ac:dyDescent="0.25">
      <c r="B81" s="15"/>
      <c r="D81" s="15"/>
      <c r="E81" s="15"/>
      <c r="F81" s="17"/>
      <c r="G81" s="15"/>
      <c r="H81" s="15"/>
      <c r="R81" s="17"/>
      <c r="S81" s="92"/>
      <c r="T81" s="15"/>
      <c r="U81" s="269"/>
      <c r="V81" s="269"/>
      <c r="W81" s="269"/>
      <c r="X81" s="269"/>
      <c r="Y81" s="15"/>
      <c r="Z81" s="15"/>
      <c r="AA81" s="15"/>
      <c r="AB81" s="15"/>
    </row>
    <row r="82" spans="2:28" x14ac:dyDescent="0.25">
      <c r="B82" s="15"/>
      <c r="D82" s="15"/>
      <c r="E82" s="15"/>
      <c r="F82" s="17"/>
      <c r="G82" s="15"/>
      <c r="H82" s="15"/>
      <c r="R82" s="17"/>
      <c r="S82" s="92"/>
      <c r="T82" s="15"/>
      <c r="U82" s="269"/>
      <c r="V82" s="269"/>
      <c r="W82" s="269"/>
      <c r="X82" s="269"/>
      <c r="Y82" s="15"/>
      <c r="Z82" s="15"/>
      <c r="AA82" s="15"/>
      <c r="AB82" s="15"/>
    </row>
    <row r="83" spans="2:28" x14ac:dyDescent="0.25">
      <c r="B83" s="15"/>
      <c r="D83" s="15"/>
      <c r="E83" s="15"/>
      <c r="F83" s="17"/>
      <c r="G83" s="15"/>
      <c r="H83" s="15"/>
      <c r="R83" s="17"/>
      <c r="S83" s="92"/>
      <c r="T83" s="15"/>
      <c r="U83" s="269"/>
      <c r="V83" s="269"/>
      <c r="W83" s="269"/>
      <c r="X83" s="269"/>
      <c r="Y83" s="15"/>
      <c r="Z83" s="15"/>
      <c r="AA83" s="15"/>
      <c r="AB83" s="15"/>
    </row>
    <row r="84" spans="2:28" x14ac:dyDescent="0.25">
      <c r="B84" s="15"/>
      <c r="D84" s="15"/>
      <c r="E84" s="15"/>
      <c r="F84" s="17"/>
      <c r="G84" s="15"/>
      <c r="H84" s="15"/>
      <c r="R84" s="17"/>
      <c r="S84" s="92"/>
      <c r="T84" s="15"/>
      <c r="U84" s="269"/>
      <c r="V84" s="269"/>
      <c r="W84" s="269"/>
      <c r="X84" s="269"/>
      <c r="Y84" s="15"/>
      <c r="Z84" s="15"/>
      <c r="AA84" s="15"/>
      <c r="AB84" s="15"/>
    </row>
    <row r="85" spans="2:28" x14ac:dyDescent="0.25">
      <c r="B85" s="15"/>
      <c r="D85" s="15"/>
      <c r="E85" s="15"/>
      <c r="F85" s="17"/>
      <c r="G85" s="15"/>
      <c r="H85" s="15"/>
      <c r="R85" s="17"/>
      <c r="S85" s="92"/>
      <c r="T85" s="15"/>
      <c r="U85" s="269"/>
      <c r="V85" s="269"/>
      <c r="W85" s="269"/>
      <c r="X85" s="269"/>
      <c r="Y85" s="15"/>
      <c r="Z85" s="15"/>
      <c r="AA85" s="15"/>
      <c r="AB85" s="15"/>
    </row>
    <row r="86" spans="2:28" x14ac:dyDescent="0.25">
      <c r="B86" s="15"/>
      <c r="D86" s="15"/>
      <c r="E86" s="15"/>
      <c r="F86" s="17"/>
      <c r="G86" s="15"/>
      <c r="H86" s="15"/>
      <c r="R86" s="17"/>
      <c r="S86" s="92"/>
      <c r="T86" s="15"/>
      <c r="U86" s="269"/>
      <c r="V86" s="269"/>
      <c r="W86" s="269"/>
      <c r="X86" s="269"/>
      <c r="Y86" s="15"/>
      <c r="Z86" s="15"/>
      <c r="AA86" s="15"/>
      <c r="AB86" s="15"/>
    </row>
    <row r="87" spans="2:28" x14ac:dyDescent="0.25">
      <c r="B87" s="15"/>
      <c r="D87" s="15"/>
      <c r="E87" s="15"/>
      <c r="F87" s="17"/>
      <c r="G87" s="15"/>
      <c r="H87" s="15"/>
      <c r="R87" s="17"/>
      <c r="S87" s="92"/>
      <c r="T87" s="15"/>
      <c r="U87" s="269"/>
      <c r="V87" s="269"/>
      <c r="W87" s="269"/>
      <c r="X87" s="269"/>
      <c r="Y87" s="15"/>
      <c r="Z87" s="15"/>
      <c r="AA87" s="15"/>
      <c r="AB87" s="15"/>
    </row>
    <row r="88" spans="2:28" x14ac:dyDescent="0.25">
      <c r="B88" s="15"/>
      <c r="D88" s="15"/>
      <c r="E88" s="15"/>
      <c r="F88" s="17"/>
      <c r="G88" s="15"/>
      <c r="H88" s="15"/>
      <c r="R88" s="17"/>
      <c r="S88" s="92"/>
      <c r="T88" s="15"/>
      <c r="U88" s="269"/>
      <c r="V88" s="269"/>
      <c r="W88" s="269"/>
      <c r="X88" s="269"/>
      <c r="Y88" s="15"/>
      <c r="Z88" s="15"/>
      <c r="AA88" s="15"/>
      <c r="AB88" s="15"/>
    </row>
    <row r="89" spans="2:28" x14ac:dyDescent="0.25">
      <c r="B89" s="15"/>
      <c r="D89" s="15"/>
      <c r="E89" s="15"/>
      <c r="F89" s="17"/>
      <c r="G89" s="15"/>
      <c r="H89" s="15"/>
      <c r="R89" s="17"/>
      <c r="S89" s="92"/>
      <c r="T89" s="15"/>
      <c r="U89" s="269"/>
      <c r="V89" s="269"/>
      <c r="W89" s="269"/>
      <c r="X89" s="269"/>
      <c r="Y89" s="15"/>
      <c r="Z89" s="15"/>
      <c r="AA89" s="15"/>
      <c r="AB89" s="15"/>
    </row>
    <row r="90" spans="2:28" x14ac:dyDescent="0.25">
      <c r="B90" s="15"/>
      <c r="D90" s="15"/>
      <c r="E90" s="15"/>
      <c r="F90" s="17"/>
      <c r="G90" s="15"/>
      <c r="H90" s="15"/>
      <c r="R90" s="17"/>
      <c r="S90" s="92"/>
      <c r="T90" s="15"/>
      <c r="U90" s="269"/>
      <c r="V90" s="269"/>
      <c r="W90" s="269"/>
      <c r="X90" s="269"/>
      <c r="Y90" s="15"/>
      <c r="Z90" s="15"/>
      <c r="AA90" s="15"/>
      <c r="AB90" s="15"/>
    </row>
    <row r="91" spans="2:28" x14ac:dyDescent="0.25">
      <c r="B91" s="15"/>
      <c r="D91" s="15"/>
      <c r="E91" s="15"/>
      <c r="F91" s="17"/>
      <c r="G91" s="15"/>
      <c r="H91" s="15"/>
      <c r="R91" s="17"/>
      <c r="S91" s="92"/>
      <c r="T91" s="15"/>
      <c r="U91" s="269"/>
      <c r="V91" s="269"/>
      <c r="W91" s="269"/>
      <c r="X91" s="269"/>
      <c r="Y91" s="15"/>
      <c r="Z91" s="15"/>
      <c r="AA91" s="15"/>
      <c r="AB91" s="15"/>
    </row>
    <row r="92" spans="2:28" x14ac:dyDescent="0.25">
      <c r="B92" s="15"/>
      <c r="D92" s="15"/>
      <c r="E92" s="15"/>
      <c r="F92" s="17"/>
      <c r="G92" s="15"/>
      <c r="H92" s="15"/>
      <c r="R92" s="17"/>
      <c r="S92" s="92"/>
      <c r="T92" s="15"/>
      <c r="U92" s="269"/>
      <c r="V92" s="269"/>
      <c r="W92" s="269"/>
      <c r="X92" s="269"/>
      <c r="Y92" s="15"/>
      <c r="Z92" s="15"/>
      <c r="AA92" s="15"/>
      <c r="AB92" s="15"/>
    </row>
    <row r="93" spans="2:28" x14ac:dyDescent="0.25">
      <c r="B93" s="15"/>
      <c r="D93" s="15"/>
      <c r="E93" s="15"/>
      <c r="F93" s="17"/>
      <c r="G93" s="15"/>
      <c r="H93" s="15"/>
      <c r="R93" s="17"/>
      <c r="S93" s="92"/>
      <c r="T93" s="15"/>
      <c r="U93" s="269"/>
      <c r="V93" s="269"/>
      <c r="W93" s="269"/>
      <c r="X93" s="269"/>
      <c r="Y93" s="15"/>
      <c r="Z93" s="15"/>
      <c r="AA93" s="15"/>
      <c r="AB93" s="15"/>
    </row>
    <row r="94" spans="2:28" x14ac:dyDescent="0.25">
      <c r="B94" s="15"/>
      <c r="D94" s="15"/>
      <c r="E94" s="15"/>
      <c r="F94" s="235"/>
      <c r="G94" s="236"/>
      <c r="H94" s="15"/>
      <c r="R94" s="17"/>
      <c r="S94" s="92"/>
      <c r="T94" s="15"/>
      <c r="U94" s="269"/>
      <c r="V94" s="269"/>
      <c r="W94" s="269"/>
      <c r="X94" s="269"/>
      <c r="Y94" s="15"/>
      <c r="Z94" s="15"/>
      <c r="AA94" s="15"/>
      <c r="AB94" s="15"/>
    </row>
    <row r="95" spans="2:28" x14ac:dyDescent="0.25">
      <c r="B95" s="15"/>
      <c r="D95" s="15"/>
      <c r="E95" s="15"/>
      <c r="F95" s="238"/>
      <c r="G95" s="237"/>
      <c r="H95" s="237"/>
      <c r="I95" s="237"/>
      <c r="J95" s="237"/>
      <c r="R95" s="17"/>
      <c r="S95" s="92"/>
      <c r="T95" s="15"/>
      <c r="U95" s="269"/>
      <c r="V95" s="269"/>
      <c r="W95" s="269"/>
      <c r="X95" s="269"/>
      <c r="Y95" s="15"/>
      <c r="Z95" s="15"/>
      <c r="AA95" s="15"/>
      <c r="AB95" s="15"/>
    </row>
    <row r="96" spans="2:28" x14ac:dyDescent="0.25">
      <c r="B96" s="15"/>
      <c r="D96" s="15"/>
      <c r="E96" s="15"/>
      <c r="F96" s="238"/>
      <c r="G96" s="237"/>
      <c r="H96" s="237"/>
      <c r="I96" s="237"/>
      <c r="J96" s="237"/>
      <c r="R96" s="17"/>
      <c r="S96" s="92"/>
      <c r="T96" s="15"/>
      <c r="U96" s="269"/>
      <c r="V96" s="269"/>
      <c r="W96" s="269"/>
      <c r="X96" s="269"/>
      <c r="Y96" s="15"/>
      <c r="Z96" s="15"/>
      <c r="AA96" s="15"/>
      <c r="AB96" s="15"/>
    </row>
    <row r="97" spans="2:28" x14ac:dyDescent="0.25">
      <c r="B97" s="15"/>
      <c r="D97" s="15"/>
      <c r="E97" s="15"/>
      <c r="F97" s="238"/>
      <c r="G97" s="237"/>
      <c r="H97" s="237"/>
      <c r="I97" s="237"/>
      <c r="J97" s="237"/>
      <c r="R97" s="17"/>
      <c r="S97" s="92"/>
      <c r="T97" s="15"/>
      <c r="U97" s="269"/>
      <c r="V97" s="269"/>
      <c r="W97" s="269"/>
      <c r="X97" s="269"/>
      <c r="Y97" s="15"/>
      <c r="Z97" s="15"/>
      <c r="AA97" s="15"/>
      <c r="AB97" s="15"/>
    </row>
    <row r="98" spans="2:28" x14ac:dyDescent="0.25">
      <c r="B98" s="15"/>
      <c r="D98" s="15"/>
      <c r="E98" s="15"/>
      <c r="F98" s="238"/>
      <c r="G98" s="237"/>
      <c r="H98" s="237"/>
      <c r="I98" s="237"/>
      <c r="J98" s="237"/>
      <c r="R98" s="17"/>
      <c r="S98" s="92"/>
      <c r="T98" s="15"/>
      <c r="U98" s="269"/>
      <c r="V98" s="269"/>
      <c r="W98" s="269"/>
      <c r="X98" s="269"/>
      <c r="Y98" s="15"/>
      <c r="Z98" s="15"/>
      <c r="AA98" s="15"/>
      <c r="AB98" s="15"/>
    </row>
    <row r="99" spans="2:28" x14ac:dyDescent="0.25">
      <c r="F99" s="238"/>
      <c r="G99" s="237"/>
      <c r="H99" s="237"/>
      <c r="I99" s="237"/>
      <c r="J99" s="237"/>
    </row>
    <row r="100" spans="2:28" x14ac:dyDescent="0.25">
      <c r="F100" s="238"/>
      <c r="G100" s="237"/>
      <c r="H100" s="237"/>
      <c r="I100" s="237"/>
      <c r="J100" s="237"/>
    </row>
    <row r="101" spans="2:28" x14ac:dyDescent="0.25">
      <c r="F101" s="238"/>
      <c r="G101" s="237"/>
      <c r="H101" s="237"/>
      <c r="I101" s="237"/>
      <c r="J101" s="237"/>
    </row>
    <row r="102" spans="2:28" x14ac:dyDescent="0.25">
      <c r="F102" s="239"/>
      <c r="G102" s="237"/>
      <c r="H102" s="240"/>
      <c r="I102" s="237"/>
      <c r="J102" s="237"/>
    </row>
    <row r="103" spans="2:28" x14ac:dyDescent="0.25">
      <c r="F103" s="239"/>
      <c r="G103" s="237"/>
      <c r="H103" s="240"/>
      <c r="I103" s="237"/>
      <c r="J103" s="237"/>
    </row>
    <row r="104" spans="2:28" x14ac:dyDescent="0.25">
      <c r="F104" s="238"/>
      <c r="G104" s="237"/>
      <c r="H104" s="237"/>
      <c r="I104" s="237"/>
      <c r="J104" s="237"/>
    </row>
    <row r="105" spans="2:28" x14ac:dyDescent="0.25">
      <c r="F105" s="238"/>
      <c r="G105" s="237"/>
      <c r="H105" s="237"/>
      <c r="I105" s="237"/>
      <c r="J105" s="237"/>
    </row>
    <row r="106" spans="2:28" x14ac:dyDescent="0.25">
      <c r="F106" s="238"/>
      <c r="G106" s="237"/>
      <c r="H106" s="237"/>
      <c r="I106" s="237"/>
      <c r="J106" s="237"/>
    </row>
    <row r="107" spans="2:28" x14ac:dyDescent="0.25">
      <c r="F107" s="238"/>
      <c r="G107" s="237"/>
      <c r="H107" s="237"/>
      <c r="I107" s="237"/>
      <c r="J107" s="237"/>
    </row>
    <row r="108" spans="2:28" x14ac:dyDescent="0.25">
      <c r="F108" s="238"/>
      <c r="G108" s="237"/>
      <c r="H108" s="237"/>
      <c r="I108" s="237"/>
      <c r="J108" s="237"/>
    </row>
    <row r="109" spans="2:28" x14ac:dyDescent="0.25">
      <c r="F109" s="238"/>
      <c r="G109" s="237"/>
      <c r="H109" s="237"/>
      <c r="I109" s="237"/>
      <c r="J109" s="237"/>
    </row>
    <row r="110" spans="2:28" x14ac:dyDescent="0.25">
      <c r="F110" s="238"/>
      <c r="G110" s="237"/>
      <c r="H110" s="237"/>
      <c r="I110" s="237"/>
      <c r="J110" s="237"/>
    </row>
  </sheetData>
  <dataConsolidate/>
  <printOptions horizontalCentered="1" verticalCentered="1"/>
  <pageMargins left="0.7" right="0.7" top="0.75" bottom="0.75" header="0.3" footer="0.3"/>
  <pageSetup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7572D22-1CDC-49D8-8B3C-7955288C1836}">
          <x14:formula1>
            <xm:f>'Water &amp; Sewer Data'!$C$5:$C$27</xm:f>
          </x14:formula1>
          <xm:sqref>S2 S4 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FA56-A0A2-43C7-9E5C-19DAB227D1F9}">
  <sheetPr codeName="Sheet2">
    <tabColor theme="4" tint="0.39997558519241921"/>
  </sheetPr>
  <dimension ref="A1:AL57"/>
  <sheetViews>
    <sheetView showGridLines="0" topLeftCell="P3" zoomScale="85" zoomScaleNormal="85" workbookViewId="0">
      <selection activeCell="Z19" sqref="Z19"/>
    </sheetView>
  </sheetViews>
  <sheetFormatPr defaultColWidth="8.85546875" defaultRowHeight="15" x14ac:dyDescent="0.25"/>
  <cols>
    <col min="1" max="1" width="15.42578125" bestFit="1" customWidth="1"/>
    <col min="2" max="2" width="15.42578125" customWidth="1"/>
    <col min="3" max="3" width="8.85546875" bestFit="1" customWidth="1"/>
    <col min="4" max="5" width="10.28515625" bestFit="1" customWidth="1"/>
    <col min="6" max="6" width="8.140625" bestFit="1" customWidth="1"/>
    <col min="7" max="7" width="7.7109375" bestFit="1" customWidth="1"/>
    <col min="8" max="8" width="10" bestFit="1" customWidth="1"/>
    <col min="9" max="9" width="8.7109375" bestFit="1" customWidth="1"/>
    <col min="10" max="10" width="11" hidden="1" customWidth="1"/>
    <col min="11" max="11" width="11.28515625" hidden="1" customWidth="1"/>
    <col min="12" max="12" width="9.42578125" hidden="1" customWidth="1"/>
    <col min="13" max="13" width="13.42578125" hidden="1" customWidth="1"/>
    <col min="14" max="14" width="10" hidden="1" customWidth="1"/>
    <col min="15" max="15" width="8.140625" hidden="1" customWidth="1"/>
    <col min="16" max="16" width="11.5703125" bestFit="1" customWidth="1"/>
    <col min="17" max="17" width="13.42578125" bestFit="1" customWidth="1"/>
    <col min="18" max="18" width="15.42578125" style="18" bestFit="1" customWidth="1"/>
    <col min="19" max="19" width="6.85546875" style="18" bestFit="1" customWidth="1"/>
    <col min="20" max="20" width="9" style="18" bestFit="1" customWidth="1"/>
    <col min="21" max="21" width="4.140625" style="18" bestFit="1" customWidth="1"/>
    <col min="22" max="22" width="4.7109375" bestFit="1" customWidth="1"/>
    <col min="23" max="23" width="6.5703125" bestFit="1" customWidth="1"/>
    <col min="24" max="24" width="15" bestFit="1" customWidth="1"/>
    <col min="25" max="25" width="15" customWidth="1"/>
    <col min="26" max="30" width="15" bestFit="1" customWidth="1"/>
    <col min="31" max="31" width="16.42578125" bestFit="1" customWidth="1"/>
    <col min="32" max="38" width="16.42578125" customWidth="1"/>
    <col min="41" max="41" width="10" bestFit="1" customWidth="1"/>
    <col min="42" max="42" width="13.42578125" customWidth="1"/>
  </cols>
  <sheetData>
    <row r="1" spans="1:38" ht="29.25" thickBot="1" x14ac:dyDescent="0.5">
      <c r="A1" s="93" t="s">
        <v>120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R1" s="90"/>
      <c r="S1" s="90"/>
      <c r="T1" s="90"/>
      <c r="U1" s="90"/>
    </row>
    <row r="2" spans="1:38" ht="15.75" thickBot="1" x14ac:dyDescent="0.3">
      <c r="R2" s="275" t="s">
        <v>121</v>
      </c>
      <c r="S2" s="276"/>
      <c r="T2" s="276"/>
      <c r="U2" s="276"/>
      <c r="V2" s="276"/>
      <c r="W2" s="277"/>
      <c r="X2" s="190">
        <v>45922</v>
      </c>
      <c r="Y2" s="212">
        <v>45883</v>
      </c>
      <c r="Z2" s="212">
        <v>45835</v>
      </c>
      <c r="AA2" s="96">
        <v>45813</v>
      </c>
      <c r="AB2" s="96">
        <v>45775</v>
      </c>
      <c r="AC2" s="96" t="s">
        <v>122</v>
      </c>
      <c r="AD2" s="94" t="s">
        <v>123</v>
      </c>
      <c r="AE2" s="95" t="s">
        <v>124</v>
      </c>
      <c r="AF2" s="95" t="s">
        <v>125</v>
      </c>
      <c r="AG2" s="96" t="s">
        <v>126</v>
      </c>
      <c r="AH2" s="97" t="s">
        <v>127</v>
      </c>
      <c r="AI2" s="97" t="s">
        <v>128</v>
      </c>
      <c r="AJ2" s="98" t="s">
        <v>129</v>
      </c>
      <c r="AK2" s="98" t="s">
        <v>130</v>
      </c>
      <c r="AL2" s="99" t="s">
        <v>131</v>
      </c>
    </row>
    <row r="3" spans="1:38" ht="15.75" thickBot="1" x14ac:dyDescent="0.3">
      <c r="A3" s="281" t="s">
        <v>132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3"/>
      <c r="R3" s="278"/>
      <c r="S3" s="279"/>
      <c r="T3" s="279"/>
      <c r="U3" s="279"/>
      <c r="V3" s="279"/>
      <c r="W3" s="280"/>
      <c r="X3" s="191" t="s">
        <v>133</v>
      </c>
      <c r="Y3" s="213" t="s">
        <v>134</v>
      </c>
      <c r="Z3" s="213" t="s">
        <v>135</v>
      </c>
      <c r="AA3" s="101" t="s">
        <v>136</v>
      </c>
      <c r="AB3" s="101" t="s">
        <v>137</v>
      </c>
      <c r="AC3" s="101" t="s">
        <v>138</v>
      </c>
      <c r="AD3" s="100" t="s">
        <v>139</v>
      </c>
      <c r="AE3" s="101" t="s">
        <v>140</v>
      </c>
      <c r="AF3" s="101" t="s">
        <v>141</v>
      </c>
      <c r="AG3" s="101" t="s">
        <v>142</v>
      </c>
      <c r="AH3" s="102" t="s">
        <v>143</v>
      </c>
      <c r="AI3" s="103" t="s">
        <v>133</v>
      </c>
      <c r="AJ3" s="104" t="s">
        <v>134</v>
      </c>
      <c r="AK3" s="104" t="s">
        <v>144</v>
      </c>
      <c r="AL3" s="105" t="s">
        <v>138</v>
      </c>
    </row>
    <row r="4" spans="1:38" ht="15.75" thickBot="1" x14ac:dyDescent="0.3">
      <c r="A4" s="145" t="s">
        <v>3</v>
      </c>
      <c r="B4" s="145" t="s">
        <v>133</v>
      </c>
      <c r="C4" s="254" t="s">
        <v>134</v>
      </c>
      <c r="D4" s="256" t="s">
        <v>135</v>
      </c>
      <c r="E4" s="148" t="s">
        <v>136</v>
      </c>
      <c r="F4" s="148" t="s">
        <v>137</v>
      </c>
      <c r="G4" s="148" t="s">
        <v>138</v>
      </c>
      <c r="H4" s="148" t="s">
        <v>139</v>
      </c>
      <c r="I4" s="148" t="s">
        <v>140</v>
      </c>
      <c r="J4" s="148" t="s">
        <v>141</v>
      </c>
      <c r="K4" s="148" t="s">
        <v>142</v>
      </c>
      <c r="L4" s="148" t="s">
        <v>143</v>
      </c>
      <c r="M4" s="147" t="s">
        <v>133</v>
      </c>
      <c r="N4" s="147" t="s">
        <v>134</v>
      </c>
      <c r="O4" s="146" t="s">
        <v>144</v>
      </c>
      <c r="R4" s="176" t="s">
        <v>3</v>
      </c>
      <c r="S4" s="101" t="s">
        <v>4</v>
      </c>
      <c r="T4" s="101" t="s">
        <v>145</v>
      </c>
      <c r="U4" s="101" t="s">
        <v>6</v>
      </c>
      <c r="V4" s="101" t="s">
        <v>7</v>
      </c>
      <c r="W4" s="177" t="s">
        <v>8</v>
      </c>
      <c r="X4" s="192" t="s">
        <v>14</v>
      </c>
      <c r="Y4" s="214" t="s">
        <v>14</v>
      </c>
      <c r="Z4" s="214" t="s">
        <v>14</v>
      </c>
      <c r="AA4" s="102" t="s">
        <v>14</v>
      </c>
      <c r="AB4" s="102" t="s">
        <v>14</v>
      </c>
      <c r="AC4" s="102" t="s">
        <v>14</v>
      </c>
      <c r="AD4" s="102" t="s">
        <v>14</v>
      </c>
      <c r="AE4" s="149" t="s">
        <v>14</v>
      </c>
      <c r="AF4" s="149" t="s">
        <v>14</v>
      </c>
      <c r="AG4" s="149" t="s">
        <v>14</v>
      </c>
      <c r="AH4" s="149" t="s">
        <v>14</v>
      </c>
      <c r="AI4" s="150" t="s">
        <v>14</v>
      </c>
      <c r="AJ4" s="150" t="s">
        <v>14</v>
      </c>
      <c r="AK4" s="150" t="s">
        <v>14</v>
      </c>
      <c r="AL4" s="151" t="s">
        <v>14</v>
      </c>
    </row>
    <row r="5" spans="1:38" x14ac:dyDescent="0.25">
      <c r="A5" s="142" t="s">
        <v>23</v>
      </c>
      <c r="B5" s="258">
        <f ca="1">IFERROR(X5/Y5-1,0)</f>
        <v>-1.1998640763372093E-3</v>
      </c>
      <c r="C5" s="255">
        <f>IFERROR(Y5/Z5-1,0)</f>
        <v>-2.113330473547359E-2</v>
      </c>
      <c r="D5" s="257">
        <f>IFERROR(Z5/AA5-1,0)</f>
        <v>5.1333041598844442E-3</v>
      </c>
      <c r="E5" s="38">
        <f>IFERROR(AA5/AB5-1,0)</f>
        <v>-1.8192946692773937E-2</v>
      </c>
      <c r="F5" s="38">
        <f>IFERROR(AB5/AC5-1,0)</f>
        <v>0</v>
      </c>
      <c r="G5" s="38">
        <f t="shared" ref="G5" si="0">IFERROR(AC5/AD5-1,0)</f>
        <v>0</v>
      </c>
      <c r="H5" s="38">
        <f t="shared" ref="H5" si="1">IFERROR(AD5/AE5-1,0)</f>
        <v>0</v>
      </c>
      <c r="I5" s="38">
        <f t="shared" ref="I5" si="2">IFERROR(AE5/AF5-1,0)</f>
        <v>0</v>
      </c>
      <c r="J5" s="38">
        <f t="shared" ref="J5:L5" si="3">IFERROR(AF5/AG5-1,0)</f>
        <v>0</v>
      </c>
      <c r="K5" s="38">
        <f t="shared" si="3"/>
        <v>0</v>
      </c>
      <c r="L5" s="38">
        <f t="shared" si="3"/>
        <v>0</v>
      </c>
      <c r="M5" s="38">
        <f t="shared" ref="M5" si="4">IFERROR(AI5/AJ5-1,0)</f>
        <v>0</v>
      </c>
      <c r="N5" s="38">
        <f t="shared" ref="N5" si="5">IFERROR(AJ5/AK5-1,0)</f>
        <v>0</v>
      </c>
      <c r="O5" s="144">
        <f t="shared" ref="O5" si="6">IFERROR(AK5/AL5-1,0)</f>
        <v>0</v>
      </c>
      <c r="P5" s="263"/>
      <c r="Q5" s="264"/>
      <c r="R5" s="37" t="s">
        <v>23</v>
      </c>
      <c r="S5" s="38" t="str">
        <f>_xlfn.XLOOKUP(R5,Summary!A:A,Summary!B:B)</f>
        <v>SFH</v>
      </c>
      <c r="T5" s="39">
        <f>_xlfn.XLOOKUP(R5,Summary!A:A,Summary!C:C)</f>
        <v>2236</v>
      </c>
      <c r="U5" s="108">
        <f>_xlfn.XLOOKUP(R5,Summary!A:A,Summary!D:D)</f>
        <v>4</v>
      </c>
      <c r="V5" s="108">
        <f>_xlfn.XLOOKUP(R5,Summary!A:A,Summary!E:E)</f>
        <v>3</v>
      </c>
      <c r="W5" s="141">
        <f>_xlfn.XLOOKUP(R5,Summary!A:A,Summary!F:F)</f>
        <v>2</v>
      </c>
      <c r="X5" s="193">
        <f ca="1">_xlfn.XLOOKUP(R5,Summary!A:A,Summary!L:L)</f>
        <v>165012.15000000002</v>
      </c>
      <c r="Y5" s="178">
        <v>165210.38000000003</v>
      </c>
      <c r="Z5" s="178">
        <v>168777.2</v>
      </c>
      <c r="AA5" s="178">
        <v>167915.24000000002</v>
      </c>
      <c r="AB5" s="178">
        <v>171026.72</v>
      </c>
      <c r="AC5" s="64"/>
      <c r="AD5" s="64"/>
      <c r="AE5" s="64"/>
      <c r="AF5" s="64"/>
      <c r="AG5" s="64"/>
      <c r="AH5" s="64"/>
      <c r="AI5" s="64"/>
      <c r="AJ5" s="64"/>
      <c r="AK5" s="64"/>
      <c r="AL5" s="143"/>
    </row>
    <row r="6" spans="1:38" x14ac:dyDescent="0.25">
      <c r="A6" s="142" t="s">
        <v>29</v>
      </c>
      <c r="B6" s="258">
        <f t="shared" ref="B6:B33" ca="1" si="7">IFERROR(X6/Y6-1,0)</f>
        <v>-1.5095010975681999E-3</v>
      </c>
      <c r="C6" s="255">
        <f t="shared" ref="C6:C33" si="8">IFERROR(Y6/Z6-1,0)</f>
        <v>-2.3034238512741223E-2</v>
      </c>
      <c r="D6" s="257">
        <f t="shared" ref="D6:D33" si="9">IFERROR(Z6/AA6-1,0)</f>
        <v>-3.0844560415069111E-2</v>
      </c>
      <c r="E6" s="38">
        <f t="shared" ref="E6:E33" si="10">IFERROR(AA6/AB6-1,0)</f>
        <v>-8.5214801610677959E-3</v>
      </c>
      <c r="F6" s="38">
        <f t="shared" ref="F6:F29" si="11">IFERROR(AB6/AC6-1,0)</f>
        <v>5.7164824070652376E-3</v>
      </c>
      <c r="G6" s="38">
        <f t="shared" ref="G6:G23" si="12">IFERROR(AC6/AD6-1,0)</f>
        <v>-1.4673166012490135E-2</v>
      </c>
      <c r="H6" s="38">
        <f t="shared" ref="H6:H23" si="13">IFERROR(AD6/AE6-1,0)</f>
        <v>1.9293909272207532E-2</v>
      </c>
      <c r="I6" s="38">
        <f t="shared" ref="I6:I23" si="14">IFERROR(AE6/AF6-1,0)</f>
        <v>7.7034460368003987E-3</v>
      </c>
      <c r="J6" s="38">
        <f t="shared" ref="J6:J23" si="15">IFERROR(AF6/AG6-1,0)</f>
        <v>1.2789102934344099E-2</v>
      </c>
      <c r="K6" s="38">
        <f t="shared" ref="K6:K23" si="16">IFERROR(AG6/AH6-1,0)</f>
        <v>1.9414965665310646E-2</v>
      </c>
      <c r="L6" s="38">
        <f t="shared" ref="L6:L23" si="17">IFERROR(AH6/AI6-1,0)</f>
        <v>0</v>
      </c>
      <c r="M6" s="38">
        <f t="shared" ref="M6:O20" si="18">IFERROR(AI6/AJ6-1,0)</f>
        <v>0</v>
      </c>
      <c r="N6" s="38">
        <f t="shared" si="18"/>
        <v>0</v>
      </c>
      <c r="O6" s="144">
        <f t="shared" si="18"/>
        <v>0</v>
      </c>
      <c r="P6" s="263"/>
      <c r="Q6" s="9"/>
      <c r="R6" s="37" t="s">
        <v>29</v>
      </c>
      <c r="S6" s="38" t="str">
        <f>_xlfn.XLOOKUP(R6,Summary!A:A,Summary!B:B)</f>
        <v>SFH</v>
      </c>
      <c r="T6" s="39">
        <f>_xlfn.XLOOKUP(R6,Summary!A:A,Summary!C:C)</f>
        <v>1788</v>
      </c>
      <c r="U6" s="108">
        <f>_xlfn.XLOOKUP(R6,Summary!A:A,Summary!D:D)</f>
        <v>3</v>
      </c>
      <c r="V6" s="108">
        <f>_xlfn.XLOOKUP(R6,Summary!A:A,Summary!E:E)</f>
        <v>2.5</v>
      </c>
      <c r="W6" s="141">
        <f>_xlfn.XLOOKUP(R6,Summary!A:A,Summary!F:F)</f>
        <v>2</v>
      </c>
      <c r="X6" s="193">
        <f ca="1">_xlfn.XLOOKUP(R6,Summary!A:A,Summary!L:L)</f>
        <v>139411.53000000003</v>
      </c>
      <c r="Y6" s="178">
        <v>139622.29</v>
      </c>
      <c r="Z6" s="178">
        <v>142914.21</v>
      </c>
      <c r="AA6" s="178">
        <v>147462.62999999998</v>
      </c>
      <c r="AB6" s="178">
        <v>148730.03</v>
      </c>
      <c r="AC6" s="64">
        <v>147884.65</v>
      </c>
      <c r="AD6" s="64">
        <v>150086.9</v>
      </c>
      <c r="AE6" s="64">
        <v>147245.94999999998</v>
      </c>
      <c r="AF6" s="64">
        <v>146120.31999999998</v>
      </c>
      <c r="AG6" s="64">
        <v>144275.16999999998</v>
      </c>
      <c r="AH6" s="64">
        <v>141527.41999999998</v>
      </c>
      <c r="AI6" s="64">
        <v>141527.41999999998</v>
      </c>
      <c r="AJ6" s="64"/>
      <c r="AK6" s="64"/>
      <c r="AL6" s="143"/>
    </row>
    <row r="7" spans="1:38" x14ac:dyDescent="0.25">
      <c r="A7" s="142" t="s">
        <v>32</v>
      </c>
      <c r="B7" s="258">
        <f t="shared" ca="1" si="7"/>
        <v>-9.7578442513512886E-4</v>
      </c>
      <c r="C7" s="255">
        <f t="shared" si="8"/>
        <v>-4.5152820759098211E-2</v>
      </c>
      <c r="D7" s="257">
        <f t="shared" si="9"/>
        <v>-1.5298502027606409E-3</v>
      </c>
      <c r="E7" s="38">
        <f t="shared" si="10"/>
        <v>-1.5765400193359813E-2</v>
      </c>
      <c r="F7" s="38">
        <f t="shared" si="11"/>
        <v>3.1560222548168149E-3</v>
      </c>
      <c r="G7" s="38">
        <f t="shared" si="12"/>
        <v>1.3243598310542559E-2</v>
      </c>
      <c r="H7" s="38">
        <f t="shared" si="13"/>
        <v>2.4901195439690493E-2</v>
      </c>
      <c r="I7" s="38">
        <f t="shared" si="14"/>
        <v>5.9212852418140116E-3</v>
      </c>
      <c r="J7" s="38">
        <f t="shared" si="15"/>
        <v>-1.340412119973089E-2</v>
      </c>
      <c r="K7" s="38">
        <f t="shared" si="16"/>
        <v>1.0624344612499836E-3</v>
      </c>
      <c r="L7" s="38">
        <f t="shared" si="17"/>
        <v>-2.481762262803977E-2</v>
      </c>
      <c r="M7" s="38">
        <f t="shared" si="18"/>
        <v>-4.0258772748047456E-5</v>
      </c>
      <c r="N7" s="38">
        <f t="shared" si="18"/>
        <v>-4.5092739624410627E-2</v>
      </c>
      <c r="O7" s="144">
        <f t="shared" si="18"/>
        <v>-2.548693362090293E-2</v>
      </c>
      <c r="P7" s="263"/>
      <c r="Q7" s="9"/>
      <c r="R7" s="37" t="s">
        <v>32</v>
      </c>
      <c r="S7" s="38" t="str">
        <f>_xlfn.XLOOKUP(R7,Summary!A:A,Summary!B:B)</f>
        <v>SFH</v>
      </c>
      <c r="T7" s="39">
        <f>_xlfn.XLOOKUP(R7,Summary!A:A,Summary!C:C)</f>
        <v>1554</v>
      </c>
      <c r="U7" s="108">
        <f>_xlfn.XLOOKUP(R7,Summary!A:A,Summary!D:D)</f>
        <v>3</v>
      </c>
      <c r="V7" s="108">
        <f>_xlfn.XLOOKUP(R7,Summary!A:A,Summary!E:E)</f>
        <v>2.5</v>
      </c>
      <c r="W7" s="141">
        <f>_xlfn.XLOOKUP(R7,Summary!A:A,Summary!F:F)</f>
        <v>0</v>
      </c>
      <c r="X7" s="193">
        <f ca="1">_xlfn.XLOOKUP(R7,Summary!A:A,Summary!L:L)</f>
        <v>113776.73000000001</v>
      </c>
      <c r="Y7" s="178">
        <v>113887.85999999999</v>
      </c>
      <c r="Z7" s="178">
        <v>119273.39</v>
      </c>
      <c r="AA7" s="178">
        <v>119456.14</v>
      </c>
      <c r="AB7" s="178">
        <v>121369.58</v>
      </c>
      <c r="AC7" s="64">
        <v>120987.74</v>
      </c>
      <c r="AD7" s="64">
        <v>119406.37</v>
      </c>
      <c r="AE7" s="64">
        <v>116505.24999999999</v>
      </c>
      <c r="AF7" s="64">
        <v>115819.44999999998</v>
      </c>
      <c r="AG7" s="64">
        <v>117392.99999999999</v>
      </c>
      <c r="AH7" s="64">
        <v>117268.40999999999</v>
      </c>
      <c r="AI7" s="64">
        <v>120252.79857500002</v>
      </c>
      <c r="AJ7" s="64">
        <v>120257.64</v>
      </c>
      <c r="AK7" s="64">
        <v>125936.46</v>
      </c>
      <c r="AL7" s="143">
        <v>129230.14</v>
      </c>
    </row>
    <row r="8" spans="1:38" x14ac:dyDescent="0.25">
      <c r="A8" s="142" t="s">
        <v>35</v>
      </c>
      <c r="B8" s="258">
        <f t="shared" ca="1" si="7"/>
        <v>-2.8077509577120185E-3</v>
      </c>
      <c r="C8" s="255">
        <f t="shared" si="8"/>
        <v>-3.4428875471455345E-2</v>
      </c>
      <c r="D8" s="257">
        <f t="shared" si="9"/>
        <v>1.1011893588656507E-2</v>
      </c>
      <c r="E8" s="38">
        <f t="shared" si="10"/>
        <v>-7.7560483054569529E-3</v>
      </c>
      <c r="F8" s="38">
        <f t="shared" si="11"/>
        <v>1.5862172586498247E-3</v>
      </c>
      <c r="G8" s="38">
        <f t="shared" si="12"/>
        <v>4.7270555738272435E-3</v>
      </c>
      <c r="H8" s="38">
        <f t="shared" si="13"/>
        <v>1.9112734564253664E-2</v>
      </c>
      <c r="I8" s="38">
        <f t="shared" si="14"/>
        <v>5.1308309278036202E-2</v>
      </c>
      <c r="J8" s="38">
        <f t="shared" si="15"/>
        <v>8.6810881438703635E-3</v>
      </c>
      <c r="K8" s="38">
        <f t="shared" si="16"/>
        <v>1.7857337677610108E-2</v>
      </c>
      <c r="L8" s="38">
        <f t="shared" si="17"/>
        <v>0</v>
      </c>
      <c r="M8" s="38">
        <f t="shared" si="18"/>
        <v>0</v>
      </c>
      <c r="N8" s="38">
        <f t="shared" si="18"/>
        <v>0</v>
      </c>
      <c r="O8" s="144">
        <f t="shared" si="18"/>
        <v>0</v>
      </c>
      <c r="P8" s="263"/>
      <c r="Q8" s="9"/>
      <c r="R8" s="37" t="s">
        <v>35</v>
      </c>
      <c r="S8" s="38" t="str">
        <f>_xlfn.XLOOKUP(R8,Summary!A:A,Summary!B:B)</f>
        <v>SFH</v>
      </c>
      <c r="T8" s="39">
        <f>_xlfn.XLOOKUP(R8,Summary!A:A,Summary!C:C)</f>
        <v>1400</v>
      </c>
      <c r="U8" s="108">
        <f>_xlfn.XLOOKUP(R8,Summary!A:A,Summary!D:D)</f>
        <v>3</v>
      </c>
      <c r="V8" s="108">
        <f>_xlfn.XLOOKUP(R8,Summary!A:A,Summary!E:E)</f>
        <v>3</v>
      </c>
      <c r="W8" s="141">
        <f>_xlfn.XLOOKUP(R8,Summary!A:A,Summary!F:F)</f>
        <v>2</v>
      </c>
      <c r="X8" s="193">
        <f ca="1">_xlfn.XLOOKUP(R8,Summary!A:A,Summary!L:L)</f>
        <v>134057.53999999998</v>
      </c>
      <c r="Y8" s="178">
        <v>134435</v>
      </c>
      <c r="Z8" s="178">
        <v>139228.48000000001</v>
      </c>
      <c r="AA8" s="178">
        <v>137712.01</v>
      </c>
      <c r="AB8" s="178">
        <v>138788.46</v>
      </c>
      <c r="AC8" s="64">
        <v>138568.66</v>
      </c>
      <c r="AD8" s="64">
        <v>137916.72000000003</v>
      </c>
      <c r="AE8" s="64">
        <v>135330.19</v>
      </c>
      <c r="AF8" s="64">
        <v>128725.502125</v>
      </c>
      <c r="AG8" s="64">
        <v>127617.64212499998</v>
      </c>
      <c r="AH8" s="64">
        <v>125378.71212499999</v>
      </c>
      <c r="AI8" s="64">
        <v>125378.71212499999</v>
      </c>
      <c r="AJ8" s="64"/>
      <c r="AK8" s="64"/>
      <c r="AL8" s="143"/>
    </row>
    <row r="9" spans="1:38" x14ac:dyDescent="0.25">
      <c r="A9" s="142" t="s">
        <v>38</v>
      </c>
      <c r="B9" s="258">
        <f t="shared" ca="1" si="7"/>
        <v>-5.5609797646931636E-3</v>
      </c>
      <c r="C9" s="255">
        <f t="shared" si="8"/>
        <v>-6.1237908610438652E-3</v>
      </c>
      <c r="D9" s="257">
        <f t="shared" si="9"/>
        <v>1.6814875929101802E-2</v>
      </c>
      <c r="E9" s="38">
        <f t="shared" si="10"/>
        <v>-2.9255635555741621E-3</v>
      </c>
      <c r="F9" s="38">
        <f t="shared" si="11"/>
        <v>5.9418451151631579E-3</v>
      </c>
      <c r="G9" s="38">
        <f t="shared" si="12"/>
        <v>5.3798986279098848E-3</v>
      </c>
      <c r="H9" s="38">
        <f t="shared" si="13"/>
        <v>1.6808609994712898E-2</v>
      </c>
      <c r="I9" s="38">
        <f t="shared" si="14"/>
        <v>1.6767479019034415E-2</v>
      </c>
      <c r="J9" s="38">
        <f t="shared" si="15"/>
        <v>-1.2742865365865219E-2</v>
      </c>
      <c r="K9" s="38">
        <f t="shared" si="16"/>
        <v>1.2147913619264816E-3</v>
      </c>
      <c r="L9" s="38">
        <f t="shared" si="17"/>
        <v>-2.7413699303326156E-2</v>
      </c>
      <c r="M9" s="38">
        <f t="shared" si="18"/>
        <v>4.9248376254862336E-5</v>
      </c>
      <c r="N9" s="38">
        <f t="shared" si="18"/>
        <v>-7.467437558123402E-3</v>
      </c>
      <c r="O9" s="144">
        <f t="shared" si="18"/>
        <v>-5.6532854679111399E-2</v>
      </c>
      <c r="P9" s="263"/>
      <c r="Q9" s="9"/>
      <c r="R9" s="37" t="s">
        <v>38</v>
      </c>
      <c r="S9" s="38" t="str">
        <f>_xlfn.XLOOKUP(R9,Summary!A:A,Summary!B:B)</f>
        <v>SFH</v>
      </c>
      <c r="T9" s="39">
        <f>_xlfn.XLOOKUP(R9,Summary!A:A,Summary!C:C)</f>
        <v>2214</v>
      </c>
      <c r="U9" s="108">
        <f>_xlfn.XLOOKUP(R9,Summary!A:A,Summary!D:D)</f>
        <v>4</v>
      </c>
      <c r="V9" s="108">
        <f>_xlfn.XLOOKUP(R9,Summary!A:A,Summary!E:E)</f>
        <v>3</v>
      </c>
      <c r="W9" s="141">
        <f>_xlfn.XLOOKUP(R9,Summary!A:A,Summary!F:F)</f>
        <v>2</v>
      </c>
      <c r="X9" s="193">
        <f ca="1">_xlfn.XLOOKUP(R9,Summary!A:A,Summary!L:L)</f>
        <v>156913.06999999998</v>
      </c>
      <c r="Y9" s="178">
        <v>157790.53999999998</v>
      </c>
      <c r="Z9" s="178">
        <v>158762.76999999999</v>
      </c>
      <c r="AA9" s="178">
        <v>156137.34</v>
      </c>
      <c r="AB9" s="178">
        <v>156595.47</v>
      </c>
      <c r="AC9" s="64">
        <v>155670.5</v>
      </c>
      <c r="AD9" s="64">
        <v>154837.49</v>
      </c>
      <c r="AE9" s="64">
        <v>152277.91</v>
      </c>
      <c r="AF9" s="64">
        <v>149766.69999999998</v>
      </c>
      <c r="AG9" s="64">
        <v>151699.79</v>
      </c>
      <c r="AH9" s="64">
        <v>151515.73000000001</v>
      </c>
      <c r="AI9" s="64">
        <v>155786.41185000003</v>
      </c>
      <c r="AJ9" s="64">
        <v>155778.74</v>
      </c>
      <c r="AK9" s="64">
        <v>156950.76</v>
      </c>
      <c r="AL9" s="143">
        <v>166355.29999999999</v>
      </c>
    </row>
    <row r="10" spans="1:38" x14ac:dyDescent="0.25">
      <c r="A10" s="142" t="s">
        <v>41</v>
      </c>
      <c r="B10" s="258">
        <f t="shared" ca="1" si="7"/>
        <v>-1.5276835794341137E-3</v>
      </c>
      <c r="C10" s="255">
        <f t="shared" si="8"/>
        <v>-3.2542497545545057E-2</v>
      </c>
      <c r="D10" s="257">
        <f t="shared" si="9"/>
        <v>1.069302734642652E-2</v>
      </c>
      <c r="E10" s="38">
        <f t="shared" si="10"/>
        <v>-3.000790280569321E-3</v>
      </c>
      <c r="F10" s="38">
        <f t="shared" si="11"/>
        <v>-3.1234756675965203E-3</v>
      </c>
      <c r="G10" s="38">
        <f t="shared" si="12"/>
        <v>5.4473446554597071E-3</v>
      </c>
      <c r="H10" s="38">
        <f t="shared" si="13"/>
        <v>1.6772164351166685E-2</v>
      </c>
      <c r="I10" s="38">
        <f t="shared" si="14"/>
        <v>3.5977873002008609E-2</v>
      </c>
      <c r="J10" s="38">
        <f t="shared" si="15"/>
        <v>-1.1228634172298246E-2</v>
      </c>
      <c r="K10" s="38">
        <f t="shared" si="16"/>
        <v>-4.4113476461516976E-3</v>
      </c>
      <c r="L10" s="38">
        <f t="shared" si="17"/>
        <v>-2.14940552270243E-2</v>
      </c>
      <c r="M10" s="38">
        <f t="shared" si="18"/>
        <v>6.6702315946474133E-3</v>
      </c>
      <c r="N10" s="38">
        <f t="shared" si="18"/>
        <v>-1.0520538326953321E-2</v>
      </c>
      <c r="O10" s="144">
        <f t="shared" si="18"/>
        <v>-6.6664213154052798E-2</v>
      </c>
      <c r="P10" s="263"/>
      <c r="Q10" s="9"/>
      <c r="R10" s="37" t="s">
        <v>41</v>
      </c>
      <c r="S10" s="38" t="str">
        <f>_xlfn.XLOOKUP(R10,Summary!A:A,Summary!B:B)</f>
        <v>SFH</v>
      </c>
      <c r="T10" s="39">
        <f>_xlfn.XLOOKUP(R10,Summary!A:A,Summary!C:C)</f>
        <v>1541</v>
      </c>
      <c r="U10" s="108">
        <f>_xlfn.XLOOKUP(R10,Summary!A:A,Summary!D:D)</f>
        <v>3</v>
      </c>
      <c r="V10" s="108">
        <f>_xlfn.XLOOKUP(R10,Summary!A:A,Summary!E:E)</f>
        <v>2.5</v>
      </c>
      <c r="W10" s="141">
        <f>_xlfn.XLOOKUP(R10,Summary!A:A,Summary!F:F)</f>
        <v>2</v>
      </c>
      <c r="X10" s="193">
        <f ca="1">_xlfn.XLOOKUP(R10,Summary!A:A,Summary!L:L)</f>
        <v>124030.98000000001</v>
      </c>
      <c r="Y10" s="178">
        <v>124220.75</v>
      </c>
      <c r="Z10" s="178">
        <v>128399.18</v>
      </c>
      <c r="AA10" s="178">
        <v>127040.73</v>
      </c>
      <c r="AB10" s="178">
        <v>127423.1</v>
      </c>
      <c r="AC10" s="64">
        <v>127822.35</v>
      </c>
      <c r="AD10" s="64">
        <v>127129.83</v>
      </c>
      <c r="AE10" s="64">
        <v>125032.76000000001</v>
      </c>
      <c r="AF10" s="64">
        <v>120690.56999999998</v>
      </c>
      <c r="AG10" s="64">
        <v>122061.15</v>
      </c>
      <c r="AH10" s="64">
        <v>122601.99</v>
      </c>
      <c r="AI10" s="64">
        <v>125295.08957500001</v>
      </c>
      <c r="AJ10" s="64">
        <v>124464.88</v>
      </c>
      <c r="AK10" s="64">
        <v>125788.24</v>
      </c>
      <c r="AL10" s="143">
        <v>134772.76</v>
      </c>
    </row>
    <row r="11" spans="1:38" x14ac:dyDescent="0.25">
      <c r="A11" s="142" t="s">
        <v>44</v>
      </c>
      <c r="B11" s="258">
        <f t="shared" ca="1" si="7"/>
        <v>-1.5925387706114957E-3</v>
      </c>
      <c r="C11" s="255">
        <f t="shared" si="8"/>
        <v>-3.5070172865573124E-2</v>
      </c>
      <c r="D11" s="257">
        <f t="shared" si="9"/>
        <v>8.932739975719084E-3</v>
      </c>
      <c r="E11" s="38">
        <f t="shared" si="10"/>
        <v>1.7277299056117634E-4</v>
      </c>
      <c r="F11" s="38">
        <f t="shared" si="11"/>
        <v>6.1235880696992595E-3</v>
      </c>
      <c r="G11" s="38">
        <f t="shared" si="12"/>
        <v>8.50697023504976E-3</v>
      </c>
      <c r="H11" s="38">
        <f t="shared" si="13"/>
        <v>0</v>
      </c>
      <c r="I11" s="38">
        <f t="shared" si="14"/>
        <v>0</v>
      </c>
      <c r="J11" s="38">
        <f t="shared" si="15"/>
        <v>0</v>
      </c>
      <c r="K11" s="38">
        <f t="shared" si="16"/>
        <v>0</v>
      </c>
      <c r="L11" s="38">
        <f t="shared" si="17"/>
        <v>0</v>
      </c>
      <c r="M11" s="38">
        <f t="shared" si="18"/>
        <v>0</v>
      </c>
      <c r="N11" s="38">
        <f t="shared" si="18"/>
        <v>0</v>
      </c>
      <c r="O11" s="144">
        <f t="shared" si="18"/>
        <v>0</v>
      </c>
      <c r="P11" s="263"/>
      <c r="Q11" s="9"/>
      <c r="R11" s="37" t="s">
        <v>44</v>
      </c>
      <c r="S11" s="38" t="str">
        <f>_xlfn.XLOOKUP(R11,Summary!A:A,Summary!B:B)</f>
        <v>SFH</v>
      </c>
      <c r="T11" s="39">
        <f>_xlfn.XLOOKUP(R11,Summary!A:A,Summary!C:C)</f>
        <v>1713</v>
      </c>
      <c r="U11" s="108">
        <f>_xlfn.XLOOKUP(R11,Summary!A:A,Summary!D:D)</f>
        <v>4</v>
      </c>
      <c r="V11" s="108">
        <f>_xlfn.XLOOKUP(R11,Summary!A:A,Summary!E:E)</f>
        <v>2.5</v>
      </c>
      <c r="W11" s="141">
        <f>_xlfn.XLOOKUP(R11,Summary!A:A,Summary!F:F)</f>
        <v>2</v>
      </c>
      <c r="X11" s="193">
        <f ca="1">_xlfn.XLOOKUP(R11,Summary!A:A,Summary!L:L)</f>
        <v>134200.25</v>
      </c>
      <c r="Y11" s="178">
        <v>134414.31</v>
      </c>
      <c r="Z11" s="178">
        <v>139299.57</v>
      </c>
      <c r="AA11" s="178">
        <v>138066.25999999998</v>
      </c>
      <c r="AB11" s="178">
        <v>138042.41</v>
      </c>
      <c r="AC11" s="64">
        <v>137202.23999999999</v>
      </c>
      <c r="AD11" s="64">
        <v>136044.90999999997</v>
      </c>
      <c r="AE11" s="64"/>
      <c r="AF11" s="64"/>
      <c r="AG11" s="64"/>
      <c r="AH11" s="64"/>
      <c r="AI11" s="64"/>
      <c r="AJ11" s="64"/>
      <c r="AK11" s="64"/>
      <c r="AL11" s="143"/>
    </row>
    <row r="12" spans="1:38" x14ac:dyDescent="0.25">
      <c r="A12" s="142" t="s">
        <v>46</v>
      </c>
      <c r="B12" s="258">
        <f t="shared" ca="1" si="7"/>
        <v>-9.7725611314491978E-4</v>
      </c>
      <c r="C12" s="255">
        <f t="shared" si="8"/>
        <v>-1.7998863025107559E-2</v>
      </c>
      <c r="D12" s="257">
        <f t="shared" si="9"/>
        <v>8.6222224903140798E-3</v>
      </c>
      <c r="E12" s="38">
        <f t="shared" si="10"/>
        <v>-6.7742137752898612E-3</v>
      </c>
      <c r="F12" s="38">
        <f t="shared" si="11"/>
        <v>7.0257054089326587E-3</v>
      </c>
      <c r="G12" s="38">
        <f t="shared" si="12"/>
        <v>6.2582916465734328E-3</v>
      </c>
      <c r="H12" s="38">
        <f t="shared" si="13"/>
        <v>2.0306011347456243E-2</v>
      </c>
      <c r="I12" s="38">
        <f t="shared" si="14"/>
        <v>1.5760936324055397E-2</v>
      </c>
      <c r="J12" s="38">
        <f t="shared" si="15"/>
        <v>8.2839323807113452E-3</v>
      </c>
      <c r="K12" s="38">
        <f t="shared" si="16"/>
        <v>5.9951295736759835E-3</v>
      </c>
      <c r="L12" s="38">
        <f t="shared" si="17"/>
        <v>-4.8638294620338862E-2</v>
      </c>
      <c r="M12" s="38">
        <f t="shared" si="18"/>
        <v>2.1568440984620629E-4</v>
      </c>
      <c r="N12" s="38">
        <f t="shared" si="18"/>
        <v>-1.8595654654237181E-2</v>
      </c>
      <c r="O12" s="144">
        <f t="shared" si="18"/>
        <v>-5.7570298450626112E-2</v>
      </c>
      <c r="P12" s="263"/>
      <c r="Q12" s="9"/>
      <c r="R12" s="37" t="s">
        <v>46</v>
      </c>
      <c r="S12" s="38" t="str">
        <f>_xlfn.XLOOKUP(R12,Summary!A:A,Summary!B:B)</f>
        <v>SFH</v>
      </c>
      <c r="T12" s="39">
        <f>_xlfn.XLOOKUP(R12,Summary!A:A,Summary!C:C)</f>
        <v>2000</v>
      </c>
      <c r="U12" s="108">
        <f>_xlfn.XLOOKUP(R12,Summary!A:A,Summary!D:D)</f>
        <v>4</v>
      </c>
      <c r="V12" s="108">
        <f>_xlfn.XLOOKUP(R12,Summary!A:A,Summary!E:E)</f>
        <v>2.5</v>
      </c>
      <c r="W12" s="141">
        <f>_xlfn.XLOOKUP(R12,Summary!A:A,Summary!F:F)</f>
        <v>2</v>
      </c>
      <c r="X12" s="193">
        <f ca="1">_xlfn.XLOOKUP(R12,Summary!A:A,Summary!L:L)</f>
        <v>144355.20000000001</v>
      </c>
      <c r="Y12" s="178">
        <v>144496.41</v>
      </c>
      <c r="Z12" s="178">
        <v>147144.85</v>
      </c>
      <c r="AA12" s="178">
        <v>145886.98000000001</v>
      </c>
      <c r="AB12" s="178">
        <v>146881.99</v>
      </c>
      <c r="AC12" s="64">
        <v>145857.24</v>
      </c>
      <c r="AD12" s="64">
        <v>144950.1</v>
      </c>
      <c r="AE12" s="64">
        <v>142065.32</v>
      </c>
      <c r="AF12" s="64">
        <v>139860.98000000001</v>
      </c>
      <c r="AG12" s="64">
        <v>138711.90000000002</v>
      </c>
      <c r="AH12" s="64">
        <v>137885.26</v>
      </c>
      <c r="AI12" s="64">
        <v>144934.63340000002</v>
      </c>
      <c r="AJ12" s="64">
        <v>144903.38</v>
      </c>
      <c r="AK12" s="64">
        <v>147649.01</v>
      </c>
      <c r="AL12" s="143">
        <v>156668.46</v>
      </c>
    </row>
    <row r="13" spans="1:38" x14ac:dyDescent="0.25">
      <c r="A13" s="142" t="s">
        <v>48</v>
      </c>
      <c r="B13" s="258">
        <f t="shared" ca="1" si="7"/>
        <v>-1.3137906449108838E-3</v>
      </c>
      <c r="C13" s="255">
        <f t="shared" si="8"/>
        <v>-2.7222200038025335E-2</v>
      </c>
      <c r="D13" s="257">
        <f t="shared" si="9"/>
        <v>-1.263511060525413E-2</v>
      </c>
      <c r="E13" s="38">
        <f t="shared" si="10"/>
        <v>-3.9013977209187978E-3</v>
      </c>
      <c r="F13" s="38">
        <f t="shared" si="11"/>
        <v>5.4914510185664067E-3</v>
      </c>
      <c r="G13" s="38">
        <f t="shared" si="12"/>
        <v>-1.0262274371386493E-3</v>
      </c>
      <c r="H13" s="38">
        <f t="shared" si="13"/>
        <v>2.4633447203949776E-2</v>
      </c>
      <c r="I13" s="38">
        <f t="shared" si="14"/>
        <v>2.7571258924758091E-2</v>
      </c>
      <c r="J13" s="38">
        <f t="shared" si="15"/>
        <v>-3.0971298836570682E-3</v>
      </c>
      <c r="K13" s="38">
        <f t="shared" si="16"/>
        <v>-2.0702553781801636E-2</v>
      </c>
      <c r="L13" s="38">
        <f t="shared" si="17"/>
        <v>-3.6219441090268312E-2</v>
      </c>
      <c r="M13" s="38">
        <f t="shared" si="18"/>
        <v>6.8952314539740822E-3</v>
      </c>
      <c r="N13" s="38">
        <f t="shared" si="18"/>
        <v>-7.3360174873806638E-3</v>
      </c>
      <c r="O13" s="144">
        <f t="shared" si="18"/>
        <v>-5.2439154088271933E-2</v>
      </c>
      <c r="P13" s="263"/>
      <c r="Q13" s="9"/>
      <c r="R13" s="37" t="s">
        <v>48</v>
      </c>
      <c r="S13" s="38" t="str">
        <f>_xlfn.XLOOKUP(R13,Summary!A:A,Summary!B:B)</f>
        <v>SFH</v>
      </c>
      <c r="T13" s="39">
        <f>_xlfn.XLOOKUP(R13,Summary!A:A,Summary!C:C)</f>
        <v>1712</v>
      </c>
      <c r="U13" s="108">
        <f>_xlfn.XLOOKUP(R13,Summary!A:A,Summary!D:D)</f>
        <v>4</v>
      </c>
      <c r="V13" s="108">
        <f>_xlfn.XLOOKUP(R13,Summary!A:A,Summary!E:E)</f>
        <v>2.5</v>
      </c>
      <c r="W13" s="141">
        <f>_xlfn.XLOOKUP(R13,Summary!A:A,Summary!F:F)</f>
        <v>2</v>
      </c>
      <c r="X13" s="193">
        <f ca="1">_xlfn.XLOOKUP(R13,Summary!A:A,Summary!L:L)</f>
        <v>134540.06</v>
      </c>
      <c r="Y13" s="178">
        <v>134717.04999999999</v>
      </c>
      <c r="Z13" s="178">
        <v>138486.97</v>
      </c>
      <c r="AA13" s="178">
        <v>140259.16000000003</v>
      </c>
      <c r="AB13" s="178">
        <v>140808.51</v>
      </c>
      <c r="AC13" s="64">
        <v>140039.49</v>
      </c>
      <c r="AD13" s="64">
        <v>140183.35</v>
      </c>
      <c r="AE13" s="64">
        <v>136813.17000000001</v>
      </c>
      <c r="AF13" s="64">
        <v>133142.26999999996</v>
      </c>
      <c r="AG13" s="64">
        <v>133555.90999999997</v>
      </c>
      <c r="AH13" s="64">
        <v>136379.30999999997</v>
      </c>
      <c r="AI13" s="64">
        <v>141504.52479999998</v>
      </c>
      <c r="AJ13" s="64">
        <v>140535.5</v>
      </c>
      <c r="AK13" s="64">
        <v>141574.09</v>
      </c>
      <c r="AL13" s="143">
        <v>149408.97</v>
      </c>
    </row>
    <row r="14" spans="1:38" x14ac:dyDescent="0.25">
      <c r="A14" s="142" t="s">
        <v>50</v>
      </c>
      <c r="B14" s="258">
        <f t="shared" ca="1" si="7"/>
        <v>-2.1993494297026794E-3</v>
      </c>
      <c r="C14" s="255">
        <f t="shared" si="8"/>
        <v>-2.2188214671816753E-2</v>
      </c>
      <c r="D14" s="257">
        <f t="shared" si="9"/>
        <v>-2.4479124043830236E-4</v>
      </c>
      <c r="E14" s="38">
        <f t="shared" si="10"/>
        <v>-4.1715995422987318E-3</v>
      </c>
      <c r="F14" s="38">
        <f t="shared" si="11"/>
        <v>1.936621899792712E-3</v>
      </c>
      <c r="G14" s="38">
        <f t="shared" si="12"/>
        <v>1.5159626042829277E-2</v>
      </c>
      <c r="H14" s="38">
        <f t="shared" si="13"/>
        <v>3.2021491288948045E-2</v>
      </c>
      <c r="I14" s="38">
        <f t="shared" si="14"/>
        <v>1.0948172235450082E-2</v>
      </c>
      <c r="J14" s="38">
        <f t="shared" si="15"/>
        <v>-1.1308274513959438E-2</v>
      </c>
      <c r="K14" s="38">
        <f t="shared" si="16"/>
        <v>-5.4256282430471536E-3</v>
      </c>
      <c r="L14" s="38">
        <f t="shared" si="17"/>
        <v>-2.2758209479947222E-2</v>
      </c>
      <c r="M14" s="38">
        <f t="shared" si="18"/>
        <v>2.9885486285063934E-4</v>
      </c>
      <c r="N14" s="38">
        <f t="shared" si="18"/>
        <v>-2.2267673337987071E-2</v>
      </c>
      <c r="O14" s="144">
        <f t="shared" si="18"/>
        <v>-2.338377348038867E-2</v>
      </c>
      <c r="P14" s="263"/>
      <c r="Q14" s="9"/>
      <c r="R14" s="37" t="s">
        <v>50</v>
      </c>
      <c r="S14" s="38" t="str">
        <f>_xlfn.XLOOKUP(R14,Summary!A:A,Summary!B:B)</f>
        <v>SFH</v>
      </c>
      <c r="T14" s="39">
        <f>_xlfn.XLOOKUP(R14,Summary!A:A,Summary!C:C)</f>
        <v>1382</v>
      </c>
      <c r="U14" s="108">
        <f>_xlfn.XLOOKUP(R14,Summary!A:A,Summary!D:D)</f>
        <v>3</v>
      </c>
      <c r="V14" s="108">
        <f>_xlfn.XLOOKUP(R14,Summary!A:A,Summary!E:E)</f>
        <v>3</v>
      </c>
      <c r="W14" s="141">
        <f>_xlfn.XLOOKUP(R14,Summary!A:A,Summary!F:F)</f>
        <v>1</v>
      </c>
      <c r="X14" s="193">
        <f ca="1">_xlfn.XLOOKUP(R14,Summary!A:A,Summary!L:L)</f>
        <v>122529.87000000002</v>
      </c>
      <c r="Y14" s="178">
        <v>122799.95000000004</v>
      </c>
      <c r="Z14" s="178">
        <v>125586.49</v>
      </c>
      <c r="AA14" s="178">
        <v>125617.24000000003</v>
      </c>
      <c r="AB14" s="178">
        <v>126143.46</v>
      </c>
      <c r="AC14" s="64">
        <v>125899.64</v>
      </c>
      <c r="AD14" s="64">
        <v>124019.55000000003</v>
      </c>
      <c r="AE14" s="64">
        <v>120171.48000000003</v>
      </c>
      <c r="AF14" s="64">
        <v>118870.07</v>
      </c>
      <c r="AG14" s="64">
        <v>120229.66000000002</v>
      </c>
      <c r="AH14" s="64">
        <v>120885.54000000002</v>
      </c>
      <c r="AI14" s="64">
        <v>123700.74752500004</v>
      </c>
      <c r="AJ14" s="64">
        <v>123663.79</v>
      </c>
      <c r="AK14" s="64">
        <v>126480.21</v>
      </c>
      <c r="AL14" s="143">
        <v>129508.61</v>
      </c>
    </row>
    <row r="15" spans="1:38" x14ac:dyDescent="0.25">
      <c r="A15" s="142" t="s">
        <v>52</v>
      </c>
      <c r="B15" s="258">
        <f t="shared" ca="1" si="7"/>
        <v>4.8645375082048137E-3</v>
      </c>
      <c r="C15" s="255">
        <f t="shared" si="8"/>
        <v>-2.0035538738078951E-2</v>
      </c>
      <c r="D15" s="257">
        <f t="shared" si="9"/>
        <v>-5.4948496298370286E-2</v>
      </c>
      <c r="E15" s="38">
        <f t="shared" si="10"/>
        <v>-1.7850463136141026E-2</v>
      </c>
      <c r="F15" s="38">
        <f t="shared" si="11"/>
        <v>3.5479844365822188E-3</v>
      </c>
      <c r="G15" s="38">
        <f t="shared" si="12"/>
        <v>7.4092994855292638E-3</v>
      </c>
      <c r="H15" s="38">
        <f t="shared" si="13"/>
        <v>-8.8741284084484784E-3</v>
      </c>
      <c r="I15" s="38">
        <f t="shared" si="14"/>
        <v>5.8523199401139703E-2</v>
      </c>
      <c r="J15" s="38">
        <f t="shared" si="15"/>
        <v>-1.2381935040532643E-2</v>
      </c>
      <c r="K15" s="38">
        <f t="shared" si="16"/>
        <v>3.9552587334774625E-3</v>
      </c>
      <c r="L15" s="38">
        <f t="shared" si="17"/>
        <v>-3.0518028956160737E-2</v>
      </c>
      <c r="M15" s="38">
        <f t="shared" si="18"/>
        <v>1.8617359813539736E-3</v>
      </c>
      <c r="N15" s="38">
        <f t="shared" si="18"/>
        <v>0</v>
      </c>
      <c r="O15" s="144">
        <f t="shared" si="18"/>
        <v>0</v>
      </c>
      <c r="P15" s="263"/>
      <c r="Q15" s="9"/>
      <c r="R15" s="37" t="s">
        <v>52</v>
      </c>
      <c r="S15" s="38" t="str">
        <f>_xlfn.XLOOKUP(R15,Summary!A:A,Summary!B:B)</f>
        <v>SFH</v>
      </c>
      <c r="T15" s="39">
        <f>_xlfn.XLOOKUP(R15,Summary!A:A,Summary!C:C)</f>
        <v>2293</v>
      </c>
      <c r="U15" s="108">
        <f>_xlfn.XLOOKUP(R15,Summary!A:A,Summary!D:D)</f>
        <v>4</v>
      </c>
      <c r="V15" s="108">
        <f>_xlfn.XLOOKUP(R15,Summary!A:A,Summary!E:E)</f>
        <v>3.5</v>
      </c>
      <c r="W15" s="141">
        <f>_xlfn.XLOOKUP(R15,Summary!A:A,Summary!F:F)</f>
        <v>0</v>
      </c>
      <c r="X15" s="193">
        <f ca="1">_xlfn.XLOOKUP(R15,Summary!A:A,Summary!L:L)</f>
        <v>157945.01999999996</v>
      </c>
      <c r="Y15" s="178">
        <v>157180.40999999995</v>
      </c>
      <c r="Z15" s="178">
        <v>160393.99</v>
      </c>
      <c r="AA15" s="178">
        <v>169719.84</v>
      </c>
      <c r="AB15" s="178">
        <v>172804.48000000001</v>
      </c>
      <c r="AC15" s="64">
        <v>172193.54</v>
      </c>
      <c r="AD15" s="64">
        <v>170927.09</v>
      </c>
      <c r="AE15" s="64">
        <v>172457.5</v>
      </c>
      <c r="AF15" s="64">
        <v>162922.73999999996</v>
      </c>
      <c r="AG15" s="64">
        <v>164965.32999999999</v>
      </c>
      <c r="AH15" s="64">
        <v>164315.41999999998</v>
      </c>
      <c r="AI15" s="64">
        <v>169487.85527500001</v>
      </c>
      <c r="AJ15" s="64">
        <v>169172.9</v>
      </c>
      <c r="AK15" s="64"/>
      <c r="AL15" s="143"/>
    </row>
    <row r="16" spans="1:38" x14ac:dyDescent="0.25">
      <c r="A16" s="142" t="s">
        <v>55</v>
      </c>
      <c r="B16" s="258">
        <f t="shared" ca="1" si="7"/>
        <v>-1.2045456252554043E-3</v>
      </c>
      <c r="C16" s="255">
        <f t="shared" si="8"/>
        <v>-1.6115806764299467E-2</v>
      </c>
      <c r="D16" s="257">
        <f t="shared" si="9"/>
        <v>2.8516235958617742E-3</v>
      </c>
      <c r="E16" s="38">
        <f t="shared" si="10"/>
        <v>1.2138387594087474E-2</v>
      </c>
      <c r="F16" s="38">
        <f t="shared" si="11"/>
        <v>-1.384975000583788E-2</v>
      </c>
      <c r="G16" s="38">
        <f t="shared" si="12"/>
        <v>2.4055892963665393E-2</v>
      </c>
      <c r="H16" s="38">
        <f t="shared" si="13"/>
        <v>1.4545680834229913E-2</v>
      </c>
      <c r="I16" s="38">
        <f t="shared" si="14"/>
        <v>7.4613045368241426E-3</v>
      </c>
      <c r="J16" s="38">
        <f t="shared" si="15"/>
        <v>-1.1717354938278746E-2</v>
      </c>
      <c r="K16" s="38">
        <f t="shared" si="16"/>
        <v>6.6780378858086742E-3</v>
      </c>
      <c r="L16" s="38">
        <f t="shared" si="17"/>
        <v>-2.7757069510439658E-2</v>
      </c>
      <c r="M16" s="38">
        <f t="shared" si="18"/>
        <v>3.7880356693387185E-5</v>
      </c>
      <c r="N16" s="38">
        <f t="shared" si="18"/>
        <v>-5.2749309512561959E-3</v>
      </c>
      <c r="O16" s="144">
        <f t="shared" si="18"/>
        <v>-6.6980978997820628E-2</v>
      </c>
      <c r="P16" s="263"/>
      <c r="Q16" s="9"/>
      <c r="R16" s="37" t="s">
        <v>55</v>
      </c>
      <c r="S16" s="38" t="str">
        <f>_xlfn.XLOOKUP(R16,Summary!A:A,Summary!B:B)</f>
        <v>SFH</v>
      </c>
      <c r="T16" s="39">
        <f>_xlfn.XLOOKUP(R16,Summary!A:A,Summary!C:C)</f>
        <v>2771</v>
      </c>
      <c r="U16" s="108">
        <f>_xlfn.XLOOKUP(R16,Summary!A:A,Summary!D:D)</f>
        <v>4</v>
      </c>
      <c r="V16" s="108">
        <f>_xlfn.XLOOKUP(R16,Summary!A:A,Summary!E:E)</f>
        <v>3</v>
      </c>
      <c r="W16" s="141">
        <f>_xlfn.XLOOKUP(R16,Summary!A:A,Summary!F:F)</f>
        <v>2</v>
      </c>
      <c r="X16" s="193">
        <f ca="1">_xlfn.XLOOKUP(R16,Summary!A:A,Summary!L:L)</f>
        <v>178184.33000000002</v>
      </c>
      <c r="Y16" s="178">
        <v>178399.22</v>
      </c>
      <c r="Z16" s="178">
        <v>181321.36</v>
      </c>
      <c r="AA16" s="178">
        <v>180805.77000000002</v>
      </c>
      <c r="AB16" s="178">
        <v>178637.4</v>
      </c>
      <c r="AC16" s="64">
        <v>181146.23</v>
      </c>
      <c r="AD16" s="64">
        <v>176890.96</v>
      </c>
      <c r="AE16" s="64">
        <v>174354.84999999998</v>
      </c>
      <c r="AF16" s="64">
        <v>173063.57</v>
      </c>
      <c r="AG16" s="64">
        <v>175115.45999999996</v>
      </c>
      <c r="AH16" s="64">
        <v>173953.78999999995</v>
      </c>
      <c r="AI16" s="64">
        <v>178920.08729999998</v>
      </c>
      <c r="AJ16" s="64">
        <v>178913.31</v>
      </c>
      <c r="AK16" s="64">
        <v>179862.07</v>
      </c>
      <c r="AL16" s="143">
        <v>192774.28</v>
      </c>
    </row>
    <row r="17" spans="1:38" x14ac:dyDescent="0.25">
      <c r="A17" s="142" t="s">
        <v>57</v>
      </c>
      <c r="B17" s="258">
        <f t="shared" ca="1" si="7"/>
        <v>-1.5564093823720038E-3</v>
      </c>
      <c r="C17" s="255">
        <f t="shared" si="8"/>
        <v>-4.0861341203070167E-2</v>
      </c>
      <c r="D17" s="257">
        <f t="shared" si="9"/>
        <v>2.1973591218021005E-2</v>
      </c>
      <c r="E17" s="38">
        <f t="shared" si="10"/>
        <v>-7.1631752373969571E-3</v>
      </c>
      <c r="F17" s="38">
        <f t="shared" si="11"/>
        <v>6.2618654110235816E-4</v>
      </c>
      <c r="G17" s="38">
        <f t="shared" si="12"/>
        <v>7.1316149364744064E-3</v>
      </c>
      <c r="H17" s="38">
        <f t="shared" si="13"/>
        <v>1.2006066754997047E-2</v>
      </c>
      <c r="I17" s="38">
        <f t="shared" si="14"/>
        <v>1.994046065087085E-2</v>
      </c>
      <c r="J17" s="38">
        <f t="shared" si="15"/>
        <v>-1.1566277137140757E-2</v>
      </c>
      <c r="K17" s="38">
        <f t="shared" si="16"/>
        <v>1.4908231655679449E-2</v>
      </c>
      <c r="L17" s="38">
        <f t="shared" si="17"/>
        <v>-2.6425881450023891E-2</v>
      </c>
      <c r="M17" s="38">
        <f t="shared" si="18"/>
        <v>-1.4505640675409603E-3</v>
      </c>
      <c r="N17" s="38">
        <f t="shared" si="18"/>
        <v>0</v>
      </c>
      <c r="O17" s="144">
        <f t="shared" si="18"/>
        <v>0</v>
      </c>
      <c r="P17" s="263"/>
      <c r="Q17" s="9"/>
      <c r="R17" s="37" t="s">
        <v>57</v>
      </c>
      <c r="S17" s="38" t="str">
        <f>_xlfn.XLOOKUP(R17,Summary!A:A,Summary!B:B)</f>
        <v>SFH</v>
      </c>
      <c r="T17" s="39">
        <f>_xlfn.XLOOKUP(R17,Summary!A:A,Summary!C:C)</f>
        <v>2001</v>
      </c>
      <c r="U17" s="108">
        <f>_xlfn.XLOOKUP(R17,Summary!A:A,Summary!D:D)</f>
        <v>3</v>
      </c>
      <c r="V17" s="108">
        <f>_xlfn.XLOOKUP(R17,Summary!A:A,Summary!E:E)</f>
        <v>2</v>
      </c>
      <c r="W17" s="141">
        <f>_xlfn.XLOOKUP(R17,Summary!A:A,Summary!F:F)</f>
        <v>0</v>
      </c>
      <c r="X17" s="193">
        <f ca="1">_xlfn.XLOOKUP(R17,Summary!A:A,Summary!L:L)</f>
        <v>147507.54</v>
      </c>
      <c r="Y17" s="178">
        <v>147737.48000000001</v>
      </c>
      <c r="Z17" s="178">
        <v>154031.41</v>
      </c>
      <c r="AA17" s="178">
        <v>150719.56</v>
      </c>
      <c r="AB17" s="178">
        <v>151806.98000000001</v>
      </c>
      <c r="AC17" s="64">
        <v>151711.98000000001</v>
      </c>
      <c r="AD17" s="64">
        <v>150637.69</v>
      </c>
      <c r="AE17" s="64">
        <v>148850.57999999999</v>
      </c>
      <c r="AF17" s="64">
        <v>145940.46</v>
      </c>
      <c r="AG17" s="64">
        <v>147648.19999999998</v>
      </c>
      <c r="AH17" s="64">
        <v>145479.35999999999</v>
      </c>
      <c r="AI17" s="64">
        <v>149428.13005000004</v>
      </c>
      <c r="AJ17" s="64">
        <v>149645.20000000001</v>
      </c>
      <c r="AK17" s="64"/>
      <c r="AL17" s="143"/>
    </row>
    <row r="18" spans="1:38" x14ac:dyDescent="0.25">
      <c r="A18" s="142" t="s">
        <v>59</v>
      </c>
      <c r="B18" s="258">
        <f t="shared" ca="1" si="7"/>
        <v>-1.0555580511091289E-2</v>
      </c>
      <c r="C18" s="255">
        <f t="shared" si="8"/>
        <v>5.8148181590589765E-2</v>
      </c>
      <c r="D18" s="257">
        <f t="shared" si="9"/>
        <v>-6.3721216922895563E-2</v>
      </c>
      <c r="E18" s="38">
        <f t="shared" si="10"/>
        <v>-6.5039310373971038E-3</v>
      </c>
      <c r="F18" s="38">
        <f t="shared" si="11"/>
        <v>3.0174162114169345E-3</v>
      </c>
      <c r="G18" s="38">
        <f t="shared" si="12"/>
        <v>1.1308957980076917E-2</v>
      </c>
      <c r="H18" s="38">
        <f t="shared" si="13"/>
        <v>2.1206373112620414E-2</v>
      </c>
      <c r="I18" s="38">
        <f t="shared" si="14"/>
        <v>-7.3175589713805334E-3</v>
      </c>
      <c r="J18" s="38">
        <f t="shared" si="15"/>
        <v>-9.4563625493485626E-3</v>
      </c>
      <c r="K18" s="38">
        <f t="shared" si="16"/>
        <v>1.2364760672446851E-2</v>
      </c>
      <c r="L18" s="38">
        <f t="shared" si="17"/>
        <v>-2.6509124709941823E-2</v>
      </c>
      <c r="M18" s="38">
        <f t="shared" si="18"/>
        <v>5.2145715648777013E-4</v>
      </c>
      <c r="N18" s="38">
        <f t="shared" si="18"/>
        <v>-9.7567293919883502E-3</v>
      </c>
      <c r="O18" s="144">
        <f t="shared" si="18"/>
        <v>-2.7419457838256833E-2</v>
      </c>
      <c r="P18" s="263"/>
      <c r="Q18" s="9"/>
      <c r="R18" s="37" t="s">
        <v>59</v>
      </c>
      <c r="S18" s="38" t="str">
        <f>_xlfn.XLOOKUP(R18,Summary!A:A,Summary!B:B)</f>
        <v>SFH</v>
      </c>
      <c r="T18" s="39">
        <f>_xlfn.XLOOKUP(R18,Summary!A:A,Summary!C:C)</f>
        <v>1545</v>
      </c>
      <c r="U18" s="108">
        <f>_xlfn.XLOOKUP(R18,Summary!A:A,Summary!D:D)</f>
        <v>3</v>
      </c>
      <c r="V18" s="108">
        <f>_xlfn.XLOOKUP(R18,Summary!A:A,Summary!E:E)</f>
        <v>2</v>
      </c>
      <c r="W18" s="141">
        <f>_xlfn.XLOOKUP(R18,Summary!A:A,Summary!F:F)</f>
        <v>2</v>
      </c>
      <c r="X18" s="193">
        <f ca="1">_xlfn.XLOOKUP(R18,Summary!A:A,Summary!L:L)</f>
        <v>129517.76000000001</v>
      </c>
      <c r="Y18" s="178">
        <v>130899.48</v>
      </c>
      <c r="Z18" s="178">
        <v>123706.19</v>
      </c>
      <c r="AA18" s="178">
        <v>132125.38</v>
      </c>
      <c r="AB18" s="178">
        <v>132990.34</v>
      </c>
      <c r="AC18" s="64">
        <v>132590.26</v>
      </c>
      <c r="AD18" s="64">
        <v>131107.57</v>
      </c>
      <c r="AE18" s="64">
        <v>128384.98999999998</v>
      </c>
      <c r="AF18" s="64">
        <v>129331.38</v>
      </c>
      <c r="AG18" s="64">
        <v>130566.06</v>
      </c>
      <c r="AH18" s="64">
        <v>128971.36</v>
      </c>
      <c r="AI18" s="64">
        <v>132483.37840000002</v>
      </c>
      <c r="AJ18" s="64">
        <v>132414.32999999999</v>
      </c>
      <c r="AK18" s="64">
        <v>133718.99</v>
      </c>
      <c r="AL18" s="143">
        <v>137488.85999999999</v>
      </c>
    </row>
    <row r="19" spans="1:38" x14ac:dyDescent="0.25">
      <c r="A19" s="142" t="s">
        <v>60</v>
      </c>
      <c r="B19" s="258">
        <f t="shared" ca="1" si="7"/>
        <v>-1.5892129763334095E-3</v>
      </c>
      <c r="C19" s="255">
        <f t="shared" si="8"/>
        <v>-1.620442907509656E-2</v>
      </c>
      <c r="D19" s="257">
        <f t="shared" si="9"/>
        <v>-7.1856011942195153E-4</v>
      </c>
      <c r="E19" s="38">
        <f t="shared" si="10"/>
        <v>-6.5245508514121253E-3</v>
      </c>
      <c r="F19" s="38">
        <f t="shared" si="11"/>
        <v>-2.0232499476506849E-3</v>
      </c>
      <c r="G19" s="38">
        <f t="shared" si="12"/>
        <v>1.0893181983825606E-2</v>
      </c>
      <c r="H19" s="38">
        <f t="shared" si="13"/>
        <v>2.7881550994885318E-2</v>
      </c>
      <c r="I19" s="38">
        <f t="shared" si="14"/>
        <v>5.188881949717894E-3</v>
      </c>
      <c r="J19" s="38">
        <f t="shared" si="15"/>
        <v>4.009826910580383E-4</v>
      </c>
      <c r="K19" s="38">
        <f t="shared" si="16"/>
        <v>-7.8888927551209465E-3</v>
      </c>
      <c r="L19" s="38">
        <f t="shared" si="17"/>
        <v>-2.9957720975053226E-2</v>
      </c>
      <c r="M19" s="38">
        <f t="shared" si="18"/>
        <v>3.6694396897301029E-3</v>
      </c>
      <c r="N19" s="38">
        <f t="shared" si="18"/>
        <v>-1.6132300552938683E-2</v>
      </c>
      <c r="O19" s="144">
        <f t="shared" si="18"/>
        <v>-3.4063174923380957E-2</v>
      </c>
      <c r="P19" s="263"/>
      <c r="Q19" s="9"/>
      <c r="R19" s="37" t="s">
        <v>60</v>
      </c>
      <c r="S19" s="38" t="str">
        <f>_xlfn.XLOOKUP(R19,Summary!A:A,Summary!B:B)</f>
        <v>SFH</v>
      </c>
      <c r="T19" s="39">
        <f>_xlfn.XLOOKUP(R19,Summary!A:A,Summary!C:C)</f>
        <v>1170</v>
      </c>
      <c r="U19" s="108">
        <f>_xlfn.XLOOKUP(R19,Summary!A:A,Summary!D:D)</f>
        <v>3</v>
      </c>
      <c r="V19" s="108">
        <f>_xlfn.XLOOKUP(R19,Summary!A:A,Summary!E:E)</f>
        <v>2</v>
      </c>
      <c r="W19" s="141">
        <f>_xlfn.XLOOKUP(R19,Summary!A:A,Summary!F:F)</f>
        <v>1</v>
      </c>
      <c r="X19" s="193">
        <f ca="1">_xlfn.XLOOKUP(R19,Summary!A:A,Summary!L:L)</f>
        <v>105821.13</v>
      </c>
      <c r="Y19" s="178">
        <v>105989.57</v>
      </c>
      <c r="Z19" s="178">
        <v>107735.36</v>
      </c>
      <c r="AA19" s="178">
        <v>107812.83000000002</v>
      </c>
      <c r="AB19" s="178">
        <v>108520.88</v>
      </c>
      <c r="AC19" s="64">
        <v>108740.89</v>
      </c>
      <c r="AD19" s="64">
        <v>107569.12000000002</v>
      </c>
      <c r="AE19" s="64">
        <v>104651.28000000001</v>
      </c>
      <c r="AF19" s="64">
        <v>104111.06000000001</v>
      </c>
      <c r="AG19" s="64">
        <v>104069.33</v>
      </c>
      <c r="AH19" s="64">
        <v>104896.85</v>
      </c>
      <c r="AI19" s="64">
        <v>108136.369175</v>
      </c>
      <c r="AJ19" s="64">
        <v>107741.02</v>
      </c>
      <c r="AK19" s="64">
        <v>109507.63</v>
      </c>
      <c r="AL19" s="143">
        <v>113369.35</v>
      </c>
    </row>
    <row r="20" spans="1:38" x14ac:dyDescent="0.25">
      <c r="A20" s="142" t="s">
        <v>62</v>
      </c>
      <c r="B20" s="258">
        <f t="shared" ca="1" si="7"/>
        <v>-3.5472672846155184E-3</v>
      </c>
      <c r="C20" s="255">
        <f t="shared" si="8"/>
        <v>-1.3116999906688132E-2</v>
      </c>
      <c r="D20" s="257">
        <f t="shared" si="9"/>
        <v>5.0717549892378422E-3</v>
      </c>
      <c r="E20" s="38">
        <f t="shared" si="10"/>
        <v>-1.1525289371688063E-2</v>
      </c>
      <c r="F20" s="38">
        <f t="shared" si="11"/>
        <v>4.8349251275183747E-3</v>
      </c>
      <c r="G20" s="38">
        <f t="shared" si="12"/>
        <v>5.5654297062643909E-3</v>
      </c>
      <c r="H20" s="38">
        <f t="shared" si="13"/>
        <v>1.5631234534868588E-2</v>
      </c>
      <c r="I20" s="38">
        <f t="shared" si="14"/>
        <v>4.9491001231811715E-3</v>
      </c>
      <c r="J20" s="38">
        <f t="shared" si="15"/>
        <v>-1.2945472233786948E-2</v>
      </c>
      <c r="K20" s="38">
        <f t="shared" si="16"/>
        <v>2.1971355272540904E-3</v>
      </c>
      <c r="L20" s="38">
        <f t="shared" si="17"/>
        <v>-2.7593819541166686E-2</v>
      </c>
      <c r="M20" s="38">
        <f t="shared" si="18"/>
        <v>3.9636440032397857E-4</v>
      </c>
      <c r="N20" s="38">
        <f t="shared" si="18"/>
        <v>-9.3685771810592122E-3</v>
      </c>
      <c r="O20" s="144">
        <f t="shared" si="18"/>
        <v>-6.5552158064208665E-2</v>
      </c>
      <c r="P20" s="263"/>
      <c r="Q20" s="9"/>
      <c r="R20" s="37" t="s">
        <v>62</v>
      </c>
      <c r="S20" s="38" t="str">
        <f>_xlfn.XLOOKUP(R20,Summary!A:A,Summary!B:B)</f>
        <v>SFH</v>
      </c>
      <c r="T20" s="39">
        <f>_xlfn.XLOOKUP(R20,Summary!A:A,Summary!C:C)</f>
        <v>2005</v>
      </c>
      <c r="U20" s="108">
        <f>_xlfn.XLOOKUP(R20,Summary!A:A,Summary!D:D)</f>
        <v>4</v>
      </c>
      <c r="V20" s="108">
        <f>_xlfn.XLOOKUP(R20,Summary!A:A,Summary!E:E)</f>
        <v>2.5</v>
      </c>
      <c r="W20" s="141">
        <f>_xlfn.XLOOKUP(R20,Summary!A:A,Summary!F:F)</f>
        <v>2</v>
      </c>
      <c r="X20" s="193">
        <f ca="1">_xlfn.XLOOKUP(R20,Summary!A:A,Summary!L:L)</f>
        <v>143852.55000000002</v>
      </c>
      <c r="Y20" s="178">
        <v>144364.65</v>
      </c>
      <c r="Z20" s="178">
        <v>146283.45000000001</v>
      </c>
      <c r="AA20" s="178">
        <v>145545.28</v>
      </c>
      <c r="AB20" s="178">
        <v>147242.29</v>
      </c>
      <c r="AC20" s="64">
        <v>146533.81</v>
      </c>
      <c r="AD20" s="64">
        <v>145722.79999999999</v>
      </c>
      <c r="AE20" s="64">
        <v>143480.03</v>
      </c>
      <c r="AF20" s="64">
        <v>142773.43</v>
      </c>
      <c r="AG20" s="64">
        <v>144645.94</v>
      </c>
      <c r="AH20" s="64">
        <v>144328.82999999999</v>
      </c>
      <c r="AI20" s="64">
        <v>148424.42684999999</v>
      </c>
      <c r="AJ20" s="64">
        <v>148365.62</v>
      </c>
      <c r="AK20" s="64">
        <v>149768.74</v>
      </c>
      <c r="AL20" s="143">
        <v>160275.12</v>
      </c>
    </row>
    <row r="21" spans="1:38" x14ac:dyDescent="0.25">
      <c r="A21" s="142" t="s">
        <v>64</v>
      </c>
      <c r="B21" s="258">
        <f t="shared" ca="1" si="7"/>
        <v>-5.1075306142023269E-4</v>
      </c>
      <c r="C21" s="255">
        <f t="shared" si="8"/>
        <v>-1.9972265517976706E-2</v>
      </c>
      <c r="D21" s="257">
        <f t="shared" si="9"/>
        <v>-9.7718786588674167E-3</v>
      </c>
      <c r="E21" s="38">
        <f t="shared" si="10"/>
        <v>-7.73003068218725E-3</v>
      </c>
      <c r="F21" s="38">
        <f t="shared" si="11"/>
        <v>-8.8812631991730395E-4</v>
      </c>
      <c r="G21" s="38">
        <f t="shared" si="12"/>
        <v>7.5013607065572696E-3</v>
      </c>
      <c r="H21" s="38">
        <f t="shared" si="13"/>
        <v>2.184012801518076E-2</v>
      </c>
      <c r="I21" s="38">
        <f t="shared" si="14"/>
        <v>9.8417534686638941E-3</v>
      </c>
      <c r="J21" s="38">
        <f t="shared" si="15"/>
        <v>-1.2904552464728436E-2</v>
      </c>
      <c r="K21" s="38">
        <f t="shared" si="16"/>
        <v>-2.355448277454153E-3</v>
      </c>
      <c r="L21" s="38">
        <f t="shared" si="17"/>
        <v>-2.7663146419208529E-2</v>
      </c>
      <c r="M21" s="38">
        <f t="shared" ref="M21:O23" si="19">IFERROR(AI21/AJ21-1,0)</f>
        <v>1.9937744259679313E-4</v>
      </c>
      <c r="N21" s="38">
        <f t="shared" si="19"/>
        <v>-4.9098098709962068E-3</v>
      </c>
      <c r="O21" s="144">
        <f t="shared" si="19"/>
        <v>-7.6824427753713453E-2</v>
      </c>
      <c r="P21" s="263"/>
      <c r="Q21" s="9"/>
      <c r="R21" s="37" t="s">
        <v>64</v>
      </c>
      <c r="S21" s="38" t="str">
        <f>_xlfn.XLOOKUP(R21,Summary!A:A,Summary!B:B)</f>
        <v>SFH</v>
      </c>
      <c r="T21" s="39">
        <f>_xlfn.XLOOKUP(R21,Summary!A:A,Summary!C:C)</f>
        <v>1857</v>
      </c>
      <c r="U21" s="108">
        <f>_xlfn.XLOOKUP(R21,Summary!A:A,Summary!D:D)</f>
        <v>4</v>
      </c>
      <c r="V21" s="108">
        <f>_xlfn.XLOOKUP(R21,Summary!A:A,Summary!E:E)</f>
        <v>2.5</v>
      </c>
      <c r="W21" s="141">
        <f>_xlfn.XLOOKUP(R21,Summary!A:A,Summary!F:F)</f>
        <v>1</v>
      </c>
      <c r="X21" s="193">
        <f ca="1">_xlfn.XLOOKUP(R21,Summary!A:A,Summary!L:L)</f>
        <v>133890.64000000001</v>
      </c>
      <c r="Y21" s="178">
        <v>133959.06</v>
      </c>
      <c r="Z21" s="178">
        <v>136689.04999999999</v>
      </c>
      <c r="AA21" s="178">
        <v>138037.94</v>
      </c>
      <c r="AB21" s="178">
        <v>139113.29</v>
      </c>
      <c r="AC21" s="64">
        <v>139236.95000000001</v>
      </c>
      <c r="AD21" s="64">
        <v>138200.26</v>
      </c>
      <c r="AE21" s="64">
        <v>135246.46</v>
      </c>
      <c r="AF21" s="64">
        <v>133928.37</v>
      </c>
      <c r="AG21" s="64">
        <v>135679.25</v>
      </c>
      <c r="AH21" s="64">
        <v>135999.58999999997</v>
      </c>
      <c r="AI21" s="64">
        <v>139868.801125</v>
      </c>
      <c r="AJ21" s="64">
        <v>139840.92000000001</v>
      </c>
      <c r="AK21" s="64">
        <v>140530.9</v>
      </c>
      <c r="AL21" s="143">
        <v>152225.54</v>
      </c>
    </row>
    <row r="22" spans="1:38" x14ac:dyDescent="0.25">
      <c r="A22" s="142" t="s">
        <v>66</v>
      </c>
      <c r="B22" s="258">
        <f t="shared" ca="1" si="7"/>
        <v>1.8729094459946083E-3</v>
      </c>
      <c r="C22" s="255">
        <f t="shared" si="8"/>
        <v>-2.4778198105857019E-2</v>
      </c>
      <c r="D22" s="257">
        <f t="shared" si="9"/>
        <v>-8.2503722056944673E-3</v>
      </c>
      <c r="E22" s="38">
        <f t="shared" si="10"/>
        <v>-1.266503594528956E-3</v>
      </c>
      <c r="F22" s="38">
        <f t="shared" si="11"/>
        <v>-2.2053575655582192E-2</v>
      </c>
      <c r="G22" s="38">
        <f t="shared" si="12"/>
        <v>7.0090284417954063E-3</v>
      </c>
      <c r="H22" s="38">
        <f t="shared" si="13"/>
        <v>2.9692610639114214E-2</v>
      </c>
      <c r="I22" s="38">
        <f t="shared" si="14"/>
        <v>8.3674046133230817E-3</v>
      </c>
      <c r="J22" s="38">
        <f t="shared" si="15"/>
        <v>-1.6951817489803123E-2</v>
      </c>
      <c r="K22" s="38">
        <f t="shared" si="16"/>
        <v>3.7960311789744239E-3</v>
      </c>
      <c r="L22" s="38">
        <f t="shared" si="17"/>
        <v>2.6873187645983787E-2</v>
      </c>
      <c r="M22" s="38">
        <f t="shared" si="19"/>
        <v>2.1055879390392551E-3</v>
      </c>
      <c r="N22" s="38">
        <f t="shared" si="19"/>
        <v>-0.25448899900278832</v>
      </c>
      <c r="O22" s="144">
        <f t="shared" si="19"/>
        <v>0.19855414992486931</v>
      </c>
      <c r="P22" s="263"/>
      <c r="Q22" s="9"/>
      <c r="R22" s="37" t="s">
        <v>66</v>
      </c>
      <c r="S22" s="38" t="str">
        <f>_xlfn.XLOOKUP(R22,Summary!A:A,Summary!B:B)</f>
        <v>TH</v>
      </c>
      <c r="T22" s="39">
        <f>_xlfn.XLOOKUP(R22,Summary!A:A,Summary!C:C)</f>
        <v>1500</v>
      </c>
      <c r="U22" s="108">
        <f>_xlfn.XLOOKUP(R22,Summary!A:A,Summary!D:D)</f>
        <v>3</v>
      </c>
      <c r="V22" s="108">
        <f>_xlfn.XLOOKUP(R22,Summary!A:A,Summary!E:E)</f>
        <v>2.5</v>
      </c>
      <c r="W22" s="141">
        <f>_xlfn.XLOOKUP(R22,Summary!A:A,Summary!F:F)</f>
        <v>1</v>
      </c>
      <c r="X22" s="193">
        <f ca="1">_xlfn.XLOOKUP(R22,Summary!A:A,Summary!L:L)</f>
        <v>127141.84000000001</v>
      </c>
      <c r="Y22" s="178">
        <v>126904.16</v>
      </c>
      <c r="Z22" s="178">
        <v>130128.51</v>
      </c>
      <c r="AA22" s="178">
        <v>131211.04999999999</v>
      </c>
      <c r="AB22" s="178">
        <v>131377.44</v>
      </c>
      <c r="AC22" s="64">
        <v>134340.12</v>
      </c>
      <c r="AD22" s="64">
        <v>133405.08000000002</v>
      </c>
      <c r="AE22" s="64">
        <v>129558.15999999996</v>
      </c>
      <c r="AF22" s="64">
        <v>128483.08999999997</v>
      </c>
      <c r="AG22" s="64">
        <v>130698.66999999997</v>
      </c>
      <c r="AH22" s="64">
        <v>130204.40999999999</v>
      </c>
      <c r="AI22" s="64">
        <v>126796.9712</v>
      </c>
      <c r="AJ22" s="64">
        <v>126530.55</v>
      </c>
      <c r="AK22" s="64">
        <v>169723.25</v>
      </c>
      <c r="AL22" s="143">
        <v>141606.66</v>
      </c>
    </row>
    <row r="23" spans="1:38" x14ac:dyDescent="0.25">
      <c r="A23" s="142" t="s">
        <v>69</v>
      </c>
      <c r="B23" s="258">
        <f t="shared" ca="1" si="7"/>
        <v>-1.6834085194116222E-3</v>
      </c>
      <c r="C23" s="255">
        <f t="shared" si="8"/>
        <v>-2.6310240731048373E-2</v>
      </c>
      <c r="D23" s="257">
        <f t="shared" si="9"/>
        <v>3.3806977870842747E-3</v>
      </c>
      <c r="E23" s="38">
        <f t="shared" si="10"/>
        <v>-6.4170068117069823E-3</v>
      </c>
      <c r="F23" s="38">
        <f t="shared" si="11"/>
        <v>-2.6499427239138229E-2</v>
      </c>
      <c r="G23" s="38">
        <f t="shared" si="12"/>
        <v>1.1013403525395038E-2</v>
      </c>
      <c r="H23" s="38">
        <f t="shared" si="13"/>
        <v>4.145242585798159E-2</v>
      </c>
      <c r="I23" s="38">
        <f t="shared" si="14"/>
        <v>2.1450969548343801E-2</v>
      </c>
      <c r="J23" s="38">
        <f t="shared" si="15"/>
        <v>-1.4227312702937533E-2</v>
      </c>
      <c r="K23" s="38">
        <f t="shared" si="16"/>
        <v>-1.8856397221322929E-4</v>
      </c>
      <c r="L23" s="38">
        <f t="shared" si="17"/>
        <v>-2.1533084677198167E-2</v>
      </c>
      <c r="M23" s="38">
        <f t="shared" si="19"/>
        <v>2.7101940131035729E-3</v>
      </c>
      <c r="N23" s="38">
        <f t="shared" si="19"/>
        <v>-8.5395930201722647E-3</v>
      </c>
      <c r="O23" s="144">
        <f t="shared" si="19"/>
        <v>-7.5860161335213228E-2</v>
      </c>
      <c r="P23" s="263"/>
      <c r="Q23" s="9"/>
      <c r="R23" s="37" t="s">
        <v>69</v>
      </c>
      <c r="S23" s="38" t="str">
        <f>_xlfn.XLOOKUP(R23,Summary!A:A,Summary!B:B)</f>
        <v>TH</v>
      </c>
      <c r="T23" s="39">
        <f>_xlfn.XLOOKUP(R23,Summary!A:A,Summary!C:C)</f>
        <v>1304</v>
      </c>
      <c r="U23" s="108">
        <f>_xlfn.XLOOKUP(R23,Summary!A:A,Summary!D:D)</f>
        <v>3</v>
      </c>
      <c r="V23" s="108">
        <f>_xlfn.XLOOKUP(R23,Summary!A:A,Summary!E:E)</f>
        <v>2.5</v>
      </c>
      <c r="W23" s="141">
        <f>_xlfn.XLOOKUP(R23,Summary!A:A,Summary!F:F)</f>
        <v>0</v>
      </c>
      <c r="X23" s="193">
        <f ca="1">_xlfn.XLOOKUP(R23,Summary!A:A,Summary!L:L)</f>
        <v>110043.18000000001</v>
      </c>
      <c r="Y23" s="178">
        <v>110228.74000000002</v>
      </c>
      <c r="Z23" s="178">
        <v>113207.25</v>
      </c>
      <c r="AA23" s="178">
        <v>112825.82000000002</v>
      </c>
      <c r="AB23" s="178">
        <v>113554.5</v>
      </c>
      <c r="AC23" s="64">
        <v>116645.54</v>
      </c>
      <c r="AD23" s="64">
        <v>115374.87</v>
      </c>
      <c r="AE23" s="64">
        <v>110782.66</v>
      </c>
      <c r="AF23" s="64">
        <v>108456.17000000001</v>
      </c>
      <c r="AG23" s="64">
        <v>110021.48</v>
      </c>
      <c r="AH23" s="64">
        <v>110042.23</v>
      </c>
      <c r="AI23" s="64">
        <v>112463.925225</v>
      </c>
      <c r="AJ23" s="64">
        <v>112159.95</v>
      </c>
      <c r="AK23" s="64">
        <v>113126</v>
      </c>
      <c r="AL23" s="143">
        <v>122412.21</v>
      </c>
    </row>
    <row r="24" spans="1:38" x14ac:dyDescent="0.25">
      <c r="A24" s="142" t="s">
        <v>71</v>
      </c>
      <c r="B24" s="258">
        <f t="shared" ca="1" si="7"/>
        <v>-2.4063428063547665E-4</v>
      </c>
      <c r="C24" s="255">
        <f t="shared" si="8"/>
        <v>0</v>
      </c>
      <c r="D24" s="257">
        <f t="shared" ref="D24:D25" si="20">IFERROR(Z24/AA24-1,0)</f>
        <v>0</v>
      </c>
      <c r="E24" s="38">
        <f t="shared" ref="E24:E25" si="21">IFERROR(AA24/AB24-1,0)</f>
        <v>0</v>
      </c>
      <c r="F24" s="38">
        <f t="shared" ref="F24:F25" si="22">IFERROR(AB24/AC24-1,0)</f>
        <v>0</v>
      </c>
      <c r="G24" s="38">
        <f t="shared" ref="G24:G25" si="23">IFERROR(AC24/AD24-1,0)</f>
        <v>0</v>
      </c>
      <c r="H24" s="38">
        <f t="shared" ref="H24:H25" si="24">IFERROR(AD24/AE24-1,0)</f>
        <v>0</v>
      </c>
      <c r="I24" s="38">
        <f t="shared" ref="I24:I25" si="25">IFERROR(AE24/AF24-1,0)</f>
        <v>0</v>
      </c>
      <c r="J24" s="38">
        <f t="shared" ref="J24:J25" si="26">IFERROR(AF24/AG24-1,0)</f>
        <v>0</v>
      </c>
      <c r="K24" s="38">
        <f t="shared" ref="K24:K25" si="27">IFERROR(AG24/AH24-1,0)</f>
        <v>0</v>
      </c>
      <c r="L24" s="38">
        <f t="shared" ref="L24:L25" si="28">IFERROR(AH24/AI24-1,0)</f>
        <v>0</v>
      </c>
      <c r="M24" s="38">
        <f t="shared" ref="M24:M25" si="29">IFERROR(AI24/AJ24-1,0)</f>
        <v>0</v>
      </c>
      <c r="N24" s="38">
        <f t="shared" ref="N24:N25" si="30">IFERROR(AJ24/AK24-1,0)</f>
        <v>0</v>
      </c>
      <c r="O24" s="144">
        <f t="shared" ref="O24:O25" si="31">IFERROR(AK24/AL24-1,0)</f>
        <v>0</v>
      </c>
      <c r="P24" s="263"/>
      <c r="Q24" s="9"/>
      <c r="R24" s="37" t="s">
        <v>71</v>
      </c>
      <c r="S24" s="38" t="s">
        <v>67</v>
      </c>
      <c r="T24" s="39">
        <v>1424</v>
      </c>
      <c r="U24" s="108">
        <v>3</v>
      </c>
      <c r="V24" s="108">
        <v>2.5</v>
      </c>
      <c r="W24" s="141">
        <v>0</v>
      </c>
      <c r="X24" s="193">
        <f ca="1">_xlfn.XLOOKUP(R24,Summary!A:A,Summary!L:L)</f>
        <v>111054.70000000001</v>
      </c>
      <c r="Y24" s="178">
        <v>111081.43000000002</v>
      </c>
      <c r="Z24" s="178"/>
      <c r="AA24" s="178"/>
      <c r="AB24" s="178"/>
      <c r="AC24" s="64"/>
      <c r="AD24" s="64"/>
      <c r="AE24" s="64"/>
      <c r="AF24" s="64"/>
      <c r="AG24" s="64"/>
      <c r="AH24" s="64"/>
      <c r="AI24" s="64"/>
      <c r="AJ24" s="64"/>
      <c r="AK24" s="64"/>
      <c r="AL24" s="143"/>
    </row>
    <row r="25" spans="1:38" x14ac:dyDescent="0.25">
      <c r="A25" s="142" t="s">
        <v>73</v>
      </c>
      <c r="B25" s="258">
        <f t="shared" ca="1" si="7"/>
        <v>-1.5174564046132044E-3</v>
      </c>
      <c r="C25" s="255">
        <f t="shared" si="8"/>
        <v>0</v>
      </c>
      <c r="D25" s="257">
        <f t="shared" si="20"/>
        <v>0</v>
      </c>
      <c r="E25" s="38">
        <f t="shared" si="21"/>
        <v>0</v>
      </c>
      <c r="F25" s="38">
        <f t="shared" si="22"/>
        <v>0</v>
      </c>
      <c r="G25" s="38">
        <f t="shared" si="23"/>
        <v>0</v>
      </c>
      <c r="H25" s="38">
        <f t="shared" si="24"/>
        <v>0</v>
      </c>
      <c r="I25" s="38">
        <f t="shared" si="25"/>
        <v>0</v>
      </c>
      <c r="J25" s="38">
        <f t="shared" si="26"/>
        <v>0</v>
      </c>
      <c r="K25" s="38">
        <f t="shared" si="27"/>
        <v>0</v>
      </c>
      <c r="L25" s="38">
        <f t="shared" si="28"/>
        <v>0</v>
      </c>
      <c r="M25" s="38">
        <f t="shared" si="29"/>
        <v>0</v>
      </c>
      <c r="N25" s="38">
        <f t="shared" si="30"/>
        <v>0</v>
      </c>
      <c r="O25" s="144">
        <f t="shared" si="31"/>
        <v>0</v>
      </c>
      <c r="P25" s="263"/>
      <c r="Q25" s="9"/>
      <c r="R25" s="37" t="s">
        <v>73</v>
      </c>
      <c r="S25" s="38" t="s">
        <v>67</v>
      </c>
      <c r="T25" s="39">
        <v>1689</v>
      </c>
      <c r="U25" s="108">
        <v>3</v>
      </c>
      <c r="V25" s="108">
        <v>2.5</v>
      </c>
      <c r="W25" s="141" t="str">
        <f>_xlfn.XLOOKUP(R25,Summary!A:A,Summary!F:F)</f>
        <v>1F</v>
      </c>
      <c r="X25" s="193">
        <f ca="1">_xlfn.XLOOKUP(R25,Summary!A:A,Summary!L:L)</f>
        <v>132402.26</v>
      </c>
      <c r="Y25" s="178">
        <v>132603.48000000001</v>
      </c>
      <c r="Z25" s="178"/>
      <c r="AA25" s="178"/>
      <c r="AB25" s="178"/>
      <c r="AC25" s="64"/>
      <c r="AD25" s="64"/>
      <c r="AE25" s="64"/>
      <c r="AF25" s="64"/>
      <c r="AG25" s="64"/>
      <c r="AH25" s="64"/>
      <c r="AI25" s="64"/>
      <c r="AJ25" s="64"/>
      <c r="AK25" s="64"/>
      <c r="AL25" s="143"/>
    </row>
    <row r="26" spans="1:38" x14ac:dyDescent="0.25">
      <c r="A26" s="142" t="s">
        <v>76</v>
      </c>
      <c r="B26" s="258">
        <f t="shared" ca="1" si="7"/>
        <v>-1.7035747971675397E-3</v>
      </c>
      <c r="C26" s="255">
        <f t="shared" si="8"/>
        <v>-2.6674873285624456E-2</v>
      </c>
      <c r="D26" s="257">
        <f t="shared" si="9"/>
        <v>2.2250006522684496E-2</v>
      </c>
      <c r="E26" s="38">
        <f t="shared" si="10"/>
        <v>-8.822145758455302E-3</v>
      </c>
      <c r="F26" s="38">
        <f t="shared" si="11"/>
        <v>0</v>
      </c>
      <c r="G26" s="38">
        <f t="shared" ref="G26:G29" si="32">IFERROR(AC26/AD26-1,0)</f>
        <v>0</v>
      </c>
      <c r="H26" s="38">
        <f t="shared" ref="H26:H29" si="33">IFERROR(AD26/AE26-1,0)</f>
        <v>0</v>
      </c>
      <c r="I26" s="38">
        <f t="shared" ref="I26:I29" si="34">IFERROR(AE26/AF26-1,0)</f>
        <v>0</v>
      </c>
      <c r="J26" s="38">
        <f t="shared" ref="J26:J29" si="35">IFERROR(AF26/AG26-1,0)</f>
        <v>0</v>
      </c>
      <c r="K26" s="38">
        <f t="shared" ref="K26:K29" si="36">IFERROR(AG26/AH26-1,0)</f>
        <v>0</v>
      </c>
      <c r="L26" s="38">
        <f t="shared" ref="L26:L29" si="37">IFERROR(AH26/AI26-1,0)</f>
        <v>0</v>
      </c>
      <c r="M26" s="38">
        <f t="shared" ref="M26:M29" si="38">IFERROR(AI26/AJ26-1,0)</f>
        <v>0</v>
      </c>
      <c r="N26" s="38">
        <f t="shared" ref="N26:N29" si="39">IFERROR(AJ26/AK26-1,0)</f>
        <v>0</v>
      </c>
      <c r="O26" s="144">
        <f t="shared" ref="O26:O29" si="40">IFERROR(AK26/AL26-1,0)</f>
        <v>0</v>
      </c>
      <c r="P26" s="263"/>
      <c r="Q26" s="265"/>
      <c r="R26" s="37" t="s">
        <v>76</v>
      </c>
      <c r="S26" s="38" t="str">
        <f>_xlfn.XLOOKUP(R26,Summary!A:A,Summary!B:B)</f>
        <v>TH</v>
      </c>
      <c r="T26" s="39">
        <f>_xlfn.XLOOKUP(R26,Summary!A:A,Summary!C:C)</f>
        <v>1500</v>
      </c>
      <c r="U26" s="108">
        <f>_xlfn.XLOOKUP(R26,Summary!A:A,Summary!D:D)</f>
        <v>3</v>
      </c>
      <c r="V26" s="108">
        <f>_xlfn.XLOOKUP(R26,Summary!A:A,Summary!E:E)</f>
        <v>2.5</v>
      </c>
      <c r="W26" s="141" t="str">
        <f>_xlfn.XLOOKUP(R26,Summary!A:A,Summary!F:F)</f>
        <v>1F</v>
      </c>
      <c r="X26" s="193">
        <f ca="1">_xlfn.XLOOKUP(R26,Summary!A:A,Summary!L:L)</f>
        <v>125251.84</v>
      </c>
      <c r="Y26" s="178">
        <v>125465.58</v>
      </c>
      <c r="Z26" s="178">
        <v>128904.08</v>
      </c>
      <c r="AA26" s="178">
        <v>126098.39</v>
      </c>
      <c r="AB26" s="178">
        <v>127220.75</v>
      </c>
      <c r="AC26" s="64"/>
      <c r="AD26" s="64"/>
      <c r="AE26" s="64"/>
      <c r="AF26" s="64"/>
      <c r="AG26" s="64"/>
      <c r="AH26" s="64"/>
      <c r="AI26" s="64"/>
      <c r="AJ26" s="64"/>
      <c r="AK26" s="64"/>
      <c r="AL26" s="143"/>
    </row>
    <row r="27" spans="1:38" x14ac:dyDescent="0.25">
      <c r="A27" s="142" t="s">
        <v>78</v>
      </c>
      <c r="B27" s="258">
        <f t="shared" ca="1" si="7"/>
        <v>-8.8647314136180988E-4</v>
      </c>
      <c r="C27" s="255">
        <f t="shared" si="8"/>
        <v>-5.3447587258974583E-3</v>
      </c>
      <c r="D27" s="257">
        <f t="shared" si="9"/>
        <v>1.2093525975382935E-3</v>
      </c>
      <c r="E27" s="38">
        <f t="shared" si="10"/>
        <v>-2.1927742383925253E-2</v>
      </c>
      <c r="F27" s="38">
        <f t="shared" si="11"/>
        <v>0</v>
      </c>
      <c r="G27" s="38">
        <f t="shared" si="32"/>
        <v>0</v>
      </c>
      <c r="H27" s="38">
        <f t="shared" si="33"/>
        <v>0</v>
      </c>
      <c r="I27" s="38">
        <f t="shared" si="34"/>
        <v>0</v>
      </c>
      <c r="J27" s="38">
        <f t="shared" si="35"/>
        <v>0</v>
      </c>
      <c r="K27" s="38">
        <f t="shared" si="36"/>
        <v>0</v>
      </c>
      <c r="L27" s="38">
        <f t="shared" si="37"/>
        <v>0</v>
      </c>
      <c r="M27" s="38">
        <f t="shared" si="38"/>
        <v>0</v>
      </c>
      <c r="N27" s="38">
        <f t="shared" si="39"/>
        <v>0</v>
      </c>
      <c r="O27" s="144">
        <f t="shared" si="40"/>
        <v>0</v>
      </c>
      <c r="P27" s="263"/>
      <c r="Q27" s="266"/>
      <c r="R27" s="37" t="s">
        <v>78</v>
      </c>
      <c r="S27" s="38" t="str">
        <f>_xlfn.XLOOKUP(R27,Summary!A:A,Summary!B:B)</f>
        <v>TH</v>
      </c>
      <c r="T27" s="39">
        <f>_xlfn.XLOOKUP(R27,Summary!A:A,Summary!C:C)</f>
        <v>1729</v>
      </c>
      <c r="U27" s="108">
        <f>_xlfn.XLOOKUP(R27,Summary!A:A,Summary!D:D)</f>
        <v>3</v>
      </c>
      <c r="V27" s="108">
        <f>_xlfn.XLOOKUP(R27,Summary!A:A,Summary!E:E)</f>
        <v>2.5</v>
      </c>
      <c r="W27" s="141" t="str">
        <f>_xlfn.XLOOKUP(R27,Summary!A:A,Summary!F:F)</f>
        <v>1F</v>
      </c>
      <c r="X27" s="193">
        <f ca="1">_xlfn.XLOOKUP(R27,Summary!A:A,Summary!L:L)</f>
        <v>142077.91</v>
      </c>
      <c r="Y27" s="178">
        <v>142203.97000000003</v>
      </c>
      <c r="Z27" s="178">
        <v>142968.1</v>
      </c>
      <c r="AA27" s="178">
        <v>142795.40999999997</v>
      </c>
      <c r="AB27" s="178">
        <v>145996.79</v>
      </c>
      <c r="AC27" s="64"/>
      <c r="AD27" s="64"/>
      <c r="AE27" s="64"/>
      <c r="AF27" s="64"/>
      <c r="AG27" s="64"/>
      <c r="AH27" s="64"/>
      <c r="AI27" s="64"/>
      <c r="AJ27" s="64"/>
      <c r="AK27" s="64"/>
      <c r="AL27" s="143"/>
    </row>
    <row r="28" spans="1:38" x14ac:dyDescent="0.25">
      <c r="A28" s="142" t="s">
        <v>80</v>
      </c>
      <c r="B28" s="258">
        <f t="shared" ca="1" si="7"/>
        <v>-3.9912383201201607E-4</v>
      </c>
      <c r="C28" s="255">
        <f t="shared" si="8"/>
        <v>0</v>
      </c>
      <c r="D28" s="257">
        <f t="shared" ref="D28" si="41">IFERROR(Z28/AA28-1,0)</f>
        <v>0</v>
      </c>
      <c r="E28" s="38">
        <f t="shared" ref="E28" si="42">IFERROR(AA28/AB28-1,0)</f>
        <v>0</v>
      </c>
      <c r="F28" s="38">
        <f t="shared" ref="F28" si="43">IFERROR(AB28/AC28-1,0)</f>
        <v>0</v>
      </c>
      <c r="G28" s="38">
        <f t="shared" ref="G28" si="44">IFERROR(AC28/AD28-1,0)</f>
        <v>0</v>
      </c>
      <c r="H28" s="38">
        <f t="shared" ref="H28" si="45">IFERROR(AD28/AE28-1,0)</f>
        <v>0</v>
      </c>
      <c r="I28" s="38">
        <f t="shared" ref="I28" si="46">IFERROR(AE28/AF28-1,0)</f>
        <v>0</v>
      </c>
      <c r="J28" s="38">
        <f t="shared" ref="J28" si="47">IFERROR(AF28/AG28-1,0)</f>
        <v>0</v>
      </c>
      <c r="K28" s="38">
        <f t="shared" ref="K28" si="48">IFERROR(AG28/AH28-1,0)</f>
        <v>0</v>
      </c>
      <c r="L28" s="38">
        <f t="shared" ref="L28" si="49">IFERROR(AH28/AI28-1,0)</f>
        <v>0</v>
      </c>
      <c r="M28" s="38">
        <f t="shared" ref="M28" si="50">IFERROR(AI28/AJ28-1,0)</f>
        <v>0</v>
      </c>
      <c r="N28" s="38">
        <f t="shared" ref="N28" si="51">IFERROR(AJ28/AK28-1,0)</f>
        <v>0</v>
      </c>
      <c r="O28" s="144">
        <f t="shared" ref="O28" si="52">IFERROR(AK28/AL28-1,0)</f>
        <v>0</v>
      </c>
      <c r="P28" s="263"/>
      <c r="Q28" s="266"/>
      <c r="R28" s="37" t="s">
        <v>80</v>
      </c>
      <c r="S28" s="38" t="str">
        <f>_xlfn.XLOOKUP(R28,Summary!A:A,Summary!B:B)</f>
        <v>TH</v>
      </c>
      <c r="T28" s="66">
        <v>2188</v>
      </c>
      <c r="U28" s="67">
        <v>4</v>
      </c>
      <c r="V28" s="67">
        <v>2.5</v>
      </c>
      <c r="W28" s="141" t="s">
        <v>81</v>
      </c>
      <c r="X28" s="193">
        <f ca="1">_xlfn.XLOOKUP(R28,Summary!A:A,Summary!L:L)</f>
        <v>160612.81999999998</v>
      </c>
      <c r="Y28" s="178">
        <v>160676.94999999998</v>
      </c>
      <c r="Z28" s="178"/>
      <c r="AA28" s="178"/>
      <c r="AB28" s="178"/>
      <c r="AC28" s="64"/>
      <c r="AD28" s="64"/>
      <c r="AE28" s="64"/>
      <c r="AF28" s="64"/>
      <c r="AG28" s="64"/>
      <c r="AH28" s="64"/>
      <c r="AI28" s="64"/>
      <c r="AJ28" s="64"/>
      <c r="AK28" s="64"/>
      <c r="AL28" s="143"/>
    </row>
    <row r="29" spans="1:38" x14ac:dyDescent="0.25">
      <c r="A29" s="142" t="s">
        <v>83</v>
      </c>
      <c r="B29" s="258">
        <f t="shared" ca="1" si="7"/>
        <v>-1.3079831783655571E-3</v>
      </c>
      <c r="C29" s="255">
        <f t="shared" si="8"/>
        <v>-1.8817400169545584E-2</v>
      </c>
      <c r="D29" s="257">
        <f t="shared" si="9"/>
        <v>1.6328799356662316E-2</v>
      </c>
      <c r="E29" s="38">
        <f t="shared" si="10"/>
        <v>-9.7257021267196375E-3</v>
      </c>
      <c r="F29" s="38">
        <f t="shared" si="11"/>
        <v>0</v>
      </c>
      <c r="G29" s="38">
        <f t="shared" si="32"/>
        <v>0</v>
      </c>
      <c r="H29" s="38">
        <f t="shared" si="33"/>
        <v>0</v>
      </c>
      <c r="I29" s="38">
        <f t="shared" si="34"/>
        <v>0</v>
      </c>
      <c r="J29" s="38">
        <f t="shared" si="35"/>
        <v>0</v>
      </c>
      <c r="K29" s="38">
        <f t="shared" si="36"/>
        <v>0</v>
      </c>
      <c r="L29" s="38">
        <f t="shared" si="37"/>
        <v>0</v>
      </c>
      <c r="M29" s="38">
        <f t="shared" si="38"/>
        <v>0</v>
      </c>
      <c r="N29" s="38">
        <f t="shared" si="39"/>
        <v>0</v>
      </c>
      <c r="O29" s="144">
        <f t="shared" si="40"/>
        <v>0</v>
      </c>
      <c r="P29" s="263"/>
      <c r="Q29" s="267"/>
      <c r="R29" s="37" t="s">
        <v>83</v>
      </c>
      <c r="S29" s="38" t="str">
        <f>_xlfn.XLOOKUP(R29,Summary!A:A,Summary!B:B)</f>
        <v>TH</v>
      </c>
      <c r="T29" s="39">
        <f>_xlfn.XLOOKUP(R29,Summary!A:A,Summary!C:C)</f>
        <v>1669</v>
      </c>
      <c r="U29" s="108">
        <f>_xlfn.XLOOKUP(R29,Summary!A:A,Summary!D:D)</f>
        <v>3</v>
      </c>
      <c r="V29" s="108">
        <f>_xlfn.XLOOKUP(R29,Summary!A:A,Summary!E:E)</f>
        <v>2.5</v>
      </c>
      <c r="W29" s="141" t="str">
        <f>_xlfn.XLOOKUP(R29,Summary!A:A,Summary!F:F)</f>
        <v>1F</v>
      </c>
      <c r="X29" s="193">
        <f ca="1">_xlfn.XLOOKUP(R29,Summary!A:A,Summary!L:L)</f>
        <v>133947.09000000003</v>
      </c>
      <c r="Y29" s="178">
        <v>134122.52000000002</v>
      </c>
      <c r="Z29" s="178">
        <v>136694.76</v>
      </c>
      <c r="AA29" s="178">
        <v>134498.56</v>
      </c>
      <c r="AB29" s="178">
        <v>135819.5</v>
      </c>
      <c r="AC29" s="64"/>
      <c r="AD29" s="64"/>
      <c r="AE29" s="64"/>
      <c r="AF29" s="64"/>
      <c r="AG29" s="64"/>
      <c r="AH29" s="64"/>
      <c r="AI29" s="64"/>
      <c r="AJ29" s="64"/>
      <c r="AK29" s="64"/>
      <c r="AL29" s="143"/>
    </row>
    <row r="30" spans="1:38" x14ac:dyDescent="0.25">
      <c r="A30" s="142" t="s">
        <v>85</v>
      </c>
      <c r="B30" s="258">
        <f t="shared" ca="1" si="7"/>
        <v>4.7165402653766009E-3</v>
      </c>
      <c r="C30" s="255">
        <f t="shared" si="8"/>
        <v>-1.6320410430799681E-2</v>
      </c>
      <c r="D30" s="257">
        <f t="shared" si="9"/>
        <v>4.2832343753251845E-3</v>
      </c>
      <c r="E30" s="38">
        <f t="shared" si="10"/>
        <v>-8.5437571024444381E-2</v>
      </c>
      <c r="F30" s="38">
        <f t="shared" ref="F30:F33" si="53">IFERROR(AB30/AC30-1,0)</f>
        <v>0</v>
      </c>
      <c r="G30" s="38">
        <f t="shared" ref="G30:G33" si="54">IFERROR(AC30/AD30-1,0)</f>
        <v>0</v>
      </c>
      <c r="H30" s="38">
        <f t="shared" ref="H30:H33" si="55">IFERROR(AD30/AE30-1,0)</f>
        <v>0</v>
      </c>
      <c r="I30" s="38">
        <f t="shared" ref="I30:I33" si="56">IFERROR(AE30/AF30-1,0)</f>
        <v>0</v>
      </c>
      <c r="J30" s="38">
        <f t="shared" ref="J30:J33" si="57">IFERROR(AF30/AG30-1,0)</f>
        <v>0</v>
      </c>
      <c r="K30" s="38">
        <f t="shared" ref="K30:K33" si="58">IFERROR(AG30/AH30-1,0)</f>
        <v>0</v>
      </c>
      <c r="L30" s="38">
        <f t="shared" ref="L30:L33" si="59">IFERROR(AH30/AI30-1,0)</f>
        <v>0</v>
      </c>
      <c r="M30" s="38">
        <f t="shared" ref="M30:M33" si="60">IFERROR(AI30/AJ30-1,0)</f>
        <v>0</v>
      </c>
      <c r="N30" s="38">
        <f t="shared" ref="N30:N33" si="61">IFERROR(AJ30/AK30-1,0)</f>
        <v>0</v>
      </c>
      <c r="O30" s="144">
        <f t="shared" ref="O30:O33" si="62">IFERROR(AK30/AL30-1,0)</f>
        <v>0</v>
      </c>
      <c r="P30" s="263"/>
      <c r="Q30" s="266"/>
      <c r="R30" s="37" t="s">
        <v>85</v>
      </c>
      <c r="S30" s="38" t="str">
        <f>_xlfn.XLOOKUP(R30,Summary!A:A,Summary!B:B)</f>
        <v>TH</v>
      </c>
      <c r="T30" s="39">
        <f>_xlfn.XLOOKUP(R30,Summary!A:A,Summary!C:C)</f>
        <v>1798</v>
      </c>
      <c r="U30" s="108">
        <f>_xlfn.XLOOKUP(R30,Summary!A:A,Summary!D:D)</f>
        <v>3</v>
      </c>
      <c r="V30" s="108">
        <f>_xlfn.XLOOKUP(R30,Summary!A:A,Summary!E:E)</f>
        <v>3.5</v>
      </c>
      <c r="W30" s="141" t="str">
        <f>_xlfn.XLOOKUP(R30,Summary!A:A,Summary!F:F)</f>
        <v>1R</v>
      </c>
      <c r="X30" s="193">
        <f ca="1">_xlfn.XLOOKUP(R30,Summary!A:A,Summary!L:L)</f>
        <v>150174.71000000002</v>
      </c>
      <c r="Y30" s="178">
        <v>149469.73000000004</v>
      </c>
      <c r="Z30" s="178">
        <v>151949.60999999999</v>
      </c>
      <c r="AA30" s="178">
        <v>151301.55000000002</v>
      </c>
      <c r="AB30" s="178">
        <v>165436</v>
      </c>
      <c r="AC30" s="64">
        <v>165436</v>
      </c>
      <c r="AD30" s="64">
        <v>165436</v>
      </c>
      <c r="AE30" s="64">
        <v>165436</v>
      </c>
      <c r="AF30" s="64">
        <v>165436</v>
      </c>
      <c r="AG30" s="64"/>
      <c r="AH30" s="64"/>
      <c r="AI30" s="64"/>
      <c r="AJ30" s="64"/>
      <c r="AK30" s="64"/>
      <c r="AL30" s="143"/>
    </row>
    <row r="31" spans="1:38" x14ac:dyDescent="0.25">
      <c r="A31" s="142" t="s">
        <v>87</v>
      </c>
      <c r="B31" s="258">
        <f t="shared" ca="1" si="7"/>
        <v>-1.5029305619365108E-3</v>
      </c>
      <c r="C31" s="255">
        <f t="shared" si="8"/>
        <v>-4.3543397140392015E-3</v>
      </c>
      <c r="D31" s="257">
        <f t="shared" si="9"/>
        <v>0</v>
      </c>
      <c r="E31" s="38">
        <f t="shared" si="10"/>
        <v>0</v>
      </c>
      <c r="F31" s="38">
        <f t="shared" si="53"/>
        <v>0</v>
      </c>
      <c r="G31" s="38">
        <f t="shared" si="54"/>
        <v>0</v>
      </c>
      <c r="H31" s="38">
        <f t="shared" si="55"/>
        <v>0</v>
      </c>
      <c r="I31" s="38">
        <f t="shared" si="56"/>
        <v>0</v>
      </c>
      <c r="J31" s="38">
        <f t="shared" si="57"/>
        <v>0</v>
      </c>
      <c r="K31" s="38">
        <f t="shared" si="58"/>
        <v>0</v>
      </c>
      <c r="L31" s="38">
        <f t="shared" si="59"/>
        <v>0</v>
      </c>
      <c r="M31" s="38">
        <f t="shared" si="60"/>
        <v>0</v>
      </c>
      <c r="N31" s="38">
        <f t="shared" si="61"/>
        <v>0</v>
      </c>
      <c r="O31" s="144">
        <f t="shared" si="62"/>
        <v>0</v>
      </c>
      <c r="P31" s="263"/>
      <c r="Q31" s="266"/>
      <c r="R31" s="37" t="s">
        <v>87</v>
      </c>
      <c r="S31" s="38" t="str">
        <f>_xlfn.XLOOKUP(R31,Summary!A:A,Summary!B:B)</f>
        <v>TH</v>
      </c>
      <c r="T31" s="39">
        <f>_xlfn.XLOOKUP(R31,Summary!A:A,Summary!C:C)</f>
        <v>1483</v>
      </c>
      <c r="U31" s="108">
        <f>_xlfn.XLOOKUP(R31,Summary!A:A,Summary!D:D)</f>
        <v>3</v>
      </c>
      <c r="V31" s="108">
        <f>_xlfn.XLOOKUP(R31,Summary!A:A,Summary!E:E)</f>
        <v>2.5</v>
      </c>
      <c r="W31" s="141" t="str">
        <f>_xlfn.XLOOKUP(R31,Summary!A:A,Summary!F:F)</f>
        <v>2R</v>
      </c>
      <c r="X31" s="193">
        <f ca="1">_xlfn.XLOOKUP(R31,Summary!A:A,Summary!L:L)</f>
        <v>130813.80999999998</v>
      </c>
      <c r="Y31" s="178">
        <v>131010.70999999998</v>
      </c>
      <c r="Z31" s="178">
        <v>131583.67000000001</v>
      </c>
      <c r="AA31" s="178"/>
      <c r="AB31" s="178"/>
      <c r="AC31" s="64"/>
      <c r="AD31" s="64"/>
      <c r="AE31" s="64"/>
      <c r="AF31" s="64"/>
      <c r="AG31" s="64"/>
      <c r="AH31" s="64"/>
      <c r="AI31" s="64"/>
      <c r="AJ31" s="64"/>
      <c r="AK31" s="64"/>
      <c r="AL31" s="143"/>
    </row>
    <row r="32" spans="1:38" ht="15" customHeight="1" x14ac:dyDescent="0.25">
      <c r="A32" s="142" t="s">
        <v>89</v>
      </c>
      <c r="B32" s="258">
        <f t="shared" ca="1" si="7"/>
        <v>-1.5324271039325321E-3</v>
      </c>
      <c r="C32" s="255">
        <f t="shared" si="8"/>
        <v>-3.0648361322831774E-2</v>
      </c>
      <c r="D32" s="257">
        <f t="shared" si="9"/>
        <v>0</v>
      </c>
      <c r="E32" s="38">
        <f t="shared" si="10"/>
        <v>0</v>
      </c>
      <c r="F32" s="38">
        <f t="shared" si="53"/>
        <v>0</v>
      </c>
      <c r="G32" s="38">
        <f t="shared" si="54"/>
        <v>0</v>
      </c>
      <c r="H32" s="38">
        <f t="shared" si="55"/>
        <v>0</v>
      </c>
      <c r="I32" s="38">
        <f t="shared" si="56"/>
        <v>0</v>
      </c>
      <c r="J32" s="38">
        <f t="shared" si="57"/>
        <v>0</v>
      </c>
      <c r="K32" s="38">
        <f t="shared" si="58"/>
        <v>0</v>
      </c>
      <c r="L32" s="38">
        <f t="shared" si="59"/>
        <v>0</v>
      </c>
      <c r="M32" s="38">
        <f t="shared" si="60"/>
        <v>0</v>
      </c>
      <c r="N32" s="38">
        <f t="shared" si="61"/>
        <v>0</v>
      </c>
      <c r="O32" s="144">
        <f t="shared" si="62"/>
        <v>0</v>
      </c>
      <c r="P32" s="263"/>
      <c r="Q32" s="266"/>
      <c r="R32" s="37" t="s">
        <v>89</v>
      </c>
      <c r="S32" s="38" t="str">
        <f>_xlfn.XLOOKUP(R32,Summary!A:A,Summary!B:B)</f>
        <v>TH</v>
      </c>
      <c r="T32" s="39">
        <f>_xlfn.XLOOKUP(R32,Summary!A:A,Summary!C:C)</f>
        <v>1689</v>
      </c>
      <c r="U32" s="108">
        <f>_xlfn.XLOOKUP(R32,Summary!A:A,Summary!D:D)</f>
        <v>3</v>
      </c>
      <c r="V32" s="108">
        <f>_xlfn.XLOOKUP(R32,Summary!A:A,Summary!E:E)</f>
        <v>2.5</v>
      </c>
      <c r="W32" s="141" t="str">
        <f>_xlfn.XLOOKUP(R32,Summary!A:A,Summary!F:F)</f>
        <v>2R</v>
      </c>
      <c r="X32" s="193">
        <f ca="1">_xlfn.XLOOKUP(R32,Summary!A:A,Summary!L:L)</f>
        <v>133563.20000000001</v>
      </c>
      <c r="Y32" s="178">
        <v>133768.19</v>
      </c>
      <c r="Z32" s="178">
        <v>137997.59</v>
      </c>
      <c r="AA32" s="178"/>
      <c r="AB32" s="178"/>
      <c r="AC32" s="64"/>
      <c r="AD32" s="64"/>
      <c r="AE32" s="64"/>
      <c r="AF32" s="64"/>
      <c r="AG32" s="64"/>
      <c r="AH32" s="64"/>
      <c r="AI32" s="64"/>
      <c r="AJ32" s="64"/>
      <c r="AK32" s="64"/>
      <c r="AL32" s="143"/>
    </row>
    <row r="33" spans="1:38" ht="15" customHeight="1" thickBot="1" x14ac:dyDescent="0.3">
      <c r="A33" s="142" t="s">
        <v>91</v>
      </c>
      <c r="B33" s="258">
        <f t="shared" ca="1" si="7"/>
        <v>4.2807058559701794E-4</v>
      </c>
      <c r="C33" s="255">
        <f t="shared" si="8"/>
        <v>-2.7083784146509138E-2</v>
      </c>
      <c r="D33" s="257">
        <f t="shared" si="9"/>
        <v>0</v>
      </c>
      <c r="E33" s="38">
        <f t="shared" si="10"/>
        <v>0</v>
      </c>
      <c r="F33" s="38">
        <f t="shared" si="53"/>
        <v>0</v>
      </c>
      <c r="G33" s="38">
        <f t="shared" si="54"/>
        <v>0</v>
      </c>
      <c r="H33" s="38">
        <f t="shared" si="55"/>
        <v>0</v>
      </c>
      <c r="I33" s="38">
        <f t="shared" si="56"/>
        <v>0</v>
      </c>
      <c r="J33" s="107">
        <f t="shared" si="57"/>
        <v>0</v>
      </c>
      <c r="K33" s="107">
        <f t="shared" si="58"/>
        <v>0</v>
      </c>
      <c r="L33" s="107">
        <f t="shared" si="59"/>
        <v>0</v>
      </c>
      <c r="M33" s="107">
        <f t="shared" si="60"/>
        <v>0</v>
      </c>
      <c r="N33" s="107">
        <f t="shared" si="61"/>
        <v>0</v>
      </c>
      <c r="O33" s="109">
        <f t="shared" si="62"/>
        <v>0</v>
      </c>
      <c r="P33" s="263"/>
      <c r="Q33" s="266"/>
      <c r="R33" s="37" t="s">
        <v>91</v>
      </c>
      <c r="S33" s="38" t="str">
        <f>_xlfn.XLOOKUP(R33,Summary!A:A,Summary!B:B)</f>
        <v>TH</v>
      </c>
      <c r="T33" s="39">
        <f>_xlfn.XLOOKUP(R33,Summary!A:A,Summary!C:C)</f>
        <v>1993</v>
      </c>
      <c r="U33" s="108">
        <f>_xlfn.XLOOKUP(R33,Summary!A:A,Summary!D:D)</f>
        <v>3</v>
      </c>
      <c r="V33" s="108">
        <f>_xlfn.XLOOKUP(R33,Summary!A:A,Summary!E:E)</f>
        <v>2.5</v>
      </c>
      <c r="W33" s="141" t="str">
        <f>_xlfn.XLOOKUP(R33,Summary!A:A,Summary!F:F)</f>
        <v>2R</v>
      </c>
      <c r="X33" s="193">
        <f ca="1">_xlfn.XLOOKUP(R33,Summary!A:A,Summary!L:L)</f>
        <v>146861.06</v>
      </c>
      <c r="Y33" s="178">
        <v>146798.22</v>
      </c>
      <c r="Z33" s="178">
        <v>150884.75</v>
      </c>
      <c r="AA33" s="178"/>
      <c r="AB33" s="178"/>
      <c r="AC33" s="64"/>
      <c r="AD33" s="64"/>
      <c r="AE33" s="64"/>
      <c r="AF33" s="64"/>
      <c r="AG33" s="64"/>
      <c r="AH33" s="64"/>
      <c r="AI33" s="64"/>
      <c r="AJ33" s="64"/>
      <c r="AK33" s="64"/>
      <c r="AL33" s="143"/>
    </row>
    <row r="34" spans="1:38" ht="15" customHeight="1" x14ac:dyDescent="0.25">
      <c r="A34" s="142" t="s">
        <v>92</v>
      </c>
      <c r="B34" s="258">
        <f t="shared" ref="B34:B38" ca="1" si="63">IFERROR(X34/Y34-1,0)</f>
        <v>0</v>
      </c>
      <c r="C34" s="255">
        <f t="shared" ref="C34:C38" si="64">IFERROR(Y34/Z34-1,0)</f>
        <v>0</v>
      </c>
      <c r="D34" s="257">
        <f t="shared" ref="D34:D38" si="65">IFERROR(Z34/AA34-1,0)</f>
        <v>0</v>
      </c>
      <c r="E34" s="38">
        <f t="shared" ref="E34:E38" si="66">IFERROR(AA34/AB34-1,0)</f>
        <v>0</v>
      </c>
      <c r="F34" s="38">
        <f t="shared" ref="F34:F38" si="67">IFERROR(AB34/AC34-1,0)</f>
        <v>0</v>
      </c>
      <c r="G34" s="38">
        <f t="shared" ref="G34:G38" si="68">IFERROR(AC34/AD34-1,0)</f>
        <v>0</v>
      </c>
      <c r="H34" s="38">
        <f t="shared" ref="H34:H38" si="69">IFERROR(AD34/AE34-1,0)</f>
        <v>0</v>
      </c>
      <c r="I34" s="38">
        <f t="shared" ref="I34:I38" si="70">IFERROR(AE34/AF34-1,0)</f>
        <v>0</v>
      </c>
      <c r="J34" s="86"/>
      <c r="K34" s="86"/>
      <c r="L34" s="86"/>
      <c r="M34" s="86"/>
      <c r="N34" s="86"/>
      <c r="O34" s="144"/>
      <c r="P34" s="263"/>
      <c r="Q34" s="266"/>
      <c r="R34" s="37" t="s">
        <v>92</v>
      </c>
      <c r="S34" s="38" t="str">
        <f>_xlfn.XLOOKUP(R34,Summary!A:A,Summary!B:B)</f>
        <v>TH</v>
      </c>
      <c r="T34" s="39">
        <f>_xlfn.XLOOKUP(R34,Summary!A:A,Summary!C:C)</f>
        <v>1700</v>
      </c>
      <c r="U34" s="108">
        <f>_xlfn.XLOOKUP(R34,Summary!A:A,Summary!D:D)</f>
        <v>3</v>
      </c>
      <c r="V34" s="108">
        <f>_xlfn.XLOOKUP(R34,Summary!A:A,Summary!E:E)</f>
        <v>2.5</v>
      </c>
      <c r="W34" s="141" t="str">
        <f>_xlfn.XLOOKUP(R34,Summary!A:A,Summary!F:F)</f>
        <v>1R</v>
      </c>
      <c r="X34" s="193">
        <f ca="1">_xlfn.XLOOKUP(R34,Summary!A:A,Summary!L:L)</f>
        <v>130195.62999999999</v>
      </c>
      <c r="Y34" s="178"/>
      <c r="Z34" s="178"/>
      <c r="AA34" s="178"/>
      <c r="AB34" s="178"/>
      <c r="AC34" s="64"/>
      <c r="AD34" s="64"/>
      <c r="AE34" s="64"/>
      <c r="AF34" s="64"/>
      <c r="AG34" s="64"/>
      <c r="AH34" s="64"/>
      <c r="AI34" s="64"/>
      <c r="AJ34" s="64"/>
      <c r="AK34" s="64"/>
      <c r="AL34" s="143"/>
    </row>
    <row r="35" spans="1:38" ht="15" customHeight="1" x14ac:dyDescent="0.25">
      <c r="A35" s="142" t="s">
        <v>94</v>
      </c>
      <c r="B35" s="258">
        <f t="shared" ca="1" si="63"/>
        <v>0</v>
      </c>
      <c r="C35" s="255">
        <f t="shared" si="64"/>
        <v>0</v>
      </c>
      <c r="D35" s="257">
        <f t="shared" si="65"/>
        <v>0</v>
      </c>
      <c r="E35" s="38">
        <f t="shared" si="66"/>
        <v>0</v>
      </c>
      <c r="F35" s="38">
        <f t="shared" si="67"/>
        <v>0</v>
      </c>
      <c r="G35" s="38">
        <f t="shared" si="68"/>
        <v>0</v>
      </c>
      <c r="H35" s="38">
        <f t="shared" si="69"/>
        <v>0</v>
      </c>
      <c r="I35" s="38">
        <f t="shared" si="70"/>
        <v>0</v>
      </c>
      <c r="J35" s="86"/>
      <c r="K35" s="86"/>
      <c r="L35" s="86"/>
      <c r="M35" s="86"/>
      <c r="N35" s="86"/>
      <c r="O35" s="144"/>
      <c r="P35" s="263"/>
      <c r="Q35" s="266"/>
      <c r="R35" s="37" t="s">
        <v>94</v>
      </c>
      <c r="S35" s="38" t="str">
        <f>_xlfn.XLOOKUP(R35,Summary!A:A,Summary!B:B)</f>
        <v>TH</v>
      </c>
      <c r="T35" s="39">
        <f>_xlfn.XLOOKUP(R35,Summary!A:A,Summary!C:C)</f>
        <v>1796</v>
      </c>
      <c r="U35" s="108">
        <f>_xlfn.XLOOKUP(R35,Summary!A:A,Summary!D:D)</f>
        <v>4</v>
      </c>
      <c r="V35" s="108">
        <f>_xlfn.XLOOKUP(R35,Summary!A:A,Summary!E:E)</f>
        <v>2.5</v>
      </c>
      <c r="W35" s="141">
        <f>_xlfn.XLOOKUP(R35,Summary!A:A,Summary!F:F)</f>
        <v>2</v>
      </c>
      <c r="X35" s="193">
        <f ca="1">_xlfn.XLOOKUP(R35,Summary!A:A,Summary!L:L)</f>
        <v>141492.43</v>
      </c>
      <c r="Y35" s="178"/>
      <c r="Z35" s="178"/>
      <c r="AA35" s="178"/>
      <c r="AB35" s="178"/>
      <c r="AC35" s="64"/>
      <c r="AD35" s="64"/>
      <c r="AE35" s="64"/>
      <c r="AF35" s="64"/>
      <c r="AG35" s="64"/>
      <c r="AH35" s="64"/>
      <c r="AI35" s="64"/>
      <c r="AJ35" s="64"/>
      <c r="AK35" s="64"/>
      <c r="AL35" s="143"/>
    </row>
    <row r="36" spans="1:38" ht="15" customHeight="1" x14ac:dyDescent="0.25">
      <c r="A36" s="142" t="s">
        <v>96</v>
      </c>
      <c r="B36" s="258">
        <f t="shared" ca="1" si="63"/>
        <v>0</v>
      </c>
      <c r="C36" s="255">
        <f t="shared" si="64"/>
        <v>0</v>
      </c>
      <c r="D36" s="257">
        <f t="shared" si="65"/>
        <v>0</v>
      </c>
      <c r="E36" s="38">
        <f t="shared" si="66"/>
        <v>0</v>
      </c>
      <c r="F36" s="38">
        <f t="shared" si="67"/>
        <v>0</v>
      </c>
      <c r="G36" s="38">
        <f t="shared" si="68"/>
        <v>0</v>
      </c>
      <c r="H36" s="38">
        <f t="shared" si="69"/>
        <v>0</v>
      </c>
      <c r="I36" s="38">
        <f t="shared" si="70"/>
        <v>0</v>
      </c>
      <c r="J36" s="86"/>
      <c r="K36" s="86"/>
      <c r="L36" s="86"/>
      <c r="M36" s="86"/>
      <c r="N36" s="86"/>
      <c r="O36" s="144"/>
      <c r="P36" s="263"/>
      <c r="Q36" s="266"/>
      <c r="R36" s="37" t="s">
        <v>96</v>
      </c>
      <c r="S36" s="38" t="str">
        <f>_xlfn.XLOOKUP(R36,Summary!A:A,Summary!B:B)</f>
        <v>TH</v>
      </c>
      <c r="T36" s="39">
        <f>_xlfn.XLOOKUP(R36,Summary!A:A,Summary!C:C)</f>
        <v>1548</v>
      </c>
      <c r="U36" s="108">
        <f>_xlfn.XLOOKUP(R36,Summary!A:A,Summary!D:D)</f>
        <v>3</v>
      </c>
      <c r="V36" s="108">
        <f>_xlfn.XLOOKUP(R36,Summary!A:A,Summary!E:E)</f>
        <v>2.5</v>
      </c>
      <c r="W36" s="141">
        <f>_xlfn.XLOOKUP(R36,Summary!A:A,Summary!F:F)</f>
        <v>1</v>
      </c>
      <c r="X36" s="193">
        <f ca="1">_xlfn.XLOOKUP(R36,Summary!A:A,Summary!L:L)</f>
        <v>124886</v>
      </c>
      <c r="Y36" s="178"/>
      <c r="Z36" s="178"/>
      <c r="AA36" s="178"/>
      <c r="AB36" s="178"/>
      <c r="AC36" s="64"/>
      <c r="AD36" s="64"/>
      <c r="AE36" s="64"/>
      <c r="AF36" s="64"/>
      <c r="AG36" s="64"/>
      <c r="AH36" s="64"/>
      <c r="AI36" s="64"/>
      <c r="AJ36" s="64"/>
      <c r="AK36" s="64"/>
      <c r="AL36" s="143"/>
    </row>
    <row r="37" spans="1:38" s="18" customFormat="1" x14ac:dyDescent="0.25">
      <c r="A37" s="142" t="s">
        <v>97</v>
      </c>
      <c r="B37" s="258">
        <f t="shared" ca="1" si="63"/>
        <v>0</v>
      </c>
      <c r="C37" s="255">
        <f t="shared" si="64"/>
        <v>0</v>
      </c>
      <c r="D37" s="257">
        <f t="shared" si="65"/>
        <v>0</v>
      </c>
      <c r="E37" s="38">
        <f t="shared" si="66"/>
        <v>0</v>
      </c>
      <c r="F37" s="38">
        <f t="shared" si="67"/>
        <v>0</v>
      </c>
      <c r="G37" s="38">
        <f t="shared" si="68"/>
        <v>0</v>
      </c>
      <c r="H37" s="38">
        <f t="shared" si="69"/>
        <v>0</v>
      </c>
      <c r="I37" s="38">
        <f t="shared" si="70"/>
        <v>0</v>
      </c>
      <c r="J37"/>
      <c r="K37"/>
      <c r="L37"/>
      <c r="M37" s="89"/>
      <c r="N37" s="89"/>
      <c r="O37" s="259"/>
      <c r="P37" s="263"/>
      <c r="Q37" s="266"/>
      <c r="R37" s="37" t="s">
        <v>97</v>
      </c>
      <c r="S37" s="38" t="str">
        <f>_xlfn.XLOOKUP(R37,Summary!A:A,Summary!B:B)</f>
        <v>TH</v>
      </c>
      <c r="T37" s="39">
        <f>_xlfn.XLOOKUP(R37,Summary!A:A,Summary!C:C)</f>
        <v>1892</v>
      </c>
      <c r="U37" s="108">
        <f>_xlfn.XLOOKUP(R37,Summary!A:A,Summary!D:D)</f>
        <v>0</v>
      </c>
      <c r="V37" s="108">
        <f>_xlfn.XLOOKUP(R37,Summary!A:A,Summary!E:E)</f>
        <v>0</v>
      </c>
      <c r="W37" s="141">
        <f>_xlfn.XLOOKUP(R37,Summary!A:A,Summary!F:F)</f>
        <v>2</v>
      </c>
      <c r="X37" s="193">
        <f ca="1">_xlfn.XLOOKUP(R37,Summary!A:A,Summary!L:L)</f>
        <v>163028.47999999998</v>
      </c>
      <c r="Y37" s="178"/>
      <c r="Z37" s="178"/>
      <c r="AA37" s="178"/>
      <c r="AB37" s="178"/>
      <c r="AC37" s="64"/>
      <c r="AD37" s="64"/>
      <c r="AE37" s="64"/>
      <c r="AF37" s="64"/>
      <c r="AG37" s="64"/>
      <c r="AH37" s="64"/>
      <c r="AI37" s="64"/>
      <c r="AJ37" s="64"/>
      <c r="AK37" s="64"/>
      <c r="AL37" s="143"/>
    </row>
    <row r="38" spans="1:38" s="18" customFormat="1" ht="15.75" thickBot="1" x14ac:dyDescent="0.3">
      <c r="A38" s="142" t="s">
        <v>98</v>
      </c>
      <c r="B38" s="258">
        <f t="shared" ca="1" si="63"/>
        <v>0</v>
      </c>
      <c r="C38" s="255">
        <f t="shared" si="64"/>
        <v>0</v>
      </c>
      <c r="D38" s="257">
        <f t="shared" si="65"/>
        <v>0</v>
      </c>
      <c r="E38" s="38">
        <f t="shared" si="66"/>
        <v>0</v>
      </c>
      <c r="F38" s="38">
        <f t="shared" si="67"/>
        <v>0</v>
      </c>
      <c r="G38" s="38">
        <f t="shared" si="68"/>
        <v>0</v>
      </c>
      <c r="H38" s="38">
        <f t="shared" si="69"/>
        <v>0</v>
      </c>
      <c r="I38" s="38">
        <f t="shared" si="70"/>
        <v>0</v>
      </c>
      <c r="J38" s="260"/>
      <c r="K38" s="260"/>
      <c r="L38" s="260"/>
      <c r="M38" s="261"/>
      <c r="N38" s="261"/>
      <c r="O38" s="262"/>
      <c r="P38" s="263"/>
      <c r="Q38" s="266"/>
      <c r="R38" s="37" t="s">
        <v>98</v>
      </c>
      <c r="S38" s="38" t="str">
        <f>_xlfn.XLOOKUP(R38,Summary!A:A,Summary!B:B)</f>
        <v>TH</v>
      </c>
      <c r="T38" s="39">
        <f>_xlfn.XLOOKUP(R38,Summary!A:A,Summary!C:C)</f>
        <v>1748</v>
      </c>
      <c r="U38" s="108">
        <f>_xlfn.XLOOKUP(R38,Summary!A:A,Summary!D:D)</f>
        <v>3</v>
      </c>
      <c r="V38" s="108">
        <f>_xlfn.XLOOKUP(R38,Summary!A:A,Summary!E:E)</f>
        <v>3.5</v>
      </c>
      <c r="W38" s="141">
        <f>_xlfn.XLOOKUP(R38,Summary!A:A,Summary!F:F)</f>
        <v>2</v>
      </c>
      <c r="X38" s="193">
        <f ca="1">_xlfn.XLOOKUP(R38,Summary!A:A,Summary!L:L)</f>
        <v>151644.30000000002</v>
      </c>
      <c r="Y38" s="178"/>
      <c r="Z38" s="178"/>
      <c r="AA38" s="178"/>
      <c r="AB38" s="178"/>
      <c r="AC38" s="64"/>
      <c r="AD38" s="64"/>
      <c r="AE38" s="64"/>
      <c r="AF38" s="64"/>
      <c r="AG38" s="64"/>
      <c r="AH38" s="64"/>
      <c r="AI38" s="64"/>
      <c r="AJ38" s="64"/>
      <c r="AK38" s="64"/>
      <c r="AL38" s="143"/>
    </row>
    <row r="39" spans="1:38" s="18" customFormat="1" x14ac:dyDescent="0.25">
      <c r="A39" s="85"/>
      <c r="B39"/>
      <c r="C39"/>
      <c r="D39"/>
      <c r="E39"/>
      <c r="F39"/>
      <c r="G39"/>
      <c r="H39"/>
      <c r="I39"/>
      <c r="J39"/>
      <c r="K39"/>
      <c r="L39"/>
      <c r="M39" s="15"/>
      <c r="N39" s="15"/>
      <c r="O39" s="15"/>
      <c r="P39" s="85"/>
      <c r="Q39" s="266"/>
      <c r="V39"/>
      <c r="W39"/>
      <c r="X39"/>
      <c r="Y39" s="216"/>
      <c r="Z39" s="216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s="18" customFormat="1" x14ac:dyDescent="0.25">
      <c r="A40" s="215" t="s">
        <v>146</v>
      </c>
      <c r="B40" s="215"/>
      <c r="C40"/>
      <c r="D40"/>
      <c r="E40"/>
      <c r="F40"/>
      <c r="G40"/>
      <c r="H40"/>
      <c r="I40"/>
      <c r="J40"/>
      <c r="K40"/>
      <c r="L40"/>
      <c r="M40" s="15"/>
      <c r="N40" s="15"/>
      <c r="O40" s="15"/>
      <c r="P40" s="85"/>
      <c r="Q40" s="15"/>
      <c r="V40"/>
      <c r="W40"/>
      <c r="X40"/>
      <c r="Y40" s="216"/>
      <c r="Z40" s="216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x14ac:dyDescent="0.25">
      <c r="A41" s="142" t="s">
        <v>100</v>
      </c>
      <c r="B41" s="37"/>
      <c r="C41" s="38"/>
      <c r="D41" s="38">
        <f t="shared" ref="D41:O43" si="71">IFERROR(Z41/AA41-1,0)</f>
        <v>-1.5338363582847236E-2</v>
      </c>
      <c r="E41" s="38">
        <f t="shared" si="71"/>
        <v>-1.7791546105731304E-2</v>
      </c>
      <c r="F41" s="38">
        <f t="shared" si="71"/>
        <v>2.137464958338775E-3</v>
      </c>
      <c r="G41" s="38">
        <f t="shared" si="71"/>
        <v>3.1937584300323341E-3</v>
      </c>
      <c r="H41" s="38">
        <f t="shared" si="71"/>
        <v>1.7052820315107464E-2</v>
      </c>
      <c r="I41" s="38">
        <f t="shared" si="71"/>
        <v>1.661383010931905E-2</v>
      </c>
      <c r="J41" s="38">
        <f t="shared" si="71"/>
        <v>4.4408920985006262E-16</v>
      </c>
      <c r="K41" s="38">
        <f t="shared" si="71"/>
        <v>3.003151147542571E-4</v>
      </c>
      <c r="L41" s="38">
        <f t="shared" si="71"/>
        <v>-2.3506554770962973E-2</v>
      </c>
      <c r="M41" s="38">
        <f t="shared" si="71"/>
        <v>1.0782948410037463E-3</v>
      </c>
      <c r="N41" s="38">
        <f t="shared" si="71"/>
        <v>1.5407823893716532E-2</v>
      </c>
      <c r="O41" s="86">
        <f t="shared" si="71"/>
        <v>0</v>
      </c>
      <c r="P41" s="85"/>
      <c r="R41" s="37" t="s">
        <v>100</v>
      </c>
      <c r="S41" s="38" t="str">
        <f>_xlfn.XLOOKUP(R41,Summary!A:A,Summary!B:B)</f>
        <v>SFH</v>
      </c>
      <c r="T41" s="39">
        <f>_xlfn.XLOOKUP(R41,Summary!A:A,Summary!C:C)</f>
        <v>2219</v>
      </c>
      <c r="U41" s="108">
        <f>_xlfn.XLOOKUP(R41,Summary!A:A,Summary!D:D)</f>
        <v>3</v>
      </c>
      <c r="V41" s="108">
        <f>_xlfn.XLOOKUP(R41,Summary!A:A,Summary!E:E)</f>
        <v>3</v>
      </c>
      <c r="W41" s="141">
        <f>_xlfn.XLOOKUP(R41,Summary!A:A,Summary!F:F)</f>
        <v>2</v>
      </c>
      <c r="X41" s="241"/>
      <c r="Y41" s="243"/>
      <c r="Z41" s="242">
        <v>174492.44</v>
      </c>
      <c r="AA41" s="178">
        <v>177210.55999999997</v>
      </c>
      <c r="AB41" s="178">
        <v>180420.52</v>
      </c>
      <c r="AC41" s="64">
        <v>180035.7</v>
      </c>
      <c r="AD41" s="64">
        <v>179462.53999999998</v>
      </c>
      <c r="AE41" s="64">
        <v>176453.50999999998</v>
      </c>
      <c r="AF41" s="64">
        <v>173569.85</v>
      </c>
      <c r="AG41" s="64">
        <v>173569.84999999992</v>
      </c>
      <c r="AH41" s="64">
        <v>173517.73999999993</v>
      </c>
      <c r="AI41" s="64">
        <v>177694.73092499998</v>
      </c>
      <c r="AJ41" s="64">
        <v>177503.33</v>
      </c>
      <c r="AK41" s="64">
        <v>174809.89</v>
      </c>
      <c r="AL41" s="143"/>
    </row>
    <row r="42" spans="1:38" x14ac:dyDescent="0.25">
      <c r="A42" s="142" t="s">
        <v>109</v>
      </c>
      <c r="B42" s="37"/>
      <c r="C42" s="38"/>
      <c r="D42" s="38">
        <f t="shared" si="71"/>
        <v>1.4378871283965422E-2</v>
      </c>
      <c r="E42" s="38">
        <f t="shared" si="71"/>
        <v>-3.3390678100809756E-3</v>
      </c>
      <c r="F42" s="38">
        <f t="shared" si="71"/>
        <v>2.6304819859879203E-3</v>
      </c>
      <c r="G42" s="38">
        <f t="shared" si="71"/>
        <v>9.0339779574408752E-3</v>
      </c>
      <c r="H42" s="38">
        <f t="shared" si="71"/>
        <v>1.9887261938019041E-2</v>
      </c>
      <c r="I42" s="38">
        <f t="shared" si="71"/>
        <v>2.859461714034528E-2</v>
      </c>
      <c r="J42" s="38">
        <f t="shared" si="71"/>
        <v>-1.2852204531721423E-2</v>
      </c>
      <c r="K42" s="38">
        <f t="shared" si="71"/>
        <v>8.9320958481544643E-3</v>
      </c>
      <c r="L42" s="38">
        <f t="shared" si="71"/>
        <v>-2.7480192832642358E-2</v>
      </c>
      <c r="M42" s="38">
        <f t="shared" si="71"/>
        <v>-1.1466791968460011E-2</v>
      </c>
      <c r="N42" s="38">
        <f t="shared" si="71"/>
        <v>-5.582176919022408E-3</v>
      </c>
      <c r="O42" s="86">
        <f t="shared" si="71"/>
        <v>-6.1185414823795581E-2</v>
      </c>
      <c r="P42" s="85"/>
      <c r="R42" s="37" t="s">
        <v>109</v>
      </c>
      <c r="S42" s="38" t="str">
        <f>_xlfn.XLOOKUP(R42,Summary!A:A,Summary!B:B)</f>
        <v>SFH</v>
      </c>
      <c r="T42" s="39">
        <f>_xlfn.XLOOKUP(R42,Summary!A:A,Summary!C:C)</f>
        <v>2217</v>
      </c>
      <c r="U42" s="108">
        <f>_xlfn.XLOOKUP(R42,Summary!A:A,Summary!D:D)</f>
        <v>4</v>
      </c>
      <c r="V42" s="108">
        <f>_xlfn.XLOOKUP(R42,Summary!A:A,Summary!E:E)</f>
        <v>3</v>
      </c>
      <c r="W42" s="141">
        <f>_xlfn.XLOOKUP(R42,Summary!A:A,Summary!F:F)</f>
        <v>2</v>
      </c>
      <c r="X42" s="241"/>
      <c r="Y42" s="243"/>
      <c r="Z42" s="242">
        <v>157988.85999999999</v>
      </c>
      <c r="AA42" s="178">
        <v>155749.35999999999</v>
      </c>
      <c r="AB42" s="178">
        <v>156271.16</v>
      </c>
      <c r="AC42" s="64">
        <v>155861.17000000001</v>
      </c>
      <c r="AD42" s="64">
        <v>154465.73000000001</v>
      </c>
      <c r="AE42" s="64">
        <v>151453.73000000001</v>
      </c>
      <c r="AF42" s="64">
        <v>147243.36242500003</v>
      </c>
      <c r="AG42" s="64">
        <v>149160.40242500001</v>
      </c>
      <c r="AH42" s="64">
        <v>147839.88242500002</v>
      </c>
      <c r="AI42" s="64">
        <v>152017.34847500001</v>
      </c>
      <c r="AJ42" s="64">
        <v>153780.72</v>
      </c>
      <c r="AK42" s="64">
        <v>154643.97</v>
      </c>
      <c r="AL42" s="143">
        <v>164722.59</v>
      </c>
    </row>
    <row r="43" spans="1:38" x14ac:dyDescent="0.25">
      <c r="A43" s="142" t="s">
        <v>108</v>
      </c>
      <c r="B43" s="37"/>
      <c r="C43" s="38"/>
      <c r="D43" s="38">
        <f t="shared" si="71"/>
        <v>-1.4760446436373087E-2</v>
      </c>
      <c r="E43" s="38">
        <f t="shared" si="71"/>
        <v>-9.1076343212581623E-3</v>
      </c>
      <c r="F43" s="38">
        <f t="shared" si="71"/>
        <v>-9.5337565766182575E-3</v>
      </c>
      <c r="G43" s="38">
        <f t="shared" si="71"/>
        <v>5.5803284880695525E-3</v>
      </c>
      <c r="H43" s="38">
        <f t="shared" si="71"/>
        <v>2.937910615218331E-2</v>
      </c>
      <c r="I43" s="38">
        <f t="shared" si="71"/>
        <v>-1.4324123407153055E-2</v>
      </c>
      <c r="J43" s="38">
        <f t="shared" si="71"/>
        <v>-1.2122173479897635E-2</v>
      </c>
      <c r="K43" s="38">
        <f t="shared" si="71"/>
        <v>-2.33037409934711E-3</v>
      </c>
      <c r="L43" s="38">
        <f t="shared" si="71"/>
        <v>-2.8675197960405407E-2</v>
      </c>
      <c r="M43" s="38">
        <f t="shared" si="71"/>
        <v>4.7487159953141234E-3</v>
      </c>
      <c r="N43" s="38">
        <f t="shared" si="71"/>
        <v>-1.3571959713033932E-2</v>
      </c>
      <c r="O43" s="86">
        <f t="shared" si="71"/>
        <v>-3.4000537151615329E-2</v>
      </c>
      <c r="P43" s="85"/>
      <c r="R43" s="37" t="s">
        <v>108</v>
      </c>
      <c r="S43" s="38" t="str">
        <f>_xlfn.XLOOKUP(R43,Summary!A:A,Summary!B:B)</f>
        <v>TH</v>
      </c>
      <c r="T43" s="39">
        <f>_xlfn.XLOOKUP(R43,Summary!A:A,Summary!C:C)</f>
        <v>1700</v>
      </c>
      <c r="U43" s="108">
        <f>_xlfn.XLOOKUP(R43,Summary!A:A,Summary!D:D)</f>
        <v>3</v>
      </c>
      <c r="V43" s="108">
        <f>_xlfn.XLOOKUP(R43,Summary!A:A,Summary!E:E)</f>
        <v>2.5</v>
      </c>
      <c r="W43" s="141" t="str">
        <f>_xlfn.XLOOKUP(R43,Summary!A:A,Summary!F:F)</f>
        <v>1F</v>
      </c>
      <c r="X43" s="241"/>
      <c r="Y43" s="243"/>
      <c r="Z43" s="242">
        <v>134067.29</v>
      </c>
      <c r="AA43" s="178">
        <v>136075.83000000002</v>
      </c>
      <c r="AB43" s="178">
        <v>137326.54999999999</v>
      </c>
      <c r="AC43" s="64">
        <v>138648.39000000001</v>
      </c>
      <c r="AD43" s="64">
        <v>137878.98000000004</v>
      </c>
      <c r="AE43" s="64">
        <v>133943.83000000005</v>
      </c>
      <c r="AF43" s="64">
        <v>135890.34000000003</v>
      </c>
      <c r="AG43" s="64">
        <v>137557.84000000003</v>
      </c>
      <c r="AH43" s="64">
        <v>137879.15000000002</v>
      </c>
      <c r="AI43" s="64">
        <v>141949.58237500003</v>
      </c>
      <c r="AJ43" s="64">
        <v>141278.69</v>
      </c>
      <c r="AK43" s="64">
        <v>143222.5</v>
      </c>
      <c r="AL43" s="143">
        <v>148263.54</v>
      </c>
    </row>
    <row r="44" spans="1:38" s="18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 s="15"/>
      <c r="N44" s="15"/>
      <c r="O44" s="15"/>
      <c r="P44" s="85"/>
      <c r="Q44" s="15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s="18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 s="15"/>
      <c r="N45" s="15"/>
      <c r="O45" s="15"/>
      <c r="P45" s="85"/>
      <c r="Q45" s="1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s="18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 s="15"/>
      <c r="N46" s="15"/>
      <c r="O46" s="15"/>
      <c r="P46" s="85"/>
      <c r="Q46" s="15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s="18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 s="15"/>
      <c r="N47" s="15"/>
      <c r="O47" s="15"/>
      <c r="P47" s="85"/>
      <c r="Q47" s="15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s="18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 s="15"/>
      <c r="N48" s="15"/>
      <c r="O48" s="15"/>
      <c r="P48" s="85"/>
      <c r="Q48" s="15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s="18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 s="15"/>
      <c r="N49" s="15"/>
      <c r="O49" s="15"/>
      <c r="P49" s="85"/>
      <c r="Q49" s="15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s="18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 s="15"/>
      <c r="N50" s="15"/>
      <c r="O50" s="15"/>
      <c r="P50" s="85"/>
      <c r="Q50" s="15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s="18" customFormat="1" x14ac:dyDescent="0.25">
      <c r="A51"/>
      <c r="B51"/>
      <c r="C51"/>
      <c r="D51"/>
      <c r="E51"/>
      <c r="F51"/>
      <c r="G51"/>
      <c r="H51"/>
      <c r="I51"/>
      <c r="J51"/>
      <c r="K51"/>
      <c r="L51"/>
      <c r="M51" s="15"/>
      <c r="N51" s="15"/>
      <c r="O51" s="15"/>
      <c r="P51" s="85"/>
      <c r="Q51" s="15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s="18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 s="15"/>
      <c r="N52" s="15"/>
      <c r="O52" s="15"/>
      <c r="P52" s="85"/>
      <c r="Q52" s="15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8" customFormat="1" x14ac:dyDescent="0.25">
      <c r="A53"/>
      <c r="B53"/>
      <c r="C53"/>
      <c r="D53"/>
      <c r="E53"/>
      <c r="F53"/>
      <c r="G53"/>
      <c r="H53"/>
      <c r="I53"/>
      <c r="J53"/>
      <c r="K53"/>
      <c r="L53"/>
      <c r="M53" s="15"/>
      <c r="N53" s="15"/>
      <c r="O53" s="15"/>
      <c r="P53" s="15"/>
      <c r="Q53" s="15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s="18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 s="15"/>
      <c r="N54" s="15"/>
      <c r="O54" s="15"/>
      <c r="P54" s="15"/>
      <c r="Q54" s="15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8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 s="15"/>
      <c r="N55" s="15"/>
      <c r="O55" s="15"/>
      <c r="P55" s="15"/>
      <c r="Q55" s="1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s="18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 s="15"/>
      <c r="N56" s="15"/>
      <c r="O56" s="15"/>
      <c r="P56" s="15"/>
      <c r="Q56" s="15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8" customFormat="1" x14ac:dyDescent="0.25">
      <c r="A57"/>
      <c r="B57"/>
      <c r="C57"/>
      <c r="D57"/>
      <c r="E57"/>
      <c r="F57"/>
      <c r="G57"/>
      <c r="H57"/>
      <c r="I57"/>
      <c r="J57"/>
      <c r="K57"/>
      <c r="L57"/>
      <c r="M57" s="15"/>
      <c r="N57" s="15"/>
      <c r="O57" s="15"/>
      <c r="P57" s="15"/>
      <c r="Q57" s="15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</sheetData>
  <dataConsolidate/>
  <mergeCells count="2">
    <mergeCell ref="R2:W3"/>
    <mergeCell ref="A3:O3"/>
  </mergeCells>
  <conditionalFormatting sqref="B5:B38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P5:Q5 C5:O32 P6:P38 J33:O36 C33:I38 C41:O43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8BF8-A2B1-47B4-A20D-63F19F384D71}">
  <sheetPr codeName="Sheet34">
    <tabColor rgb="FFFFC000"/>
    <pageSetUpPr fitToPage="1"/>
  </sheetPr>
  <dimension ref="A1:AM74"/>
  <sheetViews>
    <sheetView showGridLines="0" zoomScale="70" zoomScaleNormal="70" workbookViewId="0">
      <pane ySplit="3" topLeftCell="A4" activePane="bottomLeft" state="frozen"/>
      <selection activeCell="J54" sqref="J54"/>
      <selection pane="bottomLeft" activeCell="A72" sqref="A72"/>
    </sheetView>
  </sheetViews>
  <sheetFormatPr defaultColWidth="8.85546875" defaultRowHeight="15" x14ac:dyDescent="0.25"/>
  <cols>
    <col min="1" max="1" width="29.7109375" style="152" bestFit="1" customWidth="1"/>
    <col min="2" max="2" width="15.42578125" style="152" bestFit="1" customWidth="1"/>
    <col min="3" max="3" width="18.28515625" style="152" bestFit="1" customWidth="1"/>
    <col min="4" max="4" width="15.42578125" style="152" bestFit="1" customWidth="1"/>
    <col min="5" max="8" width="15.85546875" style="152" bestFit="1" customWidth="1"/>
    <col min="9" max="10" width="15.42578125" style="152" bestFit="1" customWidth="1"/>
    <col min="11" max="18" width="15.85546875" style="152" bestFit="1" customWidth="1"/>
    <col min="19" max="19" width="15.42578125" style="152" bestFit="1" customWidth="1"/>
    <col min="20" max="20" width="15.85546875" style="152" bestFit="1" customWidth="1"/>
    <col min="21" max="21" width="15.42578125" style="152" bestFit="1" customWidth="1"/>
    <col min="22" max="22" width="14.5703125" style="152" bestFit="1" customWidth="1"/>
    <col min="23" max="24" width="15.85546875" style="152" bestFit="1" customWidth="1"/>
    <col min="25" max="29" width="15.85546875" style="152" customWidth="1"/>
    <col min="30" max="30" width="15.85546875" style="152" bestFit="1" customWidth="1"/>
    <col min="31" max="32" width="15.42578125" style="152" bestFit="1" customWidth="1"/>
    <col min="33" max="33" width="15.85546875" style="152" bestFit="1" customWidth="1"/>
    <col min="34" max="34" width="15.42578125" style="152" bestFit="1" customWidth="1"/>
    <col min="35" max="35" width="15.85546875" style="152" bestFit="1" customWidth="1"/>
    <col min="36" max="36" width="18.28515625" style="152" bestFit="1" customWidth="1"/>
    <col min="37" max="37" width="33" style="152" hidden="1" customWidth="1"/>
    <col min="38" max="39" width="15.85546875" style="152" hidden="1" customWidth="1"/>
    <col min="40" max="16384" width="8.85546875" style="152"/>
  </cols>
  <sheetData>
    <row r="1" spans="1:39" ht="21.75" thickBot="1" x14ac:dyDescent="0.4">
      <c r="A1" s="217" t="s">
        <v>1</v>
      </c>
      <c r="B1" s="217" t="str">
        <f>Summary!B3</f>
        <v>None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>
        <v>21000</v>
      </c>
      <c r="AJ1" s="159">
        <f ca="1">C58+21000</f>
        <v>160411.53000000003</v>
      </c>
      <c r="AK1" s="159"/>
      <c r="AL1" s="159"/>
      <c r="AM1" s="159">
        <f>AI1/6</f>
        <v>3500</v>
      </c>
    </row>
    <row r="2" spans="1:39" ht="19.5" thickBot="1" x14ac:dyDescent="0.35">
      <c r="A2" s="218" t="s">
        <v>147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20"/>
      <c r="AK2" s="221" t="s">
        <v>148</v>
      </c>
      <c r="AL2" s="159"/>
      <c r="AM2" s="219"/>
    </row>
    <row r="3" spans="1:39" ht="15.75" thickBot="1" x14ac:dyDescent="0.3">
      <c r="A3" s="222" t="s">
        <v>149</v>
      </c>
      <c r="B3" s="154" t="s">
        <v>23</v>
      </c>
      <c r="C3" s="154" t="s">
        <v>29</v>
      </c>
      <c r="D3" s="154" t="s">
        <v>32</v>
      </c>
      <c r="E3" s="154" t="s">
        <v>35</v>
      </c>
      <c r="F3" s="154" t="s">
        <v>38</v>
      </c>
      <c r="G3" s="154" t="s">
        <v>41</v>
      </c>
      <c r="H3" s="154" t="s">
        <v>44</v>
      </c>
      <c r="I3" s="154" t="s">
        <v>46</v>
      </c>
      <c r="J3" s="154" t="s">
        <v>48</v>
      </c>
      <c r="K3" s="154" t="s">
        <v>50</v>
      </c>
      <c r="L3" s="154" t="s">
        <v>52</v>
      </c>
      <c r="M3" s="154" t="s">
        <v>55</v>
      </c>
      <c r="N3" s="154" t="s">
        <v>57</v>
      </c>
      <c r="O3" s="154" t="s">
        <v>59</v>
      </c>
      <c r="P3" s="154" t="s">
        <v>60</v>
      </c>
      <c r="Q3" s="154" t="s">
        <v>62</v>
      </c>
      <c r="R3" s="154" t="s">
        <v>64</v>
      </c>
      <c r="S3" s="154" t="s">
        <v>66</v>
      </c>
      <c r="T3" s="154" t="s">
        <v>73</v>
      </c>
      <c r="U3" s="154" t="s">
        <v>69</v>
      </c>
      <c r="V3" s="154" t="s">
        <v>71</v>
      </c>
      <c r="W3" s="154" t="s">
        <v>80</v>
      </c>
      <c r="X3" s="154" t="s">
        <v>76</v>
      </c>
      <c r="Y3" s="154" t="s">
        <v>92</v>
      </c>
      <c r="Z3" s="154" t="s">
        <v>94</v>
      </c>
      <c r="AA3" s="154" t="s">
        <v>96</v>
      </c>
      <c r="AB3" s="154" t="s">
        <v>97</v>
      </c>
      <c r="AC3" s="154" t="s">
        <v>98</v>
      </c>
      <c r="AD3" s="154" t="s">
        <v>78</v>
      </c>
      <c r="AE3" s="154" t="s">
        <v>83</v>
      </c>
      <c r="AF3" s="154" t="s">
        <v>89</v>
      </c>
      <c r="AG3" s="154" t="s">
        <v>91</v>
      </c>
      <c r="AH3" s="154" t="s">
        <v>87</v>
      </c>
      <c r="AI3" s="154" t="s">
        <v>85</v>
      </c>
      <c r="AJ3" s="223" t="s">
        <v>99</v>
      </c>
      <c r="AK3" s="224" t="s">
        <v>116</v>
      </c>
      <c r="AL3" s="223" t="s">
        <v>117</v>
      </c>
      <c r="AM3" s="154" t="s">
        <v>118</v>
      </c>
    </row>
    <row r="4" spans="1:39" x14ac:dyDescent="0.25">
      <c r="A4" s="225" t="s">
        <v>150</v>
      </c>
      <c r="B4" s="157" cm="1">
        <f t="array" aca="1" ref="B4" ca="1">IFERROR(_xlfn.XLOOKUP($A4, INDIRECT("'" &amp; B$3 &amp; "'!A:A"), INDIRECT("'" &amp; B$3 &amp; "'!B:B")),0)</f>
        <v>3000</v>
      </c>
      <c r="C4" s="157" cm="1">
        <f t="array" aca="1" ref="C4" ca="1">IFERROR(_xlfn.XLOOKUP($A4, INDIRECT("'" &amp; C$3 &amp; "'!A:A"), INDIRECT("'" &amp; C$3 &amp; "'!B:B")),0)</f>
        <v>3000</v>
      </c>
      <c r="D4" s="157" cm="1">
        <f t="array" aca="1" ref="D4" ca="1">IFERROR(_xlfn.XLOOKUP($A4, INDIRECT("'" &amp; D$3 &amp; "'!A:A"), INDIRECT("'" &amp; D$3 &amp; "'!B:B")),0)</f>
        <v>3000</v>
      </c>
      <c r="E4" s="157" cm="1">
        <f t="array" aca="1" ref="E4" ca="1">IFERROR(_xlfn.XLOOKUP($A4, INDIRECT("'" &amp; E$3 &amp; "'!A:A"), INDIRECT("'" &amp; E$3 &amp; "'!B:B")),0)</f>
        <v>3000</v>
      </c>
      <c r="F4" s="157" cm="1">
        <f t="array" aca="1" ref="F4" ca="1">IFERROR(_xlfn.XLOOKUP($A4, INDIRECT("'" &amp; F$3 &amp; "'!A:A"), INDIRECT("'" &amp; F$3 &amp; "'!B:B")),0)</f>
        <v>3000</v>
      </c>
      <c r="G4" s="157" cm="1">
        <f t="array" aca="1" ref="G4" ca="1">IFERROR(_xlfn.XLOOKUP($A4, INDIRECT("'" &amp; G$3 &amp; "'!A:A"), INDIRECT("'" &amp; G$3 &amp; "'!B:B")),0)</f>
        <v>3000</v>
      </c>
      <c r="H4" s="157" cm="1">
        <f t="array" aca="1" ref="H4" ca="1">IFERROR(_xlfn.XLOOKUP($A4, INDIRECT("'" &amp; H$3 &amp; "'!A:A"), INDIRECT("'" &amp; H$3 &amp; "'!B:B")),0)</f>
        <v>3000</v>
      </c>
      <c r="I4" s="157" cm="1">
        <f t="array" aca="1" ref="I4" ca="1">IFERROR(_xlfn.XLOOKUP($A4, INDIRECT("'" &amp; I$3 &amp; "'!A:A"), INDIRECT("'" &amp; I$3 &amp; "'!B:B")),0)</f>
        <v>3000</v>
      </c>
      <c r="J4" s="157" cm="1">
        <f t="array" aca="1" ref="J4" ca="1">IFERROR(_xlfn.XLOOKUP($A4, INDIRECT("'" &amp; J$3 &amp; "'!A:A"), INDIRECT("'" &amp; J$3 &amp; "'!B:B")),0)</f>
        <v>3000</v>
      </c>
      <c r="K4" s="157" cm="1">
        <f t="array" aca="1" ref="K4" ca="1">IFERROR(_xlfn.XLOOKUP($A4, INDIRECT("'" &amp; K$3 &amp; "'!A:A"), INDIRECT("'" &amp; K$3 &amp; "'!B:B")),0)</f>
        <v>3000</v>
      </c>
      <c r="L4" s="157" cm="1">
        <f t="array" aca="1" ref="L4" ca="1">IFERROR(_xlfn.XLOOKUP($A4, INDIRECT("'" &amp; L$3 &amp; "'!A:A"), INDIRECT("'" &amp; L$3 &amp; "'!B:B")),0)</f>
        <v>3000</v>
      </c>
      <c r="M4" s="157" cm="1">
        <f t="array" aca="1" ref="M4" ca="1">IFERROR(_xlfn.XLOOKUP($A4, INDIRECT("'" &amp; M$3 &amp; "'!A:A"), INDIRECT("'" &amp; M$3 &amp; "'!B:B")),0)</f>
        <v>3000</v>
      </c>
      <c r="N4" s="157" cm="1">
        <f t="array" aca="1" ref="N4" ca="1">IFERROR(_xlfn.XLOOKUP($A4, INDIRECT("'" &amp; N$3 &amp; "'!A:A"), INDIRECT("'" &amp; N$3 &amp; "'!B:B")),0)</f>
        <v>3000</v>
      </c>
      <c r="O4" s="157" cm="1">
        <f t="array" aca="1" ref="O4" ca="1">IFERROR(_xlfn.XLOOKUP($A4, INDIRECT("'" &amp; O$3 &amp; "'!A:A"), INDIRECT("'" &amp; O$3 &amp; "'!B:B")),0)</f>
        <v>3000</v>
      </c>
      <c r="P4" s="157" cm="1">
        <f t="array" aca="1" ref="P4" ca="1">IFERROR(_xlfn.XLOOKUP($A4, INDIRECT("'" &amp; P$3 &amp; "'!A:A"), INDIRECT("'" &amp; P$3 &amp; "'!B:B")),0)</f>
        <v>3000</v>
      </c>
      <c r="Q4" s="157" cm="1">
        <f t="array" aca="1" ref="Q4" ca="1">IFERROR(_xlfn.XLOOKUP($A4, INDIRECT("'" &amp; Q$3 &amp; "'!A:A"), INDIRECT("'" &amp; Q$3 &amp; "'!B:B")),0)</f>
        <v>3000</v>
      </c>
      <c r="R4" s="157" cm="1">
        <f t="array" aca="1" ref="R4" ca="1">IFERROR(_xlfn.XLOOKUP($A4, INDIRECT("'" &amp; R$3 &amp; "'!A:A"), INDIRECT("'" &amp; R$3 &amp; "'!B:B")),0)</f>
        <v>3000</v>
      </c>
      <c r="S4" s="157" cm="1">
        <f t="array" aca="1" ref="S4" ca="1">IFERROR(_xlfn.XLOOKUP($A4, INDIRECT("'" &amp; S$3 &amp; "'!A:A"), INDIRECT("'" &amp; S$3 &amp; "'!B:B")),0)</f>
        <v>1500</v>
      </c>
      <c r="T4" s="157" cm="1">
        <f t="array" aca="1" ref="T4" ca="1">IFERROR(_xlfn.XLOOKUP($A4, INDIRECT("'" &amp; T$3 &amp; "'!A:A"), INDIRECT("'" &amp; T$3 &amp; "'!B:B")),0)</f>
        <v>1500</v>
      </c>
      <c r="U4" s="157" cm="1">
        <f t="array" aca="1" ref="U4" ca="1">IFERROR(_xlfn.XLOOKUP($A4, INDIRECT("'" &amp; U$3 &amp; "'!A:A"), INDIRECT("'" &amp; U$3 &amp; "'!B:B")),0)</f>
        <v>1500</v>
      </c>
      <c r="V4" s="157" cm="1">
        <f t="array" aca="1" ref="V4" ca="1">IFERROR(_xlfn.XLOOKUP($A4, INDIRECT("'" &amp; V$3 &amp; "'!A:A"), INDIRECT("'" &amp; V$3 &amp; "'!B:B")),0)</f>
        <v>1500</v>
      </c>
      <c r="W4" s="157" cm="1">
        <f t="array" aca="1" ref="W4" ca="1">IFERROR(_xlfn.XLOOKUP($A4, INDIRECT("'" &amp; W$3 &amp; "'!A:A"), INDIRECT("'" &amp; W$3 &amp; "'!B:B")),0)</f>
        <v>1500</v>
      </c>
      <c r="X4" s="157" cm="1">
        <f t="array" aca="1" ref="X4" ca="1">IFERROR(_xlfn.XLOOKUP($A4, INDIRECT("'" &amp; X$3 &amp; "'!A:A"), INDIRECT("'" &amp; X$3 &amp; "'!B:B")),0)</f>
        <v>1500</v>
      </c>
      <c r="Y4" s="157" cm="1">
        <f t="array" aca="1" ref="Y4" ca="1">IFERROR(_xlfn.XLOOKUP($A4, INDIRECT("'" &amp; Y$3 &amp; "'!A:A"), INDIRECT("'" &amp; Y$3 &amp; "'!B:B")),0)</f>
        <v>1500</v>
      </c>
      <c r="Z4" s="157" cm="1">
        <f t="array" aca="1" ref="Z4" ca="1">IFERROR(_xlfn.XLOOKUP($A4, INDIRECT("'" &amp; Z$3 &amp; "'!A:A"), INDIRECT("'" &amp; Z$3 &amp; "'!B:B")),0)</f>
        <v>1500</v>
      </c>
      <c r="AA4" s="157" cm="1">
        <f t="array" aca="1" ref="AA4" ca="1">IFERROR(_xlfn.XLOOKUP($A4, INDIRECT("'" &amp; AA$3 &amp; "'!A:A"), INDIRECT("'" &amp; AA$3 &amp; "'!B:B")),0)</f>
        <v>1500</v>
      </c>
      <c r="AB4" s="157" cm="1">
        <f t="array" aca="1" ref="AB4" ca="1">IFERROR(_xlfn.XLOOKUP($A4, INDIRECT("'" &amp; AB$3 &amp; "'!A:A"), INDIRECT("'" &amp; AB$3 &amp; "'!B:B")),0)</f>
        <v>1500</v>
      </c>
      <c r="AC4" s="157" cm="1">
        <f t="array" aca="1" ref="AC4" ca="1">IFERROR(_xlfn.XLOOKUP($A4, INDIRECT("'" &amp; AC$3 &amp; "'!A:A"), INDIRECT("'" &amp; AC$3 &amp; "'!B:B")),0)</f>
        <v>1500</v>
      </c>
      <c r="AD4" s="157" cm="1">
        <f t="array" aca="1" ref="AD4" ca="1">IFERROR(_xlfn.XLOOKUP($A4, INDIRECT("'" &amp; AD$3 &amp; "'!A:A"), INDIRECT("'" &amp; AD$3 &amp; "'!B:B")),0)</f>
        <v>1500</v>
      </c>
      <c r="AE4" s="157" cm="1">
        <f t="array" aca="1" ref="AE4" ca="1">IFERROR(_xlfn.XLOOKUP($A4, INDIRECT("'" &amp; AE$3 &amp; "'!A:A"), INDIRECT("'" &amp; AE$3 &amp; "'!B:B")),0)</f>
        <v>1500</v>
      </c>
      <c r="AF4" s="157" cm="1">
        <f t="array" aca="1" ref="AF4" ca="1">IFERROR(_xlfn.XLOOKUP($A4, INDIRECT("'" &amp; AF$3 &amp; "'!A:A"), INDIRECT("'" &amp; AF$3 &amp; "'!B:B")),0)</f>
        <v>1500</v>
      </c>
      <c r="AG4" s="157" cm="1">
        <f t="array" aca="1" ref="AG4" ca="1">IFERROR(_xlfn.XLOOKUP($A4, INDIRECT("'" &amp; AG$3 &amp; "'!A:A"), INDIRECT("'" &amp; AG$3 &amp; "'!B:B")),0)</f>
        <v>1500</v>
      </c>
      <c r="AH4" s="157" cm="1">
        <f t="array" aca="1" ref="AH4" ca="1">IFERROR(_xlfn.XLOOKUP($A4, INDIRECT("'" &amp; AH$3 &amp; "'!A:A"), INDIRECT("'" &amp; AH$3 &amp; "'!B:B")),0)</f>
        <v>1500</v>
      </c>
      <c r="AI4" s="157" cm="1">
        <f t="array" aca="1" ref="AI4" ca="1">IFERROR(_xlfn.XLOOKUP($A4, INDIRECT("'" &amp; AI$3 &amp; "'!A:A"), INDIRECT("'" &amp; AI$3 &amp; "'!B:B")),0)</f>
        <v>1500</v>
      </c>
      <c r="AJ4" s="157">
        <f ca="1">C4</f>
        <v>3000</v>
      </c>
      <c r="AK4" s="156" cm="1">
        <f t="array" aca="1" ref="AK4" ca="1">IFERROR(_xlfn.XLOOKUP($A4, INDIRECT("'" &amp; AK$3 &amp; "'!A:A"), INDIRECT("'" &amp; AK$3 &amp; "'!B:B")),0)</f>
        <v>1750</v>
      </c>
      <c r="AL4" s="155" cm="1">
        <f t="array" aca="1" ref="AL4" ca="1">IFERROR(_xlfn.XLOOKUP($A4, INDIRECT("'" &amp; AL$3 &amp; "'!A:A"), INDIRECT("'" &amp; AL$3 &amp; "'!B:B")),0)</f>
        <v>1750</v>
      </c>
      <c r="AM4" s="157" cm="1">
        <f t="array" aca="1" ref="AM4" ca="1">IFERROR(_xlfn.XLOOKUP($A4, INDIRECT("'" &amp; AM$3 &amp; "'!A:A"), INDIRECT("'" &amp; AM$3 &amp; "'!B:B")),0)</f>
        <v>1750</v>
      </c>
    </row>
    <row r="5" spans="1:39" x14ac:dyDescent="0.25">
      <c r="A5" s="225" t="s">
        <v>151</v>
      </c>
      <c r="B5" s="157" cm="1">
        <f t="array" aca="1" ref="B5" ca="1">IFERROR(_xlfn.XLOOKUP($A5, INDIRECT("'" &amp; B$3 &amp; "'!A:A"), INDIRECT("'" &amp; B$3 &amp; "'!B:B")),0)</f>
        <v>300</v>
      </c>
      <c r="C5" s="157" cm="1">
        <f t="array" aca="1" ref="C5" ca="1">IFERROR(_xlfn.XLOOKUP($A5, INDIRECT("'" &amp; C$3 &amp; "'!A:A"), INDIRECT("'" &amp; C$3 &amp; "'!B:B")),0)</f>
        <v>300</v>
      </c>
      <c r="D5" s="157" cm="1">
        <f t="array" aca="1" ref="D5" ca="1">IFERROR(_xlfn.XLOOKUP($A5, INDIRECT("'" &amp; D$3 &amp; "'!A:A"), INDIRECT("'" &amp; D$3 &amp; "'!B:B")),0)</f>
        <v>300</v>
      </c>
      <c r="E5" s="157" cm="1">
        <f t="array" aca="1" ref="E5" ca="1">IFERROR(_xlfn.XLOOKUP($A5, INDIRECT("'" &amp; E$3 &amp; "'!A:A"), INDIRECT("'" &amp; E$3 &amp; "'!B:B")),0)</f>
        <v>300</v>
      </c>
      <c r="F5" s="157" cm="1">
        <f t="array" aca="1" ref="F5" ca="1">IFERROR(_xlfn.XLOOKUP($A5, INDIRECT("'" &amp; F$3 &amp; "'!A:A"), INDIRECT("'" &amp; F$3 &amp; "'!B:B")),0)</f>
        <v>300</v>
      </c>
      <c r="G5" s="157" cm="1">
        <f t="array" aca="1" ref="G5" ca="1">IFERROR(_xlfn.XLOOKUP($A5, INDIRECT("'" &amp; G$3 &amp; "'!A:A"), INDIRECT("'" &amp; G$3 &amp; "'!B:B")),0)</f>
        <v>300</v>
      </c>
      <c r="H5" s="157" cm="1">
        <f t="array" aca="1" ref="H5" ca="1">IFERROR(_xlfn.XLOOKUP($A5, INDIRECT("'" &amp; H$3 &amp; "'!A:A"), INDIRECT("'" &amp; H$3 &amp; "'!B:B")),0)</f>
        <v>300</v>
      </c>
      <c r="I5" s="157" cm="1">
        <f t="array" aca="1" ref="I5" ca="1">IFERROR(_xlfn.XLOOKUP($A5, INDIRECT("'" &amp; I$3 &amp; "'!A:A"), INDIRECT("'" &amp; I$3 &amp; "'!B:B")),0)</f>
        <v>300</v>
      </c>
      <c r="J5" s="157" cm="1">
        <f t="array" aca="1" ref="J5" ca="1">IFERROR(_xlfn.XLOOKUP($A5, INDIRECT("'" &amp; J$3 &amp; "'!A:A"), INDIRECT("'" &amp; J$3 &amp; "'!B:B")),0)</f>
        <v>300</v>
      </c>
      <c r="K5" s="157" cm="1">
        <f t="array" aca="1" ref="K5" ca="1">IFERROR(_xlfn.XLOOKUP($A5, INDIRECT("'" &amp; K$3 &amp; "'!A:A"), INDIRECT("'" &amp; K$3 &amp; "'!B:B")),0)</f>
        <v>300</v>
      </c>
      <c r="L5" s="157" cm="1">
        <f t="array" aca="1" ref="L5" ca="1">IFERROR(_xlfn.XLOOKUP($A5, INDIRECT("'" &amp; L$3 &amp; "'!A:A"), INDIRECT("'" &amp; L$3 &amp; "'!B:B")),0)</f>
        <v>300</v>
      </c>
      <c r="M5" s="157" cm="1">
        <f t="array" aca="1" ref="M5" ca="1">IFERROR(_xlfn.XLOOKUP($A5, INDIRECT("'" &amp; M$3 &amp; "'!A:A"), INDIRECT("'" &amp; M$3 &amp; "'!B:B")),0)</f>
        <v>300</v>
      </c>
      <c r="N5" s="157" cm="1">
        <f t="array" aca="1" ref="N5" ca="1">IFERROR(_xlfn.XLOOKUP($A5, INDIRECT("'" &amp; N$3 &amp; "'!A:A"), INDIRECT("'" &amp; N$3 &amp; "'!B:B")),0)</f>
        <v>300</v>
      </c>
      <c r="O5" s="157" cm="1">
        <f t="array" aca="1" ref="O5" ca="1">IFERROR(_xlfn.XLOOKUP($A5, INDIRECT("'" &amp; O$3 &amp; "'!A:A"), INDIRECT("'" &amp; O$3 &amp; "'!B:B")),0)</f>
        <v>300</v>
      </c>
      <c r="P5" s="157" cm="1">
        <f t="array" aca="1" ref="P5" ca="1">IFERROR(_xlfn.XLOOKUP($A5, INDIRECT("'" &amp; P$3 &amp; "'!A:A"), INDIRECT("'" &amp; P$3 &amp; "'!B:B")),0)</f>
        <v>300</v>
      </c>
      <c r="Q5" s="157" cm="1">
        <f t="array" aca="1" ref="Q5" ca="1">IFERROR(_xlfn.XLOOKUP($A5, INDIRECT("'" &amp; Q$3 &amp; "'!A:A"), INDIRECT("'" &amp; Q$3 &amp; "'!B:B")),0)</f>
        <v>300</v>
      </c>
      <c r="R5" s="157" cm="1">
        <f t="array" aca="1" ref="R5" ca="1">IFERROR(_xlfn.XLOOKUP($A5, INDIRECT("'" &amp; R$3 &amp; "'!A:A"), INDIRECT("'" &amp; R$3 &amp; "'!B:B")),0)</f>
        <v>300</v>
      </c>
      <c r="S5" s="157" cm="1">
        <f t="array" aca="1" ref="S5" ca="1">IFERROR(_xlfn.XLOOKUP($A5, INDIRECT("'" &amp; S$3 &amp; "'!A:A"), INDIRECT("'" &amp; S$3 &amp; "'!B:B")),0)</f>
        <v>300</v>
      </c>
      <c r="T5" s="157" cm="1">
        <f t="array" aca="1" ref="T5" ca="1">IFERROR(_xlfn.XLOOKUP($A5, INDIRECT("'" &amp; T$3 &amp; "'!A:A"), INDIRECT("'" &amp; T$3 &amp; "'!B:B")),0)</f>
        <v>300</v>
      </c>
      <c r="U5" s="157" cm="1">
        <f t="array" aca="1" ref="U5" ca="1">IFERROR(_xlfn.XLOOKUP($A5, INDIRECT("'" &amp; U$3 &amp; "'!A:A"), INDIRECT("'" &amp; U$3 &amp; "'!B:B")),0)</f>
        <v>300</v>
      </c>
      <c r="V5" s="157" cm="1">
        <f t="array" aca="1" ref="V5" ca="1">IFERROR(_xlfn.XLOOKUP($A5, INDIRECT("'" &amp; V$3 &amp; "'!A:A"), INDIRECT("'" &amp; V$3 &amp; "'!B:B")),0)</f>
        <v>300</v>
      </c>
      <c r="W5" s="157" cm="1">
        <f t="array" aca="1" ref="W5" ca="1">IFERROR(_xlfn.XLOOKUP($A5, INDIRECT("'" &amp; W$3 &amp; "'!A:A"), INDIRECT("'" &amp; W$3 &amp; "'!B:B")),0)</f>
        <v>300</v>
      </c>
      <c r="X5" s="157" cm="1">
        <f t="array" aca="1" ref="X5" ca="1">IFERROR(_xlfn.XLOOKUP($A5, INDIRECT("'" &amp; X$3 &amp; "'!A:A"), INDIRECT("'" &amp; X$3 &amp; "'!B:B")),0)</f>
        <v>300</v>
      </c>
      <c r="Y5" s="157" cm="1">
        <f t="array" aca="1" ref="Y5" ca="1">IFERROR(_xlfn.XLOOKUP($A5, INDIRECT("'" &amp; Y$3 &amp; "'!A:A"), INDIRECT("'" &amp; Y$3 &amp; "'!B:B")),0)</f>
        <v>300</v>
      </c>
      <c r="Z5" s="157" cm="1">
        <f t="array" aca="1" ref="Z5" ca="1">IFERROR(_xlfn.XLOOKUP($A5, INDIRECT("'" &amp; Z$3 &amp; "'!A:A"), INDIRECT("'" &amp; Z$3 &amp; "'!B:B")),0)</f>
        <v>300</v>
      </c>
      <c r="AA5" s="157" cm="1">
        <f t="array" aca="1" ref="AA5" ca="1">IFERROR(_xlfn.XLOOKUP($A5, INDIRECT("'" &amp; AA$3 &amp; "'!A:A"), INDIRECT("'" &amp; AA$3 &amp; "'!B:B")),0)</f>
        <v>300</v>
      </c>
      <c r="AB5" s="157" cm="1">
        <f t="array" aca="1" ref="AB5" ca="1">IFERROR(_xlfn.XLOOKUP($A5, INDIRECT("'" &amp; AB$3 &amp; "'!A:A"), INDIRECT("'" &amp; AB$3 &amp; "'!B:B")),0)</f>
        <v>300</v>
      </c>
      <c r="AC5" s="157" cm="1">
        <f t="array" aca="1" ref="AC5" ca="1">IFERROR(_xlfn.XLOOKUP($A5, INDIRECT("'" &amp; AC$3 &amp; "'!A:A"), INDIRECT("'" &amp; AC$3 &amp; "'!B:B")),0)</f>
        <v>300</v>
      </c>
      <c r="AD5" s="157" cm="1">
        <f t="array" aca="1" ref="AD5" ca="1">IFERROR(_xlfn.XLOOKUP($A5, INDIRECT("'" &amp; AD$3 &amp; "'!A:A"), INDIRECT("'" &amp; AD$3 &amp; "'!B:B")),0)</f>
        <v>300</v>
      </c>
      <c r="AE5" s="157" cm="1">
        <f t="array" aca="1" ref="AE5" ca="1">IFERROR(_xlfn.XLOOKUP($A5, INDIRECT("'" &amp; AE$3 &amp; "'!A:A"), INDIRECT("'" &amp; AE$3 &amp; "'!B:B")),0)</f>
        <v>300</v>
      </c>
      <c r="AF5" s="157" cm="1">
        <f t="array" aca="1" ref="AF5" ca="1">IFERROR(_xlfn.XLOOKUP($A5, INDIRECT("'" &amp; AF$3 &amp; "'!A:A"), INDIRECT("'" &amp; AF$3 &amp; "'!B:B")),0)</f>
        <v>300</v>
      </c>
      <c r="AG5" s="157" cm="1">
        <f t="array" aca="1" ref="AG5" ca="1">IFERROR(_xlfn.XLOOKUP($A5, INDIRECT("'" &amp; AG$3 &amp; "'!A:A"), INDIRECT("'" &amp; AG$3 &amp; "'!B:B")),0)</f>
        <v>300</v>
      </c>
      <c r="AH5" s="157" cm="1">
        <f t="array" aca="1" ref="AH5" ca="1">IFERROR(_xlfn.XLOOKUP($A5, INDIRECT("'" &amp; AH$3 &amp; "'!A:A"), INDIRECT("'" &amp; AH$3 &amp; "'!B:B")),0)</f>
        <v>300</v>
      </c>
      <c r="AI5" s="157" cm="1">
        <f t="array" aca="1" ref="AI5" ca="1">IFERROR(_xlfn.XLOOKUP($A5, INDIRECT("'" &amp; AI$3 &amp; "'!A:A"), INDIRECT("'" &amp; AI$3 &amp; "'!B:B")),0)</f>
        <v>300</v>
      </c>
      <c r="AJ5" s="157">
        <f ca="1">C5</f>
        <v>300</v>
      </c>
      <c r="AK5" s="156" cm="1">
        <f t="array" aca="1" ref="AK5" ca="1">IFERROR(_xlfn.XLOOKUP($A5, INDIRECT("'" &amp; AK$3 &amp; "'!A:A"), INDIRECT("'" &amp; AK$3 &amp; "'!B:B")),0)</f>
        <v>200</v>
      </c>
      <c r="AL5" s="155" cm="1">
        <f t="array" aca="1" ref="AL5" ca="1">IFERROR(_xlfn.XLOOKUP($A5, INDIRECT("'" &amp; AL$3 &amp; "'!A:A"), INDIRECT("'" &amp; AL$3 &amp; "'!B:B")),0)</f>
        <v>200</v>
      </c>
      <c r="AM5" s="157" cm="1">
        <f t="array" aca="1" ref="AM5" ca="1">IFERROR(_xlfn.XLOOKUP($A5, INDIRECT("'" &amp; AM$3 &amp; "'!A:A"), INDIRECT("'" &amp; AM$3 &amp; "'!B:B")),0)</f>
        <v>200</v>
      </c>
    </row>
    <row r="6" spans="1:39" x14ac:dyDescent="0.25">
      <c r="A6" s="225" t="s">
        <v>152</v>
      </c>
      <c r="B6" s="157" cm="1">
        <f t="array" aca="1" ref="B6" ca="1">IFERROR(_xlfn.XLOOKUP($A6, INDIRECT("'" &amp; B$3 &amp; "'!A:A"), INDIRECT("'" &amp; B$3 &amp; "'!B:B")),0)</f>
        <v>875</v>
      </c>
      <c r="C6" s="157" cm="1">
        <f t="array" aca="1" ref="C6" ca="1">IFERROR(_xlfn.XLOOKUP($A6, INDIRECT("'" &amp; C$3 &amp; "'!A:A"), INDIRECT("'" &amp; C$3 &amp; "'!B:B")),0)</f>
        <v>875</v>
      </c>
      <c r="D6" s="157" cm="1">
        <f t="array" aca="1" ref="D6" ca="1">IFERROR(_xlfn.XLOOKUP($A6, INDIRECT("'" &amp; D$3 &amp; "'!A:A"), INDIRECT("'" &amp; D$3 &amp; "'!B:B")),0)</f>
        <v>875</v>
      </c>
      <c r="E6" s="157" cm="1">
        <f t="array" aca="1" ref="E6" ca="1">IFERROR(_xlfn.XLOOKUP($A6, INDIRECT("'" &amp; E$3 &amp; "'!A:A"), INDIRECT("'" &amp; E$3 &amp; "'!B:B")),0)</f>
        <v>875</v>
      </c>
      <c r="F6" s="157" cm="1">
        <f t="array" aca="1" ref="F6" ca="1">IFERROR(_xlfn.XLOOKUP($A6, INDIRECT("'" &amp; F$3 &amp; "'!A:A"), INDIRECT("'" &amp; F$3 &amp; "'!B:B")),0)</f>
        <v>875</v>
      </c>
      <c r="G6" s="157" cm="1">
        <f t="array" aca="1" ref="G6" ca="1">IFERROR(_xlfn.XLOOKUP($A6, INDIRECT("'" &amp; G$3 &amp; "'!A:A"), INDIRECT("'" &amp; G$3 &amp; "'!B:B")),0)</f>
        <v>875</v>
      </c>
      <c r="H6" s="157" cm="1">
        <f t="array" aca="1" ref="H6" ca="1">IFERROR(_xlfn.XLOOKUP($A6, INDIRECT("'" &amp; H$3 &amp; "'!A:A"), INDIRECT("'" &amp; H$3 &amp; "'!B:B")),0)</f>
        <v>875</v>
      </c>
      <c r="I6" s="157" cm="1">
        <f t="array" aca="1" ref="I6" ca="1">IFERROR(_xlfn.XLOOKUP($A6, INDIRECT("'" &amp; I$3 &amp; "'!A:A"), INDIRECT("'" &amp; I$3 &amp; "'!B:B")),0)</f>
        <v>875</v>
      </c>
      <c r="J6" s="157" cm="1">
        <f t="array" aca="1" ref="J6" ca="1">IFERROR(_xlfn.XLOOKUP($A6, INDIRECT("'" &amp; J$3 &amp; "'!A:A"), INDIRECT("'" &amp; J$3 &amp; "'!B:B")),0)</f>
        <v>875</v>
      </c>
      <c r="K6" s="157" cm="1">
        <f t="array" aca="1" ref="K6" ca="1">IFERROR(_xlfn.XLOOKUP($A6, INDIRECT("'" &amp; K$3 &amp; "'!A:A"), INDIRECT("'" &amp; K$3 &amp; "'!B:B")),0)</f>
        <v>875</v>
      </c>
      <c r="L6" s="157" cm="1">
        <f t="array" aca="1" ref="L6" ca="1">IFERROR(_xlfn.XLOOKUP($A6, INDIRECT("'" &amp; L$3 &amp; "'!A:A"), INDIRECT("'" &amp; L$3 &amp; "'!B:B")),0)</f>
        <v>875</v>
      </c>
      <c r="M6" s="157" cm="1">
        <f t="array" aca="1" ref="M6" ca="1">IFERROR(_xlfn.XLOOKUP($A6, INDIRECT("'" &amp; M$3 &amp; "'!A:A"), INDIRECT("'" &amp; M$3 &amp; "'!B:B")),0)</f>
        <v>875</v>
      </c>
      <c r="N6" s="157" cm="1">
        <f t="array" aca="1" ref="N6" ca="1">IFERROR(_xlfn.XLOOKUP($A6, INDIRECT("'" &amp; N$3 &amp; "'!A:A"), INDIRECT("'" &amp; N$3 &amp; "'!B:B")),0)</f>
        <v>875</v>
      </c>
      <c r="O6" s="157" cm="1">
        <f t="array" aca="1" ref="O6" ca="1">IFERROR(_xlfn.XLOOKUP($A6, INDIRECT("'" &amp; O$3 &amp; "'!A:A"), INDIRECT("'" &amp; O$3 &amp; "'!B:B")),0)</f>
        <v>875</v>
      </c>
      <c r="P6" s="157" cm="1">
        <f t="array" aca="1" ref="P6" ca="1">IFERROR(_xlfn.XLOOKUP($A6, INDIRECT("'" &amp; P$3 &amp; "'!A:A"), INDIRECT("'" &amp; P$3 &amp; "'!B:B")),0)</f>
        <v>875</v>
      </c>
      <c r="Q6" s="157" cm="1">
        <f t="array" aca="1" ref="Q6" ca="1">IFERROR(_xlfn.XLOOKUP($A6, INDIRECT("'" &amp; Q$3 &amp; "'!A:A"), INDIRECT("'" &amp; Q$3 &amp; "'!B:B")),0)</f>
        <v>875</v>
      </c>
      <c r="R6" s="157" cm="1">
        <f t="array" aca="1" ref="R6" ca="1">IFERROR(_xlfn.XLOOKUP($A6, INDIRECT("'" &amp; R$3 &amp; "'!A:A"), INDIRECT("'" &amp; R$3 &amp; "'!B:B")),0)</f>
        <v>875</v>
      </c>
      <c r="S6" s="157" cm="1">
        <f t="array" aca="1" ref="S6" ca="1">IFERROR(_xlfn.XLOOKUP($A6, INDIRECT("'" &amp; S$3 &amp; "'!A:A"), INDIRECT("'" &amp; S$3 &amp; "'!B:B")),0)</f>
        <v>437.5</v>
      </c>
      <c r="T6" s="157" cm="1">
        <f t="array" aca="1" ref="T6" ca="1">IFERROR(_xlfn.XLOOKUP($A6, INDIRECT("'" &amp; T$3 &amp; "'!A:A"), INDIRECT("'" &amp; T$3 &amp; "'!B:B")),0)</f>
        <v>437.5</v>
      </c>
      <c r="U6" s="157" cm="1">
        <f t="array" aca="1" ref="U6" ca="1">IFERROR(_xlfn.XLOOKUP($A6, INDIRECT("'" &amp; U$3 &amp; "'!A:A"), INDIRECT("'" &amp; U$3 &amp; "'!B:B")),0)</f>
        <v>437.5</v>
      </c>
      <c r="V6" s="157" cm="1">
        <f t="array" aca="1" ref="V6" ca="1">IFERROR(_xlfn.XLOOKUP($A6, INDIRECT("'" &amp; V$3 &amp; "'!A:A"), INDIRECT("'" &amp; V$3 &amp; "'!B:B")),0)</f>
        <v>437.5</v>
      </c>
      <c r="W6" s="157" cm="1">
        <f t="array" aca="1" ref="W6" ca="1">IFERROR(_xlfn.XLOOKUP($A6, INDIRECT("'" &amp; W$3 &amp; "'!A:A"), INDIRECT("'" &amp; W$3 &amp; "'!B:B")),0)</f>
        <v>437.5</v>
      </c>
      <c r="X6" s="157" cm="1">
        <f t="array" aca="1" ref="X6" ca="1">IFERROR(_xlfn.XLOOKUP($A6, INDIRECT("'" &amp; X$3 &amp; "'!A:A"), INDIRECT("'" &amp; X$3 &amp; "'!B:B")),0)</f>
        <v>437.5</v>
      </c>
      <c r="Y6" s="157" cm="1">
        <f t="array" aca="1" ref="Y6" ca="1">IFERROR(_xlfn.XLOOKUP($A6, INDIRECT("'" &amp; Y$3 &amp; "'!A:A"), INDIRECT("'" &amp; Y$3 &amp; "'!B:B")),0)</f>
        <v>437.5</v>
      </c>
      <c r="Z6" s="157" cm="1">
        <f t="array" aca="1" ref="Z6" ca="1">IFERROR(_xlfn.XLOOKUP($A6, INDIRECT("'" &amp; Z$3 &amp; "'!A:A"), INDIRECT("'" &amp; Z$3 &amp; "'!B:B")),0)</f>
        <v>437.5</v>
      </c>
      <c r="AA6" s="157" cm="1">
        <f t="array" aca="1" ref="AA6" ca="1">IFERROR(_xlfn.XLOOKUP($A6, INDIRECT("'" &amp; AA$3 &amp; "'!A:A"), INDIRECT("'" &amp; AA$3 &amp; "'!B:B")),0)</f>
        <v>437.5</v>
      </c>
      <c r="AB6" s="157" cm="1">
        <f t="array" aca="1" ref="AB6" ca="1">IFERROR(_xlfn.XLOOKUP($A6, INDIRECT("'" &amp; AB$3 &amp; "'!A:A"), INDIRECT("'" &amp; AB$3 &amp; "'!B:B")),0)</f>
        <v>437.5</v>
      </c>
      <c r="AC6" s="157" cm="1">
        <f t="array" aca="1" ref="AC6" ca="1">IFERROR(_xlfn.XLOOKUP($A6, INDIRECT("'" &amp; AC$3 &amp; "'!A:A"), INDIRECT("'" &amp; AC$3 &amp; "'!B:B")),0)</f>
        <v>437.5</v>
      </c>
      <c r="AD6" s="157" cm="1">
        <f t="array" aca="1" ref="AD6" ca="1">IFERROR(_xlfn.XLOOKUP($A6, INDIRECT("'" &amp; AD$3 &amp; "'!A:A"), INDIRECT("'" &amp; AD$3 &amp; "'!B:B")),0)</f>
        <v>437.5</v>
      </c>
      <c r="AE6" s="157" cm="1">
        <f t="array" aca="1" ref="AE6" ca="1">IFERROR(_xlfn.XLOOKUP($A6, INDIRECT("'" &amp; AE$3 &amp; "'!A:A"), INDIRECT("'" &amp; AE$3 &amp; "'!B:B")),0)</f>
        <v>437.5</v>
      </c>
      <c r="AF6" s="157" cm="1">
        <f t="array" aca="1" ref="AF6" ca="1">IFERROR(_xlfn.XLOOKUP($A6, INDIRECT("'" &amp; AF$3 &amp; "'!A:A"), INDIRECT("'" &amp; AF$3 &amp; "'!B:B")),0)</f>
        <v>437.5</v>
      </c>
      <c r="AG6" s="157" cm="1">
        <f t="array" aca="1" ref="AG6" ca="1">IFERROR(_xlfn.XLOOKUP($A6, INDIRECT("'" &amp; AG$3 &amp; "'!A:A"), INDIRECT("'" &amp; AG$3 &amp; "'!B:B")),0)</f>
        <v>437.5</v>
      </c>
      <c r="AH6" s="157" cm="1">
        <f t="array" aca="1" ref="AH6" ca="1">IFERROR(_xlfn.XLOOKUP($A6, INDIRECT("'" &amp; AH$3 &amp; "'!A:A"), INDIRECT("'" &amp; AH$3 &amp; "'!B:B")),0)</f>
        <v>437.5</v>
      </c>
      <c r="AI6" s="157" cm="1">
        <f t="array" aca="1" ref="AI6" ca="1">IFERROR(_xlfn.XLOOKUP($A6, INDIRECT("'" &amp; AI$3 &amp; "'!A:A"), INDIRECT("'" &amp; AI$3 &amp; "'!B:B")),0)</f>
        <v>437.5</v>
      </c>
      <c r="AJ6" s="157">
        <f ca="1">C6</f>
        <v>875</v>
      </c>
      <c r="AK6" s="156" cm="1">
        <f t="array" aca="1" ref="AK6" ca="1">IFERROR(_xlfn.XLOOKUP($A6, INDIRECT("'" &amp; AK$3 &amp; "'!A:A"), INDIRECT("'" &amp; AK$3 &amp; "'!B:B")),0)</f>
        <v>350</v>
      </c>
      <c r="AL6" s="155" cm="1">
        <f t="array" aca="1" ref="AL6" ca="1">IFERROR(_xlfn.XLOOKUP($A6, INDIRECT("'" &amp; AL$3 &amp; "'!A:A"), INDIRECT("'" &amp; AL$3 &amp; "'!B:B")),0)</f>
        <v>350</v>
      </c>
      <c r="AM6" s="157" cm="1">
        <f t="array" aca="1" ref="AM6" ca="1">IFERROR(_xlfn.XLOOKUP($A6, INDIRECT("'" &amp; AM$3 &amp; "'!A:A"), INDIRECT("'" &amp; AM$3 &amp; "'!B:B")),0)</f>
        <v>350</v>
      </c>
    </row>
    <row r="7" spans="1:39" x14ac:dyDescent="0.25">
      <c r="A7" s="225" t="s">
        <v>153</v>
      </c>
      <c r="B7" s="157" cm="1">
        <f t="array" aca="1" ref="B7" ca="1">IFERROR(_xlfn.XLOOKUP($A7, INDIRECT("'" &amp; B$3 &amp; "'!A:A"), INDIRECT("'" &amp; B$3 &amp; "'!B:B")),0)</f>
        <v>50</v>
      </c>
      <c r="C7" s="157" cm="1">
        <f t="array" aca="1" ref="C7" ca="1">IFERROR(_xlfn.XLOOKUP($A7, INDIRECT("'" &amp; C$3 &amp; "'!A:A"), INDIRECT("'" &amp; C$3 &amp; "'!B:B")),0)</f>
        <v>50</v>
      </c>
      <c r="D7" s="157" cm="1">
        <f t="array" aca="1" ref="D7" ca="1">IFERROR(_xlfn.XLOOKUP($A7, INDIRECT("'" &amp; D$3 &amp; "'!A:A"), INDIRECT("'" &amp; D$3 &amp; "'!B:B")),0)</f>
        <v>50</v>
      </c>
      <c r="E7" s="157" cm="1">
        <f t="array" aca="1" ref="E7" ca="1">IFERROR(_xlfn.XLOOKUP($A7, INDIRECT("'" &amp; E$3 &amp; "'!A:A"), INDIRECT("'" &amp; E$3 &amp; "'!B:B")),0)</f>
        <v>50</v>
      </c>
      <c r="F7" s="157" cm="1">
        <f t="array" aca="1" ref="F7" ca="1">IFERROR(_xlfn.XLOOKUP($A7, INDIRECT("'" &amp; F$3 &amp; "'!A:A"), INDIRECT("'" &amp; F$3 &amp; "'!B:B")),0)</f>
        <v>50</v>
      </c>
      <c r="G7" s="157" cm="1">
        <f t="array" aca="1" ref="G7" ca="1">IFERROR(_xlfn.XLOOKUP($A7, INDIRECT("'" &amp; G$3 &amp; "'!A:A"), INDIRECT("'" &amp; G$3 &amp; "'!B:B")),0)</f>
        <v>50</v>
      </c>
      <c r="H7" s="157" cm="1">
        <f t="array" aca="1" ref="H7" ca="1">IFERROR(_xlfn.XLOOKUP($A7, INDIRECT("'" &amp; H$3 &amp; "'!A:A"), INDIRECT("'" &amp; H$3 &amp; "'!B:B")),0)</f>
        <v>50</v>
      </c>
      <c r="I7" s="157" cm="1">
        <f t="array" aca="1" ref="I7" ca="1">IFERROR(_xlfn.XLOOKUP($A7, INDIRECT("'" &amp; I$3 &amp; "'!A:A"), INDIRECT("'" &amp; I$3 &amp; "'!B:B")),0)</f>
        <v>50</v>
      </c>
      <c r="J7" s="157" cm="1">
        <f t="array" aca="1" ref="J7" ca="1">IFERROR(_xlfn.XLOOKUP($A7, INDIRECT("'" &amp; J$3 &amp; "'!A:A"), INDIRECT("'" &amp; J$3 &amp; "'!B:B")),0)</f>
        <v>50</v>
      </c>
      <c r="K7" s="157" cm="1">
        <f t="array" aca="1" ref="K7" ca="1">IFERROR(_xlfn.XLOOKUP($A7, INDIRECT("'" &amp; K$3 &amp; "'!A:A"), INDIRECT("'" &amp; K$3 &amp; "'!B:B")),0)</f>
        <v>50</v>
      </c>
      <c r="L7" s="157" cm="1">
        <f t="array" aca="1" ref="L7" ca="1">IFERROR(_xlfn.XLOOKUP($A7, INDIRECT("'" &amp; L$3 &amp; "'!A:A"), INDIRECT("'" &amp; L$3 &amp; "'!B:B")),0)</f>
        <v>50</v>
      </c>
      <c r="M7" s="157" cm="1">
        <f t="array" aca="1" ref="M7" ca="1">IFERROR(_xlfn.XLOOKUP($A7, INDIRECT("'" &amp; M$3 &amp; "'!A:A"), INDIRECT("'" &amp; M$3 &amp; "'!B:B")),0)</f>
        <v>50</v>
      </c>
      <c r="N7" s="157" cm="1">
        <f t="array" aca="1" ref="N7" ca="1">IFERROR(_xlfn.XLOOKUP($A7, INDIRECT("'" &amp; N$3 &amp; "'!A:A"), INDIRECT("'" &amp; N$3 &amp; "'!B:B")),0)</f>
        <v>50</v>
      </c>
      <c r="O7" s="157" cm="1">
        <f t="array" aca="1" ref="O7" ca="1">IFERROR(_xlfn.XLOOKUP($A7, INDIRECT("'" &amp; O$3 &amp; "'!A:A"), INDIRECT("'" &amp; O$3 &amp; "'!B:B")),0)</f>
        <v>50</v>
      </c>
      <c r="P7" s="157" cm="1">
        <f t="array" aca="1" ref="P7" ca="1">IFERROR(_xlfn.XLOOKUP($A7, INDIRECT("'" &amp; P$3 &amp; "'!A:A"), INDIRECT("'" &amp; P$3 &amp; "'!B:B")),0)</f>
        <v>50</v>
      </c>
      <c r="Q7" s="157" cm="1">
        <f t="array" aca="1" ref="Q7" ca="1">IFERROR(_xlfn.XLOOKUP($A7, INDIRECT("'" &amp; Q$3 &amp; "'!A:A"), INDIRECT("'" &amp; Q$3 &amp; "'!B:B")),0)</f>
        <v>50</v>
      </c>
      <c r="R7" s="157" cm="1">
        <f t="array" aca="1" ref="R7" ca="1">IFERROR(_xlfn.XLOOKUP($A7, INDIRECT("'" &amp; R$3 &amp; "'!A:A"), INDIRECT("'" &amp; R$3 &amp; "'!B:B")),0)</f>
        <v>50</v>
      </c>
      <c r="S7" s="157" cm="1">
        <f t="array" aca="1" ref="S7" ca="1">IFERROR(_xlfn.XLOOKUP($A7, INDIRECT("'" &amp; S$3 &amp; "'!A:A"), INDIRECT("'" &amp; S$3 &amp; "'!B:B")),0)</f>
        <v>50</v>
      </c>
      <c r="T7" s="157" cm="1">
        <f t="array" aca="1" ref="T7" ca="1">IFERROR(_xlfn.XLOOKUP($A7, INDIRECT("'" &amp; T$3 &amp; "'!A:A"), INDIRECT("'" &amp; T$3 &amp; "'!B:B")),0)</f>
        <v>50</v>
      </c>
      <c r="U7" s="157" cm="1">
        <f t="array" aca="1" ref="U7" ca="1">IFERROR(_xlfn.XLOOKUP($A7, INDIRECT("'" &amp; U$3 &amp; "'!A:A"), INDIRECT("'" &amp; U$3 &amp; "'!B:B")),0)</f>
        <v>50</v>
      </c>
      <c r="V7" s="157" cm="1">
        <f t="array" aca="1" ref="V7" ca="1">IFERROR(_xlfn.XLOOKUP($A7, INDIRECT("'" &amp; V$3 &amp; "'!A:A"), INDIRECT("'" &amp; V$3 &amp; "'!B:B")),0)</f>
        <v>50</v>
      </c>
      <c r="W7" s="157" cm="1">
        <f t="array" aca="1" ref="W7" ca="1">IFERROR(_xlfn.XLOOKUP($A7, INDIRECT("'" &amp; W$3 &amp; "'!A:A"), INDIRECT("'" &amp; W$3 &amp; "'!B:B")),0)</f>
        <v>50</v>
      </c>
      <c r="X7" s="157" cm="1">
        <f t="array" aca="1" ref="X7" ca="1">IFERROR(_xlfn.XLOOKUP($A7, INDIRECT("'" &amp; X$3 &amp; "'!A:A"), INDIRECT("'" &amp; X$3 &amp; "'!B:B")),0)</f>
        <v>50</v>
      </c>
      <c r="Y7" s="157" cm="1">
        <f t="array" aca="1" ref="Y7" ca="1">IFERROR(_xlfn.XLOOKUP($A7, INDIRECT("'" &amp; Y$3 &amp; "'!A:A"), INDIRECT("'" &amp; Y$3 &amp; "'!B:B")),0)</f>
        <v>50</v>
      </c>
      <c r="Z7" s="157" cm="1">
        <f t="array" aca="1" ref="Z7" ca="1">IFERROR(_xlfn.XLOOKUP($A7, INDIRECT("'" &amp; Z$3 &amp; "'!A:A"), INDIRECT("'" &amp; Z$3 &amp; "'!B:B")),0)</f>
        <v>50</v>
      </c>
      <c r="AA7" s="157" cm="1">
        <f t="array" aca="1" ref="AA7" ca="1">IFERROR(_xlfn.XLOOKUP($A7, INDIRECT("'" &amp; AA$3 &amp; "'!A:A"), INDIRECT("'" &amp; AA$3 &amp; "'!B:B")),0)</f>
        <v>50</v>
      </c>
      <c r="AB7" s="157" cm="1">
        <f t="array" aca="1" ref="AB7" ca="1">IFERROR(_xlfn.XLOOKUP($A7, INDIRECT("'" &amp; AB$3 &amp; "'!A:A"), INDIRECT("'" &amp; AB$3 &amp; "'!B:B")),0)</f>
        <v>50</v>
      </c>
      <c r="AC7" s="157" cm="1">
        <f t="array" aca="1" ref="AC7" ca="1">IFERROR(_xlfn.XLOOKUP($A7, INDIRECT("'" &amp; AC$3 &amp; "'!A:A"), INDIRECT("'" &amp; AC$3 &amp; "'!B:B")),0)</f>
        <v>50</v>
      </c>
      <c r="AD7" s="157" cm="1">
        <f t="array" aca="1" ref="AD7" ca="1">IFERROR(_xlfn.XLOOKUP($A7, INDIRECT("'" &amp; AD$3 &amp; "'!A:A"), INDIRECT("'" &amp; AD$3 &amp; "'!B:B")),0)</f>
        <v>50</v>
      </c>
      <c r="AE7" s="157" cm="1">
        <f t="array" aca="1" ref="AE7" ca="1">IFERROR(_xlfn.XLOOKUP($A7, INDIRECT("'" &amp; AE$3 &amp; "'!A:A"), INDIRECT("'" &amp; AE$3 &amp; "'!B:B")),0)</f>
        <v>50</v>
      </c>
      <c r="AF7" s="157" cm="1">
        <f t="array" aca="1" ref="AF7" ca="1">IFERROR(_xlfn.XLOOKUP($A7, INDIRECT("'" &amp; AF$3 &amp; "'!A:A"), INDIRECT("'" &amp; AF$3 &amp; "'!B:B")),0)</f>
        <v>50</v>
      </c>
      <c r="AG7" s="157" cm="1">
        <f t="array" aca="1" ref="AG7" ca="1">IFERROR(_xlfn.XLOOKUP($A7, INDIRECT("'" &amp; AG$3 &amp; "'!A:A"), INDIRECT("'" &amp; AG$3 &amp; "'!B:B")),0)</f>
        <v>50</v>
      </c>
      <c r="AH7" s="157" cm="1">
        <f t="array" aca="1" ref="AH7" ca="1">IFERROR(_xlfn.XLOOKUP($A7, INDIRECT("'" &amp; AH$3 &amp; "'!A:A"), INDIRECT("'" &amp; AH$3 &amp; "'!B:B")),0)</f>
        <v>50</v>
      </c>
      <c r="AI7" s="157" cm="1">
        <f t="array" aca="1" ref="AI7" ca="1">IFERROR(_xlfn.XLOOKUP($A7, INDIRECT("'" &amp; AI$3 &amp; "'!A:A"), INDIRECT("'" &amp; AI$3 &amp; "'!B:B")),0)</f>
        <v>50</v>
      </c>
      <c r="AJ7" s="157">
        <f ca="1">C7</f>
        <v>50</v>
      </c>
      <c r="AK7" s="156" cm="1">
        <f t="array" aca="1" ref="AK7" ca="1">IFERROR(_xlfn.XLOOKUP($A7, INDIRECT("'" &amp; AK$3 &amp; "'!A:A"), INDIRECT("'" &amp; AK$3 &amp; "'!B:B")),0)</f>
        <v>50</v>
      </c>
      <c r="AL7" s="155" cm="1">
        <f t="array" aca="1" ref="AL7" ca="1">IFERROR(_xlfn.XLOOKUP($A7, INDIRECT("'" &amp; AL$3 &amp; "'!A:A"), INDIRECT("'" &amp; AL$3 &amp; "'!B:B")),0)</f>
        <v>50</v>
      </c>
      <c r="AM7" s="157" cm="1">
        <f t="array" aca="1" ref="AM7" ca="1">IFERROR(_xlfn.XLOOKUP($A7, INDIRECT("'" &amp; AM$3 &amp; "'!A:A"), INDIRECT("'" &amp; AM$3 &amp; "'!B:B")),0)</f>
        <v>50</v>
      </c>
    </row>
    <row r="8" spans="1:39" x14ac:dyDescent="0.25">
      <c r="A8" s="225" t="s">
        <v>154</v>
      </c>
      <c r="B8" s="157" cm="1">
        <f t="array" aca="1" ref="B8" ca="1">IFERROR(_xlfn.XLOOKUP($A8, INDIRECT("'" &amp; B$3 &amp; "'!A:A"), INDIRECT("'" &amp; B$3 &amp; "'!B:B")),0)</f>
        <v>225</v>
      </c>
      <c r="C8" s="157" cm="1">
        <f t="array" aca="1" ref="C8" ca="1">IFERROR(_xlfn.XLOOKUP($A8, INDIRECT("'" &amp; C$3 &amp; "'!A:A"), INDIRECT("'" &amp; C$3 &amp; "'!B:B")),0)</f>
        <v>225</v>
      </c>
      <c r="D8" s="157" cm="1">
        <f t="array" aca="1" ref="D8" ca="1">IFERROR(_xlfn.XLOOKUP($A8, INDIRECT("'" &amp; D$3 &amp; "'!A:A"), INDIRECT("'" &amp; D$3 &amp; "'!B:B")),0)</f>
        <v>225</v>
      </c>
      <c r="E8" s="157" cm="1">
        <f t="array" aca="1" ref="E8" ca="1">IFERROR(_xlfn.XLOOKUP($A8, INDIRECT("'" &amp; E$3 &amp; "'!A:A"), INDIRECT("'" &amp; E$3 &amp; "'!B:B")),0)</f>
        <v>225</v>
      </c>
      <c r="F8" s="157" cm="1">
        <f t="array" aca="1" ref="F8" ca="1">IFERROR(_xlfn.XLOOKUP($A8, INDIRECT("'" &amp; F$3 &amp; "'!A:A"), INDIRECT("'" &amp; F$3 &amp; "'!B:B")),0)</f>
        <v>225</v>
      </c>
      <c r="G8" s="157" cm="1">
        <f t="array" aca="1" ref="G8" ca="1">IFERROR(_xlfn.XLOOKUP($A8, INDIRECT("'" &amp; G$3 &amp; "'!A:A"), INDIRECT("'" &amp; G$3 &amp; "'!B:B")),0)</f>
        <v>225</v>
      </c>
      <c r="H8" s="157" cm="1">
        <f t="array" aca="1" ref="H8" ca="1">IFERROR(_xlfn.XLOOKUP($A8, INDIRECT("'" &amp; H$3 &amp; "'!A:A"), INDIRECT("'" &amp; H$3 &amp; "'!B:B")),0)</f>
        <v>225</v>
      </c>
      <c r="I8" s="157" cm="1">
        <f t="array" aca="1" ref="I8" ca="1">IFERROR(_xlfn.XLOOKUP($A8, INDIRECT("'" &amp; I$3 &amp; "'!A:A"), INDIRECT("'" &amp; I$3 &amp; "'!B:B")),0)</f>
        <v>225</v>
      </c>
      <c r="J8" s="157" cm="1">
        <f t="array" aca="1" ref="J8" ca="1">IFERROR(_xlfn.XLOOKUP($A8, INDIRECT("'" &amp; J$3 &amp; "'!A:A"), INDIRECT("'" &amp; J$3 &amp; "'!B:B")),0)</f>
        <v>225</v>
      </c>
      <c r="K8" s="157" cm="1">
        <f t="array" aca="1" ref="K8" ca="1">IFERROR(_xlfn.XLOOKUP($A8, INDIRECT("'" &amp; K$3 &amp; "'!A:A"), INDIRECT("'" &amp; K$3 &amp; "'!B:B")),0)</f>
        <v>225</v>
      </c>
      <c r="L8" s="157" cm="1">
        <f t="array" aca="1" ref="L8" ca="1">IFERROR(_xlfn.XLOOKUP($A8, INDIRECT("'" &amp; L$3 &amp; "'!A:A"), INDIRECT("'" &amp; L$3 &amp; "'!B:B")),0)</f>
        <v>225</v>
      </c>
      <c r="M8" s="157" cm="1">
        <f t="array" aca="1" ref="M8" ca="1">IFERROR(_xlfn.XLOOKUP($A8, INDIRECT("'" &amp; M$3 &amp; "'!A:A"), INDIRECT("'" &amp; M$3 &amp; "'!B:B")),0)</f>
        <v>225</v>
      </c>
      <c r="N8" s="157" cm="1">
        <f t="array" aca="1" ref="N8" ca="1">IFERROR(_xlfn.XLOOKUP($A8, INDIRECT("'" &amp; N$3 &amp; "'!A:A"), INDIRECT("'" &amp; N$3 &amp; "'!B:B")),0)</f>
        <v>225</v>
      </c>
      <c r="O8" s="157" cm="1">
        <f t="array" aca="1" ref="O8" ca="1">IFERROR(_xlfn.XLOOKUP($A8, INDIRECT("'" &amp; O$3 &amp; "'!A:A"), INDIRECT("'" &amp; O$3 &amp; "'!B:B")),0)</f>
        <v>225</v>
      </c>
      <c r="P8" s="157" cm="1">
        <f t="array" aca="1" ref="P8" ca="1">IFERROR(_xlfn.XLOOKUP($A8, INDIRECT("'" &amp; P$3 &amp; "'!A:A"), INDIRECT("'" &amp; P$3 &amp; "'!B:B")),0)</f>
        <v>225</v>
      </c>
      <c r="Q8" s="157" cm="1">
        <f t="array" aca="1" ref="Q8" ca="1">IFERROR(_xlfn.XLOOKUP($A8, INDIRECT("'" &amp; Q$3 &amp; "'!A:A"), INDIRECT("'" &amp; Q$3 &amp; "'!B:B")),0)</f>
        <v>225</v>
      </c>
      <c r="R8" s="157" cm="1">
        <f t="array" aca="1" ref="R8" ca="1">IFERROR(_xlfn.XLOOKUP($A8, INDIRECT("'" &amp; R$3 &amp; "'!A:A"), INDIRECT("'" &amp; R$3 &amp; "'!B:B")),0)</f>
        <v>225</v>
      </c>
      <c r="S8" s="157" cm="1">
        <f t="array" aca="1" ref="S8" ca="1">IFERROR(_xlfn.XLOOKUP($A8, INDIRECT("'" &amp; S$3 &amp; "'!A:A"), INDIRECT("'" &amp; S$3 &amp; "'!B:B")),0)</f>
        <v>100</v>
      </c>
      <c r="T8" s="157" cm="1">
        <f t="array" aca="1" ref="T8" ca="1">IFERROR(_xlfn.XLOOKUP($A8, INDIRECT("'" &amp; T$3 &amp; "'!A:A"), INDIRECT("'" &amp; T$3 &amp; "'!B:B")),0)</f>
        <v>100</v>
      </c>
      <c r="U8" s="157" cm="1">
        <f t="array" aca="1" ref="U8" ca="1">IFERROR(_xlfn.XLOOKUP($A8, INDIRECT("'" &amp; U$3 &amp; "'!A:A"), INDIRECT("'" &amp; U$3 &amp; "'!B:B")),0)</f>
        <v>100</v>
      </c>
      <c r="V8" s="157" cm="1">
        <f t="array" aca="1" ref="V8" ca="1">IFERROR(_xlfn.XLOOKUP($A8, INDIRECT("'" &amp; V$3 &amp; "'!A:A"), INDIRECT("'" &amp; V$3 &amp; "'!B:B")),0)</f>
        <v>100</v>
      </c>
      <c r="W8" s="157" cm="1">
        <f t="array" aca="1" ref="W8" ca="1">IFERROR(_xlfn.XLOOKUP($A8, INDIRECT("'" &amp; W$3 &amp; "'!A:A"), INDIRECT("'" &amp; W$3 &amp; "'!B:B")),0)</f>
        <v>100</v>
      </c>
      <c r="X8" s="157" cm="1">
        <f t="array" aca="1" ref="X8" ca="1">IFERROR(_xlfn.XLOOKUP($A8, INDIRECT("'" &amp; X$3 &amp; "'!A:A"), INDIRECT("'" &amp; X$3 &amp; "'!B:B")),0)</f>
        <v>100</v>
      </c>
      <c r="Y8" s="157" cm="1">
        <f t="array" aca="1" ref="Y8" ca="1">IFERROR(_xlfn.XLOOKUP($A8, INDIRECT("'" &amp; Y$3 &amp; "'!A:A"), INDIRECT("'" &amp; Y$3 &amp; "'!B:B")),0)</f>
        <v>100</v>
      </c>
      <c r="Z8" s="157" cm="1">
        <f t="array" aca="1" ref="Z8" ca="1">IFERROR(_xlfn.XLOOKUP($A8, INDIRECT("'" &amp; Z$3 &amp; "'!A:A"), INDIRECT("'" &amp; Z$3 &amp; "'!B:B")),0)</f>
        <v>100</v>
      </c>
      <c r="AA8" s="157" cm="1">
        <f t="array" aca="1" ref="AA8" ca="1">IFERROR(_xlfn.XLOOKUP($A8, INDIRECT("'" &amp; AA$3 &amp; "'!A:A"), INDIRECT("'" &amp; AA$3 &amp; "'!B:B")),0)</f>
        <v>100</v>
      </c>
      <c r="AB8" s="157" cm="1">
        <f t="array" aca="1" ref="AB8" ca="1">IFERROR(_xlfn.XLOOKUP($A8, INDIRECT("'" &amp; AB$3 &amp; "'!A:A"), INDIRECT("'" &amp; AB$3 &amp; "'!B:B")),0)</f>
        <v>100</v>
      </c>
      <c r="AC8" s="157" cm="1">
        <f t="array" aca="1" ref="AC8" ca="1">IFERROR(_xlfn.XLOOKUP($A8, INDIRECT("'" &amp; AC$3 &amp; "'!A:A"), INDIRECT("'" &amp; AC$3 &amp; "'!B:B")),0)</f>
        <v>100</v>
      </c>
      <c r="AD8" s="157" cm="1">
        <f t="array" aca="1" ref="AD8" ca="1">IFERROR(_xlfn.XLOOKUP($A8, INDIRECT("'" &amp; AD$3 &amp; "'!A:A"), INDIRECT("'" &amp; AD$3 &amp; "'!B:B")),0)</f>
        <v>100</v>
      </c>
      <c r="AE8" s="157" cm="1">
        <f t="array" aca="1" ref="AE8" ca="1">IFERROR(_xlfn.XLOOKUP($A8, INDIRECT("'" &amp; AE$3 &amp; "'!A:A"), INDIRECT("'" &amp; AE$3 &amp; "'!B:B")),0)</f>
        <v>100</v>
      </c>
      <c r="AF8" s="157" cm="1">
        <f t="array" aca="1" ref="AF8" ca="1">IFERROR(_xlfn.XLOOKUP($A8, INDIRECT("'" &amp; AF$3 &amp; "'!A:A"), INDIRECT("'" &amp; AF$3 &amp; "'!B:B")),0)</f>
        <v>100</v>
      </c>
      <c r="AG8" s="157" cm="1">
        <f t="array" aca="1" ref="AG8" ca="1">IFERROR(_xlfn.XLOOKUP($A8, INDIRECT("'" &amp; AG$3 &amp; "'!A:A"), INDIRECT("'" &amp; AG$3 &amp; "'!B:B")),0)</f>
        <v>100</v>
      </c>
      <c r="AH8" s="157" cm="1">
        <f t="array" aca="1" ref="AH8" ca="1">IFERROR(_xlfn.XLOOKUP($A8, INDIRECT("'" &amp; AH$3 &amp; "'!A:A"), INDIRECT("'" &amp; AH$3 &amp; "'!B:B")),0)</f>
        <v>100</v>
      </c>
      <c r="AI8" s="157" cm="1">
        <f t="array" aca="1" ref="AI8" ca="1">IFERROR(_xlfn.XLOOKUP($A8, INDIRECT("'" &amp; AI$3 &amp; "'!A:A"), INDIRECT("'" &amp; AI$3 &amp; "'!B:B")),0)</f>
        <v>100</v>
      </c>
      <c r="AJ8" s="157">
        <f ca="1">C8</f>
        <v>225</v>
      </c>
      <c r="AK8" s="156" cm="1">
        <f t="array" aca="1" ref="AK8" ca="1">IFERROR(_xlfn.XLOOKUP($A8, INDIRECT("'" &amp; AK$3 &amp; "'!A:A"), INDIRECT("'" &amp; AK$3 &amp; "'!B:B")),0)</f>
        <v>250</v>
      </c>
      <c r="AL8" s="155" cm="1">
        <f t="array" aca="1" ref="AL8" ca="1">IFERROR(_xlfn.XLOOKUP($A8, INDIRECT("'" &amp; AL$3 &amp; "'!A:A"), INDIRECT("'" &amp; AL$3 &amp; "'!B:B")),0)</f>
        <v>250</v>
      </c>
      <c r="AM8" s="157" cm="1">
        <f t="array" aca="1" ref="AM8" ca="1">IFERROR(_xlfn.XLOOKUP($A8, INDIRECT("'" &amp; AM$3 &amp; "'!A:A"), INDIRECT("'" &amp; AM$3 &amp; "'!B:B")),0)</f>
        <v>250</v>
      </c>
    </row>
    <row r="9" spans="1:39" x14ac:dyDescent="0.25">
      <c r="A9" s="225" t="s">
        <v>155</v>
      </c>
      <c r="B9" s="157" cm="1">
        <f t="array" aca="1" ref="B9" ca="1">IFERROR(_xlfn.XLOOKUP($A9, INDIRECT("'" &amp; B$3 &amp; "'!A:A"), INDIRECT("'" &amp; B$3 &amp; "'!B:B")),0)</f>
        <v>12160.21</v>
      </c>
      <c r="C9" s="157" cm="1">
        <f t="array" aca="1" ref="C9" ca="1">IFERROR(_xlfn.XLOOKUP($A9, INDIRECT("'" &amp; C$3 &amp; "'!A:A"), INDIRECT("'" &amp; C$3 &amp; "'!B:B")),0)</f>
        <v>10337.34</v>
      </c>
      <c r="D9" s="157" cm="1">
        <f t="array" aca="1" ref="D9" ca="1">IFERROR(_xlfn.XLOOKUP($A9, INDIRECT("'" &amp; D$3 &amp; "'!A:A"), INDIRECT("'" &amp; D$3 &amp; "'!B:B")),0)</f>
        <v>6740.29</v>
      </c>
      <c r="E9" s="157" cm="1">
        <f t="array" aca="1" ref="E9" ca="1">IFERROR(_xlfn.XLOOKUP($A9, INDIRECT("'" &amp; E$3 &amp; "'!A:A"), INDIRECT("'" &amp; E$3 &amp; "'!B:B")),0)</f>
        <v>13360.22</v>
      </c>
      <c r="F9" s="157" cm="1">
        <f t="array" aca="1" ref="F9" ca="1">IFERROR(_xlfn.XLOOKUP($A9, INDIRECT("'" &amp; F$3 &amp; "'!A:A"), INDIRECT("'" &amp; F$3 &amp; "'!B:B")),0)</f>
        <v>11967.7</v>
      </c>
      <c r="G9" s="157" cm="1">
        <f t="array" aca="1" ref="G9" ca="1">IFERROR(_xlfn.XLOOKUP($A9, INDIRECT("'" &amp; G$3 &amp; "'!A:A"), INDIRECT("'" &amp; G$3 &amp; "'!B:B")),0)</f>
        <v>8834.11</v>
      </c>
      <c r="H9" s="157" cm="1">
        <f t="array" aca="1" ref="H9" ca="1">IFERROR(_xlfn.XLOOKUP($A9, INDIRECT("'" &amp; H$3 &amp; "'!A:A"), INDIRECT("'" &amp; H$3 &amp; "'!B:B")),0)</f>
        <v>9421.1200000000008</v>
      </c>
      <c r="I9" s="157" cm="1">
        <f t="array" aca="1" ref="I9" ca="1">IFERROR(_xlfn.XLOOKUP($A9, INDIRECT("'" &amp; I$3 &amp; "'!A:A"), INDIRECT("'" &amp; I$3 &amp; "'!B:B")),0)</f>
        <v>11034.64</v>
      </c>
      <c r="J9" s="157" cm="1">
        <f t="array" aca="1" ref="J9" ca="1">IFERROR(_xlfn.XLOOKUP($A9, INDIRECT("'" &amp; J$3 &amp; "'!A:A"), INDIRECT("'" &amp; J$3 &amp; "'!B:B")),0)</f>
        <v>9923.15</v>
      </c>
      <c r="K9" s="157" cm="1">
        <f t="array" aca="1" ref="K9" ca="1">IFERROR(_xlfn.XLOOKUP($A9, INDIRECT("'" &amp; K$3 &amp; "'!A:A"), INDIRECT("'" &amp; K$3 &amp; "'!B:B")),0)</f>
        <v>6531.13</v>
      </c>
      <c r="L9" s="157" cm="1">
        <f t="array" aca="1" ref="L9" ca="1">IFERROR(_xlfn.XLOOKUP($A9, INDIRECT("'" &amp; L$3 &amp; "'!A:A"), INDIRECT("'" &amp; L$3 &amp; "'!B:B")),0)</f>
        <v>9983.4599999999991</v>
      </c>
      <c r="M9" s="157" cm="1">
        <f t="array" aca="1" ref="M9" ca="1">IFERROR(_xlfn.XLOOKUP($A9, INDIRECT("'" &amp; M$3 &amp; "'!A:A"), INDIRECT("'" &amp; M$3 &amp; "'!B:B")),0)</f>
        <v>14417.8</v>
      </c>
      <c r="N9" s="157" cm="1">
        <f t="array" aca="1" ref="N9" ca="1">IFERROR(_xlfn.XLOOKUP($A9, INDIRECT("'" &amp; N$3 &amp; "'!A:A"), INDIRECT("'" &amp; N$3 &amp; "'!B:B")),0)</f>
        <v>14299.08</v>
      </c>
      <c r="O9" s="157" cm="1">
        <f t="array" aca="1" ref="O9" ca="1">IFERROR(_xlfn.XLOOKUP($A9, INDIRECT("'" &amp; O$3 &amp; "'!A:A"), INDIRECT("'" &amp; O$3 &amp; "'!B:B")),0)</f>
        <v>7621.57</v>
      </c>
      <c r="P9" s="157" cm="1">
        <f t="array" aca="1" ref="P9" ca="1">IFERROR(_xlfn.XLOOKUP($A9, INDIRECT("'" &amp; P$3 &amp; "'!A:A"), INDIRECT("'" &amp; P$3 &amp; "'!B:B")),0)</f>
        <v>6015.42</v>
      </c>
      <c r="Q9" s="157" cm="1">
        <f t="array" aca="1" ref="Q9" ca="1">IFERROR(_xlfn.XLOOKUP($A9, INDIRECT("'" &amp; Q$3 &amp; "'!A:A"), INDIRECT("'" &amp; Q$3 &amp; "'!B:B")),0)</f>
        <v>10234.67</v>
      </c>
      <c r="R9" s="157" cm="1">
        <f t="array" aca="1" ref="R9" ca="1">IFERROR(_xlfn.XLOOKUP($A9, INDIRECT("'" &amp; R$3 &amp; "'!A:A"), INDIRECT("'" &amp; R$3 &amp; "'!B:B")),0)</f>
        <v>9344.9</v>
      </c>
      <c r="S9" s="157" cm="1">
        <f t="array" aca="1" ref="S9" ca="1">IFERROR(_xlfn.XLOOKUP($A9, INDIRECT("'" &amp; S$3 &amp; "'!A:A"), INDIRECT("'" &amp; S$3 &amp; "'!B:B")),0)</f>
        <v>12854.3</v>
      </c>
      <c r="T9" s="157" cm="1">
        <f t="array" aca="1" ref="T9" ca="1">IFERROR(_xlfn.XLOOKUP($A9, INDIRECT("'" &amp; T$3 &amp; "'!A:A"), INDIRECT("'" &amp; T$3 &amp; "'!B:B")),0)</f>
        <v>12257.66</v>
      </c>
      <c r="U9" s="157" cm="1">
        <f t="array" aca="1" ref="U9" ca="1">IFERROR(_xlfn.XLOOKUP($A9, INDIRECT("'" &amp; U$3 &amp; "'!A:A"), INDIRECT("'" &amp; U$3 &amp; "'!B:B")),0)</f>
        <v>10894.93</v>
      </c>
      <c r="V9" s="157" cm="1">
        <f t="array" aca="1" ref="V9" ca="1">IFERROR(_xlfn.XLOOKUP($A9, INDIRECT("'" &amp; V$3 &amp; "'!A:A"), INDIRECT("'" &amp; V$3 &amp; "'!B:B")),0)</f>
        <v>10676.17</v>
      </c>
      <c r="W9" s="157" cm="1">
        <f t="array" aca="1" ref="W9" ca="1">IFERROR(_xlfn.XLOOKUP($A9, INDIRECT("'" &amp; W$3 &amp; "'!A:A"), INDIRECT("'" &amp; W$3 &amp; "'!B:B")),0)</f>
        <v>14894.86</v>
      </c>
      <c r="X9" s="157" cm="1">
        <f t="array" aca="1" ref="X9" ca="1">IFERROR(_xlfn.XLOOKUP($A9, INDIRECT("'" &amp; X$3 &amp; "'!A:A"), INDIRECT("'" &amp; X$3 &amp; "'!B:B")),0)</f>
        <v>14421.65</v>
      </c>
      <c r="Y9" s="157" cm="1">
        <f t="array" aca="1" ref="Y9" ca="1">IFERROR(_xlfn.XLOOKUP($A9, INDIRECT("'" &amp; Y$3 &amp; "'!A:A"), INDIRECT("'" &amp; Y$3 &amp; "'!B:B")),0)</f>
        <v>12257.66</v>
      </c>
      <c r="Z9" s="157" cm="1">
        <f t="array" aca="1" ref="Z9" ca="1">IFERROR(_xlfn.XLOOKUP($A9, INDIRECT("'" &amp; Z$3 &amp; "'!A:A"), INDIRECT("'" &amp; Z$3 &amp; "'!B:B")),0)</f>
        <v>20644.849999999999</v>
      </c>
      <c r="AA9" s="157" cm="1">
        <f t="array" aca="1" ref="AA9" ca="1">IFERROR(_xlfn.XLOOKUP($A9, INDIRECT("'" &amp; AA$3 &amp; "'!A:A"), INDIRECT("'" &amp; AA$3 &amp; "'!B:B")),0)</f>
        <v>13373.2</v>
      </c>
      <c r="AB9" s="157" cm="1">
        <f t="array" aca="1" ref="AB9" ca="1">IFERROR(_xlfn.XLOOKUP($A9, INDIRECT("'" &amp; AB$3 &amp; "'!A:A"), INDIRECT("'" &amp; AB$3 &amp; "'!B:B")),0)</f>
        <v>20644.849999999999</v>
      </c>
      <c r="AC9" s="157" cm="1">
        <f t="array" aca="1" ref="AC9" ca="1">IFERROR(_xlfn.XLOOKUP($A9, INDIRECT("'" &amp; AC$3 &amp; "'!A:A"), INDIRECT("'" &amp; AC$3 &amp; "'!B:B")),0)</f>
        <v>16813.43</v>
      </c>
      <c r="AD9" s="157" cm="1">
        <f t="array" aca="1" ref="AD9" ca="1">IFERROR(_xlfn.XLOOKUP($A9, INDIRECT("'" &amp; AD$3 &amp; "'!A:A"), INDIRECT("'" &amp; AD$3 &amp; "'!B:B")),0)</f>
        <v>18522.05</v>
      </c>
      <c r="AE9" s="157" cm="1">
        <f t="array" aca="1" ref="AE9" ca="1">IFERROR(_xlfn.XLOOKUP($A9, INDIRECT("'" &amp; AE$3 &amp; "'!A:A"), INDIRECT("'" &amp; AE$3 &amp; "'!B:B")),0)</f>
        <v>14992.64</v>
      </c>
      <c r="AF9" s="157" cm="1">
        <f t="array" aca="1" ref="AF9" ca="1">IFERROR(_xlfn.XLOOKUP($A9, INDIRECT("'" &amp; AF$3 &amp; "'!A:A"), INDIRECT("'" &amp; AF$3 &amp; "'!B:B")),0)</f>
        <v>16348.51</v>
      </c>
      <c r="AG9" s="157" cm="1">
        <f t="array" aca="1" ref="AG9" ca="1">IFERROR(_xlfn.XLOOKUP($A9, INDIRECT("'" &amp; AG$3 &amp; "'!A:A"), INDIRECT("'" &amp; AG$3 &amp; "'!B:B")),0)</f>
        <v>14421.58</v>
      </c>
      <c r="AH9" s="157" cm="1">
        <f t="array" aca="1" ref="AH9" ca="1">IFERROR(_xlfn.XLOOKUP($A9, INDIRECT("'" &amp; AH$3 &amp; "'!A:A"), INDIRECT("'" &amp; AH$3 &amp; "'!B:B")),0)</f>
        <v>16829.52</v>
      </c>
      <c r="AI9" s="157" cm="1">
        <f t="array" aca="1" ref="AI9" ca="1">IFERROR(_xlfn.XLOOKUP($A9, INDIRECT("'" &amp; AI$3 &amp; "'!A:A"), INDIRECT("'" &amp; AI$3 &amp; "'!B:B")),0)</f>
        <v>17437.45</v>
      </c>
      <c r="AJ9" s="157">
        <f ca="1">C9+AM1</f>
        <v>13837.34</v>
      </c>
      <c r="AK9" s="156" cm="1">
        <f t="array" aca="1" ref="AK9" ca="1">IFERROR(_xlfn.XLOOKUP($A9, INDIRECT("'" &amp; AK$3 &amp; "'!A:A"), INDIRECT("'" &amp; AK$3 &amp; "'!B:B")),0)</f>
        <v>17978.669999999998</v>
      </c>
      <c r="AL9" s="155" cm="1">
        <f t="array" aca="1" ref="AL9" ca="1">IFERROR(_xlfn.XLOOKUP($A9, INDIRECT("'" &amp; AL$3 &amp; "'!A:A"), INDIRECT("'" &amp; AL$3 &amp; "'!B:B")),0)</f>
        <v>13058.378940000001</v>
      </c>
      <c r="AM9" s="157" cm="1">
        <f t="array" aca="1" ref="AM9" ca="1">IFERROR(_xlfn.XLOOKUP($A9, INDIRECT("'" &amp; AM$3 &amp; "'!A:A"), INDIRECT("'" &amp; AM$3 &amp; "'!B:B")),0)</f>
        <v>20960.028999999999</v>
      </c>
    </row>
    <row r="10" spans="1:39" x14ac:dyDescent="0.25">
      <c r="A10" s="225" t="s">
        <v>156</v>
      </c>
      <c r="B10" s="157" cm="1">
        <f t="array" aca="1" ref="B10" ca="1">IFERROR(_xlfn.XLOOKUP($A10, INDIRECT("'" &amp; B$3 &amp; "'!A:A"), INDIRECT("'" &amp; B$3 &amp; "'!B:B")),0)</f>
        <v>11814</v>
      </c>
      <c r="C10" s="157" cm="1">
        <f t="array" aca="1" ref="C10" ca="1">IFERROR(_xlfn.XLOOKUP($A10, INDIRECT("'" &amp; C$3 &amp; "'!A:A"), INDIRECT("'" &amp; C$3 &amp; "'!B:B")),0)</f>
        <v>9953.4</v>
      </c>
      <c r="D10" s="157" cm="1">
        <f t="array" aca="1" ref="D10" ca="1">IFERROR(_xlfn.XLOOKUP($A10, INDIRECT("'" &amp; D$3 &amp; "'!A:A"), INDIRECT("'" &amp; D$3 &amp; "'!B:B")),0)</f>
        <v>7399.7999999999993</v>
      </c>
      <c r="E10" s="157" cm="1">
        <f t="array" aca="1" ref="E10" ca="1">IFERROR(_xlfn.XLOOKUP($A10, INDIRECT("'" &amp; E$3 &amp; "'!A:A"), INDIRECT("'" &amp; E$3 &amp; "'!B:B")),0)</f>
        <v>9775</v>
      </c>
      <c r="F10" s="157" cm="1">
        <f t="array" aca="1" ref="F10" ca="1">IFERROR(_xlfn.XLOOKUP($A10, INDIRECT("'" &amp; F$3 &amp; "'!A:A"), INDIRECT("'" &amp; F$3 &amp; "'!B:B")),0)</f>
        <v>11965.2</v>
      </c>
      <c r="G10" s="157" cm="1">
        <f t="array" aca="1" ref="G10" ca="1">IFERROR(_xlfn.XLOOKUP($A10, INDIRECT("'" &amp; G$3 &amp; "'!A:A"), INDIRECT("'" &amp; G$3 &amp; "'!B:B")),0)</f>
        <v>8890.8000000000011</v>
      </c>
      <c r="H10" s="157" cm="1">
        <f t="array" aca="1" ref="H10" ca="1">IFERROR(_xlfn.XLOOKUP($A10, INDIRECT("'" &amp; H$3 &amp; "'!A:A"), INDIRECT("'" &amp; H$3 &amp; "'!B:B")),0)</f>
        <v>9630</v>
      </c>
      <c r="I10" s="157" cm="1">
        <f t="array" aca="1" ref="I10" ca="1">IFERROR(_xlfn.XLOOKUP($A10, INDIRECT("'" &amp; I$3 &amp; "'!A:A"), INDIRECT("'" &amp; I$3 &amp; "'!B:B")),0)</f>
        <v>10848</v>
      </c>
      <c r="J10" s="157" cm="1">
        <f t="array" aca="1" ref="J10" ca="1">IFERROR(_xlfn.XLOOKUP($A10, INDIRECT("'" &amp; J$3 &amp; "'!A:A"), INDIRECT("'" &amp; J$3 &amp; "'!B:B")),0)</f>
        <v>9714</v>
      </c>
      <c r="K10" s="157" cm="1">
        <f t="array" aca="1" ref="K10" ca="1">IFERROR(_xlfn.XLOOKUP($A10, INDIRECT("'" &amp; K$3 &amp; "'!A:A"), INDIRECT("'" &amp; K$3 &amp; "'!B:B")),0)</f>
        <v>8378.4</v>
      </c>
      <c r="L10" s="157" cm="1">
        <f t="array" aca="1" ref="L10" ca="1">IFERROR(_xlfn.XLOOKUP($A10, INDIRECT("'" &amp; L$3 &amp; "'!A:A"), INDIRECT("'" &amp; L$3 &amp; "'!B:B")),0)</f>
        <v>8722.8000000000011</v>
      </c>
      <c r="M10" s="157" cm="1">
        <f t="array" aca="1" ref="M10" ca="1">IFERROR(_xlfn.XLOOKUP($A10, INDIRECT("'" &amp; M$3 &amp; "'!A:A"), INDIRECT("'" &amp; M$3 &amp; "'!B:B")),0)</f>
        <v>14014.8</v>
      </c>
      <c r="N10" s="157" cm="1">
        <f t="array" aca="1" ref="N10" ca="1">IFERROR(_xlfn.XLOOKUP($A10, INDIRECT("'" &amp; N$3 &amp; "'!A:A"), INDIRECT("'" &amp; N$3 &amp; "'!B:B")),0)</f>
        <v>9646.8000000000011</v>
      </c>
      <c r="O10" s="157" cm="1">
        <f t="array" aca="1" ref="O10" ca="1">IFERROR(_xlfn.XLOOKUP($A10, INDIRECT("'" &amp; O$3 &amp; "'!A:A"), INDIRECT("'" &amp; O$3 &amp; "'!B:B")),0)</f>
        <v>9272</v>
      </c>
      <c r="P10" s="157" cm="1">
        <f t="array" aca="1" ref="P10" ca="1">IFERROR(_xlfn.XLOOKUP($A10, INDIRECT("'" &amp; P$3 &amp; "'!A:A"), INDIRECT("'" &amp; P$3 &amp; "'!B:B")),0)</f>
        <v>6936</v>
      </c>
      <c r="Q10" s="157" cm="1">
        <f t="array" aca="1" ref="Q10" ca="1">IFERROR(_xlfn.XLOOKUP($A10, INDIRECT("'" &amp; Q$3 &amp; "'!A:A"), INDIRECT("'" &amp; Q$3 &amp; "'!B:B")),0)</f>
        <v>10877.4</v>
      </c>
      <c r="R10" s="157" cm="1">
        <f t="array" aca="1" ref="R10" ca="1">IFERROR(_xlfn.XLOOKUP($A10, INDIRECT("'" &amp; R$3 &amp; "'!A:A"), INDIRECT("'" &amp; R$3 &amp; "'!B:B")),0)</f>
        <v>10244.799999999999</v>
      </c>
      <c r="S10" s="157" cm="1">
        <f t="array" aca="1" ref="S10" ca="1">IFERROR(_xlfn.XLOOKUP($A10, INDIRECT("'" &amp; S$3 &amp; "'!A:A"), INDIRECT("'" &amp; S$3 &amp; "'!B:B")),0)</f>
        <v>11125.6</v>
      </c>
      <c r="T10" s="157" cm="1">
        <f t="array" aca="1" ref="T10" ca="1">IFERROR(_xlfn.XLOOKUP($A10, INDIRECT("'" &amp; T$3 &amp; "'!A:A"), INDIRECT("'" &amp; T$3 &amp; "'!B:B")),0)</f>
        <v>12164</v>
      </c>
      <c r="U10" s="157" cm="1">
        <f t="array" aca="1" ref="U10" ca="1">IFERROR(_xlfn.XLOOKUP($A10, INDIRECT("'" &amp; U$3 &amp; "'!A:A"), INDIRECT("'" &amp; U$3 &amp; "'!B:B")),0)</f>
        <v>8399.64</v>
      </c>
      <c r="V10" s="157" cm="1">
        <f t="array" aca="1" ref="V10" ca="1">IFERROR(_xlfn.XLOOKUP($A10, INDIRECT("'" &amp; V$3 &amp; "'!A:A"), INDIRECT("'" &amp; V$3 &amp; "'!B:B")),0)</f>
        <v>10275.76</v>
      </c>
      <c r="W10" s="157" cm="1">
        <f t="array" aca="1" ref="W10" ca="1">IFERROR(_xlfn.XLOOKUP($A10, INDIRECT("'" &amp; W$3 &amp; "'!A:A"), INDIRECT("'" &amp; W$3 &amp; "'!B:B")),0)</f>
        <v>16075.699999999999</v>
      </c>
      <c r="X10" s="157" cm="1">
        <f t="array" aca="1" ref="X10" ca="1">IFERROR(_xlfn.XLOOKUP($A10, INDIRECT("'" &amp; X$3 &amp; "'!A:A"), INDIRECT("'" &amp; X$3 &amp; "'!B:B")),0)</f>
        <v>11704</v>
      </c>
      <c r="Y10" s="157" cm="1">
        <f t="array" aca="1" ref="Y10" ca="1">IFERROR(_xlfn.XLOOKUP($A10, INDIRECT("'" &amp; Y$3 &amp; "'!A:A"), INDIRECT("'" &amp; Y$3 &amp; "'!B:B")),0)</f>
        <v>12164</v>
      </c>
      <c r="Z10" s="157" cm="1">
        <f t="array" aca="1" ref="Z10" ca="1">IFERROR(_xlfn.XLOOKUP($A10, INDIRECT("'" &amp; Z$3 &amp; "'!A:A"), INDIRECT("'" &amp; Z$3 &amp; "'!B:B")),0)</f>
        <v>13544.599999999999</v>
      </c>
      <c r="AA10" s="157" cm="1">
        <f t="array" aca="1" ref="AA10" ca="1">IFERROR(_xlfn.XLOOKUP($A10, INDIRECT("'" &amp; AA$3 &amp; "'!A:A"), INDIRECT("'" &amp; AA$3 &amp; "'!B:B")),0)</f>
        <v>12196.11</v>
      </c>
      <c r="AB10" s="157" cm="1">
        <f t="array" aca="1" ref="AB10" ca="1">IFERROR(_xlfn.XLOOKUP($A10, INDIRECT("'" &amp; AB$3 &amp; "'!A:A"), INDIRECT("'" &amp; AB$3 &amp; "'!B:B")),0)</f>
        <v>16850.16</v>
      </c>
      <c r="AC10" s="157" cm="1">
        <f t="array" aca="1" ref="AC10" ca="1">IFERROR(_xlfn.XLOOKUP($A10, INDIRECT("'" &amp; AC$3 &amp; "'!A:A"), INDIRECT("'" &amp; AC$3 &amp; "'!B:B")),0)</f>
        <v>16065.46</v>
      </c>
      <c r="AD10" s="157" cm="1">
        <f t="array" aca="1" ref="AD10" ca="1">IFERROR(_xlfn.XLOOKUP($A10, INDIRECT("'" &amp; AD$3 &amp; "'!A:A"), INDIRECT("'" &amp; AD$3 &amp; "'!B:B")),0)</f>
        <v>15790</v>
      </c>
      <c r="AE10" s="157" cm="1">
        <f t="array" aca="1" ref="AE10" ca="1">IFERROR(_xlfn.XLOOKUP($A10, INDIRECT("'" &amp; AE$3 &amp; "'!A:A"), INDIRECT("'" &amp; AE$3 &amp; "'!B:B")),0)</f>
        <v>12057.800000000001</v>
      </c>
      <c r="AF10" s="157" cm="1">
        <f t="array" aca="1" ref="AF10" ca="1">IFERROR(_xlfn.XLOOKUP($A10, INDIRECT("'" &amp; AF$3 &amp; "'!A:A"), INDIRECT("'" &amp; AF$3 &amp; "'!B:B")),0)</f>
        <v>13539.9</v>
      </c>
      <c r="AG10" s="157" cm="1">
        <f t="array" aca="1" ref="AG10" ca="1">IFERROR(_xlfn.XLOOKUP($A10, INDIRECT("'" &amp; AG$3 &amp; "'!A:A"), INDIRECT("'" &amp; AG$3 &amp; "'!B:B")),0)</f>
        <v>14974.2</v>
      </c>
      <c r="AH10" s="157" cm="1">
        <f t="array" aca="1" ref="AH10" ca="1">IFERROR(_xlfn.XLOOKUP($A10, INDIRECT("'" &amp; AH$3 &amp; "'!A:A"), INDIRECT("'" &amp; AH$3 &amp; "'!B:B")),0)</f>
        <v>11939.8</v>
      </c>
      <c r="AI10" s="157" cm="1">
        <f t="array" aca="1" ref="AI10" ca="1">IFERROR(_xlfn.XLOOKUP($A10, INDIRECT("'" &amp; AI$3 &amp; "'!A:A"), INDIRECT("'" &amp; AI$3 &amp; "'!B:B")),0)</f>
        <v>14443.8</v>
      </c>
      <c r="AJ10" s="157">
        <f t="shared" ref="AJ10:AJ19" ca="1" si="0">C10</f>
        <v>9953.4</v>
      </c>
      <c r="AK10" s="156" cm="1">
        <f t="array" aca="1" ref="AK10" ca="1">IFERROR(_xlfn.XLOOKUP($A10, INDIRECT("'" &amp; AK$3 &amp; "'!A:A"), INDIRECT("'" &amp; AK$3 &amp; "'!B:B")),0)</f>
        <v>13664</v>
      </c>
      <c r="AL10" s="155" cm="1">
        <f t="array" aca="1" ref="AL10" ca="1">IFERROR(_xlfn.XLOOKUP($A10, INDIRECT("'" &amp; AL$3 &amp; "'!A:A"), INDIRECT("'" &amp; AL$3 &amp; "'!B:B")),0)</f>
        <v>11896.044</v>
      </c>
      <c r="AM10" s="157" cm="1">
        <f t="array" aca="1" ref="AM10" ca="1">IFERROR(_xlfn.XLOOKUP($A10, INDIRECT("'" &amp; AM$3 &amp; "'!A:A"), INDIRECT("'" &amp; AM$3 &amp; "'!B:B")),0)</f>
        <v>19456</v>
      </c>
    </row>
    <row r="11" spans="1:39" x14ac:dyDescent="0.25">
      <c r="A11" s="225" t="s">
        <v>157</v>
      </c>
      <c r="B11" s="157" cm="1">
        <f t="array" aca="1" ref="B11" ca="1">IFERROR(_xlfn.XLOOKUP($A11, INDIRECT("'" &amp; B$3 &amp; "'!A:A"), INDIRECT("'" &amp; B$3 &amp; "'!B:B")),0)</f>
        <v>3949.41</v>
      </c>
      <c r="C11" s="157" cm="1">
        <f t="array" aca="1" ref="C11" ca="1">IFERROR(_xlfn.XLOOKUP($A11, INDIRECT("'" &amp; C$3 &amp; "'!A:A"), INDIRECT("'" &amp; C$3 &amp; "'!B:B")),0)</f>
        <v>5510.51</v>
      </c>
      <c r="D11" s="157" cm="1">
        <f t="array" aca="1" ref="D11" ca="1">IFERROR(_xlfn.XLOOKUP($A11, INDIRECT("'" &amp; D$3 &amp; "'!A:A"), INDIRECT("'" &amp; D$3 &amp; "'!B:B")),0)</f>
        <v>2647.58</v>
      </c>
      <c r="E11" s="157" cm="1">
        <f t="array" aca="1" ref="E11" ca="1">IFERROR(_xlfn.XLOOKUP($A11, INDIRECT("'" &amp; E$3 &amp; "'!A:A"), INDIRECT("'" &amp; E$3 &amp; "'!B:B")),0)</f>
        <v>6182.05</v>
      </c>
      <c r="F11" s="157" cm="1">
        <f t="array" aca="1" ref="F11" ca="1">IFERROR(_xlfn.XLOOKUP($A11, INDIRECT("'" &amp; F$3 &amp; "'!A:A"), INDIRECT("'" &amp; F$3 &amp; "'!B:B")),0)</f>
        <v>4975.33</v>
      </c>
      <c r="G11" s="157" cm="1">
        <f t="array" aca="1" ref="G11" ca="1">IFERROR(_xlfn.XLOOKUP($A11, INDIRECT("'" &amp; G$3 &amp; "'!A:A"), INDIRECT("'" &amp; G$3 &amp; "'!B:B")),0)</f>
        <v>3970.4</v>
      </c>
      <c r="H11" s="157" cm="1">
        <f t="array" aca="1" ref="H11" ca="1">IFERROR(_xlfn.XLOOKUP($A11, INDIRECT("'" &amp; H$3 &amp; "'!A:A"), INDIRECT("'" &amp; H$3 &amp; "'!B:B")),0)</f>
        <v>5271.22</v>
      </c>
      <c r="I11" s="157" cm="1">
        <f t="array" aca="1" ref="I11" ca="1">IFERROR(_xlfn.XLOOKUP($A11, INDIRECT("'" &amp; I$3 &amp; "'!A:A"), INDIRECT("'" &amp; I$3 &amp; "'!B:B")),0)</f>
        <v>5587.26</v>
      </c>
      <c r="J11" s="157" cm="1">
        <f t="array" aca="1" ref="J11" ca="1">IFERROR(_xlfn.XLOOKUP($A11, INDIRECT("'" &amp; J$3 &amp; "'!A:A"), INDIRECT("'" &amp; J$3 &amp; "'!B:B")),0)</f>
        <v>5738.21</v>
      </c>
      <c r="K11" s="157" cm="1">
        <f t="array" aca="1" ref="K11" ca="1">IFERROR(_xlfn.XLOOKUP($A11, INDIRECT("'" &amp; K$3 &amp; "'!A:A"), INDIRECT("'" &amp; K$3 &amp; "'!B:B")),0)</f>
        <v>3556.41</v>
      </c>
      <c r="L11" s="157" cm="1">
        <f t="array" aca="1" ref="L11" ca="1">IFERROR(_xlfn.XLOOKUP($A11, INDIRECT("'" &amp; L$3 &amp; "'!A:A"), INDIRECT("'" &amp; L$3 &amp; "'!B:B")),0)</f>
        <v>5616</v>
      </c>
      <c r="M11" s="157" cm="1">
        <f t="array" aca="1" ref="M11" ca="1">IFERROR(_xlfn.XLOOKUP($A11, INDIRECT("'" &amp; M$3 &amp; "'!A:A"), INDIRECT("'" &amp; M$3 &amp; "'!B:B")),0)</f>
        <v>5532.68</v>
      </c>
      <c r="N11" s="157" cm="1">
        <f t="array" aca="1" ref="N11" ca="1">IFERROR(_xlfn.XLOOKUP($A11, INDIRECT("'" &amp; N$3 &amp; "'!A:A"), INDIRECT("'" &amp; N$3 &amp; "'!B:B")),0)</f>
        <v>5428</v>
      </c>
      <c r="O11" s="157" cm="1">
        <f t="array" aca="1" ref="O11" ca="1">IFERROR(_xlfn.XLOOKUP($A11, INDIRECT("'" &amp; O$3 &amp; "'!A:A"), INDIRECT("'" &amp; O$3 &amp; "'!B:B")),0)</f>
        <v>0</v>
      </c>
      <c r="P11" s="157" cm="1">
        <f t="array" aca="1" ref="P11" ca="1">IFERROR(_xlfn.XLOOKUP($A11, INDIRECT("'" &amp; P$3 &amp; "'!A:A"), INDIRECT("'" &amp; P$3 &amp; "'!B:B")),0)</f>
        <v>0</v>
      </c>
      <c r="Q11" s="157" cm="1">
        <f t="array" aca="1" ref="Q11" ca="1">IFERROR(_xlfn.XLOOKUP($A11, INDIRECT("'" &amp; Q$3 &amp; "'!A:A"), INDIRECT("'" &amp; Q$3 &amp; "'!B:B")),0)</f>
        <v>5465.46</v>
      </c>
      <c r="R11" s="157" cm="1">
        <f t="array" aca="1" ref="R11" ca="1">IFERROR(_xlfn.XLOOKUP($A11, INDIRECT("'" &amp; R$3 &amp; "'!A:A"), INDIRECT("'" &amp; R$3 &amp; "'!B:B")),0)</f>
        <v>3213.92</v>
      </c>
      <c r="S11" s="157" cm="1">
        <f t="array" aca="1" ref="S11" ca="1">IFERROR(_xlfn.XLOOKUP($A11, INDIRECT("'" &amp; S$3 &amp; "'!A:A"), INDIRECT("'" &amp; S$3 &amp; "'!B:B")),0)</f>
        <v>3198.2</v>
      </c>
      <c r="T11" s="157" cm="1">
        <f t="array" aca="1" ref="T11" ca="1">IFERROR(_xlfn.XLOOKUP($A11, INDIRECT("'" &amp; T$3 &amp; "'!A:A"), INDIRECT("'" &amp; T$3 &amp; "'!B:B")),0)</f>
        <v>3919.99</v>
      </c>
      <c r="U11" s="157" cm="1">
        <f t="array" aca="1" ref="U11" ca="1">IFERROR(_xlfn.XLOOKUP($A11, INDIRECT("'" &amp; U$3 &amp; "'!A:A"), INDIRECT("'" &amp; U$3 &amp; "'!B:B")),0)</f>
        <v>4152.7700000000004</v>
      </c>
      <c r="V11" s="157" cm="1">
        <f t="array" aca="1" ref="V11" ca="1">IFERROR(_xlfn.XLOOKUP($A11, INDIRECT("'" &amp; V$3 &amp; "'!A:A"), INDIRECT("'" &amp; V$3 &amp; "'!B:B")),0)</f>
        <v>3076.33</v>
      </c>
      <c r="W11" s="157" cm="1">
        <f t="array" aca="1" ref="W11" ca="1">IFERROR(_xlfn.XLOOKUP($A11, INDIRECT("'" &amp; W$3 &amp; "'!A:A"), INDIRECT("'" &amp; W$3 &amp; "'!B:B")),0)</f>
        <v>4531.3100000000004</v>
      </c>
      <c r="X11" s="157" cm="1">
        <f t="array" aca="1" ref="X11" ca="1">IFERROR(_xlfn.XLOOKUP($A11, INDIRECT("'" &amp; X$3 &amp; "'!A:A"), INDIRECT("'" &amp; X$3 &amp; "'!B:B")),0)</f>
        <v>2774.58</v>
      </c>
      <c r="Y11" s="157" cm="1">
        <f t="array" aca="1" ref="Y11" ca="1">IFERROR(_xlfn.XLOOKUP($A11, INDIRECT("'" &amp; Y$3 &amp; "'!A:A"), INDIRECT("'" &amp; Y$3 &amp; "'!B:B")),0)</f>
        <v>3919.99</v>
      </c>
      <c r="Z11" s="157" cm="1">
        <f t="array" aca="1" ref="Z11" ca="1">IFERROR(_xlfn.XLOOKUP($A11, INDIRECT("'" &amp; Z$3 &amp; "'!A:A"), INDIRECT("'" &amp; Z$3 &amp; "'!B:B")),0)</f>
        <v>3957.53</v>
      </c>
      <c r="AA11" s="157" cm="1">
        <f t="array" aca="1" ref="AA11" ca="1">IFERROR(_xlfn.XLOOKUP($A11, INDIRECT("'" &amp; AA$3 &amp; "'!A:A"), INDIRECT("'" &amp; AA$3 &amp; "'!B:B")),0)</f>
        <v>3539.25</v>
      </c>
      <c r="AB11" s="157" cm="1">
        <f t="array" aca="1" ref="AB11" ca="1">IFERROR(_xlfn.XLOOKUP($A11, INDIRECT("'" &amp; AB$3 &amp; "'!A:A"), INDIRECT("'" &amp; AB$3 &amp; "'!B:B")),0)</f>
        <v>6944.4400000000005</v>
      </c>
      <c r="AC11" s="157" cm="1">
        <f t="array" aca="1" ref="AC11" ca="1">IFERROR(_xlfn.XLOOKUP($A11, INDIRECT("'" &amp; AC$3 &amp; "'!A:A"), INDIRECT("'" &amp; AC$3 &amp; "'!B:B")),0)</f>
        <v>6815.74</v>
      </c>
      <c r="AD11" s="157" cm="1">
        <f t="array" aca="1" ref="AD11" ca="1">IFERROR(_xlfn.XLOOKUP($A11, INDIRECT("'" &amp; AD$3 &amp; "'!A:A"), INDIRECT("'" &amp; AD$3 &amp; "'!B:B")),0)</f>
        <v>5675.14</v>
      </c>
      <c r="AE11" s="157" cm="1">
        <f t="array" aca="1" ref="AE11" ca="1">IFERROR(_xlfn.XLOOKUP($A11, INDIRECT("'" &amp; AE$3 &amp; "'!A:A"), INDIRECT("'" &amp; AE$3 &amp; "'!B:B")),0)</f>
        <v>4241.2</v>
      </c>
      <c r="AF11" s="157" cm="1">
        <f t="array" aca="1" ref="AF11" ca="1">IFERROR(_xlfn.XLOOKUP($A11, INDIRECT("'" &amp; AF$3 &amp; "'!A:A"), INDIRECT("'" &amp; AF$3 &amp; "'!B:B")),0)</f>
        <v>3516.08</v>
      </c>
      <c r="AG11" s="157" cm="1">
        <f t="array" aca="1" ref="AG11" ca="1">IFERROR(_xlfn.XLOOKUP($A11, INDIRECT("'" &amp; AG$3 &amp; "'!A:A"), INDIRECT("'" &amp; AG$3 &amp; "'!B:B")),0)</f>
        <v>5344.62</v>
      </c>
      <c r="AH11" s="157" cm="1">
        <f t="array" aca="1" ref="AH11" ca="1">IFERROR(_xlfn.XLOOKUP($A11, INDIRECT("'" &amp; AH$3 &amp; "'!A:A"), INDIRECT("'" &amp; AH$3 &amp; "'!B:B")),0)</f>
        <v>2848.33</v>
      </c>
      <c r="AI11" s="157" cm="1">
        <f t="array" aca="1" ref="AI11" ca="1">IFERROR(_xlfn.XLOOKUP($A11, INDIRECT("'" &amp; AI$3 &amp; "'!A:A"), INDIRECT("'" &amp; AI$3 &amp; "'!B:B")),0)</f>
        <v>5590.86</v>
      </c>
      <c r="AJ11" s="157">
        <f t="shared" ca="1" si="0"/>
        <v>5510.51</v>
      </c>
      <c r="AK11" s="156" cm="1">
        <f t="array" aca="1" ref="AK11" ca="1">IFERROR(_xlfn.XLOOKUP($A11, INDIRECT("'" &amp; AK$3 &amp; "'!A:A"), INDIRECT("'" &amp; AK$3 &amp; "'!B:B")),0)</f>
        <v>0</v>
      </c>
      <c r="AL11" s="155" cm="1">
        <f t="array" aca="1" ref="AL11" ca="1">IFERROR(_xlfn.XLOOKUP($A11, INDIRECT("'" &amp; AL$3 &amp; "'!A:A"), INDIRECT("'" &amp; AL$3 &amp; "'!B:B")),0)</f>
        <v>0</v>
      </c>
      <c r="AM11" s="157" cm="1">
        <f t="array" aca="1" ref="AM11" ca="1">IFERROR(_xlfn.XLOOKUP($A11, INDIRECT("'" &amp; AM$3 &amp; "'!A:A"), INDIRECT("'" &amp; AM$3 &amp; "'!B:B")),0)</f>
        <v>0</v>
      </c>
    </row>
    <row r="12" spans="1:39" x14ac:dyDescent="0.25">
      <c r="A12" s="225" t="s">
        <v>158</v>
      </c>
      <c r="B12" s="157" cm="1">
        <f t="array" aca="1" ref="B12" ca="1">IFERROR(_xlfn.XLOOKUP($A12, INDIRECT("'" &amp; B$3 &amp; "'!A:A"), INDIRECT("'" &amp; B$3 &amp; "'!B:B")),0)</f>
        <v>580.59</v>
      </c>
      <c r="C12" s="157" cm="1">
        <f t="array" aca="1" ref="C12" ca="1">IFERROR(_xlfn.XLOOKUP($A12, INDIRECT("'" &amp; C$3 &amp; "'!A:A"), INDIRECT("'" &amp; C$3 &amp; "'!B:B")),0)</f>
        <v>580.59</v>
      </c>
      <c r="D12" s="157" cm="1">
        <f t="array" aca="1" ref="D12" ca="1">IFERROR(_xlfn.XLOOKUP($A12, INDIRECT("'" &amp; D$3 &amp; "'!A:A"), INDIRECT("'" &amp; D$3 &amp; "'!B:B")),0)</f>
        <v>580.59</v>
      </c>
      <c r="E12" s="157" cm="1">
        <f t="array" aca="1" ref="E12" ca="1">IFERROR(_xlfn.XLOOKUP($A12, INDIRECT("'" &amp; E$3 &amp; "'!A:A"), INDIRECT("'" &amp; E$3 &amp; "'!B:B")),0)</f>
        <v>1161.17</v>
      </c>
      <c r="F12" s="157" cm="1">
        <f t="array" aca="1" ref="F12" ca="1">IFERROR(_xlfn.XLOOKUP($A12, INDIRECT("'" &amp; F$3 &amp; "'!A:A"), INDIRECT("'" &amp; F$3 &amp; "'!B:B")),0)</f>
        <v>580.59</v>
      </c>
      <c r="G12" s="157" cm="1">
        <f t="array" aca="1" ref="G12" ca="1">IFERROR(_xlfn.XLOOKUP($A12, INDIRECT("'" &amp; G$3 &amp; "'!A:A"), INDIRECT("'" &amp; G$3 &amp; "'!B:B")),0)</f>
        <v>580.59</v>
      </c>
      <c r="H12" s="157" cm="1">
        <f t="array" aca="1" ref="H12" ca="1">IFERROR(_xlfn.XLOOKUP($A12, INDIRECT("'" &amp; H$3 &amp; "'!A:A"), INDIRECT("'" &amp; H$3 &amp; "'!B:B")),0)</f>
        <v>580.59</v>
      </c>
      <c r="I12" s="157" cm="1">
        <f t="array" aca="1" ref="I12" ca="1">IFERROR(_xlfn.XLOOKUP($A12, INDIRECT("'" &amp; I$3 &amp; "'!A:A"), INDIRECT("'" &amp; I$3 &amp; "'!B:B")),0)</f>
        <v>580.59</v>
      </c>
      <c r="J12" s="157" cm="1">
        <f t="array" aca="1" ref="J12" ca="1">IFERROR(_xlfn.XLOOKUP($A12, INDIRECT("'" &amp; J$3 &amp; "'!A:A"), INDIRECT("'" &amp; J$3 &amp; "'!B:B")),0)</f>
        <v>580.59</v>
      </c>
      <c r="K12" s="157" cm="1">
        <f t="array" aca="1" ref="K12" ca="1">IFERROR(_xlfn.XLOOKUP($A12, INDIRECT("'" &amp; K$3 &amp; "'!A:A"), INDIRECT("'" &amp; K$3 &amp; "'!B:B")),0)</f>
        <v>580.59</v>
      </c>
      <c r="L12" s="157" cm="1">
        <f t="array" aca="1" ref="L12" ca="1">IFERROR(_xlfn.XLOOKUP($A12, INDIRECT("'" &amp; L$3 &amp; "'!A:A"), INDIRECT("'" &amp; L$3 &amp; "'!B:B")),0)</f>
        <v>1161.17</v>
      </c>
      <c r="M12" s="157" cm="1">
        <f t="array" aca="1" ref="M12" ca="1">IFERROR(_xlfn.XLOOKUP($A12, INDIRECT("'" &amp; M$3 &amp; "'!A:A"), INDIRECT("'" &amp; M$3 &amp; "'!B:B")),0)</f>
        <v>580.59</v>
      </c>
      <c r="N12" s="157" cm="1">
        <f t="array" aca="1" ref="N12" ca="1">IFERROR(_xlfn.XLOOKUP($A12, INDIRECT("'" &amp; N$3 &amp; "'!A:A"), INDIRECT("'" &amp; N$3 &amp; "'!B:B")),0)</f>
        <v>580.59</v>
      </c>
      <c r="O12" s="157" cm="1">
        <f t="array" aca="1" ref="O12" ca="1">IFERROR(_xlfn.XLOOKUP($A12, INDIRECT("'" &amp; O$3 &amp; "'!A:A"), INDIRECT("'" &amp; O$3 &amp; "'!B:B")),0)</f>
        <v>0</v>
      </c>
      <c r="P12" s="157" cm="1">
        <f t="array" aca="1" ref="P12" ca="1">IFERROR(_xlfn.XLOOKUP($A12, INDIRECT("'" &amp; P$3 &amp; "'!A:A"), INDIRECT("'" &amp; P$3 &amp; "'!B:B")),0)</f>
        <v>0</v>
      </c>
      <c r="Q12" s="157" cm="1">
        <f t="array" aca="1" ref="Q12" ca="1">IFERROR(_xlfn.XLOOKUP($A12, INDIRECT("'" &amp; Q$3 &amp; "'!A:A"), INDIRECT("'" &amp; Q$3 &amp; "'!B:B")),0)</f>
        <v>580.59</v>
      </c>
      <c r="R12" s="157" cm="1">
        <f t="array" aca="1" ref="R12" ca="1">IFERROR(_xlfn.XLOOKUP($A12, INDIRECT("'" &amp; R$3 &amp; "'!A:A"), INDIRECT("'" &amp; R$3 &amp; "'!B:B")),0)</f>
        <v>580.59</v>
      </c>
      <c r="S12" s="157" cm="1">
        <f t="array" aca="1" ref="S12" ca="1">IFERROR(_xlfn.XLOOKUP($A12, INDIRECT("'" &amp; S$3 &amp; "'!A:A"), INDIRECT("'" &amp; S$3 &amp; "'!B:B")),0)</f>
        <v>580.59</v>
      </c>
      <c r="T12" s="157" cm="1">
        <f t="array" aca="1" ref="T12" ca="1">IFERROR(_xlfn.XLOOKUP($A12, INDIRECT("'" &amp; T$3 &amp; "'!A:A"), INDIRECT("'" &amp; T$3 &amp; "'!B:B")),0)</f>
        <v>580.59</v>
      </c>
      <c r="U12" s="157" cm="1">
        <f t="array" aca="1" ref="U12" ca="1">IFERROR(_xlfn.XLOOKUP($A12, INDIRECT("'" &amp; U$3 &amp; "'!A:A"), INDIRECT("'" &amp; U$3 &amp; "'!B:B")),0)</f>
        <v>580.59</v>
      </c>
      <c r="V12" s="157" cm="1">
        <f t="array" aca="1" ref="V12" ca="1">IFERROR(_xlfn.XLOOKUP($A12, INDIRECT("'" &amp; V$3 &amp; "'!A:A"), INDIRECT("'" &amp; V$3 &amp; "'!B:B")),0)</f>
        <v>580.59</v>
      </c>
      <c r="W12" s="157" cm="1">
        <f t="array" aca="1" ref="W12" ca="1">IFERROR(_xlfn.XLOOKUP($A12, INDIRECT("'" &amp; W$3 &amp; "'!A:A"), INDIRECT("'" &amp; W$3 &amp; "'!B:B")),0)</f>
        <v>580.59</v>
      </c>
      <c r="X12" s="157" cm="1">
        <f t="array" aca="1" ref="X12" ca="1">IFERROR(_xlfn.XLOOKUP($A12, INDIRECT("'" &amp; X$3 &amp; "'!A:A"), INDIRECT("'" &amp; X$3 &amp; "'!B:B")),0)</f>
        <v>580.59</v>
      </c>
      <c r="Y12" s="157" cm="1">
        <f t="array" aca="1" ref="Y12" ca="1">IFERROR(_xlfn.XLOOKUP($A12, INDIRECT("'" &amp; Y$3 &amp; "'!A:A"), INDIRECT("'" &amp; Y$3 &amp; "'!B:B")),0)</f>
        <v>580.59</v>
      </c>
      <c r="Z12" s="157" cm="1">
        <f t="array" aca="1" ref="Z12" ca="1">IFERROR(_xlfn.XLOOKUP($A12, INDIRECT("'" &amp; Z$3 &amp; "'!A:A"), INDIRECT("'" &amp; Z$3 &amp; "'!B:B")),0)</f>
        <v>580.59</v>
      </c>
      <c r="AA12" s="157" cm="1">
        <f t="array" aca="1" ref="AA12" ca="1">IFERROR(_xlfn.XLOOKUP($A12, INDIRECT("'" &amp; AA$3 &amp; "'!A:A"), INDIRECT("'" &amp; AA$3 &amp; "'!B:B")),0)</f>
        <v>580.59</v>
      </c>
      <c r="AB12" s="157" cm="1">
        <f t="array" aca="1" ref="AB12" ca="1">IFERROR(_xlfn.XLOOKUP($A12, INDIRECT("'" &amp; AB$3 &amp; "'!A:A"), INDIRECT("'" &amp; AB$3 &amp; "'!B:B")),0)</f>
        <v>1161.17</v>
      </c>
      <c r="AC12" s="157" cm="1">
        <f t="array" aca="1" ref="AC12" ca="1">IFERROR(_xlfn.XLOOKUP($A12, INDIRECT("'" &amp; AC$3 &amp; "'!A:A"), INDIRECT("'" &amp; AC$3 &amp; "'!B:B")),0)</f>
        <v>1161.17</v>
      </c>
      <c r="AD12" s="157" cm="1">
        <f t="array" aca="1" ref="AD12" ca="1">IFERROR(_xlfn.XLOOKUP($A12, INDIRECT("'" &amp; AD$3 &amp; "'!A:A"), INDIRECT("'" &amp; AD$3 &amp; "'!B:B")),0)</f>
        <v>1161.17</v>
      </c>
      <c r="AE12" s="157" cm="1">
        <f t="array" aca="1" ref="AE12" ca="1">IFERROR(_xlfn.XLOOKUP($A12, INDIRECT("'" &amp; AE$3 &amp; "'!A:A"), INDIRECT("'" &amp; AE$3 &amp; "'!B:B")),0)</f>
        <v>580.59</v>
      </c>
      <c r="AF12" s="157" cm="1">
        <f t="array" aca="1" ref="AF12" ca="1">IFERROR(_xlfn.XLOOKUP($A12, INDIRECT("'" &amp; AF$3 &amp; "'!A:A"), INDIRECT("'" &amp; AF$3 &amp; "'!B:B")),0)</f>
        <v>580.59</v>
      </c>
      <c r="AG12" s="157" cm="1">
        <f t="array" aca="1" ref="AG12" ca="1">IFERROR(_xlfn.XLOOKUP($A12, INDIRECT("'" &amp; AG$3 &amp; "'!A:A"), INDIRECT("'" &amp; AG$3 &amp; "'!B:B")),0)</f>
        <v>580.59</v>
      </c>
      <c r="AH12" s="157" cm="1">
        <f t="array" aca="1" ref="AH12" ca="1">IFERROR(_xlfn.XLOOKUP($A12, INDIRECT("'" &amp; AH$3 &amp; "'!A:A"), INDIRECT("'" &amp; AH$3 &amp; "'!B:B")),0)</f>
        <v>580.59</v>
      </c>
      <c r="AI12" s="157" cm="1">
        <f t="array" aca="1" ref="AI12" ca="1">IFERROR(_xlfn.XLOOKUP($A12, INDIRECT("'" &amp; AI$3 &amp; "'!A:A"), INDIRECT("'" &amp; AI$3 &amp; "'!B:B")),0)</f>
        <v>1161.17</v>
      </c>
      <c r="AJ12" s="157">
        <f t="shared" ca="1" si="0"/>
        <v>580.59</v>
      </c>
      <c r="AK12" s="156" cm="1">
        <f t="array" aca="1" ref="AK12" ca="1">IFERROR(_xlfn.XLOOKUP($A12, INDIRECT("'" &amp; AK$3 &amp; "'!A:A"), INDIRECT("'" &amp; AK$3 &amp; "'!B:B")),0)</f>
        <v>541.34</v>
      </c>
      <c r="AL12" s="155" cm="1">
        <f t="array" aca="1" ref="AL12" ca="1">IFERROR(_xlfn.XLOOKUP($A12, INDIRECT("'" &amp; AL$3 &amp; "'!A:A"), INDIRECT("'" &amp; AL$3 &amp; "'!B:B")),0)</f>
        <v>604.57825361512789</v>
      </c>
      <c r="AM12" s="157" cm="1">
        <f t="array" aca="1" ref="AM12" ca="1">IFERROR(_xlfn.XLOOKUP($A12, INDIRECT("'" &amp; AM$3 &amp; "'!A:A"), INDIRECT("'" &amp; AM$3 &amp; "'!B:B")),0)</f>
        <v>1082.68</v>
      </c>
    </row>
    <row r="13" spans="1:39" x14ac:dyDescent="0.25">
      <c r="A13" s="225" t="s">
        <v>159</v>
      </c>
      <c r="B13" s="157" cm="1">
        <f t="array" aca="1" ref="B13" ca="1">IFERROR(_xlfn.XLOOKUP($A13, INDIRECT("'" &amp; B$3 &amp; "'!A:A"), INDIRECT("'" &amp; B$3 &amp; "'!B:B")),0)</f>
        <v>7573.68</v>
      </c>
      <c r="C13" s="157" cm="1">
        <f t="array" aca="1" ref="C13" ca="1">IFERROR(_xlfn.XLOOKUP($A13, INDIRECT("'" &amp; C$3 &amp; "'!A:A"), INDIRECT("'" &amp; C$3 &amp; "'!B:B")),0)</f>
        <v>5111.54</v>
      </c>
      <c r="D13" s="157" cm="1">
        <f t="array" aca="1" ref="D13" ca="1">IFERROR(_xlfn.XLOOKUP($A13, INDIRECT("'" &amp; D$3 &amp; "'!A:A"), INDIRECT("'" &amp; D$3 &amp; "'!B:B")),0)</f>
        <v>2487.38</v>
      </c>
      <c r="E13" s="157" cm="1">
        <f t="array" aca="1" ref="E13" ca="1">IFERROR(_xlfn.XLOOKUP($A13, INDIRECT("'" &amp; E$3 &amp; "'!A:A"), INDIRECT("'" &amp; E$3 &amp; "'!B:B")),0)</f>
        <v>2268.08</v>
      </c>
      <c r="F13" s="157" cm="1">
        <f t="array" aca="1" ref="F13" ca="1">IFERROR(_xlfn.XLOOKUP($A13, INDIRECT("'" &amp; F$3 &amp; "'!A:A"), INDIRECT("'" &amp; F$3 &amp; "'!B:B")),0)</f>
        <v>5402.18</v>
      </c>
      <c r="G13" s="157" cm="1">
        <f t="array" aca="1" ref="G13" ca="1">IFERROR(_xlfn.XLOOKUP($A13, INDIRECT("'" &amp; G$3 &amp; "'!A:A"), INDIRECT("'" &amp; G$3 &amp; "'!B:B")),0)</f>
        <v>3618.35</v>
      </c>
      <c r="H13" s="157" cm="1">
        <f t="array" aca="1" ref="H13" ca="1">IFERROR(_xlfn.XLOOKUP($A13, INDIRECT("'" &amp; H$3 &amp; "'!A:A"), INDIRECT("'" &amp; H$3 &amp; "'!B:B")),0)</f>
        <v>4454.8900000000003</v>
      </c>
      <c r="I13" s="157" cm="1">
        <f t="array" aca="1" ref="I13" ca="1">IFERROR(_xlfn.XLOOKUP($A13, INDIRECT("'" &amp; I$3 &amp; "'!A:A"), INDIRECT("'" &amp; I$3 &amp; "'!B:B")),0)</f>
        <v>5406</v>
      </c>
      <c r="J13" s="157" cm="1">
        <f t="array" aca="1" ref="J13" ca="1">IFERROR(_xlfn.XLOOKUP($A13, INDIRECT("'" &amp; J$3 &amp; "'!A:A"), INDIRECT("'" &amp; J$3 &amp; "'!B:B")),0)</f>
        <v>3980.26</v>
      </c>
      <c r="K13" s="157" cm="1">
        <f t="array" aca="1" ref="K13" ca="1">IFERROR(_xlfn.XLOOKUP($A13, INDIRECT("'" &amp; K$3 &amp; "'!A:A"), INDIRECT("'" &amp; K$3 &amp; "'!B:B")),0)</f>
        <v>4722.22</v>
      </c>
      <c r="L13" s="157" cm="1">
        <f t="array" aca="1" ref="L13" ca="1">IFERROR(_xlfn.XLOOKUP($A13, INDIRECT("'" &amp; L$3 &amp; "'!A:A"), INDIRECT("'" &amp; L$3 &amp; "'!B:B")),0)</f>
        <v>3966.85</v>
      </c>
      <c r="M13" s="157" cm="1">
        <f t="array" aca="1" ref="M13" ca="1">IFERROR(_xlfn.XLOOKUP($A13, INDIRECT("'" &amp; M$3 &amp; "'!A:A"), INDIRECT("'" &amp; M$3 &amp; "'!B:B")),0)</f>
        <v>6566.68</v>
      </c>
      <c r="N13" s="157" cm="1">
        <f t="array" aca="1" ref="N13" ca="1">IFERROR(_xlfn.XLOOKUP($A13, INDIRECT("'" &amp; N$3 &amp; "'!A:A"), INDIRECT("'" &amp; N$3 &amp; "'!B:B")),0)</f>
        <v>3670.5</v>
      </c>
      <c r="O13" s="157" cm="1">
        <f t="array" aca="1" ref="O13" ca="1">IFERROR(_xlfn.XLOOKUP($A13, INDIRECT("'" &amp; O$3 &amp; "'!A:A"), INDIRECT("'" &amp; O$3 &amp; "'!B:B")),0)</f>
        <v>8954.2999999999993</v>
      </c>
      <c r="P13" s="157" cm="1">
        <f t="array" aca="1" ref="P13" ca="1">IFERROR(_xlfn.XLOOKUP($A13, INDIRECT("'" &amp; P$3 &amp; "'!A:A"), INDIRECT("'" &amp; P$3 &amp; "'!B:B")),0)</f>
        <v>4959.1000000000004</v>
      </c>
      <c r="Q13" s="157" cm="1">
        <f t="array" aca="1" ref="Q13" ca="1">IFERROR(_xlfn.XLOOKUP($A13, INDIRECT("'" &amp; Q$3 &amp; "'!A:A"), INDIRECT("'" &amp; Q$3 &amp; "'!B:B")),0)</f>
        <v>4487.34</v>
      </c>
      <c r="R13" s="157" cm="1">
        <f t="array" aca="1" ref="R13" ca="1">IFERROR(_xlfn.XLOOKUP($A13, INDIRECT("'" &amp; R$3 &amp; "'!A:A"), INDIRECT("'" &amp; R$3 &amp; "'!B:B")),0)</f>
        <v>4489.66</v>
      </c>
      <c r="S13" s="157" cm="1">
        <f t="array" aca="1" ref="S13" ca="1">IFERROR(_xlfn.XLOOKUP($A13, INDIRECT("'" &amp; S$3 &amp; "'!A:A"), INDIRECT("'" &amp; S$3 &amp; "'!B:B")),0)</f>
        <v>3393.39</v>
      </c>
      <c r="T13" s="157" cm="1">
        <f t="array" aca="1" ref="T13" ca="1">IFERROR(_xlfn.XLOOKUP($A13, INDIRECT("'" &amp; T$3 &amp; "'!A:A"), INDIRECT("'" &amp; T$3 &amp; "'!B:B")),0)</f>
        <v>3893.18</v>
      </c>
      <c r="U13" s="157" cm="1">
        <f t="array" aca="1" ref="U13" ca="1">IFERROR(_xlfn.XLOOKUP($A13, INDIRECT("'" &amp; U$3 &amp; "'!A:A"), INDIRECT("'" &amp; U$3 &amp; "'!B:B")),0)</f>
        <v>2966.77</v>
      </c>
      <c r="V13" s="157" cm="1">
        <f t="array" aca="1" ref="V13" ca="1">IFERROR(_xlfn.XLOOKUP($A13, INDIRECT("'" &amp; V$3 &amp; "'!A:A"), INDIRECT("'" &amp; V$3 &amp; "'!B:B")),0)</f>
        <v>2652.45</v>
      </c>
      <c r="W13" s="157" cm="1">
        <f t="array" aca="1" ref="W13" ca="1">IFERROR(_xlfn.XLOOKUP($A13, INDIRECT("'" &amp; W$3 &amp; "'!A:A"), INDIRECT("'" &amp; W$3 &amp; "'!B:B")),0)</f>
        <v>7008.79</v>
      </c>
      <c r="X13" s="157" cm="1">
        <f t="array" aca="1" ref="X13" ca="1">IFERROR(_xlfn.XLOOKUP($A13, INDIRECT("'" &amp; X$3 &amp; "'!A:A"), INDIRECT("'" &amp; X$3 &amp; "'!B:B")),0)</f>
        <v>3153.34</v>
      </c>
      <c r="Y13" s="157" cm="1">
        <f t="array" aca="1" ref="Y13" ca="1">IFERROR(_xlfn.XLOOKUP($A13, INDIRECT("'" &amp; Y$3 &amp; "'!A:A"), INDIRECT("'" &amp; Y$3 &amp; "'!B:B")),0)</f>
        <v>3893.18</v>
      </c>
      <c r="Z13" s="157" cm="1">
        <f t="array" aca="1" ref="Z13" ca="1">IFERROR(_xlfn.XLOOKUP($A13, INDIRECT("'" &amp; Z$3 &amp; "'!A:A"), INDIRECT("'" &amp; Z$3 &amp; "'!B:B")),0)</f>
        <v>3785.93</v>
      </c>
      <c r="AA13" s="157" cm="1">
        <f t="array" aca="1" ref="AA13" ca="1">IFERROR(_xlfn.XLOOKUP($A13, INDIRECT("'" &amp; AA$3 &amp; "'!A:A"), INDIRECT("'" &amp; AA$3 &amp; "'!B:B")),0)</f>
        <v>2809.95</v>
      </c>
      <c r="AB13" s="157" cm="1">
        <f t="array" aca="1" ref="AB13" ca="1">IFERROR(_xlfn.XLOOKUP($A13, INDIRECT("'" &amp; AB$3 &amp; "'!A:A"), INDIRECT("'" &amp; AB$3 &amp; "'!B:B")),0)</f>
        <v>2691.98</v>
      </c>
      <c r="AC13" s="157" cm="1">
        <f t="array" aca="1" ref="AC13" ca="1">IFERROR(_xlfn.XLOOKUP($A13, INDIRECT("'" &amp; AC$3 &amp; "'!A:A"), INDIRECT("'" &amp; AC$3 &amp; "'!B:B")),0)</f>
        <v>2724.15</v>
      </c>
      <c r="AD13" s="157" cm="1">
        <f t="array" aca="1" ref="AD13" ca="1">IFERROR(_xlfn.XLOOKUP($A13, INDIRECT("'" &amp; AD$3 &amp; "'!A:A"), INDIRECT("'" &amp; AD$3 &amp; "'!B:B")),0)</f>
        <v>2444.87</v>
      </c>
      <c r="AE13" s="157" cm="1">
        <f t="array" aca="1" ref="AE13" ca="1">IFERROR(_xlfn.XLOOKUP($A13, INDIRECT("'" &amp; AE$3 &amp; "'!A:A"), INDIRECT("'" &amp; AE$3 &amp; "'!B:B")),0)</f>
        <v>4241.2</v>
      </c>
      <c r="AF13" s="157" cm="1">
        <f t="array" aca="1" ref="AF13" ca="1">IFERROR(_xlfn.XLOOKUP($A13, INDIRECT("'" &amp; AF$3 &amp; "'!A:A"), INDIRECT("'" &amp; AF$3 &amp; "'!B:B")),0)</f>
        <v>3149.92</v>
      </c>
      <c r="AG13" s="157" cm="1">
        <f t="array" aca="1" ref="AG13" ca="1">IFERROR(_xlfn.XLOOKUP($A13, INDIRECT("'" &amp; AG$3 &amp; "'!A:A"), INDIRECT("'" &amp; AG$3 &amp; "'!B:B")),0)</f>
        <v>3956.29</v>
      </c>
      <c r="AH13" s="157" cm="1">
        <f t="array" aca="1" ref="AH13" ca="1">IFERROR(_xlfn.XLOOKUP($A13, INDIRECT("'" &amp; AH$3 &amp; "'!A:A"), INDIRECT("'" &amp; AH$3 &amp; "'!B:B")),0)</f>
        <v>3853.01</v>
      </c>
      <c r="AI13" s="157" cm="1">
        <f t="array" aca="1" ref="AI13" ca="1">IFERROR(_xlfn.XLOOKUP($A13, INDIRECT("'" &amp; AI$3 &amp; "'!A:A"), INDIRECT("'" &amp; AI$3 &amp; "'!B:B")),0)</f>
        <v>3288.78</v>
      </c>
      <c r="AJ13" s="157">
        <f t="shared" ca="1" si="0"/>
        <v>5111.54</v>
      </c>
      <c r="AK13" s="156" cm="1">
        <f t="array" aca="1" ref="AK13" ca="1">IFERROR(_xlfn.XLOOKUP($A13, INDIRECT("'" &amp; AK$3 &amp; "'!A:A"), INDIRECT("'" &amp; AK$3 &amp; "'!B:B")),0)</f>
        <v>2350.87</v>
      </c>
      <c r="AL13" s="155" cm="1">
        <f t="array" aca="1" ref="AL13" ca="1">IFERROR(_xlfn.XLOOKUP($A13, INDIRECT("'" &amp; AL$3 &amp; "'!A:A"), INDIRECT("'" &amp; AL$3 &amp; "'!B:B")),0)</f>
        <v>4412.0161799999996</v>
      </c>
      <c r="AM13" s="157" cm="1">
        <f t="array" aca="1" ref="AM13" ca="1">IFERROR(_xlfn.XLOOKUP($A13, INDIRECT("'" &amp; AM$3 &amp; "'!A:A"), INDIRECT("'" &amp; AM$3 &amp; "'!B:B")),0)</f>
        <v>2958.25</v>
      </c>
    </row>
    <row r="14" spans="1:39" x14ac:dyDescent="0.25">
      <c r="A14" s="225" t="s">
        <v>160</v>
      </c>
      <c r="B14" s="157" cm="1">
        <f t="array" aca="1" ref="B14" ca="1">IFERROR(_xlfn.XLOOKUP($A14, INDIRECT("'" &amp; B$3 &amp; "'!A:A"), INDIRECT("'" &amp; B$3 &amp; "'!B:B")),0)</f>
        <v>0</v>
      </c>
      <c r="C14" s="157" cm="1">
        <f t="array" aca="1" ref="C14" ca="1">IFERROR(_xlfn.XLOOKUP($A14, INDIRECT("'" &amp; C$3 &amp; "'!A:A"), INDIRECT("'" &amp; C$3 &amp; "'!B:B")),0)</f>
        <v>0</v>
      </c>
      <c r="D14" s="157" cm="1">
        <f t="array" aca="1" ref="D14" ca="1">IFERROR(_xlfn.XLOOKUP($A14, INDIRECT("'" &amp; D$3 &amp; "'!A:A"), INDIRECT("'" &amp; D$3 &amp; "'!B:B")),0)</f>
        <v>0</v>
      </c>
      <c r="E14" s="157" cm="1">
        <f t="array" aca="1" ref="E14" ca="1">IFERROR(_xlfn.XLOOKUP($A14, INDIRECT("'" &amp; E$3 &amp; "'!A:A"), INDIRECT("'" &amp; E$3 &amp; "'!B:B")),0)</f>
        <v>0</v>
      </c>
      <c r="F14" s="157" cm="1">
        <f t="array" aca="1" ref="F14" ca="1">IFERROR(_xlfn.XLOOKUP($A14, INDIRECT("'" &amp; F$3 &amp; "'!A:A"), INDIRECT("'" &amp; F$3 &amp; "'!B:B")),0)</f>
        <v>0</v>
      </c>
      <c r="G14" s="157" cm="1">
        <f t="array" aca="1" ref="G14" ca="1">IFERROR(_xlfn.XLOOKUP($A14, INDIRECT("'" &amp; G$3 &amp; "'!A:A"), INDIRECT("'" &amp; G$3 &amp; "'!B:B")),0)</f>
        <v>0</v>
      </c>
      <c r="H14" s="157" cm="1">
        <f t="array" aca="1" ref="H14" ca="1">IFERROR(_xlfn.XLOOKUP($A14, INDIRECT("'" &amp; H$3 &amp; "'!A:A"), INDIRECT("'" &amp; H$3 &amp; "'!B:B")),0)</f>
        <v>0</v>
      </c>
      <c r="I14" s="157" cm="1">
        <f t="array" aca="1" ref="I14" ca="1">IFERROR(_xlfn.XLOOKUP($A14, INDIRECT("'" &amp; I$3 &amp; "'!A:A"), INDIRECT("'" &amp; I$3 &amp; "'!B:B")),0)</f>
        <v>0</v>
      </c>
      <c r="J14" s="157" cm="1">
        <f t="array" aca="1" ref="J14" ca="1">IFERROR(_xlfn.XLOOKUP($A14, INDIRECT("'" &amp; J$3 &amp; "'!A:A"), INDIRECT("'" &amp; J$3 &amp; "'!B:B")),0)</f>
        <v>0</v>
      </c>
      <c r="K14" s="157" cm="1">
        <f t="array" aca="1" ref="K14" ca="1">IFERROR(_xlfn.XLOOKUP($A14, INDIRECT("'" &amp; K$3 &amp; "'!A:A"), INDIRECT("'" &amp; K$3 &amp; "'!B:B")),0)</f>
        <v>0</v>
      </c>
      <c r="L14" s="157" cm="1">
        <f t="array" aca="1" ref="L14" ca="1">IFERROR(_xlfn.XLOOKUP($A14, INDIRECT("'" &amp; L$3 &amp; "'!A:A"), INDIRECT("'" &amp; L$3 &amp; "'!B:B")),0)</f>
        <v>0</v>
      </c>
      <c r="M14" s="157" cm="1">
        <f t="array" aca="1" ref="M14" ca="1">IFERROR(_xlfn.XLOOKUP($A14, INDIRECT("'" &amp; M$3 &amp; "'!A:A"), INDIRECT("'" &amp; M$3 &amp; "'!B:B")),0)</f>
        <v>0</v>
      </c>
      <c r="N14" s="157" cm="1">
        <f t="array" aca="1" ref="N14" ca="1">IFERROR(_xlfn.XLOOKUP($A14, INDIRECT("'" &amp; N$3 &amp; "'!A:A"), INDIRECT("'" &amp; N$3 &amp; "'!B:B")),0)</f>
        <v>0</v>
      </c>
      <c r="O14" s="157" cm="1">
        <f t="array" aca="1" ref="O14" ca="1">IFERROR(_xlfn.XLOOKUP($A14, INDIRECT("'" &amp; O$3 &amp; "'!A:A"), INDIRECT("'" &amp; O$3 &amp; "'!B:B")),0)</f>
        <v>0</v>
      </c>
      <c r="P14" s="157" cm="1">
        <f t="array" aca="1" ref="P14" ca="1">IFERROR(_xlfn.XLOOKUP($A14, INDIRECT("'" &amp; P$3 &amp; "'!A:A"), INDIRECT("'" &amp; P$3 &amp; "'!B:B")),0)</f>
        <v>0</v>
      </c>
      <c r="Q14" s="157" cm="1">
        <f t="array" aca="1" ref="Q14" ca="1">IFERROR(_xlfn.XLOOKUP($A14, INDIRECT("'" &amp; Q$3 &amp; "'!A:A"), INDIRECT("'" &amp; Q$3 &amp; "'!B:B")),0)</f>
        <v>0</v>
      </c>
      <c r="R14" s="157" cm="1">
        <f t="array" aca="1" ref="R14" ca="1">IFERROR(_xlfn.XLOOKUP($A14, INDIRECT("'" &amp; R$3 &amp; "'!A:A"), INDIRECT("'" &amp; R$3 &amp; "'!B:B")),0)</f>
        <v>0</v>
      </c>
      <c r="S14" s="157" cm="1">
        <f t="array" aca="1" ref="S14" ca="1">IFERROR(_xlfn.XLOOKUP($A14, INDIRECT("'" &amp; S$3 &amp; "'!A:A"), INDIRECT("'" &amp; S$3 &amp; "'!B:B")),0)</f>
        <v>0</v>
      </c>
      <c r="T14" s="157" cm="1">
        <f t="array" aca="1" ref="T14" ca="1">IFERROR(_xlfn.XLOOKUP($A14, INDIRECT("'" &amp; T$3 &amp; "'!A:A"), INDIRECT("'" &amp; T$3 &amp; "'!B:B")),0)</f>
        <v>0</v>
      </c>
      <c r="U14" s="157" cm="1">
        <f t="array" aca="1" ref="U14" ca="1">IFERROR(_xlfn.XLOOKUP($A14, INDIRECT("'" &amp; U$3 &amp; "'!A:A"), INDIRECT("'" &amp; U$3 &amp; "'!B:B")),0)</f>
        <v>0</v>
      </c>
      <c r="V14" s="157" cm="1">
        <f t="array" aca="1" ref="V14" ca="1">IFERROR(_xlfn.XLOOKUP($A14, INDIRECT("'" &amp; V$3 &amp; "'!A:A"), INDIRECT("'" &amp; V$3 &amp; "'!B:B")),0)</f>
        <v>0</v>
      </c>
      <c r="W14" s="157" cm="1">
        <f t="array" aca="1" ref="W14" ca="1">IFERROR(_xlfn.XLOOKUP($A14, INDIRECT("'" &amp; W$3 &amp; "'!A:A"), INDIRECT("'" &amp; W$3 &amp; "'!B:B")),0)</f>
        <v>0</v>
      </c>
      <c r="X14" s="157" cm="1">
        <f t="array" aca="1" ref="X14" ca="1">IFERROR(_xlfn.XLOOKUP($A14, INDIRECT("'" &amp; X$3 &amp; "'!A:A"), INDIRECT("'" &amp; X$3 &amp; "'!B:B")),0)</f>
        <v>0</v>
      </c>
      <c r="Y14" s="157" cm="1">
        <f t="array" aca="1" ref="Y14" ca="1">IFERROR(_xlfn.XLOOKUP($A14, INDIRECT("'" &amp; Y$3 &amp; "'!A:A"), INDIRECT("'" &amp; Y$3 &amp; "'!B:B")),0)</f>
        <v>0</v>
      </c>
      <c r="Z14" s="157" cm="1">
        <f t="array" aca="1" ref="Z14" ca="1">IFERROR(_xlfn.XLOOKUP($A14, INDIRECT("'" &amp; Z$3 &amp; "'!A:A"), INDIRECT("'" &amp; Z$3 &amp; "'!B:B")),0)</f>
        <v>0</v>
      </c>
      <c r="AA14" s="157" cm="1">
        <f t="array" aca="1" ref="AA14" ca="1">IFERROR(_xlfn.XLOOKUP($A14, INDIRECT("'" &amp; AA$3 &amp; "'!A:A"), INDIRECT("'" &amp; AA$3 &amp; "'!B:B")),0)</f>
        <v>0</v>
      </c>
      <c r="AB14" s="157" cm="1">
        <f t="array" aca="1" ref="AB14" ca="1">IFERROR(_xlfn.XLOOKUP($A14, INDIRECT("'" &amp; AB$3 &amp; "'!A:A"), INDIRECT("'" &amp; AB$3 &amp; "'!B:B")),0)</f>
        <v>0</v>
      </c>
      <c r="AC14" s="157" cm="1">
        <f t="array" aca="1" ref="AC14" ca="1">IFERROR(_xlfn.XLOOKUP($A14, INDIRECT("'" &amp; AC$3 &amp; "'!A:A"), INDIRECT("'" &amp; AC$3 &amp; "'!B:B")),0)</f>
        <v>0</v>
      </c>
      <c r="AD14" s="157" cm="1">
        <f t="array" aca="1" ref="AD14" ca="1">IFERROR(_xlfn.XLOOKUP($A14, INDIRECT("'" &amp; AD$3 &amp; "'!A:A"), INDIRECT("'" &amp; AD$3 &amp; "'!B:B")),0)</f>
        <v>0</v>
      </c>
      <c r="AE14" s="157" cm="1">
        <f t="array" aca="1" ref="AE14" ca="1">IFERROR(_xlfn.XLOOKUP($A14, INDIRECT("'" &amp; AE$3 &amp; "'!A:A"), INDIRECT("'" &amp; AE$3 &amp; "'!B:B")),0)</f>
        <v>0</v>
      </c>
      <c r="AF14" s="157" cm="1">
        <f t="array" aca="1" ref="AF14" ca="1">IFERROR(_xlfn.XLOOKUP($A14, INDIRECT("'" &amp; AF$3 &amp; "'!A:A"), INDIRECT("'" &amp; AF$3 &amp; "'!B:B")),0)</f>
        <v>0</v>
      </c>
      <c r="AG14" s="157" cm="1">
        <f t="array" aca="1" ref="AG14" ca="1">IFERROR(_xlfn.XLOOKUP($A14, INDIRECT("'" &amp; AG$3 &amp; "'!A:A"), INDIRECT("'" &amp; AG$3 &amp; "'!B:B")),0)</f>
        <v>0</v>
      </c>
      <c r="AH14" s="157" cm="1">
        <f t="array" aca="1" ref="AH14" ca="1">IFERROR(_xlfn.XLOOKUP($A14, INDIRECT("'" &amp; AH$3 &amp; "'!A:A"), INDIRECT("'" &amp; AH$3 &amp; "'!B:B")),0)</f>
        <v>0</v>
      </c>
      <c r="AI14" s="157" cm="1">
        <f t="array" aca="1" ref="AI14" ca="1">IFERROR(_xlfn.XLOOKUP($A14, INDIRECT("'" &amp; AI$3 &amp; "'!A:A"), INDIRECT("'" &amp; AI$3 &amp; "'!B:B")),0)</f>
        <v>0</v>
      </c>
      <c r="AJ14" s="157">
        <f t="shared" ca="1" si="0"/>
        <v>0</v>
      </c>
      <c r="AK14" s="156" cm="1">
        <f t="array" aca="1" ref="AK14" ca="1">IFERROR(_xlfn.XLOOKUP($A14, INDIRECT("'" &amp; AK$3 &amp; "'!A:A"), INDIRECT("'" &amp; AK$3 &amp; "'!B:B")),0)</f>
        <v>3871.91</v>
      </c>
      <c r="AL14" s="155" cm="1">
        <f t="array" aca="1" ref="AL14" ca="1">IFERROR(_xlfn.XLOOKUP($A14, INDIRECT("'" &amp; AL$3 &amp; "'!A:A"), INDIRECT("'" &amp; AL$3 &amp; "'!B:B")),0)</f>
        <v>4990.8867599999994</v>
      </c>
      <c r="AM14" s="157" cm="1">
        <f t="array" aca="1" ref="AM14" ca="1">IFERROR(_xlfn.XLOOKUP($A14, INDIRECT("'" &amp; AM$3 &amp; "'!A:A"), INDIRECT("'" &amp; AM$3 &amp; "'!B:B")),0)</f>
        <v>9288.65</v>
      </c>
    </row>
    <row r="15" spans="1:39" x14ac:dyDescent="0.25">
      <c r="A15" s="225" t="s">
        <v>161</v>
      </c>
      <c r="B15" s="157" cm="1">
        <f t="array" aca="1" ref="B15" ca="1">IFERROR(_xlfn.XLOOKUP($A15, INDIRECT("'" &amp; B$3 &amp; "'!A:A"), INDIRECT("'" &amp; B$3 &amp; "'!B:B")),0)</f>
        <v>0</v>
      </c>
      <c r="C15" s="157" cm="1">
        <f t="array" aca="1" ref="C15" ca="1">IFERROR(_xlfn.XLOOKUP($A15, INDIRECT("'" &amp; C$3 &amp; "'!A:A"), INDIRECT("'" &amp; C$3 &amp; "'!B:B")),0)</f>
        <v>0</v>
      </c>
      <c r="D15" s="157" cm="1">
        <f t="array" aca="1" ref="D15" ca="1">IFERROR(_xlfn.XLOOKUP($A15, INDIRECT("'" &amp; D$3 &amp; "'!A:A"), INDIRECT("'" &amp; D$3 &amp; "'!B:B")),0)</f>
        <v>0</v>
      </c>
      <c r="E15" s="157" cm="1">
        <f t="array" aca="1" ref="E15" ca="1">IFERROR(_xlfn.XLOOKUP($A15, INDIRECT("'" &amp; E$3 &amp; "'!A:A"), INDIRECT("'" &amp; E$3 &amp; "'!B:B")),0)</f>
        <v>0</v>
      </c>
      <c r="F15" s="157" cm="1">
        <f t="array" aca="1" ref="F15" ca="1">IFERROR(_xlfn.XLOOKUP($A15, INDIRECT("'" &amp; F$3 &amp; "'!A:A"), INDIRECT("'" &amp; F$3 &amp; "'!B:B")),0)</f>
        <v>0</v>
      </c>
      <c r="G15" s="157" cm="1">
        <f t="array" aca="1" ref="G15" ca="1">IFERROR(_xlfn.XLOOKUP($A15, INDIRECT("'" &amp; G$3 &amp; "'!A:A"), INDIRECT("'" &amp; G$3 &amp; "'!B:B")),0)</f>
        <v>0</v>
      </c>
      <c r="H15" s="157" cm="1">
        <f t="array" aca="1" ref="H15" ca="1">IFERROR(_xlfn.XLOOKUP($A15, INDIRECT("'" &amp; H$3 &amp; "'!A:A"), INDIRECT("'" &amp; H$3 &amp; "'!B:B")),0)</f>
        <v>0</v>
      </c>
      <c r="I15" s="157" cm="1">
        <f t="array" aca="1" ref="I15" ca="1">IFERROR(_xlfn.XLOOKUP($A15, INDIRECT("'" &amp; I$3 &amp; "'!A:A"), INDIRECT("'" &amp; I$3 &amp; "'!B:B")),0)</f>
        <v>0</v>
      </c>
      <c r="J15" s="157" cm="1">
        <f t="array" aca="1" ref="J15" ca="1">IFERROR(_xlfn.XLOOKUP($A15, INDIRECT("'" &amp; J$3 &amp; "'!A:A"), INDIRECT("'" &amp; J$3 &amp; "'!B:B")),0)</f>
        <v>0</v>
      </c>
      <c r="K15" s="157" cm="1">
        <f t="array" aca="1" ref="K15" ca="1">IFERROR(_xlfn.XLOOKUP($A15, INDIRECT("'" &amp; K$3 &amp; "'!A:A"), INDIRECT("'" &amp; K$3 &amp; "'!B:B")),0)</f>
        <v>0</v>
      </c>
      <c r="L15" s="157" cm="1">
        <f t="array" aca="1" ref="L15" ca="1">IFERROR(_xlfn.XLOOKUP($A15, INDIRECT("'" &amp; L$3 &amp; "'!A:A"), INDIRECT("'" &amp; L$3 &amp; "'!B:B")),0)</f>
        <v>0</v>
      </c>
      <c r="M15" s="157" cm="1">
        <f t="array" aca="1" ref="M15" ca="1">IFERROR(_xlfn.XLOOKUP($A15, INDIRECT("'" &amp; M$3 &amp; "'!A:A"), INDIRECT("'" &amp; M$3 &amp; "'!B:B")),0)</f>
        <v>0</v>
      </c>
      <c r="N15" s="157" cm="1">
        <f t="array" aca="1" ref="N15" ca="1">IFERROR(_xlfn.XLOOKUP($A15, INDIRECT("'" &amp; N$3 &amp; "'!A:A"), INDIRECT("'" &amp; N$3 &amp; "'!B:B")),0)</f>
        <v>0</v>
      </c>
      <c r="O15" s="157" cm="1">
        <f t="array" aca="1" ref="O15" ca="1">IFERROR(_xlfn.XLOOKUP($A15, INDIRECT("'" &amp; O$3 &amp; "'!A:A"), INDIRECT("'" &amp; O$3 &amp; "'!B:B")),0)</f>
        <v>0</v>
      </c>
      <c r="P15" s="157" cm="1">
        <f t="array" aca="1" ref="P15" ca="1">IFERROR(_xlfn.XLOOKUP($A15, INDIRECT("'" &amp; P$3 &amp; "'!A:A"), INDIRECT("'" &amp; P$3 &amp; "'!B:B")),0)</f>
        <v>0</v>
      </c>
      <c r="Q15" s="157" cm="1">
        <f t="array" aca="1" ref="Q15" ca="1">IFERROR(_xlfn.XLOOKUP($A15, INDIRECT("'" &amp; Q$3 &amp; "'!A:A"), INDIRECT("'" &amp; Q$3 &amp; "'!B:B")),0)</f>
        <v>0</v>
      </c>
      <c r="R15" s="157" cm="1">
        <f t="array" aca="1" ref="R15" ca="1">IFERROR(_xlfn.XLOOKUP($A15, INDIRECT("'" &amp; R$3 &amp; "'!A:A"), INDIRECT("'" &amp; R$3 &amp; "'!B:B")),0)</f>
        <v>0</v>
      </c>
      <c r="S15" s="157" cm="1">
        <f t="array" aca="1" ref="S15" ca="1">IFERROR(_xlfn.XLOOKUP($A15, INDIRECT("'" &amp; S$3 &amp; "'!A:A"), INDIRECT("'" &amp; S$3 &amp; "'!B:B")),0)</f>
        <v>0</v>
      </c>
      <c r="T15" s="157" cm="1">
        <f t="array" aca="1" ref="T15" ca="1">IFERROR(_xlfn.XLOOKUP($A15, INDIRECT("'" &amp; T$3 &amp; "'!A:A"), INDIRECT("'" &amp; T$3 &amp; "'!B:B")),0)</f>
        <v>0</v>
      </c>
      <c r="U15" s="157" cm="1">
        <f t="array" aca="1" ref="U15" ca="1">IFERROR(_xlfn.XLOOKUP($A15, INDIRECT("'" &amp; U$3 &amp; "'!A:A"), INDIRECT("'" &amp; U$3 &amp; "'!B:B")),0)</f>
        <v>0</v>
      </c>
      <c r="V15" s="157" cm="1">
        <f t="array" aca="1" ref="V15" ca="1">IFERROR(_xlfn.XLOOKUP($A15, INDIRECT("'" &amp; V$3 &amp; "'!A:A"), INDIRECT("'" &amp; V$3 &amp; "'!B:B")),0)</f>
        <v>0</v>
      </c>
      <c r="W15" s="157" cm="1">
        <f t="array" aca="1" ref="W15" ca="1">IFERROR(_xlfn.XLOOKUP($A15, INDIRECT("'" &amp; W$3 &amp; "'!A:A"), INDIRECT("'" &amp; W$3 &amp; "'!B:B")),0)</f>
        <v>0</v>
      </c>
      <c r="X15" s="157" cm="1">
        <f t="array" aca="1" ref="X15" ca="1">IFERROR(_xlfn.XLOOKUP($A15, INDIRECT("'" &amp; X$3 &amp; "'!A:A"), INDIRECT("'" &amp; X$3 &amp; "'!B:B")),0)</f>
        <v>0</v>
      </c>
      <c r="Y15" s="157" cm="1">
        <f t="array" aca="1" ref="Y15" ca="1">IFERROR(_xlfn.XLOOKUP($A15, INDIRECT("'" &amp; Y$3 &amp; "'!A:A"), INDIRECT("'" &amp; Y$3 &amp; "'!B:B")),0)</f>
        <v>0</v>
      </c>
      <c r="Z15" s="157" cm="1">
        <f t="array" aca="1" ref="Z15" ca="1">IFERROR(_xlfn.XLOOKUP($A15, INDIRECT("'" &amp; Z$3 &amp; "'!A:A"), INDIRECT("'" &amp; Z$3 &amp; "'!B:B")),0)</f>
        <v>0</v>
      </c>
      <c r="AA15" s="157" cm="1">
        <f t="array" aca="1" ref="AA15" ca="1">IFERROR(_xlfn.XLOOKUP($A15, INDIRECT("'" &amp; AA$3 &amp; "'!A:A"), INDIRECT("'" &amp; AA$3 &amp; "'!B:B")),0)</f>
        <v>0</v>
      </c>
      <c r="AB15" s="157" cm="1">
        <f t="array" aca="1" ref="AB15" ca="1">IFERROR(_xlfn.XLOOKUP($A15, INDIRECT("'" &amp; AB$3 &amp; "'!A:A"), INDIRECT("'" &amp; AB$3 &amp; "'!B:B")),0)</f>
        <v>0</v>
      </c>
      <c r="AC15" s="157" cm="1">
        <f t="array" aca="1" ref="AC15" ca="1">IFERROR(_xlfn.XLOOKUP($A15, INDIRECT("'" &amp; AC$3 &amp; "'!A:A"), INDIRECT("'" &amp; AC$3 &amp; "'!B:B")),0)</f>
        <v>0</v>
      </c>
      <c r="AD15" s="157" cm="1">
        <f t="array" aca="1" ref="AD15" ca="1">IFERROR(_xlfn.XLOOKUP($A15, INDIRECT("'" &amp; AD$3 &amp; "'!A:A"), INDIRECT("'" &amp; AD$3 &amp; "'!B:B")),0)</f>
        <v>0</v>
      </c>
      <c r="AE15" s="157" cm="1">
        <f t="array" aca="1" ref="AE15" ca="1">IFERROR(_xlfn.XLOOKUP($A15, INDIRECT("'" &amp; AE$3 &amp; "'!A:A"), INDIRECT("'" &amp; AE$3 &amp; "'!B:B")),0)</f>
        <v>0</v>
      </c>
      <c r="AF15" s="157" cm="1">
        <f t="array" aca="1" ref="AF15" ca="1">IFERROR(_xlfn.XLOOKUP($A15, INDIRECT("'" &amp; AF$3 &amp; "'!A:A"), INDIRECT("'" &amp; AF$3 &amp; "'!B:B")),0)</f>
        <v>0</v>
      </c>
      <c r="AG15" s="157" cm="1">
        <f t="array" aca="1" ref="AG15" ca="1">IFERROR(_xlfn.XLOOKUP($A15, INDIRECT("'" &amp; AG$3 &amp; "'!A:A"), INDIRECT("'" &amp; AG$3 &amp; "'!B:B")),0)</f>
        <v>0</v>
      </c>
      <c r="AH15" s="157" cm="1">
        <f t="array" aca="1" ref="AH15" ca="1">IFERROR(_xlfn.XLOOKUP($A15, INDIRECT("'" &amp; AH$3 &amp; "'!A:A"), INDIRECT("'" &amp; AH$3 &amp; "'!B:B")),0)</f>
        <v>0</v>
      </c>
      <c r="AI15" s="157" cm="1">
        <f t="array" aca="1" ref="AI15" ca="1">IFERROR(_xlfn.XLOOKUP($A15, INDIRECT("'" &amp; AI$3 &amp; "'!A:A"), INDIRECT("'" &amp; AI$3 &amp; "'!B:B")),0)</f>
        <v>0</v>
      </c>
      <c r="AJ15" s="157">
        <f t="shared" ca="1" si="0"/>
        <v>0</v>
      </c>
      <c r="AK15" s="156" cm="1">
        <f t="array" aca="1" ref="AK15" ca="1">IFERROR(_xlfn.XLOOKUP($A15, INDIRECT("'" &amp; AK$3 &amp; "'!A:A"), INDIRECT("'" &amp; AK$3 &amp; "'!B:B")),0)</f>
        <v>1822.25</v>
      </c>
      <c r="AL15" s="155" cm="1">
        <f t="array" aca="1" ref="AL15" ca="1">IFERROR(_xlfn.XLOOKUP($A15, INDIRECT("'" &amp; AL$3 &amp; "'!A:A"), INDIRECT("'" &amp; AL$3 &amp; "'!B:B")),0)</f>
        <v>3624.3295200000002</v>
      </c>
      <c r="AM15" s="157" cm="1">
        <f t="array" aca="1" ref="AM15" ca="1">IFERROR(_xlfn.XLOOKUP($A15, INDIRECT("'" &amp; AM$3 &amp; "'!A:A"), INDIRECT("'" &amp; AM$3 &amp; "'!B:B")),0)</f>
        <v>3215.39</v>
      </c>
    </row>
    <row r="16" spans="1:39" x14ac:dyDescent="0.25">
      <c r="A16" s="225" t="s">
        <v>162</v>
      </c>
      <c r="B16" s="157" cm="1">
        <f t="array" aca="1" ref="B16" ca="1">IFERROR(_xlfn.XLOOKUP($A16, INDIRECT("'" &amp; B$3 &amp; "'!A:A"), INDIRECT("'" &amp; B$3 &amp; "'!B:B")),0)</f>
        <v>0</v>
      </c>
      <c r="C16" s="157" cm="1">
        <f t="array" aca="1" ref="C16" ca="1">IFERROR(_xlfn.XLOOKUP($A16, INDIRECT("'" &amp; C$3 &amp; "'!A:A"), INDIRECT("'" &amp; C$3 &amp; "'!B:B")),0)</f>
        <v>0</v>
      </c>
      <c r="D16" s="157" cm="1">
        <f t="array" aca="1" ref="D16" ca="1">IFERROR(_xlfn.XLOOKUP($A16, INDIRECT("'" &amp; D$3 &amp; "'!A:A"), INDIRECT("'" &amp; D$3 &amp; "'!B:B")),0)</f>
        <v>0</v>
      </c>
      <c r="E16" s="157" cm="1">
        <f t="array" aca="1" ref="E16" ca="1">IFERROR(_xlfn.XLOOKUP($A16, INDIRECT("'" &amp; E$3 &amp; "'!A:A"), INDIRECT("'" &amp; E$3 &amp; "'!B:B")),0)</f>
        <v>0</v>
      </c>
      <c r="F16" s="157" cm="1">
        <f t="array" aca="1" ref="F16" ca="1">IFERROR(_xlfn.XLOOKUP($A16, INDIRECT("'" &amp; F$3 &amp; "'!A:A"), INDIRECT("'" &amp; F$3 &amp; "'!B:B")),0)</f>
        <v>0</v>
      </c>
      <c r="G16" s="157" cm="1">
        <f t="array" aca="1" ref="G16" ca="1">IFERROR(_xlfn.XLOOKUP($A16, INDIRECT("'" &amp; G$3 &amp; "'!A:A"), INDIRECT("'" &amp; G$3 &amp; "'!B:B")),0)</f>
        <v>0</v>
      </c>
      <c r="H16" s="157" cm="1">
        <f t="array" aca="1" ref="H16" ca="1">IFERROR(_xlfn.XLOOKUP($A16, INDIRECT("'" &amp; H$3 &amp; "'!A:A"), INDIRECT("'" &amp; H$3 &amp; "'!B:B")),0)</f>
        <v>0</v>
      </c>
      <c r="I16" s="157" cm="1">
        <f t="array" aca="1" ref="I16" ca="1">IFERROR(_xlfn.XLOOKUP($A16, INDIRECT("'" &amp; I$3 &amp; "'!A:A"), INDIRECT("'" &amp; I$3 &amp; "'!B:B")),0)</f>
        <v>0</v>
      </c>
      <c r="J16" s="157" cm="1">
        <f t="array" aca="1" ref="J16" ca="1">IFERROR(_xlfn.XLOOKUP($A16, INDIRECT("'" &amp; J$3 &amp; "'!A:A"), INDIRECT("'" &amp; J$3 &amp; "'!B:B")),0)</f>
        <v>0</v>
      </c>
      <c r="K16" s="157" cm="1">
        <f t="array" aca="1" ref="K16" ca="1">IFERROR(_xlfn.XLOOKUP($A16, INDIRECT("'" &amp; K$3 &amp; "'!A:A"), INDIRECT("'" &amp; K$3 &amp; "'!B:B")),0)</f>
        <v>0</v>
      </c>
      <c r="L16" s="157" cm="1">
        <f t="array" aca="1" ref="L16" ca="1">IFERROR(_xlfn.XLOOKUP($A16, INDIRECT("'" &amp; L$3 &amp; "'!A:A"), INDIRECT("'" &amp; L$3 &amp; "'!B:B")),0)</f>
        <v>0</v>
      </c>
      <c r="M16" s="157" cm="1">
        <f t="array" aca="1" ref="M16" ca="1">IFERROR(_xlfn.XLOOKUP($A16, INDIRECT("'" &amp; M$3 &amp; "'!A:A"), INDIRECT("'" &amp; M$3 &amp; "'!B:B")),0)</f>
        <v>0</v>
      </c>
      <c r="N16" s="157" cm="1">
        <f t="array" aca="1" ref="N16" ca="1">IFERROR(_xlfn.XLOOKUP($A16, INDIRECT("'" &amp; N$3 &amp; "'!A:A"), INDIRECT("'" &amp; N$3 &amp; "'!B:B")),0)</f>
        <v>0</v>
      </c>
      <c r="O16" s="157" cm="1">
        <f t="array" aca="1" ref="O16" ca="1">IFERROR(_xlfn.XLOOKUP($A16, INDIRECT("'" &amp; O$3 &amp; "'!A:A"), INDIRECT("'" &amp; O$3 &amp; "'!B:B")),0)</f>
        <v>0</v>
      </c>
      <c r="P16" s="157" cm="1">
        <f t="array" aca="1" ref="P16" ca="1">IFERROR(_xlfn.XLOOKUP($A16, INDIRECT("'" &amp; P$3 &amp; "'!A:A"), INDIRECT("'" &amp; P$3 &amp; "'!B:B")),0)</f>
        <v>0</v>
      </c>
      <c r="Q16" s="157" cm="1">
        <f t="array" aca="1" ref="Q16" ca="1">IFERROR(_xlfn.XLOOKUP($A16, INDIRECT("'" &amp; Q$3 &amp; "'!A:A"), INDIRECT("'" &amp; Q$3 &amp; "'!B:B")),0)</f>
        <v>0</v>
      </c>
      <c r="R16" s="157" cm="1">
        <f t="array" aca="1" ref="R16" ca="1">IFERROR(_xlfn.XLOOKUP($A16, INDIRECT("'" &amp; R$3 &amp; "'!A:A"), INDIRECT("'" &amp; R$3 &amp; "'!B:B")),0)</f>
        <v>0</v>
      </c>
      <c r="S16" s="157" cm="1">
        <f t="array" aca="1" ref="S16" ca="1">IFERROR(_xlfn.XLOOKUP($A16, INDIRECT("'" &amp; S$3 &amp; "'!A:A"), INDIRECT("'" &amp; S$3 &amp; "'!B:B")),0)</f>
        <v>0</v>
      </c>
      <c r="T16" s="157" cm="1">
        <f t="array" aca="1" ref="T16" ca="1">IFERROR(_xlfn.XLOOKUP($A16, INDIRECT("'" &amp; T$3 &amp; "'!A:A"), INDIRECT("'" &amp; T$3 &amp; "'!B:B")),0)</f>
        <v>0</v>
      </c>
      <c r="U16" s="157" cm="1">
        <f t="array" aca="1" ref="U16" ca="1">IFERROR(_xlfn.XLOOKUP($A16, INDIRECT("'" &amp; U$3 &amp; "'!A:A"), INDIRECT("'" &amp; U$3 &amp; "'!B:B")),0)</f>
        <v>0</v>
      </c>
      <c r="V16" s="157" cm="1">
        <f t="array" aca="1" ref="V16" ca="1">IFERROR(_xlfn.XLOOKUP($A16, INDIRECT("'" &amp; V$3 &amp; "'!A:A"), INDIRECT("'" &amp; V$3 &amp; "'!B:B")),0)</f>
        <v>0</v>
      </c>
      <c r="W16" s="157" cm="1">
        <f t="array" aca="1" ref="W16" ca="1">IFERROR(_xlfn.XLOOKUP($A16, INDIRECT("'" &amp; W$3 &amp; "'!A:A"), INDIRECT("'" &amp; W$3 &amp; "'!B:B")),0)</f>
        <v>0</v>
      </c>
      <c r="X16" s="157" cm="1">
        <f t="array" aca="1" ref="X16" ca="1">IFERROR(_xlfn.XLOOKUP($A16, INDIRECT("'" &amp; X$3 &amp; "'!A:A"), INDIRECT("'" &amp; X$3 &amp; "'!B:B")),0)</f>
        <v>0</v>
      </c>
      <c r="Y16" s="157" cm="1">
        <f t="array" aca="1" ref="Y16" ca="1">IFERROR(_xlfn.XLOOKUP($A16, INDIRECT("'" &amp; Y$3 &amp; "'!A:A"), INDIRECT("'" &amp; Y$3 &amp; "'!B:B")),0)</f>
        <v>0</v>
      </c>
      <c r="Z16" s="157" cm="1">
        <f t="array" aca="1" ref="Z16" ca="1">IFERROR(_xlfn.XLOOKUP($A16, INDIRECT("'" &amp; Z$3 &amp; "'!A:A"), INDIRECT("'" &amp; Z$3 &amp; "'!B:B")),0)</f>
        <v>0</v>
      </c>
      <c r="AA16" s="157" cm="1">
        <f t="array" aca="1" ref="AA16" ca="1">IFERROR(_xlfn.XLOOKUP($A16, INDIRECT("'" &amp; AA$3 &amp; "'!A:A"), INDIRECT("'" &amp; AA$3 &amp; "'!B:B")),0)</f>
        <v>0</v>
      </c>
      <c r="AB16" s="157" cm="1">
        <f t="array" aca="1" ref="AB16" ca="1">IFERROR(_xlfn.XLOOKUP($A16, INDIRECT("'" &amp; AB$3 &amp; "'!A:A"), INDIRECT("'" &amp; AB$3 &amp; "'!B:B")),0)</f>
        <v>0</v>
      </c>
      <c r="AC16" s="157" cm="1">
        <f t="array" aca="1" ref="AC16" ca="1">IFERROR(_xlfn.XLOOKUP($A16, INDIRECT("'" &amp; AC$3 &amp; "'!A:A"), INDIRECT("'" &amp; AC$3 &amp; "'!B:B")),0)</f>
        <v>0</v>
      </c>
      <c r="AD16" s="157" cm="1">
        <f t="array" aca="1" ref="AD16" ca="1">IFERROR(_xlfn.XLOOKUP($A16, INDIRECT("'" &amp; AD$3 &amp; "'!A:A"), INDIRECT("'" &amp; AD$3 &amp; "'!B:B")),0)</f>
        <v>0</v>
      </c>
      <c r="AE16" s="157" cm="1">
        <f t="array" aca="1" ref="AE16" ca="1">IFERROR(_xlfn.XLOOKUP($A16, INDIRECT("'" &amp; AE$3 &amp; "'!A:A"), INDIRECT("'" &amp; AE$3 &amp; "'!B:B")),0)</f>
        <v>0</v>
      </c>
      <c r="AF16" s="157" cm="1">
        <f t="array" aca="1" ref="AF16" ca="1">IFERROR(_xlfn.XLOOKUP($A16, INDIRECT("'" &amp; AF$3 &amp; "'!A:A"), INDIRECT("'" &amp; AF$3 &amp; "'!B:B")),0)</f>
        <v>0</v>
      </c>
      <c r="AG16" s="157" cm="1">
        <f t="array" aca="1" ref="AG16" ca="1">IFERROR(_xlfn.XLOOKUP($A16, INDIRECT("'" &amp; AG$3 &amp; "'!A:A"), INDIRECT("'" &amp; AG$3 &amp; "'!B:B")),0)</f>
        <v>0</v>
      </c>
      <c r="AH16" s="157" cm="1">
        <f t="array" aca="1" ref="AH16" ca="1">IFERROR(_xlfn.XLOOKUP($A16, INDIRECT("'" &amp; AH$3 &amp; "'!A:A"), INDIRECT("'" &amp; AH$3 &amp; "'!B:B")),0)</f>
        <v>0</v>
      </c>
      <c r="AI16" s="157" cm="1">
        <f t="array" aca="1" ref="AI16" ca="1">IFERROR(_xlfn.XLOOKUP($A16, INDIRECT("'" &amp; AI$3 &amp; "'!A:A"), INDIRECT("'" &amp; AI$3 &amp; "'!B:B")),0)</f>
        <v>0</v>
      </c>
      <c r="AJ16" s="157">
        <f t="shared" ca="1" si="0"/>
        <v>0</v>
      </c>
      <c r="AK16" s="156" cm="1">
        <f t="array" aca="1" ref="AK16" ca="1">IFERROR(_xlfn.XLOOKUP($A16, INDIRECT("'" &amp; AK$3 &amp; "'!A:A"), INDIRECT("'" &amp; AK$3 &amp; "'!B:B")),0)</f>
        <v>0</v>
      </c>
      <c r="AL16" s="155" cm="1">
        <f t="array" aca="1" ref="AL16" ca="1">IFERROR(_xlfn.XLOOKUP($A16, INDIRECT("'" &amp; AL$3 &amp; "'!A:A"), INDIRECT("'" &amp; AL$3 &amp; "'!B:B")),0)</f>
        <v>0</v>
      </c>
      <c r="AM16" s="157" cm="1">
        <f t="array" aca="1" ref="AM16" ca="1">IFERROR(_xlfn.XLOOKUP($A16, INDIRECT("'" &amp; AM$3 &amp; "'!A:A"), INDIRECT("'" &amp; AM$3 &amp; "'!B:B")),0)</f>
        <v>0</v>
      </c>
    </row>
    <row r="17" spans="1:39" x14ac:dyDescent="0.25">
      <c r="A17" s="225" t="s">
        <v>163</v>
      </c>
      <c r="B17" s="157" cm="1">
        <f t="array" aca="1" ref="B17" ca="1">IFERROR(_xlfn.XLOOKUP($A17, INDIRECT("'" &amp; B$3 &amp; "'!A:A"), INDIRECT("'" &amp; B$3 &amp; "'!B:B")),0)</f>
        <v>6424.32</v>
      </c>
      <c r="C17" s="157" cm="1">
        <f t="array" aca="1" ref="C17" ca="1">IFERROR(_xlfn.XLOOKUP($A17, INDIRECT("'" &amp; C$3 &amp; "'!A:A"), INDIRECT("'" &amp; C$3 &amp; "'!B:B")),0)</f>
        <v>4236.58</v>
      </c>
      <c r="D17" s="157" cm="1">
        <f t="array" aca="1" ref="D17" ca="1">IFERROR(_xlfn.XLOOKUP($A17, INDIRECT("'" &amp; D$3 &amp; "'!A:A"), INDIRECT("'" &amp; D$3 &amp; "'!B:B")),0)</f>
        <v>2920.44</v>
      </c>
      <c r="E17" s="157" cm="1">
        <f t="array" aca="1" ref="E17" ca="1">IFERROR(_xlfn.XLOOKUP($A17, INDIRECT("'" &amp; E$3 &amp; "'!A:A"), INDIRECT("'" &amp; E$3 &amp; "'!B:B")),0)</f>
        <v>2998.27</v>
      </c>
      <c r="F17" s="157" cm="1">
        <f t="array" aca="1" ref="F17" ca="1">IFERROR(_xlfn.XLOOKUP($A17, INDIRECT("'" &amp; F$3 &amp; "'!A:A"), INDIRECT("'" &amp; F$3 &amp; "'!B:B")),0)</f>
        <v>4800.84</v>
      </c>
      <c r="G17" s="157" cm="1">
        <f t="array" aca="1" ref="G17" ca="1">IFERROR(_xlfn.XLOOKUP($A17, INDIRECT("'" &amp; G$3 &amp; "'!A:A"), INDIRECT("'" &amp; G$3 &amp; "'!B:B")),0)</f>
        <v>3690.25</v>
      </c>
      <c r="H17" s="157" cm="1">
        <f t="array" aca="1" ref="H17" ca="1">IFERROR(_xlfn.XLOOKUP($A17, INDIRECT("'" &amp; H$3 &amp; "'!A:A"), INDIRECT("'" &amp; H$3 &amp; "'!B:B")),0)</f>
        <v>3672.91</v>
      </c>
      <c r="I17" s="157" cm="1">
        <f t="array" aca="1" ref="I17" ca="1">IFERROR(_xlfn.XLOOKUP($A17, INDIRECT("'" &amp; I$3 &amp; "'!A:A"), INDIRECT("'" &amp; I$3 &amp; "'!B:B")),0)</f>
        <v>4800.96</v>
      </c>
      <c r="J17" s="157" cm="1">
        <f t="array" aca="1" ref="J17" ca="1">IFERROR(_xlfn.XLOOKUP($A17, INDIRECT("'" &amp; J$3 &amp; "'!A:A"), INDIRECT("'" &amp; J$3 &amp; "'!B:B")),0)</f>
        <v>3536.45</v>
      </c>
      <c r="K17" s="157" cm="1">
        <f t="array" aca="1" ref="K17" ca="1">IFERROR(_xlfn.XLOOKUP($A17, INDIRECT("'" &amp; K$3 &amp; "'!A:A"), INDIRECT("'" &amp; K$3 &amp; "'!B:B")),0)</f>
        <v>4236.07</v>
      </c>
      <c r="L17" s="157" cm="1">
        <f t="array" aca="1" ref="L17" ca="1">IFERROR(_xlfn.XLOOKUP($A17, INDIRECT("'" &amp; L$3 &amp; "'!A:A"), INDIRECT("'" &amp; L$3 &amp; "'!B:B")),0)</f>
        <v>4236.3599999999997</v>
      </c>
      <c r="M17" s="157" cm="1">
        <f t="array" aca="1" ref="M17" ca="1">IFERROR(_xlfn.XLOOKUP($A17, INDIRECT("'" &amp; M$3 &amp; "'!A:A"), INDIRECT("'" &amp; M$3 &amp; "'!B:B")),0)</f>
        <v>5264.93</v>
      </c>
      <c r="N17" s="157" cm="1">
        <f t="array" aca="1" ref="N17" ca="1">IFERROR(_xlfn.XLOOKUP($A17, INDIRECT("'" &amp; N$3 &amp; "'!A:A"), INDIRECT("'" &amp; N$3 &amp; "'!B:B")),0)</f>
        <v>4712.8599999999997</v>
      </c>
      <c r="O17" s="157" cm="1">
        <f t="array" aca="1" ref="O17" ca="1">IFERROR(_xlfn.XLOOKUP($A17, INDIRECT("'" &amp; O$3 &amp; "'!A:A"), INDIRECT("'" &amp; O$3 &amp; "'!B:B")),0)</f>
        <v>5928.55</v>
      </c>
      <c r="P17" s="157" cm="1">
        <f t="array" aca="1" ref="P17" ca="1">IFERROR(_xlfn.XLOOKUP($A17, INDIRECT("'" &amp; P$3 &amp; "'!A:A"), INDIRECT("'" &amp; P$3 &amp; "'!B:B")),0)</f>
        <v>4800.72</v>
      </c>
      <c r="Q17" s="157" cm="1">
        <f t="array" aca="1" ref="Q17" ca="1">IFERROR(_xlfn.XLOOKUP($A17, INDIRECT("'" &amp; Q$3 &amp; "'!A:A"), INDIRECT("'" &amp; Q$3 &amp; "'!B:B")),0)</f>
        <v>4612.8</v>
      </c>
      <c r="R17" s="157" cm="1">
        <f t="array" aca="1" ref="R17" ca="1">IFERROR(_xlfn.XLOOKUP($A17, INDIRECT("'" &amp; R$3 &amp; "'!A:A"), INDIRECT("'" &amp; R$3 &amp; "'!B:B")),0)</f>
        <v>4424.08</v>
      </c>
      <c r="S17" s="157" cm="1">
        <f t="array" aca="1" ref="S17" ca="1">IFERROR(_xlfn.XLOOKUP($A17, INDIRECT("'" &amp; S$3 &amp; "'!A:A"), INDIRECT("'" &amp; S$3 &amp; "'!B:B")),0)</f>
        <v>3337.32</v>
      </c>
      <c r="T17" s="157" cm="1">
        <f t="array" aca="1" ref="T17" ca="1">IFERROR(_xlfn.XLOOKUP($A17, INDIRECT("'" &amp; T$3 &amp; "'!A:A"), INDIRECT("'" &amp; T$3 &amp; "'!B:B")),0)</f>
        <v>3297.59</v>
      </c>
      <c r="U17" s="157" cm="1">
        <f t="array" aca="1" ref="U17" ca="1">IFERROR(_xlfn.XLOOKUP($A17, INDIRECT("'" &amp; U$3 &amp; "'!A:A"), INDIRECT("'" &amp; U$3 &amp; "'!B:B")),0)</f>
        <v>2433.06</v>
      </c>
      <c r="V17" s="157" cm="1">
        <f t="array" aca="1" ref="V17" ca="1">IFERROR(_xlfn.XLOOKUP($A17, INDIRECT("'" &amp; V$3 &amp; "'!A:A"), INDIRECT("'" &amp; V$3 &amp; "'!B:B")),0)</f>
        <v>4820.8</v>
      </c>
      <c r="W17" s="157" cm="1">
        <f t="array" aca="1" ref="W17" ca="1">IFERROR(_xlfn.XLOOKUP($A17, INDIRECT("'" &amp; W$3 &amp; "'!A:A"), INDIRECT("'" &amp; W$3 &amp; "'!B:B")),0)</f>
        <v>4920.2</v>
      </c>
      <c r="X17" s="157" cm="1">
        <f t="array" aca="1" ref="X17" ca="1">IFERROR(_xlfn.XLOOKUP($A17, INDIRECT("'" &amp; X$3 &amp; "'!A:A"), INDIRECT("'" &amp; X$3 &amp; "'!B:B")),0)</f>
        <v>3381</v>
      </c>
      <c r="Y17" s="157" cm="1">
        <f t="array" aca="1" ref="Y17" ca="1">IFERROR(_xlfn.XLOOKUP($A17, INDIRECT("'" &amp; Y$3 &amp; "'!A:A"), INDIRECT("'" &amp; Y$3 &amp; "'!B:B")),0)</f>
        <v>3297.59</v>
      </c>
      <c r="Z17" s="157" cm="1">
        <f t="array" aca="1" ref="Z17" ca="1">IFERROR(_xlfn.XLOOKUP($A17, INDIRECT("'" &amp; Z$3 &amp; "'!A:A"), INDIRECT("'" &amp; Z$3 &amp; "'!B:B")),0)</f>
        <v>3184.04</v>
      </c>
      <c r="AA17" s="157" cm="1">
        <f t="array" aca="1" ref="AA17" ca="1">IFERROR(_xlfn.XLOOKUP($A17, INDIRECT("'" &amp; AA$3 &amp; "'!A:A"), INDIRECT("'" &amp; AA$3 &amp; "'!B:B")),0)</f>
        <v>3223.27</v>
      </c>
      <c r="AB17" s="157" cm="1">
        <f t="array" aca="1" ref="AB17" ca="1">IFERROR(_xlfn.XLOOKUP($A17, INDIRECT("'" &amp; AB$3 &amp; "'!A:A"), INDIRECT("'" &amp; AB$3 &amp; "'!B:B")),0)</f>
        <v>3939.4</v>
      </c>
      <c r="AC17" s="157" cm="1">
        <f t="array" aca="1" ref="AC17" ca="1">IFERROR(_xlfn.XLOOKUP($A17, INDIRECT("'" &amp; AC$3 &amp; "'!A:A"), INDIRECT("'" &amp; AC$3 &amp; "'!B:B")),0)</f>
        <v>2487.96</v>
      </c>
      <c r="AD17" s="157" cm="1">
        <f t="array" aca="1" ref="AD17" ca="1">IFERROR(_xlfn.XLOOKUP($A17, INDIRECT("'" &amp; AD$3 &amp; "'!A:A"), INDIRECT("'" &amp; AD$3 &amp; "'!B:B")),0)</f>
        <v>2214.15</v>
      </c>
      <c r="AE17" s="157" cm="1">
        <f t="array" aca="1" ref="AE17" ca="1">IFERROR(_xlfn.XLOOKUP($A17, INDIRECT("'" &amp; AE$3 &amp; "'!A:A"), INDIRECT("'" &amp; AE$3 &amp; "'!B:B")),0)</f>
        <v>2964.15</v>
      </c>
      <c r="AF17" s="157" cm="1">
        <f t="array" aca="1" ref="AF17" ca="1">IFERROR(_xlfn.XLOOKUP($A17, INDIRECT("'" &amp; AF$3 &amp; "'!A:A"), INDIRECT("'" &amp; AF$3 &amp; "'!B:B")),0)</f>
        <v>4783.7</v>
      </c>
      <c r="AG17" s="157" cm="1">
        <f t="array" aca="1" ref="AG17" ca="1">IFERROR(_xlfn.XLOOKUP($A17, INDIRECT("'" &amp; AG$3 &amp; "'!A:A"), INDIRECT("'" &amp; AG$3 &amp; "'!B:B")),0)</f>
        <v>4066.01</v>
      </c>
      <c r="AH17" s="157" cm="1">
        <f t="array" aca="1" ref="AH17" ca="1">IFERROR(_xlfn.XLOOKUP($A17, INDIRECT("'" &amp; AH$3 &amp; "'!A:A"), INDIRECT("'" &amp; AH$3 &amp; "'!B:B")),0)</f>
        <v>3234.47</v>
      </c>
      <c r="AI17" s="157" cm="1">
        <f t="array" aca="1" ref="AI17" ca="1">IFERROR(_xlfn.XLOOKUP($A17, INDIRECT("'" &amp; AI$3 &amp; "'!A:A"), INDIRECT("'" &amp; AI$3 &amp; "'!B:B")),0)</f>
        <v>2523.36</v>
      </c>
      <c r="AJ17" s="157">
        <f t="shared" ca="1" si="0"/>
        <v>4236.58</v>
      </c>
      <c r="AK17" s="156" cm="1">
        <f t="array" aca="1" ref="AK17" ca="1">IFERROR(_xlfn.XLOOKUP($A17, INDIRECT("'" &amp; AK$3 &amp; "'!A:A"), INDIRECT("'" &amp; AK$3 &amp; "'!B:B")),0)</f>
        <v>0</v>
      </c>
      <c r="AL17" s="155" cm="1">
        <f t="array" aca="1" ref="AL17" ca="1">IFERROR(_xlfn.XLOOKUP($A17, INDIRECT("'" &amp; AL$3 &amp; "'!A:A"), INDIRECT("'" &amp; AL$3 &amp; "'!B:B")),0)</f>
        <v>0</v>
      </c>
      <c r="AM17" s="157" cm="1">
        <f t="array" aca="1" ref="AM17" ca="1">IFERROR(_xlfn.XLOOKUP($A17, INDIRECT("'" &amp; AM$3 &amp; "'!A:A"), INDIRECT("'" &amp; AM$3 &amp; "'!B:B")),0)</f>
        <v>0</v>
      </c>
    </row>
    <row r="18" spans="1:39" x14ac:dyDescent="0.25">
      <c r="A18" s="225" t="s">
        <v>164</v>
      </c>
      <c r="B18" s="157" cm="1">
        <f t="array" aca="1" ref="B18" ca="1">IFERROR(_xlfn.XLOOKUP($A18, INDIRECT("'" &amp; B$3 &amp; "'!A:A"), INDIRECT("'" &amp; B$3 &amp; "'!B:B")),0)</f>
        <v>5209.6400000000003</v>
      </c>
      <c r="C18" s="157" cm="1">
        <f t="array" aca="1" ref="C18" ca="1">IFERROR(_xlfn.XLOOKUP($A18, INDIRECT("'" &amp; C$3 &amp; "'!A:A"), INDIRECT("'" &amp; C$3 &amp; "'!B:B")),0)</f>
        <v>5257.76</v>
      </c>
      <c r="D18" s="157" cm="1">
        <f t="array" aca="1" ref="D18" ca="1">IFERROR(_xlfn.XLOOKUP($A18, INDIRECT("'" &amp; D$3 &amp; "'!A:A"), INDIRECT("'" &amp; D$3 &amp; "'!B:B")),0)</f>
        <v>3929.56</v>
      </c>
      <c r="E18" s="157" cm="1">
        <f t="array" aca="1" ref="E18" ca="1">IFERROR(_xlfn.XLOOKUP($A18, INDIRECT("'" &amp; E$3 &amp; "'!A:A"), INDIRECT("'" &amp; E$3 &amp; "'!B:B")),0)</f>
        <v>6327.34</v>
      </c>
      <c r="F18" s="157" cm="1">
        <f t="array" aca="1" ref="F18" ca="1">IFERROR(_xlfn.XLOOKUP($A18, INDIRECT("'" &amp; F$3 &amp; "'!A:A"), INDIRECT("'" &amp; F$3 &amp; "'!B:B")),0)</f>
        <v>5756.82</v>
      </c>
      <c r="G18" s="157" cm="1">
        <f t="array" aca="1" ref="G18" ca="1">IFERROR(_xlfn.XLOOKUP($A18, INDIRECT("'" &amp; G$3 &amp; "'!A:A"), INDIRECT("'" &amp; G$3 &amp; "'!B:B")),0)</f>
        <v>4091.57</v>
      </c>
      <c r="H18" s="157" cm="1">
        <f t="array" aca="1" ref="H18" ca="1">IFERROR(_xlfn.XLOOKUP($A18, INDIRECT("'" &amp; H$3 &amp; "'!A:A"), INDIRECT("'" &amp; H$3 &amp; "'!B:B")),0)</f>
        <v>5034.13</v>
      </c>
      <c r="I18" s="157" cm="1">
        <f t="array" aca="1" ref="I18" ca="1">IFERROR(_xlfn.XLOOKUP($A18, INDIRECT("'" &amp; I$3 &amp; "'!A:A"), INDIRECT("'" &amp; I$3 &amp; "'!B:B")),0)</f>
        <v>4829.82</v>
      </c>
      <c r="J18" s="157" cm="1">
        <f t="array" aca="1" ref="J18" ca="1">IFERROR(_xlfn.XLOOKUP($A18, INDIRECT("'" &amp; J$3 &amp; "'!A:A"), INDIRECT("'" &amp; J$3 &amp; "'!B:B")),0)</f>
        <v>5131.78</v>
      </c>
      <c r="K18" s="157" cm="1">
        <f t="array" aca="1" ref="K18" ca="1">IFERROR(_xlfn.XLOOKUP($A18, INDIRECT("'" &amp; K$3 &amp; "'!A:A"), INDIRECT("'" &amp; K$3 &amp; "'!B:B")),0)</f>
        <v>3937.59</v>
      </c>
      <c r="L18" s="157" cm="1">
        <f t="array" aca="1" ref="L18" ca="1">IFERROR(_xlfn.XLOOKUP($A18, INDIRECT("'" &amp; L$3 &amp; "'!A:A"), INDIRECT("'" &amp; L$3 &amp; "'!B:B")),0)</f>
        <v>7550.19</v>
      </c>
      <c r="M18" s="157" cm="1">
        <f t="array" aca="1" ref="M18" ca="1">IFERROR(_xlfn.XLOOKUP($A18, INDIRECT("'" &amp; M$3 &amp; "'!A:A"), INDIRECT("'" &amp; M$3 &amp; "'!B:B")),0)</f>
        <v>5588.56</v>
      </c>
      <c r="N18" s="157" cm="1">
        <f t="array" aca="1" ref="N18" ca="1">IFERROR(_xlfn.XLOOKUP($A18, INDIRECT("'" &amp; N$3 &amp; "'!A:A"), INDIRECT("'" &amp; N$3 &amp; "'!B:B")),0)</f>
        <v>7127.73</v>
      </c>
      <c r="O18" s="157" cm="1">
        <f t="array" aca="1" ref="O18" ca="1">IFERROR(_xlfn.XLOOKUP($A18, INDIRECT("'" &amp; O$3 &amp; "'!A:A"), INDIRECT("'" &amp; O$3 &amp; "'!B:B")),0)</f>
        <v>4302.3900000000003</v>
      </c>
      <c r="P18" s="157" cm="1">
        <f t="array" aca="1" ref="P18" ca="1">IFERROR(_xlfn.XLOOKUP($A18, INDIRECT("'" &amp; P$3 &amp; "'!A:A"), INDIRECT("'" &amp; P$3 &amp; "'!B:B")),0)</f>
        <v>3613.36</v>
      </c>
      <c r="Q18" s="157" cm="1">
        <f t="array" aca="1" ref="Q18" ca="1">IFERROR(_xlfn.XLOOKUP($A18, INDIRECT("'" &amp; Q$3 &amp; "'!A:A"), INDIRECT("'" &amp; Q$3 &amp; "'!B:B")),0)</f>
        <v>4868.08</v>
      </c>
      <c r="R18" s="157" cm="1">
        <f t="array" aca="1" ref="R18" ca="1">IFERROR(_xlfn.XLOOKUP($A18, INDIRECT("'" &amp; R$3 &amp; "'!A:A"), INDIRECT("'" &amp; R$3 &amp; "'!B:B")),0)</f>
        <v>4875.1099999999997</v>
      </c>
      <c r="S18" s="157" cm="1">
        <f t="array" aca="1" ref="S18" ca="1">IFERROR(_xlfn.XLOOKUP($A18, INDIRECT("'" &amp; S$3 &amp; "'!A:A"), INDIRECT("'" &amp; S$3 &amp; "'!B:B")),0)</f>
        <v>4652.0600000000004</v>
      </c>
      <c r="T18" s="157" cm="1">
        <f t="array" aca="1" ref="T18" ca="1">IFERROR(_xlfn.XLOOKUP($A18, INDIRECT("'" &amp; T$3 &amp; "'!A:A"), INDIRECT("'" &amp; T$3 &amp; "'!B:B")),0)</f>
        <v>3797.77</v>
      </c>
      <c r="U18" s="157" cm="1">
        <f t="array" aca="1" ref="U18" ca="1">IFERROR(_xlfn.XLOOKUP($A18, INDIRECT("'" &amp; U$3 &amp; "'!A:A"), INDIRECT("'" &amp; U$3 &amp; "'!B:B")),0)</f>
        <v>3765.31</v>
      </c>
      <c r="V18" s="157" cm="1">
        <f t="array" aca="1" ref="V18" ca="1">IFERROR(_xlfn.XLOOKUP($A18, INDIRECT("'" &amp; V$3 &amp; "'!A:A"), INDIRECT("'" &amp; V$3 &amp; "'!B:B")),0)</f>
        <v>2508.62</v>
      </c>
      <c r="W18" s="157" cm="1">
        <f t="array" aca="1" ref="W18" ca="1">IFERROR(_xlfn.XLOOKUP($A18, INDIRECT("'" &amp; W$3 &amp; "'!A:A"), INDIRECT("'" &amp; W$3 &amp; "'!B:B")),0)</f>
        <v>5996.56</v>
      </c>
      <c r="X18" s="157" cm="1">
        <f t="array" aca="1" ref="X18" ca="1">IFERROR(_xlfn.XLOOKUP($A18, INDIRECT("'" &amp; X$3 &amp; "'!A:A"), INDIRECT("'" &amp; X$3 &amp; "'!B:B")),0)</f>
        <v>4003.86</v>
      </c>
      <c r="Y18" s="157" cm="1">
        <f t="array" aca="1" ref="Y18" ca="1">IFERROR(_xlfn.XLOOKUP($A18, INDIRECT("'" &amp; Y$3 &amp; "'!A:A"), INDIRECT("'" &amp; Y$3 &amp; "'!B:B")),0)</f>
        <v>3769.91</v>
      </c>
      <c r="Z18" s="157" cm="1">
        <f t="array" aca="1" ref="Z18" ca="1">IFERROR(_xlfn.XLOOKUP($A18, INDIRECT("'" &amp; Z$3 &amp; "'!A:A"), INDIRECT("'" &amp; Z$3 &amp; "'!B:B")),0)</f>
        <v>3850.98</v>
      </c>
      <c r="AA18" s="157" cm="1">
        <f t="array" aca="1" ref="AA18" ca="1">IFERROR(_xlfn.XLOOKUP($A18, INDIRECT("'" &amp; AA$3 &amp; "'!A:A"), INDIRECT("'" &amp; AA$3 &amp; "'!B:B")),0)</f>
        <v>3191.24</v>
      </c>
      <c r="AB18" s="157" cm="1">
        <f t="array" aca="1" ref="AB18" ca="1">IFERROR(_xlfn.XLOOKUP($A18, INDIRECT("'" &amp; AB$3 &amp; "'!A:A"), INDIRECT("'" &amp; AB$3 &amp; "'!B:B")),0)</f>
        <v>4500.75</v>
      </c>
      <c r="AC18" s="157" cm="1">
        <f t="array" aca="1" ref="AC18" ca="1">IFERROR(_xlfn.XLOOKUP($A18, INDIRECT("'" &amp; AC$3 &amp; "'!A:A"), INDIRECT("'" &amp; AC$3 &amp; "'!B:B")),0)</f>
        <v>6899.6</v>
      </c>
      <c r="AD18" s="157" cm="1">
        <f t="array" aca="1" ref="AD18" ca="1">IFERROR(_xlfn.XLOOKUP($A18, INDIRECT("'" &amp; AD$3 &amp; "'!A:A"), INDIRECT("'" &amp; AD$3 &amp; "'!B:B")),0)</f>
        <v>2383.1999999999998</v>
      </c>
      <c r="AE18" s="157" cm="1">
        <f t="array" aca="1" ref="AE18" ca="1">IFERROR(_xlfn.XLOOKUP($A18, INDIRECT("'" &amp; AE$3 &amp; "'!A:A"), INDIRECT("'" &amp; AE$3 &amp; "'!B:B")),0)</f>
        <v>3692.4</v>
      </c>
      <c r="AF18" s="157" cm="1">
        <f t="array" aca="1" ref="AF18" ca="1">IFERROR(_xlfn.XLOOKUP($A18, INDIRECT("'" &amp; AF$3 &amp; "'!A:A"), INDIRECT("'" &amp; AF$3 &amp; "'!B:B")),0)</f>
        <v>4119.71</v>
      </c>
      <c r="AG18" s="157" cm="1">
        <f t="array" aca="1" ref="AG18" ca="1">IFERROR(_xlfn.XLOOKUP($A18, INDIRECT("'" &amp; AG$3 &amp; "'!A:A"), INDIRECT("'" &amp; AG$3 &amp; "'!B:B")),0)</f>
        <v>5304.01</v>
      </c>
      <c r="AH18" s="157" cm="1">
        <f t="array" aca="1" ref="AH18" ca="1">IFERROR(_xlfn.XLOOKUP($A18, INDIRECT("'" &amp; AH$3 &amp; "'!A:A"), INDIRECT("'" &amp; AH$3 &amp; "'!B:B")),0)</f>
        <v>4559.5600000000004</v>
      </c>
      <c r="AI18" s="157" cm="1">
        <f t="array" aca="1" ref="AI18" ca="1">IFERROR(_xlfn.XLOOKUP($A18, INDIRECT("'" &amp; AI$3 &amp; "'!A:A"), INDIRECT("'" &amp; AI$3 &amp; "'!B:B")),0)</f>
        <v>4755.9799999999996</v>
      </c>
      <c r="AJ18" s="157">
        <f t="shared" ca="1" si="0"/>
        <v>5257.76</v>
      </c>
      <c r="AK18" s="156" cm="1">
        <f t="array" aca="1" ref="AK18" ca="1">IFERROR(_xlfn.XLOOKUP($A18, INDIRECT("'" &amp; AK$3 &amp; "'!A:A"), INDIRECT("'" &amp; AK$3 &amp; "'!B:B")),0)</f>
        <v>5904.75</v>
      </c>
      <c r="AL18" s="155" cm="1">
        <f t="array" aca="1" ref="AL18" ca="1">IFERROR(_xlfn.XLOOKUP($A18, INDIRECT("'" &amp; AL$3 &amp; "'!A:A"), INDIRECT("'" &amp; AL$3 &amp; "'!B:B")),0)</f>
        <v>0</v>
      </c>
      <c r="AM18" s="157" cm="1">
        <f t="array" aca="1" ref="AM18" ca="1">IFERROR(_xlfn.XLOOKUP($A18, INDIRECT("'" &amp; AM$3 &amp; "'!A:A"), INDIRECT("'" &amp; AM$3 &amp; "'!B:B")),0)</f>
        <v>8926</v>
      </c>
    </row>
    <row r="19" spans="1:39" x14ac:dyDescent="0.25">
      <c r="A19" s="225" t="s">
        <v>165</v>
      </c>
      <c r="B19" s="157" cm="1">
        <f t="array" aca="1" ref="B19" ca="1">IFERROR(_xlfn.XLOOKUP($A19, INDIRECT("'" &amp; B$3 &amp; "'!A:A"), INDIRECT("'" &amp; B$3 &amp; "'!B:B")),0)</f>
        <v>3485</v>
      </c>
      <c r="C19" s="157" cm="1">
        <f t="array" aca="1" ref="C19" ca="1">IFERROR(_xlfn.XLOOKUP($A19, INDIRECT("'" &amp; C$3 &amp; "'!A:A"), INDIRECT("'" &amp; C$3 &amp; "'!B:B")),0)</f>
        <v>3550</v>
      </c>
      <c r="D19" s="157" cm="1">
        <f t="array" aca="1" ref="D19" ca="1">IFERROR(_xlfn.XLOOKUP($A19, INDIRECT("'" &amp; D$3 &amp; "'!A:A"), INDIRECT("'" &amp; D$3 &amp; "'!B:B")),0)</f>
        <v>2340</v>
      </c>
      <c r="E19" s="157" cm="1">
        <f t="array" aca="1" ref="E19" ca="1">IFERROR(_xlfn.XLOOKUP($A19, INDIRECT("'" &amp; E$3 &amp; "'!A:A"), INDIRECT("'" &amp; E$3 &amp; "'!B:B")),0)</f>
        <v>4805</v>
      </c>
      <c r="F19" s="157" cm="1">
        <f t="array" aca="1" ref="F19" ca="1">IFERROR(_xlfn.XLOOKUP($A19, INDIRECT("'" &amp; F$3 &amp; "'!A:A"), INDIRECT("'" &amp; F$3 &amp; "'!B:B")),0)</f>
        <v>3855</v>
      </c>
      <c r="G19" s="157" cm="1">
        <f t="array" aca="1" ref="G19" ca="1">IFERROR(_xlfn.XLOOKUP($A19, INDIRECT("'" &amp; G$3 &amp; "'!A:A"), INDIRECT("'" &amp; G$3 &amp; "'!B:B")),0)</f>
        <v>2845</v>
      </c>
      <c r="H19" s="157" cm="1">
        <f t="array" aca="1" ref="H19" ca="1">IFERROR(_xlfn.XLOOKUP($A19, INDIRECT("'" &amp; H$3 &amp; "'!A:A"), INDIRECT("'" &amp; H$3 &amp; "'!B:B")),0)</f>
        <v>3140</v>
      </c>
      <c r="I19" s="157" cm="1">
        <f t="array" aca="1" ref="I19" ca="1">IFERROR(_xlfn.XLOOKUP($A19, INDIRECT("'" &amp; I$3 &amp; "'!A:A"), INDIRECT("'" &amp; I$3 &amp; "'!B:B")),0)</f>
        <v>3350</v>
      </c>
      <c r="J19" s="157" cm="1">
        <f t="array" aca="1" ref="J19" ca="1">IFERROR(_xlfn.XLOOKUP($A19, INDIRECT("'" &amp; J$3 &amp; "'!A:A"), INDIRECT("'" &amp; J$3 &amp; "'!B:B")),0)</f>
        <v>3460</v>
      </c>
      <c r="K19" s="157" cm="1">
        <f t="array" aca="1" ref="K19" ca="1">IFERROR(_xlfn.XLOOKUP($A19, INDIRECT("'" &amp; K$3 &amp; "'!A:A"), INDIRECT("'" &amp; K$3 &amp; "'!B:B")),0)</f>
        <v>2650</v>
      </c>
      <c r="L19" s="157" cm="1">
        <f t="array" aca="1" ref="L19" ca="1">IFERROR(_xlfn.XLOOKUP($A19, INDIRECT("'" &amp; L$3 &amp; "'!A:A"), INDIRECT("'" &amp; L$3 &amp; "'!B:B")),0)</f>
        <v>5500</v>
      </c>
      <c r="M19" s="157" cm="1">
        <f t="array" aca="1" ref="M19" ca="1">IFERROR(_xlfn.XLOOKUP($A19, INDIRECT("'" &amp; M$3 &amp; "'!A:A"), INDIRECT("'" &amp; M$3 &amp; "'!B:B")),0)</f>
        <v>3760</v>
      </c>
      <c r="N19" s="157" cm="1">
        <f t="array" aca="1" ref="N19" ca="1">IFERROR(_xlfn.XLOOKUP($A19, INDIRECT("'" &amp; N$3 &amp; "'!A:A"), INDIRECT("'" &amp; N$3 &amp; "'!B:B")),0)</f>
        <v>4820</v>
      </c>
      <c r="O19" s="157" cm="1">
        <f t="array" aca="1" ref="O19" ca="1">IFERROR(_xlfn.XLOOKUP($A19, INDIRECT("'" &amp; O$3 &amp; "'!A:A"), INDIRECT("'" &amp; O$3 &amp; "'!B:B")),0)</f>
        <v>2720</v>
      </c>
      <c r="P19" s="157" cm="1">
        <f t="array" aca="1" ref="P19" ca="1">IFERROR(_xlfn.XLOOKUP($A19, INDIRECT("'" &amp; P$3 &amp; "'!A:A"), INDIRECT("'" &amp; P$3 &amp; "'!B:B")),0)</f>
        <v>2345</v>
      </c>
      <c r="Q19" s="157" cm="1">
        <f t="array" aca="1" ref="Q19" ca="1">IFERROR(_xlfn.XLOOKUP($A19, INDIRECT("'" &amp; Q$3 &amp; "'!A:A"), INDIRECT("'" &amp; Q$3 &amp; "'!B:B")),0)</f>
        <v>2900</v>
      </c>
      <c r="R19" s="157" cm="1">
        <f t="array" aca="1" ref="R19" ca="1">IFERROR(_xlfn.XLOOKUP($A19, INDIRECT("'" &amp; R$3 &amp; "'!A:A"), INDIRECT("'" &amp; R$3 &amp; "'!B:B")),0)</f>
        <v>2900</v>
      </c>
      <c r="S19" s="157" cm="1">
        <f t="array" aca="1" ref="S19" ca="1">IFERROR(_xlfn.XLOOKUP($A19, INDIRECT("'" &amp; S$3 &amp; "'!A:A"), INDIRECT("'" &amp; S$3 &amp; "'!B:B")),0)</f>
        <v>2473</v>
      </c>
      <c r="T19" s="157" cm="1">
        <f t="array" aca="1" ref="T19" ca="1">IFERROR(_xlfn.XLOOKUP($A19, INDIRECT("'" &amp; T$3 &amp; "'!A:A"), INDIRECT("'" &amp; T$3 &amp; "'!B:B")),0)</f>
        <v>2600</v>
      </c>
      <c r="U19" s="157" cm="1">
        <f t="array" aca="1" ref="U19" ca="1">IFERROR(_xlfn.XLOOKUP($A19, INDIRECT("'" &amp; U$3 &amp; "'!A:A"), INDIRECT("'" &amp; U$3 &amp; "'!B:B")),0)</f>
        <v>2390</v>
      </c>
      <c r="V19" s="157" cm="1">
        <f t="array" aca="1" ref="V19" ca="1">IFERROR(_xlfn.XLOOKUP($A19, INDIRECT("'" &amp; V$3 &amp; "'!A:A"), INDIRECT("'" &amp; V$3 &amp; "'!B:B")),0)</f>
        <v>1650</v>
      </c>
      <c r="W19" s="157" cm="1">
        <f t="array" aca="1" ref="W19" ca="1">IFERROR(_xlfn.XLOOKUP($A19, INDIRECT("'" &amp; W$3 &amp; "'!A:A"), INDIRECT("'" &amp; W$3 &amp; "'!B:B")),0)</f>
        <v>3400</v>
      </c>
      <c r="X19" s="157" cm="1">
        <f t="array" aca="1" ref="X19" ca="1">IFERROR(_xlfn.XLOOKUP($A19, INDIRECT("'" &amp; X$3 &amp; "'!A:A"), INDIRECT("'" &amp; X$3 &amp; "'!B:B")),0)</f>
        <v>1720</v>
      </c>
      <c r="Y19" s="157" cm="1">
        <f t="array" aca="1" ref="Y19" ca="1">IFERROR(_xlfn.XLOOKUP($A19, INDIRECT("'" &amp; Y$3 &amp; "'!A:A"), INDIRECT("'" &amp; Y$3 &amp; "'!B:B")),0)</f>
        <v>2600</v>
      </c>
      <c r="Z19" s="157" cm="1">
        <f t="array" aca="1" ref="Z19" ca="1">IFERROR(_xlfn.XLOOKUP($A19, INDIRECT("'" &amp; Z$3 &amp; "'!A:A"), INDIRECT("'" &amp; Z$3 &amp; "'!B:B")),0)</f>
        <v>2550</v>
      </c>
      <c r="AA19" s="157" cm="1">
        <f t="array" aca="1" ref="AA19" ca="1">IFERROR(_xlfn.XLOOKUP($A19, INDIRECT("'" &amp; AA$3 &amp; "'!A:A"), INDIRECT("'" &amp; AA$3 &amp; "'!B:B")),0)</f>
        <v>1696</v>
      </c>
      <c r="AB19" s="157" cm="1">
        <f t="array" aca="1" ref="AB19" ca="1">IFERROR(_xlfn.XLOOKUP($A19, INDIRECT("'" &amp; AB$3 &amp; "'!A:A"), INDIRECT("'" &amp; AB$3 &amp; "'!B:B")),0)</f>
        <v>2482</v>
      </c>
      <c r="AC19" s="157" cm="1">
        <f t="array" aca="1" ref="AC19" ca="1">IFERROR(_xlfn.XLOOKUP($A19, INDIRECT("'" &amp; AC$3 &amp; "'!A:A"), INDIRECT("'" &amp; AC$3 &amp; "'!B:B")),0)</f>
        <v>3885</v>
      </c>
      <c r="AD19" s="157" cm="1">
        <f t="array" aca="1" ref="AD19" ca="1">IFERROR(_xlfn.XLOOKUP($A19, INDIRECT("'" &amp; AD$3 &amp; "'!A:A"), INDIRECT("'" &amp; AD$3 &amp; "'!B:B")),0)</f>
        <v>2712.5</v>
      </c>
      <c r="AE19" s="157" cm="1">
        <f t="array" aca="1" ref="AE19" ca="1">IFERROR(_xlfn.XLOOKUP($A19, INDIRECT("'" &amp; AE$3 &amp; "'!A:A"), INDIRECT("'" &amp; AE$3 &amp; "'!B:B")),0)</f>
        <v>2460</v>
      </c>
      <c r="AF19" s="157" cm="1">
        <f t="array" aca="1" ref="AF19" ca="1">IFERROR(_xlfn.XLOOKUP($A19, INDIRECT("'" &amp; AF$3 &amp; "'!A:A"), INDIRECT("'" &amp; AF$3 &amp; "'!B:B")),0)</f>
        <v>2426</v>
      </c>
      <c r="AG19" s="157" cm="1">
        <f t="array" aca="1" ref="AG19" ca="1">IFERROR(_xlfn.XLOOKUP($A19, INDIRECT("'" &amp; AG$3 &amp; "'!A:A"), INDIRECT("'" &amp; AG$3 &amp; "'!B:B")),0)</f>
        <v>3400</v>
      </c>
      <c r="AH19" s="157" cm="1">
        <f t="array" aca="1" ref="AH19" ca="1">IFERROR(_xlfn.XLOOKUP($A19, INDIRECT("'" &amp; AH$3 &amp; "'!A:A"), INDIRECT("'" &amp; AH$3 &amp; "'!B:B")),0)</f>
        <v>3212.5</v>
      </c>
      <c r="AI19" s="157" cm="1">
        <f t="array" aca="1" ref="AI19" ca="1">IFERROR(_xlfn.XLOOKUP($A19, INDIRECT("'" &amp; AI$3 &amp; "'!A:A"), INDIRECT("'" &amp; AI$3 &amp; "'!B:B")),0)</f>
        <v>3885</v>
      </c>
      <c r="AJ19" s="157">
        <f t="shared" ca="1" si="0"/>
        <v>3550</v>
      </c>
      <c r="AK19" s="156" cm="1">
        <f t="array" aca="1" ref="AK19" ca="1">IFERROR(_xlfn.XLOOKUP($A19, INDIRECT("'" &amp; AK$3 &amp; "'!A:A"), INDIRECT("'" &amp; AK$3 &amp; "'!B:B")),0)</f>
        <v>3685</v>
      </c>
      <c r="AL19" s="155" cm="1">
        <f t="array" aca="1" ref="AL19" ca="1">IFERROR(_xlfn.XLOOKUP($A19, INDIRECT("'" &amp; AL$3 &amp; "'!A:A"), INDIRECT("'" &amp; AL$3 &amp; "'!B:B")),0)</f>
        <v>0</v>
      </c>
      <c r="AM19" s="157" cm="1">
        <f t="array" aca="1" ref="AM19" ca="1">IFERROR(_xlfn.XLOOKUP($A19, INDIRECT("'" &amp; AM$3 &amp; "'!A:A"), INDIRECT("'" &amp; AM$3 &amp; "'!B:B")),0)</f>
        <v>5915</v>
      </c>
    </row>
    <row r="20" spans="1:39" x14ac:dyDescent="0.25">
      <c r="A20" s="225" t="s">
        <v>166</v>
      </c>
      <c r="B20" s="157" cm="1">
        <f t="array" aca="1" ref="B20" ca="1">IFERROR(_xlfn.XLOOKUP($A20, INDIRECT("'" &amp; B$3 &amp; "'!A:A"), INDIRECT("'" &amp; B$3 &amp; "'!B:B")),0)</f>
        <v>3411.27</v>
      </c>
      <c r="C20" s="157" cm="1">
        <f t="array" aca="1" ref="C20" ca="1">IFERROR(_xlfn.XLOOKUP($A20, INDIRECT("'" &amp; C$3 &amp; "'!A:A"), INDIRECT("'" &amp; C$3 &amp; "'!B:B")),0)</f>
        <v>2477.66</v>
      </c>
      <c r="D20" s="157" cm="1">
        <f t="array" aca="1" ref="D20" ca="1">IFERROR(_xlfn.XLOOKUP($A20, INDIRECT("'" &amp; D$3 &amp; "'!A:A"), INDIRECT("'" &amp; D$3 &amp; "'!B:B")),0)</f>
        <v>2761.95</v>
      </c>
      <c r="E20" s="157" cm="1">
        <f t="array" aca="1" ref="E20" ca="1">IFERROR(_xlfn.XLOOKUP($A20, INDIRECT("'" &amp; E$3 &amp; "'!A:A"), INDIRECT("'" &amp; E$3 &amp; "'!B:B")),0)</f>
        <v>3205.85</v>
      </c>
      <c r="F20" s="157" cm="1">
        <f t="array" aca="1" ref="F20" ca="1">IFERROR(_xlfn.XLOOKUP($A20, INDIRECT("'" &amp; F$3 &amp; "'!A:A"), INDIRECT("'" &amp; F$3 &amp; "'!B:B")),0)</f>
        <v>3121.99</v>
      </c>
      <c r="G20" s="157" cm="1">
        <f t="array" aca="1" ref="G20" ca="1">IFERROR(_xlfn.XLOOKUP($A20, INDIRECT("'" &amp; G$3 &amp; "'!A:A"), INDIRECT("'" &amp; G$3 &amp; "'!B:B")),0)</f>
        <v>2123.41</v>
      </c>
      <c r="H20" s="157" cm="1">
        <f t="array" aca="1" ref="H20" ca="1">IFERROR(_xlfn.XLOOKUP($A20, INDIRECT("'" &amp; H$3 &amp; "'!A:A"), INDIRECT("'" &amp; H$3 &amp; "'!B:B")),0)</f>
        <v>2506.13</v>
      </c>
      <c r="I20" s="157" cm="1">
        <f t="array" aca="1" ref="I20" ca="1">IFERROR(_xlfn.XLOOKUP($A20, INDIRECT("'" &amp; I$3 &amp; "'!A:A"), INDIRECT("'" &amp; I$3 &amp; "'!B:B")),0)</f>
        <v>3898.44</v>
      </c>
      <c r="J20" s="157" cm="1">
        <f t="array" aca="1" ref="J20" ca="1">IFERROR(_xlfn.XLOOKUP($A20, INDIRECT("'" &amp; J$3 &amp; "'!A:A"), INDIRECT("'" &amp; J$3 &amp; "'!B:B")),0)</f>
        <v>2547.19</v>
      </c>
      <c r="K20" s="157" cm="1">
        <f t="array" aca="1" ref="K20" ca="1">IFERROR(_xlfn.XLOOKUP($A20, INDIRECT("'" &amp; K$3 &amp; "'!A:A"), INDIRECT("'" &amp; K$3 &amp; "'!B:B")),0)</f>
        <v>2225.4</v>
      </c>
      <c r="L20" s="157" cm="1">
        <f t="array" aca="1" ref="L20" ca="1">IFERROR(_xlfn.XLOOKUP($A20, INDIRECT("'" &amp; L$3 &amp; "'!A:A"), INDIRECT("'" &amp; L$3 &amp; "'!B:B")),0)</f>
        <v>5281.01</v>
      </c>
      <c r="M20" s="157" cm="1">
        <f t="array" aca="1" ref="M20" ca="1">IFERROR(_xlfn.XLOOKUP($A20, INDIRECT("'" &amp; M$3 &amp; "'!A:A"), INDIRECT("'" &amp; M$3 &amp; "'!B:B")),0)</f>
        <v>3823.99</v>
      </c>
      <c r="N20" s="157" cm="1">
        <f t="array" aca="1" ref="N20" ca="1">IFERROR(_xlfn.XLOOKUP($A20, INDIRECT("'" &amp; N$3 &amp; "'!A:A"), INDIRECT("'" &amp; N$3 &amp; "'!B:B")),0)</f>
        <v>3725.69</v>
      </c>
      <c r="O20" s="157" cm="1">
        <f t="array" aca="1" ref="O20" ca="1">IFERROR(_xlfn.XLOOKUP($A20, INDIRECT("'" &amp; O$3 &amp; "'!A:A"), INDIRECT("'" &amp; O$3 &amp; "'!B:B")),0)</f>
        <v>2445.2199999999998</v>
      </c>
      <c r="P20" s="157" cm="1">
        <f t="array" aca="1" ref="P20" ca="1">IFERROR(_xlfn.XLOOKUP($A20, INDIRECT("'" &amp; P$3 &amp; "'!A:A"), INDIRECT("'" &amp; P$3 &amp; "'!B:B")),0)</f>
        <v>1274.1099999999999</v>
      </c>
      <c r="Q20" s="157" cm="1">
        <f t="array" aca="1" ref="Q20" ca="1">IFERROR(_xlfn.XLOOKUP($A20, INDIRECT("'" &amp; Q$3 &amp; "'!A:A"), INDIRECT("'" &amp; Q$3 &amp; "'!B:B")),0)</f>
        <v>2936.09</v>
      </c>
      <c r="R20" s="157" cm="1">
        <f t="array" aca="1" ref="R20" ca="1">IFERROR(_xlfn.XLOOKUP($A20, INDIRECT("'" &amp; R$3 &amp; "'!A:A"), INDIRECT("'" &amp; R$3 &amp; "'!B:B")),0)</f>
        <v>2741.53</v>
      </c>
      <c r="S20" s="157" cm="1">
        <f t="array" aca="1" ref="S20" ca="1">IFERROR(_xlfn.XLOOKUP($A20, INDIRECT("'" &amp; S$3 &amp; "'!A:A"), INDIRECT("'" &amp; S$3 &amp; "'!B:B")),0)</f>
        <v>2330.9699999999998</v>
      </c>
      <c r="T20" s="157" cm="1">
        <f t="array" aca="1" ref="T20" ca="1">IFERROR(_xlfn.XLOOKUP($A20, INDIRECT("'" &amp; T$3 &amp; "'!A:A"), INDIRECT("'" &amp; T$3 &amp; "'!B:B")),0)</f>
        <v>2654.72</v>
      </c>
      <c r="U20" s="157" cm="1">
        <f t="array" aca="1" ref="U20" ca="1">IFERROR(_xlfn.XLOOKUP($A20, INDIRECT("'" &amp; U$3 &amp; "'!A:A"), INDIRECT("'" &amp; U$3 &amp; "'!B:B")),0)</f>
        <v>2177.34</v>
      </c>
      <c r="V20" s="157" cm="1">
        <f t="array" aca="1" ref="V20" ca="1">IFERROR(_xlfn.XLOOKUP($A20, INDIRECT("'" &amp; V$3 &amp; "'!A:A"), INDIRECT("'" &amp; V$3 &amp; "'!B:B")),0)</f>
        <v>1767.17</v>
      </c>
      <c r="W20" s="157" cm="1">
        <f t="array" aca="1" ref="W20" ca="1">IFERROR(_xlfn.XLOOKUP($A20, INDIRECT("'" &amp; W$3 &amp; "'!A:A"), INDIRECT("'" &amp; W$3 &amp; "'!B:B")),0)</f>
        <v>2874.28</v>
      </c>
      <c r="X20" s="157" cm="1">
        <f t="array" aca="1" ref="X20" ca="1">IFERROR(_xlfn.XLOOKUP($A20, INDIRECT("'" &amp; X$3 &amp; "'!A:A"), INDIRECT("'" &amp; X$3 &amp; "'!B:B")),0)</f>
        <v>2098.92</v>
      </c>
      <c r="Y20" s="157" cm="1">
        <f t="array" aca="1" ref="Y20" ca="1">IFERROR(_xlfn.XLOOKUP($A20, INDIRECT("'" &amp; Y$3 &amp; "'!A:A"), INDIRECT("'" &amp; Y$3 &amp; "'!B:B")),0)</f>
        <v>1951.74</v>
      </c>
      <c r="Z20" s="157" cm="1">
        <f t="array" aca="1" ref="Z20" ca="1">IFERROR(_xlfn.XLOOKUP($A20, INDIRECT("'" &amp; Z$3 &amp; "'!A:A"), INDIRECT("'" &amp; Z$3 &amp; "'!B:B")),0)</f>
        <v>1954.83</v>
      </c>
      <c r="AA20" s="157" cm="1">
        <f t="array" aca="1" ref="AA20" ca="1">IFERROR(_xlfn.XLOOKUP($A20, INDIRECT("'" &amp; AA$3 &amp; "'!A:A"), INDIRECT("'" &amp; AA$3 &amp; "'!B:B")),0)</f>
        <v>2443.92</v>
      </c>
      <c r="AB20" s="157" cm="1">
        <f t="array" aca="1" ref="AB20" ca="1">IFERROR(_xlfn.XLOOKUP($A20, INDIRECT("'" &amp; AB$3 &amp; "'!A:A"), INDIRECT("'" &amp; AB$3 &amp; "'!B:B")),0)</f>
        <v>2209.9299999999998</v>
      </c>
      <c r="AC20" s="157" cm="1">
        <f t="array" aca="1" ref="AC20" ca="1">IFERROR(_xlfn.XLOOKUP($A20, INDIRECT("'" &amp; AC$3 &amp; "'!A:A"), INDIRECT("'" &amp; AC$3 &amp; "'!B:B")),0)</f>
        <v>2786.05</v>
      </c>
      <c r="AD20" s="157" cm="1">
        <f t="array" aca="1" ref="AD20" ca="1">IFERROR(_xlfn.XLOOKUP($A20, INDIRECT("'" &amp; AD$3 &amp; "'!A:A"), INDIRECT("'" &amp; AD$3 &amp; "'!B:B")),0)</f>
        <v>2193.9299999999998</v>
      </c>
      <c r="AE20" s="157" cm="1">
        <f t="array" aca="1" ref="AE20" ca="1">IFERROR(_xlfn.XLOOKUP($A20, INDIRECT("'" &amp; AE$3 &amp; "'!A:A"), INDIRECT("'" &amp; AE$3 &amp; "'!B:B")),0)</f>
        <v>2360.09</v>
      </c>
      <c r="AF20" s="157" cm="1">
        <f t="array" aca="1" ref="AF20" ca="1">IFERROR(_xlfn.XLOOKUP($A20, INDIRECT("'" &amp; AF$3 &amp; "'!A:A"), INDIRECT("'" &amp; AF$3 &amp; "'!B:B")),0)</f>
        <v>2671.15</v>
      </c>
      <c r="AG20" s="157" cm="1">
        <f t="array" aca="1" ref="AG20" ca="1">IFERROR(_xlfn.XLOOKUP($A20, INDIRECT("'" &amp; AG$3 &amp; "'!A:A"), INDIRECT("'" &amp; AG$3 &amp; "'!B:B")),0)</f>
        <v>1742.92</v>
      </c>
      <c r="AH20" s="157" cm="1">
        <f t="array" aca="1" ref="AH20" ca="1">IFERROR(_xlfn.XLOOKUP($A20, INDIRECT("'" &amp; AH$3 &amp; "'!A:A"), INDIRECT("'" &amp; AH$3 &amp; "'!B:B")),0)</f>
        <v>1486.2</v>
      </c>
      <c r="AI20" s="157" cm="1">
        <f t="array" aca="1" ref="AI20" ca="1">IFERROR(_xlfn.XLOOKUP($A20, INDIRECT("'" &amp; AI$3 &amp; "'!A:A"), INDIRECT("'" &amp; AI$3 &amp; "'!B:B")),0)</f>
        <v>2132.9699999999998</v>
      </c>
      <c r="AJ20" s="157">
        <f ca="1">C20+AM1</f>
        <v>5977.66</v>
      </c>
      <c r="AK20" s="156" cm="1">
        <f t="array" aca="1" ref="AK20" ca="1">IFERROR(_xlfn.XLOOKUP($A20, INDIRECT("'" &amp; AK$3 &amp; "'!A:A"), INDIRECT("'" &amp; AK$3 &amp; "'!B:B")),0)</f>
        <v>2076.02</v>
      </c>
      <c r="AL20" s="155" cm="1">
        <f t="array" aca="1" ref="AL20" ca="1">IFERROR(_xlfn.XLOOKUP($A20, INDIRECT("'" &amp; AL$3 &amp; "'!A:A"), INDIRECT("'" &amp; AL$3 &amp; "'!B:B")),0)</f>
        <v>2953.7679600000001</v>
      </c>
      <c r="AM20" s="157" cm="1">
        <f t="array" aca="1" ref="AM20" ca="1">IFERROR(_xlfn.XLOOKUP($A20, INDIRECT("'" &amp; AM$3 &amp; "'!A:A"), INDIRECT("'" &amp; AM$3 &amp; "'!B:B")),0)</f>
        <v>3307.18</v>
      </c>
    </row>
    <row r="21" spans="1:39" x14ac:dyDescent="0.25">
      <c r="A21" s="225" t="s">
        <v>167</v>
      </c>
      <c r="B21" s="157" cm="1">
        <f t="array" aca="1" ref="B21" ca="1">IFERROR(_xlfn.XLOOKUP($A21, INDIRECT("'" &amp; B$3 &amp; "'!A:A"), INDIRECT("'" &amp; B$3 &amp; "'!B:B")),0)</f>
        <v>1832.73</v>
      </c>
      <c r="C21" s="157" cm="1">
        <f t="array" aca="1" ref="C21" ca="1">IFERROR(_xlfn.XLOOKUP($A21, INDIRECT("'" &amp; C$3 &amp; "'!A:A"), INDIRECT("'" &amp; C$3 &amp; "'!B:B")),0)</f>
        <v>1832.73</v>
      </c>
      <c r="D21" s="157" cm="1">
        <f t="array" aca="1" ref="D21" ca="1">IFERROR(_xlfn.XLOOKUP($A21, INDIRECT("'" &amp; D$3 &amp; "'!A:A"), INDIRECT("'" &amp; D$3 &amp; "'!B:B")),0)</f>
        <v>1275.51</v>
      </c>
      <c r="E21" s="157" cm="1">
        <f t="array" aca="1" ref="E21" ca="1">IFERROR(_xlfn.XLOOKUP($A21, INDIRECT("'" &amp; E$3 &amp; "'!A:A"), INDIRECT("'" &amp; E$3 &amp; "'!B:B")),0)</f>
        <v>2185.1099999999997</v>
      </c>
      <c r="F21" s="157" cm="1">
        <f t="array" aca="1" ref="F21" ca="1">IFERROR(_xlfn.XLOOKUP($A21, INDIRECT("'" &amp; F$3 &amp; "'!A:A"), INDIRECT("'" &amp; F$3 &amp; "'!B:B")),0)</f>
        <v>1794.95</v>
      </c>
      <c r="G21" s="157" cm="1">
        <f t="array" aca="1" ref="G21" ca="1">IFERROR(_xlfn.XLOOKUP($A21, INDIRECT("'" &amp; G$3 &amp; "'!A:A"), INDIRECT("'" &amp; G$3 &amp; "'!B:B")),0)</f>
        <v>1794.95</v>
      </c>
      <c r="H21" s="157" cm="1">
        <f t="array" aca="1" ref="H21" ca="1">IFERROR(_xlfn.XLOOKUP($A21, INDIRECT("'" &amp; H$3 &amp; "'!A:A"), INDIRECT("'" &amp; H$3 &amp; "'!B:B")),0)</f>
        <v>1832.73</v>
      </c>
      <c r="I21" s="157" cm="1">
        <f t="array" aca="1" ref="I21" ca="1">IFERROR(_xlfn.XLOOKUP($A21, INDIRECT("'" &amp; I$3 &amp; "'!A:A"), INDIRECT("'" &amp; I$3 &amp; "'!B:B")),0)</f>
        <v>1473.29</v>
      </c>
      <c r="J21" s="157" cm="1">
        <f t="array" aca="1" ref="J21" ca="1">IFERROR(_xlfn.XLOOKUP($A21, INDIRECT("'" &amp; J$3 &amp; "'!A:A"), INDIRECT("'" &amp; J$3 &amp; "'!B:B")),0)</f>
        <v>1832.73</v>
      </c>
      <c r="K21" s="157" cm="1">
        <f t="array" aca="1" ref="K21" ca="1">IFERROR(_xlfn.XLOOKUP($A21, INDIRECT("'" &amp; K$3 &amp; "'!A:A"), INDIRECT("'" &amp; K$3 &amp; "'!B:B")),0)</f>
        <v>1794.95</v>
      </c>
      <c r="L21" s="157" cm="1">
        <f t="array" aca="1" ref="L21" ca="1">IFERROR(_xlfn.XLOOKUP($A21, INDIRECT("'" &amp; L$3 &amp; "'!A:A"), INDIRECT("'" &amp; L$3 &amp; "'!B:B")),0)</f>
        <v>1286.6099999999999</v>
      </c>
      <c r="M21" s="157" cm="1">
        <f t="array" aca="1" ref="M21" ca="1">IFERROR(_xlfn.XLOOKUP($A21, INDIRECT("'" &amp; M$3 &amp; "'!A:A"), INDIRECT("'" &amp; M$3 &amp; "'!B:B")),0)</f>
        <v>1832.73</v>
      </c>
      <c r="N21" s="157" cm="1">
        <f t="array" aca="1" ref="N21" ca="1">IFERROR(_xlfn.XLOOKUP($A21, INDIRECT("'" &amp; N$3 &amp; "'!A:A"), INDIRECT("'" &amp; N$3 &amp; "'!B:B")),0)</f>
        <v>1817.2</v>
      </c>
      <c r="O21" s="157" cm="1">
        <f t="array" aca="1" ref="O21" ca="1">IFERROR(_xlfn.XLOOKUP($A21, INDIRECT("'" &amp; O$3 &amp; "'!A:A"), INDIRECT("'" &amp; O$3 &amp; "'!B:B")),0)</f>
        <v>1794.95</v>
      </c>
      <c r="P21" s="157" cm="1">
        <f t="array" aca="1" ref="P21" ca="1">IFERROR(_xlfn.XLOOKUP($A21, INDIRECT("'" &amp; P$3 &amp; "'!A:A"), INDIRECT("'" &amp; P$3 &amp; "'!B:B")),0)</f>
        <v>1860.56</v>
      </c>
      <c r="Q21" s="157" cm="1">
        <f t="array" aca="1" ref="Q21" ca="1">IFERROR(_xlfn.XLOOKUP($A21, INDIRECT("'" &amp; Q$3 &amp; "'!A:A"), INDIRECT("'" &amp; Q$3 &amp; "'!B:B")),0)</f>
        <v>1832.73</v>
      </c>
      <c r="R21" s="157" cm="1">
        <f t="array" aca="1" ref="R21" ca="1">IFERROR(_xlfn.XLOOKUP($A21, INDIRECT("'" &amp; R$3 &amp; "'!A:A"), INDIRECT("'" &amp; R$3 &amp; "'!B:B")),0)</f>
        <v>1623.96</v>
      </c>
      <c r="S21" s="157" cm="1">
        <f t="array" aca="1" ref="S21" ca="1">IFERROR(_xlfn.XLOOKUP($A21, INDIRECT("'" &amp; S$3 &amp; "'!A:A"), INDIRECT("'" &amp; S$3 &amp; "'!B:B")),0)</f>
        <v>1794.95</v>
      </c>
      <c r="T21" s="157" cm="1">
        <f t="array" aca="1" ref="T21" ca="1">IFERROR(_xlfn.XLOOKUP($A21, INDIRECT("'" &amp; T$3 &amp; "'!A:A"), INDIRECT("'" &amp; T$3 &amp; "'!B:B")),0)</f>
        <v>1843.76</v>
      </c>
      <c r="U21" s="157" cm="1">
        <f t="array" aca="1" ref="U21" ca="1">IFERROR(_xlfn.XLOOKUP($A21, INDIRECT("'" &amp; U$3 &amp; "'!A:A"), INDIRECT("'" &amp; U$3 &amp; "'!B:B")),0)</f>
        <v>1109.1500000000001</v>
      </c>
      <c r="V21" s="157" cm="1">
        <f t="array" aca="1" ref="V21" ca="1">IFERROR(_xlfn.XLOOKUP($A21, INDIRECT("'" &amp; V$3 &amp; "'!A:A"), INDIRECT("'" &amp; V$3 &amp; "'!B:B")),0)</f>
        <v>1317.63</v>
      </c>
      <c r="W21" s="157" cm="1">
        <f t="array" aca="1" ref="W21" ca="1">IFERROR(_xlfn.XLOOKUP($A21, INDIRECT("'" &amp; W$3 &amp; "'!A:A"), INDIRECT("'" &amp; W$3 &amp; "'!B:B")),0)</f>
        <v>3656.14</v>
      </c>
      <c r="X21" s="157" cm="1">
        <f t="array" aca="1" ref="X21" ca="1">IFERROR(_xlfn.XLOOKUP($A21, INDIRECT("'" &amp; X$3 &amp; "'!A:A"), INDIRECT("'" &amp; X$3 &amp; "'!B:B")),0)</f>
        <v>1794.95</v>
      </c>
      <c r="Y21" s="157" cm="1">
        <f t="array" aca="1" ref="Y21" ca="1">IFERROR(_xlfn.XLOOKUP($A21, INDIRECT("'" &amp; Y$3 &amp; "'!A:A"), INDIRECT("'" &amp; Y$3 &amp; "'!B:B")),0)</f>
        <v>1794.95</v>
      </c>
      <c r="Z21" s="157" cm="1">
        <f t="array" aca="1" ref="Z21" ca="1">IFERROR(_xlfn.XLOOKUP($A21, INDIRECT("'" &amp; Z$3 &amp; "'!A:A"), INDIRECT("'" &amp; Z$3 &amp; "'!B:B")),0)</f>
        <v>2611</v>
      </c>
      <c r="AA21" s="157" cm="1">
        <f t="array" aca="1" ref="AA21" ca="1">IFERROR(_xlfn.XLOOKUP($A21, INDIRECT("'" &amp; AA$3 &amp; "'!A:A"), INDIRECT("'" &amp; AA$3 &amp; "'!B:B")),0)</f>
        <v>1843.76</v>
      </c>
      <c r="AB21" s="157" cm="1">
        <f t="array" aca="1" ref="AB21" ca="1">IFERROR(_xlfn.XLOOKUP($A21, INDIRECT("'" &amp; AB$3 &amp; "'!A:A"), INDIRECT("'" &amp; AB$3 &amp; "'!B:B")),0)</f>
        <v>2263.2199999999998</v>
      </c>
      <c r="AC21" s="157" cm="1">
        <f t="array" aca="1" ref="AC21" ca="1">IFERROR(_xlfn.XLOOKUP($A21, INDIRECT("'" &amp; AC$3 &amp; "'!A:A"), INDIRECT("'" &amp; AC$3 &amp; "'!B:B")),0)</f>
        <v>2611</v>
      </c>
      <c r="AD21" s="157" cm="1">
        <f t="array" aca="1" ref="AD21" ca="1">IFERROR(_xlfn.XLOOKUP($A21, INDIRECT("'" &amp; AD$3 &amp; "'!A:A"), INDIRECT("'" &amp; AD$3 &amp; "'!B:B")),0)</f>
        <v>1489.33</v>
      </c>
      <c r="AE21" s="157" cm="1">
        <f t="array" aca="1" ref="AE21" ca="1">IFERROR(_xlfn.XLOOKUP($A21, INDIRECT("'" &amp; AE$3 &amp; "'!A:A"), INDIRECT("'" &amp; AE$3 &amp; "'!B:B")),0)</f>
        <v>2674.05</v>
      </c>
      <c r="AF21" s="157" cm="1">
        <f t="array" aca="1" ref="AF21" ca="1">IFERROR(_xlfn.XLOOKUP($A21, INDIRECT("'" &amp; AF$3 &amp; "'!A:A"), INDIRECT("'" &amp; AF$3 &amp; "'!B:B")),0)</f>
        <v>1081.5999999999999</v>
      </c>
      <c r="AG21" s="157" cm="1">
        <f t="array" aca="1" ref="AG21" ca="1">IFERROR(_xlfn.XLOOKUP($A21, INDIRECT("'" &amp; AG$3 &amp; "'!A:A"), INDIRECT("'" &amp; AG$3 &amp; "'!B:B")),0)</f>
        <v>1081.5999999999999</v>
      </c>
      <c r="AH21" s="157" cm="1">
        <f t="array" aca="1" ref="AH21" ca="1">IFERROR(_xlfn.XLOOKUP($A21, INDIRECT("'" &amp; AH$3 &amp; "'!A:A"), INDIRECT("'" &amp; AH$3 &amp; "'!B:B")),0)</f>
        <v>1081.5999999999999</v>
      </c>
      <c r="AI21" s="157" cm="1">
        <f t="array" aca="1" ref="AI21" ca="1">IFERROR(_xlfn.XLOOKUP($A21, INDIRECT("'" &amp; AI$3 &amp; "'!A:A"), INDIRECT("'" &amp; AI$3 &amp; "'!B:B")),0)</f>
        <v>1855.76</v>
      </c>
      <c r="AJ21" s="157">
        <f ca="1">C21</f>
        <v>1832.73</v>
      </c>
      <c r="AK21" s="156" cm="1">
        <f t="array" aca="1" ref="AK21" ca="1">IFERROR(_xlfn.XLOOKUP($A21, INDIRECT("'" &amp; AK$3 &amp; "'!A:A"), INDIRECT("'" &amp; AK$3 &amp; "'!B:B")),0)</f>
        <v>2456.2199999999998</v>
      </c>
      <c r="AL21" s="155" cm="1">
        <f t="array" aca="1" ref="AL21" ca="1">IFERROR(_xlfn.XLOOKUP($A21, INDIRECT("'" &amp; AL$3 &amp; "'!A:A"), INDIRECT("'" &amp; AL$3 &amp; "'!B:B")),0)</f>
        <v>3656.8443600000001</v>
      </c>
      <c r="AM21" s="157" cm="1">
        <f t="array" aca="1" ref="AM21" ca="1">IFERROR(_xlfn.XLOOKUP($A21, INDIRECT("'" &amp; AM$3 &amp; "'!A:A"), INDIRECT("'" &amp; AM$3 &amp; "'!B:B")),0)</f>
        <v>1548.34</v>
      </c>
    </row>
    <row r="22" spans="1:39" x14ac:dyDescent="0.25">
      <c r="A22" s="225" t="s">
        <v>168</v>
      </c>
      <c r="B22" s="157" cm="1">
        <f t="array" aca="1" ref="B22" ca="1">IFERROR(_xlfn.XLOOKUP($A22, INDIRECT("'" &amp; B$3 &amp; "'!A:A"), INDIRECT("'" &amp; B$3 &amp; "'!B:B")),0)</f>
        <v>210</v>
      </c>
      <c r="C22" s="157" cm="1">
        <f t="array" aca="1" ref="C22" ca="1">IFERROR(_xlfn.XLOOKUP($A22, INDIRECT("'" &amp; C$3 &amp; "'!A:A"), INDIRECT("'" &amp; C$3 &amp; "'!B:B")),0)</f>
        <v>173</v>
      </c>
      <c r="D22" s="157" cm="1">
        <f t="array" aca="1" ref="D22" ca="1">IFERROR(_xlfn.XLOOKUP($A22, INDIRECT("'" &amp; D$3 &amp; "'!A:A"), INDIRECT("'" &amp; D$3 &amp; "'!B:B")),0)</f>
        <v>120</v>
      </c>
      <c r="E22" s="157" cm="1">
        <f t="array" aca="1" ref="E22" ca="1">IFERROR(_xlfn.XLOOKUP($A22, INDIRECT("'" &amp; E$3 &amp; "'!A:A"), INDIRECT("'" &amp; E$3 &amp; "'!B:B")),0)</f>
        <v>240</v>
      </c>
      <c r="F22" s="157" cm="1">
        <f t="array" aca="1" ref="F22" ca="1">IFERROR(_xlfn.XLOOKUP($A22, INDIRECT("'" &amp; F$3 &amp; "'!A:A"), INDIRECT("'" &amp; F$3 &amp; "'!B:B")),0)</f>
        <v>173</v>
      </c>
      <c r="G22" s="157" cm="1">
        <f t="array" aca="1" ref="G22" ca="1">IFERROR(_xlfn.XLOOKUP($A22, INDIRECT("'" &amp; G$3 &amp; "'!A:A"), INDIRECT("'" &amp; G$3 &amp; "'!B:B")),0)</f>
        <v>173</v>
      </c>
      <c r="H22" s="157" cm="1">
        <f t="array" aca="1" ref="H22" ca="1">IFERROR(_xlfn.XLOOKUP($A22, INDIRECT("'" &amp; H$3 &amp; "'!A:A"), INDIRECT("'" &amp; H$3 &amp; "'!B:B")),0)</f>
        <v>173</v>
      </c>
      <c r="I22" s="157" cm="1">
        <f t="array" aca="1" ref="I22" ca="1">IFERROR(_xlfn.XLOOKUP($A22, INDIRECT("'" &amp; I$3 &amp; "'!A:A"), INDIRECT("'" &amp; I$3 &amp; "'!B:B")),0)</f>
        <v>180</v>
      </c>
      <c r="J22" s="157" cm="1">
        <f t="array" aca="1" ref="J22" ca="1">IFERROR(_xlfn.XLOOKUP($A22, INDIRECT("'" &amp; J$3 &amp; "'!A:A"), INDIRECT("'" &amp; J$3 &amp; "'!B:B")),0)</f>
        <v>173</v>
      </c>
      <c r="K22" s="157" cm="1">
        <f t="array" aca="1" ref="K22" ca="1">IFERROR(_xlfn.XLOOKUP($A22, INDIRECT("'" &amp; K$3 &amp; "'!A:A"), INDIRECT("'" &amp; K$3 &amp; "'!B:B")),0)</f>
        <v>173</v>
      </c>
      <c r="L22" s="157" cm="1">
        <f t="array" aca="1" ref="L22" ca="1">IFERROR(_xlfn.XLOOKUP($A22, INDIRECT("'" &amp; L$3 &amp; "'!A:A"), INDIRECT("'" &amp; L$3 &amp; "'!B:B")),0)</f>
        <v>120</v>
      </c>
      <c r="M22" s="157" cm="1">
        <f t="array" aca="1" ref="M22" ca="1">IFERROR(_xlfn.XLOOKUP($A22, INDIRECT("'" &amp; M$3 &amp; "'!A:A"), INDIRECT("'" &amp; M$3 &amp; "'!B:B")),0)</f>
        <v>173</v>
      </c>
      <c r="N22" s="157" cm="1">
        <f t="array" aca="1" ref="N22" ca="1">IFERROR(_xlfn.XLOOKUP($A22, INDIRECT("'" &amp; N$3 &amp; "'!A:A"), INDIRECT("'" &amp; N$3 &amp; "'!B:B")),0)</f>
        <v>180</v>
      </c>
      <c r="O22" s="157" cm="1">
        <f t="array" aca="1" ref="O22" ca="1">IFERROR(_xlfn.XLOOKUP($A22, INDIRECT("'" &amp; O$3 &amp; "'!A:A"), INDIRECT("'" &amp; O$3 &amp; "'!B:B")),0)</f>
        <v>173</v>
      </c>
      <c r="P22" s="157" cm="1">
        <f t="array" aca="1" ref="P22" ca="1">IFERROR(_xlfn.XLOOKUP($A22, INDIRECT("'" &amp; P$3 &amp; "'!A:A"), INDIRECT("'" &amp; P$3 &amp; "'!B:B")),0)</f>
        <v>256</v>
      </c>
      <c r="Q22" s="157" cm="1">
        <f t="array" aca="1" ref="Q22" ca="1">IFERROR(_xlfn.XLOOKUP($A22, INDIRECT("'" &amp; Q$3 &amp; "'!A:A"), INDIRECT("'" &amp; Q$3 &amp; "'!B:B")),0)</f>
        <v>173</v>
      </c>
      <c r="R22" s="157" cm="1">
        <f t="array" aca="1" ref="R22" ca="1">IFERROR(_xlfn.XLOOKUP($A22, INDIRECT("'" &amp; R$3 &amp; "'!A:A"), INDIRECT("'" &amp; R$3 &amp; "'!B:B")),0)</f>
        <v>180</v>
      </c>
      <c r="S22" s="157" cm="1">
        <f t="array" aca="1" ref="S22" ca="1">IFERROR(_xlfn.XLOOKUP($A22, INDIRECT("'" &amp; S$3 &amp; "'!A:A"), INDIRECT("'" &amp; S$3 &amp; "'!B:B")),0)</f>
        <v>173</v>
      </c>
      <c r="T22" s="157" cm="1">
        <f t="array" aca="1" ref="T22" ca="1">IFERROR(_xlfn.XLOOKUP($A22, INDIRECT("'" &amp; T$3 &amp; "'!A:A"), INDIRECT("'" &amp; T$3 &amp; "'!B:B")),0)</f>
        <v>173</v>
      </c>
      <c r="U22" s="157" cm="1">
        <f t="array" aca="1" ref="U22" ca="1">IFERROR(_xlfn.XLOOKUP($A22, INDIRECT("'" &amp; U$3 &amp; "'!A:A"), INDIRECT("'" &amp; U$3 &amp; "'!B:B")),0)</f>
        <v>180</v>
      </c>
      <c r="V22" s="157" cm="1">
        <f t="array" aca="1" ref="V22" ca="1">IFERROR(_xlfn.XLOOKUP($A22, INDIRECT("'" &amp; V$3 &amp; "'!A:A"), INDIRECT("'" &amp; V$3 &amp; "'!B:B")),0)</f>
        <v>120</v>
      </c>
      <c r="W22" s="157" cm="1">
        <f t="array" aca="1" ref="W22" ca="1">IFERROR(_xlfn.XLOOKUP($A22, INDIRECT("'" &amp; W$3 &amp; "'!A:A"), INDIRECT("'" &amp; W$3 &amp; "'!B:B")),0)</f>
        <v>173</v>
      </c>
      <c r="X22" s="157" cm="1">
        <f t="array" aca="1" ref="X22" ca="1">IFERROR(_xlfn.XLOOKUP($A22, INDIRECT("'" &amp; X$3 &amp; "'!A:A"), INDIRECT("'" &amp; X$3 &amp; "'!B:B")),0)</f>
        <v>173</v>
      </c>
      <c r="Y22" s="157" cm="1">
        <f t="array" aca="1" ref="Y22" ca="1">IFERROR(_xlfn.XLOOKUP($A22, INDIRECT("'" &amp; Y$3 &amp; "'!A:A"), INDIRECT("'" &amp; Y$3 &amp; "'!B:B")),0)</f>
        <v>173</v>
      </c>
      <c r="Z22" s="157" cm="1">
        <f t="array" aca="1" ref="Z22" ca="1">IFERROR(_xlfn.XLOOKUP($A22, INDIRECT("'" &amp; Z$3 &amp; "'!A:A"), INDIRECT("'" &amp; Z$3 &amp; "'!B:B")),0)</f>
        <v>210</v>
      </c>
      <c r="AA22" s="157" cm="1">
        <f t="array" aca="1" ref="AA22" ca="1">IFERROR(_xlfn.XLOOKUP($A22, INDIRECT("'" &amp; AA$3 &amp; "'!A:A"), INDIRECT("'" &amp; AA$3 &amp; "'!B:B")),0)</f>
        <v>173</v>
      </c>
      <c r="AB22" s="157" cm="1">
        <f t="array" aca="1" ref="AB22" ca="1">IFERROR(_xlfn.XLOOKUP($A22, INDIRECT("'" &amp; AB$3 &amp; "'!A:A"), INDIRECT("'" &amp; AB$3 &amp; "'!B:B")),0)</f>
        <v>150</v>
      </c>
      <c r="AC22" s="157" cm="1">
        <f t="array" aca="1" ref="AC22" ca="1">IFERROR(_xlfn.XLOOKUP($A22, INDIRECT("'" &amp; AC$3 &amp; "'!A:A"), INDIRECT("'" &amp; AC$3 &amp; "'!B:B")),0)</f>
        <v>210</v>
      </c>
      <c r="AD22" s="157" cm="1">
        <f t="array" aca="1" ref="AD22" ca="1">IFERROR(_xlfn.XLOOKUP($A22, INDIRECT("'" &amp; AD$3 &amp; "'!A:A"), INDIRECT("'" &amp; AD$3 &amp; "'!B:B")),0)</f>
        <v>180</v>
      </c>
      <c r="AE22" s="157" cm="1">
        <f t="array" aca="1" ref="AE22" ca="1">IFERROR(_xlfn.XLOOKUP($A22, INDIRECT("'" &amp; AE$3 &amp; "'!A:A"), INDIRECT("'" &amp; AE$3 &amp; "'!B:B")),0)</f>
        <v>173</v>
      </c>
      <c r="AF22" s="157" cm="1">
        <f t="array" aca="1" ref="AF22" ca="1">IFERROR(_xlfn.XLOOKUP($A22, INDIRECT("'" &amp; AF$3 &amp; "'!A:A"), INDIRECT("'" &amp; AF$3 &amp; "'!B:B")),0)</f>
        <v>120</v>
      </c>
      <c r="AG22" s="157" cm="1">
        <f t="array" aca="1" ref="AG22" ca="1">IFERROR(_xlfn.XLOOKUP($A22, INDIRECT("'" &amp; AG$3 &amp; "'!A:A"), INDIRECT("'" &amp; AG$3 &amp; "'!B:B")),0)</f>
        <v>120</v>
      </c>
      <c r="AH22" s="157" cm="1">
        <f t="array" aca="1" ref="AH22" ca="1">IFERROR(_xlfn.XLOOKUP($A22, INDIRECT("'" &amp; AH$3 &amp; "'!A:A"), INDIRECT("'" &amp; AH$3 &amp; "'!B:B")),0)</f>
        <v>120</v>
      </c>
      <c r="AI22" s="157" cm="1">
        <f t="array" aca="1" ref="AI22" ca="1">IFERROR(_xlfn.XLOOKUP($A22, INDIRECT("'" &amp; AI$3 &amp; "'!A:A"), INDIRECT("'" &amp; AI$3 &amp; "'!B:B")),0)</f>
        <v>173</v>
      </c>
      <c r="AJ22" s="157">
        <f ca="1">C22</f>
        <v>173</v>
      </c>
      <c r="AK22" s="156" cm="1">
        <f t="array" aca="1" ref="AK22" ca="1">IFERROR(_xlfn.XLOOKUP($A22, INDIRECT("'" &amp; AK$3 &amp; "'!A:A"), INDIRECT("'" &amp; AK$3 &amp; "'!B:B")),0)</f>
        <v>0</v>
      </c>
      <c r="AL22" s="155" cm="1">
        <f t="array" aca="1" ref="AL22" ca="1">IFERROR(_xlfn.XLOOKUP($A22, INDIRECT("'" &amp; AL$3 &amp; "'!A:A"), INDIRECT("'" &amp; AL$3 &amp; "'!B:B")),0)</f>
        <v>0</v>
      </c>
      <c r="AM22" s="157" cm="1">
        <f t="array" aca="1" ref="AM22" ca="1">IFERROR(_xlfn.XLOOKUP($A22, INDIRECT("'" &amp; AM$3 &amp; "'!A:A"), INDIRECT("'" &amp; AM$3 &amp; "'!B:B")),0)</f>
        <v>0</v>
      </c>
    </row>
    <row r="23" spans="1:39" x14ac:dyDescent="0.25">
      <c r="A23" s="226" t="s">
        <v>169</v>
      </c>
      <c r="B23" s="157" cm="1">
        <f t="array" aca="1" ref="B23" ca="1">IFERROR(_xlfn.XLOOKUP($A23, INDIRECT("'" &amp; B$3 &amp; "'!A:A"), INDIRECT("'" &amp; B$3 &amp; "'!B:B")),0)</f>
        <v>321</v>
      </c>
      <c r="C23" s="157" cm="1">
        <f t="array" aca="1" ref="C23" ca="1">IFERROR(_xlfn.XLOOKUP($A23, INDIRECT("'" &amp; C$3 &amp; "'!A:A"), INDIRECT("'" &amp; C$3 &amp; "'!B:B")),0)</f>
        <v>308</v>
      </c>
      <c r="D23" s="157" cm="1">
        <f t="array" aca="1" ref="D23" ca="1">IFERROR(_xlfn.XLOOKUP($A23, INDIRECT("'" &amp; D$3 &amp; "'!A:A"), INDIRECT("'" &amp; D$3 &amp; "'!B:B")),0)</f>
        <v>330</v>
      </c>
      <c r="E23" s="157" cm="1">
        <f t="array" aca="1" ref="E23" ca="1">IFERROR(_xlfn.XLOOKUP($A23, INDIRECT("'" &amp; E$3 &amp; "'!A:A"), INDIRECT("'" &amp; E$3 &amp; "'!B:B")),0)</f>
        <v>330</v>
      </c>
      <c r="F23" s="157" cm="1">
        <f t="array" aca="1" ref="F23" ca="1">IFERROR(_xlfn.XLOOKUP($A23, INDIRECT("'" &amp; F$3 &amp; "'!A:A"), INDIRECT("'" &amp; F$3 &amp; "'!B:B")),0)</f>
        <v>304</v>
      </c>
      <c r="G23" s="157" cm="1">
        <f t="array" aca="1" ref="G23" ca="1">IFERROR(_xlfn.XLOOKUP($A23, INDIRECT("'" &amp; G$3 &amp; "'!A:A"), INDIRECT("'" &amp; G$3 &amp; "'!B:B")),0)</f>
        <v>242</v>
      </c>
      <c r="H23" s="157" cm="1">
        <f t="array" aca="1" ref="H23" ca="1">IFERROR(_xlfn.XLOOKUP($A23, INDIRECT("'" &amp; H$3 &amp; "'!A:A"), INDIRECT("'" &amp; H$3 &amp; "'!B:B")),0)</f>
        <v>286</v>
      </c>
      <c r="I23" s="157" cm="1">
        <f t="array" aca="1" ref="I23" ca="1">IFERROR(_xlfn.XLOOKUP($A23, INDIRECT("'" &amp; I$3 &amp; "'!A:A"), INDIRECT("'" &amp; I$3 &amp; "'!B:B")),0)</f>
        <v>370</v>
      </c>
      <c r="J23" s="157" cm="1">
        <f t="array" aca="1" ref="J23" ca="1">IFERROR(_xlfn.XLOOKUP($A23, INDIRECT("'" &amp; J$3 &amp; "'!A:A"), INDIRECT("'" &amp; J$3 &amp; "'!B:B")),0)</f>
        <v>286</v>
      </c>
      <c r="K23" s="157" cm="1">
        <f t="array" aca="1" ref="K23" ca="1">IFERROR(_xlfn.XLOOKUP($A23, INDIRECT("'" &amp; K$3 &amp; "'!A:A"), INDIRECT("'" &amp; K$3 &amp; "'!B:B")),0)</f>
        <v>204</v>
      </c>
      <c r="L23" s="157" cm="1">
        <f t="array" aca="1" ref="L23" ca="1">IFERROR(_xlfn.XLOOKUP($A23, INDIRECT("'" &amp; L$3 &amp; "'!A:A"), INDIRECT("'" &amp; L$3 &amp; "'!B:B")),0)</f>
        <v>525</v>
      </c>
      <c r="M23" s="157" cm="1">
        <f t="array" aca="1" ref="M23" ca="1">IFERROR(_xlfn.XLOOKUP($A23, INDIRECT("'" &amp; M$3 &amp; "'!A:A"), INDIRECT("'" &amp; M$3 &amp; "'!B:B")),0)</f>
        <v>440</v>
      </c>
      <c r="N23" s="157" cm="1">
        <f t="array" aca="1" ref="N23" ca="1">IFERROR(_xlfn.XLOOKUP($A23, INDIRECT("'" &amp; N$3 &amp; "'!A:A"), INDIRECT("'" &amp; N$3 &amp; "'!B:B")),0)</f>
        <v>370</v>
      </c>
      <c r="O23" s="157" cm="1">
        <f t="array" aca="1" ref="O23" ca="1">IFERROR(_xlfn.XLOOKUP($A23, INDIRECT("'" &amp; O$3 &amp; "'!A:A"), INDIRECT("'" &amp; O$3 &amp; "'!B:B")),0)</f>
        <v>226</v>
      </c>
      <c r="P23" s="157" cm="1">
        <f t="array" aca="1" ref="P23" ca="1">IFERROR(_xlfn.XLOOKUP($A23, INDIRECT("'" &amp; P$3 &amp; "'!A:A"), INDIRECT("'" &amp; P$3 &amp; "'!B:B")),0)</f>
        <v>240</v>
      </c>
      <c r="Q23" s="157" cm="1">
        <f t="array" aca="1" ref="Q23" ca="1">IFERROR(_xlfn.XLOOKUP($A23, INDIRECT("'" &amp; Q$3 &amp; "'!A:A"), INDIRECT("'" &amp; Q$3 &amp; "'!B:B")),0)</f>
        <v>352</v>
      </c>
      <c r="R23" s="157" cm="1">
        <f t="array" aca="1" ref="R23" ca="1">IFERROR(_xlfn.XLOOKUP($A23, INDIRECT("'" &amp; R$3 &amp; "'!A:A"), INDIRECT("'" &amp; R$3 &amp; "'!B:B")),0)</f>
        <v>308</v>
      </c>
      <c r="S23" s="157" cm="1">
        <f t="array" aca="1" ref="S23" ca="1">IFERROR(_xlfn.XLOOKUP($A23, INDIRECT("'" &amp; S$3 &amp; "'!A:A"), INDIRECT("'" &amp; S$3 &amp; "'!B:B")),0)</f>
        <v>264</v>
      </c>
      <c r="T23" s="157" cm="1">
        <f t="array" aca="1" ref="T23" ca="1">IFERROR(_xlfn.XLOOKUP($A23, INDIRECT("'" &amp; T$3 &amp; "'!A:A"), INDIRECT("'" &amp; T$3 &amp; "'!B:B")),0)</f>
        <v>330</v>
      </c>
      <c r="U23" s="157" cm="1">
        <f t="array" aca="1" ref="U23" ca="1">IFERROR(_xlfn.XLOOKUP($A23, INDIRECT("'" &amp; U$3 &amp; "'!A:A"), INDIRECT("'" &amp; U$3 &amp; "'!B:B")),0)</f>
        <v>166</v>
      </c>
      <c r="V23" s="157" cm="1">
        <f t="array" aca="1" ref="V23" ca="1">IFERROR(_xlfn.XLOOKUP($A23, INDIRECT("'" &amp; V$3 &amp; "'!A:A"), INDIRECT("'" &amp; V$3 &amp; "'!B:B")),0)</f>
        <v>220</v>
      </c>
      <c r="W23" s="157" cm="1">
        <f t="array" aca="1" ref="W23" ca="1">IFERROR(_xlfn.XLOOKUP($A23, INDIRECT("'" &amp; W$3 &amp; "'!A:A"), INDIRECT("'" &amp; W$3 &amp; "'!B:B")),0)</f>
        <v>277</v>
      </c>
      <c r="X23" s="157" cm="1">
        <f t="array" aca="1" ref="X23" ca="1">IFERROR(_xlfn.XLOOKUP($A23, INDIRECT("'" &amp; X$3 &amp; "'!A:A"), INDIRECT("'" &amp; X$3 &amp; "'!B:B")),0)</f>
        <v>242</v>
      </c>
      <c r="Y23" s="157" cm="1">
        <f t="array" aca="1" ref="Y23" ca="1">IFERROR(_xlfn.XLOOKUP($A23, INDIRECT("'" &amp; Y$3 &amp; "'!A:A"), INDIRECT("'" &amp; Y$3 &amp; "'!B:B")),0)</f>
        <v>242</v>
      </c>
      <c r="Z23" s="157" cm="1">
        <f t="array" aca="1" ref="Z23" ca="1">IFERROR(_xlfn.XLOOKUP($A23, INDIRECT("'" &amp; Z$3 &amp; "'!A:A"), INDIRECT("'" &amp; Z$3 &amp; "'!B:B")),0)</f>
        <v>220</v>
      </c>
      <c r="AA23" s="157" cm="1">
        <f t="array" aca="1" ref="AA23" ca="1">IFERROR(_xlfn.XLOOKUP($A23, INDIRECT("'" &amp; AA$3 &amp; "'!A:A"), INDIRECT("'" &amp; AA$3 &amp; "'!B:B")),0)</f>
        <v>254</v>
      </c>
      <c r="AB23" s="157" cm="1">
        <f t="array" aca="1" ref="AB23" ca="1">IFERROR(_xlfn.XLOOKUP($A23, INDIRECT("'" &amp; AB$3 &amp; "'!A:A"), INDIRECT("'" &amp; AB$3 &amp; "'!B:B")),0)</f>
        <v>264</v>
      </c>
      <c r="AC23" s="157" cm="1">
        <f t="array" aca="1" ref="AC23" ca="1">IFERROR(_xlfn.XLOOKUP($A23, INDIRECT("'" &amp; AC$3 &amp; "'!A:A"), INDIRECT("'" &amp; AC$3 &amp; "'!B:B")),0)</f>
        <v>330</v>
      </c>
      <c r="AD23" s="157" cm="1">
        <f t="array" aca="1" ref="AD23" ca="1">IFERROR(_xlfn.XLOOKUP($A23, INDIRECT("'" &amp; AD$3 &amp; "'!A:A"), INDIRECT("'" &amp; AD$3 &amp; "'!B:B")),0)</f>
        <v>264</v>
      </c>
      <c r="AE23" s="157" cm="1">
        <f t="array" aca="1" ref="AE23" ca="1">IFERROR(_xlfn.XLOOKUP($A23, INDIRECT("'" &amp; AE$3 &amp; "'!A:A"), INDIRECT("'" &amp; AE$3 &amp; "'!B:B")),0)</f>
        <v>264</v>
      </c>
      <c r="AF23" s="157" cm="1">
        <f t="array" aca="1" ref="AF23" ca="1">IFERROR(_xlfn.XLOOKUP($A23, INDIRECT("'" &amp; AF$3 &amp; "'!A:A"), INDIRECT("'" &amp; AF$3 &amp; "'!B:B")),0)</f>
        <v>330</v>
      </c>
      <c r="AG23" s="157" cm="1">
        <f t="array" aca="1" ref="AG23" ca="1">IFERROR(_xlfn.XLOOKUP($A23, INDIRECT("'" &amp; AG$3 &amp; "'!A:A"), INDIRECT("'" &amp; AG$3 &amp; "'!B:B")),0)</f>
        <v>198</v>
      </c>
      <c r="AH23" s="157" cm="1">
        <f t="array" aca="1" ref="AH23" ca="1">IFERROR(_xlfn.XLOOKUP($A23, INDIRECT("'" &amp; AH$3 &amp; "'!A:A"), INDIRECT("'" &amp; AH$3 &amp; "'!B:B")),0)</f>
        <v>144</v>
      </c>
      <c r="AI23" s="157" cm="1">
        <f t="array" aca="1" ref="AI23" ca="1">IFERROR(_xlfn.XLOOKUP($A23, INDIRECT("'" &amp; AI$3 &amp; "'!A:A"), INDIRECT("'" &amp; AI$3 &amp; "'!B:B")),0)</f>
        <v>182</v>
      </c>
      <c r="AJ23" s="157">
        <f ca="1">C23</f>
        <v>308</v>
      </c>
      <c r="AK23" s="156" cm="1">
        <f t="array" aca="1" ref="AK23" ca="1">IFERROR(_xlfn.XLOOKUP($A23, INDIRECT("'" &amp; AK$3 &amp; "'!A:A"), INDIRECT("'" &amp; AK$3 &amp; "'!B:B")),0)</f>
        <v>0</v>
      </c>
      <c r="AL23" s="155" cm="1">
        <f t="array" aca="1" ref="AL23" ca="1">IFERROR(_xlfn.XLOOKUP($A23, INDIRECT("'" &amp; AL$3 &amp; "'!A:A"), INDIRECT("'" &amp; AL$3 &amp; "'!B:B")),0)</f>
        <v>0</v>
      </c>
      <c r="AM23" s="157" cm="1">
        <f t="array" aca="1" ref="AM23" ca="1">IFERROR(_xlfn.XLOOKUP($A23, INDIRECT("'" &amp; AM$3 &amp; "'!A:A"), INDIRECT("'" &amp; AM$3 &amp; "'!B:B")),0)</f>
        <v>0</v>
      </c>
    </row>
    <row r="24" spans="1:39" x14ac:dyDescent="0.25">
      <c r="A24" s="225" t="s">
        <v>170</v>
      </c>
      <c r="B24" s="157" cm="1">
        <f t="array" aca="1" ref="B24" ca="1">IFERROR(_xlfn.XLOOKUP($A24, INDIRECT("'" &amp; B$3 &amp; "'!A:A"), INDIRECT("'" &amp; B$3 &amp; "'!B:B")),0)</f>
        <v>1600</v>
      </c>
      <c r="C24" s="157" cm="1">
        <f t="array" aca="1" ref="C24" ca="1">IFERROR(_xlfn.XLOOKUP($A24, INDIRECT("'" &amp; C$3 &amp; "'!A:A"), INDIRECT("'" &amp; C$3 &amp; "'!B:B")),0)</f>
        <v>1600</v>
      </c>
      <c r="D24" s="157" cm="1">
        <f t="array" aca="1" ref="D24" ca="1">IFERROR(_xlfn.XLOOKUP($A24, INDIRECT("'" &amp; D$3 &amp; "'!A:A"), INDIRECT("'" &amp; D$3 &amp; "'!B:B")),0)</f>
        <v>0</v>
      </c>
      <c r="E24" s="157" cm="1">
        <f t="array" aca="1" ref="E24" ca="1">IFERROR(_xlfn.XLOOKUP($A24, INDIRECT("'" &amp; E$3 &amp; "'!A:A"), INDIRECT("'" &amp; E$3 &amp; "'!B:B")),0)</f>
        <v>1600</v>
      </c>
      <c r="F24" s="157" cm="1">
        <f t="array" aca="1" ref="F24" ca="1">IFERROR(_xlfn.XLOOKUP($A24, INDIRECT("'" &amp; F$3 &amp; "'!A:A"), INDIRECT("'" &amp; F$3 &amp; "'!B:B")),0)</f>
        <v>1600</v>
      </c>
      <c r="G24" s="157" cm="1">
        <f t="array" aca="1" ref="G24" ca="1">IFERROR(_xlfn.XLOOKUP($A24, INDIRECT("'" &amp; G$3 &amp; "'!A:A"), INDIRECT("'" &amp; G$3 &amp; "'!B:B")),0)</f>
        <v>1600</v>
      </c>
      <c r="H24" s="157" cm="1">
        <f t="array" aca="1" ref="H24" ca="1">IFERROR(_xlfn.XLOOKUP($A24, INDIRECT("'" &amp; H$3 &amp; "'!A:A"), INDIRECT("'" &amp; H$3 &amp; "'!B:B")),0)</f>
        <v>1600</v>
      </c>
      <c r="I24" s="157" cm="1">
        <f t="array" aca="1" ref="I24" ca="1">IFERROR(_xlfn.XLOOKUP($A24, INDIRECT("'" &amp; I$3 &amp; "'!A:A"), INDIRECT("'" &amp; I$3 &amp; "'!B:B")),0)</f>
        <v>1600</v>
      </c>
      <c r="J24" s="157" cm="1">
        <f t="array" aca="1" ref="J24" ca="1">IFERROR(_xlfn.XLOOKUP($A24, INDIRECT("'" &amp; J$3 &amp; "'!A:A"), INDIRECT("'" &amp; J$3 &amp; "'!B:B")),0)</f>
        <v>1600</v>
      </c>
      <c r="K24" s="157" cm="1">
        <f t="array" aca="1" ref="K24" ca="1">IFERROR(_xlfn.XLOOKUP($A24, INDIRECT("'" &amp; K$3 &amp; "'!A:A"), INDIRECT("'" &amp; K$3 &amp; "'!B:B")),0)</f>
        <v>1100</v>
      </c>
      <c r="L24" s="157" cm="1">
        <f t="array" aca="1" ref="L24" ca="1">IFERROR(_xlfn.XLOOKUP($A24, INDIRECT("'" &amp; L$3 &amp; "'!A:A"), INDIRECT("'" &amp; L$3 &amp; "'!B:B")),0)</f>
        <v>0</v>
      </c>
      <c r="M24" s="157" cm="1">
        <f t="array" aca="1" ref="M24" ca="1">IFERROR(_xlfn.XLOOKUP($A24, INDIRECT("'" &amp; M$3 &amp; "'!A:A"), INDIRECT("'" &amp; M$3 &amp; "'!B:B")),0)</f>
        <v>1600</v>
      </c>
      <c r="N24" s="157" cm="1">
        <f t="array" aca="1" ref="N24" ca="1">IFERROR(_xlfn.XLOOKUP($A24, INDIRECT("'" &amp; N$3 &amp; "'!A:A"), INDIRECT("'" &amp; N$3 &amp; "'!B:B")),0)</f>
        <v>0</v>
      </c>
      <c r="O24" s="157" cm="1">
        <f t="array" aca="1" ref="O24" ca="1">IFERROR(_xlfn.XLOOKUP($A24, INDIRECT("'" &amp; O$3 &amp; "'!A:A"), INDIRECT("'" &amp; O$3 &amp; "'!B:B")),0)</f>
        <v>1600</v>
      </c>
      <c r="P24" s="157" cm="1">
        <f t="array" aca="1" ref="P24" ca="1">IFERROR(_xlfn.XLOOKUP($A24, INDIRECT("'" &amp; P$3 &amp; "'!A:A"), INDIRECT("'" &amp; P$3 &amp; "'!B:B")),0)</f>
        <v>1100</v>
      </c>
      <c r="Q24" s="157" cm="1">
        <f t="array" aca="1" ref="Q24" ca="1">IFERROR(_xlfn.XLOOKUP($A24, INDIRECT("'" &amp; Q$3 &amp; "'!A:A"), INDIRECT("'" &amp; Q$3 &amp; "'!B:B")),0)</f>
        <v>1600</v>
      </c>
      <c r="R24" s="157" cm="1">
        <f t="array" aca="1" ref="R24" ca="1">IFERROR(_xlfn.XLOOKUP($A24, INDIRECT("'" &amp; R$3 &amp; "'!A:A"), INDIRECT("'" &amp; R$3 &amp; "'!B:B")),0)</f>
        <v>1100</v>
      </c>
      <c r="S24" s="157" cm="1">
        <f t="array" aca="1" ref="S24" ca="1">IFERROR(_xlfn.XLOOKUP($A24, INDIRECT("'" &amp; S$3 &amp; "'!A:A"), INDIRECT("'" &amp; S$3 &amp; "'!B:B")),0)</f>
        <v>1100</v>
      </c>
      <c r="T24" s="157" cm="1">
        <f t="array" aca="1" ref="T24" ca="1">IFERROR(_xlfn.XLOOKUP($A24, INDIRECT("'" &amp; T$3 &amp; "'!A:A"), INDIRECT("'" &amp; T$3 &amp; "'!B:B")),0)</f>
        <v>1100</v>
      </c>
      <c r="U24" s="157" cm="1">
        <f t="array" aca="1" ref="U24" ca="1">IFERROR(_xlfn.XLOOKUP($A24, INDIRECT("'" &amp; U$3 &amp; "'!A:A"), INDIRECT("'" &amp; U$3 &amp; "'!B:B")),0)</f>
        <v>0</v>
      </c>
      <c r="V24" s="157" cm="1">
        <f t="array" aca="1" ref="V24" ca="1">IFERROR(_xlfn.XLOOKUP($A24, INDIRECT("'" &amp; V$3 &amp; "'!A:A"), INDIRECT("'" &amp; V$3 &amp; "'!B:B")),0)</f>
        <v>0</v>
      </c>
      <c r="W24" s="157" cm="1">
        <f t="array" aca="1" ref="W24" ca="1">IFERROR(_xlfn.XLOOKUP($A24, INDIRECT("'" &amp; W$3 &amp; "'!A:A"), INDIRECT("'" &amp; W$3 &amp; "'!B:B")),0)</f>
        <v>1600</v>
      </c>
      <c r="X24" s="157" cm="1">
        <f t="array" aca="1" ref="X24" ca="1">IFERROR(_xlfn.XLOOKUP($A24, INDIRECT("'" &amp; X$3 &amp; "'!A:A"), INDIRECT("'" &amp; X$3 &amp; "'!B:B")),0)</f>
        <v>1100</v>
      </c>
      <c r="Y24" s="157" cm="1">
        <f t="array" aca="1" ref="Y24" ca="1">IFERROR(_xlfn.XLOOKUP($A24, INDIRECT("'" &amp; Y$3 &amp; "'!A:A"), INDIRECT("'" &amp; Y$3 &amp; "'!B:B")),0)</f>
        <v>1100</v>
      </c>
      <c r="Z24" s="157" cm="1">
        <f t="array" aca="1" ref="Z24" ca="1">IFERROR(_xlfn.XLOOKUP($A24, INDIRECT("'" &amp; Z$3 &amp; "'!A:A"), INDIRECT("'" &amp; Z$3 &amp; "'!B:B")),0)</f>
        <v>1600</v>
      </c>
      <c r="AA24" s="157" cm="1">
        <f t="array" aca="1" ref="AA24" ca="1">IFERROR(_xlfn.XLOOKUP($A24, INDIRECT("'" &amp; AA$3 &amp; "'!A:A"), INDIRECT("'" &amp; AA$3 &amp; "'!B:B")),0)</f>
        <v>1100</v>
      </c>
      <c r="AB24" s="157" cm="1">
        <f t="array" aca="1" ref="AB24" ca="1">IFERROR(_xlfn.XLOOKUP($A24, INDIRECT("'" &amp; AB$3 &amp; "'!A:A"), INDIRECT("'" &amp; AB$3 &amp; "'!B:B")),0)</f>
        <v>1600</v>
      </c>
      <c r="AC24" s="157" cm="1">
        <f t="array" aca="1" ref="AC24" ca="1">IFERROR(_xlfn.XLOOKUP($A24, INDIRECT("'" &amp; AC$3 &amp; "'!A:A"), INDIRECT("'" &amp; AC$3 &amp; "'!B:B")),0)</f>
        <v>1600</v>
      </c>
      <c r="AD24" s="157" cm="1">
        <f t="array" aca="1" ref="AD24" ca="1">IFERROR(_xlfn.XLOOKUP($A24, INDIRECT("'" &amp; AD$3 &amp; "'!A:A"), INDIRECT("'" &amp; AD$3 &amp; "'!B:B")),0)</f>
        <v>1100</v>
      </c>
      <c r="AE24" s="157" cm="1">
        <f t="array" aca="1" ref="AE24" ca="1">IFERROR(_xlfn.XLOOKUP($A24, INDIRECT("'" &amp; AE$3 &amp; "'!A:A"), INDIRECT("'" &amp; AE$3 &amp; "'!B:B")),0)</f>
        <v>1100</v>
      </c>
      <c r="AF24" s="157" cm="1">
        <f t="array" aca="1" ref="AF24" ca="1">IFERROR(_xlfn.XLOOKUP($A24, INDIRECT("'" &amp; AF$3 &amp; "'!A:A"), INDIRECT("'" &amp; AF$3 &amp; "'!B:B")),0)</f>
        <v>1600</v>
      </c>
      <c r="AG24" s="157" cm="1">
        <f t="array" aca="1" ref="AG24" ca="1">IFERROR(_xlfn.XLOOKUP($A24, INDIRECT("'" &amp; AG$3 &amp; "'!A:A"), INDIRECT("'" &amp; AG$3 &amp; "'!B:B")),0)</f>
        <v>1600</v>
      </c>
      <c r="AH24" s="157" cm="1">
        <f t="array" aca="1" ref="AH24" ca="1">IFERROR(_xlfn.XLOOKUP($A24, INDIRECT("'" &amp; AH$3 &amp; "'!A:A"), INDIRECT("'" &amp; AH$3 &amp; "'!B:B")),0)</f>
        <v>1600</v>
      </c>
      <c r="AI24" s="157" cm="1">
        <f t="array" aca="1" ref="AI24" ca="1">IFERROR(_xlfn.XLOOKUP($A24, INDIRECT("'" &amp; AI$3 &amp; "'!A:A"), INDIRECT("'" &amp; AI$3 &amp; "'!B:B")),0)</f>
        <v>1100</v>
      </c>
      <c r="AJ24" s="157">
        <f ca="1">C24</f>
        <v>1600</v>
      </c>
      <c r="AK24" s="156" cm="1">
        <f t="array" aca="1" ref="AK24" ca="1">IFERROR(_xlfn.XLOOKUP($A24, INDIRECT("'" &amp; AK$3 &amp; "'!A:A"), INDIRECT("'" &amp; AK$3 &amp; "'!B:B")),0)</f>
        <v>1200</v>
      </c>
      <c r="AL24" s="155" cm="1">
        <f t="array" aca="1" ref="AL24" ca="1">IFERROR(_xlfn.XLOOKUP($A24, INDIRECT("'" &amp; AL$3 &amp; "'!A:A"), INDIRECT("'" &amp; AL$3 &amp; "'!B:B")),0)</f>
        <v>1900</v>
      </c>
      <c r="AM24" s="157" cm="1">
        <f t="array" aca="1" ref="AM24" ca="1">IFERROR(_xlfn.XLOOKUP($A24, INDIRECT("'" &amp; AM$3 &amp; "'!A:A"), INDIRECT("'" &amp; AM$3 &amp; "'!B:B")),0)</f>
        <v>1800</v>
      </c>
    </row>
    <row r="25" spans="1:39" x14ac:dyDescent="0.25">
      <c r="A25" s="225" t="s">
        <v>171</v>
      </c>
      <c r="B25" s="157" cm="1">
        <f t="array" aca="1" ref="B25" ca="1">IFERROR(_xlfn.XLOOKUP($A25, INDIRECT("'" &amp; B$3 &amp; "'!A:A"), INDIRECT("'" &amp; B$3 &amp; "'!B:B")),0)</f>
        <v>13635</v>
      </c>
      <c r="C25" s="157" cm="1">
        <f t="array" aca="1" ref="C25" ca="1">IFERROR(_xlfn.XLOOKUP($A25, INDIRECT("'" &amp; C$3 &amp; "'!A:A"), INDIRECT("'" &amp; C$3 &amp; "'!B:B")),0)</f>
        <v>12373</v>
      </c>
      <c r="D25" s="157" cm="1">
        <f t="array" aca="1" ref="D25" ca="1">IFERROR(_xlfn.XLOOKUP($A25, INDIRECT("'" &amp; D$3 &amp; "'!A:A"), INDIRECT("'" &amp; D$3 &amp; "'!B:B")),0)</f>
        <v>11996</v>
      </c>
      <c r="E25" s="157" cm="1">
        <f t="array" aca="1" ref="E25" ca="1">IFERROR(_xlfn.XLOOKUP($A25, INDIRECT("'" &amp; E$3 &amp; "'!A:A"), INDIRECT("'" &amp; E$3 &amp; "'!B:B")),0)</f>
        <v>13451</v>
      </c>
      <c r="F25" s="157" cm="1">
        <f t="array" aca="1" ref="F25" ca="1">IFERROR(_xlfn.XLOOKUP($A25, INDIRECT("'" &amp; F$3 &amp; "'!A:A"), INDIRECT("'" &amp; F$3 &amp; "'!B:B")),0)</f>
        <v>15022</v>
      </c>
      <c r="G25" s="157" cm="1">
        <f t="array" aca="1" ref="G25" ca="1">IFERROR(_xlfn.XLOOKUP($A25, INDIRECT("'" &amp; G$3 &amp; "'!A:A"), INDIRECT("'" &amp; G$3 &amp; "'!B:B")),0)</f>
        <v>12111</v>
      </c>
      <c r="H25" s="157" cm="1">
        <f t="array" aca="1" ref="H25" ca="1">IFERROR(_xlfn.XLOOKUP($A25, INDIRECT("'" &amp; H$3 &amp; "'!A:A"), INDIRECT("'" &amp; H$3 &amp; "'!B:B")),0)</f>
        <v>12337</v>
      </c>
      <c r="I25" s="157" cm="1">
        <f t="array" aca="1" ref="I25" ca="1">IFERROR(_xlfn.XLOOKUP($A25, INDIRECT("'" &amp; I$3 &amp; "'!A:A"), INDIRECT("'" &amp; I$3 &amp; "'!B:B")),0)</f>
        <v>12111</v>
      </c>
      <c r="J25" s="157" cm="1">
        <f t="array" aca="1" ref="J25" ca="1">IFERROR(_xlfn.XLOOKUP($A25, INDIRECT("'" &amp; J$3 &amp; "'!A:A"), INDIRECT("'" &amp; J$3 &amp; "'!B:B")),0)</f>
        <v>12111</v>
      </c>
      <c r="K25" s="157" cm="1">
        <f t="array" aca="1" ref="K25" ca="1">IFERROR(_xlfn.XLOOKUP($A25, INDIRECT("'" &amp; K$3 &amp; "'!A:A"), INDIRECT("'" &amp; K$3 &amp; "'!B:B")),0)</f>
        <v>13524</v>
      </c>
      <c r="L25" s="157" cm="1">
        <f t="array" aca="1" ref="L25" ca="1">IFERROR(_xlfn.XLOOKUP($A25, INDIRECT("'" &amp; L$3 &amp; "'!A:A"), INDIRECT("'" &amp; L$3 &amp; "'!B:B")),0)</f>
        <v>16119</v>
      </c>
      <c r="M25" s="157" cm="1">
        <f t="array" aca="1" ref="M25" ca="1">IFERROR(_xlfn.XLOOKUP($A25, INDIRECT("'" &amp; M$3 &amp; "'!A:A"), INDIRECT("'" &amp; M$3 &amp; "'!B:B")),0)</f>
        <v>15589</v>
      </c>
      <c r="N25" s="157" cm="1">
        <f t="array" aca="1" ref="N25" ca="1">IFERROR(_xlfn.XLOOKUP($A25, INDIRECT("'" &amp; N$3 &amp; "'!A:A"), INDIRECT("'" &amp; N$3 &amp; "'!B:B")),0)</f>
        <v>12560</v>
      </c>
      <c r="O25" s="157" cm="1">
        <f t="array" aca="1" ref="O25" ca="1">IFERROR(_xlfn.XLOOKUP($A25, INDIRECT("'" &amp; O$3 &amp; "'!A:A"), INDIRECT("'" &amp; O$3 &amp; "'!B:B")),0)</f>
        <v>10261</v>
      </c>
      <c r="P25" s="157" cm="1">
        <f t="array" aca="1" ref="P25" ca="1">IFERROR(_xlfn.XLOOKUP($A25, INDIRECT("'" &amp; P$3 &amp; "'!A:A"), INDIRECT("'" &amp; P$3 &amp; "'!B:B")),0)</f>
        <v>10398</v>
      </c>
      <c r="Q25" s="157" cm="1">
        <f t="array" aca="1" ref="Q25" ca="1">IFERROR(_xlfn.XLOOKUP($A25, INDIRECT("'" &amp; Q$3 &amp; "'!A:A"), INDIRECT("'" &amp; Q$3 &amp; "'!B:B")),0)</f>
        <v>12631</v>
      </c>
      <c r="R25" s="157" cm="1">
        <f t="array" aca="1" ref="R25" ca="1">IFERROR(_xlfn.XLOOKUP($A25, INDIRECT("'" &amp; R$3 &amp; "'!A:A"), INDIRECT("'" &amp; R$3 &amp; "'!B:B")),0)</f>
        <v>12671</v>
      </c>
      <c r="S25" s="157" cm="1">
        <f t="array" aca="1" ref="S25" ca="1">IFERROR(_xlfn.XLOOKUP($A25, INDIRECT("'" &amp; S$3 &amp; "'!A:A"), INDIRECT("'" &amp; S$3 &amp; "'!B:B")),0)</f>
        <v>12504</v>
      </c>
      <c r="T25" s="157" cm="1">
        <f t="array" aca="1" ref="T25" ca="1">IFERROR(_xlfn.XLOOKUP($A25, INDIRECT("'" &amp; T$3 &amp; "'!A:A"), INDIRECT("'" &amp; T$3 &amp; "'!B:B")),0)</f>
        <v>13256</v>
      </c>
      <c r="U25" s="157" cm="1">
        <f t="array" aca="1" ref="U25" ca="1">IFERROR(_xlfn.XLOOKUP($A25, INDIRECT("'" &amp; U$3 &amp; "'!A:A"), INDIRECT("'" &amp; U$3 &amp; "'!B:B")),0)</f>
        <v>11949</v>
      </c>
      <c r="V25" s="157" cm="1">
        <f t="array" aca="1" ref="V25" ca="1">IFERROR(_xlfn.XLOOKUP($A25, INDIRECT("'" &amp; V$3 &amp; "'!A:A"), INDIRECT("'" &amp; V$3 &amp; "'!B:B")),0)</f>
        <v>12560</v>
      </c>
      <c r="W25" s="157" cm="1">
        <f t="array" aca="1" ref="W25" ca="1">IFERROR(_xlfn.XLOOKUP($A25, INDIRECT("'" &amp; W$3 &amp; "'!A:A"), INDIRECT("'" &amp; W$3 &amp; "'!B:B")),0)</f>
        <v>12463</v>
      </c>
      <c r="X25" s="157" cm="1">
        <f t="array" aca="1" ref="X25" ca="1">IFERROR(_xlfn.XLOOKUP($A25, INDIRECT("'" &amp; X$3 &amp; "'!A:A"), INDIRECT("'" &amp; X$3 &amp; "'!B:B")),0)</f>
        <v>12567</v>
      </c>
      <c r="Y25" s="157" cm="1">
        <f t="array" aca="1" ref="Y25" ca="1">IFERROR(_xlfn.XLOOKUP($A25, INDIRECT("'" &amp; Y$3 &amp; "'!A:A"), INDIRECT("'" &amp; Y$3 &amp; "'!B:B")),0)</f>
        <v>13256</v>
      </c>
      <c r="Z25" s="157" cm="1">
        <f t="array" aca="1" ref="Z25" ca="1">IFERROR(_xlfn.XLOOKUP($A25, INDIRECT("'" &amp; Z$3 &amp; "'!A:A"), INDIRECT("'" &amp; Z$3 &amp; "'!B:B")),0)</f>
        <v>9830</v>
      </c>
      <c r="AA25" s="157" cm="1">
        <f t="array" aca="1" ref="AA25" ca="1">IFERROR(_xlfn.XLOOKUP($A25, INDIRECT("'" &amp; AA$3 &amp; "'!A:A"), INDIRECT("'" &amp; AA$3 &amp; "'!B:B")),0)</f>
        <v>10552</v>
      </c>
      <c r="AB25" s="157" cm="1">
        <f t="array" aca="1" ref="AB25" ca="1">IFERROR(_xlfn.XLOOKUP($A25, INDIRECT("'" &amp; AB$3 &amp; "'!A:A"), INDIRECT("'" &amp; AB$3 &amp; "'!B:B")),0)</f>
        <v>13782</v>
      </c>
      <c r="AC25" s="157" cm="1">
        <f t="array" aca="1" ref="AC25" ca="1">IFERROR(_xlfn.XLOOKUP($A25, INDIRECT("'" &amp; AC$3 &amp; "'!A:A"), INDIRECT("'" &amp; AC$3 &amp; "'!B:B")),0)</f>
        <v>13695</v>
      </c>
      <c r="AD25" s="157" cm="1">
        <f t="array" aca="1" ref="AD25" ca="1">IFERROR(_xlfn.XLOOKUP($A25, INDIRECT("'" &amp; AD$3 &amp; "'!A:A"), INDIRECT("'" &amp; AD$3 &amp; "'!B:B")),0)</f>
        <v>12755</v>
      </c>
      <c r="AE25" s="157" cm="1">
        <f t="array" aca="1" ref="AE25" ca="1">IFERROR(_xlfn.XLOOKUP($A25, INDIRECT("'" &amp; AE$3 &amp; "'!A:A"), INDIRECT("'" &amp; AE$3 &amp; "'!B:B")),0)</f>
        <v>12429</v>
      </c>
      <c r="AF25" s="157" cm="1">
        <f t="array" aca="1" ref="AF25" ca="1">IFERROR(_xlfn.XLOOKUP($A25, INDIRECT("'" &amp; AF$3 &amp; "'!A:A"), INDIRECT("'" &amp; AF$3 &amp; "'!B:B")),0)</f>
        <v>12615</v>
      </c>
      <c r="AG25" s="157" cm="1">
        <f t="array" aca="1" ref="AG25" ca="1">IFERROR(_xlfn.XLOOKUP($A25, INDIRECT("'" &amp; AG$3 &amp; "'!A:A"), INDIRECT("'" &amp; AG$3 &amp; "'!B:B")),0)</f>
        <v>13258</v>
      </c>
      <c r="AH25" s="157" cm="1">
        <f t="array" aca="1" ref="AH25" ca="1">IFERROR(_xlfn.XLOOKUP($A25, INDIRECT("'" &amp; AH$3 &amp; "'!A:A"), INDIRECT("'" &amp; AH$3 &amp; "'!B:B")),0)</f>
        <v>12489</v>
      </c>
      <c r="AI25" s="157" cm="1">
        <f t="array" aca="1" ref="AI25" ca="1">IFERROR(_xlfn.XLOOKUP($A25, INDIRECT("'" &amp; AI$3 &amp; "'!A:A"), INDIRECT("'" &amp; AI$3 &amp; "'!B:B")),0)</f>
        <v>14692</v>
      </c>
      <c r="AJ25" s="157">
        <f ca="1">C25+AM1</f>
        <v>15873</v>
      </c>
      <c r="AK25" s="156" cm="1">
        <f t="array" aca="1" ref="AK25" ca="1">IFERROR(_xlfn.XLOOKUP($A25, INDIRECT("'" &amp; AK$3 &amp; "'!A:A"), INDIRECT("'" &amp; AK$3 &amp; "'!B:B")),0)</f>
        <v>15464.77</v>
      </c>
      <c r="AL25" s="155" cm="1">
        <f t="array" aca="1" ref="AL25" ca="1">IFERROR(_xlfn.XLOOKUP($A25, INDIRECT("'" &amp; AL$3 &amp; "'!A:A"), INDIRECT("'" &amp; AL$3 &amp; "'!B:B")),0)</f>
        <v>12812.389080000001</v>
      </c>
      <c r="AM25" s="157" cm="1">
        <f t="array" aca="1" ref="AM25" ca="1">IFERROR(_xlfn.XLOOKUP($A25, INDIRECT("'" &amp; AM$3 &amp; "'!A:A"), INDIRECT("'" &amp; AM$3 &amp; "'!B:B")),0)</f>
        <v>13629.41</v>
      </c>
    </row>
    <row r="26" spans="1:39" x14ac:dyDescent="0.25">
      <c r="A26" s="225" t="s">
        <v>172</v>
      </c>
      <c r="B26" s="157" cm="1">
        <f t="array" aca="1" ref="B26" ca="1">IFERROR(_xlfn.XLOOKUP($A26, INDIRECT("'" &amp; B$3 &amp; "'!A:A"), INDIRECT("'" &amp; B$3 &amp; "'!B:B")),0)</f>
        <v>10900</v>
      </c>
      <c r="C26" s="157" cm="1">
        <f t="array" aca="1" ref="C26" ca="1">IFERROR(_xlfn.XLOOKUP($A26, INDIRECT("'" &amp; C$3 &amp; "'!A:A"), INDIRECT("'" &amp; C$3 &amp; "'!B:B")),0)</f>
        <v>10300</v>
      </c>
      <c r="D26" s="157" cm="1">
        <f t="array" aca="1" ref="D26" ca="1">IFERROR(_xlfn.XLOOKUP($A26, INDIRECT("'" &amp; D$3 &amp; "'!A:A"), INDIRECT("'" &amp; D$3 &amp; "'!B:B")),0)</f>
        <v>10100</v>
      </c>
      <c r="E26" s="157" cm="1">
        <f t="array" aca="1" ref="E26" ca="1">IFERROR(_xlfn.XLOOKUP($A26, INDIRECT("'" &amp; E$3 &amp; "'!A:A"), INDIRECT("'" &amp; E$3 &amp; "'!B:B")),0)</f>
        <v>9600</v>
      </c>
      <c r="F26" s="157" cm="1">
        <f t="array" aca="1" ref="F26" ca="1">IFERROR(_xlfn.XLOOKUP($A26, INDIRECT("'" &amp; F$3 &amp; "'!A:A"), INDIRECT("'" &amp; F$3 &amp; "'!B:B")),0)</f>
        <v>10900</v>
      </c>
      <c r="G26" s="157" cm="1">
        <f t="array" aca="1" ref="G26" ca="1">IFERROR(_xlfn.XLOOKUP($A26, INDIRECT("'" &amp; G$3 &amp; "'!A:A"), INDIRECT("'" &amp; G$3 &amp; "'!B:B")),0)</f>
        <v>10200</v>
      </c>
      <c r="H26" s="157" cm="1">
        <f t="array" aca="1" ref="H26" ca="1">IFERROR(_xlfn.XLOOKUP($A26, INDIRECT("'" &amp; H$3 &amp; "'!A:A"), INDIRECT("'" &amp; H$3 &amp; "'!B:B")),0)</f>
        <v>10400</v>
      </c>
      <c r="I26" s="157" cm="1">
        <f t="array" aca="1" ref="I26" ca="1">IFERROR(_xlfn.XLOOKUP($A26, INDIRECT("'" &amp; I$3 &amp; "'!A:A"), INDIRECT("'" &amp; I$3 &amp; "'!B:B")),0)</f>
        <v>10400</v>
      </c>
      <c r="J26" s="157" cm="1">
        <f t="array" aca="1" ref="J26" ca="1">IFERROR(_xlfn.XLOOKUP($A26, INDIRECT("'" &amp; J$3 &amp; "'!A:A"), INDIRECT("'" &amp; J$3 &amp; "'!B:B")),0)</f>
        <v>10400</v>
      </c>
      <c r="K26" s="157" cm="1">
        <f t="array" aca="1" ref="K26" ca="1">IFERROR(_xlfn.XLOOKUP($A26, INDIRECT("'" &amp; K$3 &amp; "'!A:A"), INDIRECT("'" &amp; K$3 &amp; "'!B:B")),0)</f>
        <v>9200</v>
      </c>
      <c r="L26" s="157" cm="1">
        <f t="array" aca="1" ref="L26" ca="1">IFERROR(_xlfn.XLOOKUP($A26, INDIRECT("'" &amp; L$3 &amp; "'!A:A"), INDIRECT("'" &amp; L$3 &amp; "'!B:B")),0)</f>
        <v>14300</v>
      </c>
      <c r="M26" s="157" cm="1">
        <f t="array" aca="1" ref="M26" ca="1">IFERROR(_xlfn.XLOOKUP($A26, INDIRECT("'" &amp; M$3 &amp; "'!A:A"), INDIRECT("'" &amp; M$3 &amp; "'!B:B")),0)</f>
        <v>16500</v>
      </c>
      <c r="N26" s="157" cm="1">
        <f t="array" aca="1" ref="N26" ca="1">IFERROR(_xlfn.XLOOKUP($A26, INDIRECT("'" &amp; N$3 &amp; "'!A:A"), INDIRECT("'" &amp; N$3 &amp; "'!B:B")),0)</f>
        <v>10400</v>
      </c>
      <c r="O26" s="157" cm="1">
        <f t="array" aca="1" ref="O26" ca="1">IFERROR(_xlfn.XLOOKUP($A26, INDIRECT("'" &amp; O$3 &amp; "'!A:A"), INDIRECT("'" &amp; O$3 &amp; "'!B:B")),0)</f>
        <v>8700</v>
      </c>
      <c r="P26" s="157" cm="1">
        <f t="array" aca="1" ref="P26" ca="1">IFERROR(_xlfn.XLOOKUP($A26, INDIRECT("'" &amp; P$3 &amp; "'!A:A"), INDIRECT("'" &amp; P$3 &amp; "'!B:B")),0)</f>
        <v>7200</v>
      </c>
      <c r="Q26" s="157" cm="1">
        <f t="array" aca="1" ref="Q26" ca="1">IFERROR(_xlfn.XLOOKUP($A26, INDIRECT("'" &amp; Q$3 &amp; "'!A:A"), INDIRECT("'" &amp; Q$3 &amp; "'!B:B")),0)</f>
        <v>10400</v>
      </c>
      <c r="R26" s="157" cm="1">
        <f t="array" aca="1" ref="R26" ca="1">IFERROR(_xlfn.XLOOKUP($A26, INDIRECT("'" &amp; R$3 &amp; "'!A:A"), INDIRECT("'" &amp; R$3 &amp; "'!B:B")),0)</f>
        <v>10400</v>
      </c>
      <c r="S26" s="157" cm="1">
        <f t="array" aca="1" ref="S26" ca="1">IFERROR(_xlfn.XLOOKUP($A26, INDIRECT("'" &amp; S$3 &amp; "'!A:A"), INDIRECT("'" &amp; S$3 &amp; "'!B:B")),0)</f>
        <v>9500</v>
      </c>
      <c r="T26" s="157" cm="1">
        <f t="array" aca="1" ref="T26" ca="1">IFERROR(_xlfn.XLOOKUP($A26, INDIRECT("'" &amp; T$3 &amp; "'!A:A"), INDIRECT("'" &amp; T$3 &amp; "'!B:B")),0)</f>
        <v>10400</v>
      </c>
      <c r="U26" s="157" cm="1">
        <f t="array" aca="1" ref="U26" ca="1">IFERROR(_xlfn.XLOOKUP($A26, INDIRECT("'" &amp; U$3 &amp; "'!A:A"), INDIRECT("'" &amp; U$3 &amp; "'!B:B")),0)</f>
        <v>9200</v>
      </c>
      <c r="V26" s="157" cm="1">
        <f t="array" aca="1" ref="V26" ca="1">IFERROR(_xlfn.XLOOKUP($A26, INDIRECT("'" &amp; V$3 &amp; "'!A:A"), INDIRECT("'" &amp; V$3 &amp; "'!B:B")),0)</f>
        <v>8470</v>
      </c>
      <c r="W26" s="157" cm="1">
        <f t="array" aca="1" ref="W26" ca="1">IFERROR(_xlfn.XLOOKUP($A26, INDIRECT("'" &amp; W$3 &amp; "'!A:A"), INDIRECT("'" &amp; W$3 &amp; "'!B:B")),0)</f>
        <v>11300</v>
      </c>
      <c r="X26" s="157" cm="1">
        <f t="array" aca="1" ref="X26" ca="1">IFERROR(_xlfn.XLOOKUP($A26, INDIRECT("'" &amp; X$3 &amp; "'!A:A"), INDIRECT("'" &amp; X$3 &amp; "'!B:B")),0)</f>
        <v>9500</v>
      </c>
      <c r="Y26" s="157" cm="1">
        <f t="array" aca="1" ref="Y26" ca="1">IFERROR(_xlfn.XLOOKUP($A26, INDIRECT("'" &amp; Y$3 &amp; "'!A:A"), INDIRECT("'" &amp; Y$3 &amp; "'!B:B")),0)</f>
        <v>10200</v>
      </c>
      <c r="Z26" s="157" cm="1">
        <f t="array" aca="1" ref="Z26" ca="1">IFERROR(_xlfn.XLOOKUP($A26, INDIRECT("'" &amp; Z$3 &amp; "'!A:A"), INDIRECT("'" &amp; Z$3 &amp; "'!B:B")),0)</f>
        <v>10500</v>
      </c>
      <c r="AA26" s="157" cm="1">
        <f t="array" aca="1" ref="AA26" ca="1">IFERROR(_xlfn.XLOOKUP($A26, INDIRECT("'" &amp; AA$3 &amp; "'!A:A"), INDIRECT("'" &amp; AA$3 &amp; "'!B:B")),0)</f>
        <v>9900</v>
      </c>
      <c r="AB26" s="157" cm="1">
        <f t="array" aca="1" ref="AB26" ca="1">IFERROR(_xlfn.XLOOKUP($A26, INDIRECT("'" &amp; AB$3 &amp; "'!A:A"), INDIRECT("'" &amp; AB$3 &amp; "'!B:B")),0)</f>
        <v>11900</v>
      </c>
      <c r="AC26" s="157" cm="1">
        <f t="array" aca="1" ref="AC26" ca="1">IFERROR(_xlfn.XLOOKUP($A26, INDIRECT("'" &amp; AC$3 &amp; "'!A:A"), INDIRECT("'" &amp; AC$3 &amp; "'!B:B")),0)</f>
        <v>11700</v>
      </c>
      <c r="AD26" s="157" cm="1">
        <f t="array" aca="1" ref="AD26" ca="1">IFERROR(_xlfn.XLOOKUP($A26, INDIRECT("'" &amp; AD$3 &amp; "'!A:A"), INDIRECT("'" &amp; AD$3 &amp; "'!B:B")),0)</f>
        <v>11800</v>
      </c>
      <c r="AE26" s="157" cm="1">
        <f t="array" aca="1" ref="AE26" ca="1">IFERROR(_xlfn.XLOOKUP($A26, INDIRECT("'" &amp; AE$3 &amp; "'!A:A"), INDIRECT("'" &amp; AE$3 &amp; "'!B:B")),0)</f>
        <v>10100</v>
      </c>
      <c r="AF26" s="157" cm="1">
        <f t="array" aca="1" ref="AF26" ca="1">IFERROR(_xlfn.XLOOKUP($A26, INDIRECT("'" &amp; AF$3 &amp; "'!A:A"), INDIRECT("'" &amp; AF$3 &amp; "'!B:B")),0)</f>
        <v>10200</v>
      </c>
      <c r="AG26" s="157" cm="1">
        <f t="array" aca="1" ref="AG26" ca="1">IFERROR(_xlfn.XLOOKUP($A26, INDIRECT("'" &amp; AG$3 &amp; "'!A:A"), INDIRECT("'" &amp; AG$3 &amp; "'!B:B")),0)</f>
        <v>10600</v>
      </c>
      <c r="AH26" s="157" cm="1">
        <f t="array" aca="1" ref="AH26" ca="1">IFERROR(_xlfn.XLOOKUP($A26, INDIRECT("'" &amp; AH$3 &amp; "'!A:A"), INDIRECT("'" &amp; AH$3 &amp; "'!B:B")),0)</f>
        <v>9700</v>
      </c>
      <c r="AI26" s="157" cm="1">
        <f t="array" aca="1" ref="AI26" ca="1">IFERROR(_xlfn.XLOOKUP($A26, INDIRECT("'" &amp; AI$3 &amp; "'!A:A"), INDIRECT("'" &amp; AI$3 &amp; "'!B:B")),0)</f>
        <v>13540</v>
      </c>
      <c r="AJ26" s="157">
        <f ca="1">C26+AM1</f>
        <v>13800</v>
      </c>
      <c r="AK26" s="156" cm="1">
        <f t="array" aca="1" ref="AK26" ca="1">IFERROR(_xlfn.XLOOKUP($A26, INDIRECT("'" &amp; AK$3 &amp; "'!A:A"), INDIRECT("'" &amp; AK$3 &amp; "'!B:B")),0)</f>
        <v>9900</v>
      </c>
      <c r="AL26" s="155" cm="1">
        <f t="array" aca="1" ref="AL26" ca="1">IFERROR(_xlfn.XLOOKUP($A26, INDIRECT("'" &amp; AL$3 &amp; "'!A:A"), INDIRECT("'" &amp; AL$3 &amp; "'!B:B")),0)</f>
        <v>9556.7999999999993</v>
      </c>
      <c r="AM26" s="157" cm="1">
        <f t="array" aca="1" ref="AM26" ca="1">IFERROR(_xlfn.XLOOKUP($A26, INDIRECT("'" &amp; AM$3 &amp; "'!A:A"), INDIRECT("'" &amp; AM$3 &amp; "'!B:B")),0)</f>
        <v>13990</v>
      </c>
    </row>
    <row r="27" spans="1:39" x14ac:dyDescent="0.25">
      <c r="A27" s="225" t="s">
        <v>173</v>
      </c>
      <c r="B27" s="157" cm="1">
        <f t="array" aca="1" ref="B27" ca="1">IFERROR(_xlfn.XLOOKUP($A27, INDIRECT("'" &amp; B$3 &amp; "'!A:A"), INDIRECT("'" &amp; B$3 &amp; "'!B:B")),0)</f>
        <v>9475.9699999999993</v>
      </c>
      <c r="C27" s="157" cm="1">
        <f t="array" aca="1" ref="C27" ca="1">IFERROR(_xlfn.XLOOKUP($A27, INDIRECT("'" &amp; C$3 &amp; "'!A:A"), INDIRECT("'" &amp; C$3 &amp; "'!B:B")),0)</f>
        <v>8397.7800000000007</v>
      </c>
      <c r="D27" s="157" cm="1">
        <f t="array" aca="1" ref="D27" ca="1">IFERROR(_xlfn.XLOOKUP($A27, INDIRECT("'" &amp; D$3 &amp; "'!A:A"), INDIRECT("'" &amp; D$3 &amp; "'!B:B")),0)</f>
        <v>7191</v>
      </c>
      <c r="E27" s="157" cm="1">
        <f t="array" aca="1" ref="E27" ca="1">IFERROR(_xlfn.XLOOKUP($A27, INDIRECT("'" &amp; E$3 &amp; "'!A:A"), INDIRECT("'" &amp; E$3 &amp; "'!B:B")),0)</f>
        <v>6622.98</v>
      </c>
      <c r="F27" s="157" cm="1">
        <f t="array" aca="1" ref="F27" ca="1">IFERROR(_xlfn.XLOOKUP($A27, INDIRECT("'" &amp; F$3 &amp; "'!A:A"), INDIRECT("'" &amp; F$3 &amp; "'!B:B")),0)</f>
        <v>8947.9</v>
      </c>
      <c r="G27" s="157" cm="1">
        <f t="array" aca="1" ref="G27" ca="1">IFERROR(_xlfn.XLOOKUP($A27, INDIRECT("'" &amp; G$3 &amp; "'!A:A"), INDIRECT("'" &amp; G$3 &amp; "'!B:B")),0)</f>
        <v>6948.8799999999992</v>
      </c>
      <c r="H27" s="157" cm="1">
        <f t="array" aca="1" ref="H27" ca="1">IFERROR(_xlfn.XLOOKUP($A27, INDIRECT("'" &amp; H$3 &amp; "'!A:A"), INDIRECT("'" &amp; H$3 &amp; "'!B:B")),0)</f>
        <v>7859.7699999999995</v>
      </c>
      <c r="I27" s="157" cm="1">
        <f t="array" aca="1" ref="I27" ca="1">IFERROR(_xlfn.XLOOKUP($A27, INDIRECT("'" &amp; I$3 &amp; "'!A:A"), INDIRECT("'" &amp; I$3 &amp; "'!B:B")),0)</f>
        <v>8989.73</v>
      </c>
      <c r="J27" s="157" cm="1">
        <f t="array" aca="1" ref="J27" ca="1">IFERROR(_xlfn.XLOOKUP($A27, INDIRECT("'" &amp; J$3 &amp; "'!A:A"), INDIRECT("'" &amp; J$3 &amp; "'!B:B")),0)</f>
        <v>8022.68</v>
      </c>
      <c r="K27" s="157" cm="1">
        <f t="array" aca="1" ref="K27" ca="1">IFERROR(_xlfn.XLOOKUP($A27, INDIRECT("'" &amp; K$3 &amp; "'!A:A"), INDIRECT("'" &amp; K$3 &amp; "'!B:B")),0)</f>
        <v>8179.07</v>
      </c>
      <c r="L27" s="157" cm="1">
        <f t="array" aca="1" ref="L27" ca="1">IFERROR(_xlfn.XLOOKUP($A27, INDIRECT("'" &amp; L$3 &amp; "'!A:A"), INDIRECT("'" &amp; L$3 &amp; "'!B:B")),0)</f>
        <v>9830.34</v>
      </c>
      <c r="M27" s="157" cm="1">
        <f t="array" aca="1" ref="M27" ca="1">IFERROR(_xlfn.XLOOKUP($A27, INDIRECT("'" &amp; M$3 &amp; "'!A:A"), INDIRECT("'" &amp; M$3 &amp; "'!B:B")),0)</f>
        <v>9554.92</v>
      </c>
      <c r="N27" s="157" cm="1">
        <f t="array" aca="1" ref="N27" ca="1">IFERROR(_xlfn.XLOOKUP($A27, INDIRECT("'" &amp; N$3 &amp; "'!A:A"), INDIRECT("'" &amp; N$3 &amp; "'!B:B")),0)</f>
        <v>7197.3799999999992</v>
      </c>
      <c r="O27" s="157" cm="1">
        <f t="array" aca="1" ref="O27" ca="1">IFERROR(_xlfn.XLOOKUP($A27, INDIRECT("'" &amp; O$3 &amp; "'!A:A"), INDIRECT("'" &amp; O$3 &amp; "'!B:B")),0)</f>
        <v>6843.48</v>
      </c>
      <c r="P27" s="157" cm="1">
        <f t="array" aca="1" ref="P27" ca="1">IFERROR(_xlfn.XLOOKUP($A27, INDIRECT("'" &amp; P$3 &amp; "'!A:A"), INDIRECT("'" &amp; P$3 &amp; "'!B:B")),0)</f>
        <v>5941.07</v>
      </c>
      <c r="Q27" s="157" cm="1">
        <f t="array" aca="1" ref="Q27" ca="1">IFERROR(_xlfn.XLOOKUP($A27, INDIRECT("'" &amp; Q$3 &amp; "'!A:A"), INDIRECT("'" &amp; Q$3 &amp; "'!B:B")),0)</f>
        <v>8876.69</v>
      </c>
      <c r="R27" s="157" cm="1">
        <f t="array" aca="1" ref="R27" ca="1">IFERROR(_xlfn.XLOOKUP($A27, INDIRECT("'" &amp; R$3 &amp; "'!A:A"), INDIRECT("'" &amp; R$3 &amp; "'!B:B")),0)</f>
        <v>8314.77</v>
      </c>
      <c r="S27" s="157" cm="1">
        <f t="array" aca="1" ref="S27" ca="1">IFERROR(_xlfn.XLOOKUP($A27, INDIRECT("'" &amp; S$3 &amp; "'!A:A"), INDIRECT("'" &amp; S$3 &amp; "'!B:B")),0)</f>
        <v>6878.46</v>
      </c>
      <c r="T27" s="157" cm="1">
        <f t="array" aca="1" ref="T27" ca="1">IFERROR(_xlfn.XLOOKUP($A27, INDIRECT("'" &amp; T$3 &amp; "'!A:A"), INDIRECT("'" &amp; T$3 &amp; "'!B:B")),0)</f>
        <v>8855</v>
      </c>
      <c r="U27" s="157" cm="1">
        <f t="array" aca="1" ref="U27" ca="1">IFERROR(_xlfn.XLOOKUP($A27, INDIRECT("'" &amp; U$3 &amp; "'!A:A"), INDIRECT("'" &amp; U$3 &amp; "'!B:B")),0)</f>
        <v>6120.79</v>
      </c>
      <c r="V27" s="157" cm="1">
        <f t="array" aca="1" ref="V27" ca="1">IFERROR(_xlfn.XLOOKUP($A27, INDIRECT("'" &amp; V$3 &amp; "'!A:A"), INDIRECT("'" &amp; V$3 &amp; "'!B:B")),0)</f>
        <v>8645</v>
      </c>
      <c r="W27" s="157" cm="1">
        <f t="array" aca="1" ref="W27" ca="1">IFERROR(_xlfn.XLOOKUP($A27, INDIRECT("'" &amp; W$3 &amp; "'!A:A"), INDIRECT("'" &amp; W$3 &amp; "'!B:B")),0)</f>
        <v>9670</v>
      </c>
      <c r="X27" s="157" cm="1">
        <f t="array" aca="1" ref="X27" ca="1">IFERROR(_xlfn.XLOOKUP($A27, INDIRECT("'" &amp; X$3 &amp; "'!A:A"), INDIRECT("'" &amp; X$3 &amp; "'!B:B")),0)</f>
        <v>7510.5399999999991</v>
      </c>
      <c r="Y27" s="157" cm="1">
        <f t="array" aca="1" ref="Y27" ca="1">IFERROR(_xlfn.XLOOKUP($A27, INDIRECT("'" &amp; Y$3 &amp; "'!A:A"), INDIRECT("'" &amp; Y$3 &amp; "'!B:B")),0)</f>
        <v>9165</v>
      </c>
      <c r="Z27" s="157" cm="1">
        <f t="array" aca="1" ref="Z27" ca="1">IFERROR(_xlfn.XLOOKUP($A27, INDIRECT("'" &amp; Z$3 &amp; "'!A:A"), INDIRECT("'" &amp; Z$3 &amp; "'!B:B")),0)</f>
        <v>9035</v>
      </c>
      <c r="AA27" s="157" cm="1">
        <f t="array" aca="1" ref="AA27" ca="1">IFERROR(_xlfn.XLOOKUP($A27, INDIRECT("'" &amp; AA$3 &amp; "'!A:A"), INDIRECT("'" &amp; AA$3 &amp; "'!B:B")),0)</f>
        <v>8380</v>
      </c>
      <c r="AB27" s="157" cm="1">
        <f t="array" aca="1" ref="AB27" ca="1">IFERROR(_xlfn.XLOOKUP($A27, INDIRECT("'" &amp; AB$3 &amp; "'!A:A"), INDIRECT("'" &amp; AB$3 &amp; "'!B:B")),0)</f>
        <v>10435</v>
      </c>
      <c r="AC27" s="157" cm="1">
        <f t="array" aca="1" ref="AC27" ca="1">IFERROR(_xlfn.XLOOKUP($A27, INDIRECT("'" &amp; AC$3 &amp; "'!A:A"), INDIRECT("'" &amp; AC$3 &amp; "'!B:B")),0)</f>
        <v>9170</v>
      </c>
      <c r="AD27" s="157" cm="1">
        <f t="array" aca="1" ref="AD27" ca="1">IFERROR(_xlfn.XLOOKUP($A27, INDIRECT("'" &amp; AD$3 &amp; "'!A:A"), INDIRECT("'" &amp; AD$3 &amp; "'!B:B")),0)</f>
        <v>10802</v>
      </c>
      <c r="AE27" s="157" cm="1">
        <f t="array" aca="1" ref="AE27" ca="1">IFERROR(_xlfn.XLOOKUP($A27, INDIRECT("'" &amp; AE$3 &amp; "'!A:A"), INDIRECT("'" &amp; AE$3 &amp; "'!B:B")),0)</f>
        <v>7538.55</v>
      </c>
      <c r="AF27" s="157" cm="1">
        <f t="array" aca="1" ref="AF27" ca="1">IFERROR(_xlfn.XLOOKUP($A27, INDIRECT("'" &amp; AF$3 &amp; "'!A:A"), INDIRECT("'" &amp; AF$3 &amp; "'!B:B")),0)</f>
        <v>7307.18</v>
      </c>
      <c r="AG27" s="157" cm="1">
        <f t="array" aca="1" ref="AG27" ca="1">IFERROR(_xlfn.XLOOKUP($A27, INDIRECT("'" &amp; AG$3 &amp; "'!A:A"), INDIRECT("'" &amp; AG$3 &amp; "'!B:B")),0)</f>
        <v>8632.36</v>
      </c>
      <c r="AH27" s="157" cm="1">
        <f t="array" aca="1" ref="AH27" ca="1">IFERROR(_xlfn.XLOOKUP($A27, INDIRECT("'" &amp; AH$3 &amp; "'!A:A"), INDIRECT("'" &amp; AH$3 &amp; "'!B:B")),0)</f>
        <v>9694</v>
      </c>
      <c r="AI27" s="157" cm="1">
        <f t="array" aca="1" ref="AI27" ca="1">IFERROR(_xlfn.XLOOKUP($A27, INDIRECT("'" &amp; AI$3 &amp; "'!A:A"), INDIRECT("'" &amp; AI$3 &amp; "'!B:B")),0)</f>
        <v>7050.01</v>
      </c>
      <c r="AJ27" s="157">
        <f ca="1">C27+AM1</f>
        <v>11897.78</v>
      </c>
      <c r="AK27" s="156" cm="1">
        <f t="array" aca="1" ref="AK27" ca="1">IFERROR(_xlfn.XLOOKUP($A27, INDIRECT("'" &amp; AK$3 &amp; "'!A:A"), INDIRECT("'" &amp; AK$3 &amp; "'!B:B")),0)</f>
        <v>9228</v>
      </c>
      <c r="AL27" s="155" cm="1">
        <f t="array" aca="1" ref="AL27" ca="1">IFERROR(_xlfn.XLOOKUP($A27, INDIRECT("'" &amp; AL$3 &amp; "'!A:A"), INDIRECT("'" &amp; AL$3 &amp; "'!B:B")),0)</f>
        <v>9051.81</v>
      </c>
      <c r="AM27" s="157" cm="1">
        <f t="array" aca="1" ref="AM27" ca="1">IFERROR(_xlfn.XLOOKUP($A27, INDIRECT("'" &amp; AM$3 &amp; "'!A:A"), INDIRECT("'" &amp; AM$3 &amp; "'!B:B")),0)</f>
        <v>12580</v>
      </c>
    </row>
    <row r="28" spans="1:39" x14ac:dyDescent="0.25">
      <c r="A28" s="225" t="s">
        <v>174</v>
      </c>
      <c r="B28" s="157" cm="1">
        <f t="array" aca="1" ref="B28" ca="1">IFERROR(_xlfn.XLOOKUP($A28, INDIRECT("'" &amp; B$3 &amp; "'!A:A"), INDIRECT("'" &amp; B$3 &amp; "'!B:B")),0)</f>
        <v>300.11</v>
      </c>
      <c r="C28" s="157" cm="1">
        <f t="array" aca="1" ref="C28" ca="1">IFERROR(_xlfn.XLOOKUP($A28, INDIRECT("'" &amp; C$3 &amp; "'!A:A"), INDIRECT("'" &amp; C$3 &amp; "'!B:B")),0)</f>
        <v>300.11</v>
      </c>
      <c r="D28" s="157" cm="1">
        <f t="array" aca="1" ref="D28" ca="1">IFERROR(_xlfn.XLOOKUP($A28, INDIRECT("'" &amp; D$3 &amp; "'!A:A"), INDIRECT("'" &amp; D$3 &amp; "'!B:B")),0)</f>
        <v>300.11</v>
      </c>
      <c r="E28" s="157" cm="1">
        <f t="array" aca="1" ref="E28" ca="1">IFERROR(_xlfn.XLOOKUP($A28, INDIRECT("'" &amp; E$3 &amp; "'!A:A"), INDIRECT("'" &amp; E$3 &amp; "'!B:B")),0)</f>
        <v>300.11</v>
      </c>
      <c r="F28" s="157" cm="1">
        <f t="array" aca="1" ref="F28" ca="1">IFERROR(_xlfn.XLOOKUP($A28, INDIRECT("'" &amp; F$3 &amp; "'!A:A"), INDIRECT("'" &amp; F$3 &amp; "'!B:B")),0)</f>
        <v>300.11</v>
      </c>
      <c r="G28" s="157" cm="1">
        <f t="array" aca="1" ref="G28" ca="1">IFERROR(_xlfn.XLOOKUP($A28, INDIRECT("'" &amp; G$3 &amp; "'!A:A"), INDIRECT("'" &amp; G$3 &amp; "'!B:B")),0)</f>
        <v>300.11</v>
      </c>
      <c r="H28" s="157" cm="1">
        <f t="array" aca="1" ref="H28" ca="1">IFERROR(_xlfn.XLOOKUP($A28, INDIRECT("'" &amp; H$3 &amp; "'!A:A"), INDIRECT("'" &amp; H$3 &amp; "'!B:B")),0)</f>
        <v>300.11</v>
      </c>
      <c r="I28" s="157" cm="1">
        <f t="array" aca="1" ref="I28" ca="1">IFERROR(_xlfn.XLOOKUP($A28, INDIRECT("'" &amp; I$3 &amp; "'!A:A"), INDIRECT("'" &amp; I$3 &amp; "'!B:B")),0)</f>
        <v>300.11</v>
      </c>
      <c r="J28" s="157" cm="1">
        <f t="array" aca="1" ref="J28" ca="1">IFERROR(_xlfn.XLOOKUP($A28, INDIRECT("'" &amp; J$3 &amp; "'!A:A"), INDIRECT("'" &amp; J$3 &amp; "'!B:B")),0)</f>
        <v>300.11</v>
      </c>
      <c r="K28" s="157" cm="1">
        <f t="array" aca="1" ref="K28" ca="1">IFERROR(_xlfn.XLOOKUP($A28, INDIRECT("'" &amp; K$3 &amp; "'!A:A"), INDIRECT("'" &amp; K$3 &amp; "'!B:B")),0)</f>
        <v>300.11</v>
      </c>
      <c r="L28" s="157" cm="1">
        <f t="array" aca="1" ref="L28" ca="1">IFERROR(_xlfn.XLOOKUP($A28, INDIRECT("'" &amp; L$3 &amp; "'!A:A"), INDIRECT("'" &amp; L$3 &amp; "'!B:B")),0)</f>
        <v>300.11</v>
      </c>
      <c r="M28" s="157" cm="1">
        <f t="array" aca="1" ref="M28" ca="1">IFERROR(_xlfn.XLOOKUP($A28, INDIRECT("'" &amp; M$3 &amp; "'!A:A"), INDIRECT("'" &amp; M$3 &amp; "'!B:B")),0)</f>
        <v>300.11</v>
      </c>
      <c r="N28" s="157" cm="1">
        <f t="array" aca="1" ref="N28" ca="1">IFERROR(_xlfn.XLOOKUP($A28, INDIRECT("'" &amp; N$3 &amp; "'!A:A"), INDIRECT("'" &amp; N$3 &amp; "'!B:B")),0)</f>
        <v>300.11</v>
      </c>
      <c r="O28" s="157" cm="1">
        <f t="array" aca="1" ref="O28" ca="1">IFERROR(_xlfn.XLOOKUP($A28, INDIRECT("'" &amp; O$3 &amp; "'!A:A"), INDIRECT("'" &amp; O$3 &amp; "'!B:B")),0)</f>
        <v>300.11</v>
      </c>
      <c r="P28" s="157" cm="1">
        <f t="array" aca="1" ref="P28" ca="1">IFERROR(_xlfn.XLOOKUP($A28, INDIRECT("'" &amp; P$3 &amp; "'!A:A"), INDIRECT("'" &amp; P$3 &amp; "'!B:B")),0)</f>
        <v>300.11</v>
      </c>
      <c r="Q28" s="157" cm="1">
        <f t="array" aca="1" ref="Q28" ca="1">IFERROR(_xlfn.XLOOKUP($A28, INDIRECT("'" &amp; Q$3 &amp; "'!A:A"), INDIRECT("'" &amp; Q$3 &amp; "'!B:B")),0)</f>
        <v>300.11</v>
      </c>
      <c r="R28" s="157" cm="1">
        <f t="array" aca="1" ref="R28" ca="1">IFERROR(_xlfn.XLOOKUP($A28, INDIRECT("'" &amp; R$3 &amp; "'!A:A"), INDIRECT("'" &amp; R$3 &amp; "'!B:B")),0)</f>
        <v>300.11</v>
      </c>
      <c r="S28" s="157" cm="1">
        <f t="array" aca="1" ref="S28" ca="1">IFERROR(_xlfn.XLOOKUP($A28, INDIRECT("'" &amp; S$3 &amp; "'!A:A"), INDIRECT("'" &amp; S$3 &amp; "'!B:B")),0)</f>
        <v>300.11</v>
      </c>
      <c r="T28" s="157" cm="1">
        <f t="array" aca="1" ref="T28" ca="1">IFERROR(_xlfn.XLOOKUP($A28, INDIRECT("'" &amp; T$3 &amp; "'!A:A"), INDIRECT("'" &amp; T$3 &amp; "'!B:B")),0)</f>
        <v>300.11</v>
      </c>
      <c r="U28" s="157" cm="1">
        <f t="array" aca="1" ref="U28" ca="1">IFERROR(_xlfn.XLOOKUP($A28, INDIRECT("'" &amp; U$3 &amp; "'!A:A"), INDIRECT("'" &amp; U$3 &amp; "'!B:B")),0)</f>
        <v>300.11</v>
      </c>
      <c r="V28" s="157" cm="1">
        <f t="array" aca="1" ref="V28" ca="1">IFERROR(_xlfn.XLOOKUP($A28, INDIRECT("'" &amp; V$3 &amp; "'!A:A"), INDIRECT("'" &amp; V$3 &amp; "'!B:B")),0)</f>
        <v>300.11</v>
      </c>
      <c r="W28" s="157" cm="1">
        <f t="array" aca="1" ref="W28" ca="1">IFERROR(_xlfn.XLOOKUP($A28, INDIRECT("'" &amp; W$3 &amp; "'!A:A"), INDIRECT("'" &amp; W$3 &amp; "'!B:B")),0)</f>
        <v>300</v>
      </c>
      <c r="X28" s="157" cm="1">
        <f t="array" aca="1" ref="X28" ca="1">IFERROR(_xlfn.XLOOKUP($A28, INDIRECT("'" &amp; X$3 &amp; "'!A:A"), INDIRECT("'" &amp; X$3 &amp; "'!B:B")),0)</f>
        <v>300.11</v>
      </c>
      <c r="Y28" s="157" cm="1">
        <f t="array" aca="1" ref="Y28" ca="1">IFERROR(_xlfn.XLOOKUP($A28, INDIRECT("'" &amp; Y$3 &amp; "'!A:A"), INDIRECT("'" &amp; Y$3 &amp; "'!B:B")),0)</f>
        <v>300.11</v>
      </c>
      <c r="Z28" s="157" cm="1">
        <f t="array" aca="1" ref="Z28" ca="1">IFERROR(_xlfn.XLOOKUP($A28, INDIRECT("'" &amp; Z$3 &amp; "'!A:A"), INDIRECT("'" &amp; Z$3 &amp; "'!B:B")),0)</f>
        <v>300.11</v>
      </c>
      <c r="AA28" s="157" cm="1">
        <f t="array" aca="1" ref="AA28" ca="1">IFERROR(_xlfn.XLOOKUP($A28, INDIRECT("'" &amp; AA$3 &amp; "'!A:A"), INDIRECT("'" &amp; AA$3 &amp; "'!B:B")),0)</f>
        <v>300.11</v>
      </c>
      <c r="AB28" s="157" cm="1">
        <f t="array" aca="1" ref="AB28" ca="1">IFERROR(_xlfn.XLOOKUP($A28, INDIRECT("'" &amp; AB$3 &amp; "'!A:A"), INDIRECT("'" &amp; AB$3 &amp; "'!B:B")),0)</f>
        <v>300.11</v>
      </c>
      <c r="AC28" s="157" cm="1">
        <f t="array" aca="1" ref="AC28" ca="1">IFERROR(_xlfn.XLOOKUP($A28, INDIRECT("'" &amp; AC$3 &amp; "'!A:A"), INDIRECT("'" &amp; AC$3 &amp; "'!B:B")),0)</f>
        <v>300.11</v>
      </c>
      <c r="AD28" s="157" cm="1">
        <f t="array" aca="1" ref="AD28" ca="1">IFERROR(_xlfn.XLOOKUP($A28, INDIRECT("'" &amp; AD$3 &amp; "'!A:A"), INDIRECT("'" &amp; AD$3 &amp; "'!B:B")),0)</f>
        <v>300.11</v>
      </c>
      <c r="AE28" s="157" cm="1">
        <f t="array" aca="1" ref="AE28" ca="1">IFERROR(_xlfn.XLOOKUP($A28, INDIRECT("'" &amp; AE$3 &amp; "'!A:A"), INDIRECT("'" &amp; AE$3 &amp; "'!B:B")),0)</f>
        <v>300.11</v>
      </c>
      <c r="AF28" s="157" cm="1">
        <f t="array" aca="1" ref="AF28" ca="1">IFERROR(_xlfn.XLOOKUP($A28, INDIRECT("'" &amp; AF$3 &amp; "'!A:A"), INDIRECT("'" &amp; AF$3 &amp; "'!B:B")),0)</f>
        <v>300.11</v>
      </c>
      <c r="AG28" s="157" cm="1">
        <f t="array" aca="1" ref="AG28" ca="1">IFERROR(_xlfn.XLOOKUP($A28, INDIRECT("'" &amp; AG$3 &amp; "'!A:A"), INDIRECT("'" &amp; AG$3 &amp; "'!B:B")),0)</f>
        <v>300</v>
      </c>
      <c r="AH28" s="157" cm="1">
        <f t="array" aca="1" ref="AH28" ca="1">IFERROR(_xlfn.XLOOKUP($A28, INDIRECT("'" &amp; AH$3 &amp; "'!A:A"), INDIRECT("'" &amp; AH$3 &amp; "'!B:B")),0)</f>
        <v>300.11</v>
      </c>
      <c r="AI28" s="157" cm="1">
        <f t="array" aca="1" ref="AI28" ca="1">IFERROR(_xlfn.XLOOKUP($A28, INDIRECT("'" &amp; AI$3 &amp; "'!A:A"), INDIRECT("'" &amp; AI$3 &amp; "'!B:B")),0)</f>
        <v>300.11</v>
      </c>
      <c r="AJ28" s="157">
        <f t="shared" ref="AJ28:AJ43" ca="1" si="1">C28</f>
        <v>300.11</v>
      </c>
      <c r="AK28" s="156" cm="1">
        <f t="array" aca="1" ref="AK28" ca="1">IFERROR(_xlfn.XLOOKUP($A28, INDIRECT("'" &amp; AK$3 &amp; "'!A:A"), INDIRECT("'" &amp; AK$3 &amp; "'!B:B")),0)</f>
        <v>300.11</v>
      </c>
      <c r="AL28" s="155" cm="1">
        <f t="array" aca="1" ref="AL28" ca="1">IFERROR(_xlfn.XLOOKUP($A28, INDIRECT("'" &amp; AL$3 &amp; "'!A:A"), INDIRECT("'" &amp; AL$3 &amp; "'!B:B")),0)</f>
        <v>300.11</v>
      </c>
      <c r="AM28" s="157" cm="1">
        <f t="array" aca="1" ref="AM28" ca="1">IFERROR(_xlfn.XLOOKUP($A28, INDIRECT("'" &amp; AM$3 &amp; "'!A:A"), INDIRECT("'" &amp; AM$3 &amp; "'!B:B")),0)</f>
        <v>300.11</v>
      </c>
    </row>
    <row r="29" spans="1:39" x14ac:dyDescent="0.25">
      <c r="A29" s="225" t="s">
        <v>175</v>
      </c>
      <c r="B29" s="157" cm="1">
        <f t="array" aca="1" ref="B29" ca="1">IFERROR(_xlfn.XLOOKUP($A29, INDIRECT("'" &amp; B$3 &amp; "'!A:A"), INDIRECT("'" &amp; B$3 &amp; "'!B:B")),0)</f>
        <v>0</v>
      </c>
      <c r="C29" s="157" cm="1">
        <f t="array" aca="1" ref="C29" ca="1">IFERROR(_xlfn.XLOOKUP($A29, INDIRECT("'" &amp; C$3 &amp; "'!A:A"), INDIRECT("'" &amp; C$3 &amp; "'!B:B")),0)</f>
        <v>0</v>
      </c>
      <c r="D29" s="157" cm="1">
        <f t="array" aca="1" ref="D29" ca="1">IFERROR(_xlfn.XLOOKUP($A29, INDIRECT("'" &amp; D$3 &amp; "'!A:A"), INDIRECT("'" &amp; D$3 &amp; "'!B:B")),0)</f>
        <v>0</v>
      </c>
      <c r="E29" s="157" cm="1">
        <f t="array" aca="1" ref="E29" ca="1">IFERROR(_xlfn.XLOOKUP($A29, INDIRECT("'" &amp; E$3 &amp; "'!A:A"), INDIRECT("'" &amp; E$3 &amp; "'!B:B")),0)</f>
        <v>0</v>
      </c>
      <c r="F29" s="157" cm="1">
        <f t="array" aca="1" ref="F29" ca="1">IFERROR(_xlfn.XLOOKUP($A29, INDIRECT("'" &amp; F$3 &amp; "'!A:A"), INDIRECT("'" &amp; F$3 &amp; "'!B:B")),0)</f>
        <v>0</v>
      </c>
      <c r="G29" s="157" cm="1">
        <f t="array" aca="1" ref="G29" ca="1">IFERROR(_xlfn.XLOOKUP($A29, INDIRECT("'" &amp; G$3 &amp; "'!A:A"), INDIRECT("'" &amp; G$3 &amp; "'!B:B")),0)</f>
        <v>0</v>
      </c>
      <c r="H29" s="157" cm="1">
        <f t="array" aca="1" ref="H29" ca="1">IFERROR(_xlfn.XLOOKUP($A29, INDIRECT("'" &amp; H$3 &amp; "'!A:A"), INDIRECT("'" &amp; H$3 &amp; "'!B:B")),0)</f>
        <v>0</v>
      </c>
      <c r="I29" s="157" cm="1">
        <f t="array" aca="1" ref="I29" ca="1">IFERROR(_xlfn.XLOOKUP($A29, INDIRECT("'" &amp; I$3 &amp; "'!A:A"), INDIRECT("'" &amp; I$3 &amp; "'!B:B")),0)</f>
        <v>0</v>
      </c>
      <c r="J29" s="157" cm="1">
        <f t="array" aca="1" ref="J29" ca="1">IFERROR(_xlfn.XLOOKUP($A29, INDIRECT("'" &amp; J$3 &amp; "'!A:A"), INDIRECT("'" &amp; J$3 &amp; "'!B:B")),0)</f>
        <v>0</v>
      </c>
      <c r="K29" s="157" cm="1">
        <f t="array" aca="1" ref="K29" ca="1">IFERROR(_xlfn.XLOOKUP($A29, INDIRECT("'" &amp; K$3 &amp; "'!A:A"), INDIRECT("'" &amp; K$3 &amp; "'!B:B")),0)</f>
        <v>0</v>
      </c>
      <c r="L29" s="157" cm="1">
        <f t="array" aca="1" ref="L29" ca="1">IFERROR(_xlfn.XLOOKUP($A29, INDIRECT("'" &amp; L$3 &amp; "'!A:A"), INDIRECT("'" &amp; L$3 &amp; "'!B:B")),0)</f>
        <v>0</v>
      </c>
      <c r="M29" s="157" cm="1">
        <f t="array" aca="1" ref="M29" ca="1">IFERROR(_xlfn.XLOOKUP($A29, INDIRECT("'" &amp; M$3 &amp; "'!A:A"), INDIRECT("'" &amp; M$3 &amp; "'!B:B")),0)</f>
        <v>0</v>
      </c>
      <c r="N29" s="157" cm="1">
        <f t="array" aca="1" ref="N29" ca="1">IFERROR(_xlfn.XLOOKUP($A29, INDIRECT("'" &amp; N$3 &amp; "'!A:A"), INDIRECT("'" &amp; N$3 &amp; "'!B:B")),0)</f>
        <v>0</v>
      </c>
      <c r="O29" s="157" cm="1">
        <f t="array" aca="1" ref="O29" ca="1">IFERROR(_xlfn.XLOOKUP($A29, INDIRECT("'" &amp; O$3 &amp; "'!A:A"), INDIRECT("'" &amp; O$3 &amp; "'!B:B")),0)</f>
        <v>0</v>
      </c>
      <c r="P29" s="157" cm="1">
        <f t="array" aca="1" ref="P29" ca="1">IFERROR(_xlfn.XLOOKUP($A29, INDIRECT("'" &amp; P$3 &amp; "'!A:A"), INDIRECT("'" &amp; P$3 &amp; "'!B:B")),0)</f>
        <v>0</v>
      </c>
      <c r="Q29" s="157" cm="1">
        <f t="array" aca="1" ref="Q29" ca="1">IFERROR(_xlfn.XLOOKUP($A29, INDIRECT("'" &amp; Q$3 &amp; "'!A:A"), INDIRECT("'" &amp; Q$3 &amp; "'!B:B")),0)</f>
        <v>0</v>
      </c>
      <c r="R29" s="157" cm="1">
        <f t="array" aca="1" ref="R29" ca="1">IFERROR(_xlfn.XLOOKUP($A29, INDIRECT("'" &amp; R$3 &amp; "'!A:A"), INDIRECT("'" &amp; R$3 &amp; "'!B:B")),0)</f>
        <v>0</v>
      </c>
      <c r="S29" s="157" cm="1">
        <f t="array" aca="1" ref="S29" ca="1">IFERROR(_xlfn.XLOOKUP($A29, INDIRECT("'" &amp; S$3 &amp; "'!A:A"), INDIRECT("'" &amp; S$3 &amp; "'!B:B")),0)</f>
        <v>0</v>
      </c>
      <c r="T29" s="157" cm="1">
        <f t="array" aca="1" ref="T29" ca="1">IFERROR(_xlfn.XLOOKUP($A29, INDIRECT("'" &amp; T$3 &amp; "'!A:A"), INDIRECT("'" &amp; T$3 &amp; "'!B:B")),0)</f>
        <v>0</v>
      </c>
      <c r="U29" s="157" cm="1">
        <f t="array" aca="1" ref="U29" ca="1">IFERROR(_xlfn.XLOOKUP($A29, INDIRECT("'" &amp; U$3 &amp; "'!A:A"), INDIRECT("'" &amp; U$3 &amp; "'!B:B")),0)</f>
        <v>0</v>
      </c>
      <c r="V29" s="157" cm="1">
        <f t="array" aca="1" ref="V29" ca="1">IFERROR(_xlfn.XLOOKUP($A29, INDIRECT("'" &amp; V$3 &amp; "'!A:A"), INDIRECT("'" &amp; V$3 &amp; "'!B:B")),0)</f>
        <v>0</v>
      </c>
      <c r="W29" s="157" cm="1">
        <f t="array" aca="1" ref="W29" ca="1">IFERROR(_xlfn.XLOOKUP($A29, INDIRECT("'" &amp; W$3 &amp; "'!A:A"), INDIRECT("'" &amp; W$3 &amp; "'!B:B")),0)</f>
        <v>0</v>
      </c>
      <c r="X29" s="157" cm="1">
        <f t="array" aca="1" ref="X29" ca="1">IFERROR(_xlfn.XLOOKUP($A29, INDIRECT("'" &amp; X$3 &amp; "'!A:A"), INDIRECT("'" &amp; X$3 &amp; "'!B:B")),0)</f>
        <v>0</v>
      </c>
      <c r="Y29" s="157" cm="1">
        <f t="array" aca="1" ref="Y29" ca="1">IFERROR(_xlfn.XLOOKUP($A29, INDIRECT("'" &amp; Y$3 &amp; "'!A:A"), INDIRECT("'" &amp; Y$3 &amp; "'!B:B")),0)</f>
        <v>0</v>
      </c>
      <c r="Z29" s="157" cm="1">
        <f t="array" aca="1" ref="Z29" ca="1">IFERROR(_xlfn.XLOOKUP($A29, INDIRECT("'" &amp; Z$3 &amp; "'!A:A"), INDIRECT("'" &amp; Z$3 &amp; "'!B:B")),0)</f>
        <v>0</v>
      </c>
      <c r="AA29" s="157" cm="1">
        <f t="array" aca="1" ref="AA29" ca="1">IFERROR(_xlfn.XLOOKUP($A29, INDIRECT("'" &amp; AA$3 &amp; "'!A:A"), INDIRECT("'" &amp; AA$3 &amp; "'!B:B")),0)</f>
        <v>0</v>
      </c>
      <c r="AB29" s="157" cm="1">
        <f t="array" aca="1" ref="AB29" ca="1">IFERROR(_xlfn.XLOOKUP($A29, INDIRECT("'" &amp; AB$3 &amp; "'!A:A"), INDIRECT("'" &amp; AB$3 &amp; "'!B:B")),0)</f>
        <v>0</v>
      </c>
      <c r="AC29" s="157" cm="1">
        <f t="array" aca="1" ref="AC29" ca="1">IFERROR(_xlfn.XLOOKUP($A29, INDIRECT("'" &amp; AC$3 &amp; "'!A:A"), INDIRECT("'" &amp; AC$3 &amp; "'!B:B")),0)</f>
        <v>0</v>
      </c>
      <c r="AD29" s="157" cm="1">
        <f t="array" aca="1" ref="AD29" ca="1">IFERROR(_xlfn.XLOOKUP($A29, INDIRECT("'" &amp; AD$3 &amp; "'!A:A"), INDIRECT("'" &amp; AD$3 &amp; "'!B:B")),0)</f>
        <v>0</v>
      </c>
      <c r="AE29" s="157" cm="1">
        <f t="array" aca="1" ref="AE29" ca="1">IFERROR(_xlfn.XLOOKUP($A29, INDIRECT("'" &amp; AE$3 &amp; "'!A:A"), INDIRECT("'" &amp; AE$3 &amp; "'!B:B")),0)</f>
        <v>0</v>
      </c>
      <c r="AF29" s="157" cm="1">
        <f t="array" aca="1" ref="AF29" ca="1">IFERROR(_xlfn.XLOOKUP($A29, INDIRECT("'" &amp; AF$3 &amp; "'!A:A"), INDIRECT("'" &amp; AF$3 &amp; "'!B:B")),0)</f>
        <v>0</v>
      </c>
      <c r="AG29" s="157" cm="1">
        <f t="array" aca="1" ref="AG29" ca="1">IFERROR(_xlfn.XLOOKUP($A29, INDIRECT("'" &amp; AG$3 &amp; "'!A:A"), INDIRECT("'" &amp; AG$3 &amp; "'!B:B")),0)</f>
        <v>0</v>
      </c>
      <c r="AH29" s="157" cm="1">
        <f t="array" aca="1" ref="AH29" ca="1">IFERROR(_xlfn.XLOOKUP($A29, INDIRECT("'" &amp; AH$3 &amp; "'!A:A"), INDIRECT("'" &amp; AH$3 &amp; "'!B:B")),0)</f>
        <v>0</v>
      </c>
      <c r="AI29" s="157" cm="1">
        <f t="array" aca="1" ref="AI29" ca="1">IFERROR(_xlfn.XLOOKUP($A29, INDIRECT("'" &amp; AI$3 &amp; "'!A:A"), INDIRECT("'" &amp; AI$3 &amp; "'!B:B")),0)</f>
        <v>0</v>
      </c>
      <c r="AJ29" s="157">
        <f t="shared" ca="1" si="1"/>
        <v>0</v>
      </c>
      <c r="AK29" s="156" cm="1">
        <f t="array" aca="1" ref="AK29" ca="1">IFERROR(_xlfn.XLOOKUP($A29, INDIRECT("'" &amp; AK$3 &amp; "'!A:A"), INDIRECT("'" &amp; AK$3 &amp; "'!B:B")),0)</f>
        <v>0</v>
      </c>
      <c r="AL29" s="155" cm="1">
        <f t="array" aca="1" ref="AL29" ca="1">IFERROR(_xlfn.XLOOKUP($A29, INDIRECT("'" &amp; AL$3 &amp; "'!A:A"), INDIRECT("'" &amp; AL$3 &amp; "'!B:B")),0)</f>
        <v>0</v>
      </c>
      <c r="AM29" s="157" cm="1">
        <f t="array" aca="1" ref="AM29" ca="1">IFERROR(_xlfn.XLOOKUP($A29, INDIRECT("'" &amp; AM$3 &amp; "'!A:A"), INDIRECT("'" &amp; AM$3 &amp; "'!B:B")),0)</f>
        <v>0</v>
      </c>
    </row>
    <row r="30" spans="1:39" x14ac:dyDescent="0.25">
      <c r="A30" s="225" t="s">
        <v>176</v>
      </c>
      <c r="B30" s="157" cm="1">
        <f t="array" aca="1" ref="B30" ca="1">IFERROR(_xlfn.XLOOKUP($A30, INDIRECT("'" &amp; B$3 &amp; "'!A:A"), INDIRECT("'" &amp; B$3 &amp; "'!B:B")),0)</f>
        <v>4067</v>
      </c>
      <c r="C30" s="157" cm="1">
        <f t="array" aca="1" ref="C30" ca="1">IFERROR(_xlfn.XLOOKUP($A30, INDIRECT("'" &amp; C$3 &amp; "'!A:A"), INDIRECT("'" &amp; C$3 &amp; "'!B:B")),0)</f>
        <v>3356</v>
      </c>
      <c r="D30" s="157" cm="1">
        <f t="array" aca="1" ref="D30" ca="1">IFERROR(_xlfn.XLOOKUP($A30, INDIRECT("'" &amp; D$3 &amp; "'!A:A"), INDIRECT("'" &amp; D$3 &amp; "'!B:B")),0)</f>
        <v>2890</v>
      </c>
      <c r="E30" s="157" cm="1">
        <f t="array" aca="1" ref="E30" ca="1">IFERROR(_xlfn.XLOOKUP($A30, INDIRECT("'" &amp; E$3 &amp; "'!A:A"), INDIRECT("'" &amp; E$3 &amp; "'!B:B")),0)</f>
        <v>2949</v>
      </c>
      <c r="F30" s="157" cm="1">
        <f t="array" aca="1" ref="F30" ca="1">IFERROR(_xlfn.XLOOKUP($A30, INDIRECT("'" &amp; F$3 &amp; "'!A:A"), INDIRECT("'" &amp; F$3 &amp; "'!B:B")),0)</f>
        <v>4139</v>
      </c>
      <c r="G30" s="157" cm="1">
        <f t="array" aca="1" ref="G30" ca="1">IFERROR(_xlfn.XLOOKUP($A30, INDIRECT("'" &amp; G$3 &amp; "'!A:A"), INDIRECT("'" &amp; G$3 &amp; "'!B:B")),0)</f>
        <v>3642</v>
      </c>
      <c r="H30" s="157" cm="1">
        <f t="array" aca="1" ref="H30" ca="1">IFERROR(_xlfn.XLOOKUP($A30, INDIRECT("'" &amp; H$3 &amp; "'!A:A"), INDIRECT("'" &amp; H$3 &amp; "'!B:B")),0)</f>
        <v>3671</v>
      </c>
      <c r="I30" s="157" cm="1">
        <f t="array" aca="1" ref="I30" ca="1">IFERROR(_xlfn.XLOOKUP($A30, INDIRECT("'" &amp; I$3 &amp; "'!A:A"), INDIRECT("'" &amp; I$3 &amp; "'!B:B")),0)</f>
        <v>3382</v>
      </c>
      <c r="J30" s="157" cm="1">
        <f t="array" aca="1" ref="J30" ca="1">IFERROR(_xlfn.XLOOKUP($A30, INDIRECT("'" &amp; J$3 &amp; "'!A:A"), INDIRECT("'" &amp; J$3 &amp; "'!B:B")),0)</f>
        <v>3535</v>
      </c>
      <c r="K30" s="157" cm="1">
        <f t="array" aca="1" ref="K30" ca="1">IFERROR(_xlfn.XLOOKUP($A30, INDIRECT("'" &amp; K$3 &amp; "'!A:A"), INDIRECT("'" &amp; K$3 &amp; "'!B:B")),0)</f>
        <v>3414</v>
      </c>
      <c r="L30" s="157" cm="1">
        <f t="array" aca="1" ref="L30" ca="1">IFERROR(_xlfn.XLOOKUP($A30, INDIRECT("'" &amp; L$3 &amp; "'!A:A"), INDIRECT("'" &amp; L$3 &amp; "'!B:B")),0)</f>
        <v>4640</v>
      </c>
      <c r="M30" s="157" cm="1">
        <f t="array" aca="1" ref="M30" ca="1">IFERROR(_xlfn.XLOOKUP($A30, INDIRECT("'" &amp; M$3 &amp; "'!A:A"), INDIRECT("'" &amp; M$3 &amp; "'!B:B")),0)</f>
        <v>4672</v>
      </c>
      <c r="N30" s="157" cm="1">
        <f t="array" aca="1" ref="N30" ca="1">IFERROR(_xlfn.XLOOKUP($A30, INDIRECT("'" &amp; N$3 &amp; "'!A:A"), INDIRECT("'" &amp; N$3 &amp; "'!B:B")),0)</f>
        <v>5523</v>
      </c>
      <c r="O30" s="157" cm="1">
        <f t="array" aca="1" ref="O30" ca="1">IFERROR(_xlfn.XLOOKUP($A30, INDIRECT("'" &amp; O$3 &amp; "'!A:A"), INDIRECT("'" &amp; O$3 &amp; "'!B:B")),0)</f>
        <v>2981</v>
      </c>
      <c r="P30" s="157" cm="1">
        <f t="array" aca="1" ref="P30" ca="1">IFERROR(_xlfn.XLOOKUP($A30, INDIRECT("'" &amp; P$3 &amp; "'!A:A"), INDIRECT("'" &amp; P$3 &amp; "'!B:B")),0)</f>
        <v>2833</v>
      </c>
      <c r="Q30" s="157" cm="1">
        <f t="array" aca="1" ref="Q30" ca="1">IFERROR(_xlfn.XLOOKUP($A30, INDIRECT("'" &amp; Q$3 &amp; "'!A:A"), INDIRECT("'" &amp; Q$3 &amp; "'!B:B")),0)</f>
        <v>3698</v>
      </c>
      <c r="R30" s="157" cm="1">
        <f t="array" aca="1" ref="R30" ca="1">IFERROR(_xlfn.XLOOKUP($A30, INDIRECT("'" &amp; R$3 &amp; "'!A:A"), INDIRECT("'" &amp; R$3 &amp; "'!B:B")),0)</f>
        <v>3238</v>
      </c>
      <c r="S30" s="157" cm="1">
        <f t="array" aca="1" ref="S30" ca="1">IFERROR(_xlfn.XLOOKUP($A30, INDIRECT("'" &amp; S$3 &amp; "'!A:A"), INDIRECT("'" &amp; S$3 &amp; "'!B:B")),0)</f>
        <v>5189</v>
      </c>
      <c r="T30" s="157" cm="1">
        <f t="array" aca="1" ref="T30" ca="1">IFERROR(_xlfn.XLOOKUP($A30, INDIRECT("'" &amp; T$3 &amp; "'!A:A"), INDIRECT("'" &amp; T$3 &amp; "'!B:B")),0)</f>
        <v>4138.5</v>
      </c>
      <c r="U30" s="157" cm="1">
        <f t="array" aca="1" ref="U30" ca="1">IFERROR(_xlfn.XLOOKUP($A30, INDIRECT("'" &amp; U$3 &amp; "'!A:A"), INDIRECT("'" &amp; U$3 &amp; "'!B:B")),0)</f>
        <v>3872</v>
      </c>
      <c r="V30" s="157" cm="1">
        <f t="array" aca="1" ref="V30" ca="1">IFERROR(_xlfn.XLOOKUP($A30, INDIRECT("'" &amp; V$3 &amp; "'!A:A"), INDIRECT("'" &amp; V$3 &amp; "'!B:B")),0)</f>
        <v>2953</v>
      </c>
      <c r="W30" s="157" cm="1">
        <f t="array" aca="1" ref="W30" ca="1">IFERROR(_xlfn.XLOOKUP($A30, INDIRECT("'" &amp; W$3 &amp; "'!A:A"), INDIRECT("'" &amp; W$3 &amp; "'!B:B")),0)</f>
        <v>5210</v>
      </c>
      <c r="X30" s="157" cm="1">
        <f t="array" aca="1" ref="X30" ca="1">IFERROR(_xlfn.XLOOKUP($A30, INDIRECT("'" &amp; X$3 &amp; "'!A:A"), INDIRECT("'" &amp; X$3 &amp; "'!B:B")),0)</f>
        <v>3588</v>
      </c>
      <c r="Y30" s="157" cm="1">
        <f t="array" aca="1" ref="Y30" ca="1">IFERROR(_xlfn.XLOOKUP($A30, INDIRECT("'" &amp; Y$3 &amp; "'!A:A"), INDIRECT("'" &amp; Y$3 &amp; "'!B:B")),0)</f>
        <v>3541</v>
      </c>
      <c r="Z30" s="157" cm="1">
        <f t="array" aca="1" ref="Z30" ca="1">IFERROR(_xlfn.XLOOKUP($A30, INDIRECT("'" &amp; Z$3 &amp; "'!A:A"), INDIRECT("'" &amp; Z$3 &amp; "'!B:B")),0)</f>
        <v>4245</v>
      </c>
      <c r="AA30" s="157" cm="1">
        <f t="array" aca="1" ref="AA30" ca="1">IFERROR(_xlfn.XLOOKUP($A30, INDIRECT("'" &amp; AA$3 &amp; "'!A:A"), INDIRECT("'" &amp; AA$3 &amp; "'!B:B")),0)</f>
        <v>3693</v>
      </c>
      <c r="AB30" s="157" cm="1">
        <f t="array" aca="1" ref="AB30" ca="1">IFERROR(_xlfn.XLOOKUP($A30, INDIRECT("'" &amp; AB$3 &amp; "'!A:A"), INDIRECT("'" &amp; AB$3 &amp; "'!B:B")),0)</f>
        <v>4227</v>
      </c>
      <c r="AC30" s="157" cm="1">
        <f t="array" aca="1" ref="AC30" ca="1">IFERROR(_xlfn.XLOOKUP($A30, INDIRECT("'" &amp; AC$3 &amp; "'!A:A"), INDIRECT("'" &amp; AC$3 &amp; "'!B:B")),0)</f>
        <v>3996</v>
      </c>
      <c r="AD30" s="157" cm="1">
        <f t="array" aca="1" ref="AD30" ca="1">IFERROR(_xlfn.XLOOKUP($A30, INDIRECT("'" &amp; AD$3 &amp; "'!A:A"), INDIRECT("'" &amp; AD$3 &amp; "'!B:B")),0)</f>
        <v>4560</v>
      </c>
      <c r="AE30" s="157" cm="1">
        <f t="array" aca="1" ref="AE30" ca="1">IFERROR(_xlfn.XLOOKUP($A30, INDIRECT("'" &amp; AE$3 &amp; "'!A:A"), INDIRECT("'" &amp; AE$3 &amp; "'!B:B")),0)</f>
        <v>3989</v>
      </c>
      <c r="AF30" s="157" cm="1">
        <f t="array" aca="1" ref="AF30" ca="1">IFERROR(_xlfn.XLOOKUP($A30, INDIRECT("'" &amp; AF$3 &amp; "'!A:A"), INDIRECT("'" &amp; AF$3 &amp; "'!B:B")),0)</f>
        <v>3891</v>
      </c>
      <c r="AG30" s="157" cm="1">
        <f t="array" aca="1" ref="AG30" ca="1">IFERROR(_xlfn.XLOOKUP($A30, INDIRECT("'" &amp; AG$3 &amp; "'!A:A"), INDIRECT("'" &amp; AG$3 &amp; "'!B:B")),0)</f>
        <v>4098</v>
      </c>
      <c r="AH30" s="157" cm="1">
        <f t="array" aca="1" ref="AH30" ca="1">IFERROR(_xlfn.XLOOKUP($A30, INDIRECT("'" &amp; AH$3 &amp; "'!A:A"), INDIRECT("'" &amp; AH$3 &amp; "'!B:B")),0)</f>
        <v>3811</v>
      </c>
      <c r="AI30" s="157" cm="1">
        <f t="array" aca="1" ref="AI30" ca="1">IFERROR(_xlfn.XLOOKUP($A30, INDIRECT("'" &amp; AI$3 &amp; "'!A:A"), INDIRECT("'" &amp; AI$3 &amp; "'!B:B")),0)</f>
        <v>4939</v>
      </c>
      <c r="AJ30" s="157">
        <f t="shared" ca="1" si="1"/>
        <v>3356</v>
      </c>
      <c r="AK30" s="156" cm="1">
        <f t="array" aca="1" ref="AK30" ca="1">IFERROR(_xlfn.XLOOKUP($A30, INDIRECT("'" &amp; AK$3 &amp; "'!A:A"), INDIRECT("'" &amp; AK$3 &amp; "'!B:B")),0)</f>
        <v>5444</v>
      </c>
      <c r="AL30" s="155" cm="1">
        <f t="array" aca="1" ref="AL30" ca="1">IFERROR(_xlfn.XLOOKUP($A30, INDIRECT("'" &amp; AL$3 &amp; "'!A:A"), INDIRECT("'" &amp; AL$3 &amp; "'!B:B")),0)</f>
        <v>3366.6000000000004</v>
      </c>
      <c r="AM30" s="157" cm="1">
        <f t="array" aca="1" ref="AM30" ca="1">IFERROR(_xlfn.XLOOKUP($A30, INDIRECT("'" &amp; AM$3 &amp; "'!A:A"), INDIRECT("'" &amp; AM$3 &amp; "'!B:B")),0)</f>
        <v>4765</v>
      </c>
    </row>
    <row r="31" spans="1:39" x14ac:dyDescent="0.25">
      <c r="A31" s="225" t="s">
        <v>177</v>
      </c>
      <c r="B31" s="157" cm="1">
        <f t="array" aca="1" ref="B31" ca="1">IFERROR(_xlfn.XLOOKUP($A31, INDIRECT("'" &amp; B$3 &amp; "'!A:A"), INDIRECT("'" &amp; B$3 &amp; "'!B:B")),0)</f>
        <v>5765.79</v>
      </c>
      <c r="C31" s="157" cm="1">
        <f t="array" aca="1" ref="C31" ca="1">IFERROR(_xlfn.XLOOKUP($A31, INDIRECT("'" &amp; C$3 &amp; "'!A:A"), INDIRECT("'" &amp; C$3 &amp; "'!B:B")),0)</f>
        <v>4501.41</v>
      </c>
      <c r="D31" s="157" cm="1">
        <f t="array" aca="1" ref="D31" ca="1">IFERROR(_xlfn.XLOOKUP($A31, INDIRECT("'" &amp; D$3 &amp; "'!A:A"), INDIRECT("'" &amp; D$3 &amp; "'!B:B")),0)</f>
        <v>3724.58</v>
      </c>
      <c r="E31" s="157" cm="1">
        <f t="array" aca="1" ref="E31" ca="1">IFERROR(_xlfn.XLOOKUP($A31, INDIRECT("'" &amp; E$3 &amp; "'!A:A"), INDIRECT("'" &amp; E$3 &amp; "'!B:B")),0)</f>
        <v>3908.31</v>
      </c>
      <c r="F31" s="157" cm="1">
        <f t="array" aca="1" ref="F31" ca="1">IFERROR(_xlfn.XLOOKUP($A31, INDIRECT("'" &amp; F$3 &amp; "'!A:A"), INDIRECT("'" &amp; F$3 &amp; "'!B:B")),0)</f>
        <v>5393.62</v>
      </c>
      <c r="G31" s="157" cm="1">
        <f t="array" aca="1" ref="G31" ca="1">IFERROR(_xlfn.XLOOKUP($A31, INDIRECT("'" &amp; G$3 &amp; "'!A:A"), INDIRECT("'" &amp; G$3 &amp; "'!B:B")),0)</f>
        <v>4177.97</v>
      </c>
      <c r="H31" s="157" cm="1">
        <f t="array" aca="1" ref="H31" ca="1">IFERROR(_xlfn.XLOOKUP($A31, INDIRECT("'" &amp; H$3 &amp; "'!A:A"), INDIRECT("'" &amp; H$3 &amp; "'!B:B")),0)</f>
        <v>4637.3999999999996</v>
      </c>
      <c r="I31" s="157" cm="1">
        <f t="array" aca="1" ref="I31" ca="1">IFERROR(_xlfn.XLOOKUP($A31, INDIRECT("'" &amp; I$3 &amp; "'!A:A"), INDIRECT("'" &amp; I$3 &amp; "'!B:B")),0)</f>
        <v>4800.1400000000003</v>
      </c>
      <c r="J31" s="157" cm="1">
        <f t="array" aca="1" ref="J31" ca="1">IFERROR(_xlfn.XLOOKUP($A31, INDIRECT("'" &amp; J$3 &amp; "'!A:A"), INDIRECT("'" &amp; J$3 &amp; "'!B:B")),0)</f>
        <v>5153.13</v>
      </c>
      <c r="K31" s="157" cm="1">
        <f t="array" aca="1" ref="K31" ca="1">IFERROR(_xlfn.XLOOKUP($A31, INDIRECT("'" &amp; K$3 &amp; "'!A:A"), INDIRECT("'" &amp; K$3 &amp; "'!B:B")),0)</f>
        <v>3767.81</v>
      </c>
      <c r="L31" s="157" cm="1">
        <f t="array" aca="1" ref="L31" ca="1">IFERROR(_xlfn.XLOOKUP($A31, INDIRECT("'" &amp; L$3 &amp; "'!A:A"), INDIRECT("'" &amp; L$3 &amp; "'!B:B")),0)</f>
        <v>5046.53</v>
      </c>
      <c r="M31" s="157" cm="1">
        <f t="array" aca="1" ref="M31" ca="1">IFERROR(_xlfn.XLOOKUP($A31, INDIRECT("'" &amp; M$3 &amp; "'!A:A"), INDIRECT("'" &amp; M$3 &amp; "'!B:B")),0)</f>
        <v>5787.86</v>
      </c>
      <c r="N31" s="157" cm="1">
        <f t="array" aca="1" ref="N31" ca="1">IFERROR(_xlfn.XLOOKUP($A31, INDIRECT("'" &amp; N$3 &amp; "'!A:A"), INDIRECT("'" &amp; N$3 &amp; "'!B:B")),0)</f>
        <v>4058.81</v>
      </c>
      <c r="O31" s="157" cm="1">
        <f t="array" aca="1" ref="O31" ca="1">IFERROR(_xlfn.XLOOKUP($A31, INDIRECT("'" &amp; O$3 &amp; "'!A:A"), INDIRECT("'" &amp; O$3 &amp; "'!B:B")),0)</f>
        <v>4161.8599999999997</v>
      </c>
      <c r="P31" s="157" cm="1">
        <f t="array" aca="1" ref="P31" ca="1">IFERROR(_xlfn.XLOOKUP($A31, INDIRECT("'" &amp; P$3 &amp; "'!A:A"), INDIRECT("'" &amp; P$3 &amp; "'!B:B")),0)</f>
        <v>3308.57</v>
      </c>
      <c r="Q31" s="157" cm="1">
        <f t="array" aca="1" ref="Q31" ca="1">IFERROR(_xlfn.XLOOKUP($A31, INDIRECT("'" &amp; Q$3 &amp; "'!A:A"), INDIRECT("'" &amp; Q$3 &amp; "'!B:B")),0)</f>
        <v>4923.9399999999996</v>
      </c>
      <c r="R31" s="157" cm="1">
        <f t="array" aca="1" ref="R31" ca="1">IFERROR(_xlfn.XLOOKUP($A31, INDIRECT("'" &amp; R$3 &amp; "'!A:A"), INDIRECT("'" &amp; R$3 &amp; "'!B:B")),0)</f>
        <v>4434.24</v>
      </c>
      <c r="S31" s="157" cm="1">
        <f t="array" aca="1" ref="S31" ca="1">IFERROR(_xlfn.XLOOKUP($A31, INDIRECT("'" &amp; S$3 &amp; "'!A:A"), INDIRECT("'" &amp; S$3 &amp; "'!B:B")),0)</f>
        <v>4417.93</v>
      </c>
      <c r="T31" s="157" cm="1">
        <f t="array" aca="1" ref="T31" ca="1">IFERROR(_xlfn.XLOOKUP($A31, INDIRECT("'" &amp; T$3 &amp; "'!A:A"), INDIRECT("'" &amp; T$3 &amp; "'!B:B")),0)</f>
        <v>3826.35</v>
      </c>
      <c r="U31" s="157" cm="1">
        <f t="array" aca="1" ref="U31" ca="1">IFERROR(_xlfn.XLOOKUP($A31, INDIRECT("'" &amp; U$3 &amp; "'!A:A"), INDIRECT("'" &amp; U$3 &amp; "'!B:B")),0)</f>
        <v>3390.09</v>
      </c>
      <c r="V31" s="157" cm="1">
        <f t="array" aca="1" ref="V31" ca="1">IFERROR(_xlfn.XLOOKUP($A31, INDIRECT("'" &amp; V$3 &amp; "'!A:A"), INDIRECT("'" &amp; V$3 &amp; "'!B:B")),0)</f>
        <v>2842.2</v>
      </c>
      <c r="W31" s="157" cm="1">
        <f t="array" aca="1" ref="W31" ca="1">IFERROR(_xlfn.XLOOKUP($A31, INDIRECT("'" &amp; W$3 &amp; "'!A:A"), INDIRECT("'" &amp; W$3 &amp; "'!B:B")),0)</f>
        <v>4861.95</v>
      </c>
      <c r="X31" s="157" cm="1">
        <f t="array" aca="1" ref="X31" ca="1">IFERROR(_xlfn.XLOOKUP($A31, INDIRECT("'" &amp; X$3 &amp; "'!A:A"), INDIRECT("'" &amp; X$3 &amp; "'!B:B")),0)</f>
        <v>3531.73</v>
      </c>
      <c r="Y31" s="157" cm="1">
        <f t="array" aca="1" ref="Y31" ca="1">IFERROR(_xlfn.XLOOKUP($A31, INDIRECT("'" &amp; Y$3 &amp; "'!A:A"), INDIRECT("'" &amp; Y$3 &amp; "'!B:B")),0)</f>
        <v>3800.3</v>
      </c>
      <c r="Z31" s="157" cm="1">
        <f t="array" aca="1" ref="Z31" ca="1">IFERROR(_xlfn.XLOOKUP($A31, INDIRECT("'" &amp; Z$3 &amp; "'!A:A"), INDIRECT("'" &amp; Z$3 &amp; "'!B:B")),0)</f>
        <v>4658.49</v>
      </c>
      <c r="AA31" s="157" cm="1">
        <f t="array" aca="1" ref="AA31" ca="1">IFERROR(_xlfn.XLOOKUP($A31, INDIRECT("'" &amp; AA$3 &amp; "'!A:A"), INDIRECT("'" &amp; AA$3 &amp; "'!B:B")),0)</f>
        <v>4184.09</v>
      </c>
      <c r="AB31" s="157" cm="1">
        <f t="array" aca="1" ref="AB31" ca="1">IFERROR(_xlfn.XLOOKUP($A31, INDIRECT("'" &amp; AB$3 &amp; "'!A:A"), INDIRECT("'" &amp; AB$3 &amp; "'!B:B")),0)</f>
        <v>4766.57</v>
      </c>
      <c r="AC31" s="157" cm="1">
        <f t="array" aca="1" ref="AC31" ca="1">IFERROR(_xlfn.XLOOKUP($A31, INDIRECT("'" &amp; AC$3 &amp; "'!A:A"), INDIRECT("'" &amp; AC$3 &amp; "'!B:B")),0)</f>
        <v>4546.58</v>
      </c>
      <c r="AD31" s="157" cm="1">
        <f t="array" aca="1" ref="AD31" ca="1">IFERROR(_xlfn.XLOOKUP($A31, INDIRECT("'" &amp; AD$3 &amp; "'!A:A"), INDIRECT("'" &amp; AD$3 &amp; "'!B:B")),0)</f>
        <v>4370.54</v>
      </c>
      <c r="AE31" s="157" cm="1">
        <f t="array" aca="1" ref="AE31" ca="1">IFERROR(_xlfn.XLOOKUP($A31, INDIRECT("'" &amp; AE$3 &amp; "'!A:A"), INDIRECT("'" &amp; AE$3 &amp; "'!B:B")),0)</f>
        <v>4086.44</v>
      </c>
      <c r="AF31" s="157" cm="1">
        <f t="array" aca="1" ref="AF31" ca="1">IFERROR(_xlfn.XLOOKUP($A31, INDIRECT("'" &amp; AF$3 &amp; "'!A:A"), INDIRECT("'" &amp; AF$3 &amp; "'!B:B")),0)</f>
        <v>3855.28</v>
      </c>
      <c r="AG31" s="157" cm="1">
        <f t="array" aca="1" ref="AG31" ca="1">IFERROR(_xlfn.XLOOKUP($A31, INDIRECT("'" &amp; AG$3 &amp; "'!A:A"), INDIRECT("'" &amp; AG$3 &amp; "'!B:B")),0)</f>
        <v>4605.6099999999997</v>
      </c>
      <c r="AH31" s="157" cm="1">
        <f t="array" aca="1" ref="AH31" ca="1">IFERROR(_xlfn.XLOOKUP($A31, INDIRECT("'" &amp; AH$3 &amp; "'!A:A"), INDIRECT("'" &amp; AH$3 &amp; "'!B:B")),0)</f>
        <v>3741.76</v>
      </c>
      <c r="AI31" s="157" cm="1">
        <f t="array" aca="1" ref="AI31" ca="1">IFERROR(_xlfn.XLOOKUP($A31, INDIRECT("'" &amp; AI$3 &amp; "'!A:A"), INDIRECT("'" &amp; AI$3 &amp; "'!B:B")),0)</f>
        <v>4724.6899999999996</v>
      </c>
      <c r="AJ31" s="157">
        <f t="shared" ca="1" si="1"/>
        <v>4501.41</v>
      </c>
      <c r="AK31" s="156" cm="1">
        <f t="array" aca="1" ref="AK31" ca="1">IFERROR(_xlfn.XLOOKUP($A31, INDIRECT("'" &amp; AK$3 &amp; "'!A:A"), INDIRECT("'" &amp; AK$3 &amp; "'!B:B")),0)</f>
        <v>4102.83</v>
      </c>
      <c r="AL31" s="155" cm="1">
        <f t="array" aca="1" ref="AL31" ca="1">IFERROR(_xlfn.XLOOKUP($A31, INDIRECT("'" &amp; AL$3 &amp; "'!A:A"), INDIRECT("'" &amp; AL$3 &amp; "'!B:B")),0)</f>
        <v>4800.9562200000009</v>
      </c>
      <c r="AM31" s="157" cm="1">
        <f t="array" aca="1" ref="AM31" ca="1">IFERROR(_xlfn.XLOOKUP($A31, INDIRECT("'" &amp; AM$3 &amp; "'!A:A"), INDIRECT("'" &amp; AM$3 &amp; "'!B:B")),0)</f>
        <v>4635.72</v>
      </c>
    </row>
    <row r="32" spans="1:39" x14ac:dyDescent="0.25">
      <c r="A32" s="225" t="s">
        <v>178</v>
      </c>
      <c r="B32" s="157" cm="1">
        <f t="array" aca="1" ref="B32" ca="1">IFERROR(_xlfn.XLOOKUP($A32, INDIRECT("'" &amp; B$3 &amp; "'!A:A"), INDIRECT("'" &amp; B$3 &amp; "'!B:B")),0)</f>
        <v>5700.78</v>
      </c>
      <c r="C32" s="157" cm="1">
        <f t="array" aca="1" ref="C32" ca="1">IFERROR(_xlfn.XLOOKUP($A32, INDIRECT("'" &amp; C$3 &amp; "'!A:A"), INDIRECT("'" &amp; C$3 &amp; "'!B:B")),0)</f>
        <v>4709.34</v>
      </c>
      <c r="D32" s="157" cm="1">
        <f t="array" aca="1" ref="D32" ca="1">IFERROR(_xlfn.XLOOKUP($A32, INDIRECT("'" &amp; D$3 &amp; "'!A:A"), INDIRECT("'" &amp; D$3 &amp; "'!B:B")),0)</f>
        <v>4195.26</v>
      </c>
      <c r="E32" s="157" cm="1">
        <f t="array" aca="1" ref="E32" ca="1">IFERROR(_xlfn.XLOOKUP($A32, INDIRECT("'" &amp; E$3 &amp; "'!A:A"), INDIRECT("'" &amp; E$3 &amp; "'!B:B")),0)</f>
        <v>4305.42</v>
      </c>
      <c r="F32" s="157" cm="1">
        <f t="array" aca="1" ref="F32" ca="1">IFERROR(_xlfn.XLOOKUP($A32, INDIRECT("'" &amp; F$3 &amp; "'!A:A"), INDIRECT("'" &amp; F$3 &amp; "'!B:B")),0)</f>
        <v>5777.28</v>
      </c>
      <c r="G32" s="157" cm="1">
        <f t="array" aca="1" ref="G32" ca="1">IFERROR(_xlfn.XLOOKUP($A32, INDIRECT("'" &amp; G$3 &amp; "'!A:A"), INDIRECT("'" &amp; G$3 &amp; "'!B:B")),0)</f>
        <v>4244.22</v>
      </c>
      <c r="H32" s="157" cm="1">
        <f t="array" aca="1" ref="H32" ca="1">IFERROR(_xlfn.XLOOKUP($A32, INDIRECT("'" &amp; H$3 &amp; "'!A:A"), INDIRECT("'" &amp; H$3 &amp; "'!B:B")),0)</f>
        <v>4684.8599999999997</v>
      </c>
      <c r="I32" s="157" cm="1">
        <f t="array" aca="1" ref="I32" ca="1">IFERROR(_xlfn.XLOOKUP($A32, INDIRECT("'" &amp; I$3 &amp; "'!A:A"), INDIRECT("'" &amp; I$3 &amp; "'!B:B")),0)</f>
        <v>4779.72</v>
      </c>
      <c r="J32" s="157" cm="1">
        <f t="array" aca="1" ref="J32" ca="1">IFERROR(_xlfn.XLOOKUP($A32, INDIRECT("'" &amp; J$3 &amp; "'!A:A"), INDIRECT("'" &amp; J$3 &amp; "'!B:B")),0)</f>
        <v>4580.82</v>
      </c>
      <c r="K32" s="157" cm="1">
        <f t="array" aca="1" ref="K32" ca="1">IFERROR(_xlfn.XLOOKUP($A32, INDIRECT("'" &amp; K$3 &amp; "'!A:A"), INDIRECT("'" &amp; K$3 &amp; "'!B:B")),0)</f>
        <v>3607.74</v>
      </c>
      <c r="L32" s="157" cm="1">
        <f t="array" aca="1" ref="L32" ca="1">IFERROR(_xlfn.XLOOKUP($A32, INDIRECT("'" &amp; L$3 &amp; "'!A:A"), INDIRECT("'" &amp; L$3 &amp; "'!B:B")),0)</f>
        <v>5437.62</v>
      </c>
      <c r="M32" s="157" cm="1">
        <f t="array" aca="1" ref="M32" ca="1">IFERROR(_xlfn.XLOOKUP($A32, INDIRECT("'" &amp; M$3 &amp; "'!A:A"), INDIRECT("'" &amp; M$3 &amp; "'!B:B")),0)</f>
        <v>6156.72</v>
      </c>
      <c r="N32" s="157" cm="1">
        <f t="array" aca="1" ref="N32" ca="1">IFERROR(_xlfn.XLOOKUP($A32, INDIRECT("'" &amp; N$3 &amp; "'!A:A"), INDIRECT("'" &amp; N$3 &amp; "'!B:B")),0)</f>
        <v>4559.3999999999996</v>
      </c>
      <c r="O32" s="157" cm="1">
        <f t="array" aca="1" ref="O32" ca="1">IFERROR(_xlfn.XLOOKUP($A32, INDIRECT("'" &amp; O$3 &amp; "'!A:A"), INDIRECT("'" &amp; O$3 &amp; "'!B:B")),0)</f>
        <v>4075.92</v>
      </c>
      <c r="P32" s="157" cm="1">
        <f t="array" aca="1" ref="P32" ca="1">IFERROR(_xlfn.XLOOKUP($A32, INDIRECT("'" &amp; P$3 &amp; "'!A:A"), INDIRECT("'" &amp; P$3 &amp; "'!B:B")),0)</f>
        <v>3225.24</v>
      </c>
      <c r="Q32" s="157" cm="1">
        <f t="array" aca="1" ref="Q32" ca="1">IFERROR(_xlfn.XLOOKUP($A32, INDIRECT("'" &amp; Q$3 &amp; "'!A:A"), INDIRECT("'" &amp; Q$3 &amp; "'!B:B")),0)</f>
        <v>5088.78</v>
      </c>
      <c r="R32" s="157" cm="1">
        <f t="array" aca="1" ref="R32" ca="1">IFERROR(_xlfn.XLOOKUP($A32, INDIRECT("'" &amp; R$3 &amp; "'!A:A"), INDIRECT("'" &amp; R$3 &amp; "'!B:B")),0)</f>
        <v>4681.8</v>
      </c>
      <c r="S32" s="157" cm="1">
        <f t="array" aca="1" ref="S32" ca="1">IFERROR(_xlfn.XLOOKUP($A32, INDIRECT("'" &amp; S$3 &amp; "'!A:A"), INDIRECT("'" &amp; S$3 &amp; "'!B:B")),0)</f>
        <v>4189.1400000000003</v>
      </c>
      <c r="T32" s="157" cm="1">
        <f t="array" aca="1" ref="T32" ca="1">IFERROR(_xlfn.XLOOKUP($A32, INDIRECT("'" &amp; T$3 &amp; "'!A:A"), INDIRECT("'" &amp; T$3 &amp; "'!B:B")),0)</f>
        <v>4360.5</v>
      </c>
      <c r="U32" s="157" cm="1">
        <f t="array" aca="1" ref="U32" ca="1">IFERROR(_xlfn.XLOOKUP($A32, INDIRECT("'" &amp; U$3 &amp; "'!A:A"), INDIRECT("'" &amp; U$3 &amp; "'!B:B")),0)</f>
        <v>3167.1</v>
      </c>
      <c r="V32" s="157" cm="1">
        <f t="array" aca="1" ref="V32" ca="1">IFERROR(_xlfn.XLOOKUP($A32, INDIRECT("'" &amp; V$3 &amp; "'!A:A"), INDIRECT("'" &amp; V$3 &amp; "'!B:B")),0)</f>
        <v>3408.84</v>
      </c>
      <c r="W32" s="157" cm="1">
        <f t="array" aca="1" ref="W32" ca="1">IFERROR(_xlfn.XLOOKUP($A32, INDIRECT("'" &amp; W$3 &amp; "'!A:A"), INDIRECT("'" &amp; W$3 &amp; "'!B:B")),0)</f>
        <v>5474.34</v>
      </c>
      <c r="X32" s="157" cm="1">
        <f t="array" aca="1" ref="X32" ca="1">IFERROR(_xlfn.XLOOKUP($A32, INDIRECT("'" &amp; X$3 &amp; "'!A:A"), INDIRECT("'" &amp; X$3 &amp; "'!B:B")),0)</f>
        <v>3962.7</v>
      </c>
      <c r="Y32" s="157" cm="1">
        <f t="array" aca="1" ref="Y32" ca="1">IFERROR(_xlfn.XLOOKUP($A32, INDIRECT("'" &amp; Y$3 &amp; "'!A:A"), INDIRECT("'" &amp; Y$3 &amp; "'!B:B")),0)</f>
        <v>4161.6000000000004</v>
      </c>
      <c r="Z32" s="157" cm="1">
        <f t="array" aca="1" ref="Z32" ca="1">IFERROR(_xlfn.XLOOKUP($A32, INDIRECT("'" &amp; Z$3 &amp; "'!A:A"), INDIRECT("'" &amp; Z$3 &amp; "'!B:B")),0)</f>
        <v>5027.58</v>
      </c>
      <c r="AA32" s="157" cm="1">
        <f t="array" aca="1" ref="AA32" ca="1">IFERROR(_xlfn.XLOOKUP($A32, INDIRECT("'" &amp; AA$3 &amp; "'!A:A"), INDIRECT("'" &amp; AA$3 &amp; "'!B:B")),0)</f>
        <v>4397.22</v>
      </c>
      <c r="AB32" s="157" cm="1">
        <f t="array" aca="1" ref="AB32" ca="1">IFERROR(_xlfn.XLOOKUP($A32, INDIRECT("'" &amp; AB$3 &amp; "'!A:A"), INDIRECT("'" &amp; AB$3 &amp; "'!B:B")),0)</f>
        <v>5254.02</v>
      </c>
      <c r="AC32" s="157" cm="1">
        <f t="array" aca="1" ref="AC32" ca="1">IFERROR(_xlfn.XLOOKUP($A32, INDIRECT("'" &amp; AC$3 &amp; "'!A:A"), INDIRECT("'" &amp; AC$3 &amp; "'!B:B")),0)</f>
        <v>4905.18</v>
      </c>
      <c r="AD32" s="157" cm="1">
        <f t="array" aca="1" ref="AD32" ca="1">IFERROR(_xlfn.XLOOKUP($A32, INDIRECT("'" &amp; AD$3 &amp; "'!A:A"), INDIRECT("'" &amp; AD$3 &amp; "'!B:B")),0)</f>
        <v>4617.54</v>
      </c>
      <c r="AE32" s="157" cm="1">
        <f t="array" aca="1" ref="AE32" ca="1">IFERROR(_xlfn.XLOOKUP($A32, INDIRECT("'" &amp; AE$3 &amp; "'!A:A"), INDIRECT("'" &amp; AE$3 &amp; "'!B:B")),0)</f>
        <v>4235.04</v>
      </c>
      <c r="AF32" s="157" cm="1">
        <f t="array" aca="1" ref="AF32" ca="1">IFERROR(_xlfn.XLOOKUP($A32, INDIRECT("'" &amp; AF$3 &amp; "'!A:A"), INDIRECT("'" &amp; AF$3 &amp; "'!B:B")),0)</f>
        <v>4329.8999999999996</v>
      </c>
      <c r="AG32" s="157" cm="1">
        <f t="array" aca="1" ref="AG32" ca="1">IFERROR(_xlfn.XLOOKUP($A32, INDIRECT("'" &amp; AG$3 &amp; "'!A:A"), INDIRECT("'" &amp; AG$3 &amp; "'!B:B")),0)</f>
        <v>4850.1000000000004</v>
      </c>
      <c r="AH32" s="157" cm="1">
        <f t="array" aca="1" ref="AH32" ca="1">IFERROR(_xlfn.XLOOKUP($A32, INDIRECT("'" &amp; AH$3 &amp; "'!A:A"), INDIRECT("'" &amp; AH$3 &amp; "'!B:B")),0)</f>
        <v>4155.4799999999996</v>
      </c>
      <c r="AI32" s="157" cm="1">
        <f t="array" aca="1" ref="AI32" ca="1">IFERROR(_xlfn.XLOOKUP($A32, INDIRECT("'" &amp; AI$3 &amp; "'!A:A"), INDIRECT("'" &amp; AI$3 &amp; "'!B:B")),0)</f>
        <v>4571.6400000000003</v>
      </c>
      <c r="AJ32" s="157">
        <f t="shared" ca="1" si="1"/>
        <v>4709.34</v>
      </c>
      <c r="AK32" s="156" cm="1">
        <f t="array" aca="1" ref="AK32" ca="1">IFERROR(_xlfn.XLOOKUP($A32, INDIRECT("'" &amp; AK$3 &amp; "'!A:A"), INDIRECT("'" &amp; AK$3 &amp; "'!B:B")),0)</f>
        <v>4709.34</v>
      </c>
      <c r="AL32" s="155" cm="1">
        <f t="array" aca="1" ref="AL32" ca="1">IFERROR(_xlfn.XLOOKUP($A32, INDIRECT("'" &amp; AL$3 &amp; "'!A:A"), INDIRECT("'" &amp; AL$3 &amp; "'!B:B")),0)</f>
        <v>4044.3182999999999</v>
      </c>
      <c r="AM32" s="157" cm="1">
        <f t="array" aca="1" ref="AM32" ca="1">IFERROR(_xlfn.XLOOKUP($A32, INDIRECT("'" &amp; AM$3 &amp; "'!A:A"), INDIRECT("'" &amp; AM$3 &amp; "'!B:B")),0)</f>
        <v>4469.78</v>
      </c>
    </row>
    <row r="33" spans="1:39" x14ac:dyDescent="0.25">
      <c r="A33" s="225" t="s">
        <v>179</v>
      </c>
      <c r="B33" s="157" cm="1">
        <f t="array" aca="1" ref="B33" ca="1">IFERROR(_xlfn.XLOOKUP($A33, INDIRECT("'" &amp; B$3 &amp; "'!A:A"), INDIRECT("'" &amp; B$3 &amp; "'!B:B")),0)</f>
        <v>25</v>
      </c>
      <c r="C33" s="157" cm="1">
        <f t="array" aca="1" ref="C33" ca="1">IFERROR(_xlfn.XLOOKUP($A33, INDIRECT("'" &amp; C$3 &amp; "'!A:A"), INDIRECT("'" &amp; C$3 &amp; "'!B:B")),0)</f>
        <v>50</v>
      </c>
      <c r="D33" s="157" cm="1">
        <f t="array" aca="1" ref="D33" ca="1">IFERROR(_xlfn.XLOOKUP($A33, INDIRECT("'" &amp; D$3 &amp; "'!A:A"), INDIRECT("'" &amp; D$3 &amp; "'!B:B")),0)</f>
        <v>50</v>
      </c>
      <c r="E33" s="157" cm="1">
        <f t="array" aca="1" ref="E33" ca="1">IFERROR(_xlfn.XLOOKUP($A33, INDIRECT("'" &amp; E$3 &amp; "'!A:A"), INDIRECT("'" &amp; E$3 &amp; "'!B:B")),0)</f>
        <v>400</v>
      </c>
      <c r="F33" s="157" cm="1">
        <f t="array" aca="1" ref="F33" ca="1">IFERROR(_xlfn.XLOOKUP($A33, INDIRECT("'" &amp; F$3 &amp; "'!A:A"), INDIRECT("'" &amp; F$3 &amp; "'!B:B")),0)</f>
        <v>275</v>
      </c>
      <c r="G33" s="157" cm="1">
        <f t="array" aca="1" ref="G33" ca="1">IFERROR(_xlfn.XLOOKUP($A33, INDIRECT("'" &amp; G$3 &amp; "'!A:A"), INDIRECT("'" &amp; G$3 &amp; "'!B:B")),0)</f>
        <v>100</v>
      </c>
      <c r="H33" s="157" cm="1">
        <f t="array" aca="1" ref="H33" ca="1">IFERROR(_xlfn.XLOOKUP($A33, INDIRECT("'" &amp; H$3 &amp; "'!A:A"), INDIRECT("'" &amp; H$3 &amp; "'!B:B")),0)</f>
        <v>75</v>
      </c>
      <c r="I33" s="157" cm="1">
        <f t="array" aca="1" ref="I33" ca="1">IFERROR(_xlfn.XLOOKUP($A33, INDIRECT("'" &amp; I$3 &amp; "'!A:A"), INDIRECT("'" &amp; I$3 &amp; "'!B:B")),0)</f>
        <v>100</v>
      </c>
      <c r="J33" s="157" cm="1">
        <f t="array" aca="1" ref="J33" ca="1">IFERROR(_xlfn.XLOOKUP($A33, INDIRECT("'" &amp; J$3 &amp; "'!A:A"), INDIRECT("'" &amp; J$3 &amp; "'!B:B")),0)</f>
        <v>75</v>
      </c>
      <c r="K33" s="157" cm="1">
        <f t="array" aca="1" ref="K33" ca="1">IFERROR(_xlfn.XLOOKUP($A33, INDIRECT("'" &amp; K$3 &amp; "'!A:A"), INDIRECT("'" &amp; K$3 &amp; "'!B:B")),0)</f>
        <v>50</v>
      </c>
      <c r="L33" s="157" cm="1">
        <f t="array" aca="1" ref="L33" ca="1">IFERROR(_xlfn.XLOOKUP($A33, INDIRECT("'" &amp; L$3 &amp; "'!A:A"), INDIRECT("'" &amp; L$3 &amp; "'!B:B")),0)</f>
        <v>25</v>
      </c>
      <c r="M33" s="157" cm="1">
        <f t="array" aca="1" ref="M33" ca="1">IFERROR(_xlfn.XLOOKUP($A33, INDIRECT("'" &amp; M$3 &amp; "'!A:A"), INDIRECT("'" &amp; M$3 &amp; "'!B:B")),0)</f>
        <v>250</v>
      </c>
      <c r="N33" s="157" cm="1">
        <f t="array" aca="1" ref="N33" ca="1">IFERROR(_xlfn.XLOOKUP($A33, INDIRECT("'" &amp; N$3 &amp; "'!A:A"), INDIRECT("'" &amp; N$3 &amp; "'!B:B")),0)</f>
        <v>200</v>
      </c>
      <c r="O33" s="157" cm="1">
        <f t="array" aca="1" ref="O33" ca="1">IFERROR(_xlfn.XLOOKUP($A33, INDIRECT("'" &amp; O$3 &amp; "'!A:A"), INDIRECT("'" &amp; O$3 &amp; "'!B:B")),0)</f>
        <v>75</v>
      </c>
      <c r="P33" s="157" cm="1">
        <f t="array" aca="1" ref="P33" ca="1">IFERROR(_xlfn.XLOOKUP($A33, INDIRECT("'" &amp; P$3 &amp; "'!A:A"), INDIRECT("'" &amp; P$3 &amp; "'!B:B")),0)</f>
        <v>100</v>
      </c>
      <c r="Q33" s="157" cm="1">
        <f t="array" aca="1" ref="Q33" ca="1">IFERROR(_xlfn.XLOOKUP($A33, INDIRECT("'" &amp; Q$3 &amp; "'!A:A"), INDIRECT("'" &amp; Q$3 &amp; "'!B:B")),0)</f>
        <v>75</v>
      </c>
      <c r="R33" s="157" cm="1">
        <f t="array" aca="1" ref="R33" ca="1">IFERROR(_xlfn.XLOOKUP($A33, INDIRECT("'" &amp; R$3 &amp; "'!A:A"), INDIRECT("'" &amp; R$3 &amp; "'!B:B")),0)</f>
        <v>125</v>
      </c>
      <c r="S33" s="157" cm="1">
        <f t="array" aca="1" ref="S33" ca="1">IFERROR(_xlfn.XLOOKUP($A33, INDIRECT("'" &amp; S$3 &amp; "'!A:A"), INDIRECT("'" &amp; S$3 &amp; "'!B:B")),0)</f>
        <v>100</v>
      </c>
      <c r="T33" s="157" cm="1">
        <f t="array" aca="1" ref="T33" ca="1">IFERROR(_xlfn.XLOOKUP($A33, INDIRECT("'" &amp; T$3 &amp; "'!A:A"), INDIRECT("'" &amp; T$3 &amp; "'!B:B")),0)</f>
        <v>25</v>
      </c>
      <c r="U33" s="157" cm="1">
        <f t="array" aca="1" ref="U33" ca="1">IFERROR(_xlfn.XLOOKUP($A33, INDIRECT("'" &amp; U$3 &amp; "'!A:A"), INDIRECT("'" &amp; U$3 &amp; "'!B:B")),0)</f>
        <v>100</v>
      </c>
      <c r="V33" s="157" cm="1">
        <f t="array" aca="1" ref="V33" ca="1">IFERROR(_xlfn.XLOOKUP($A33, INDIRECT("'" &amp; V$3 &amp; "'!A:A"), INDIRECT("'" &amp; V$3 &amp; "'!B:B")),0)</f>
        <v>0</v>
      </c>
      <c r="W33" s="157" cm="1">
        <f t="array" aca="1" ref="W33" ca="1">IFERROR(_xlfn.XLOOKUP($A33, INDIRECT("'" &amp; W$3 &amp; "'!A:A"), INDIRECT("'" &amp; W$3 &amp; "'!B:B")),0)</f>
        <v>50</v>
      </c>
      <c r="X33" s="157" cm="1">
        <f t="array" aca="1" ref="X33" ca="1">IFERROR(_xlfn.XLOOKUP($A33, INDIRECT("'" &amp; X$3 &amp; "'!A:A"), INDIRECT("'" &amp; X$3 &amp; "'!B:B")),0)</f>
        <v>75</v>
      </c>
      <c r="Y33" s="157" cm="1">
        <f t="array" aca="1" ref="Y33" ca="1">IFERROR(_xlfn.XLOOKUP($A33, INDIRECT("'" &amp; Y$3 &amp; "'!A:A"), INDIRECT("'" &amp; Y$3 &amp; "'!B:B")),0)</f>
        <v>0</v>
      </c>
      <c r="Z33" s="157" cm="1">
        <f t="array" aca="1" ref="Z33" ca="1">IFERROR(_xlfn.XLOOKUP($A33, INDIRECT("'" &amp; Z$3 &amp; "'!A:A"), INDIRECT("'" &amp; Z$3 &amp; "'!B:B")),0)</f>
        <v>275</v>
      </c>
      <c r="AA33" s="157" cm="1">
        <f t="array" aca="1" ref="AA33" ca="1">IFERROR(_xlfn.XLOOKUP($A33, INDIRECT("'" &amp; AA$3 &amp; "'!A:A"), INDIRECT("'" &amp; AA$3 &amp; "'!B:B")),0)</f>
        <v>330</v>
      </c>
      <c r="AB33" s="157" cm="1">
        <f t="array" aca="1" ref="AB33" ca="1">IFERROR(_xlfn.XLOOKUP($A33, INDIRECT("'" &amp; AB$3 &amp; "'!A:A"), INDIRECT("'" &amp; AB$3 &amp; "'!B:B")),0)</f>
        <v>0</v>
      </c>
      <c r="AC33" s="157" cm="1">
        <f t="array" aca="1" ref="AC33" ca="1">IFERROR(_xlfn.XLOOKUP($A33, INDIRECT("'" &amp; AC$3 &amp; "'!A:A"), INDIRECT("'" &amp; AC$3 &amp; "'!B:B")),0)</f>
        <v>0</v>
      </c>
      <c r="AD33" s="157" cm="1">
        <f t="array" aca="1" ref="AD33" ca="1">IFERROR(_xlfn.XLOOKUP($A33, INDIRECT("'" &amp; AD$3 &amp; "'!A:A"), INDIRECT("'" &amp; AD$3 &amp; "'!B:B")),0)</f>
        <v>350</v>
      </c>
      <c r="AE33" s="157" cm="1">
        <f t="array" aca="1" ref="AE33" ca="1">IFERROR(_xlfn.XLOOKUP($A33, INDIRECT("'" &amp; AE$3 &amp; "'!A:A"), INDIRECT("'" &amp; AE$3 &amp; "'!B:B")),0)</f>
        <v>100</v>
      </c>
      <c r="AF33" s="157" cm="1">
        <f t="array" aca="1" ref="AF33" ca="1">IFERROR(_xlfn.XLOOKUP($A33, INDIRECT("'" &amp; AF$3 &amp; "'!A:A"), INDIRECT("'" &amp; AF$3 &amp; "'!B:B")),0)</f>
        <v>350</v>
      </c>
      <c r="AG33" s="157" cm="1">
        <f t="array" aca="1" ref="AG33" ca="1">IFERROR(_xlfn.XLOOKUP($A33, INDIRECT("'" &amp; AG$3 &amp; "'!A:A"), INDIRECT("'" &amp; AG$3 &amp; "'!B:B")),0)</f>
        <v>0</v>
      </c>
      <c r="AH33" s="157" cm="1">
        <f t="array" aca="1" ref="AH33" ca="1">IFERROR(_xlfn.XLOOKUP($A33, INDIRECT("'" &amp; AH$3 &amp; "'!A:A"), INDIRECT("'" &amp; AH$3 &amp; "'!B:B")),0)</f>
        <v>50</v>
      </c>
      <c r="AI33" s="157" cm="1">
        <f t="array" aca="1" ref="AI33" ca="1">IFERROR(_xlfn.XLOOKUP($A33, INDIRECT("'" &amp; AI$3 &amp; "'!A:A"), INDIRECT("'" &amp; AI$3 &amp; "'!B:B")),0)</f>
        <v>100</v>
      </c>
      <c r="AJ33" s="157">
        <f t="shared" ca="1" si="1"/>
        <v>50</v>
      </c>
      <c r="AK33" s="156" cm="1">
        <f t="array" aca="1" ref="AK33" ca="1">IFERROR(_xlfn.XLOOKUP($A33, INDIRECT("'" &amp; AK$3 &amp; "'!A:A"), INDIRECT("'" &amp; AK$3 &amp; "'!B:B")),0)</f>
        <v>0</v>
      </c>
      <c r="AL33" s="155" cm="1">
        <f t="array" aca="1" ref="AL33" ca="1">IFERROR(_xlfn.XLOOKUP($A33, INDIRECT("'" &amp; AL$3 &amp; "'!A:A"), INDIRECT("'" &amp; AL$3 &amp; "'!B:B")),0)</f>
        <v>217.2</v>
      </c>
      <c r="AM33" s="157" cm="1">
        <f t="array" aca="1" ref="AM33" ca="1">IFERROR(_xlfn.XLOOKUP($A33, INDIRECT("'" &amp; AM$3 &amp; "'!A:A"), INDIRECT("'" &amp; AM$3 &amp; "'!B:B")),0)</f>
        <v>0</v>
      </c>
    </row>
    <row r="34" spans="1:39" x14ac:dyDescent="0.25">
      <c r="A34" s="225" t="s">
        <v>180</v>
      </c>
      <c r="B34" s="157" cm="1">
        <f t="array" aca="1" ref="B34" ca="1">IFERROR(_xlfn.XLOOKUP($A34, INDIRECT("'" &amp; B$3 &amp; "'!A:A"), INDIRECT("'" &amp; B$3 &amp; "'!B:B")),0)</f>
        <v>4114.24</v>
      </c>
      <c r="C34" s="157" cm="1">
        <f t="array" aca="1" ref="C34" ca="1">IFERROR(_xlfn.XLOOKUP($A34, INDIRECT("'" &amp; C$3 &amp; "'!A:A"), INDIRECT("'" &amp; C$3 &amp; "'!B:B")),0)</f>
        <v>3289.92</v>
      </c>
      <c r="D34" s="157" cm="1">
        <f t="array" aca="1" ref="D34" ca="1">IFERROR(_xlfn.XLOOKUP($A34, INDIRECT("'" &amp; D$3 &amp; "'!A:A"), INDIRECT("'" &amp; D$3 &amp; "'!B:B")),0)</f>
        <v>2923.28</v>
      </c>
      <c r="E34" s="157" cm="1">
        <f t="array" aca="1" ref="E34" ca="1">IFERROR(_xlfn.XLOOKUP($A34, INDIRECT("'" &amp; E$3 &amp; "'!A:A"), INDIRECT("'" &amp; E$3 &amp; "'!B:B")),0)</f>
        <v>2576</v>
      </c>
      <c r="F34" s="157" cm="1">
        <f t="array" aca="1" ref="F34" ca="1">IFERROR(_xlfn.XLOOKUP($A34, INDIRECT("'" &amp; F$3 &amp; "'!A:A"), INDIRECT("'" &amp; F$3 &amp; "'!B:B")),0)</f>
        <v>4073.76</v>
      </c>
      <c r="G34" s="157" cm="1">
        <f t="array" aca="1" ref="G34" ca="1">IFERROR(_xlfn.XLOOKUP($A34, INDIRECT("'" &amp; G$3 &amp; "'!A:A"), INDIRECT("'" &amp; G$3 &amp; "'!B:B")),0)</f>
        <v>2835.44</v>
      </c>
      <c r="H34" s="157" cm="1">
        <f t="array" aca="1" ref="H34" ca="1">IFERROR(_xlfn.XLOOKUP($A34, INDIRECT("'" &amp; H$3 &amp; "'!A:A"), INDIRECT("'" &amp; H$3 &amp; "'!B:B")),0)</f>
        <v>3151.92</v>
      </c>
      <c r="I34" s="157" cm="1">
        <f t="array" aca="1" ref="I34" ca="1">IFERROR(_xlfn.XLOOKUP($A34, INDIRECT("'" &amp; I$3 &amp; "'!A:A"), INDIRECT("'" &amp; I$3 &amp; "'!B:B")),0)</f>
        <v>3680</v>
      </c>
      <c r="J34" s="157" cm="1">
        <f t="array" aca="1" ref="J34" ca="1">IFERROR(_xlfn.XLOOKUP($A34, INDIRECT("'" &amp; J$3 &amp; "'!A:A"), INDIRECT("'" &amp; J$3 &amp; "'!B:B")),0)</f>
        <v>3150.08</v>
      </c>
      <c r="K34" s="157" cm="1">
        <f t="array" aca="1" ref="K34" ca="1">IFERROR(_xlfn.XLOOKUP($A34, INDIRECT("'" &amp; K$3 &amp; "'!A:A"), INDIRECT("'" &amp; K$3 &amp; "'!B:B")),0)</f>
        <v>2545.1999999999998</v>
      </c>
      <c r="L34" s="157" cm="1">
        <f t="array" aca="1" ref="L34" ca="1">IFERROR(_xlfn.XLOOKUP($A34, INDIRECT("'" &amp; L$3 &amp; "'!A:A"), INDIRECT("'" &amp; L$3 &amp; "'!B:B")),0)</f>
        <v>4219.12</v>
      </c>
      <c r="M34" s="157" cm="1">
        <f t="array" aca="1" ref="M34" ca="1">IFERROR(_xlfn.XLOOKUP($A34, INDIRECT("'" &amp; M$3 &amp; "'!A:A"), INDIRECT("'" &amp; M$3 &amp; "'!B:B")),0)</f>
        <v>5098.6400000000003</v>
      </c>
      <c r="N34" s="157" cm="1">
        <f t="array" aca="1" ref="N34" ca="1">IFERROR(_xlfn.XLOOKUP($A34, INDIRECT("'" &amp; N$3 &amp; "'!A:A"), INDIRECT("'" &amp; N$3 &amp; "'!B:B")),0)</f>
        <v>3601.8</v>
      </c>
      <c r="O34" s="157" cm="1">
        <f t="array" aca="1" ref="O34" ca="1">IFERROR(_xlfn.XLOOKUP($A34, INDIRECT("'" &amp; O$3 &amp; "'!A:A"), INDIRECT("'" &amp; O$3 &amp; "'!B:B")),0)</f>
        <v>2842.8</v>
      </c>
      <c r="P34" s="157" cm="1">
        <f t="array" aca="1" ref="P34" ca="1">IFERROR(_xlfn.XLOOKUP($A34, INDIRECT("'" &amp; P$3 &amp; "'!A:A"), INDIRECT("'" &amp; P$3 &amp; "'!B:B")),0)</f>
        <v>2152.8000000000002</v>
      </c>
      <c r="Q34" s="157" cm="1">
        <f t="array" aca="1" ref="Q34" ca="1">IFERROR(_xlfn.XLOOKUP($A34, INDIRECT("'" &amp; Q$3 &amp; "'!A:A"), INDIRECT("'" &amp; Q$3 &amp; "'!B:B")),0)</f>
        <v>3689.2</v>
      </c>
      <c r="R34" s="157" cm="1">
        <f t="array" aca="1" ref="R34" ca="1">IFERROR(_xlfn.XLOOKUP($A34, INDIRECT("'" &amp; R$3 &amp; "'!A:A"), INDIRECT("'" &amp; R$3 &amp; "'!B:B")),0)</f>
        <v>3416.88</v>
      </c>
      <c r="S34" s="157" cm="1">
        <f t="array" aca="1" ref="S34" ca="1">IFERROR(_xlfn.XLOOKUP($A34, INDIRECT("'" &amp; S$3 &amp; "'!A:A"), INDIRECT("'" &amp; S$3 &amp; "'!B:B")),0)</f>
        <v>2760</v>
      </c>
      <c r="T34" s="157" cm="1">
        <f t="array" aca="1" ref="T34" ca="1">IFERROR(_xlfn.XLOOKUP($A34, INDIRECT("'" &amp; T$3 &amp; "'!A:A"), INDIRECT("'" &amp; T$3 &amp; "'!B:B")),0)</f>
        <v>3107.76</v>
      </c>
      <c r="U34" s="157" cm="1">
        <f t="array" aca="1" ref="U34" ca="1">IFERROR(_xlfn.XLOOKUP($A34, INDIRECT("'" &amp; U$3 &amp; "'!A:A"), INDIRECT("'" &amp; U$3 &amp; "'!B:B")),0)</f>
        <v>2399.36</v>
      </c>
      <c r="V34" s="157" cm="1">
        <f t="array" aca="1" ref="V34" ca="1">IFERROR(_xlfn.XLOOKUP($A34, INDIRECT("'" &amp; V$3 &amp; "'!A:A"), INDIRECT("'" &amp; V$3 &amp; "'!B:B")),0)</f>
        <v>2620.16</v>
      </c>
      <c r="W34" s="157" cm="1">
        <f t="array" aca="1" ref="W34" ca="1">IFERROR(_xlfn.XLOOKUP($A34, INDIRECT("'" &amp; W$3 &amp; "'!A:A"), INDIRECT("'" &amp; W$3 &amp; "'!B:B")),0)</f>
        <v>4025.92</v>
      </c>
      <c r="X34" s="157" cm="1">
        <f t="array" aca="1" ref="X34" ca="1">IFERROR(_xlfn.XLOOKUP($A34, INDIRECT("'" &amp; X$3 &amp; "'!A:A"), INDIRECT("'" &amp; X$3 &amp; "'!B:B")),0)</f>
        <v>2760</v>
      </c>
      <c r="Y34" s="157" cm="1">
        <f t="array" aca="1" ref="Y34" ca="1">IFERROR(_xlfn.XLOOKUP($A34, INDIRECT("'" &amp; Y$3 &amp; "'!A:A"), INDIRECT("'" &amp; Y$3 &amp; "'!B:B")),0)</f>
        <v>3128</v>
      </c>
      <c r="Z34" s="157" cm="1">
        <f t="array" aca="1" ref="Z34" ca="1">IFERROR(_xlfn.XLOOKUP($A34, INDIRECT("'" &amp; Z$3 &amp; "'!A:A"), INDIRECT("'" &amp; Z$3 &amp; "'!B:B")),0)</f>
        <v>3304.64</v>
      </c>
      <c r="AA34" s="157" cm="1">
        <f t="array" aca="1" ref="AA34" ca="1">IFERROR(_xlfn.XLOOKUP($A34, INDIRECT("'" &amp; AA$3 &amp; "'!A:A"), INDIRECT("'" &amp; AA$3 &amp; "'!B:B")),0)</f>
        <v>2848.32</v>
      </c>
      <c r="AB34" s="157" cm="1">
        <f t="array" aca="1" ref="AB34" ca="1">IFERROR(_xlfn.XLOOKUP($A34, INDIRECT("'" &amp; AB$3 &amp; "'!A:A"), INDIRECT("'" &amp; AB$3 &amp; "'!B:B")),0)</f>
        <v>3481.28</v>
      </c>
      <c r="AC34" s="157" cm="1">
        <f t="array" aca="1" ref="AC34" ca="1">IFERROR(_xlfn.XLOOKUP($A34, INDIRECT("'" &amp; AC$3 &amp; "'!A:A"), INDIRECT("'" &amp; AC$3 &amp; "'!B:B")),0)</f>
        <v>3216.32</v>
      </c>
      <c r="AD34" s="157" cm="1">
        <f t="array" aca="1" ref="AD34" ca="1">IFERROR(_xlfn.XLOOKUP($A34, INDIRECT("'" &amp; AD$3 &amp; "'!A:A"), INDIRECT("'" &amp; AD$3 &amp; "'!B:B")),0)</f>
        <v>3387.44</v>
      </c>
      <c r="AE34" s="157" cm="1">
        <f t="array" aca="1" ref="AE34" ca="1">IFERROR(_xlfn.XLOOKUP($A34, INDIRECT("'" &amp; AE$3 &amp; "'!A:A"), INDIRECT("'" &amp; AE$3 &amp; "'!B:B")),0)</f>
        <v>3070.96</v>
      </c>
      <c r="AF34" s="157" cm="1">
        <f t="array" aca="1" ref="AF34" ca="1">IFERROR(_xlfn.XLOOKUP($A34, INDIRECT("'" &amp; AF$3 &amp; "'!A:A"), INDIRECT("'" &amp; AF$3 &amp; "'!B:B")),0)</f>
        <v>3107.76</v>
      </c>
      <c r="AG34" s="157" cm="1">
        <f t="array" aca="1" ref="AG34" ca="1">IFERROR(_xlfn.XLOOKUP($A34, INDIRECT("'" &amp; AG$3 &amp; "'!A:A"), INDIRECT("'" &amp; AG$3 &amp; "'!B:B")),0)</f>
        <v>3667.12</v>
      </c>
      <c r="AH34" s="157" cm="1">
        <f t="array" aca="1" ref="AH34" ca="1">IFERROR(_xlfn.XLOOKUP($A34, INDIRECT("'" &amp; AH$3 &amp; "'!A:A"), INDIRECT("'" &amp; AH$3 &amp; "'!B:B")),0)</f>
        <v>2728.72</v>
      </c>
      <c r="AI34" s="157" cm="1">
        <f t="array" aca="1" ref="AI34" ca="1">IFERROR(_xlfn.XLOOKUP($A34, INDIRECT("'" &amp; AI$3 &amp; "'!A:A"), INDIRECT("'" &amp; AI$3 &amp; "'!B:B")),0)</f>
        <v>3236.4</v>
      </c>
      <c r="AJ34" s="157">
        <f t="shared" ca="1" si="1"/>
        <v>3289.92</v>
      </c>
      <c r="AK34" s="156" cm="1">
        <f t="array" aca="1" ref="AK34" ca="1">IFERROR(_xlfn.XLOOKUP($A34, INDIRECT("'" &amp; AK$3 &amp; "'!A:A"), INDIRECT("'" &amp; AK$3 &amp; "'!B:B")),0)</f>
        <v>4230.2</v>
      </c>
      <c r="AL34" s="155" cm="1">
        <f t="array" aca="1" ref="AL34" ca="1">IFERROR(_xlfn.XLOOKUP($A34, INDIRECT("'" &amp; AL$3 &amp; "'!A:A"), INDIRECT("'" &amp; AL$3 &amp; "'!B:B")),0)</f>
        <v>2932.2000000000003</v>
      </c>
      <c r="AM34" s="157" cm="1">
        <f t="array" aca="1" ref="AM34" ca="1">IFERROR(_xlfn.XLOOKUP($A34, INDIRECT("'" &amp; AM$3 &amp; "'!A:A"), INDIRECT("'" &amp; AM$3 &amp; "'!B:B")),0)</f>
        <v>3729.6</v>
      </c>
    </row>
    <row r="35" spans="1:39" x14ac:dyDescent="0.25">
      <c r="A35" s="225" t="s">
        <v>181</v>
      </c>
      <c r="B35" s="157" cm="1">
        <f t="array" aca="1" ref="B35" ca="1">IFERROR(_xlfn.XLOOKUP($A35, INDIRECT("'" &amp; B$3 &amp; "'!A:A"), INDIRECT("'" &amp; B$3 &amp; "'!B:B")),0)</f>
        <v>0</v>
      </c>
      <c r="C35" s="157" cm="1">
        <f t="array" aca="1" ref="C35" ca="1">IFERROR(_xlfn.XLOOKUP($A35, INDIRECT("'" &amp; C$3 &amp; "'!A:A"), INDIRECT("'" &amp; C$3 &amp; "'!B:B")),0)</f>
        <v>0</v>
      </c>
      <c r="D35" s="157" cm="1">
        <f t="array" aca="1" ref="D35" ca="1">IFERROR(_xlfn.XLOOKUP($A35, INDIRECT("'" &amp; D$3 &amp; "'!A:A"), INDIRECT("'" &amp; D$3 &amp; "'!B:B")),0)</f>
        <v>0</v>
      </c>
      <c r="E35" s="157" cm="1">
        <f t="array" aca="1" ref="E35" ca="1">IFERROR(_xlfn.XLOOKUP($A35, INDIRECT("'" &amp; E$3 &amp; "'!A:A"), INDIRECT("'" &amp; E$3 &amp; "'!B:B")),0)</f>
        <v>0</v>
      </c>
      <c r="F35" s="157" cm="1">
        <f t="array" aca="1" ref="F35" ca="1">IFERROR(_xlfn.XLOOKUP($A35, INDIRECT("'" &amp; F$3 &amp; "'!A:A"), INDIRECT("'" &amp; F$3 &amp; "'!B:B")),0)</f>
        <v>0</v>
      </c>
      <c r="G35" s="157" cm="1">
        <f t="array" aca="1" ref="G35" ca="1">IFERROR(_xlfn.XLOOKUP($A35, INDIRECT("'" &amp; G$3 &amp; "'!A:A"), INDIRECT("'" &amp; G$3 &amp; "'!B:B")),0)</f>
        <v>0</v>
      </c>
      <c r="H35" s="157" cm="1">
        <f t="array" aca="1" ref="H35" ca="1">IFERROR(_xlfn.XLOOKUP($A35, INDIRECT("'" &amp; H$3 &amp; "'!A:A"), INDIRECT("'" &amp; H$3 &amp; "'!B:B")),0)</f>
        <v>0</v>
      </c>
      <c r="I35" s="157" cm="1">
        <f t="array" aca="1" ref="I35" ca="1">IFERROR(_xlfn.XLOOKUP($A35, INDIRECT("'" &amp; I$3 &amp; "'!A:A"), INDIRECT("'" &amp; I$3 &amp; "'!B:B")),0)</f>
        <v>0</v>
      </c>
      <c r="J35" s="157" cm="1">
        <f t="array" aca="1" ref="J35" ca="1">IFERROR(_xlfn.XLOOKUP($A35, INDIRECT("'" &amp; J$3 &amp; "'!A:A"), INDIRECT("'" &amp; J$3 &amp; "'!B:B")),0)</f>
        <v>0</v>
      </c>
      <c r="K35" s="157" cm="1">
        <f t="array" aca="1" ref="K35" ca="1">IFERROR(_xlfn.XLOOKUP($A35, INDIRECT("'" &amp; K$3 &amp; "'!A:A"), INDIRECT("'" &amp; K$3 &amp; "'!B:B")),0)</f>
        <v>0</v>
      </c>
      <c r="L35" s="157" cm="1">
        <f t="array" aca="1" ref="L35" ca="1">IFERROR(_xlfn.XLOOKUP($A35, INDIRECT("'" &amp; L$3 &amp; "'!A:A"), INDIRECT("'" &amp; L$3 &amp; "'!B:B")),0)</f>
        <v>0</v>
      </c>
      <c r="M35" s="157" cm="1">
        <f t="array" aca="1" ref="M35" ca="1">IFERROR(_xlfn.XLOOKUP($A35, INDIRECT("'" &amp; M$3 &amp; "'!A:A"), INDIRECT("'" &amp; M$3 &amp; "'!B:B")),0)</f>
        <v>0</v>
      </c>
      <c r="N35" s="157" cm="1">
        <f t="array" aca="1" ref="N35" ca="1">IFERROR(_xlfn.XLOOKUP($A35, INDIRECT("'" &amp; N$3 &amp; "'!A:A"), INDIRECT("'" &amp; N$3 &amp; "'!B:B")),0)</f>
        <v>0</v>
      </c>
      <c r="O35" s="157" cm="1">
        <f t="array" aca="1" ref="O35" ca="1">IFERROR(_xlfn.XLOOKUP($A35, INDIRECT("'" &amp; O$3 &amp; "'!A:A"), INDIRECT("'" &amp; O$3 &amp; "'!B:B")),0)</f>
        <v>0</v>
      </c>
      <c r="P35" s="157" cm="1">
        <f t="array" aca="1" ref="P35" ca="1">IFERROR(_xlfn.XLOOKUP($A35, INDIRECT("'" &amp; P$3 &amp; "'!A:A"), INDIRECT("'" &amp; P$3 &amp; "'!B:B")),0)</f>
        <v>0</v>
      </c>
      <c r="Q35" s="157" cm="1">
        <f t="array" aca="1" ref="Q35" ca="1">IFERROR(_xlfn.XLOOKUP($A35, INDIRECT("'" &amp; Q$3 &amp; "'!A:A"), INDIRECT("'" &amp; Q$3 &amp; "'!B:B")),0)</f>
        <v>0</v>
      </c>
      <c r="R35" s="157" cm="1">
        <f t="array" aca="1" ref="R35" ca="1">IFERROR(_xlfn.XLOOKUP($A35, INDIRECT("'" &amp; R$3 &amp; "'!A:A"), INDIRECT("'" &amp; R$3 &amp; "'!B:B")),0)</f>
        <v>0</v>
      </c>
      <c r="S35" s="157" cm="1">
        <f t="array" aca="1" ref="S35" ca="1">IFERROR(_xlfn.XLOOKUP($A35, INDIRECT("'" &amp; S$3 &amp; "'!A:A"), INDIRECT("'" &amp; S$3 &amp; "'!B:B")),0)</f>
        <v>0</v>
      </c>
      <c r="T35" s="157" cm="1">
        <f t="array" aca="1" ref="T35" ca="1">IFERROR(_xlfn.XLOOKUP($A35, INDIRECT("'" &amp; T$3 &amp; "'!A:A"), INDIRECT("'" &amp; T$3 &amp; "'!B:B")),0)</f>
        <v>0</v>
      </c>
      <c r="U35" s="157" cm="1">
        <f t="array" aca="1" ref="U35" ca="1">IFERROR(_xlfn.XLOOKUP($A35, INDIRECT("'" &amp; U$3 &amp; "'!A:A"), INDIRECT("'" &amp; U$3 &amp; "'!B:B")),0)</f>
        <v>0</v>
      </c>
      <c r="V35" s="157" cm="1">
        <f t="array" aca="1" ref="V35" ca="1">IFERROR(_xlfn.XLOOKUP($A35, INDIRECT("'" &amp; V$3 &amp; "'!A:A"), INDIRECT("'" &amp; V$3 &amp; "'!B:B")),0)</f>
        <v>0</v>
      </c>
      <c r="W35" s="157" cm="1">
        <f t="array" aca="1" ref="W35" ca="1">IFERROR(_xlfn.XLOOKUP($A35, INDIRECT("'" &amp; W$3 &amp; "'!A:A"), INDIRECT("'" &amp; W$3 &amp; "'!B:B")),0)</f>
        <v>0</v>
      </c>
      <c r="X35" s="157" cm="1">
        <f t="array" aca="1" ref="X35" ca="1">IFERROR(_xlfn.XLOOKUP($A35, INDIRECT("'" &amp; X$3 &amp; "'!A:A"), INDIRECT("'" &amp; X$3 &amp; "'!B:B")),0)</f>
        <v>0</v>
      </c>
      <c r="Y35" s="157" cm="1">
        <f t="array" aca="1" ref="Y35" ca="1">IFERROR(_xlfn.XLOOKUP($A35, INDIRECT("'" &amp; Y$3 &amp; "'!A:A"), INDIRECT("'" &amp; Y$3 &amp; "'!B:B")),0)</f>
        <v>0</v>
      </c>
      <c r="Z35" s="157" cm="1">
        <f t="array" aca="1" ref="Z35" ca="1">IFERROR(_xlfn.XLOOKUP($A35, INDIRECT("'" &amp; Z$3 &amp; "'!A:A"), INDIRECT("'" &amp; Z$3 &amp; "'!B:B")),0)</f>
        <v>0</v>
      </c>
      <c r="AA35" s="157" cm="1">
        <f t="array" aca="1" ref="AA35" ca="1">IFERROR(_xlfn.XLOOKUP($A35, INDIRECT("'" &amp; AA$3 &amp; "'!A:A"), INDIRECT("'" &amp; AA$3 &amp; "'!B:B")),0)</f>
        <v>0</v>
      </c>
      <c r="AB35" s="157" cm="1">
        <f t="array" aca="1" ref="AB35" ca="1">IFERROR(_xlfn.XLOOKUP($A35, INDIRECT("'" &amp; AB$3 &amp; "'!A:A"), INDIRECT("'" &amp; AB$3 &amp; "'!B:B")),0)</f>
        <v>0</v>
      </c>
      <c r="AC35" s="157" cm="1">
        <f t="array" aca="1" ref="AC35" ca="1">IFERROR(_xlfn.XLOOKUP($A35, INDIRECT("'" &amp; AC$3 &amp; "'!A:A"), INDIRECT("'" &amp; AC$3 &amp; "'!B:B")),0)</f>
        <v>0</v>
      </c>
      <c r="AD35" s="157" cm="1">
        <f t="array" aca="1" ref="AD35" ca="1">IFERROR(_xlfn.XLOOKUP($A35, INDIRECT("'" &amp; AD$3 &amp; "'!A:A"), INDIRECT("'" &amp; AD$3 &amp; "'!B:B")),0)</f>
        <v>0</v>
      </c>
      <c r="AE35" s="157" cm="1">
        <f t="array" aca="1" ref="AE35" ca="1">IFERROR(_xlfn.XLOOKUP($A35, INDIRECT("'" &amp; AE$3 &amp; "'!A:A"), INDIRECT("'" &amp; AE$3 &amp; "'!B:B")),0)</f>
        <v>0</v>
      </c>
      <c r="AF35" s="157" cm="1">
        <f t="array" aca="1" ref="AF35" ca="1">IFERROR(_xlfn.XLOOKUP($A35, INDIRECT("'" &amp; AF$3 &amp; "'!A:A"), INDIRECT("'" &amp; AF$3 &amp; "'!B:B")),0)</f>
        <v>0</v>
      </c>
      <c r="AG35" s="157" cm="1">
        <f t="array" aca="1" ref="AG35" ca="1">IFERROR(_xlfn.XLOOKUP($A35, INDIRECT("'" &amp; AG$3 &amp; "'!A:A"), INDIRECT("'" &amp; AG$3 &amp; "'!B:B")),0)</f>
        <v>0</v>
      </c>
      <c r="AH35" s="157" cm="1">
        <f t="array" aca="1" ref="AH35" ca="1">IFERROR(_xlfn.XLOOKUP($A35, INDIRECT("'" &amp; AH$3 &amp; "'!A:A"), INDIRECT("'" &amp; AH$3 &amp; "'!B:B")),0)</f>
        <v>0</v>
      </c>
      <c r="AI35" s="157" cm="1">
        <f t="array" aca="1" ref="AI35" ca="1">IFERROR(_xlfn.XLOOKUP($A35, INDIRECT("'" &amp; AI$3 &amp; "'!A:A"), INDIRECT("'" &amp; AI$3 &amp; "'!B:B")),0)</f>
        <v>0</v>
      </c>
      <c r="AJ35" s="157">
        <f t="shared" ca="1" si="1"/>
        <v>0</v>
      </c>
      <c r="AK35" s="156" cm="1">
        <f t="array" aca="1" ref="AK35" ca="1">IFERROR(_xlfn.XLOOKUP($A35, INDIRECT("'" &amp; AK$3 &amp; "'!A:A"), INDIRECT("'" &amp; AK$3 &amp; "'!B:B")),0)</f>
        <v>0</v>
      </c>
      <c r="AL35" s="155" cm="1">
        <f t="array" aca="1" ref="AL35" ca="1">IFERROR(_xlfn.XLOOKUP($A35, INDIRECT("'" &amp; AL$3 &amp; "'!A:A"), INDIRECT("'" &amp; AL$3 &amp; "'!B:B")),0)</f>
        <v>3942.2125799999999</v>
      </c>
      <c r="AM35" s="157" cm="1">
        <f t="array" aca="1" ref="AM35" ca="1">IFERROR(_xlfn.XLOOKUP($A35, INDIRECT("'" &amp; AM$3 &amp; "'!A:A"), INDIRECT("'" &amp; AM$3 &amp; "'!B:B")),0)</f>
        <v>0</v>
      </c>
    </row>
    <row r="36" spans="1:39" x14ac:dyDescent="0.25">
      <c r="A36" s="225" t="s">
        <v>182</v>
      </c>
      <c r="B36" s="157" cm="1">
        <f t="array" aca="1" ref="B36" ca="1">IFERROR(_xlfn.XLOOKUP($A36, INDIRECT("'" &amp; B$3 &amp; "'!A:A"), INDIRECT("'" &amp; B$3 &amp; "'!B:B")),0)</f>
        <v>6581.37</v>
      </c>
      <c r="C36" s="157" cm="1">
        <f t="array" aca="1" ref="C36" ca="1">IFERROR(_xlfn.XLOOKUP($A36, INDIRECT("'" &amp; C$3 &amp; "'!A:A"), INDIRECT("'" &amp; C$3 &amp; "'!B:B")),0)</f>
        <v>4352</v>
      </c>
      <c r="D36" s="157" cm="1">
        <f t="array" aca="1" ref="D36" ca="1">IFERROR(_xlfn.XLOOKUP($A36, INDIRECT("'" &amp; D$3 &amp; "'!A:A"), INDIRECT("'" &amp; D$3 &amp; "'!B:B")),0)</f>
        <v>4068</v>
      </c>
      <c r="E36" s="157" cm="1">
        <f t="array" aca="1" ref="E36" ca="1">IFERROR(_xlfn.XLOOKUP($A36, INDIRECT("'" &amp; E$3 &amp; "'!A:A"), INDIRECT("'" &amp; E$3 &amp; "'!B:B")),0)</f>
        <v>4455</v>
      </c>
      <c r="F36" s="157" cm="1">
        <f t="array" aca="1" ref="F36" ca="1">IFERROR(_xlfn.XLOOKUP($A36, INDIRECT("'" &amp; F$3 &amp; "'!A:A"), INDIRECT("'" &amp; F$3 &amp; "'!B:B")),0)</f>
        <v>5005</v>
      </c>
      <c r="G36" s="157" cm="1">
        <f t="array" aca="1" ref="G36" ca="1">IFERROR(_xlfn.XLOOKUP($A36, INDIRECT("'" &amp; G$3 &amp; "'!A:A"), INDIRECT("'" &amp; G$3 &amp; "'!B:B")),0)</f>
        <v>3740</v>
      </c>
      <c r="H36" s="157" cm="1">
        <f t="array" aca="1" ref="H36" ca="1">IFERROR(_xlfn.XLOOKUP($A36, INDIRECT("'" &amp; H$3 &amp; "'!A:A"), INDIRECT("'" &amp; H$3 &amp; "'!B:B")),0)</f>
        <v>4384</v>
      </c>
      <c r="I36" s="157" cm="1">
        <f t="array" aca="1" ref="I36" ca="1">IFERROR(_xlfn.XLOOKUP($A36, INDIRECT("'" &amp; I$3 &amp; "'!A:A"), INDIRECT("'" &amp; I$3 &amp; "'!B:B")),0)</f>
        <v>4645</v>
      </c>
      <c r="J36" s="157" cm="1">
        <f t="array" aca="1" ref="J36" ca="1">IFERROR(_xlfn.XLOOKUP($A36, INDIRECT("'" &amp; J$3 &amp; "'!A:A"), INDIRECT("'" &amp; J$3 &amp; "'!B:B")),0)</f>
        <v>4243</v>
      </c>
      <c r="K36" s="157" cm="1">
        <f t="array" aca="1" ref="K36" ca="1">IFERROR(_xlfn.XLOOKUP($A36, INDIRECT("'" &amp; K$3 &amp; "'!A:A"), INDIRECT("'" &amp; K$3 &amp; "'!B:B")),0)</f>
        <v>3969</v>
      </c>
      <c r="L36" s="157" cm="1">
        <f t="array" aca="1" ref="L36" ca="1">IFERROR(_xlfn.XLOOKUP($A36, INDIRECT("'" &amp; L$3 &amp; "'!A:A"), INDIRECT("'" &amp; L$3 &amp; "'!B:B")),0)</f>
        <v>6600</v>
      </c>
      <c r="M36" s="157" cm="1">
        <f t="array" aca="1" ref="M36" ca="1">IFERROR(_xlfn.XLOOKUP($A36, INDIRECT("'" &amp; M$3 &amp; "'!A:A"), INDIRECT("'" &amp; M$3 &amp; "'!B:B")),0)</f>
        <v>5193</v>
      </c>
      <c r="N36" s="157" cm="1">
        <f t="array" aca="1" ref="N36" ca="1">IFERROR(_xlfn.XLOOKUP($A36, INDIRECT("'" &amp; N$3 &amp; "'!A:A"), INDIRECT("'" &amp; N$3 &amp; "'!B:B")),0)</f>
        <v>4604</v>
      </c>
      <c r="O36" s="157" cm="1">
        <f t="array" aca="1" ref="O36" ca="1">IFERROR(_xlfn.XLOOKUP($A36, INDIRECT("'" &amp; O$3 &amp; "'!A:A"), INDIRECT("'" &amp; O$3 &amp; "'!B:B")),0)</f>
        <v>3593</v>
      </c>
      <c r="P36" s="157" cm="1">
        <f t="array" aca="1" ref="P36" ca="1">IFERROR(_xlfn.XLOOKUP($A36, INDIRECT("'" &amp; P$3 &amp; "'!A:A"), INDIRECT("'" &amp; P$3 &amp; "'!B:B")),0)</f>
        <v>2903</v>
      </c>
      <c r="Q36" s="157" cm="1">
        <f t="array" aca="1" ref="Q36" ca="1">IFERROR(_xlfn.XLOOKUP($A36, INDIRECT("'" &amp; Q$3 &amp; "'!A:A"), INDIRECT("'" &amp; Q$3 &amp; "'!B:B")),0)</f>
        <v>4637</v>
      </c>
      <c r="R36" s="157" cm="1">
        <f t="array" aca="1" ref="R36" ca="1">IFERROR(_xlfn.XLOOKUP($A36, INDIRECT("'" &amp; R$3 &amp; "'!A:A"), INDIRECT("'" &amp; R$3 &amp; "'!B:B")),0)</f>
        <v>4255</v>
      </c>
      <c r="S36" s="157" cm="1">
        <f t="array" aca="1" ref="S36" ca="1">IFERROR(_xlfn.XLOOKUP($A36, INDIRECT("'" &amp; S$3 &amp; "'!A:A"), INDIRECT("'" &amp; S$3 &amp; "'!B:B")),0)</f>
        <v>4176</v>
      </c>
      <c r="T36" s="157" cm="1">
        <f t="array" aca="1" ref="T36" ca="1">IFERROR(_xlfn.XLOOKUP($A36, INDIRECT("'" &amp; T$3 &amp; "'!A:A"), INDIRECT("'" &amp; T$3 &amp; "'!B:B")),0)</f>
        <v>4431</v>
      </c>
      <c r="U36" s="157" cm="1">
        <f t="array" aca="1" ref="U36" ca="1">IFERROR(_xlfn.XLOOKUP($A36, INDIRECT("'" &amp; U$3 &amp; "'!A:A"), INDIRECT("'" &amp; U$3 &amp; "'!B:B")),0)</f>
        <v>3775</v>
      </c>
      <c r="V36" s="157" cm="1">
        <f t="array" aca="1" ref="V36" ca="1">IFERROR(_xlfn.XLOOKUP($A36, INDIRECT("'" &amp; V$3 &amp; "'!A:A"), INDIRECT("'" &amp; V$3 &amp; "'!B:B")),0)</f>
        <v>4008</v>
      </c>
      <c r="W36" s="157" cm="1">
        <f t="array" aca="1" ref="W36" ca="1">IFERROR(_xlfn.XLOOKUP($A36, INDIRECT("'" &amp; W$3 &amp; "'!A:A"), INDIRECT("'" &amp; W$3 &amp; "'!B:B")),0)</f>
        <v>4827</v>
      </c>
      <c r="X36" s="157" cm="1">
        <f t="array" aca="1" ref="X36" ca="1">IFERROR(_xlfn.XLOOKUP($A36, INDIRECT("'" &amp; X$3 &amp; "'!A:A"), INDIRECT("'" &amp; X$3 &amp; "'!B:B")),0)</f>
        <v>4718</v>
      </c>
      <c r="Y36" s="157" cm="1">
        <f t="array" aca="1" ref="Y36" ca="1">IFERROR(_xlfn.XLOOKUP($A36, INDIRECT("'" &amp; Y$3 &amp; "'!A:A"), INDIRECT("'" &amp; Y$3 &amp; "'!B:B")),0)</f>
        <v>4400</v>
      </c>
      <c r="Z36" s="157" cm="1">
        <f t="array" aca="1" ref="Z36" ca="1">IFERROR(_xlfn.XLOOKUP($A36, INDIRECT("'" &amp; Z$3 &amp; "'!A:A"), INDIRECT("'" &amp; Z$3 &amp; "'!B:B")),0)</f>
        <v>4333</v>
      </c>
      <c r="AA36" s="157" cm="1">
        <f t="array" aca="1" ref="AA36" ca="1">IFERROR(_xlfn.XLOOKUP($A36, INDIRECT("'" &amp; AA$3 &amp; "'!A:A"), INDIRECT("'" &amp; AA$3 &amp; "'!B:B")),0)</f>
        <v>5176</v>
      </c>
      <c r="AB36" s="157" cm="1">
        <f t="array" aca="1" ref="AB36" ca="1">IFERROR(_xlfn.XLOOKUP($A36, INDIRECT("'" &amp; AB$3 &amp; "'!A:A"), INDIRECT("'" &amp; AB$3 &amp; "'!B:B")),0)</f>
        <v>5492</v>
      </c>
      <c r="AC36" s="157" cm="1">
        <f t="array" aca="1" ref="AC36" ca="1">IFERROR(_xlfn.XLOOKUP($A36, INDIRECT("'" &amp; AC$3 &amp; "'!A:A"), INDIRECT("'" &amp; AC$3 &amp; "'!B:B")),0)</f>
        <v>4451</v>
      </c>
      <c r="AD36" s="157" cm="1">
        <f t="array" aca="1" ref="AD36" ca="1">IFERROR(_xlfn.XLOOKUP($A36, INDIRECT("'" &amp; AD$3 &amp; "'!A:A"), INDIRECT("'" &amp; AD$3 &amp; "'!B:B")),0)</f>
        <v>6562.49</v>
      </c>
      <c r="AE36" s="157" cm="1">
        <f t="array" aca="1" ref="AE36" ca="1">IFERROR(_xlfn.XLOOKUP($A36, INDIRECT("'" &amp; AE$3 &amp; "'!A:A"), INDIRECT("'" &amp; AE$3 &amp; "'!B:B")),0)</f>
        <v>4934.83</v>
      </c>
      <c r="AF36" s="157" cm="1">
        <f t="array" aca="1" ref="AF36" ca="1">IFERROR(_xlfn.XLOOKUP($A36, INDIRECT("'" &amp; AF$3 &amp; "'!A:A"), INDIRECT("'" &amp; AF$3 &amp; "'!B:B")),0)</f>
        <v>3363.7200000000003</v>
      </c>
      <c r="AG36" s="157" cm="1">
        <f t="array" aca="1" ref="AG36" ca="1">IFERROR(_xlfn.XLOOKUP($A36, INDIRECT("'" &amp; AG$3 &amp; "'!A:A"), INDIRECT("'" &amp; AG$3 &amp; "'!B:B")),0)</f>
        <v>4939.7299999999996</v>
      </c>
      <c r="AH36" s="157" cm="1">
        <f t="array" aca="1" ref="AH36" ca="1">IFERROR(_xlfn.XLOOKUP($A36, INDIRECT("'" &amp; AH$3 &amp; "'!A:A"), INDIRECT("'" &amp; AH$3 &amp; "'!B:B")),0)</f>
        <v>4545.92</v>
      </c>
      <c r="AI36" s="157" cm="1">
        <f t="array" aca="1" ref="AI36" ca="1">IFERROR(_xlfn.XLOOKUP($A36, INDIRECT("'" &amp; AI$3 &amp; "'!A:A"), INDIRECT("'" &amp; AI$3 &amp; "'!B:B")),0)</f>
        <v>4250</v>
      </c>
      <c r="AJ36" s="157">
        <f t="shared" ca="1" si="1"/>
        <v>4352</v>
      </c>
      <c r="AK36" s="156" cm="1">
        <f t="array" aca="1" ref="AK36" ca="1">IFERROR(_xlfn.XLOOKUP($A36, INDIRECT("'" &amp; AK$3 &amp; "'!A:A"), INDIRECT("'" &amp; AK$3 &amp; "'!B:B")),0)</f>
        <v>6410.41</v>
      </c>
      <c r="AL36" s="155" cm="1">
        <f t="array" aca="1" ref="AL36" ca="1">IFERROR(_xlfn.XLOOKUP($A36, INDIRECT("'" &amp; AL$3 &amp; "'!A:A"), INDIRECT("'" &amp; AL$3 &amp; "'!B:B")),0)</f>
        <v>0</v>
      </c>
      <c r="AM36" s="157" cm="1">
        <f t="array" aca="1" ref="AM36" ca="1">IFERROR(_xlfn.XLOOKUP($A36, INDIRECT("'" &amp; AM$3 &amp; "'!A:A"), INDIRECT("'" &amp; AM$3 &amp; "'!B:B")),0)</f>
        <v>5863.97</v>
      </c>
    </row>
    <row r="37" spans="1:39" x14ac:dyDescent="0.25">
      <c r="A37" s="225" t="s">
        <v>183</v>
      </c>
      <c r="B37" s="157" cm="1">
        <f t="array" aca="1" ref="B37" ca="1">IFERROR(_xlfn.XLOOKUP($A37, INDIRECT("'" &amp; B$3 &amp; "'!A:A"), INDIRECT("'" &amp; B$3 &amp; "'!B:B")),0)</f>
        <v>546.91</v>
      </c>
      <c r="C37" s="157" cm="1">
        <f t="array" aca="1" ref="C37" ca="1">IFERROR(_xlfn.XLOOKUP($A37, INDIRECT("'" &amp; C$3 &amp; "'!A:A"), INDIRECT("'" &amp; C$3 &amp; "'!B:B")),0)</f>
        <v>454.35</v>
      </c>
      <c r="D37" s="157" cm="1">
        <f t="array" aca="1" ref="D37" ca="1">IFERROR(_xlfn.XLOOKUP($A37, INDIRECT("'" &amp; D$3 &amp; "'!A:A"), INDIRECT("'" &amp; D$3 &amp; "'!B:B")),0)</f>
        <v>451.21</v>
      </c>
      <c r="E37" s="157" cm="1">
        <f t="array" aca="1" ref="E37" ca="1">IFERROR(_xlfn.XLOOKUP($A37, INDIRECT("'" &amp; E$3 &amp; "'!A:A"), INDIRECT("'" &amp; E$3 &amp; "'!B:B")),0)</f>
        <v>570.95000000000005</v>
      </c>
      <c r="F37" s="157" cm="1">
        <f t="array" aca="1" ref="F37" ca="1">IFERROR(_xlfn.XLOOKUP($A37, INDIRECT("'" &amp; F$3 &amp; "'!A:A"), INDIRECT("'" &amp; F$3 &amp; "'!B:B")),0)</f>
        <v>528.23</v>
      </c>
      <c r="G37" s="157" cm="1">
        <f t="array" aca="1" ref="G37" ca="1">IFERROR(_xlfn.XLOOKUP($A37, INDIRECT("'" &amp; G$3 &amp; "'!A:A"), INDIRECT("'" &amp; G$3 &amp; "'!B:B")),0)</f>
        <v>449.17</v>
      </c>
      <c r="H37" s="157" cm="1">
        <f t="array" aca="1" ref="H37" ca="1">IFERROR(_xlfn.XLOOKUP($A37, INDIRECT("'" &amp; H$3 &amp; "'!A:A"), INDIRECT("'" &amp; H$3 &amp; "'!B:B")),0)</f>
        <v>506.7</v>
      </c>
      <c r="I37" s="157" cm="1">
        <f t="array" aca="1" ref="I37" ca="1">IFERROR(_xlfn.XLOOKUP($A37, INDIRECT("'" &amp; I$3 &amp; "'!A:A"), INDIRECT("'" &amp; I$3 &amp; "'!B:B")),0)</f>
        <v>567.04</v>
      </c>
      <c r="J37" s="157" cm="1">
        <f t="array" aca="1" ref="J37" ca="1">IFERROR(_xlfn.XLOOKUP($A37, INDIRECT("'" &amp; J$3 &amp; "'!A:A"), INDIRECT("'" &amp; J$3 &amp; "'!B:B")),0)</f>
        <v>506.15</v>
      </c>
      <c r="K37" s="157" cm="1">
        <f t="array" aca="1" ref="K37" ca="1">IFERROR(_xlfn.XLOOKUP($A37, INDIRECT("'" &amp; K$3 &amp; "'!A:A"), INDIRECT("'" &amp; K$3 &amp; "'!B:B")),0)</f>
        <v>439.7</v>
      </c>
      <c r="L37" s="157" cm="1">
        <f t="array" aca="1" ref="L37" ca="1">IFERROR(_xlfn.XLOOKUP($A37, INDIRECT("'" &amp; L$3 &amp; "'!A:A"), INDIRECT("'" &amp; L$3 &amp; "'!B:B")),0)</f>
        <v>489.04</v>
      </c>
      <c r="M37" s="157" cm="1">
        <f t="array" aca="1" ref="M37" ca="1">IFERROR(_xlfn.XLOOKUP($A37, INDIRECT("'" &amp; M$3 &amp; "'!A:A"), INDIRECT("'" &amp; M$3 &amp; "'!B:B")),0)</f>
        <v>508.4</v>
      </c>
      <c r="N37" s="157" cm="1">
        <f t="array" aca="1" ref="N37" ca="1">IFERROR(_xlfn.XLOOKUP($A37, INDIRECT("'" &amp; N$3 &amp; "'!A:A"), INDIRECT("'" &amp; N$3 &amp; "'!B:B")),0)</f>
        <v>512.99</v>
      </c>
      <c r="O37" s="157" cm="1">
        <f t="array" aca="1" ref="O37" ca="1">IFERROR(_xlfn.XLOOKUP($A37, INDIRECT("'" &amp; O$3 &amp; "'!A:A"), INDIRECT("'" &amp; O$3 &amp; "'!B:B")),0)</f>
        <v>437.71</v>
      </c>
      <c r="P37" s="157" cm="1">
        <f t="array" aca="1" ref="P37" ca="1">IFERROR(_xlfn.XLOOKUP($A37, INDIRECT("'" &amp; P$3 &amp; "'!A:A"), INDIRECT("'" &amp; P$3 &amp; "'!B:B")),0)</f>
        <v>394.23</v>
      </c>
      <c r="Q37" s="157" cm="1">
        <f t="array" aca="1" ref="Q37" ca="1">IFERROR(_xlfn.XLOOKUP($A37, INDIRECT("'" &amp; Q$3 &amp; "'!A:A"), INDIRECT("'" &amp; Q$3 &amp; "'!B:B")),0)</f>
        <v>507.85</v>
      </c>
      <c r="R37" s="157" cm="1">
        <f t="array" aca="1" ref="R37" ca="1">IFERROR(_xlfn.XLOOKUP($A37, INDIRECT("'" &amp; R$3 &amp; "'!A:A"), INDIRECT("'" &amp; R$3 &amp; "'!B:B")),0)</f>
        <v>510.06</v>
      </c>
      <c r="S37" s="157" cm="1">
        <f t="array" aca="1" ref="S37" ca="1">IFERROR(_xlfn.XLOOKUP($A37, INDIRECT("'" &amp; S$3 &amp; "'!A:A"), INDIRECT("'" &amp; S$3 &amp; "'!B:B")),0)</f>
        <v>456.94</v>
      </c>
      <c r="T37" s="157" cm="1">
        <f t="array" aca="1" ref="T37" ca="1">IFERROR(_xlfn.XLOOKUP($A37, INDIRECT("'" &amp; T$3 &amp; "'!A:A"), INDIRECT("'" &amp; T$3 &amp; "'!B:B")),0)</f>
        <v>508.53</v>
      </c>
      <c r="U37" s="157" cm="1">
        <f t="array" aca="1" ref="U37" ca="1">IFERROR(_xlfn.XLOOKUP($A37, INDIRECT("'" &amp; U$3 &amp; "'!A:A"), INDIRECT("'" &amp; U$3 &amp; "'!B:B")),0)</f>
        <v>471.89</v>
      </c>
      <c r="V37" s="157" cm="1">
        <f t="array" aca="1" ref="V37" ca="1">IFERROR(_xlfn.XLOOKUP($A37, INDIRECT("'" &amp; V$3 &amp; "'!A:A"), INDIRECT("'" &amp; V$3 &amp; "'!B:B")),0)</f>
        <v>619.39</v>
      </c>
      <c r="W37" s="157" cm="1">
        <f t="array" aca="1" ref="W37" ca="1">IFERROR(_xlfn.XLOOKUP($A37, INDIRECT("'" &amp; W$3 &amp; "'!A:A"), INDIRECT("'" &amp; W$3 &amp; "'!B:B")),0)</f>
        <v>567.04</v>
      </c>
      <c r="X37" s="157" cm="1">
        <f t="array" aca="1" ref="X37" ca="1">IFERROR(_xlfn.XLOOKUP($A37, INDIRECT("'" &amp; X$3 &amp; "'!A:A"), INDIRECT("'" &amp; X$3 &amp; "'!B:B")),0)</f>
        <v>456.94</v>
      </c>
      <c r="Y37" s="157" cm="1">
        <f t="array" aca="1" ref="Y37" ca="1">IFERROR(_xlfn.XLOOKUP($A37, INDIRECT("'" &amp; Y$3 &amp; "'!A:A"), INDIRECT("'" &amp; Y$3 &amp; "'!B:B")),0)</f>
        <v>683.61</v>
      </c>
      <c r="Z37" s="157" cm="1">
        <f t="array" aca="1" ref="Z37" ca="1">IFERROR(_xlfn.XLOOKUP($A37, INDIRECT("'" &amp; Z$3 &amp; "'!A:A"), INDIRECT("'" &amp; Z$3 &amp; "'!B:B")),0)</f>
        <v>694.51</v>
      </c>
      <c r="AA37" s="157" cm="1">
        <f t="array" aca="1" ref="AA37" ca="1">IFERROR(_xlfn.XLOOKUP($A37, INDIRECT("'" &amp; AA$3 &amp; "'!A:A"), INDIRECT("'" &amp; AA$3 &amp; "'!B:B")),0)</f>
        <v>595.76</v>
      </c>
      <c r="AB37" s="157" cm="1">
        <f t="array" aca="1" ref="AB37" ca="1">IFERROR(_xlfn.XLOOKUP($A37, INDIRECT("'" &amp; AB$3 &amp; "'!A:A"), INDIRECT("'" &amp; AB$3 &amp; "'!B:B")),0)</f>
        <v>678.83</v>
      </c>
      <c r="AC37" s="157" cm="1">
        <f t="array" aca="1" ref="AC37" ca="1">IFERROR(_xlfn.XLOOKUP($A37, INDIRECT("'" &amp; AC$3 &amp; "'!A:A"), INDIRECT("'" &amp; AC$3 &amp; "'!B:B")),0)</f>
        <v>659.67</v>
      </c>
      <c r="AD37" s="157" cm="1">
        <f t="array" aca="1" ref="AD37" ca="1">IFERROR(_xlfn.XLOOKUP($A37, INDIRECT("'" &amp; AD$3 &amp; "'!A:A"), INDIRECT("'" &amp; AD$3 &amp; "'!B:B")),0)</f>
        <v>512.52</v>
      </c>
      <c r="AE37" s="157" cm="1">
        <f t="array" aca="1" ref="AE37" ca="1">IFERROR(_xlfn.XLOOKUP($A37, INDIRECT("'" &amp; AE$3 &amp; "'!A:A"), INDIRECT("'" &amp; AE$3 &amp; "'!B:B")),0)</f>
        <v>454.35</v>
      </c>
      <c r="AF37" s="157" cm="1">
        <f t="array" aca="1" ref="AF37" ca="1">IFERROR(_xlfn.XLOOKUP($A37, INDIRECT("'" &amp; AF$3 &amp; "'!A:A"), INDIRECT("'" &amp; AF$3 &amp; "'!B:B")),0)</f>
        <v>409.3</v>
      </c>
      <c r="AG37" s="157" cm="1">
        <f t="array" aca="1" ref="AG37" ca="1">IFERROR(_xlfn.XLOOKUP($A37, INDIRECT("'" &amp; AG$3 &amp; "'!A:A"), INDIRECT("'" &amp; AG$3 &amp; "'!B:B")),0)</f>
        <v>639.5</v>
      </c>
      <c r="AH37" s="157" cm="1">
        <f t="array" aca="1" ref="AH37" ca="1">IFERROR(_xlfn.XLOOKUP($A37, INDIRECT("'" &amp; AH$3 &amp; "'!A:A"), INDIRECT("'" &amp; AH$3 &amp; "'!B:B")),0)</f>
        <v>449.17</v>
      </c>
      <c r="AI37" s="157" cm="1">
        <f t="array" aca="1" ref="AI37" ca="1">IFERROR(_xlfn.XLOOKUP($A37, INDIRECT("'" &amp; AI$3 &amp; "'!A:A"), INDIRECT("'" &amp; AI$3 &amp; "'!B:B")),0)</f>
        <v>471.12</v>
      </c>
      <c r="AJ37" s="157">
        <f t="shared" ca="1" si="1"/>
        <v>454.35</v>
      </c>
      <c r="AK37" s="156" cm="1">
        <f t="array" aca="1" ref="AK37" ca="1">IFERROR(_xlfn.XLOOKUP($A37, INDIRECT("'" &amp; AK$3 &amp; "'!A:A"), INDIRECT("'" &amp; AK$3 &amp; "'!B:B")),0)</f>
        <v>1073.05</v>
      </c>
      <c r="AL37" s="155" cm="1">
        <f t="array" aca="1" ref="AL37" ca="1">IFERROR(_xlfn.XLOOKUP($A37, INDIRECT("'" &amp; AL$3 &amp; "'!A:A"), INDIRECT("'" &amp; AL$3 &amp; "'!B:B")),0)</f>
        <v>982.84086000000002</v>
      </c>
      <c r="AM37" s="157" cm="1">
        <f t="array" aca="1" ref="AM37" ca="1">IFERROR(_xlfn.XLOOKUP($A37, INDIRECT("'" &amp; AM$3 &amp; "'!A:A"), INDIRECT("'" &amp; AM$3 &amp; "'!B:B")),0)</f>
        <v>650.88</v>
      </c>
    </row>
    <row r="38" spans="1:39" x14ac:dyDescent="0.25">
      <c r="A38" s="225" t="s">
        <v>184</v>
      </c>
      <c r="B38" s="157" cm="1">
        <f t="array" aca="1" ref="B38" ca="1">IFERROR(_xlfn.XLOOKUP($A38, INDIRECT("'" &amp; B$3 &amp; "'!A:A"), INDIRECT("'" &amp; B$3 &amp; "'!B:B")),0)</f>
        <v>703.6</v>
      </c>
      <c r="C38" s="157" cm="1">
        <f t="array" aca="1" ref="C38" ca="1">IFERROR(_xlfn.XLOOKUP($A38, INDIRECT("'" &amp; C$3 &amp; "'!A:A"), INDIRECT("'" &amp; C$3 &amp; "'!B:B")),0)</f>
        <v>488.2</v>
      </c>
      <c r="D38" s="157" cm="1">
        <f t="array" aca="1" ref="D38" ca="1">IFERROR(_xlfn.XLOOKUP($A38, INDIRECT("'" &amp; D$3 &amp; "'!A:A"), INDIRECT("'" &amp; D$3 &amp; "'!B:B")),0)</f>
        <v>464.2</v>
      </c>
      <c r="E38" s="157" cm="1">
        <f t="array" aca="1" ref="E38" ca="1">IFERROR(_xlfn.XLOOKUP($A38, INDIRECT("'" &amp; E$3 &amp; "'!A:A"), INDIRECT("'" &amp; E$3 &amp; "'!B:B")),0)</f>
        <v>396.65</v>
      </c>
      <c r="F38" s="157" cm="1">
        <f t="array" aca="1" ref="F38" ca="1">IFERROR(_xlfn.XLOOKUP($A38, INDIRECT("'" &amp; F$3 &amp; "'!A:A"), INDIRECT("'" &amp; F$3 &amp; "'!B:B")),0)</f>
        <v>583.6</v>
      </c>
      <c r="G38" s="157" cm="1">
        <f t="array" aca="1" ref="G38" ca="1">IFERROR(_xlfn.XLOOKUP($A38, INDIRECT("'" &amp; G$3 &amp; "'!A:A"), INDIRECT("'" &amp; G$3 &amp; "'!B:B")),0)</f>
        <v>535.6</v>
      </c>
      <c r="H38" s="157" cm="1">
        <f t="array" aca="1" ref="H38" ca="1">IFERROR(_xlfn.XLOOKUP($A38, INDIRECT("'" &amp; H$3 &amp; "'!A:A"), INDIRECT("'" &amp; H$3 &amp; "'!B:B")),0)</f>
        <v>511.6</v>
      </c>
      <c r="I38" s="157" cm="1">
        <f t="array" aca="1" ref="I38" ca="1">IFERROR(_xlfn.XLOOKUP($A38, INDIRECT("'" &amp; I$3 &amp; "'!A:A"), INDIRECT("'" &amp; I$3 &amp; "'!B:B")),0)</f>
        <v>607.29999999999995</v>
      </c>
      <c r="J38" s="157" cm="1">
        <f t="array" aca="1" ref="J38" ca="1">IFERROR(_xlfn.XLOOKUP($A38, INDIRECT("'" &amp; J$3 &amp; "'!A:A"), INDIRECT("'" &amp; J$3 &amp; "'!B:B")),0)</f>
        <v>559</v>
      </c>
      <c r="K38" s="157" cm="1">
        <f t="array" aca="1" ref="K38" ca="1">IFERROR(_xlfn.XLOOKUP($A38, INDIRECT("'" &amp; K$3 &amp; "'!A:A"), INDIRECT("'" &amp; K$3 &amp; "'!B:B")),0)</f>
        <v>607.6</v>
      </c>
      <c r="L38" s="157" cm="1">
        <f t="array" aca="1" ref="L38" ca="1">IFERROR(_xlfn.XLOOKUP($A38, INDIRECT("'" &amp; L$3 &amp; "'!A:A"), INDIRECT("'" &amp; L$3 &amp; "'!B:B")),0)</f>
        <v>679.6</v>
      </c>
      <c r="M38" s="157" cm="1">
        <f t="array" aca="1" ref="M38" ca="1">IFERROR(_xlfn.XLOOKUP($A38, INDIRECT("'" &amp; M$3 &amp; "'!A:A"), INDIRECT("'" &amp; M$3 &amp; "'!B:B")),0)</f>
        <v>727</v>
      </c>
      <c r="N38" s="157" cm="1">
        <f t="array" aca="1" ref="N38" ca="1">IFERROR(_xlfn.XLOOKUP($A38, INDIRECT("'" &amp; N$3 &amp; "'!A:A"), INDIRECT("'" &amp; N$3 &amp; "'!B:B")),0)</f>
        <v>747.95</v>
      </c>
      <c r="O38" s="157" cm="1">
        <f t="array" aca="1" ref="O38" ca="1">IFERROR(_xlfn.XLOOKUP($A38, INDIRECT("'" &amp; O$3 &amp; "'!A:A"), INDIRECT("'" &amp; O$3 &amp; "'!B:B")),0)</f>
        <v>503.6</v>
      </c>
      <c r="P38" s="157" cm="1">
        <f t="array" aca="1" ref="P38" ca="1">IFERROR(_xlfn.XLOOKUP($A38, INDIRECT("'" &amp; P$3 &amp; "'!A:A"), INDIRECT("'" &amp; P$3 &amp; "'!B:B")),0)</f>
        <v>440.8</v>
      </c>
      <c r="Q38" s="157" cm="1">
        <f t="array" aca="1" ref="Q38" ca="1">IFERROR(_xlfn.XLOOKUP($A38, INDIRECT("'" &amp; Q$3 &amp; "'!A:A"), INDIRECT("'" &amp; Q$3 &amp; "'!B:B")),0)</f>
        <v>726.7</v>
      </c>
      <c r="R38" s="157" cm="1">
        <f t="array" aca="1" ref="R38" ca="1">IFERROR(_xlfn.XLOOKUP($A38, INDIRECT("'" &amp; R$3 &amp; "'!A:A"), INDIRECT("'" &amp; R$3 &amp; "'!B:B")),0)</f>
        <v>560.20000000000005</v>
      </c>
      <c r="S38" s="157" cm="1">
        <f t="array" aca="1" ref="S38" ca="1">IFERROR(_xlfn.XLOOKUP($A38, INDIRECT("'" &amp; S$3 &amp; "'!A:A"), INDIRECT("'" &amp; S$3 &amp; "'!B:B")),0)</f>
        <v>512.20000000000005</v>
      </c>
      <c r="T38" s="157" cm="1">
        <f t="array" aca="1" ref="T38" ca="1">IFERROR(_xlfn.XLOOKUP($A38, INDIRECT("'" &amp; T$3 &amp; "'!A:A"), INDIRECT("'" &amp; T$3 &amp; "'!B:B")),0)</f>
        <v>583.9</v>
      </c>
      <c r="U38" s="157" cm="1">
        <f t="array" aca="1" ref="U38" ca="1">IFERROR(_xlfn.XLOOKUP($A38, INDIRECT("'" &amp; U$3 &amp; "'!A:A"), INDIRECT("'" &amp; U$3 &amp; "'!B:B")),0)</f>
        <v>416.2</v>
      </c>
      <c r="V38" s="157" cm="1">
        <f t="array" aca="1" ref="V38" ca="1">IFERROR(_xlfn.XLOOKUP($A38, INDIRECT("'" &amp; V$3 &amp; "'!A:A"), INDIRECT("'" &amp; V$3 &amp; "'!B:B")),0)</f>
        <v>464.5</v>
      </c>
      <c r="W38" s="157" cm="1">
        <f t="array" aca="1" ref="W38" ca="1">IFERROR(_xlfn.XLOOKUP($A38, INDIRECT("'" &amp; W$3 &amp; "'!A:A"), INDIRECT("'" &amp; W$3 &amp; "'!B:B")),0)</f>
        <v>631.29999999999995</v>
      </c>
      <c r="X38" s="157" cm="1">
        <f t="array" aca="1" ref="X38" ca="1">IFERROR(_xlfn.XLOOKUP($A38, INDIRECT("'" &amp; X$3 &amp; "'!A:A"), INDIRECT("'" &amp; X$3 &amp; "'!B:B")),0)</f>
        <v>607</v>
      </c>
      <c r="Y38" s="157" cm="1">
        <f t="array" aca="1" ref="Y38" ca="1">IFERROR(_xlfn.XLOOKUP($A38, INDIRECT("'" &amp; Y$3 &amp; "'!A:A"), INDIRECT("'" &amp; Y$3 &amp; "'!B:B")),0)</f>
        <v>559.9</v>
      </c>
      <c r="Z38" s="157" cm="1">
        <f t="array" aca="1" ref="Z38" ca="1">IFERROR(_xlfn.XLOOKUP($A38, INDIRECT("'" &amp; Z$3 &amp; "'!A:A"), INDIRECT("'" &amp; Z$3 &amp; "'!B:B")),0)</f>
        <v>487.9</v>
      </c>
      <c r="AA38" s="157" cm="1">
        <f t="array" aca="1" ref="AA38" ca="1">IFERROR(_xlfn.XLOOKUP($A38, INDIRECT("'" &amp; AA$3 &amp; "'!A:A"), INDIRECT("'" &amp; AA$3 &amp; "'!B:B")),0)</f>
        <v>535.6</v>
      </c>
      <c r="AB38" s="157" cm="1">
        <f t="array" aca="1" ref="AB38" ca="1">IFERROR(_xlfn.XLOOKUP($A38, INDIRECT("'" &amp; AB$3 &amp; "'!A:A"), INDIRECT("'" &amp; AB$3 &amp; "'!B:B")),0)</f>
        <v>536.20000000000005</v>
      </c>
      <c r="AC38" s="157" cm="1">
        <f t="array" aca="1" ref="AC38" ca="1">IFERROR(_xlfn.XLOOKUP($A38, INDIRECT("'" &amp; AC$3 &amp; "'!A:A"), INDIRECT("'" &amp; AC$3 &amp; "'!B:B")),0)</f>
        <v>463.9</v>
      </c>
      <c r="AD38" s="157" cm="1">
        <f t="array" aca="1" ref="AD38" ca="1">IFERROR(_xlfn.XLOOKUP($A38, INDIRECT("'" &amp; AD$3 &amp; "'!A:A"), INDIRECT("'" &amp; AD$3 &amp; "'!B:B")),0)</f>
        <v>535.6</v>
      </c>
      <c r="AE38" s="157" cm="1">
        <f t="array" aca="1" ref="AE38" ca="1">IFERROR(_xlfn.XLOOKUP($A38, INDIRECT("'" &amp; AE$3 &amp; "'!A:A"), INDIRECT("'" &amp; AE$3 &amp; "'!B:B")),0)</f>
        <v>527.79999999999995</v>
      </c>
      <c r="AF38" s="157" cm="1">
        <f t="array" aca="1" ref="AF38" ca="1">IFERROR(_xlfn.XLOOKUP($A38, INDIRECT("'" &amp; AF$3 &amp; "'!A:A"), INDIRECT("'" &amp; AF$3 &amp; "'!B:B")),0)</f>
        <v>393.7</v>
      </c>
      <c r="AG38" s="157" cm="1">
        <f t="array" aca="1" ref="AG38" ca="1">IFERROR(_xlfn.XLOOKUP($A38, INDIRECT("'" &amp; AG$3 &amp; "'!A:A"), INDIRECT("'" &amp; AG$3 &amp; "'!B:B")),0)</f>
        <v>678.7</v>
      </c>
      <c r="AH38" s="157" cm="1">
        <f t="array" aca="1" ref="AH38" ca="1">IFERROR(_xlfn.XLOOKUP($A38, INDIRECT("'" &amp; AH$3 &amp; "'!A:A"), INDIRECT("'" &amp; AH$3 &amp; "'!B:B")),0)</f>
        <v>511</v>
      </c>
      <c r="AI38" s="157" cm="1">
        <f t="array" aca="1" ref="AI38" ca="1">IFERROR(_xlfn.XLOOKUP($A38, INDIRECT("'" &amp; AI$3 &amp; "'!A:A"), INDIRECT("'" &amp; AI$3 &amp; "'!B:B")),0)</f>
        <v>543.35</v>
      </c>
      <c r="AJ38" s="157">
        <f t="shared" ca="1" si="1"/>
        <v>488.2</v>
      </c>
      <c r="AK38" s="156" cm="1">
        <f t="array" aca="1" ref="AK38" ca="1">IFERROR(_xlfn.XLOOKUP($A38, INDIRECT("'" &amp; AK$3 &amp; "'!A:A"), INDIRECT("'" &amp; AK$3 &amp; "'!B:B")),0)</f>
        <v>690.5</v>
      </c>
      <c r="AL38" s="155" cm="1">
        <f t="array" aca="1" ref="AL38" ca="1">IFERROR(_xlfn.XLOOKUP($A38, INDIRECT("'" &amp; AL$3 &amp; "'!A:A"), INDIRECT("'" &amp; AL$3 &amp; "'!B:B")),0)</f>
        <v>827.74919999999997</v>
      </c>
      <c r="AM38" s="157" cm="1">
        <f t="array" aca="1" ref="AM38" ca="1">IFERROR(_xlfn.XLOOKUP($A38, INDIRECT("'" &amp; AM$3 &amp; "'!A:A"), INDIRECT("'" &amp; AM$3 &amp; "'!B:B")),0)</f>
        <v>551.85</v>
      </c>
    </row>
    <row r="39" spans="1:39" x14ac:dyDescent="0.25">
      <c r="A39" s="225" t="s">
        <v>185</v>
      </c>
      <c r="B39" s="157" cm="1">
        <f t="array" aca="1" ref="B39" ca="1">IFERROR(_xlfn.XLOOKUP($A39, INDIRECT("'" &amp; B$3 &amp; "'!A:A"), INDIRECT("'" &amp; B$3 &amp; "'!B:B")),0)</f>
        <v>0</v>
      </c>
      <c r="C39" s="157" cm="1">
        <f t="array" aca="1" ref="C39" ca="1">IFERROR(_xlfn.XLOOKUP($A39, INDIRECT("'" &amp; C$3 &amp; "'!A:A"), INDIRECT("'" &amp; C$3 &amp; "'!B:B")),0)</f>
        <v>0</v>
      </c>
      <c r="D39" s="157" cm="1">
        <f t="array" aca="1" ref="D39" ca="1">IFERROR(_xlfn.XLOOKUP($A39, INDIRECT("'" &amp; D$3 &amp; "'!A:A"), INDIRECT("'" &amp; D$3 &amp; "'!B:B")),0)</f>
        <v>0</v>
      </c>
      <c r="E39" s="157" cm="1">
        <f t="array" aca="1" ref="E39" ca="1">IFERROR(_xlfn.XLOOKUP($A39, INDIRECT("'" &amp; E$3 &amp; "'!A:A"), INDIRECT("'" &amp; E$3 &amp; "'!B:B")),0)</f>
        <v>0</v>
      </c>
      <c r="F39" s="157" cm="1">
        <f t="array" aca="1" ref="F39" ca="1">IFERROR(_xlfn.XLOOKUP($A39, INDIRECT("'" &amp; F$3 &amp; "'!A:A"), INDIRECT("'" &amp; F$3 &amp; "'!B:B")),0)</f>
        <v>0</v>
      </c>
      <c r="G39" s="157" cm="1">
        <f t="array" aca="1" ref="G39" ca="1">IFERROR(_xlfn.XLOOKUP($A39, INDIRECT("'" &amp; G$3 &amp; "'!A:A"), INDIRECT("'" &amp; G$3 &amp; "'!B:B")),0)</f>
        <v>0</v>
      </c>
      <c r="H39" s="157" cm="1">
        <f t="array" aca="1" ref="H39" ca="1">IFERROR(_xlfn.XLOOKUP($A39, INDIRECT("'" &amp; H$3 &amp; "'!A:A"), INDIRECT("'" &amp; H$3 &amp; "'!B:B")),0)</f>
        <v>0</v>
      </c>
      <c r="I39" s="157" cm="1">
        <f t="array" aca="1" ref="I39" ca="1">IFERROR(_xlfn.XLOOKUP($A39, INDIRECT("'" &amp; I$3 &amp; "'!A:A"), INDIRECT("'" &amp; I$3 &amp; "'!B:B")),0)</f>
        <v>0</v>
      </c>
      <c r="J39" s="157" cm="1">
        <f t="array" aca="1" ref="J39" ca="1">IFERROR(_xlfn.XLOOKUP($A39, INDIRECT("'" &amp; J$3 &amp; "'!A:A"), INDIRECT("'" &amp; J$3 &amp; "'!B:B")),0)</f>
        <v>0</v>
      </c>
      <c r="K39" s="157" cm="1">
        <f t="array" aca="1" ref="K39" ca="1">IFERROR(_xlfn.XLOOKUP($A39, INDIRECT("'" &amp; K$3 &amp; "'!A:A"), INDIRECT("'" &amp; K$3 &amp; "'!B:B")),0)</f>
        <v>0</v>
      </c>
      <c r="L39" s="157" cm="1">
        <f t="array" aca="1" ref="L39" ca="1">IFERROR(_xlfn.XLOOKUP($A39, INDIRECT("'" &amp; L$3 &amp; "'!A:A"), INDIRECT("'" &amp; L$3 &amp; "'!B:B")),0)</f>
        <v>0</v>
      </c>
      <c r="M39" s="157" cm="1">
        <f t="array" aca="1" ref="M39" ca="1">IFERROR(_xlfn.XLOOKUP($A39, INDIRECT("'" &amp; M$3 &amp; "'!A:A"), INDIRECT("'" &amp; M$3 &amp; "'!B:B")),0)</f>
        <v>0</v>
      </c>
      <c r="N39" s="157" cm="1">
        <f t="array" aca="1" ref="N39" ca="1">IFERROR(_xlfn.XLOOKUP($A39, INDIRECT("'" &amp; N$3 &amp; "'!A:A"), INDIRECT("'" &amp; N$3 &amp; "'!B:B")),0)</f>
        <v>0</v>
      </c>
      <c r="O39" s="157" cm="1">
        <f t="array" aca="1" ref="O39" ca="1">IFERROR(_xlfn.XLOOKUP($A39, INDIRECT("'" &amp; O$3 &amp; "'!A:A"), INDIRECT("'" &amp; O$3 &amp; "'!B:B")),0)</f>
        <v>0</v>
      </c>
      <c r="P39" s="157" cm="1">
        <f t="array" aca="1" ref="P39" ca="1">IFERROR(_xlfn.XLOOKUP($A39, INDIRECT("'" &amp; P$3 &amp; "'!A:A"), INDIRECT("'" &amp; P$3 &amp; "'!B:B")),0)</f>
        <v>0</v>
      </c>
      <c r="Q39" s="157" cm="1">
        <f t="array" aca="1" ref="Q39" ca="1">IFERROR(_xlfn.XLOOKUP($A39, INDIRECT("'" &amp; Q$3 &amp; "'!A:A"), INDIRECT("'" &amp; Q$3 &amp; "'!B:B")),0)</f>
        <v>0</v>
      </c>
      <c r="R39" s="157" cm="1">
        <f t="array" aca="1" ref="R39" ca="1">IFERROR(_xlfn.XLOOKUP($A39, INDIRECT("'" &amp; R$3 &amp; "'!A:A"), INDIRECT("'" &amp; R$3 &amp; "'!B:B")),0)</f>
        <v>0</v>
      </c>
      <c r="S39" s="157" cm="1">
        <f t="array" aca="1" ref="S39" ca="1">IFERROR(_xlfn.XLOOKUP($A39, INDIRECT("'" &amp; S$3 &amp; "'!A:A"), INDIRECT("'" &amp; S$3 &amp; "'!B:B")),0)</f>
        <v>0</v>
      </c>
      <c r="T39" s="157" cm="1">
        <f t="array" aca="1" ref="T39" ca="1">IFERROR(_xlfn.XLOOKUP($A39, INDIRECT("'" &amp; T$3 &amp; "'!A:A"), INDIRECT("'" &amp; T$3 &amp; "'!B:B")),0)</f>
        <v>0</v>
      </c>
      <c r="U39" s="157" cm="1">
        <f t="array" aca="1" ref="U39" ca="1">IFERROR(_xlfn.XLOOKUP($A39, INDIRECT("'" &amp; U$3 &amp; "'!A:A"), INDIRECT("'" &amp; U$3 &amp; "'!B:B")),0)</f>
        <v>0</v>
      </c>
      <c r="V39" s="157" cm="1">
        <f t="array" aca="1" ref="V39" ca="1">IFERROR(_xlfn.XLOOKUP($A39, INDIRECT("'" &amp; V$3 &amp; "'!A:A"), INDIRECT("'" &amp; V$3 &amp; "'!B:B")),0)</f>
        <v>0</v>
      </c>
      <c r="W39" s="157" cm="1">
        <f t="array" aca="1" ref="W39" ca="1">IFERROR(_xlfn.XLOOKUP($A39, INDIRECT("'" &amp; W$3 &amp; "'!A:A"), INDIRECT("'" &amp; W$3 &amp; "'!B:B")),0)</f>
        <v>0</v>
      </c>
      <c r="X39" s="157" cm="1">
        <f t="array" aca="1" ref="X39" ca="1">IFERROR(_xlfn.XLOOKUP($A39, INDIRECT("'" &amp; X$3 &amp; "'!A:A"), INDIRECT("'" &amp; X$3 &amp; "'!B:B")),0)</f>
        <v>0</v>
      </c>
      <c r="Y39" s="157" cm="1">
        <f t="array" aca="1" ref="Y39" ca="1">IFERROR(_xlfn.XLOOKUP($A39, INDIRECT("'" &amp; Y$3 &amp; "'!A:A"), INDIRECT("'" &amp; Y$3 &amp; "'!B:B")),0)</f>
        <v>0</v>
      </c>
      <c r="Z39" s="157" cm="1">
        <f t="array" aca="1" ref="Z39" ca="1">IFERROR(_xlfn.XLOOKUP($A39, INDIRECT("'" &amp; Z$3 &amp; "'!A:A"), INDIRECT("'" &amp; Z$3 &amp; "'!B:B")),0)</f>
        <v>0</v>
      </c>
      <c r="AA39" s="157" cm="1">
        <f t="array" aca="1" ref="AA39" ca="1">IFERROR(_xlfn.XLOOKUP($A39, INDIRECT("'" &amp; AA$3 &amp; "'!A:A"), INDIRECT("'" &amp; AA$3 &amp; "'!B:B")),0)</f>
        <v>0</v>
      </c>
      <c r="AB39" s="157" cm="1">
        <f t="array" aca="1" ref="AB39" ca="1">IFERROR(_xlfn.XLOOKUP($A39, INDIRECT("'" &amp; AB$3 &amp; "'!A:A"), INDIRECT("'" &amp; AB$3 &amp; "'!B:B")),0)</f>
        <v>0</v>
      </c>
      <c r="AC39" s="157" cm="1">
        <f t="array" aca="1" ref="AC39" ca="1">IFERROR(_xlfn.XLOOKUP($A39, INDIRECT("'" &amp; AC$3 &amp; "'!A:A"), INDIRECT("'" &amp; AC$3 &amp; "'!B:B")),0)</f>
        <v>0</v>
      </c>
      <c r="AD39" s="157" cm="1">
        <f t="array" aca="1" ref="AD39" ca="1">IFERROR(_xlfn.XLOOKUP($A39, INDIRECT("'" &amp; AD$3 &amp; "'!A:A"), INDIRECT("'" &amp; AD$3 &amp; "'!B:B")),0)</f>
        <v>0</v>
      </c>
      <c r="AE39" s="157" cm="1">
        <f t="array" aca="1" ref="AE39" ca="1">IFERROR(_xlfn.XLOOKUP($A39, INDIRECT("'" &amp; AE$3 &amp; "'!A:A"), INDIRECT("'" &amp; AE$3 &amp; "'!B:B")),0)</f>
        <v>0</v>
      </c>
      <c r="AF39" s="157" cm="1">
        <f t="array" aca="1" ref="AF39" ca="1">IFERROR(_xlfn.XLOOKUP($A39, INDIRECT("'" &amp; AF$3 &amp; "'!A:A"), INDIRECT("'" &amp; AF$3 &amp; "'!B:B")),0)</f>
        <v>0</v>
      </c>
      <c r="AG39" s="157" cm="1">
        <f t="array" aca="1" ref="AG39" ca="1">IFERROR(_xlfn.XLOOKUP($A39, INDIRECT("'" &amp; AG$3 &amp; "'!A:A"), INDIRECT("'" &amp; AG$3 &amp; "'!B:B")),0)</f>
        <v>0</v>
      </c>
      <c r="AH39" s="157" cm="1">
        <f t="array" aca="1" ref="AH39" ca="1">IFERROR(_xlfn.XLOOKUP($A39, INDIRECT("'" &amp; AH$3 &amp; "'!A:A"), INDIRECT("'" &amp; AH$3 &amp; "'!B:B")),0)</f>
        <v>0</v>
      </c>
      <c r="AI39" s="157" cm="1">
        <f t="array" aca="1" ref="AI39" ca="1">IFERROR(_xlfn.XLOOKUP($A39, INDIRECT("'" &amp; AI$3 &amp; "'!A:A"), INDIRECT("'" &amp; AI$3 &amp; "'!B:B")),0)</f>
        <v>0</v>
      </c>
      <c r="AJ39" s="157">
        <f t="shared" ca="1" si="1"/>
        <v>0</v>
      </c>
      <c r="AK39" s="156" cm="1">
        <f t="array" aca="1" ref="AK39" ca="1">IFERROR(_xlfn.XLOOKUP($A39, INDIRECT("'" &amp; AK$3 &amp; "'!A:A"), INDIRECT("'" &amp; AK$3 &amp; "'!B:B")),0)</f>
        <v>0</v>
      </c>
      <c r="AL39" s="155" cm="1">
        <f t="array" aca="1" ref="AL39" ca="1">IFERROR(_xlfn.XLOOKUP($A39, INDIRECT("'" &amp; AL$3 &amp; "'!A:A"), INDIRECT("'" &amp; AL$3 &amp; "'!B:B")),0)</f>
        <v>1677.8700000000001</v>
      </c>
      <c r="AM39" s="157" cm="1">
        <f t="array" aca="1" ref="AM39" ca="1">IFERROR(_xlfn.XLOOKUP($A39, INDIRECT("'" &amp; AM$3 &amp; "'!A:A"), INDIRECT("'" &amp; AM$3 &amp; "'!B:B")),0)</f>
        <v>0</v>
      </c>
    </row>
    <row r="40" spans="1:39" x14ac:dyDescent="0.25">
      <c r="A40" s="225" t="s">
        <v>186</v>
      </c>
      <c r="B40" s="157" cm="1">
        <f t="array" aca="1" ref="B40" ca="1">IFERROR(_xlfn.XLOOKUP($A40, INDIRECT("'" &amp; B$3 &amp; "'!A:A"), INDIRECT("'" &amp; B$3 &amp; "'!B:B")),0)</f>
        <v>689.96</v>
      </c>
      <c r="C40" s="157" cm="1">
        <f t="array" aca="1" ref="C40" ca="1">IFERROR(_xlfn.XLOOKUP($A40, INDIRECT("'" &amp; C$3 &amp; "'!A:A"), INDIRECT("'" &amp; C$3 &amp; "'!B:B")),0)</f>
        <v>689.96</v>
      </c>
      <c r="D40" s="157" cm="1">
        <f t="array" aca="1" ref="D40" ca="1">IFERROR(_xlfn.XLOOKUP($A40, INDIRECT("'" &amp; D$3 &amp; "'!A:A"), INDIRECT("'" &amp; D$3 &amp; "'!B:B")),0)</f>
        <v>689.96</v>
      </c>
      <c r="E40" s="157" cm="1">
        <f t="array" aca="1" ref="E40" ca="1">IFERROR(_xlfn.XLOOKUP($A40, INDIRECT("'" &amp; E$3 &amp; "'!A:A"), INDIRECT("'" &amp; E$3 &amp; "'!B:B")),0)</f>
        <v>689.96</v>
      </c>
      <c r="F40" s="157" cm="1">
        <f t="array" aca="1" ref="F40" ca="1">IFERROR(_xlfn.XLOOKUP($A40, INDIRECT("'" &amp; F$3 &amp; "'!A:A"), INDIRECT("'" &amp; F$3 &amp; "'!B:B")),0)</f>
        <v>689.96</v>
      </c>
      <c r="G40" s="157" cm="1">
        <f t="array" aca="1" ref="G40" ca="1">IFERROR(_xlfn.XLOOKUP($A40, INDIRECT("'" &amp; G$3 &amp; "'!A:A"), INDIRECT("'" &amp; G$3 &amp; "'!B:B")),0)</f>
        <v>689.96</v>
      </c>
      <c r="H40" s="157" cm="1">
        <f t="array" aca="1" ref="H40" ca="1">IFERROR(_xlfn.XLOOKUP($A40, INDIRECT("'" &amp; H$3 &amp; "'!A:A"), INDIRECT("'" &amp; H$3 &amp; "'!B:B")),0)</f>
        <v>689.96</v>
      </c>
      <c r="I40" s="157" cm="1">
        <f t="array" aca="1" ref="I40" ca="1">IFERROR(_xlfn.XLOOKUP($A40, INDIRECT("'" &amp; I$3 &amp; "'!A:A"), INDIRECT("'" &amp; I$3 &amp; "'!B:B")),0)</f>
        <v>689.96</v>
      </c>
      <c r="J40" s="157" cm="1">
        <f t="array" aca="1" ref="J40" ca="1">IFERROR(_xlfn.XLOOKUP($A40, INDIRECT("'" &amp; J$3 &amp; "'!A:A"), INDIRECT("'" &amp; J$3 &amp; "'!B:B")),0)</f>
        <v>689.96</v>
      </c>
      <c r="K40" s="157" cm="1">
        <f t="array" aca="1" ref="K40" ca="1">IFERROR(_xlfn.XLOOKUP($A40, INDIRECT("'" &amp; K$3 &amp; "'!A:A"), INDIRECT("'" &amp; K$3 &amp; "'!B:B")),0)</f>
        <v>689.96</v>
      </c>
      <c r="L40" s="157" cm="1">
        <f t="array" aca="1" ref="L40" ca="1">IFERROR(_xlfn.XLOOKUP($A40, INDIRECT("'" &amp; L$3 &amp; "'!A:A"), INDIRECT("'" &amp; L$3 &amp; "'!B:B")),0)</f>
        <v>909.94</v>
      </c>
      <c r="M40" s="157" cm="1">
        <f t="array" aca="1" ref="M40" ca="1">IFERROR(_xlfn.XLOOKUP($A40, INDIRECT("'" &amp; M$3 &amp; "'!A:A"), INDIRECT("'" &amp; M$3 &amp; "'!B:B")),0)</f>
        <v>799.95</v>
      </c>
      <c r="N40" s="157" cm="1">
        <f t="array" aca="1" ref="N40" ca="1">IFERROR(_xlfn.XLOOKUP($A40, INDIRECT("'" &amp; N$3 &amp; "'!A:A"), INDIRECT("'" &amp; N$3 &amp; "'!B:B")),0)</f>
        <v>689.06</v>
      </c>
      <c r="O40" s="157" cm="1">
        <f t="array" aca="1" ref="O40" ca="1">IFERROR(_xlfn.XLOOKUP($A40, INDIRECT("'" &amp; O$3 &amp; "'!A:A"), INDIRECT("'" &amp; O$3 &amp; "'!B:B")),0)</f>
        <v>579.97</v>
      </c>
      <c r="P40" s="157" cm="1">
        <f t="array" aca="1" ref="P40" ca="1">IFERROR(_xlfn.XLOOKUP($A40, INDIRECT("'" &amp; P$3 &amp; "'!A:A"), INDIRECT("'" &amp; P$3 &amp; "'!B:B")),0)</f>
        <v>579.97</v>
      </c>
      <c r="Q40" s="157" cm="1">
        <f t="array" aca="1" ref="Q40" ca="1">IFERROR(_xlfn.XLOOKUP($A40, INDIRECT("'" &amp; Q$3 &amp; "'!A:A"), INDIRECT("'" &amp; Q$3 &amp; "'!B:B")),0)</f>
        <v>689.96</v>
      </c>
      <c r="R40" s="157" cm="1">
        <f t="array" aca="1" ref="R40" ca="1">IFERROR(_xlfn.XLOOKUP($A40, INDIRECT("'" &amp; R$3 &amp; "'!A:A"), INDIRECT("'" &amp; R$3 &amp; "'!B:B")),0)</f>
        <v>689.96</v>
      </c>
      <c r="S40" s="157" cm="1">
        <f t="array" aca="1" ref="S40" ca="1">IFERROR(_xlfn.XLOOKUP($A40, INDIRECT("'" &amp; S$3 &amp; "'!A:A"), INDIRECT("'" &amp; S$3 &amp; "'!B:B")),0)</f>
        <v>689.96</v>
      </c>
      <c r="T40" s="157" cm="1">
        <f t="array" aca="1" ref="T40" ca="1">IFERROR(_xlfn.XLOOKUP($A40, INDIRECT("'" &amp; T$3 &amp; "'!A:A"), INDIRECT("'" &amp; T$3 &amp; "'!B:B")),0)</f>
        <v>799.95</v>
      </c>
      <c r="U40" s="157" cm="1">
        <f t="array" aca="1" ref="U40" ca="1">IFERROR(_xlfn.XLOOKUP($A40, INDIRECT("'" &amp; U$3 &amp; "'!A:A"), INDIRECT("'" &amp; U$3 &amp; "'!B:B")),0)</f>
        <v>689.96</v>
      </c>
      <c r="V40" s="157" cm="1">
        <f t="array" aca="1" ref="V40" ca="1">IFERROR(_xlfn.XLOOKUP($A40, INDIRECT("'" &amp; V$3 &amp; "'!A:A"), INDIRECT("'" &amp; V$3 &amp; "'!B:B")),0)</f>
        <v>689.96</v>
      </c>
      <c r="W40" s="157" cm="1">
        <f t="array" aca="1" ref="W40" ca="1">IFERROR(_xlfn.XLOOKUP($A40, INDIRECT("'" &amp; W$3 &amp; "'!A:A"), INDIRECT("'" &amp; W$3 &amp; "'!B:B")),0)</f>
        <v>799.95</v>
      </c>
      <c r="X40" s="157" cm="1">
        <f t="array" aca="1" ref="X40" ca="1">IFERROR(_xlfn.XLOOKUP($A40, INDIRECT("'" &amp; X$3 &amp; "'!A:A"), INDIRECT("'" &amp; X$3 &amp; "'!B:B")),0)</f>
        <v>689.96</v>
      </c>
      <c r="Y40" s="157" cm="1">
        <f t="array" aca="1" ref="Y40" ca="1">IFERROR(_xlfn.XLOOKUP($A40, INDIRECT("'" &amp; Y$3 &amp; "'!A:A"), INDIRECT("'" &amp; Y$3 &amp; "'!B:B")),0)</f>
        <v>799.95</v>
      </c>
      <c r="Z40" s="157" cm="1">
        <f t="array" aca="1" ref="Z40" ca="1">IFERROR(_xlfn.XLOOKUP($A40, INDIRECT("'" &amp; Z$3 &amp; "'!A:A"), INDIRECT("'" &amp; Z$3 &amp; "'!B:B")),0)</f>
        <v>799.95</v>
      </c>
      <c r="AA40" s="157" cm="1">
        <f t="array" aca="1" ref="AA40" ca="1">IFERROR(_xlfn.XLOOKUP($A40, INDIRECT("'" &amp; AA$3 &amp; "'!A:A"), INDIRECT("'" &amp; AA$3 &amp; "'!B:B")),0)</f>
        <v>686</v>
      </c>
      <c r="AB40" s="157" cm="1">
        <f t="array" aca="1" ref="AB40" ca="1">IFERROR(_xlfn.XLOOKUP($A40, INDIRECT("'" &amp; AB$3 &amp; "'!A:A"), INDIRECT("'" &amp; AB$3 &amp; "'!B:B")),0)</f>
        <v>799.95</v>
      </c>
      <c r="AC40" s="157" cm="1">
        <f t="array" aca="1" ref="AC40" ca="1">IFERROR(_xlfn.XLOOKUP($A40, INDIRECT("'" &amp; AC$3 &amp; "'!A:A"), INDIRECT("'" &amp; AC$3 &amp; "'!B:B")),0)</f>
        <v>799.95</v>
      </c>
      <c r="AD40" s="157" cm="1">
        <f t="array" aca="1" ref="AD40" ca="1">IFERROR(_xlfn.XLOOKUP($A40, INDIRECT("'" &amp; AD$3 &amp; "'!A:A"), INDIRECT("'" &amp; AD$3 &amp; "'!B:B")),0)</f>
        <v>689.96</v>
      </c>
      <c r="AE40" s="157" cm="1">
        <f t="array" aca="1" ref="AE40" ca="1">IFERROR(_xlfn.XLOOKUP($A40, INDIRECT("'" &amp; AE$3 &amp; "'!A:A"), INDIRECT("'" &amp; AE$3 &amp; "'!B:B")),0)</f>
        <v>689.96</v>
      </c>
      <c r="AF40" s="157" cm="1">
        <f t="array" aca="1" ref="AF40" ca="1">IFERROR(_xlfn.XLOOKUP($A40, INDIRECT("'" &amp; AF$3 &amp; "'!A:A"), INDIRECT("'" &amp; AF$3 &amp; "'!B:B")),0)</f>
        <v>689.96</v>
      </c>
      <c r="AG40" s="157" cm="1">
        <f t="array" aca="1" ref="AG40" ca="1">IFERROR(_xlfn.XLOOKUP($A40, INDIRECT("'" &amp; AG$3 &amp; "'!A:A"), INDIRECT("'" &amp; AG$3 &amp; "'!B:B")),0)</f>
        <v>799.95</v>
      </c>
      <c r="AH40" s="157" cm="1">
        <f t="array" aca="1" ref="AH40" ca="1">IFERROR(_xlfn.XLOOKUP($A40, INDIRECT("'" &amp; AH$3 &amp; "'!A:A"), INDIRECT("'" &amp; AH$3 &amp; "'!B:B")),0)</f>
        <v>689.96</v>
      </c>
      <c r="AI40" s="157" cm="1">
        <f t="array" aca="1" ref="AI40" ca="1">IFERROR(_xlfn.XLOOKUP($A40, INDIRECT("'" &amp; AI$3 &amp; "'!A:A"), INDIRECT("'" &amp; AI$3 &amp; "'!B:B")),0)</f>
        <v>689.96</v>
      </c>
      <c r="AJ40" s="157">
        <f t="shared" ca="1" si="1"/>
        <v>689.96</v>
      </c>
      <c r="AK40" s="156" cm="1">
        <f t="array" aca="1" ref="AK40" ca="1">IFERROR(_xlfn.XLOOKUP($A40, INDIRECT("'" &amp; AK$3 &amp; "'!A:A"), INDIRECT("'" &amp; AK$3 &amp; "'!B:B")),0)</f>
        <v>799.95</v>
      </c>
      <c r="AL40" s="155" cm="1">
        <f t="array" aca="1" ref="AL40" ca="1">IFERROR(_xlfn.XLOOKUP($A40, INDIRECT("'" &amp; AL$3 &amp; "'!A:A"), INDIRECT("'" &amp; AL$3 &amp; "'!B:B")),0)</f>
        <v>749.29656</v>
      </c>
      <c r="AM40" s="157" cm="1">
        <f t="array" aca="1" ref="AM40" ca="1">IFERROR(_xlfn.XLOOKUP($A40, INDIRECT("'" &amp; AM$3 &amp; "'!A:A"), INDIRECT("'" &amp; AM$3 &amp; "'!B:B")),0)</f>
        <v>799.95</v>
      </c>
    </row>
    <row r="41" spans="1:39" x14ac:dyDescent="0.25">
      <c r="A41" s="225" t="s">
        <v>187</v>
      </c>
      <c r="B41" s="157" cm="1">
        <f t="array" aca="1" ref="B41" ca="1">IFERROR(_xlfn.XLOOKUP($A41, INDIRECT("'" &amp; B$3 &amp; "'!A:A"), INDIRECT("'" &amp; B$3 &amp; "'!B:B")),0)</f>
        <v>422.8</v>
      </c>
      <c r="C41" s="157" cm="1">
        <f t="array" aca="1" ref="C41" ca="1">IFERROR(_xlfn.XLOOKUP($A41, INDIRECT("'" &amp; C$3 &amp; "'!A:A"), INDIRECT("'" &amp; C$3 &amp; "'!B:B")),0)</f>
        <v>418.57</v>
      </c>
      <c r="D41" s="157" cm="1">
        <f t="array" aca="1" ref="D41" ca="1">IFERROR(_xlfn.XLOOKUP($A41, INDIRECT("'" &amp; D$3 &amp; "'!A:A"), INDIRECT("'" &amp; D$3 &amp; "'!B:B")),0)</f>
        <v>418.57</v>
      </c>
      <c r="E41" s="157" cm="1">
        <f t="array" aca="1" ref="E41" ca="1">IFERROR(_xlfn.XLOOKUP($A41, INDIRECT("'" &amp; E$3 &amp; "'!A:A"), INDIRECT("'" &amp; E$3 &amp; "'!B:B")),0)</f>
        <v>471.07</v>
      </c>
      <c r="F41" s="157" cm="1">
        <f t="array" aca="1" ref="F41" ca="1">IFERROR(_xlfn.XLOOKUP($A41, INDIRECT("'" &amp; F$3 &amp; "'!A:A"), INDIRECT("'" &amp; F$3 &amp; "'!B:B")),0)</f>
        <v>484.58</v>
      </c>
      <c r="G41" s="157" cm="1">
        <f t="array" aca="1" ref="G41" ca="1">IFERROR(_xlfn.XLOOKUP($A41, INDIRECT("'" &amp; G$3 &amp; "'!A:A"), INDIRECT("'" &amp; G$3 &amp; "'!B:B")),0)</f>
        <v>418.57</v>
      </c>
      <c r="H41" s="157" cm="1">
        <f t="array" aca="1" ref="H41" ca="1">IFERROR(_xlfn.XLOOKUP($A41, INDIRECT("'" &amp; H$3 &amp; "'!A:A"), INDIRECT("'" &amp; H$3 &amp; "'!B:B")),0)</f>
        <v>423.27</v>
      </c>
      <c r="I41" s="157" cm="1">
        <f t="array" aca="1" ref="I41" ca="1">IFERROR(_xlfn.XLOOKUP($A41, INDIRECT("'" &amp; I$3 &amp; "'!A:A"), INDIRECT("'" &amp; I$3 &amp; "'!B:B")),0)</f>
        <v>452.2</v>
      </c>
      <c r="J41" s="157" cm="1">
        <f t="array" aca="1" ref="J41" ca="1">IFERROR(_xlfn.XLOOKUP($A41, INDIRECT("'" &amp; J$3 &amp; "'!A:A"), INDIRECT("'" &amp; J$3 &amp; "'!B:B")),0)</f>
        <v>418.57</v>
      </c>
      <c r="K41" s="157" cm="1">
        <f t="array" aca="1" ref="K41" ca="1">IFERROR(_xlfn.XLOOKUP($A41, INDIRECT("'" &amp; K$3 &amp; "'!A:A"), INDIRECT("'" &amp; K$3 &amp; "'!B:B")),0)</f>
        <v>471.07</v>
      </c>
      <c r="L41" s="157" cm="1">
        <f t="array" aca="1" ref="L41" ca="1">IFERROR(_xlfn.XLOOKUP($A41, INDIRECT("'" &amp; L$3 &amp; "'!A:A"), INDIRECT("'" &amp; L$3 &amp; "'!B:B")),0)</f>
        <v>455.18</v>
      </c>
      <c r="M41" s="157" cm="1">
        <f t="array" aca="1" ref="M41" ca="1">IFERROR(_xlfn.XLOOKUP($A41, INDIRECT("'" &amp; M$3 &amp; "'!A:A"), INDIRECT("'" &amp; M$3 &amp; "'!B:B")),0)</f>
        <v>437.44</v>
      </c>
      <c r="N41" s="157" cm="1">
        <f t="array" aca="1" ref="N41" ca="1">IFERROR(_xlfn.XLOOKUP($A41, INDIRECT("'" &amp; N$3 &amp; "'!A:A"), INDIRECT("'" &amp; N$3 &amp; "'!B:B")),0)</f>
        <v>405.06</v>
      </c>
      <c r="O41" s="157" cm="1">
        <f t="array" aca="1" ref="O41" ca="1">IFERROR(_xlfn.XLOOKUP($A41, INDIRECT("'" &amp; O$3 &amp; "'!A:A"), INDIRECT("'" &amp; O$3 &amp; "'!B:B")),0)</f>
        <v>373.81</v>
      </c>
      <c r="P41" s="157" cm="1">
        <f t="array" aca="1" ref="P41" ca="1">IFERROR(_xlfn.XLOOKUP($A41, INDIRECT("'" &amp; P$3 &amp; "'!A:A"), INDIRECT("'" &amp; P$3 &amp; "'!B:B")),0)</f>
        <v>373.81</v>
      </c>
      <c r="Q41" s="157" cm="1">
        <f t="array" aca="1" ref="Q41" ca="1">IFERROR(_xlfn.XLOOKUP($A41, INDIRECT("'" &amp; Q$3 &amp; "'!A:A"), INDIRECT("'" &amp; Q$3 &amp; "'!B:B")),0)</f>
        <v>428.63</v>
      </c>
      <c r="R41" s="157" cm="1">
        <f t="array" aca="1" ref="R41" ca="1">IFERROR(_xlfn.XLOOKUP($A41, INDIRECT("'" &amp; R$3 &amp; "'!A:A"), INDIRECT("'" &amp; R$3 &amp; "'!B:B")),0)</f>
        <v>405.06</v>
      </c>
      <c r="S41" s="157" cm="1">
        <f t="array" aca="1" ref="S41" ca="1">IFERROR(_xlfn.XLOOKUP($A41, INDIRECT("'" &amp; S$3 &amp; "'!A:A"), INDIRECT("'" &amp; S$3 &amp; "'!B:B")),0)</f>
        <v>428.63</v>
      </c>
      <c r="T41" s="157" cm="1">
        <f t="array" aca="1" ref="T41" ca="1">IFERROR(_xlfn.XLOOKUP($A41, INDIRECT("'" &amp; T$3 &amp; "'!A:A"), INDIRECT("'" &amp; T$3 &amp; "'!B:B")),0)</f>
        <v>432.08</v>
      </c>
      <c r="U41" s="157" cm="1">
        <f t="array" aca="1" ref="U41" ca="1">IFERROR(_xlfn.XLOOKUP($A41, INDIRECT("'" &amp; U$3 &amp; "'!A:A"), INDIRECT("'" &amp; U$3 &amp; "'!B:B")),0)</f>
        <v>405.06</v>
      </c>
      <c r="V41" s="157" cm="1">
        <f t="array" aca="1" ref="V41" ca="1">IFERROR(_xlfn.XLOOKUP($A41, INDIRECT("'" &amp; V$3 &amp; "'!A:A"), INDIRECT("'" &amp; V$3 &amp; "'!B:B")),0)</f>
        <v>418.57</v>
      </c>
      <c r="W41" s="157" cm="1">
        <f t="array" aca="1" ref="W41" ca="1">IFERROR(_xlfn.XLOOKUP($A41, INDIRECT("'" &amp; W$3 &amp; "'!A:A"), INDIRECT("'" &amp; W$3 &amp; "'!B:B")),0)</f>
        <v>432.08</v>
      </c>
      <c r="X41" s="157" cm="1">
        <f t="array" aca="1" ref="X41" ca="1">IFERROR(_xlfn.XLOOKUP($A41, INDIRECT("'" &amp; X$3 &amp; "'!A:A"), INDIRECT("'" &amp; X$3 &amp; "'!B:B")),0)</f>
        <v>418.57</v>
      </c>
      <c r="Y41" s="157" cm="1">
        <f t="array" aca="1" ref="Y41" ca="1">IFERROR(_xlfn.XLOOKUP($A41, INDIRECT("'" &amp; Y$3 &amp; "'!A:A"), INDIRECT("'" &amp; Y$3 &amp; "'!B:B")),0)</f>
        <v>432.08</v>
      </c>
      <c r="Z41" s="157" cm="1">
        <f t="array" aca="1" ref="Z41" ca="1">IFERROR(_xlfn.XLOOKUP($A41, INDIRECT("'" &amp; Z$3 &amp; "'!A:A"), INDIRECT("'" &amp; Z$3 &amp; "'!B:B")),0)</f>
        <v>418.57</v>
      </c>
      <c r="AA41" s="157" cm="1">
        <f t="array" aca="1" ref="AA41" ca="1">IFERROR(_xlfn.XLOOKUP($A41, INDIRECT("'" &amp; AA$3 &amp; "'!A:A"), INDIRECT("'" &amp; AA$3 &amp; "'!B:B")),0)</f>
        <v>150.55000000000001</v>
      </c>
      <c r="AB41" s="157" cm="1">
        <f t="array" aca="1" ref="AB41" ca="1">IFERROR(_xlfn.XLOOKUP($A41, INDIRECT("'" &amp; AB$3 &amp; "'!A:A"), INDIRECT("'" &amp; AB$3 &amp; "'!B:B")),0)</f>
        <v>473.39</v>
      </c>
      <c r="AC41" s="157" cm="1">
        <f t="array" aca="1" ref="AC41" ca="1">IFERROR(_xlfn.XLOOKUP($A41, INDIRECT("'" &amp; AC$3 &amp; "'!A:A"), INDIRECT("'" &amp; AC$3 &amp; "'!B:B")),0)</f>
        <v>473.39</v>
      </c>
      <c r="AD41" s="157" cm="1">
        <f t="array" aca="1" ref="AD41" ca="1">IFERROR(_xlfn.XLOOKUP($A41, INDIRECT("'" &amp; AD$3 &amp; "'!A:A"), INDIRECT("'" &amp; AD$3 &amp; "'!B:B")),0)</f>
        <v>455.18</v>
      </c>
      <c r="AE41" s="157" cm="1">
        <f t="array" aca="1" ref="AE41" ca="1">IFERROR(_xlfn.XLOOKUP($A41, INDIRECT("'" &amp; AE$3 &amp; "'!A:A"), INDIRECT("'" &amp; AE$3 &amp; "'!B:B")),0)</f>
        <v>428.63</v>
      </c>
      <c r="AF41" s="157" cm="1">
        <f t="array" aca="1" ref="AF41" ca="1">IFERROR(_xlfn.XLOOKUP($A41, INDIRECT("'" &amp; AF$3 &amp; "'!A:A"), INDIRECT("'" &amp; AF$3 &amp; "'!B:B")),0)</f>
        <v>405.06</v>
      </c>
      <c r="AG41" s="157" cm="1">
        <f t="array" aca="1" ref="AG41" ca="1">IFERROR(_xlfn.XLOOKUP($A41, INDIRECT("'" &amp; AG$3 &amp; "'!A:A"), INDIRECT("'" &amp; AG$3 &amp; "'!B:B")),0)</f>
        <v>418.57</v>
      </c>
      <c r="AH41" s="157" cm="1">
        <f t="array" aca="1" ref="AH41" ca="1">IFERROR(_xlfn.XLOOKUP($A41, INDIRECT("'" &amp; AH$3 &amp; "'!A:A"), INDIRECT("'" &amp; AH$3 &amp; "'!B:B")),0)</f>
        <v>428.63</v>
      </c>
      <c r="AI41" s="157" cm="1">
        <f t="array" aca="1" ref="AI41" ca="1">IFERROR(_xlfn.XLOOKUP($A41, INDIRECT("'" &amp; AI$3 &amp; "'!A:A"), INDIRECT("'" &amp; AI$3 &amp; "'!B:B")),0)</f>
        <v>455.18</v>
      </c>
      <c r="AJ41" s="157">
        <f t="shared" ca="1" si="1"/>
        <v>418.57</v>
      </c>
      <c r="AK41" s="156" cm="1">
        <f t="array" aca="1" ref="AK41" ca="1">IFERROR(_xlfn.XLOOKUP($A41, INDIRECT("'" &amp; AK$3 &amp; "'!A:A"), INDIRECT("'" &amp; AK$3 &amp; "'!B:B")),0)</f>
        <v>459.88</v>
      </c>
      <c r="AL41" s="155" cm="1">
        <f t="array" aca="1" ref="AL41" ca="1">IFERROR(_xlfn.XLOOKUP($A41, INDIRECT("'" &amp; AL$3 &amp; "'!A:A"), INDIRECT("'" &amp; AL$3 &amp; "'!B:B")),0)</f>
        <v>465.49218000000002</v>
      </c>
      <c r="AM41" s="157" cm="1">
        <f t="array" aca="1" ref="AM41" ca="1">IFERROR(_xlfn.XLOOKUP($A41, INDIRECT("'" &amp; AM$3 &amp; "'!A:A"), INDIRECT("'" &amp; AM$3 &amp; "'!B:B")),0)</f>
        <v>502.32</v>
      </c>
    </row>
    <row r="42" spans="1:39" x14ac:dyDescent="0.25">
      <c r="A42" s="225" t="s">
        <v>188</v>
      </c>
      <c r="B42" s="157" cm="1">
        <f t="array" aca="1" ref="B42" ca="1">IFERROR(_xlfn.XLOOKUP($A42, INDIRECT("'" &amp; B$3 &amp; "'!A:A"), INDIRECT("'" &amp; B$3 &amp; "'!B:B")),0)</f>
        <v>1232.97</v>
      </c>
      <c r="C42" s="157" cm="1">
        <f t="array" aca="1" ref="C42" ca="1">IFERROR(_xlfn.XLOOKUP($A42, INDIRECT("'" &amp; C$3 &amp; "'!A:A"), INDIRECT("'" &amp; C$3 &amp; "'!B:B")),0)</f>
        <v>695.9</v>
      </c>
      <c r="D42" s="157" cm="1">
        <f t="array" aca="1" ref="D42" ca="1">IFERROR(_xlfn.XLOOKUP($A42, INDIRECT("'" &amp; D$3 &amp; "'!A:A"), INDIRECT("'" &amp; D$3 &amp; "'!B:B")),0)</f>
        <v>787.07</v>
      </c>
      <c r="E42" s="157" cm="1">
        <f t="array" aca="1" ref="E42" ca="1">IFERROR(_xlfn.XLOOKUP($A42, INDIRECT("'" &amp; E$3 &amp; "'!A:A"), INDIRECT("'" &amp; E$3 &amp; "'!B:B")),0)</f>
        <v>0</v>
      </c>
      <c r="F42" s="157" cm="1">
        <f t="array" aca="1" ref="F42" ca="1">IFERROR(_xlfn.XLOOKUP($A42, INDIRECT("'" &amp; F$3 &amp; "'!A:A"), INDIRECT("'" &amp; F$3 &amp; "'!B:B")),0)</f>
        <v>1141.8</v>
      </c>
      <c r="G42" s="157" cm="1">
        <f t="array" aca="1" ref="G42" ca="1">IFERROR(_xlfn.XLOOKUP($A42, INDIRECT("'" &amp; G$3 &amp; "'!A:A"), INDIRECT("'" &amp; G$3 &amp; "'!B:B")),0)</f>
        <v>695.9</v>
      </c>
      <c r="H42" s="157" cm="1">
        <f t="array" aca="1" ref="H42" ca="1">IFERROR(_xlfn.XLOOKUP($A42, INDIRECT("'" &amp; H$3 &amp; "'!A:A"), INDIRECT("'" &amp; H$3 &amp; "'!B:B")),0)</f>
        <v>695.9</v>
      </c>
      <c r="I42" s="157" cm="1">
        <f t="array" aca="1" ref="I42" ca="1">IFERROR(_xlfn.XLOOKUP($A42, INDIRECT("'" &amp; I$3 &amp; "'!A:A"), INDIRECT("'" &amp; I$3 &amp; "'!B:B")),0)</f>
        <v>695.9</v>
      </c>
      <c r="J42" s="157" cm="1">
        <f t="array" aca="1" ref="J42" ca="1">IFERROR(_xlfn.XLOOKUP($A42, INDIRECT("'" &amp; J$3 &amp; "'!A:A"), INDIRECT("'" &amp; J$3 &amp; "'!B:B")),0)</f>
        <v>695.9</v>
      </c>
      <c r="K42" s="157" cm="1">
        <f t="array" aca="1" ref="K42" ca="1">IFERROR(_xlfn.XLOOKUP($A42, INDIRECT("'" &amp; K$3 &amp; "'!A:A"), INDIRECT("'" &amp; K$3 &amp; "'!B:B")),0)</f>
        <v>695.9</v>
      </c>
      <c r="L42" s="157" cm="1">
        <f t="array" aca="1" ref="L42" ca="1">IFERROR(_xlfn.XLOOKUP($A42, INDIRECT("'" &amp; L$3 &amp; "'!A:A"), INDIRECT("'" &amp; L$3 &amp; "'!B:B")),0)</f>
        <v>695.9</v>
      </c>
      <c r="M42" s="157" cm="1">
        <f t="array" aca="1" ref="M42" ca="1">IFERROR(_xlfn.XLOOKUP($A42, INDIRECT("'" &amp; M$3 &amp; "'!A:A"), INDIRECT("'" &amp; M$3 &amp; "'!B:B")),0)</f>
        <v>1232.97</v>
      </c>
      <c r="N42" s="157" cm="1">
        <f t="array" aca="1" ref="N42" ca="1">IFERROR(_xlfn.XLOOKUP($A42, INDIRECT("'" &amp; N$3 &amp; "'!A:A"), INDIRECT("'" &amp; N$3 &amp; "'!B:B")),0)</f>
        <v>787.07</v>
      </c>
      <c r="O42" s="157" cm="1">
        <f t="array" aca="1" ref="O42" ca="1">IFERROR(_xlfn.XLOOKUP($A42, INDIRECT("'" &amp; O$3 &amp; "'!A:A"), INDIRECT("'" &amp; O$3 &amp; "'!B:B")),0)</f>
        <v>695.9</v>
      </c>
      <c r="P42" s="157" cm="1">
        <f t="array" aca="1" ref="P42" ca="1">IFERROR(_xlfn.XLOOKUP($A42, INDIRECT("'" &amp; P$3 &amp; "'!A:A"), INDIRECT("'" &amp; P$3 &amp; "'!B:B")),0)</f>
        <v>695.9</v>
      </c>
      <c r="Q42" s="157" cm="1">
        <f t="array" aca="1" ref="Q42" ca="1">IFERROR(_xlfn.XLOOKUP($A42, INDIRECT("'" &amp; Q$3 &amp; "'!A:A"), INDIRECT("'" &amp; Q$3 &amp; "'!B:B")),0)</f>
        <v>787.07</v>
      </c>
      <c r="R42" s="157" cm="1">
        <f t="array" aca="1" ref="R42" ca="1">IFERROR(_xlfn.XLOOKUP($A42, INDIRECT("'" &amp; R$3 &amp; "'!A:A"), INDIRECT("'" &amp; R$3 &amp; "'!B:B")),0)</f>
        <v>787.07</v>
      </c>
      <c r="S42" s="157" cm="1">
        <f t="array" aca="1" ref="S42" ca="1">IFERROR(_xlfn.XLOOKUP($A42, INDIRECT("'" &amp; S$3 &amp; "'!A:A"), INDIRECT("'" &amp; S$3 &amp; "'!B:B")),0)</f>
        <v>695.9</v>
      </c>
      <c r="T42" s="157" cm="1">
        <f t="array" aca="1" ref="T42" ca="1">IFERROR(_xlfn.XLOOKUP($A42, INDIRECT("'" &amp; T$3 &amp; "'!A:A"), INDIRECT("'" &amp; T$3 &amp; "'!B:B")),0)</f>
        <v>787.07</v>
      </c>
      <c r="U42" s="157" cm="1">
        <f t="array" aca="1" ref="U42" ca="1">IFERROR(_xlfn.XLOOKUP($A42, INDIRECT("'" &amp; U$3 &amp; "'!A:A"), INDIRECT("'" &amp; U$3 &amp; "'!B:B")),0)</f>
        <v>787.07</v>
      </c>
      <c r="V42" s="157" cm="1">
        <f t="array" aca="1" ref="V42" ca="1">IFERROR(_xlfn.XLOOKUP($A42, INDIRECT("'" &amp; V$3 &amp; "'!A:A"), INDIRECT("'" &amp; V$3 &amp; "'!B:B")),0)</f>
        <v>0</v>
      </c>
      <c r="W42" s="157" cm="1">
        <f t="array" aca="1" ref="W42" ca="1">IFERROR(_xlfn.XLOOKUP($A42, INDIRECT("'" &amp; W$3 &amp; "'!A:A"), INDIRECT("'" &amp; W$3 &amp; "'!B:B")),0)</f>
        <v>695.9</v>
      </c>
      <c r="X42" s="157" cm="1">
        <f t="array" aca="1" ref="X42" ca="1">IFERROR(_xlfn.XLOOKUP($A42, INDIRECT("'" &amp; X$3 &amp; "'!A:A"), INDIRECT("'" &amp; X$3 &amp; "'!B:B")),0)</f>
        <v>787.07</v>
      </c>
      <c r="Y42" s="157" cm="1">
        <f t="array" aca="1" ref="Y42" ca="1">IFERROR(_xlfn.XLOOKUP($A42, INDIRECT("'" &amp; Y$3 &amp; "'!A:A"), INDIRECT("'" &amp; Y$3 &amp; "'!B:B")),0)</f>
        <v>787.07</v>
      </c>
      <c r="Z42" s="157" cm="1">
        <f t="array" aca="1" ref="Z42" ca="1">IFERROR(_xlfn.XLOOKUP($A42, INDIRECT("'" &amp; Z$3 &amp; "'!A:A"), INDIRECT("'" &amp; Z$3 &amp; "'!B:B")),0)</f>
        <v>787.07</v>
      </c>
      <c r="AA42" s="157" cm="1">
        <f t="array" aca="1" ref="AA42" ca="1">IFERROR(_xlfn.XLOOKUP($A42, INDIRECT("'" &amp; AA$3 &amp; "'!A:A"), INDIRECT("'" &amp; AA$3 &amp; "'!B:B")),0)</f>
        <v>787.07</v>
      </c>
      <c r="AB42" s="157" cm="1">
        <f t="array" aca="1" ref="AB42" ca="1">IFERROR(_xlfn.XLOOKUP($A42, INDIRECT("'" &amp; AB$3 &amp; "'!A:A"), INDIRECT("'" &amp; AB$3 &amp; "'!B:B")),0)</f>
        <v>1232.97</v>
      </c>
      <c r="AC42" s="157" cm="1">
        <f t="array" aca="1" ref="AC42" ca="1">IFERROR(_xlfn.XLOOKUP($A42, INDIRECT("'" &amp; AC$3 &amp; "'!A:A"), INDIRECT("'" &amp; AC$3 &amp; "'!B:B")),0)</f>
        <v>1232.97</v>
      </c>
      <c r="AD42" s="157" cm="1">
        <f t="array" aca="1" ref="AD42" ca="1">IFERROR(_xlfn.XLOOKUP($A42, INDIRECT("'" &amp; AD$3 &amp; "'!A:A"), INDIRECT("'" &amp; AD$3 &amp; "'!B:B")),0)</f>
        <v>0</v>
      </c>
      <c r="AE42" s="157" cm="1">
        <f t="array" aca="1" ref="AE42" ca="1">IFERROR(_xlfn.XLOOKUP($A42, INDIRECT("'" &amp; AE$3 &amp; "'!A:A"), INDIRECT("'" &amp; AE$3 &amp; "'!B:B")),0)</f>
        <v>787.07</v>
      </c>
      <c r="AF42" s="157" cm="1">
        <f t="array" aca="1" ref="AF42" ca="1">IFERROR(_xlfn.XLOOKUP($A42, INDIRECT("'" &amp; AF$3 &amp; "'!A:A"), INDIRECT("'" &amp; AF$3 &amp; "'!B:B")),0)</f>
        <v>787.07</v>
      </c>
      <c r="AG42" s="157" cm="1">
        <f t="array" aca="1" ref="AG42" ca="1">IFERROR(_xlfn.XLOOKUP($A42, INDIRECT("'" &amp; AG$3 &amp; "'!A:A"), INDIRECT("'" &amp; AG$3 &amp; "'!B:B")),0)</f>
        <v>787.07</v>
      </c>
      <c r="AH42" s="157" cm="1">
        <f t="array" aca="1" ref="AH42" ca="1">IFERROR(_xlfn.XLOOKUP($A42, INDIRECT("'" &amp; AH$3 &amp; "'!A:A"), INDIRECT("'" &amp; AH$3 &amp; "'!B:B")),0)</f>
        <v>695.9</v>
      </c>
      <c r="AI42" s="157" cm="1">
        <f t="array" aca="1" ref="AI42" ca="1">IFERROR(_xlfn.XLOOKUP($A42, INDIRECT("'" &amp; AI$3 &amp; "'!A:A"), INDIRECT("'" &amp; AI$3 &amp; "'!B:B")),0)</f>
        <v>787.07</v>
      </c>
      <c r="AJ42" s="157">
        <f t="shared" ca="1" si="1"/>
        <v>695.9</v>
      </c>
      <c r="AK42" s="156" cm="1">
        <f t="array" aca="1" ref="AK42" ca="1">IFERROR(_xlfn.XLOOKUP($A42, INDIRECT("'" &amp; AK$3 &amp; "'!A:A"), INDIRECT("'" &amp; AK$3 &amp; "'!B:B")),0)</f>
        <v>1500</v>
      </c>
      <c r="AL42" s="155" cm="1">
        <f t="array" aca="1" ref="AL42" ca="1">IFERROR(_xlfn.XLOOKUP($A42, INDIRECT("'" &amp; AL$3 &amp; "'!A:A"), INDIRECT("'" &amp; AL$3 &amp; "'!B:B")),0)</f>
        <v>1027.2473999999997</v>
      </c>
      <c r="AM42" s="157" cm="1">
        <f t="array" aca="1" ref="AM42" ca="1">IFERROR(_xlfn.XLOOKUP($A42, INDIRECT("'" &amp; AM$3 &amp; "'!A:A"), INDIRECT("'" &amp; AM$3 &amp; "'!B:B")),0)</f>
        <v>787.07</v>
      </c>
    </row>
    <row r="43" spans="1:39" x14ac:dyDescent="0.25">
      <c r="A43" s="225" t="s">
        <v>189</v>
      </c>
      <c r="B43" s="157" cm="1">
        <f t="array" aca="1" ref="B43" ca="1">IFERROR(_xlfn.XLOOKUP($A43, INDIRECT("'" &amp; B$3 &amp; "'!A:A"), INDIRECT("'" &amp; B$3 &amp; "'!B:B")),0)</f>
        <v>3773</v>
      </c>
      <c r="C43" s="157" cm="1">
        <f t="array" aca="1" ref="C43" ca="1">IFERROR(_xlfn.XLOOKUP($A43, INDIRECT("'" &amp; C$3 &amp; "'!A:A"), INDIRECT("'" &amp; C$3 &amp; "'!B:B")),0)</f>
        <v>3690</v>
      </c>
      <c r="D43" s="157" cm="1">
        <f t="array" aca="1" ref="D43" ca="1">IFERROR(_xlfn.XLOOKUP($A43, INDIRECT("'" &amp; D$3 &amp; "'!A:A"), INDIRECT("'" &amp; D$3 &amp; "'!B:B")),0)</f>
        <v>4110</v>
      </c>
      <c r="E43" s="157" cm="1">
        <f t="array" aca="1" ref="E43" ca="1">IFERROR(_xlfn.XLOOKUP($A43, INDIRECT("'" &amp; E$3 &amp; "'!A:A"), INDIRECT("'" &amp; E$3 &amp; "'!B:B")),0)</f>
        <v>3243</v>
      </c>
      <c r="F43" s="157" cm="1">
        <f t="array" aca="1" ref="F43" ca="1">IFERROR(_xlfn.XLOOKUP($A43, INDIRECT("'" &amp; F$3 &amp; "'!A:A"), INDIRECT("'" &amp; F$3 &amp; "'!B:B")),0)</f>
        <v>4239</v>
      </c>
      <c r="G43" s="157" cm="1">
        <f t="array" aca="1" ref="G43" ca="1">IFERROR(_xlfn.XLOOKUP($A43, INDIRECT("'" &amp; G$3 &amp; "'!A:A"), INDIRECT("'" &amp; G$3 &amp; "'!B:B")),0)</f>
        <v>2680</v>
      </c>
      <c r="H43" s="157" cm="1">
        <f t="array" aca="1" ref="H43" ca="1">IFERROR(_xlfn.XLOOKUP($A43, INDIRECT("'" &amp; H$3 &amp; "'!A:A"), INDIRECT("'" &amp; H$3 &amp; "'!B:B")),0)</f>
        <v>3588</v>
      </c>
      <c r="I43" s="157" cm="1">
        <f t="array" aca="1" ref="I43" ca="1">IFERROR(_xlfn.XLOOKUP($A43, INDIRECT("'" &amp; I$3 &amp; "'!A:A"), INDIRECT("'" &amp; I$3 &amp; "'!B:B")),0)</f>
        <v>3530</v>
      </c>
      <c r="J43" s="157" cm="1">
        <f t="array" aca="1" ref="J43" ca="1">IFERROR(_xlfn.XLOOKUP($A43, INDIRECT("'" &amp; J$3 &amp; "'!A:A"), INDIRECT("'" &amp; J$3 &amp; "'!B:B")),0)</f>
        <v>3354</v>
      </c>
      <c r="K43" s="157" cm="1">
        <f t="array" aca="1" ref="K43" ca="1">IFERROR(_xlfn.XLOOKUP($A43, INDIRECT("'" &amp; K$3 &amp; "'!A:A"), INDIRECT("'" &amp; K$3 &amp; "'!B:B")),0)</f>
        <v>2680</v>
      </c>
      <c r="L43" s="157" cm="1">
        <f t="array" aca="1" ref="L43" ca="1">IFERROR(_xlfn.XLOOKUP($A43, INDIRECT("'" &amp; L$3 &amp; "'!A:A"), INDIRECT("'" &amp; L$3 &amp; "'!B:B")),0)</f>
        <v>4632</v>
      </c>
      <c r="M43" s="157" cm="1">
        <f t="array" aca="1" ref="M43" ca="1">IFERROR(_xlfn.XLOOKUP($A43, INDIRECT("'" &amp; M$3 &amp; "'!A:A"), INDIRECT("'" &amp; M$3 &amp; "'!B:B")),0)</f>
        <v>3960</v>
      </c>
      <c r="N43" s="157" cm="1">
        <f t="array" aca="1" ref="N43" ca="1">IFERROR(_xlfn.XLOOKUP($A43, INDIRECT("'" &amp; N$3 &amp; "'!A:A"), INDIRECT("'" &amp; N$3 &amp; "'!B:B")),0)</f>
        <v>4169</v>
      </c>
      <c r="O43" s="157" cm="1">
        <f t="array" aca="1" ref="O43" ca="1">IFERROR(_xlfn.XLOOKUP($A43, INDIRECT("'" &amp; O$3 &amp; "'!A:A"), INDIRECT("'" &amp; O$3 &amp; "'!B:B")),0)</f>
        <v>3310</v>
      </c>
      <c r="P43" s="157" cm="1">
        <f t="array" aca="1" ref="P43" ca="1">IFERROR(_xlfn.XLOOKUP($A43, INDIRECT("'" &amp; P$3 &amp; "'!A:A"), INDIRECT("'" &amp; P$3 &amp; "'!B:B")),0)</f>
        <v>2604</v>
      </c>
      <c r="Q43" s="157" cm="1">
        <f t="array" aca="1" ref="Q43" ca="1">IFERROR(_xlfn.XLOOKUP($A43, INDIRECT("'" &amp; Q$3 &amp; "'!A:A"), INDIRECT("'" &amp; Q$3 &amp; "'!B:B")),0)</f>
        <v>3808</v>
      </c>
      <c r="R43" s="157" cm="1">
        <f t="array" aca="1" ref="R43" ca="1">IFERROR(_xlfn.XLOOKUP($A43, INDIRECT("'" &amp; R$3 &amp; "'!A:A"), INDIRECT("'" &amp; R$3 &amp; "'!B:B")),0)</f>
        <v>3050</v>
      </c>
      <c r="S43" s="157" cm="1">
        <f t="array" aca="1" ref="S43" ca="1">IFERROR(_xlfn.XLOOKUP($A43, INDIRECT("'" &amp; S$3 &amp; "'!A:A"), INDIRECT("'" &amp; S$3 &amp; "'!B:B")),0)</f>
        <v>2950</v>
      </c>
      <c r="T43" s="157" cm="1">
        <f t="array" aca="1" ref="T43" ca="1">IFERROR(_xlfn.XLOOKUP($A43, INDIRECT("'" &amp; T$3 &amp; "'!A:A"), INDIRECT("'" &amp; T$3 &amp; "'!B:B")),0)</f>
        <v>3201</v>
      </c>
      <c r="U43" s="157" cm="1">
        <f t="array" aca="1" ref="U43" ca="1">IFERROR(_xlfn.XLOOKUP($A43, INDIRECT("'" &amp; U$3 &amp; "'!A:A"), INDIRECT("'" &amp; U$3 &amp; "'!B:B")),0)</f>
        <v>3536</v>
      </c>
      <c r="V43" s="157" cm="1">
        <f t="array" aca="1" ref="V43" ca="1">IFERROR(_xlfn.XLOOKUP($A43, INDIRECT("'" &amp; V$3 &amp; "'!A:A"), INDIRECT("'" &amp; V$3 &amp; "'!B:B")),0)</f>
        <v>2948</v>
      </c>
      <c r="W43" s="157" cm="1">
        <f t="array" aca="1" ref="W43" ca="1">IFERROR(_xlfn.XLOOKUP($A43, INDIRECT("'" &amp; W$3 &amp; "'!A:A"), INDIRECT("'" &amp; W$3 &amp; "'!B:B")),0)</f>
        <v>3698</v>
      </c>
      <c r="X43" s="157" cm="1">
        <f t="array" aca="1" ref="X43" ca="1">IFERROR(_xlfn.XLOOKUP($A43, INDIRECT("'" &amp; X$3 &amp; "'!A:A"), INDIRECT("'" &amp; X$3 &amp; "'!B:B")),0)</f>
        <v>2966</v>
      </c>
      <c r="Y43" s="157" cm="1">
        <f t="array" aca="1" ref="Y43" ca="1">IFERROR(_xlfn.XLOOKUP($A43, INDIRECT("'" &amp; Y$3 &amp; "'!A:A"), INDIRECT("'" &amp; Y$3 &amp; "'!B:B")),0)</f>
        <v>3235</v>
      </c>
      <c r="Z43" s="157" cm="1">
        <f t="array" aca="1" ref="Z43" ca="1">IFERROR(_xlfn.XLOOKUP($A43, INDIRECT("'" &amp; Z$3 &amp; "'!A:A"), INDIRECT("'" &amp; Z$3 &amp; "'!B:B")),0)</f>
        <v>3446</v>
      </c>
      <c r="AA43" s="157" cm="1">
        <f t="array" aca="1" ref="AA43" ca="1">IFERROR(_xlfn.XLOOKUP($A43, INDIRECT("'" &amp; AA$3 &amp; "'!A:A"), INDIRECT("'" &amp; AA$3 &amp; "'!B:B")),0)</f>
        <v>2882</v>
      </c>
      <c r="AB43" s="157" cm="1">
        <f t="array" aca="1" ref="AB43" ca="1">IFERROR(_xlfn.XLOOKUP($A43, INDIRECT("'" &amp; AB$3 &amp; "'!A:A"), INDIRECT("'" &amp; AB$3 &amp; "'!B:B")),0)</f>
        <v>4453</v>
      </c>
      <c r="AC43" s="157" cm="1">
        <f t="array" aca="1" ref="AC43" ca="1">IFERROR(_xlfn.XLOOKUP($A43, INDIRECT("'" &amp; AC$3 &amp; "'!A:A"), INDIRECT("'" &amp; AC$3 &amp; "'!B:B")),0)</f>
        <v>3423</v>
      </c>
      <c r="AD43" s="157" cm="1">
        <f t="array" aca="1" ref="AD43" ca="1">IFERROR(_xlfn.XLOOKUP($A43, INDIRECT("'" &amp; AD$3 &amp; "'!A:A"), INDIRECT("'" &amp; AD$3 &amp; "'!B:B")),0)</f>
        <v>3147</v>
      </c>
      <c r="AE43" s="157" cm="1">
        <f t="array" aca="1" ref="AE43" ca="1">IFERROR(_xlfn.XLOOKUP($A43, INDIRECT("'" &amp; AE$3 &amp; "'!A:A"), INDIRECT("'" &amp; AE$3 &amp; "'!B:B")),0)</f>
        <v>2966</v>
      </c>
      <c r="AF43" s="157" cm="1">
        <f t="array" aca="1" ref="AF43" ca="1">IFERROR(_xlfn.XLOOKUP($A43, INDIRECT("'" &amp; AF$3 &amp; "'!A:A"), INDIRECT("'" &amp; AF$3 &amp; "'!B:B")),0)</f>
        <v>3134</v>
      </c>
      <c r="AG43" s="157" cm="1">
        <f t="array" aca="1" ref="AG43" ca="1">IFERROR(_xlfn.XLOOKUP($A43, INDIRECT("'" &amp; AG$3 &amp; "'!A:A"), INDIRECT("'" &amp; AG$3 &amp; "'!B:B")),0)</f>
        <v>3607</v>
      </c>
      <c r="AH43" s="157" cm="1">
        <f t="array" aca="1" ref="AH43" ca="1">IFERROR(_xlfn.XLOOKUP($A43, INDIRECT("'" &amp; AH$3 &amp; "'!A:A"), INDIRECT("'" &amp; AH$3 &amp; "'!B:B")),0)</f>
        <v>3068</v>
      </c>
      <c r="AI43" s="157" cm="1">
        <f t="array" aca="1" ref="AI43" ca="1">IFERROR(_xlfn.XLOOKUP($A43, INDIRECT("'" &amp; AI$3 &amp; "'!A:A"), INDIRECT("'" &amp; AI$3 &amp; "'!B:B")),0)</f>
        <v>3588</v>
      </c>
      <c r="AJ43" s="157">
        <f t="shared" ca="1" si="1"/>
        <v>3690</v>
      </c>
      <c r="AK43" s="156" cm="1">
        <f t="array" aca="1" ref="AK43" ca="1">IFERROR(_xlfn.XLOOKUP($A43, INDIRECT("'" &amp; AK$3 &amp; "'!A:A"), INDIRECT("'" &amp; AK$3 &amp; "'!B:B")),0)</f>
        <v>3178</v>
      </c>
      <c r="AL43" s="155" cm="1">
        <f t="array" aca="1" ref="AL43" ca="1">IFERROR(_xlfn.XLOOKUP($A43, INDIRECT("'" &amp; AL$3 &amp; "'!A:A"), INDIRECT("'" &amp; AL$3 &amp; "'!B:B")),0)</f>
        <v>3585.9720000000002</v>
      </c>
      <c r="AM43" s="157" cm="1">
        <f t="array" aca="1" ref="AM43" ca="1">IFERROR(_xlfn.XLOOKUP($A43, INDIRECT("'" &amp; AM$3 &amp; "'!A:A"), INDIRECT("'" &amp; AM$3 &amp; "'!B:B")),0)</f>
        <v>4555</v>
      </c>
    </row>
    <row r="44" spans="1:39" x14ac:dyDescent="0.25">
      <c r="A44" s="225" t="s">
        <v>190</v>
      </c>
      <c r="B44" s="157" cm="1">
        <f t="array" aca="1" ref="B44" ca="1">IFERROR(_xlfn.XLOOKUP($A44, INDIRECT("'" &amp; B$3 &amp; "'!A:A"), INDIRECT("'" &amp; B$3 &amp; "'!B:B")),0)</f>
        <v>5840.6</v>
      </c>
      <c r="C44" s="157" cm="1">
        <f t="array" aca="1" ref="C44" ca="1">IFERROR(_xlfn.XLOOKUP($A44, INDIRECT("'" &amp; C$3 &amp; "'!A:A"), INDIRECT("'" &amp; C$3 &amp; "'!B:B")),0)</f>
        <v>5613.79</v>
      </c>
      <c r="D44" s="157" cm="1">
        <f t="array" aca="1" ref="D44" ca="1">IFERROR(_xlfn.XLOOKUP($A44, INDIRECT("'" &amp; D$3 &amp; "'!A:A"), INDIRECT("'" &amp; D$3 &amp; "'!B:B")),0)</f>
        <v>5788.54</v>
      </c>
      <c r="E44" s="157" cm="1">
        <f t="array" aca="1" ref="E44" ca="1">IFERROR(_xlfn.XLOOKUP($A44, INDIRECT("'" &amp; E$3 &amp; "'!A:A"), INDIRECT("'" &amp; E$3 &amp; "'!B:B")),0)</f>
        <v>5080.17</v>
      </c>
      <c r="F44" s="157" cm="1">
        <f t="array" aca="1" ref="F44" ca="1">IFERROR(_xlfn.XLOOKUP($A44, INDIRECT("'" &amp; F$3 &amp; "'!A:A"), INDIRECT("'" &amp; F$3 &amp; "'!B:B")),0)</f>
        <v>5704.65</v>
      </c>
      <c r="G44" s="157" cm="1">
        <f t="array" aca="1" ref="G44" ca="1">IFERROR(_xlfn.XLOOKUP($A44, INDIRECT("'" &amp; G$3 &amp; "'!A:A"), INDIRECT("'" &amp; G$3 &amp; "'!B:B")),0)</f>
        <v>4976.59</v>
      </c>
      <c r="H44" s="157" cm="1">
        <f t="array" aca="1" ref="H44" ca="1">IFERROR(_xlfn.XLOOKUP($A44, INDIRECT("'" &amp; H$3 &amp; "'!A:A"), INDIRECT("'" &amp; H$3 &amp; "'!B:B")),0)</f>
        <v>5682.59</v>
      </c>
      <c r="I44" s="157" cm="1">
        <f t="array" aca="1" ref="I44" ca="1">IFERROR(_xlfn.XLOOKUP($A44, INDIRECT("'" &amp; I$3 &amp; "'!A:A"), INDIRECT("'" &amp; I$3 &amp; "'!B:B")),0)</f>
        <v>4720</v>
      </c>
      <c r="J44" s="157" cm="1">
        <f t="array" aca="1" ref="J44" ca="1">IFERROR(_xlfn.XLOOKUP($A44, INDIRECT("'" &amp; J$3 &amp; "'!A:A"), INDIRECT("'" &amp; J$3 &amp; "'!B:B")),0)</f>
        <v>5174.96</v>
      </c>
      <c r="K44" s="157" cm="1">
        <f t="array" aca="1" ref="K44" ca="1">IFERROR(_xlfn.XLOOKUP($A44, INDIRECT("'" &amp; K$3 &amp; "'!A:A"), INDIRECT("'" &amp; K$3 &amp; "'!B:B")),0)</f>
        <v>4315</v>
      </c>
      <c r="L44" s="157" cm="1">
        <f t="array" aca="1" ref="L44" ca="1">IFERROR(_xlfn.XLOOKUP($A44, INDIRECT("'" &amp; L$3 &amp; "'!A:A"), INDIRECT("'" &amp; L$3 &amp; "'!B:B")),0)</f>
        <v>5980</v>
      </c>
      <c r="M44" s="157" cm="1">
        <f t="array" aca="1" ref="M44" ca="1">IFERROR(_xlfn.XLOOKUP($A44, INDIRECT("'" &amp; M$3 &amp; "'!A:A"), INDIRECT("'" &amp; M$3 &amp; "'!B:B")),0)</f>
        <v>6030.27</v>
      </c>
      <c r="N44" s="157" cm="1">
        <f t="array" aca="1" ref="N44" ca="1">IFERROR(_xlfn.XLOOKUP($A44, INDIRECT("'" &amp; N$3 &amp; "'!A:A"), INDIRECT("'" &amp; N$3 &amp; "'!B:B")),0)</f>
        <v>5414</v>
      </c>
      <c r="O44" s="157" cm="1">
        <f t="array" aca="1" ref="O44" ca="1">IFERROR(_xlfn.XLOOKUP($A44, INDIRECT("'" &amp; O$3 &amp; "'!A:A"), INDIRECT("'" &amp; O$3 &amp; "'!B:B")),0)</f>
        <v>4885</v>
      </c>
      <c r="P44" s="157" cm="1">
        <f t="array" aca="1" ref="P44" ca="1">IFERROR(_xlfn.XLOOKUP($A44, INDIRECT("'" &amp; P$3 &amp; "'!A:A"), INDIRECT("'" &amp; P$3 &amp; "'!B:B")),0)</f>
        <v>4175</v>
      </c>
      <c r="Q44" s="157" cm="1">
        <f t="array" aca="1" ref="Q44" ca="1">IFERROR(_xlfn.XLOOKUP($A44, INDIRECT("'" &amp; Q$3 &amp; "'!A:A"), INDIRECT("'" &amp; Q$3 &amp; "'!B:B")),0)</f>
        <v>5380</v>
      </c>
      <c r="R44" s="157" cm="1">
        <f t="array" aca="1" ref="R44" ca="1">IFERROR(_xlfn.XLOOKUP($A44, INDIRECT("'" &amp; R$3 &amp; "'!A:A"), INDIRECT("'" &amp; R$3 &amp; "'!B:B")),0)</f>
        <v>5425.1900000000005</v>
      </c>
      <c r="S44" s="157" cm="1">
        <f t="array" aca="1" ref="S44" ca="1">IFERROR(_xlfn.XLOOKUP($A44, INDIRECT("'" &amp; S$3 &amp; "'!A:A"), INDIRECT("'" &amp; S$3 &amp; "'!B:B")),0)</f>
        <v>4889.41</v>
      </c>
      <c r="T44" s="157" cm="1">
        <f t="array" aca="1" ref="T44" ca="1">IFERROR(_xlfn.XLOOKUP($A44, INDIRECT("'" &amp; T$3 &amp; "'!A:A"), INDIRECT("'" &amp; T$3 &amp; "'!B:B")),0)</f>
        <v>5200</v>
      </c>
      <c r="U44" s="157" cm="1">
        <f t="array" aca="1" ref="U44" ca="1">IFERROR(_xlfn.XLOOKUP($A44, INDIRECT("'" &amp; U$3 &amp; "'!A:A"), INDIRECT("'" &amp; U$3 &amp; "'!B:B")),0)</f>
        <v>3500.12</v>
      </c>
      <c r="V44" s="157" cm="1">
        <f t="array" aca="1" ref="V44" ca="1">IFERROR(_xlfn.XLOOKUP($A44, INDIRECT("'" &amp; V$3 &amp; "'!A:A"), INDIRECT("'" &amp; V$3 &amp; "'!B:B")),0)</f>
        <v>3628</v>
      </c>
      <c r="W44" s="157" cm="1">
        <f t="array" aca="1" ref="W44" ca="1">IFERROR(_xlfn.XLOOKUP($A44, INDIRECT("'" &amp; W$3 &amp; "'!A:A"), INDIRECT("'" &amp; W$3 &amp; "'!B:B")),0)</f>
        <v>4386</v>
      </c>
      <c r="X44" s="157" cm="1">
        <f t="array" aca="1" ref="X44" ca="1">IFERROR(_xlfn.XLOOKUP($A44, INDIRECT("'" &amp; X$3 &amp; "'!A:A"), INDIRECT("'" &amp; X$3 &amp; "'!B:B")),0)</f>
        <v>4971.04</v>
      </c>
      <c r="Y44" s="157" cm="1">
        <f t="array" aca="1" ref="Y44" ca="1">IFERROR(_xlfn.XLOOKUP($A44, INDIRECT("'" &amp; Y$3 &amp; "'!A:A"), INDIRECT("'" &amp; Y$3 &amp; "'!B:B")),0)</f>
        <v>3833</v>
      </c>
      <c r="Z44" s="157" cm="1">
        <f t="array" aca="1" ref="Z44" ca="1">IFERROR(_xlfn.XLOOKUP($A44, INDIRECT("'" &amp; Z$3 &amp; "'!A:A"), INDIRECT("'" &amp; Z$3 &amp; "'!B:B")),0)</f>
        <v>4362</v>
      </c>
      <c r="AA44" s="157" cm="1">
        <f t="array" aca="1" ref="AA44" ca="1">IFERROR(_xlfn.XLOOKUP($A44, INDIRECT("'" &amp; AA$3 &amp; "'!A:A"), INDIRECT("'" &amp; AA$3 &amp; "'!B:B")),0)</f>
        <v>4563</v>
      </c>
      <c r="AB44" s="157" cm="1">
        <f t="array" aca="1" ref="AB44" ca="1">IFERROR(_xlfn.XLOOKUP($A44, INDIRECT("'" &amp; AB$3 &amp; "'!A:A"), INDIRECT("'" &amp; AB$3 &amp; "'!B:B")),0)</f>
        <v>4718</v>
      </c>
      <c r="AC44" s="157" cm="1">
        <f t="array" aca="1" ref="AC44" ca="1">IFERROR(_xlfn.XLOOKUP($A44, INDIRECT("'" &amp; AC$3 &amp; "'!A:A"), INDIRECT("'" &amp; AC$3 &amp; "'!B:B")),0)</f>
        <v>4188</v>
      </c>
      <c r="AD44" s="157" cm="1">
        <f t="array" aca="1" ref="AD44" ca="1">IFERROR(_xlfn.XLOOKUP($A44, INDIRECT("'" &amp; AD$3 &amp; "'!A:A"), INDIRECT("'" &amp; AD$3 &amp; "'!B:B")),0)</f>
        <v>3925</v>
      </c>
      <c r="AE44" s="157" cm="1">
        <f t="array" aca="1" ref="AE44" ca="1">IFERROR(_xlfn.XLOOKUP($A44, INDIRECT("'" &amp; AE$3 &amp; "'!A:A"), INDIRECT("'" &amp; AE$3 &amp; "'!B:B")),0)</f>
        <v>4985.62</v>
      </c>
      <c r="AF44" s="157" cm="1">
        <f t="array" aca="1" ref="AF44" ca="1">IFERROR(_xlfn.XLOOKUP($A44, INDIRECT("'" &amp; AF$3 &amp; "'!A:A"), INDIRECT("'" &amp; AF$3 &amp; "'!B:B")),0)</f>
        <v>3884.3599999999997</v>
      </c>
      <c r="AG44" s="157" cm="1">
        <f t="array" aca="1" ref="AG44" ca="1">IFERROR(_xlfn.XLOOKUP($A44, INDIRECT("'" &amp; AG$3 &amp; "'!A:A"), INDIRECT("'" &amp; AG$3 &amp; "'!B:B")),0)</f>
        <v>5257.95</v>
      </c>
      <c r="AH44" s="157" cm="1">
        <f t="array" aca="1" ref="AH44" ca="1">IFERROR(_xlfn.XLOOKUP($A44, INDIRECT("'" &amp; AH$3 &amp; "'!A:A"), INDIRECT("'" &amp; AH$3 &amp; "'!B:B")),0)</f>
        <v>4008.42</v>
      </c>
      <c r="AI44" s="157" cm="1">
        <f t="array" aca="1" ref="AI44" ca="1">IFERROR(_xlfn.XLOOKUP($A44, INDIRECT("'" &amp; AI$3 &amp; "'!A:A"), INDIRECT("'" &amp; AI$3 &amp; "'!B:B")),0)</f>
        <v>5632.32</v>
      </c>
      <c r="AJ44" s="157">
        <f ca="1">C44+AM1</f>
        <v>9113.7900000000009</v>
      </c>
      <c r="AK44" s="156" cm="1">
        <f t="array" aca="1" ref="AK44" ca="1">IFERROR(_xlfn.XLOOKUP($A44, INDIRECT("'" &amp; AK$3 &amp; "'!A:A"), INDIRECT("'" &amp; AK$3 &amp; "'!B:B")),0)</f>
        <v>4776</v>
      </c>
      <c r="AL44" s="155" cm="1">
        <f t="array" aca="1" ref="AL44" ca="1">IFERROR(_xlfn.XLOOKUP($A44, INDIRECT("'" &amp; AL$3 &amp; "'!A:A"), INDIRECT("'" &amp; AL$3 &amp; "'!B:B")),0)</f>
        <v>6516.1303199999993</v>
      </c>
      <c r="AM44" s="157" cm="1">
        <f t="array" aca="1" ref="AM44" ca="1">IFERROR(_xlfn.XLOOKUP($A44, INDIRECT("'" &amp; AM$3 &amp; "'!A:A"), INDIRECT("'" &amp; AM$3 &amp; "'!B:B")),0)</f>
        <v>6305.54</v>
      </c>
    </row>
    <row r="45" spans="1:39" x14ac:dyDescent="0.25">
      <c r="A45" s="225" t="s">
        <v>191</v>
      </c>
      <c r="B45" s="157" cm="1">
        <f t="array" aca="1" ref="B45" ca="1">IFERROR(_xlfn.XLOOKUP($A45, INDIRECT("'" &amp; B$3 &amp; "'!A:A"), INDIRECT("'" &amp; B$3 &amp; "'!B:B")),0)</f>
        <v>0</v>
      </c>
      <c r="C45" s="157" cm="1">
        <f t="array" aca="1" ref="C45" ca="1">IFERROR(_xlfn.XLOOKUP($A45, INDIRECT("'" &amp; C$3 &amp; "'!A:A"), INDIRECT("'" &amp; C$3 &amp; "'!B:B")),0)</f>
        <v>0</v>
      </c>
      <c r="D45" s="157" cm="1">
        <f t="array" aca="1" ref="D45" ca="1">IFERROR(_xlfn.XLOOKUP($A45, INDIRECT("'" &amp; D$3 &amp; "'!A:A"), INDIRECT("'" &amp; D$3 &amp; "'!B:B")),0)</f>
        <v>0</v>
      </c>
      <c r="E45" s="157" cm="1">
        <f t="array" aca="1" ref="E45" ca="1">IFERROR(_xlfn.XLOOKUP($A45, INDIRECT("'" &amp; E$3 &amp; "'!A:A"), INDIRECT("'" &amp; E$3 &amp; "'!B:B")),0)</f>
        <v>0</v>
      </c>
      <c r="F45" s="157" cm="1">
        <f t="array" aca="1" ref="F45" ca="1">IFERROR(_xlfn.XLOOKUP($A45, INDIRECT("'" &amp; F$3 &amp; "'!A:A"), INDIRECT("'" &amp; F$3 &amp; "'!B:B")),0)</f>
        <v>0</v>
      </c>
      <c r="G45" s="157" cm="1">
        <f t="array" aca="1" ref="G45" ca="1">IFERROR(_xlfn.XLOOKUP($A45, INDIRECT("'" &amp; G$3 &amp; "'!A:A"), INDIRECT("'" &amp; G$3 &amp; "'!B:B")),0)</f>
        <v>0</v>
      </c>
      <c r="H45" s="157" cm="1">
        <f t="array" aca="1" ref="H45" ca="1">IFERROR(_xlfn.XLOOKUP($A45, INDIRECT("'" &amp; H$3 &amp; "'!A:A"), INDIRECT("'" &amp; H$3 &amp; "'!B:B")),0)</f>
        <v>0</v>
      </c>
      <c r="I45" s="157" cm="1">
        <f t="array" aca="1" ref="I45" ca="1">IFERROR(_xlfn.XLOOKUP($A45, INDIRECT("'" &amp; I$3 &amp; "'!A:A"), INDIRECT("'" &amp; I$3 &amp; "'!B:B")),0)</f>
        <v>0</v>
      </c>
      <c r="J45" s="157" cm="1">
        <f t="array" aca="1" ref="J45" ca="1">IFERROR(_xlfn.XLOOKUP($A45, INDIRECT("'" &amp; J$3 &amp; "'!A:A"), INDIRECT("'" &amp; J$3 &amp; "'!B:B")),0)</f>
        <v>0</v>
      </c>
      <c r="K45" s="157" cm="1">
        <f t="array" aca="1" ref="K45" ca="1">IFERROR(_xlfn.XLOOKUP($A45, INDIRECT("'" &amp; K$3 &amp; "'!A:A"), INDIRECT("'" &amp; K$3 &amp; "'!B:B")),0)</f>
        <v>0</v>
      </c>
      <c r="L45" s="157" cm="1">
        <f t="array" aca="1" ref="L45" ca="1">IFERROR(_xlfn.XLOOKUP($A45, INDIRECT("'" &amp; L$3 &amp; "'!A:A"), INDIRECT("'" &amp; L$3 &amp; "'!B:B")),0)</f>
        <v>0</v>
      </c>
      <c r="M45" s="157" cm="1">
        <f t="array" aca="1" ref="M45" ca="1">IFERROR(_xlfn.XLOOKUP($A45, INDIRECT("'" &amp; M$3 &amp; "'!A:A"), INDIRECT("'" &amp; M$3 &amp; "'!B:B")),0)</f>
        <v>0</v>
      </c>
      <c r="N45" s="157" cm="1">
        <f t="array" aca="1" ref="N45" ca="1">IFERROR(_xlfn.XLOOKUP($A45, INDIRECT("'" &amp; N$3 &amp; "'!A:A"), INDIRECT("'" &amp; N$3 &amp; "'!B:B")),0)</f>
        <v>0</v>
      </c>
      <c r="O45" s="157" cm="1">
        <f t="array" aca="1" ref="O45" ca="1">IFERROR(_xlfn.XLOOKUP($A45, INDIRECT("'" &amp; O$3 &amp; "'!A:A"), INDIRECT("'" &amp; O$3 &amp; "'!B:B")),0)</f>
        <v>0</v>
      </c>
      <c r="P45" s="157" cm="1">
        <f t="array" aca="1" ref="P45" ca="1">IFERROR(_xlfn.XLOOKUP($A45, INDIRECT("'" &amp; P$3 &amp; "'!A:A"), INDIRECT("'" &amp; P$3 &amp; "'!B:B")),0)</f>
        <v>0</v>
      </c>
      <c r="Q45" s="157" cm="1">
        <f t="array" aca="1" ref="Q45" ca="1">IFERROR(_xlfn.XLOOKUP($A45, INDIRECT("'" &amp; Q$3 &amp; "'!A:A"), INDIRECT("'" &amp; Q$3 &amp; "'!B:B")),0)</f>
        <v>0</v>
      </c>
      <c r="R45" s="157" cm="1">
        <f t="array" aca="1" ref="R45" ca="1">IFERROR(_xlfn.XLOOKUP($A45, INDIRECT("'" &amp; R$3 &amp; "'!A:A"), INDIRECT("'" &amp; R$3 &amp; "'!B:B")),0)</f>
        <v>0</v>
      </c>
      <c r="S45" s="157" cm="1">
        <f t="array" aca="1" ref="S45" ca="1">IFERROR(_xlfn.XLOOKUP($A45, INDIRECT("'" &amp; S$3 &amp; "'!A:A"), INDIRECT("'" &amp; S$3 &amp; "'!B:B")),0)</f>
        <v>0</v>
      </c>
      <c r="T45" s="157" cm="1">
        <f t="array" aca="1" ref="T45" ca="1">IFERROR(_xlfn.XLOOKUP($A45, INDIRECT("'" &amp; T$3 &amp; "'!A:A"), INDIRECT("'" &amp; T$3 &amp; "'!B:B")),0)</f>
        <v>0</v>
      </c>
      <c r="U45" s="157" cm="1">
        <f t="array" aca="1" ref="U45" ca="1">IFERROR(_xlfn.XLOOKUP($A45, INDIRECT("'" &amp; U$3 &amp; "'!A:A"), INDIRECT("'" &amp; U$3 &amp; "'!B:B")),0)</f>
        <v>0</v>
      </c>
      <c r="V45" s="157" cm="1">
        <f t="array" aca="1" ref="V45" ca="1">IFERROR(_xlfn.XLOOKUP($A45, INDIRECT("'" &amp; V$3 &amp; "'!A:A"), INDIRECT("'" &amp; V$3 &amp; "'!B:B")),0)</f>
        <v>0</v>
      </c>
      <c r="W45" s="157" cm="1">
        <f t="array" aca="1" ref="W45" ca="1">IFERROR(_xlfn.XLOOKUP($A45, INDIRECT("'" &amp; W$3 &amp; "'!A:A"), INDIRECT("'" &amp; W$3 &amp; "'!B:B")),0)</f>
        <v>0</v>
      </c>
      <c r="X45" s="157" cm="1">
        <f t="array" aca="1" ref="X45" ca="1">IFERROR(_xlfn.XLOOKUP($A45, INDIRECT("'" &amp; X$3 &amp; "'!A:A"), INDIRECT("'" &amp; X$3 &amp; "'!B:B")),0)</f>
        <v>0</v>
      </c>
      <c r="Y45" s="157" cm="1">
        <f t="array" aca="1" ref="Y45" ca="1">IFERROR(_xlfn.XLOOKUP($A45, INDIRECT("'" &amp; Y$3 &amp; "'!A:A"), INDIRECT("'" &amp; Y$3 &amp; "'!B:B")),0)</f>
        <v>0</v>
      </c>
      <c r="Z45" s="157" cm="1">
        <f t="array" aca="1" ref="Z45" ca="1">IFERROR(_xlfn.XLOOKUP($A45, INDIRECT("'" &amp; Z$3 &amp; "'!A:A"), INDIRECT("'" &amp; Z$3 &amp; "'!B:B")),0)</f>
        <v>0</v>
      </c>
      <c r="AA45" s="157" cm="1">
        <f t="array" aca="1" ref="AA45" ca="1">IFERROR(_xlfn.XLOOKUP($A45, INDIRECT("'" &amp; AA$3 &amp; "'!A:A"), INDIRECT("'" &amp; AA$3 &amp; "'!B:B")),0)</f>
        <v>0</v>
      </c>
      <c r="AB45" s="157" cm="1">
        <f t="array" aca="1" ref="AB45" ca="1">IFERROR(_xlfn.XLOOKUP($A45, INDIRECT("'" &amp; AB$3 &amp; "'!A:A"), INDIRECT("'" &amp; AB$3 &amp; "'!B:B")),0)</f>
        <v>0</v>
      </c>
      <c r="AC45" s="157" cm="1">
        <f t="array" aca="1" ref="AC45" ca="1">IFERROR(_xlfn.XLOOKUP($A45, INDIRECT("'" &amp; AC$3 &amp; "'!A:A"), INDIRECT("'" &amp; AC$3 &amp; "'!B:B")),0)</f>
        <v>0</v>
      </c>
      <c r="AD45" s="157" cm="1">
        <f t="array" aca="1" ref="AD45" ca="1">IFERROR(_xlfn.XLOOKUP($A45, INDIRECT("'" &amp; AD$3 &amp; "'!A:A"), INDIRECT("'" &amp; AD$3 &amp; "'!B:B")),0)</f>
        <v>0</v>
      </c>
      <c r="AE45" s="157" cm="1">
        <f t="array" aca="1" ref="AE45" ca="1">IFERROR(_xlfn.XLOOKUP($A45, INDIRECT("'" &amp; AE$3 &amp; "'!A:A"), INDIRECT("'" &amp; AE$3 &amp; "'!B:B")),0)</f>
        <v>0</v>
      </c>
      <c r="AF45" s="157" cm="1">
        <f t="array" aca="1" ref="AF45" ca="1">IFERROR(_xlfn.XLOOKUP($A45, INDIRECT("'" &amp; AF$3 &amp; "'!A:A"), INDIRECT("'" &amp; AF$3 &amp; "'!B:B")),0)</f>
        <v>0</v>
      </c>
      <c r="AG45" s="157" cm="1">
        <f t="array" aca="1" ref="AG45" ca="1">IFERROR(_xlfn.XLOOKUP($A45, INDIRECT("'" &amp; AG$3 &amp; "'!A:A"), INDIRECT("'" &amp; AG$3 &amp; "'!B:B")),0)</f>
        <v>0</v>
      </c>
      <c r="AH45" s="157" cm="1">
        <f t="array" aca="1" ref="AH45" ca="1">IFERROR(_xlfn.XLOOKUP($A45, INDIRECT("'" &amp; AH$3 &amp; "'!A:A"), INDIRECT("'" &amp; AH$3 &amp; "'!B:B")),0)</f>
        <v>0</v>
      </c>
      <c r="AI45" s="157" cm="1">
        <f t="array" aca="1" ref="AI45" ca="1">IFERROR(_xlfn.XLOOKUP($A45, INDIRECT("'" &amp; AI$3 &amp; "'!A:A"), INDIRECT("'" &amp; AI$3 &amp; "'!B:B")),0)</f>
        <v>0</v>
      </c>
      <c r="AJ45" s="157">
        <f t="shared" ref="AJ45:AJ57" ca="1" si="2">C45</f>
        <v>0</v>
      </c>
      <c r="AK45" s="156" cm="1">
        <f t="array" aca="1" ref="AK45" ca="1">IFERROR(_xlfn.XLOOKUP($A45, INDIRECT("'" &amp; AK$3 &amp; "'!A:A"), INDIRECT("'" &amp; AK$3 &amp; "'!B:B")),0)</f>
        <v>2630</v>
      </c>
      <c r="AL45" s="155" cm="1">
        <f t="array" aca="1" ref="AL45" ca="1">IFERROR(_xlfn.XLOOKUP($A45, INDIRECT("'" &amp; AL$3 &amp; "'!A:A"), INDIRECT("'" &amp; AL$3 &amp; "'!B:B")),0)</f>
        <v>453.00333704115684</v>
      </c>
      <c r="AM45" s="157" cm="1">
        <f t="array" aca="1" ref="AM45" ca="1">IFERROR(_xlfn.XLOOKUP($A45, INDIRECT("'" &amp; AM$3 &amp; "'!A:A"), INDIRECT("'" &amp; AM$3 &amp; "'!B:B")),0)</f>
        <v>1956.5</v>
      </c>
    </row>
    <row r="46" spans="1:39" x14ac:dyDescent="0.25">
      <c r="A46" s="225" t="s">
        <v>192</v>
      </c>
      <c r="B46" s="157" cm="1">
        <f t="array" aca="1" ref="B46" ca="1">IFERROR(_xlfn.XLOOKUP($A46, INDIRECT("'" &amp; B$3 &amp; "'!A:A"), INDIRECT("'" &amp; B$3 &amp; "'!B:B")),0)</f>
        <v>652.11</v>
      </c>
      <c r="C46" s="157" cm="1">
        <f t="array" aca="1" ref="C46" ca="1">IFERROR(_xlfn.XLOOKUP($A46, INDIRECT("'" &amp; C$3 &amp; "'!A:A"), INDIRECT("'" &amp; C$3 &amp; "'!B:B")),0)</f>
        <v>731.35</v>
      </c>
      <c r="D46" s="157" cm="1">
        <f t="array" aca="1" ref="D46" ca="1">IFERROR(_xlfn.XLOOKUP($A46, INDIRECT("'" &amp; D$3 &amp; "'!A:A"), INDIRECT("'" &amp; D$3 &amp; "'!B:B")),0)</f>
        <v>540.12</v>
      </c>
      <c r="E46" s="157" cm="1">
        <f t="array" aca="1" ref="E46" ca="1">IFERROR(_xlfn.XLOOKUP($A46, INDIRECT("'" &amp; E$3 &amp; "'!A:A"), INDIRECT("'" &amp; E$3 &amp; "'!B:B")),0)</f>
        <v>589.64</v>
      </c>
      <c r="F46" s="157" cm="1">
        <f t="array" aca="1" ref="F46" ca="1">IFERROR(_xlfn.XLOOKUP($A46, INDIRECT("'" &amp; F$3 &amp; "'!A:A"), INDIRECT("'" &amp; F$3 &amp; "'!B:B")),0)</f>
        <v>626.34</v>
      </c>
      <c r="G46" s="157" cm="1">
        <f t="array" aca="1" ref="G46" ca="1">IFERROR(_xlfn.XLOOKUP($A46, INDIRECT("'" &amp; G$3 &amp; "'!A:A"), INDIRECT("'" &amp; G$3 &amp; "'!B:B")),0)</f>
        <v>656.54</v>
      </c>
      <c r="H46" s="157" cm="1">
        <f t="array" aca="1" ref="H46" ca="1">IFERROR(_xlfn.XLOOKUP($A46, INDIRECT("'" &amp; H$3 &amp; "'!A:A"), INDIRECT("'" &amp; H$3 &amp; "'!B:B")),0)</f>
        <v>624.04</v>
      </c>
      <c r="I46" s="157" cm="1">
        <f t="array" aca="1" ref="I46" ca="1">IFERROR(_xlfn.XLOOKUP($A46, INDIRECT("'" &amp; I$3 &amp; "'!A:A"), INDIRECT("'" &amp; I$3 &amp; "'!B:B")),0)</f>
        <v>614.82000000000005</v>
      </c>
      <c r="J46" s="157" cm="1">
        <f t="array" aca="1" ref="J46" ca="1">IFERROR(_xlfn.XLOOKUP($A46, INDIRECT("'" &amp; J$3 &amp; "'!A:A"), INDIRECT("'" &amp; J$3 &amp; "'!B:B")),0)</f>
        <v>689.11</v>
      </c>
      <c r="K46" s="157" cm="1">
        <f t="array" aca="1" ref="K46" ca="1">IFERROR(_xlfn.XLOOKUP($A46, INDIRECT("'" &amp; K$3 &amp; "'!A:A"), INDIRECT("'" &amp; K$3 &amp; "'!B:B")),0)</f>
        <v>482.16</v>
      </c>
      <c r="L46" s="157" cm="1">
        <f t="array" aca="1" ref="L46" ca="1">IFERROR(_xlfn.XLOOKUP($A46, INDIRECT("'" &amp; L$3 &amp; "'!A:A"), INDIRECT("'" &amp; L$3 &amp; "'!B:B")),0)</f>
        <v>591.11</v>
      </c>
      <c r="M46" s="157" cm="1">
        <f t="array" aca="1" ref="M46" ca="1">IFERROR(_xlfn.XLOOKUP($A46, INDIRECT("'" &amp; M$3 &amp; "'!A:A"), INDIRECT("'" &amp; M$3 &amp; "'!B:B")),0)</f>
        <v>754.88</v>
      </c>
      <c r="N46" s="157" cm="1">
        <f t="array" aca="1" ref="N46" ca="1">IFERROR(_xlfn.XLOOKUP($A46, INDIRECT("'" &amp; N$3 &amp; "'!A:A"), INDIRECT("'" &amp; N$3 &amp; "'!B:B")),0)</f>
        <v>520.82000000000005</v>
      </c>
      <c r="O46" s="157" cm="1">
        <f t="array" aca="1" ref="O46" ca="1">IFERROR(_xlfn.XLOOKUP($A46, INDIRECT("'" &amp; O$3 &amp; "'!A:A"), INDIRECT("'" &amp; O$3 &amp; "'!B:B")),0)</f>
        <v>446.08</v>
      </c>
      <c r="P46" s="157" cm="1">
        <f t="array" aca="1" ref="P46" ca="1">IFERROR(_xlfn.XLOOKUP($A46, INDIRECT("'" &amp; P$3 &amp; "'!A:A"), INDIRECT("'" &amp; P$3 &amp; "'!B:B")),0)</f>
        <v>411.73</v>
      </c>
      <c r="Q46" s="157" cm="1">
        <f t="array" aca="1" ref="Q46" ca="1">IFERROR(_xlfn.XLOOKUP($A46, INDIRECT("'" &amp; Q$3 &amp; "'!A:A"), INDIRECT("'" &amp; Q$3 &amp; "'!B:B")),0)</f>
        <v>652.30999999999995</v>
      </c>
      <c r="R46" s="157" cm="1">
        <f t="array" aca="1" ref="R46" ca="1">IFERROR(_xlfn.XLOOKUP($A46, INDIRECT("'" &amp; R$3 &amp; "'!A:A"), INDIRECT("'" &amp; R$3 &amp; "'!B:B")),0)</f>
        <v>633.08000000000004</v>
      </c>
      <c r="S46" s="157" cm="1">
        <f t="array" aca="1" ref="S46" ca="1">IFERROR(_xlfn.XLOOKUP($A46, INDIRECT("'" &amp; S$3 &amp; "'!A:A"), INDIRECT("'" &amp; S$3 &amp; "'!B:B")),0)</f>
        <v>598.21</v>
      </c>
      <c r="T46" s="157" cm="1">
        <f t="array" aca="1" ref="T46" ca="1">IFERROR(_xlfn.XLOOKUP($A46, INDIRECT("'" &amp; T$3 &amp; "'!A:A"), INDIRECT("'" &amp; T$3 &amp; "'!B:B")),0)</f>
        <v>726.81</v>
      </c>
      <c r="U46" s="157" cm="1">
        <f t="array" aca="1" ref="U46" ca="1">IFERROR(_xlfn.XLOOKUP($A46, INDIRECT("'" &amp; U$3 &amp; "'!A:A"), INDIRECT("'" &amp; U$3 &amp; "'!B:B")),0)</f>
        <v>494.92</v>
      </c>
      <c r="V46" s="157" cm="1">
        <f t="array" aca="1" ref="V46" ca="1">IFERROR(_xlfn.XLOOKUP($A46, INDIRECT("'" &amp; V$3 &amp; "'!A:A"), INDIRECT("'" &amp; V$3 &amp; "'!B:B")),0)</f>
        <v>502.19</v>
      </c>
      <c r="W46" s="157" cm="1">
        <f t="array" aca="1" ref="W46" ca="1">IFERROR(_xlfn.XLOOKUP($A46, INDIRECT("'" &amp; W$3 &amp; "'!A:A"), INDIRECT("'" &amp; W$3 &amp; "'!B:B")),0)</f>
        <v>759.7</v>
      </c>
      <c r="X46" s="157" cm="1">
        <f t="array" aca="1" ref="X46" ca="1">IFERROR(_xlfn.XLOOKUP($A46, INDIRECT("'" &amp; X$3 &amp; "'!A:A"), INDIRECT("'" &amp; X$3 &amp; "'!B:B")),0)</f>
        <v>614.70000000000005</v>
      </c>
      <c r="Y46" s="157" cm="1">
        <f t="array" aca="1" ref="Y46" ca="1">IFERROR(_xlfn.XLOOKUP($A46, INDIRECT("'" &amp; Y$3 &amp; "'!A:A"), INDIRECT("'" &amp; Y$3 &amp; "'!B:B")),0)</f>
        <v>703.59</v>
      </c>
      <c r="Z46" s="157" cm="1">
        <f t="array" aca="1" ref="Z46" ca="1">IFERROR(_xlfn.XLOOKUP($A46, INDIRECT("'" &amp; Z$3 &amp; "'!A:A"), INDIRECT("'" &amp; Z$3 &amp; "'!B:B")),0)</f>
        <v>581.79</v>
      </c>
      <c r="AA46" s="157" cm="1">
        <f t="array" aca="1" ref="AA46" ca="1">IFERROR(_xlfn.XLOOKUP($A46, INDIRECT("'" &amp; AA$3 &amp; "'!A:A"), INDIRECT("'" &amp; AA$3 &amp; "'!B:B")),0)</f>
        <v>633.4</v>
      </c>
      <c r="AB46" s="157" cm="1">
        <f t="array" aca="1" ref="AB46" ca="1">IFERROR(_xlfn.XLOOKUP($A46, INDIRECT("'" &amp; AB$3 &amp; "'!A:A"), INDIRECT("'" &amp; AB$3 &amp; "'!B:B")),0)</f>
        <v>642.98</v>
      </c>
      <c r="AC46" s="157" cm="1">
        <f t="array" aca="1" ref="AC46" ca="1">IFERROR(_xlfn.XLOOKUP($A46, INDIRECT("'" &amp; AC$3 &amp; "'!A:A"), INDIRECT("'" &amp; AC$3 &amp; "'!B:B")),0)</f>
        <v>671.01</v>
      </c>
      <c r="AD46" s="157" cm="1">
        <f t="array" aca="1" ref="AD46" ca="1">IFERROR(_xlfn.XLOOKUP($A46, INDIRECT("'" &amp; AD$3 &amp; "'!A:A"), INDIRECT("'" &amp; AD$3 &amp; "'!B:B")),0)</f>
        <v>626.5</v>
      </c>
      <c r="AE46" s="157" cm="1">
        <f t="array" aca="1" ref="AE46" ca="1">IFERROR(_xlfn.XLOOKUP($A46, INDIRECT("'" &amp; AE$3 &amp; "'!A:A"), INDIRECT("'" &amp; AE$3 &amp; "'!B:B")),0)</f>
        <v>616.91</v>
      </c>
      <c r="AF46" s="157" cm="1">
        <f t="array" aca="1" ref="AF46" ca="1">IFERROR(_xlfn.XLOOKUP($A46, INDIRECT("'" &amp; AF$3 &amp; "'!A:A"), INDIRECT("'" &amp; AF$3 &amp; "'!B:B")),0)</f>
        <v>672.34</v>
      </c>
      <c r="AG46" s="157" cm="1">
        <f t="array" aca="1" ref="AG46" ca="1">IFERROR(_xlfn.XLOOKUP($A46, INDIRECT("'" &amp; AG$3 &amp; "'!A:A"), INDIRECT("'" &amp; AG$3 &amp; "'!B:B")),0)</f>
        <v>774.42</v>
      </c>
      <c r="AH46" s="157" cm="1">
        <f t="array" aca="1" ref="AH46" ca="1">IFERROR(_xlfn.XLOOKUP($A46, INDIRECT("'" &amp; AH$3 &amp; "'!A:A"), INDIRECT("'" &amp; AH$3 &amp; "'!B:B")),0)</f>
        <v>625.36</v>
      </c>
      <c r="AI46" s="157" cm="1">
        <f t="array" aca="1" ref="AI46" ca="1">IFERROR(_xlfn.XLOOKUP($A46, INDIRECT("'" &amp; AI$3 &amp; "'!A:A"), INDIRECT("'" &amp; AI$3 &amp; "'!B:B")),0)</f>
        <v>635.85</v>
      </c>
      <c r="AJ46" s="157">
        <f t="shared" ca="1" si="2"/>
        <v>731.35</v>
      </c>
      <c r="AK46" s="156" cm="1">
        <f t="array" aca="1" ref="AK46" ca="1">IFERROR(_xlfn.XLOOKUP($A46, INDIRECT("'" &amp; AK$3 &amp; "'!A:A"), INDIRECT("'" &amp; AK$3 &amp; "'!B:B")),0)</f>
        <v>1483.32</v>
      </c>
      <c r="AL46" s="155" cm="1">
        <f t="array" aca="1" ref="AL46" ca="1">IFERROR(_xlfn.XLOOKUP($A46, INDIRECT("'" &amp; AL$3 &amp; "'!A:A"), INDIRECT("'" &amp; AL$3 &amp; "'!B:B")),0)</f>
        <v>1424.2347000000002</v>
      </c>
      <c r="AM46" s="157" cm="1">
        <f t="array" aca="1" ref="AM46" ca="1">IFERROR(_xlfn.XLOOKUP($A46, INDIRECT("'" &amp; AM$3 &amp; "'!A:A"), INDIRECT("'" &amp; AM$3 &amp; "'!B:B")),0)</f>
        <v>981.25</v>
      </c>
    </row>
    <row r="47" spans="1:39" x14ac:dyDescent="0.25">
      <c r="A47" s="225" t="s">
        <v>193</v>
      </c>
      <c r="B47" s="157" cm="1">
        <f t="array" aca="1" ref="B47" ca="1">IFERROR(_xlfn.XLOOKUP($A47, INDIRECT("'" &amp; B$3 &amp; "'!A:A"), INDIRECT("'" &amp; B$3 &amp; "'!B:B")),0)</f>
        <v>1616.06</v>
      </c>
      <c r="C47" s="157" cm="1">
        <f t="array" aca="1" ref="C47" ca="1">IFERROR(_xlfn.XLOOKUP($A47, INDIRECT("'" &amp; C$3 &amp; "'!A:A"), INDIRECT("'" &amp; C$3 &amp; "'!B:B")),0)</f>
        <v>1616.06</v>
      </c>
      <c r="D47" s="157" cm="1">
        <f t="array" aca="1" ref="D47" ca="1">IFERROR(_xlfn.XLOOKUP($A47, INDIRECT("'" &amp; D$3 &amp; "'!A:A"), INDIRECT("'" &amp; D$3 &amp; "'!B:B")),0)</f>
        <v>1616.06</v>
      </c>
      <c r="E47" s="157" cm="1">
        <f t="array" aca="1" ref="E47" ca="1">IFERROR(_xlfn.XLOOKUP($A47, INDIRECT("'" &amp; E$3 &amp; "'!A:A"), INDIRECT("'" &amp; E$3 &amp; "'!B:B")),0)</f>
        <v>1616.06</v>
      </c>
      <c r="F47" s="157" cm="1">
        <f t="array" aca="1" ref="F47" ca="1">IFERROR(_xlfn.XLOOKUP($A47, INDIRECT("'" &amp; F$3 &amp; "'!A:A"), INDIRECT("'" &amp; F$3 &amp; "'!B:B")),0)</f>
        <v>1616.06</v>
      </c>
      <c r="G47" s="157" cm="1">
        <f t="array" aca="1" ref="G47" ca="1">IFERROR(_xlfn.XLOOKUP($A47, INDIRECT("'" &amp; G$3 &amp; "'!A:A"), INDIRECT("'" &amp; G$3 &amp; "'!B:B")),0)</f>
        <v>1616.06</v>
      </c>
      <c r="H47" s="157" cm="1">
        <f t="array" aca="1" ref="H47" ca="1">IFERROR(_xlfn.XLOOKUP($A47, INDIRECT("'" &amp; H$3 &amp; "'!A:A"), INDIRECT("'" &amp; H$3 &amp; "'!B:B")),0)</f>
        <v>1616.06</v>
      </c>
      <c r="I47" s="157" cm="1">
        <f t="array" aca="1" ref="I47" ca="1">IFERROR(_xlfn.XLOOKUP($A47, INDIRECT("'" &amp; I$3 &amp; "'!A:A"), INDIRECT("'" &amp; I$3 &amp; "'!B:B")),0)</f>
        <v>1616.06</v>
      </c>
      <c r="J47" s="157" cm="1">
        <f t="array" aca="1" ref="J47" ca="1">IFERROR(_xlfn.XLOOKUP($A47, INDIRECT("'" &amp; J$3 &amp; "'!A:A"), INDIRECT("'" &amp; J$3 &amp; "'!B:B")),0)</f>
        <v>1616.06</v>
      </c>
      <c r="K47" s="157" cm="1">
        <f t="array" aca="1" ref="K47" ca="1">IFERROR(_xlfn.XLOOKUP($A47, INDIRECT("'" &amp; K$3 &amp; "'!A:A"), INDIRECT("'" &amp; K$3 &amp; "'!B:B")),0)</f>
        <v>1616.06</v>
      </c>
      <c r="L47" s="157" cm="1">
        <f t="array" aca="1" ref="L47" ca="1">IFERROR(_xlfn.XLOOKUP($A47, INDIRECT("'" &amp; L$3 &amp; "'!A:A"), INDIRECT("'" &amp; L$3 &amp; "'!B:B")),0)</f>
        <v>1616.06</v>
      </c>
      <c r="M47" s="157" cm="1">
        <f t="array" aca="1" ref="M47" ca="1">IFERROR(_xlfn.XLOOKUP($A47, INDIRECT("'" &amp; M$3 &amp; "'!A:A"), INDIRECT("'" &amp; M$3 &amp; "'!B:B")),0)</f>
        <v>1616.06</v>
      </c>
      <c r="N47" s="157" cm="1">
        <f t="array" aca="1" ref="N47" ca="1">IFERROR(_xlfn.XLOOKUP($A47, INDIRECT("'" &amp; N$3 &amp; "'!A:A"), INDIRECT("'" &amp; N$3 &amp; "'!B:B")),0)</f>
        <v>1616.06</v>
      </c>
      <c r="O47" s="157" cm="1">
        <f t="array" aca="1" ref="O47" ca="1">IFERROR(_xlfn.XLOOKUP($A47, INDIRECT("'" &amp; O$3 &amp; "'!A:A"), INDIRECT("'" &amp; O$3 &amp; "'!B:B")),0)</f>
        <v>1616.06</v>
      </c>
      <c r="P47" s="157" cm="1">
        <f t="array" aca="1" ref="P47" ca="1">IFERROR(_xlfn.XLOOKUP($A47, INDIRECT("'" &amp; P$3 &amp; "'!A:A"), INDIRECT("'" &amp; P$3 &amp; "'!B:B")),0)</f>
        <v>1616.06</v>
      </c>
      <c r="Q47" s="157" cm="1">
        <f t="array" aca="1" ref="Q47" ca="1">IFERROR(_xlfn.XLOOKUP($A47, INDIRECT("'" &amp; Q$3 &amp; "'!A:A"), INDIRECT("'" &amp; Q$3 &amp; "'!B:B")),0)</f>
        <v>1616.06</v>
      </c>
      <c r="R47" s="157" cm="1">
        <f t="array" aca="1" ref="R47" ca="1">IFERROR(_xlfn.XLOOKUP($A47, INDIRECT("'" &amp; R$3 &amp; "'!A:A"), INDIRECT("'" &amp; R$3 &amp; "'!B:B")),0)</f>
        <v>1616.06</v>
      </c>
      <c r="S47" s="157" cm="1">
        <f t="array" aca="1" ref="S47" ca="1">IFERROR(_xlfn.XLOOKUP($A47, INDIRECT("'" &amp; S$3 &amp; "'!A:A"), INDIRECT("'" &amp; S$3 &amp; "'!B:B")),0)</f>
        <v>1616.06</v>
      </c>
      <c r="T47" s="157" cm="1">
        <f t="array" aca="1" ref="T47" ca="1">IFERROR(_xlfn.XLOOKUP($A47, INDIRECT("'" &amp; T$3 &amp; "'!A:A"), INDIRECT("'" &amp; T$3 &amp; "'!B:B")),0)</f>
        <v>1616.06</v>
      </c>
      <c r="U47" s="157" cm="1">
        <f t="array" aca="1" ref="U47" ca="1">IFERROR(_xlfn.XLOOKUP($A47, INDIRECT("'" &amp; U$3 &amp; "'!A:A"), INDIRECT("'" &amp; U$3 &amp; "'!B:B")),0)</f>
        <v>1616.06</v>
      </c>
      <c r="V47" s="157" cm="1">
        <f t="array" aca="1" ref="V47" ca="1">IFERROR(_xlfn.XLOOKUP($A47, INDIRECT("'" &amp; V$3 &amp; "'!A:A"), INDIRECT("'" &amp; V$3 &amp; "'!B:B")),0)</f>
        <v>1616.06</v>
      </c>
      <c r="W47" s="157" cm="1">
        <f t="array" aca="1" ref="W47" ca="1">IFERROR(_xlfn.XLOOKUP($A47, INDIRECT("'" &amp; W$3 &amp; "'!A:A"), INDIRECT("'" &amp; W$3 &amp; "'!B:B")),0)</f>
        <v>1616.06</v>
      </c>
      <c r="X47" s="157" cm="1">
        <f t="array" aca="1" ref="X47" ca="1">IFERROR(_xlfn.XLOOKUP($A47, INDIRECT("'" &amp; X$3 &amp; "'!A:A"), INDIRECT("'" &amp; X$3 &amp; "'!B:B")),0)</f>
        <v>1616.06</v>
      </c>
      <c r="Y47" s="157" cm="1">
        <f t="array" aca="1" ref="Y47" ca="1">IFERROR(_xlfn.XLOOKUP($A47, INDIRECT("'" &amp; Y$3 &amp; "'!A:A"), INDIRECT("'" &amp; Y$3 &amp; "'!B:B")),0)</f>
        <v>1616.06</v>
      </c>
      <c r="Z47" s="157" cm="1">
        <f t="array" aca="1" ref="Z47" ca="1">IFERROR(_xlfn.XLOOKUP($A47, INDIRECT("'" &amp; Z$3 &amp; "'!A:A"), INDIRECT("'" &amp; Z$3 &amp; "'!B:B")),0)</f>
        <v>1616.06</v>
      </c>
      <c r="AA47" s="157" cm="1">
        <f t="array" aca="1" ref="AA47" ca="1">IFERROR(_xlfn.XLOOKUP($A47, INDIRECT("'" &amp; AA$3 &amp; "'!A:A"), INDIRECT("'" &amp; AA$3 &amp; "'!B:B")),0)</f>
        <v>1616.06</v>
      </c>
      <c r="AB47" s="157" cm="1">
        <f t="array" aca="1" ref="AB47" ca="1">IFERROR(_xlfn.XLOOKUP($A47, INDIRECT("'" &amp; AB$3 &amp; "'!A:A"), INDIRECT("'" &amp; AB$3 &amp; "'!B:B")),0)</f>
        <v>1616.06</v>
      </c>
      <c r="AC47" s="157" cm="1">
        <f t="array" aca="1" ref="AC47" ca="1">IFERROR(_xlfn.XLOOKUP($A47, INDIRECT("'" &amp; AC$3 &amp; "'!A:A"), INDIRECT("'" &amp; AC$3 &amp; "'!B:B")),0)</f>
        <v>1616.06</v>
      </c>
      <c r="AD47" s="157" cm="1">
        <f t="array" aca="1" ref="AD47" ca="1">IFERROR(_xlfn.XLOOKUP($A47, INDIRECT("'" &amp; AD$3 &amp; "'!A:A"), INDIRECT("'" &amp; AD$3 &amp; "'!B:B")),0)</f>
        <v>1616.06</v>
      </c>
      <c r="AE47" s="157" cm="1">
        <f t="array" aca="1" ref="AE47" ca="1">IFERROR(_xlfn.XLOOKUP($A47, INDIRECT("'" &amp; AE$3 &amp; "'!A:A"), INDIRECT("'" &amp; AE$3 &amp; "'!B:B")),0)</f>
        <v>1616.06</v>
      </c>
      <c r="AF47" s="157" cm="1">
        <f t="array" aca="1" ref="AF47" ca="1">IFERROR(_xlfn.XLOOKUP($A47, INDIRECT("'" &amp; AF$3 &amp; "'!A:A"), INDIRECT("'" &amp; AF$3 &amp; "'!B:B")),0)</f>
        <v>1616.06</v>
      </c>
      <c r="AG47" s="157" cm="1">
        <f t="array" aca="1" ref="AG47" ca="1">IFERROR(_xlfn.XLOOKUP($A47, INDIRECT("'" &amp; AG$3 &amp; "'!A:A"), INDIRECT("'" &amp; AG$3 &amp; "'!B:B")),0)</f>
        <v>1616.06</v>
      </c>
      <c r="AH47" s="157" cm="1">
        <f t="array" aca="1" ref="AH47" ca="1">IFERROR(_xlfn.XLOOKUP($A47, INDIRECT("'" &amp; AH$3 &amp; "'!A:A"), INDIRECT("'" &amp; AH$3 &amp; "'!B:B")),0)</f>
        <v>1616.06</v>
      </c>
      <c r="AI47" s="157" cm="1">
        <f t="array" aca="1" ref="AI47" ca="1">IFERROR(_xlfn.XLOOKUP($A47, INDIRECT("'" &amp; AI$3 &amp; "'!A:A"), INDIRECT("'" &amp; AI$3 &amp; "'!B:B")),0)</f>
        <v>1616.06</v>
      </c>
      <c r="AJ47" s="157">
        <f t="shared" ca="1" si="2"/>
        <v>1616.06</v>
      </c>
      <c r="AK47" s="156" cm="1">
        <f t="array" aca="1" ref="AK47" ca="1">IFERROR(_xlfn.XLOOKUP($A47, INDIRECT("'" &amp; AK$3 &amp; "'!A:A"), INDIRECT("'" &amp; AK$3 &amp; "'!B:B")),0)</f>
        <v>3583.88</v>
      </c>
      <c r="AL47" s="155" cm="1">
        <f t="array" aca="1" ref="AL47" ca="1">IFERROR(_xlfn.XLOOKUP($A47, INDIRECT("'" &amp; AL$3 &amp; "'!A:A"), INDIRECT("'" &amp; AL$3 &amp; "'!B:B")),0)</f>
        <v>1805.6379000000002</v>
      </c>
      <c r="AM47" s="157" cm="1">
        <f t="array" aca="1" ref="AM47" ca="1">IFERROR(_xlfn.XLOOKUP($A47, INDIRECT("'" &amp; AM$3 &amp; "'!A:A"), INDIRECT("'" &amp; AM$3 &amp; "'!B:B")),0)</f>
        <v>156.80000000000001</v>
      </c>
    </row>
    <row r="48" spans="1:39" x14ac:dyDescent="0.25">
      <c r="A48" s="225" t="s">
        <v>194</v>
      </c>
      <c r="B48" s="157" cm="1">
        <f t="array" aca="1" ref="B48" ca="1">IFERROR(_xlfn.XLOOKUP($A48, INDIRECT("'" &amp; B$3 &amp; "'!A:A"), INDIRECT("'" &amp; B$3 &amp; "'!B:B")),0)</f>
        <v>1658.63</v>
      </c>
      <c r="C48" s="157" cm="1">
        <f t="array" aca="1" ref="C48" ca="1">IFERROR(_xlfn.XLOOKUP($A48, INDIRECT("'" &amp; C$3 &amp; "'!A:A"), INDIRECT("'" &amp; C$3 &amp; "'!B:B")),0)</f>
        <v>1850.38</v>
      </c>
      <c r="D48" s="157" cm="1">
        <f t="array" aca="1" ref="D48" ca="1">IFERROR(_xlfn.XLOOKUP($A48, INDIRECT("'" &amp; D$3 &amp; "'!A:A"), INDIRECT("'" &amp; D$3 &amp; "'!B:B")),0)</f>
        <v>1398</v>
      </c>
      <c r="E48" s="157" cm="1">
        <f t="array" aca="1" ref="E48" ca="1">IFERROR(_xlfn.XLOOKUP($A48, INDIRECT("'" &amp; E$3 &amp; "'!A:A"), INDIRECT("'" &amp; E$3 &amp; "'!B:B")),0)</f>
        <v>1535.62</v>
      </c>
      <c r="F48" s="157" cm="1">
        <f t="array" aca="1" ref="F48" ca="1">IFERROR(_xlfn.XLOOKUP($A48, INDIRECT("'" &amp; F$3 &amp; "'!A:A"), INDIRECT("'" &amp; F$3 &amp; "'!B:B")),0)</f>
        <v>1956.88</v>
      </c>
      <c r="G48" s="157" cm="1">
        <f t="array" aca="1" ref="G48" ca="1">IFERROR(_xlfn.XLOOKUP($A48, INDIRECT("'" &amp; G$3 &amp; "'!A:A"), INDIRECT("'" &amp; G$3 &amp; "'!B:B")),0)</f>
        <v>1707.75</v>
      </c>
      <c r="H48" s="157" cm="1">
        <f t="array" aca="1" ref="H48" ca="1">IFERROR(_xlfn.XLOOKUP($A48, INDIRECT("'" &amp; H$3 &amp; "'!A:A"), INDIRECT("'" &amp; H$3 &amp; "'!B:B")),0)</f>
        <v>1899.5</v>
      </c>
      <c r="I48" s="157" cm="1">
        <f t="array" aca="1" ref="I48" ca="1">IFERROR(_xlfn.XLOOKUP($A48, INDIRECT("'" &amp; I$3 &amp; "'!A:A"), INDIRECT("'" &amp; I$3 &amp; "'!B:B")),0)</f>
        <v>2194.5</v>
      </c>
      <c r="J48" s="157" cm="1">
        <f t="array" aca="1" ref="J48" ca="1">IFERROR(_xlfn.XLOOKUP($A48, INDIRECT("'" &amp; J$3 &amp; "'!A:A"), INDIRECT("'" &amp; J$3 &amp; "'!B:B")),0)</f>
        <v>1899.5</v>
      </c>
      <c r="K48" s="157" cm="1">
        <f t="array" aca="1" ref="K48" ca="1">IFERROR(_xlfn.XLOOKUP($A48, INDIRECT("'" &amp; K$3 &amp; "'!A:A"), INDIRECT("'" &amp; K$3 &amp; "'!B:B")),0)</f>
        <v>1412.75</v>
      </c>
      <c r="L48" s="157" cm="1">
        <f t="array" aca="1" ref="L48" ca="1">IFERROR(_xlfn.XLOOKUP($A48, INDIRECT("'" &amp; L$3 &amp; "'!A:A"), INDIRECT("'" &amp; L$3 &amp; "'!B:B")),0)</f>
        <v>1619.25</v>
      </c>
      <c r="M48" s="157" cm="1">
        <f t="array" aca="1" ref="M48" ca="1">IFERROR(_xlfn.XLOOKUP($A48, INDIRECT("'" &amp; M$3 &amp; "'!A:A"), INDIRECT("'" &amp; M$3 &amp; "'!B:B")),0)</f>
        <v>2681.25</v>
      </c>
      <c r="N48" s="157" cm="1">
        <f t="array" aca="1" ref="N48" ca="1">IFERROR(_xlfn.XLOOKUP($A48, INDIRECT("'" &amp; N$3 &amp; "'!A:A"), INDIRECT("'" &amp; N$3 &amp; "'!B:B")),0)</f>
        <v>1786.37</v>
      </c>
      <c r="O48" s="157" cm="1">
        <f t="array" aca="1" ref="O48" ca="1">IFERROR(_xlfn.XLOOKUP($A48, INDIRECT("'" &amp; O$3 &amp; "'!A:A"), INDIRECT("'" &amp; O$3 &amp; "'!B:B")),0)</f>
        <v>1411.13</v>
      </c>
      <c r="P48" s="157" cm="1">
        <f t="array" aca="1" ref="P48" ca="1">IFERROR(_xlfn.XLOOKUP($A48, INDIRECT("'" &amp; P$3 &amp; "'!A:A"), INDIRECT("'" &amp; P$3 &amp; "'!B:B")),0)</f>
        <v>953.88</v>
      </c>
      <c r="Q48" s="157" cm="1">
        <f t="array" aca="1" ref="Q48" ca="1">IFERROR(_xlfn.XLOOKUP($A48, INDIRECT("'" &amp; Q$3 &amp; "'!A:A"), INDIRECT("'" &amp; Q$3 &amp; "'!B:B")),0)</f>
        <v>2110.87</v>
      </c>
      <c r="R48" s="157" cm="1">
        <f t="array" aca="1" ref="R48" ca="1">IFERROR(_xlfn.XLOOKUP($A48, INDIRECT("'" &amp; R$3 &amp; "'!A:A"), INDIRECT("'" &amp; R$3 &amp; "'!B:B")),0)</f>
        <v>1929</v>
      </c>
      <c r="S48" s="157" cm="1">
        <f t="array" aca="1" ref="S48" ca="1">IFERROR(_xlfn.XLOOKUP($A48, INDIRECT("'" &amp; S$3 &amp; "'!A:A"), INDIRECT("'" &amp; S$3 &amp; "'!B:B")),0)</f>
        <v>1579.87</v>
      </c>
      <c r="T48" s="157" cm="1">
        <f t="array" aca="1" ref="T48" ca="1">IFERROR(_xlfn.XLOOKUP($A48, INDIRECT("'" &amp; T$3 &amp; "'!A:A"), INDIRECT("'" &amp; T$3 &amp; "'!B:B")),0)</f>
        <v>1643.88</v>
      </c>
      <c r="U48" s="157" cm="1">
        <f t="array" aca="1" ref="U48" ca="1">IFERROR(_xlfn.XLOOKUP($A48, INDIRECT("'" &amp; U$3 &amp; "'!A:A"), INDIRECT("'" &amp; U$3 &amp; "'!B:B")),0)</f>
        <v>1422.63</v>
      </c>
      <c r="V48" s="157" cm="1">
        <f t="array" aca="1" ref="V48" ca="1">IFERROR(_xlfn.XLOOKUP($A48, INDIRECT("'" &amp; V$3 &amp; "'!A:A"), INDIRECT("'" &amp; V$3 &amp; "'!B:B")),0)</f>
        <v>1402.87</v>
      </c>
      <c r="W48" s="157" cm="1">
        <f t="array" aca="1" ref="W48" ca="1">IFERROR(_xlfn.XLOOKUP($A48, INDIRECT("'" &amp; W$3 &amp; "'!A:A"), INDIRECT("'" &amp; W$3 &amp; "'!B:B")),0)</f>
        <v>2283</v>
      </c>
      <c r="X48" s="157" cm="1">
        <f t="array" aca="1" ref="X48" ca="1">IFERROR(_xlfn.XLOOKUP($A48, INDIRECT("'" &amp; X$3 &amp; "'!A:A"), INDIRECT("'" &amp; X$3 &amp; "'!B:B")),0)</f>
        <v>1486.5</v>
      </c>
      <c r="Y48" s="157" cm="1">
        <f t="array" aca="1" ref="Y48" ca="1">IFERROR(_xlfn.XLOOKUP($A48, INDIRECT("'" &amp; Y$3 &amp; "'!A:A"), INDIRECT("'" &amp; Y$3 &amp; "'!B:B")),0)</f>
        <v>1678.25</v>
      </c>
      <c r="Z48" s="157" cm="1">
        <f t="array" aca="1" ref="Z48" ca="1">IFERROR(_xlfn.XLOOKUP($A48, INDIRECT("'" &amp; Z$3 &amp; "'!A:A"), INDIRECT("'" &amp; Z$3 &amp; "'!B:B")),0)</f>
        <v>1706</v>
      </c>
      <c r="AA48" s="157" cm="1">
        <f t="array" aca="1" ref="AA48" ca="1">IFERROR(_xlfn.XLOOKUP($A48, INDIRECT("'" &amp; AA$3 &amp; "'!A:A"), INDIRECT("'" &amp; AA$3 &amp; "'!B:B")),0)</f>
        <v>1737.25</v>
      </c>
      <c r="AB48" s="157" cm="1">
        <f t="array" aca="1" ref="AB48" ca="1">IFERROR(_xlfn.XLOOKUP($A48, INDIRECT("'" &amp; AB$3 &amp; "'!A:A"), INDIRECT("'" &amp; AB$3 &amp; "'!B:B")),0)</f>
        <v>1683</v>
      </c>
      <c r="AC48" s="157" cm="1">
        <f t="array" aca="1" ref="AC48" ca="1">IFERROR(_xlfn.XLOOKUP($A48, INDIRECT("'" &amp; AC$3 &amp; "'!A:A"), INDIRECT("'" &amp; AC$3 &amp; "'!B:B")),0)</f>
        <v>1432.37</v>
      </c>
      <c r="AD48" s="157" cm="1">
        <f t="array" aca="1" ref="AD48" ca="1">IFERROR(_xlfn.XLOOKUP($A48, INDIRECT("'" &amp; AD$3 &amp; "'!A:A"), INDIRECT("'" &amp; AD$3 &amp; "'!B:B")),0)</f>
        <v>1750</v>
      </c>
      <c r="AE48" s="157" cm="1">
        <f t="array" aca="1" ref="AE48" ca="1">IFERROR(_xlfn.XLOOKUP($A48, INDIRECT("'" &amp; AE$3 &amp; "'!A:A"), INDIRECT("'" &amp; AE$3 &amp; "'!B:B")),0)</f>
        <v>1742.12</v>
      </c>
      <c r="AF48" s="157" cm="1">
        <f t="array" aca="1" ref="AF48" ca="1">IFERROR(_xlfn.XLOOKUP($A48, INDIRECT("'" &amp; AF$3 &amp; "'!A:A"), INDIRECT("'" &amp; AF$3 &amp; "'!B:B")),0)</f>
        <v>1855.25</v>
      </c>
      <c r="AG48" s="157" cm="1">
        <f t="array" aca="1" ref="AG48" ca="1">IFERROR(_xlfn.XLOOKUP($A48, INDIRECT("'" &amp; AG$3 &amp; "'!A:A"), INDIRECT("'" &amp; AG$3 &amp; "'!B:B")),0)</f>
        <v>2145.38</v>
      </c>
      <c r="AH48" s="157" cm="1">
        <f t="array" aca="1" ref="AH48" ca="1">IFERROR(_xlfn.XLOOKUP($A48, INDIRECT("'" &amp; AH$3 &amp; "'!A:A"), INDIRECT("'" &amp; AH$3 &amp; "'!B:B")),0)</f>
        <v>1663.5</v>
      </c>
      <c r="AI48" s="157" cm="1">
        <f t="array" aca="1" ref="AI48" ca="1">IFERROR(_xlfn.XLOOKUP($A48, INDIRECT("'" &amp; AI$3 &amp; "'!A:A"), INDIRECT("'" &amp; AI$3 &amp; "'!B:B")),0)</f>
        <v>1637.25</v>
      </c>
      <c r="AJ48" s="157">
        <f t="shared" ca="1" si="2"/>
        <v>1850.38</v>
      </c>
      <c r="AK48" s="156" cm="1">
        <f t="array" aca="1" ref="AK48" ca="1">IFERROR(_xlfn.XLOOKUP($A48, INDIRECT("'" &amp; AK$3 &amp; "'!A:A"), INDIRECT("'" &amp; AK$3 &amp; "'!B:B")),0)</f>
        <v>0</v>
      </c>
      <c r="AL48" s="155" cm="1">
        <f t="array" aca="1" ref="AL48" ca="1">IFERROR(_xlfn.XLOOKUP($A48, INDIRECT("'" &amp; AL$3 &amp; "'!A:A"), INDIRECT("'" &amp; AL$3 &amp; "'!B:B")),0)</f>
        <v>0</v>
      </c>
      <c r="AM48" s="157" cm="1">
        <f t="array" aca="1" ref="AM48" ca="1">IFERROR(_xlfn.XLOOKUP($A48, INDIRECT("'" &amp; AM$3 &amp; "'!A:A"), INDIRECT("'" &amp; AM$3 &amp; "'!B:B")),0)</f>
        <v>1730.62</v>
      </c>
    </row>
    <row r="49" spans="1:39" x14ac:dyDescent="0.25">
      <c r="A49" s="225" t="s">
        <v>195</v>
      </c>
      <c r="B49" s="157" cm="1">
        <f t="array" aca="1" ref="B49" ca="1">IFERROR(_xlfn.XLOOKUP($A49, INDIRECT("'" &amp; B$3 &amp; "'!A:A"), INDIRECT("'" &amp; B$3 &amp; "'!B:B")),0)</f>
        <v>0</v>
      </c>
      <c r="C49" s="157" cm="1">
        <f t="array" aca="1" ref="C49" ca="1">IFERROR(_xlfn.XLOOKUP($A49, INDIRECT("'" &amp; C$3 &amp; "'!A:A"), INDIRECT("'" &amp; C$3 &amp; "'!B:B")),0)</f>
        <v>0</v>
      </c>
      <c r="D49" s="157" cm="1">
        <f t="array" aca="1" ref="D49" ca="1">IFERROR(_xlfn.XLOOKUP($A49, INDIRECT("'" &amp; D$3 &amp; "'!A:A"), INDIRECT("'" &amp; D$3 &amp; "'!B:B")),0)</f>
        <v>0</v>
      </c>
      <c r="E49" s="157" cm="1">
        <f t="array" aca="1" ref="E49" ca="1">IFERROR(_xlfn.XLOOKUP($A49, INDIRECT("'" &amp; E$3 &amp; "'!A:A"), INDIRECT("'" &amp; E$3 &amp; "'!B:B")),0)</f>
        <v>0</v>
      </c>
      <c r="F49" s="157" cm="1">
        <f t="array" aca="1" ref="F49" ca="1">IFERROR(_xlfn.XLOOKUP($A49, INDIRECT("'" &amp; F$3 &amp; "'!A:A"), INDIRECT("'" &amp; F$3 &amp; "'!B:B")),0)</f>
        <v>0</v>
      </c>
      <c r="G49" s="157" cm="1">
        <f t="array" aca="1" ref="G49" ca="1">IFERROR(_xlfn.XLOOKUP($A49, INDIRECT("'" &amp; G$3 &amp; "'!A:A"), INDIRECT("'" &amp; G$3 &amp; "'!B:B")),0)</f>
        <v>0</v>
      </c>
      <c r="H49" s="157" cm="1">
        <f t="array" aca="1" ref="H49" ca="1">IFERROR(_xlfn.XLOOKUP($A49, INDIRECT("'" &amp; H$3 &amp; "'!A:A"), INDIRECT("'" &amp; H$3 &amp; "'!B:B")),0)</f>
        <v>0</v>
      </c>
      <c r="I49" s="157" cm="1">
        <f t="array" aca="1" ref="I49" ca="1">IFERROR(_xlfn.XLOOKUP($A49, INDIRECT("'" &amp; I$3 &amp; "'!A:A"), INDIRECT("'" &amp; I$3 &amp; "'!B:B")),0)</f>
        <v>0</v>
      </c>
      <c r="J49" s="157" cm="1">
        <f t="array" aca="1" ref="J49" ca="1">IFERROR(_xlfn.XLOOKUP($A49, INDIRECT("'" &amp; J$3 &amp; "'!A:A"), INDIRECT("'" &amp; J$3 &amp; "'!B:B")),0)</f>
        <v>0</v>
      </c>
      <c r="K49" s="157" cm="1">
        <f t="array" aca="1" ref="K49" ca="1">IFERROR(_xlfn.XLOOKUP($A49, INDIRECT("'" &amp; K$3 &amp; "'!A:A"), INDIRECT("'" &amp; K$3 &amp; "'!B:B")),0)</f>
        <v>0</v>
      </c>
      <c r="L49" s="157" cm="1">
        <f t="array" aca="1" ref="L49" ca="1">IFERROR(_xlfn.XLOOKUP($A49, INDIRECT("'" &amp; L$3 &amp; "'!A:A"), INDIRECT("'" &amp; L$3 &amp; "'!B:B")),0)</f>
        <v>0</v>
      </c>
      <c r="M49" s="157" cm="1">
        <f t="array" aca="1" ref="M49" ca="1">IFERROR(_xlfn.XLOOKUP($A49, INDIRECT("'" &amp; M$3 &amp; "'!A:A"), INDIRECT("'" &amp; M$3 &amp; "'!B:B")),0)</f>
        <v>0</v>
      </c>
      <c r="N49" s="157" cm="1">
        <f t="array" aca="1" ref="N49" ca="1">IFERROR(_xlfn.XLOOKUP($A49, INDIRECT("'" &amp; N$3 &amp; "'!A:A"), INDIRECT("'" &amp; N$3 &amp; "'!B:B")),0)</f>
        <v>0</v>
      </c>
      <c r="O49" s="157" cm="1">
        <f t="array" aca="1" ref="O49" ca="1">IFERROR(_xlfn.XLOOKUP($A49, INDIRECT("'" &amp; O$3 &amp; "'!A:A"), INDIRECT("'" &amp; O$3 &amp; "'!B:B")),0)</f>
        <v>0</v>
      </c>
      <c r="P49" s="157" cm="1">
        <f t="array" aca="1" ref="P49" ca="1">IFERROR(_xlfn.XLOOKUP($A49, INDIRECT("'" &amp; P$3 &amp; "'!A:A"), INDIRECT("'" &amp; P$3 &amp; "'!B:B")),0)</f>
        <v>0</v>
      </c>
      <c r="Q49" s="157" cm="1">
        <f t="array" aca="1" ref="Q49" ca="1">IFERROR(_xlfn.XLOOKUP($A49, INDIRECT("'" &amp; Q$3 &amp; "'!A:A"), INDIRECT("'" &amp; Q$3 &amp; "'!B:B")),0)</f>
        <v>0</v>
      </c>
      <c r="R49" s="157" cm="1">
        <f t="array" aca="1" ref="R49" ca="1">IFERROR(_xlfn.XLOOKUP($A49, INDIRECT("'" &amp; R$3 &amp; "'!A:A"), INDIRECT("'" &amp; R$3 &amp; "'!B:B")),0)</f>
        <v>0</v>
      </c>
      <c r="S49" s="157" cm="1">
        <f t="array" aca="1" ref="S49" ca="1">IFERROR(_xlfn.XLOOKUP($A49, INDIRECT("'" &amp; S$3 &amp; "'!A:A"), INDIRECT("'" &amp; S$3 &amp; "'!B:B")),0)</f>
        <v>0</v>
      </c>
      <c r="T49" s="157" cm="1">
        <f t="array" aca="1" ref="T49" ca="1">IFERROR(_xlfn.XLOOKUP($A49, INDIRECT("'" &amp; T$3 &amp; "'!A:A"), INDIRECT("'" &amp; T$3 &amp; "'!B:B")),0)</f>
        <v>0</v>
      </c>
      <c r="U49" s="157" cm="1">
        <f t="array" aca="1" ref="U49" ca="1">IFERROR(_xlfn.XLOOKUP($A49, INDIRECT("'" &amp; U$3 &amp; "'!A:A"), INDIRECT("'" &amp; U$3 &amp; "'!B:B")),0)</f>
        <v>0</v>
      </c>
      <c r="V49" s="157" cm="1">
        <f t="array" aca="1" ref="V49" ca="1">IFERROR(_xlfn.XLOOKUP($A49, INDIRECT("'" &amp; V$3 &amp; "'!A:A"), INDIRECT("'" &amp; V$3 &amp; "'!B:B")),0)</f>
        <v>0</v>
      </c>
      <c r="W49" s="157" cm="1">
        <f t="array" aca="1" ref="W49" ca="1">IFERROR(_xlfn.XLOOKUP($A49, INDIRECT("'" &amp; W$3 &amp; "'!A:A"), INDIRECT("'" &amp; W$3 &amp; "'!B:B")),0)</f>
        <v>0</v>
      </c>
      <c r="X49" s="157" cm="1">
        <f t="array" aca="1" ref="X49" ca="1">IFERROR(_xlfn.XLOOKUP($A49, INDIRECT("'" &amp; X$3 &amp; "'!A:A"), INDIRECT("'" &amp; X$3 &amp; "'!B:B")),0)</f>
        <v>0</v>
      </c>
      <c r="Y49" s="157" cm="1">
        <f t="array" aca="1" ref="Y49" ca="1">IFERROR(_xlfn.XLOOKUP($A49, INDIRECT("'" &amp; Y$3 &amp; "'!A:A"), INDIRECT("'" &amp; Y$3 &amp; "'!B:B")),0)</f>
        <v>0</v>
      </c>
      <c r="Z49" s="157" cm="1">
        <f t="array" aca="1" ref="Z49" ca="1">IFERROR(_xlfn.XLOOKUP($A49, INDIRECT("'" &amp; Z$3 &amp; "'!A:A"), INDIRECT("'" &amp; Z$3 &amp; "'!B:B")),0)</f>
        <v>0</v>
      </c>
      <c r="AA49" s="157" cm="1">
        <f t="array" aca="1" ref="AA49" ca="1">IFERROR(_xlfn.XLOOKUP($A49, INDIRECT("'" &amp; AA$3 &amp; "'!A:A"), INDIRECT("'" &amp; AA$3 &amp; "'!B:B")),0)</f>
        <v>0</v>
      </c>
      <c r="AB49" s="157" cm="1">
        <f t="array" aca="1" ref="AB49" ca="1">IFERROR(_xlfn.XLOOKUP($A49, INDIRECT("'" &amp; AB$3 &amp; "'!A:A"), INDIRECT("'" &amp; AB$3 &amp; "'!B:B")),0)</f>
        <v>0</v>
      </c>
      <c r="AC49" s="157" cm="1">
        <f t="array" aca="1" ref="AC49" ca="1">IFERROR(_xlfn.XLOOKUP($A49, INDIRECT("'" &amp; AC$3 &amp; "'!A:A"), INDIRECT("'" &amp; AC$3 &amp; "'!B:B")),0)</f>
        <v>0</v>
      </c>
      <c r="AD49" s="157" cm="1">
        <f t="array" aca="1" ref="AD49" ca="1">IFERROR(_xlfn.XLOOKUP($A49, INDIRECT("'" &amp; AD$3 &amp; "'!A:A"), INDIRECT("'" &amp; AD$3 &amp; "'!B:B")),0)</f>
        <v>0</v>
      </c>
      <c r="AE49" s="157" cm="1">
        <f t="array" aca="1" ref="AE49" ca="1">IFERROR(_xlfn.XLOOKUP($A49, INDIRECT("'" &amp; AE$3 &amp; "'!A:A"), INDIRECT("'" &amp; AE$3 &amp; "'!B:B")),0)</f>
        <v>0</v>
      </c>
      <c r="AF49" s="157" cm="1">
        <f t="array" aca="1" ref="AF49" ca="1">IFERROR(_xlfn.XLOOKUP($A49, INDIRECT("'" &amp; AF$3 &amp; "'!A:A"), INDIRECT("'" &amp; AF$3 &amp; "'!B:B")),0)</f>
        <v>0</v>
      </c>
      <c r="AG49" s="157" cm="1">
        <f t="array" aca="1" ref="AG49" ca="1">IFERROR(_xlfn.XLOOKUP($A49, INDIRECT("'" &amp; AG$3 &amp; "'!A:A"), INDIRECT("'" &amp; AG$3 &amp; "'!B:B")),0)</f>
        <v>0</v>
      </c>
      <c r="AH49" s="157" cm="1">
        <f t="array" aca="1" ref="AH49" ca="1">IFERROR(_xlfn.XLOOKUP($A49, INDIRECT("'" &amp; AH$3 &amp; "'!A:A"), INDIRECT("'" &amp; AH$3 &amp; "'!B:B")),0)</f>
        <v>0</v>
      </c>
      <c r="AI49" s="157" cm="1">
        <f t="array" aca="1" ref="AI49" ca="1">IFERROR(_xlfn.XLOOKUP($A49, INDIRECT("'" &amp; AI$3 &amp; "'!A:A"), INDIRECT("'" &amp; AI$3 &amp; "'!B:B")),0)</f>
        <v>0</v>
      </c>
      <c r="AJ49" s="157">
        <f t="shared" ca="1" si="2"/>
        <v>0</v>
      </c>
      <c r="AK49" s="156" cm="1">
        <f t="array" aca="1" ref="AK49" ca="1">IFERROR(_xlfn.XLOOKUP($A49, INDIRECT("'" &amp; AK$3 &amp; "'!A:A"), INDIRECT("'" &amp; AK$3 &amp; "'!B:B")),0)</f>
        <v>0</v>
      </c>
      <c r="AL49" s="155" cm="1">
        <f t="array" aca="1" ref="AL49" ca="1">IFERROR(_xlfn.XLOOKUP($A49, INDIRECT("'" &amp; AL$3 &amp; "'!A:A"), INDIRECT("'" &amp; AL$3 &amp; "'!B:B")),0)</f>
        <v>0</v>
      </c>
      <c r="AM49" s="157" cm="1">
        <f t="array" aca="1" ref="AM49" ca="1">IFERROR(_xlfn.XLOOKUP($A49, INDIRECT("'" &amp; AM$3 &amp; "'!A:A"), INDIRECT("'" &amp; AM$3 &amp; "'!B:B")),0)</f>
        <v>0</v>
      </c>
    </row>
    <row r="50" spans="1:39" x14ac:dyDescent="0.25">
      <c r="A50" s="225" t="s">
        <v>196</v>
      </c>
      <c r="B50" s="157" cm="1">
        <f t="array" aca="1" ref="B50" ca="1">IFERROR(_xlfn.XLOOKUP($A50, INDIRECT("'" &amp; B$3 &amp; "'!A:A"), INDIRECT("'" &amp; B$3 &amp; "'!B:B")),0)</f>
        <v>5061.42</v>
      </c>
      <c r="C50" s="157" cm="1">
        <f t="array" aca="1" ref="C50" ca="1">IFERROR(_xlfn.XLOOKUP($A50, INDIRECT("'" &amp; C$3 &amp; "'!A:A"), INDIRECT("'" &amp; C$3 &amp; "'!B:B")),0)</f>
        <v>3270.46</v>
      </c>
      <c r="D50" s="157" cm="1">
        <f t="array" aca="1" ref="D50" ca="1">IFERROR(_xlfn.XLOOKUP($A50, INDIRECT("'" &amp; D$3 &amp; "'!A:A"), INDIRECT("'" &amp; D$3 &amp; "'!B:B")),0)</f>
        <v>3192.95</v>
      </c>
      <c r="E50" s="157" cm="1">
        <f t="array" aca="1" ref="E50" ca="1">IFERROR(_xlfn.XLOOKUP($A50, INDIRECT("'" &amp; E$3 &amp; "'!A:A"), INDIRECT("'" &amp; E$3 &amp; "'!B:B")),0)</f>
        <v>3697.51</v>
      </c>
      <c r="F50" s="157" cm="1">
        <f t="array" aca="1" ref="F50" ca="1">IFERROR(_xlfn.XLOOKUP($A50, INDIRECT("'" &amp; F$3 &amp; "'!A:A"), INDIRECT("'" &amp; F$3 &amp; "'!B:B")),0)</f>
        <v>3640.1800000000003</v>
      </c>
      <c r="G50" s="157" cm="1">
        <f t="array" aca="1" ref="G50" ca="1">IFERROR(_xlfn.XLOOKUP($A50, INDIRECT("'" &amp; G$3 &amp; "'!A:A"), INDIRECT("'" &amp; G$3 &amp; "'!B:B")),0)</f>
        <v>2413.91</v>
      </c>
      <c r="H50" s="157" cm="1">
        <f t="array" aca="1" ref="H50" ca="1">IFERROR(_xlfn.XLOOKUP($A50, INDIRECT("'" &amp; H$3 &amp; "'!A:A"), INDIRECT("'" &amp; H$3 &amp; "'!B:B")),0)</f>
        <v>2647.51</v>
      </c>
      <c r="I50" s="157" cm="1">
        <f t="array" aca="1" ref="I50" ca="1">IFERROR(_xlfn.XLOOKUP($A50, INDIRECT("'" &amp; I$3 &amp; "'!A:A"), INDIRECT("'" &amp; I$3 &amp; "'!B:B")),0)</f>
        <v>3414.7200000000003</v>
      </c>
      <c r="J50" s="157" cm="1">
        <f t="array" aca="1" ref="J50" ca="1">IFERROR(_xlfn.XLOOKUP($A50, INDIRECT("'" &amp; J$3 &amp; "'!A:A"), INDIRECT("'" &amp; J$3 &amp; "'!B:B")),0)</f>
        <v>2647.51</v>
      </c>
      <c r="K50" s="157" cm="1">
        <f t="array" aca="1" ref="K50" ca="1">IFERROR(_xlfn.XLOOKUP($A50, INDIRECT("'" &amp; K$3 &amp; "'!A:A"), INDIRECT("'" &amp; K$3 &amp; "'!B:B")),0)</f>
        <v>2736.04</v>
      </c>
      <c r="L50" s="157" cm="1">
        <f t="array" aca="1" ref="L50" ca="1">IFERROR(_xlfn.XLOOKUP($A50, INDIRECT("'" &amp; L$3 &amp; "'!A:A"), INDIRECT("'" &amp; L$3 &amp; "'!B:B")),0)</f>
        <v>4315.5300000000007</v>
      </c>
      <c r="M50" s="157" cm="1">
        <f t="array" aca="1" ref="M50" ca="1">IFERROR(_xlfn.XLOOKUP($A50, INDIRECT("'" &amp; M$3 &amp; "'!A:A"), INDIRECT("'" &amp; M$3 &amp; "'!B:B")),0)</f>
        <v>5227.82</v>
      </c>
      <c r="N50" s="157" cm="1">
        <f t="array" aca="1" ref="N50" ca="1">IFERROR(_xlfn.XLOOKUP($A50, INDIRECT("'" &amp; N$3 &amp; "'!A:A"), INDIRECT("'" &amp; N$3 &amp; "'!B:B")),0)</f>
        <v>4115.5300000000007</v>
      </c>
      <c r="O50" s="157" cm="1">
        <f t="array" aca="1" ref="O50" ca="1">IFERROR(_xlfn.XLOOKUP($A50, INDIRECT("'" &amp; O$3 &amp; "'!A:A"), INDIRECT("'" &amp; O$3 &amp; "'!B:B")),0)</f>
        <v>3303.25</v>
      </c>
      <c r="P50" s="157" cm="1">
        <f t="array" aca="1" ref="P50" ca="1">IFERROR(_xlfn.XLOOKUP($A50, INDIRECT("'" &amp; P$3 &amp; "'!A:A"), INDIRECT("'" &amp; P$3 &amp; "'!B:B")),0)</f>
        <v>2619.59</v>
      </c>
      <c r="Q50" s="157" cm="1">
        <f t="array" aca="1" ref="Q50" ca="1">IFERROR(_xlfn.XLOOKUP($A50, INDIRECT("'" &amp; Q$3 &amp; "'!A:A"), INDIRECT("'" &amp; Q$3 &amp; "'!B:B")),0)</f>
        <v>3348.3199999999997</v>
      </c>
      <c r="R50" s="157" cm="1">
        <f t="array" aca="1" ref="R50" ca="1">IFERROR(_xlfn.XLOOKUP($A50, INDIRECT("'" &amp; R$3 &amp; "'!A:A"), INDIRECT("'" &amp; R$3 &amp; "'!B:B")),0)</f>
        <v>3436.85</v>
      </c>
      <c r="S50" s="157" cm="1">
        <f t="array" aca="1" ref="S50" ca="1">IFERROR(_xlfn.XLOOKUP($A50, INDIRECT("'" &amp; S$3 &amp; "'!A:A"), INDIRECT("'" &amp; S$3 &amp; "'!B:B")),0)</f>
        <v>2569.64</v>
      </c>
      <c r="T50" s="157" cm="1">
        <f t="array" aca="1" ref="T50" ca="1">IFERROR(_xlfn.XLOOKUP($A50, INDIRECT("'" &amp; T$3 &amp; "'!A:A"), INDIRECT("'" &amp; T$3 &amp; "'!B:B")),0)</f>
        <v>2958.98</v>
      </c>
      <c r="U50" s="157" cm="1">
        <f t="array" aca="1" ref="U50" ca="1">IFERROR(_xlfn.XLOOKUP($A50, INDIRECT("'" &amp; U$3 &amp; "'!A:A"), INDIRECT("'" &amp; U$3 &amp; "'!B:B")),0)</f>
        <v>2536.04</v>
      </c>
      <c r="V50" s="157" cm="1">
        <f t="array" aca="1" ref="V50" ca="1">IFERROR(_xlfn.XLOOKUP($A50, INDIRECT("'" &amp; V$3 &amp; "'!A:A"), INDIRECT("'" &amp; V$3 &amp; "'!B:B")),0)</f>
        <v>2647.51</v>
      </c>
      <c r="W50" s="157" cm="1">
        <f t="array" aca="1" ref="W50" ca="1">IFERROR(_xlfn.XLOOKUP($A50, INDIRECT("'" &amp; W$3 &amp; "'!A:A"), INDIRECT("'" &amp; W$3 &amp; "'!B:B")),0)</f>
        <v>3971.27</v>
      </c>
      <c r="X50" s="157" cm="1">
        <f t="array" aca="1" ref="X50" ca="1">IFERROR(_xlfn.XLOOKUP($A50, INDIRECT("'" &amp; X$3 &amp; "'!A:A"), INDIRECT("'" &amp; X$3 &amp; "'!B:B")),0)</f>
        <v>2605.33</v>
      </c>
      <c r="Y50" s="157" cm="1">
        <f t="array" aca="1" ref="Y50" ca="1">IFERROR(_xlfn.XLOOKUP($A50, INDIRECT("'" &amp; Y$3 &amp; "'!A:A"), INDIRECT("'" &amp; Y$3 &amp; "'!B:B")),0)</f>
        <v>2958.98</v>
      </c>
      <c r="Z50" s="157" cm="1">
        <f t="array" aca="1" ref="Z50" ca="1">IFERROR(_xlfn.XLOOKUP($A50, INDIRECT("'" &amp; Z$3 &amp; "'!A:A"), INDIRECT("'" &amp; Z$3 &amp; "'!B:B")),0)</f>
        <v>2921.13</v>
      </c>
      <c r="AA50" s="157" cm="1">
        <f t="array" aca="1" ref="AA50" ca="1">IFERROR(_xlfn.XLOOKUP($A50, INDIRECT("'" &amp; AA$3 &amp; "'!A:A"), INDIRECT("'" &amp; AA$3 &amp; "'!B:B")),0)</f>
        <v>2569.64</v>
      </c>
      <c r="AB50" s="157" cm="1">
        <f t="array" aca="1" ref="AB50" ca="1">IFERROR(_xlfn.XLOOKUP($A50, INDIRECT("'" &amp; AB$3 &amp; "'!A:A"), INDIRECT("'" &amp; AB$3 &amp; "'!B:B")),0)</f>
        <v>4857.66</v>
      </c>
      <c r="AC50" s="157" cm="1">
        <f t="array" aca="1" ref="AC50" ca="1">IFERROR(_xlfn.XLOOKUP($A50, INDIRECT("'" &amp; AC$3 &amp; "'!A:A"), INDIRECT("'" &amp; AC$3 &amp; "'!B:B")),0)</f>
        <v>4312.59</v>
      </c>
      <c r="AD50" s="157" cm="1">
        <f t="array" aca="1" ref="AD50" ca="1">IFERROR(_xlfn.XLOOKUP($A50, INDIRECT("'" &amp; AD$3 &amp; "'!A:A"), INDIRECT("'" &amp; AD$3 &amp; "'!B:B")),0)</f>
        <v>2803.25</v>
      </c>
      <c r="AE50" s="157" cm="1">
        <f t="array" aca="1" ref="AE50" ca="1">IFERROR(_xlfn.XLOOKUP($A50, INDIRECT("'" &amp; AE$3 &amp; "'!A:A"), INDIRECT("'" &amp; AE$3 &amp; "'!B:B")),0)</f>
        <v>3584.6</v>
      </c>
      <c r="AF50" s="157" cm="1">
        <f t="array" aca="1" ref="AF50" ca="1">IFERROR(_xlfn.XLOOKUP($A50, INDIRECT("'" &amp; AF$3 &amp; "'!A:A"), INDIRECT("'" &amp; AF$3 &amp; "'!B:B")),0)</f>
        <v>2228.4700000000003</v>
      </c>
      <c r="AG50" s="157" cm="1">
        <f t="array" aca="1" ref="AG50" ca="1">IFERROR(_xlfn.XLOOKUP($A50, INDIRECT("'" &amp; AG$3 &amp; "'!A:A"), INDIRECT("'" &amp; AG$3 &amp; "'!B:B")),0)</f>
        <v>2958.98</v>
      </c>
      <c r="AH50" s="157" cm="1">
        <f t="array" aca="1" ref="AH50" ca="1">IFERROR(_xlfn.XLOOKUP($A50, INDIRECT("'" &amp; AH$3 &amp; "'!A:A"), INDIRECT("'" &amp; AH$3 &amp; "'!B:B")),0)</f>
        <v>2180.3000000000002</v>
      </c>
      <c r="AI50" s="157" cm="1">
        <f t="array" aca="1" ref="AI50" ca="1">IFERROR(_xlfn.XLOOKUP($A50, INDIRECT("'" &amp; AI$3 &amp; "'!A:A"), INDIRECT("'" &amp; AI$3 &amp; "'!B:B")),0)</f>
        <v>4771.93</v>
      </c>
      <c r="AJ50" s="157">
        <f t="shared" ca="1" si="2"/>
        <v>3270.46</v>
      </c>
      <c r="AK50" s="156" cm="1">
        <f t="array" aca="1" ref="AK50" ca="1">IFERROR(_xlfn.XLOOKUP($A50, INDIRECT("'" &amp; AK$3 &amp; "'!A:A"), INDIRECT("'" &amp; AK$3 &amp; "'!B:B")),0)</f>
        <v>8525.64</v>
      </c>
      <c r="AL50" s="155" cm="1">
        <f t="array" aca="1" ref="AL50" ca="1">IFERROR(_xlfn.XLOOKUP($A50, INDIRECT("'" &amp; AL$3 &amp; "'!A:A"), INDIRECT("'" &amp; AL$3 &amp; "'!B:B")),0)</f>
        <v>6888.2807999999995</v>
      </c>
      <c r="AM50" s="157" cm="1">
        <f t="array" aca="1" ref="AM50" ca="1">IFERROR(_xlfn.XLOOKUP($A50, INDIRECT("'" &amp; AM$3 &amp; "'!A:A"), INDIRECT("'" &amp; AM$3 &amp; "'!B:B")),0)</f>
        <v>8174</v>
      </c>
    </row>
    <row r="51" spans="1:39" x14ac:dyDescent="0.25">
      <c r="A51" s="225" t="s">
        <v>197</v>
      </c>
      <c r="B51" s="157" cm="1">
        <f t="array" aca="1" ref="B51" ca="1">IFERROR(_xlfn.XLOOKUP($A51, INDIRECT("'" &amp; B$3 &amp; "'!A:A"), INDIRECT("'" &amp; B$3 &amp; "'!B:B")),0)</f>
        <v>602.48</v>
      </c>
      <c r="C51" s="157" cm="1">
        <f t="array" aca="1" ref="C51" ca="1">IFERROR(_xlfn.XLOOKUP($A51, INDIRECT("'" &amp; C$3 &amp; "'!A:A"), INDIRECT("'" &amp; C$3 &amp; "'!B:B")),0)</f>
        <v>521.83999999999992</v>
      </c>
      <c r="D51" s="157" cm="1">
        <f t="array" aca="1" ref="D51" ca="1">IFERROR(_xlfn.XLOOKUP($A51, INDIRECT("'" &amp; D$3 &amp; "'!A:A"), INDIRECT("'" &amp; D$3 &amp; "'!B:B")),0)</f>
        <v>479.72</v>
      </c>
      <c r="E51" s="157" cm="1">
        <f t="array" aca="1" ref="E51" ca="1">IFERROR(_xlfn.XLOOKUP($A51, INDIRECT("'" &amp; E$3 &amp; "'!A:A"), INDIRECT("'" &amp; E$3 &amp; "'!B:B")),0)</f>
        <v>452</v>
      </c>
      <c r="F51" s="157" cm="1">
        <f t="array" aca="1" ref="F51" ca="1">IFERROR(_xlfn.XLOOKUP($A51, INDIRECT("'" &amp; F$3 &amp; "'!A:A"), INDIRECT("'" &amp; F$3 &amp; "'!B:B")),0)</f>
        <v>598.52</v>
      </c>
      <c r="G51" s="157" cm="1">
        <f t="array" aca="1" ref="G51" ca="1">IFERROR(_xlfn.XLOOKUP($A51, INDIRECT("'" &amp; G$3 &amp; "'!A:A"), INDIRECT("'" &amp; G$3 &amp; "'!B:B")),0)</f>
        <v>477.38</v>
      </c>
      <c r="H51" s="157" cm="1">
        <f t="array" aca="1" ref="H51" ca="1">IFERROR(_xlfn.XLOOKUP($A51, INDIRECT("'" &amp; H$3 &amp; "'!A:A"), INDIRECT("'" &amp; H$3 &amp; "'!B:B")),0)</f>
        <v>328.34</v>
      </c>
      <c r="I51" s="157" cm="1">
        <f t="array" aca="1" ref="I51" ca="1">IFERROR(_xlfn.XLOOKUP($A51, INDIRECT("'" &amp; I$3 &amp; "'!A:A"), INDIRECT("'" &amp; I$3 &amp; "'!B:B")),0)</f>
        <v>560</v>
      </c>
      <c r="J51" s="157" cm="1">
        <f t="array" aca="1" ref="J51" ca="1">IFERROR(_xlfn.XLOOKUP($A51, INDIRECT("'" &amp; J$3 &amp; "'!A:A"), INDIRECT("'" &amp; J$3 &amp; "'!B:B")),0)</f>
        <v>508.16</v>
      </c>
      <c r="K51" s="157" cm="1">
        <f t="array" aca="1" ref="K51" ca="1">IFERROR(_xlfn.XLOOKUP($A51, INDIRECT("'" &amp; K$3 &amp; "'!A:A"), INDIRECT("'" &amp; K$3 &amp; "'!B:B")),0)</f>
        <v>448.94</v>
      </c>
      <c r="L51" s="157" cm="1">
        <f t="array" aca="1" ref="L51" ca="1">IFERROR(_xlfn.XLOOKUP($A51, INDIRECT("'" &amp; L$3 &amp; "'!A:A"), INDIRECT("'" &amp; L$3 &amp; "'!B:B")),0)</f>
        <v>612.74</v>
      </c>
      <c r="M51" s="157" cm="1">
        <f t="array" aca="1" ref="M51" ca="1">IFERROR(_xlfn.XLOOKUP($A51, INDIRECT("'" &amp; M$3 &amp; "'!A:A"), INDIRECT("'" &amp; M$3 &amp; "'!B:B")),0)</f>
        <v>698.78</v>
      </c>
      <c r="N51" s="157" cm="1">
        <f t="array" aca="1" ref="N51" ca="1">IFERROR(_xlfn.XLOOKUP($A51, INDIRECT("'" &amp; N$3 &amp; "'!A:A"), INDIRECT("'" &amp; N$3 &amp; "'!B:B")),0)</f>
        <v>560.18000000000006</v>
      </c>
      <c r="O51" s="157" cm="1">
        <f t="array" aca="1" ref="O51" ca="1">IFERROR(_xlfn.XLOOKUP($A51, INDIRECT("'" &amp; O$3 &amp; "'!A:A"), INDIRECT("'" &amp; O$3 &amp; "'!B:B")),0)</f>
        <v>478.1</v>
      </c>
      <c r="P51" s="157" cm="1">
        <f t="array" aca="1" ref="P51" ca="1">IFERROR(_xlfn.XLOOKUP($A51, INDIRECT("'" &amp; P$3 &amp; "'!A:A"), INDIRECT("'" &amp; P$3 &amp; "'!B:B")),0)</f>
        <v>410.6</v>
      </c>
      <c r="Q51" s="157" cm="1">
        <f t="array" aca="1" ref="Q51" ca="1">IFERROR(_xlfn.XLOOKUP($A51, INDIRECT("'" &amp; Q$3 &amp; "'!A:A"), INDIRECT("'" &amp; Q$3 &amp; "'!B:B")),0)</f>
        <v>560.9</v>
      </c>
      <c r="R51" s="157" cm="1">
        <f t="array" aca="1" ref="R51" ca="1">IFERROR(_xlfn.XLOOKUP($A51, INDIRECT("'" &amp; R$3 &amp; "'!A:A"), INDIRECT("'" &amp; R$3 &amp; "'!B:B")),0)</f>
        <v>534.26</v>
      </c>
      <c r="S51" s="157" cm="1">
        <f t="array" aca="1" ref="S51" ca="1">IFERROR(_xlfn.XLOOKUP($A51, INDIRECT("'" &amp; S$3 &amp; "'!A:A"), INDIRECT("'" &amp; S$3 &amp; "'!B:B")),0)</f>
        <v>470</v>
      </c>
      <c r="T51" s="157" cm="1">
        <f t="array" aca="1" ref="T51" ca="1">IFERROR(_xlfn.XLOOKUP($A51, INDIRECT("'" &amp; T$3 &amp; "'!A:A"), INDIRECT("'" &amp; T$3 &amp; "'!B:B")),0)</f>
        <v>504.02</v>
      </c>
      <c r="U51" s="157" cm="1">
        <f t="array" aca="1" ref="U51" ca="1">IFERROR(_xlfn.XLOOKUP($A51, INDIRECT("'" &amp; U$3 &amp; "'!A:A"), INDIRECT("'" &amp; U$3 &amp; "'!B:B")),0)</f>
        <v>434.72</v>
      </c>
      <c r="V51" s="157" cm="1">
        <f t="array" aca="1" ref="V51" ca="1">IFERROR(_xlfn.XLOOKUP($A51, INDIRECT("'" &amp; V$3 &amp; "'!A:A"), INDIRECT("'" &amp; V$3 &amp; "'!B:B")),0)</f>
        <v>456.32</v>
      </c>
      <c r="W51" s="157" cm="1">
        <f t="array" aca="1" ref="W51" ca="1">IFERROR(_xlfn.XLOOKUP($A51, INDIRECT("'" &amp; W$3 &amp; "'!A:A"), INDIRECT("'" &amp; W$3 &amp; "'!B:B")),0)</f>
        <v>593.88</v>
      </c>
      <c r="X51" s="157" cm="1">
        <f t="array" aca="1" ref="X51" ca="1">IFERROR(_xlfn.XLOOKUP($A51, INDIRECT("'" &amp; X$3 &amp; "'!A:A"), INDIRECT("'" &amp; X$3 &amp; "'!B:B")),0)</f>
        <v>470</v>
      </c>
      <c r="Y51" s="157" cm="1">
        <f t="array" aca="1" ref="Y51" ca="1">IFERROR(_xlfn.XLOOKUP($A51, INDIRECT("'" &amp; Y$3 &amp; "'!A:A"), INDIRECT("'" &amp; Y$3 &amp; "'!B:B")),0)</f>
        <v>504.02</v>
      </c>
      <c r="Z51" s="157" cm="1">
        <f t="array" aca="1" ref="Z51" ca="1">IFERROR(_xlfn.XLOOKUP($A51, INDIRECT("'" &amp; Z$3 &amp; "'!A:A"), INDIRECT("'" &amp; Z$3 &amp; "'!B:B")),0)</f>
        <v>523.28</v>
      </c>
      <c r="AA51" s="157" cm="1">
        <f t="array" aca="1" ref="AA51" ca="1">IFERROR(_xlfn.XLOOKUP($A51, INDIRECT("'" &amp; AA$3 &amp; "'!A:A"), INDIRECT("'" &amp; AA$3 &amp; "'!B:B")),0)</f>
        <v>528.64</v>
      </c>
      <c r="AB51" s="157" cm="1">
        <f t="array" aca="1" ref="AB51" ca="1">IFERROR(_xlfn.XLOOKUP($A51, INDIRECT("'" &amp; AB$3 &amp; "'!A:A"), INDIRECT("'" &amp; AB$3 &amp; "'!B:B")),0)</f>
        <v>540.55999999999995</v>
      </c>
      <c r="AC51" s="157" cm="1">
        <f t="array" aca="1" ref="AC51" ca="1">IFERROR(_xlfn.XLOOKUP($A51, INDIRECT("'" &amp; AC$3 &amp; "'!A:A"), INDIRECT("'" &amp; AC$3 &amp; "'!B:B")),0)</f>
        <v>514.64</v>
      </c>
      <c r="AD51" s="157" cm="1">
        <f t="array" aca="1" ref="AD51" ca="1">IFERROR(_xlfn.XLOOKUP($A51, INDIRECT("'" &amp; AD$3 &amp; "'!A:A"), INDIRECT("'" &amp; AD$3 &amp; "'!B:B")),0)</f>
        <v>531.38</v>
      </c>
      <c r="AE51" s="157" cm="1">
        <f t="array" aca="1" ref="AE51" ca="1">IFERROR(_xlfn.XLOOKUP($A51, INDIRECT("'" &amp; AE$3 &amp; "'!A:A"), INDIRECT("'" &amp; AE$3 &amp; "'!B:B")),0)</f>
        <v>500.42</v>
      </c>
      <c r="AF51" s="157" cm="1">
        <f t="array" aca="1" ref="AF51" ca="1">IFERROR(_xlfn.XLOOKUP($A51, INDIRECT("'" &amp; AF$3 &amp; "'!A:A"), INDIRECT("'" &amp; AF$3 &amp; "'!B:B")),0)</f>
        <v>504.02</v>
      </c>
      <c r="AG51" s="157" cm="1">
        <f t="array" aca="1" ref="AG51" ca="1">IFERROR(_xlfn.XLOOKUP($A51, INDIRECT("'" &amp; AG$3 &amp; "'!A:A"), INDIRECT("'" &amp; AG$3 &amp; "'!B:B")),0)</f>
        <v>558.74</v>
      </c>
      <c r="AH51" s="157" cm="1">
        <f t="array" aca="1" ref="AH51" ca="1">IFERROR(_xlfn.XLOOKUP($A51, INDIRECT("'" &amp; AH$3 &amp; "'!A:A"), INDIRECT("'" &amp; AH$3 &amp; "'!B:B")),0)</f>
        <v>466.94</v>
      </c>
      <c r="AI51" s="157" cm="1">
        <f t="array" aca="1" ref="AI51" ca="1">IFERROR(_xlfn.XLOOKUP($A51, INDIRECT("'" &amp; AI$3 &amp; "'!A:A"), INDIRECT("'" &amp; AI$3 &amp; "'!B:B")),0)</f>
        <v>523.64</v>
      </c>
      <c r="AJ51" s="157">
        <f t="shared" ca="1" si="2"/>
        <v>521.83999999999992</v>
      </c>
      <c r="AK51" s="156" cm="1">
        <f t="array" aca="1" ref="AK51" ca="1">IFERROR(_xlfn.XLOOKUP($A51, INDIRECT("'" &amp; AK$3 &amp; "'!A:A"), INDIRECT("'" &amp; AK$3 &amp; "'!B:B")),0)</f>
        <v>492.86</v>
      </c>
      <c r="AL51" s="155" cm="1">
        <f t="array" aca="1" ref="AL51" ca="1">IFERROR(_xlfn.XLOOKUP($A51, INDIRECT("'" &amp; AL$3 &amp; "'!A:A"), INDIRECT("'" &amp; AL$3 &amp; "'!B:B")),0)</f>
        <v>418.22</v>
      </c>
      <c r="AM51" s="157" cm="1">
        <f t="array" aca="1" ref="AM51" ca="1">IFERROR(_xlfn.XLOOKUP($A51, INDIRECT("'" &amp; AM$3 &amp; "'!A:A"), INDIRECT("'" &amp; AM$3 &amp; "'!B:B")),0)</f>
        <v>472.96</v>
      </c>
    </row>
    <row r="52" spans="1:39" x14ac:dyDescent="0.25">
      <c r="A52" s="225" t="s">
        <v>198</v>
      </c>
      <c r="B52" s="157" cm="1">
        <f t="array" aca="1" ref="B52" ca="1">IFERROR(_xlfn.XLOOKUP($A52, INDIRECT("'" &amp; B$3 &amp; "'!A:A"), INDIRECT("'" &amp; B$3 &amp; "'!B:B")),0)</f>
        <v>882</v>
      </c>
      <c r="C52" s="157" cm="1">
        <f t="array" aca="1" ref="C52" ca="1">IFERROR(_xlfn.XLOOKUP($A52, INDIRECT("'" &amp; C$3 &amp; "'!A:A"), INDIRECT("'" &amp; C$3 &amp; "'!B:B")),0)</f>
        <v>522</v>
      </c>
      <c r="D52" s="157" cm="1">
        <f t="array" aca="1" ref="D52" ca="1">IFERROR(_xlfn.XLOOKUP($A52, INDIRECT("'" &amp; D$3 &amp; "'!A:A"), INDIRECT("'" &amp; D$3 &amp; "'!B:B")),0)</f>
        <v>1034</v>
      </c>
      <c r="E52" s="157" cm="1">
        <f t="array" aca="1" ref="E52" ca="1">IFERROR(_xlfn.XLOOKUP($A52, INDIRECT("'" &amp; E$3 &amp; "'!A:A"), INDIRECT("'" &amp; E$3 &amp; "'!B:B")),0)</f>
        <v>936</v>
      </c>
      <c r="F52" s="157" cm="1">
        <f t="array" aca="1" ref="F52" ca="1">IFERROR(_xlfn.XLOOKUP($A52, INDIRECT("'" &amp; F$3 &amp; "'!A:A"), INDIRECT("'" &amp; F$3 &amp; "'!B:B")),0)</f>
        <v>957</v>
      </c>
      <c r="G52" s="157" cm="1">
        <f t="array" aca="1" ref="G52" ca="1">IFERROR(_xlfn.XLOOKUP($A52, INDIRECT("'" &amp; G$3 &amp; "'!A:A"), INDIRECT("'" &amp; G$3 &amp; "'!B:B")),0)</f>
        <v>1212</v>
      </c>
      <c r="H52" s="157" cm="1">
        <f t="array" aca="1" ref="H52" ca="1">IFERROR(_xlfn.XLOOKUP($A52, INDIRECT("'" &amp; H$3 &amp; "'!A:A"), INDIRECT("'" &amp; H$3 &amp; "'!B:B")),0)</f>
        <v>858</v>
      </c>
      <c r="I52" s="157" cm="1">
        <f t="array" aca="1" ref="I52" ca="1">IFERROR(_xlfn.XLOOKUP($A52, INDIRECT("'" &amp; I$3 &amp; "'!A:A"), INDIRECT("'" &amp; I$3 &amp; "'!B:B")),0)</f>
        <v>1396</v>
      </c>
      <c r="J52" s="157" cm="1">
        <f t="array" aca="1" ref="J52" ca="1">IFERROR(_xlfn.XLOOKUP($A52, INDIRECT("'" &amp; J$3 &amp; "'!A:A"), INDIRECT("'" &amp; J$3 &amp; "'!B:B")),0)</f>
        <v>652</v>
      </c>
      <c r="K52" s="157" cm="1">
        <f t="array" aca="1" ref="K52" ca="1">IFERROR(_xlfn.XLOOKUP($A52, INDIRECT("'" &amp; K$3 &amp; "'!A:A"), INDIRECT("'" &amp; K$3 &amp; "'!B:B")),0)</f>
        <v>501</v>
      </c>
      <c r="L52" s="157" cm="1">
        <f t="array" aca="1" ref="L52" ca="1">IFERROR(_xlfn.XLOOKUP($A52, INDIRECT("'" &amp; L$3 &amp; "'!A:A"), INDIRECT("'" &amp; L$3 &amp; "'!B:B")),0)</f>
        <v>659</v>
      </c>
      <c r="M52" s="157" cm="1">
        <f t="array" aca="1" ref="M52" ca="1">IFERROR(_xlfn.XLOOKUP($A52, INDIRECT("'" &amp; M$3 &amp; "'!A:A"), INDIRECT("'" &amp; M$3 &amp; "'!B:B")),0)</f>
        <v>934</v>
      </c>
      <c r="N52" s="157" cm="1">
        <f t="array" aca="1" ref="N52" ca="1">IFERROR(_xlfn.XLOOKUP($A52, INDIRECT("'" &amp; N$3 &amp; "'!A:A"), INDIRECT("'" &amp; N$3 &amp; "'!B:B")),0)</f>
        <v>1243</v>
      </c>
      <c r="O52" s="157" cm="1">
        <f t="array" aca="1" ref="O52" ca="1">IFERROR(_xlfn.XLOOKUP($A52, INDIRECT("'" &amp; O$3 &amp; "'!A:A"), INDIRECT("'" &amp; O$3 &amp; "'!B:B")),0)</f>
        <v>657</v>
      </c>
      <c r="P52" s="157" cm="1">
        <f t="array" aca="1" ref="P52" ca="1">IFERROR(_xlfn.XLOOKUP($A52, INDIRECT("'" &amp; P$3 &amp; "'!A:A"), INDIRECT("'" &amp; P$3 &amp; "'!B:B")),0)</f>
        <v>896</v>
      </c>
      <c r="Q52" s="157" cm="1">
        <f t="array" aca="1" ref="Q52" ca="1">IFERROR(_xlfn.XLOOKUP($A52, INDIRECT("'" &amp; Q$3 &amp; "'!A:A"), INDIRECT("'" &amp; Q$3 &amp; "'!B:B")),0)</f>
        <v>866</v>
      </c>
      <c r="R52" s="157" cm="1">
        <f t="array" aca="1" ref="R52" ca="1">IFERROR(_xlfn.XLOOKUP($A52, INDIRECT("'" &amp; R$3 &amp; "'!A:A"), INDIRECT("'" &amp; R$3 &amp; "'!B:B")),0)</f>
        <v>788</v>
      </c>
      <c r="S52" s="157" cm="1">
        <f t="array" aca="1" ref="S52" ca="1">IFERROR(_xlfn.XLOOKUP($A52, INDIRECT("'" &amp; S$3 &amp; "'!A:A"), INDIRECT("'" &amp; S$3 &amp; "'!B:B")),0)</f>
        <v>1043</v>
      </c>
      <c r="T52" s="157" cm="1">
        <f t="array" aca="1" ref="T52" ca="1">IFERROR(_xlfn.XLOOKUP($A52, INDIRECT("'" &amp; T$3 &amp; "'!A:A"), INDIRECT("'" &amp; T$3 &amp; "'!B:B")),0)</f>
        <v>580</v>
      </c>
      <c r="U52" s="157" cm="1">
        <f t="array" aca="1" ref="U52" ca="1">IFERROR(_xlfn.XLOOKUP($A52, INDIRECT("'" &amp; U$3 &amp; "'!A:A"), INDIRECT("'" &amp; U$3 &amp; "'!B:B")),0)</f>
        <v>691</v>
      </c>
      <c r="V52" s="157" cm="1">
        <f t="array" aca="1" ref="V52" ca="1">IFERROR(_xlfn.XLOOKUP($A52, INDIRECT("'" &amp; V$3 &amp; "'!A:A"), INDIRECT("'" &amp; V$3 &amp; "'!B:B")),0)</f>
        <v>366</v>
      </c>
      <c r="W52" s="157" cm="1">
        <f t="array" aca="1" ref="W52" ca="1">IFERROR(_xlfn.XLOOKUP($A52, INDIRECT("'" &amp; W$3 &amp; "'!A:A"), INDIRECT("'" &amp; W$3 &amp; "'!B:B")),0)</f>
        <v>976</v>
      </c>
      <c r="X52" s="157" cm="1">
        <f t="array" aca="1" ref="X52" ca="1">IFERROR(_xlfn.XLOOKUP($A52, INDIRECT("'" &amp; X$3 &amp; "'!A:A"), INDIRECT("'" &amp; X$3 &amp; "'!B:B")),0)</f>
        <v>519.20000000000005</v>
      </c>
      <c r="Y52" s="157" cm="1">
        <f t="array" aca="1" ref="Y52" ca="1">IFERROR(_xlfn.XLOOKUP($A52, INDIRECT("'" &amp; Y$3 &amp; "'!A:A"), INDIRECT("'" &amp; Y$3 &amp; "'!B:B")),0)</f>
        <v>1160</v>
      </c>
      <c r="Z52" s="157" cm="1">
        <f t="array" aca="1" ref="Z52" ca="1">IFERROR(_xlfn.XLOOKUP($A52, INDIRECT("'" &amp; Z$3 &amp; "'!A:A"), INDIRECT("'" &amp; Z$3 &amp; "'!B:B")),0)</f>
        <v>622</v>
      </c>
      <c r="AA52" s="157" cm="1">
        <f t="array" aca="1" ref="AA52" ca="1">IFERROR(_xlfn.XLOOKUP($A52, INDIRECT("'" &amp; AA$3 &amp; "'!A:A"), INDIRECT("'" &amp; AA$3 &amp; "'!B:B")),0)</f>
        <v>791</v>
      </c>
      <c r="AB52" s="157" cm="1">
        <f t="array" aca="1" ref="AB52" ca="1">IFERROR(_xlfn.XLOOKUP($A52, INDIRECT("'" &amp; AB$3 &amp; "'!A:A"), INDIRECT("'" &amp; AB$3 &amp; "'!B:B")),0)</f>
        <v>630</v>
      </c>
      <c r="AC52" s="157" cm="1">
        <f t="array" aca="1" ref="AC52" ca="1">IFERROR(_xlfn.XLOOKUP($A52, INDIRECT("'" &amp; AC$3 &amp; "'!A:A"), INDIRECT("'" &amp; AC$3 &amp; "'!B:B")),0)</f>
        <v>543</v>
      </c>
      <c r="AD52" s="157" cm="1">
        <f t="array" aca="1" ref="AD52" ca="1">IFERROR(_xlfn.XLOOKUP($A52, INDIRECT("'" &amp; AD$3 &amp; "'!A:A"), INDIRECT("'" &amp; AD$3 &amp; "'!B:B")),0)</f>
        <v>530</v>
      </c>
      <c r="AE52" s="157" cm="1">
        <f t="array" aca="1" ref="AE52" ca="1">IFERROR(_xlfn.XLOOKUP($A52, INDIRECT("'" &amp; AE$3 &amp; "'!A:A"), INDIRECT("'" &amp; AE$3 &amp; "'!B:B")),0)</f>
        <v>550</v>
      </c>
      <c r="AF52" s="157" cm="1">
        <f t="array" aca="1" ref="AF52" ca="1">IFERROR(_xlfn.XLOOKUP($A52, INDIRECT("'" &amp; AF$3 &amp; "'!A:A"), INDIRECT("'" &amp; AF$3 &amp; "'!B:B")),0)</f>
        <v>784</v>
      </c>
      <c r="AG52" s="157" cm="1">
        <f t="array" aca="1" ref="AG52" ca="1">IFERROR(_xlfn.XLOOKUP($A52, INDIRECT("'" &amp; AG$3 &amp; "'!A:A"), INDIRECT("'" &amp; AG$3 &amp; "'!B:B")),0)</f>
        <v>848</v>
      </c>
      <c r="AH52" s="157" cm="1">
        <f t="array" aca="1" ref="AH52" ca="1">IFERROR(_xlfn.XLOOKUP($A52, INDIRECT("'" &amp; AH$3 &amp; "'!A:A"), INDIRECT("'" &amp; AH$3 &amp; "'!B:B")),0)</f>
        <v>532.5</v>
      </c>
      <c r="AI52" s="157" cm="1">
        <f t="array" aca="1" ref="AI52" ca="1">IFERROR(_xlfn.XLOOKUP($A52, INDIRECT("'" &amp; AI$3 &amp; "'!A:A"), INDIRECT("'" &amp; AI$3 &amp; "'!B:B")),0)</f>
        <v>438</v>
      </c>
      <c r="AJ52" s="157">
        <f t="shared" ca="1" si="2"/>
        <v>522</v>
      </c>
      <c r="AK52" s="156" cm="1">
        <f t="array" aca="1" ref="AK52" ca="1">IFERROR(_xlfn.XLOOKUP($A52, INDIRECT("'" &amp; AK$3 &amp; "'!A:A"), INDIRECT("'" &amp; AK$3 &amp; "'!B:B")),0)</f>
        <v>490.67</v>
      </c>
      <c r="AL52" s="155" cm="1">
        <f t="array" aca="1" ref="AL52" ca="1">IFERROR(_xlfn.XLOOKUP($A52, INDIRECT("'" &amp; AL$3 &amp; "'!A:A"), INDIRECT("'" &amp; AL$3 &amp; "'!B:B")),0)</f>
        <v>651.6</v>
      </c>
      <c r="AM52" s="157" cm="1">
        <f t="array" aca="1" ref="AM52" ca="1">IFERROR(_xlfn.XLOOKUP($A52, INDIRECT("'" &amp; AM$3 &amp; "'!A:A"), INDIRECT("'" &amp; AM$3 &amp; "'!B:B")),0)</f>
        <v>500</v>
      </c>
    </row>
    <row r="53" spans="1:39" x14ac:dyDescent="0.25">
      <c r="A53" s="225" t="s">
        <v>199</v>
      </c>
      <c r="B53" s="157" cm="1">
        <f t="array" aca="1" ref="B53" ca="1">IFERROR(_xlfn.XLOOKUP($A53, INDIRECT("'" &amp; B$3 &amp; "'!A:A"), INDIRECT("'" &amp; B$3 &amp; "'!B:B")),0)</f>
        <v>310</v>
      </c>
      <c r="C53" s="157" cm="1">
        <f t="array" aca="1" ref="C53" ca="1">IFERROR(_xlfn.XLOOKUP($A53, INDIRECT("'" &amp; C$3 &amp; "'!A:A"), INDIRECT("'" &amp; C$3 &amp; "'!B:B")),0)</f>
        <v>310</v>
      </c>
      <c r="D53" s="157" cm="1">
        <f t="array" aca="1" ref="D53" ca="1">IFERROR(_xlfn.XLOOKUP($A53, INDIRECT("'" &amp; D$3 &amp; "'!A:A"), INDIRECT("'" &amp; D$3 &amp; "'!B:B")),0)</f>
        <v>310</v>
      </c>
      <c r="E53" s="157" cm="1">
        <f t="array" aca="1" ref="E53" ca="1">IFERROR(_xlfn.XLOOKUP($A53, INDIRECT("'" &amp; E$3 &amp; "'!A:A"), INDIRECT("'" &amp; E$3 &amp; "'!B:B")),0)</f>
        <v>310</v>
      </c>
      <c r="F53" s="157" cm="1">
        <f t="array" aca="1" ref="F53" ca="1">IFERROR(_xlfn.XLOOKUP($A53, INDIRECT("'" &amp; F$3 &amp; "'!A:A"), INDIRECT("'" &amp; F$3 &amp; "'!B:B")),0)</f>
        <v>310</v>
      </c>
      <c r="G53" s="157" cm="1">
        <f t="array" aca="1" ref="G53" ca="1">IFERROR(_xlfn.XLOOKUP($A53, INDIRECT("'" &amp; G$3 &amp; "'!A:A"), INDIRECT("'" &amp; G$3 &amp; "'!B:B")),0)</f>
        <v>310</v>
      </c>
      <c r="H53" s="157" cm="1">
        <f t="array" aca="1" ref="H53" ca="1">IFERROR(_xlfn.XLOOKUP($A53, INDIRECT("'" &amp; H$3 &amp; "'!A:A"), INDIRECT("'" &amp; H$3 &amp; "'!B:B")),0)</f>
        <v>310</v>
      </c>
      <c r="I53" s="157" cm="1">
        <f t="array" aca="1" ref="I53" ca="1">IFERROR(_xlfn.XLOOKUP($A53, INDIRECT("'" &amp; I$3 &amp; "'!A:A"), INDIRECT("'" &amp; I$3 &amp; "'!B:B")),0)</f>
        <v>310</v>
      </c>
      <c r="J53" s="157" cm="1">
        <f t="array" aca="1" ref="J53" ca="1">IFERROR(_xlfn.XLOOKUP($A53, INDIRECT("'" &amp; J$3 &amp; "'!A:A"), INDIRECT("'" &amp; J$3 &amp; "'!B:B")),0)</f>
        <v>310</v>
      </c>
      <c r="K53" s="157" cm="1">
        <f t="array" aca="1" ref="K53" ca="1">IFERROR(_xlfn.XLOOKUP($A53, INDIRECT("'" &amp; K$3 &amp; "'!A:A"), INDIRECT("'" &amp; K$3 &amp; "'!B:B")),0)</f>
        <v>310</v>
      </c>
      <c r="L53" s="157" cm="1">
        <f t="array" aca="1" ref="L53" ca="1">IFERROR(_xlfn.XLOOKUP($A53, INDIRECT("'" &amp; L$3 &amp; "'!A:A"), INDIRECT("'" &amp; L$3 &amp; "'!B:B")),0)</f>
        <v>310</v>
      </c>
      <c r="M53" s="157" cm="1">
        <f t="array" aca="1" ref="M53" ca="1">IFERROR(_xlfn.XLOOKUP($A53, INDIRECT("'" &amp; M$3 &amp; "'!A:A"), INDIRECT("'" &amp; M$3 &amp; "'!B:B")),0)</f>
        <v>310</v>
      </c>
      <c r="N53" s="157" cm="1">
        <f t="array" aca="1" ref="N53" ca="1">IFERROR(_xlfn.XLOOKUP($A53, INDIRECT("'" &amp; N$3 &amp; "'!A:A"), INDIRECT("'" &amp; N$3 &amp; "'!B:B")),0)</f>
        <v>310</v>
      </c>
      <c r="O53" s="157" cm="1">
        <f t="array" aca="1" ref="O53" ca="1">IFERROR(_xlfn.XLOOKUP($A53, INDIRECT("'" &amp; O$3 &amp; "'!A:A"), INDIRECT("'" &amp; O$3 &amp; "'!B:B")),0)</f>
        <v>310</v>
      </c>
      <c r="P53" s="157" cm="1">
        <f t="array" aca="1" ref="P53" ca="1">IFERROR(_xlfn.XLOOKUP($A53, INDIRECT("'" &amp; P$3 &amp; "'!A:A"), INDIRECT("'" &amp; P$3 &amp; "'!B:B")),0)</f>
        <v>310</v>
      </c>
      <c r="Q53" s="157" cm="1">
        <f t="array" aca="1" ref="Q53" ca="1">IFERROR(_xlfn.XLOOKUP($A53, INDIRECT("'" &amp; Q$3 &amp; "'!A:A"), INDIRECT("'" &amp; Q$3 &amp; "'!B:B")),0)</f>
        <v>310</v>
      </c>
      <c r="R53" s="157" cm="1">
        <f t="array" aca="1" ref="R53" ca="1">IFERROR(_xlfn.XLOOKUP($A53, INDIRECT("'" &amp; R$3 &amp; "'!A:A"), INDIRECT("'" &amp; R$3 &amp; "'!B:B")),0)</f>
        <v>310</v>
      </c>
      <c r="S53" s="157" cm="1">
        <f t="array" aca="1" ref="S53" ca="1">IFERROR(_xlfn.XLOOKUP($A53, INDIRECT("'" &amp; S$3 &amp; "'!A:A"), INDIRECT("'" &amp; S$3 &amp; "'!B:B")),0)</f>
        <v>310</v>
      </c>
      <c r="T53" s="157" cm="1">
        <f t="array" aca="1" ref="T53" ca="1">IFERROR(_xlfn.XLOOKUP($A53, INDIRECT("'" &amp; T$3 &amp; "'!A:A"), INDIRECT("'" &amp; T$3 &amp; "'!B:B")),0)</f>
        <v>310</v>
      </c>
      <c r="U53" s="157" cm="1">
        <f t="array" aca="1" ref="U53" ca="1">IFERROR(_xlfn.XLOOKUP($A53, INDIRECT("'" &amp; U$3 &amp; "'!A:A"), INDIRECT("'" &amp; U$3 &amp; "'!B:B")),0)</f>
        <v>310</v>
      </c>
      <c r="V53" s="157" cm="1">
        <f t="array" aca="1" ref="V53" ca="1">IFERROR(_xlfn.XLOOKUP($A53, INDIRECT("'" &amp; V$3 &amp; "'!A:A"), INDIRECT("'" &amp; V$3 &amp; "'!B:B")),0)</f>
        <v>310</v>
      </c>
      <c r="W53" s="157" cm="1">
        <f t="array" aca="1" ref="W53" ca="1">IFERROR(_xlfn.XLOOKUP($A53, INDIRECT("'" &amp; W$3 &amp; "'!A:A"), INDIRECT("'" &amp; W$3 &amp; "'!B:B")),0)</f>
        <v>310</v>
      </c>
      <c r="X53" s="157" cm="1">
        <f t="array" aca="1" ref="X53" ca="1">IFERROR(_xlfn.XLOOKUP($A53, INDIRECT("'" &amp; X$3 &amp; "'!A:A"), INDIRECT("'" &amp; X$3 &amp; "'!B:B")),0)</f>
        <v>310</v>
      </c>
      <c r="Y53" s="157" cm="1">
        <f t="array" aca="1" ref="Y53" ca="1">IFERROR(_xlfn.XLOOKUP($A53, INDIRECT("'" &amp; Y$3 &amp; "'!A:A"), INDIRECT("'" &amp; Y$3 &amp; "'!B:B")),0)</f>
        <v>310</v>
      </c>
      <c r="Z53" s="157" cm="1">
        <f t="array" aca="1" ref="Z53" ca="1">IFERROR(_xlfn.XLOOKUP($A53, INDIRECT("'" &amp; Z$3 &amp; "'!A:A"), INDIRECT("'" &amp; Z$3 &amp; "'!B:B")),0)</f>
        <v>310</v>
      </c>
      <c r="AA53" s="157" cm="1">
        <f t="array" aca="1" ref="AA53" ca="1">IFERROR(_xlfn.XLOOKUP($A53, INDIRECT("'" &amp; AA$3 &amp; "'!A:A"), INDIRECT("'" &amp; AA$3 &amp; "'!B:B")),0)</f>
        <v>310</v>
      </c>
      <c r="AB53" s="157" cm="1">
        <f t="array" aca="1" ref="AB53" ca="1">IFERROR(_xlfn.XLOOKUP($A53, INDIRECT("'" &amp; AB$3 &amp; "'!A:A"), INDIRECT("'" &amp; AB$3 &amp; "'!B:B")),0)</f>
        <v>310</v>
      </c>
      <c r="AC53" s="157" cm="1">
        <f t="array" aca="1" ref="AC53" ca="1">IFERROR(_xlfn.XLOOKUP($A53, INDIRECT("'" &amp; AC$3 &amp; "'!A:A"), INDIRECT("'" &amp; AC$3 &amp; "'!B:B")),0)</f>
        <v>310</v>
      </c>
      <c r="AD53" s="157" cm="1">
        <f t="array" aca="1" ref="AD53" ca="1">IFERROR(_xlfn.XLOOKUP($A53, INDIRECT("'" &amp; AD$3 &amp; "'!A:A"), INDIRECT("'" &amp; AD$3 &amp; "'!B:B")),0)</f>
        <v>310</v>
      </c>
      <c r="AE53" s="157" cm="1">
        <f t="array" aca="1" ref="AE53" ca="1">IFERROR(_xlfn.XLOOKUP($A53, INDIRECT("'" &amp; AE$3 &amp; "'!A:A"), INDIRECT("'" &amp; AE$3 &amp; "'!B:B")),0)</f>
        <v>310</v>
      </c>
      <c r="AF53" s="157" cm="1">
        <f t="array" aca="1" ref="AF53" ca="1">IFERROR(_xlfn.XLOOKUP($A53, INDIRECT("'" &amp; AF$3 &amp; "'!A:A"), INDIRECT("'" &amp; AF$3 &amp; "'!B:B")),0)</f>
        <v>310</v>
      </c>
      <c r="AG53" s="157" cm="1">
        <f t="array" aca="1" ref="AG53" ca="1">IFERROR(_xlfn.XLOOKUP($A53, INDIRECT("'" &amp; AG$3 &amp; "'!A:A"), INDIRECT("'" &amp; AG$3 &amp; "'!B:B")),0)</f>
        <v>310</v>
      </c>
      <c r="AH53" s="157" cm="1">
        <f t="array" aca="1" ref="AH53" ca="1">IFERROR(_xlfn.XLOOKUP($A53, INDIRECT("'" &amp; AH$3 &amp; "'!A:A"), INDIRECT("'" &amp; AH$3 &amp; "'!B:B")),0)</f>
        <v>310</v>
      </c>
      <c r="AI53" s="157" cm="1">
        <f t="array" aca="1" ref="AI53" ca="1">IFERROR(_xlfn.XLOOKUP($A53, INDIRECT("'" &amp; AI$3 &amp; "'!A:A"), INDIRECT("'" &amp; AI$3 &amp; "'!B:B")),0)</f>
        <v>310</v>
      </c>
      <c r="AJ53" s="157">
        <f t="shared" ca="1" si="2"/>
        <v>310</v>
      </c>
      <c r="AK53" s="156" cm="1">
        <f t="array" aca="1" ref="AK53" ca="1">IFERROR(_xlfn.XLOOKUP($A53, INDIRECT("'" &amp; AK$3 &amp; "'!A:A"), INDIRECT("'" &amp; AK$3 &amp; "'!B:B")),0)</f>
        <v>0</v>
      </c>
      <c r="AL53" s="155" cm="1">
        <f t="array" aca="1" ref="AL53" ca="1">IFERROR(_xlfn.XLOOKUP($A53, INDIRECT("'" &amp; AL$3 &amp; "'!A:A"), INDIRECT("'" &amp; AL$3 &amp; "'!B:B")),0)</f>
        <v>0</v>
      </c>
      <c r="AM53" s="157" cm="1">
        <f t="array" aca="1" ref="AM53" ca="1">IFERROR(_xlfn.XLOOKUP($A53, INDIRECT("'" &amp; AM$3 &amp; "'!A:A"), INDIRECT("'" &amp; AM$3 &amp; "'!B:B")),0)</f>
        <v>0</v>
      </c>
    </row>
    <row r="54" spans="1:39" x14ac:dyDescent="0.25">
      <c r="A54" s="225" t="s">
        <v>200</v>
      </c>
      <c r="B54" s="157" cm="1">
        <f t="array" aca="1" ref="B54" ca="1">IFERROR(_xlfn.XLOOKUP($A54, INDIRECT("'" &amp; B$3 &amp; "'!A:A"), INDIRECT("'" &amp; B$3 &amp; "'!B:B")),0)</f>
        <v>0</v>
      </c>
      <c r="C54" s="157" cm="1">
        <f t="array" aca="1" ref="C54" ca="1">IFERROR(_xlfn.XLOOKUP($A54, INDIRECT("'" &amp; C$3 &amp; "'!A:A"), INDIRECT("'" &amp; C$3 &amp; "'!B:B")),0)</f>
        <v>0</v>
      </c>
      <c r="D54" s="157" cm="1">
        <f t="array" aca="1" ref="D54" ca="1">IFERROR(_xlfn.XLOOKUP($A54, INDIRECT("'" &amp; D$3 &amp; "'!A:A"), INDIRECT("'" &amp; D$3 &amp; "'!B:B")),0)</f>
        <v>0</v>
      </c>
      <c r="E54" s="157" cm="1">
        <f t="array" aca="1" ref="E54" ca="1">IFERROR(_xlfn.XLOOKUP($A54, INDIRECT("'" &amp; E$3 &amp; "'!A:A"), INDIRECT("'" &amp; E$3 &amp; "'!B:B")),0)</f>
        <v>0</v>
      </c>
      <c r="F54" s="157" cm="1">
        <f t="array" aca="1" ref="F54" ca="1">IFERROR(_xlfn.XLOOKUP($A54, INDIRECT("'" &amp; F$3 &amp; "'!A:A"), INDIRECT("'" &amp; F$3 &amp; "'!B:B")),0)</f>
        <v>0</v>
      </c>
      <c r="G54" s="157" cm="1">
        <f t="array" aca="1" ref="G54" ca="1">IFERROR(_xlfn.XLOOKUP($A54, INDIRECT("'" &amp; G$3 &amp; "'!A:A"), INDIRECT("'" &amp; G$3 &amp; "'!B:B")),0)</f>
        <v>0</v>
      </c>
      <c r="H54" s="157" cm="1">
        <f t="array" aca="1" ref="H54" ca="1">IFERROR(_xlfn.XLOOKUP($A54, INDIRECT("'" &amp; H$3 &amp; "'!A:A"), INDIRECT("'" &amp; H$3 &amp; "'!B:B")),0)</f>
        <v>0</v>
      </c>
      <c r="I54" s="157" cm="1">
        <f t="array" aca="1" ref="I54" ca="1">IFERROR(_xlfn.XLOOKUP($A54, INDIRECT("'" &amp; I$3 &amp; "'!A:A"), INDIRECT("'" &amp; I$3 &amp; "'!B:B")),0)</f>
        <v>0</v>
      </c>
      <c r="J54" s="157" cm="1">
        <f t="array" aca="1" ref="J54" ca="1">IFERROR(_xlfn.XLOOKUP($A54, INDIRECT("'" &amp; J$3 &amp; "'!A:A"), INDIRECT("'" &amp; J$3 &amp; "'!B:B")),0)</f>
        <v>0</v>
      </c>
      <c r="K54" s="157" cm="1">
        <f t="array" aca="1" ref="K54" ca="1">IFERROR(_xlfn.XLOOKUP($A54, INDIRECT("'" &amp; K$3 &amp; "'!A:A"), INDIRECT("'" &amp; K$3 &amp; "'!B:B")),0)</f>
        <v>0</v>
      </c>
      <c r="L54" s="157" cm="1">
        <f t="array" aca="1" ref="L54" ca="1">IFERROR(_xlfn.XLOOKUP($A54, INDIRECT("'" &amp; L$3 &amp; "'!A:A"), INDIRECT("'" &amp; L$3 &amp; "'!B:B")),0)</f>
        <v>0</v>
      </c>
      <c r="M54" s="157" cm="1">
        <f t="array" aca="1" ref="M54" ca="1">IFERROR(_xlfn.XLOOKUP($A54, INDIRECT("'" &amp; M$3 &amp; "'!A:A"), INDIRECT("'" &amp; M$3 &amp; "'!B:B")),0)</f>
        <v>0</v>
      </c>
      <c r="N54" s="157" cm="1">
        <f t="array" aca="1" ref="N54" ca="1">IFERROR(_xlfn.XLOOKUP($A54, INDIRECT("'" &amp; N$3 &amp; "'!A:A"), INDIRECT("'" &amp; N$3 &amp; "'!B:B")),0)</f>
        <v>0</v>
      </c>
      <c r="O54" s="157" cm="1">
        <f t="array" aca="1" ref="O54" ca="1">IFERROR(_xlfn.XLOOKUP($A54, INDIRECT("'" &amp; O$3 &amp; "'!A:A"), INDIRECT("'" &amp; O$3 &amp; "'!B:B")),0)</f>
        <v>0</v>
      </c>
      <c r="P54" s="157" cm="1">
        <f t="array" aca="1" ref="P54" ca="1">IFERROR(_xlfn.XLOOKUP($A54, INDIRECT("'" &amp; P$3 &amp; "'!A:A"), INDIRECT("'" &amp; P$3 &amp; "'!B:B")),0)</f>
        <v>90</v>
      </c>
      <c r="Q54" s="157" cm="1">
        <f t="array" aca="1" ref="Q54" ca="1">IFERROR(_xlfn.XLOOKUP($A54, INDIRECT("'" &amp; Q$3 &amp; "'!A:A"), INDIRECT("'" &amp; Q$3 &amp; "'!B:B")),0)</f>
        <v>0</v>
      </c>
      <c r="R54" s="157" cm="1">
        <f t="array" aca="1" ref="R54" ca="1">IFERROR(_xlfn.XLOOKUP($A54, INDIRECT("'" &amp; R$3 &amp; "'!A:A"), INDIRECT("'" &amp; R$3 &amp; "'!B:B")),0)</f>
        <v>0</v>
      </c>
      <c r="S54" s="157" cm="1">
        <f t="array" aca="1" ref="S54" ca="1">IFERROR(_xlfn.XLOOKUP($A54, INDIRECT("'" &amp; S$3 &amp; "'!A:A"), INDIRECT("'" &amp; S$3 &amp; "'!B:B")),0)</f>
        <v>0</v>
      </c>
      <c r="T54" s="157" cm="1">
        <f t="array" aca="1" ref="T54" ca="1">IFERROR(_xlfn.XLOOKUP($A54, INDIRECT("'" &amp; T$3 &amp; "'!A:A"), INDIRECT("'" &amp; T$3 &amp; "'!B:B")),0)</f>
        <v>0</v>
      </c>
      <c r="U54" s="157" cm="1">
        <f t="array" aca="1" ref="U54" ca="1">IFERROR(_xlfn.XLOOKUP($A54, INDIRECT("'" &amp; U$3 &amp; "'!A:A"), INDIRECT("'" &amp; U$3 &amp; "'!B:B")),0)</f>
        <v>0</v>
      </c>
      <c r="V54" s="157" cm="1">
        <f t="array" aca="1" ref="V54" ca="1">IFERROR(_xlfn.XLOOKUP($A54, INDIRECT("'" &amp; V$3 &amp; "'!A:A"), INDIRECT("'" &amp; V$3 &amp; "'!B:B")),0)</f>
        <v>0</v>
      </c>
      <c r="W54" s="157" cm="1">
        <f t="array" aca="1" ref="W54" ca="1">IFERROR(_xlfn.XLOOKUP($A54, INDIRECT("'" &amp; W$3 &amp; "'!A:A"), INDIRECT("'" &amp; W$3 &amp; "'!B:B")),0)</f>
        <v>0</v>
      </c>
      <c r="X54" s="157" cm="1">
        <f t="array" aca="1" ref="X54" ca="1">IFERROR(_xlfn.XLOOKUP($A54, INDIRECT("'" &amp; X$3 &amp; "'!A:A"), INDIRECT("'" &amp; X$3 &amp; "'!B:B")),0)</f>
        <v>0</v>
      </c>
      <c r="Y54" s="157" cm="1">
        <f t="array" aca="1" ref="Y54" ca="1">IFERROR(_xlfn.XLOOKUP($A54, INDIRECT("'" &amp; Y$3 &amp; "'!A:A"), INDIRECT("'" &amp; Y$3 &amp; "'!B:B")),0)</f>
        <v>0</v>
      </c>
      <c r="Z54" s="157" cm="1">
        <f t="array" aca="1" ref="Z54" ca="1">IFERROR(_xlfn.XLOOKUP($A54, INDIRECT("'" &amp; Z$3 &amp; "'!A:A"), INDIRECT("'" &amp; Z$3 &amp; "'!B:B")),0)</f>
        <v>0</v>
      </c>
      <c r="AA54" s="157" cm="1">
        <f t="array" aca="1" ref="AA54" ca="1">IFERROR(_xlfn.XLOOKUP($A54, INDIRECT("'" &amp; AA$3 &amp; "'!A:A"), INDIRECT("'" &amp; AA$3 &amp; "'!B:B")),0)</f>
        <v>0</v>
      </c>
      <c r="AB54" s="157" cm="1">
        <f t="array" aca="1" ref="AB54" ca="1">IFERROR(_xlfn.XLOOKUP($A54, INDIRECT("'" &amp; AB$3 &amp; "'!A:A"), INDIRECT("'" &amp; AB$3 &amp; "'!B:B")),0)</f>
        <v>0</v>
      </c>
      <c r="AC54" s="157" cm="1">
        <f t="array" aca="1" ref="AC54" ca="1">IFERROR(_xlfn.XLOOKUP($A54, INDIRECT("'" &amp; AC$3 &amp; "'!A:A"), INDIRECT("'" &amp; AC$3 &amp; "'!B:B")),0)</f>
        <v>1234</v>
      </c>
      <c r="AD54" s="157" cm="1">
        <f t="array" aca="1" ref="AD54" ca="1">IFERROR(_xlfn.XLOOKUP($A54, INDIRECT("'" &amp; AD$3 &amp; "'!A:A"), INDIRECT("'" &amp; AD$3 &amp; "'!B:B")),0)</f>
        <v>0</v>
      </c>
      <c r="AE54" s="157" cm="1">
        <f t="array" aca="1" ref="AE54" ca="1">IFERROR(_xlfn.XLOOKUP($A54, INDIRECT("'" &amp; AE$3 &amp; "'!A:A"), INDIRECT("'" &amp; AE$3 &amp; "'!B:B")),0)</f>
        <v>0</v>
      </c>
      <c r="AF54" s="157" cm="1">
        <f t="array" aca="1" ref="AF54" ca="1">IFERROR(_xlfn.XLOOKUP($A54, INDIRECT("'" &amp; AF$3 &amp; "'!A:A"), INDIRECT("'" &amp; AF$3 &amp; "'!B:B")),0)</f>
        <v>0</v>
      </c>
      <c r="AG54" s="157" cm="1">
        <f t="array" aca="1" ref="AG54" ca="1">IFERROR(_xlfn.XLOOKUP($A54, INDIRECT("'" &amp; AG$3 &amp; "'!A:A"), INDIRECT("'" &amp; AG$3 &amp; "'!B:B")),0)</f>
        <v>0</v>
      </c>
      <c r="AH54" s="157" cm="1">
        <f t="array" aca="1" ref="AH54" ca="1">IFERROR(_xlfn.XLOOKUP($A54, INDIRECT("'" &amp; AH$3 &amp; "'!A:A"), INDIRECT("'" &amp; AH$3 &amp; "'!B:B")),0)</f>
        <v>0</v>
      </c>
      <c r="AI54" s="157" cm="1">
        <f t="array" aca="1" ref="AI54" ca="1">IFERROR(_xlfn.XLOOKUP($A54, INDIRECT("'" &amp; AI$3 &amp; "'!A:A"), INDIRECT("'" &amp; AI$3 &amp; "'!B:B")),0)</f>
        <v>3146</v>
      </c>
      <c r="AJ54" s="157">
        <f t="shared" ca="1" si="2"/>
        <v>0</v>
      </c>
      <c r="AK54" s="156" cm="1">
        <f t="array" aca="1" ref="AK54" ca="1">IFERROR(_xlfn.XLOOKUP($A54, INDIRECT("'" &amp; AK$3 &amp; "'!A:A"), INDIRECT("'" &amp; AK$3 &amp; "'!B:B")),0)</f>
        <v>0</v>
      </c>
      <c r="AL54" s="155" cm="1">
        <f t="array" aca="1" ref="AL54" ca="1">IFERROR(_xlfn.XLOOKUP($A54, INDIRECT("'" &amp; AL$3 &amp; "'!A:A"), INDIRECT("'" &amp; AL$3 &amp; "'!B:B")),0)</f>
        <v>0</v>
      </c>
      <c r="AM54" s="157" cm="1">
        <f t="array" aca="1" ref="AM54" ca="1">IFERROR(_xlfn.XLOOKUP($A54, INDIRECT("'" &amp; AM$3 &amp; "'!A:A"), INDIRECT("'" &amp; AM$3 &amp; "'!B:B")),0)</f>
        <v>0</v>
      </c>
    </row>
    <row r="55" spans="1:39" x14ac:dyDescent="0.25">
      <c r="A55" s="225" t="s">
        <v>201</v>
      </c>
      <c r="B55" s="157" cm="1">
        <f t="array" aca="1" ref="B55" ca="1">IFERROR(_xlfn.XLOOKUP($A55, INDIRECT("'" &amp; B$3 &amp; "'!A:A"), INDIRECT("'" &amp; B$3 &amp; "'!B:B")),0)</f>
        <v>90</v>
      </c>
      <c r="C55" s="157" cm="1">
        <f t="array" aca="1" ref="C55" ca="1">IFERROR(_xlfn.XLOOKUP($A55, INDIRECT("'" &amp; C$3 &amp; "'!A:A"), INDIRECT("'" &amp; C$3 &amp; "'!B:B")),0)</f>
        <v>90</v>
      </c>
      <c r="D55" s="157" cm="1">
        <f t="array" aca="1" ref="D55" ca="1">IFERROR(_xlfn.XLOOKUP($A55, INDIRECT("'" &amp; D$3 &amp; "'!A:A"), INDIRECT("'" &amp; D$3 &amp; "'!B:B")),0)</f>
        <v>90</v>
      </c>
      <c r="E55" s="157" cm="1">
        <f t="array" aca="1" ref="E55" ca="1">IFERROR(_xlfn.XLOOKUP($A55, INDIRECT("'" &amp; E$3 &amp; "'!A:A"), INDIRECT("'" &amp; E$3 &amp; "'!B:B")),0)</f>
        <v>90</v>
      </c>
      <c r="F55" s="157" cm="1">
        <f t="array" aca="1" ref="F55" ca="1">IFERROR(_xlfn.XLOOKUP($A55, INDIRECT("'" &amp; F$3 &amp; "'!A:A"), INDIRECT("'" &amp; F$3 &amp; "'!B:B")),0)</f>
        <v>90</v>
      </c>
      <c r="G55" s="157" cm="1">
        <f t="array" aca="1" ref="G55" ca="1">IFERROR(_xlfn.XLOOKUP($A55, INDIRECT("'" &amp; G$3 &amp; "'!A:A"), INDIRECT("'" &amp; G$3 &amp; "'!B:B")),0)</f>
        <v>90</v>
      </c>
      <c r="H55" s="157" cm="1">
        <f t="array" aca="1" ref="H55" ca="1">IFERROR(_xlfn.XLOOKUP($A55, INDIRECT("'" &amp; H$3 &amp; "'!A:A"), INDIRECT("'" &amp; H$3 &amp; "'!B:B")),0)</f>
        <v>90</v>
      </c>
      <c r="I55" s="157" cm="1">
        <f t="array" aca="1" ref="I55" ca="1">IFERROR(_xlfn.XLOOKUP($A55, INDIRECT("'" &amp; I$3 &amp; "'!A:A"), INDIRECT("'" &amp; I$3 &amp; "'!B:B")),0)</f>
        <v>90</v>
      </c>
      <c r="J55" s="157" cm="1">
        <f t="array" aca="1" ref="J55" ca="1">IFERROR(_xlfn.XLOOKUP($A55, INDIRECT("'" &amp; J$3 &amp; "'!A:A"), INDIRECT("'" &amp; J$3 &amp; "'!B:B")),0)</f>
        <v>90</v>
      </c>
      <c r="K55" s="157" cm="1">
        <f t="array" aca="1" ref="K55" ca="1">IFERROR(_xlfn.XLOOKUP($A55, INDIRECT("'" &amp; K$3 &amp; "'!A:A"), INDIRECT("'" &amp; K$3 &amp; "'!B:B")),0)</f>
        <v>90</v>
      </c>
      <c r="L55" s="157" cm="1">
        <f t="array" aca="1" ref="L55" ca="1">IFERROR(_xlfn.XLOOKUP($A55, INDIRECT("'" &amp; L$3 &amp; "'!A:A"), INDIRECT("'" &amp; L$3 &amp; "'!B:B")),0)</f>
        <v>90</v>
      </c>
      <c r="M55" s="157" cm="1">
        <f t="array" aca="1" ref="M55" ca="1">IFERROR(_xlfn.XLOOKUP($A55, INDIRECT("'" &amp; M$3 &amp; "'!A:A"), INDIRECT("'" &amp; M$3 &amp; "'!B:B")),0)</f>
        <v>90</v>
      </c>
      <c r="N55" s="157" cm="1">
        <f t="array" aca="1" ref="N55" ca="1">IFERROR(_xlfn.XLOOKUP($A55, INDIRECT("'" &amp; N$3 &amp; "'!A:A"), INDIRECT("'" &amp; N$3 &amp; "'!B:B")),0)</f>
        <v>90</v>
      </c>
      <c r="O55" s="157" cm="1">
        <f t="array" aca="1" ref="O55" ca="1">IFERROR(_xlfn.XLOOKUP($A55, INDIRECT("'" &amp; O$3 &amp; "'!A:A"), INDIRECT("'" &amp; O$3 &amp; "'!B:B")),0)</f>
        <v>90</v>
      </c>
      <c r="P55" s="157" cm="1">
        <f t="array" aca="1" ref="P55" ca="1">IFERROR(_xlfn.XLOOKUP($A55, INDIRECT("'" &amp; P$3 &amp; "'!A:A"), INDIRECT("'" &amp; P$3 &amp; "'!B:B")),0)</f>
        <v>0</v>
      </c>
      <c r="Q55" s="157" cm="1">
        <f t="array" aca="1" ref="Q55" ca="1">IFERROR(_xlfn.XLOOKUP($A55, INDIRECT("'" &amp; Q$3 &amp; "'!A:A"), INDIRECT("'" &amp; Q$3 &amp; "'!B:B")),0)</f>
        <v>90</v>
      </c>
      <c r="R55" s="157" cm="1">
        <f t="array" aca="1" ref="R55" ca="1">IFERROR(_xlfn.XLOOKUP($A55, INDIRECT("'" &amp; R$3 &amp; "'!A:A"), INDIRECT("'" &amp; R$3 &amp; "'!B:B")),0)</f>
        <v>90</v>
      </c>
      <c r="S55" s="157" cm="1">
        <f t="array" aca="1" ref="S55" ca="1">IFERROR(_xlfn.XLOOKUP($A55, INDIRECT("'" &amp; S$3 &amp; "'!A:A"), INDIRECT("'" &amp; S$3 &amp; "'!B:B")),0)</f>
        <v>0</v>
      </c>
      <c r="T55" s="157" cm="1">
        <f t="array" aca="1" ref="T55" ca="1">IFERROR(_xlfn.XLOOKUP($A55, INDIRECT("'" &amp; T$3 &amp; "'!A:A"), INDIRECT("'" &amp; T$3 &amp; "'!B:B")),0)</f>
        <v>0</v>
      </c>
      <c r="U55" s="157" cm="1">
        <f t="array" aca="1" ref="U55" ca="1">IFERROR(_xlfn.XLOOKUP($A55, INDIRECT("'" &amp; U$3 &amp; "'!A:A"), INDIRECT("'" &amp; U$3 &amp; "'!B:B")),0)</f>
        <v>0</v>
      </c>
      <c r="V55" s="157" cm="1">
        <f t="array" aca="1" ref="V55" ca="1">IFERROR(_xlfn.XLOOKUP($A55, INDIRECT("'" &amp; V$3 &amp; "'!A:A"), INDIRECT("'" &amp; V$3 &amp; "'!B:B")),0)</f>
        <v>0</v>
      </c>
      <c r="W55" s="157" cm="1">
        <f t="array" aca="1" ref="W55" ca="1">IFERROR(_xlfn.XLOOKUP($A55, INDIRECT("'" &amp; W$3 &amp; "'!A:A"), INDIRECT("'" &amp; W$3 &amp; "'!B:B")),0)</f>
        <v>0</v>
      </c>
      <c r="X55" s="157" cm="1">
        <f t="array" aca="1" ref="X55" ca="1">IFERROR(_xlfn.XLOOKUP($A55, INDIRECT("'" &amp; X$3 &amp; "'!A:A"), INDIRECT("'" &amp; X$3 &amp; "'!B:B")),0)</f>
        <v>0</v>
      </c>
      <c r="Y55" s="157" cm="1">
        <f t="array" aca="1" ref="Y55" ca="1">IFERROR(_xlfn.XLOOKUP($A55, INDIRECT("'" &amp; Y$3 &amp; "'!A:A"), INDIRECT("'" &amp; Y$3 &amp; "'!B:B")),0)</f>
        <v>0</v>
      </c>
      <c r="Z55" s="157" cm="1">
        <f t="array" aca="1" ref="Z55" ca="1">IFERROR(_xlfn.XLOOKUP($A55, INDIRECT("'" &amp; Z$3 &amp; "'!A:A"), INDIRECT("'" &amp; Z$3 &amp; "'!B:B")),0)</f>
        <v>0</v>
      </c>
      <c r="AA55" s="157" cm="1">
        <f t="array" aca="1" ref="AA55" ca="1">IFERROR(_xlfn.XLOOKUP($A55, INDIRECT("'" &amp; AA$3 &amp; "'!A:A"), INDIRECT("'" &amp; AA$3 &amp; "'!B:B")),0)</f>
        <v>0</v>
      </c>
      <c r="AB55" s="157" cm="1">
        <f t="array" aca="1" ref="AB55" ca="1">IFERROR(_xlfn.XLOOKUP($A55, INDIRECT("'" &amp; AB$3 &amp; "'!A:A"), INDIRECT("'" &amp; AB$3 &amp; "'!B:B")),0)</f>
        <v>5026</v>
      </c>
      <c r="AC55" s="157" cm="1">
        <f t="array" aca="1" ref="AC55" ca="1">IFERROR(_xlfn.XLOOKUP($A55, INDIRECT("'" &amp; AC$3 &amp; "'!A:A"), INDIRECT("'" &amp; AC$3 &amp; "'!B:B")),0)</f>
        <v>0</v>
      </c>
      <c r="AD55" s="157" cm="1">
        <f t="array" aca="1" ref="AD55" ca="1">IFERROR(_xlfn.XLOOKUP($A55, INDIRECT("'" &amp; AD$3 &amp; "'!A:A"), INDIRECT("'" &amp; AD$3 &amp; "'!B:B")),0)</f>
        <v>0</v>
      </c>
      <c r="AE55" s="157" cm="1">
        <f t="array" aca="1" ref="AE55" ca="1">IFERROR(_xlfn.XLOOKUP($A55, INDIRECT("'" &amp; AE$3 &amp; "'!A:A"), INDIRECT("'" &amp; AE$3 &amp; "'!B:B")),0)</f>
        <v>0</v>
      </c>
      <c r="AF55" s="157" cm="1">
        <f t="array" aca="1" ref="AF55" ca="1">IFERROR(_xlfn.XLOOKUP($A55, INDIRECT("'" &amp; AF$3 &amp; "'!A:A"), INDIRECT("'" &amp; AF$3 &amp; "'!B:B")),0)</f>
        <v>0</v>
      </c>
      <c r="AG55" s="157" cm="1">
        <f t="array" aca="1" ref="AG55" ca="1">IFERROR(_xlfn.XLOOKUP($A55, INDIRECT("'" &amp; AG$3 &amp; "'!A:A"), INDIRECT("'" &amp; AG$3 &amp; "'!B:B")),0)</f>
        <v>0</v>
      </c>
      <c r="AH55" s="157" cm="1">
        <f t="array" aca="1" ref="AH55" ca="1">IFERROR(_xlfn.XLOOKUP($A55, INDIRECT("'" &amp; AH$3 &amp; "'!A:A"), INDIRECT("'" &amp; AH$3 &amp; "'!B:B")),0)</f>
        <v>0</v>
      </c>
      <c r="AI55" s="157" cm="1">
        <f t="array" aca="1" ref="AI55" ca="1">IFERROR(_xlfn.XLOOKUP($A55, INDIRECT("'" &amp; AI$3 &amp; "'!A:A"), INDIRECT("'" &amp; AI$3 &amp; "'!B:B")),0)</f>
        <v>0</v>
      </c>
      <c r="AJ55" s="157">
        <f t="shared" ca="1" si="2"/>
        <v>90</v>
      </c>
      <c r="AK55" s="156" cm="1">
        <f t="array" aca="1" ref="AK55" ca="1">IFERROR(_xlfn.XLOOKUP($A55, INDIRECT("'" &amp; AK$3 &amp; "'!A:A"), INDIRECT("'" &amp; AK$3 &amp; "'!B:B")),0)</f>
        <v>0</v>
      </c>
      <c r="AL55" s="155" cm="1">
        <f t="array" aca="1" ref="AL55" ca="1">IFERROR(_xlfn.XLOOKUP($A55, INDIRECT("'" &amp; AL$3 &amp; "'!A:A"), INDIRECT("'" &amp; AL$3 &amp; "'!B:B")),0)</f>
        <v>0</v>
      </c>
      <c r="AM55" s="157" cm="1">
        <f t="array" aca="1" ref="AM55" ca="1">IFERROR(_xlfn.XLOOKUP($A55, INDIRECT("'" &amp; AM$3 &amp; "'!A:A"), INDIRECT("'" &amp; AM$3 &amp; "'!B:B")),0)</f>
        <v>0</v>
      </c>
    </row>
    <row r="56" spans="1:39" x14ac:dyDescent="0.25">
      <c r="A56" s="225" t="s">
        <v>202</v>
      </c>
      <c r="B56" s="157" cm="1">
        <f t="array" aca="1" ref="B56" ca="1">IFERROR(_xlfn.XLOOKUP($A56, INDIRECT("'" &amp; B$3 &amp; "'!A:A"), INDIRECT("'" &amp; B$3 &amp; "'!B:B")),0)</f>
        <v>235</v>
      </c>
      <c r="C56" s="157" cm="1">
        <f t="array" aca="1" ref="C56" ca="1">IFERROR(_xlfn.XLOOKUP($A56, INDIRECT("'" &amp; C$3 &amp; "'!A:A"), INDIRECT("'" &amp; C$3 &amp; "'!B:B")),0)</f>
        <v>235</v>
      </c>
      <c r="D56" s="157" cm="1">
        <f t="array" aca="1" ref="D56" ca="1">IFERROR(_xlfn.XLOOKUP($A56, INDIRECT("'" &amp; D$3 &amp; "'!A:A"), INDIRECT("'" &amp; D$3 &amp; "'!B:B")),0)</f>
        <v>235</v>
      </c>
      <c r="E56" s="157" cm="1">
        <f t="array" aca="1" ref="E56" ca="1">IFERROR(_xlfn.XLOOKUP($A56, INDIRECT("'" &amp; E$3 &amp; "'!A:A"), INDIRECT("'" &amp; E$3 &amp; "'!B:B")),0)</f>
        <v>235</v>
      </c>
      <c r="F56" s="157" cm="1">
        <f t="array" aca="1" ref="F56" ca="1">IFERROR(_xlfn.XLOOKUP($A56, INDIRECT("'" &amp; F$3 &amp; "'!A:A"), INDIRECT("'" &amp; F$3 &amp; "'!B:B")),0)</f>
        <v>235</v>
      </c>
      <c r="G56" s="157" cm="1">
        <f t="array" aca="1" ref="G56" ca="1">IFERROR(_xlfn.XLOOKUP($A56, INDIRECT("'" &amp; G$3 &amp; "'!A:A"), INDIRECT("'" &amp; G$3 &amp; "'!B:B")),0)</f>
        <v>235</v>
      </c>
      <c r="H56" s="157" cm="1">
        <f t="array" aca="1" ref="H56" ca="1">IFERROR(_xlfn.XLOOKUP($A56, INDIRECT("'" &amp; H$3 &amp; "'!A:A"), INDIRECT("'" &amp; H$3 &amp; "'!B:B")),0)</f>
        <v>235</v>
      </c>
      <c r="I56" s="157" cm="1">
        <f t="array" aca="1" ref="I56" ca="1">IFERROR(_xlfn.XLOOKUP($A56, INDIRECT("'" &amp; I$3 &amp; "'!A:A"), INDIRECT("'" &amp; I$3 &amp; "'!B:B")),0)</f>
        <v>235</v>
      </c>
      <c r="J56" s="157" cm="1">
        <f t="array" aca="1" ref="J56" ca="1">IFERROR(_xlfn.XLOOKUP($A56, INDIRECT("'" &amp; J$3 &amp; "'!A:A"), INDIRECT("'" &amp; J$3 &amp; "'!B:B")),0)</f>
        <v>235</v>
      </c>
      <c r="K56" s="157" cm="1">
        <f t="array" aca="1" ref="K56" ca="1">IFERROR(_xlfn.XLOOKUP($A56, INDIRECT("'" &amp; K$3 &amp; "'!A:A"), INDIRECT("'" &amp; K$3 &amp; "'!B:B")),0)</f>
        <v>235</v>
      </c>
      <c r="L56" s="157" cm="1">
        <f t="array" aca="1" ref="L56" ca="1">IFERROR(_xlfn.XLOOKUP($A56, INDIRECT("'" &amp; L$3 &amp; "'!A:A"), INDIRECT("'" &amp; L$3 &amp; "'!B:B")),0)</f>
        <v>235</v>
      </c>
      <c r="M56" s="157" cm="1">
        <f t="array" aca="1" ref="M56" ca="1">IFERROR(_xlfn.XLOOKUP($A56, INDIRECT("'" &amp; M$3 &amp; "'!A:A"), INDIRECT("'" &amp; M$3 &amp; "'!B:B")),0)</f>
        <v>235</v>
      </c>
      <c r="N56" s="157" cm="1">
        <f t="array" aca="1" ref="N56" ca="1">IFERROR(_xlfn.XLOOKUP($A56, INDIRECT("'" &amp; N$3 &amp; "'!A:A"), INDIRECT("'" &amp; N$3 &amp; "'!B:B")),0)</f>
        <v>235</v>
      </c>
      <c r="O56" s="157" cm="1">
        <f t="array" aca="1" ref="O56" ca="1">IFERROR(_xlfn.XLOOKUP($A56, INDIRECT("'" &amp; O$3 &amp; "'!A:A"), INDIRECT("'" &amp; O$3 &amp; "'!B:B")),0)</f>
        <v>235</v>
      </c>
      <c r="P56" s="157" cm="1">
        <f t="array" aca="1" ref="P56" ca="1">IFERROR(_xlfn.XLOOKUP($A56, INDIRECT("'" &amp; P$3 &amp; "'!A:A"), INDIRECT("'" &amp; P$3 &amp; "'!B:B")),0)</f>
        <v>235</v>
      </c>
      <c r="Q56" s="157" cm="1">
        <f t="array" aca="1" ref="Q56" ca="1">IFERROR(_xlfn.XLOOKUP($A56, INDIRECT("'" &amp; Q$3 &amp; "'!A:A"), INDIRECT("'" &amp; Q$3 &amp; "'!B:B")),0)</f>
        <v>235</v>
      </c>
      <c r="R56" s="157" cm="1">
        <f t="array" aca="1" ref="R56" ca="1">IFERROR(_xlfn.XLOOKUP($A56, INDIRECT("'" &amp; R$3 &amp; "'!A:A"), INDIRECT("'" &amp; R$3 &amp; "'!B:B")),0)</f>
        <v>235</v>
      </c>
      <c r="S56" s="157" cm="1">
        <f t="array" aca="1" ref="S56" ca="1">IFERROR(_xlfn.XLOOKUP($A56, INDIRECT("'" &amp; S$3 &amp; "'!A:A"), INDIRECT("'" &amp; S$3 &amp; "'!B:B")),0)</f>
        <v>235</v>
      </c>
      <c r="T56" s="157" cm="1">
        <f t="array" aca="1" ref="T56" ca="1">IFERROR(_xlfn.XLOOKUP($A56, INDIRECT("'" &amp; T$3 &amp; "'!A:A"), INDIRECT("'" &amp; T$3 &amp; "'!B:B")),0)</f>
        <v>235</v>
      </c>
      <c r="U56" s="157" cm="1">
        <f t="array" aca="1" ref="U56" ca="1">IFERROR(_xlfn.XLOOKUP($A56, INDIRECT("'" &amp; U$3 &amp; "'!A:A"), INDIRECT("'" &amp; U$3 &amp; "'!B:B")),0)</f>
        <v>235</v>
      </c>
      <c r="V56" s="157" cm="1">
        <f t="array" aca="1" ref="V56" ca="1">IFERROR(_xlfn.XLOOKUP($A56, INDIRECT("'" &amp; V$3 &amp; "'!A:A"), INDIRECT("'" &amp; V$3 &amp; "'!B:B")),0)</f>
        <v>235</v>
      </c>
      <c r="W56" s="157" cm="1">
        <f t="array" aca="1" ref="W56" ca="1">IFERROR(_xlfn.XLOOKUP($A56, INDIRECT("'" &amp; W$3 &amp; "'!A:A"), INDIRECT("'" &amp; W$3 &amp; "'!B:B")),0)</f>
        <v>310</v>
      </c>
      <c r="X56" s="157" cm="1">
        <f t="array" aca="1" ref="X56" ca="1">IFERROR(_xlfn.XLOOKUP($A56, INDIRECT("'" &amp; X$3 &amp; "'!A:A"), INDIRECT("'" &amp; X$3 &amp; "'!B:B")),0)</f>
        <v>235</v>
      </c>
      <c r="Y56" s="157" cm="1">
        <f t="array" aca="1" ref="Y56" ca="1">IFERROR(_xlfn.XLOOKUP($A56, INDIRECT("'" &amp; Y$3 &amp; "'!A:A"), INDIRECT("'" &amp; Y$3 &amp; "'!B:B")),0)</f>
        <v>235</v>
      </c>
      <c r="Z56" s="157" cm="1">
        <f t="array" aca="1" ref="Z56" ca="1">IFERROR(_xlfn.XLOOKUP($A56, INDIRECT("'" &amp; Z$3 &amp; "'!A:A"), INDIRECT("'" &amp; Z$3 &amp; "'!B:B")),0)</f>
        <v>310</v>
      </c>
      <c r="AA56" s="157" cm="1">
        <f t="array" aca="1" ref="AA56" ca="1">IFERROR(_xlfn.XLOOKUP($A56, INDIRECT("'" &amp; AA$3 &amp; "'!A:A"), INDIRECT("'" &amp; AA$3 &amp; "'!B:B")),0)</f>
        <v>235</v>
      </c>
      <c r="AB56" s="157" cm="1">
        <f t="array" aca="1" ref="AB56" ca="1">IFERROR(_xlfn.XLOOKUP($A56, INDIRECT("'" &amp; AB$3 &amp; "'!A:A"), INDIRECT("'" &amp; AB$3 &amp; "'!B:B")),0)</f>
        <v>310</v>
      </c>
      <c r="AC56" s="157" cm="1">
        <f t="array" aca="1" ref="AC56" ca="1">IFERROR(_xlfn.XLOOKUP($A56, INDIRECT("'" &amp; AC$3 &amp; "'!A:A"), INDIRECT("'" &amp; AC$3 &amp; "'!B:B")),0)</f>
        <v>310</v>
      </c>
      <c r="AD56" s="157" cm="1">
        <f t="array" aca="1" ref="AD56" ca="1">IFERROR(_xlfn.XLOOKUP($A56, INDIRECT("'" &amp; AD$3 &amp; "'!A:A"), INDIRECT("'" &amp; AD$3 &amp; "'!B:B")),0)</f>
        <v>310</v>
      </c>
      <c r="AE56" s="157" cm="1">
        <f t="array" aca="1" ref="AE56" ca="1">IFERROR(_xlfn.XLOOKUP($A56, INDIRECT("'" &amp; AE$3 &amp; "'!A:A"), INDIRECT("'" &amp; AE$3 &amp; "'!B:B")),0)</f>
        <v>235</v>
      </c>
      <c r="AF56" s="157" cm="1">
        <f t="array" aca="1" ref="AF56" ca="1">IFERROR(_xlfn.XLOOKUP($A56, INDIRECT("'" &amp; AF$3 &amp; "'!A:A"), INDIRECT("'" &amp; AF$3 &amp; "'!B:B")),0)</f>
        <v>235</v>
      </c>
      <c r="AG56" s="157" cm="1">
        <f t="array" aca="1" ref="AG56" ca="1">IFERROR(_xlfn.XLOOKUP($A56, INDIRECT("'" &amp; AG$3 &amp; "'!A:A"), INDIRECT("'" &amp; AG$3 &amp; "'!B:B")),0)</f>
        <v>310</v>
      </c>
      <c r="AH56" s="157" cm="1">
        <f t="array" aca="1" ref="AH56" ca="1">IFERROR(_xlfn.XLOOKUP($A56, INDIRECT("'" &amp; AH$3 &amp; "'!A:A"), INDIRECT("'" &amp; AH$3 &amp; "'!B:B")),0)</f>
        <v>235</v>
      </c>
      <c r="AI56" s="157" cm="1">
        <f t="array" aca="1" ref="AI56" ca="1">IFERROR(_xlfn.XLOOKUP($A56, INDIRECT("'" &amp; AI$3 &amp; "'!A:A"), INDIRECT("'" &amp; AI$3 &amp; "'!B:B")),0)</f>
        <v>310</v>
      </c>
      <c r="AJ56" s="157">
        <f t="shared" ca="1" si="2"/>
        <v>235</v>
      </c>
      <c r="AK56" s="156" cm="1">
        <f t="array" aca="1" ref="AK56" ca="1">IFERROR(_xlfn.XLOOKUP($A56, INDIRECT("'" &amp; AK$3 &amp; "'!A:A"), INDIRECT("'" &amp; AK$3 &amp; "'!B:B")),0)</f>
        <v>250</v>
      </c>
      <c r="AL56" s="155" cm="1">
        <f t="array" aca="1" ref="AL56" ca="1">IFERROR(_xlfn.XLOOKUP($A56, INDIRECT("'" &amp; AL$3 &amp; "'!A:A"), INDIRECT("'" &amp; AL$3 &amp; "'!B:B")),0)</f>
        <v>165</v>
      </c>
      <c r="AM56" s="157" cm="1">
        <f t="array" aca="1" ref="AM56" ca="1">IFERROR(_xlfn.XLOOKUP($A56, INDIRECT("'" &amp; AM$3 &amp; "'!A:A"), INDIRECT("'" &amp; AM$3 &amp; "'!B:B")),0)</f>
        <v>300</v>
      </c>
    </row>
    <row r="57" spans="1:39" ht="15.75" thickBot="1" x14ac:dyDescent="0.3">
      <c r="A57" s="225" t="s">
        <v>203</v>
      </c>
      <c r="B57" s="157" cm="1">
        <f t="array" aca="1" ref="B57" ca="1">IFERROR(_xlfn.XLOOKUP($A57, INDIRECT("'" &amp; B$3 &amp; "'!A:A"), INDIRECT("'" &amp; B$3 &amp; "'!B:B")),0)</f>
        <v>17107.5</v>
      </c>
      <c r="C57" s="157" cm="1">
        <f t="array" aca="1" ref="C57" ca="1">IFERROR(_xlfn.XLOOKUP($A57, INDIRECT("'" &amp; C$3 &amp; "'!A:A"), INDIRECT("'" &amp; C$3 &amp; "'!B:B")),0)</f>
        <v>11205</v>
      </c>
      <c r="D57" s="157" cm="1">
        <f t="array" aca="1" ref="D57" ca="1">IFERROR(_xlfn.XLOOKUP($A57, INDIRECT("'" &amp; D$3 &amp; "'!A:A"), INDIRECT("'" &amp; D$3 &amp; "'!B:B")),0)</f>
        <v>6750</v>
      </c>
      <c r="E57" s="157" cm="1">
        <f t="array" aca="1" ref="E57" ca="1">IFERROR(_xlfn.XLOOKUP($A57, INDIRECT("'" &amp; E$3 &amp; "'!A:A"), INDIRECT("'" &amp; E$3 &amp; "'!B:B")),0)</f>
        <v>6688</v>
      </c>
      <c r="F57" s="157" cm="1">
        <f t="array" aca="1" ref="F57" ca="1">IFERROR(_xlfn.XLOOKUP($A57, INDIRECT("'" &amp; F$3 &amp; "'!A:A"), INDIRECT("'" &amp; F$3 &amp; "'!B:B")),0)</f>
        <v>12930</v>
      </c>
      <c r="G57" s="157" cm="1">
        <f t="array" aca="1" ref="G57" ca="1">IFERROR(_xlfn.XLOOKUP($A57, INDIRECT("'" &amp; G$3 &amp; "'!A:A"), INDIRECT("'" &amp; G$3 &amp; "'!B:B")),0)</f>
        <v>9662.5</v>
      </c>
      <c r="H57" s="157" cm="1">
        <f t="array" aca="1" ref="H57" ca="1">IFERROR(_xlfn.XLOOKUP($A57, INDIRECT("'" &amp; H$3 &amp; "'!A:A"), INDIRECT("'" &amp; H$3 &amp; "'!B:B")),0)</f>
        <v>9940</v>
      </c>
      <c r="I57" s="157" cm="1">
        <f t="array" aca="1" ref="I57" ca="1">IFERROR(_xlfn.XLOOKUP($A57, INDIRECT("'" &amp; I$3 &amp; "'!A:A"), INDIRECT("'" &amp; I$3 &amp; "'!B:B")),0)</f>
        <v>11065</v>
      </c>
      <c r="J57" s="157" cm="1">
        <f t="array" aca="1" ref="J57" ca="1">IFERROR(_xlfn.XLOOKUP($A57, INDIRECT("'" &amp; J$3 &amp; "'!A:A"), INDIRECT("'" &amp; J$3 &amp; "'!B:B")),0)</f>
        <v>9970</v>
      </c>
      <c r="K57" s="157" cm="1">
        <f t="array" aca="1" ref="K57" ca="1">IFERROR(_xlfn.XLOOKUP($A57, INDIRECT("'" &amp; K$3 &amp; "'!A:A"), INDIRECT("'" &amp; K$3 &amp; "'!B:B")),0)</f>
        <v>11702</v>
      </c>
      <c r="L57" s="157" cm="1">
        <f t="array" aca="1" ref="L57" ca="1">IFERROR(_xlfn.XLOOKUP($A57, INDIRECT("'" &amp; L$3 &amp; "'!A:A"), INDIRECT("'" &amp; L$3 &amp; "'!B:B")),0)</f>
        <v>9137.5</v>
      </c>
      <c r="M57" s="157" cm="1">
        <f t="array" aca="1" ref="M57" ca="1">IFERROR(_xlfn.XLOOKUP($A57, INDIRECT("'" &amp; M$3 &amp; "'!A:A"), INDIRECT("'" &amp; M$3 &amp; "'!B:B")),0)</f>
        <v>14792.5</v>
      </c>
      <c r="N57" s="157" cm="1">
        <f t="array" aca="1" ref="N57" ca="1">IFERROR(_xlfn.XLOOKUP($A57, INDIRECT("'" &amp; N$3 &amp; "'!A:A"), INDIRECT("'" &amp; N$3 &amp; "'!B:B")),0)</f>
        <v>10472.5</v>
      </c>
      <c r="O57" s="157" cm="1">
        <f t="array" aca="1" ref="O57" ca="1">IFERROR(_xlfn.XLOOKUP($A57, INDIRECT("'" &amp; O$3 &amp; "'!A:A"), INDIRECT("'" &amp; O$3 &amp; "'!B:B")),0)</f>
        <v>16863</v>
      </c>
      <c r="P57" s="157" cm="1">
        <f t="array" aca="1" ref="P57" ca="1">IFERROR(_xlfn.XLOOKUP($A57, INDIRECT("'" &amp; P$3 &amp; "'!A:A"), INDIRECT("'" &amp; P$3 &amp; "'!B:B")),0)</f>
        <v>12802.5</v>
      </c>
      <c r="Q57" s="157" cm="1">
        <f t="array" aca="1" ref="Q57" ca="1">IFERROR(_xlfn.XLOOKUP($A57, INDIRECT("'" &amp; Q$3 &amp; "'!A:A"), INDIRECT("'" &amp; Q$3 &amp; "'!B:B")),0)</f>
        <v>12045</v>
      </c>
      <c r="R57" s="157" cm="1">
        <f t="array" aca="1" ref="R57" ca="1">IFERROR(_xlfn.XLOOKUP($A57, INDIRECT("'" &amp; R$3 &amp; "'!A:A"), INDIRECT("'" &amp; R$3 &amp; "'!B:B")),0)</f>
        <v>10577.5</v>
      </c>
      <c r="S57" s="157" cm="1">
        <f t="array" aca="1" ref="S57" ca="1">IFERROR(_xlfn.XLOOKUP($A57, INDIRECT("'" &amp; S$3 &amp; "'!A:A"), INDIRECT("'" &amp; S$3 &amp; "'!B:B")),0)</f>
        <v>8417.5</v>
      </c>
      <c r="T57" s="157" cm="1">
        <f t="array" aca="1" ref="T57" ca="1">IFERROR(_xlfn.XLOOKUP($A57, INDIRECT("'" &amp; T$3 &amp; "'!A:A"), INDIRECT("'" &amp; T$3 &amp; "'!B:B")),0)</f>
        <v>8615</v>
      </c>
      <c r="U57" s="157" cm="1">
        <f t="array" aca="1" ref="U57" ca="1">IFERROR(_xlfn.XLOOKUP($A57, INDIRECT("'" &amp; U$3 &amp; "'!A:A"), INDIRECT("'" &amp; U$3 &amp; "'!B:B")),0)</f>
        <v>6620</v>
      </c>
      <c r="V57" s="157" cm="1">
        <f t="array" aca="1" ref="V57" ca="1">IFERROR(_xlfn.XLOOKUP($A57, INDIRECT("'" &amp; V$3 &amp; "'!A:A"), INDIRECT("'" &amp; V$3 &amp; "'!B:B")),0)</f>
        <v>6890</v>
      </c>
      <c r="W57" s="157" cm="1">
        <f t="array" aca="1" ref="W57" ca="1">IFERROR(_xlfn.XLOOKUP($A57, INDIRECT("'" &amp; W$3 &amp; "'!A:A"), INDIRECT("'" &amp; W$3 &amp; "'!B:B")),0)</f>
        <v>12024.5</v>
      </c>
      <c r="X57" s="157" cm="1">
        <f t="array" aca="1" ref="X57" ca="1">IFERROR(_xlfn.XLOOKUP($A57, INDIRECT("'" &amp; X$3 &amp; "'!A:A"), INDIRECT("'" &amp; X$3 &amp; "'!B:B")),0)</f>
        <v>8450</v>
      </c>
      <c r="Y57" s="157" cm="1">
        <f t="array" aca="1" ref="Y57" ca="1">IFERROR(_xlfn.XLOOKUP($A57, INDIRECT("'" &amp; Y$3 &amp; "'!A:A"), INDIRECT("'" &amp; Y$3 &amp; "'!B:B")),0)</f>
        <v>8615</v>
      </c>
      <c r="Z57" s="157" cm="1">
        <f t="array" aca="1" ref="Z57" ca="1">IFERROR(_xlfn.XLOOKUP($A57, INDIRECT("'" &amp; Z$3 &amp; "'!A:A"), INDIRECT("'" &amp; Z$3 &amp; "'!B:B")),0)</f>
        <v>9315.5</v>
      </c>
      <c r="AA57" s="157" cm="1">
        <f t="array" aca="1" ref="AA57" ca="1">IFERROR(_xlfn.XLOOKUP($A57, INDIRECT("'" &amp; AA$3 &amp; "'!A:A"), INDIRECT("'" &amp; AA$3 &amp; "'!B:B")),0)</f>
        <v>7692.5</v>
      </c>
      <c r="AB57" s="157" cm="1">
        <f t="array" aca="1" ref="AB57" ca="1">IFERROR(_xlfn.XLOOKUP($A57, INDIRECT("'" &amp; AB$3 &amp; "'!A:A"), INDIRECT("'" &amp; AB$3 &amp; "'!B:B")),0)</f>
        <v>6792.5</v>
      </c>
      <c r="AC57" s="157" cm="1">
        <f t="array" aca="1" ref="AC57" ca="1">IFERROR(_xlfn.XLOOKUP($A57, INDIRECT("'" &amp; AC$3 &amp; "'!A:A"), INDIRECT("'" &amp; AC$3 &amp; "'!B:B")),0)</f>
        <v>6702.5</v>
      </c>
      <c r="AD57" s="157" cm="1">
        <f t="array" aca="1" ref="AD57" ca="1">IFERROR(_xlfn.XLOOKUP($A57, INDIRECT("'" &amp; AD$3 &amp; "'!A:A"), INDIRECT("'" &amp; AD$3 &amp; "'!B:B")),0)</f>
        <v>6312.5</v>
      </c>
      <c r="AE57" s="157" cm="1">
        <f t="array" aca="1" ref="AE57" ca="1">IFERROR(_xlfn.XLOOKUP($A57, INDIRECT("'" &amp; AE$3 &amp; "'!A:A"), INDIRECT("'" &amp; AE$3 &amp; "'!B:B")),0)</f>
        <v>8980</v>
      </c>
      <c r="AF57" s="157" cm="1">
        <f t="array" aca="1" ref="AF57" ca="1">IFERROR(_xlfn.XLOOKUP($A57, INDIRECT("'" &amp; AF$3 &amp; "'!A:A"), INDIRECT("'" &amp; AF$3 &amp; "'!B:B")),0)</f>
        <v>9680</v>
      </c>
      <c r="AG57" s="157" cm="1">
        <f t="array" aca="1" ref="AG57" ca="1">IFERROR(_xlfn.XLOOKUP($A57, INDIRECT("'" &amp; AG$3 &amp; "'!A:A"), INDIRECT("'" &amp; AG$3 &amp; "'!B:B")),0)</f>
        <v>11022.5</v>
      </c>
      <c r="AH57" s="157" cm="1">
        <f t="array" aca="1" ref="AH57" ca="1">IFERROR(_xlfn.XLOOKUP($A57, INDIRECT("'" &amp; AH$3 &amp; "'!A:A"), INDIRECT("'" &amp; AH$3 &amp; "'!B:B")),0)</f>
        <v>8240</v>
      </c>
      <c r="AI57" s="157" cm="1">
        <f t="array" aca="1" ref="AI57" ca="1">IFERROR(_xlfn.XLOOKUP($A57, INDIRECT("'" &amp; AI$3 &amp; "'!A:A"), INDIRECT("'" &amp; AI$3 &amp; "'!B:B")),0)</f>
        <v>6297.5</v>
      </c>
      <c r="AJ57" s="157">
        <f t="shared" ca="1" si="2"/>
        <v>11205</v>
      </c>
      <c r="AK57" s="156" cm="1">
        <f t="array" aca="1" ref="AK57" ca="1">IFERROR(_xlfn.XLOOKUP($A57, INDIRECT("'" &amp; AK$3 &amp; "'!A:A"), INDIRECT("'" &amp; AK$3 &amp; "'!B:B")),0)</f>
        <v>5778</v>
      </c>
      <c r="AL57" s="155" cm="1">
        <f t="array" aca="1" ref="AL57" ca="1">IFERROR(_xlfn.XLOOKUP($A57, INDIRECT("'" &amp; AL$3 &amp; "'!A:A"), INDIRECT("'" &amp; AL$3 &amp; "'!B:B")),0)</f>
        <v>6285.8766000000005</v>
      </c>
      <c r="AM57" s="157" cm="1">
        <f t="array" aca="1" ref="AM57" ca="1">IFERROR(_xlfn.XLOOKUP($A57, INDIRECT("'" &amp; AM$3 &amp; "'!A:A"), INDIRECT("'" &amp; AM$3 &amp; "'!B:B")),0)</f>
        <v>7000</v>
      </c>
    </row>
    <row r="58" spans="1:39" ht="15.75" thickBot="1" x14ac:dyDescent="0.3">
      <c r="A58" s="227" t="s">
        <v>204</v>
      </c>
      <c r="B58" s="154">
        <f t="shared" ref="B58:AL58" ca="1" si="3">SUM(B4:B57)</f>
        <v>165012.15000000002</v>
      </c>
      <c r="C58" s="154">
        <f t="shared" ca="1" si="3"/>
        <v>139411.53000000003</v>
      </c>
      <c r="D58" s="154">
        <f t="shared" ca="1" si="3"/>
        <v>113776.73000000001</v>
      </c>
      <c r="E58" s="154">
        <f t="shared" ca="1" si="3"/>
        <v>134057.53999999998</v>
      </c>
      <c r="F58" s="154">
        <f t="shared" ca="1" si="3"/>
        <v>156913.06999999998</v>
      </c>
      <c r="G58" s="154">
        <f t="shared" ca="1" si="3"/>
        <v>124030.98000000001</v>
      </c>
      <c r="H58" s="154">
        <f t="shared" ca="1" si="3"/>
        <v>134200.25</v>
      </c>
      <c r="I58" s="154">
        <f t="shared" ca="1" si="3"/>
        <v>144355.20000000001</v>
      </c>
      <c r="J58" s="154">
        <f t="shared" ca="1" si="3"/>
        <v>134540.06</v>
      </c>
      <c r="K58" s="154">
        <f t="shared" ca="1" si="3"/>
        <v>122529.87000000002</v>
      </c>
      <c r="L58" s="154">
        <f t="shared" ca="1" si="3"/>
        <v>157945.01999999996</v>
      </c>
      <c r="M58" s="154">
        <f t="shared" ca="1" si="3"/>
        <v>178184.33000000002</v>
      </c>
      <c r="N58" s="154">
        <f t="shared" ca="1" si="3"/>
        <v>147507.54</v>
      </c>
      <c r="O58" s="154">
        <f t="shared" ca="1" si="3"/>
        <v>129517.76000000001</v>
      </c>
      <c r="P58" s="154">
        <f t="shared" ca="1" si="3"/>
        <v>105821.13</v>
      </c>
      <c r="Q58" s="154">
        <f t="shared" ca="1" si="3"/>
        <v>143852.55000000002</v>
      </c>
      <c r="R58" s="154">
        <f t="shared" ca="1" si="3"/>
        <v>133890.64000000001</v>
      </c>
      <c r="S58" s="154">
        <f t="shared" ca="1" si="3"/>
        <v>127141.84000000001</v>
      </c>
      <c r="T58" s="154">
        <f t="shared" ca="1" si="3"/>
        <v>132402.26</v>
      </c>
      <c r="U58" s="154">
        <f t="shared" ca="1" si="3"/>
        <v>110043.18000000001</v>
      </c>
      <c r="V58" s="154">
        <f t="shared" ref="V58:W58" ca="1" si="4">SUM(V4:V57)</f>
        <v>111054.70000000001</v>
      </c>
      <c r="W58" s="154">
        <f t="shared" ca="1" si="4"/>
        <v>160612.81999999998</v>
      </c>
      <c r="X58" s="154">
        <f t="shared" ca="1" si="3"/>
        <v>125251.84</v>
      </c>
      <c r="Y58" s="154">
        <f t="shared" ref="Y58:AC58" ca="1" si="5">SUM(Y4:Y57)</f>
        <v>130195.62999999999</v>
      </c>
      <c r="Z58" s="154">
        <f t="shared" ca="1" si="5"/>
        <v>141492.43</v>
      </c>
      <c r="AA58" s="154">
        <f t="shared" ca="1" si="5"/>
        <v>124886</v>
      </c>
      <c r="AB58" s="154">
        <f t="shared" ca="1" si="5"/>
        <v>163028.47999999998</v>
      </c>
      <c r="AC58" s="154">
        <f t="shared" ca="1" si="5"/>
        <v>151644.30000000002</v>
      </c>
      <c r="AD58" s="154">
        <f t="shared" ca="1" si="3"/>
        <v>142077.91</v>
      </c>
      <c r="AE58" s="154">
        <f t="shared" ca="1" si="3"/>
        <v>133947.09000000003</v>
      </c>
      <c r="AF58" s="154">
        <f t="shared" ca="1" si="3"/>
        <v>133563.20000000001</v>
      </c>
      <c r="AG58" s="154">
        <f t="shared" ca="1" si="3"/>
        <v>146861.06</v>
      </c>
      <c r="AH58" s="154">
        <f t="shared" ca="1" si="3"/>
        <v>130813.80999999998</v>
      </c>
      <c r="AI58" s="154">
        <f t="shared" ca="1" si="3"/>
        <v>150174.71000000002</v>
      </c>
      <c r="AJ58" s="154">
        <f t="shared" ca="1" si="3"/>
        <v>160411.53000000003</v>
      </c>
      <c r="AK58" s="154">
        <f t="shared" ca="1" si="3"/>
        <v>153652.44000000003</v>
      </c>
      <c r="AL58" s="154">
        <f t="shared" ca="1" si="3"/>
        <v>134645.89401065628</v>
      </c>
      <c r="AM58" s="154">
        <f ca="1">SUM(AM4:AM57)</f>
        <v>180445.84900000002</v>
      </c>
    </row>
    <row r="59" spans="1:39" x14ac:dyDescent="0.25">
      <c r="A59" s="228" t="s">
        <v>205</v>
      </c>
      <c r="B59" s="158" cm="1">
        <f t="array" aca="1" ref="B59" ca="1">IFERROR(_xlfn.XLOOKUP($A59, INDIRECT("'" &amp; B$3 &amp; "'!A:A"), INDIRECT("'" &amp; B$3 &amp; "'!B:B")),0)</f>
        <v>1700</v>
      </c>
      <c r="C59" s="158" cm="1">
        <f t="array" aca="1" ref="C59" ca="1">IFERROR(_xlfn.XLOOKUP($A59, INDIRECT("'" &amp; C$3 &amp; "'!A:A"), INDIRECT("'" &amp; C$3 &amp; "'!B:B")),0)</f>
        <v>1700</v>
      </c>
      <c r="D59" s="158" cm="1">
        <f t="array" aca="1" ref="D59" ca="1">IFERROR(_xlfn.XLOOKUP($A59, INDIRECT("'" &amp; D$3 &amp; "'!A:A"), INDIRECT("'" &amp; D$3 &amp; "'!B:B")),0)</f>
        <v>1700</v>
      </c>
      <c r="E59" s="158" cm="1">
        <f t="array" aca="1" ref="E59" ca="1">IFERROR(_xlfn.XLOOKUP($A59, INDIRECT("'" &amp; E$3 &amp; "'!A:A"), INDIRECT("'" &amp; E$3 &amp; "'!B:B")),0)</f>
        <v>1700</v>
      </c>
      <c r="F59" s="158" cm="1">
        <f t="array" aca="1" ref="F59" ca="1">IFERROR(_xlfn.XLOOKUP($A59, INDIRECT("'" &amp; F$3 &amp; "'!A:A"), INDIRECT("'" &amp; F$3 &amp; "'!B:B")),0)</f>
        <v>1700</v>
      </c>
      <c r="G59" s="158" cm="1">
        <f t="array" aca="1" ref="G59" ca="1">IFERROR(_xlfn.XLOOKUP($A59, INDIRECT("'" &amp; G$3 &amp; "'!A:A"), INDIRECT("'" &amp; G$3 &amp; "'!B:B")),0)</f>
        <v>1700</v>
      </c>
      <c r="H59" s="158" cm="1">
        <f t="array" aca="1" ref="H59" ca="1">IFERROR(_xlfn.XLOOKUP($A59, INDIRECT("'" &amp; H$3 &amp; "'!A:A"), INDIRECT("'" &amp; H$3 &amp; "'!B:B")),0)</f>
        <v>1700</v>
      </c>
      <c r="I59" s="158" cm="1">
        <f t="array" aca="1" ref="I59" ca="1">IFERROR(_xlfn.XLOOKUP($A59, INDIRECT("'" &amp; I$3 &amp; "'!A:A"), INDIRECT("'" &amp; I$3 &amp; "'!B:B")),0)</f>
        <v>1700</v>
      </c>
      <c r="J59" s="158" cm="1">
        <f t="array" aca="1" ref="J59" ca="1">IFERROR(_xlfn.XLOOKUP($A59, INDIRECT("'" &amp; J$3 &amp; "'!A:A"), INDIRECT("'" &amp; J$3 &amp; "'!B:B")),0)</f>
        <v>1700</v>
      </c>
      <c r="K59" s="158" cm="1">
        <f t="array" aca="1" ref="K59" ca="1">IFERROR(_xlfn.XLOOKUP($A59, INDIRECT("'" &amp; K$3 &amp; "'!A:A"), INDIRECT("'" &amp; K$3 &amp; "'!B:B")),0)</f>
        <v>1700</v>
      </c>
      <c r="L59" s="158" cm="1">
        <f t="array" aca="1" ref="L59" ca="1">IFERROR(_xlfn.XLOOKUP($A59, INDIRECT("'" &amp; L$3 &amp; "'!A:A"), INDIRECT("'" &amp; L$3 &amp; "'!B:B")),0)</f>
        <v>1700</v>
      </c>
      <c r="M59" s="158" cm="1">
        <f t="array" aca="1" ref="M59" ca="1">IFERROR(_xlfn.XLOOKUP($A59, INDIRECT("'" &amp; M$3 &amp; "'!A:A"), INDIRECT("'" &amp; M$3 &amp; "'!B:B")),0)</f>
        <v>1700</v>
      </c>
      <c r="N59" s="158" cm="1">
        <f t="array" aca="1" ref="N59" ca="1">IFERROR(_xlfn.XLOOKUP($A59, INDIRECT("'" &amp; N$3 &amp; "'!A:A"), INDIRECT("'" &amp; N$3 &amp; "'!B:B")),0)</f>
        <v>1700</v>
      </c>
      <c r="O59" s="158" cm="1">
        <f t="array" aca="1" ref="O59" ca="1">IFERROR(_xlfn.XLOOKUP($A59, INDIRECT("'" &amp; O$3 &amp; "'!A:A"), INDIRECT("'" &amp; O$3 &amp; "'!B:B")),0)</f>
        <v>1700</v>
      </c>
      <c r="P59" s="158" cm="1">
        <f t="array" aca="1" ref="P59" ca="1">IFERROR(_xlfn.XLOOKUP($A59, INDIRECT("'" &amp; P$3 &amp; "'!A:A"), INDIRECT("'" &amp; P$3 &amp; "'!B:B")),0)</f>
        <v>1700</v>
      </c>
      <c r="Q59" s="158" cm="1">
        <f t="array" aca="1" ref="Q59" ca="1">IFERROR(_xlfn.XLOOKUP($A59, INDIRECT("'" &amp; Q$3 &amp; "'!A:A"), INDIRECT("'" &amp; Q$3 &amp; "'!B:B")),0)</f>
        <v>1700</v>
      </c>
      <c r="R59" s="158" cm="1">
        <f t="array" aca="1" ref="R59" ca="1">IFERROR(_xlfn.XLOOKUP($A59, INDIRECT("'" &amp; R$3 &amp; "'!A:A"), INDIRECT("'" &amp; R$3 &amp; "'!B:B")),0)</f>
        <v>1700</v>
      </c>
      <c r="S59" s="158" cm="1">
        <f t="array" aca="1" ref="S59" ca="1">IFERROR(_xlfn.XLOOKUP($A59, INDIRECT("'" &amp; S$3 &amp; "'!A:A"), INDIRECT("'" &amp; S$3 &amp; "'!B:B")),0)</f>
        <v>1700</v>
      </c>
      <c r="T59" s="158" cm="1">
        <f t="array" aca="1" ref="T59" ca="1">IFERROR(_xlfn.XLOOKUP($A59, INDIRECT("'" &amp; T$3 &amp; "'!A:A"), INDIRECT("'" &amp; T$3 &amp; "'!B:B")),0)</f>
        <v>1700</v>
      </c>
      <c r="U59" s="158" cm="1">
        <f t="array" aca="1" ref="U59" ca="1">IFERROR(_xlfn.XLOOKUP($A59, INDIRECT("'" &amp; U$3 &amp; "'!A:A"), INDIRECT("'" &amp; U$3 &amp; "'!B:B")),0)</f>
        <v>1700</v>
      </c>
      <c r="V59" s="158" cm="1">
        <f t="array" aca="1" ref="V59" ca="1">IFERROR(_xlfn.XLOOKUP($A59, INDIRECT("'" &amp; V$3 &amp; "'!A:A"), INDIRECT("'" &amp; V$3 &amp; "'!B:B")),0)</f>
        <v>1700</v>
      </c>
      <c r="W59" s="158" cm="1">
        <f t="array" aca="1" ref="W59" ca="1">IFERROR(_xlfn.XLOOKUP($A59, INDIRECT("'" &amp; W$3 &amp; "'!A:A"), INDIRECT("'" &amp; W$3 &amp; "'!B:B")),0)</f>
        <v>1700</v>
      </c>
      <c r="X59" s="158" cm="1">
        <f t="array" aca="1" ref="X59" ca="1">IFERROR(_xlfn.XLOOKUP($A59, INDIRECT("'" &amp; X$3 &amp; "'!A:A"), INDIRECT("'" &amp; X$3 &amp; "'!B:B")),0)</f>
        <v>1700</v>
      </c>
      <c r="Y59" s="158" cm="1">
        <f t="array" aca="1" ref="Y59" ca="1">IFERROR(_xlfn.XLOOKUP($A59, INDIRECT("'" &amp; Y$3 &amp; "'!A:A"), INDIRECT("'" &amp; Y$3 &amp; "'!B:B")),0)</f>
        <v>1700</v>
      </c>
      <c r="Z59" s="158" cm="1">
        <f t="array" aca="1" ref="Z59" ca="1">IFERROR(_xlfn.XLOOKUP($A59, INDIRECT("'" &amp; Z$3 &amp; "'!A:A"), INDIRECT("'" &amp; Z$3 &amp; "'!B:B")),0)</f>
        <v>1700</v>
      </c>
      <c r="AA59" s="158" cm="1">
        <f t="array" aca="1" ref="AA59" ca="1">IFERROR(_xlfn.XLOOKUP($A59, INDIRECT("'" &amp; AA$3 &amp; "'!A:A"), INDIRECT("'" &amp; AA$3 &amp; "'!B:B")),0)</f>
        <v>1700</v>
      </c>
      <c r="AB59" s="158" cm="1">
        <f t="array" aca="1" ref="AB59" ca="1">IFERROR(_xlfn.XLOOKUP($A59, INDIRECT("'" &amp; AB$3 &amp; "'!A:A"), INDIRECT("'" &amp; AB$3 &amp; "'!B:B")),0)</f>
        <v>1700</v>
      </c>
      <c r="AC59" s="158" cm="1">
        <f t="array" aca="1" ref="AC59" ca="1">IFERROR(_xlfn.XLOOKUP($A59, INDIRECT("'" &amp; AC$3 &amp; "'!A:A"), INDIRECT("'" &amp; AC$3 &amp; "'!B:B")),0)</f>
        <v>1700</v>
      </c>
      <c r="AD59" s="158" cm="1">
        <f t="array" aca="1" ref="AD59" ca="1">IFERROR(_xlfn.XLOOKUP($A59, INDIRECT("'" &amp; AD$3 &amp; "'!A:A"), INDIRECT("'" &amp; AD$3 &amp; "'!B:B")),0)</f>
        <v>1700</v>
      </c>
      <c r="AE59" s="158" cm="1">
        <f t="array" aca="1" ref="AE59" ca="1">IFERROR(_xlfn.XLOOKUP($A59, INDIRECT("'" &amp; AE$3 &amp; "'!A:A"), INDIRECT("'" &amp; AE$3 &amp; "'!B:B")),0)</f>
        <v>1700</v>
      </c>
      <c r="AF59" s="157" cm="1">
        <f t="array" aca="1" ref="AF59" ca="1">IFERROR(_xlfn.XLOOKUP($A59, INDIRECT("'" &amp; AF$3 &amp; "'!A:A"), INDIRECT("'" &amp; AF$3 &amp; "'!B:B")),0)</f>
        <v>1700</v>
      </c>
      <c r="AG59" s="157" cm="1">
        <f t="array" aca="1" ref="AG59" ca="1">IFERROR(_xlfn.XLOOKUP($A59, INDIRECT("'" &amp; AG$3 &amp; "'!A:A"), INDIRECT("'" &amp; AG$3 &amp; "'!B:B")),0)</f>
        <v>1700</v>
      </c>
      <c r="AH59" s="157" cm="1">
        <f t="array" aca="1" ref="AH59" ca="1">IFERROR(_xlfn.XLOOKUP($A59, INDIRECT("'" &amp; AH$3 &amp; "'!A:A"), INDIRECT("'" &amp; AH$3 &amp; "'!B:B")),0)</f>
        <v>1700</v>
      </c>
      <c r="AI59" s="158" cm="1">
        <f t="array" aca="1" ref="AI59" ca="1">IFERROR(_xlfn.XLOOKUP($A59, INDIRECT("'" &amp; AI$3 &amp; "'!A:A"), INDIRECT("'" &amp; AI$3 &amp; "'!B:B")),0)</f>
        <v>1700</v>
      </c>
      <c r="AJ59" s="157">
        <f t="shared" ref="AJ59:AJ65" ca="1" si="6">C59</f>
        <v>1700</v>
      </c>
      <c r="AK59" s="156" cm="1">
        <f t="array" aca="1" ref="AK59" ca="1">IFERROR(_xlfn.XLOOKUP($A59, INDIRECT("'" &amp; AK$3 &amp; "'!A:A"), INDIRECT("'" &amp; AK$3 &amp; "'!B:B")),0)</f>
        <v>0</v>
      </c>
      <c r="AL59" s="155" cm="1">
        <f t="array" aca="1" ref="AL59" ca="1">IFERROR(_xlfn.XLOOKUP($A59, INDIRECT("'" &amp; AL$3 &amp; "'!A:A"), INDIRECT("'" &amp; AL$3 &amp; "'!B:B")),0)</f>
        <v>0</v>
      </c>
      <c r="AM59" s="158" cm="1">
        <f t="array" aca="1" ref="AM59" ca="1">IFERROR(_xlfn.XLOOKUP($A59, INDIRECT("'" &amp; AM$3 &amp; "'!A:A"), INDIRECT("'" &amp; AM$3 &amp; "'!B:B")),0)</f>
        <v>0</v>
      </c>
    </row>
    <row r="60" spans="1:39" x14ac:dyDescent="0.25">
      <c r="A60" s="225" t="s">
        <v>206</v>
      </c>
      <c r="B60" s="157" cm="1">
        <f t="array" aca="1" ref="B60" ca="1">IFERROR(_xlfn.XLOOKUP($A60, INDIRECT("'" &amp; B$3 &amp; "'!A:A"), INDIRECT("'" &amp; B$3 &amp; "'!B:B")),0)</f>
        <v>0</v>
      </c>
      <c r="C60" s="157" cm="1">
        <f t="array" aca="1" ref="C60" ca="1">IFERROR(_xlfn.XLOOKUP($A60, INDIRECT("'" &amp; C$3 &amp; "'!A:A"), INDIRECT("'" &amp; C$3 &amp; "'!B:B")),0)</f>
        <v>0</v>
      </c>
      <c r="D60" s="157" cm="1">
        <f t="array" aca="1" ref="D60" ca="1">IFERROR(_xlfn.XLOOKUP($A60, INDIRECT("'" &amp; D$3 &amp; "'!A:A"), INDIRECT("'" &amp; D$3 &amp; "'!B:B")),0)</f>
        <v>0</v>
      </c>
      <c r="E60" s="157" cm="1">
        <f t="array" aca="1" ref="E60" ca="1">IFERROR(_xlfn.XLOOKUP($A60, INDIRECT("'" &amp; E$3 &amp; "'!A:A"), INDIRECT("'" &amp; E$3 &amp; "'!B:B")),0)</f>
        <v>0</v>
      </c>
      <c r="F60" s="157" cm="1">
        <f t="array" aca="1" ref="F60" ca="1">IFERROR(_xlfn.XLOOKUP($A60, INDIRECT("'" &amp; F$3 &amp; "'!A:A"), INDIRECT("'" &amp; F$3 &amp; "'!B:B")),0)</f>
        <v>0</v>
      </c>
      <c r="G60" s="157" cm="1">
        <f t="array" aca="1" ref="G60" ca="1">IFERROR(_xlfn.XLOOKUP($A60, INDIRECT("'" &amp; G$3 &amp; "'!A:A"), INDIRECT("'" &amp; G$3 &amp; "'!B:B")),0)</f>
        <v>0</v>
      </c>
      <c r="H60" s="157" cm="1">
        <f t="array" aca="1" ref="H60" ca="1">IFERROR(_xlfn.XLOOKUP($A60, INDIRECT("'" &amp; H$3 &amp; "'!A:A"), INDIRECT("'" &amp; H$3 &amp; "'!B:B")),0)</f>
        <v>0</v>
      </c>
      <c r="I60" s="157" cm="1">
        <f t="array" aca="1" ref="I60" ca="1">IFERROR(_xlfn.XLOOKUP($A60, INDIRECT("'" &amp; I$3 &amp; "'!A:A"), INDIRECT("'" &amp; I$3 &amp; "'!B:B")),0)</f>
        <v>0</v>
      </c>
      <c r="J60" s="157" cm="1">
        <f t="array" aca="1" ref="J60" ca="1">IFERROR(_xlfn.XLOOKUP($A60, INDIRECT("'" &amp; J$3 &amp; "'!A:A"), INDIRECT("'" &amp; J$3 &amp; "'!B:B")),0)</f>
        <v>0</v>
      </c>
      <c r="K60" s="157" cm="1">
        <f t="array" aca="1" ref="K60" ca="1">IFERROR(_xlfn.XLOOKUP($A60, INDIRECT("'" &amp; K$3 &amp; "'!A:A"), INDIRECT("'" &amp; K$3 &amp; "'!B:B")),0)</f>
        <v>0</v>
      </c>
      <c r="L60" s="157" cm="1">
        <f t="array" aca="1" ref="L60" ca="1">IFERROR(_xlfn.XLOOKUP($A60, INDIRECT("'" &amp; L$3 &amp; "'!A:A"), INDIRECT("'" &amp; L$3 &amp; "'!B:B")),0)</f>
        <v>0</v>
      </c>
      <c r="M60" s="157" cm="1">
        <f t="array" aca="1" ref="M60" ca="1">IFERROR(_xlfn.XLOOKUP($A60, INDIRECT("'" &amp; M$3 &amp; "'!A:A"), INDIRECT("'" &amp; M$3 &amp; "'!B:B")),0)</f>
        <v>0</v>
      </c>
      <c r="N60" s="157" cm="1">
        <f t="array" aca="1" ref="N60" ca="1">IFERROR(_xlfn.XLOOKUP($A60, INDIRECT("'" &amp; N$3 &amp; "'!A:A"), INDIRECT("'" &amp; N$3 &amp; "'!B:B")),0)</f>
        <v>0</v>
      </c>
      <c r="O60" s="157" cm="1">
        <f t="array" aca="1" ref="O60" ca="1">IFERROR(_xlfn.XLOOKUP($A60, INDIRECT("'" &amp; O$3 &amp; "'!A:A"), INDIRECT("'" &amp; O$3 &amp; "'!B:B")),0)</f>
        <v>0</v>
      </c>
      <c r="P60" s="157" cm="1">
        <f t="array" aca="1" ref="P60" ca="1">IFERROR(_xlfn.XLOOKUP($A60, INDIRECT("'" &amp; P$3 &amp; "'!A:A"), INDIRECT("'" &amp; P$3 &amp; "'!B:B")),0)</f>
        <v>0</v>
      </c>
      <c r="Q60" s="157" cm="1">
        <f t="array" aca="1" ref="Q60" ca="1">IFERROR(_xlfn.XLOOKUP($A60, INDIRECT("'" &amp; Q$3 &amp; "'!A:A"), INDIRECT("'" &amp; Q$3 &amp; "'!B:B")),0)</f>
        <v>0</v>
      </c>
      <c r="R60" s="157" cm="1">
        <f t="array" aca="1" ref="R60" ca="1">IFERROR(_xlfn.XLOOKUP($A60, INDIRECT("'" &amp; R$3 &amp; "'!A:A"), INDIRECT("'" &amp; R$3 &amp; "'!B:B")),0)</f>
        <v>0</v>
      </c>
      <c r="S60" s="157" cm="1">
        <f t="array" aca="1" ref="S60" ca="1">IFERROR(_xlfn.XLOOKUP($A60, INDIRECT("'" &amp; S$3 &amp; "'!A:A"), INDIRECT("'" &amp; S$3 &amp; "'!B:B")),0)</f>
        <v>0</v>
      </c>
      <c r="T60" s="157" cm="1">
        <f t="array" aca="1" ref="T60" ca="1">IFERROR(_xlfn.XLOOKUP($A60, INDIRECT("'" &amp; T$3 &amp; "'!A:A"), INDIRECT("'" &amp; T$3 &amp; "'!B:B")),0)</f>
        <v>0</v>
      </c>
      <c r="U60" s="157" cm="1">
        <f t="array" aca="1" ref="U60" ca="1">IFERROR(_xlfn.XLOOKUP($A60, INDIRECT("'" &amp; U$3 &amp; "'!A:A"), INDIRECT("'" &amp; U$3 &amp; "'!B:B")),0)</f>
        <v>0</v>
      </c>
      <c r="V60" s="157" cm="1">
        <f t="array" aca="1" ref="V60" ca="1">IFERROR(_xlfn.XLOOKUP($A60, INDIRECT("'" &amp; V$3 &amp; "'!A:A"), INDIRECT("'" &amp; V$3 &amp; "'!B:B")),0)</f>
        <v>0</v>
      </c>
      <c r="W60" s="157" cm="1">
        <f t="array" aca="1" ref="W60" ca="1">IFERROR(_xlfn.XLOOKUP($A60, INDIRECT("'" &amp; W$3 &amp; "'!A:A"), INDIRECT("'" &amp; W$3 &amp; "'!B:B")),0)</f>
        <v>0</v>
      </c>
      <c r="X60" s="157" cm="1">
        <f t="array" aca="1" ref="X60" ca="1">IFERROR(_xlfn.XLOOKUP($A60, INDIRECT("'" &amp; X$3 &amp; "'!A:A"), INDIRECT("'" &amp; X$3 &amp; "'!B:B")),0)</f>
        <v>0</v>
      </c>
      <c r="Y60" s="157" cm="1">
        <f t="array" aca="1" ref="Y60" ca="1">IFERROR(_xlfn.XLOOKUP($A60, INDIRECT("'" &amp; Y$3 &amp; "'!A:A"), INDIRECT("'" &amp; Y$3 &amp; "'!B:B")),0)</f>
        <v>0</v>
      </c>
      <c r="Z60" s="157" cm="1">
        <f t="array" aca="1" ref="Z60" ca="1">IFERROR(_xlfn.XLOOKUP($A60, INDIRECT("'" &amp; Z$3 &amp; "'!A:A"), INDIRECT("'" &amp; Z$3 &amp; "'!B:B")),0)</f>
        <v>0</v>
      </c>
      <c r="AA60" s="157" cm="1">
        <f t="array" aca="1" ref="AA60" ca="1">IFERROR(_xlfn.XLOOKUP($A60, INDIRECT("'" &amp; AA$3 &amp; "'!A:A"), INDIRECT("'" &amp; AA$3 &amp; "'!B:B")),0)</f>
        <v>0</v>
      </c>
      <c r="AB60" s="157" cm="1">
        <f t="array" aca="1" ref="AB60" ca="1">IFERROR(_xlfn.XLOOKUP($A60, INDIRECT("'" &amp; AB$3 &amp; "'!A:A"), INDIRECT("'" &amp; AB$3 &amp; "'!B:B")),0)</f>
        <v>0</v>
      </c>
      <c r="AC60" s="157" cm="1">
        <f t="array" aca="1" ref="AC60" ca="1">IFERROR(_xlfn.XLOOKUP($A60, INDIRECT("'" &amp; AC$3 &amp; "'!A:A"), INDIRECT("'" &amp; AC$3 &amp; "'!B:B")),0)</f>
        <v>0</v>
      </c>
      <c r="AD60" s="157" cm="1">
        <f t="array" aca="1" ref="AD60" ca="1">IFERROR(_xlfn.XLOOKUP($A60, INDIRECT("'" &amp; AD$3 &amp; "'!A:A"), INDIRECT("'" &amp; AD$3 &amp; "'!B:B")),0)</f>
        <v>0</v>
      </c>
      <c r="AE60" s="157" cm="1">
        <f t="array" aca="1" ref="AE60" ca="1">IFERROR(_xlfn.XLOOKUP($A60, INDIRECT("'" &amp; AE$3 &amp; "'!A:A"), INDIRECT("'" &amp; AE$3 &amp; "'!B:B")),0)</f>
        <v>0</v>
      </c>
      <c r="AF60" s="157" cm="1">
        <f t="array" aca="1" ref="AF60" ca="1">IFERROR(_xlfn.XLOOKUP($A60, INDIRECT("'" &amp; AF$3 &amp; "'!A:A"), INDIRECT("'" &amp; AF$3 &amp; "'!B:B")),0)</f>
        <v>0</v>
      </c>
      <c r="AG60" s="157" cm="1">
        <f t="array" aca="1" ref="AG60" ca="1">IFERROR(_xlfn.XLOOKUP($A60, INDIRECT("'" &amp; AG$3 &amp; "'!A:A"), INDIRECT("'" &amp; AG$3 &amp; "'!B:B")),0)</f>
        <v>0</v>
      </c>
      <c r="AH60" s="157" cm="1">
        <f t="array" aca="1" ref="AH60" ca="1">IFERROR(_xlfn.XLOOKUP($A60, INDIRECT("'" &amp; AH$3 &amp; "'!A:A"), INDIRECT("'" &amp; AH$3 &amp; "'!B:B")),0)</f>
        <v>0</v>
      </c>
      <c r="AI60" s="157" cm="1">
        <f t="array" aca="1" ref="AI60" ca="1">IFERROR(_xlfn.XLOOKUP($A60, INDIRECT("'" &amp; AI$3 &amp; "'!A:A"), INDIRECT("'" &amp; AI$3 &amp; "'!B:B")),0)</f>
        <v>0</v>
      </c>
      <c r="AJ60" s="157">
        <f t="shared" ca="1" si="6"/>
        <v>0</v>
      </c>
      <c r="AK60" s="156" cm="1">
        <f t="array" aca="1" ref="AK60" ca="1">IFERROR(_xlfn.XLOOKUP($A60, INDIRECT("'" &amp; AK$3 &amp; "'!A:A"), INDIRECT("'" &amp; AK$3 &amp; "'!B:B")),0)</f>
        <v>600</v>
      </c>
      <c r="AL60" s="155" cm="1">
        <f t="array" aca="1" ref="AL60" ca="1">IFERROR(_xlfn.XLOOKUP($A60, INDIRECT("'" &amp; AL$3 &amp; "'!A:A"), INDIRECT("'" &amp; AL$3 &amp; "'!B:B")),0)</f>
        <v>600</v>
      </c>
      <c r="AM60" s="157" cm="1">
        <f t="array" aca="1" ref="AM60" ca="1">IFERROR(_xlfn.XLOOKUP($A60, INDIRECT("'" &amp; AM$3 &amp; "'!A:A"), INDIRECT("'" &amp; AM$3 &amp; "'!B:B")),0)</f>
        <v>0</v>
      </c>
    </row>
    <row r="61" spans="1:39" x14ac:dyDescent="0.25">
      <c r="A61" s="225" t="s">
        <v>207</v>
      </c>
      <c r="B61" s="157" cm="1">
        <f t="array" aca="1" ref="B61" ca="1">IFERROR(_xlfn.XLOOKUP($A61, INDIRECT("'" &amp; B$3 &amp; "'!A:A"), INDIRECT("'" &amp; B$3 &amp; "'!B:B")),0)</f>
        <v>1700</v>
      </c>
      <c r="C61" s="157" cm="1">
        <f t="array" aca="1" ref="C61" ca="1">IFERROR(_xlfn.XLOOKUP($A61, INDIRECT("'" &amp; C$3 &amp; "'!A:A"), INDIRECT("'" &amp; C$3 &amp; "'!B:B")),0)</f>
        <v>1700</v>
      </c>
      <c r="D61" s="157" cm="1">
        <f t="array" aca="1" ref="D61" ca="1">IFERROR(_xlfn.XLOOKUP($A61, INDIRECT("'" &amp; D$3 &amp; "'!A:A"), INDIRECT("'" &amp; D$3 &amp; "'!B:B")),0)</f>
        <v>1700</v>
      </c>
      <c r="E61" s="157" cm="1">
        <f t="array" aca="1" ref="E61" ca="1">IFERROR(_xlfn.XLOOKUP($A61, INDIRECT("'" &amp; E$3 &amp; "'!A:A"), INDIRECT("'" &amp; E$3 &amp; "'!B:B")),0)</f>
        <v>1700</v>
      </c>
      <c r="F61" s="157" cm="1">
        <f t="array" aca="1" ref="F61" ca="1">IFERROR(_xlfn.XLOOKUP($A61, INDIRECT("'" &amp; F$3 &amp; "'!A:A"), INDIRECT("'" &amp; F$3 &amp; "'!B:B")),0)</f>
        <v>1700</v>
      </c>
      <c r="G61" s="157" cm="1">
        <f t="array" aca="1" ref="G61" ca="1">IFERROR(_xlfn.XLOOKUP($A61, INDIRECT("'" &amp; G$3 &amp; "'!A:A"), INDIRECT("'" &amp; G$3 &amp; "'!B:B")),0)</f>
        <v>1700</v>
      </c>
      <c r="H61" s="157" cm="1">
        <f t="array" aca="1" ref="H61" ca="1">IFERROR(_xlfn.XLOOKUP($A61, INDIRECT("'" &amp; H$3 &amp; "'!A:A"), INDIRECT("'" &amp; H$3 &amp; "'!B:B")),0)</f>
        <v>1700</v>
      </c>
      <c r="I61" s="157" cm="1">
        <f t="array" aca="1" ref="I61" ca="1">IFERROR(_xlfn.XLOOKUP($A61, INDIRECT("'" &amp; I$3 &amp; "'!A:A"), INDIRECT("'" &amp; I$3 &amp; "'!B:B")),0)</f>
        <v>1700</v>
      </c>
      <c r="J61" s="157" cm="1">
        <f t="array" aca="1" ref="J61" ca="1">IFERROR(_xlfn.XLOOKUP($A61, INDIRECT("'" &amp; J$3 &amp; "'!A:A"), INDIRECT("'" &amp; J$3 &amp; "'!B:B")),0)</f>
        <v>1700</v>
      </c>
      <c r="K61" s="157" cm="1">
        <f t="array" aca="1" ref="K61" ca="1">IFERROR(_xlfn.XLOOKUP($A61, INDIRECT("'" &amp; K$3 &amp; "'!A:A"), INDIRECT("'" &amp; K$3 &amp; "'!B:B")),0)</f>
        <v>1700</v>
      </c>
      <c r="L61" s="157" cm="1">
        <f t="array" aca="1" ref="L61" ca="1">IFERROR(_xlfn.XLOOKUP($A61, INDIRECT("'" &amp; L$3 &amp; "'!A:A"), INDIRECT("'" &amp; L$3 &amp; "'!B:B")),0)</f>
        <v>1700</v>
      </c>
      <c r="M61" s="157" cm="1">
        <f t="array" aca="1" ref="M61" ca="1">IFERROR(_xlfn.XLOOKUP($A61, INDIRECT("'" &amp; M$3 &amp; "'!A:A"), INDIRECT("'" &amp; M$3 &amp; "'!B:B")),0)</f>
        <v>1700</v>
      </c>
      <c r="N61" s="157" cm="1">
        <f t="array" aca="1" ref="N61" ca="1">IFERROR(_xlfn.XLOOKUP($A61, INDIRECT("'" &amp; N$3 &amp; "'!A:A"), INDIRECT("'" &amp; N$3 &amp; "'!B:B")),0)</f>
        <v>1700</v>
      </c>
      <c r="O61" s="157" cm="1">
        <f t="array" aca="1" ref="O61" ca="1">IFERROR(_xlfn.XLOOKUP($A61, INDIRECT("'" &amp; O$3 &amp; "'!A:A"), INDIRECT("'" &amp; O$3 &amp; "'!B:B")),0)</f>
        <v>1700</v>
      </c>
      <c r="P61" s="157" cm="1">
        <f t="array" aca="1" ref="P61" ca="1">IFERROR(_xlfn.XLOOKUP($A61, INDIRECT("'" &amp; P$3 &amp; "'!A:A"), INDIRECT("'" &amp; P$3 &amp; "'!B:B")),0)</f>
        <v>1700</v>
      </c>
      <c r="Q61" s="157" cm="1">
        <f t="array" aca="1" ref="Q61" ca="1">IFERROR(_xlfn.XLOOKUP($A61, INDIRECT("'" &amp; Q$3 &amp; "'!A:A"), INDIRECT("'" &amp; Q$3 &amp; "'!B:B")),0)</f>
        <v>1700</v>
      </c>
      <c r="R61" s="157" cm="1">
        <f t="array" aca="1" ref="R61" ca="1">IFERROR(_xlfn.XLOOKUP($A61, INDIRECT("'" &amp; R$3 &amp; "'!A:A"), INDIRECT("'" &amp; R$3 &amp; "'!B:B")),0)</f>
        <v>1700</v>
      </c>
      <c r="S61" s="157" cm="1">
        <f t="array" aca="1" ref="S61" ca="1">IFERROR(_xlfn.XLOOKUP($A61, INDIRECT("'" &amp; S$3 &amp; "'!A:A"), INDIRECT("'" &amp; S$3 &amp; "'!B:B")),0)</f>
        <v>1700</v>
      </c>
      <c r="T61" s="157" cm="1">
        <f t="array" aca="1" ref="T61" ca="1">IFERROR(_xlfn.XLOOKUP($A61, INDIRECT("'" &amp; T$3 &amp; "'!A:A"), INDIRECT("'" &amp; T$3 &amp; "'!B:B")),0)</f>
        <v>1700</v>
      </c>
      <c r="U61" s="157" cm="1">
        <f t="array" aca="1" ref="U61" ca="1">IFERROR(_xlfn.XLOOKUP($A61, INDIRECT("'" &amp; U$3 &amp; "'!A:A"), INDIRECT("'" &amp; U$3 &amp; "'!B:B")),0)</f>
        <v>1700</v>
      </c>
      <c r="V61" s="157" cm="1">
        <f t="array" aca="1" ref="V61" ca="1">IFERROR(_xlfn.XLOOKUP($A61, INDIRECT("'" &amp; V$3 &amp; "'!A:A"), INDIRECT("'" &amp; V$3 &amp; "'!B:B")),0)</f>
        <v>1700</v>
      </c>
      <c r="W61" s="157" cm="1">
        <f t="array" aca="1" ref="W61" ca="1">IFERROR(_xlfn.XLOOKUP($A61, INDIRECT("'" &amp; W$3 &amp; "'!A:A"), INDIRECT("'" &amp; W$3 &amp; "'!B:B")),0)</f>
        <v>1700</v>
      </c>
      <c r="X61" s="157" cm="1">
        <f t="array" aca="1" ref="X61" ca="1">IFERROR(_xlfn.XLOOKUP($A61, INDIRECT("'" &amp; X$3 &amp; "'!A:A"), INDIRECT("'" &amp; X$3 &amp; "'!B:B")),0)</f>
        <v>1700</v>
      </c>
      <c r="Y61" s="157" cm="1">
        <f t="array" aca="1" ref="Y61" ca="1">IFERROR(_xlfn.XLOOKUP($A61, INDIRECT("'" &amp; Y$3 &amp; "'!A:A"), INDIRECT("'" &amp; Y$3 &amp; "'!B:B")),0)</f>
        <v>1700</v>
      </c>
      <c r="Z61" s="157" cm="1">
        <f t="array" aca="1" ref="Z61" ca="1">IFERROR(_xlfn.XLOOKUP($A61, INDIRECT("'" &amp; Z$3 &amp; "'!A:A"), INDIRECT("'" &amp; Z$3 &amp; "'!B:B")),0)</f>
        <v>1700</v>
      </c>
      <c r="AA61" s="157" cm="1">
        <f t="array" aca="1" ref="AA61" ca="1">IFERROR(_xlfn.XLOOKUP($A61, INDIRECT("'" &amp; AA$3 &amp; "'!A:A"), INDIRECT("'" &amp; AA$3 &amp; "'!B:B")),0)</f>
        <v>1700</v>
      </c>
      <c r="AB61" s="157" cm="1">
        <f t="array" aca="1" ref="AB61" ca="1">IFERROR(_xlfn.XLOOKUP($A61, INDIRECT("'" &amp; AB$3 &amp; "'!A:A"), INDIRECT("'" &amp; AB$3 &amp; "'!B:B")),0)</f>
        <v>1700</v>
      </c>
      <c r="AC61" s="157" cm="1">
        <f t="array" aca="1" ref="AC61" ca="1">IFERROR(_xlfn.XLOOKUP($A61, INDIRECT("'" &amp; AC$3 &amp; "'!A:A"), INDIRECT("'" &amp; AC$3 &amp; "'!B:B")),0)</f>
        <v>1700</v>
      </c>
      <c r="AD61" s="157" cm="1">
        <f t="array" aca="1" ref="AD61" ca="1">IFERROR(_xlfn.XLOOKUP($A61, INDIRECT("'" &amp; AD$3 &amp; "'!A:A"), INDIRECT("'" &amp; AD$3 &amp; "'!B:B")),0)</f>
        <v>1700</v>
      </c>
      <c r="AE61" s="157" cm="1">
        <f t="array" aca="1" ref="AE61" ca="1">IFERROR(_xlfn.XLOOKUP($A61, INDIRECT("'" &amp; AE$3 &amp; "'!A:A"), INDIRECT("'" &amp; AE$3 &amp; "'!B:B")),0)</f>
        <v>1700</v>
      </c>
      <c r="AF61" s="157" cm="1">
        <f t="array" aca="1" ref="AF61" ca="1">IFERROR(_xlfn.XLOOKUP($A61, INDIRECT("'" &amp; AF$3 &amp; "'!A:A"), INDIRECT("'" &amp; AF$3 &amp; "'!B:B")),0)</f>
        <v>1700</v>
      </c>
      <c r="AG61" s="157" cm="1">
        <f t="array" aca="1" ref="AG61" ca="1">IFERROR(_xlfn.XLOOKUP($A61, INDIRECT("'" &amp; AG$3 &amp; "'!A:A"), INDIRECT("'" &amp; AG$3 &amp; "'!B:B")),0)</f>
        <v>1700</v>
      </c>
      <c r="AH61" s="157" cm="1">
        <f t="array" aca="1" ref="AH61" ca="1">IFERROR(_xlfn.XLOOKUP($A61, INDIRECT("'" &amp; AH$3 &amp; "'!A:A"), INDIRECT("'" &amp; AH$3 &amp; "'!B:B")),0)</f>
        <v>1700</v>
      </c>
      <c r="AI61" s="157" cm="1">
        <f t="array" aca="1" ref="AI61" ca="1">IFERROR(_xlfn.XLOOKUP($A61, INDIRECT("'" &amp; AI$3 &amp; "'!A:A"), INDIRECT("'" &amp; AI$3 &amp; "'!B:B")),0)</f>
        <v>1700</v>
      </c>
      <c r="AJ61" s="157">
        <f t="shared" ca="1" si="6"/>
        <v>1700</v>
      </c>
      <c r="AK61" s="156" cm="1">
        <f t="array" aca="1" ref="AK61" ca="1">IFERROR(_xlfn.XLOOKUP($A61, INDIRECT("'" &amp; AK$3 &amp; "'!A:A"), INDIRECT("'" &amp; AK$3 &amp; "'!B:B")),0)</f>
        <v>2400</v>
      </c>
      <c r="AL61" s="155" cm="1">
        <f t="array" aca="1" ref="AL61" ca="1">IFERROR(_xlfn.XLOOKUP($A61, INDIRECT("'" &amp; AL$3 &amp; "'!A:A"), INDIRECT("'" &amp; AL$3 &amp; "'!B:B")),0)</f>
        <v>1800</v>
      </c>
      <c r="AM61" s="157" cm="1">
        <f t="array" aca="1" ref="AM61" ca="1">IFERROR(_xlfn.XLOOKUP($A61, INDIRECT("'" &amp; AM$3 &amp; "'!A:A"), INDIRECT("'" &amp; AM$3 &amp; "'!B:B")),0)</f>
        <v>1500</v>
      </c>
    </row>
    <row r="62" spans="1:39" x14ac:dyDescent="0.25">
      <c r="A62" s="225" t="s">
        <v>208</v>
      </c>
      <c r="B62" s="157" cm="1">
        <f t="array" aca="1" ref="B62" ca="1">IFERROR(_xlfn.XLOOKUP($A62, INDIRECT("'" &amp; B$3 &amp; "'!A:A"), INDIRECT("'" &amp; B$3 &amp; "'!B:B")),0)</f>
        <v>2000</v>
      </c>
      <c r="C62" s="157" cm="1">
        <f t="array" aca="1" ref="C62" ca="1">IFERROR(_xlfn.XLOOKUP($A62, INDIRECT("'" &amp; C$3 &amp; "'!A:A"), INDIRECT("'" &amp; C$3 &amp; "'!B:B")),0)</f>
        <v>2000</v>
      </c>
      <c r="D62" s="157" cm="1">
        <f t="array" aca="1" ref="D62" ca="1">IFERROR(_xlfn.XLOOKUP($A62, INDIRECT("'" &amp; D$3 &amp; "'!A:A"), INDIRECT("'" &amp; D$3 &amp; "'!B:B")),0)</f>
        <v>2000</v>
      </c>
      <c r="E62" s="157" cm="1">
        <f t="array" aca="1" ref="E62" ca="1">IFERROR(_xlfn.XLOOKUP($A62, INDIRECT("'" &amp; E$3 &amp; "'!A:A"), INDIRECT("'" &amp; E$3 &amp; "'!B:B")),0)</f>
        <v>2000</v>
      </c>
      <c r="F62" s="157" cm="1">
        <f t="array" aca="1" ref="F62" ca="1">IFERROR(_xlfn.XLOOKUP($A62, INDIRECT("'" &amp; F$3 &amp; "'!A:A"), INDIRECT("'" &amp; F$3 &amp; "'!B:B")),0)</f>
        <v>2000</v>
      </c>
      <c r="G62" s="157" cm="1">
        <f t="array" aca="1" ref="G62" ca="1">IFERROR(_xlfn.XLOOKUP($A62, INDIRECT("'" &amp; G$3 &amp; "'!A:A"), INDIRECT("'" &amp; G$3 &amp; "'!B:B")),0)</f>
        <v>2000</v>
      </c>
      <c r="H62" s="157" cm="1">
        <f t="array" aca="1" ref="H62" ca="1">IFERROR(_xlfn.XLOOKUP($A62, INDIRECT("'" &amp; H$3 &amp; "'!A:A"), INDIRECT("'" &amp; H$3 &amp; "'!B:B")),0)</f>
        <v>2000</v>
      </c>
      <c r="I62" s="157" cm="1">
        <f t="array" aca="1" ref="I62" ca="1">IFERROR(_xlfn.XLOOKUP($A62, INDIRECT("'" &amp; I$3 &amp; "'!A:A"), INDIRECT("'" &amp; I$3 &amp; "'!B:B")),0)</f>
        <v>2000</v>
      </c>
      <c r="J62" s="157" cm="1">
        <f t="array" aca="1" ref="J62" ca="1">IFERROR(_xlfn.XLOOKUP($A62, INDIRECT("'" &amp; J$3 &amp; "'!A:A"), INDIRECT("'" &amp; J$3 &amp; "'!B:B")),0)</f>
        <v>2000</v>
      </c>
      <c r="K62" s="157" cm="1">
        <f t="array" aca="1" ref="K62" ca="1">IFERROR(_xlfn.XLOOKUP($A62, INDIRECT("'" &amp; K$3 &amp; "'!A:A"), INDIRECT("'" &amp; K$3 &amp; "'!B:B")),0)</f>
        <v>2000</v>
      </c>
      <c r="L62" s="157" cm="1">
        <f t="array" aca="1" ref="L62" ca="1">IFERROR(_xlfn.XLOOKUP($A62, INDIRECT("'" &amp; L$3 &amp; "'!A:A"), INDIRECT("'" &amp; L$3 &amp; "'!B:B")),0)</f>
        <v>2000</v>
      </c>
      <c r="M62" s="157" cm="1">
        <f t="array" aca="1" ref="M62" ca="1">IFERROR(_xlfn.XLOOKUP($A62, INDIRECT("'" &amp; M$3 &amp; "'!A:A"), INDIRECT("'" &amp; M$3 &amp; "'!B:B")),0)</f>
        <v>2000</v>
      </c>
      <c r="N62" s="157" cm="1">
        <f t="array" aca="1" ref="N62" ca="1">IFERROR(_xlfn.XLOOKUP($A62, INDIRECT("'" &amp; N$3 &amp; "'!A:A"), INDIRECT("'" &amp; N$3 &amp; "'!B:B")),0)</f>
        <v>2000</v>
      </c>
      <c r="O62" s="157" cm="1">
        <f t="array" aca="1" ref="O62" ca="1">IFERROR(_xlfn.XLOOKUP($A62, INDIRECT("'" &amp; O$3 &amp; "'!A:A"), INDIRECT("'" &amp; O$3 &amp; "'!B:B")),0)</f>
        <v>2000</v>
      </c>
      <c r="P62" s="157" cm="1">
        <f t="array" aca="1" ref="P62" ca="1">IFERROR(_xlfn.XLOOKUP($A62, INDIRECT("'" &amp; P$3 &amp; "'!A:A"), INDIRECT("'" &amp; P$3 &amp; "'!B:B")),0)</f>
        <v>2000</v>
      </c>
      <c r="Q62" s="157" cm="1">
        <f t="array" aca="1" ref="Q62" ca="1">IFERROR(_xlfn.XLOOKUP($A62, INDIRECT("'" &amp; Q$3 &amp; "'!A:A"), INDIRECT("'" &amp; Q$3 &amp; "'!B:B")),0)</f>
        <v>2000</v>
      </c>
      <c r="R62" s="157" cm="1">
        <f t="array" aca="1" ref="R62" ca="1">IFERROR(_xlfn.XLOOKUP($A62, INDIRECT("'" &amp; R$3 &amp; "'!A:A"), INDIRECT("'" &amp; R$3 &amp; "'!B:B")),0)</f>
        <v>2000</v>
      </c>
      <c r="S62" s="157" cm="1">
        <f t="array" aca="1" ref="S62" ca="1">IFERROR(_xlfn.XLOOKUP($A62, INDIRECT("'" &amp; S$3 &amp; "'!A:A"), INDIRECT("'" &amp; S$3 &amp; "'!B:B")),0)</f>
        <v>2000</v>
      </c>
      <c r="T62" s="157" cm="1">
        <f t="array" aca="1" ref="T62" ca="1">IFERROR(_xlfn.XLOOKUP($A62, INDIRECT("'" &amp; T$3 &amp; "'!A:A"), INDIRECT("'" &amp; T$3 &amp; "'!B:B")),0)</f>
        <v>2000</v>
      </c>
      <c r="U62" s="157" cm="1">
        <f t="array" aca="1" ref="U62" ca="1">IFERROR(_xlfn.XLOOKUP($A62, INDIRECT("'" &amp; U$3 &amp; "'!A:A"), INDIRECT("'" &amp; U$3 &amp; "'!B:B")),0)</f>
        <v>2000</v>
      </c>
      <c r="V62" s="157" cm="1">
        <f t="array" aca="1" ref="V62" ca="1">IFERROR(_xlfn.XLOOKUP($A62, INDIRECT("'" &amp; V$3 &amp; "'!A:A"), INDIRECT("'" &amp; V$3 &amp; "'!B:B")),0)</f>
        <v>2000</v>
      </c>
      <c r="W62" s="157" cm="1">
        <f t="array" aca="1" ref="W62" ca="1">IFERROR(_xlfn.XLOOKUP($A62, INDIRECT("'" &amp; W$3 &amp; "'!A:A"), INDIRECT("'" &amp; W$3 &amp; "'!B:B")),0)</f>
        <v>2000</v>
      </c>
      <c r="X62" s="157" cm="1">
        <f t="array" aca="1" ref="X62" ca="1">IFERROR(_xlfn.XLOOKUP($A62, INDIRECT("'" &amp; X$3 &amp; "'!A:A"), INDIRECT("'" &amp; X$3 &amp; "'!B:B")),0)</f>
        <v>2000</v>
      </c>
      <c r="Y62" s="157" cm="1">
        <f t="array" aca="1" ref="Y62" ca="1">IFERROR(_xlfn.XLOOKUP($A62, INDIRECT("'" &amp; Y$3 &amp; "'!A:A"), INDIRECT("'" &amp; Y$3 &amp; "'!B:B")),0)</f>
        <v>2000</v>
      </c>
      <c r="Z62" s="157" cm="1">
        <f t="array" aca="1" ref="Z62" ca="1">IFERROR(_xlfn.XLOOKUP($A62, INDIRECT("'" &amp; Z$3 &amp; "'!A:A"), INDIRECT("'" &amp; Z$3 &amp; "'!B:B")),0)</f>
        <v>2000</v>
      </c>
      <c r="AA62" s="157" cm="1">
        <f t="array" aca="1" ref="AA62" ca="1">IFERROR(_xlfn.XLOOKUP($A62, INDIRECT("'" &amp; AA$3 &amp; "'!A:A"), INDIRECT("'" &amp; AA$3 &amp; "'!B:B")),0)</f>
        <v>2000</v>
      </c>
      <c r="AB62" s="157" cm="1">
        <f t="array" aca="1" ref="AB62" ca="1">IFERROR(_xlfn.XLOOKUP($A62, INDIRECT("'" &amp; AB$3 &amp; "'!A:A"), INDIRECT("'" &amp; AB$3 &amp; "'!B:B")),0)</f>
        <v>2000</v>
      </c>
      <c r="AC62" s="157" cm="1">
        <f t="array" aca="1" ref="AC62" ca="1">IFERROR(_xlfn.XLOOKUP($A62, INDIRECT("'" &amp; AC$3 &amp; "'!A:A"), INDIRECT("'" &amp; AC$3 &amp; "'!B:B")),0)</f>
        <v>2000</v>
      </c>
      <c r="AD62" s="157" cm="1">
        <f t="array" aca="1" ref="AD62" ca="1">IFERROR(_xlfn.XLOOKUP($A62, INDIRECT("'" &amp; AD$3 &amp; "'!A:A"), INDIRECT("'" &amp; AD$3 &amp; "'!B:B")),0)</f>
        <v>2000</v>
      </c>
      <c r="AE62" s="157" cm="1">
        <f t="array" aca="1" ref="AE62" ca="1">IFERROR(_xlfn.XLOOKUP($A62, INDIRECT("'" &amp; AE$3 &amp; "'!A:A"), INDIRECT("'" &amp; AE$3 &amp; "'!B:B")),0)</f>
        <v>2000</v>
      </c>
      <c r="AF62" s="157" cm="1">
        <f t="array" aca="1" ref="AF62" ca="1">IFERROR(_xlfn.XLOOKUP($A62, INDIRECT("'" &amp; AF$3 &amp; "'!A:A"), INDIRECT("'" &amp; AF$3 &amp; "'!B:B")),0)</f>
        <v>2000</v>
      </c>
      <c r="AG62" s="157" cm="1">
        <f t="array" aca="1" ref="AG62" ca="1">IFERROR(_xlfn.XLOOKUP($A62, INDIRECT("'" &amp; AG$3 &amp; "'!A:A"), INDIRECT("'" &amp; AG$3 &amp; "'!B:B")),0)</f>
        <v>2000</v>
      </c>
      <c r="AH62" s="157" cm="1">
        <f t="array" aca="1" ref="AH62" ca="1">IFERROR(_xlfn.XLOOKUP($A62, INDIRECT("'" &amp; AH$3 &amp; "'!A:A"), INDIRECT("'" &amp; AH$3 &amp; "'!B:B")),0)</f>
        <v>2000</v>
      </c>
      <c r="AI62" s="157" cm="1">
        <f t="array" aca="1" ref="AI62" ca="1">IFERROR(_xlfn.XLOOKUP($A62, INDIRECT("'" &amp; AI$3 &amp; "'!A:A"), INDIRECT("'" &amp; AI$3 &amp; "'!B:B")),0)</f>
        <v>2000</v>
      </c>
      <c r="AJ62" s="157">
        <f t="shared" ca="1" si="6"/>
        <v>2000</v>
      </c>
      <c r="AK62" s="156" cm="1">
        <f t="array" aca="1" ref="AK62" ca="1">IFERROR(_xlfn.XLOOKUP($A62, INDIRECT("'" &amp; AK$3 &amp; "'!A:A"), INDIRECT("'" &amp; AK$3 &amp; "'!B:B")),0)</f>
        <v>2000</v>
      </c>
      <c r="AL62" s="155" cm="1">
        <f t="array" aca="1" ref="AL62" ca="1">IFERROR(_xlfn.XLOOKUP($A62, INDIRECT("'" &amp; AL$3 &amp; "'!A:A"), INDIRECT("'" &amp; AL$3 &amp; "'!B:B")),0)</f>
        <v>2000</v>
      </c>
      <c r="AM62" s="157" cm="1">
        <f t="array" aca="1" ref="AM62" ca="1">IFERROR(_xlfn.XLOOKUP($A62, INDIRECT("'" &amp; AM$3 &amp; "'!A:A"), INDIRECT("'" &amp; AM$3 &amp; "'!B:B")),0)</f>
        <v>1000</v>
      </c>
    </row>
    <row r="63" spans="1:39" x14ac:dyDescent="0.25">
      <c r="A63" s="225" t="s">
        <v>209</v>
      </c>
      <c r="B63" s="157" cm="1">
        <f t="array" aca="1" ref="B63" ca="1">IFERROR(_xlfn.XLOOKUP($A63, INDIRECT("'" &amp; B$3 &amp; "'!A:A"), INDIRECT("'" &amp; B$3 &amp; "'!B:B")),0)</f>
        <v>500</v>
      </c>
      <c r="C63" s="157" cm="1">
        <f t="array" aca="1" ref="C63" ca="1">IFERROR(_xlfn.XLOOKUP($A63, INDIRECT("'" &amp; C$3 &amp; "'!A:A"), INDIRECT("'" &amp; C$3 &amp; "'!B:B")),0)</f>
        <v>500</v>
      </c>
      <c r="D63" s="157" cm="1">
        <f t="array" aca="1" ref="D63" ca="1">IFERROR(_xlfn.XLOOKUP($A63, INDIRECT("'" &amp; D$3 &amp; "'!A:A"), INDIRECT("'" &amp; D$3 &amp; "'!B:B")),0)</f>
        <v>500</v>
      </c>
      <c r="E63" s="157" cm="1">
        <f t="array" aca="1" ref="E63" ca="1">IFERROR(_xlfn.XLOOKUP($A63, INDIRECT("'" &amp; E$3 &amp; "'!A:A"), INDIRECT("'" &amp; E$3 &amp; "'!B:B")),0)</f>
        <v>500</v>
      </c>
      <c r="F63" s="157" cm="1">
        <f t="array" aca="1" ref="F63" ca="1">IFERROR(_xlfn.XLOOKUP($A63, INDIRECT("'" &amp; F$3 &amp; "'!A:A"), INDIRECT("'" &amp; F$3 &amp; "'!B:B")),0)</f>
        <v>500</v>
      </c>
      <c r="G63" s="157" cm="1">
        <f t="array" aca="1" ref="G63" ca="1">IFERROR(_xlfn.XLOOKUP($A63, INDIRECT("'" &amp; G$3 &amp; "'!A:A"), INDIRECT("'" &amp; G$3 &amp; "'!B:B")),0)</f>
        <v>500</v>
      </c>
      <c r="H63" s="157" cm="1">
        <f t="array" aca="1" ref="H63" ca="1">IFERROR(_xlfn.XLOOKUP($A63, INDIRECT("'" &amp; H$3 &amp; "'!A:A"), INDIRECT("'" &amp; H$3 &amp; "'!B:B")),0)</f>
        <v>500</v>
      </c>
      <c r="I63" s="157" cm="1">
        <f t="array" aca="1" ref="I63" ca="1">IFERROR(_xlfn.XLOOKUP($A63, INDIRECT("'" &amp; I$3 &amp; "'!A:A"), INDIRECT("'" &amp; I$3 &amp; "'!B:B")),0)</f>
        <v>500</v>
      </c>
      <c r="J63" s="157" cm="1">
        <f t="array" aca="1" ref="J63" ca="1">IFERROR(_xlfn.XLOOKUP($A63, INDIRECT("'" &amp; J$3 &amp; "'!A:A"), INDIRECT("'" &amp; J$3 &amp; "'!B:B")),0)</f>
        <v>500</v>
      </c>
      <c r="K63" s="157" cm="1">
        <f t="array" aca="1" ref="K63" ca="1">IFERROR(_xlfn.XLOOKUP($A63, INDIRECT("'" &amp; K$3 &amp; "'!A:A"), INDIRECT("'" &amp; K$3 &amp; "'!B:B")),0)</f>
        <v>500</v>
      </c>
      <c r="L63" s="157" cm="1">
        <f t="array" aca="1" ref="L63" ca="1">IFERROR(_xlfn.XLOOKUP($A63, INDIRECT("'" &amp; L$3 &amp; "'!A:A"), INDIRECT("'" &amp; L$3 &amp; "'!B:B")),0)</f>
        <v>500</v>
      </c>
      <c r="M63" s="157" cm="1">
        <f t="array" aca="1" ref="M63" ca="1">IFERROR(_xlfn.XLOOKUP($A63, INDIRECT("'" &amp; M$3 &amp; "'!A:A"), INDIRECT("'" &amp; M$3 &amp; "'!B:B")),0)</f>
        <v>500</v>
      </c>
      <c r="N63" s="157" cm="1">
        <f t="array" aca="1" ref="N63" ca="1">IFERROR(_xlfn.XLOOKUP($A63, INDIRECT("'" &amp; N$3 &amp; "'!A:A"), INDIRECT("'" &amp; N$3 &amp; "'!B:B")),0)</f>
        <v>500</v>
      </c>
      <c r="O63" s="157" cm="1">
        <f t="array" aca="1" ref="O63" ca="1">IFERROR(_xlfn.XLOOKUP($A63, INDIRECT("'" &amp; O$3 &amp; "'!A:A"), INDIRECT("'" &amp; O$3 &amp; "'!B:B")),0)</f>
        <v>500</v>
      </c>
      <c r="P63" s="157" cm="1">
        <f t="array" aca="1" ref="P63" ca="1">IFERROR(_xlfn.XLOOKUP($A63, INDIRECT("'" &amp; P$3 &amp; "'!A:A"), INDIRECT("'" &amp; P$3 &amp; "'!B:B")),0)</f>
        <v>500</v>
      </c>
      <c r="Q63" s="157" cm="1">
        <f t="array" aca="1" ref="Q63" ca="1">IFERROR(_xlfn.XLOOKUP($A63, INDIRECT("'" &amp; Q$3 &amp; "'!A:A"), INDIRECT("'" &amp; Q$3 &amp; "'!B:B")),0)</f>
        <v>500</v>
      </c>
      <c r="R63" s="157" cm="1">
        <f t="array" aca="1" ref="R63" ca="1">IFERROR(_xlfn.XLOOKUP($A63, INDIRECT("'" &amp; R$3 &amp; "'!A:A"), INDIRECT("'" &amp; R$3 &amp; "'!B:B")),0)</f>
        <v>500</v>
      </c>
      <c r="S63" s="157" cm="1">
        <f t="array" aca="1" ref="S63" ca="1">IFERROR(_xlfn.XLOOKUP($A63, INDIRECT("'" &amp; S$3 &amp; "'!A:A"), INDIRECT("'" &amp; S$3 &amp; "'!B:B")),0)</f>
        <v>500</v>
      </c>
      <c r="T63" s="157" cm="1">
        <f t="array" aca="1" ref="T63" ca="1">IFERROR(_xlfn.XLOOKUP($A63, INDIRECT("'" &amp; T$3 &amp; "'!A:A"), INDIRECT("'" &amp; T$3 &amp; "'!B:B")),0)</f>
        <v>500</v>
      </c>
      <c r="U63" s="157" cm="1">
        <f t="array" aca="1" ref="U63" ca="1">IFERROR(_xlfn.XLOOKUP($A63, INDIRECT("'" &amp; U$3 &amp; "'!A:A"), INDIRECT("'" &amp; U$3 &amp; "'!B:B")),0)</f>
        <v>500</v>
      </c>
      <c r="V63" s="157" cm="1">
        <f t="array" aca="1" ref="V63" ca="1">IFERROR(_xlfn.XLOOKUP($A63, INDIRECT("'" &amp; V$3 &amp; "'!A:A"), INDIRECT("'" &amp; V$3 &amp; "'!B:B")),0)</f>
        <v>500</v>
      </c>
      <c r="W63" s="157" cm="1">
        <f t="array" aca="1" ref="W63" ca="1">IFERROR(_xlfn.XLOOKUP($A63, INDIRECT("'" &amp; W$3 &amp; "'!A:A"), INDIRECT("'" &amp; W$3 &amp; "'!B:B")),0)</f>
        <v>500</v>
      </c>
      <c r="X63" s="157" cm="1">
        <f t="array" aca="1" ref="X63" ca="1">IFERROR(_xlfn.XLOOKUP($A63, INDIRECT("'" &amp; X$3 &amp; "'!A:A"), INDIRECT("'" &amp; X$3 &amp; "'!B:B")),0)</f>
        <v>500</v>
      </c>
      <c r="Y63" s="157" cm="1">
        <f t="array" aca="1" ref="Y63" ca="1">IFERROR(_xlfn.XLOOKUP($A63, INDIRECT("'" &amp; Y$3 &amp; "'!A:A"), INDIRECT("'" &amp; Y$3 &amp; "'!B:B")),0)</f>
        <v>500</v>
      </c>
      <c r="Z63" s="157" cm="1">
        <f t="array" aca="1" ref="Z63" ca="1">IFERROR(_xlfn.XLOOKUP($A63, INDIRECT("'" &amp; Z$3 &amp; "'!A:A"), INDIRECT("'" &amp; Z$3 &amp; "'!B:B")),0)</f>
        <v>500</v>
      </c>
      <c r="AA63" s="157" cm="1">
        <f t="array" aca="1" ref="AA63" ca="1">IFERROR(_xlfn.XLOOKUP($A63, INDIRECT("'" &amp; AA$3 &amp; "'!A:A"), INDIRECT("'" &amp; AA$3 &amp; "'!B:B")),0)</f>
        <v>500</v>
      </c>
      <c r="AB63" s="157" cm="1">
        <f t="array" aca="1" ref="AB63" ca="1">IFERROR(_xlfn.XLOOKUP($A63, INDIRECT("'" &amp; AB$3 &amp; "'!A:A"), INDIRECT("'" &amp; AB$3 &amp; "'!B:B")),0)</f>
        <v>500</v>
      </c>
      <c r="AC63" s="157" cm="1">
        <f t="array" aca="1" ref="AC63" ca="1">IFERROR(_xlfn.XLOOKUP($A63, INDIRECT("'" &amp; AC$3 &amp; "'!A:A"), INDIRECT("'" &amp; AC$3 &amp; "'!B:B")),0)</f>
        <v>500</v>
      </c>
      <c r="AD63" s="157" cm="1">
        <f t="array" aca="1" ref="AD63" ca="1">IFERROR(_xlfn.XLOOKUP($A63, INDIRECT("'" &amp; AD$3 &amp; "'!A:A"), INDIRECT("'" &amp; AD$3 &amp; "'!B:B")),0)</f>
        <v>500</v>
      </c>
      <c r="AE63" s="157" cm="1">
        <f t="array" aca="1" ref="AE63" ca="1">IFERROR(_xlfn.XLOOKUP($A63, INDIRECT("'" &amp; AE$3 &amp; "'!A:A"), INDIRECT("'" &amp; AE$3 &amp; "'!B:B")),0)</f>
        <v>500</v>
      </c>
      <c r="AF63" s="157" cm="1">
        <f t="array" aca="1" ref="AF63" ca="1">IFERROR(_xlfn.XLOOKUP($A63, INDIRECT("'" &amp; AF$3 &amp; "'!A:A"), INDIRECT("'" &amp; AF$3 &amp; "'!B:B")),0)</f>
        <v>500</v>
      </c>
      <c r="AG63" s="157" cm="1">
        <f t="array" aca="1" ref="AG63" ca="1">IFERROR(_xlfn.XLOOKUP($A63, INDIRECT("'" &amp; AG$3 &amp; "'!A:A"), INDIRECT("'" &amp; AG$3 &amp; "'!B:B")),0)</f>
        <v>500</v>
      </c>
      <c r="AH63" s="157" cm="1">
        <f t="array" aca="1" ref="AH63" ca="1">IFERROR(_xlfn.XLOOKUP($A63, INDIRECT("'" &amp; AH$3 &amp; "'!A:A"), INDIRECT("'" &amp; AH$3 &amp; "'!B:B")),0)</f>
        <v>500</v>
      </c>
      <c r="AI63" s="157" cm="1">
        <f t="array" aca="1" ref="AI63" ca="1">IFERROR(_xlfn.XLOOKUP($A63, INDIRECT("'" &amp; AI$3 &amp; "'!A:A"), INDIRECT("'" &amp; AI$3 &amp; "'!B:B")),0)</f>
        <v>500</v>
      </c>
      <c r="AJ63" s="157">
        <f t="shared" ca="1" si="6"/>
        <v>500</v>
      </c>
      <c r="AK63" s="156" cm="1">
        <f t="array" aca="1" ref="AK63" ca="1">IFERROR(_xlfn.XLOOKUP($A63, INDIRECT("'" &amp; AK$3 &amp; "'!A:A"), INDIRECT("'" &amp; AK$3 &amp; "'!B:B")),0)</f>
        <v>500</v>
      </c>
      <c r="AL63" s="155" cm="1">
        <f t="array" aca="1" ref="AL63" ca="1">IFERROR(_xlfn.XLOOKUP($A63, INDIRECT("'" &amp; AL$3 &amp; "'!A:A"), INDIRECT("'" &amp; AL$3 &amp; "'!B:B")),0)</f>
        <v>500</v>
      </c>
      <c r="AM63" s="157" cm="1">
        <f t="array" aca="1" ref="AM63" ca="1">IFERROR(_xlfn.XLOOKUP($A63, INDIRECT("'" &amp; AM$3 &amp; "'!A:A"), INDIRECT("'" &amp; AM$3 &amp; "'!B:B")),0)</f>
        <v>500</v>
      </c>
    </row>
    <row r="64" spans="1:39" x14ac:dyDescent="0.25">
      <c r="A64" s="225" t="s">
        <v>210</v>
      </c>
      <c r="B64" s="157" cm="1">
        <f t="array" aca="1" ref="B64" ca="1">IFERROR(_xlfn.XLOOKUP($A64, INDIRECT("'" &amp; B$3 &amp; "'!A:A"), INDIRECT("'" &amp; B$3 &amp; "'!B:B")),0)</f>
        <v>2500</v>
      </c>
      <c r="C64" s="157" cm="1">
        <f t="array" aca="1" ref="C64" ca="1">IFERROR(_xlfn.XLOOKUP($A64, INDIRECT("'" &amp; C$3 &amp; "'!A:A"), INDIRECT("'" &amp; C$3 &amp; "'!B:B")),0)</f>
        <v>2500</v>
      </c>
      <c r="D64" s="157" cm="1">
        <f t="array" aca="1" ref="D64" ca="1">IFERROR(_xlfn.XLOOKUP($A64, INDIRECT("'" &amp; D$3 &amp; "'!A:A"), INDIRECT("'" &amp; D$3 &amp; "'!B:B")),0)</f>
        <v>2500</v>
      </c>
      <c r="E64" s="157" cm="1">
        <f t="array" aca="1" ref="E64" ca="1">IFERROR(_xlfn.XLOOKUP($A64, INDIRECT("'" &amp; E$3 &amp; "'!A:A"), INDIRECT("'" &amp; E$3 &amp; "'!B:B")),0)</f>
        <v>2500</v>
      </c>
      <c r="F64" s="157" cm="1">
        <f t="array" aca="1" ref="F64" ca="1">IFERROR(_xlfn.XLOOKUP($A64, INDIRECT("'" &amp; F$3 &amp; "'!A:A"), INDIRECT("'" &amp; F$3 &amp; "'!B:B")),0)</f>
        <v>2500</v>
      </c>
      <c r="G64" s="157" cm="1">
        <f t="array" aca="1" ref="G64" ca="1">IFERROR(_xlfn.XLOOKUP($A64, INDIRECT("'" &amp; G$3 &amp; "'!A:A"), INDIRECT("'" &amp; G$3 &amp; "'!B:B")),0)</f>
        <v>2500</v>
      </c>
      <c r="H64" s="157" cm="1">
        <f t="array" aca="1" ref="H64" ca="1">IFERROR(_xlfn.XLOOKUP($A64, INDIRECT("'" &amp; H$3 &amp; "'!A:A"), INDIRECT("'" &amp; H$3 &amp; "'!B:B")),0)</f>
        <v>2500</v>
      </c>
      <c r="I64" s="157" cm="1">
        <f t="array" aca="1" ref="I64" ca="1">IFERROR(_xlfn.XLOOKUP($A64, INDIRECT("'" &amp; I$3 &amp; "'!A:A"), INDIRECT("'" &amp; I$3 &amp; "'!B:B")),0)</f>
        <v>2500</v>
      </c>
      <c r="J64" s="157" cm="1">
        <f t="array" aca="1" ref="J64" ca="1">IFERROR(_xlfn.XLOOKUP($A64, INDIRECT("'" &amp; J$3 &amp; "'!A:A"), INDIRECT("'" &amp; J$3 &amp; "'!B:B")),0)</f>
        <v>2500</v>
      </c>
      <c r="K64" s="157" cm="1">
        <f t="array" aca="1" ref="K64" ca="1">IFERROR(_xlfn.XLOOKUP($A64, INDIRECT("'" &amp; K$3 &amp; "'!A:A"), INDIRECT("'" &amp; K$3 &amp; "'!B:B")),0)</f>
        <v>2500</v>
      </c>
      <c r="L64" s="157" cm="1">
        <f t="array" aca="1" ref="L64" ca="1">IFERROR(_xlfn.XLOOKUP($A64, INDIRECT("'" &amp; L$3 &amp; "'!A:A"), INDIRECT("'" &amp; L$3 &amp; "'!B:B")),0)</f>
        <v>2500</v>
      </c>
      <c r="M64" s="157" cm="1">
        <f t="array" aca="1" ref="M64" ca="1">IFERROR(_xlfn.XLOOKUP($A64, INDIRECT("'" &amp; M$3 &amp; "'!A:A"), INDIRECT("'" &amp; M$3 &amp; "'!B:B")),0)</f>
        <v>2500</v>
      </c>
      <c r="N64" s="157" cm="1">
        <f t="array" aca="1" ref="N64" ca="1">IFERROR(_xlfn.XLOOKUP($A64, INDIRECT("'" &amp; N$3 &amp; "'!A:A"), INDIRECT("'" &amp; N$3 &amp; "'!B:B")),0)</f>
        <v>2500</v>
      </c>
      <c r="O64" s="157" cm="1">
        <f t="array" aca="1" ref="O64" ca="1">IFERROR(_xlfn.XLOOKUP($A64, INDIRECT("'" &amp; O$3 &amp; "'!A:A"), INDIRECT("'" &amp; O$3 &amp; "'!B:B")),0)</f>
        <v>2500</v>
      </c>
      <c r="P64" s="157" cm="1">
        <f t="array" aca="1" ref="P64" ca="1">IFERROR(_xlfn.XLOOKUP($A64, INDIRECT("'" &amp; P$3 &amp; "'!A:A"), INDIRECT("'" &amp; P$3 &amp; "'!B:B")),0)</f>
        <v>2500</v>
      </c>
      <c r="Q64" s="157" cm="1">
        <f t="array" aca="1" ref="Q64" ca="1">IFERROR(_xlfn.XLOOKUP($A64, INDIRECT("'" &amp; Q$3 &amp; "'!A:A"), INDIRECT("'" &amp; Q$3 &amp; "'!B:B")),0)</f>
        <v>2500</v>
      </c>
      <c r="R64" s="157" cm="1">
        <f t="array" aca="1" ref="R64" ca="1">IFERROR(_xlfn.XLOOKUP($A64, INDIRECT("'" &amp; R$3 &amp; "'!A:A"), INDIRECT("'" &amp; R$3 &amp; "'!B:B")),0)</f>
        <v>2500</v>
      </c>
      <c r="S64" s="157" cm="1">
        <f t="array" aca="1" ref="S64" ca="1">IFERROR(_xlfn.XLOOKUP($A64, INDIRECT("'" &amp; S$3 &amp; "'!A:A"), INDIRECT("'" &amp; S$3 &amp; "'!B:B")),0)</f>
        <v>2500</v>
      </c>
      <c r="T64" s="157" cm="1">
        <f t="array" aca="1" ref="T64" ca="1">IFERROR(_xlfn.XLOOKUP($A64, INDIRECT("'" &amp; T$3 &amp; "'!A:A"), INDIRECT("'" &amp; T$3 &amp; "'!B:B")),0)</f>
        <v>2500</v>
      </c>
      <c r="U64" s="157" cm="1">
        <f t="array" aca="1" ref="U64" ca="1">IFERROR(_xlfn.XLOOKUP($A64, INDIRECT("'" &amp; U$3 &amp; "'!A:A"), INDIRECT("'" &amp; U$3 &amp; "'!B:B")),0)</f>
        <v>2500</v>
      </c>
      <c r="V64" s="157" cm="1">
        <f t="array" aca="1" ref="V64" ca="1">IFERROR(_xlfn.XLOOKUP($A64, INDIRECT("'" &amp; V$3 &amp; "'!A:A"), INDIRECT("'" &amp; V$3 &amp; "'!B:B")),0)</f>
        <v>2500</v>
      </c>
      <c r="W64" s="157" cm="1">
        <f t="array" aca="1" ref="W64" ca="1">IFERROR(_xlfn.XLOOKUP($A64, INDIRECT("'" &amp; W$3 &amp; "'!A:A"), INDIRECT("'" &amp; W$3 &amp; "'!B:B")),0)</f>
        <v>2500</v>
      </c>
      <c r="X64" s="157" cm="1">
        <f t="array" aca="1" ref="X64" ca="1">IFERROR(_xlfn.XLOOKUP($A64, INDIRECT("'" &amp; X$3 &amp; "'!A:A"), INDIRECT("'" &amp; X$3 &amp; "'!B:B")),0)</f>
        <v>2500</v>
      </c>
      <c r="Y64" s="157" cm="1">
        <f t="array" aca="1" ref="Y64" ca="1">IFERROR(_xlfn.XLOOKUP($A64, INDIRECT("'" &amp; Y$3 &amp; "'!A:A"), INDIRECT("'" &amp; Y$3 &amp; "'!B:B")),0)</f>
        <v>2500</v>
      </c>
      <c r="Z64" s="157" cm="1">
        <f t="array" aca="1" ref="Z64" ca="1">IFERROR(_xlfn.XLOOKUP($A64, INDIRECT("'" &amp; Z$3 &amp; "'!A:A"), INDIRECT("'" &amp; Z$3 &amp; "'!B:B")),0)</f>
        <v>2500</v>
      </c>
      <c r="AA64" s="157" cm="1">
        <f t="array" aca="1" ref="AA64" ca="1">IFERROR(_xlfn.XLOOKUP($A64, INDIRECT("'" &amp; AA$3 &amp; "'!A:A"), INDIRECT("'" &amp; AA$3 &amp; "'!B:B")),0)</f>
        <v>2500</v>
      </c>
      <c r="AB64" s="157" cm="1">
        <f t="array" aca="1" ref="AB64" ca="1">IFERROR(_xlfn.XLOOKUP($A64, INDIRECT("'" &amp; AB$3 &amp; "'!A:A"), INDIRECT("'" &amp; AB$3 &amp; "'!B:B")),0)</f>
        <v>2500</v>
      </c>
      <c r="AC64" s="157" cm="1">
        <f t="array" aca="1" ref="AC64" ca="1">IFERROR(_xlfn.XLOOKUP($A64, INDIRECT("'" &amp; AC$3 &amp; "'!A:A"), INDIRECT("'" &amp; AC$3 &amp; "'!B:B")),0)</f>
        <v>2500</v>
      </c>
      <c r="AD64" s="157" cm="1">
        <f t="array" aca="1" ref="AD64" ca="1">IFERROR(_xlfn.XLOOKUP($A64, INDIRECT("'" &amp; AD$3 &amp; "'!A:A"), INDIRECT("'" &amp; AD$3 &amp; "'!B:B")),0)</f>
        <v>2500</v>
      </c>
      <c r="AE64" s="157" cm="1">
        <f t="array" aca="1" ref="AE64" ca="1">IFERROR(_xlfn.XLOOKUP($A64, INDIRECT("'" &amp; AE$3 &amp; "'!A:A"), INDIRECT("'" &amp; AE$3 &amp; "'!B:B")),0)</f>
        <v>2500</v>
      </c>
      <c r="AF64" s="157" cm="1">
        <f t="array" aca="1" ref="AF64" ca="1">IFERROR(_xlfn.XLOOKUP($A64, INDIRECT("'" &amp; AF$3 &amp; "'!A:A"), INDIRECT("'" &amp; AF$3 &amp; "'!B:B")),0)</f>
        <v>2500</v>
      </c>
      <c r="AG64" s="157" cm="1">
        <f t="array" aca="1" ref="AG64" ca="1">IFERROR(_xlfn.XLOOKUP($A64, INDIRECT("'" &amp; AG$3 &amp; "'!A:A"), INDIRECT("'" &amp; AG$3 &amp; "'!B:B")),0)</f>
        <v>2500</v>
      </c>
      <c r="AH64" s="157" cm="1">
        <f t="array" aca="1" ref="AH64" ca="1">IFERROR(_xlfn.XLOOKUP($A64, INDIRECT("'" &amp; AH$3 &amp; "'!A:A"), INDIRECT("'" &amp; AH$3 &amp; "'!B:B")),0)</f>
        <v>2500</v>
      </c>
      <c r="AI64" s="157" cm="1">
        <f t="array" aca="1" ref="AI64" ca="1">IFERROR(_xlfn.XLOOKUP($A64, INDIRECT("'" &amp; AI$3 &amp; "'!A:A"), INDIRECT("'" &amp; AI$3 &amp; "'!B:B")),0)</f>
        <v>2500</v>
      </c>
      <c r="AJ64" s="157">
        <f t="shared" ca="1" si="6"/>
        <v>2500</v>
      </c>
      <c r="AK64" s="156" cm="1">
        <f t="array" aca="1" ref="AK64" ca="1">IFERROR(_xlfn.XLOOKUP($A64, INDIRECT("'" &amp; AK$3 &amp; "'!A:A"), INDIRECT("'" &amp; AK$3 &amp; "'!B:B")),0)</f>
        <v>1500</v>
      </c>
      <c r="AL64" s="155" cm="1">
        <f t="array" aca="1" ref="AL64" ca="1">IFERROR(_xlfn.XLOOKUP($A64, INDIRECT("'" &amp; AL$3 &amp; "'!A:A"), INDIRECT("'" &amp; AL$3 &amp; "'!B:B")),0)</f>
        <v>3000</v>
      </c>
      <c r="AM64" s="157" cm="1">
        <f t="array" aca="1" ref="AM64" ca="1">IFERROR(_xlfn.XLOOKUP($A64, INDIRECT("'" &amp; AM$3 &amp; "'!A:A"), INDIRECT("'" &amp; AM$3 &amp; "'!B:B")),0)</f>
        <v>2500</v>
      </c>
    </row>
    <row r="65" spans="1:39" ht="15.75" thickBot="1" x14ac:dyDescent="0.3">
      <c r="A65" s="225" t="s">
        <v>211</v>
      </c>
      <c r="B65" s="157" cm="1">
        <f t="array" aca="1" ref="B65" ca="1">IFERROR(_xlfn.XLOOKUP($A65, INDIRECT("'" &amp; B$3 &amp; "'!A:A"), INDIRECT("'" &amp; B$3 &amp; "'!B:B")),0)</f>
        <v>2475</v>
      </c>
      <c r="C65" s="157" cm="1">
        <f t="array" aca="1" ref="C65" ca="1">IFERROR(_xlfn.XLOOKUP($A65, INDIRECT("'" &amp; C$3 &amp; "'!A:A"), INDIRECT("'" &amp; C$3 &amp; "'!B:B")),0)</f>
        <v>2475</v>
      </c>
      <c r="D65" s="157" cm="1">
        <f t="array" aca="1" ref="D65" ca="1">IFERROR(_xlfn.XLOOKUP($A65, INDIRECT("'" &amp; D$3 &amp; "'!A:A"), INDIRECT("'" &amp; D$3 &amp; "'!B:B")),0)</f>
        <v>2475</v>
      </c>
      <c r="E65" s="157" cm="1">
        <f t="array" aca="1" ref="E65" ca="1">IFERROR(_xlfn.XLOOKUP($A65, INDIRECT("'" &amp; E$3 &amp; "'!A:A"), INDIRECT("'" &amp; E$3 &amp; "'!B:B")),0)</f>
        <v>2475</v>
      </c>
      <c r="F65" s="157" cm="1">
        <f t="array" aca="1" ref="F65" ca="1">IFERROR(_xlfn.XLOOKUP($A65, INDIRECT("'" &amp; F$3 &amp; "'!A:A"), INDIRECT("'" &amp; F$3 &amp; "'!B:B")),0)</f>
        <v>2475</v>
      </c>
      <c r="G65" s="157" cm="1">
        <f t="array" aca="1" ref="G65" ca="1">IFERROR(_xlfn.XLOOKUP($A65, INDIRECT("'" &amp; G$3 &amp; "'!A:A"), INDIRECT("'" &amp; G$3 &amp; "'!B:B")),0)</f>
        <v>2475</v>
      </c>
      <c r="H65" s="157" cm="1">
        <f t="array" aca="1" ref="H65" ca="1">IFERROR(_xlfn.XLOOKUP($A65, INDIRECT("'" &amp; H$3 &amp; "'!A:A"), INDIRECT("'" &amp; H$3 &amp; "'!B:B")),0)</f>
        <v>2475</v>
      </c>
      <c r="I65" s="157" cm="1">
        <f t="array" aca="1" ref="I65" ca="1">IFERROR(_xlfn.XLOOKUP($A65, INDIRECT("'" &amp; I$3 &amp; "'!A:A"), INDIRECT("'" &amp; I$3 &amp; "'!B:B")),0)</f>
        <v>2475</v>
      </c>
      <c r="J65" s="157" cm="1">
        <f t="array" aca="1" ref="J65" ca="1">IFERROR(_xlfn.XLOOKUP($A65, INDIRECT("'" &amp; J$3 &amp; "'!A:A"), INDIRECT("'" &amp; J$3 &amp; "'!B:B")),0)</f>
        <v>2475</v>
      </c>
      <c r="K65" s="157" cm="1">
        <f t="array" aca="1" ref="K65" ca="1">IFERROR(_xlfn.XLOOKUP($A65, INDIRECT("'" &amp; K$3 &amp; "'!A:A"), INDIRECT("'" &amp; K$3 &amp; "'!B:B")),0)</f>
        <v>2475</v>
      </c>
      <c r="L65" s="157" cm="1">
        <f t="array" aca="1" ref="L65" ca="1">IFERROR(_xlfn.XLOOKUP($A65, INDIRECT("'" &amp; L$3 &amp; "'!A:A"), INDIRECT("'" &amp; L$3 &amp; "'!B:B")),0)</f>
        <v>2475</v>
      </c>
      <c r="M65" s="157" cm="1">
        <f t="array" aca="1" ref="M65" ca="1">IFERROR(_xlfn.XLOOKUP($A65, INDIRECT("'" &amp; M$3 &amp; "'!A:A"), INDIRECT("'" &amp; M$3 &amp; "'!B:B")),0)</f>
        <v>2475</v>
      </c>
      <c r="N65" s="157" cm="1">
        <f t="array" aca="1" ref="N65" ca="1">IFERROR(_xlfn.XLOOKUP($A65, INDIRECT("'" &amp; N$3 &amp; "'!A:A"), INDIRECT("'" &amp; N$3 &amp; "'!B:B")),0)</f>
        <v>2475</v>
      </c>
      <c r="O65" s="157" cm="1">
        <f t="array" aca="1" ref="O65" ca="1">IFERROR(_xlfn.XLOOKUP($A65, INDIRECT("'" &amp; O$3 &amp; "'!A:A"), INDIRECT("'" &amp; O$3 &amp; "'!B:B")),0)</f>
        <v>2475</v>
      </c>
      <c r="P65" s="157" cm="1">
        <f t="array" aca="1" ref="P65" ca="1">IFERROR(_xlfn.XLOOKUP($A65, INDIRECT("'" &amp; P$3 &amp; "'!A:A"), INDIRECT("'" &amp; P$3 &amp; "'!B:B")),0)</f>
        <v>2475</v>
      </c>
      <c r="Q65" s="157" cm="1">
        <f t="array" aca="1" ref="Q65" ca="1">IFERROR(_xlfn.XLOOKUP($A65, INDIRECT("'" &amp; Q$3 &amp; "'!A:A"), INDIRECT("'" &amp; Q$3 &amp; "'!B:B")),0)</f>
        <v>2475</v>
      </c>
      <c r="R65" s="157" cm="1">
        <f t="array" aca="1" ref="R65" ca="1">IFERROR(_xlfn.XLOOKUP($A65, INDIRECT("'" &amp; R$3 &amp; "'!A:A"), INDIRECT("'" &amp; R$3 &amp; "'!B:B")),0)</f>
        <v>2475</v>
      </c>
      <c r="S65" s="157" cm="1">
        <f t="array" aca="1" ref="S65" ca="1">IFERROR(_xlfn.XLOOKUP($A65, INDIRECT("'" &amp; S$3 &amp; "'!A:A"), INDIRECT("'" &amp; S$3 &amp; "'!B:B")),0)</f>
        <v>2475</v>
      </c>
      <c r="T65" s="157" cm="1">
        <f t="array" aca="1" ref="T65" ca="1">IFERROR(_xlfn.XLOOKUP($A65, INDIRECT("'" &amp; T$3 &amp; "'!A:A"), INDIRECT("'" &amp; T$3 &amp; "'!B:B")),0)</f>
        <v>2475</v>
      </c>
      <c r="U65" s="157" cm="1">
        <f t="array" aca="1" ref="U65" ca="1">IFERROR(_xlfn.XLOOKUP($A65, INDIRECT("'" &amp; U$3 &amp; "'!A:A"), INDIRECT("'" &amp; U$3 &amp; "'!B:B")),0)</f>
        <v>2475</v>
      </c>
      <c r="V65" s="157" cm="1">
        <f t="array" aca="1" ref="V65" ca="1">IFERROR(_xlfn.XLOOKUP($A65, INDIRECT("'" &amp; V$3 &amp; "'!A:A"), INDIRECT("'" &amp; V$3 &amp; "'!B:B")),0)</f>
        <v>2475</v>
      </c>
      <c r="W65" s="157" cm="1">
        <f t="array" aca="1" ref="W65" ca="1">IFERROR(_xlfn.XLOOKUP($A65, INDIRECT("'" &amp; W$3 &amp; "'!A:A"), INDIRECT("'" &amp; W$3 &amp; "'!B:B")),0)</f>
        <v>2475</v>
      </c>
      <c r="X65" s="157" cm="1">
        <f t="array" aca="1" ref="X65" ca="1">IFERROR(_xlfn.XLOOKUP($A65, INDIRECT("'" &amp; X$3 &amp; "'!A:A"), INDIRECT("'" &amp; X$3 &amp; "'!B:B")),0)</f>
        <v>2475</v>
      </c>
      <c r="Y65" s="157" cm="1">
        <f t="array" aca="1" ref="Y65" ca="1">IFERROR(_xlfn.XLOOKUP($A65, INDIRECT("'" &amp; Y$3 &amp; "'!A:A"), INDIRECT("'" &amp; Y$3 &amp; "'!B:B")),0)</f>
        <v>2475</v>
      </c>
      <c r="Z65" s="157" cm="1">
        <f t="array" aca="1" ref="Z65" ca="1">IFERROR(_xlfn.XLOOKUP($A65, INDIRECT("'" &amp; Z$3 &amp; "'!A:A"), INDIRECT("'" &amp; Z$3 &amp; "'!B:B")),0)</f>
        <v>2475</v>
      </c>
      <c r="AA65" s="157" cm="1">
        <f t="array" aca="1" ref="AA65" ca="1">IFERROR(_xlfn.XLOOKUP($A65, INDIRECT("'" &amp; AA$3 &amp; "'!A:A"), INDIRECT("'" &amp; AA$3 &amp; "'!B:B")),0)</f>
        <v>2475</v>
      </c>
      <c r="AB65" s="157" cm="1">
        <f t="array" aca="1" ref="AB65" ca="1">IFERROR(_xlfn.XLOOKUP($A65, INDIRECT("'" &amp; AB$3 &amp; "'!A:A"), INDIRECT("'" &amp; AB$3 &amp; "'!B:B")),0)</f>
        <v>2475</v>
      </c>
      <c r="AC65" s="157" cm="1">
        <f t="array" aca="1" ref="AC65" ca="1">IFERROR(_xlfn.XLOOKUP($A65, INDIRECT("'" &amp; AC$3 &amp; "'!A:A"), INDIRECT("'" &amp; AC$3 &amp; "'!B:B")),0)</f>
        <v>2475</v>
      </c>
      <c r="AD65" s="157" cm="1">
        <f t="array" aca="1" ref="AD65" ca="1">IFERROR(_xlfn.XLOOKUP($A65, INDIRECT("'" &amp; AD$3 &amp; "'!A:A"), INDIRECT("'" &amp; AD$3 &amp; "'!B:B")),0)</f>
        <v>2475</v>
      </c>
      <c r="AE65" s="157" cm="1">
        <f t="array" aca="1" ref="AE65" ca="1">IFERROR(_xlfn.XLOOKUP($A65, INDIRECT("'" &amp; AE$3 &amp; "'!A:A"), INDIRECT("'" &amp; AE$3 &amp; "'!B:B")),0)</f>
        <v>2475</v>
      </c>
      <c r="AF65" s="157" cm="1">
        <f t="array" aca="1" ref="AF65" ca="1">IFERROR(_xlfn.XLOOKUP($A65, INDIRECT("'" &amp; AF$3 &amp; "'!A:A"), INDIRECT("'" &amp; AF$3 &amp; "'!B:B")),0)</f>
        <v>2475</v>
      </c>
      <c r="AG65" s="157" cm="1">
        <f t="array" aca="1" ref="AG65" ca="1">IFERROR(_xlfn.XLOOKUP($A65, INDIRECT("'" &amp; AG$3 &amp; "'!A:A"), INDIRECT("'" &amp; AG$3 &amp; "'!B:B")),0)</f>
        <v>2475</v>
      </c>
      <c r="AH65" s="157" cm="1">
        <f t="array" aca="1" ref="AH65" ca="1">IFERROR(_xlfn.XLOOKUP($A65, INDIRECT("'" &amp; AH$3 &amp; "'!A:A"), INDIRECT("'" &amp; AH$3 &amp; "'!B:B")),0)</f>
        <v>2475</v>
      </c>
      <c r="AI65" s="157" cm="1">
        <f t="array" aca="1" ref="AI65" ca="1">IFERROR(_xlfn.XLOOKUP($A65, INDIRECT("'" &amp; AI$3 &amp; "'!A:A"), INDIRECT("'" &amp; AI$3 &amp; "'!B:B")),0)</f>
        <v>2475</v>
      </c>
      <c r="AJ65" s="157">
        <f t="shared" ca="1" si="6"/>
        <v>2475</v>
      </c>
      <c r="AK65" s="156" cm="1">
        <f t="array" aca="1" ref="AK65" ca="1">IFERROR(_xlfn.XLOOKUP($A65, INDIRECT("'" &amp; AK$3 &amp; "'!A:A"), INDIRECT("'" &amp; AK$3 &amp; "'!B:B")),0)</f>
        <v>5549.99</v>
      </c>
      <c r="AL65" s="155" cm="1">
        <f t="array" aca="1" ref="AL65" ca="1">IFERROR(_xlfn.XLOOKUP($A65, INDIRECT("'" &amp; AL$3 &amp; "'!A:A"), INDIRECT("'" &amp; AL$3 &amp; "'!B:B")),0)</f>
        <v>1500</v>
      </c>
      <c r="AM65" s="157" cm="1">
        <f t="array" aca="1" ref="AM65" ca="1">IFERROR(_xlfn.XLOOKUP($A65, INDIRECT("'" &amp; AM$3 &amp; "'!A:A"), INDIRECT("'" &amp; AM$3 &amp; "'!B:B")),0)</f>
        <v>2763</v>
      </c>
    </row>
    <row r="66" spans="1:39" ht="15.75" thickBot="1" x14ac:dyDescent="0.3">
      <c r="A66" s="227" t="s">
        <v>212</v>
      </c>
      <c r="B66" s="154">
        <f t="shared" ref="B66:AL66" ca="1" si="7">SUM(B59:B65)</f>
        <v>10875</v>
      </c>
      <c r="C66" s="154">
        <f t="shared" ca="1" si="7"/>
        <v>10875</v>
      </c>
      <c r="D66" s="154">
        <f t="shared" ca="1" si="7"/>
        <v>10875</v>
      </c>
      <c r="E66" s="154">
        <f t="shared" ca="1" si="7"/>
        <v>10875</v>
      </c>
      <c r="F66" s="154">
        <f t="shared" ca="1" si="7"/>
        <v>10875</v>
      </c>
      <c r="G66" s="154">
        <f t="shared" ca="1" si="7"/>
        <v>10875</v>
      </c>
      <c r="H66" s="154">
        <f t="shared" ca="1" si="7"/>
        <v>10875</v>
      </c>
      <c r="I66" s="154">
        <f t="shared" ca="1" si="7"/>
        <v>10875</v>
      </c>
      <c r="J66" s="154">
        <f t="shared" ca="1" si="7"/>
        <v>10875</v>
      </c>
      <c r="K66" s="154">
        <f t="shared" ca="1" si="7"/>
        <v>10875</v>
      </c>
      <c r="L66" s="154">
        <f t="shared" ca="1" si="7"/>
        <v>10875</v>
      </c>
      <c r="M66" s="154">
        <f t="shared" ca="1" si="7"/>
        <v>10875</v>
      </c>
      <c r="N66" s="154">
        <f t="shared" ca="1" si="7"/>
        <v>10875</v>
      </c>
      <c r="O66" s="154">
        <f t="shared" ca="1" si="7"/>
        <v>10875</v>
      </c>
      <c r="P66" s="154">
        <f t="shared" ca="1" si="7"/>
        <v>10875</v>
      </c>
      <c r="Q66" s="154">
        <f t="shared" ca="1" si="7"/>
        <v>10875</v>
      </c>
      <c r="R66" s="154">
        <f t="shared" ca="1" si="7"/>
        <v>10875</v>
      </c>
      <c r="S66" s="154">
        <f t="shared" ca="1" si="7"/>
        <v>10875</v>
      </c>
      <c r="T66" s="154">
        <f t="shared" ca="1" si="7"/>
        <v>10875</v>
      </c>
      <c r="U66" s="154">
        <f t="shared" ca="1" si="7"/>
        <v>10875</v>
      </c>
      <c r="V66" s="154">
        <f t="shared" ref="V66:W66" ca="1" si="8">SUM(V59:V65)</f>
        <v>10875</v>
      </c>
      <c r="W66" s="154">
        <f t="shared" ca="1" si="8"/>
        <v>10875</v>
      </c>
      <c r="X66" s="154">
        <f t="shared" ca="1" si="7"/>
        <v>10875</v>
      </c>
      <c r="Y66" s="154">
        <f t="shared" ref="Y66:AC66" ca="1" si="9">SUM(Y59:Y65)</f>
        <v>10875</v>
      </c>
      <c r="Z66" s="154">
        <f t="shared" ca="1" si="9"/>
        <v>10875</v>
      </c>
      <c r="AA66" s="154">
        <f t="shared" ca="1" si="9"/>
        <v>10875</v>
      </c>
      <c r="AB66" s="154">
        <f t="shared" ca="1" si="9"/>
        <v>10875</v>
      </c>
      <c r="AC66" s="154">
        <f t="shared" ca="1" si="9"/>
        <v>10875</v>
      </c>
      <c r="AD66" s="154">
        <f t="shared" ca="1" si="7"/>
        <v>10875</v>
      </c>
      <c r="AE66" s="154">
        <f t="shared" ca="1" si="7"/>
        <v>10875</v>
      </c>
      <c r="AF66" s="154">
        <f t="shared" ca="1" si="7"/>
        <v>10875</v>
      </c>
      <c r="AG66" s="154">
        <f t="shared" ca="1" si="7"/>
        <v>10875</v>
      </c>
      <c r="AH66" s="154">
        <f t="shared" ca="1" si="7"/>
        <v>10875</v>
      </c>
      <c r="AI66" s="154">
        <f t="shared" ca="1" si="7"/>
        <v>10875</v>
      </c>
      <c r="AJ66" s="154">
        <f t="shared" ca="1" si="7"/>
        <v>10875</v>
      </c>
      <c r="AK66" s="154">
        <f t="shared" ca="1" si="7"/>
        <v>12549.99</v>
      </c>
      <c r="AL66" s="154">
        <f t="shared" ca="1" si="7"/>
        <v>9400</v>
      </c>
      <c r="AM66" s="154">
        <f ca="1">SUM(AM59:AM65)</f>
        <v>8263</v>
      </c>
    </row>
    <row r="67" spans="1:39" x14ac:dyDescent="0.25">
      <c r="A67" s="225" t="s">
        <v>213</v>
      </c>
      <c r="B67" s="157" cm="1">
        <f t="array" aca="1" ref="B67" ca="1">IFERROR(_xlfn.XLOOKUP($A67, INDIRECT("'" &amp; B$3 &amp; "'!A:A"), INDIRECT("'" &amp; B$3 &amp; "'!B:B")),0)</f>
        <v>2050</v>
      </c>
      <c r="C67" s="157" cm="1">
        <f t="array" aca="1" ref="C67" ca="1">IFERROR(_xlfn.XLOOKUP($A67, INDIRECT("'" &amp; C$3 &amp; "'!A:A"), INDIRECT("'" &amp; C$3 &amp; "'!B:B")),0)</f>
        <v>2050</v>
      </c>
      <c r="D67" s="157" cm="1">
        <f t="array" aca="1" ref="D67" ca="1">IFERROR(_xlfn.XLOOKUP($A67, INDIRECT("'" &amp; D$3 &amp; "'!A:A"), INDIRECT("'" &amp; D$3 &amp; "'!B:B")),0)</f>
        <v>2050</v>
      </c>
      <c r="E67" s="157" cm="1">
        <f t="array" aca="1" ref="E67" ca="1">IFERROR(_xlfn.XLOOKUP($A67, INDIRECT("'" &amp; E$3 &amp; "'!A:A"), INDIRECT("'" &amp; E$3 &amp; "'!B:B")),0)</f>
        <v>2050</v>
      </c>
      <c r="F67" s="157" cm="1">
        <f t="array" aca="1" ref="F67" ca="1">IFERROR(_xlfn.XLOOKUP($A67, INDIRECT("'" &amp; F$3 &amp; "'!A:A"), INDIRECT("'" &amp; F$3 &amp; "'!B:B")),0)</f>
        <v>2050</v>
      </c>
      <c r="G67" s="157" cm="1">
        <f t="array" aca="1" ref="G67" ca="1">IFERROR(_xlfn.XLOOKUP($A67, INDIRECT("'" &amp; G$3 &amp; "'!A:A"), INDIRECT("'" &amp; G$3 &amp; "'!B:B")),0)</f>
        <v>2050</v>
      </c>
      <c r="H67" s="157" cm="1">
        <f t="array" aca="1" ref="H67" ca="1">IFERROR(_xlfn.XLOOKUP($A67, INDIRECT("'" &amp; H$3 &amp; "'!A:A"), INDIRECT("'" &amp; H$3 &amp; "'!B:B")),0)</f>
        <v>2050</v>
      </c>
      <c r="I67" s="157" cm="1">
        <f t="array" aca="1" ref="I67" ca="1">IFERROR(_xlfn.XLOOKUP($A67, INDIRECT("'" &amp; I$3 &amp; "'!A:A"), INDIRECT("'" &amp; I$3 &amp; "'!B:B")),0)</f>
        <v>2050</v>
      </c>
      <c r="J67" s="157" cm="1">
        <f t="array" aca="1" ref="J67" ca="1">IFERROR(_xlfn.XLOOKUP($A67, INDIRECT("'" &amp; J$3 &amp; "'!A:A"), INDIRECT("'" &amp; J$3 &amp; "'!B:B")),0)</f>
        <v>2050</v>
      </c>
      <c r="K67" s="157" cm="1">
        <f t="array" aca="1" ref="K67" ca="1">IFERROR(_xlfn.XLOOKUP($A67, INDIRECT("'" &amp; K$3 &amp; "'!A:A"), INDIRECT("'" &amp; K$3 &amp; "'!B:B")),0)</f>
        <v>2050</v>
      </c>
      <c r="L67" s="157" cm="1">
        <f t="array" aca="1" ref="L67" ca="1">IFERROR(_xlfn.XLOOKUP($A67, INDIRECT("'" &amp; L$3 &amp; "'!A:A"), INDIRECT("'" &amp; L$3 &amp; "'!B:B")),0)</f>
        <v>2050</v>
      </c>
      <c r="M67" s="157" cm="1">
        <f t="array" aca="1" ref="M67" ca="1">IFERROR(_xlfn.XLOOKUP($A67, INDIRECT("'" &amp; M$3 &amp; "'!A:A"), INDIRECT("'" &amp; M$3 &amp; "'!B:B")),0)</f>
        <v>2050</v>
      </c>
      <c r="N67" s="157" cm="1">
        <f t="array" aca="1" ref="N67" ca="1">IFERROR(_xlfn.XLOOKUP($A67, INDIRECT("'" &amp; N$3 &amp; "'!A:A"), INDIRECT("'" &amp; N$3 &amp; "'!B:B")),0)</f>
        <v>2050</v>
      </c>
      <c r="O67" s="157" cm="1">
        <f t="array" aca="1" ref="O67" ca="1">IFERROR(_xlfn.XLOOKUP($A67, INDIRECT("'" &amp; O$3 &amp; "'!A:A"), INDIRECT("'" &amp; O$3 &amp; "'!B:B")),0)</f>
        <v>2050</v>
      </c>
      <c r="P67" s="157" cm="1">
        <f t="array" aca="1" ref="P67" ca="1">IFERROR(_xlfn.XLOOKUP($A67, INDIRECT("'" &amp; P$3 &amp; "'!A:A"), INDIRECT("'" &amp; P$3 &amp; "'!B:B")),0)</f>
        <v>2050</v>
      </c>
      <c r="Q67" s="157" cm="1">
        <f t="array" aca="1" ref="Q67" ca="1">IFERROR(_xlfn.XLOOKUP($A67, INDIRECT("'" &amp; Q$3 &amp; "'!A:A"), INDIRECT("'" &amp; Q$3 &amp; "'!B:B")),0)</f>
        <v>2050</v>
      </c>
      <c r="R67" s="157" cm="1">
        <f t="array" aca="1" ref="R67" ca="1">IFERROR(_xlfn.XLOOKUP($A67, INDIRECT("'" &amp; R$3 &amp; "'!A:A"), INDIRECT("'" &amp; R$3 &amp; "'!B:B")),0)</f>
        <v>2050</v>
      </c>
      <c r="S67" s="157" cm="1">
        <f t="array" aca="1" ref="S67" ca="1">IFERROR(_xlfn.XLOOKUP($A67, INDIRECT("'" &amp; S$3 &amp; "'!A:A"), INDIRECT("'" &amp; S$3 &amp; "'!B:B")),0)</f>
        <v>2050</v>
      </c>
      <c r="T67" s="157" cm="1">
        <f t="array" aca="1" ref="T67" ca="1">IFERROR(_xlfn.XLOOKUP($A67, INDIRECT("'" &amp; T$3 &amp; "'!A:A"), INDIRECT("'" &amp; T$3 &amp; "'!B:B")),0)</f>
        <v>2050</v>
      </c>
      <c r="U67" s="157" cm="1">
        <f t="array" aca="1" ref="U67" ca="1">IFERROR(_xlfn.XLOOKUP($A67, INDIRECT("'" &amp; U$3 &amp; "'!A:A"), INDIRECT("'" &amp; U$3 &amp; "'!B:B")),0)</f>
        <v>2050</v>
      </c>
      <c r="V67" s="157" cm="1">
        <f t="array" aca="1" ref="V67" ca="1">IFERROR(_xlfn.XLOOKUP($A67, INDIRECT("'" &amp; V$3 &amp; "'!A:A"), INDIRECT("'" &amp; V$3 &amp; "'!B:B")),0)</f>
        <v>2050</v>
      </c>
      <c r="W67" s="157" cm="1">
        <f t="array" aca="1" ref="W67" ca="1">IFERROR(_xlfn.XLOOKUP($A67, INDIRECT("'" &amp; W$3 &amp; "'!A:A"), INDIRECT("'" &amp; W$3 &amp; "'!B:B")),0)</f>
        <v>2050</v>
      </c>
      <c r="X67" s="157" cm="1">
        <f t="array" aca="1" ref="X67" ca="1">IFERROR(_xlfn.XLOOKUP($A67, INDIRECT("'" &amp; X$3 &amp; "'!A:A"), INDIRECT("'" &amp; X$3 &amp; "'!B:B")),0)</f>
        <v>2050</v>
      </c>
      <c r="Y67" s="157" cm="1">
        <f t="array" aca="1" ref="Y67" ca="1">IFERROR(_xlfn.XLOOKUP($A67, INDIRECT("'" &amp; Y$3 &amp; "'!A:A"), INDIRECT("'" &amp; Y$3 &amp; "'!B:B")),0)</f>
        <v>2050</v>
      </c>
      <c r="Z67" s="157" cm="1">
        <f t="array" aca="1" ref="Z67" ca="1">IFERROR(_xlfn.XLOOKUP($A67, INDIRECT("'" &amp; Z$3 &amp; "'!A:A"), INDIRECT("'" &amp; Z$3 &amp; "'!B:B")),0)</f>
        <v>2050</v>
      </c>
      <c r="AA67" s="157" cm="1">
        <f t="array" aca="1" ref="AA67" ca="1">IFERROR(_xlfn.XLOOKUP($A67, INDIRECT("'" &amp; AA$3 &amp; "'!A:A"), INDIRECT("'" &amp; AA$3 &amp; "'!B:B")),0)</f>
        <v>2050</v>
      </c>
      <c r="AB67" s="157" cm="1">
        <f t="array" aca="1" ref="AB67" ca="1">IFERROR(_xlfn.XLOOKUP($A67, INDIRECT("'" &amp; AB$3 &amp; "'!A:A"), INDIRECT("'" &amp; AB$3 &amp; "'!B:B")),0)</f>
        <v>2050</v>
      </c>
      <c r="AC67" s="157" cm="1">
        <f t="array" aca="1" ref="AC67" ca="1">IFERROR(_xlfn.XLOOKUP($A67, INDIRECT("'" &amp; AC$3 &amp; "'!A:A"), INDIRECT("'" &amp; AC$3 &amp; "'!B:B")),0)</f>
        <v>2050</v>
      </c>
      <c r="AD67" s="157" cm="1">
        <f t="array" aca="1" ref="AD67" ca="1">IFERROR(_xlfn.XLOOKUP($A67, INDIRECT("'" &amp; AD$3 &amp; "'!A:A"), INDIRECT("'" &amp; AD$3 &amp; "'!B:B")),0)</f>
        <v>2050</v>
      </c>
      <c r="AE67" s="157" cm="1">
        <f t="array" aca="1" ref="AE67" ca="1">IFERROR(_xlfn.XLOOKUP($A67, INDIRECT("'" &amp; AE$3 &amp; "'!A:A"), INDIRECT("'" &amp; AE$3 &amp; "'!B:B")),0)</f>
        <v>2050</v>
      </c>
      <c r="AF67" s="157" cm="1">
        <f t="array" aca="1" ref="AF67" ca="1">IFERROR(_xlfn.XLOOKUP($A67, INDIRECT("'" &amp; AF$3 &amp; "'!A:A"), INDIRECT("'" &amp; AF$3 &amp; "'!B:B")),0)</f>
        <v>2050</v>
      </c>
      <c r="AG67" s="157" cm="1">
        <f t="array" aca="1" ref="AG67" ca="1">IFERROR(_xlfn.XLOOKUP($A67, INDIRECT("'" &amp; AG$3 &amp; "'!A:A"), INDIRECT("'" &amp; AG$3 &amp; "'!B:B")),0)</f>
        <v>2050</v>
      </c>
      <c r="AH67" s="157" cm="1">
        <f t="array" aca="1" ref="AH67" ca="1">IFERROR(_xlfn.XLOOKUP($A67, INDIRECT("'" &amp; AH$3 &amp; "'!A:A"), INDIRECT("'" &amp; AH$3 &amp; "'!B:B")),0)</f>
        <v>2050</v>
      </c>
      <c r="AI67" s="157" cm="1">
        <f t="array" aca="1" ref="AI67" ca="1">IFERROR(_xlfn.XLOOKUP($A67, INDIRECT("'" &amp; AI$3 &amp; "'!A:A"), INDIRECT("'" &amp; AI$3 &amp; "'!B:B")),0)</f>
        <v>2050</v>
      </c>
      <c r="AJ67" s="229">
        <f ca="1">C67</f>
        <v>2050</v>
      </c>
      <c r="AK67" s="157" cm="1">
        <f t="array" aca="1" ref="AK67" ca="1">IFERROR(_xlfn.XLOOKUP($A67, INDIRECT("'" &amp; AK$3 &amp; "'!A:A"), INDIRECT("'" &amp; AK$3 &amp; "'!B:B")),0)</f>
        <v>1600</v>
      </c>
      <c r="AL67" s="157" cm="1">
        <f t="array" aca="1" ref="AL67" ca="1">IFERROR(_xlfn.XLOOKUP($A67, INDIRECT("'" &amp; AL$3 &amp; "'!A:A"), INDIRECT("'" &amp; AL$3 &amp; "'!B:B")),0)</f>
        <v>1600</v>
      </c>
      <c r="AM67" s="157" cm="1">
        <f t="array" aca="1" ref="AM67" ca="1">IFERROR(_xlfn.XLOOKUP($A67, INDIRECT("'" &amp; AM$3 &amp; "'!A:A"), INDIRECT("'" &amp; AM$3 &amp; "'!B:B")),0)</f>
        <v>2050</v>
      </c>
    </row>
    <row r="68" spans="1:39" x14ac:dyDescent="0.25">
      <c r="A68" s="225" t="s">
        <v>214</v>
      </c>
      <c r="B68" s="157">
        <f>_xlfn.XLOOKUP(Summary!$B$3,'Water &amp; Sewer Data'!$C:$C,'Water &amp; Sewer Data'!$J:$J)</f>
        <v>0</v>
      </c>
      <c r="C68" s="157">
        <f>_xlfn.XLOOKUP(Summary!$B$3,'Water &amp; Sewer Data'!$C:$C,'Water &amp; Sewer Data'!$J:$J)</f>
        <v>0</v>
      </c>
      <c r="D68" s="157">
        <f>_xlfn.XLOOKUP(Summary!$B$3,'Water &amp; Sewer Data'!$C:$C,'Water &amp; Sewer Data'!$J:$J)</f>
        <v>0</v>
      </c>
      <c r="E68" s="157">
        <f>_xlfn.XLOOKUP(Summary!$B$3,'Water &amp; Sewer Data'!$C:$C,'Water &amp; Sewer Data'!$J:$J)</f>
        <v>0</v>
      </c>
      <c r="F68" s="157">
        <f>_xlfn.XLOOKUP(Summary!$B$3,'Water &amp; Sewer Data'!$C:$C,'Water &amp; Sewer Data'!$J:$J)</f>
        <v>0</v>
      </c>
      <c r="G68" s="157">
        <f>_xlfn.XLOOKUP(Summary!$B$3,'Water &amp; Sewer Data'!$C:$C,'Water &amp; Sewer Data'!$J:$J)</f>
        <v>0</v>
      </c>
      <c r="H68" s="157">
        <f>_xlfn.XLOOKUP(Summary!$B$3,'Water &amp; Sewer Data'!$C:$C,'Water &amp; Sewer Data'!$J:$J)</f>
        <v>0</v>
      </c>
      <c r="I68" s="157">
        <f>_xlfn.XLOOKUP(Summary!$B$3,'Water &amp; Sewer Data'!$C:$C,'Water &amp; Sewer Data'!$J:$J)</f>
        <v>0</v>
      </c>
      <c r="J68" s="157">
        <f>_xlfn.XLOOKUP(Summary!$B$3,'Water &amp; Sewer Data'!$C:$C,'Water &amp; Sewer Data'!$J:$J)</f>
        <v>0</v>
      </c>
      <c r="K68" s="157">
        <f>_xlfn.XLOOKUP(Summary!$B$3,'Water &amp; Sewer Data'!$C:$C,'Water &amp; Sewer Data'!$J:$J)</f>
        <v>0</v>
      </c>
      <c r="L68" s="157">
        <f>_xlfn.XLOOKUP(Summary!$B$3,'Water &amp; Sewer Data'!$C:$C,'Water &amp; Sewer Data'!$J:$J)</f>
        <v>0</v>
      </c>
      <c r="M68" s="157">
        <f>_xlfn.XLOOKUP(Summary!$B$3,'Water &amp; Sewer Data'!$C:$C,'Water &amp; Sewer Data'!$J:$J)</f>
        <v>0</v>
      </c>
      <c r="N68" s="157">
        <f>_xlfn.XLOOKUP(Summary!$B$3,'Water &amp; Sewer Data'!$C:$C,'Water &amp; Sewer Data'!$J:$J)</f>
        <v>0</v>
      </c>
      <c r="O68" s="157">
        <f>_xlfn.XLOOKUP(Summary!$B$3,'Water &amp; Sewer Data'!$C:$C,'Water &amp; Sewer Data'!$J:$J)</f>
        <v>0</v>
      </c>
      <c r="P68" s="157">
        <f>_xlfn.XLOOKUP(Summary!$B$3,'Water &amp; Sewer Data'!$C:$C,'Water &amp; Sewer Data'!$J:$J)</f>
        <v>0</v>
      </c>
      <c r="Q68" s="157">
        <f>_xlfn.XLOOKUP(Summary!$B$3,'Water &amp; Sewer Data'!$C:$C,'Water &amp; Sewer Data'!$J:$J)</f>
        <v>0</v>
      </c>
      <c r="R68" s="157">
        <f>_xlfn.XLOOKUP(Summary!$B$3,'Water &amp; Sewer Data'!$C:$C,'Water &amp; Sewer Data'!$J:$J)</f>
        <v>0</v>
      </c>
      <c r="S68" s="157">
        <f>_xlfn.XLOOKUP(Summary!$B$3,'Water &amp; Sewer Data'!$C:$C,'Water &amp; Sewer Data'!$J:$J)</f>
        <v>0</v>
      </c>
      <c r="T68" s="157">
        <f>_xlfn.XLOOKUP(Summary!$B$3,'Water &amp; Sewer Data'!$C:$C,'Water &amp; Sewer Data'!$J:$J)</f>
        <v>0</v>
      </c>
      <c r="U68" s="157">
        <f>_xlfn.XLOOKUP(Summary!$B$3,'Water &amp; Sewer Data'!$C:$C,'Water &amp; Sewer Data'!$J:$J)</f>
        <v>0</v>
      </c>
      <c r="V68" s="157">
        <f>_xlfn.XLOOKUP(Summary!$B$3,'Water &amp; Sewer Data'!$C:$C,'Water &amp; Sewer Data'!$J:$J)</f>
        <v>0</v>
      </c>
      <c r="W68" s="157">
        <f>_xlfn.XLOOKUP(Summary!$B$3,'Water &amp; Sewer Data'!$C:$C,'Water &amp; Sewer Data'!$J:$J)</f>
        <v>0</v>
      </c>
      <c r="X68" s="157">
        <f>_xlfn.XLOOKUP(Summary!$B$3,'Water &amp; Sewer Data'!$C:$C,'Water &amp; Sewer Data'!$J:$J)</f>
        <v>0</v>
      </c>
      <c r="Y68" s="157">
        <f>_xlfn.XLOOKUP(Summary!$B$3,'Water &amp; Sewer Data'!$C:$C,'Water &amp; Sewer Data'!$J:$J)</f>
        <v>0</v>
      </c>
      <c r="Z68" s="157">
        <f>_xlfn.XLOOKUP(Summary!$B$3,'Water &amp; Sewer Data'!$C:$C,'Water &amp; Sewer Data'!$J:$J)</f>
        <v>0</v>
      </c>
      <c r="AA68" s="157">
        <f>_xlfn.XLOOKUP(Summary!$B$3,'Water &amp; Sewer Data'!$C:$C,'Water &amp; Sewer Data'!$J:$J)</f>
        <v>0</v>
      </c>
      <c r="AB68" s="157">
        <f>_xlfn.XLOOKUP(Summary!$B$3,'Water &amp; Sewer Data'!$C:$C,'Water &amp; Sewer Data'!$J:$J)</f>
        <v>0</v>
      </c>
      <c r="AC68" s="157">
        <f>_xlfn.XLOOKUP(Summary!$B$3,'Water &amp; Sewer Data'!$C:$C,'Water &amp; Sewer Data'!$J:$J)</f>
        <v>0</v>
      </c>
      <c r="AD68" s="157">
        <f>_xlfn.XLOOKUP(Summary!$B$3,'Water &amp; Sewer Data'!$C:$C,'Water &amp; Sewer Data'!$J:$J)</f>
        <v>0</v>
      </c>
      <c r="AE68" s="157">
        <f>_xlfn.XLOOKUP(Summary!$B$3,'Water &amp; Sewer Data'!$C:$C,'Water &amp; Sewer Data'!$J:$J)</f>
        <v>0</v>
      </c>
      <c r="AF68" s="157" cm="1">
        <f t="array" aca="1" ref="AF68" ca="1">IFERROR(_xlfn.XLOOKUP($A68, INDIRECT("'" &amp; AF$3 &amp; "'!A:A"), INDIRECT("'" &amp; AF$3 &amp; "'!B:B")),0)</f>
        <v>0</v>
      </c>
      <c r="AG68" s="157" cm="1">
        <f t="array" aca="1" ref="AG68" ca="1">IFERROR(_xlfn.XLOOKUP($A68, INDIRECT("'" &amp; AG$3 &amp; "'!A:A"), INDIRECT("'" &amp; AG$3 &amp; "'!B:B")),0)</f>
        <v>0</v>
      </c>
      <c r="AH68" s="157" cm="1">
        <f t="array" aca="1" ref="AH68" ca="1">IFERROR(_xlfn.XLOOKUP($A68, INDIRECT("'" &amp; AH$3 &amp; "'!A:A"), INDIRECT("'" &amp; AH$3 &amp; "'!B:B")),0)</f>
        <v>0</v>
      </c>
      <c r="AI68" s="157">
        <f>_xlfn.XLOOKUP(Summary!$B$3,'Water &amp; Sewer Data'!$C:$C,'Water &amp; Sewer Data'!$J:$J)</f>
        <v>0</v>
      </c>
      <c r="AJ68" s="230">
        <f>C68</f>
        <v>0</v>
      </c>
      <c r="AK68" s="157">
        <f>_xlfn.XLOOKUP(Summary!$B$3,'Water &amp; Sewer Data'!$C:$C,'Water &amp; Sewer Data'!$J:$J)</f>
        <v>0</v>
      </c>
      <c r="AL68" s="157">
        <f>_xlfn.XLOOKUP(Summary!$B$3,'Water &amp; Sewer Data'!$C:$C,'Water &amp; Sewer Data'!$J:$J)</f>
        <v>0</v>
      </c>
      <c r="AM68" s="157">
        <f>_xlfn.XLOOKUP(Summary!$B$3,'Water &amp; Sewer Data'!$C:$C,'Water &amp; Sewer Data'!$J:$J)</f>
        <v>0</v>
      </c>
    </row>
    <row r="69" spans="1:39" x14ac:dyDescent="0.25">
      <c r="A69" s="225" t="s">
        <v>215</v>
      </c>
      <c r="B69" s="157">
        <f>_xlfn.XLOOKUP(Summary!$B$3,'Water &amp; Sewer Data'!$C:$C,'Water &amp; Sewer Data'!$G:$G)</f>
        <v>0</v>
      </c>
      <c r="C69" s="157">
        <f>_xlfn.XLOOKUP(Summary!$B$3,'Water &amp; Sewer Data'!$C:$C,'Water &amp; Sewer Data'!$G:$G)</f>
        <v>0</v>
      </c>
      <c r="D69" s="157">
        <f>_xlfn.XLOOKUP(Summary!$B$3,'Water &amp; Sewer Data'!$C:$C,'Water &amp; Sewer Data'!$G:$G)</f>
        <v>0</v>
      </c>
      <c r="E69" s="157">
        <f>_xlfn.XLOOKUP(Summary!$B$3,'Water &amp; Sewer Data'!$C:$C,'Water &amp; Sewer Data'!$G:$G)</f>
        <v>0</v>
      </c>
      <c r="F69" s="157">
        <f>_xlfn.XLOOKUP(Summary!$B$3,'Water &amp; Sewer Data'!$C:$C,'Water &amp; Sewer Data'!$G:$G)</f>
        <v>0</v>
      </c>
      <c r="G69" s="157">
        <f>_xlfn.XLOOKUP(Summary!$B$3,'Water &amp; Sewer Data'!$C:$C,'Water &amp; Sewer Data'!$G:$G)</f>
        <v>0</v>
      </c>
      <c r="H69" s="157">
        <f>_xlfn.XLOOKUP(Summary!$B$3,'Water &amp; Sewer Data'!$C:$C,'Water &amp; Sewer Data'!$G:$G)</f>
        <v>0</v>
      </c>
      <c r="I69" s="157">
        <f>_xlfn.XLOOKUP(Summary!$B$3,'Water &amp; Sewer Data'!$C:$C,'Water &amp; Sewer Data'!$G:$G)</f>
        <v>0</v>
      </c>
      <c r="J69" s="157">
        <f>_xlfn.XLOOKUP(Summary!$B$3,'Water &amp; Sewer Data'!$C:$C,'Water &amp; Sewer Data'!$G:$G)</f>
        <v>0</v>
      </c>
      <c r="K69" s="157">
        <f>_xlfn.XLOOKUP(Summary!$B$3,'Water &amp; Sewer Data'!$C:$C,'Water &amp; Sewer Data'!$G:$G)</f>
        <v>0</v>
      </c>
      <c r="L69" s="157">
        <f>_xlfn.XLOOKUP(Summary!$B$3,'Water &amp; Sewer Data'!$C:$C,'Water &amp; Sewer Data'!$G:$G)</f>
        <v>0</v>
      </c>
      <c r="M69" s="157">
        <f>_xlfn.XLOOKUP(Summary!$B$3,'Water &amp; Sewer Data'!$C:$C,'Water &amp; Sewer Data'!$G:$G)</f>
        <v>0</v>
      </c>
      <c r="N69" s="157">
        <f>_xlfn.XLOOKUP(Summary!$B$3,'Water &amp; Sewer Data'!$C:$C,'Water &amp; Sewer Data'!$G:$G)</f>
        <v>0</v>
      </c>
      <c r="O69" s="157">
        <f>_xlfn.XLOOKUP(Summary!$B$3,'Water &amp; Sewer Data'!$C:$C,'Water &amp; Sewer Data'!$G:$G)</f>
        <v>0</v>
      </c>
      <c r="P69" s="157">
        <f>_xlfn.XLOOKUP(Summary!$B$3,'Water &amp; Sewer Data'!$C:$C,'Water &amp; Sewer Data'!$G:$G)</f>
        <v>0</v>
      </c>
      <c r="Q69" s="157">
        <f>_xlfn.XLOOKUP(Summary!$B$3,'Water &amp; Sewer Data'!$C:$C,'Water &amp; Sewer Data'!$G:$G)</f>
        <v>0</v>
      </c>
      <c r="R69" s="157">
        <f>_xlfn.XLOOKUP(Summary!$B$3,'Water &amp; Sewer Data'!$C:$C,'Water &amp; Sewer Data'!$G:$G)</f>
        <v>0</v>
      </c>
      <c r="S69" s="157">
        <f>_xlfn.XLOOKUP(Summary!$B$3,'Water &amp; Sewer Data'!$C:$C,'Water &amp; Sewer Data'!$G:$G)</f>
        <v>0</v>
      </c>
      <c r="T69" s="157">
        <f>_xlfn.XLOOKUP(Summary!$B$3,'Water &amp; Sewer Data'!$C:$C,'Water &amp; Sewer Data'!$G:$G)</f>
        <v>0</v>
      </c>
      <c r="U69" s="157">
        <f>_xlfn.XLOOKUP(Summary!$B$3,'Water &amp; Sewer Data'!$C:$C,'Water &amp; Sewer Data'!$G:$G)</f>
        <v>0</v>
      </c>
      <c r="V69" s="157">
        <f>_xlfn.XLOOKUP(Summary!$B$3,'Water &amp; Sewer Data'!$C:$C,'Water &amp; Sewer Data'!$G:$G)</f>
        <v>0</v>
      </c>
      <c r="W69" s="157">
        <f>_xlfn.XLOOKUP(Summary!$B$3,'Water &amp; Sewer Data'!$C:$C,'Water &amp; Sewer Data'!$G:$G)</f>
        <v>0</v>
      </c>
      <c r="X69" s="157">
        <f>_xlfn.XLOOKUP(Summary!$B$3,'Water &amp; Sewer Data'!$C:$C,'Water &amp; Sewer Data'!$G:$G)</f>
        <v>0</v>
      </c>
      <c r="Y69" s="157">
        <f>_xlfn.XLOOKUP(Summary!$B$3,'Water &amp; Sewer Data'!$C:$C,'Water &amp; Sewer Data'!$G:$G)</f>
        <v>0</v>
      </c>
      <c r="Z69" s="157">
        <f>_xlfn.XLOOKUP(Summary!$B$3,'Water &amp; Sewer Data'!$C:$C,'Water &amp; Sewer Data'!$G:$G)</f>
        <v>0</v>
      </c>
      <c r="AA69" s="157">
        <f>_xlfn.XLOOKUP(Summary!$B$3,'Water &amp; Sewer Data'!$C:$C,'Water &amp; Sewer Data'!$G:$G)</f>
        <v>0</v>
      </c>
      <c r="AB69" s="157">
        <f>_xlfn.XLOOKUP(Summary!$B$3,'Water &amp; Sewer Data'!$C:$C,'Water &amp; Sewer Data'!$G:$G)</f>
        <v>0</v>
      </c>
      <c r="AC69" s="157">
        <f>_xlfn.XLOOKUP(Summary!$B$3,'Water &amp; Sewer Data'!$C:$C,'Water &amp; Sewer Data'!$G:$G)</f>
        <v>0</v>
      </c>
      <c r="AD69" s="157">
        <f>_xlfn.XLOOKUP(Summary!$B$3,'Water &amp; Sewer Data'!$C:$C,'Water &amp; Sewer Data'!$G:$G)</f>
        <v>0</v>
      </c>
      <c r="AE69" s="157">
        <f>_xlfn.XLOOKUP(Summary!$B$3,'Water &amp; Sewer Data'!$C:$C,'Water &amp; Sewer Data'!$G:$G)</f>
        <v>0</v>
      </c>
      <c r="AF69" s="157">
        <f>_xlfn.XLOOKUP(Summary!$B$3,'Water &amp; Sewer Data'!$C:$C,'Water &amp; Sewer Data'!$G:$G)</f>
        <v>0</v>
      </c>
      <c r="AG69" s="157">
        <f>_xlfn.XLOOKUP(Summary!$B$3,'Water &amp; Sewer Data'!$C:$C,'Water &amp; Sewer Data'!$G:$G)</f>
        <v>0</v>
      </c>
      <c r="AH69" s="157">
        <f>_xlfn.XLOOKUP(Summary!$B$3,'Water &amp; Sewer Data'!$C:$C,'Water &amp; Sewer Data'!$G:$G)</f>
        <v>0</v>
      </c>
      <c r="AI69" s="157">
        <f>_xlfn.XLOOKUP(Summary!$B$3,'Water &amp; Sewer Data'!$C:$C,'Water &amp; Sewer Data'!$G:$G)</f>
        <v>0</v>
      </c>
      <c r="AJ69" s="230">
        <f>_xlfn.XLOOKUP(Summary!$B$3,'Water &amp; Sewer Data'!$C:$C,'Water &amp; Sewer Data'!$G:$G)</f>
        <v>0</v>
      </c>
      <c r="AK69" s="157">
        <f>_xlfn.XLOOKUP(Summary!$B$3,'Water &amp; Sewer Data'!$C:$C,'Water &amp; Sewer Data'!$G:$G)</f>
        <v>0</v>
      </c>
      <c r="AL69" s="157">
        <f>_xlfn.XLOOKUP(Summary!$B$3,'Water &amp; Sewer Data'!$C:$C,'Water &amp; Sewer Data'!$G:$G)</f>
        <v>0</v>
      </c>
      <c r="AM69" s="157">
        <f>_xlfn.XLOOKUP(Summary!$B$3,'Water &amp; Sewer Data'!$C:$C,'Water &amp; Sewer Data'!$G:$G)</f>
        <v>0</v>
      </c>
    </row>
    <row r="70" spans="1:39" ht="15.75" thickBot="1" x14ac:dyDescent="0.3">
      <c r="A70" s="225" t="s">
        <v>216</v>
      </c>
      <c r="B70" s="157" cm="1">
        <f t="array" aca="1" ref="B70" ca="1">IFERROR(_xlfn.XLOOKUP($A70, INDIRECT("'" &amp; B$3 &amp; "'!A:A"), INDIRECT("'" &amp; B$3 &amp; "'!B:B")),0)</f>
        <v>600</v>
      </c>
      <c r="C70" s="157" cm="1">
        <f t="array" aca="1" ref="C70" ca="1">IFERROR(_xlfn.XLOOKUP($A70, INDIRECT("'" &amp; C$3 &amp; "'!A:A"), INDIRECT("'" &amp; C$3 &amp; "'!B:B")),0)</f>
        <v>600</v>
      </c>
      <c r="D70" s="157" cm="1">
        <f t="array" aca="1" ref="D70" ca="1">IFERROR(_xlfn.XLOOKUP($A70, INDIRECT("'" &amp; D$3 &amp; "'!A:A"), INDIRECT("'" &amp; D$3 &amp; "'!B:B")),0)</f>
        <v>600</v>
      </c>
      <c r="E70" s="157" cm="1">
        <f t="array" aca="1" ref="E70" ca="1">IFERROR(_xlfn.XLOOKUP($A70, INDIRECT("'" &amp; E$3 &amp; "'!A:A"), INDIRECT("'" &amp; E$3 &amp; "'!B:B")),0)</f>
        <v>600</v>
      </c>
      <c r="F70" s="157" cm="1">
        <f t="array" aca="1" ref="F70" ca="1">IFERROR(_xlfn.XLOOKUP($A70, INDIRECT("'" &amp; F$3 &amp; "'!A:A"), INDIRECT("'" &amp; F$3 &amp; "'!B:B")),0)</f>
        <v>600</v>
      </c>
      <c r="G70" s="157" cm="1">
        <f t="array" aca="1" ref="G70" ca="1">IFERROR(_xlfn.XLOOKUP($A70, INDIRECT("'" &amp; G$3 &amp; "'!A:A"), INDIRECT("'" &amp; G$3 &amp; "'!B:B")),0)</f>
        <v>600</v>
      </c>
      <c r="H70" s="157" cm="1">
        <f t="array" aca="1" ref="H70" ca="1">IFERROR(_xlfn.XLOOKUP($A70, INDIRECT("'" &amp; H$3 &amp; "'!A:A"), INDIRECT("'" &amp; H$3 &amp; "'!B:B")),0)</f>
        <v>600</v>
      </c>
      <c r="I70" s="157" cm="1">
        <f t="array" aca="1" ref="I70" ca="1">IFERROR(_xlfn.XLOOKUP($A70, INDIRECT("'" &amp; I$3 &amp; "'!A:A"), INDIRECT("'" &amp; I$3 &amp; "'!B:B")),0)</f>
        <v>600</v>
      </c>
      <c r="J70" s="157" cm="1">
        <f t="array" aca="1" ref="J70" ca="1">IFERROR(_xlfn.XLOOKUP($A70, INDIRECT("'" &amp; J$3 &amp; "'!A:A"), INDIRECT("'" &amp; J$3 &amp; "'!B:B")),0)</f>
        <v>600</v>
      </c>
      <c r="K70" s="157" cm="1">
        <f t="array" aca="1" ref="K70" ca="1">IFERROR(_xlfn.XLOOKUP($A70, INDIRECT("'" &amp; K$3 &amp; "'!A:A"), INDIRECT("'" &amp; K$3 &amp; "'!B:B")),0)</f>
        <v>600</v>
      </c>
      <c r="L70" s="157" cm="1">
        <f t="array" aca="1" ref="L70" ca="1">IFERROR(_xlfn.XLOOKUP($A70, INDIRECT("'" &amp; L$3 &amp; "'!A:A"), INDIRECT("'" &amp; L$3 &amp; "'!B:B")),0)</f>
        <v>600</v>
      </c>
      <c r="M70" s="157" cm="1">
        <f t="array" aca="1" ref="M70" ca="1">IFERROR(_xlfn.XLOOKUP($A70, INDIRECT("'" &amp; M$3 &amp; "'!A:A"), INDIRECT("'" &amp; M$3 &amp; "'!B:B")),0)</f>
        <v>600</v>
      </c>
      <c r="N70" s="157" cm="1">
        <f t="array" aca="1" ref="N70" ca="1">IFERROR(_xlfn.XLOOKUP($A70, INDIRECT("'" &amp; N$3 &amp; "'!A:A"), INDIRECT("'" &amp; N$3 &amp; "'!B:B")),0)</f>
        <v>600</v>
      </c>
      <c r="O70" s="157" cm="1">
        <f t="array" aca="1" ref="O70" ca="1">IFERROR(_xlfn.XLOOKUP($A70, INDIRECT("'" &amp; O$3 &amp; "'!A:A"), INDIRECT("'" &amp; O$3 &amp; "'!B:B")),0)</f>
        <v>600</v>
      </c>
      <c r="P70" s="157" cm="1">
        <f t="array" aca="1" ref="P70" ca="1">IFERROR(_xlfn.XLOOKUP($A70, INDIRECT("'" &amp; P$3 &amp; "'!A:A"), INDIRECT("'" &amp; P$3 &amp; "'!B:B")),0)</f>
        <v>600</v>
      </c>
      <c r="Q70" s="157" cm="1">
        <f t="array" aca="1" ref="Q70" ca="1">IFERROR(_xlfn.XLOOKUP($A70, INDIRECT("'" &amp; Q$3 &amp; "'!A:A"), INDIRECT("'" &amp; Q$3 &amp; "'!B:B")),0)</f>
        <v>600</v>
      </c>
      <c r="R70" s="157" cm="1">
        <f t="array" aca="1" ref="R70" ca="1">IFERROR(_xlfn.XLOOKUP($A70, INDIRECT("'" &amp; R$3 &amp; "'!A:A"), INDIRECT("'" &amp; R$3 &amp; "'!B:B")),0)</f>
        <v>600</v>
      </c>
      <c r="S70" s="157" cm="1">
        <f t="array" aca="1" ref="S70" ca="1">IFERROR(_xlfn.XLOOKUP($A70, INDIRECT("'" &amp; S$3 &amp; "'!A:A"), INDIRECT("'" &amp; S$3 &amp; "'!B:B")),0)</f>
        <v>600</v>
      </c>
      <c r="T70" s="157" cm="1">
        <f t="array" aca="1" ref="T70" ca="1">IFERROR(_xlfn.XLOOKUP($A70, INDIRECT("'" &amp; T$3 &amp; "'!A:A"), INDIRECT("'" &amp; T$3 &amp; "'!B:B")),0)</f>
        <v>600</v>
      </c>
      <c r="U70" s="157" cm="1">
        <f t="array" aca="1" ref="U70" ca="1">IFERROR(_xlfn.XLOOKUP($A70, INDIRECT("'" &amp; U$3 &amp; "'!A:A"), INDIRECT("'" &amp; U$3 &amp; "'!B:B")),0)</f>
        <v>600</v>
      </c>
      <c r="V70" s="157" cm="1">
        <f t="array" aca="1" ref="V70" ca="1">IFERROR(_xlfn.XLOOKUP($A70, INDIRECT("'" &amp; V$3 &amp; "'!A:A"), INDIRECT("'" &amp; V$3 &amp; "'!B:B")),0)</f>
        <v>600</v>
      </c>
      <c r="W70" s="157" cm="1">
        <f t="array" aca="1" ref="W70" ca="1">IFERROR(_xlfn.XLOOKUP($A70, INDIRECT("'" &amp; W$3 &amp; "'!A:A"), INDIRECT("'" &amp; W$3 &amp; "'!B:B")),0)</f>
        <v>600</v>
      </c>
      <c r="X70" s="157" cm="1">
        <f t="array" aca="1" ref="X70" ca="1">IFERROR(_xlfn.XLOOKUP($A70, INDIRECT("'" &amp; X$3 &amp; "'!A:A"), INDIRECT("'" &amp; X$3 &amp; "'!B:B")),0)</f>
        <v>600</v>
      </c>
      <c r="Y70" s="157" cm="1">
        <f t="array" aca="1" ref="Y70" ca="1">IFERROR(_xlfn.XLOOKUP($A70, INDIRECT("'" &amp; Y$3 &amp; "'!A:A"), INDIRECT("'" &amp; Y$3 &amp; "'!B:B")),0)</f>
        <v>600</v>
      </c>
      <c r="Z70" s="157" cm="1">
        <f t="array" aca="1" ref="Z70" ca="1">IFERROR(_xlfn.XLOOKUP($A70, INDIRECT("'" &amp; Z$3 &amp; "'!A:A"), INDIRECT("'" &amp; Z$3 &amp; "'!B:B")),0)</f>
        <v>600</v>
      </c>
      <c r="AA70" s="157" cm="1">
        <f t="array" aca="1" ref="AA70" ca="1">IFERROR(_xlfn.XLOOKUP($A70, INDIRECT("'" &amp; AA$3 &amp; "'!A:A"), INDIRECT("'" &amp; AA$3 &amp; "'!B:B")),0)</f>
        <v>600</v>
      </c>
      <c r="AB70" s="157" cm="1">
        <f t="array" aca="1" ref="AB70" ca="1">IFERROR(_xlfn.XLOOKUP($A70, INDIRECT("'" &amp; AB$3 &amp; "'!A:A"), INDIRECT("'" &amp; AB$3 &amp; "'!B:B")),0)</f>
        <v>600</v>
      </c>
      <c r="AC70" s="157" cm="1">
        <f t="array" aca="1" ref="AC70" ca="1">IFERROR(_xlfn.XLOOKUP($A70, INDIRECT("'" &amp; AC$3 &amp; "'!A:A"), INDIRECT("'" &amp; AC$3 &amp; "'!B:B")),0)</f>
        <v>600</v>
      </c>
      <c r="AD70" s="157" cm="1">
        <f t="array" aca="1" ref="AD70" ca="1">IFERROR(_xlfn.XLOOKUP($A70, INDIRECT("'" &amp; AD$3 &amp; "'!A:A"), INDIRECT("'" &amp; AD$3 &amp; "'!B:B")),0)</f>
        <v>600</v>
      </c>
      <c r="AE70" s="157" cm="1">
        <f t="array" aca="1" ref="AE70" ca="1">IFERROR(_xlfn.XLOOKUP($A70, INDIRECT("'" &amp; AE$3 &amp; "'!A:A"), INDIRECT("'" &amp; AE$3 &amp; "'!B:B")),0)</f>
        <v>600</v>
      </c>
      <c r="AF70" s="157" cm="1">
        <f t="array" aca="1" ref="AF70" ca="1">IFERROR(_xlfn.XLOOKUP($A70, INDIRECT("'" &amp; AF$3 &amp; "'!A:A"), INDIRECT("'" &amp; AF$3 &amp; "'!B:B")),0)</f>
        <v>600</v>
      </c>
      <c r="AG70" s="157" cm="1">
        <f t="array" aca="1" ref="AG70" ca="1">IFERROR(_xlfn.XLOOKUP($A70, INDIRECT("'" &amp; AG$3 &amp; "'!A:A"), INDIRECT("'" &amp; AG$3 &amp; "'!B:B")),0)</f>
        <v>600</v>
      </c>
      <c r="AH70" s="157" cm="1">
        <f t="array" aca="1" ref="AH70" ca="1">IFERROR(_xlfn.XLOOKUP($A70, INDIRECT("'" &amp; AH$3 &amp; "'!A:A"), INDIRECT("'" &amp; AH$3 &amp; "'!B:B")),0)</f>
        <v>600</v>
      </c>
      <c r="AI70" s="157" cm="1">
        <f t="array" aca="1" ref="AI70" ca="1">IFERROR(_xlfn.XLOOKUP($A70, INDIRECT("'" &amp; AI$3 &amp; "'!A:A"), INDIRECT("'" &amp; AI$3 &amp; "'!B:B")),0)</f>
        <v>600</v>
      </c>
      <c r="AJ70" s="231">
        <f ca="1">C70</f>
        <v>600</v>
      </c>
      <c r="AK70" s="157" cm="1">
        <f t="array" aca="1" ref="AK70" ca="1">IFERROR(_xlfn.XLOOKUP($A70, INDIRECT("'" &amp; AK$3 &amp; "'!A:A"), INDIRECT("'" &amp; AK$3 &amp; "'!B:B")),0)</f>
        <v>600</v>
      </c>
      <c r="AL70" s="157" cm="1">
        <f t="array" aca="1" ref="AL70" ca="1">IFERROR(_xlfn.XLOOKUP($A70, INDIRECT("'" &amp; AL$3 &amp; "'!A:A"), INDIRECT("'" &amp; AL$3 &amp; "'!B:B")),0)</f>
        <v>0</v>
      </c>
      <c r="AM70" s="157" cm="1">
        <f t="array" aca="1" ref="AM70" ca="1">IFERROR(_xlfn.XLOOKUP($A70, INDIRECT("'" &amp; AM$3 &amp; "'!A:A"), INDIRECT("'" &amp; AM$3 &amp; "'!B:B")),0)</f>
        <v>600</v>
      </c>
    </row>
    <row r="71" spans="1:39" ht="15.75" thickBot="1" x14ac:dyDescent="0.3">
      <c r="A71" s="227" t="s">
        <v>217</v>
      </c>
      <c r="B71" s="154">
        <f t="shared" ref="B71:AL71" ca="1" si="10">SUM(B67:B70)</f>
        <v>2650</v>
      </c>
      <c r="C71" s="154">
        <f t="shared" ca="1" si="10"/>
        <v>2650</v>
      </c>
      <c r="D71" s="154">
        <f t="shared" ca="1" si="10"/>
        <v>2650</v>
      </c>
      <c r="E71" s="154">
        <f t="shared" ca="1" si="10"/>
        <v>2650</v>
      </c>
      <c r="F71" s="154">
        <f t="shared" ca="1" si="10"/>
        <v>2650</v>
      </c>
      <c r="G71" s="154">
        <f t="shared" ca="1" si="10"/>
        <v>2650</v>
      </c>
      <c r="H71" s="154">
        <f t="shared" ca="1" si="10"/>
        <v>2650</v>
      </c>
      <c r="I71" s="154">
        <f t="shared" ca="1" si="10"/>
        <v>2650</v>
      </c>
      <c r="J71" s="154">
        <f t="shared" ca="1" si="10"/>
        <v>2650</v>
      </c>
      <c r="K71" s="154">
        <f t="shared" ca="1" si="10"/>
        <v>2650</v>
      </c>
      <c r="L71" s="154">
        <f t="shared" ca="1" si="10"/>
        <v>2650</v>
      </c>
      <c r="M71" s="154">
        <f t="shared" ca="1" si="10"/>
        <v>2650</v>
      </c>
      <c r="N71" s="154">
        <f t="shared" ca="1" si="10"/>
        <v>2650</v>
      </c>
      <c r="O71" s="154">
        <f t="shared" ca="1" si="10"/>
        <v>2650</v>
      </c>
      <c r="P71" s="154">
        <f t="shared" ca="1" si="10"/>
        <v>2650</v>
      </c>
      <c r="Q71" s="154">
        <f t="shared" ca="1" si="10"/>
        <v>2650</v>
      </c>
      <c r="R71" s="154">
        <f t="shared" ca="1" si="10"/>
        <v>2650</v>
      </c>
      <c r="S71" s="154">
        <f t="shared" ca="1" si="10"/>
        <v>2650</v>
      </c>
      <c r="T71" s="154">
        <f t="shared" ca="1" si="10"/>
        <v>2650</v>
      </c>
      <c r="U71" s="154">
        <f t="shared" ca="1" si="10"/>
        <v>2650</v>
      </c>
      <c r="V71" s="154">
        <f t="shared" ref="V71:W71" ca="1" si="11">SUM(V67:V70)</f>
        <v>2650</v>
      </c>
      <c r="W71" s="154">
        <f t="shared" ca="1" si="11"/>
        <v>2650</v>
      </c>
      <c r="X71" s="154">
        <f t="shared" ca="1" si="10"/>
        <v>2650</v>
      </c>
      <c r="Y71" s="154">
        <f t="shared" ref="Y71:AC71" ca="1" si="12">SUM(Y67:Y70)</f>
        <v>2650</v>
      </c>
      <c r="Z71" s="154">
        <f t="shared" ca="1" si="12"/>
        <v>2650</v>
      </c>
      <c r="AA71" s="154">
        <f t="shared" ca="1" si="12"/>
        <v>2650</v>
      </c>
      <c r="AB71" s="154">
        <f t="shared" ca="1" si="12"/>
        <v>2650</v>
      </c>
      <c r="AC71" s="154">
        <f t="shared" ca="1" si="12"/>
        <v>2650</v>
      </c>
      <c r="AD71" s="154">
        <f t="shared" ca="1" si="10"/>
        <v>2650</v>
      </c>
      <c r="AE71" s="154">
        <f t="shared" ca="1" si="10"/>
        <v>2650</v>
      </c>
      <c r="AF71" s="154">
        <f t="shared" ca="1" si="10"/>
        <v>2650</v>
      </c>
      <c r="AG71" s="154">
        <f t="shared" ca="1" si="10"/>
        <v>2650</v>
      </c>
      <c r="AH71" s="154">
        <f t="shared" ca="1" si="10"/>
        <v>2650</v>
      </c>
      <c r="AI71" s="154">
        <f t="shared" ca="1" si="10"/>
        <v>2650</v>
      </c>
      <c r="AJ71" s="154">
        <f t="shared" ca="1" si="10"/>
        <v>2650</v>
      </c>
      <c r="AK71" s="154">
        <f t="shared" ca="1" si="10"/>
        <v>2200</v>
      </c>
      <c r="AL71" s="154">
        <f t="shared" ca="1" si="10"/>
        <v>1600</v>
      </c>
      <c r="AM71" s="154">
        <f ca="1">SUM(AM67:AM70)</f>
        <v>2650</v>
      </c>
    </row>
    <row r="72" spans="1:39" x14ac:dyDescent="0.25"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M72" s="153"/>
    </row>
    <row r="73" spans="1:39" x14ac:dyDescent="0.25"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M73" s="153"/>
    </row>
    <row r="74" spans="1:39" x14ac:dyDescent="0.25"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M74" s="153"/>
    </row>
  </sheetData>
  <pageMargins left="0.7" right="0.7" top="0.75" bottom="0.75" header="0.3" footer="0.3"/>
  <pageSetup paperSize="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90D7-364E-4942-B638-4E406B7449DB}">
  <sheetPr codeName="Sheet3"/>
  <dimension ref="A1:D68"/>
  <sheetViews>
    <sheetView topLeftCell="A28" zoomScale="130" zoomScaleNormal="130" workbookViewId="0"/>
  </sheetViews>
  <sheetFormatPr defaultRowHeight="15" x14ac:dyDescent="0.25"/>
  <cols>
    <col min="1" max="1" width="28.85546875" customWidth="1"/>
    <col min="2" max="2" width="12" style="5" bestFit="1" customWidth="1"/>
    <col min="4" max="4" width="12.42578125" customWidth="1"/>
  </cols>
  <sheetData>
    <row r="1" spans="1:4" ht="18.75" x14ac:dyDescent="0.3">
      <c r="A1" s="1" t="s">
        <v>218</v>
      </c>
    </row>
    <row r="2" spans="1:4" ht="15.75" thickBot="1" x14ac:dyDescent="0.3"/>
    <row r="3" spans="1:4" x14ac:dyDescent="0.25">
      <c r="A3" s="121" t="s">
        <v>149</v>
      </c>
      <c r="B3" s="122" t="s">
        <v>219</v>
      </c>
    </row>
    <row r="4" spans="1:4" x14ac:dyDescent="0.25">
      <c r="A4" s="194" t="s">
        <v>150</v>
      </c>
      <c r="B4" s="195">
        <v>3000</v>
      </c>
      <c r="D4" s="9"/>
    </row>
    <row r="5" spans="1:4" x14ac:dyDescent="0.25">
      <c r="A5" s="172" t="s">
        <v>151</v>
      </c>
      <c r="B5" s="173">
        <v>300</v>
      </c>
      <c r="D5" s="9"/>
    </row>
    <row r="6" spans="1:4" x14ac:dyDescent="0.25">
      <c r="A6" s="196" t="s">
        <v>152</v>
      </c>
      <c r="B6" s="197">
        <v>875</v>
      </c>
      <c r="D6" s="9"/>
    </row>
    <row r="7" spans="1:4" x14ac:dyDescent="0.25">
      <c r="A7" s="172" t="s">
        <v>153</v>
      </c>
      <c r="B7" s="173">
        <v>50</v>
      </c>
      <c r="D7" s="9"/>
    </row>
    <row r="8" spans="1:4" x14ac:dyDescent="0.25">
      <c r="A8" s="196" t="s">
        <v>154</v>
      </c>
      <c r="B8" s="197">
        <v>225</v>
      </c>
      <c r="D8" s="9"/>
    </row>
    <row r="9" spans="1:4" x14ac:dyDescent="0.25">
      <c r="A9" s="172" t="s">
        <v>155</v>
      </c>
      <c r="B9" s="173">
        <v>12160.21</v>
      </c>
      <c r="D9" s="9"/>
    </row>
    <row r="10" spans="1:4" x14ac:dyDescent="0.25">
      <c r="A10" s="196" t="s">
        <v>159</v>
      </c>
      <c r="B10" s="197">
        <v>7573.68</v>
      </c>
      <c r="D10" s="9"/>
    </row>
    <row r="11" spans="1:4" x14ac:dyDescent="0.25">
      <c r="A11" s="172" t="s">
        <v>157</v>
      </c>
      <c r="B11" s="173">
        <v>3949.41</v>
      </c>
      <c r="D11" s="9"/>
    </row>
    <row r="12" spans="1:4" x14ac:dyDescent="0.25">
      <c r="A12" s="196" t="s">
        <v>158</v>
      </c>
      <c r="B12" s="197">
        <v>580.59</v>
      </c>
      <c r="D12" s="9"/>
    </row>
    <row r="13" spans="1:4" x14ac:dyDescent="0.25">
      <c r="A13" s="172" t="s">
        <v>156</v>
      </c>
      <c r="B13" s="173">
        <v>11814</v>
      </c>
      <c r="D13" s="9"/>
    </row>
    <row r="14" spans="1:4" x14ac:dyDescent="0.25">
      <c r="A14" s="196" t="s">
        <v>169</v>
      </c>
      <c r="B14" s="197">
        <v>321</v>
      </c>
      <c r="D14" s="9"/>
    </row>
    <row r="15" spans="1:4" x14ac:dyDescent="0.25">
      <c r="A15" s="172" t="s">
        <v>166</v>
      </c>
      <c r="B15" s="173">
        <v>3411.27</v>
      </c>
      <c r="D15" s="9"/>
    </row>
    <row r="16" spans="1:4" x14ac:dyDescent="0.25">
      <c r="A16" s="196" t="s">
        <v>163</v>
      </c>
      <c r="B16" s="197">
        <v>6424.32</v>
      </c>
      <c r="D16" s="9"/>
    </row>
    <row r="17" spans="1:4" x14ac:dyDescent="0.25">
      <c r="A17" s="172" t="s">
        <v>168</v>
      </c>
      <c r="B17" s="173">
        <v>210</v>
      </c>
      <c r="D17" s="9"/>
    </row>
    <row r="18" spans="1:4" x14ac:dyDescent="0.25">
      <c r="A18" s="196" t="s">
        <v>167</v>
      </c>
      <c r="B18" s="197">
        <v>1832.73</v>
      </c>
      <c r="D18" s="9"/>
    </row>
    <row r="19" spans="1:4" x14ac:dyDescent="0.25">
      <c r="A19" s="172" t="s">
        <v>170</v>
      </c>
      <c r="B19" s="173">
        <v>1600</v>
      </c>
      <c r="D19" s="9"/>
    </row>
    <row r="20" spans="1:4" x14ac:dyDescent="0.25">
      <c r="A20" s="196" t="s">
        <v>164</v>
      </c>
      <c r="B20" s="197">
        <v>5209.6400000000003</v>
      </c>
      <c r="D20" s="9"/>
    </row>
    <row r="21" spans="1:4" x14ac:dyDescent="0.25">
      <c r="A21" s="172" t="s">
        <v>165</v>
      </c>
      <c r="B21" s="173">
        <v>3485</v>
      </c>
      <c r="D21" s="9"/>
    </row>
    <row r="22" spans="1:4" x14ac:dyDescent="0.25">
      <c r="A22" s="196" t="s">
        <v>172</v>
      </c>
      <c r="B22" s="197">
        <v>10900</v>
      </c>
      <c r="D22" s="9"/>
    </row>
    <row r="23" spans="1:4" x14ac:dyDescent="0.25">
      <c r="A23" s="172" t="s">
        <v>174</v>
      </c>
      <c r="B23" s="173">
        <v>300.11</v>
      </c>
      <c r="D23" s="9"/>
    </row>
    <row r="24" spans="1:4" x14ac:dyDescent="0.25">
      <c r="A24" s="196" t="s">
        <v>173</v>
      </c>
      <c r="B24" s="197">
        <v>9475.9699999999993</v>
      </c>
      <c r="D24" s="9"/>
    </row>
    <row r="25" spans="1:4" x14ac:dyDescent="0.25">
      <c r="A25" s="172" t="s">
        <v>192</v>
      </c>
      <c r="B25" s="173">
        <v>652.11</v>
      </c>
      <c r="D25" s="9"/>
    </row>
    <row r="26" spans="1:4" x14ac:dyDescent="0.25">
      <c r="A26" s="196" t="s">
        <v>175</v>
      </c>
      <c r="B26" s="197">
        <v>0</v>
      </c>
      <c r="D26" s="9"/>
    </row>
    <row r="27" spans="1:4" x14ac:dyDescent="0.25">
      <c r="A27" s="172" t="s">
        <v>171</v>
      </c>
      <c r="B27" s="173">
        <v>13635</v>
      </c>
      <c r="D27" s="9"/>
    </row>
    <row r="28" spans="1:4" x14ac:dyDescent="0.25">
      <c r="A28" s="196" t="s">
        <v>176</v>
      </c>
      <c r="B28" s="197">
        <v>4067</v>
      </c>
      <c r="D28" s="9"/>
    </row>
    <row r="29" spans="1:4" x14ac:dyDescent="0.25">
      <c r="A29" s="172" t="s">
        <v>177</v>
      </c>
      <c r="B29" s="173">
        <v>5765.79</v>
      </c>
      <c r="D29" s="9"/>
    </row>
    <row r="30" spans="1:4" x14ac:dyDescent="0.25">
      <c r="A30" s="196" t="s">
        <v>178</v>
      </c>
      <c r="B30" s="197">
        <v>5700.78</v>
      </c>
      <c r="D30" s="9"/>
    </row>
    <row r="31" spans="1:4" x14ac:dyDescent="0.25">
      <c r="A31" s="172" t="s">
        <v>190</v>
      </c>
      <c r="B31" s="173">
        <v>5840.6</v>
      </c>
      <c r="D31" s="9"/>
    </row>
    <row r="32" spans="1:4" x14ac:dyDescent="0.25">
      <c r="A32" s="196" t="s">
        <v>182</v>
      </c>
      <c r="B32" s="197">
        <v>6581.37</v>
      </c>
      <c r="D32" s="9"/>
    </row>
    <row r="33" spans="1:4" x14ac:dyDescent="0.25">
      <c r="A33" s="172" t="s">
        <v>180</v>
      </c>
      <c r="B33" s="173">
        <v>4114.24</v>
      </c>
      <c r="D33" s="9"/>
    </row>
    <row r="34" spans="1:4" x14ac:dyDescent="0.25">
      <c r="A34" s="196" t="s">
        <v>179</v>
      </c>
      <c r="B34" s="197">
        <v>25</v>
      </c>
      <c r="D34" s="9"/>
    </row>
    <row r="35" spans="1:4" x14ac:dyDescent="0.25">
      <c r="A35" s="172" t="s">
        <v>189</v>
      </c>
      <c r="B35" s="173">
        <v>3773</v>
      </c>
      <c r="D35" s="9"/>
    </row>
    <row r="36" spans="1:4" x14ac:dyDescent="0.25">
      <c r="A36" s="196" t="s">
        <v>184</v>
      </c>
      <c r="B36" s="197">
        <v>703.6</v>
      </c>
      <c r="D36" s="9"/>
    </row>
    <row r="37" spans="1:4" x14ac:dyDescent="0.25">
      <c r="A37" s="172" t="s">
        <v>186</v>
      </c>
      <c r="B37" s="173">
        <v>689.96</v>
      </c>
      <c r="D37" s="9"/>
    </row>
    <row r="38" spans="1:4" x14ac:dyDescent="0.25">
      <c r="A38" s="196" t="s">
        <v>187</v>
      </c>
      <c r="B38" s="197">
        <v>422.8</v>
      </c>
      <c r="D38" s="9"/>
    </row>
    <row r="39" spans="1:4" x14ac:dyDescent="0.25">
      <c r="A39" s="172" t="s">
        <v>183</v>
      </c>
      <c r="B39" s="173">
        <v>546.91</v>
      </c>
      <c r="D39" s="9"/>
    </row>
    <row r="40" spans="1:4" x14ac:dyDescent="0.25">
      <c r="A40" s="196" t="s">
        <v>188</v>
      </c>
      <c r="B40" s="197">
        <v>1232.97</v>
      </c>
      <c r="D40" s="9"/>
    </row>
    <row r="41" spans="1:4" x14ac:dyDescent="0.25">
      <c r="A41" s="172" t="s">
        <v>196</v>
      </c>
      <c r="B41" s="173">
        <v>5061.42</v>
      </c>
      <c r="D41" s="9"/>
    </row>
    <row r="42" spans="1:4" x14ac:dyDescent="0.25">
      <c r="A42" s="196" t="s">
        <v>194</v>
      </c>
      <c r="B42" s="197">
        <v>1658.63</v>
      </c>
      <c r="D42" s="9"/>
    </row>
    <row r="43" spans="1:4" x14ac:dyDescent="0.25">
      <c r="A43" s="172" t="s">
        <v>191</v>
      </c>
      <c r="B43" s="173">
        <v>0</v>
      </c>
      <c r="D43" s="9"/>
    </row>
    <row r="44" spans="1:4" x14ac:dyDescent="0.25">
      <c r="A44" s="196" t="s">
        <v>193</v>
      </c>
      <c r="B44" s="197">
        <v>1616.06</v>
      </c>
      <c r="D44" s="9"/>
    </row>
    <row r="45" spans="1:4" x14ac:dyDescent="0.25">
      <c r="A45" s="172" t="s">
        <v>197</v>
      </c>
      <c r="B45" s="173">
        <v>602.48</v>
      </c>
      <c r="D45" s="9"/>
    </row>
    <row r="46" spans="1:4" x14ac:dyDescent="0.25">
      <c r="A46" s="196" t="s">
        <v>202</v>
      </c>
      <c r="B46" s="197">
        <v>235</v>
      </c>
      <c r="D46" s="9"/>
    </row>
    <row r="47" spans="1:4" x14ac:dyDescent="0.25">
      <c r="A47" s="172" t="s">
        <v>198</v>
      </c>
      <c r="B47" s="173">
        <v>882</v>
      </c>
      <c r="D47" s="9"/>
    </row>
    <row r="48" spans="1:4" x14ac:dyDescent="0.25">
      <c r="A48" s="196" t="s">
        <v>199</v>
      </c>
      <c r="B48" s="197">
        <v>310</v>
      </c>
      <c r="D48" s="9"/>
    </row>
    <row r="49" spans="1:4" x14ac:dyDescent="0.25">
      <c r="A49" s="172" t="s">
        <v>200</v>
      </c>
      <c r="B49" s="173">
        <v>0</v>
      </c>
      <c r="D49" s="9"/>
    </row>
    <row r="50" spans="1:4" x14ac:dyDescent="0.25">
      <c r="A50" s="196" t="s">
        <v>201</v>
      </c>
      <c r="B50" s="197">
        <v>90</v>
      </c>
      <c r="D50" s="9"/>
    </row>
    <row r="51" spans="1:4" x14ac:dyDescent="0.25">
      <c r="A51" s="172" t="s">
        <v>203</v>
      </c>
      <c r="B51" s="173">
        <v>17107.5</v>
      </c>
      <c r="D51" s="9"/>
    </row>
    <row r="52" spans="1:4" x14ac:dyDescent="0.25">
      <c r="A52" s="174" t="s">
        <v>204</v>
      </c>
      <c r="B52" s="175">
        <f>SUBTOTAL(109,B4:B51)</f>
        <v>165012.15000000002</v>
      </c>
      <c r="D52" s="9"/>
    </row>
    <row r="53" spans="1:4" x14ac:dyDescent="0.25">
      <c r="A53" s="170" t="s">
        <v>205</v>
      </c>
      <c r="B53" s="171">
        <v>1700</v>
      </c>
    </row>
    <row r="54" spans="1:4" x14ac:dyDescent="0.25">
      <c r="A54" s="196" t="s">
        <v>207</v>
      </c>
      <c r="B54" s="197">
        <v>1700</v>
      </c>
    </row>
    <row r="55" spans="1:4" x14ac:dyDescent="0.25">
      <c r="A55" s="172" t="s">
        <v>208</v>
      </c>
      <c r="B55" s="173">
        <v>2000</v>
      </c>
    </row>
    <row r="56" spans="1:4" x14ac:dyDescent="0.25">
      <c r="A56" s="196" t="s">
        <v>209</v>
      </c>
      <c r="B56" s="197">
        <v>500</v>
      </c>
    </row>
    <row r="57" spans="1:4" x14ac:dyDescent="0.25">
      <c r="A57" s="172" t="s">
        <v>210</v>
      </c>
      <c r="B57" s="173">
        <v>2500</v>
      </c>
    </row>
    <row r="58" spans="1:4" x14ac:dyDescent="0.25">
      <c r="A58" s="196" t="s">
        <v>211</v>
      </c>
      <c r="B58" s="197">
        <v>2475</v>
      </c>
    </row>
    <row r="59" spans="1:4" x14ac:dyDescent="0.25">
      <c r="A59" s="250" t="s">
        <v>212</v>
      </c>
      <c r="B59" s="251">
        <f>SUM(B53:B58)</f>
        <v>10875</v>
      </c>
    </row>
    <row r="60" spans="1:4" x14ac:dyDescent="0.25">
      <c r="A60" s="194" t="s">
        <v>213</v>
      </c>
      <c r="B60" s="195">
        <v>2050</v>
      </c>
    </row>
    <row r="61" spans="1:4" x14ac:dyDescent="0.25">
      <c r="A61" s="172" t="s">
        <v>215</v>
      </c>
      <c r="B61" s="173">
        <v>10000</v>
      </c>
    </row>
    <row r="62" spans="1:4" x14ac:dyDescent="0.25">
      <c r="A62" s="196" t="s">
        <v>216</v>
      </c>
      <c r="B62" s="197">
        <v>600</v>
      </c>
    </row>
    <row r="63" spans="1:4" x14ac:dyDescent="0.25">
      <c r="A63" s="250" t="s">
        <v>217</v>
      </c>
      <c r="B63" s="251">
        <f>SUM(B60:B62)</f>
        <v>12650</v>
      </c>
    </row>
    <row r="64" spans="1:4" ht="15.75" thickBot="1" x14ac:dyDescent="0.3">
      <c r="A64" s="252" t="s">
        <v>220</v>
      </c>
      <c r="B64" s="253">
        <f>B63+B59+B52</f>
        <v>188537.15000000002</v>
      </c>
    </row>
    <row r="66" spans="1:2" x14ac:dyDescent="0.25">
      <c r="A66" s="135" t="s">
        <v>221</v>
      </c>
      <c r="B66" s="5">
        <v>4200</v>
      </c>
    </row>
    <row r="67" spans="1:2" x14ac:dyDescent="0.25">
      <c r="A67" s="135" t="s">
        <v>222</v>
      </c>
      <c r="B67" s="5">
        <v>10000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40A0-1163-4B01-9903-69F9E217DE1D}">
  <sheetPr codeName="Sheet5"/>
  <dimension ref="A1:D68"/>
  <sheetViews>
    <sheetView topLeftCell="A28" zoomScale="130" zoomScaleNormal="130" workbookViewId="0"/>
  </sheetViews>
  <sheetFormatPr defaultRowHeight="15" x14ac:dyDescent="0.25"/>
  <cols>
    <col min="1" max="1" width="28.85546875" customWidth="1"/>
    <col min="2" max="2" width="12" style="5" bestFit="1" customWidth="1"/>
    <col min="4" max="4" width="12.42578125" customWidth="1"/>
  </cols>
  <sheetData>
    <row r="1" spans="1:4" ht="18.75" x14ac:dyDescent="0.3">
      <c r="A1" s="1" t="s">
        <v>224</v>
      </c>
    </row>
    <row r="2" spans="1:4" ht="15.75" thickBot="1" x14ac:dyDescent="0.3"/>
    <row r="3" spans="1:4" x14ac:dyDescent="0.25">
      <c r="A3" s="121" t="s">
        <v>149</v>
      </c>
      <c r="B3" s="122" t="s">
        <v>219</v>
      </c>
    </row>
    <row r="4" spans="1:4" x14ac:dyDescent="0.25">
      <c r="A4" s="194" t="s">
        <v>150</v>
      </c>
      <c r="B4" s="195">
        <v>3000</v>
      </c>
      <c r="D4" s="9"/>
    </row>
    <row r="5" spans="1:4" x14ac:dyDescent="0.25">
      <c r="A5" s="172" t="s">
        <v>151</v>
      </c>
      <c r="B5" s="173">
        <v>300</v>
      </c>
      <c r="D5" s="9"/>
    </row>
    <row r="6" spans="1:4" x14ac:dyDescent="0.25">
      <c r="A6" s="196" t="s">
        <v>152</v>
      </c>
      <c r="B6" s="197">
        <v>875</v>
      </c>
      <c r="D6" s="9"/>
    </row>
    <row r="7" spans="1:4" x14ac:dyDescent="0.25">
      <c r="A7" s="172" t="s">
        <v>153</v>
      </c>
      <c r="B7" s="173">
        <v>50</v>
      </c>
      <c r="D7" s="9"/>
    </row>
    <row r="8" spans="1:4" x14ac:dyDescent="0.25">
      <c r="A8" s="196" t="s">
        <v>154</v>
      </c>
      <c r="B8" s="197">
        <v>225</v>
      </c>
      <c r="D8" s="9"/>
    </row>
    <row r="9" spans="1:4" x14ac:dyDescent="0.25">
      <c r="A9" s="172" t="s">
        <v>155</v>
      </c>
      <c r="B9" s="173">
        <v>10337.34</v>
      </c>
      <c r="D9" s="9"/>
    </row>
    <row r="10" spans="1:4" x14ac:dyDescent="0.25">
      <c r="A10" s="196" t="s">
        <v>159</v>
      </c>
      <c r="B10" s="197">
        <v>5111.54</v>
      </c>
      <c r="D10" s="9"/>
    </row>
    <row r="11" spans="1:4" x14ac:dyDescent="0.25">
      <c r="A11" s="172" t="s">
        <v>157</v>
      </c>
      <c r="B11" s="173">
        <v>5510.51</v>
      </c>
      <c r="D11" s="9"/>
    </row>
    <row r="12" spans="1:4" x14ac:dyDescent="0.25">
      <c r="A12" s="196" t="s">
        <v>158</v>
      </c>
      <c r="B12" s="197">
        <v>580.59</v>
      </c>
      <c r="D12" s="9"/>
    </row>
    <row r="13" spans="1:4" x14ac:dyDescent="0.25">
      <c r="A13" s="172" t="s">
        <v>156</v>
      </c>
      <c r="B13" s="173">
        <v>9953.4</v>
      </c>
      <c r="D13" s="9"/>
    </row>
    <row r="14" spans="1:4" x14ac:dyDescent="0.25">
      <c r="A14" s="196" t="s">
        <v>169</v>
      </c>
      <c r="B14" s="197">
        <v>308</v>
      </c>
      <c r="D14" s="9"/>
    </row>
    <row r="15" spans="1:4" x14ac:dyDescent="0.25">
      <c r="A15" s="172" t="s">
        <v>166</v>
      </c>
      <c r="B15" s="173">
        <v>2477.66</v>
      </c>
      <c r="D15" s="9"/>
    </row>
    <row r="16" spans="1:4" x14ac:dyDescent="0.25">
      <c r="A16" s="196" t="s">
        <v>163</v>
      </c>
      <c r="B16" s="197">
        <v>4236.58</v>
      </c>
      <c r="D16" s="9"/>
    </row>
    <row r="17" spans="1:4" x14ac:dyDescent="0.25">
      <c r="A17" s="172" t="s">
        <v>168</v>
      </c>
      <c r="B17" s="173">
        <v>173</v>
      </c>
      <c r="D17" s="9"/>
    </row>
    <row r="18" spans="1:4" x14ac:dyDescent="0.25">
      <c r="A18" s="196" t="s">
        <v>167</v>
      </c>
      <c r="B18" s="197">
        <v>1832.73</v>
      </c>
      <c r="D18" s="9"/>
    </row>
    <row r="19" spans="1:4" x14ac:dyDescent="0.25">
      <c r="A19" s="172" t="s">
        <v>170</v>
      </c>
      <c r="B19" s="173">
        <v>1600</v>
      </c>
      <c r="D19" s="9"/>
    </row>
    <row r="20" spans="1:4" x14ac:dyDescent="0.25">
      <c r="A20" s="196" t="s">
        <v>164</v>
      </c>
      <c r="B20" s="197">
        <v>5257.76</v>
      </c>
      <c r="D20" s="9"/>
    </row>
    <row r="21" spans="1:4" x14ac:dyDescent="0.25">
      <c r="A21" s="172" t="s">
        <v>165</v>
      </c>
      <c r="B21" s="173">
        <v>3550</v>
      </c>
      <c r="D21" s="9"/>
    </row>
    <row r="22" spans="1:4" x14ac:dyDescent="0.25">
      <c r="A22" s="196" t="s">
        <v>172</v>
      </c>
      <c r="B22" s="197">
        <v>10300</v>
      </c>
      <c r="D22" s="9"/>
    </row>
    <row r="23" spans="1:4" x14ac:dyDescent="0.25">
      <c r="A23" s="172" t="s">
        <v>174</v>
      </c>
      <c r="B23" s="173">
        <v>300.11</v>
      </c>
      <c r="D23" s="9"/>
    </row>
    <row r="24" spans="1:4" x14ac:dyDescent="0.25">
      <c r="A24" s="196" t="s">
        <v>173</v>
      </c>
      <c r="B24" s="197">
        <v>8397.7800000000007</v>
      </c>
      <c r="D24" s="9"/>
    </row>
    <row r="25" spans="1:4" x14ac:dyDescent="0.25">
      <c r="A25" s="172" t="s">
        <v>192</v>
      </c>
      <c r="B25" s="173">
        <v>731.35</v>
      </c>
      <c r="D25" s="9"/>
    </row>
    <row r="26" spans="1:4" x14ac:dyDescent="0.25">
      <c r="A26" s="196" t="s">
        <v>175</v>
      </c>
      <c r="B26" s="197">
        <v>0</v>
      </c>
      <c r="D26" s="9"/>
    </row>
    <row r="27" spans="1:4" x14ac:dyDescent="0.25">
      <c r="A27" s="172" t="s">
        <v>171</v>
      </c>
      <c r="B27" s="173">
        <v>12373</v>
      </c>
      <c r="D27" s="9"/>
    </row>
    <row r="28" spans="1:4" x14ac:dyDescent="0.25">
      <c r="A28" s="196" t="s">
        <v>176</v>
      </c>
      <c r="B28" s="197">
        <v>3356</v>
      </c>
      <c r="D28" s="9"/>
    </row>
    <row r="29" spans="1:4" x14ac:dyDescent="0.25">
      <c r="A29" s="172" t="s">
        <v>177</v>
      </c>
      <c r="B29" s="173">
        <v>4501.41</v>
      </c>
      <c r="D29" s="9"/>
    </row>
    <row r="30" spans="1:4" x14ac:dyDescent="0.25">
      <c r="A30" s="196" t="s">
        <v>178</v>
      </c>
      <c r="B30" s="197">
        <v>4709.34</v>
      </c>
      <c r="D30" s="9"/>
    </row>
    <row r="31" spans="1:4" x14ac:dyDescent="0.25">
      <c r="A31" s="172" t="s">
        <v>190</v>
      </c>
      <c r="B31" s="173">
        <v>5613.79</v>
      </c>
      <c r="D31" s="9"/>
    </row>
    <row r="32" spans="1:4" x14ac:dyDescent="0.25">
      <c r="A32" s="196" t="s">
        <v>182</v>
      </c>
      <c r="B32" s="197">
        <v>4352</v>
      </c>
      <c r="D32" s="9"/>
    </row>
    <row r="33" spans="1:4" x14ac:dyDescent="0.25">
      <c r="A33" s="172" t="s">
        <v>180</v>
      </c>
      <c r="B33" s="173">
        <v>3289.92</v>
      </c>
      <c r="D33" s="9"/>
    </row>
    <row r="34" spans="1:4" x14ac:dyDescent="0.25">
      <c r="A34" s="196" t="s">
        <v>179</v>
      </c>
      <c r="B34" s="197">
        <v>50</v>
      </c>
      <c r="D34" s="9"/>
    </row>
    <row r="35" spans="1:4" x14ac:dyDescent="0.25">
      <c r="A35" s="172" t="s">
        <v>189</v>
      </c>
      <c r="B35" s="173">
        <v>3690</v>
      </c>
      <c r="D35" s="9"/>
    </row>
    <row r="36" spans="1:4" x14ac:dyDescent="0.25">
      <c r="A36" s="196" t="s">
        <v>184</v>
      </c>
      <c r="B36" s="197">
        <v>488.2</v>
      </c>
      <c r="D36" s="9"/>
    </row>
    <row r="37" spans="1:4" x14ac:dyDescent="0.25">
      <c r="A37" s="172" t="s">
        <v>186</v>
      </c>
      <c r="B37" s="173">
        <v>689.96</v>
      </c>
      <c r="D37" s="9"/>
    </row>
    <row r="38" spans="1:4" x14ac:dyDescent="0.25">
      <c r="A38" s="196" t="s">
        <v>187</v>
      </c>
      <c r="B38" s="197">
        <v>418.57</v>
      </c>
      <c r="D38" s="9"/>
    </row>
    <row r="39" spans="1:4" x14ac:dyDescent="0.25">
      <c r="A39" s="172" t="s">
        <v>183</v>
      </c>
      <c r="B39" s="173">
        <v>454.35</v>
      </c>
      <c r="D39" s="9"/>
    </row>
    <row r="40" spans="1:4" x14ac:dyDescent="0.25">
      <c r="A40" s="196" t="s">
        <v>188</v>
      </c>
      <c r="B40" s="197">
        <v>695.9</v>
      </c>
      <c r="D40" s="9"/>
    </row>
    <row r="41" spans="1:4" x14ac:dyDescent="0.25">
      <c r="A41" s="172" t="s">
        <v>196</v>
      </c>
      <c r="B41" s="173">
        <v>3270.46</v>
      </c>
      <c r="D41" s="9"/>
    </row>
    <row r="42" spans="1:4" x14ac:dyDescent="0.25">
      <c r="A42" s="196" t="s">
        <v>194</v>
      </c>
      <c r="B42" s="197">
        <v>1850.38</v>
      </c>
      <c r="D42" s="9"/>
    </row>
    <row r="43" spans="1:4" x14ac:dyDescent="0.25">
      <c r="A43" s="172" t="s">
        <v>191</v>
      </c>
      <c r="B43" s="173">
        <v>0</v>
      </c>
      <c r="D43" s="9"/>
    </row>
    <row r="44" spans="1:4" x14ac:dyDescent="0.25">
      <c r="A44" s="196" t="s">
        <v>193</v>
      </c>
      <c r="B44" s="197">
        <v>1616.06</v>
      </c>
      <c r="D44" s="9"/>
    </row>
    <row r="45" spans="1:4" x14ac:dyDescent="0.25">
      <c r="A45" s="172" t="s">
        <v>197</v>
      </c>
      <c r="B45" s="173">
        <v>521.83999999999992</v>
      </c>
      <c r="D45" s="9"/>
    </row>
    <row r="46" spans="1:4" x14ac:dyDescent="0.25">
      <c r="A46" s="196" t="s">
        <v>202</v>
      </c>
      <c r="B46" s="197">
        <v>235</v>
      </c>
      <c r="D46" s="9"/>
    </row>
    <row r="47" spans="1:4" x14ac:dyDescent="0.25">
      <c r="A47" s="172" t="s">
        <v>198</v>
      </c>
      <c r="B47" s="173">
        <v>522</v>
      </c>
      <c r="D47" s="9"/>
    </row>
    <row r="48" spans="1:4" x14ac:dyDescent="0.25">
      <c r="A48" s="196" t="s">
        <v>199</v>
      </c>
      <c r="B48" s="197">
        <v>310</v>
      </c>
      <c r="D48" s="9"/>
    </row>
    <row r="49" spans="1:4" x14ac:dyDescent="0.25">
      <c r="A49" s="172" t="s">
        <v>200</v>
      </c>
      <c r="B49" s="173">
        <v>0</v>
      </c>
      <c r="D49" s="9"/>
    </row>
    <row r="50" spans="1:4" x14ac:dyDescent="0.25">
      <c r="A50" s="196" t="s">
        <v>201</v>
      </c>
      <c r="B50" s="197">
        <v>90</v>
      </c>
      <c r="D50" s="9"/>
    </row>
    <row r="51" spans="1:4" x14ac:dyDescent="0.25">
      <c r="A51" s="172" t="s">
        <v>203</v>
      </c>
      <c r="B51" s="173">
        <v>11205</v>
      </c>
      <c r="D51" s="9"/>
    </row>
    <row r="52" spans="1:4" ht="15.75" thickBot="1" x14ac:dyDescent="0.3">
      <c r="A52" s="174" t="s">
        <v>204</v>
      </c>
      <c r="B52" s="175">
        <f>SUBTOTAL(109,B4:B51)</f>
        <v>139411.53000000003</v>
      </c>
      <c r="D52" s="9"/>
    </row>
    <row r="53" spans="1:4" x14ac:dyDescent="0.25">
      <c r="A53" s="200" t="s">
        <v>205</v>
      </c>
      <c r="B53" s="201">
        <v>1700</v>
      </c>
    </row>
    <row r="54" spans="1:4" x14ac:dyDescent="0.25">
      <c r="A54" s="196" t="s">
        <v>207</v>
      </c>
      <c r="B54" s="197">
        <v>1700</v>
      </c>
    </row>
    <row r="55" spans="1:4" x14ac:dyDescent="0.25">
      <c r="A55" s="172" t="s">
        <v>208</v>
      </c>
      <c r="B55" s="173">
        <v>2000</v>
      </c>
    </row>
    <row r="56" spans="1:4" x14ac:dyDescent="0.25">
      <c r="A56" s="196" t="s">
        <v>209</v>
      </c>
      <c r="B56" s="197">
        <v>500</v>
      </c>
    </row>
    <row r="57" spans="1:4" x14ac:dyDescent="0.25">
      <c r="A57" s="172" t="s">
        <v>210</v>
      </c>
      <c r="B57" s="173">
        <v>2500</v>
      </c>
    </row>
    <row r="58" spans="1:4" x14ac:dyDescent="0.25">
      <c r="A58" s="196" t="s">
        <v>211</v>
      </c>
      <c r="B58" s="197">
        <v>2475</v>
      </c>
    </row>
    <row r="59" spans="1:4" ht="15.75" thickBot="1" x14ac:dyDescent="0.3">
      <c r="A59" s="250" t="s">
        <v>212</v>
      </c>
      <c r="B59" s="251">
        <f>SUM(B53:B58)</f>
        <v>10875</v>
      </c>
    </row>
    <row r="60" spans="1:4" x14ac:dyDescent="0.25">
      <c r="A60" s="198" t="s">
        <v>213</v>
      </c>
      <c r="B60" s="199">
        <v>2050</v>
      </c>
    </row>
    <row r="61" spans="1:4" x14ac:dyDescent="0.25">
      <c r="A61" s="172" t="s">
        <v>215</v>
      </c>
      <c r="B61" s="173">
        <v>10000</v>
      </c>
    </row>
    <row r="62" spans="1:4" x14ac:dyDescent="0.25">
      <c r="A62" s="196" t="s">
        <v>216</v>
      </c>
      <c r="B62" s="197">
        <v>600</v>
      </c>
    </row>
    <row r="63" spans="1:4" x14ac:dyDescent="0.25">
      <c r="A63" s="250" t="s">
        <v>217</v>
      </c>
      <c r="B63" s="251">
        <f>SUM(B60:B62)</f>
        <v>12650</v>
      </c>
    </row>
    <row r="64" spans="1:4" ht="15.75" thickBot="1" x14ac:dyDescent="0.3">
      <c r="A64" s="252" t="s">
        <v>220</v>
      </c>
      <c r="B64" s="253">
        <f>B63+B59+B52</f>
        <v>162936.53000000003</v>
      </c>
    </row>
    <row r="66" spans="1:2" x14ac:dyDescent="0.25">
      <c r="A66" s="135" t="s">
        <v>221</v>
      </c>
      <c r="B66" s="5">
        <v>4750</v>
      </c>
    </row>
    <row r="67" spans="1:2" x14ac:dyDescent="0.25">
      <c r="A67" s="135" t="s">
        <v>222</v>
      </c>
      <c r="B67" s="5">
        <v>9600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F52-F955-4B62-AFAB-21D7F7E298E2}">
  <sheetPr codeName="Sheet6"/>
  <dimension ref="A1:D68"/>
  <sheetViews>
    <sheetView topLeftCell="A45" zoomScale="130" zoomScaleNormal="130" workbookViewId="0"/>
  </sheetViews>
  <sheetFormatPr defaultRowHeight="15" x14ac:dyDescent="0.25"/>
  <cols>
    <col min="1" max="1" width="28.85546875" customWidth="1"/>
    <col min="2" max="2" width="12" style="5" bestFit="1" customWidth="1"/>
    <col min="4" max="4" width="12.42578125" customWidth="1"/>
  </cols>
  <sheetData>
    <row r="1" spans="1:4" ht="18.75" x14ac:dyDescent="0.3">
      <c r="A1" s="1" t="s">
        <v>225</v>
      </c>
    </row>
    <row r="2" spans="1:4" ht="15.75" thickBot="1" x14ac:dyDescent="0.3"/>
    <row r="3" spans="1:4" x14ac:dyDescent="0.25">
      <c r="A3" s="121" t="s">
        <v>149</v>
      </c>
      <c r="B3" s="122" t="s">
        <v>219</v>
      </c>
    </row>
    <row r="4" spans="1:4" x14ac:dyDescent="0.25">
      <c r="A4" s="194" t="s">
        <v>150</v>
      </c>
      <c r="B4" s="195">
        <v>3000</v>
      </c>
      <c r="D4" s="9"/>
    </row>
    <row r="5" spans="1:4" x14ac:dyDescent="0.25">
      <c r="A5" s="172" t="s">
        <v>151</v>
      </c>
      <c r="B5" s="173">
        <v>300</v>
      </c>
      <c r="D5" s="9"/>
    </row>
    <row r="6" spans="1:4" x14ac:dyDescent="0.25">
      <c r="A6" s="196" t="s">
        <v>152</v>
      </c>
      <c r="B6" s="197">
        <v>875</v>
      </c>
      <c r="D6" s="9"/>
    </row>
    <row r="7" spans="1:4" x14ac:dyDescent="0.25">
      <c r="A7" s="172" t="s">
        <v>153</v>
      </c>
      <c r="B7" s="173">
        <v>50</v>
      </c>
      <c r="D7" s="9"/>
    </row>
    <row r="8" spans="1:4" x14ac:dyDescent="0.25">
      <c r="A8" s="196" t="s">
        <v>154</v>
      </c>
      <c r="B8" s="197">
        <v>225</v>
      </c>
      <c r="D8" s="9"/>
    </row>
    <row r="9" spans="1:4" x14ac:dyDescent="0.25">
      <c r="A9" s="172" t="s">
        <v>155</v>
      </c>
      <c r="B9" s="173">
        <v>6740.29</v>
      </c>
      <c r="D9" s="9"/>
    </row>
    <row r="10" spans="1:4" x14ac:dyDescent="0.25">
      <c r="A10" s="196" t="s">
        <v>159</v>
      </c>
      <c r="B10" s="197">
        <v>2487.38</v>
      </c>
      <c r="D10" s="9"/>
    </row>
    <row r="11" spans="1:4" x14ac:dyDescent="0.25">
      <c r="A11" s="172" t="s">
        <v>157</v>
      </c>
      <c r="B11" s="173">
        <v>2647.58</v>
      </c>
      <c r="D11" s="9"/>
    </row>
    <row r="12" spans="1:4" x14ac:dyDescent="0.25">
      <c r="A12" s="196" t="s">
        <v>158</v>
      </c>
      <c r="B12" s="197">
        <v>580.59</v>
      </c>
      <c r="D12" s="9"/>
    </row>
    <row r="13" spans="1:4" x14ac:dyDescent="0.25">
      <c r="A13" s="172" t="s">
        <v>156</v>
      </c>
      <c r="B13" s="173">
        <v>7399.7999999999993</v>
      </c>
      <c r="D13" s="9"/>
    </row>
    <row r="14" spans="1:4" x14ac:dyDescent="0.25">
      <c r="A14" s="196" t="s">
        <v>169</v>
      </c>
      <c r="B14" s="197">
        <v>330</v>
      </c>
      <c r="D14" s="9"/>
    </row>
    <row r="15" spans="1:4" x14ac:dyDescent="0.25">
      <c r="A15" s="172" t="s">
        <v>166</v>
      </c>
      <c r="B15" s="173">
        <v>2761.95</v>
      </c>
      <c r="D15" s="9"/>
    </row>
    <row r="16" spans="1:4" x14ac:dyDescent="0.25">
      <c r="A16" s="196" t="s">
        <v>163</v>
      </c>
      <c r="B16" s="197">
        <v>2920.44</v>
      </c>
      <c r="D16" s="9"/>
    </row>
    <row r="17" spans="1:4" x14ac:dyDescent="0.25">
      <c r="A17" s="172" t="s">
        <v>168</v>
      </c>
      <c r="B17" s="173">
        <v>120</v>
      </c>
      <c r="D17" s="9"/>
    </row>
    <row r="18" spans="1:4" x14ac:dyDescent="0.25">
      <c r="A18" s="196" t="s">
        <v>167</v>
      </c>
      <c r="B18" s="197">
        <v>1275.51</v>
      </c>
      <c r="D18" s="9"/>
    </row>
    <row r="19" spans="1:4" x14ac:dyDescent="0.25">
      <c r="A19" s="172" t="s">
        <v>170</v>
      </c>
      <c r="B19" s="173">
        <v>0</v>
      </c>
      <c r="D19" s="9"/>
    </row>
    <row r="20" spans="1:4" x14ac:dyDescent="0.25">
      <c r="A20" s="196" t="s">
        <v>164</v>
      </c>
      <c r="B20" s="197">
        <v>3929.56</v>
      </c>
      <c r="D20" s="9"/>
    </row>
    <row r="21" spans="1:4" x14ac:dyDescent="0.25">
      <c r="A21" s="172" t="s">
        <v>165</v>
      </c>
      <c r="B21" s="173">
        <v>2340</v>
      </c>
      <c r="D21" s="9"/>
    </row>
    <row r="22" spans="1:4" x14ac:dyDescent="0.25">
      <c r="A22" s="196" t="s">
        <v>172</v>
      </c>
      <c r="B22" s="197">
        <v>10100</v>
      </c>
      <c r="D22" s="9"/>
    </row>
    <row r="23" spans="1:4" x14ac:dyDescent="0.25">
      <c r="A23" s="172" t="s">
        <v>174</v>
      </c>
      <c r="B23" s="173">
        <v>300.11</v>
      </c>
      <c r="D23" s="9"/>
    </row>
    <row r="24" spans="1:4" x14ac:dyDescent="0.25">
      <c r="A24" s="196" t="s">
        <v>173</v>
      </c>
      <c r="B24" s="197">
        <v>7191</v>
      </c>
      <c r="D24" s="9"/>
    </row>
    <row r="25" spans="1:4" x14ac:dyDescent="0.25">
      <c r="A25" s="172" t="s">
        <v>192</v>
      </c>
      <c r="B25" s="173">
        <v>540.12</v>
      </c>
      <c r="D25" s="9"/>
    </row>
    <row r="26" spans="1:4" x14ac:dyDescent="0.25">
      <c r="A26" s="196" t="s">
        <v>175</v>
      </c>
      <c r="B26" s="197">
        <v>0</v>
      </c>
      <c r="D26" s="9"/>
    </row>
    <row r="27" spans="1:4" x14ac:dyDescent="0.25">
      <c r="A27" s="172" t="s">
        <v>171</v>
      </c>
      <c r="B27" s="173">
        <v>11996</v>
      </c>
      <c r="D27" s="9"/>
    </row>
    <row r="28" spans="1:4" x14ac:dyDescent="0.25">
      <c r="A28" s="196" t="s">
        <v>176</v>
      </c>
      <c r="B28" s="197">
        <v>2890</v>
      </c>
      <c r="D28" s="9"/>
    </row>
    <row r="29" spans="1:4" x14ac:dyDescent="0.25">
      <c r="A29" s="172" t="s">
        <v>177</v>
      </c>
      <c r="B29" s="173">
        <v>3724.58</v>
      </c>
      <c r="D29" s="9"/>
    </row>
    <row r="30" spans="1:4" x14ac:dyDescent="0.25">
      <c r="A30" s="196" t="s">
        <v>178</v>
      </c>
      <c r="B30" s="197">
        <v>4195.26</v>
      </c>
      <c r="D30" s="9"/>
    </row>
    <row r="31" spans="1:4" x14ac:dyDescent="0.25">
      <c r="A31" s="172" t="s">
        <v>190</v>
      </c>
      <c r="B31" s="173">
        <v>5788.54</v>
      </c>
      <c r="D31" s="9"/>
    </row>
    <row r="32" spans="1:4" x14ac:dyDescent="0.25">
      <c r="A32" s="196" t="s">
        <v>182</v>
      </c>
      <c r="B32" s="197">
        <v>4068</v>
      </c>
      <c r="D32" s="9"/>
    </row>
    <row r="33" spans="1:4" x14ac:dyDescent="0.25">
      <c r="A33" s="172" t="s">
        <v>180</v>
      </c>
      <c r="B33" s="173">
        <v>2923.28</v>
      </c>
      <c r="D33" s="9"/>
    </row>
    <row r="34" spans="1:4" x14ac:dyDescent="0.25">
      <c r="A34" s="196" t="s">
        <v>179</v>
      </c>
      <c r="B34" s="197">
        <v>50</v>
      </c>
      <c r="D34" s="9"/>
    </row>
    <row r="35" spans="1:4" x14ac:dyDescent="0.25">
      <c r="A35" s="172" t="s">
        <v>189</v>
      </c>
      <c r="B35" s="173">
        <v>4110</v>
      </c>
      <c r="D35" s="9"/>
    </row>
    <row r="36" spans="1:4" x14ac:dyDescent="0.25">
      <c r="A36" s="196" t="s">
        <v>184</v>
      </c>
      <c r="B36" s="197">
        <v>464.2</v>
      </c>
      <c r="D36" s="9"/>
    </row>
    <row r="37" spans="1:4" x14ac:dyDescent="0.25">
      <c r="A37" s="172" t="s">
        <v>186</v>
      </c>
      <c r="B37" s="173">
        <v>689.96</v>
      </c>
      <c r="D37" s="9"/>
    </row>
    <row r="38" spans="1:4" x14ac:dyDescent="0.25">
      <c r="A38" s="196" t="s">
        <v>187</v>
      </c>
      <c r="B38" s="197">
        <v>418.57</v>
      </c>
      <c r="D38" s="9"/>
    </row>
    <row r="39" spans="1:4" x14ac:dyDescent="0.25">
      <c r="A39" s="172" t="s">
        <v>183</v>
      </c>
      <c r="B39" s="173">
        <v>451.21</v>
      </c>
      <c r="D39" s="9"/>
    </row>
    <row r="40" spans="1:4" x14ac:dyDescent="0.25">
      <c r="A40" s="196" t="s">
        <v>188</v>
      </c>
      <c r="B40" s="197">
        <v>787.07</v>
      </c>
      <c r="D40" s="9"/>
    </row>
    <row r="41" spans="1:4" x14ac:dyDescent="0.25">
      <c r="A41" s="172" t="s">
        <v>196</v>
      </c>
      <c r="B41" s="173">
        <v>3192.95</v>
      </c>
      <c r="D41" s="9"/>
    </row>
    <row r="42" spans="1:4" x14ac:dyDescent="0.25">
      <c r="A42" s="196" t="s">
        <v>194</v>
      </c>
      <c r="B42" s="197">
        <v>1398</v>
      </c>
      <c r="D42" s="9"/>
    </row>
    <row r="43" spans="1:4" x14ac:dyDescent="0.25">
      <c r="A43" s="172" t="s">
        <v>191</v>
      </c>
      <c r="B43" s="173">
        <v>0</v>
      </c>
      <c r="D43" s="9"/>
    </row>
    <row r="44" spans="1:4" x14ac:dyDescent="0.25">
      <c r="A44" s="196" t="s">
        <v>193</v>
      </c>
      <c r="B44" s="197">
        <v>1616.06</v>
      </c>
      <c r="D44" s="9"/>
    </row>
    <row r="45" spans="1:4" x14ac:dyDescent="0.25">
      <c r="A45" s="172" t="s">
        <v>197</v>
      </c>
      <c r="B45" s="173">
        <v>479.72</v>
      </c>
      <c r="D45" s="9"/>
    </row>
    <row r="46" spans="1:4" x14ac:dyDescent="0.25">
      <c r="A46" s="196" t="s">
        <v>202</v>
      </c>
      <c r="B46" s="197">
        <v>235</v>
      </c>
      <c r="D46" s="9"/>
    </row>
    <row r="47" spans="1:4" x14ac:dyDescent="0.25">
      <c r="A47" s="172" t="s">
        <v>198</v>
      </c>
      <c r="B47" s="173">
        <v>1034</v>
      </c>
      <c r="D47" s="9"/>
    </row>
    <row r="48" spans="1:4" x14ac:dyDescent="0.25">
      <c r="A48" s="196" t="s">
        <v>199</v>
      </c>
      <c r="B48" s="197">
        <v>310</v>
      </c>
      <c r="D48" s="9"/>
    </row>
    <row r="49" spans="1:4" x14ac:dyDescent="0.25">
      <c r="A49" s="172" t="s">
        <v>200</v>
      </c>
      <c r="B49" s="173">
        <v>0</v>
      </c>
      <c r="D49" s="9"/>
    </row>
    <row r="50" spans="1:4" x14ac:dyDescent="0.25">
      <c r="A50" s="196" t="s">
        <v>201</v>
      </c>
      <c r="B50" s="197">
        <v>90</v>
      </c>
      <c r="D50" s="9"/>
    </row>
    <row r="51" spans="1:4" x14ac:dyDescent="0.25">
      <c r="A51" s="172" t="s">
        <v>203</v>
      </c>
      <c r="B51" s="173">
        <v>6750</v>
      </c>
      <c r="D51" s="9"/>
    </row>
    <row r="52" spans="1:4" ht="15.75" thickBot="1" x14ac:dyDescent="0.3">
      <c r="A52" s="174" t="s">
        <v>204</v>
      </c>
      <c r="B52" s="175">
        <f>SUBTOTAL(109,B4:B51)</f>
        <v>113776.73000000001</v>
      </c>
      <c r="D52" s="9"/>
    </row>
    <row r="53" spans="1:4" x14ac:dyDescent="0.25">
      <c r="A53" s="200" t="s">
        <v>205</v>
      </c>
      <c r="B53" s="201">
        <v>1700</v>
      </c>
    </row>
    <row r="54" spans="1:4" x14ac:dyDescent="0.25">
      <c r="A54" s="196" t="s">
        <v>207</v>
      </c>
      <c r="B54" s="197">
        <v>1700</v>
      </c>
    </row>
    <row r="55" spans="1:4" x14ac:dyDescent="0.25">
      <c r="A55" s="172" t="s">
        <v>208</v>
      </c>
      <c r="B55" s="173">
        <v>2000</v>
      </c>
    </row>
    <row r="56" spans="1:4" x14ac:dyDescent="0.25">
      <c r="A56" s="196" t="s">
        <v>209</v>
      </c>
      <c r="B56" s="197">
        <v>500</v>
      </c>
    </row>
    <row r="57" spans="1:4" x14ac:dyDescent="0.25">
      <c r="A57" s="172" t="s">
        <v>210</v>
      </c>
      <c r="B57" s="173">
        <v>2500</v>
      </c>
    </row>
    <row r="58" spans="1:4" x14ac:dyDescent="0.25">
      <c r="A58" s="196" t="s">
        <v>211</v>
      </c>
      <c r="B58" s="197">
        <v>2475</v>
      </c>
    </row>
    <row r="59" spans="1:4" ht="15.75" thickBot="1" x14ac:dyDescent="0.3">
      <c r="A59" s="250" t="s">
        <v>212</v>
      </c>
      <c r="B59" s="251">
        <f>SUM(B53:B58)</f>
        <v>10875</v>
      </c>
    </row>
    <row r="60" spans="1:4" x14ac:dyDescent="0.25">
      <c r="A60" s="198" t="s">
        <v>213</v>
      </c>
      <c r="B60" s="199">
        <v>2050</v>
      </c>
    </row>
    <row r="61" spans="1:4" x14ac:dyDescent="0.25">
      <c r="A61" s="172" t="s">
        <v>215</v>
      </c>
      <c r="B61" s="173">
        <v>10000</v>
      </c>
    </row>
    <row r="62" spans="1:4" x14ac:dyDescent="0.25">
      <c r="A62" s="196" t="s">
        <v>216</v>
      </c>
      <c r="B62" s="197">
        <v>600</v>
      </c>
    </row>
    <row r="63" spans="1:4" x14ac:dyDescent="0.25">
      <c r="A63" s="250" t="s">
        <v>217</v>
      </c>
      <c r="B63" s="251">
        <f>SUM(B60:B62)</f>
        <v>12650</v>
      </c>
    </row>
    <row r="64" spans="1:4" ht="15.75" thickBot="1" x14ac:dyDescent="0.3">
      <c r="A64" s="252" t="s">
        <v>220</v>
      </c>
      <c r="B64" s="253">
        <f>B63+B59+B52</f>
        <v>137301.73000000001</v>
      </c>
    </row>
    <row r="66" spans="1:2" x14ac:dyDescent="0.25">
      <c r="A66" s="135" t="s">
        <v>221</v>
      </c>
      <c r="B66" s="5">
        <v>4200</v>
      </c>
    </row>
    <row r="67" spans="1:2" x14ac:dyDescent="0.25">
      <c r="A67" s="135" t="s">
        <v>222</v>
      </c>
      <c r="B67" s="5">
        <v>8800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78B6-75EC-40DF-A741-A9DCF5CDFEAF}">
  <sheetPr codeName="Sheet7"/>
  <dimension ref="A1:D68"/>
  <sheetViews>
    <sheetView topLeftCell="A30" zoomScale="130" zoomScaleNormal="130" workbookViewId="0"/>
  </sheetViews>
  <sheetFormatPr defaultRowHeight="15" x14ac:dyDescent="0.25"/>
  <cols>
    <col min="1" max="1" width="28.85546875" customWidth="1"/>
    <col min="2" max="2" width="12" style="5" bestFit="1" customWidth="1"/>
    <col min="4" max="4" width="12.42578125" customWidth="1"/>
  </cols>
  <sheetData>
    <row r="1" spans="1:4" ht="18.75" x14ac:dyDescent="0.3">
      <c r="A1" s="1" t="s">
        <v>226</v>
      </c>
    </row>
    <row r="2" spans="1:4" ht="15.75" thickBot="1" x14ac:dyDescent="0.3"/>
    <row r="3" spans="1:4" x14ac:dyDescent="0.25">
      <c r="A3" s="121" t="s">
        <v>149</v>
      </c>
      <c r="B3" s="122" t="s">
        <v>219</v>
      </c>
    </row>
    <row r="4" spans="1:4" x14ac:dyDescent="0.25">
      <c r="A4" s="194" t="s">
        <v>150</v>
      </c>
      <c r="B4" s="195">
        <v>3000</v>
      </c>
      <c r="D4" s="9"/>
    </row>
    <row r="5" spans="1:4" x14ac:dyDescent="0.25">
      <c r="A5" s="172" t="s">
        <v>151</v>
      </c>
      <c r="B5" s="173">
        <v>300</v>
      </c>
      <c r="D5" s="9"/>
    </row>
    <row r="6" spans="1:4" x14ac:dyDescent="0.25">
      <c r="A6" s="196" t="s">
        <v>152</v>
      </c>
      <c r="B6" s="197">
        <v>875</v>
      </c>
      <c r="D6" s="9"/>
    </row>
    <row r="7" spans="1:4" x14ac:dyDescent="0.25">
      <c r="A7" s="172" t="s">
        <v>153</v>
      </c>
      <c r="B7" s="173">
        <v>50</v>
      </c>
      <c r="D7" s="9"/>
    </row>
    <row r="8" spans="1:4" x14ac:dyDescent="0.25">
      <c r="A8" s="196" t="s">
        <v>154</v>
      </c>
      <c r="B8" s="197">
        <v>225</v>
      </c>
      <c r="D8" s="9"/>
    </row>
    <row r="9" spans="1:4" x14ac:dyDescent="0.25">
      <c r="A9" s="172" t="s">
        <v>155</v>
      </c>
      <c r="B9" s="173">
        <v>13360.22</v>
      </c>
      <c r="D9" s="9"/>
    </row>
    <row r="10" spans="1:4" x14ac:dyDescent="0.25">
      <c r="A10" s="196" t="s">
        <v>159</v>
      </c>
      <c r="B10" s="197">
        <v>2268.08</v>
      </c>
      <c r="D10" s="9"/>
    </row>
    <row r="11" spans="1:4" x14ac:dyDescent="0.25">
      <c r="A11" s="172" t="s">
        <v>157</v>
      </c>
      <c r="B11" s="173">
        <v>6182.05</v>
      </c>
      <c r="D11" s="9"/>
    </row>
    <row r="12" spans="1:4" x14ac:dyDescent="0.25">
      <c r="A12" s="196" t="s">
        <v>158</v>
      </c>
      <c r="B12" s="197">
        <v>1161.17</v>
      </c>
      <c r="D12" s="9"/>
    </row>
    <row r="13" spans="1:4" x14ac:dyDescent="0.25">
      <c r="A13" s="172" t="s">
        <v>156</v>
      </c>
      <c r="B13" s="173">
        <v>9775</v>
      </c>
      <c r="D13" s="9"/>
    </row>
    <row r="14" spans="1:4" x14ac:dyDescent="0.25">
      <c r="A14" s="196" t="s">
        <v>169</v>
      </c>
      <c r="B14" s="197">
        <v>330</v>
      </c>
      <c r="D14" s="9"/>
    </row>
    <row r="15" spans="1:4" x14ac:dyDescent="0.25">
      <c r="A15" s="172" t="s">
        <v>166</v>
      </c>
      <c r="B15" s="173">
        <v>3205.85</v>
      </c>
      <c r="D15" s="9"/>
    </row>
    <row r="16" spans="1:4" x14ac:dyDescent="0.25">
      <c r="A16" s="196" t="s">
        <v>163</v>
      </c>
      <c r="B16" s="197">
        <v>2998.27</v>
      </c>
      <c r="D16" s="9"/>
    </row>
    <row r="17" spans="1:4" x14ac:dyDescent="0.25">
      <c r="A17" s="172" t="s">
        <v>168</v>
      </c>
      <c r="B17" s="173">
        <v>240</v>
      </c>
      <c r="D17" s="9"/>
    </row>
    <row r="18" spans="1:4" x14ac:dyDescent="0.25">
      <c r="A18" s="196" t="s">
        <v>167</v>
      </c>
      <c r="B18" s="197">
        <v>2185.1099999999997</v>
      </c>
      <c r="D18" s="9"/>
    </row>
    <row r="19" spans="1:4" x14ac:dyDescent="0.25">
      <c r="A19" s="172" t="s">
        <v>170</v>
      </c>
      <c r="B19" s="173">
        <v>1600</v>
      </c>
      <c r="D19" s="9"/>
    </row>
    <row r="20" spans="1:4" x14ac:dyDescent="0.25">
      <c r="A20" s="196" t="s">
        <v>164</v>
      </c>
      <c r="B20" s="197">
        <v>6327.34</v>
      </c>
      <c r="D20" s="9"/>
    </row>
    <row r="21" spans="1:4" x14ac:dyDescent="0.25">
      <c r="A21" s="172" t="s">
        <v>165</v>
      </c>
      <c r="B21" s="173">
        <v>4805</v>
      </c>
      <c r="D21" s="9"/>
    </row>
    <row r="22" spans="1:4" x14ac:dyDescent="0.25">
      <c r="A22" s="196" t="s">
        <v>172</v>
      </c>
      <c r="B22" s="197">
        <v>9600</v>
      </c>
      <c r="D22" s="9"/>
    </row>
    <row r="23" spans="1:4" x14ac:dyDescent="0.25">
      <c r="A23" s="172" t="s">
        <v>174</v>
      </c>
      <c r="B23" s="173">
        <v>300.11</v>
      </c>
      <c r="D23" s="9"/>
    </row>
    <row r="24" spans="1:4" x14ac:dyDescent="0.25">
      <c r="A24" s="196" t="s">
        <v>173</v>
      </c>
      <c r="B24" s="197">
        <v>6622.98</v>
      </c>
      <c r="D24" s="9"/>
    </row>
    <row r="25" spans="1:4" x14ac:dyDescent="0.25">
      <c r="A25" s="172" t="s">
        <v>192</v>
      </c>
      <c r="B25" s="173">
        <v>589.64</v>
      </c>
      <c r="D25" s="9"/>
    </row>
    <row r="26" spans="1:4" x14ac:dyDescent="0.25">
      <c r="A26" s="196" t="s">
        <v>175</v>
      </c>
      <c r="B26" s="197">
        <v>0</v>
      </c>
      <c r="D26" s="9"/>
    </row>
    <row r="27" spans="1:4" x14ac:dyDescent="0.25">
      <c r="A27" s="172" t="s">
        <v>171</v>
      </c>
      <c r="B27" s="173">
        <v>13451</v>
      </c>
      <c r="D27" s="9"/>
    </row>
    <row r="28" spans="1:4" x14ac:dyDescent="0.25">
      <c r="A28" s="196" t="s">
        <v>176</v>
      </c>
      <c r="B28" s="197">
        <v>2949</v>
      </c>
      <c r="D28" s="9"/>
    </row>
    <row r="29" spans="1:4" x14ac:dyDescent="0.25">
      <c r="A29" s="172" t="s">
        <v>177</v>
      </c>
      <c r="B29" s="173">
        <v>3908.31</v>
      </c>
      <c r="D29" s="9"/>
    </row>
    <row r="30" spans="1:4" x14ac:dyDescent="0.25">
      <c r="A30" s="196" t="s">
        <v>178</v>
      </c>
      <c r="B30" s="197">
        <v>4305.42</v>
      </c>
      <c r="D30" s="9"/>
    </row>
    <row r="31" spans="1:4" x14ac:dyDescent="0.25">
      <c r="A31" s="172" t="s">
        <v>190</v>
      </c>
      <c r="B31" s="173">
        <v>5080.17</v>
      </c>
      <c r="D31" s="9"/>
    </row>
    <row r="32" spans="1:4" x14ac:dyDescent="0.25">
      <c r="A32" s="196" t="s">
        <v>182</v>
      </c>
      <c r="B32" s="197">
        <v>4455</v>
      </c>
      <c r="D32" s="9"/>
    </row>
    <row r="33" spans="1:4" x14ac:dyDescent="0.25">
      <c r="A33" s="172" t="s">
        <v>180</v>
      </c>
      <c r="B33" s="173">
        <v>2576</v>
      </c>
      <c r="D33" s="9"/>
    </row>
    <row r="34" spans="1:4" x14ac:dyDescent="0.25">
      <c r="A34" s="196" t="s">
        <v>179</v>
      </c>
      <c r="B34" s="197">
        <v>400</v>
      </c>
      <c r="D34" s="9"/>
    </row>
    <row r="35" spans="1:4" x14ac:dyDescent="0.25">
      <c r="A35" s="172" t="s">
        <v>189</v>
      </c>
      <c r="B35" s="173">
        <v>3243</v>
      </c>
      <c r="D35" s="9"/>
    </row>
    <row r="36" spans="1:4" x14ac:dyDescent="0.25">
      <c r="A36" s="196" t="s">
        <v>184</v>
      </c>
      <c r="B36" s="197">
        <v>396.65</v>
      </c>
      <c r="D36" s="9"/>
    </row>
    <row r="37" spans="1:4" x14ac:dyDescent="0.25">
      <c r="A37" s="172" t="s">
        <v>186</v>
      </c>
      <c r="B37" s="173">
        <v>689.96</v>
      </c>
      <c r="D37" s="9"/>
    </row>
    <row r="38" spans="1:4" x14ac:dyDescent="0.25">
      <c r="A38" s="196" t="s">
        <v>187</v>
      </c>
      <c r="B38" s="197">
        <v>471.07</v>
      </c>
      <c r="D38" s="9"/>
    </row>
    <row r="39" spans="1:4" x14ac:dyDescent="0.25">
      <c r="A39" s="172" t="s">
        <v>183</v>
      </c>
      <c r="B39" s="173">
        <v>570.95000000000005</v>
      </c>
      <c r="D39" s="9"/>
    </row>
    <row r="40" spans="1:4" x14ac:dyDescent="0.25">
      <c r="A40" s="196" t="s">
        <v>188</v>
      </c>
      <c r="B40" s="197">
        <v>0</v>
      </c>
      <c r="D40" s="9"/>
    </row>
    <row r="41" spans="1:4" x14ac:dyDescent="0.25">
      <c r="A41" s="172" t="s">
        <v>196</v>
      </c>
      <c r="B41" s="173">
        <v>3697.51</v>
      </c>
      <c r="D41" s="9"/>
    </row>
    <row r="42" spans="1:4" x14ac:dyDescent="0.25">
      <c r="A42" s="196" t="s">
        <v>194</v>
      </c>
      <c r="B42" s="197">
        <v>1535.62</v>
      </c>
      <c r="D42" s="9"/>
    </row>
    <row r="43" spans="1:4" x14ac:dyDescent="0.25">
      <c r="A43" s="172" t="s">
        <v>191</v>
      </c>
      <c r="B43" s="173">
        <v>0</v>
      </c>
      <c r="D43" s="9"/>
    </row>
    <row r="44" spans="1:4" x14ac:dyDescent="0.25">
      <c r="A44" s="196" t="s">
        <v>193</v>
      </c>
      <c r="B44" s="197">
        <v>1616.06</v>
      </c>
      <c r="D44" s="9"/>
    </row>
    <row r="45" spans="1:4" x14ac:dyDescent="0.25">
      <c r="A45" s="172" t="s">
        <v>197</v>
      </c>
      <c r="B45" s="173">
        <v>452</v>
      </c>
      <c r="D45" s="9"/>
    </row>
    <row r="46" spans="1:4" x14ac:dyDescent="0.25">
      <c r="A46" s="196" t="s">
        <v>202</v>
      </c>
      <c r="B46" s="197">
        <v>235</v>
      </c>
      <c r="D46" s="9"/>
    </row>
    <row r="47" spans="1:4" x14ac:dyDescent="0.25">
      <c r="A47" s="172" t="s">
        <v>198</v>
      </c>
      <c r="B47" s="173">
        <v>936</v>
      </c>
      <c r="D47" s="9"/>
    </row>
    <row r="48" spans="1:4" x14ac:dyDescent="0.25">
      <c r="A48" s="196" t="s">
        <v>199</v>
      </c>
      <c r="B48" s="197">
        <v>310</v>
      </c>
      <c r="D48" s="9"/>
    </row>
    <row r="49" spans="1:4" x14ac:dyDescent="0.25">
      <c r="A49" s="172" t="s">
        <v>200</v>
      </c>
      <c r="B49" s="173">
        <v>0</v>
      </c>
      <c r="D49" s="9"/>
    </row>
    <row r="50" spans="1:4" x14ac:dyDescent="0.25">
      <c r="A50" s="196" t="s">
        <v>201</v>
      </c>
      <c r="B50" s="197">
        <v>90</v>
      </c>
      <c r="D50" s="9"/>
    </row>
    <row r="51" spans="1:4" x14ac:dyDescent="0.25">
      <c r="A51" s="172" t="s">
        <v>203</v>
      </c>
      <c r="B51" s="173">
        <v>6688</v>
      </c>
      <c r="D51" s="9"/>
    </row>
    <row r="52" spans="1:4" ht="15.75" thickBot="1" x14ac:dyDescent="0.3">
      <c r="A52" s="174" t="s">
        <v>204</v>
      </c>
      <c r="B52" s="175">
        <f>SUBTOTAL(109,B4:B51)</f>
        <v>134057.53999999998</v>
      </c>
      <c r="D52" s="9"/>
    </row>
    <row r="53" spans="1:4" x14ac:dyDescent="0.25">
      <c r="A53" s="200" t="s">
        <v>205</v>
      </c>
      <c r="B53" s="201">
        <v>1700</v>
      </c>
    </row>
    <row r="54" spans="1:4" x14ac:dyDescent="0.25">
      <c r="A54" s="196" t="s">
        <v>207</v>
      </c>
      <c r="B54" s="197">
        <v>1700</v>
      </c>
    </row>
    <row r="55" spans="1:4" x14ac:dyDescent="0.25">
      <c r="A55" s="172" t="s">
        <v>208</v>
      </c>
      <c r="B55" s="173">
        <v>2000</v>
      </c>
    </row>
    <row r="56" spans="1:4" x14ac:dyDescent="0.25">
      <c r="A56" s="196" t="s">
        <v>209</v>
      </c>
      <c r="B56" s="197">
        <v>500</v>
      </c>
    </row>
    <row r="57" spans="1:4" x14ac:dyDescent="0.25">
      <c r="A57" s="172" t="s">
        <v>210</v>
      </c>
      <c r="B57" s="173">
        <v>2500</v>
      </c>
    </row>
    <row r="58" spans="1:4" x14ac:dyDescent="0.25">
      <c r="A58" s="196" t="s">
        <v>211</v>
      </c>
      <c r="B58" s="197">
        <v>2475</v>
      </c>
    </row>
    <row r="59" spans="1:4" ht="15.75" thickBot="1" x14ac:dyDescent="0.3">
      <c r="A59" s="250" t="s">
        <v>212</v>
      </c>
      <c r="B59" s="251">
        <f>SUM(B53:B58)</f>
        <v>10875</v>
      </c>
    </row>
    <row r="60" spans="1:4" x14ac:dyDescent="0.25">
      <c r="A60" s="198" t="s">
        <v>213</v>
      </c>
      <c r="B60" s="199">
        <v>2050</v>
      </c>
    </row>
    <row r="61" spans="1:4" x14ac:dyDescent="0.25">
      <c r="A61" s="172" t="s">
        <v>215</v>
      </c>
      <c r="B61" s="173">
        <v>10000</v>
      </c>
    </row>
    <row r="62" spans="1:4" x14ac:dyDescent="0.25">
      <c r="A62" s="196" t="s">
        <v>216</v>
      </c>
      <c r="B62" s="197">
        <v>600</v>
      </c>
    </row>
    <row r="63" spans="1:4" x14ac:dyDescent="0.25">
      <c r="A63" s="250" t="s">
        <v>217</v>
      </c>
      <c r="B63" s="251">
        <f>SUM(B60:B62)</f>
        <v>12650</v>
      </c>
    </row>
    <row r="64" spans="1:4" ht="15.75" thickBot="1" x14ac:dyDescent="0.3">
      <c r="A64" s="252" t="s">
        <v>220</v>
      </c>
      <c r="B64" s="253">
        <f>B63+B59+B52</f>
        <v>157582.53999999998</v>
      </c>
    </row>
    <row r="66" spans="1:2" x14ac:dyDescent="0.25">
      <c r="A66" s="135" t="s">
        <v>221</v>
      </c>
      <c r="B66" s="5">
        <v>4600</v>
      </c>
    </row>
    <row r="67" spans="1:2" x14ac:dyDescent="0.25">
      <c r="A67" s="135" t="s">
        <v>222</v>
      </c>
      <c r="B67" s="5">
        <v>10300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70EC-77E8-4C34-9BD7-F3FD17FEC12B}">
  <sheetPr codeName="Sheet8"/>
  <dimension ref="A1:D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2" style="5" bestFit="1" customWidth="1"/>
    <col min="4" max="4" width="12.42578125" customWidth="1"/>
  </cols>
  <sheetData>
    <row r="1" spans="1:4" ht="18.75" x14ac:dyDescent="0.3">
      <c r="A1" s="1" t="s">
        <v>227</v>
      </c>
    </row>
    <row r="2" spans="1:4" ht="15.75" thickBot="1" x14ac:dyDescent="0.3"/>
    <row r="3" spans="1:4" x14ac:dyDescent="0.25">
      <c r="A3" s="121" t="s">
        <v>149</v>
      </c>
      <c r="B3" s="122" t="s">
        <v>219</v>
      </c>
    </row>
    <row r="4" spans="1:4" x14ac:dyDescent="0.25">
      <c r="A4" s="194" t="s">
        <v>150</v>
      </c>
      <c r="B4" s="195">
        <v>3000</v>
      </c>
      <c r="D4" s="9"/>
    </row>
    <row r="5" spans="1:4" x14ac:dyDescent="0.25">
      <c r="A5" s="172" t="s">
        <v>151</v>
      </c>
      <c r="B5" s="173">
        <v>300</v>
      </c>
      <c r="D5" s="9"/>
    </row>
    <row r="6" spans="1:4" x14ac:dyDescent="0.25">
      <c r="A6" s="196" t="s">
        <v>152</v>
      </c>
      <c r="B6" s="197">
        <v>875</v>
      </c>
      <c r="D6" s="9"/>
    </row>
    <row r="7" spans="1:4" x14ac:dyDescent="0.25">
      <c r="A7" s="172" t="s">
        <v>153</v>
      </c>
      <c r="B7" s="173">
        <v>50</v>
      </c>
      <c r="D7" s="9"/>
    </row>
    <row r="8" spans="1:4" x14ac:dyDescent="0.25">
      <c r="A8" s="196" t="s">
        <v>154</v>
      </c>
      <c r="B8" s="197">
        <v>225</v>
      </c>
      <c r="D8" s="9"/>
    </row>
    <row r="9" spans="1:4" x14ac:dyDescent="0.25">
      <c r="A9" s="172" t="s">
        <v>155</v>
      </c>
      <c r="B9" s="173">
        <v>11967.7</v>
      </c>
      <c r="D9" s="9"/>
    </row>
    <row r="10" spans="1:4" x14ac:dyDescent="0.25">
      <c r="A10" s="196" t="s">
        <v>159</v>
      </c>
      <c r="B10" s="197">
        <v>5402.18</v>
      </c>
      <c r="D10" s="9"/>
    </row>
    <row r="11" spans="1:4" x14ac:dyDescent="0.25">
      <c r="A11" s="172" t="s">
        <v>157</v>
      </c>
      <c r="B11" s="173">
        <v>4975.33</v>
      </c>
      <c r="D11" s="9"/>
    </row>
    <row r="12" spans="1:4" x14ac:dyDescent="0.25">
      <c r="A12" s="196" t="s">
        <v>158</v>
      </c>
      <c r="B12" s="197">
        <v>580.59</v>
      </c>
      <c r="D12" s="9"/>
    </row>
    <row r="13" spans="1:4" x14ac:dyDescent="0.25">
      <c r="A13" s="172" t="s">
        <v>156</v>
      </c>
      <c r="B13" s="173">
        <v>11965.2</v>
      </c>
      <c r="D13" s="9"/>
    </row>
    <row r="14" spans="1:4" x14ac:dyDescent="0.25">
      <c r="A14" s="196" t="s">
        <v>169</v>
      </c>
      <c r="B14" s="197">
        <v>304</v>
      </c>
      <c r="D14" s="9"/>
    </row>
    <row r="15" spans="1:4" x14ac:dyDescent="0.25">
      <c r="A15" s="172" t="s">
        <v>166</v>
      </c>
      <c r="B15" s="173">
        <v>3121.99</v>
      </c>
      <c r="D15" s="9"/>
    </row>
    <row r="16" spans="1:4" x14ac:dyDescent="0.25">
      <c r="A16" s="196" t="s">
        <v>163</v>
      </c>
      <c r="B16" s="197">
        <v>4800.84</v>
      </c>
      <c r="D16" s="9"/>
    </row>
    <row r="17" spans="1:4" x14ac:dyDescent="0.25">
      <c r="A17" s="172" t="s">
        <v>168</v>
      </c>
      <c r="B17" s="173">
        <v>173</v>
      </c>
      <c r="D17" s="9"/>
    </row>
    <row r="18" spans="1:4" x14ac:dyDescent="0.25">
      <c r="A18" s="196" t="s">
        <v>167</v>
      </c>
      <c r="B18" s="197">
        <v>1794.95</v>
      </c>
      <c r="D18" s="9"/>
    </row>
    <row r="19" spans="1:4" x14ac:dyDescent="0.25">
      <c r="A19" s="172" t="s">
        <v>170</v>
      </c>
      <c r="B19" s="173">
        <v>1600</v>
      </c>
      <c r="D19" s="9"/>
    </row>
    <row r="20" spans="1:4" x14ac:dyDescent="0.25">
      <c r="A20" s="196" t="s">
        <v>164</v>
      </c>
      <c r="B20" s="197">
        <v>5756.82</v>
      </c>
      <c r="D20" s="9"/>
    </row>
    <row r="21" spans="1:4" x14ac:dyDescent="0.25">
      <c r="A21" s="172" t="s">
        <v>165</v>
      </c>
      <c r="B21" s="173">
        <v>3855</v>
      </c>
      <c r="D21" s="9"/>
    </row>
    <row r="22" spans="1:4" x14ac:dyDescent="0.25">
      <c r="A22" s="196" t="s">
        <v>172</v>
      </c>
      <c r="B22" s="197">
        <v>10900</v>
      </c>
      <c r="D22" s="9"/>
    </row>
    <row r="23" spans="1:4" x14ac:dyDescent="0.25">
      <c r="A23" s="172" t="s">
        <v>174</v>
      </c>
      <c r="B23" s="173">
        <v>300.11</v>
      </c>
      <c r="D23" s="9"/>
    </row>
    <row r="24" spans="1:4" x14ac:dyDescent="0.25">
      <c r="A24" s="196" t="s">
        <v>173</v>
      </c>
      <c r="B24" s="197">
        <v>8947.9</v>
      </c>
      <c r="D24" s="9"/>
    </row>
    <row r="25" spans="1:4" x14ac:dyDescent="0.25">
      <c r="A25" s="172" t="s">
        <v>192</v>
      </c>
      <c r="B25" s="173">
        <v>626.34</v>
      </c>
      <c r="D25" s="9"/>
    </row>
    <row r="26" spans="1:4" x14ac:dyDescent="0.25">
      <c r="A26" s="196" t="s">
        <v>175</v>
      </c>
      <c r="B26" s="197">
        <v>0</v>
      </c>
      <c r="D26" s="9"/>
    </row>
    <row r="27" spans="1:4" x14ac:dyDescent="0.25">
      <c r="A27" s="172" t="s">
        <v>171</v>
      </c>
      <c r="B27" s="173">
        <v>15022</v>
      </c>
      <c r="D27" s="9"/>
    </row>
    <row r="28" spans="1:4" x14ac:dyDescent="0.25">
      <c r="A28" s="196" t="s">
        <v>176</v>
      </c>
      <c r="B28" s="197">
        <v>4139</v>
      </c>
      <c r="D28" s="9"/>
    </row>
    <row r="29" spans="1:4" x14ac:dyDescent="0.25">
      <c r="A29" s="172" t="s">
        <v>177</v>
      </c>
      <c r="B29" s="173">
        <v>5393.62</v>
      </c>
      <c r="D29" s="9"/>
    </row>
    <row r="30" spans="1:4" x14ac:dyDescent="0.25">
      <c r="A30" s="196" t="s">
        <v>178</v>
      </c>
      <c r="B30" s="197">
        <v>5777.28</v>
      </c>
      <c r="D30" s="9"/>
    </row>
    <row r="31" spans="1:4" x14ac:dyDescent="0.25">
      <c r="A31" s="172" t="s">
        <v>190</v>
      </c>
      <c r="B31" s="173">
        <v>5704.65</v>
      </c>
      <c r="D31" s="9"/>
    </row>
    <row r="32" spans="1:4" x14ac:dyDescent="0.25">
      <c r="A32" s="196" t="s">
        <v>182</v>
      </c>
      <c r="B32" s="197">
        <v>5005</v>
      </c>
      <c r="D32" s="9"/>
    </row>
    <row r="33" spans="1:4" x14ac:dyDescent="0.25">
      <c r="A33" s="172" t="s">
        <v>180</v>
      </c>
      <c r="B33" s="173">
        <v>4073.76</v>
      </c>
      <c r="D33" s="9"/>
    </row>
    <row r="34" spans="1:4" x14ac:dyDescent="0.25">
      <c r="A34" s="196" t="s">
        <v>179</v>
      </c>
      <c r="B34" s="197">
        <v>275</v>
      </c>
      <c r="D34" s="9"/>
    </row>
    <row r="35" spans="1:4" x14ac:dyDescent="0.25">
      <c r="A35" s="172" t="s">
        <v>189</v>
      </c>
      <c r="B35" s="173">
        <v>4239</v>
      </c>
      <c r="D35" s="9"/>
    </row>
    <row r="36" spans="1:4" x14ac:dyDescent="0.25">
      <c r="A36" s="196" t="s">
        <v>184</v>
      </c>
      <c r="B36" s="197">
        <v>583.6</v>
      </c>
      <c r="D36" s="9"/>
    </row>
    <row r="37" spans="1:4" x14ac:dyDescent="0.25">
      <c r="A37" s="172" t="s">
        <v>186</v>
      </c>
      <c r="B37" s="173">
        <v>689.96</v>
      </c>
      <c r="D37" s="9"/>
    </row>
    <row r="38" spans="1:4" x14ac:dyDescent="0.25">
      <c r="A38" s="196" t="s">
        <v>187</v>
      </c>
      <c r="B38" s="197">
        <v>484.58</v>
      </c>
      <c r="D38" s="9"/>
    </row>
    <row r="39" spans="1:4" x14ac:dyDescent="0.25">
      <c r="A39" s="172" t="s">
        <v>183</v>
      </c>
      <c r="B39" s="173">
        <v>528.23</v>
      </c>
      <c r="D39" s="9"/>
    </row>
    <row r="40" spans="1:4" x14ac:dyDescent="0.25">
      <c r="A40" s="196" t="s">
        <v>188</v>
      </c>
      <c r="B40" s="197">
        <v>1141.8</v>
      </c>
      <c r="D40" s="9"/>
    </row>
    <row r="41" spans="1:4" x14ac:dyDescent="0.25">
      <c r="A41" s="172" t="s">
        <v>196</v>
      </c>
      <c r="B41" s="173">
        <v>3640.1800000000003</v>
      </c>
      <c r="D41" s="9"/>
    </row>
    <row r="42" spans="1:4" x14ac:dyDescent="0.25">
      <c r="A42" s="196" t="s">
        <v>194</v>
      </c>
      <c r="B42" s="197">
        <v>1956.88</v>
      </c>
      <c r="D42" s="9"/>
    </row>
    <row r="43" spans="1:4" x14ac:dyDescent="0.25">
      <c r="A43" s="172" t="s">
        <v>191</v>
      </c>
      <c r="B43" s="173">
        <v>0</v>
      </c>
      <c r="D43" s="9"/>
    </row>
    <row r="44" spans="1:4" x14ac:dyDescent="0.25">
      <c r="A44" s="196" t="s">
        <v>193</v>
      </c>
      <c r="B44" s="197">
        <v>1616.06</v>
      </c>
      <c r="D44" s="9"/>
    </row>
    <row r="45" spans="1:4" x14ac:dyDescent="0.25">
      <c r="A45" s="172" t="s">
        <v>197</v>
      </c>
      <c r="B45" s="173">
        <v>598.52</v>
      </c>
      <c r="D45" s="9"/>
    </row>
    <row r="46" spans="1:4" x14ac:dyDescent="0.25">
      <c r="A46" s="196" t="s">
        <v>202</v>
      </c>
      <c r="B46" s="197">
        <v>235</v>
      </c>
      <c r="D46" s="9"/>
    </row>
    <row r="47" spans="1:4" x14ac:dyDescent="0.25">
      <c r="A47" s="172" t="s">
        <v>198</v>
      </c>
      <c r="B47" s="173">
        <v>957</v>
      </c>
      <c r="D47" s="9"/>
    </row>
    <row r="48" spans="1:4" x14ac:dyDescent="0.25">
      <c r="A48" s="196" t="s">
        <v>199</v>
      </c>
      <c r="B48" s="197">
        <v>310</v>
      </c>
      <c r="D48" s="9"/>
    </row>
    <row r="49" spans="1:4" x14ac:dyDescent="0.25">
      <c r="A49" s="172" t="s">
        <v>200</v>
      </c>
      <c r="B49" s="173">
        <v>0</v>
      </c>
      <c r="D49" s="9"/>
    </row>
    <row r="50" spans="1:4" x14ac:dyDescent="0.25">
      <c r="A50" s="196" t="s">
        <v>201</v>
      </c>
      <c r="B50" s="197">
        <v>90</v>
      </c>
      <c r="D50" s="9"/>
    </row>
    <row r="51" spans="1:4" x14ac:dyDescent="0.25">
      <c r="A51" s="172" t="s">
        <v>203</v>
      </c>
      <c r="B51" s="173">
        <v>12930</v>
      </c>
      <c r="D51" s="9"/>
    </row>
    <row r="52" spans="1:4" ht="15.75" thickBot="1" x14ac:dyDescent="0.3">
      <c r="A52" s="174" t="s">
        <v>204</v>
      </c>
      <c r="B52" s="175">
        <f>SUBTOTAL(109,B4:B51)</f>
        <v>156913.06999999995</v>
      </c>
      <c r="D52" s="9"/>
    </row>
    <row r="53" spans="1:4" x14ac:dyDescent="0.25">
      <c r="A53" s="200" t="s">
        <v>205</v>
      </c>
      <c r="B53" s="201">
        <v>1700</v>
      </c>
    </row>
    <row r="54" spans="1:4" x14ac:dyDescent="0.25">
      <c r="A54" s="196" t="s">
        <v>207</v>
      </c>
      <c r="B54" s="197">
        <v>1700</v>
      </c>
    </row>
    <row r="55" spans="1:4" x14ac:dyDescent="0.25">
      <c r="A55" s="172" t="s">
        <v>208</v>
      </c>
      <c r="B55" s="173">
        <v>2000</v>
      </c>
    </row>
    <row r="56" spans="1:4" x14ac:dyDescent="0.25">
      <c r="A56" s="196" t="s">
        <v>209</v>
      </c>
      <c r="B56" s="197">
        <v>500</v>
      </c>
    </row>
    <row r="57" spans="1:4" x14ac:dyDescent="0.25">
      <c r="A57" s="172" t="s">
        <v>210</v>
      </c>
      <c r="B57" s="173">
        <v>2500</v>
      </c>
    </row>
    <row r="58" spans="1:4" x14ac:dyDescent="0.25">
      <c r="A58" s="196" t="s">
        <v>211</v>
      </c>
      <c r="B58" s="197">
        <v>2475</v>
      </c>
    </row>
    <row r="59" spans="1:4" ht="15.75" thickBot="1" x14ac:dyDescent="0.3">
      <c r="A59" s="250" t="s">
        <v>212</v>
      </c>
      <c r="B59" s="251">
        <f>SUM(B53:B58)</f>
        <v>10875</v>
      </c>
    </row>
    <row r="60" spans="1:4" x14ac:dyDescent="0.25">
      <c r="A60" s="198" t="s">
        <v>213</v>
      </c>
      <c r="B60" s="199">
        <v>2050</v>
      </c>
    </row>
    <row r="61" spans="1:4" x14ac:dyDescent="0.25">
      <c r="A61" s="172" t="s">
        <v>215</v>
      </c>
      <c r="B61" s="173">
        <v>10000</v>
      </c>
    </row>
    <row r="62" spans="1:4" x14ac:dyDescent="0.25">
      <c r="A62" s="196" t="s">
        <v>216</v>
      </c>
      <c r="B62" s="197">
        <v>600</v>
      </c>
    </row>
    <row r="63" spans="1:4" x14ac:dyDescent="0.25">
      <c r="A63" s="250" t="s">
        <v>217</v>
      </c>
      <c r="B63" s="251">
        <f>SUM(B60:B62)</f>
        <v>12650</v>
      </c>
    </row>
    <row r="64" spans="1:4" ht="15.75" thickBot="1" x14ac:dyDescent="0.3">
      <c r="A64" s="252" t="s">
        <v>220</v>
      </c>
      <c r="B64" s="253">
        <f>B63+B59+B52</f>
        <v>180438.06999999995</v>
      </c>
    </row>
    <row r="66" spans="1:2" x14ac:dyDescent="0.25">
      <c r="A66" s="135" t="s">
        <v>221</v>
      </c>
      <c r="B66" s="5">
        <v>5000</v>
      </c>
    </row>
    <row r="67" spans="1:2" x14ac:dyDescent="0.25">
      <c r="A67" s="135" t="s">
        <v>222</v>
      </c>
      <c r="B67" s="5">
        <v>11000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394B-CA6F-47CD-BE04-8B8CB110DEB2}">
  <sheetPr codeName="Sheet9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228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8834.11</v>
      </c>
      <c r="E9" s="9"/>
    </row>
    <row r="10" spans="1:5" x14ac:dyDescent="0.25">
      <c r="A10" s="204" t="s">
        <v>159</v>
      </c>
      <c r="B10" s="205">
        <v>3618.35</v>
      </c>
      <c r="E10" s="9"/>
    </row>
    <row r="11" spans="1:5" x14ac:dyDescent="0.25">
      <c r="A11" s="3" t="s">
        <v>157</v>
      </c>
      <c r="B11" s="7">
        <v>3970.4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8890.8000000000011</v>
      </c>
      <c r="E13" s="9"/>
    </row>
    <row r="14" spans="1:5" x14ac:dyDescent="0.25">
      <c r="A14" s="204" t="s">
        <v>169</v>
      </c>
      <c r="B14" s="205">
        <v>242</v>
      </c>
      <c r="E14" s="9"/>
    </row>
    <row r="15" spans="1:5" x14ac:dyDescent="0.25">
      <c r="A15" s="3" t="s">
        <v>166</v>
      </c>
      <c r="B15" s="7">
        <v>2123.41</v>
      </c>
      <c r="E15" s="9"/>
    </row>
    <row r="16" spans="1:5" x14ac:dyDescent="0.25">
      <c r="A16" s="204" t="s">
        <v>163</v>
      </c>
      <c r="B16" s="205">
        <v>3690.25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1794.95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4091.57</v>
      </c>
      <c r="E20" s="9"/>
    </row>
    <row r="21" spans="1:5" x14ac:dyDescent="0.25">
      <c r="A21" s="3" t="s">
        <v>165</v>
      </c>
      <c r="B21" s="7">
        <v>2845</v>
      </c>
      <c r="E21" s="9"/>
    </row>
    <row r="22" spans="1:5" x14ac:dyDescent="0.25">
      <c r="A22" s="204" t="s">
        <v>172</v>
      </c>
      <c r="B22" s="205">
        <v>10200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6948.8799999999992</v>
      </c>
      <c r="E24" s="9"/>
    </row>
    <row r="25" spans="1:5" x14ac:dyDescent="0.25">
      <c r="A25" s="3" t="s">
        <v>192</v>
      </c>
      <c r="B25" s="7">
        <v>656.54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12111</v>
      </c>
      <c r="E27" s="9"/>
    </row>
    <row r="28" spans="1:5" x14ac:dyDescent="0.25">
      <c r="A28" s="204" t="s">
        <v>176</v>
      </c>
      <c r="B28" s="205">
        <v>3642</v>
      </c>
      <c r="E28" s="9"/>
    </row>
    <row r="29" spans="1:5" x14ac:dyDescent="0.25">
      <c r="A29" s="3" t="s">
        <v>177</v>
      </c>
      <c r="B29" s="7">
        <v>4177.97</v>
      </c>
      <c r="E29" s="9"/>
    </row>
    <row r="30" spans="1:5" x14ac:dyDescent="0.25">
      <c r="A30" s="204" t="s">
        <v>178</v>
      </c>
      <c r="B30" s="205">
        <v>4244.22</v>
      </c>
      <c r="E30" s="9"/>
    </row>
    <row r="31" spans="1:5" x14ac:dyDescent="0.25">
      <c r="A31" s="3" t="s">
        <v>190</v>
      </c>
      <c r="B31" s="7">
        <v>4976.59</v>
      </c>
      <c r="E31" s="9"/>
    </row>
    <row r="32" spans="1:5" x14ac:dyDescent="0.25">
      <c r="A32" s="196" t="s">
        <v>182</v>
      </c>
      <c r="B32" s="205">
        <v>3740</v>
      </c>
      <c r="E32" s="9"/>
    </row>
    <row r="33" spans="1:5" x14ac:dyDescent="0.25">
      <c r="A33" s="3" t="s">
        <v>180</v>
      </c>
      <c r="B33" s="7">
        <v>2835.44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2680</v>
      </c>
      <c r="E35" s="9"/>
    </row>
    <row r="36" spans="1:5" x14ac:dyDescent="0.25">
      <c r="A36" s="204" t="s">
        <v>184</v>
      </c>
      <c r="B36" s="205">
        <v>535.6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449.17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2413.91</v>
      </c>
      <c r="E41" s="9"/>
    </row>
    <row r="42" spans="1:5" x14ac:dyDescent="0.25">
      <c r="A42" s="204" t="s">
        <v>194</v>
      </c>
      <c r="B42" s="205">
        <v>1707.75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477.38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1212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9662.5</v>
      </c>
      <c r="E51" s="9"/>
    </row>
    <row r="52" spans="1:5" ht="15.75" thickBot="1" x14ac:dyDescent="0.3">
      <c r="A52" s="206" t="s">
        <v>204</v>
      </c>
      <c r="B52" s="207">
        <f>SUBTOTAL(109,B4:B51)</f>
        <v>124030.98000000001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147555.98000000001</v>
      </c>
    </row>
    <row r="66" spans="1:2" x14ac:dyDescent="0.25">
      <c r="A66" s="135" t="s">
        <v>221</v>
      </c>
      <c r="B66" s="5">
        <v>4000</v>
      </c>
    </row>
    <row r="67" spans="1:2" x14ac:dyDescent="0.25">
      <c r="A67" s="135" t="s">
        <v>222</v>
      </c>
      <c r="B67" s="5">
        <v>8300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7611-6EC3-4E4D-8469-371F865B318F}">
  <sheetPr codeName="Sheet10"/>
  <dimension ref="A1:E68"/>
  <sheetViews>
    <sheetView topLeftCell="A31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4" max="4" width="23" bestFit="1" customWidth="1"/>
    <col min="5" max="5" width="12.42578125" customWidth="1"/>
  </cols>
  <sheetData>
    <row r="1" spans="1:5" ht="18.75" x14ac:dyDescent="0.3">
      <c r="A1" s="1" t="s">
        <v>229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9421.1200000000008</v>
      </c>
      <c r="E9" s="9"/>
    </row>
    <row r="10" spans="1:5" x14ac:dyDescent="0.25">
      <c r="A10" s="204" t="s">
        <v>159</v>
      </c>
      <c r="B10" s="205">
        <v>4454.8900000000003</v>
      </c>
      <c r="E10" s="9"/>
    </row>
    <row r="11" spans="1:5" x14ac:dyDescent="0.25">
      <c r="A11" s="3" t="s">
        <v>157</v>
      </c>
      <c r="B11" s="7">
        <v>5271.22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9630</v>
      </c>
      <c r="E13" s="9"/>
    </row>
    <row r="14" spans="1:5" x14ac:dyDescent="0.25">
      <c r="A14" s="204" t="s">
        <v>169</v>
      </c>
      <c r="B14" s="205">
        <v>286</v>
      </c>
      <c r="C14" t="b">
        <f t="shared" ref="C14:C45" si="0">D14=A14</f>
        <v>0</v>
      </c>
      <c r="D14" t="str">
        <f>'MODEL SUMMARY'!A14</f>
        <v>I-Joist/EWP</v>
      </c>
      <c r="E14" s="9">
        <f ca="1">'MODEL SUMMARY'!H14</f>
        <v>0</v>
      </c>
    </row>
    <row r="15" spans="1:5" x14ac:dyDescent="0.25">
      <c r="A15" s="3" t="s">
        <v>166</v>
      </c>
      <c r="B15" s="7">
        <v>2506.13</v>
      </c>
      <c r="C15" t="b">
        <f t="shared" si="0"/>
        <v>0</v>
      </c>
      <c r="D15" t="str">
        <f>'MODEL SUMMARY'!A15</f>
        <v>Roofing Shingle</v>
      </c>
      <c r="E15" s="9">
        <f ca="1">'MODEL SUMMARY'!H15</f>
        <v>0</v>
      </c>
    </row>
    <row r="16" spans="1:5" x14ac:dyDescent="0.25">
      <c r="A16" s="204" t="s">
        <v>163</v>
      </c>
      <c r="B16" s="205">
        <v>3672.91</v>
      </c>
      <c r="C16" t="b">
        <f t="shared" si="0"/>
        <v>0</v>
      </c>
      <c r="D16" t="str">
        <f>'MODEL SUMMARY'!A16</f>
        <v>Roofing Metal</v>
      </c>
      <c r="E16" s="9">
        <f ca="1">'MODEL SUMMARY'!H16</f>
        <v>0</v>
      </c>
    </row>
    <row r="17" spans="1:5" x14ac:dyDescent="0.25">
      <c r="A17" s="3" t="s">
        <v>168</v>
      </c>
      <c r="B17" s="7">
        <v>173</v>
      </c>
      <c r="C17" t="b">
        <f t="shared" si="0"/>
        <v>0</v>
      </c>
      <c r="D17" t="str">
        <f>'MODEL SUMMARY'!A17</f>
        <v>Roofing Labor &amp; Material</v>
      </c>
      <c r="E17" s="9">
        <f ca="1">'MODEL SUMMARY'!H17</f>
        <v>3672.91</v>
      </c>
    </row>
    <row r="18" spans="1:5" x14ac:dyDescent="0.25">
      <c r="A18" s="204" t="s">
        <v>167</v>
      </c>
      <c r="B18" s="205">
        <v>1832.73</v>
      </c>
      <c r="C18" t="b">
        <f t="shared" si="0"/>
        <v>0</v>
      </c>
      <c r="D18" t="str">
        <f>'MODEL SUMMARY'!A18</f>
        <v>Siding Material</v>
      </c>
      <c r="E18" s="9">
        <f ca="1">'MODEL SUMMARY'!H18</f>
        <v>5034.13</v>
      </c>
    </row>
    <row r="19" spans="1:5" x14ac:dyDescent="0.25">
      <c r="A19" s="3" t="s">
        <v>170</v>
      </c>
      <c r="B19" s="7">
        <v>1600</v>
      </c>
      <c r="C19" t="b">
        <f t="shared" si="0"/>
        <v>0</v>
      </c>
      <c r="D19" t="str">
        <f>'MODEL SUMMARY'!A19</f>
        <v>Siding Labor</v>
      </c>
      <c r="E19" s="9">
        <f ca="1">'MODEL SUMMARY'!H19</f>
        <v>3140</v>
      </c>
    </row>
    <row r="20" spans="1:5" x14ac:dyDescent="0.25">
      <c r="A20" s="204" t="s">
        <v>164</v>
      </c>
      <c r="B20" s="205">
        <v>5034.13</v>
      </c>
      <c r="C20" t="b">
        <f t="shared" si="0"/>
        <v>0</v>
      </c>
      <c r="D20" t="str">
        <f>'MODEL SUMMARY'!A20</f>
        <v>Window Material</v>
      </c>
      <c r="E20" s="9">
        <f ca="1">'MODEL SUMMARY'!H20</f>
        <v>2506.13</v>
      </c>
    </row>
    <row r="21" spans="1:5" x14ac:dyDescent="0.25">
      <c r="A21" s="3" t="s">
        <v>165</v>
      </c>
      <c r="B21" s="7">
        <v>3140</v>
      </c>
      <c r="C21" t="b">
        <f t="shared" si="0"/>
        <v>0</v>
      </c>
      <c r="D21" t="str">
        <f>'MODEL SUMMARY'!A21</f>
        <v>Exterior Door Material</v>
      </c>
      <c r="E21" s="9">
        <f ca="1">'MODEL SUMMARY'!H21</f>
        <v>1832.73</v>
      </c>
    </row>
    <row r="22" spans="1:5" x14ac:dyDescent="0.25">
      <c r="A22" s="204" t="s">
        <v>172</v>
      </c>
      <c r="B22" s="205">
        <v>10400</v>
      </c>
      <c r="C22" t="b">
        <f t="shared" si="0"/>
        <v>0</v>
      </c>
      <c r="D22" t="str">
        <f>'MODEL SUMMARY'!A22</f>
        <v>Exterior Door Labor</v>
      </c>
      <c r="E22" s="9">
        <f ca="1">'MODEL SUMMARY'!H22</f>
        <v>173</v>
      </c>
    </row>
    <row r="23" spans="1:5" x14ac:dyDescent="0.25">
      <c r="A23" s="3" t="s">
        <v>174</v>
      </c>
      <c r="B23" s="7">
        <v>300.11</v>
      </c>
      <c r="C23" t="b">
        <f t="shared" si="0"/>
        <v>0</v>
      </c>
      <c r="D23" t="str">
        <f>'MODEL SUMMARY'!A23</f>
        <v>Windows Labor</v>
      </c>
      <c r="E23" s="9">
        <f ca="1">'MODEL SUMMARY'!H23</f>
        <v>286</v>
      </c>
    </row>
    <row r="24" spans="1:5" x14ac:dyDescent="0.25">
      <c r="A24" s="204" t="s">
        <v>173</v>
      </c>
      <c r="B24" s="205">
        <v>7859.7699999999995</v>
      </c>
      <c r="C24" t="b">
        <f t="shared" si="0"/>
        <v>0</v>
      </c>
      <c r="D24" t="str">
        <f>'MODEL SUMMARY'!A24</f>
        <v>Garage Door Labor &amp; Material</v>
      </c>
      <c r="E24" s="9">
        <f ca="1">'MODEL SUMMARY'!H24</f>
        <v>1600</v>
      </c>
    </row>
    <row r="25" spans="1:5" x14ac:dyDescent="0.25">
      <c r="A25" s="3" t="s">
        <v>192</v>
      </c>
      <c r="B25" s="7">
        <v>624.04</v>
      </c>
      <c r="C25" t="b">
        <f t="shared" si="0"/>
        <v>0</v>
      </c>
      <c r="D25" t="str">
        <f>'MODEL SUMMARY'!A25</f>
        <v>Plumbing Turnkey</v>
      </c>
      <c r="E25" s="9">
        <f ca="1">'MODEL SUMMARY'!H25</f>
        <v>12337</v>
      </c>
    </row>
    <row r="26" spans="1:5" x14ac:dyDescent="0.25">
      <c r="A26" s="204" t="s">
        <v>175</v>
      </c>
      <c r="B26" s="205">
        <v>0</v>
      </c>
      <c r="C26" t="b">
        <f t="shared" si="0"/>
        <v>0</v>
      </c>
      <c r="D26" t="str">
        <f>'MODEL SUMMARY'!A26</f>
        <v>HVAC</v>
      </c>
      <c r="E26" s="9">
        <f ca="1">'MODEL SUMMARY'!H26</f>
        <v>10400</v>
      </c>
    </row>
    <row r="27" spans="1:5" x14ac:dyDescent="0.25">
      <c r="A27" s="3" t="s">
        <v>171</v>
      </c>
      <c r="B27" s="7">
        <v>12337</v>
      </c>
      <c r="C27" t="b">
        <f t="shared" si="0"/>
        <v>0</v>
      </c>
      <c r="D27" t="str">
        <f>'MODEL SUMMARY'!A27</f>
        <v>Electrical Rough &amp; Trim</v>
      </c>
      <c r="E27" s="9">
        <f ca="1">'MODEL SUMMARY'!H27</f>
        <v>7859.7699999999995</v>
      </c>
    </row>
    <row r="28" spans="1:5" x14ac:dyDescent="0.25">
      <c r="A28" s="204" t="s">
        <v>176</v>
      </c>
      <c r="B28" s="205">
        <v>3671</v>
      </c>
      <c r="C28" t="b">
        <f t="shared" si="0"/>
        <v>0</v>
      </c>
      <c r="D28" t="str">
        <f>'MODEL SUMMARY'!A28</f>
        <v>Blower Test</v>
      </c>
      <c r="E28" s="9">
        <f ca="1">'MODEL SUMMARY'!H28</f>
        <v>300.11</v>
      </c>
    </row>
    <row r="29" spans="1:5" x14ac:dyDescent="0.25">
      <c r="A29" s="3" t="s">
        <v>177</v>
      </c>
      <c r="B29" s="7">
        <v>4637.3999999999996</v>
      </c>
      <c r="C29" t="b">
        <f t="shared" si="0"/>
        <v>0</v>
      </c>
      <c r="D29" t="str">
        <f>'MODEL SUMMARY'!A29</f>
        <v>Low Voltage/AV</v>
      </c>
      <c r="E29" s="9">
        <f ca="1">'MODEL SUMMARY'!H29</f>
        <v>0</v>
      </c>
    </row>
    <row r="30" spans="1:5" x14ac:dyDescent="0.25">
      <c r="A30" s="204" t="s">
        <v>178</v>
      </c>
      <c r="B30" s="205">
        <v>4684.8599999999997</v>
      </c>
      <c r="C30" t="b">
        <f t="shared" si="0"/>
        <v>0</v>
      </c>
      <c r="D30" t="str">
        <f>'MODEL SUMMARY'!A30</f>
        <v>Insulation</v>
      </c>
      <c r="E30" s="9">
        <f ca="1">'MODEL SUMMARY'!H30</f>
        <v>3671</v>
      </c>
    </row>
    <row r="31" spans="1:5" x14ac:dyDescent="0.25">
      <c r="A31" s="3" t="s">
        <v>190</v>
      </c>
      <c r="B31" s="7">
        <v>5682.59</v>
      </c>
      <c r="C31" t="b">
        <f t="shared" si="0"/>
        <v>0</v>
      </c>
      <c r="D31" t="str">
        <f>'MODEL SUMMARY'!A31</f>
        <v>Drywall Material</v>
      </c>
      <c r="E31" s="9">
        <f ca="1">'MODEL SUMMARY'!H31</f>
        <v>4637.3999999999996</v>
      </c>
    </row>
    <row r="32" spans="1:5" x14ac:dyDescent="0.25">
      <c r="A32" s="196" t="s">
        <v>182</v>
      </c>
      <c r="B32" s="205">
        <v>4384</v>
      </c>
      <c r="C32" t="b">
        <f t="shared" si="0"/>
        <v>0</v>
      </c>
      <c r="D32" t="str">
        <f>'MODEL SUMMARY'!A32</f>
        <v>Drywall Labor</v>
      </c>
      <c r="E32" s="9">
        <f ca="1">'MODEL SUMMARY'!H32</f>
        <v>4684.8599999999997</v>
      </c>
    </row>
    <row r="33" spans="1:5" x14ac:dyDescent="0.25">
      <c r="A33" s="3" t="s">
        <v>180</v>
      </c>
      <c r="B33" s="7">
        <v>3151.92</v>
      </c>
      <c r="C33" t="b">
        <f t="shared" si="0"/>
        <v>0</v>
      </c>
      <c r="D33" t="str">
        <f>'MODEL SUMMARY'!A33</f>
        <v>Exterior Paint Labor &amp; Material</v>
      </c>
      <c r="E33" s="9">
        <f ca="1">'MODEL SUMMARY'!H33</f>
        <v>75</v>
      </c>
    </row>
    <row r="34" spans="1:5" x14ac:dyDescent="0.25">
      <c r="A34" s="204" t="s">
        <v>179</v>
      </c>
      <c r="B34" s="205">
        <v>75</v>
      </c>
      <c r="C34" t="b">
        <f t="shared" si="0"/>
        <v>0</v>
      </c>
      <c r="D34" t="str">
        <f>'MODEL SUMMARY'!A34</f>
        <v>Interior Paint</v>
      </c>
      <c r="E34" s="9">
        <f ca="1">'MODEL SUMMARY'!H34</f>
        <v>3151.92</v>
      </c>
    </row>
    <row r="35" spans="1:5" x14ac:dyDescent="0.25">
      <c r="A35" s="3" t="s">
        <v>189</v>
      </c>
      <c r="B35" s="7">
        <v>3588</v>
      </c>
      <c r="C35" t="b">
        <f t="shared" si="0"/>
        <v>0</v>
      </c>
      <c r="D35" t="str">
        <f>'MODEL SUMMARY'!A35</f>
        <v>Interior Trim Material</v>
      </c>
      <c r="E35" s="9">
        <f ca="1">'MODEL SUMMARY'!H35</f>
        <v>0</v>
      </c>
    </row>
    <row r="36" spans="1:5" x14ac:dyDescent="0.25">
      <c r="A36" s="204" t="s">
        <v>184</v>
      </c>
      <c r="B36" s="205">
        <v>511.6</v>
      </c>
      <c r="C36" t="b">
        <f t="shared" si="0"/>
        <v>0</v>
      </c>
      <c r="D36" t="str">
        <f>'MODEL SUMMARY'!A36</f>
        <v>Interior Trim Turnkey</v>
      </c>
      <c r="E36" s="9">
        <f ca="1">'MODEL SUMMARY'!H36</f>
        <v>4384</v>
      </c>
    </row>
    <row r="37" spans="1:5" x14ac:dyDescent="0.25">
      <c r="A37" s="3" t="s">
        <v>186</v>
      </c>
      <c r="B37" s="7">
        <v>689.96</v>
      </c>
      <c r="C37" t="b">
        <f t="shared" si="0"/>
        <v>0</v>
      </c>
      <c r="D37" t="str">
        <f>'MODEL SUMMARY'!A37</f>
        <v>Door Hardware</v>
      </c>
      <c r="E37" s="9">
        <f ca="1">'MODEL SUMMARY'!H37</f>
        <v>506.7</v>
      </c>
    </row>
    <row r="38" spans="1:5" x14ac:dyDescent="0.25">
      <c r="A38" s="204" t="s">
        <v>187</v>
      </c>
      <c r="B38" s="205">
        <v>423.27</v>
      </c>
      <c r="C38" t="b">
        <f t="shared" si="0"/>
        <v>0</v>
      </c>
      <c r="D38" t="str">
        <f>'MODEL SUMMARY'!A38</f>
        <v>Shelving</v>
      </c>
      <c r="E38" s="9">
        <f ca="1">'MODEL SUMMARY'!H38</f>
        <v>511.6</v>
      </c>
    </row>
    <row r="39" spans="1:5" x14ac:dyDescent="0.25">
      <c r="A39" s="3" t="s">
        <v>183</v>
      </c>
      <c r="B39" s="7">
        <v>506.7</v>
      </c>
      <c r="C39" t="b">
        <f t="shared" si="0"/>
        <v>0</v>
      </c>
      <c r="D39" t="str">
        <f>'MODEL SUMMARY'!A39</f>
        <v>Interior Trim Labor</v>
      </c>
      <c r="E39" s="9">
        <f ca="1">'MODEL SUMMARY'!H39</f>
        <v>0</v>
      </c>
    </row>
    <row r="40" spans="1:5" x14ac:dyDescent="0.25">
      <c r="A40" s="204" t="s">
        <v>188</v>
      </c>
      <c r="B40" s="205">
        <v>695.9</v>
      </c>
      <c r="C40" t="b">
        <f t="shared" si="0"/>
        <v>0</v>
      </c>
      <c r="D40" t="str">
        <f>'MODEL SUMMARY'!A40</f>
        <v>Mirrors</v>
      </c>
      <c r="E40" s="9">
        <f ca="1">'MODEL SUMMARY'!H40</f>
        <v>689.96</v>
      </c>
    </row>
    <row r="41" spans="1:5" x14ac:dyDescent="0.25">
      <c r="A41" s="3" t="s">
        <v>196</v>
      </c>
      <c r="B41" s="7">
        <v>2647.51</v>
      </c>
      <c r="C41" t="b">
        <f t="shared" si="0"/>
        <v>0</v>
      </c>
      <c r="D41" t="str">
        <f>'MODEL SUMMARY'!A41</f>
        <v>Bath Accessories</v>
      </c>
      <c r="E41" s="9">
        <f ca="1">'MODEL SUMMARY'!H41</f>
        <v>423.27</v>
      </c>
    </row>
    <row r="42" spans="1:5" x14ac:dyDescent="0.25">
      <c r="A42" s="204" t="s">
        <v>194</v>
      </c>
      <c r="B42" s="205">
        <v>1899.5</v>
      </c>
      <c r="C42" t="b">
        <f t="shared" si="0"/>
        <v>0</v>
      </c>
      <c r="D42" t="str">
        <f>'MODEL SUMMARY'!A42</f>
        <v>Shower Door</v>
      </c>
      <c r="E42" s="9">
        <f ca="1">'MODEL SUMMARY'!H42</f>
        <v>695.9</v>
      </c>
    </row>
    <row r="43" spans="1:5" x14ac:dyDescent="0.25">
      <c r="A43" s="3" t="s">
        <v>191</v>
      </c>
      <c r="B43" s="7">
        <v>0</v>
      </c>
      <c r="C43" t="b">
        <f t="shared" si="0"/>
        <v>0</v>
      </c>
      <c r="D43" t="str">
        <f>'MODEL SUMMARY'!A43</f>
        <v>Countertops</v>
      </c>
      <c r="E43" s="9">
        <f ca="1">'MODEL SUMMARY'!H43</f>
        <v>3588</v>
      </c>
    </row>
    <row r="44" spans="1:5" x14ac:dyDescent="0.25">
      <c r="A44" s="204" t="s">
        <v>193</v>
      </c>
      <c r="B44" s="205">
        <v>1616.06</v>
      </c>
      <c r="C44" t="b">
        <f t="shared" si="0"/>
        <v>0</v>
      </c>
      <c r="D44" t="str">
        <f>'MODEL SUMMARY'!A44</f>
        <v>Cabinet Labor &amp; Material</v>
      </c>
      <c r="E44" s="9">
        <f ca="1">'MODEL SUMMARY'!H44</f>
        <v>5682.59</v>
      </c>
    </row>
    <row r="45" spans="1:5" x14ac:dyDescent="0.25">
      <c r="A45" s="3" t="s">
        <v>197</v>
      </c>
      <c r="B45" s="7">
        <v>328.34</v>
      </c>
      <c r="C45" t="b">
        <f t="shared" si="0"/>
        <v>0</v>
      </c>
      <c r="D45" t="str">
        <f>'MODEL SUMMARY'!A45</f>
        <v>Tile Labor &amp; Material</v>
      </c>
      <c r="E45" s="9">
        <f ca="1">'MODEL SUMMARY'!H45</f>
        <v>0</v>
      </c>
    </row>
    <row r="46" spans="1:5" x14ac:dyDescent="0.25">
      <c r="A46" s="204" t="s">
        <v>202</v>
      </c>
      <c r="B46" s="205">
        <v>235</v>
      </c>
      <c r="D46" t="str">
        <f>'MODEL SUMMARY'!A46</f>
        <v>Light Fixtures</v>
      </c>
      <c r="E46" s="9">
        <f ca="1">'MODEL SUMMARY'!H46</f>
        <v>624.04</v>
      </c>
    </row>
    <row r="47" spans="1:5" x14ac:dyDescent="0.25">
      <c r="A47" s="3" t="s">
        <v>198</v>
      </c>
      <c r="B47" s="7">
        <v>858</v>
      </c>
      <c r="D47" t="str">
        <f>'MODEL SUMMARY'!A47</f>
        <v>Appliances</v>
      </c>
      <c r="E47" s="9">
        <f ca="1">'MODEL SUMMARY'!H47</f>
        <v>1616.06</v>
      </c>
    </row>
    <row r="48" spans="1:5" x14ac:dyDescent="0.25">
      <c r="A48" s="204" t="s">
        <v>199</v>
      </c>
      <c r="B48" s="205">
        <v>310</v>
      </c>
      <c r="D48" t="str">
        <f>'MODEL SUMMARY'!A48</f>
        <v>Carpet Labor &amp; Material</v>
      </c>
      <c r="E48" s="9">
        <f ca="1">'MODEL SUMMARY'!H48</f>
        <v>1899.5</v>
      </c>
    </row>
    <row r="49" spans="1:5" x14ac:dyDescent="0.25">
      <c r="A49" s="3" t="s">
        <v>200</v>
      </c>
      <c r="B49" s="7">
        <v>0</v>
      </c>
      <c r="D49" t="str">
        <f>'MODEL SUMMARY'!A49</f>
        <v>Hardwood Labor &amp; Material</v>
      </c>
      <c r="E49" s="9">
        <f ca="1">'MODEL SUMMARY'!H49</f>
        <v>0</v>
      </c>
    </row>
    <row r="50" spans="1:5" x14ac:dyDescent="0.25">
      <c r="A50" s="204" t="s">
        <v>201</v>
      </c>
      <c r="B50" s="205">
        <v>90</v>
      </c>
      <c r="D50" t="str">
        <f>'MODEL SUMMARY'!A50</f>
        <v>LVP Labor &amp; Material</v>
      </c>
      <c r="E50" s="9">
        <f ca="1">'MODEL SUMMARY'!H50</f>
        <v>2647.51</v>
      </c>
    </row>
    <row r="51" spans="1:5" x14ac:dyDescent="0.25">
      <c r="A51" s="3" t="s">
        <v>203</v>
      </c>
      <c r="B51" s="7">
        <v>9940</v>
      </c>
      <c r="D51" t="str">
        <f>'MODEL SUMMARY'!A51</f>
        <v>Interior Clean</v>
      </c>
      <c r="E51" s="9">
        <f ca="1">'MODEL SUMMARY'!H51</f>
        <v>328.34</v>
      </c>
    </row>
    <row r="52" spans="1:5" ht="15.75" thickBot="1" x14ac:dyDescent="0.3">
      <c r="A52" s="206" t="s">
        <v>204</v>
      </c>
      <c r="B52" s="207">
        <f>SUBTOTAL(109,B4:B51)</f>
        <v>134200.25</v>
      </c>
      <c r="D52" t="str">
        <f>'MODEL SUMMARY'!A52</f>
        <v>Gutters</v>
      </c>
      <c r="E52" s="9">
        <f ca="1">'MODEL SUMMARY'!H52</f>
        <v>858</v>
      </c>
    </row>
    <row r="53" spans="1:5" x14ac:dyDescent="0.25">
      <c r="A53" s="2" t="s">
        <v>205</v>
      </c>
      <c r="B53" s="6">
        <v>1700</v>
      </c>
      <c r="D53" t="str">
        <f>'MODEL SUMMARY'!A53</f>
        <v>QI Inspection</v>
      </c>
      <c r="E53" s="9">
        <f ca="1">'MODEL SUMMARY'!H53</f>
        <v>310</v>
      </c>
    </row>
    <row r="54" spans="1:5" x14ac:dyDescent="0.25">
      <c r="A54" s="204" t="s">
        <v>207</v>
      </c>
      <c r="B54" s="205">
        <v>1700</v>
      </c>
      <c r="D54" t="str">
        <f>'MODEL SUMMARY'!A54</f>
        <v>Deck</v>
      </c>
      <c r="E54" s="9">
        <f ca="1">'MODEL SUMMARY'!H54</f>
        <v>0</v>
      </c>
    </row>
    <row r="55" spans="1:5" x14ac:dyDescent="0.25">
      <c r="A55" s="3" t="s">
        <v>208</v>
      </c>
      <c r="B55" s="7">
        <v>2000</v>
      </c>
      <c r="D55" t="str">
        <f>'MODEL SUMMARY'!A55</f>
        <v>Mailbox</v>
      </c>
      <c r="E55" s="9">
        <f ca="1">'MODEL SUMMARY'!H55</f>
        <v>90</v>
      </c>
    </row>
    <row r="56" spans="1:5" x14ac:dyDescent="0.25">
      <c r="A56" s="204" t="s">
        <v>209</v>
      </c>
      <c r="B56" s="205">
        <v>500</v>
      </c>
      <c r="D56" t="str">
        <f>'MODEL SUMMARY'!A56</f>
        <v>Pressure Wash</v>
      </c>
      <c r="E56" s="9">
        <f ca="1">'MODEL SUMMARY'!H56</f>
        <v>235</v>
      </c>
    </row>
    <row r="57" spans="1:5" x14ac:dyDescent="0.25">
      <c r="A57" s="3" t="s">
        <v>210</v>
      </c>
      <c r="B57" s="7">
        <v>2500</v>
      </c>
      <c r="D57" t="str">
        <f>'MODEL SUMMARY'!A57</f>
        <v>Foundation</v>
      </c>
      <c r="E57" s="9">
        <f ca="1">'MODEL SUMMARY'!H57</f>
        <v>9940</v>
      </c>
    </row>
    <row r="58" spans="1:5" x14ac:dyDescent="0.25">
      <c r="A58" s="204" t="s">
        <v>211</v>
      </c>
      <c r="B58" s="205">
        <v>2475</v>
      </c>
      <c r="D58" t="str">
        <f>'MODEL SUMMARY'!A58</f>
        <v>Sticks &amp; Bricks Subtotal</v>
      </c>
      <c r="E58" s="9">
        <f ca="1">'MODEL SUMMARY'!H58</f>
        <v>134200.25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157725.25</v>
      </c>
    </row>
    <row r="66" spans="1:2" x14ac:dyDescent="0.25">
      <c r="A66" s="135" t="s">
        <v>221</v>
      </c>
      <c r="B66" s="5">
        <v>4450</v>
      </c>
    </row>
    <row r="67" spans="1:2" x14ac:dyDescent="0.25">
      <c r="A67" s="135" t="s">
        <v>222</v>
      </c>
      <c r="B67" s="5">
        <v>9100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E7CC-8AA7-4D0E-B231-304598D2B558}">
  <sheetPr codeName="Sheet11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230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11034.64</v>
      </c>
      <c r="E9" s="9"/>
    </row>
    <row r="10" spans="1:5" x14ac:dyDescent="0.25">
      <c r="A10" s="204" t="s">
        <v>159</v>
      </c>
      <c r="B10" s="205">
        <v>5406</v>
      </c>
      <c r="E10" s="9"/>
    </row>
    <row r="11" spans="1:5" x14ac:dyDescent="0.25">
      <c r="A11" s="3" t="s">
        <v>157</v>
      </c>
      <c r="B11" s="7">
        <v>5587.26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10848</v>
      </c>
      <c r="E13" s="9"/>
    </row>
    <row r="14" spans="1:5" x14ac:dyDescent="0.25">
      <c r="A14" s="204" t="s">
        <v>169</v>
      </c>
      <c r="B14" s="205">
        <v>370</v>
      </c>
      <c r="E14" s="9"/>
    </row>
    <row r="15" spans="1:5" x14ac:dyDescent="0.25">
      <c r="A15" s="3" t="s">
        <v>166</v>
      </c>
      <c r="B15" s="7">
        <v>3898.44</v>
      </c>
      <c r="E15" s="9"/>
    </row>
    <row r="16" spans="1:5" x14ac:dyDescent="0.25">
      <c r="A16" s="204" t="s">
        <v>163</v>
      </c>
      <c r="B16" s="205">
        <v>4800.96</v>
      </c>
      <c r="E16" s="9"/>
    </row>
    <row r="17" spans="1:5" x14ac:dyDescent="0.25">
      <c r="A17" s="3" t="s">
        <v>168</v>
      </c>
      <c r="B17" s="7">
        <v>180</v>
      </c>
      <c r="E17" s="9"/>
    </row>
    <row r="18" spans="1:5" x14ac:dyDescent="0.25">
      <c r="A18" s="204" t="s">
        <v>167</v>
      </c>
      <c r="B18" s="205">
        <v>1473.29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4829.82</v>
      </c>
      <c r="E20" s="9"/>
    </row>
    <row r="21" spans="1:5" x14ac:dyDescent="0.25">
      <c r="A21" s="3" t="s">
        <v>165</v>
      </c>
      <c r="B21" s="7">
        <v>3350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8989.73</v>
      </c>
      <c r="E24" s="9"/>
    </row>
    <row r="25" spans="1:5" x14ac:dyDescent="0.25">
      <c r="A25" s="3" t="s">
        <v>192</v>
      </c>
      <c r="B25" s="7">
        <v>614.82000000000005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12111</v>
      </c>
      <c r="E27" s="9"/>
    </row>
    <row r="28" spans="1:5" x14ac:dyDescent="0.25">
      <c r="A28" s="204" t="s">
        <v>176</v>
      </c>
      <c r="B28" s="205">
        <v>3382</v>
      </c>
      <c r="E28" s="9"/>
    </row>
    <row r="29" spans="1:5" x14ac:dyDescent="0.25">
      <c r="A29" s="3" t="s">
        <v>177</v>
      </c>
      <c r="B29" s="7">
        <v>4800.1400000000003</v>
      </c>
      <c r="E29" s="9"/>
    </row>
    <row r="30" spans="1:5" x14ac:dyDescent="0.25">
      <c r="A30" s="204" t="s">
        <v>178</v>
      </c>
      <c r="B30" s="205">
        <v>4779.72</v>
      </c>
      <c r="E30" s="9"/>
    </row>
    <row r="31" spans="1:5" x14ac:dyDescent="0.25">
      <c r="A31" s="3" t="s">
        <v>190</v>
      </c>
      <c r="B31" s="7">
        <v>4720</v>
      </c>
      <c r="E31" s="9"/>
    </row>
    <row r="32" spans="1:5" x14ac:dyDescent="0.25">
      <c r="A32" s="196" t="s">
        <v>182</v>
      </c>
      <c r="B32" s="205">
        <v>4645</v>
      </c>
      <c r="E32" s="9"/>
    </row>
    <row r="33" spans="1:5" x14ac:dyDescent="0.25">
      <c r="A33" s="3" t="s">
        <v>180</v>
      </c>
      <c r="B33" s="7">
        <v>3680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3530</v>
      </c>
      <c r="E35" s="9"/>
    </row>
    <row r="36" spans="1:5" x14ac:dyDescent="0.25">
      <c r="A36" s="204" t="s">
        <v>184</v>
      </c>
      <c r="B36" s="205">
        <v>607.29999999999995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452.2</v>
      </c>
      <c r="E38" s="9"/>
    </row>
    <row r="39" spans="1:5" x14ac:dyDescent="0.25">
      <c r="A39" s="3" t="s">
        <v>183</v>
      </c>
      <c r="B39" s="7">
        <v>567.04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3414.7200000000003</v>
      </c>
      <c r="E41" s="9"/>
    </row>
    <row r="42" spans="1:5" x14ac:dyDescent="0.25">
      <c r="A42" s="204" t="s">
        <v>194</v>
      </c>
      <c r="B42" s="205">
        <v>2194.5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560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1396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11065</v>
      </c>
      <c r="E51" s="9"/>
    </row>
    <row r="52" spans="1:5" ht="15.75" thickBot="1" x14ac:dyDescent="0.3">
      <c r="A52" s="206" t="s">
        <v>204</v>
      </c>
      <c r="B52" s="207">
        <f>SUBTOTAL(109,B4:B51)</f>
        <v>144355.20000000001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167880.2</v>
      </c>
    </row>
    <row r="66" spans="1:2" x14ac:dyDescent="0.25">
      <c r="A66" s="135" t="s">
        <v>221</v>
      </c>
      <c r="B66" s="5">
        <v>4000</v>
      </c>
    </row>
    <row r="67" spans="1:2" x14ac:dyDescent="0.25">
      <c r="A67" s="135" t="s">
        <v>222</v>
      </c>
      <c r="B67" s="5">
        <v>8500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342B-931E-46EB-8B37-9258241687C9}">
  <sheetPr codeName="Sheet12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231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9923.15</v>
      </c>
      <c r="E9" s="9"/>
    </row>
    <row r="10" spans="1:5" x14ac:dyDescent="0.25">
      <c r="A10" s="204" t="s">
        <v>159</v>
      </c>
      <c r="B10" s="205">
        <v>3980.26</v>
      </c>
      <c r="E10" s="9"/>
    </row>
    <row r="11" spans="1:5" x14ac:dyDescent="0.25">
      <c r="A11" s="3" t="s">
        <v>157</v>
      </c>
      <c r="B11" s="7">
        <v>5738.21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9714</v>
      </c>
      <c r="E13" s="9"/>
    </row>
    <row r="14" spans="1:5" x14ac:dyDescent="0.25">
      <c r="A14" s="204" t="s">
        <v>169</v>
      </c>
      <c r="B14" s="205">
        <v>286</v>
      </c>
      <c r="E14" s="9"/>
    </row>
    <row r="15" spans="1:5" x14ac:dyDescent="0.25">
      <c r="A15" s="3" t="s">
        <v>166</v>
      </c>
      <c r="B15" s="7">
        <v>2547.19</v>
      </c>
      <c r="E15" s="9"/>
    </row>
    <row r="16" spans="1:5" x14ac:dyDescent="0.25">
      <c r="A16" s="204" t="s">
        <v>163</v>
      </c>
      <c r="B16" s="205">
        <v>3536.45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1832.73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5131.78</v>
      </c>
      <c r="E20" s="9"/>
    </row>
    <row r="21" spans="1:5" x14ac:dyDescent="0.25">
      <c r="A21" s="3" t="s">
        <v>165</v>
      </c>
      <c r="B21" s="7">
        <v>3460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8022.68</v>
      </c>
      <c r="E24" s="9"/>
    </row>
    <row r="25" spans="1:5" x14ac:dyDescent="0.25">
      <c r="A25" s="3" t="s">
        <v>192</v>
      </c>
      <c r="B25" s="7">
        <v>689.11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12111</v>
      </c>
      <c r="E27" s="9"/>
    </row>
    <row r="28" spans="1:5" x14ac:dyDescent="0.25">
      <c r="A28" s="204" t="s">
        <v>176</v>
      </c>
      <c r="B28" s="205">
        <v>3535</v>
      </c>
      <c r="E28" s="9"/>
    </row>
    <row r="29" spans="1:5" x14ac:dyDescent="0.25">
      <c r="A29" s="3" t="s">
        <v>177</v>
      </c>
      <c r="B29" s="7">
        <v>5153.13</v>
      </c>
      <c r="E29" s="9"/>
    </row>
    <row r="30" spans="1:5" x14ac:dyDescent="0.25">
      <c r="A30" s="204" t="s">
        <v>178</v>
      </c>
      <c r="B30" s="205">
        <v>4580.82</v>
      </c>
      <c r="E30" s="9"/>
    </row>
    <row r="31" spans="1:5" x14ac:dyDescent="0.25">
      <c r="A31" s="3" t="s">
        <v>190</v>
      </c>
      <c r="B31" s="7">
        <v>5174.96</v>
      </c>
      <c r="E31" s="9"/>
    </row>
    <row r="32" spans="1:5" x14ac:dyDescent="0.25">
      <c r="A32" s="196" t="s">
        <v>182</v>
      </c>
      <c r="B32" s="205">
        <v>4243</v>
      </c>
      <c r="E32" s="9"/>
    </row>
    <row r="33" spans="1:5" x14ac:dyDescent="0.25">
      <c r="A33" s="3" t="s">
        <v>180</v>
      </c>
      <c r="B33" s="7">
        <v>3150.08</v>
      </c>
      <c r="E33" s="9"/>
    </row>
    <row r="34" spans="1:5" x14ac:dyDescent="0.25">
      <c r="A34" s="204" t="s">
        <v>179</v>
      </c>
      <c r="B34" s="205">
        <v>75</v>
      </c>
      <c r="E34" s="9"/>
    </row>
    <row r="35" spans="1:5" x14ac:dyDescent="0.25">
      <c r="A35" s="3" t="s">
        <v>189</v>
      </c>
      <c r="B35" s="7">
        <v>3354</v>
      </c>
      <c r="E35" s="9"/>
    </row>
    <row r="36" spans="1:5" x14ac:dyDescent="0.25">
      <c r="A36" s="204" t="s">
        <v>184</v>
      </c>
      <c r="B36" s="205">
        <v>559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506.15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2647.51</v>
      </c>
      <c r="E41" s="9"/>
    </row>
    <row r="42" spans="1:5" x14ac:dyDescent="0.25">
      <c r="A42" s="204" t="s">
        <v>194</v>
      </c>
      <c r="B42" s="205">
        <v>1899.5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508.16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652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9970</v>
      </c>
      <c r="E51" s="9"/>
    </row>
    <row r="52" spans="1:5" ht="15.75" thickBot="1" x14ac:dyDescent="0.3">
      <c r="A52" s="206" t="s">
        <v>204</v>
      </c>
      <c r="B52" s="207">
        <f>SUBTOTAL(109,B4:B51)</f>
        <v>134540.06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158065.06</v>
      </c>
    </row>
    <row r="66" spans="1:2" x14ac:dyDescent="0.25">
      <c r="A66" s="135" t="s">
        <v>221</v>
      </c>
      <c r="B66" s="5">
        <v>4300</v>
      </c>
    </row>
    <row r="67" spans="1:2" x14ac:dyDescent="0.25">
      <c r="A67" s="135" t="s">
        <v>222</v>
      </c>
      <c r="B67" s="5">
        <v>9000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BDAC-D58D-40C6-B6E3-DF118168D8E0}">
  <sheetPr codeName="Sheet13"/>
  <dimension ref="A1:E68"/>
  <sheetViews>
    <sheetView topLeftCell="A27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232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225</v>
      </c>
      <c r="E8" s="9"/>
    </row>
    <row r="9" spans="1:5" x14ac:dyDescent="0.25">
      <c r="A9" s="3" t="s">
        <v>155</v>
      </c>
      <c r="B9" s="7">
        <v>6531.13</v>
      </c>
      <c r="E9" s="9"/>
    </row>
    <row r="10" spans="1:5" x14ac:dyDescent="0.25">
      <c r="A10" s="204" t="s">
        <v>159</v>
      </c>
      <c r="B10" s="205">
        <v>4722.22</v>
      </c>
      <c r="E10" s="9"/>
    </row>
    <row r="11" spans="1:5" x14ac:dyDescent="0.25">
      <c r="A11" s="3" t="s">
        <v>157</v>
      </c>
      <c r="B11" s="7">
        <v>3556.41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8378.4</v>
      </c>
      <c r="E13" s="9"/>
    </row>
    <row r="14" spans="1:5" x14ac:dyDescent="0.25">
      <c r="A14" s="204" t="s">
        <v>169</v>
      </c>
      <c r="B14" s="205">
        <v>204</v>
      </c>
      <c r="E14" s="9"/>
    </row>
    <row r="15" spans="1:5" x14ac:dyDescent="0.25">
      <c r="A15" s="3" t="s">
        <v>166</v>
      </c>
      <c r="B15" s="7">
        <v>2225.4</v>
      </c>
      <c r="E15" s="9"/>
    </row>
    <row r="16" spans="1:5" x14ac:dyDescent="0.25">
      <c r="A16" s="204" t="s">
        <v>163</v>
      </c>
      <c r="B16" s="205">
        <v>4236.07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1794.95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3937.59</v>
      </c>
      <c r="E20" s="9"/>
    </row>
    <row r="21" spans="1:5" x14ac:dyDescent="0.25">
      <c r="A21" s="3" t="s">
        <v>165</v>
      </c>
      <c r="B21" s="7">
        <v>2650</v>
      </c>
      <c r="E21" s="9"/>
    </row>
    <row r="22" spans="1:5" x14ac:dyDescent="0.25">
      <c r="A22" s="204" t="s">
        <v>172</v>
      </c>
      <c r="B22" s="205">
        <v>9200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8179.07</v>
      </c>
      <c r="E24" s="9"/>
    </row>
    <row r="25" spans="1:5" x14ac:dyDescent="0.25">
      <c r="A25" s="3" t="s">
        <v>192</v>
      </c>
      <c r="B25" s="7">
        <v>482.16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13524</v>
      </c>
      <c r="E27" s="9"/>
    </row>
    <row r="28" spans="1:5" x14ac:dyDescent="0.25">
      <c r="A28" s="204" t="s">
        <v>176</v>
      </c>
      <c r="B28" s="205">
        <v>3414</v>
      </c>
      <c r="E28" s="9"/>
    </row>
    <row r="29" spans="1:5" x14ac:dyDescent="0.25">
      <c r="A29" s="3" t="s">
        <v>177</v>
      </c>
      <c r="B29" s="7">
        <v>3767.81</v>
      </c>
      <c r="E29" s="9"/>
    </row>
    <row r="30" spans="1:5" x14ac:dyDescent="0.25">
      <c r="A30" s="204" t="s">
        <v>178</v>
      </c>
      <c r="B30" s="205">
        <v>3607.74</v>
      </c>
      <c r="E30" s="9"/>
    </row>
    <row r="31" spans="1:5" x14ac:dyDescent="0.25">
      <c r="A31" s="3" t="s">
        <v>190</v>
      </c>
      <c r="B31" s="7">
        <v>4315</v>
      </c>
      <c r="E31" s="9"/>
    </row>
    <row r="32" spans="1:5" x14ac:dyDescent="0.25">
      <c r="A32" s="204" t="s">
        <v>182</v>
      </c>
      <c r="B32" s="205">
        <v>3969</v>
      </c>
      <c r="E32" s="9"/>
    </row>
    <row r="33" spans="1:5" x14ac:dyDescent="0.25">
      <c r="A33" s="3" t="s">
        <v>180</v>
      </c>
      <c r="B33" s="7">
        <v>2545.1999999999998</v>
      </c>
      <c r="E33" s="9"/>
    </row>
    <row r="34" spans="1:5" x14ac:dyDescent="0.25">
      <c r="A34" s="204" t="s">
        <v>179</v>
      </c>
      <c r="B34" s="205">
        <v>50</v>
      </c>
      <c r="E34" s="9"/>
    </row>
    <row r="35" spans="1:5" x14ac:dyDescent="0.25">
      <c r="A35" s="3" t="s">
        <v>189</v>
      </c>
      <c r="B35" s="7">
        <v>2680</v>
      </c>
      <c r="E35" s="9"/>
    </row>
    <row r="36" spans="1:5" x14ac:dyDescent="0.25">
      <c r="A36" s="204" t="s">
        <v>184</v>
      </c>
      <c r="B36" s="205">
        <v>607.6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471.07</v>
      </c>
      <c r="E38" s="9"/>
    </row>
    <row r="39" spans="1:5" x14ac:dyDescent="0.25">
      <c r="A39" s="3" t="s">
        <v>183</v>
      </c>
      <c r="B39" s="7">
        <v>439.7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2736.04</v>
      </c>
      <c r="E41" s="9"/>
    </row>
    <row r="42" spans="1:5" x14ac:dyDescent="0.25">
      <c r="A42" s="204" t="s">
        <v>194</v>
      </c>
      <c r="B42" s="205">
        <v>1412.75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448.94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501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11702</v>
      </c>
      <c r="E51" s="9"/>
    </row>
    <row r="52" spans="1:5" ht="15.75" thickBot="1" x14ac:dyDescent="0.3">
      <c r="A52" s="206" t="s">
        <v>204</v>
      </c>
      <c r="B52" s="207">
        <f>SUBTOTAL(109,B4:B51)</f>
        <v>122529.87000000001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146054.87</v>
      </c>
    </row>
    <row r="66" spans="1:2" x14ac:dyDescent="0.25">
      <c r="A66" s="135" t="s">
        <v>221</v>
      </c>
      <c r="B66" s="5">
        <v>4000</v>
      </c>
    </row>
    <row r="67" spans="1:2" x14ac:dyDescent="0.25">
      <c r="A67" s="135" t="s">
        <v>222</v>
      </c>
      <c r="B67" s="5">
        <v>9000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9CB6-59DD-488B-9A5D-5083877EF844}">
  <sheetPr codeName="Sheet14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233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9983.4599999999991</v>
      </c>
      <c r="E9" s="9"/>
    </row>
    <row r="10" spans="1:5" x14ac:dyDescent="0.25">
      <c r="A10" s="204" t="s">
        <v>159</v>
      </c>
      <c r="B10" s="205">
        <v>3966.85</v>
      </c>
      <c r="E10" s="9"/>
    </row>
    <row r="11" spans="1:5" x14ac:dyDescent="0.25">
      <c r="A11" s="3" t="s">
        <v>157</v>
      </c>
      <c r="B11" s="7">
        <v>5616</v>
      </c>
      <c r="E11" s="9"/>
    </row>
    <row r="12" spans="1:5" x14ac:dyDescent="0.25">
      <c r="A12" s="204" t="s">
        <v>158</v>
      </c>
      <c r="B12" s="205">
        <v>1161.17</v>
      </c>
      <c r="E12" s="9"/>
    </row>
    <row r="13" spans="1:5" x14ac:dyDescent="0.25">
      <c r="A13" s="3" t="s">
        <v>156</v>
      </c>
      <c r="B13" s="7">
        <v>8722.8000000000011</v>
      </c>
      <c r="E13" s="9"/>
    </row>
    <row r="14" spans="1:5" x14ac:dyDescent="0.25">
      <c r="A14" s="204" t="s">
        <v>169</v>
      </c>
      <c r="B14" s="205">
        <v>525</v>
      </c>
      <c r="E14" s="9"/>
    </row>
    <row r="15" spans="1:5" x14ac:dyDescent="0.25">
      <c r="A15" s="3" t="s">
        <v>166</v>
      </c>
      <c r="B15" s="7">
        <v>5281.01</v>
      </c>
      <c r="E15" s="9"/>
    </row>
    <row r="16" spans="1:5" x14ac:dyDescent="0.25">
      <c r="A16" s="204" t="s">
        <v>163</v>
      </c>
      <c r="B16" s="205">
        <v>4236.3599999999997</v>
      </c>
      <c r="E16" s="9"/>
    </row>
    <row r="17" spans="1:5" x14ac:dyDescent="0.25">
      <c r="A17" s="3" t="s">
        <v>168</v>
      </c>
      <c r="B17" s="7">
        <v>120</v>
      </c>
      <c r="E17" s="9"/>
    </row>
    <row r="18" spans="1:5" x14ac:dyDescent="0.25">
      <c r="A18" s="204" t="s">
        <v>167</v>
      </c>
      <c r="B18" s="205">
        <v>1286.6099999999999</v>
      </c>
      <c r="E18" s="9"/>
    </row>
    <row r="19" spans="1:5" x14ac:dyDescent="0.25">
      <c r="A19" s="3" t="s">
        <v>170</v>
      </c>
      <c r="B19" s="7">
        <v>0</v>
      </c>
      <c r="E19" s="9"/>
    </row>
    <row r="20" spans="1:5" x14ac:dyDescent="0.25">
      <c r="A20" s="204" t="s">
        <v>164</v>
      </c>
      <c r="B20" s="205">
        <v>7550.19</v>
      </c>
      <c r="E20" s="9"/>
    </row>
    <row r="21" spans="1:5" x14ac:dyDescent="0.25">
      <c r="A21" s="3" t="s">
        <v>165</v>
      </c>
      <c r="B21" s="7">
        <v>5500</v>
      </c>
      <c r="E21" s="9"/>
    </row>
    <row r="22" spans="1:5" x14ac:dyDescent="0.25">
      <c r="A22" s="204" t="s">
        <v>172</v>
      </c>
      <c r="B22" s="205">
        <v>14300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9830.34</v>
      </c>
      <c r="E24" s="9"/>
    </row>
    <row r="25" spans="1:5" x14ac:dyDescent="0.25">
      <c r="A25" s="3" t="s">
        <v>192</v>
      </c>
      <c r="B25" s="7">
        <v>591.11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16119</v>
      </c>
      <c r="E27" s="9"/>
    </row>
    <row r="28" spans="1:5" x14ac:dyDescent="0.25">
      <c r="A28" s="204" t="s">
        <v>176</v>
      </c>
      <c r="B28" s="205">
        <v>4640</v>
      </c>
      <c r="E28" s="9"/>
    </row>
    <row r="29" spans="1:5" x14ac:dyDescent="0.25">
      <c r="A29" s="3" t="s">
        <v>177</v>
      </c>
      <c r="B29" s="7">
        <v>5046.53</v>
      </c>
      <c r="E29" s="9"/>
    </row>
    <row r="30" spans="1:5" x14ac:dyDescent="0.25">
      <c r="A30" s="204" t="s">
        <v>178</v>
      </c>
      <c r="B30" s="205">
        <v>5437.62</v>
      </c>
      <c r="E30" s="9"/>
    </row>
    <row r="31" spans="1:5" x14ac:dyDescent="0.25">
      <c r="A31" s="3" t="s">
        <v>190</v>
      </c>
      <c r="B31" s="7">
        <v>5980</v>
      </c>
      <c r="E31" s="9"/>
    </row>
    <row r="32" spans="1:5" x14ac:dyDescent="0.25">
      <c r="A32" s="196" t="s">
        <v>182</v>
      </c>
      <c r="B32" s="205">
        <v>6600</v>
      </c>
      <c r="E32" s="9"/>
    </row>
    <row r="33" spans="1:5" x14ac:dyDescent="0.25">
      <c r="A33" s="3" t="s">
        <v>180</v>
      </c>
      <c r="B33" s="7">
        <v>4219.12</v>
      </c>
      <c r="E33" s="9"/>
    </row>
    <row r="34" spans="1:5" x14ac:dyDescent="0.25">
      <c r="A34" s="204" t="s">
        <v>179</v>
      </c>
      <c r="B34" s="205">
        <v>25</v>
      </c>
      <c r="E34" s="9"/>
    </row>
    <row r="35" spans="1:5" x14ac:dyDescent="0.25">
      <c r="A35" s="3" t="s">
        <v>189</v>
      </c>
      <c r="B35" s="7">
        <v>4632</v>
      </c>
      <c r="E35" s="9"/>
    </row>
    <row r="36" spans="1:5" x14ac:dyDescent="0.25">
      <c r="A36" s="204" t="s">
        <v>184</v>
      </c>
      <c r="B36" s="205">
        <v>679.6</v>
      </c>
      <c r="E36" s="9"/>
    </row>
    <row r="37" spans="1:5" x14ac:dyDescent="0.25">
      <c r="A37" s="3" t="s">
        <v>186</v>
      </c>
      <c r="B37" s="7">
        <v>909.94</v>
      </c>
      <c r="E37" s="9"/>
    </row>
    <row r="38" spans="1:5" x14ac:dyDescent="0.25">
      <c r="A38" s="204" t="s">
        <v>187</v>
      </c>
      <c r="B38" s="205">
        <v>455.18</v>
      </c>
      <c r="E38" s="9"/>
    </row>
    <row r="39" spans="1:5" x14ac:dyDescent="0.25">
      <c r="A39" s="3" t="s">
        <v>183</v>
      </c>
      <c r="B39" s="7">
        <v>489.04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4315.5300000000007</v>
      </c>
      <c r="E41" s="9"/>
    </row>
    <row r="42" spans="1:5" x14ac:dyDescent="0.25">
      <c r="A42" s="204" t="s">
        <v>194</v>
      </c>
      <c r="B42" s="205">
        <v>1619.25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612.74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659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9137.5</v>
      </c>
      <c r="E51" s="9"/>
    </row>
    <row r="52" spans="1:5" ht="15.75" thickBot="1" x14ac:dyDescent="0.3">
      <c r="A52" s="206" t="s">
        <v>204</v>
      </c>
      <c r="B52" s="207">
        <f>SUBTOTAL(109,B4:B51)</f>
        <v>157945.01999999999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181470.02</v>
      </c>
    </row>
    <row r="66" spans="1:2" x14ac:dyDescent="0.25">
      <c r="A66" s="135" t="s">
        <v>221</v>
      </c>
      <c r="B66" s="5">
        <v>5400</v>
      </c>
    </row>
    <row r="67" spans="1:2" x14ac:dyDescent="0.25">
      <c r="A67" s="135" t="s">
        <v>222</v>
      </c>
      <c r="B67" s="5">
        <v>10700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0CE4-1D62-449D-8F9F-A5337F04BC5A}">
  <sheetPr codeName="Sheet15"/>
  <dimension ref="A1:F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  <col min="6" max="6" width="10.140625" bestFit="1" customWidth="1"/>
  </cols>
  <sheetData>
    <row r="1" spans="1:6" ht="18.75" x14ac:dyDescent="0.3">
      <c r="A1" s="1" t="s">
        <v>234</v>
      </c>
    </row>
    <row r="2" spans="1:6" ht="15.75" thickBot="1" x14ac:dyDescent="0.3"/>
    <row r="3" spans="1:6" ht="15.75" thickBot="1" x14ac:dyDescent="0.3">
      <c r="A3" s="121" t="s">
        <v>149</v>
      </c>
      <c r="B3" s="122" t="s">
        <v>219</v>
      </c>
    </row>
    <row r="4" spans="1:6" x14ac:dyDescent="0.25">
      <c r="A4" s="202" t="s">
        <v>150</v>
      </c>
      <c r="B4" s="203">
        <v>3000</v>
      </c>
      <c r="E4" s="9"/>
    </row>
    <row r="5" spans="1:6" x14ac:dyDescent="0.25">
      <c r="A5" s="3" t="s">
        <v>151</v>
      </c>
      <c r="B5" s="7">
        <v>300</v>
      </c>
      <c r="E5" s="9"/>
    </row>
    <row r="6" spans="1:6" x14ac:dyDescent="0.25">
      <c r="A6" s="204" t="s">
        <v>152</v>
      </c>
      <c r="B6" s="205">
        <v>875</v>
      </c>
      <c r="E6" s="9"/>
    </row>
    <row r="7" spans="1:6" x14ac:dyDescent="0.25">
      <c r="A7" s="3" t="s">
        <v>153</v>
      </c>
      <c r="B7" s="7">
        <v>50</v>
      </c>
      <c r="E7" s="9"/>
    </row>
    <row r="8" spans="1:6" x14ac:dyDescent="0.25">
      <c r="A8" s="204" t="s">
        <v>154</v>
      </c>
      <c r="B8" s="197">
        <v>225</v>
      </c>
      <c r="E8" s="9"/>
    </row>
    <row r="9" spans="1:6" x14ac:dyDescent="0.25">
      <c r="A9" s="3" t="s">
        <v>155</v>
      </c>
      <c r="B9" s="7">
        <v>14417.8</v>
      </c>
      <c r="E9" s="9"/>
      <c r="F9" s="9"/>
    </row>
    <row r="10" spans="1:6" x14ac:dyDescent="0.25">
      <c r="A10" s="204" t="s">
        <v>159</v>
      </c>
      <c r="B10" s="205">
        <v>6566.68</v>
      </c>
      <c r="E10" s="9"/>
      <c r="F10" s="9"/>
    </row>
    <row r="11" spans="1:6" x14ac:dyDescent="0.25">
      <c r="A11" s="3" t="s">
        <v>157</v>
      </c>
      <c r="B11" s="7">
        <v>5532.68</v>
      </c>
      <c r="E11" s="9"/>
      <c r="F11" s="9"/>
    </row>
    <row r="12" spans="1:6" x14ac:dyDescent="0.25">
      <c r="A12" s="204" t="s">
        <v>158</v>
      </c>
      <c r="B12" s="205">
        <v>580.59</v>
      </c>
      <c r="E12" s="9"/>
      <c r="F12" s="9"/>
    </row>
    <row r="13" spans="1:6" x14ac:dyDescent="0.25">
      <c r="A13" s="3" t="s">
        <v>156</v>
      </c>
      <c r="B13" s="7">
        <v>14014.8</v>
      </c>
      <c r="E13" s="9"/>
      <c r="F13" s="9"/>
    </row>
    <row r="14" spans="1:6" x14ac:dyDescent="0.25">
      <c r="A14" s="204" t="s">
        <v>169</v>
      </c>
      <c r="B14" s="205">
        <v>440</v>
      </c>
      <c r="E14" s="9"/>
      <c r="F14" s="9"/>
    </row>
    <row r="15" spans="1:6" x14ac:dyDescent="0.25">
      <c r="A15" s="3" t="s">
        <v>166</v>
      </c>
      <c r="B15" s="7">
        <v>3823.99</v>
      </c>
      <c r="E15" s="9"/>
      <c r="F15" s="9"/>
    </row>
    <row r="16" spans="1:6" x14ac:dyDescent="0.25">
      <c r="A16" s="204" t="s">
        <v>163</v>
      </c>
      <c r="B16" s="205">
        <v>5264.93</v>
      </c>
      <c r="E16" s="9"/>
      <c r="F16" s="9"/>
    </row>
    <row r="17" spans="1:6" x14ac:dyDescent="0.25">
      <c r="A17" s="3" t="s">
        <v>168</v>
      </c>
      <c r="B17" s="7">
        <v>173</v>
      </c>
      <c r="E17" s="9"/>
      <c r="F17" s="9"/>
    </row>
    <row r="18" spans="1:6" x14ac:dyDescent="0.25">
      <c r="A18" s="204" t="s">
        <v>167</v>
      </c>
      <c r="B18" s="205">
        <v>1832.73</v>
      </c>
      <c r="E18" s="9"/>
      <c r="F18" s="9"/>
    </row>
    <row r="19" spans="1:6" x14ac:dyDescent="0.25">
      <c r="A19" s="3" t="s">
        <v>170</v>
      </c>
      <c r="B19" s="7">
        <v>1600</v>
      </c>
      <c r="E19" s="9"/>
      <c r="F19" s="9"/>
    </row>
    <row r="20" spans="1:6" x14ac:dyDescent="0.25">
      <c r="A20" s="204" t="s">
        <v>164</v>
      </c>
      <c r="B20" s="205">
        <v>5588.56</v>
      </c>
      <c r="E20" s="9"/>
      <c r="F20" s="9"/>
    </row>
    <row r="21" spans="1:6" x14ac:dyDescent="0.25">
      <c r="A21" s="3" t="s">
        <v>165</v>
      </c>
      <c r="B21" s="7">
        <v>3760</v>
      </c>
      <c r="E21" s="9"/>
      <c r="F21" s="9"/>
    </row>
    <row r="22" spans="1:6" x14ac:dyDescent="0.25">
      <c r="A22" s="204" t="s">
        <v>172</v>
      </c>
      <c r="B22" s="205">
        <v>16500</v>
      </c>
      <c r="E22" s="9"/>
      <c r="F22" s="9"/>
    </row>
    <row r="23" spans="1:6" x14ac:dyDescent="0.25">
      <c r="A23" s="3" t="s">
        <v>174</v>
      </c>
      <c r="B23" s="7">
        <v>300.11</v>
      </c>
      <c r="E23" s="9"/>
      <c r="F23" s="9"/>
    </row>
    <row r="24" spans="1:6" x14ac:dyDescent="0.25">
      <c r="A24" s="204" t="s">
        <v>173</v>
      </c>
      <c r="B24" s="205">
        <v>9554.92</v>
      </c>
      <c r="E24" s="9"/>
      <c r="F24" s="9"/>
    </row>
    <row r="25" spans="1:6" x14ac:dyDescent="0.25">
      <c r="A25" s="3" t="s">
        <v>192</v>
      </c>
      <c r="B25" s="7">
        <v>754.88</v>
      </c>
      <c r="E25" s="9"/>
      <c r="F25" s="9"/>
    </row>
    <row r="26" spans="1:6" x14ac:dyDescent="0.25">
      <c r="A26" s="204" t="s">
        <v>175</v>
      </c>
      <c r="B26" s="205">
        <v>0</v>
      </c>
      <c r="E26" s="9"/>
      <c r="F26" s="9"/>
    </row>
    <row r="27" spans="1:6" x14ac:dyDescent="0.25">
      <c r="A27" s="3" t="s">
        <v>171</v>
      </c>
      <c r="B27" s="7">
        <v>15589</v>
      </c>
      <c r="E27" s="9"/>
      <c r="F27" s="9"/>
    </row>
    <row r="28" spans="1:6" x14ac:dyDescent="0.25">
      <c r="A28" s="204" t="s">
        <v>176</v>
      </c>
      <c r="B28" s="205">
        <v>4672</v>
      </c>
      <c r="E28" s="9"/>
      <c r="F28" s="9"/>
    </row>
    <row r="29" spans="1:6" x14ac:dyDescent="0.25">
      <c r="A29" s="3" t="s">
        <v>177</v>
      </c>
      <c r="B29" s="7">
        <v>5787.86</v>
      </c>
      <c r="E29" s="9"/>
      <c r="F29" s="9"/>
    </row>
    <row r="30" spans="1:6" x14ac:dyDescent="0.25">
      <c r="A30" s="204" t="s">
        <v>178</v>
      </c>
      <c r="B30" s="205">
        <v>6156.72</v>
      </c>
      <c r="E30" s="9"/>
      <c r="F30" s="9"/>
    </row>
    <row r="31" spans="1:6" x14ac:dyDescent="0.25">
      <c r="A31" s="3" t="s">
        <v>190</v>
      </c>
      <c r="B31" s="7">
        <v>6030.27</v>
      </c>
      <c r="E31" s="9"/>
      <c r="F31" s="9"/>
    </row>
    <row r="32" spans="1:6" x14ac:dyDescent="0.25">
      <c r="A32" s="196" t="s">
        <v>182</v>
      </c>
      <c r="B32" s="205">
        <v>5193</v>
      </c>
      <c r="E32" s="9"/>
      <c r="F32" s="9"/>
    </row>
    <row r="33" spans="1:6" x14ac:dyDescent="0.25">
      <c r="A33" s="3" t="s">
        <v>180</v>
      </c>
      <c r="B33" s="7">
        <v>5098.6400000000003</v>
      </c>
      <c r="E33" s="9"/>
      <c r="F33" s="9"/>
    </row>
    <row r="34" spans="1:6" x14ac:dyDescent="0.25">
      <c r="A34" s="204" t="s">
        <v>179</v>
      </c>
      <c r="B34" s="205">
        <v>250</v>
      </c>
      <c r="E34" s="9"/>
      <c r="F34" s="9"/>
    </row>
    <row r="35" spans="1:6" x14ac:dyDescent="0.25">
      <c r="A35" s="3" t="s">
        <v>189</v>
      </c>
      <c r="B35" s="7">
        <v>3960</v>
      </c>
      <c r="E35" s="9"/>
      <c r="F35" s="9"/>
    </row>
    <row r="36" spans="1:6" x14ac:dyDescent="0.25">
      <c r="A36" s="204" t="s">
        <v>184</v>
      </c>
      <c r="B36" s="205">
        <v>727</v>
      </c>
      <c r="E36" s="9"/>
      <c r="F36" s="9"/>
    </row>
    <row r="37" spans="1:6" x14ac:dyDescent="0.25">
      <c r="A37" s="3" t="s">
        <v>186</v>
      </c>
      <c r="B37" s="7">
        <v>799.95</v>
      </c>
      <c r="E37" s="9"/>
      <c r="F37" s="9"/>
    </row>
    <row r="38" spans="1:6" x14ac:dyDescent="0.25">
      <c r="A38" s="204" t="s">
        <v>187</v>
      </c>
      <c r="B38" s="205">
        <v>437.44</v>
      </c>
      <c r="E38" s="9"/>
      <c r="F38" s="9"/>
    </row>
    <row r="39" spans="1:6" x14ac:dyDescent="0.25">
      <c r="A39" s="3" t="s">
        <v>183</v>
      </c>
      <c r="B39" s="7">
        <v>508.4</v>
      </c>
      <c r="E39" s="9"/>
      <c r="F39" s="9"/>
    </row>
    <row r="40" spans="1:6" x14ac:dyDescent="0.25">
      <c r="A40" s="204" t="s">
        <v>188</v>
      </c>
      <c r="B40" s="205">
        <v>1232.97</v>
      </c>
      <c r="E40" s="9"/>
      <c r="F40" s="9"/>
    </row>
    <row r="41" spans="1:6" x14ac:dyDescent="0.25">
      <c r="A41" s="3" t="s">
        <v>196</v>
      </c>
      <c r="B41" s="7">
        <v>5227.82</v>
      </c>
      <c r="E41" s="9"/>
      <c r="F41" s="9"/>
    </row>
    <row r="42" spans="1:6" x14ac:dyDescent="0.25">
      <c r="A42" s="204" t="s">
        <v>194</v>
      </c>
      <c r="B42" s="205">
        <v>2681.25</v>
      </c>
      <c r="E42" s="9"/>
      <c r="F42" s="9"/>
    </row>
    <row r="43" spans="1:6" x14ac:dyDescent="0.25">
      <c r="A43" s="3" t="s">
        <v>191</v>
      </c>
      <c r="B43" s="7">
        <v>0</v>
      </c>
      <c r="E43" s="9"/>
      <c r="F43" s="9"/>
    </row>
    <row r="44" spans="1:6" x14ac:dyDescent="0.25">
      <c r="A44" s="204" t="s">
        <v>193</v>
      </c>
      <c r="B44" s="205">
        <v>1616.06</v>
      </c>
      <c r="E44" s="9"/>
      <c r="F44" s="9"/>
    </row>
    <row r="45" spans="1:6" x14ac:dyDescent="0.25">
      <c r="A45" s="3" t="s">
        <v>197</v>
      </c>
      <c r="B45" s="7">
        <v>698.78</v>
      </c>
      <c r="E45" s="9"/>
      <c r="F45" s="9"/>
    </row>
    <row r="46" spans="1:6" x14ac:dyDescent="0.25">
      <c r="A46" s="204" t="s">
        <v>202</v>
      </c>
      <c r="B46" s="205">
        <v>235</v>
      </c>
      <c r="E46" s="9"/>
      <c r="F46" s="9"/>
    </row>
    <row r="47" spans="1:6" x14ac:dyDescent="0.25">
      <c r="A47" s="3" t="s">
        <v>198</v>
      </c>
      <c r="B47" s="7">
        <v>934</v>
      </c>
      <c r="E47" s="9"/>
      <c r="F47" s="9"/>
    </row>
    <row r="48" spans="1:6" x14ac:dyDescent="0.25">
      <c r="A48" s="204" t="s">
        <v>199</v>
      </c>
      <c r="B48" s="205">
        <v>310</v>
      </c>
      <c r="E48" s="9"/>
      <c r="F48" s="9"/>
    </row>
    <row r="49" spans="1:6" x14ac:dyDescent="0.25">
      <c r="A49" s="3" t="s">
        <v>200</v>
      </c>
      <c r="B49" s="7">
        <v>0</v>
      </c>
      <c r="E49" s="9"/>
      <c r="F49" s="9"/>
    </row>
    <row r="50" spans="1:6" x14ac:dyDescent="0.25">
      <c r="A50" s="204" t="s">
        <v>201</v>
      </c>
      <c r="B50" s="205">
        <v>90</v>
      </c>
      <c r="E50" s="9"/>
      <c r="F50" s="9"/>
    </row>
    <row r="51" spans="1:6" x14ac:dyDescent="0.25">
      <c r="A51" s="3" t="s">
        <v>203</v>
      </c>
      <c r="B51" s="7">
        <v>14792.5</v>
      </c>
      <c r="E51" s="9"/>
      <c r="F51" s="9"/>
    </row>
    <row r="52" spans="1:6" ht="15.75" thickBot="1" x14ac:dyDescent="0.3">
      <c r="A52" s="206" t="s">
        <v>204</v>
      </c>
      <c r="B52" s="207">
        <f>SUBTOTAL(109,B4:B51)</f>
        <v>178184.33000000005</v>
      </c>
      <c r="E52" s="9"/>
    </row>
    <row r="53" spans="1:6" x14ac:dyDescent="0.25">
      <c r="A53" s="2" t="s">
        <v>205</v>
      </c>
      <c r="B53" s="6">
        <v>1700</v>
      </c>
    </row>
    <row r="54" spans="1:6" x14ac:dyDescent="0.25">
      <c r="A54" s="204" t="s">
        <v>207</v>
      </c>
      <c r="B54" s="205">
        <v>1700</v>
      </c>
    </row>
    <row r="55" spans="1:6" x14ac:dyDescent="0.25">
      <c r="A55" s="3" t="s">
        <v>208</v>
      </c>
      <c r="B55" s="7">
        <v>2000</v>
      </c>
    </row>
    <row r="56" spans="1:6" x14ac:dyDescent="0.25">
      <c r="A56" s="204" t="s">
        <v>209</v>
      </c>
      <c r="B56" s="205">
        <v>500</v>
      </c>
    </row>
    <row r="57" spans="1:6" x14ac:dyDescent="0.25">
      <c r="A57" s="3" t="s">
        <v>210</v>
      </c>
      <c r="B57" s="7">
        <v>2500</v>
      </c>
    </row>
    <row r="58" spans="1:6" x14ac:dyDescent="0.25">
      <c r="A58" s="204" t="s">
        <v>211</v>
      </c>
      <c r="B58" s="205">
        <v>2475</v>
      </c>
    </row>
    <row r="59" spans="1:6" ht="15.75" thickBot="1" x14ac:dyDescent="0.3">
      <c r="A59" s="4" t="s">
        <v>212</v>
      </c>
      <c r="B59" s="8">
        <f>SUM(B53:B58)</f>
        <v>10875</v>
      </c>
    </row>
    <row r="60" spans="1:6" x14ac:dyDescent="0.25">
      <c r="A60" s="202" t="s">
        <v>213</v>
      </c>
      <c r="B60" s="203">
        <v>2050</v>
      </c>
    </row>
    <row r="61" spans="1:6" x14ac:dyDescent="0.25">
      <c r="A61" s="3" t="s">
        <v>215</v>
      </c>
      <c r="B61" s="7">
        <v>10000</v>
      </c>
    </row>
    <row r="62" spans="1:6" x14ac:dyDescent="0.25">
      <c r="A62" s="204" t="s">
        <v>216</v>
      </c>
      <c r="B62" s="205">
        <v>600</v>
      </c>
    </row>
    <row r="63" spans="1:6" x14ac:dyDescent="0.25">
      <c r="A63" s="4" t="s">
        <v>217</v>
      </c>
      <c r="B63" s="8">
        <f>SUM(B60:B62)</f>
        <v>12650</v>
      </c>
    </row>
    <row r="64" spans="1:6" ht="15.75" thickBot="1" x14ac:dyDescent="0.3">
      <c r="A64" s="208" t="s">
        <v>220</v>
      </c>
      <c r="B64" s="209">
        <f>B63+B59+B52</f>
        <v>201709.33000000005</v>
      </c>
    </row>
    <row r="66" spans="1:2" x14ac:dyDescent="0.25">
      <c r="A66" s="135" t="s">
        <v>221</v>
      </c>
      <c r="B66" s="5">
        <v>4600</v>
      </c>
    </row>
    <row r="67" spans="1:2" x14ac:dyDescent="0.25">
      <c r="A67" s="135" t="s">
        <v>222</v>
      </c>
      <c r="B67" s="5">
        <v>11100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43FE-7C36-4FBA-8446-F241D77487B6}">
  <sheetPr codeName="Sheet16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235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14299.08</v>
      </c>
      <c r="E9" s="9"/>
    </row>
    <row r="10" spans="1:5" x14ac:dyDescent="0.25">
      <c r="A10" s="204" t="s">
        <v>159</v>
      </c>
      <c r="B10" s="205">
        <v>3670.5</v>
      </c>
      <c r="E10" s="9"/>
    </row>
    <row r="11" spans="1:5" x14ac:dyDescent="0.25">
      <c r="A11" s="3" t="s">
        <v>157</v>
      </c>
      <c r="B11" s="7">
        <v>5428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9646.8000000000011</v>
      </c>
      <c r="E13" s="9"/>
    </row>
    <row r="14" spans="1:5" x14ac:dyDescent="0.25">
      <c r="A14" s="204" t="s">
        <v>169</v>
      </c>
      <c r="B14" s="205">
        <v>370</v>
      </c>
      <c r="E14" s="9"/>
    </row>
    <row r="15" spans="1:5" x14ac:dyDescent="0.25">
      <c r="A15" s="3" t="s">
        <v>166</v>
      </c>
      <c r="B15" s="7">
        <v>3725.69</v>
      </c>
      <c r="E15" s="9"/>
    </row>
    <row r="16" spans="1:5" x14ac:dyDescent="0.25">
      <c r="A16" s="204" t="s">
        <v>163</v>
      </c>
      <c r="B16" s="205">
        <v>4712.8599999999997</v>
      </c>
      <c r="E16" s="9"/>
    </row>
    <row r="17" spans="1:5" x14ac:dyDescent="0.25">
      <c r="A17" s="3" t="s">
        <v>168</v>
      </c>
      <c r="B17" s="7">
        <v>180</v>
      </c>
      <c r="E17" s="9"/>
    </row>
    <row r="18" spans="1:5" x14ac:dyDescent="0.25">
      <c r="A18" s="204" t="s">
        <v>167</v>
      </c>
      <c r="B18" s="205">
        <v>1817.2</v>
      </c>
      <c r="E18" s="9"/>
    </row>
    <row r="19" spans="1:5" x14ac:dyDescent="0.25">
      <c r="A19" s="3" t="s">
        <v>170</v>
      </c>
      <c r="B19" s="7">
        <v>0</v>
      </c>
      <c r="E19" s="9"/>
    </row>
    <row r="20" spans="1:5" x14ac:dyDescent="0.25">
      <c r="A20" s="204" t="s">
        <v>164</v>
      </c>
      <c r="B20" s="205">
        <v>7127.73</v>
      </c>
      <c r="E20" s="9"/>
    </row>
    <row r="21" spans="1:5" x14ac:dyDescent="0.25">
      <c r="A21" s="3" t="s">
        <v>165</v>
      </c>
      <c r="B21" s="7">
        <v>4820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7197.3799999999992</v>
      </c>
      <c r="E24" s="9"/>
    </row>
    <row r="25" spans="1:5" x14ac:dyDescent="0.25">
      <c r="A25" s="3" t="s">
        <v>192</v>
      </c>
      <c r="B25" s="7">
        <v>520.82000000000005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12560</v>
      </c>
      <c r="E27" s="9"/>
    </row>
    <row r="28" spans="1:5" x14ac:dyDescent="0.25">
      <c r="A28" s="204" t="s">
        <v>176</v>
      </c>
      <c r="B28" s="205">
        <v>5523</v>
      </c>
      <c r="E28" s="9"/>
    </row>
    <row r="29" spans="1:5" x14ac:dyDescent="0.25">
      <c r="A29" s="3" t="s">
        <v>177</v>
      </c>
      <c r="B29" s="7">
        <v>4058.81</v>
      </c>
      <c r="E29" s="9"/>
    </row>
    <row r="30" spans="1:5" x14ac:dyDescent="0.25">
      <c r="A30" s="204" t="s">
        <v>178</v>
      </c>
      <c r="B30" s="205">
        <v>4559.3999999999996</v>
      </c>
      <c r="E30" s="9"/>
    </row>
    <row r="31" spans="1:5" x14ac:dyDescent="0.25">
      <c r="A31" s="3" t="s">
        <v>190</v>
      </c>
      <c r="B31" s="7">
        <v>5414</v>
      </c>
      <c r="E31" s="9"/>
    </row>
    <row r="32" spans="1:5" x14ac:dyDescent="0.25">
      <c r="A32" s="196" t="s">
        <v>182</v>
      </c>
      <c r="B32" s="205">
        <v>4604</v>
      </c>
      <c r="E32" s="9"/>
    </row>
    <row r="33" spans="1:5" x14ac:dyDescent="0.25">
      <c r="A33" s="3" t="s">
        <v>180</v>
      </c>
      <c r="B33" s="7">
        <v>3601.8</v>
      </c>
      <c r="E33" s="9"/>
    </row>
    <row r="34" spans="1:5" x14ac:dyDescent="0.25">
      <c r="A34" s="204" t="s">
        <v>179</v>
      </c>
      <c r="B34" s="205">
        <v>200</v>
      </c>
      <c r="E34" s="9"/>
    </row>
    <row r="35" spans="1:5" x14ac:dyDescent="0.25">
      <c r="A35" s="3" t="s">
        <v>189</v>
      </c>
      <c r="B35" s="7">
        <v>4169</v>
      </c>
      <c r="E35" s="9"/>
    </row>
    <row r="36" spans="1:5" x14ac:dyDescent="0.25">
      <c r="A36" s="204" t="s">
        <v>184</v>
      </c>
      <c r="B36" s="205">
        <v>747.95</v>
      </c>
      <c r="E36" s="9"/>
    </row>
    <row r="37" spans="1:5" x14ac:dyDescent="0.25">
      <c r="A37" s="3" t="s">
        <v>186</v>
      </c>
      <c r="B37" s="7">
        <v>689.06</v>
      </c>
      <c r="E37" s="9"/>
    </row>
    <row r="38" spans="1:5" x14ac:dyDescent="0.25">
      <c r="A38" s="204" t="s">
        <v>187</v>
      </c>
      <c r="B38" s="205">
        <v>405.06</v>
      </c>
      <c r="E38" s="9"/>
    </row>
    <row r="39" spans="1:5" x14ac:dyDescent="0.25">
      <c r="A39" s="3" t="s">
        <v>183</v>
      </c>
      <c r="B39" s="7">
        <v>512.99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4115.5300000000007</v>
      </c>
      <c r="E41" s="9"/>
    </row>
    <row r="42" spans="1:5" x14ac:dyDescent="0.25">
      <c r="A42" s="204" t="s">
        <v>194</v>
      </c>
      <c r="B42" s="205">
        <v>1786.37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560.18000000000006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1243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10472.5</v>
      </c>
      <c r="E51" s="9"/>
    </row>
    <row r="52" spans="1:5" ht="15.75" thickBot="1" x14ac:dyDescent="0.3">
      <c r="A52" s="206" t="s">
        <v>204</v>
      </c>
      <c r="B52" s="207">
        <f>SUBTOTAL(109,B4:B51)</f>
        <v>147507.54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171032.54</v>
      </c>
    </row>
    <row r="66" spans="1:2" x14ac:dyDescent="0.25">
      <c r="A66" s="135" t="s">
        <v>221</v>
      </c>
      <c r="B66" s="5">
        <v>4100</v>
      </c>
    </row>
    <row r="67" spans="1:2" x14ac:dyDescent="0.25">
      <c r="A67" s="135" t="s">
        <v>222</v>
      </c>
      <c r="B67" s="5">
        <v>8800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EA07-C1C5-4D47-A6A2-615B86738F59}">
  <sheetPr codeName="Sheet17"/>
  <dimension ref="A1:B68"/>
  <sheetViews>
    <sheetView topLeftCell="A27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</cols>
  <sheetData>
    <row r="1" spans="1:2" ht="18.75" x14ac:dyDescent="0.3">
      <c r="A1" s="1" t="s">
        <v>236</v>
      </c>
    </row>
    <row r="2" spans="1:2" ht="15.75" thickBot="1" x14ac:dyDescent="0.3"/>
    <row r="3" spans="1:2" ht="15.75" thickBot="1" x14ac:dyDescent="0.3">
      <c r="A3" s="121" t="s">
        <v>149</v>
      </c>
      <c r="B3" s="122" t="s">
        <v>219</v>
      </c>
    </row>
    <row r="4" spans="1:2" x14ac:dyDescent="0.25">
      <c r="A4" s="202" t="s">
        <v>150</v>
      </c>
      <c r="B4" s="203">
        <v>3000</v>
      </c>
    </row>
    <row r="5" spans="1:2" x14ac:dyDescent="0.25">
      <c r="A5" s="3" t="s">
        <v>151</v>
      </c>
      <c r="B5" s="7">
        <v>300</v>
      </c>
    </row>
    <row r="6" spans="1:2" x14ac:dyDescent="0.25">
      <c r="A6" s="204" t="s">
        <v>152</v>
      </c>
      <c r="B6" s="205">
        <v>875</v>
      </c>
    </row>
    <row r="7" spans="1:2" x14ac:dyDescent="0.25">
      <c r="A7" s="3" t="s">
        <v>153</v>
      </c>
      <c r="B7" s="7">
        <v>50</v>
      </c>
    </row>
    <row r="8" spans="1:2" x14ac:dyDescent="0.25">
      <c r="A8" s="204" t="s">
        <v>154</v>
      </c>
      <c r="B8" s="197">
        <v>225</v>
      </c>
    </row>
    <row r="9" spans="1:2" x14ac:dyDescent="0.25">
      <c r="A9" s="3" t="s">
        <v>155</v>
      </c>
      <c r="B9" s="7">
        <v>7621.57</v>
      </c>
    </row>
    <row r="10" spans="1:2" x14ac:dyDescent="0.25">
      <c r="A10" s="204" t="s">
        <v>159</v>
      </c>
      <c r="B10" s="205">
        <v>8954.2999999999993</v>
      </c>
    </row>
    <row r="11" spans="1:2" x14ac:dyDescent="0.25">
      <c r="A11" s="3" t="s">
        <v>157</v>
      </c>
      <c r="B11" s="7">
        <v>0</v>
      </c>
    </row>
    <row r="12" spans="1:2" x14ac:dyDescent="0.25">
      <c r="A12" s="204" t="s">
        <v>158</v>
      </c>
      <c r="B12" s="205">
        <v>0</v>
      </c>
    </row>
    <row r="13" spans="1:2" x14ac:dyDescent="0.25">
      <c r="A13" s="3" t="s">
        <v>156</v>
      </c>
      <c r="B13" s="7">
        <v>9272</v>
      </c>
    </row>
    <row r="14" spans="1:2" x14ac:dyDescent="0.25">
      <c r="A14" s="204" t="s">
        <v>169</v>
      </c>
      <c r="B14" s="205">
        <v>226</v>
      </c>
    </row>
    <row r="15" spans="1:2" x14ac:dyDescent="0.25">
      <c r="A15" s="3" t="s">
        <v>166</v>
      </c>
      <c r="B15" s="7">
        <v>2445.2199999999998</v>
      </c>
    </row>
    <row r="16" spans="1:2" x14ac:dyDescent="0.25">
      <c r="A16" s="204" t="s">
        <v>163</v>
      </c>
      <c r="B16" s="205">
        <v>5928.55</v>
      </c>
    </row>
    <row r="17" spans="1:2" x14ac:dyDescent="0.25">
      <c r="A17" s="3" t="s">
        <v>168</v>
      </c>
      <c r="B17" s="7">
        <v>173</v>
      </c>
    </row>
    <row r="18" spans="1:2" x14ac:dyDescent="0.25">
      <c r="A18" s="204" t="s">
        <v>167</v>
      </c>
      <c r="B18" s="205">
        <v>1794.95</v>
      </c>
    </row>
    <row r="19" spans="1:2" x14ac:dyDescent="0.25">
      <c r="A19" s="3" t="s">
        <v>170</v>
      </c>
      <c r="B19" s="7">
        <v>1600</v>
      </c>
    </row>
    <row r="20" spans="1:2" x14ac:dyDescent="0.25">
      <c r="A20" s="204" t="s">
        <v>164</v>
      </c>
      <c r="B20" s="205">
        <v>4302.3900000000003</v>
      </c>
    </row>
    <row r="21" spans="1:2" x14ac:dyDescent="0.25">
      <c r="A21" s="3" t="s">
        <v>165</v>
      </c>
      <c r="B21" s="7">
        <v>2720</v>
      </c>
    </row>
    <row r="22" spans="1:2" x14ac:dyDescent="0.25">
      <c r="A22" s="204" t="s">
        <v>172</v>
      </c>
      <c r="B22" s="205">
        <v>8700</v>
      </c>
    </row>
    <row r="23" spans="1:2" x14ac:dyDescent="0.25">
      <c r="A23" s="3" t="s">
        <v>174</v>
      </c>
      <c r="B23" s="7">
        <v>300.11</v>
      </c>
    </row>
    <row r="24" spans="1:2" x14ac:dyDescent="0.25">
      <c r="A24" s="204" t="s">
        <v>173</v>
      </c>
      <c r="B24" s="205">
        <v>6843.48</v>
      </c>
    </row>
    <row r="25" spans="1:2" x14ac:dyDescent="0.25">
      <c r="A25" s="3" t="s">
        <v>192</v>
      </c>
      <c r="B25" s="7">
        <v>446.08</v>
      </c>
    </row>
    <row r="26" spans="1:2" x14ac:dyDescent="0.25">
      <c r="A26" s="204" t="s">
        <v>175</v>
      </c>
      <c r="B26" s="205">
        <v>0</v>
      </c>
    </row>
    <row r="27" spans="1:2" x14ac:dyDescent="0.25">
      <c r="A27" s="3" t="s">
        <v>171</v>
      </c>
      <c r="B27" s="7">
        <v>10261</v>
      </c>
    </row>
    <row r="28" spans="1:2" x14ac:dyDescent="0.25">
      <c r="A28" s="204" t="s">
        <v>176</v>
      </c>
      <c r="B28" s="205">
        <v>2981</v>
      </c>
    </row>
    <row r="29" spans="1:2" x14ac:dyDescent="0.25">
      <c r="A29" s="3" t="s">
        <v>177</v>
      </c>
      <c r="B29" s="7">
        <v>4161.8599999999997</v>
      </c>
    </row>
    <row r="30" spans="1:2" x14ac:dyDescent="0.25">
      <c r="A30" s="204" t="s">
        <v>178</v>
      </c>
      <c r="B30" s="205">
        <v>4075.92</v>
      </c>
    </row>
    <row r="31" spans="1:2" x14ac:dyDescent="0.25">
      <c r="A31" s="3" t="s">
        <v>190</v>
      </c>
      <c r="B31" s="7">
        <v>4885</v>
      </c>
    </row>
    <row r="32" spans="1:2" x14ac:dyDescent="0.25">
      <c r="A32" s="196" t="s">
        <v>182</v>
      </c>
      <c r="B32" s="205">
        <v>3593</v>
      </c>
    </row>
    <row r="33" spans="1:2" x14ac:dyDescent="0.25">
      <c r="A33" s="3" t="s">
        <v>180</v>
      </c>
      <c r="B33" s="7">
        <v>2842.8</v>
      </c>
    </row>
    <row r="34" spans="1:2" x14ac:dyDescent="0.25">
      <c r="A34" s="204" t="s">
        <v>179</v>
      </c>
      <c r="B34" s="205">
        <v>75</v>
      </c>
    </row>
    <row r="35" spans="1:2" x14ac:dyDescent="0.25">
      <c r="A35" s="3" t="s">
        <v>189</v>
      </c>
      <c r="B35" s="7">
        <v>3310</v>
      </c>
    </row>
    <row r="36" spans="1:2" x14ac:dyDescent="0.25">
      <c r="A36" s="204" t="s">
        <v>184</v>
      </c>
      <c r="B36" s="205">
        <v>503.6</v>
      </c>
    </row>
    <row r="37" spans="1:2" x14ac:dyDescent="0.25">
      <c r="A37" s="3" t="s">
        <v>186</v>
      </c>
      <c r="B37" s="7">
        <v>579.97</v>
      </c>
    </row>
    <row r="38" spans="1:2" x14ac:dyDescent="0.25">
      <c r="A38" s="204" t="s">
        <v>187</v>
      </c>
      <c r="B38" s="205">
        <v>373.81</v>
      </c>
    </row>
    <row r="39" spans="1:2" x14ac:dyDescent="0.25">
      <c r="A39" s="3" t="s">
        <v>183</v>
      </c>
      <c r="B39" s="7">
        <v>437.71</v>
      </c>
    </row>
    <row r="40" spans="1:2" x14ac:dyDescent="0.25">
      <c r="A40" s="204" t="s">
        <v>188</v>
      </c>
      <c r="B40" s="205">
        <v>695.9</v>
      </c>
    </row>
    <row r="41" spans="1:2" x14ac:dyDescent="0.25">
      <c r="A41" s="3" t="s">
        <v>196</v>
      </c>
      <c r="B41" s="7">
        <v>3303.25</v>
      </c>
    </row>
    <row r="42" spans="1:2" x14ac:dyDescent="0.25">
      <c r="A42" s="204" t="s">
        <v>194</v>
      </c>
      <c r="B42" s="205">
        <v>1411.13</v>
      </c>
    </row>
    <row r="43" spans="1:2" x14ac:dyDescent="0.25">
      <c r="A43" s="3" t="s">
        <v>191</v>
      </c>
      <c r="B43" s="7">
        <v>0</v>
      </c>
    </row>
    <row r="44" spans="1:2" x14ac:dyDescent="0.25">
      <c r="A44" s="204" t="s">
        <v>193</v>
      </c>
      <c r="B44" s="205">
        <v>1616.06</v>
      </c>
    </row>
    <row r="45" spans="1:2" x14ac:dyDescent="0.25">
      <c r="A45" s="3" t="s">
        <v>197</v>
      </c>
      <c r="B45" s="7">
        <v>478.1</v>
      </c>
    </row>
    <row r="46" spans="1:2" x14ac:dyDescent="0.25">
      <c r="A46" s="204" t="s">
        <v>202</v>
      </c>
      <c r="B46" s="205">
        <v>235</v>
      </c>
    </row>
    <row r="47" spans="1:2" x14ac:dyDescent="0.25">
      <c r="A47" s="3" t="s">
        <v>198</v>
      </c>
      <c r="B47" s="7">
        <v>657</v>
      </c>
    </row>
    <row r="48" spans="1:2" x14ac:dyDescent="0.25">
      <c r="A48" s="204" t="s">
        <v>199</v>
      </c>
      <c r="B48" s="205">
        <v>310</v>
      </c>
    </row>
    <row r="49" spans="1:2" x14ac:dyDescent="0.25">
      <c r="A49" s="3" t="s">
        <v>200</v>
      </c>
      <c r="B49" s="7">
        <v>0</v>
      </c>
    </row>
    <row r="50" spans="1:2" x14ac:dyDescent="0.25">
      <c r="A50" s="204" t="s">
        <v>201</v>
      </c>
      <c r="B50" s="205">
        <v>90</v>
      </c>
    </row>
    <row r="51" spans="1:2" x14ac:dyDescent="0.25">
      <c r="A51" s="3" t="s">
        <v>203</v>
      </c>
      <c r="B51" s="7">
        <v>16863</v>
      </c>
    </row>
    <row r="52" spans="1:2" ht="15.75" thickBot="1" x14ac:dyDescent="0.3">
      <c r="A52" s="206" t="s">
        <v>204</v>
      </c>
      <c r="B52" s="207">
        <f>SUBTOTAL(109,B4:B51)</f>
        <v>129517.76000000001</v>
      </c>
    </row>
    <row r="53" spans="1:2" x14ac:dyDescent="0.25">
      <c r="A53" s="2" t="s">
        <v>205</v>
      </c>
      <c r="B53" s="6">
        <v>1700</v>
      </c>
    </row>
    <row r="54" spans="1:2" x14ac:dyDescent="0.25">
      <c r="A54" s="204" t="s">
        <v>207</v>
      </c>
      <c r="B54" s="205">
        <v>1700</v>
      </c>
    </row>
    <row r="55" spans="1:2" x14ac:dyDescent="0.25">
      <c r="A55" s="3" t="s">
        <v>208</v>
      </c>
      <c r="B55" s="7">
        <v>2000</v>
      </c>
    </row>
    <row r="56" spans="1:2" x14ac:dyDescent="0.25">
      <c r="A56" s="204" t="s">
        <v>209</v>
      </c>
      <c r="B56" s="205">
        <v>500</v>
      </c>
    </row>
    <row r="57" spans="1:2" x14ac:dyDescent="0.25">
      <c r="A57" s="3" t="s">
        <v>210</v>
      </c>
      <c r="B57" s="7">
        <v>2500</v>
      </c>
    </row>
    <row r="58" spans="1:2" x14ac:dyDescent="0.25">
      <c r="A58" s="204" t="s">
        <v>211</v>
      </c>
      <c r="B58" s="205">
        <v>2475</v>
      </c>
    </row>
    <row r="59" spans="1:2" ht="15.75" thickBot="1" x14ac:dyDescent="0.3">
      <c r="A59" s="4" t="s">
        <v>212</v>
      </c>
      <c r="B59" s="8">
        <f>SUM(B53:B58)</f>
        <v>10875</v>
      </c>
    </row>
    <row r="60" spans="1:2" x14ac:dyDescent="0.25">
      <c r="A60" s="202" t="s">
        <v>213</v>
      </c>
      <c r="B60" s="203">
        <v>2050</v>
      </c>
    </row>
    <row r="61" spans="1:2" x14ac:dyDescent="0.25">
      <c r="A61" s="3" t="s">
        <v>215</v>
      </c>
      <c r="B61" s="7">
        <v>10000</v>
      </c>
    </row>
    <row r="62" spans="1:2" x14ac:dyDescent="0.25">
      <c r="A62" s="204" t="s">
        <v>216</v>
      </c>
      <c r="B62" s="205">
        <v>600</v>
      </c>
    </row>
    <row r="63" spans="1:2" x14ac:dyDescent="0.25">
      <c r="A63" s="4" t="s">
        <v>217</v>
      </c>
      <c r="B63" s="8">
        <f>SUM(B60:B62)</f>
        <v>12650</v>
      </c>
    </row>
    <row r="64" spans="1:2" ht="15.75" thickBot="1" x14ac:dyDescent="0.3">
      <c r="A64" s="208" t="s">
        <v>220</v>
      </c>
      <c r="B64" s="209">
        <f>B63+B59+B52</f>
        <v>153042.76</v>
      </c>
    </row>
    <row r="66" spans="1:2" x14ac:dyDescent="0.25">
      <c r="A66" s="135" t="s">
        <v>221</v>
      </c>
      <c r="B66" s="5">
        <v>2800</v>
      </c>
    </row>
    <row r="67" spans="1:2" x14ac:dyDescent="0.25">
      <c r="A67" s="135" t="s">
        <v>222</v>
      </c>
      <c r="B67" s="5">
        <v>7300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8D2E-2ADD-4C64-81F5-84CCE935D2E2}">
  <sheetPr codeName="Sheet18"/>
  <dimension ref="A1:E68"/>
  <sheetViews>
    <sheetView topLeftCell="A30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237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6015.42</v>
      </c>
      <c r="E9" s="9"/>
    </row>
    <row r="10" spans="1:5" x14ac:dyDescent="0.25">
      <c r="A10" s="204" t="s">
        <v>159</v>
      </c>
      <c r="B10" s="205">
        <v>4959.1000000000004</v>
      </c>
      <c r="E10" s="9"/>
    </row>
    <row r="11" spans="1:5" x14ac:dyDescent="0.25">
      <c r="A11" s="3" t="s">
        <v>157</v>
      </c>
      <c r="B11" s="7">
        <v>0</v>
      </c>
      <c r="E11" s="9"/>
    </row>
    <row r="12" spans="1:5" x14ac:dyDescent="0.25">
      <c r="A12" s="204" t="s">
        <v>158</v>
      </c>
      <c r="B12" s="205">
        <v>0</v>
      </c>
      <c r="E12" s="9"/>
    </row>
    <row r="13" spans="1:5" x14ac:dyDescent="0.25">
      <c r="A13" s="3" t="s">
        <v>156</v>
      </c>
      <c r="B13" s="7">
        <v>6936</v>
      </c>
      <c r="E13" s="9"/>
    </row>
    <row r="14" spans="1:5" x14ac:dyDescent="0.25">
      <c r="A14" s="204" t="s">
        <v>169</v>
      </c>
      <c r="B14" s="205">
        <v>240</v>
      </c>
      <c r="E14" s="9"/>
    </row>
    <row r="15" spans="1:5" x14ac:dyDescent="0.25">
      <c r="A15" s="3" t="s">
        <v>166</v>
      </c>
      <c r="B15" s="7">
        <v>1274.1099999999999</v>
      </c>
      <c r="E15" s="9"/>
    </row>
    <row r="16" spans="1:5" x14ac:dyDescent="0.25">
      <c r="A16" s="204" t="s">
        <v>163</v>
      </c>
      <c r="B16" s="205">
        <v>4800.72</v>
      </c>
      <c r="E16" s="9"/>
    </row>
    <row r="17" spans="1:5" x14ac:dyDescent="0.25">
      <c r="A17" s="3" t="s">
        <v>168</v>
      </c>
      <c r="B17" s="7">
        <v>256</v>
      </c>
      <c r="E17" s="9"/>
    </row>
    <row r="18" spans="1:5" x14ac:dyDescent="0.25">
      <c r="A18" s="204" t="s">
        <v>167</v>
      </c>
      <c r="B18" s="205">
        <v>1860.56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3613.36</v>
      </c>
      <c r="E20" s="9"/>
    </row>
    <row r="21" spans="1:5" x14ac:dyDescent="0.25">
      <c r="A21" s="3" t="s">
        <v>165</v>
      </c>
      <c r="B21" s="7">
        <v>2345</v>
      </c>
      <c r="E21" s="9"/>
    </row>
    <row r="22" spans="1:5" x14ac:dyDescent="0.25">
      <c r="A22" s="204" t="s">
        <v>172</v>
      </c>
      <c r="B22" s="205">
        <v>7200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5941.07</v>
      </c>
      <c r="E24" s="9"/>
    </row>
    <row r="25" spans="1:5" x14ac:dyDescent="0.25">
      <c r="A25" s="3" t="s">
        <v>192</v>
      </c>
      <c r="B25" s="7">
        <v>411.73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10398</v>
      </c>
      <c r="E27" s="9"/>
    </row>
    <row r="28" spans="1:5" x14ac:dyDescent="0.25">
      <c r="A28" s="204" t="s">
        <v>176</v>
      </c>
      <c r="B28" s="205">
        <v>2833</v>
      </c>
      <c r="E28" s="9"/>
    </row>
    <row r="29" spans="1:5" x14ac:dyDescent="0.25">
      <c r="A29" s="3" t="s">
        <v>177</v>
      </c>
      <c r="B29" s="7">
        <v>3308.57</v>
      </c>
      <c r="E29" s="9"/>
    </row>
    <row r="30" spans="1:5" x14ac:dyDescent="0.25">
      <c r="A30" s="204" t="s">
        <v>178</v>
      </c>
      <c r="B30" s="205">
        <v>3225.24</v>
      </c>
      <c r="E30" s="9"/>
    </row>
    <row r="31" spans="1:5" x14ac:dyDescent="0.25">
      <c r="A31" s="3" t="s">
        <v>190</v>
      </c>
      <c r="B31" s="7">
        <v>4175</v>
      </c>
      <c r="E31" s="9"/>
    </row>
    <row r="32" spans="1:5" x14ac:dyDescent="0.25">
      <c r="A32" s="204" t="s">
        <v>182</v>
      </c>
      <c r="B32" s="205">
        <v>2903</v>
      </c>
      <c r="E32" s="9"/>
    </row>
    <row r="33" spans="1:5" x14ac:dyDescent="0.25">
      <c r="A33" s="3" t="s">
        <v>180</v>
      </c>
      <c r="B33" s="7">
        <v>2152.8000000000002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2604</v>
      </c>
      <c r="E35" s="9"/>
    </row>
    <row r="36" spans="1:5" x14ac:dyDescent="0.25">
      <c r="A36" s="204" t="s">
        <v>184</v>
      </c>
      <c r="B36" s="205">
        <v>440.8</v>
      </c>
      <c r="E36" s="9"/>
    </row>
    <row r="37" spans="1:5" x14ac:dyDescent="0.25">
      <c r="A37" s="3" t="s">
        <v>186</v>
      </c>
      <c r="B37" s="7">
        <v>579.97</v>
      </c>
      <c r="E37" s="9"/>
    </row>
    <row r="38" spans="1:5" x14ac:dyDescent="0.25">
      <c r="A38" s="204" t="s">
        <v>187</v>
      </c>
      <c r="B38" s="205">
        <v>373.81</v>
      </c>
      <c r="E38" s="9"/>
    </row>
    <row r="39" spans="1:5" x14ac:dyDescent="0.25">
      <c r="A39" s="3" t="s">
        <v>183</v>
      </c>
      <c r="B39" s="7">
        <v>394.23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2619.59</v>
      </c>
      <c r="E41" s="9"/>
    </row>
    <row r="42" spans="1:5" x14ac:dyDescent="0.25">
      <c r="A42" s="204" t="s">
        <v>194</v>
      </c>
      <c r="B42" s="205">
        <v>953.88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410.6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896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201</v>
      </c>
      <c r="B49" s="7">
        <v>0</v>
      </c>
      <c r="E49" s="9"/>
    </row>
    <row r="50" spans="1:5" x14ac:dyDescent="0.25">
      <c r="A50" s="204" t="s">
        <v>200</v>
      </c>
      <c r="B50" s="205">
        <v>90</v>
      </c>
      <c r="E50" s="9"/>
    </row>
    <row r="51" spans="1:5" x14ac:dyDescent="0.25">
      <c r="A51" s="3" t="s">
        <v>203</v>
      </c>
      <c r="B51" s="7">
        <v>12802.5</v>
      </c>
      <c r="E51" s="9"/>
    </row>
    <row r="52" spans="1:5" ht="15.75" thickBot="1" x14ac:dyDescent="0.3">
      <c r="A52" s="206" t="s">
        <v>204</v>
      </c>
      <c r="B52" s="207">
        <f>SUBTOTAL(109,B4:B51)</f>
        <v>105821.13000000002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129346.13000000002</v>
      </c>
    </row>
    <row r="66" spans="1:2" x14ac:dyDescent="0.25">
      <c r="A66" s="135" t="s">
        <v>221</v>
      </c>
      <c r="B66" s="5">
        <v>3000</v>
      </c>
    </row>
    <row r="67" spans="1:2" x14ac:dyDescent="0.25">
      <c r="A67" s="135" t="s">
        <v>222</v>
      </c>
      <c r="B67" s="5">
        <v>6500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B4EA-E733-45A0-9D1C-297AEEF0BEA0}">
  <sheetPr codeName="Sheet19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238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197">
        <v>225</v>
      </c>
      <c r="E8" s="9"/>
    </row>
    <row r="9" spans="1:5" x14ac:dyDescent="0.25">
      <c r="A9" s="3" t="s">
        <v>155</v>
      </c>
      <c r="B9" s="7">
        <v>10234.67</v>
      </c>
      <c r="E9" s="9"/>
    </row>
    <row r="10" spans="1:5" x14ac:dyDescent="0.25">
      <c r="A10" s="204" t="s">
        <v>159</v>
      </c>
      <c r="B10" s="205">
        <v>4487.34</v>
      </c>
      <c r="E10" s="9"/>
    </row>
    <row r="11" spans="1:5" x14ac:dyDescent="0.25">
      <c r="A11" s="3" t="s">
        <v>157</v>
      </c>
      <c r="B11" s="7">
        <v>5465.46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10877.4</v>
      </c>
      <c r="E13" s="9"/>
    </row>
    <row r="14" spans="1:5" x14ac:dyDescent="0.25">
      <c r="A14" s="204" t="s">
        <v>169</v>
      </c>
      <c r="B14" s="205">
        <v>352</v>
      </c>
      <c r="E14" s="9"/>
    </row>
    <row r="15" spans="1:5" x14ac:dyDescent="0.25">
      <c r="A15" s="3" t="s">
        <v>166</v>
      </c>
      <c r="B15" s="7">
        <v>2936.09</v>
      </c>
      <c r="E15" s="9"/>
    </row>
    <row r="16" spans="1:5" x14ac:dyDescent="0.25">
      <c r="A16" s="204" t="s">
        <v>163</v>
      </c>
      <c r="B16" s="205">
        <v>4612.8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1832.73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4868.08</v>
      </c>
      <c r="E20" s="9"/>
    </row>
    <row r="21" spans="1:5" x14ac:dyDescent="0.25">
      <c r="A21" s="3" t="s">
        <v>165</v>
      </c>
      <c r="B21" s="7">
        <v>2900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8876.69</v>
      </c>
      <c r="E24" s="9"/>
    </row>
    <row r="25" spans="1:5" x14ac:dyDescent="0.25">
      <c r="A25" s="3" t="s">
        <v>192</v>
      </c>
      <c r="B25" s="7">
        <v>652.30999999999995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12631</v>
      </c>
      <c r="E27" s="9"/>
    </row>
    <row r="28" spans="1:5" x14ac:dyDescent="0.25">
      <c r="A28" s="204" t="s">
        <v>176</v>
      </c>
      <c r="B28" s="205">
        <v>3698</v>
      </c>
      <c r="E28" s="9"/>
    </row>
    <row r="29" spans="1:5" x14ac:dyDescent="0.25">
      <c r="A29" s="3" t="s">
        <v>177</v>
      </c>
      <c r="B29" s="7">
        <v>4923.9399999999996</v>
      </c>
      <c r="E29" s="9"/>
    </row>
    <row r="30" spans="1:5" x14ac:dyDescent="0.25">
      <c r="A30" s="204" t="s">
        <v>178</v>
      </c>
      <c r="B30" s="205">
        <v>5088.78</v>
      </c>
      <c r="E30" s="9"/>
    </row>
    <row r="31" spans="1:5" x14ac:dyDescent="0.25">
      <c r="A31" s="3" t="s">
        <v>190</v>
      </c>
      <c r="B31" s="7">
        <v>5380</v>
      </c>
      <c r="E31" s="9"/>
    </row>
    <row r="32" spans="1:5" x14ac:dyDescent="0.25">
      <c r="A32" s="196" t="s">
        <v>182</v>
      </c>
      <c r="B32" s="205">
        <v>4637</v>
      </c>
      <c r="E32" s="9"/>
    </row>
    <row r="33" spans="1:5" x14ac:dyDescent="0.25">
      <c r="A33" s="3" t="s">
        <v>180</v>
      </c>
      <c r="B33" s="7">
        <v>3689.2</v>
      </c>
      <c r="E33" s="9"/>
    </row>
    <row r="34" spans="1:5" x14ac:dyDescent="0.25">
      <c r="A34" s="204" t="s">
        <v>179</v>
      </c>
      <c r="B34" s="205">
        <v>75</v>
      </c>
      <c r="E34" s="9"/>
    </row>
    <row r="35" spans="1:5" x14ac:dyDescent="0.25">
      <c r="A35" s="3" t="s">
        <v>189</v>
      </c>
      <c r="B35" s="7">
        <v>3808</v>
      </c>
      <c r="E35" s="9"/>
    </row>
    <row r="36" spans="1:5" x14ac:dyDescent="0.25">
      <c r="A36" s="204" t="s">
        <v>184</v>
      </c>
      <c r="B36" s="205">
        <v>726.7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428.63</v>
      </c>
      <c r="E38" s="9"/>
    </row>
    <row r="39" spans="1:5" x14ac:dyDescent="0.25">
      <c r="A39" s="3" t="s">
        <v>183</v>
      </c>
      <c r="B39" s="7">
        <v>507.85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3348.3199999999997</v>
      </c>
      <c r="E41" s="9"/>
    </row>
    <row r="42" spans="1:5" x14ac:dyDescent="0.25">
      <c r="A42" s="204" t="s">
        <v>194</v>
      </c>
      <c r="B42" s="205">
        <v>2110.87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560.9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866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12045</v>
      </c>
      <c r="E51" s="9"/>
    </row>
    <row r="52" spans="1:5" ht="15.75" thickBot="1" x14ac:dyDescent="0.3">
      <c r="A52" s="206" t="s">
        <v>204</v>
      </c>
      <c r="B52" s="207">
        <f>SUBTOTAL(109,B4:B51)</f>
        <v>143852.55000000002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167377.55000000002</v>
      </c>
    </row>
    <row r="66" spans="1:2" x14ac:dyDescent="0.25">
      <c r="A66" s="135" t="s">
        <v>221</v>
      </c>
      <c r="B66" s="5">
        <v>4400</v>
      </c>
    </row>
    <row r="67" spans="1:2" x14ac:dyDescent="0.25">
      <c r="A67" s="135" t="s">
        <v>222</v>
      </c>
      <c r="B67" s="5">
        <v>6700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CA74-AE78-4BE7-A9F4-0A80545830C5}">
  <sheetPr codeName="Sheet20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239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3000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875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225</v>
      </c>
      <c r="E8" s="9"/>
    </row>
    <row r="9" spans="1:5" x14ac:dyDescent="0.25">
      <c r="A9" s="3" t="s">
        <v>155</v>
      </c>
      <c r="B9" s="7">
        <v>9344.9</v>
      </c>
      <c r="E9" s="9"/>
    </row>
    <row r="10" spans="1:5" x14ac:dyDescent="0.25">
      <c r="A10" s="204" t="s">
        <v>159</v>
      </c>
      <c r="B10" s="205">
        <v>4489.66</v>
      </c>
      <c r="E10" s="9"/>
    </row>
    <row r="11" spans="1:5" x14ac:dyDescent="0.25">
      <c r="A11" s="3" t="s">
        <v>157</v>
      </c>
      <c r="B11" s="7">
        <v>3213.92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10244.799999999999</v>
      </c>
      <c r="E13" s="9"/>
    </row>
    <row r="14" spans="1:5" x14ac:dyDescent="0.25">
      <c r="A14" s="204" t="s">
        <v>169</v>
      </c>
      <c r="B14" s="205">
        <v>308</v>
      </c>
      <c r="E14" s="9"/>
    </row>
    <row r="15" spans="1:5" x14ac:dyDescent="0.25">
      <c r="A15" s="3" t="s">
        <v>166</v>
      </c>
      <c r="B15" s="7">
        <v>2741.53</v>
      </c>
      <c r="E15" s="9"/>
    </row>
    <row r="16" spans="1:5" x14ac:dyDescent="0.25">
      <c r="A16" s="204" t="s">
        <v>163</v>
      </c>
      <c r="B16" s="205">
        <v>4424.08</v>
      </c>
      <c r="E16" s="9"/>
    </row>
    <row r="17" spans="1:5" x14ac:dyDescent="0.25">
      <c r="A17" s="3" t="s">
        <v>168</v>
      </c>
      <c r="B17" s="7">
        <v>180</v>
      </c>
      <c r="E17" s="9"/>
    </row>
    <row r="18" spans="1:5" x14ac:dyDescent="0.25">
      <c r="A18" s="204" t="s">
        <v>167</v>
      </c>
      <c r="B18" s="205">
        <v>1623.96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4875.1099999999997</v>
      </c>
      <c r="E20" s="9"/>
    </row>
    <row r="21" spans="1:5" x14ac:dyDescent="0.25">
      <c r="A21" s="3" t="s">
        <v>165</v>
      </c>
      <c r="B21" s="7">
        <v>2900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8314.77</v>
      </c>
      <c r="E24" s="9"/>
    </row>
    <row r="25" spans="1:5" x14ac:dyDescent="0.25">
      <c r="A25" s="3" t="s">
        <v>192</v>
      </c>
      <c r="B25" s="7">
        <v>633.08000000000004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12671</v>
      </c>
      <c r="E27" s="9"/>
    </row>
    <row r="28" spans="1:5" x14ac:dyDescent="0.25">
      <c r="A28" s="204" t="s">
        <v>176</v>
      </c>
      <c r="B28" s="205">
        <v>3238</v>
      </c>
      <c r="E28" s="9"/>
    </row>
    <row r="29" spans="1:5" x14ac:dyDescent="0.25">
      <c r="A29" s="3" t="s">
        <v>177</v>
      </c>
      <c r="B29" s="7">
        <v>4434.24</v>
      </c>
      <c r="E29" s="9"/>
    </row>
    <row r="30" spans="1:5" x14ac:dyDescent="0.25">
      <c r="A30" s="204" t="s">
        <v>178</v>
      </c>
      <c r="B30" s="205">
        <v>4681.8</v>
      </c>
      <c r="E30" s="9"/>
    </row>
    <row r="31" spans="1:5" x14ac:dyDescent="0.25">
      <c r="A31" s="3" t="s">
        <v>190</v>
      </c>
      <c r="B31" s="7">
        <v>5425.1900000000005</v>
      </c>
      <c r="E31" s="9"/>
    </row>
    <row r="32" spans="1:5" x14ac:dyDescent="0.25">
      <c r="A32" s="196" t="s">
        <v>182</v>
      </c>
      <c r="B32" s="205">
        <v>4255</v>
      </c>
      <c r="E32" s="9"/>
    </row>
    <row r="33" spans="1:5" x14ac:dyDescent="0.25">
      <c r="A33" s="3" t="s">
        <v>180</v>
      </c>
      <c r="B33" s="7">
        <v>3416.88</v>
      </c>
      <c r="E33" s="9"/>
    </row>
    <row r="34" spans="1:5" x14ac:dyDescent="0.25">
      <c r="A34" s="204" t="s">
        <v>179</v>
      </c>
      <c r="B34" s="205">
        <v>125</v>
      </c>
      <c r="E34" s="9"/>
    </row>
    <row r="35" spans="1:5" x14ac:dyDescent="0.25">
      <c r="A35" s="3" t="s">
        <v>189</v>
      </c>
      <c r="B35" s="7">
        <v>3050</v>
      </c>
      <c r="E35" s="9"/>
    </row>
    <row r="36" spans="1:5" x14ac:dyDescent="0.25">
      <c r="A36" s="204" t="s">
        <v>184</v>
      </c>
      <c r="B36" s="205">
        <v>560.20000000000005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405.06</v>
      </c>
      <c r="E38" s="9"/>
    </row>
    <row r="39" spans="1:5" x14ac:dyDescent="0.25">
      <c r="A39" s="3" t="s">
        <v>183</v>
      </c>
      <c r="B39" s="7">
        <v>510.06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3436.85</v>
      </c>
      <c r="E41" s="9"/>
    </row>
    <row r="42" spans="1:5" x14ac:dyDescent="0.25">
      <c r="A42" s="204" t="s">
        <v>194</v>
      </c>
      <c r="B42" s="205">
        <v>1929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534.26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788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90</v>
      </c>
      <c r="E50" s="9"/>
    </row>
    <row r="51" spans="1:5" x14ac:dyDescent="0.25">
      <c r="A51" s="3" t="s">
        <v>203</v>
      </c>
      <c r="B51" s="7">
        <v>10577.5</v>
      </c>
      <c r="E51" s="9"/>
    </row>
    <row r="52" spans="1:5" ht="15.75" thickBot="1" x14ac:dyDescent="0.3">
      <c r="A52" s="206" t="s">
        <v>204</v>
      </c>
      <c r="B52" s="207">
        <f>SUBTOTAL(109,B4:B51)</f>
        <v>133890.64000000001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157415.64000000001</v>
      </c>
    </row>
    <row r="66" spans="1:2" x14ac:dyDescent="0.25">
      <c r="A66" s="135" t="s">
        <v>221</v>
      </c>
      <c r="B66" s="5">
        <v>4100</v>
      </c>
    </row>
    <row r="67" spans="1:2" x14ac:dyDescent="0.25">
      <c r="A67" s="135" t="s">
        <v>222</v>
      </c>
      <c r="B67" s="5">
        <v>9000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3B15-D34F-413B-9D21-32747D1D3DB5}">
  <sheetPr codeName="Sheet21"/>
  <dimension ref="A1:E68"/>
  <sheetViews>
    <sheetView topLeftCell="A53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240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12257.66</v>
      </c>
      <c r="E9" s="9"/>
    </row>
    <row r="10" spans="1:5" x14ac:dyDescent="0.25">
      <c r="A10" s="204" t="s">
        <v>159</v>
      </c>
      <c r="B10" s="205">
        <v>3893.18</v>
      </c>
      <c r="E10" s="9"/>
    </row>
    <row r="11" spans="1:5" x14ac:dyDescent="0.25">
      <c r="A11" s="3" t="s">
        <v>157</v>
      </c>
      <c r="B11" s="7">
        <v>3919.99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12164</v>
      </c>
      <c r="E13" s="9"/>
    </row>
    <row r="14" spans="1:5" x14ac:dyDescent="0.25">
      <c r="A14" s="204" t="s">
        <v>169</v>
      </c>
      <c r="B14" s="205">
        <v>242</v>
      </c>
      <c r="E14" s="9"/>
    </row>
    <row r="15" spans="1:5" x14ac:dyDescent="0.25">
      <c r="A15" s="3" t="s">
        <v>166</v>
      </c>
      <c r="B15" s="7">
        <v>1951.74</v>
      </c>
      <c r="E15" s="9"/>
    </row>
    <row r="16" spans="1:5" x14ac:dyDescent="0.25">
      <c r="A16" s="204" t="s">
        <v>163</v>
      </c>
      <c r="B16" s="205">
        <v>3297.59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1794.95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3769.91</v>
      </c>
      <c r="E20" s="9"/>
    </row>
    <row r="21" spans="1:5" x14ac:dyDescent="0.25">
      <c r="A21" s="3" t="s">
        <v>165</v>
      </c>
      <c r="B21" s="7">
        <v>2600</v>
      </c>
      <c r="E21" s="9"/>
    </row>
    <row r="22" spans="1:5" x14ac:dyDescent="0.25">
      <c r="A22" s="204" t="s">
        <v>172</v>
      </c>
      <c r="B22" s="205">
        <v>10200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9165</v>
      </c>
      <c r="E24" s="9"/>
    </row>
    <row r="25" spans="1:5" x14ac:dyDescent="0.25">
      <c r="A25" s="3" t="s">
        <v>192</v>
      </c>
      <c r="B25" s="7">
        <v>703.59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13256</v>
      </c>
      <c r="E27" s="9"/>
    </row>
    <row r="28" spans="1:5" x14ac:dyDescent="0.25">
      <c r="A28" s="204" t="s">
        <v>176</v>
      </c>
      <c r="B28" s="205">
        <v>3541</v>
      </c>
      <c r="E28" s="9"/>
    </row>
    <row r="29" spans="1:5" x14ac:dyDescent="0.25">
      <c r="A29" s="3" t="s">
        <v>177</v>
      </c>
      <c r="B29" s="7">
        <v>3800.3</v>
      </c>
      <c r="E29" s="9"/>
    </row>
    <row r="30" spans="1:5" x14ac:dyDescent="0.25">
      <c r="A30" s="204" t="s">
        <v>178</v>
      </c>
      <c r="B30" s="205">
        <v>4161.6000000000004</v>
      </c>
      <c r="E30" s="9"/>
    </row>
    <row r="31" spans="1:5" x14ac:dyDescent="0.25">
      <c r="A31" s="3" t="s">
        <v>190</v>
      </c>
      <c r="B31" s="7">
        <v>3833</v>
      </c>
      <c r="E31" s="9"/>
    </row>
    <row r="32" spans="1:5" x14ac:dyDescent="0.25">
      <c r="A32" s="196" t="s">
        <v>182</v>
      </c>
      <c r="B32" s="205">
        <v>4400</v>
      </c>
      <c r="E32" s="9"/>
    </row>
    <row r="33" spans="1:5" x14ac:dyDescent="0.25">
      <c r="A33" s="3" t="s">
        <v>180</v>
      </c>
      <c r="B33" s="7">
        <v>3128</v>
      </c>
      <c r="E33" s="9"/>
    </row>
    <row r="34" spans="1:5" x14ac:dyDescent="0.25">
      <c r="A34" s="204" t="s">
        <v>179</v>
      </c>
      <c r="B34" s="205">
        <v>0</v>
      </c>
      <c r="E34" s="9"/>
    </row>
    <row r="35" spans="1:5" x14ac:dyDescent="0.25">
      <c r="A35" s="3" t="s">
        <v>189</v>
      </c>
      <c r="B35" s="7">
        <v>3235</v>
      </c>
      <c r="E35" s="9"/>
    </row>
    <row r="36" spans="1:5" x14ac:dyDescent="0.25">
      <c r="A36" s="204" t="s">
        <v>184</v>
      </c>
      <c r="B36" s="205">
        <v>559.9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432.08</v>
      </c>
      <c r="E38" s="9"/>
    </row>
    <row r="39" spans="1:5" x14ac:dyDescent="0.25">
      <c r="A39" s="3" t="s">
        <v>183</v>
      </c>
      <c r="B39" s="7">
        <v>683.61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2958.98</v>
      </c>
      <c r="E41" s="9"/>
    </row>
    <row r="42" spans="1:5" x14ac:dyDescent="0.25">
      <c r="A42" s="204" t="s">
        <v>194</v>
      </c>
      <c r="B42" s="205">
        <v>1678.25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504.02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1160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8615</v>
      </c>
      <c r="E51" s="9"/>
    </row>
    <row r="52" spans="1:5" ht="15.75" thickBot="1" x14ac:dyDescent="0.3">
      <c r="A52" s="206" t="s">
        <v>204</v>
      </c>
      <c r="B52" s="207">
        <f>SUBTOTAL(109,B4:B51)</f>
        <v>130195.63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153720.63</v>
      </c>
    </row>
    <row r="66" spans="1:2" x14ac:dyDescent="0.25">
      <c r="A66" s="135" t="s">
        <v>221</v>
      </c>
      <c r="B66" s="5">
        <v>4600</v>
      </c>
    </row>
    <row r="67" spans="1:2" x14ac:dyDescent="0.25">
      <c r="A67" s="135" t="s">
        <v>222</v>
      </c>
      <c r="B67" s="5">
        <v>8800</v>
      </c>
    </row>
    <row r="68" spans="1:2" x14ac:dyDescent="0.25">
      <c r="A68" s="135" t="s">
        <v>223</v>
      </c>
      <c r="B68" s="5">
        <v>5900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F2EE-C1A7-4347-9581-D139102194A8}">
  <sheetPr codeName="Sheet22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241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14421.65</v>
      </c>
      <c r="E9" s="9"/>
    </row>
    <row r="10" spans="1:5" x14ac:dyDescent="0.25">
      <c r="A10" s="204" t="s">
        <v>159</v>
      </c>
      <c r="B10" s="205">
        <v>3153.34</v>
      </c>
      <c r="E10" s="9"/>
    </row>
    <row r="11" spans="1:5" x14ac:dyDescent="0.25">
      <c r="A11" s="3" t="s">
        <v>157</v>
      </c>
      <c r="B11" s="7">
        <v>2774.58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11704</v>
      </c>
      <c r="E13" s="9"/>
    </row>
    <row r="14" spans="1:5" x14ac:dyDescent="0.25">
      <c r="A14" s="204" t="s">
        <v>169</v>
      </c>
      <c r="B14" s="205">
        <v>242</v>
      </c>
      <c r="E14" s="9"/>
    </row>
    <row r="15" spans="1:5" x14ac:dyDescent="0.25">
      <c r="A15" s="3" t="s">
        <v>166</v>
      </c>
      <c r="B15" s="7">
        <v>2098.92</v>
      </c>
      <c r="E15" s="9"/>
    </row>
    <row r="16" spans="1:5" x14ac:dyDescent="0.25">
      <c r="A16" s="204" t="s">
        <v>163</v>
      </c>
      <c r="B16" s="205">
        <v>3381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1794.95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4003.86</v>
      </c>
      <c r="E20" s="9"/>
    </row>
    <row r="21" spans="1:5" x14ac:dyDescent="0.25">
      <c r="A21" s="3" t="s">
        <v>165</v>
      </c>
      <c r="B21" s="7">
        <v>1720</v>
      </c>
      <c r="E21" s="9"/>
    </row>
    <row r="22" spans="1:5" x14ac:dyDescent="0.25">
      <c r="A22" s="204" t="s">
        <v>172</v>
      </c>
      <c r="B22" s="205">
        <v>9500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7510.5399999999991</v>
      </c>
      <c r="E24" s="9"/>
    </row>
    <row r="25" spans="1:5" x14ac:dyDescent="0.25">
      <c r="A25" s="3" t="s">
        <v>192</v>
      </c>
      <c r="B25" s="7">
        <v>614.70000000000005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12567</v>
      </c>
      <c r="E27" s="9"/>
    </row>
    <row r="28" spans="1:5" x14ac:dyDescent="0.25">
      <c r="A28" s="204" t="s">
        <v>176</v>
      </c>
      <c r="B28" s="205">
        <v>3588</v>
      </c>
      <c r="E28" s="9"/>
    </row>
    <row r="29" spans="1:5" x14ac:dyDescent="0.25">
      <c r="A29" s="3" t="s">
        <v>177</v>
      </c>
      <c r="B29" s="7">
        <v>3531.73</v>
      </c>
      <c r="E29" s="9"/>
    </row>
    <row r="30" spans="1:5" x14ac:dyDescent="0.25">
      <c r="A30" s="204" t="s">
        <v>178</v>
      </c>
      <c r="B30" s="205">
        <v>3962.7</v>
      </c>
      <c r="E30" s="9"/>
    </row>
    <row r="31" spans="1:5" x14ac:dyDescent="0.25">
      <c r="A31" s="3" t="s">
        <v>190</v>
      </c>
      <c r="B31" s="7">
        <v>4971.04</v>
      </c>
      <c r="E31" s="9"/>
    </row>
    <row r="32" spans="1:5" x14ac:dyDescent="0.25">
      <c r="A32" s="196" t="s">
        <v>182</v>
      </c>
      <c r="B32" s="205">
        <v>4718</v>
      </c>
      <c r="E32" s="9"/>
    </row>
    <row r="33" spans="1:5" x14ac:dyDescent="0.25">
      <c r="A33" s="3" t="s">
        <v>180</v>
      </c>
      <c r="B33" s="7">
        <v>2760</v>
      </c>
      <c r="E33" s="9"/>
    </row>
    <row r="34" spans="1:5" x14ac:dyDescent="0.25">
      <c r="A34" s="204" t="s">
        <v>179</v>
      </c>
      <c r="B34" s="205">
        <v>75</v>
      </c>
      <c r="E34" s="9"/>
    </row>
    <row r="35" spans="1:5" x14ac:dyDescent="0.25">
      <c r="A35" s="3" t="s">
        <v>189</v>
      </c>
      <c r="B35" s="7">
        <v>2966</v>
      </c>
      <c r="E35" s="9"/>
    </row>
    <row r="36" spans="1:5" x14ac:dyDescent="0.25">
      <c r="A36" s="204" t="s">
        <v>184</v>
      </c>
      <c r="B36" s="205">
        <v>607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456.94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2605.33</v>
      </c>
      <c r="E41" s="9"/>
    </row>
    <row r="42" spans="1:5" x14ac:dyDescent="0.25">
      <c r="A42" s="204" t="s">
        <v>194</v>
      </c>
      <c r="B42" s="205">
        <v>1486.5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470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519.20000000000005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8450</v>
      </c>
      <c r="E51" s="9"/>
    </row>
    <row r="52" spans="1:5" ht="15.75" thickBot="1" x14ac:dyDescent="0.3">
      <c r="A52" s="206" t="s">
        <v>204</v>
      </c>
      <c r="B52" s="207">
        <f>SUBTOTAL(109,B4:B51)</f>
        <v>125251.84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148776.84</v>
      </c>
    </row>
    <row r="66" spans="1:2" x14ac:dyDescent="0.25">
      <c r="A66" s="135" t="s">
        <v>221</v>
      </c>
      <c r="B66" s="5">
        <v>3600</v>
      </c>
    </row>
    <row r="67" spans="1:2" x14ac:dyDescent="0.25">
      <c r="A67" s="135" t="s">
        <v>222</v>
      </c>
      <c r="B67" s="5">
        <v>5500</v>
      </c>
    </row>
    <row r="68" spans="1:2" x14ac:dyDescent="0.25">
      <c r="A68" s="135" t="s">
        <v>223</v>
      </c>
      <c r="B68" s="5">
        <v>6100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CA65-A5E7-4066-A7BB-3329E09CB947}">
  <sheetPr codeName="Sheet23"/>
  <dimension ref="A1:E68"/>
  <sheetViews>
    <sheetView topLeftCell="A42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242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20644.849999999999</v>
      </c>
      <c r="E9" s="9"/>
    </row>
    <row r="10" spans="1:5" x14ac:dyDescent="0.25">
      <c r="A10" s="204" t="s">
        <v>159</v>
      </c>
      <c r="B10" s="205">
        <v>3785.93</v>
      </c>
      <c r="E10" s="9"/>
    </row>
    <row r="11" spans="1:5" x14ac:dyDescent="0.25">
      <c r="A11" s="3" t="s">
        <v>157</v>
      </c>
      <c r="B11" s="7">
        <v>3957.53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13544.599999999999</v>
      </c>
      <c r="E13" s="9"/>
    </row>
    <row r="14" spans="1:5" x14ac:dyDescent="0.25">
      <c r="A14" s="204" t="s">
        <v>169</v>
      </c>
      <c r="B14" s="205">
        <v>220</v>
      </c>
      <c r="E14" s="9"/>
    </row>
    <row r="15" spans="1:5" x14ac:dyDescent="0.25">
      <c r="A15" s="3" t="s">
        <v>166</v>
      </c>
      <c r="B15" s="7">
        <v>1954.83</v>
      </c>
      <c r="E15" s="9"/>
    </row>
    <row r="16" spans="1:5" x14ac:dyDescent="0.25">
      <c r="A16" s="204" t="s">
        <v>163</v>
      </c>
      <c r="B16" s="205">
        <v>3184.04</v>
      </c>
      <c r="E16" s="9"/>
    </row>
    <row r="17" spans="1:5" x14ac:dyDescent="0.25">
      <c r="A17" s="3" t="s">
        <v>168</v>
      </c>
      <c r="B17" s="7">
        <v>210</v>
      </c>
      <c r="E17" s="9"/>
    </row>
    <row r="18" spans="1:5" x14ac:dyDescent="0.25">
      <c r="A18" s="204" t="s">
        <v>167</v>
      </c>
      <c r="B18" s="205">
        <v>2611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3850.98</v>
      </c>
      <c r="E20" s="9"/>
    </row>
    <row r="21" spans="1:5" x14ac:dyDescent="0.25">
      <c r="A21" s="3" t="s">
        <v>165</v>
      </c>
      <c r="B21" s="7">
        <v>2550</v>
      </c>
      <c r="E21" s="9"/>
    </row>
    <row r="22" spans="1:5" x14ac:dyDescent="0.25">
      <c r="A22" s="204" t="s">
        <v>172</v>
      </c>
      <c r="B22" s="205">
        <v>10500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9035</v>
      </c>
      <c r="E24" s="9"/>
    </row>
    <row r="25" spans="1:5" x14ac:dyDescent="0.25">
      <c r="A25" s="3" t="s">
        <v>192</v>
      </c>
      <c r="B25" s="7">
        <v>581.79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9830</v>
      </c>
      <c r="E27" s="9"/>
    </row>
    <row r="28" spans="1:5" x14ac:dyDescent="0.25">
      <c r="A28" s="204" t="s">
        <v>176</v>
      </c>
      <c r="B28" s="205">
        <v>4245</v>
      </c>
      <c r="E28" s="9"/>
    </row>
    <row r="29" spans="1:5" x14ac:dyDescent="0.25">
      <c r="A29" s="3" t="s">
        <v>177</v>
      </c>
      <c r="B29" s="7">
        <v>4658.49</v>
      </c>
      <c r="E29" s="9"/>
    </row>
    <row r="30" spans="1:5" x14ac:dyDescent="0.25">
      <c r="A30" s="204" t="s">
        <v>178</v>
      </c>
      <c r="B30" s="205">
        <v>5027.58</v>
      </c>
      <c r="E30" s="9"/>
    </row>
    <row r="31" spans="1:5" x14ac:dyDescent="0.25">
      <c r="A31" s="3" t="s">
        <v>190</v>
      </c>
      <c r="B31" s="7">
        <v>4362</v>
      </c>
      <c r="E31" s="9"/>
    </row>
    <row r="32" spans="1:5" x14ac:dyDescent="0.25">
      <c r="A32" s="196" t="s">
        <v>182</v>
      </c>
      <c r="B32" s="205">
        <v>4333</v>
      </c>
      <c r="E32" s="9"/>
    </row>
    <row r="33" spans="1:5" x14ac:dyDescent="0.25">
      <c r="A33" s="3" t="s">
        <v>180</v>
      </c>
      <c r="B33" s="7">
        <v>3304.64</v>
      </c>
      <c r="E33" s="9"/>
    </row>
    <row r="34" spans="1:5" x14ac:dyDescent="0.25">
      <c r="A34" s="204" t="s">
        <v>179</v>
      </c>
      <c r="B34" s="205">
        <v>275</v>
      </c>
      <c r="E34" s="9"/>
    </row>
    <row r="35" spans="1:5" x14ac:dyDescent="0.25">
      <c r="A35" s="3" t="s">
        <v>189</v>
      </c>
      <c r="B35" s="7">
        <v>3446</v>
      </c>
      <c r="E35" s="9"/>
    </row>
    <row r="36" spans="1:5" x14ac:dyDescent="0.25">
      <c r="A36" s="204" t="s">
        <v>184</v>
      </c>
      <c r="B36" s="205">
        <v>487.9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694.51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2921.13</v>
      </c>
      <c r="E41" s="9"/>
    </row>
    <row r="42" spans="1:5" x14ac:dyDescent="0.25">
      <c r="A42" s="204" t="s">
        <v>194</v>
      </c>
      <c r="B42" s="205">
        <v>1706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523.28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622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9315.5</v>
      </c>
      <c r="E51" s="9"/>
    </row>
    <row r="52" spans="1:5" ht="15.75" thickBot="1" x14ac:dyDescent="0.3">
      <c r="A52" s="206" t="s">
        <v>204</v>
      </c>
      <c r="B52" s="207">
        <f>SUBTOTAL(109,B4:B51)</f>
        <v>141492.43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165017.43</v>
      </c>
    </row>
    <row r="66" spans="1:2" x14ac:dyDescent="0.25">
      <c r="A66" s="135" t="s">
        <v>221</v>
      </c>
      <c r="B66" s="5">
        <v>6300</v>
      </c>
    </row>
    <row r="67" spans="1:2" x14ac:dyDescent="0.25">
      <c r="A67" s="135" t="s">
        <v>222</v>
      </c>
      <c r="B67" s="5">
        <v>9200</v>
      </c>
    </row>
    <row r="68" spans="1:2" x14ac:dyDescent="0.25">
      <c r="A68" s="135" t="s">
        <v>223</v>
      </c>
      <c r="B68" s="5">
        <v>4800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6A53-8C7D-42C2-A400-B109C808F8A5}">
  <sheetPr codeName="Sheet24"/>
  <dimension ref="A1:E68"/>
  <sheetViews>
    <sheetView topLeftCell="A45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243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13373.2</v>
      </c>
      <c r="E9" s="9"/>
    </row>
    <row r="10" spans="1:5" x14ac:dyDescent="0.25">
      <c r="A10" s="204" t="s">
        <v>159</v>
      </c>
      <c r="B10" s="205">
        <v>2809.95</v>
      </c>
      <c r="E10" s="9"/>
    </row>
    <row r="11" spans="1:5" x14ac:dyDescent="0.25">
      <c r="A11" s="3" t="s">
        <v>157</v>
      </c>
      <c r="B11" s="7">
        <v>3539.25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12196.11</v>
      </c>
      <c r="E13" s="9"/>
    </row>
    <row r="14" spans="1:5" x14ac:dyDescent="0.25">
      <c r="A14" s="204" t="s">
        <v>169</v>
      </c>
      <c r="B14" s="205">
        <v>254</v>
      </c>
      <c r="E14" s="9"/>
    </row>
    <row r="15" spans="1:5" x14ac:dyDescent="0.25">
      <c r="A15" s="3" t="s">
        <v>166</v>
      </c>
      <c r="B15" s="7">
        <v>2443.92</v>
      </c>
      <c r="E15" s="9"/>
    </row>
    <row r="16" spans="1:5" x14ac:dyDescent="0.25">
      <c r="A16" s="204" t="s">
        <v>163</v>
      </c>
      <c r="B16" s="205">
        <v>3223.27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1843.76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3191.24</v>
      </c>
      <c r="E20" s="9"/>
    </row>
    <row r="21" spans="1:5" x14ac:dyDescent="0.25">
      <c r="A21" s="3" t="s">
        <v>165</v>
      </c>
      <c r="B21" s="7">
        <v>1696</v>
      </c>
      <c r="E21" s="9"/>
    </row>
    <row r="22" spans="1:5" x14ac:dyDescent="0.25">
      <c r="A22" s="204" t="s">
        <v>172</v>
      </c>
      <c r="B22" s="205">
        <v>9900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8380</v>
      </c>
      <c r="E24" s="9"/>
    </row>
    <row r="25" spans="1:5" x14ac:dyDescent="0.25">
      <c r="A25" s="3" t="s">
        <v>192</v>
      </c>
      <c r="B25" s="7">
        <v>633.4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10552</v>
      </c>
      <c r="E27" s="9"/>
    </row>
    <row r="28" spans="1:5" x14ac:dyDescent="0.25">
      <c r="A28" s="204" t="s">
        <v>176</v>
      </c>
      <c r="B28" s="205">
        <v>3693</v>
      </c>
      <c r="E28" s="9"/>
    </row>
    <row r="29" spans="1:5" x14ac:dyDescent="0.25">
      <c r="A29" s="3" t="s">
        <v>177</v>
      </c>
      <c r="B29" s="7">
        <v>4184.09</v>
      </c>
      <c r="E29" s="9"/>
    </row>
    <row r="30" spans="1:5" x14ac:dyDescent="0.25">
      <c r="A30" s="204" t="s">
        <v>178</v>
      </c>
      <c r="B30" s="205">
        <v>4397.22</v>
      </c>
      <c r="E30" s="9"/>
    </row>
    <row r="31" spans="1:5" x14ac:dyDescent="0.25">
      <c r="A31" s="3" t="s">
        <v>190</v>
      </c>
      <c r="B31" s="7">
        <v>4563</v>
      </c>
      <c r="E31" s="9"/>
    </row>
    <row r="32" spans="1:5" x14ac:dyDescent="0.25">
      <c r="A32" s="196" t="s">
        <v>182</v>
      </c>
      <c r="B32" s="205">
        <v>5176</v>
      </c>
      <c r="E32" s="9"/>
    </row>
    <row r="33" spans="1:5" x14ac:dyDescent="0.25">
      <c r="A33" s="3" t="s">
        <v>180</v>
      </c>
      <c r="B33" s="7">
        <v>2848.32</v>
      </c>
      <c r="E33" s="9"/>
    </row>
    <row r="34" spans="1:5" x14ac:dyDescent="0.25">
      <c r="A34" s="204" t="s">
        <v>179</v>
      </c>
      <c r="B34" s="205">
        <v>330</v>
      </c>
      <c r="E34" s="9"/>
    </row>
    <row r="35" spans="1:5" x14ac:dyDescent="0.25">
      <c r="A35" s="3" t="s">
        <v>189</v>
      </c>
      <c r="B35" s="7">
        <v>2882</v>
      </c>
      <c r="E35" s="9"/>
    </row>
    <row r="36" spans="1:5" x14ac:dyDescent="0.25">
      <c r="A36" s="204" t="s">
        <v>184</v>
      </c>
      <c r="B36" s="205">
        <v>535.6</v>
      </c>
      <c r="E36" s="9"/>
    </row>
    <row r="37" spans="1:5" x14ac:dyDescent="0.25">
      <c r="A37" s="3" t="s">
        <v>186</v>
      </c>
      <c r="B37" s="7">
        <v>686</v>
      </c>
      <c r="E37" s="9"/>
    </row>
    <row r="38" spans="1:5" x14ac:dyDescent="0.25">
      <c r="A38" s="204" t="s">
        <v>187</v>
      </c>
      <c r="B38" s="205">
        <v>150.55000000000001</v>
      </c>
      <c r="E38" s="9"/>
    </row>
    <row r="39" spans="1:5" x14ac:dyDescent="0.25">
      <c r="A39" s="3" t="s">
        <v>183</v>
      </c>
      <c r="B39" s="7">
        <v>595.76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2569.64</v>
      </c>
      <c r="E41" s="9"/>
    </row>
    <row r="42" spans="1:5" x14ac:dyDescent="0.25">
      <c r="A42" s="204" t="s">
        <v>194</v>
      </c>
      <c r="B42" s="205">
        <v>1737.25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528.64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791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7692.5</v>
      </c>
      <c r="E51" s="9"/>
    </row>
    <row r="52" spans="1:5" ht="15.75" thickBot="1" x14ac:dyDescent="0.3">
      <c r="A52" s="206" t="s">
        <v>204</v>
      </c>
      <c r="B52" s="207">
        <f>SUBTOTAL(109,B4:B51)</f>
        <v>124886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148411</v>
      </c>
    </row>
    <row r="66" spans="1:2" x14ac:dyDescent="0.25">
      <c r="A66" s="135" t="s">
        <v>221</v>
      </c>
      <c r="B66" s="5">
        <v>5700</v>
      </c>
    </row>
    <row r="67" spans="1:2" x14ac:dyDescent="0.25">
      <c r="A67" s="135" t="s">
        <v>222</v>
      </c>
      <c r="B67" s="5">
        <v>8500</v>
      </c>
    </row>
    <row r="68" spans="1:2" x14ac:dyDescent="0.25">
      <c r="A68" s="135" t="s">
        <v>223</v>
      </c>
      <c r="B68" s="5">
        <v>5200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16C4-6E5F-4013-BDFF-40D1293EA62F}">
  <sheetPr codeName="Sheet25"/>
  <dimension ref="A1:E68"/>
  <sheetViews>
    <sheetView topLeftCell="A39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244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20644.849999999999</v>
      </c>
      <c r="E9" s="9"/>
    </row>
    <row r="10" spans="1:5" x14ac:dyDescent="0.25">
      <c r="A10" s="204" t="s">
        <v>159</v>
      </c>
      <c r="B10" s="205">
        <v>2691.98</v>
      </c>
      <c r="E10" s="9"/>
    </row>
    <row r="11" spans="1:5" x14ac:dyDescent="0.25">
      <c r="A11" s="3" t="s">
        <v>157</v>
      </c>
      <c r="B11" s="7">
        <v>6944.4400000000005</v>
      </c>
      <c r="E11" s="9"/>
    </row>
    <row r="12" spans="1:5" x14ac:dyDescent="0.25">
      <c r="A12" s="204" t="s">
        <v>158</v>
      </c>
      <c r="B12" s="205">
        <v>1161.17</v>
      </c>
      <c r="E12" s="9"/>
    </row>
    <row r="13" spans="1:5" x14ac:dyDescent="0.25">
      <c r="A13" s="3" t="s">
        <v>156</v>
      </c>
      <c r="B13" s="7">
        <v>16850.16</v>
      </c>
      <c r="E13" s="9"/>
    </row>
    <row r="14" spans="1:5" x14ac:dyDescent="0.25">
      <c r="A14" s="204" t="s">
        <v>169</v>
      </c>
      <c r="B14" s="205">
        <v>264</v>
      </c>
      <c r="E14" s="9"/>
    </row>
    <row r="15" spans="1:5" x14ac:dyDescent="0.25">
      <c r="A15" s="3" t="s">
        <v>166</v>
      </c>
      <c r="B15" s="7">
        <v>2209.9299999999998</v>
      </c>
      <c r="E15" s="9"/>
    </row>
    <row r="16" spans="1:5" x14ac:dyDescent="0.25">
      <c r="A16" s="204" t="s">
        <v>163</v>
      </c>
      <c r="B16" s="205">
        <v>3939.4</v>
      </c>
      <c r="E16" s="9"/>
    </row>
    <row r="17" spans="1:5" x14ac:dyDescent="0.25">
      <c r="A17" s="3" t="s">
        <v>168</v>
      </c>
      <c r="B17" s="7">
        <v>150</v>
      </c>
      <c r="E17" s="9"/>
    </row>
    <row r="18" spans="1:5" x14ac:dyDescent="0.25">
      <c r="A18" s="204" t="s">
        <v>167</v>
      </c>
      <c r="B18" s="205">
        <v>2263.2199999999998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4500.75</v>
      </c>
      <c r="E20" s="9"/>
    </row>
    <row r="21" spans="1:5" x14ac:dyDescent="0.25">
      <c r="A21" s="3" t="s">
        <v>165</v>
      </c>
      <c r="B21" s="7">
        <v>2482</v>
      </c>
      <c r="E21" s="9"/>
    </row>
    <row r="22" spans="1:5" x14ac:dyDescent="0.25">
      <c r="A22" s="204" t="s">
        <v>172</v>
      </c>
      <c r="B22" s="205">
        <v>11900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10435</v>
      </c>
      <c r="E24" s="9"/>
    </row>
    <row r="25" spans="1:5" x14ac:dyDescent="0.25">
      <c r="A25" s="3" t="s">
        <v>192</v>
      </c>
      <c r="B25" s="7">
        <v>642.98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13782</v>
      </c>
      <c r="E27" s="9"/>
    </row>
    <row r="28" spans="1:5" x14ac:dyDescent="0.25">
      <c r="A28" s="204" t="s">
        <v>176</v>
      </c>
      <c r="B28" s="205">
        <v>4227</v>
      </c>
      <c r="E28" s="9"/>
    </row>
    <row r="29" spans="1:5" x14ac:dyDescent="0.25">
      <c r="A29" s="3" t="s">
        <v>177</v>
      </c>
      <c r="B29" s="7">
        <v>4766.57</v>
      </c>
      <c r="E29" s="9"/>
    </row>
    <row r="30" spans="1:5" x14ac:dyDescent="0.25">
      <c r="A30" s="204" t="s">
        <v>178</v>
      </c>
      <c r="B30" s="205">
        <v>5254.02</v>
      </c>
      <c r="E30" s="9"/>
    </row>
    <row r="31" spans="1:5" x14ac:dyDescent="0.25">
      <c r="A31" s="3" t="s">
        <v>190</v>
      </c>
      <c r="B31" s="7">
        <v>4718</v>
      </c>
      <c r="E31" s="9"/>
    </row>
    <row r="32" spans="1:5" x14ac:dyDescent="0.25">
      <c r="A32" s="196" t="s">
        <v>182</v>
      </c>
      <c r="B32" s="205">
        <v>5492</v>
      </c>
      <c r="E32" s="9"/>
    </row>
    <row r="33" spans="1:5" x14ac:dyDescent="0.25">
      <c r="A33" s="3" t="s">
        <v>180</v>
      </c>
      <c r="B33" s="7">
        <v>3481.28</v>
      </c>
      <c r="E33" s="9"/>
    </row>
    <row r="34" spans="1:5" x14ac:dyDescent="0.25">
      <c r="A34" s="204" t="s">
        <v>179</v>
      </c>
      <c r="B34" s="205">
        <v>0</v>
      </c>
      <c r="E34" s="9"/>
    </row>
    <row r="35" spans="1:5" x14ac:dyDescent="0.25">
      <c r="A35" s="3" t="s">
        <v>189</v>
      </c>
      <c r="B35" s="7">
        <v>4453</v>
      </c>
      <c r="E35" s="9"/>
    </row>
    <row r="36" spans="1:5" x14ac:dyDescent="0.25">
      <c r="A36" s="204" t="s">
        <v>184</v>
      </c>
      <c r="B36" s="205">
        <v>536.20000000000005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473.39</v>
      </c>
      <c r="E38" s="9"/>
    </row>
    <row r="39" spans="1:5" x14ac:dyDescent="0.25">
      <c r="A39" s="3" t="s">
        <v>183</v>
      </c>
      <c r="B39" s="7">
        <v>678.83</v>
      </c>
      <c r="E39" s="9"/>
    </row>
    <row r="40" spans="1:5" x14ac:dyDescent="0.25">
      <c r="A40" s="204" t="s">
        <v>188</v>
      </c>
      <c r="B40" s="205">
        <v>1232.97</v>
      </c>
      <c r="E40" s="9"/>
    </row>
    <row r="41" spans="1:5" x14ac:dyDescent="0.25">
      <c r="A41" s="3" t="s">
        <v>196</v>
      </c>
      <c r="B41" s="7">
        <v>4857.66</v>
      </c>
      <c r="E41" s="9"/>
    </row>
    <row r="42" spans="1:5" x14ac:dyDescent="0.25">
      <c r="A42" s="204" t="s">
        <v>194</v>
      </c>
      <c r="B42" s="205">
        <v>1683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540.55999999999995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630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201</v>
      </c>
      <c r="B49" s="7">
        <v>5026</v>
      </c>
      <c r="E49" s="9"/>
    </row>
    <row r="50" spans="1:5" x14ac:dyDescent="0.25">
      <c r="A50" s="204" t="s">
        <v>200</v>
      </c>
      <c r="B50" s="205">
        <v>0</v>
      </c>
      <c r="E50" s="9"/>
    </row>
    <row r="51" spans="1:5" x14ac:dyDescent="0.25">
      <c r="A51" s="3" t="s">
        <v>203</v>
      </c>
      <c r="B51" s="7">
        <v>6792.5</v>
      </c>
      <c r="E51" s="9"/>
    </row>
    <row r="52" spans="1:5" ht="15.75" thickBot="1" x14ac:dyDescent="0.3">
      <c r="A52" s="206" t="s">
        <v>204</v>
      </c>
      <c r="B52" s="207">
        <f>SUBTOTAL(109,B4:B51)</f>
        <v>163028.48000000004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186553.48000000004</v>
      </c>
    </row>
    <row r="66" spans="1:2" x14ac:dyDescent="0.25">
      <c r="A66" s="135" t="s">
        <v>221</v>
      </c>
      <c r="B66" s="5">
        <v>4700</v>
      </c>
    </row>
    <row r="67" spans="1:2" x14ac:dyDescent="0.25">
      <c r="A67" s="135" t="s">
        <v>222</v>
      </c>
      <c r="B67" s="5">
        <v>5900</v>
      </c>
    </row>
    <row r="68" spans="1:2" x14ac:dyDescent="0.25">
      <c r="A68" s="135" t="s">
        <v>223</v>
      </c>
      <c r="B68" s="5">
        <v>7700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7162-E273-4330-A071-191E299C19F6}">
  <sheetPr codeName="Sheet26"/>
  <dimension ref="A1:E68"/>
  <sheetViews>
    <sheetView topLeftCell="A45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245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18522.05</v>
      </c>
      <c r="E9" s="9"/>
    </row>
    <row r="10" spans="1:5" x14ac:dyDescent="0.25">
      <c r="A10" s="204" t="s">
        <v>159</v>
      </c>
      <c r="B10" s="205">
        <v>2444.87</v>
      </c>
      <c r="E10" s="9"/>
    </row>
    <row r="11" spans="1:5" x14ac:dyDescent="0.25">
      <c r="A11" s="3" t="s">
        <v>157</v>
      </c>
      <c r="B11" s="7">
        <v>5675.14</v>
      </c>
      <c r="E11" s="9"/>
    </row>
    <row r="12" spans="1:5" x14ac:dyDescent="0.25">
      <c r="A12" s="204" t="s">
        <v>158</v>
      </c>
      <c r="B12" s="205">
        <v>1161.17</v>
      </c>
      <c r="E12" s="9"/>
    </row>
    <row r="13" spans="1:5" x14ac:dyDescent="0.25">
      <c r="A13" s="3" t="s">
        <v>156</v>
      </c>
      <c r="B13" s="7">
        <v>15790</v>
      </c>
      <c r="E13" s="9"/>
    </row>
    <row r="14" spans="1:5" x14ac:dyDescent="0.25">
      <c r="A14" s="204" t="s">
        <v>169</v>
      </c>
      <c r="B14" s="205">
        <v>264</v>
      </c>
      <c r="E14" s="9"/>
    </row>
    <row r="15" spans="1:5" x14ac:dyDescent="0.25">
      <c r="A15" s="3" t="s">
        <v>166</v>
      </c>
      <c r="B15" s="7">
        <v>2193.9299999999998</v>
      </c>
      <c r="E15" s="9"/>
    </row>
    <row r="16" spans="1:5" x14ac:dyDescent="0.25">
      <c r="A16" s="204" t="s">
        <v>163</v>
      </c>
      <c r="B16" s="205">
        <v>2214.15</v>
      </c>
      <c r="E16" s="9"/>
    </row>
    <row r="17" spans="1:5" x14ac:dyDescent="0.25">
      <c r="A17" s="3" t="s">
        <v>168</v>
      </c>
      <c r="B17" s="7">
        <v>180</v>
      </c>
      <c r="E17" s="9"/>
    </row>
    <row r="18" spans="1:5" x14ac:dyDescent="0.25">
      <c r="A18" s="204" t="s">
        <v>167</v>
      </c>
      <c r="B18" s="205">
        <v>1489.33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2383.1999999999998</v>
      </c>
      <c r="E20" s="9"/>
    </row>
    <row r="21" spans="1:5" x14ac:dyDescent="0.25">
      <c r="A21" s="3" t="s">
        <v>165</v>
      </c>
      <c r="B21" s="7">
        <v>2712.5</v>
      </c>
      <c r="E21" s="9"/>
    </row>
    <row r="22" spans="1:5" x14ac:dyDescent="0.25">
      <c r="A22" s="204" t="s">
        <v>172</v>
      </c>
      <c r="B22" s="205">
        <v>11800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10802</v>
      </c>
      <c r="E24" s="9"/>
    </row>
    <row r="25" spans="1:5" x14ac:dyDescent="0.25">
      <c r="A25" s="3" t="s">
        <v>192</v>
      </c>
      <c r="B25" s="7">
        <v>626.5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12755</v>
      </c>
      <c r="E27" s="9"/>
    </row>
    <row r="28" spans="1:5" x14ac:dyDescent="0.25">
      <c r="A28" s="204" t="s">
        <v>176</v>
      </c>
      <c r="B28" s="205">
        <v>4560</v>
      </c>
      <c r="E28" s="9"/>
    </row>
    <row r="29" spans="1:5" x14ac:dyDescent="0.25">
      <c r="A29" s="3" t="s">
        <v>177</v>
      </c>
      <c r="B29" s="7">
        <v>4370.54</v>
      </c>
      <c r="E29" s="9"/>
    </row>
    <row r="30" spans="1:5" x14ac:dyDescent="0.25">
      <c r="A30" s="204" t="s">
        <v>178</v>
      </c>
      <c r="B30" s="205">
        <v>4617.54</v>
      </c>
      <c r="E30" s="9"/>
    </row>
    <row r="31" spans="1:5" x14ac:dyDescent="0.25">
      <c r="A31" s="3" t="s">
        <v>190</v>
      </c>
      <c r="B31" s="7">
        <v>3925</v>
      </c>
      <c r="E31" s="9"/>
    </row>
    <row r="32" spans="1:5" x14ac:dyDescent="0.25">
      <c r="A32" s="196" t="s">
        <v>182</v>
      </c>
      <c r="B32" s="205">
        <v>6562.49</v>
      </c>
      <c r="E32" s="9"/>
    </row>
    <row r="33" spans="1:5" x14ac:dyDescent="0.25">
      <c r="A33" s="3" t="s">
        <v>180</v>
      </c>
      <c r="B33" s="7">
        <v>3387.44</v>
      </c>
      <c r="E33" s="9"/>
    </row>
    <row r="34" spans="1:5" x14ac:dyDescent="0.25">
      <c r="A34" s="204" t="s">
        <v>179</v>
      </c>
      <c r="B34" s="205">
        <v>350</v>
      </c>
      <c r="E34" s="9"/>
    </row>
    <row r="35" spans="1:5" x14ac:dyDescent="0.25">
      <c r="A35" s="3" t="s">
        <v>189</v>
      </c>
      <c r="B35" s="7">
        <v>3147</v>
      </c>
      <c r="E35" s="9"/>
    </row>
    <row r="36" spans="1:5" x14ac:dyDescent="0.25">
      <c r="A36" s="204" t="s">
        <v>184</v>
      </c>
      <c r="B36" s="205">
        <v>535.6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455.18</v>
      </c>
      <c r="E38" s="9"/>
    </row>
    <row r="39" spans="1:5" x14ac:dyDescent="0.25">
      <c r="A39" s="3" t="s">
        <v>183</v>
      </c>
      <c r="B39" s="7">
        <v>512.52</v>
      </c>
      <c r="E39" s="9"/>
    </row>
    <row r="40" spans="1:5" x14ac:dyDescent="0.25">
      <c r="A40" s="204" t="s">
        <v>188</v>
      </c>
      <c r="B40" s="205">
        <v>0</v>
      </c>
      <c r="E40" s="9"/>
    </row>
    <row r="41" spans="1:5" x14ac:dyDescent="0.25">
      <c r="A41" s="3" t="s">
        <v>196</v>
      </c>
      <c r="B41" s="7">
        <v>2803.25</v>
      </c>
      <c r="E41" s="9"/>
    </row>
    <row r="42" spans="1:5" x14ac:dyDescent="0.25">
      <c r="A42" s="204" t="s">
        <v>194</v>
      </c>
      <c r="B42" s="205">
        <v>1750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531.38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530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201</v>
      </c>
      <c r="B49" s="7"/>
      <c r="E49" s="9"/>
    </row>
    <row r="50" spans="1:5" x14ac:dyDescent="0.25">
      <c r="A50" s="204" t="s">
        <v>200</v>
      </c>
      <c r="B50" s="205">
        <v>0</v>
      </c>
      <c r="E50" s="9"/>
    </row>
    <row r="51" spans="1:5" x14ac:dyDescent="0.25">
      <c r="A51" s="3" t="s">
        <v>203</v>
      </c>
      <c r="B51" s="7">
        <v>6312.5</v>
      </c>
      <c r="E51" s="9"/>
    </row>
    <row r="52" spans="1:5" ht="15.75" thickBot="1" x14ac:dyDescent="0.3">
      <c r="A52" s="206" t="s">
        <v>204</v>
      </c>
      <c r="B52" s="207">
        <f>SUBTOTAL(109,B4:B51)</f>
        <v>142077.91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165602.91</v>
      </c>
    </row>
    <row r="66" spans="1:2" x14ac:dyDescent="0.25">
      <c r="A66" s="135" t="s">
        <v>221</v>
      </c>
      <c r="B66" s="5">
        <v>6500</v>
      </c>
    </row>
    <row r="67" spans="1:2" x14ac:dyDescent="0.25">
      <c r="A67" s="135" t="s">
        <v>222</v>
      </c>
      <c r="B67" s="5">
        <v>7100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173E-8D28-44C6-AF82-F2E835DF8908}">
  <sheetPr codeName="Sheet27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246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17437.45</v>
      </c>
      <c r="E9" s="9"/>
    </row>
    <row r="10" spans="1:5" x14ac:dyDescent="0.25">
      <c r="A10" s="204" t="s">
        <v>159</v>
      </c>
      <c r="B10" s="205">
        <v>3288.78</v>
      </c>
      <c r="E10" s="9"/>
    </row>
    <row r="11" spans="1:5" x14ac:dyDescent="0.25">
      <c r="A11" s="3" t="s">
        <v>157</v>
      </c>
      <c r="B11" s="7">
        <v>5590.86</v>
      </c>
      <c r="E11" s="9"/>
    </row>
    <row r="12" spans="1:5" x14ac:dyDescent="0.25">
      <c r="A12" s="204" t="s">
        <v>158</v>
      </c>
      <c r="B12" s="205">
        <v>1161.17</v>
      </c>
      <c r="E12" s="9"/>
    </row>
    <row r="13" spans="1:5" x14ac:dyDescent="0.25">
      <c r="A13" s="3" t="s">
        <v>156</v>
      </c>
      <c r="B13" s="7">
        <v>14443.8</v>
      </c>
      <c r="E13" s="9"/>
    </row>
    <row r="14" spans="1:5" x14ac:dyDescent="0.25">
      <c r="A14" s="204" t="s">
        <v>169</v>
      </c>
      <c r="B14" s="205">
        <v>182</v>
      </c>
      <c r="E14" s="9"/>
    </row>
    <row r="15" spans="1:5" x14ac:dyDescent="0.25">
      <c r="A15" s="3" t="s">
        <v>166</v>
      </c>
      <c r="B15" s="7">
        <v>2132.9699999999998</v>
      </c>
      <c r="E15" s="9"/>
    </row>
    <row r="16" spans="1:5" x14ac:dyDescent="0.25">
      <c r="A16" s="204" t="s">
        <v>163</v>
      </c>
      <c r="B16" s="205">
        <v>2523.36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1855.76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4755.9799999999996</v>
      </c>
      <c r="E20" s="9"/>
    </row>
    <row r="21" spans="1:5" x14ac:dyDescent="0.25">
      <c r="A21" s="3" t="s">
        <v>165</v>
      </c>
      <c r="B21" s="7">
        <v>3885</v>
      </c>
      <c r="E21" s="9"/>
    </row>
    <row r="22" spans="1:5" x14ac:dyDescent="0.25">
      <c r="A22" s="204" t="s">
        <v>172</v>
      </c>
      <c r="B22" s="205">
        <v>13540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7050.01</v>
      </c>
      <c r="E24" s="9"/>
    </row>
    <row r="25" spans="1:5" x14ac:dyDescent="0.25">
      <c r="A25" s="3" t="s">
        <v>192</v>
      </c>
      <c r="B25" s="7">
        <v>635.85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14692</v>
      </c>
      <c r="E27" s="9"/>
    </row>
    <row r="28" spans="1:5" x14ac:dyDescent="0.25">
      <c r="A28" s="204" t="s">
        <v>176</v>
      </c>
      <c r="B28" s="205">
        <v>4939</v>
      </c>
      <c r="E28" s="9"/>
    </row>
    <row r="29" spans="1:5" x14ac:dyDescent="0.25">
      <c r="A29" s="3" t="s">
        <v>177</v>
      </c>
      <c r="B29" s="7">
        <v>4724.6899999999996</v>
      </c>
      <c r="E29" s="9"/>
    </row>
    <row r="30" spans="1:5" x14ac:dyDescent="0.25">
      <c r="A30" s="204" t="s">
        <v>178</v>
      </c>
      <c r="B30" s="205">
        <v>4571.6400000000003</v>
      </c>
      <c r="E30" s="9"/>
    </row>
    <row r="31" spans="1:5" x14ac:dyDescent="0.25">
      <c r="A31" s="3" t="s">
        <v>190</v>
      </c>
      <c r="B31" s="7">
        <v>5632.32</v>
      </c>
      <c r="E31" s="9"/>
    </row>
    <row r="32" spans="1:5" x14ac:dyDescent="0.25">
      <c r="A32" s="196" t="s">
        <v>182</v>
      </c>
      <c r="B32" s="205">
        <v>4250</v>
      </c>
      <c r="E32" s="9"/>
    </row>
    <row r="33" spans="1:5" x14ac:dyDescent="0.25">
      <c r="A33" s="3" t="s">
        <v>180</v>
      </c>
      <c r="B33" s="7">
        <v>3236.4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3588</v>
      </c>
      <c r="E35" s="9"/>
    </row>
    <row r="36" spans="1:5" x14ac:dyDescent="0.25">
      <c r="A36" s="204" t="s">
        <v>184</v>
      </c>
      <c r="B36" s="205">
        <v>543.35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455.18</v>
      </c>
      <c r="E38" s="9"/>
    </row>
    <row r="39" spans="1:5" x14ac:dyDescent="0.25">
      <c r="A39" s="3" t="s">
        <v>183</v>
      </c>
      <c r="B39" s="7">
        <v>471.12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4771.93</v>
      </c>
      <c r="E41" s="9"/>
    </row>
    <row r="42" spans="1:5" x14ac:dyDescent="0.25">
      <c r="A42" s="204" t="s">
        <v>194</v>
      </c>
      <c r="B42" s="205">
        <v>1637.25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523.64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438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3146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6297.5</v>
      </c>
      <c r="E51" s="9"/>
    </row>
    <row r="52" spans="1:5" ht="15.75" thickBot="1" x14ac:dyDescent="0.3">
      <c r="A52" s="206" t="s">
        <v>204</v>
      </c>
      <c r="B52" s="207">
        <f>SUBTOTAL(109,B4:B51)</f>
        <v>150174.71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173699.71</v>
      </c>
    </row>
    <row r="66" spans="1:2" x14ac:dyDescent="0.25">
      <c r="A66" s="135" t="s">
        <v>221</v>
      </c>
      <c r="B66" s="5">
        <v>5700</v>
      </c>
    </row>
    <row r="67" spans="1:2" x14ac:dyDescent="0.25">
      <c r="A67" s="135" t="s">
        <v>222</v>
      </c>
      <c r="B67" s="5">
        <v>8200</v>
      </c>
    </row>
    <row r="68" spans="1:2" x14ac:dyDescent="0.25">
      <c r="A68" s="135" t="s">
        <v>223</v>
      </c>
      <c r="B68" s="5">
        <v>9000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8C8D-536D-418A-B833-D7CCEDFA39C6}">
  <sheetPr codeName="Sheet28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247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16348.51</v>
      </c>
      <c r="D9" s="9"/>
      <c r="E9" s="9"/>
    </row>
    <row r="10" spans="1:5" x14ac:dyDescent="0.25">
      <c r="A10" s="204" t="s">
        <v>159</v>
      </c>
      <c r="B10" s="205">
        <v>3149.92</v>
      </c>
      <c r="D10" s="9"/>
      <c r="E10" s="9"/>
    </row>
    <row r="11" spans="1:5" x14ac:dyDescent="0.25">
      <c r="A11" s="3" t="s">
        <v>157</v>
      </c>
      <c r="B11" s="7">
        <v>3516.08</v>
      </c>
      <c r="D11" s="9"/>
      <c r="E11" s="9"/>
    </row>
    <row r="12" spans="1:5" x14ac:dyDescent="0.25">
      <c r="A12" s="204" t="s">
        <v>158</v>
      </c>
      <c r="B12" s="205">
        <v>580.59</v>
      </c>
      <c r="D12" s="9"/>
      <c r="E12" s="9"/>
    </row>
    <row r="13" spans="1:5" x14ac:dyDescent="0.25">
      <c r="A13" s="3" t="s">
        <v>156</v>
      </c>
      <c r="B13" s="7">
        <v>13539.9</v>
      </c>
      <c r="D13" s="9"/>
      <c r="E13" s="9"/>
    </row>
    <row r="14" spans="1:5" x14ac:dyDescent="0.25">
      <c r="A14" s="204" t="s">
        <v>169</v>
      </c>
      <c r="B14" s="205">
        <v>330</v>
      </c>
      <c r="D14" s="9"/>
      <c r="E14" s="9"/>
    </row>
    <row r="15" spans="1:5" x14ac:dyDescent="0.25">
      <c r="A15" s="3" t="s">
        <v>166</v>
      </c>
      <c r="B15" s="7">
        <v>2671.15</v>
      </c>
      <c r="D15" s="9"/>
      <c r="E15" s="9"/>
    </row>
    <row r="16" spans="1:5" x14ac:dyDescent="0.25">
      <c r="A16" s="204" t="s">
        <v>163</v>
      </c>
      <c r="B16" s="205">
        <v>4783.7</v>
      </c>
      <c r="D16" s="9"/>
      <c r="E16" s="9"/>
    </row>
    <row r="17" spans="1:5" x14ac:dyDescent="0.25">
      <c r="A17" s="3" t="s">
        <v>168</v>
      </c>
      <c r="B17" s="7">
        <v>120</v>
      </c>
      <c r="D17" s="9"/>
      <c r="E17" s="9"/>
    </row>
    <row r="18" spans="1:5" x14ac:dyDescent="0.25">
      <c r="A18" s="204" t="s">
        <v>167</v>
      </c>
      <c r="B18" s="205">
        <v>1081.5999999999999</v>
      </c>
      <c r="D18" s="9"/>
      <c r="E18" s="9"/>
    </row>
    <row r="19" spans="1:5" x14ac:dyDescent="0.25">
      <c r="A19" s="3" t="s">
        <v>170</v>
      </c>
      <c r="B19" s="7">
        <v>1600</v>
      </c>
      <c r="D19" s="9"/>
      <c r="E19" s="9"/>
    </row>
    <row r="20" spans="1:5" x14ac:dyDescent="0.25">
      <c r="A20" s="204" t="s">
        <v>164</v>
      </c>
      <c r="B20" s="205">
        <v>4119.71</v>
      </c>
      <c r="D20" s="9"/>
      <c r="E20" s="9"/>
    </row>
    <row r="21" spans="1:5" x14ac:dyDescent="0.25">
      <c r="A21" s="3" t="s">
        <v>165</v>
      </c>
      <c r="B21" s="7">
        <v>2426</v>
      </c>
      <c r="D21" s="9"/>
      <c r="E21" s="9"/>
    </row>
    <row r="22" spans="1:5" x14ac:dyDescent="0.25">
      <c r="A22" s="204" t="s">
        <v>172</v>
      </c>
      <c r="B22" s="205">
        <v>10200</v>
      </c>
      <c r="D22" s="9"/>
      <c r="E22" s="9"/>
    </row>
    <row r="23" spans="1:5" x14ac:dyDescent="0.25">
      <c r="A23" s="3" t="s">
        <v>174</v>
      </c>
      <c r="B23" s="7">
        <v>300.11</v>
      </c>
      <c r="D23" s="9"/>
      <c r="E23" s="9"/>
    </row>
    <row r="24" spans="1:5" x14ac:dyDescent="0.25">
      <c r="A24" s="204" t="s">
        <v>173</v>
      </c>
      <c r="B24" s="205">
        <v>7307.18</v>
      </c>
      <c r="D24" s="9"/>
      <c r="E24" s="9"/>
    </row>
    <row r="25" spans="1:5" x14ac:dyDescent="0.25">
      <c r="A25" s="3" t="s">
        <v>192</v>
      </c>
      <c r="B25" s="7">
        <v>672.34</v>
      </c>
      <c r="D25" s="9"/>
      <c r="E25" s="9"/>
    </row>
    <row r="26" spans="1:5" x14ac:dyDescent="0.25">
      <c r="A26" s="204" t="s">
        <v>175</v>
      </c>
      <c r="B26" s="205">
        <v>0</v>
      </c>
      <c r="D26" s="9"/>
      <c r="E26" s="9"/>
    </row>
    <row r="27" spans="1:5" x14ac:dyDescent="0.25">
      <c r="A27" s="3" t="s">
        <v>171</v>
      </c>
      <c r="B27" s="7">
        <v>12615</v>
      </c>
      <c r="D27" s="9"/>
      <c r="E27" s="9"/>
    </row>
    <row r="28" spans="1:5" x14ac:dyDescent="0.25">
      <c r="A28" s="204" t="s">
        <v>176</v>
      </c>
      <c r="B28" s="205">
        <v>3891</v>
      </c>
      <c r="D28" s="9"/>
      <c r="E28" s="9"/>
    </row>
    <row r="29" spans="1:5" x14ac:dyDescent="0.25">
      <c r="A29" s="3" t="s">
        <v>177</v>
      </c>
      <c r="B29" s="7">
        <v>3855.28</v>
      </c>
      <c r="D29" s="9"/>
      <c r="E29" s="9"/>
    </row>
    <row r="30" spans="1:5" x14ac:dyDescent="0.25">
      <c r="A30" s="204" t="s">
        <v>178</v>
      </c>
      <c r="B30" s="205">
        <v>4329.8999999999996</v>
      </c>
      <c r="D30" s="9"/>
      <c r="E30" s="9"/>
    </row>
    <row r="31" spans="1:5" x14ac:dyDescent="0.25">
      <c r="A31" s="3" t="s">
        <v>190</v>
      </c>
      <c r="B31" s="7">
        <v>3884.3599999999997</v>
      </c>
      <c r="D31" s="9"/>
      <c r="E31" s="9"/>
    </row>
    <row r="32" spans="1:5" x14ac:dyDescent="0.25">
      <c r="A32" s="196" t="s">
        <v>182</v>
      </c>
      <c r="B32" s="205">
        <v>3363.7200000000003</v>
      </c>
      <c r="D32" s="9"/>
      <c r="E32" s="9"/>
    </row>
    <row r="33" spans="1:5" x14ac:dyDescent="0.25">
      <c r="A33" s="3" t="s">
        <v>180</v>
      </c>
      <c r="B33" s="7">
        <v>3107.76</v>
      </c>
      <c r="D33" s="9"/>
      <c r="E33" s="9"/>
    </row>
    <row r="34" spans="1:5" x14ac:dyDescent="0.25">
      <c r="A34" s="204" t="s">
        <v>179</v>
      </c>
      <c r="B34" s="205">
        <v>350</v>
      </c>
      <c r="D34" s="9"/>
      <c r="E34" s="9"/>
    </row>
    <row r="35" spans="1:5" x14ac:dyDescent="0.25">
      <c r="A35" s="3" t="s">
        <v>189</v>
      </c>
      <c r="B35" s="7">
        <v>3134</v>
      </c>
      <c r="D35" s="9"/>
      <c r="E35" s="9"/>
    </row>
    <row r="36" spans="1:5" x14ac:dyDescent="0.25">
      <c r="A36" s="204" t="s">
        <v>184</v>
      </c>
      <c r="B36" s="205">
        <v>393.7</v>
      </c>
      <c r="D36" s="9"/>
      <c r="E36" s="9"/>
    </row>
    <row r="37" spans="1:5" x14ac:dyDescent="0.25">
      <c r="A37" s="3" t="s">
        <v>186</v>
      </c>
      <c r="B37" s="7">
        <v>689.96</v>
      </c>
      <c r="D37" s="9"/>
      <c r="E37" s="9"/>
    </row>
    <row r="38" spans="1:5" x14ac:dyDescent="0.25">
      <c r="A38" s="204" t="s">
        <v>187</v>
      </c>
      <c r="B38" s="205">
        <v>405.06</v>
      </c>
      <c r="D38" s="9"/>
      <c r="E38" s="9"/>
    </row>
    <row r="39" spans="1:5" x14ac:dyDescent="0.25">
      <c r="A39" s="3" t="s">
        <v>183</v>
      </c>
      <c r="B39" s="7">
        <v>409.3</v>
      </c>
      <c r="D39" s="9"/>
      <c r="E39" s="9"/>
    </row>
    <row r="40" spans="1:5" x14ac:dyDescent="0.25">
      <c r="A40" s="204" t="s">
        <v>188</v>
      </c>
      <c r="B40" s="205">
        <v>787.07</v>
      </c>
      <c r="D40" s="9"/>
      <c r="E40" s="9"/>
    </row>
    <row r="41" spans="1:5" x14ac:dyDescent="0.25">
      <c r="A41" s="3" t="s">
        <v>196</v>
      </c>
      <c r="B41" s="7">
        <v>2228.4700000000003</v>
      </c>
      <c r="D41" s="9"/>
      <c r="E41" s="9"/>
    </row>
    <row r="42" spans="1:5" x14ac:dyDescent="0.25">
      <c r="A42" s="204" t="s">
        <v>194</v>
      </c>
      <c r="B42" s="205">
        <v>1855.25</v>
      </c>
      <c r="D42" s="9"/>
      <c r="E42" s="9"/>
    </row>
    <row r="43" spans="1:5" x14ac:dyDescent="0.25">
      <c r="A43" s="3" t="s">
        <v>191</v>
      </c>
      <c r="B43" s="7">
        <v>0</v>
      </c>
      <c r="D43" s="9"/>
      <c r="E43" s="9"/>
    </row>
    <row r="44" spans="1:5" x14ac:dyDescent="0.25">
      <c r="A44" s="204" t="s">
        <v>193</v>
      </c>
      <c r="B44" s="205">
        <v>1616.06</v>
      </c>
      <c r="D44" s="9"/>
      <c r="E44" s="9"/>
    </row>
    <row r="45" spans="1:5" x14ac:dyDescent="0.25">
      <c r="A45" s="3" t="s">
        <v>197</v>
      </c>
      <c r="B45" s="7">
        <v>504.02</v>
      </c>
      <c r="D45" s="9"/>
      <c r="E45" s="9"/>
    </row>
    <row r="46" spans="1:5" x14ac:dyDescent="0.25">
      <c r="A46" s="204" t="s">
        <v>202</v>
      </c>
      <c r="B46" s="205">
        <v>235</v>
      </c>
      <c r="D46" s="9"/>
      <c r="E46" s="9"/>
    </row>
    <row r="47" spans="1:5" x14ac:dyDescent="0.25">
      <c r="A47" s="3" t="s">
        <v>198</v>
      </c>
      <c r="B47" s="7">
        <v>784</v>
      </c>
      <c r="D47" s="9"/>
      <c r="E47" s="9"/>
    </row>
    <row r="48" spans="1:5" x14ac:dyDescent="0.25">
      <c r="A48" s="204" t="s">
        <v>199</v>
      </c>
      <c r="B48" s="205">
        <v>310</v>
      </c>
      <c r="D48" s="9"/>
      <c r="E48" s="9"/>
    </row>
    <row r="49" spans="1:5" x14ac:dyDescent="0.25">
      <c r="A49" s="3" t="s">
        <v>200</v>
      </c>
      <c r="B49" s="7">
        <v>0</v>
      </c>
      <c r="D49" s="9"/>
      <c r="E49" s="9"/>
    </row>
    <row r="50" spans="1:5" x14ac:dyDescent="0.25">
      <c r="A50" s="204" t="s">
        <v>201</v>
      </c>
      <c r="B50" s="205">
        <v>0</v>
      </c>
      <c r="D50" s="9"/>
      <c r="E50" s="9"/>
    </row>
    <row r="51" spans="1:5" x14ac:dyDescent="0.25">
      <c r="A51" s="3" t="s">
        <v>203</v>
      </c>
      <c r="B51" s="7">
        <v>9680</v>
      </c>
      <c r="D51" s="9"/>
      <c r="E51" s="9"/>
    </row>
    <row r="52" spans="1:5" ht="15.75" thickBot="1" x14ac:dyDescent="0.3">
      <c r="A52" s="206" t="s">
        <v>204</v>
      </c>
      <c r="B52" s="207">
        <f>SUBTOTAL(109,B4:B51)</f>
        <v>133563.20000000001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157088.20000000001</v>
      </c>
    </row>
    <row r="66" spans="1:2" x14ac:dyDescent="0.25">
      <c r="A66" s="135" t="s">
        <v>221</v>
      </c>
      <c r="B66" s="5">
        <v>3300</v>
      </c>
    </row>
    <row r="67" spans="1:2" x14ac:dyDescent="0.25">
      <c r="A67" s="135" t="s">
        <v>222</v>
      </c>
      <c r="B67" s="5">
        <v>2700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AE97-CA0F-43E9-B841-B79FDFD80381}">
  <sheetPr codeName="Sheet29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248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12854.3</v>
      </c>
      <c r="E9" s="9"/>
    </row>
    <row r="10" spans="1:5" x14ac:dyDescent="0.25">
      <c r="A10" s="204" t="s">
        <v>159</v>
      </c>
      <c r="B10" s="205">
        <v>3393.39</v>
      </c>
      <c r="E10" s="9"/>
    </row>
    <row r="11" spans="1:5" x14ac:dyDescent="0.25">
      <c r="A11" s="3" t="s">
        <v>157</v>
      </c>
      <c r="B11" s="7">
        <v>3198.2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11125.6</v>
      </c>
      <c r="E13" s="9"/>
    </row>
    <row r="14" spans="1:5" x14ac:dyDescent="0.25">
      <c r="A14" s="204" t="s">
        <v>169</v>
      </c>
      <c r="B14" s="205">
        <v>264</v>
      </c>
      <c r="E14" s="9"/>
    </row>
    <row r="15" spans="1:5" x14ac:dyDescent="0.25">
      <c r="A15" s="3" t="s">
        <v>166</v>
      </c>
      <c r="B15" s="7">
        <v>2330.9699999999998</v>
      </c>
      <c r="E15" s="9"/>
    </row>
    <row r="16" spans="1:5" x14ac:dyDescent="0.25">
      <c r="A16" s="204" t="s">
        <v>163</v>
      </c>
      <c r="B16" s="205">
        <v>3337.32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1794.95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4652.0600000000004</v>
      </c>
      <c r="E20" s="9"/>
    </row>
    <row r="21" spans="1:5" x14ac:dyDescent="0.25">
      <c r="A21" s="3" t="s">
        <v>165</v>
      </c>
      <c r="B21" s="7">
        <v>2473</v>
      </c>
      <c r="E21" s="9"/>
    </row>
    <row r="22" spans="1:5" x14ac:dyDescent="0.25">
      <c r="A22" s="204" t="s">
        <v>172</v>
      </c>
      <c r="B22" s="205">
        <v>9500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6878.46</v>
      </c>
      <c r="E24" s="9"/>
    </row>
    <row r="25" spans="1:5" x14ac:dyDescent="0.25">
      <c r="A25" s="3" t="s">
        <v>192</v>
      </c>
      <c r="B25" s="7">
        <v>598.21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12504</v>
      </c>
      <c r="E27" s="9"/>
    </row>
    <row r="28" spans="1:5" x14ac:dyDescent="0.25">
      <c r="A28" s="204" t="s">
        <v>176</v>
      </c>
      <c r="B28" s="205">
        <v>5189</v>
      </c>
      <c r="E28" s="9"/>
    </row>
    <row r="29" spans="1:5" x14ac:dyDescent="0.25">
      <c r="A29" s="3" t="s">
        <v>177</v>
      </c>
      <c r="B29" s="7">
        <v>4417.93</v>
      </c>
      <c r="E29" s="9"/>
    </row>
    <row r="30" spans="1:5" x14ac:dyDescent="0.25">
      <c r="A30" s="204" t="s">
        <v>178</v>
      </c>
      <c r="B30" s="205">
        <v>4189.1400000000003</v>
      </c>
      <c r="E30" s="9"/>
    </row>
    <row r="31" spans="1:5" x14ac:dyDescent="0.25">
      <c r="A31" s="3" t="s">
        <v>190</v>
      </c>
      <c r="B31" s="7">
        <v>4889.41</v>
      </c>
      <c r="E31" s="9"/>
    </row>
    <row r="32" spans="1:5" x14ac:dyDescent="0.25">
      <c r="A32" s="196" t="s">
        <v>182</v>
      </c>
      <c r="B32" s="205">
        <v>4176</v>
      </c>
      <c r="E32" s="9"/>
    </row>
    <row r="33" spans="1:5" x14ac:dyDescent="0.25">
      <c r="A33" s="3" t="s">
        <v>180</v>
      </c>
      <c r="B33" s="7">
        <v>2760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2950</v>
      </c>
      <c r="E35" s="9"/>
    </row>
    <row r="36" spans="1:5" x14ac:dyDescent="0.25">
      <c r="A36" s="204" t="s">
        <v>184</v>
      </c>
      <c r="B36" s="205">
        <v>512.20000000000005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428.63</v>
      </c>
      <c r="E38" s="9"/>
    </row>
    <row r="39" spans="1:5" x14ac:dyDescent="0.25">
      <c r="A39" s="3" t="s">
        <v>183</v>
      </c>
      <c r="B39" s="7">
        <v>456.94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2569.64</v>
      </c>
      <c r="E41" s="9"/>
    </row>
    <row r="42" spans="1:5" x14ac:dyDescent="0.25">
      <c r="A42" s="204" t="s">
        <v>194</v>
      </c>
      <c r="B42" s="205">
        <v>1579.87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470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1043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8417.5</v>
      </c>
      <c r="E51" s="9"/>
    </row>
    <row r="52" spans="1:5" ht="15.75" thickBot="1" x14ac:dyDescent="0.3">
      <c r="A52" s="206" t="s">
        <v>204</v>
      </c>
      <c r="B52" s="207">
        <f>SUBTOTAL(109,B4:B51)</f>
        <v>127141.84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150666.84</v>
      </c>
    </row>
    <row r="66" spans="1:2" x14ac:dyDescent="0.25">
      <c r="A66" s="135" t="s">
        <v>221</v>
      </c>
      <c r="B66" s="5">
        <v>3800</v>
      </c>
    </row>
    <row r="67" spans="1:2" x14ac:dyDescent="0.25">
      <c r="A67" s="135" t="s">
        <v>222</v>
      </c>
      <c r="B67" s="5">
        <v>8000</v>
      </c>
    </row>
    <row r="68" spans="1:2" x14ac:dyDescent="0.25">
      <c r="A68" s="135" t="s">
        <v>223</v>
      </c>
      <c r="B68" s="5">
        <v>4500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EC14-3D3C-41BD-93C4-704749DD4E8B}">
  <sheetPr codeName="Sheet31"/>
  <dimension ref="A1:G68"/>
  <sheetViews>
    <sheetView topLeftCell="A32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4" max="4" width="13.85546875" bestFit="1" customWidth="1"/>
    <col min="5" max="5" width="12.42578125" customWidth="1"/>
  </cols>
  <sheetData>
    <row r="1" spans="1:7" ht="18.75" x14ac:dyDescent="0.3">
      <c r="A1" s="1" t="s">
        <v>249</v>
      </c>
    </row>
    <row r="2" spans="1:7" ht="15.75" thickBot="1" x14ac:dyDescent="0.3"/>
    <row r="3" spans="1:7" ht="15.75" thickBot="1" x14ac:dyDescent="0.3">
      <c r="A3" s="121" t="s">
        <v>149</v>
      </c>
      <c r="B3" s="122" t="s">
        <v>219</v>
      </c>
    </row>
    <row r="4" spans="1:7" x14ac:dyDescent="0.25">
      <c r="A4" s="202" t="s">
        <v>150</v>
      </c>
      <c r="B4" s="203">
        <v>1500</v>
      </c>
      <c r="C4" t="b">
        <f>A4=D4</f>
        <v>1</v>
      </c>
      <c r="D4" t="str">
        <f>'MODEL SUMMARY'!A4</f>
        <v>Dumpster</v>
      </c>
      <c r="E4">
        <f ca="1">'MODEL SUMMARY'!W4</f>
        <v>1500</v>
      </c>
      <c r="F4">
        <f>_xlfn.XLOOKUP(D4,A:A,B:B)</f>
        <v>1500</v>
      </c>
      <c r="G4" t="b">
        <f ca="1">F4=E4</f>
        <v>1</v>
      </c>
    </row>
    <row r="5" spans="1:7" x14ac:dyDescent="0.25">
      <c r="A5" s="3" t="s">
        <v>151</v>
      </c>
      <c r="B5" s="7">
        <v>300</v>
      </c>
      <c r="C5" t="b">
        <f t="shared" ref="C5:C57" si="0">A5=D5</f>
        <v>1</v>
      </c>
      <c r="D5" t="str">
        <f>'MODEL SUMMARY'!A5</f>
        <v>Utilities</v>
      </c>
      <c r="E5">
        <f ca="1">'MODEL SUMMARY'!W5</f>
        <v>300</v>
      </c>
      <c r="F5">
        <f t="shared" ref="F5:F57" si="1">_xlfn.XLOOKUP(D5,A:A,B:B)</f>
        <v>300</v>
      </c>
      <c r="G5" t="b">
        <f t="shared" ref="G5:G57" ca="1" si="2">F5=E5</f>
        <v>1</v>
      </c>
    </row>
    <row r="6" spans="1:7" x14ac:dyDescent="0.25">
      <c r="A6" s="204" t="s">
        <v>152</v>
      </c>
      <c r="B6" s="205">
        <v>437.5</v>
      </c>
      <c r="C6" t="b">
        <f t="shared" si="0"/>
        <v>1</v>
      </c>
      <c r="D6" t="str">
        <f>'MODEL SUMMARY'!A6</f>
        <v>Portable toilet</v>
      </c>
      <c r="E6">
        <f ca="1">'MODEL SUMMARY'!W6</f>
        <v>437.5</v>
      </c>
      <c r="F6">
        <f t="shared" si="1"/>
        <v>437.5</v>
      </c>
      <c r="G6" t="b">
        <f t="shared" ca="1" si="2"/>
        <v>1</v>
      </c>
    </row>
    <row r="7" spans="1:7" x14ac:dyDescent="0.25">
      <c r="A7" s="3" t="s">
        <v>153</v>
      </c>
      <c r="B7" s="7">
        <v>50</v>
      </c>
      <c r="C7" t="b">
        <f t="shared" si="0"/>
        <v>1</v>
      </c>
      <c r="D7" t="str">
        <f>'MODEL SUMMARY'!A7</f>
        <v xml:space="preserve">Permit Box </v>
      </c>
      <c r="E7">
        <f ca="1">'MODEL SUMMARY'!W7</f>
        <v>50</v>
      </c>
      <c r="F7">
        <f t="shared" si="1"/>
        <v>50</v>
      </c>
      <c r="G7" t="b">
        <f t="shared" ca="1" si="2"/>
        <v>1</v>
      </c>
    </row>
    <row r="8" spans="1:7" x14ac:dyDescent="0.25">
      <c r="A8" s="204" t="s">
        <v>154</v>
      </c>
      <c r="B8" s="205">
        <v>100</v>
      </c>
      <c r="C8" t="b">
        <f t="shared" si="0"/>
        <v>1</v>
      </c>
      <c r="D8" t="str">
        <f>'MODEL SUMMARY'!A8</f>
        <v>Termite</v>
      </c>
      <c r="E8">
        <f ca="1">'MODEL SUMMARY'!W8</f>
        <v>100</v>
      </c>
      <c r="F8">
        <f t="shared" si="1"/>
        <v>100</v>
      </c>
      <c r="G8" t="b">
        <f t="shared" ca="1" si="2"/>
        <v>1</v>
      </c>
    </row>
    <row r="9" spans="1:7" x14ac:dyDescent="0.25">
      <c r="A9" s="3" t="s">
        <v>155</v>
      </c>
      <c r="B9" s="7">
        <v>14894.86</v>
      </c>
      <c r="C9" t="b">
        <f t="shared" si="0"/>
        <v>1</v>
      </c>
      <c r="D9" t="str">
        <f>'MODEL SUMMARY'!A9</f>
        <v>Lumber All Floors</v>
      </c>
      <c r="E9">
        <f ca="1">'MODEL SUMMARY'!W9</f>
        <v>14894.86</v>
      </c>
      <c r="F9">
        <f t="shared" si="1"/>
        <v>14894.86</v>
      </c>
      <c r="G9" t="b">
        <f t="shared" ca="1" si="2"/>
        <v>1</v>
      </c>
    </row>
    <row r="10" spans="1:7" x14ac:dyDescent="0.25">
      <c r="A10" s="204" t="s">
        <v>159</v>
      </c>
      <c r="B10" s="205">
        <v>7008.79</v>
      </c>
      <c r="C10" t="b">
        <f t="shared" si="0"/>
        <v>0</v>
      </c>
      <c r="D10" t="str">
        <f>'MODEL SUMMARY'!A10</f>
        <v>Framing Labor</v>
      </c>
      <c r="E10">
        <f ca="1">'MODEL SUMMARY'!W10</f>
        <v>16075.699999999999</v>
      </c>
      <c r="F10">
        <f t="shared" si="1"/>
        <v>16075.699999999999</v>
      </c>
      <c r="G10" t="b">
        <f t="shared" ca="1" si="2"/>
        <v>1</v>
      </c>
    </row>
    <row r="11" spans="1:7" x14ac:dyDescent="0.25">
      <c r="A11" s="3" t="s">
        <v>157</v>
      </c>
      <c r="B11" s="7">
        <v>4531.3100000000004</v>
      </c>
      <c r="C11" t="b">
        <f t="shared" si="0"/>
        <v>1</v>
      </c>
      <c r="D11" t="str">
        <f>'MODEL SUMMARY'!A11</f>
        <v>Floor Trusses</v>
      </c>
      <c r="E11">
        <f ca="1">'MODEL SUMMARY'!W11</f>
        <v>4531.3100000000004</v>
      </c>
      <c r="F11">
        <f t="shared" si="1"/>
        <v>4531.3100000000004</v>
      </c>
      <c r="G11" t="b">
        <f t="shared" ca="1" si="2"/>
        <v>1</v>
      </c>
    </row>
    <row r="12" spans="1:7" x14ac:dyDescent="0.25">
      <c r="A12" s="204" t="s">
        <v>158</v>
      </c>
      <c r="B12" s="205">
        <v>580.59</v>
      </c>
      <c r="C12" t="b">
        <f t="shared" si="0"/>
        <v>1</v>
      </c>
      <c r="D12" t="str">
        <f>'MODEL SUMMARY'!A12</f>
        <v>Stairs</v>
      </c>
      <c r="E12">
        <f ca="1">'MODEL SUMMARY'!W12</f>
        <v>580.59</v>
      </c>
      <c r="F12">
        <f t="shared" si="1"/>
        <v>580.59</v>
      </c>
      <c r="G12" t="b">
        <f t="shared" ca="1" si="2"/>
        <v>1</v>
      </c>
    </row>
    <row r="13" spans="1:7" x14ac:dyDescent="0.25">
      <c r="A13" s="3" t="s">
        <v>156</v>
      </c>
      <c r="B13" s="7">
        <v>16075.699999999999</v>
      </c>
      <c r="C13" t="b">
        <f t="shared" si="0"/>
        <v>0</v>
      </c>
      <c r="D13" t="str">
        <f>'MODEL SUMMARY'!A13</f>
        <v>Roof Trusses</v>
      </c>
      <c r="E13">
        <f ca="1">'MODEL SUMMARY'!W13</f>
        <v>7008.79</v>
      </c>
      <c r="F13">
        <f t="shared" si="1"/>
        <v>7008.79</v>
      </c>
      <c r="G13" t="b">
        <f t="shared" ca="1" si="2"/>
        <v>1</v>
      </c>
    </row>
    <row r="14" spans="1:7" x14ac:dyDescent="0.25">
      <c r="A14" s="204" t="s">
        <v>169</v>
      </c>
      <c r="B14" s="205">
        <v>277</v>
      </c>
      <c r="C14" t="b">
        <f t="shared" si="0"/>
        <v>0</v>
      </c>
      <c r="D14" t="str">
        <f>'MODEL SUMMARY'!A14</f>
        <v>I-Joist/EWP</v>
      </c>
      <c r="E14">
        <f ca="1">'MODEL SUMMARY'!W14</f>
        <v>0</v>
      </c>
      <c r="F14" t="e">
        <f t="shared" si="1"/>
        <v>#N/A</v>
      </c>
      <c r="G14" t="e">
        <f t="shared" ca="1" si="2"/>
        <v>#N/A</v>
      </c>
    </row>
    <row r="15" spans="1:7" x14ac:dyDescent="0.25">
      <c r="A15" s="3" t="s">
        <v>166</v>
      </c>
      <c r="B15" s="7">
        <v>2874.28</v>
      </c>
      <c r="C15" t="b">
        <f t="shared" si="0"/>
        <v>0</v>
      </c>
      <c r="D15" t="str">
        <f>'MODEL SUMMARY'!A15</f>
        <v>Roofing Shingle</v>
      </c>
      <c r="E15">
        <f ca="1">'MODEL SUMMARY'!W15</f>
        <v>0</v>
      </c>
      <c r="F15" t="e">
        <f t="shared" si="1"/>
        <v>#N/A</v>
      </c>
      <c r="G15" t="e">
        <f t="shared" ca="1" si="2"/>
        <v>#N/A</v>
      </c>
    </row>
    <row r="16" spans="1:7" x14ac:dyDescent="0.25">
      <c r="A16" s="204" t="s">
        <v>163</v>
      </c>
      <c r="B16" s="205">
        <v>4920.2</v>
      </c>
      <c r="C16" t="b">
        <f t="shared" si="0"/>
        <v>0</v>
      </c>
      <c r="D16" t="str">
        <f>'MODEL SUMMARY'!A16</f>
        <v>Roofing Metal</v>
      </c>
      <c r="E16">
        <f ca="1">'MODEL SUMMARY'!W16</f>
        <v>0</v>
      </c>
      <c r="F16" t="e">
        <f t="shared" si="1"/>
        <v>#N/A</v>
      </c>
      <c r="G16" t="e">
        <f t="shared" ca="1" si="2"/>
        <v>#N/A</v>
      </c>
    </row>
    <row r="17" spans="1:7" x14ac:dyDescent="0.25">
      <c r="A17" s="3" t="s">
        <v>168</v>
      </c>
      <c r="B17" s="7">
        <v>173</v>
      </c>
      <c r="C17" t="b">
        <f t="shared" si="0"/>
        <v>0</v>
      </c>
      <c r="D17" t="str">
        <f>'MODEL SUMMARY'!A17</f>
        <v>Roofing Labor &amp; Material</v>
      </c>
      <c r="E17">
        <f ca="1">'MODEL SUMMARY'!W17</f>
        <v>4920.2</v>
      </c>
      <c r="F17">
        <f t="shared" si="1"/>
        <v>4920.2</v>
      </c>
      <c r="G17" t="b">
        <f t="shared" ca="1" si="2"/>
        <v>1</v>
      </c>
    </row>
    <row r="18" spans="1:7" x14ac:dyDescent="0.25">
      <c r="A18" s="204" t="s">
        <v>167</v>
      </c>
      <c r="B18" s="205">
        <v>3656.14</v>
      </c>
      <c r="C18" t="b">
        <f t="shared" si="0"/>
        <v>0</v>
      </c>
      <c r="D18" t="str">
        <f>'MODEL SUMMARY'!A18</f>
        <v>Siding Material</v>
      </c>
      <c r="E18">
        <f ca="1">'MODEL SUMMARY'!W18</f>
        <v>5996.56</v>
      </c>
      <c r="F18">
        <f t="shared" si="1"/>
        <v>5996.56</v>
      </c>
      <c r="G18" t="b">
        <f t="shared" ca="1" si="2"/>
        <v>1</v>
      </c>
    </row>
    <row r="19" spans="1:7" x14ac:dyDescent="0.25">
      <c r="A19" s="3" t="s">
        <v>170</v>
      </c>
      <c r="B19" s="7">
        <v>1600</v>
      </c>
      <c r="C19" t="b">
        <f t="shared" si="0"/>
        <v>0</v>
      </c>
      <c r="D19" t="str">
        <f>'MODEL SUMMARY'!A19</f>
        <v>Siding Labor</v>
      </c>
      <c r="E19">
        <f ca="1">'MODEL SUMMARY'!W19</f>
        <v>3400</v>
      </c>
      <c r="F19">
        <f t="shared" si="1"/>
        <v>3400</v>
      </c>
      <c r="G19" t="b">
        <f t="shared" ca="1" si="2"/>
        <v>1</v>
      </c>
    </row>
    <row r="20" spans="1:7" x14ac:dyDescent="0.25">
      <c r="A20" s="204" t="s">
        <v>164</v>
      </c>
      <c r="B20" s="205">
        <v>5996.56</v>
      </c>
      <c r="C20" t="b">
        <f t="shared" si="0"/>
        <v>0</v>
      </c>
      <c r="D20" t="str">
        <f>'MODEL SUMMARY'!A20</f>
        <v>Window Material</v>
      </c>
      <c r="E20">
        <f ca="1">'MODEL SUMMARY'!W20</f>
        <v>2874.28</v>
      </c>
      <c r="F20">
        <f t="shared" si="1"/>
        <v>2874.28</v>
      </c>
      <c r="G20" t="b">
        <f t="shared" ca="1" si="2"/>
        <v>1</v>
      </c>
    </row>
    <row r="21" spans="1:7" x14ac:dyDescent="0.25">
      <c r="A21" s="3" t="s">
        <v>165</v>
      </c>
      <c r="B21" s="7">
        <v>3400</v>
      </c>
      <c r="C21" t="b">
        <f t="shared" si="0"/>
        <v>0</v>
      </c>
      <c r="D21" t="str">
        <f>'MODEL SUMMARY'!A21</f>
        <v>Exterior Door Material</v>
      </c>
      <c r="E21">
        <f ca="1">'MODEL SUMMARY'!W21</f>
        <v>3656.14</v>
      </c>
      <c r="F21">
        <f t="shared" si="1"/>
        <v>3656.14</v>
      </c>
      <c r="G21" t="b">
        <f t="shared" ca="1" si="2"/>
        <v>1</v>
      </c>
    </row>
    <row r="22" spans="1:7" x14ac:dyDescent="0.25">
      <c r="A22" s="204" t="s">
        <v>172</v>
      </c>
      <c r="B22" s="205">
        <v>11300</v>
      </c>
      <c r="C22" t="b">
        <f t="shared" si="0"/>
        <v>0</v>
      </c>
      <c r="D22" t="str">
        <f>'MODEL SUMMARY'!A22</f>
        <v>Exterior Door Labor</v>
      </c>
      <c r="E22">
        <f ca="1">'MODEL SUMMARY'!W22</f>
        <v>173</v>
      </c>
      <c r="F22">
        <f t="shared" si="1"/>
        <v>173</v>
      </c>
      <c r="G22" t="b">
        <f t="shared" ca="1" si="2"/>
        <v>1</v>
      </c>
    </row>
    <row r="23" spans="1:7" x14ac:dyDescent="0.25">
      <c r="A23" s="3" t="s">
        <v>174</v>
      </c>
      <c r="B23" s="7">
        <v>300</v>
      </c>
      <c r="C23" t="b">
        <f t="shared" si="0"/>
        <v>0</v>
      </c>
      <c r="D23" t="str">
        <f>'MODEL SUMMARY'!A23</f>
        <v>Windows Labor</v>
      </c>
      <c r="E23">
        <f ca="1">'MODEL SUMMARY'!W23</f>
        <v>277</v>
      </c>
      <c r="F23">
        <f t="shared" si="1"/>
        <v>277</v>
      </c>
      <c r="G23" t="b">
        <f t="shared" ca="1" si="2"/>
        <v>1</v>
      </c>
    </row>
    <row r="24" spans="1:7" x14ac:dyDescent="0.25">
      <c r="A24" s="204" t="s">
        <v>173</v>
      </c>
      <c r="B24" s="205">
        <v>9670</v>
      </c>
      <c r="C24" t="b">
        <f t="shared" si="0"/>
        <v>0</v>
      </c>
      <c r="D24" t="str">
        <f>'MODEL SUMMARY'!A24</f>
        <v>Garage Door Labor &amp; Material</v>
      </c>
      <c r="E24">
        <f ca="1">'MODEL SUMMARY'!W24</f>
        <v>1600</v>
      </c>
      <c r="F24">
        <f t="shared" si="1"/>
        <v>1600</v>
      </c>
      <c r="G24" t="b">
        <f t="shared" ca="1" si="2"/>
        <v>1</v>
      </c>
    </row>
    <row r="25" spans="1:7" x14ac:dyDescent="0.25">
      <c r="A25" s="3" t="s">
        <v>192</v>
      </c>
      <c r="B25" s="7">
        <v>759.7</v>
      </c>
      <c r="C25" t="b">
        <f t="shared" si="0"/>
        <v>0</v>
      </c>
      <c r="D25" t="str">
        <f>'MODEL SUMMARY'!A25</f>
        <v>Plumbing Turnkey</v>
      </c>
      <c r="E25">
        <f ca="1">'MODEL SUMMARY'!W25</f>
        <v>12463</v>
      </c>
      <c r="F25">
        <f t="shared" si="1"/>
        <v>12463</v>
      </c>
      <c r="G25" t="b">
        <f t="shared" ca="1" si="2"/>
        <v>1</v>
      </c>
    </row>
    <row r="26" spans="1:7" x14ac:dyDescent="0.25">
      <c r="A26" s="204" t="s">
        <v>175</v>
      </c>
      <c r="B26" s="205">
        <v>0</v>
      </c>
      <c r="C26" t="b">
        <f t="shared" si="0"/>
        <v>0</v>
      </c>
      <c r="D26" t="str">
        <f>'MODEL SUMMARY'!A26</f>
        <v>HVAC</v>
      </c>
      <c r="E26">
        <f ca="1">'MODEL SUMMARY'!W26</f>
        <v>11300</v>
      </c>
      <c r="F26">
        <f t="shared" si="1"/>
        <v>11300</v>
      </c>
      <c r="G26" t="b">
        <f t="shared" ca="1" si="2"/>
        <v>1</v>
      </c>
    </row>
    <row r="27" spans="1:7" x14ac:dyDescent="0.25">
      <c r="A27" s="3" t="s">
        <v>171</v>
      </c>
      <c r="B27" s="7">
        <v>12463</v>
      </c>
      <c r="C27" t="b">
        <f t="shared" si="0"/>
        <v>0</v>
      </c>
      <c r="D27" t="str">
        <f>'MODEL SUMMARY'!A27</f>
        <v>Electrical Rough &amp; Trim</v>
      </c>
      <c r="E27">
        <f ca="1">'MODEL SUMMARY'!W27</f>
        <v>9670</v>
      </c>
      <c r="F27">
        <f t="shared" si="1"/>
        <v>9670</v>
      </c>
      <c r="G27" t="b">
        <f t="shared" ca="1" si="2"/>
        <v>1</v>
      </c>
    </row>
    <row r="28" spans="1:7" x14ac:dyDescent="0.25">
      <c r="A28" s="204" t="s">
        <v>176</v>
      </c>
      <c r="B28" s="205">
        <v>5210</v>
      </c>
      <c r="C28" t="b">
        <f t="shared" si="0"/>
        <v>0</v>
      </c>
      <c r="D28" t="str">
        <f>'MODEL SUMMARY'!A28</f>
        <v>Blower Test</v>
      </c>
      <c r="E28">
        <f ca="1">'MODEL SUMMARY'!W28</f>
        <v>300</v>
      </c>
      <c r="F28">
        <f t="shared" si="1"/>
        <v>300</v>
      </c>
      <c r="G28" t="b">
        <f t="shared" ca="1" si="2"/>
        <v>1</v>
      </c>
    </row>
    <row r="29" spans="1:7" x14ac:dyDescent="0.25">
      <c r="A29" s="3" t="s">
        <v>177</v>
      </c>
      <c r="B29" s="7">
        <v>4861.95</v>
      </c>
      <c r="C29" t="b">
        <f t="shared" si="0"/>
        <v>0</v>
      </c>
      <c r="D29" t="str">
        <f>'MODEL SUMMARY'!A29</f>
        <v>Low Voltage/AV</v>
      </c>
      <c r="E29">
        <f ca="1">'MODEL SUMMARY'!W29</f>
        <v>0</v>
      </c>
      <c r="F29">
        <f t="shared" si="1"/>
        <v>0</v>
      </c>
      <c r="G29" t="b">
        <f t="shared" ca="1" si="2"/>
        <v>1</v>
      </c>
    </row>
    <row r="30" spans="1:7" x14ac:dyDescent="0.25">
      <c r="A30" s="204" t="s">
        <v>178</v>
      </c>
      <c r="B30" s="205">
        <v>5474.34</v>
      </c>
      <c r="C30" t="b">
        <f t="shared" si="0"/>
        <v>0</v>
      </c>
      <c r="D30" t="str">
        <f>'MODEL SUMMARY'!A30</f>
        <v>Insulation</v>
      </c>
      <c r="E30">
        <f ca="1">'MODEL SUMMARY'!W30</f>
        <v>5210</v>
      </c>
      <c r="F30">
        <f t="shared" si="1"/>
        <v>5210</v>
      </c>
      <c r="G30" t="b">
        <f t="shared" ca="1" si="2"/>
        <v>1</v>
      </c>
    </row>
    <row r="31" spans="1:7" x14ac:dyDescent="0.25">
      <c r="A31" s="3" t="s">
        <v>190</v>
      </c>
      <c r="B31" s="7">
        <v>4386</v>
      </c>
      <c r="C31" t="b">
        <f t="shared" si="0"/>
        <v>0</v>
      </c>
      <c r="D31" t="str">
        <f>'MODEL SUMMARY'!A31</f>
        <v>Drywall Material</v>
      </c>
      <c r="E31">
        <f ca="1">'MODEL SUMMARY'!W31</f>
        <v>4861.95</v>
      </c>
      <c r="F31">
        <f t="shared" si="1"/>
        <v>4861.95</v>
      </c>
      <c r="G31" t="b">
        <f t="shared" ca="1" si="2"/>
        <v>1</v>
      </c>
    </row>
    <row r="32" spans="1:7" x14ac:dyDescent="0.25">
      <c r="A32" s="196" t="s">
        <v>182</v>
      </c>
      <c r="B32" s="205">
        <v>4827</v>
      </c>
      <c r="C32" t="b">
        <f t="shared" si="0"/>
        <v>0</v>
      </c>
      <c r="D32" t="str">
        <f>'MODEL SUMMARY'!A32</f>
        <v>Drywall Labor</v>
      </c>
      <c r="E32">
        <f ca="1">'MODEL SUMMARY'!W32</f>
        <v>5474.34</v>
      </c>
      <c r="F32">
        <f t="shared" si="1"/>
        <v>5474.34</v>
      </c>
      <c r="G32" t="b">
        <f t="shared" ca="1" si="2"/>
        <v>1</v>
      </c>
    </row>
    <row r="33" spans="1:7" x14ac:dyDescent="0.25">
      <c r="A33" s="3" t="s">
        <v>180</v>
      </c>
      <c r="B33" s="7">
        <v>4025.92</v>
      </c>
      <c r="C33" t="b">
        <f t="shared" si="0"/>
        <v>0</v>
      </c>
      <c r="D33" t="str">
        <f>'MODEL SUMMARY'!A33</f>
        <v>Exterior Paint Labor &amp; Material</v>
      </c>
      <c r="E33">
        <f ca="1">'MODEL SUMMARY'!W33</f>
        <v>50</v>
      </c>
      <c r="F33">
        <f t="shared" si="1"/>
        <v>50</v>
      </c>
      <c r="G33" t="b">
        <f t="shared" ca="1" si="2"/>
        <v>1</v>
      </c>
    </row>
    <row r="34" spans="1:7" x14ac:dyDescent="0.25">
      <c r="A34" s="204" t="s">
        <v>179</v>
      </c>
      <c r="B34" s="205">
        <v>50</v>
      </c>
      <c r="C34" t="b">
        <f t="shared" si="0"/>
        <v>0</v>
      </c>
      <c r="D34" t="str">
        <f>'MODEL SUMMARY'!A34</f>
        <v>Interior Paint</v>
      </c>
      <c r="E34">
        <f ca="1">'MODEL SUMMARY'!W34</f>
        <v>4025.92</v>
      </c>
      <c r="F34">
        <f t="shared" si="1"/>
        <v>4025.92</v>
      </c>
      <c r="G34" t="b">
        <f t="shared" ca="1" si="2"/>
        <v>1</v>
      </c>
    </row>
    <row r="35" spans="1:7" x14ac:dyDescent="0.25">
      <c r="A35" s="3" t="s">
        <v>189</v>
      </c>
      <c r="B35" s="7">
        <v>3698</v>
      </c>
      <c r="C35" t="b">
        <f t="shared" si="0"/>
        <v>0</v>
      </c>
      <c r="D35" t="str">
        <f>'MODEL SUMMARY'!A35</f>
        <v>Interior Trim Material</v>
      </c>
      <c r="E35">
        <f ca="1">'MODEL SUMMARY'!W35</f>
        <v>0</v>
      </c>
      <c r="F35" t="e">
        <f t="shared" si="1"/>
        <v>#N/A</v>
      </c>
      <c r="G35" t="e">
        <f t="shared" ca="1" si="2"/>
        <v>#N/A</v>
      </c>
    </row>
    <row r="36" spans="1:7" x14ac:dyDescent="0.25">
      <c r="A36" s="204" t="s">
        <v>184</v>
      </c>
      <c r="B36" s="205">
        <v>631.29999999999995</v>
      </c>
      <c r="C36" t="b">
        <f t="shared" si="0"/>
        <v>0</v>
      </c>
      <c r="D36" t="str">
        <f>'MODEL SUMMARY'!A36</f>
        <v>Interior Trim Turnkey</v>
      </c>
      <c r="E36">
        <f ca="1">'MODEL SUMMARY'!W36</f>
        <v>4827</v>
      </c>
      <c r="F36">
        <f t="shared" si="1"/>
        <v>4827</v>
      </c>
      <c r="G36" t="b">
        <f t="shared" ca="1" si="2"/>
        <v>1</v>
      </c>
    </row>
    <row r="37" spans="1:7" x14ac:dyDescent="0.25">
      <c r="A37" s="3" t="s">
        <v>186</v>
      </c>
      <c r="B37" s="7">
        <v>799.95</v>
      </c>
      <c r="C37" t="b">
        <f t="shared" si="0"/>
        <v>0</v>
      </c>
      <c r="D37" t="str">
        <f>'MODEL SUMMARY'!A37</f>
        <v>Door Hardware</v>
      </c>
      <c r="E37">
        <f ca="1">'MODEL SUMMARY'!W37</f>
        <v>567.04</v>
      </c>
      <c r="F37">
        <f t="shared" si="1"/>
        <v>567.04</v>
      </c>
      <c r="G37" t="b">
        <f t="shared" ca="1" si="2"/>
        <v>1</v>
      </c>
    </row>
    <row r="38" spans="1:7" x14ac:dyDescent="0.25">
      <c r="A38" s="204" t="s">
        <v>187</v>
      </c>
      <c r="B38" s="205">
        <v>432.08</v>
      </c>
      <c r="C38" t="b">
        <f t="shared" si="0"/>
        <v>0</v>
      </c>
      <c r="D38" t="str">
        <f>'MODEL SUMMARY'!A38</f>
        <v>Shelving</v>
      </c>
      <c r="E38">
        <f ca="1">'MODEL SUMMARY'!W38</f>
        <v>631.29999999999995</v>
      </c>
      <c r="F38">
        <f t="shared" si="1"/>
        <v>631.29999999999995</v>
      </c>
      <c r="G38" t="b">
        <f t="shared" ca="1" si="2"/>
        <v>1</v>
      </c>
    </row>
    <row r="39" spans="1:7" x14ac:dyDescent="0.25">
      <c r="A39" s="3" t="s">
        <v>183</v>
      </c>
      <c r="B39" s="7">
        <v>567.04</v>
      </c>
      <c r="C39" t="b">
        <f t="shared" si="0"/>
        <v>0</v>
      </c>
      <c r="D39" t="str">
        <f>'MODEL SUMMARY'!A39</f>
        <v>Interior Trim Labor</v>
      </c>
      <c r="E39">
        <f ca="1">'MODEL SUMMARY'!W39</f>
        <v>0</v>
      </c>
      <c r="F39" t="e">
        <f t="shared" si="1"/>
        <v>#N/A</v>
      </c>
      <c r="G39" t="e">
        <f t="shared" ca="1" si="2"/>
        <v>#N/A</v>
      </c>
    </row>
    <row r="40" spans="1:7" x14ac:dyDescent="0.25">
      <c r="A40" s="204" t="s">
        <v>188</v>
      </c>
      <c r="B40" s="205">
        <v>695.9</v>
      </c>
      <c r="C40" t="b">
        <f t="shared" si="0"/>
        <v>0</v>
      </c>
      <c r="D40" t="str">
        <f>'MODEL SUMMARY'!A40</f>
        <v>Mirrors</v>
      </c>
      <c r="E40">
        <f ca="1">'MODEL SUMMARY'!W40</f>
        <v>799.95</v>
      </c>
      <c r="F40">
        <f t="shared" si="1"/>
        <v>799.95</v>
      </c>
      <c r="G40" t="b">
        <f t="shared" ca="1" si="2"/>
        <v>1</v>
      </c>
    </row>
    <row r="41" spans="1:7" x14ac:dyDescent="0.25">
      <c r="A41" s="3" t="s">
        <v>196</v>
      </c>
      <c r="B41" s="7">
        <v>3971.27</v>
      </c>
      <c r="C41" t="b">
        <f t="shared" si="0"/>
        <v>0</v>
      </c>
      <c r="D41" t="str">
        <f>'MODEL SUMMARY'!A41</f>
        <v>Bath Accessories</v>
      </c>
      <c r="E41">
        <f ca="1">'MODEL SUMMARY'!W41</f>
        <v>432.08</v>
      </c>
      <c r="F41">
        <f t="shared" si="1"/>
        <v>432.08</v>
      </c>
      <c r="G41" t="b">
        <f t="shared" ca="1" si="2"/>
        <v>1</v>
      </c>
    </row>
    <row r="42" spans="1:7" x14ac:dyDescent="0.25">
      <c r="A42" s="204" t="s">
        <v>194</v>
      </c>
      <c r="B42" s="205">
        <v>2283</v>
      </c>
      <c r="C42" t="b">
        <f t="shared" si="0"/>
        <v>0</v>
      </c>
      <c r="D42" t="str">
        <f>'MODEL SUMMARY'!A42</f>
        <v>Shower Door</v>
      </c>
      <c r="E42">
        <f ca="1">'MODEL SUMMARY'!W42</f>
        <v>695.9</v>
      </c>
      <c r="F42">
        <f t="shared" si="1"/>
        <v>695.9</v>
      </c>
      <c r="G42" t="b">
        <f t="shared" ca="1" si="2"/>
        <v>1</v>
      </c>
    </row>
    <row r="43" spans="1:7" x14ac:dyDescent="0.25">
      <c r="A43" s="3" t="s">
        <v>191</v>
      </c>
      <c r="B43" s="7">
        <v>0</v>
      </c>
      <c r="C43" t="b">
        <f t="shared" si="0"/>
        <v>0</v>
      </c>
      <c r="D43" t="str">
        <f>'MODEL SUMMARY'!A43</f>
        <v>Countertops</v>
      </c>
      <c r="E43">
        <f ca="1">'MODEL SUMMARY'!W43</f>
        <v>3698</v>
      </c>
      <c r="F43">
        <f t="shared" si="1"/>
        <v>3698</v>
      </c>
      <c r="G43" t="b">
        <f t="shared" ca="1" si="2"/>
        <v>1</v>
      </c>
    </row>
    <row r="44" spans="1:7" x14ac:dyDescent="0.25">
      <c r="A44" s="204" t="s">
        <v>193</v>
      </c>
      <c r="B44" s="205">
        <v>1616.06</v>
      </c>
      <c r="C44" t="b">
        <f t="shared" si="0"/>
        <v>0</v>
      </c>
      <c r="D44" t="str">
        <f>'MODEL SUMMARY'!A44</f>
        <v>Cabinet Labor &amp; Material</v>
      </c>
      <c r="E44">
        <f ca="1">'MODEL SUMMARY'!W44</f>
        <v>4386</v>
      </c>
      <c r="F44">
        <f t="shared" si="1"/>
        <v>4386</v>
      </c>
      <c r="G44" t="b">
        <f t="shared" ca="1" si="2"/>
        <v>1</v>
      </c>
    </row>
    <row r="45" spans="1:7" x14ac:dyDescent="0.25">
      <c r="A45" s="3" t="s">
        <v>197</v>
      </c>
      <c r="B45" s="7">
        <v>593.88</v>
      </c>
      <c r="C45" t="b">
        <f t="shared" si="0"/>
        <v>0</v>
      </c>
      <c r="D45" t="str">
        <f>'MODEL SUMMARY'!A45</f>
        <v>Tile Labor &amp; Material</v>
      </c>
      <c r="E45">
        <f ca="1">'MODEL SUMMARY'!W45</f>
        <v>0</v>
      </c>
      <c r="F45">
        <f t="shared" si="1"/>
        <v>0</v>
      </c>
      <c r="G45" t="b">
        <f t="shared" ca="1" si="2"/>
        <v>1</v>
      </c>
    </row>
    <row r="46" spans="1:7" x14ac:dyDescent="0.25">
      <c r="A46" s="204" t="s">
        <v>202</v>
      </c>
      <c r="B46" s="205">
        <v>310</v>
      </c>
      <c r="C46" t="b">
        <f t="shared" si="0"/>
        <v>0</v>
      </c>
      <c r="D46" t="str">
        <f>'MODEL SUMMARY'!A46</f>
        <v>Light Fixtures</v>
      </c>
      <c r="E46">
        <f ca="1">'MODEL SUMMARY'!W46</f>
        <v>759.7</v>
      </c>
      <c r="F46">
        <f t="shared" si="1"/>
        <v>759.7</v>
      </c>
      <c r="G46" t="b">
        <f t="shared" ca="1" si="2"/>
        <v>1</v>
      </c>
    </row>
    <row r="47" spans="1:7" x14ac:dyDescent="0.25">
      <c r="A47" s="3" t="s">
        <v>198</v>
      </c>
      <c r="B47" s="7">
        <v>976</v>
      </c>
      <c r="C47" t="b">
        <f t="shared" si="0"/>
        <v>0</v>
      </c>
      <c r="D47" t="str">
        <f>'MODEL SUMMARY'!A47</f>
        <v>Appliances</v>
      </c>
      <c r="E47">
        <f ca="1">'MODEL SUMMARY'!W47</f>
        <v>1616.06</v>
      </c>
      <c r="F47">
        <f t="shared" si="1"/>
        <v>1616.06</v>
      </c>
      <c r="G47" t="b">
        <f t="shared" ca="1" si="2"/>
        <v>1</v>
      </c>
    </row>
    <row r="48" spans="1:7" x14ac:dyDescent="0.25">
      <c r="A48" s="204" t="s">
        <v>199</v>
      </c>
      <c r="B48" s="205">
        <v>310</v>
      </c>
      <c r="C48" t="b">
        <f t="shared" si="0"/>
        <v>0</v>
      </c>
      <c r="D48" t="str">
        <f>'MODEL SUMMARY'!A48</f>
        <v>Carpet Labor &amp; Material</v>
      </c>
      <c r="E48">
        <f ca="1">'MODEL SUMMARY'!W48</f>
        <v>2283</v>
      </c>
      <c r="F48">
        <f t="shared" si="1"/>
        <v>2283</v>
      </c>
      <c r="G48" t="b">
        <f t="shared" ca="1" si="2"/>
        <v>1</v>
      </c>
    </row>
    <row r="49" spans="1:7" x14ac:dyDescent="0.25">
      <c r="A49" s="3" t="s">
        <v>200</v>
      </c>
      <c r="B49" s="7">
        <v>0</v>
      </c>
      <c r="C49" t="b">
        <f t="shared" si="0"/>
        <v>0</v>
      </c>
      <c r="D49" t="str">
        <f>'MODEL SUMMARY'!A49</f>
        <v>Hardwood Labor &amp; Material</v>
      </c>
      <c r="E49">
        <f ca="1">'MODEL SUMMARY'!W49</f>
        <v>0</v>
      </c>
      <c r="F49" t="e">
        <f t="shared" si="1"/>
        <v>#N/A</v>
      </c>
      <c r="G49" t="e">
        <f t="shared" ca="1" si="2"/>
        <v>#N/A</v>
      </c>
    </row>
    <row r="50" spans="1:7" x14ac:dyDescent="0.25">
      <c r="A50" s="204" t="s">
        <v>201</v>
      </c>
      <c r="B50" s="205">
        <v>0</v>
      </c>
      <c r="C50" t="b">
        <f t="shared" si="0"/>
        <v>0</v>
      </c>
      <c r="D50" t="str">
        <f>'MODEL SUMMARY'!A50</f>
        <v>LVP Labor &amp; Material</v>
      </c>
      <c r="E50">
        <f ca="1">'MODEL SUMMARY'!W50</f>
        <v>3971.27</v>
      </c>
      <c r="F50">
        <f t="shared" si="1"/>
        <v>3971.27</v>
      </c>
      <c r="G50" t="b">
        <f t="shared" ca="1" si="2"/>
        <v>1</v>
      </c>
    </row>
    <row r="51" spans="1:7" x14ac:dyDescent="0.25">
      <c r="A51" s="3" t="s">
        <v>203</v>
      </c>
      <c r="B51" s="7">
        <v>12024.5</v>
      </c>
      <c r="C51" t="b">
        <f t="shared" si="0"/>
        <v>0</v>
      </c>
      <c r="D51" t="str">
        <f>'MODEL SUMMARY'!A51</f>
        <v>Interior Clean</v>
      </c>
      <c r="E51">
        <f ca="1">'MODEL SUMMARY'!W51</f>
        <v>593.88</v>
      </c>
      <c r="F51">
        <f t="shared" si="1"/>
        <v>593.88</v>
      </c>
      <c r="G51" t="b">
        <f t="shared" ca="1" si="2"/>
        <v>1</v>
      </c>
    </row>
    <row r="52" spans="1:7" ht="15.75" thickBot="1" x14ac:dyDescent="0.3">
      <c r="A52" s="206" t="s">
        <v>204</v>
      </c>
      <c r="B52" s="207">
        <f>SUBTOTAL(109,B4:B51)</f>
        <v>160612.81999999998</v>
      </c>
      <c r="C52" t="b">
        <f t="shared" si="0"/>
        <v>0</v>
      </c>
      <c r="D52" t="str">
        <f>'MODEL SUMMARY'!A52</f>
        <v>Gutters</v>
      </c>
      <c r="E52">
        <f ca="1">'MODEL SUMMARY'!W52</f>
        <v>976</v>
      </c>
      <c r="F52">
        <f t="shared" si="1"/>
        <v>976</v>
      </c>
      <c r="G52" t="b">
        <f t="shared" ca="1" si="2"/>
        <v>1</v>
      </c>
    </row>
    <row r="53" spans="1:7" x14ac:dyDescent="0.25">
      <c r="A53" s="2" t="s">
        <v>205</v>
      </c>
      <c r="B53" s="6">
        <v>1700</v>
      </c>
      <c r="C53" t="b">
        <f t="shared" si="0"/>
        <v>0</v>
      </c>
      <c r="D53" t="str">
        <f>'MODEL SUMMARY'!A53</f>
        <v>QI Inspection</v>
      </c>
      <c r="E53">
        <f ca="1">'MODEL SUMMARY'!W53</f>
        <v>310</v>
      </c>
      <c r="F53">
        <f t="shared" si="1"/>
        <v>310</v>
      </c>
      <c r="G53" t="b">
        <f t="shared" ca="1" si="2"/>
        <v>1</v>
      </c>
    </row>
    <row r="54" spans="1:7" x14ac:dyDescent="0.25">
      <c r="A54" s="204" t="s">
        <v>207</v>
      </c>
      <c r="B54" s="205">
        <v>1700</v>
      </c>
      <c r="C54" t="b">
        <f t="shared" si="0"/>
        <v>0</v>
      </c>
      <c r="D54" t="str">
        <f>'MODEL SUMMARY'!A54</f>
        <v>Deck</v>
      </c>
      <c r="E54">
        <f ca="1">'MODEL SUMMARY'!W54</f>
        <v>0</v>
      </c>
      <c r="F54">
        <f t="shared" si="1"/>
        <v>0</v>
      </c>
      <c r="G54" t="b">
        <f t="shared" ca="1" si="2"/>
        <v>1</v>
      </c>
    </row>
    <row r="55" spans="1:7" x14ac:dyDescent="0.25">
      <c r="A55" s="3" t="s">
        <v>208</v>
      </c>
      <c r="B55" s="7">
        <v>2000</v>
      </c>
      <c r="C55" t="b">
        <f t="shared" si="0"/>
        <v>0</v>
      </c>
      <c r="D55" t="str">
        <f>'MODEL SUMMARY'!A55</f>
        <v>Mailbox</v>
      </c>
      <c r="E55">
        <f ca="1">'MODEL SUMMARY'!W55</f>
        <v>0</v>
      </c>
      <c r="F55">
        <f t="shared" si="1"/>
        <v>0</v>
      </c>
      <c r="G55" t="b">
        <f t="shared" ca="1" si="2"/>
        <v>1</v>
      </c>
    </row>
    <row r="56" spans="1:7" x14ac:dyDescent="0.25">
      <c r="A56" s="204" t="s">
        <v>209</v>
      </c>
      <c r="B56" s="205">
        <v>500</v>
      </c>
      <c r="C56" t="b">
        <f t="shared" si="0"/>
        <v>0</v>
      </c>
      <c r="D56" t="str">
        <f>'MODEL SUMMARY'!A56</f>
        <v>Pressure Wash</v>
      </c>
      <c r="E56">
        <f ca="1">'MODEL SUMMARY'!W56</f>
        <v>310</v>
      </c>
      <c r="F56">
        <f t="shared" si="1"/>
        <v>310</v>
      </c>
      <c r="G56" t="b">
        <f t="shared" ca="1" si="2"/>
        <v>1</v>
      </c>
    </row>
    <row r="57" spans="1:7" x14ac:dyDescent="0.25">
      <c r="A57" s="3" t="s">
        <v>210</v>
      </c>
      <c r="B57" s="7">
        <v>2500</v>
      </c>
      <c r="C57" t="b">
        <f t="shared" si="0"/>
        <v>0</v>
      </c>
      <c r="D57" t="str">
        <f>'MODEL SUMMARY'!A57</f>
        <v>Foundation</v>
      </c>
      <c r="E57">
        <f ca="1">'MODEL SUMMARY'!W57</f>
        <v>12024.5</v>
      </c>
      <c r="F57">
        <f t="shared" si="1"/>
        <v>12024.5</v>
      </c>
      <c r="G57" t="b">
        <f t="shared" ca="1" si="2"/>
        <v>1</v>
      </c>
    </row>
    <row r="58" spans="1:7" x14ac:dyDescent="0.25">
      <c r="A58" s="204" t="s">
        <v>211</v>
      </c>
      <c r="B58" s="205">
        <v>2475</v>
      </c>
      <c r="E58">
        <f ca="1">SUM(E4:E57)</f>
        <v>160612.81999999998</v>
      </c>
    </row>
    <row r="59" spans="1:7" ht="15.75" thickBot="1" x14ac:dyDescent="0.3">
      <c r="A59" s="4" t="s">
        <v>212</v>
      </c>
      <c r="B59" s="8">
        <f>SUM(B53:B58)</f>
        <v>10875</v>
      </c>
    </row>
    <row r="60" spans="1:7" x14ac:dyDescent="0.25">
      <c r="A60" s="202" t="s">
        <v>213</v>
      </c>
      <c r="B60" s="203">
        <v>2050</v>
      </c>
    </row>
    <row r="61" spans="1:7" x14ac:dyDescent="0.25">
      <c r="A61" s="3" t="s">
        <v>215</v>
      </c>
      <c r="B61" s="7">
        <v>10000</v>
      </c>
    </row>
    <row r="62" spans="1:7" x14ac:dyDescent="0.25">
      <c r="A62" s="204" t="s">
        <v>216</v>
      </c>
      <c r="B62" s="205">
        <v>600</v>
      </c>
    </row>
    <row r="63" spans="1:7" x14ac:dyDescent="0.25">
      <c r="A63" s="4" t="s">
        <v>217</v>
      </c>
      <c r="B63" s="8">
        <f>SUM(B60:B62)</f>
        <v>12650</v>
      </c>
    </row>
    <row r="64" spans="1:7" ht="15.75" thickBot="1" x14ac:dyDescent="0.3">
      <c r="A64" s="208" t="s">
        <v>220</v>
      </c>
      <c r="B64" s="209">
        <f>B63+B59+B52</f>
        <v>184137.81999999998</v>
      </c>
    </row>
    <row r="66" spans="1:2" x14ac:dyDescent="0.25">
      <c r="A66" s="135" t="s">
        <v>221</v>
      </c>
      <c r="B66" s="5">
        <v>4700</v>
      </c>
    </row>
    <row r="67" spans="1:2" x14ac:dyDescent="0.25">
      <c r="A67" s="135" t="s">
        <v>222</v>
      </c>
      <c r="B67" s="5">
        <v>8900</v>
      </c>
    </row>
    <row r="68" spans="1:2" x14ac:dyDescent="0.25">
      <c r="A68" s="135" t="s">
        <v>223</v>
      </c>
      <c r="B68" s="5">
        <v>7300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4615-0334-4990-9D29-D84FD6E36A71}">
  <sheetPr codeName="Sheet35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250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14992.64</v>
      </c>
      <c r="E9" s="9"/>
    </row>
    <row r="10" spans="1:5" x14ac:dyDescent="0.25">
      <c r="A10" s="204" t="s">
        <v>159</v>
      </c>
      <c r="B10" s="205">
        <v>4241.2</v>
      </c>
      <c r="E10" s="9"/>
    </row>
    <row r="11" spans="1:5" x14ac:dyDescent="0.25">
      <c r="A11" s="3" t="s">
        <v>157</v>
      </c>
      <c r="B11" s="7">
        <v>4241.2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12057.800000000001</v>
      </c>
      <c r="E13" s="9"/>
    </row>
    <row r="14" spans="1:5" x14ac:dyDescent="0.25">
      <c r="A14" s="204" t="s">
        <v>169</v>
      </c>
      <c r="B14" s="205">
        <v>264</v>
      </c>
      <c r="E14" s="9"/>
    </row>
    <row r="15" spans="1:5" x14ac:dyDescent="0.25">
      <c r="A15" s="3" t="s">
        <v>166</v>
      </c>
      <c r="B15" s="7">
        <v>2360.09</v>
      </c>
      <c r="E15" s="9"/>
    </row>
    <row r="16" spans="1:5" x14ac:dyDescent="0.25">
      <c r="A16" s="204" t="s">
        <v>163</v>
      </c>
      <c r="B16" s="205">
        <v>2964.15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2674.05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3692.4</v>
      </c>
      <c r="E20" s="9"/>
    </row>
    <row r="21" spans="1:5" x14ac:dyDescent="0.25">
      <c r="A21" s="3" t="s">
        <v>165</v>
      </c>
      <c r="B21" s="7">
        <v>2460</v>
      </c>
      <c r="E21" s="9"/>
    </row>
    <row r="22" spans="1:5" x14ac:dyDescent="0.25">
      <c r="A22" s="204" t="s">
        <v>172</v>
      </c>
      <c r="B22" s="205">
        <v>10100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7538.55</v>
      </c>
      <c r="E24" s="9"/>
    </row>
    <row r="25" spans="1:5" x14ac:dyDescent="0.25">
      <c r="A25" s="3" t="s">
        <v>192</v>
      </c>
      <c r="B25" s="7">
        <v>616.91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12429</v>
      </c>
      <c r="E27" s="9"/>
    </row>
    <row r="28" spans="1:5" x14ac:dyDescent="0.25">
      <c r="A28" s="204" t="s">
        <v>176</v>
      </c>
      <c r="B28" s="205">
        <v>3989</v>
      </c>
      <c r="E28" s="9"/>
    </row>
    <row r="29" spans="1:5" x14ac:dyDescent="0.25">
      <c r="A29" s="3" t="s">
        <v>177</v>
      </c>
      <c r="B29" s="7">
        <v>4086.44</v>
      </c>
      <c r="E29" s="9"/>
    </row>
    <row r="30" spans="1:5" x14ac:dyDescent="0.25">
      <c r="A30" s="204" t="s">
        <v>178</v>
      </c>
      <c r="B30" s="205">
        <v>4235.04</v>
      </c>
      <c r="E30" s="9"/>
    </row>
    <row r="31" spans="1:5" x14ac:dyDescent="0.25">
      <c r="A31" s="3" t="s">
        <v>190</v>
      </c>
      <c r="B31" s="7">
        <v>4985.62</v>
      </c>
      <c r="E31" s="9"/>
    </row>
    <row r="32" spans="1:5" x14ac:dyDescent="0.25">
      <c r="A32" s="196" t="s">
        <v>182</v>
      </c>
      <c r="B32" s="205">
        <v>4934.83</v>
      </c>
      <c r="E32" s="9"/>
    </row>
    <row r="33" spans="1:5" x14ac:dyDescent="0.25">
      <c r="A33" s="3" t="s">
        <v>180</v>
      </c>
      <c r="B33" s="7">
        <v>3070.96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2966</v>
      </c>
      <c r="E35" s="9"/>
    </row>
    <row r="36" spans="1:5" x14ac:dyDescent="0.25">
      <c r="A36" s="204" t="s">
        <v>184</v>
      </c>
      <c r="B36" s="205">
        <v>527.79999999999995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428.63</v>
      </c>
      <c r="E38" s="9"/>
    </row>
    <row r="39" spans="1:5" x14ac:dyDescent="0.25">
      <c r="A39" s="3" t="s">
        <v>183</v>
      </c>
      <c r="B39" s="7">
        <v>454.35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3584.6</v>
      </c>
      <c r="E41" s="9"/>
    </row>
    <row r="42" spans="1:5" x14ac:dyDescent="0.25">
      <c r="A42" s="204" t="s">
        <v>194</v>
      </c>
      <c r="B42" s="205">
        <v>1742.12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500.42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550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8980</v>
      </c>
      <c r="E51" s="9"/>
    </row>
    <row r="52" spans="1:5" ht="15.75" thickBot="1" x14ac:dyDescent="0.3">
      <c r="A52" s="206" t="s">
        <v>204</v>
      </c>
      <c r="B52" s="207">
        <f>SUBTOTAL(109,B4:B51)</f>
        <v>133947.09000000003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157472.09000000003</v>
      </c>
    </row>
    <row r="66" spans="1:2" x14ac:dyDescent="0.25">
      <c r="A66" s="135" t="s">
        <v>221</v>
      </c>
      <c r="B66" s="5">
        <v>4600</v>
      </c>
    </row>
    <row r="67" spans="1:2" x14ac:dyDescent="0.25">
      <c r="A67" s="135" t="s">
        <v>222</v>
      </c>
      <c r="B67" s="5">
        <v>7200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2C73-1F92-44AE-AFE2-45E44556D5F4}">
  <sheetPr codeName="Sheet36"/>
  <dimension ref="A1:E68"/>
  <sheetViews>
    <sheetView topLeftCell="A28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251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12257.66</v>
      </c>
      <c r="E9" s="9"/>
    </row>
    <row r="10" spans="1:5" x14ac:dyDescent="0.25">
      <c r="A10" s="204" t="s">
        <v>159</v>
      </c>
      <c r="B10" s="205">
        <v>3893.18</v>
      </c>
      <c r="E10" s="9"/>
    </row>
    <row r="11" spans="1:5" x14ac:dyDescent="0.25">
      <c r="A11" s="3" t="s">
        <v>157</v>
      </c>
      <c r="B11" s="7">
        <v>3919.99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12164</v>
      </c>
      <c r="E13" s="9"/>
    </row>
    <row r="14" spans="1:5" x14ac:dyDescent="0.25">
      <c r="A14" s="204" t="s">
        <v>169</v>
      </c>
      <c r="B14" s="205">
        <v>330</v>
      </c>
      <c r="E14" s="9"/>
    </row>
    <row r="15" spans="1:5" x14ac:dyDescent="0.25">
      <c r="A15" s="3" t="s">
        <v>166</v>
      </c>
      <c r="B15" s="7">
        <v>2654.72</v>
      </c>
      <c r="E15" s="9"/>
    </row>
    <row r="16" spans="1:5" x14ac:dyDescent="0.25">
      <c r="A16" s="204" t="s">
        <v>163</v>
      </c>
      <c r="B16" s="205">
        <v>3297.59</v>
      </c>
      <c r="E16" s="9"/>
    </row>
    <row r="17" spans="1:5" x14ac:dyDescent="0.25">
      <c r="A17" s="3" t="s">
        <v>168</v>
      </c>
      <c r="B17" s="7">
        <v>173</v>
      </c>
      <c r="E17" s="9"/>
    </row>
    <row r="18" spans="1:5" x14ac:dyDescent="0.25">
      <c r="A18" s="204" t="s">
        <v>167</v>
      </c>
      <c r="B18" s="205">
        <v>1843.76</v>
      </c>
      <c r="E18" s="9"/>
    </row>
    <row r="19" spans="1:5" x14ac:dyDescent="0.25">
      <c r="A19" s="3" t="s">
        <v>170</v>
      </c>
      <c r="B19" s="7">
        <v>1100</v>
      </c>
      <c r="E19" s="9"/>
    </row>
    <row r="20" spans="1:5" x14ac:dyDescent="0.25">
      <c r="A20" s="204" t="s">
        <v>164</v>
      </c>
      <c r="B20" s="205">
        <v>3797.77</v>
      </c>
      <c r="E20" s="9"/>
    </row>
    <row r="21" spans="1:5" x14ac:dyDescent="0.25">
      <c r="A21" s="3" t="s">
        <v>165</v>
      </c>
      <c r="B21" s="7">
        <v>2600</v>
      </c>
      <c r="E21" s="9"/>
    </row>
    <row r="22" spans="1:5" x14ac:dyDescent="0.25">
      <c r="A22" s="204" t="s">
        <v>172</v>
      </c>
      <c r="B22" s="205">
        <v>10400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8855</v>
      </c>
      <c r="E24" s="9"/>
    </row>
    <row r="25" spans="1:5" x14ac:dyDescent="0.25">
      <c r="A25" s="3" t="s">
        <v>192</v>
      </c>
      <c r="B25" s="7">
        <v>726.81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13256</v>
      </c>
      <c r="E27" s="9"/>
    </row>
    <row r="28" spans="1:5" x14ac:dyDescent="0.25">
      <c r="A28" s="204" t="s">
        <v>176</v>
      </c>
      <c r="B28" s="205">
        <v>4138.5</v>
      </c>
      <c r="E28" s="9"/>
    </row>
    <row r="29" spans="1:5" x14ac:dyDescent="0.25">
      <c r="A29" s="3" t="s">
        <v>177</v>
      </c>
      <c r="B29" s="7">
        <v>3826.35</v>
      </c>
      <c r="E29" s="9"/>
    </row>
    <row r="30" spans="1:5" x14ac:dyDescent="0.25">
      <c r="A30" s="204" t="s">
        <v>178</v>
      </c>
      <c r="B30" s="205">
        <v>4360.5</v>
      </c>
      <c r="E30" s="9"/>
    </row>
    <row r="31" spans="1:5" x14ac:dyDescent="0.25">
      <c r="A31" s="3" t="s">
        <v>190</v>
      </c>
      <c r="B31" s="7">
        <v>5200</v>
      </c>
      <c r="E31" s="9"/>
    </row>
    <row r="32" spans="1:5" x14ac:dyDescent="0.25">
      <c r="A32" s="196" t="s">
        <v>182</v>
      </c>
      <c r="B32" s="205">
        <v>4431</v>
      </c>
      <c r="E32" s="9"/>
    </row>
    <row r="33" spans="1:5" x14ac:dyDescent="0.25">
      <c r="A33" s="3" t="s">
        <v>180</v>
      </c>
      <c r="B33" s="7">
        <v>3107.76</v>
      </c>
      <c r="E33" s="9"/>
    </row>
    <row r="34" spans="1:5" x14ac:dyDescent="0.25">
      <c r="A34" s="204" t="s">
        <v>179</v>
      </c>
      <c r="B34" s="205">
        <v>25</v>
      </c>
      <c r="E34" s="9"/>
    </row>
    <row r="35" spans="1:5" x14ac:dyDescent="0.25">
      <c r="A35" s="3" t="s">
        <v>189</v>
      </c>
      <c r="B35" s="7">
        <v>3201</v>
      </c>
      <c r="E35" s="9"/>
    </row>
    <row r="36" spans="1:5" x14ac:dyDescent="0.25">
      <c r="A36" s="204" t="s">
        <v>184</v>
      </c>
      <c r="B36" s="205">
        <v>583.9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432.08</v>
      </c>
      <c r="E38" s="9"/>
    </row>
    <row r="39" spans="1:5" x14ac:dyDescent="0.25">
      <c r="A39" s="3" t="s">
        <v>183</v>
      </c>
      <c r="B39" s="7">
        <v>508.53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2958.98</v>
      </c>
      <c r="E41" s="9"/>
    </row>
    <row r="42" spans="1:5" x14ac:dyDescent="0.25">
      <c r="A42" s="204" t="s">
        <v>194</v>
      </c>
      <c r="B42" s="205">
        <v>1643.88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504.02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580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8615</v>
      </c>
      <c r="E51" s="9"/>
    </row>
    <row r="52" spans="1:5" ht="15.75" thickBot="1" x14ac:dyDescent="0.3">
      <c r="A52" s="206" t="s">
        <v>204</v>
      </c>
      <c r="B52" s="207">
        <f>SUBTOTAL(109,B4:B51)</f>
        <v>132402.26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155927.26</v>
      </c>
    </row>
    <row r="66" spans="1:2" x14ac:dyDescent="0.25">
      <c r="A66" s="135" t="s">
        <v>221</v>
      </c>
      <c r="B66" s="5">
        <v>5000</v>
      </c>
    </row>
    <row r="67" spans="1:2" x14ac:dyDescent="0.25">
      <c r="A67" s="135" t="s">
        <v>222</v>
      </c>
      <c r="B67" s="5">
        <v>8500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3DAE-698D-4DF5-90B1-37089586030A}">
  <sheetPr codeName="Sheet37"/>
  <dimension ref="A1:E68"/>
  <sheetViews>
    <sheetView topLeftCell="A28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252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10894.93</v>
      </c>
      <c r="E9" s="9"/>
    </row>
    <row r="10" spans="1:5" x14ac:dyDescent="0.25">
      <c r="A10" s="204" t="s">
        <v>159</v>
      </c>
      <c r="B10" s="205">
        <v>2966.77</v>
      </c>
      <c r="E10" s="9"/>
    </row>
    <row r="11" spans="1:5" x14ac:dyDescent="0.25">
      <c r="A11" s="3" t="s">
        <v>157</v>
      </c>
      <c r="B11" s="7">
        <v>4152.7700000000004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8399.64</v>
      </c>
      <c r="E13" s="9"/>
    </row>
    <row r="14" spans="1:5" x14ac:dyDescent="0.25">
      <c r="A14" s="204" t="s">
        <v>169</v>
      </c>
      <c r="B14" s="205">
        <v>166</v>
      </c>
      <c r="E14" s="9"/>
    </row>
    <row r="15" spans="1:5" x14ac:dyDescent="0.25">
      <c r="A15" s="3" t="s">
        <v>166</v>
      </c>
      <c r="B15" s="7">
        <v>2177.34</v>
      </c>
      <c r="E15" s="9"/>
    </row>
    <row r="16" spans="1:5" x14ac:dyDescent="0.25">
      <c r="A16" s="204" t="s">
        <v>163</v>
      </c>
      <c r="B16" s="205">
        <v>2433.06</v>
      </c>
      <c r="E16" s="9"/>
    </row>
    <row r="17" spans="1:5" x14ac:dyDescent="0.25">
      <c r="A17" s="3" t="s">
        <v>168</v>
      </c>
      <c r="B17" s="7">
        <v>180</v>
      </c>
      <c r="E17" s="9"/>
    </row>
    <row r="18" spans="1:5" x14ac:dyDescent="0.25">
      <c r="A18" s="204" t="s">
        <v>167</v>
      </c>
      <c r="B18" s="205">
        <v>1109.1500000000001</v>
      </c>
      <c r="E18" s="9"/>
    </row>
    <row r="19" spans="1:5" x14ac:dyDescent="0.25">
      <c r="A19" s="3" t="s">
        <v>170</v>
      </c>
      <c r="B19" s="7">
        <v>0</v>
      </c>
      <c r="E19" s="9"/>
    </row>
    <row r="20" spans="1:5" x14ac:dyDescent="0.25">
      <c r="A20" s="204" t="s">
        <v>164</v>
      </c>
      <c r="B20" s="205">
        <v>3765.31</v>
      </c>
      <c r="E20" s="9"/>
    </row>
    <row r="21" spans="1:5" x14ac:dyDescent="0.25">
      <c r="A21" s="3" t="s">
        <v>165</v>
      </c>
      <c r="B21" s="7">
        <v>2390</v>
      </c>
      <c r="E21" s="9"/>
    </row>
    <row r="22" spans="1:5" x14ac:dyDescent="0.25">
      <c r="A22" s="204" t="s">
        <v>172</v>
      </c>
      <c r="B22" s="205">
        <v>9200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6120.79</v>
      </c>
      <c r="E24" s="9"/>
    </row>
    <row r="25" spans="1:5" x14ac:dyDescent="0.25">
      <c r="A25" s="3" t="s">
        <v>192</v>
      </c>
      <c r="B25" s="7">
        <v>494.92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11949</v>
      </c>
      <c r="E27" s="9"/>
    </row>
    <row r="28" spans="1:5" x14ac:dyDescent="0.25">
      <c r="A28" s="204" t="s">
        <v>176</v>
      </c>
      <c r="B28" s="205">
        <v>3872</v>
      </c>
      <c r="E28" s="9"/>
    </row>
    <row r="29" spans="1:5" x14ac:dyDescent="0.25">
      <c r="A29" s="3" t="s">
        <v>177</v>
      </c>
      <c r="B29" s="7">
        <v>3390.09</v>
      </c>
      <c r="E29" s="9"/>
    </row>
    <row r="30" spans="1:5" x14ac:dyDescent="0.25">
      <c r="A30" s="204" t="s">
        <v>178</v>
      </c>
      <c r="B30" s="205">
        <v>3167.1</v>
      </c>
      <c r="E30" s="9"/>
    </row>
    <row r="31" spans="1:5" x14ac:dyDescent="0.25">
      <c r="A31" s="3" t="s">
        <v>190</v>
      </c>
      <c r="B31" s="7">
        <v>3500.12</v>
      </c>
      <c r="E31" s="9"/>
    </row>
    <row r="32" spans="1:5" x14ac:dyDescent="0.25">
      <c r="A32" s="196" t="s">
        <v>182</v>
      </c>
      <c r="B32" s="205">
        <v>3775</v>
      </c>
      <c r="E32" s="9"/>
    </row>
    <row r="33" spans="1:5" x14ac:dyDescent="0.25">
      <c r="A33" s="3" t="s">
        <v>180</v>
      </c>
      <c r="B33" s="7">
        <v>2399.36</v>
      </c>
      <c r="E33" s="9"/>
    </row>
    <row r="34" spans="1:5" x14ac:dyDescent="0.25">
      <c r="A34" s="204" t="s">
        <v>179</v>
      </c>
      <c r="B34" s="205">
        <v>100</v>
      </c>
      <c r="E34" s="9"/>
    </row>
    <row r="35" spans="1:5" x14ac:dyDescent="0.25">
      <c r="A35" s="3" t="s">
        <v>189</v>
      </c>
      <c r="B35" s="7">
        <v>3536</v>
      </c>
      <c r="E35" s="9"/>
    </row>
    <row r="36" spans="1:5" x14ac:dyDescent="0.25">
      <c r="A36" s="204" t="s">
        <v>184</v>
      </c>
      <c r="B36" s="205">
        <v>416.2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405.06</v>
      </c>
      <c r="E38" s="9"/>
    </row>
    <row r="39" spans="1:5" x14ac:dyDescent="0.25">
      <c r="A39" s="3" t="s">
        <v>183</v>
      </c>
      <c r="B39" s="7">
        <v>471.89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2536.04</v>
      </c>
      <c r="E41" s="9"/>
    </row>
    <row r="42" spans="1:5" x14ac:dyDescent="0.25">
      <c r="A42" s="204" t="s">
        <v>194</v>
      </c>
      <c r="B42" s="205">
        <v>1422.63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434.72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691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6620</v>
      </c>
      <c r="E51" s="9"/>
    </row>
    <row r="52" spans="1:5" ht="15.75" thickBot="1" x14ac:dyDescent="0.3">
      <c r="A52" s="206" t="s">
        <v>204</v>
      </c>
      <c r="B52" s="207">
        <f>SUBTOTAL(109,B4:B51)</f>
        <v>110043.18000000001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133568.18</v>
      </c>
    </row>
    <row r="66" spans="1:2" x14ac:dyDescent="0.25">
      <c r="A66" s="135" t="s">
        <v>221</v>
      </c>
      <c r="B66" s="5">
        <v>3900</v>
      </c>
    </row>
    <row r="67" spans="1:2" x14ac:dyDescent="0.25">
      <c r="A67" s="135" t="s">
        <v>222</v>
      </c>
      <c r="B67" s="5">
        <v>8200</v>
      </c>
    </row>
    <row r="68" spans="1:2" x14ac:dyDescent="0.25">
      <c r="A68" s="135" t="s">
        <v>223</v>
      </c>
      <c r="B68" s="5" t="s">
        <v>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5205-80D6-40FA-95D3-D84EF9DBE04C}">
  <sheetPr codeName="Sheet38"/>
  <dimension ref="A1:E68"/>
  <sheetViews>
    <sheetView topLeftCell="A28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253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10676.17</v>
      </c>
      <c r="E9" s="9"/>
    </row>
    <row r="10" spans="1:5" x14ac:dyDescent="0.25">
      <c r="A10" s="204" t="s">
        <v>159</v>
      </c>
      <c r="B10" s="205">
        <v>2652.45</v>
      </c>
      <c r="E10" s="9"/>
    </row>
    <row r="11" spans="1:5" x14ac:dyDescent="0.25">
      <c r="A11" s="3" t="s">
        <v>157</v>
      </c>
      <c r="B11" s="7">
        <v>3076.33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10275.76</v>
      </c>
      <c r="E13" s="9"/>
    </row>
    <row r="14" spans="1:5" x14ac:dyDescent="0.25">
      <c r="A14" s="204" t="s">
        <v>169</v>
      </c>
      <c r="B14" s="205">
        <v>220</v>
      </c>
      <c r="E14" s="9"/>
    </row>
    <row r="15" spans="1:5" x14ac:dyDescent="0.25">
      <c r="A15" s="3" t="s">
        <v>166</v>
      </c>
      <c r="B15" s="7">
        <v>1767.17</v>
      </c>
      <c r="E15" s="9"/>
    </row>
    <row r="16" spans="1:5" x14ac:dyDescent="0.25">
      <c r="A16" s="204" t="s">
        <v>163</v>
      </c>
      <c r="B16" s="205">
        <v>4820.8</v>
      </c>
      <c r="E16" s="9"/>
    </row>
    <row r="17" spans="1:5" x14ac:dyDescent="0.25">
      <c r="A17" s="3" t="s">
        <v>168</v>
      </c>
      <c r="B17" s="7">
        <v>120</v>
      </c>
      <c r="E17" s="9"/>
    </row>
    <row r="18" spans="1:5" x14ac:dyDescent="0.25">
      <c r="A18" s="204" t="s">
        <v>167</v>
      </c>
      <c r="B18" s="205">
        <v>1317.63</v>
      </c>
      <c r="E18" s="9"/>
    </row>
    <row r="19" spans="1:5" x14ac:dyDescent="0.25">
      <c r="A19" s="3" t="s">
        <v>170</v>
      </c>
      <c r="B19" s="7">
        <v>0</v>
      </c>
      <c r="E19" s="9"/>
    </row>
    <row r="20" spans="1:5" x14ac:dyDescent="0.25">
      <c r="A20" s="204" t="s">
        <v>164</v>
      </c>
      <c r="B20" s="205">
        <v>2508.62</v>
      </c>
      <c r="E20" s="9"/>
    </row>
    <row r="21" spans="1:5" x14ac:dyDescent="0.25">
      <c r="A21" s="3" t="s">
        <v>165</v>
      </c>
      <c r="B21" s="7">
        <v>1650</v>
      </c>
      <c r="E21" s="9"/>
    </row>
    <row r="22" spans="1:5" x14ac:dyDescent="0.25">
      <c r="A22" s="204" t="s">
        <v>172</v>
      </c>
      <c r="B22" s="205">
        <v>8470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8645</v>
      </c>
      <c r="E24" s="9"/>
    </row>
    <row r="25" spans="1:5" x14ac:dyDescent="0.25">
      <c r="A25" s="3" t="s">
        <v>192</v>
      </c>
      <c r="B25" s="7">
        <v>502.19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12560</v>
      </c>
      <c r="E27" s="9"/>
    </row>
    <row r="28" spans="1:5" x14ac:dyDescent="0.25">
      <c r="A28" s="204" t="s">
        <v>176</v>
      </c>
      <c r="B28" s="205">
        <v>2953</v>
      </c>
      <c r="E28" s="9"/>
    </row>
    <row r="29" spans="1:5" x14ac:dyDescent="0.25">
      <c r="A29" s="3" t="s">
        <v>177</v>
      </c>
      <c r="B29" s="7">
        <v>2842.2</v>
      </c>
      <c r="E29" s="9"/>
    </row>
    <row r="30" spans="1:5" x14ac:dyDescent="0.25">
      <c r="A30" s="204" t="s">
        <v>178</v>
      </c>
      <c r="B30" s="205">
        <v>3408.84</v>
      </c>
      <c r="E30" s="9"/>
    </row>
    <row r="31" spans="1:5" x14ac:dyDescent="0.25">
      <c r="A31" s="3" t="s">
        <v>190</v>
      </c>
      <c r="B31" s="7">
        <v>3628</v>
      </c>
      <c r="E31" s="9"/>
    </row>
    <row r="32" spans="1:5" x14ac:dyDescent="0.25">
      <c r="A32" s="196" t="s">
        <v>182</v>
      </c>
      <c r="B32" s="205">
        <v>4008</v>
      </c>
      <c r="E32" s="9"/>
    </row>
    <row r="33" spans="1:5" x14ac:dyDescent="0.25">
      <c r="A33" s="3" t="s">
        <v>180</v>
      </c>
      <c r="B33" s="7">
        <v>2620.16</v>
      </c>
      <c r="E33" s="9"/>
    </row>
    <row r="34" spans="1:5" x14ac:dyDescent="0.25">
      <c r="A34" s="204" t="s">
        <v>179</v>
      </c>
      <c r="B34" s="205">
        <v>0</v>
      </c>
      <c r="E34" s="9"/>
    </row>
    <row r="35" spans="1:5" x14ac:dyDescent="0.25">
      <c r="A35" s="3" t="s">
        <v>189</v>
      </c>
      <c r="B35" s="7">
        <v>2948</v>
      </c>
      <c r="E35" s="9"/>
    </row>
    <row r="36" spans="1:5" x14ac:dyDescent="0.25">
      <c r="A36" s="204" t="s">
        <v>184</v>
      </c>
      <c r="B36" s="205">
        <v>464.5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619.39</v>
      </c>
      <c r="E39" s="9"/>
    </row>
    <row r="40" spans="1:5" x14ac:dyDescent="0.25">
      <c r="A40" s="204" t="s">
        <v>188</v>
      </c>
      <c r="B40" s="205">
        <v>0</v>
      </c>
      <c r="E40" s="9"/>
    </row>
    <row r="41" spans="1:5" x14ac:dyDescent="0.25">
      <c r="A41" s="3" t="s">
        <v>196</v>
      </c>
      <c r="B41" s="7">
        <v>2647.51</v>
      </c>
      <c r="E41" s="9"/>
    </row>
    <row r="42" spans="1:5" x14ac:dyDescent="0.25">
      <c r="A42" s="204" t="s">
        <v>194</v>
      </c>
      <c r="B42" s="205">
        <v>1402.87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456.32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366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6890</v>
      </c>
      <c r="E51" s="9"/>
    </row>
    <row r="52" spans="1:5" ht="15.75" thickBot="1" x14ac:dyDescent="0.3">
      <c r="A52" s="206" t="s">
        <v>204</v>
      </c>
      <c r="B52" s="207">
        <f>SUBTOTAL(109,B4:B51)</f>
        <v>111054.70000000001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134579.70000000001</v>
      </c>
    </row>
    <row r="66" spans="1:2" x14ac:dyDescent="0.25">
      <c r="A66" s="135" t="s">
        <v>221</v>
      </c>
      <c r="B66" s="5">
        <v>4100</v>
      </c>
    </row>
    <row r="67" spans="1:2" x14ac:dyDescent="0.25">
      <c r="A67" s="135" t="s">
        <v>222</v>
      </c>
      <c r="B67" s="5">
        <v>7200</v>
      </c>
    </row>
    <row r="68" spans="1:2" x14ac:dyDescent="0.25">
      <c r="A68" s="135" t="s">
        <v>223</v>
      </c>
      <c r="B68" s="5">
        <v>5000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5A2A-A1B6-40DA-80C2-9AF39209EB1F}">
  <sheetPr codeName="Sheet39"/>
  <dimension ref="A1:E68"/>
  <sheetViews>
    <sheetView topLeftCell="A45"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254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16813.43</v>
      </c>
      <c r="E9" s="9"/>
    </row>
    <row r="10" spans="1:5" x14ac:dyDescent="0.25">
      <c r="A10" s="204" t="s">
        <v>159</v>
      </c>
      <c r="B10" s="205">
        <v>2724.15</v>
      </c>
      <c r="E10" s="9"/>
    </row>
    <row r="11" spans="1:5" x14ac:dyDescent="0.25">
      <c r="A11" s="3" t="s">
        <v>157</v>
      </c>
      <c r="B11" s="7">
        <v>6815.74</v>
      </c>
      <c r="E11" s="9"/>
    </row>
    <row r="12" spans="1:5" x14ac:dyDescent="0.25">
      <c r="A12" s="204" t="s">
        <v>158</v>
      </c>
      <c r="B12" s="205">
        <v>1161.17</v>
      </c>
      <c r="E12" s="9"/>
    </row>
    <row r="13" spans="1:5" x14ac:dyDescent="0.25">
      <c r="A13" s="3" t="s">
        <v>156</v>
      </c>
      <c r="B13" s="7">
        <v>16065.46</v>
      </c>
      <c r="E13" s="9"/>
    </row>
    <row r="14" spans="1:5" x14ac:dyDescent="0.25">
      <c r="A14" s="204" t="s">
        <v>169</v>
      </c>
      <c r="B14" s="205">
        <v>330</v>
      </c>
      <c r="E14" s="9"/>
    </row>
    <row r="15" spans="1:5" x14ac:dyDescent="0.25">
      <c r="A15" s="3" t="s">
        <v>166</v>
      </c>
      <c r="B15" s="7">
        <v>2786.05</v>
      </c>
      <c r="E15" s="9"/>
    </row>
    <row r="16" spans="1:5" x14ac:dyDescent="0.25">
      <c r="A16" s="204" t="s">
        <v>163</v>
      </c>
      <c r="B16" s="205">
        <v>2487.96</v>
      </c>
      <c r="E16" s="9"/>
    </row>
    <row r="17" spans="1:5" x14ac:dyDescent="0.25">
      <c r="A17" s="3" t="s">
        <v>168</v>
      </c>
      <c r="B17" s="7">
        <v>210</v>
      </c>
      <c r="E17" s="9"/>
    </row>
    <row r="18" spans="1:5" x14ac:dyDescent="0.25">
      <c r="A18" s="204" t="s">
        <v>167</v>
      </c>
      <c r="B18" s="205">
        <v>2611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6899.6</v>
      </c>
      <c r="E20" s="9"/>
    </row>
    <row r="21" spans="1:5" x14ac:dyDescent="0.25">
      <c r="A21" s="3" t="s">
        <v>165</v>
      </c>
      <c r="B21" s="7">
        <v>3885</v>
      </c>
      <c r="E21" s="9"/>
    </row>
    <row r="22" spans="1:5" x14ac:dyDescent="0.25">
      <c r="A22" s="204" t="s">
        <v>172</v>
      </c>
      <c r="B22" s="205">
        <v>11700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9170</v>
      </c>
      <c r="E24" s="9"/>
    </row>
    <row r="25" spans="1:5" x14ac:dyDescent="0.25">
      <c r="A25" s="3" t="s">
        <v>192</v>
      </c>
      <c r="B25" s="7">
        <v>671.01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13695</v>
      </c>
      <c r="E27" s="9"/>
    </row>
    <row r="28" spans="1:5" x14ac:dyDescent="0.25">
      <c r="A28" s="204" t="s">
        <v>176</v>
      </c>
      <c r="B28" s="205">
        <v>3996</v>
      </c>
      <c r="E28" s="9"/>
    </row>
    <row r="29" spans="1:5" x14ac:dyDescent="0.25">
      <c r="A29" s="3" t="s">
        <v>177</v>
      </c>
      <c r="B29" s="7">
        <v>4546.58</v>
      </c>
      <c r="E29" s="9"/>
    </row>
    <row r="30" spans="1:5" x14ac:dyDescent="0.25">
      <c r="A30" s="204" t="s">
        <v>178</v>
      </c>
      <c r="B30" s="205">
        <v>4905.18</v>
      </c>
      <c r="E30" s="9"/>
    </row>
    <row r="31" spans="1:5" x14ac:dyDescent="0.25">
      <c r="A31" s="3" t="s">
        <v>190</v>
      </c>
      <c r="B31" s="7">
        <v>4188</v>
      </c>
      <c r="E31" s="9"/>
    </row>
    <row r="32" spans="1:5" x14ac:dyDescent="0.25">
      <c r="A32" s="196" t="s">
        <v>182</v>
      </c>
      <c r="B32" s="205">
        <v>4451</v>
      </c>
      <c r="E32" s="9"/>
    </row>
    <row r="33" spans="1:5" x14ac:dyDescent="0.25">
      <c r="A33" s="3" t="s">
        <v>180</v>
      </c>
      <c r="B33" s="7">
        <v>3216.32</v>
      </c>
      <c r="E33" s="9"/>
    </row>
    <row r="34" spans="1:5" x14ac:dyDescent="0.25">
      <c r="A34" s="204" t="s">
        <v>179</v>
      </c>
      <c r="B34" s="205">
        <v>0</v>
      </c>
      <c r="E34" s="9"/>
    </row>
    <row r="35" spans="1:5" x14ac:dyDescent="0.25">
      <c r="A35" s="3" t="s">
        <v>189</v>
      </c>
      <c r="B35" s="7">
        <v>3423</v>
      </c>
      <c r="E35" s="9"/>
    </row>
    <row r="36" spans="1:5" x14ac:dyDescent="0.25">
      <c r="A36" s="204" t="s">
        <v>184</v>
      </c>
      <c r="B36" s="205">
        <v>463.9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473.39</v>
      </c>
      <c r="E38" s="9"/>
    </row>
    <row r="39" spans="1:5" x14ac:dyDescent="0.25">
      <c r="A39" s="3" t="s">
        <v>183</v>
      </c>
      <c r="B39" s="7">
        <v>659.67</v>
      </c>
      <c r="E39" s="9"/>
    </row>
    <row r="40" spans="1:5" x14ac:dyDescent="0.25">
      <c r="A40" s="204" t="s">
        <v>188</v>
      </c>
      <c r="B40" s="205">
        <v>1232.97</v>
      </c>
      <c r="E40" s="9"/>
    </row>
    <row r="41" spans="1:5" x14ac:dyDescent="0.25">
      <c r="A41" s="3" t="s">
        <v>196</v>
      </c>
      <c r="B41" s="7">
        <v>4312.59</v>
      </c>
      <c r="E41" s="9"/>
    </row>
    <row r="42" spans="1:5" x14ac:dyDescent="0.25">
      <c r="A42" s="204" t="s">
        <v>194</v>
      </c>
      <c r="B42" s="205">
        <v>1432.37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514.64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543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1234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6702.5</v>
      </c>
      <c r="E51" s="9"/>
    </row>
    <row r="52" spans="1:5" ht="15.75" thickBot="1" x14ac:dyDescent="0.3">
      <c r="A52" s="206" t="s">
        <v>204</v>
      </c>
      <c r="B52" s="207">
        <f>SUBTOTAL(109,B4:B51)</f>
        <v>151644.30000000005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175169.30000000005</v>
      </c>
    </row>
    <row r="66" spans="1:2" x14ac:dyDescent="0.25">
      <c r="A66" s="135" t="s">
        <v>221</v>
      </c>
      <c r="B66" s="5">
        <v>6600</v>
      </c>
    </row>
    <row r="67" spans="1:2" x14ac:dyDescent="0.25">
      <c r="A67" s="135" t="s">
        <v>222</v>
      </c>
      <c r="B67" s="5">
        <v>11200</v>
      </c>
    </row>
    <row r="68" spans="1:2" x14ac:dyDescent="0.25">
      <c r="A68" s="135" t="s">
        <v>223</v>
      </c>
      <c r="B68" s="5">
        <v>6200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AAF8-DFA6-4AD2-84A8-8441BB932481}">
  <sheetPr codeName="Sheet40"/>
  <dimension ref="A1:E68"/>
  <sheetViews>
    <sheetView topLeftCell="A33" zoomScale="130" zoomScaleNormal="130" workbookViewId="0">
      <selection activeCell="B42" sqref="B42"/>
    </sheetView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255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16829.52</v>
      </c>
      <c r="E9" s="9"/>
    </row>
    <row r="10" spans="1:5" x14ac:dyDescent="0.25">
      <c r="A10" s="204" t="s">
        <v>159</v>
      </c>
      <c r="B10" s="205">
        <v>3853.01</v>
      </c>
      <c r="E10" s="9"/>
    </row>
    <row r="11" spans="1:5" x14ac:dyDescent="0.25">
      <c r="A11" s="3" t="s">
        <v>157</v>
      </c>
      <c r="B11" s="7">
        <v>2848.33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11939.8</v>
      </c>
      <c r="E13" s="9"/>
    </row>
    <row r="14" spans="1:5" x14ac:dyDescent="0.25">
      <c r="A14" s="204" t="s">
        <v>169</v>
      </c>
      <c r="B14" s="205">
        <v>144</v>
      </c>
      <c r="E14" s="9"/>
    </row>
    <row r="15" spans="1:5" x14ac:dyDescent="0.25">
      <c r="A15" s="3" t="s">
        <v>166</v>
      </c>
      <c r="B15" s="7">
        <v>1486.2</v>
      </c>
      <c r="E15" s="9"/>
    </row>
    <row r="16" spans="1:5" x14ac:dyDescent="0.25">
      <c r="A16" s="204" t="s">
        <v>163</v>
      </c>
      <c r="B16" s="205">
        <v>3234.47</v>
      </c>
      <c r="E16" s="9"/>
    </row>
    <row r="17" spans="1:5" x14ac:dyDescent="0.25">
      <c r="A17" s="3" t="s">
        <v>168</v>
      </c>
      <c r="B17" s="7">
        <v>120</v>
      </c>
      <c r="E17" s="9"/>
    </row>
    <row r="18" spans="1:5" x14ac:dyDescent="0.25">
      <c r="A18" s="204" t="s">
        <v>167</v>
      </c>
      <c r="B18" s="205">
        <v>1081.5999999999999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4559.5600000000004</v>
      </c>
      <c r="E20" s="9"/>
    </row>
    <row r="21" spans="1:5" x14ac:dyDescent="0.25">
      <c r="A21" s="3" t="s">
        <v>165</v>
      </c>
      <c r="B21" s="7">
        <v>3212.5</v>
      </c>
      <c r="E21" s="9"/>
    </row>
    <row r="22" spans="1:5" x14ac:dyDescent="0.25">
      <c r="A22" s="204" t="s">
        <v>172</v>
      </c>
      <c r="B22" s="205">
        <v>9700</v>
      </c>
      <c r="E22" s="9"/>
    </row>
    <row r="23" spans="1:5" x14ac:dyDescent="0.25">
      <c r="A23" s="3" t="s">
        <v>174</v>
      </c>
      <c r="B23" s="7">
        <v>300.11</v>
      </c>
      <c r="E23" s="9"/>
    </row>
    <row r="24" spans="1:5" x14ac:dyDescent="0.25">
      <c r="A24" s="204" t="s">
        <v>173</v>
      </c>
      <c r="B24" s="205">
        <v>9694</v>
      </c>
      <c r="E24" s="9"/>
    </row>
    <row r="25" spans="1:5" x14ac:dyDescent="0.25">
      <c r="A25" s="3" t="s">
        <v>192</v>
      </c>
      <c r="B25" s="7">
        <v>625.36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12489</v>
      </c>
      <c r="E27" s="9"/>
    </row>
    <row r="28" spans="1:5" x14ac:dyDescent="0.25">
      <c r="A28" s="204" t="s">
        <v>176</v>
      </c>
      <c r="B28" s="205">
        <v>3811</v>
      </c>
      <c r="E28" s="9"/>
    </row>
    <row r="29" spans="1:5" x14ac:dyDescent="0.25">
      <c r="A29" s="3" t="s">
        <v>177</v>
      </c>
      <c r="B29" s="7">
        <v>3741.76</v>
      </c>
      <c r="E29" s="9"/>
    </row>
    <row r="30" spans="1:5" x14ac:dyDescent="0.25">
      <c r="A30" s="204" t="s">
        <v>178</v>
      </c>
      <c r="B30" s="205">
        <v>4155.4799999999996</v>
      </c>
      <c r="E30" s="9"/>
    </row>
    <row r="31" spans="1:5" x14ac:dyDescent="0.25">
      <c r="A31" s="3" t="s">
        <v>190</v>
      </c>
      <c r="B31" s="7">
        <v>4008.42</v>
      </c>
      <c r="E31" s="9"/>
    </row>
    <row r="32" spans="1:5" x14ac:dyDescent="0.25">
      <c r="A32" s="196" t="s">
        <v>182</v>
      </c>
      <c r="B32" s="205">
        <v>4545.92</v>
      </c>
      <c r="E32" s="9"/>
    </row>
    <row r="33" spans="1:5" x14ac:dyDescent="0.25">
      <c r="A33" s="3" t="s">
        <v>180</v>
      </c>
      <c r="B33" s="7">
        <v>2728.72</v>
      </c>
      <c r="E33" s="9"/>
    </row>
    <row r="34" spans="1:5" x14ac:dyDescent="0.25">
      <c r="A34" s="204" t="s">
        <v>179</v>
      </c>
      <c r="B34" s="205">
        <v>50</v>
      </c>
      <c r="E34" s="9"/>
    </row>
    <row r="35" spans="1:5" x14ac:dyDescent="0.25">
      <c r="A35" s="3" t="s">
        <v>189</v>
      </c>
      <c r="B35" s="7">
        <v>3068</v>
      </c>
      <c r="E35" s="9"/>
    </row>
    <row r="36" spans="1:5" x14ac:dyDescent="0.25">
      <c r="A36" s="204" t="s">
        <v>184</v>
      </c>
      <c r="B36" s="205">
        <v>511</v>
      </c>
      <c r="E36" s="9"/>
    </row>
    <row r="37" spans="1:5" x14ac:dyDescent="0.25">
      <c r="A37" s="3" t="s">
        <v>186</v>
      </c>
      <c r="B37" s="7">
        <v>689.96</v>
      </c>
      <c r="E37" s="9"/>
    </row>
    <row r="38" spans="1:5" x14ac:dyDescent="0.25">
      <c r="A38" s="204" t="s">
        <v>187</v>
      </c>
      <c r="B38" s="205">
        <v>428.63</v>
      </c>
      <c r="E38" s="9"/>
    </row>
    <row r="39" spans="1:5" x14ac:dyDescent="0.25">
      <c r="A39" s="3" t="s">
        <v>183</v>
      </c>
      <c r="B39" s="7">
        <v>449.17</v>
      </c>
      <c r="E39" s="9"/>
    </row>
    <row r="40" spans="1:5" x14ac:dyDescent="0.25">
      <c r="A40" s="204" t="s">
        <v>188</v>
      </c>
      <c r="B40" s="205">
        <v>695.9</v>
      </c>
      <c r="E40" s="9"/>
    </row>
    <row r="41" spans="1:5" x14ac:dyDescent="0.25">
      <c r="A41" s="3" t="s">
        <v>196</v>
      </c>
      <c r="B41" s="7">
        <v>2180.3000000000002</v>
      </c>
      <c r="E41" s="9"/>
    </row>
    <row r="42" spans="1:5" x14ac:dyDescent="0.25">
      <c r="A42" s="204" t="s">
        <v>194</v>
      </c>
      <c r="B42" s="205">
        <v>1663.5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466.94</v>
      </c>
      <c r="E45" s="9"/>
    </row>
    <row r="46" spans="1:5" x14ac:dyDescent="0.25">
      <c r="A46" s="204" t="s">
        <v>202</v>
      </c>
      <c r="B46" s="205">
        <v>235</v>
      </c>
      <c r="E46" s="9"/>
    </row>
    <row r="47" spans="1:5" x14ac:dyDescent="0.25">
      <c r="A47" s="3" t="s">
        <v>198</v>
      </c>
      <c r="B47" s="7">
        <v>532.5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8240</v>
      </c>
      <c r="E51" s="9"/>
    </row>
    <row r="52" spans="1:5" ht="15.75" thickBot="1" x14ac:dyDescent="0.3">
      <c r="A52" s="206" t="s">
        <v>204</v>
      </c>
      <c r="B52" s="207">
        <f>SUBTOTAL(109,B4:B51)</f>
        <v>130813.81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154338.81</v>
      </c>
    </row>
    <row r="66" spans="1:2" x14ac:dyDescent="0.25">
      <c r="A66" s="135" t="s">
        <v>221</v>
      </c>
      <c r="B66" s="5">
        <v>3900</v>
      </c>
    </row>
    <row r="67" spans="1:2" x14ac:dyDescent="0.25">
      <c r="A67" s="135" t="s">
        <v>222</v>
      </c>
      <c r="B67" s="5">
        <v>8200</v>
      </c>
    </row>
    <row r="68" spans="1:2" x14ac:dyDescent="0.25">
      <c r="A68" s="135" t="s">
        <v>223</v>
      </c>
      <c r="B68" s="5">
        <v>3600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DF69-41E5-4C18-97B8-7D08E29A42B7}">
  <sheetPr codeName="Sheet41"/>
  <dimension ref="A1:E68"/>
  <sheetViews>
    <sheetView zoomScale="130" zoomScaleNormal="130" workbookViewId="0"/>
  </sheetViews>
  <sheetFormatPr defaultRowHeight="15" x14ac:dyDescent="0.25"/>
  <cols>
    <col min="1" max="1" width="28.85546875" customWidth="1"/>
    <col min="2" max="2" width="14.140625" style="5" customWidth="1"/>
    <col min="5" max="5" width="12.42578125" customWidth="1"/>
  </cols>
  <sheetData>
    <row r="1" spans="1:5" ht="18.75" x14ac:dyDescent="0.3">
      <c r="A1" s="1" t="s">
        <v>256</v>
      </c>
    </row>
    <row r="2" spans="1:5" ht="15.75" thickBot="1" x14ac:dyDescent="0.3"/>
    <row r="3" spans="1:5" ht="15.75" thickBot="1" x14ac:dyDescent="0.3">
      <c r="A3" s="121" t="s">
        <v>149</v>
      </c>
      <c r="B3" s="122" t="s">
        <v>219</v>
      </c>
    </row>
    <row r="4" spans="1:5" x14ac:dyDescent="0.25">
      <c r="A4" s="202" t="s">
        <v>150</v>
      </c>
      <c r="B4" s="203">
        <v>1500</v>
      </c>
      <c r="E4" s="9"/>
    </row>
    <row r="5" spans="1:5" x14ac:dyDescent="0.25">
      <c r="A5" s="3" t="s">
        <v>151</v>
      </c>
      <c r="B5" s="7">
        <v>300</v>
      </c>
      <c r="E5" s="9"/>
    </row>
    <row r="6" spans="1:5" x14ac:dyDescent="0.25">
      <c r="A6" s="204" t="s">
        <v>152</v>
      </c>
      <c r="B6" s="205">
        <v>437.5</v>
      </c>
      <c r="E6" s="9"/>
    </row>
    <row r="7" spans="1:5" x14ac:dyDescent="0.25">
      <c r="A7" s="3" t="s">
        <v>153</v>
      </c>
      <c r="B7" s="7">
        <v>50</v>
      </c>
      <c r="E7" s="9"/>
    </row>
    <row r="8" spans="1:5" x14ac:dyDescent="0.25">
      <c r="A8" s="204" t="s">
        <v>154</v>
      </c>
      <c r="B8" s="205">
        <v>100</v>
      </c>
      <c r="E8" s="9"/>
    </row>
    <row r="9" spans="1:5" x14ac:dyDescent="0.25">
      <c r="A9" s="3" t="s">
        <v>155</v>
      </c>
      <c r="B9" s="7">
        <v>14421.58</v>
      </c>
      <c r="E9" s="9"/>
    </row>
    <row r="10" spans="1:5" x14ac:dyDescent="0.25">
      <c r="A10" s="204" t="s">
        <v>159</v>
      </c>
      <c r="B10" s="205">
        <v>3956.29</v>
      </c>
      <c r="E10" s="9"/>
    </row>
    <row r="11" spans="1:5" x14ac:dyDescent="0.25">
      <c r="A11" s="3" t="s">
        <v>157</v>
      </c>
      <c r="B11" s="7">
        <v>5344.62</v>
      </c>
      <c r="E11" s="9"/>
    </row>
    <row r="12" spans="1:5" x14ac:dyDescent="0.25">
      <c r="A12" s="204" t="s">
        <v>158</v>
      </c>
      <c r="B12" s="205">
        <v>580.59</v>
      </c>
      <c r="E12" s="9"/>
    </row>
    <row r="13" spans="1:5" x14ac:dyDescent="0.25">
      <c r="A13" s="3" t="s">
        <v>156</v>
      </c>
      <c r="B13" s="7">
        <v>14974.2</v>
      </c>
      <c r="E13" s="9"/>
    </row>
    <row r="14" spans="1:5" x14ac:dyDescent="0.25">
      <c r="A14" s="204" t="s">
        <v>169</v>
      </c>
      <c r="B14" s="205">
        <v>198</v>
      </c>
      <c r="E14" s="9"/>
    </row>
    <row r="15" spans="1:5" x14ac:dyDescent="0.25">
      <c r="A15" s="3" t="s">
        <v>166</v>
      </c>
      <c r="B15" s="7">
        <v>1742.92</v>
      </c>
      <c r="E15" s="9"/>
    </row>
    <row r="16" spans="1:5" x14ac:dyDescent="0.25">
      <c r="A16" s="204" t="s">
        <v>163</v>
      </c>
      <c r="B16" s="205">
        <v>4066.01</v>
      </c>
      <c r="E16" s="9"/>
    </row>
    <row r="17" spans="1:5" x14ac:dyDescent="0.25">
      <c r="A17" s="3" t="s">
        <v>168</v>
      </c>
      <c r="B17" s="7">
        <v>120</v>
      </c>
      <c r="E17" s="9"/>
    </row>
    <row r="18" spans="1:5" x14ac:dyDescent="0.25">
      <c r="A18" s="204" t="s">
        <v>167</v>
      </c>
      <c r="B18" s="205">
        <v>1081.5999999999999</v>
      </c>
      <c r="E18" s="9"/>
    </row>
    <row r="19" spans="1:5" x14ac:dyDescent="0.25">
      <c r="A19" s="3" t="s">
        <v>170</v>
      </c>
      <c r="B19" s="7">
        <v>1600</v>
      </c>
      <c r="E19" s="9"/>
    </row>
    <row r="20" spans="1:5" x14ac:dyDescent="0.25">
      <c r="A20" s="204" t="s">
        <v>164</v>
      </c>
      <c r="B20" s="205">
        <v>5304.01</v>
      </c>
      <c r="E20" s="9"/>
    </row>
    <row r="21" spans="1:5" x14ac:dyDescent="0.25">
      <c r="A21" s="3" t="s">
        <v>165</v>
      </c>
      <c r="B21" s="7">
        <v>3400</v>
      </c>
      <c r="E21" s="9"/>
    </row>
    <row r="22" spans="1:5" x14ac:dyDescent="0.25">
      <c r="A22" s="204" t="s">
        <v>172</v>
      </c>
      <c r="B22" s="205">
        <v>10600</v>
      </c>
      <c r="E22" s="9"/>
    </row>
    <row r="23" spans="1:5" x14ac:dyDescent="0.25">
      <c r="A23" s="3" t="s">
        <v>174</v>
      </c>
      <c r="B23" s="7">
        <v>300</v>
      </c>
      <c r="E23" s="9"/>
    </row>
    <row r="24" spans="1:5" x14ac:dyDescent="0.25">
      <c r="A24" s="204" t="s">
        <v>173</v>
      </c>
      <c r="B24" s="205">
        <v>8632.36</v>
      </c>
      <c r="E24" s="9"/>
    </row>
    <row r="25" spans="1:5" x14ac:dyDescent="0.25">
      <c r="A25" s="3" t="s">
        <v>192</v>
      </c>
      <c r="B25" s="7">
        <v>774.42</v>
      </c>
      <c r="E25" s="9"/>
    </row>
    <row r="26" spans="1:5" x14ac:dyDescent="0.25">
      <c r="A26" s="204" t="s">
        <v>175</v>
      </c>
      <c r="B26" s="205">
        <v>0</v>
      </c>
      <c r="E26" s="9"/>
    </row>
    <row r="27" spans="1:5" x14ac:dyDescent="0.25">
      <c r="A27" s="3" t="s">
        <v>171</v>
      </c>
      <c r="B27" s="7">
        <v>13258</v>
      </c>
      <c r="E27" s="9"/>
    </row>
    <row r="28" spans="1:5" x14ac:dyDescent="0.25">
      <c r="A28" s="204" t="s">
        <v>176</v>
      </c>
      <c r="B28" s="205">
        <v>4098</v>
      </c>
      <c r="E28" s="9"/>
    </row>
    <row r="29" spans="1:5" x14ac:dyDescent="0.25">
      <c r="A29" s="3" t="s">
        <v>177</v>
      </c>
      <c r="B29" s="7">
        <v>4605.6099999999997</v>
      </c>
      <c r="E29" s="9"/>
    </row>
    <row r="30" spans="1:5" x14ac:dyDescent="0.25">
      <c r="A30" s="204" t="s">
        <v>178</v>
      </c>
      <c r="B30" s="205">
        <v>4850.1000000000004</v>
      </c>
      <c r="E30" s="9"/>
    </row>
    <row r="31" spans="1:5" x14ac:dyDescent="0.25">
      <c r="A31" s="3" t="s">
        <v>190</v>
      </c>
      <c r="B31" s="7">
        <v>5257.95</v>
      </c>
      <c r="E31" s="9"/>
    </row>
    <row r="32" spans="1:5" x14ac:dyDescent="0.25">
      <c r="A32" s="196" t="s">
        <v>182</v>
      </c>
      <c r="B32" s="205">
        <v>4939.7299999999996</v>
      </c>
      <c r="E32" s="9"/>
    </row>
    <row r="33" spans="1:5" x14ac:dyDescent="0.25">
      <c r="A33" s="3" t="s">
        <v>180</v>
      </c>
      <c r="B33" s="7">
        <v>3667.12</v>
      </c>
      <c r="E33" s="9"/>
    </row>
    <row r="34" spans="1:5" x14ac:dyDescent="0.25">
      <c r="A34" s="204" t="s">
        <v>179</v>
      </c>
      <c r="B34" s="205">
        <v>0</v>
      </c>
      <c r="E34" s="9"/>
    </row>
    <row r="35" spans="1:5" x14ac:dyDescent="0.25">
      <c r="A35" s="3" t="s">
        <v>189</v>
      </c>
      <c r="B35" s="7">
        <v>3607</v>
      </c>
      <c r="E35" s="9"/>
    </row>
    <row r="36" spans="1:5" x14ac:dyDescent="0.25">
      <c r="A36" s="204" t="s">
        <v>184</v>
      </c>
      <c r="B36" s="205">
        <v>678.7</v>
      </c>
      <c r="E36" s="9"/>
    </row>
    <row r="37" spans="1:5" x14ac:dyDescent="0.25">
      <c r="A37" s="3" t="s">
        <v>186</v>
      </c>
      <c r="B37" s="7">
        <v>799.95</v>
      </c>
      <c r="E37" s="9"/>
    </row>
    <row r="38" spans="1:5" x14ac:dyDescent="0.25">
      <c r="A38" s="204" t="s">
        <v>187</v>
      </c>
      <c r="B38" s="205">
        <v>418.57</v>
      </c>
      <c r="E38" s="9"/>
    </row>
    <row r="39" spans="1:5" x14ac:dyDescent="0.25">
      <c r="A39" s="3" t="s">
        <v>183</v>
      </c>
      <c r="B39" s="7">
        <v>639.5</v>
      </c>
      <c r="E39" s="9"/>
    </row>
    <row r="40" spans="1:5" x14ac:dyDescent="0.25">
      <c r="A40" s="204" t="s">
        <v>188</v>
      </c>
      <c r="B40" s="205">
        <v>787.07</v>
      </c>
      <c r="E40" s="9"/>
    </row>
    <row r="41" spans="1:5" x14ac:dyDescent="0.25">
      <c r="A41" s="3" t="s">
        <v>196</v>
      </c>
      <c r="B41" s="7">
        <v>2958.98</v>
      </c>
      <c r="E41" s="9"/>
    </row>
    <row r="42" spans="1:5" x14ac:dyDescent="0.25">
      <c r="A42" s="204" t="s">
        <v>194</v>
      </c>
      <c r="B42" s="205">
        <v>2145.38</v>
      </c>
      <c r="E42" s="9"/>
    </row>
    <row r="43" spans="1:5" x14ac:dyDescent="0.25">
      <c r="A43" s="3" t="s">
        <v>191</v>
      </c>
      <c r="B43" s="7">
        <v>0</v>
      </c>
      <c r="E43" s="9"/>
    </row>
    <row r="44" spans="1:5" x14ac:dyDescent="0.25">
      <c r="A44" s="204" t="s">
        <v>193</v>
      </c>
      <c r="B44" s="205">
        <v>1616.06</v>
      </c>
      <c r="E44" s="9"/>
    </row>
    <row r="45" spans="1:5" x14ac:dyDescent="0.25">
      <c r="A45" s="3" t="s">
        <v>197</v>
      </c>
      <c r="B45" s="7">
        <v>558.74</v>
      </c>
      <c r="E45" s="9"/>
    </row>
    <row r="46" spans="1:5" x14ac:dyDescent="0.25">
      <c r="A46" s="204" t="s">
        <v>202</v>
      </c>
      <c r="B46" s="205">
        <v>310</v>
      </c>
      <c r="E46" s="9"/>
    </row>
    <row r="47" spans="1:5" x14ac:dyDescent="0.25">
      <c r="A47" s="3" t="s">
        <v>198</v>
      </c>
      <c r="B47" s="7">
        <v>848</v>
      </c>
      <c r="E47" s="9"/>
    </row>
    <row r="48" spans="1:5" x14ac:dyDescent="0.25">
      <c r="A48" s="204" t="s">
        <v>199</v>
      </c>
      <c r="B48" s="205">
        <v>310</v>
      </c>
      <c r="E48" s="9"/>
    </row>
    <row r="49" spans="1:5" x14ac:dyDescent="0.25">
      <c r="A49" s="3" t="s">
        <v>200</v>
      </c>
      <c r="B49" s="7">
        <v>0</v>
      </c>
      <c r="E49" s="9"/>
    </row>
    <row r="50" spans="1:5" x14ac:dyDescent="0.25">
      <c r="A50" s="204" t="s">
        <v>201</v>
      </c>
      <c r="B50" s="205">
        <v>0</v>
      </c>
      <c r="E50" s="9"/>
    </row>
    <row r="51" spans="1:5" x14ac:dyDescent="0.25">
      <c r="A51" s="3" t="s">
        <v>203</v>
      </c>
      <c r="B51" s="7">
        <v>11022.5</v>
      </c>
      <c r="E51" s="9"/>
    </row>
    <row r="52" spans="1:5" ht="15.75" thickBot="1" x14ac:dyDescent="0.3">
      <c r="A52" s="206" t="s">
        <v>204</v>
      </c>
      <c r="B52" s="207">
        <f>SUBTOTAL(109,B4:B51)</f>
        <v>146861.06</v>
      </c>
      <c r="E52" s="9"/>
    </row>
    <row r="53" spans="1:5" x14ac:dyDescent="0.25">
      <c r="A53" s="2" t="s">
        <v>205</v>
      </c>
      <c r="B53" s="6">
        <v>1700</v>
      </c>
    </row>
    <row r="54" spans="1:5" x14ac:dyDescent="0.25">
      <c r="A54" s="204" t="s">
        <v>207</v>
      </c>
      <c r="B54" s="205">
        <v>1700</v>
      </c>
    </row>
    <row r="55" spans="1:5" x14ac:dyDescent="0.25">
      <c r="A55" s="3" t="s">
        <v>208</v>
      </c>
      <c r="B55" s="7">
        <v>2000</v>
      </c>
    </row>
    <row r="56" spans="1:5" x14ac:dyDescent="0.25">
      <c r="A56" s="204" t="s">
        <v>209</v>
      </c>
      <c r="B56" s="205">
        <v>500</v>
      </c>
    </row>
    <row r="57" spans="1:5" x14ac:dyDescent="0.25">
      <c r="A57" s="3" t="s">
        <v>210</v>
      </c>
      <c r="B57" s="7">
        <v>2500</v>
      </c>
    </row>
    <row r="58" spans="1:5" x14ac:dyDescent="0.25">
      <c r="A58" s="204" t="s">
        <v>211</v>
      </c>
      <c r="B58" s="205">
        <v>2475</v>
      </c>
    </row>
    <row r="59" spans="1:5" ht="15.75" thickBot="1" x14ac:dyDescent="0.3">
      <c r="A59" s="4" t="s">
        <v>212</v>
      </c>
      <c r="B59" s="8">
        <f>SUM(B53:B58)</f>
        <v>10875</v>
      </c>
    </row>
    <row r="60" spans="1:5" x14ac:dyDescent="0.25">
      <c r="A60" s="202" t="s">
        <v>213</v>
      </c>
      <c r="B60" s="203">
        <v>2050</v>
      </c>
    </row>
    <row r="61" spans="1:5" x14ac:dyDescent="0.25">
      <c r="A61" s="3" t="s">
        <v>215</v>
      </c>
      <c r="B61" s="7">
        <v>10000</v>
      </c>
    </row>
    <row r="62" spans="1:5" x14ac:dyDescent="0.25">
      <c r="A62" s="204" t="s">
        <v>216</v>
      </c>
      <c r="B62" s="205">
        <v>600</v>
      </c>
    </row>
    <row r="63" spans="1:5" x14ac:dyDescent="0.25">
      <c r="A63" s="4" t="s">
        <v>217</v>
      </c>
      <c r="B63" s="8">
        <f>SUM(B60:B62)</f>
        <v>12650</v>
      </c>
    </row>
    <row r="64" spans="1:5" ht="15.75" thickBot="1" x14ac:dyDescent="0.3">
      <c r="A64" s="208" t="s">
        <v>220</v>
      </c>
      <c r="B64" s="209">
        <f>B63+B59+B52</f>
        <v>170386.06</v>
      </c>
    </row>
    <row r="66" spans="1:2" x14ac:dyDescent="0.25">
      <c r="A66" s="135" t="s">
        <v>221</v>
      </c>
      <c r="B66" s="5">
        <v>5500</v>
      </c>
    </row>
    <row r="67" spans="1:2" x14ac:dyDescent="0.25">
      <c r="A67" s="135" t="s">
        <v>222</v>
      </c>
      <c r="B67" s="5">
        <v>8600</v>
      </c>
    </row>
    <row r="68" spans="1:2" x14ac:dyDescent="0.25">
      <c r="A68" s="135" t="s">
        <v>223</v>
      </c>
      <c r="B68" s="5">
        <v>4400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1EB8-FB56-40FF-8F1A-5BE3D609AF0B}">
  <sheetPr codeName="Sheet4">
    <tabColor rgb="FFFF0000"/>
  </sheetPr>
  <dimension ref="C4:M33"/>
  <sheetViews>
    <sheetView topLeftCell="A4" workbookViewId="0">
      <selection activeCell="L6" sqref="L6"/>
    </sheetView>
  </sheetViews>
  <sheetFormatPr defaultColWidth="8.85546875" defaultRowHeight="15" x14ac:dyDescent="0.25"/>
  <cols>
    <col min="3" max="3" width="22.42578125" bestFit="1" customWidth="1"/>
    <col min="4" max="4" width="9.42578125" bestFit="1" customWidth="1"/>
    <col min="5" max="6" width="9.140625" bestFit="1" customWidth="1"/>
    <col min="7" max="7" width="8.85546875" customWidth="1"/>
    <col min="8" max="9" width="9.140625" bestFit="1" customWidth="1"/>
    <col min="10" max="10" width="10.42578125" customWidth="1"/>
    <col min="11" max="11" width="9.85546875" bestFit="1" customWidth="1"/>
    <col min="12" max="12" width="13.42578125" customWidth="1"/>
    <col min="13" max="13" width="20.42578125" bestFit="1" customWidth="1"/>
  </cols>
  <sheetData>
    <row r="4" spans="3:13" ht="60" x14ac:dyDescent="0.25">
      <c r="C4" s="111" t="s">
        <v>1</v>
      </c>
      <c r="D4" s="111" t="s">
        <v>257</v>
      </c>
      <c r="E4" s="111" t="s">
        <v>258</v>
      </c>
      <c r="F4" s="111" t="s">
        <v>259</v>
      </c>
      <c r="G4" s="112" t="s">
        <v>260</v>
      </c>
      <c r="H4" s="111" t="s">
        <v>261</v>
      </c>
      <c r="I4" s="111" t="s">
        <v>262</v>
      </c>
      <c r="J4" s="112" t="s">
        <v>263</v>
      </c>
      <c r="K4" s="113" t="s">
        <v>264</v>
      </c>
      <c r="L4" s="111" t="s">
        <v>265</v>
      </c>
      <c r="M4" s="111" t="s">
        <v>266</v>
      </c>
    </row>
    <row r="5" spans="3:13" x14ac:dyDescent="0.25">
      <c r="C5" s="114" t="s">
        <v>2</v>
      </c>
      <c r="D5" s="115"/>
      <c r="E5" s="115">
        <v>0</v>
      </c>
      <c r="F5" s="115">
        <v>0</v>
      </c>
      <c r="G5" s="116">
        <f>SUBTOTAL(9,D5:F5)</f>
        <v>0</v>
      </c>
      <c r="H5" s="115">
        <v>0</v>
      </c>
      <c r="I5" s="115">
        <v>0</v>
      </c>
      <c r="J5" s="116">
        <f>SUBTOTAL(9,H5:I5)</f>
        <v>0</v>
      </c>
      <c r="K5" s="117">
        <f>SUBTOTAL(9,D5:J5)</f>
        <v>0</v>
      </c>
      <c r="L5" s="115">
        <v>0</v>
      </c>
      <c r="M5" s="111"/>
    </row>
    <row r="6" spans="3:13" x14ac:dyDescent="0.25">
      <c r="C6" s="114" t="s">
        <v>267</v>
      </c>
      <c r="D6" s="115"/>
      <c r="E6" s="115"/>
      <c r="F6" s="115"/>
      <c r="G6" s="116">
        <f t="shared" ref="G6:G27" si="0">SUBTOTAL(9,D6:F6)</f>
        <v>0</v>
      </c>
      <c r="H6" s="115"/>
      <c r="I6" s="115"/>
      <c r="J6" s="116">
        <f t="shared" ref="J6:J27" si="1">SUBTOTAL(9,H6:I6)</f>
        <v>0</v>
      </c>
      <c r="K6" s="117">
        <f t="shared" ref="K6:K27" si="2">SUBTOTAL(9,D6:J6)</f>
        <v>0</v>
      </c>
      <c r="L6" s="115"/>
      <c r="M6" s="111"/>
    </row>
    <row r="7" spans="3:13" x14ac:dyDescent="0.25">
      <c r="C7" s="118" t="s">
        <v>268</v>
      </c>
      <c r="D7" s="115" t="s">
        <v>269</v>
      </c>
      <c r="E7" s="115">
        <v>2300</v>
      </c>
      <c r="F7" s="115">
        <v>1695</v>
      </c>
      <c r="G7" s="116">
        <f t="shared" si="0"/>
        <v>3995</v>
      </c>
      <c r="H7" s="115"/>
      <c r="I7" s="115"/>
      <c r="J7" s="116">
        <f t="shared" si="1"/>
        <v>0</v>
      </c>
      <c r="K7" s="117">
        <f t="shared" si="2"/>
        <v>3995</v>
      </c>
      <c r="L7" s="115"/>
      <c r="M7" s="115"/>
    </row>
    <row r="8" spans="3:13" x14ac:dyDescent="0.25">
      <c r="C8" s="118" t="s">
        <v>270</v>
      </c>
      <c r="D8" s="115" t="s">
        <v>271</v>
      </c>
      <c r="E8" s="115"/>
      <c r="F8" s="115">
        <v>2968</v>
      </c>
      <c r="G8" s="116">
        <f t="shared" si="0"/>
        <v>2968</v>
      </c>
      <c r="H8" s="115"/>
      <c r="I8" s="115"/>
      <c r="J8" s="116">
        <f t="shared" si="1"/>
        <v>0</v>
      </c>
      <c r="K8" s="117">
        <f t="shared" si="2"/>
        <v>2968</v>
      </c>
      <c r="L8" s="115"/>
      <c r="M8" s="115"/>
    </row>
    <row r="9" spans="3:13" x14ac:dyDescent="0.25">
      <c r="C9" s="118" t="s">
        <v>272</v>
      </c>
      <c r="D9" s="115" t="s">
        <v>273</v>
      </c>
      <c r="E9" s="115"/>
      <c r="F9" s="115">
        <v>1660</v>
      </c>
      <c r="G9" s="116">
        <f t="shared" si="0"/>
        <v>1660</v>
      </c>
      <c r="H9" s="115"/>
      <c r="I9" s="115">
        <v>5691</v>
      </c>
      <c r="J9" s="116">
        <f t="shared" si="1"/>
        <v>5691</v>
      </c>
      <c r="K9" s="117">
        <f t="shared" si="2"/>
        <v>7351</v>
      </c>
      <c r="L9" s="115"/>
      <c r="M9" s="115"/>
    </row>
    <row r="10" spans="3:13" x14ac:dyDescent="0.25">
      <c r="C10" s="118" t="s">
        <v>274</v>
      </c>
      <c r="D10" s="115" t="s">
        <v>269</v>
      </c>
      <c r="E10" s="115">
        <v>950</v>
      </c>
      <c r="F10" s="115"/>
      <c r="G10" s="116">
        <f t="shared" si="0"/>
        <v>950</v>
      </c>
      <c r="H10" s="115"/>
      <c r="I10" s="115"/>
      <c r="J10" s="116">
        <f t="shared" si="1"/>
        <v>0</v>
      </c>
      <c r="K10" s="117">
        <f t="shared" si="2"/>
        <v>950</v>
      </c>
      <c r="L10" s="115">
        <v>350</v>
      </c>
      <c r="M10" s="115"/>
    </row>
    <row r="11" spans="3:13" x14ac:dyDescent="0.25">
      <c r="C11" s="118" t="s">
        <v>275</v>
      </c>
      <c r="D11" s="115" t="s">
        <v>269</v>
      </c>
      <c r="E11" s="115">
        <v>1700</v>
      </c>
      <c r="F11" s="115"/>
      <c r="G11" s="116">
        <f t="shared" si="0"/>
        <v>1700</v>
      </c>
      <c r="H11" s="115"/>
      <c r="I11" s="115"/>
      <c r="J11" s="116">
        <f t="shared" si="1"/>
        <v>0</v>
      </c>
      <c r="K11" s="117">
        <f t="shared" si="2"/>
        <v>1700</v>
      </c>
      <c r="L11" s="115">
        <v>350</v>
      </c>
      <c r="M11" s="115"/>
    </row>
    <row r="12" spans="3:13" ht="14.25" customHeight="1" x14ac:dyDescent="0.25">
      <c r="C12" s="118" t="s">
        <v>276</v>
      </c>
      <c r="D12" s="115" t="s">
        <v>269</v>
      </c>
      <c r="E12" s="115">
        <v>2150</v>
      </c>
      <c r="F12" s="115"/>
      <c r="G12" s="116">
        <f t="shared" si="0"/>
        <v>2150</v>
      </c>
      <c r="H12" s="115"/>
      <c r="I12" s="115"/>
      <c r="J12" s="116">
        <f t="shared" si="1"/>
        <v>0</v>
      </c>
      <c r="K12" s="117">
        <f t="shared" si="2"/>
        <v>2150</v>
      </c>
      <c r="L12" s="115"/>
      <c r="M12" s="119" t="s">
        <v>277</v>
      </c>
    </row>
    <row r="13" spans="3:13" x14ac:dyDescent="0.25">
      <c r="C13" s="118" t="s">
        <v>278</v>
      </c>
      <c r="D13" s="115" t="s">
        <v>269</v>
      </c>
      <c r="E13" s="115">
        <v>1650</v>
      </c>
      <c r="F13" s="115"/>
      <c r="G13" s="116">
        <f t="shared" si="0"/>
        <v>1650</v>
      </c>
      <c r="H13" s="115"/>
      <c r="I13" s="115"/>
      <c r="J13" s="116">
        <f t="shared" si="1"/>
        <v>0</v>
      </c>
      <c r="K13" s="117">
        <f t="shared" si="2"/>
        <v>1650</v>
      </c>
      <c r="L13" s="115"/>
      <c r="M13" s="115"/>
    </row>
    <row r="14" spans="3:13" x14ac:dyDescent="0.25">
      <c r="C14" s="118" t="s">
        <v>279</v>
      </c>
      <c r="D14" s="115" t="s">
        <v>269</v>
      </c>
      <c r="E14" s="115">
        <v>816</v>
      </c>
      <c r="F14" s="115"/>
      <c r="G14" s="116">
        <f t="shared" si="0"/>
        <v>816</v>
      </c>
      <c r="H14" s="115">
        <v>2861</v>
      </c>
      <c r="I14" s="115"/>
      <c r="J14" s="116">
        <f t="shared" si="1"/>
        <v>2861</v>
      </c>
      <c r="K14" s="117">
        <f t="shared" si="2"/>
        <v>3677</v>
      </c>
      <c r="L14" s="115">
        <v>159</v>
      </c>
      <c r="M14" s="115"/>
    </row>
    <row r="15" spans="3:13" x14ac:dyDescent="0.25">
      <c r="C15" s="118" t="s">
        <v>280</v>
      </c>
      <c r="D15" s="115" t="s">
        <v>269</v>
      </c>
      <c r="E15" s="115">
        <v>2243</v>
      </c>
      <c r="F15" s="115">
        <v>2120</v>
      </c>
      <c r="G15" s="116">
        <f t="shared" si="0"/>
        <v>4363</v>
      </c>
      <c r="H15" s="115">
        <v>1380</v>
      </c>
      <c r="I15" s="115">
        <v>2260</v>
      </c>
      <c r="J15" s="116">
        <f t="shared" si="1"/>
        <v>3640</v>
      </c>
      <c r="K15" s="117">
        <f t="shared" si="2"/>
        <v>8003</v>
      </c>
      <c r="L15" s="115"/>
      <c r="M15" s="115"/>
    </row>
    <row r="16" spans="3:13" x14ac:dyDescent="0.25">
      <c r="C16" s="118" t="s">
        <v>281</v>
      </c>
      <c r="D16" s="115" t="s">
        <v>269</v>
      </c>
      <c r="E16" s="115">
        <v>1782</v>
      </c>
      <c r="F16" s="115"/>
      <c r="G16" s="116">
        <f t="shared" si="0"/>
        <v>1782</v>
      </c>
      <c r="H16" s="115">
        <v>1516</v>
      </c>
      <c r="I16" s="115"/>
      <c r="J16" s="116">
        <f t="shared" si="1"/>
        <v>1516</v>
      </c>
      <c r="K16" s="117">
        <f t="shared" si="2"/>
        <v>3298</v>
      </c>
      <c r="L16" s="115"/>
      <c r="M16" s="115" t="s">
        <v>282</v>
      </c>
    </row>
    <row r="17" spans="3:13" x14ac:dyDescent="0.25">
      <c r="C17" s="118" t="s">
        <v>283</v>
      </c>
      <c r="D17" s="115" t="s">
        <v>271</v>
      </c>
      <c r="E17" s="115">
        <v>2800</v>
      </c>
      <c r="F17" s="115">
        <v>652</v>
      </c>
      <c r="G17" s="116">
        <f t="shared" si="0"/>
        <v>3452</v>
      </c>
      <c r="H17" s="115">
        <v>2100</v>
      </c>
      <c r="I17" s="115">
        <v>2705</v>
      </c>
      <c r="J17" s="116">
        <f t="shared" si="1"/>
        <v>4805</v>
      </c>
      <c r="K17" s="117">
        <f t="shared" si="2"/>
        <v>8257</v>
      </c>
      <c r="L17" s="115"/>
      <c r="M17" s="115" t="s">
        <v>284</v>
      </c>
    </row>
    <row r="18" spans="3:13" x14ac:dyDescent="0.25">
      <c r="C18" s="118" t="s">
        <v>285</v>
      </c>
      <c r="D18" s="115" t="s">
        <v>271</v>
      </c>
      <c r="E18" s="115">
        <v>2400</v>
      </c>
      <c r="F18" s="115"/>
      <c r="G18" s="116">
        <f t="shared" si="0"/>
        <v>2400</v>
      </c>
      <c r="H18" s="115">
        <v>3800</v>
      </c>
      <c r="I18" s="115"/>
      <c r="J18" s="116">
        <f t="shared" si="1"/>
        <v>3800</v>
      </c>
      <c r="K18" s="117">
        <f t="shared" si="2"/>
        <v>6200</v>
      </c>
      <c r="L18" s="115"/>
      <c r="M18" s="115"/>
    </row>
    <row r="19" spans="3:13" x14ac:dyDescent="0.25">
      <c r="C19" s="118" t="s">
        <v>286</v>
      </c>
      <c r="D19" s="115" t="s">
        <v>269</v>
      </c>
      <c r="E19" s="115">
        <v>1725</v>
      </c>
      <c r="F19" s="115">
        <v>1250</v>
      </c>
      <c r="G19" s="116">
        <f t="shared" si="0"/>
        <v>2975</v>
      </c>
      <c r="H19" s="115">
        <v>2000</v>
      </c>
      <c r="I19" s="115"/>
      <c r="J19" s="116">
        <f t="shared" si="1"/>
        <v>2000</v>
      </c>
      <c r="K19" s="117">
        <f t="shared" si="2"/>
        <v>4975</v>
      </c>
      <c r="L19" s="115">
        <v>450</v>
      </c>
      <c r="M19" s="120"/>
    </row>
    <row r="20" spans="3:13" x14ac:dyDescent="0.25">
      <c r="C20" s="118" t="s">
        <v>287</v>
      </c>
      <c r="D20" s="115" t="s">
        <v>269</v>
      </c>
      <c r="E20" s="115">
        <v>1280</v>
      </c>
      <c r="F20" s="115">
        <v>3102</v>
      </c>
      <c r="G20" s="116">
        <f t="shared" si="0"/>
        <v>4382</v>
      </c>
      <c r="H20" s="115">
        <v>3000</v>
      </c>
      <c r="I20" s="115">
        <v>1621</v>
      </c>
      <c r="J20" s="116">
        <f t="shared" si="1"/>
        <v>4621</v>
      </c>
      <c r="K20" s="117">
        <f t="shared" si="2"/>
        <v>9003</v>
      </c>
      <c r="L20" s="115">
        <v>265</v>
      </c>
      <c r="M20" s="115"/>
    </row>
    <row r="21" spans="3:13" x14ac:dyDescent="0.25">
      <c r="C21" s="118" t="s">
        <v>288</v>
      </c>
      <c r="D21" s="115" t="s">
        <v>289</v>
      </c>
      <c r="E21" s="115">
        <v>4332</v>
      </c>
      <c r="F21" s="115">
        <v>1298</v>
      </c>
      <c r="G21" s="116">
        <f t="shared" si="0"/>
        <v>5630</v>
      </c>
      <c r="H21" s="115">
        <v>5957</v>
      </c>
      <c r="I21" s="115">
        <v>5052</v>
      </c>
      <c r="J21" s="116">
        <f t="shared" si="1"/>
        <v>11009</v>
      </c>
      <c r="K21" s="117">
        <f t="shared" si="2"/>
        <v>16639</v>
      </c>
      <c r="L21" s="115">
        <v>182</v>
      </c>
      <c r="M21" s="115"/>
    </row>
    <row r="22" spans="3:13" x14ac:dyDescent="0.25">
      <c r="C22" s="118" t="s">
        <v>290</v>
      </c>
      <c r="D22" s="115" t="s">
        <v>269</v>
      </c>
      <c r="E22" s="115">
        <v>2675</v>
      </c>
      <c r="F22" s="115"/>
      <c r="G22" s="116">
        <f t="shared" si="0"/>
        <v>2675</v>
      </c>
      <c r="H22" s="115">
        <v>1975</v>
      </c>
      <c r="I22" s="115"/>
      <c r="J22" s="116">
        <f t="shared" si="1"/>
        <v>1975</v>
      </c>
      <c r="K22" s="117">
        <f t="shared" si="2"/>
        <v>4650</v>
      </c>
      <c r="L22" s="115">
        <v>730</v>
      </c>
      <c r="M22" s="115"/>
    </row>
    <row r="23" spans="3:13" x14ac:dyDescent="0.25">
      <c r="C23" s="118" t="s">
        <v>291</v>
      </c>
      <c r="D23" s="115" t="s">
        <v>269</v>
      </c>
      <c r="E23" s="115">
        <v>1300</v>
      </c>
      <c r="F23" s="115"/>
      <c r="G23" s="116">
        <f t="shared" si="0"/>
        <v>1300</v>
      </c>
      <c r="H23" s="115">
        <v>1250</v>
      </c>
      <c r="I23" s="115"/>
      <c r="J23" s="116">
        <f t="shared" si="1"/>
        <v>1250</v>
      </c>
      <c r="K23" s="117">
        <f t="shared" si="2"/>
        <v>2550</v>
      </c>
      <c r="L23" s="115">
        <v>540</v>
      </c>
      <c r="M23" s="115"/>
    </row>
    <row r="24" spans="3:13" x14ac:dyDescent="0.25">
      <c r="C24" s="118" t="s">
        <v>292</v>
      </c>
      <c r="D24" s="115" t="s">
        <v>269</v>
      </c>
      <c r="E24" s="115">
        <v>1740</v>
      </c>
      <c r="F24" s="115">
        <v>1678</v>
      </c>
      <c r="G24" s="116">
        <f t="shared" si="0"/>
        <v>3418</v>
      </c>
      <c r="H24" s="115">
        <v>3080</v>
      </c>
      <c r="I24" s="115">
        <v>6412</v>
      </c>
      <c r="J24" s="116">
        <f t="shared" si="1"/>
        <v>9492</v>
      </c>
      <c r="K24" s="117">
        <f t="shared" si="2"/>
        <v>12910</v>
      </c>
      <c r="L24" s="115">
        <v>360</v>
      </c>
      <c r="M24" s="115"/>
    </row>
    <row r="25" spans="3:13" x14ac:dyDescent="0.25">
      <c r="C25" s="118" t="s">
        <v>293</v>
      </c>
      <c r="D25" s="115" t="s">
        <v>269</v>
      </c>
      <c r="E25" s="115">
        <v>1725</v>
      </c>
      <c r="F25" s="115">
        <v>1250</v>
      </c>
      <c r="G25" s="116">
        <f t="shared" si="0"/>
        <v>2975</v>
      </c>
      <c r="H25" s="115">
        <v>1500</v>
      </c>
      <c r="I25" s="115">
        <v>2000</v>
      </c>
      <c r="J25" s="116">
        <f t="shared" si="1"/>
        <v>3500</v>
      </c>
      <c r="K25" s="117">
        <f t="shared" si="2"/>
        <v>6475</v>
      </c>
      <c r="L25" s="115">
        <v>450</v>
      </c>
      <c r="M25" s="115" t="s">
        <v>294</v>
      </c>
    </row>
    <row r="26" spans="3:13" x14ac:dyDescent="0.25">
      <c r="C26" s="118" t="s">
        <v>295</v>
      </c>
      <c r="D26" s="115" t="s">
        <v>269</v>
      </c>
      <c r="E26" s="115">
        <v>1500</v>
      </c>
      <c r="F26" s="115"/>
      <c r="G26" s="116">
        <f t="shared" si="0"/>
        <v>1500</v>
      </c>
      <c r="H26" s="115">
        <v>2230</v>
      </c>
      <c r="I26" s="115"/>
      <c r="J26" s="116">
        <f t="shared" si="1"/>
        <v>2230</v>
      </c>
      <c r="K26" s="117">
        <f t="shared" si="2"/>
        <v>3730</v>
      </c>
      <c r="L26" s="115">
        <v>150</v>
      </c>
      <c r="M26" s="115"/>
    </row>
    <row r="27" spans="3:13" x14ac:dyDescent="0.25">
      <c r="C27" s="118" t="s">
        <v>296</v>
      </c>
      <c r="D27" s="115"/>
      <c r="E27" s="115">
        <v>593</v>
      </c>
      <c r="F27" s="115"/>
      <c r="G27" s="116">
        <f t="shared" si="0"/>
        <v>593</v>
      </c>
      <c r="H27" s="115">
        <v>0</v>
      </c>
      <c r="I27" s="115"/>
      <c r="J27" s="116">
        <f t="shared" si="1"/>
        <v>0</v>
      </c>
      <c r="K27" s="117">
        <f t="shared" si="2"/>
        <v>593</v>
      </c>
      <c r="L27" s="115"/>
      <c r="M27" s="115"/>
    </row>
    <row r="30" spans="3:13" x14ac:dyDescent="0.25">
      <c r="G30" t="s">
        <v>297</v>
      </c>
    </row>
    <row r="31" spans="3:13" x14ac:dyDescent="0.25">
      <c r="G31" t="s">
        <v>298</v>
      </c>
    </row>
    <row r="32" spans="3:13" x14ac:dyDescent="0.25">
      <c r="G32" t="s">
        <v>299</v>
      </c>
    </row>
    <row r="33" spans="7:7" x14ac:dyDescent="0.25">
      <c r="G33" t="s">
        <v>300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9AF-C49B-42CB-BED6-E6D2E1D801A2}">
  <sheetPr codeName="Sheet30">
    <tabColor theme="8" tint="0.79998168889431442"/>
  </sheetPr>
  <dimension ref="A1:E66"/>
  <sheetViews>
    <sheetView workbookViewId="0">
      <selection activeCell="A42" sqref="A42:A112"/>
    </sheetView>
  </sheetViews>
  <sheetFormatPr defaultColWidth="8.85546875" defaultRowHeight="15" x14ac:dyDescent="0.25"/>
  <cols>
    <col min="1" max="1" width="28" customWidth="1"/>
    <col min="2" max="2" width="10.85546875" style="5" bestFit="1" customWidth="1"/>
  </cols>
  <sheetData>
    <row r="1" spans="1:2" ht="18.75" x14ac:dyDescent="0.3">
      <c r="A1" s="1" t="s">
        <v>301</v>
      </c>
    </row>
    <row r="2" spans="1:2" ht="19.5" thickBot="1" x14ac:dyDescent="0.35">
      <c r="A2" s="1"/>
    </row>
    <row r="3" spans="1:2" ht="15.75" thickBot="1" x14ac:dyDescent="0.3">
      <c r="A3" s="121" t="s">
        <v>149</v>
      </c>
      <c r="B3" s="122" t="s">
        <v>219</v>
      </c>
    </row>
    <row r="4" spans="1:2" x14ac:dyDescent="0.25">
      <c r="A4" s="123" t="s">
        <v>150</v>
      </c>
      <c r="B4" s="124">
        <v>1750</v>
      </c>
    </row>
    <row r="5" spans="1:2" x14ac:dyDescent="0.25">
      <c r="A5" t="s">
        <v>151</v>
      </c>
      <c r="B5" s="5">
        <v>200</v>
      </c>
    </row>
    <row r="6" spans="1:2" x14ac:dyDescent="0.25">
      <c r="A6" s="125" t="s">
        <v>152</v>
      </c>
      <c r="B6" s="126">
        <v>350</v>
      </c>
    </row>
    <row r="7" spans="1:2" x14ac:dyDescent="0.25">
      <c r="A7" t="s">
        <v>153</v>
      </c>
      <c r="B7" s="5">
        <v>50</v>
      </c>
    </row>
    <row r="8" spans="1:2" x14ac:dyDescent="0.25">
      <c r="A8" s="125" t="s">
        <v>154</v>
      </c>
      <c r="B8" s="126">
        <v>250</v>
      </c>
    </row>
    <row r="9" spans="1:2" x14ac:dyDescent="0.25">
      <c r="A9" t="s">
        <v>155</v>
      </c>
      <c r="B9" s="5">
        <v>20960.028999999999</v>
      </c>
    </row>
    <row r="10" spans="1:2" x14ac:dyDescent="0.25">
      <c r="A10" s="125" t="s">
        <v>156</v>
      </c>
      <c r="B10" s="126">
        <v>19456</v>
      </c>
    </row>
    <row r="11" spans="1:2" x14ac:dyDescent="0.25">
      <c r="A11" t="s">
        <v>158</v>
      </c>
      <c r="B11" s="5">
        <v>1082.68</v>
      </c>
    </row>
    <row r="12" spans="1:2" x14ac:dyDescent="0.25">
      <c r="A12" s="125" t="s">
        <v>159</v>
      </c>
      <c r="B12" s="126">
        <v>2958.25</v>
      </c>
    </row>
    <row r="13" spans="1:2" x14ac:dyDescent="0.25">
      <c r="A13" t="s">
        <v>160</v>
      </c>
      <c r="B13" s="5">
        <v>9288.65</v>
      </c>
    </row>
    <row r="14" spans="1:2" x14ac:dyDescent="0.25">
      <c r="A14" s="125" t="s">
        <v>161</v>
      </c>
      <c r="B14" s="126">
        <v>3215.39</v>
      </c>
    </row>
    <row r="15" spans="1:2" x14ac:dyDescent="0.25">
      <c r="A15" t="s">
        <v>162</v>
      </c>
      <c r="B15" s="5">
        <v>0</v>
      </c>
    </row>
    <row r="16" spans="1:2" x14ac:dyDescent="0.25">
      <c r="A16" s="125" t="s">
        <v>164</v>
      </c>
      <c r="B16" s="126">
        <v>8926</v>
      </c>
    </row>
    <row r="17" spans="1:2" x14ac:dyDescent="0.25">
      <c r="A17" t="s">
        <v>165</v>
      </c>
      <c r="B17" s="5">
        <v>5915</v>
      </c>
    </row>
    <row r="18" spans="1:2" x14ac:dyDescent="0.25">
      <c r="A18" s="125" t="s">
        <v>166</v>
      </c>
      <c r="B18" s="126">
        <v>3307.18</v>
      </c>
    </row>
    <row r="19" spans="1:2" x14ac:dyDescent="0.25">
      <c r="A19" t="s">
        <v>167</v>
      </c>
      <c r="B19" s="5">
        <v>1548.34</v>
      </c>
    </row>
    <row r="20" spans="1:2" x14ac:dyDescent="0.25">
      <c r="A20" s="125" t="s">
        <v>302</v>
      </c>
      <c r="B20" s="126">
        <v>688.5</v>
      </c>
    </row>
    <row r="21" spans="1:2" x14ac:dyDescent="0.25">
      <c r="A21" t="s">
        <v>170</v>
      </c>
      <c r="B21" s="5">
        <v>1800</v>
      </c>
    </row>
    <row r="22" spans="1:2" x14ac:dyDescent="0.25">
      <c r="A22" s="125" t="s">
        <v>171</v>
      </c>
      <c r="B22" s="126">
        <f>3864.52+3864.52+5900.37</f>
        <v>13629.41</v>
      </c>
    </row>
    <row r="23" spans="1:2" x14ac:dyDescent="0.25">
      <c r="A23" t="s">
        <v>172</v>
      </c>
      <c r="B23" s="5">
        <f>8394+5596</f>
        <v>13990</v>
      </c>
    </row>
    <row r="24" spans="1:2" x14ac:dyDescent="0.25">
      <c r="A24" s="125" t="s">
        <v>173</v>
      </c>
      <c r="B24" s="126">
        <f>7548+5032</f>
        <v>12580</v>
      </c>
    </row>
    <row r="25" spans="1:2" x14ac:dyDescent="0.25">
      <c r="A25" t="s">
        <v>174</v>
      </c>
      <c r="B25" s="5">
        <v>300.11</v>
      </c>
    </row>
    <row r="26" spans="1:2" x14ac:dyDescent="0.25">
      <c r="A26" s="125" t="s">
        <v>175</v>
      </c>
      <c r="B26" s="126">
        <v>0</v>
      </c>
    </row>
    <row r="27" spans="1:2" x14ac:dyDescent="0.25">
      <c r="A27" t="s">
        <v>176</v>
      </c>
      <c r="B27" s="5">
        <f>4615+150</f>
        <v>4765</v>
      </c>
    </row>
    <row r="28" spans="1:2" x14ac:dyDescent="0.25">
      <c r="A28" s="125" t="s">
        <v>177</v>
      </c>
      <c r="B28" s="126">
        <v>4635.72</v>
      </c>
    </row>
    <row r="29" spans="1:2" x14ac:dyDescent="0.25">
      <c r="A29" t="s">
        <v>178</v>
      </c>
      <c r="B29" s="5">
        <v>4469.78</v>
      </c>
    </row>
    <row r="30" spans="1:2" x14ac:dyDescent="0.25">
      <c r="A30" s="125" t="s">
        <v>179</v>
      </c>
      <c r="B30" s="126">
        <v>0</v>
      </c>
    </row>
    <row r="31" spans="1:2" x14ac:dyDescent="0.25">
      <c r="A31" t="s">
        <v>180</v>
      </c>
      <c r="B31" s="5">
        <v>3729.6</v>
      </c>
    </row>
    <row r="32" spans="1:2" x14ac:dyDescent="0.25">
      <c r="A32" s="125" t="s">
        <v>182</v>
      </c>
      <c r="B32" s="126">
        <v>5863.97</v>
      </c>
    </row>
    <row r="33" spans="1:2" x14ac:dyDescent="0.25">
      <c r="A33" t="s">
        <v>183</v>
      </c>
      <c r="B33" s="5">
        <v>650.88</v>
      </c>
    </row>
    <row r="34" spans="1:2" x14ac:dyDescent="0.25">
      <c r="A34" s="125" t="s">
        <v>184</v>
      </c>
      <c r="B34" s="126">
        <v>551.85</v>
      </c>
    </row>
    <row r="35" spans="1:2" x14ac:dyDescent="0.25">
      <c r="A35" t="s">
        <v>185</v>
      </c>
      <c r="B35" s="5">
        <v>0</v>
      </c>
    </row>
    <row r="36" spans="1:2" x14ac:dyDescent="0.25">
      <c r="A36" s="125" t="s">
        <v>186</v>
      </c>
      <c r="B36" s="126">
        <v>799.95</v>
      </c>
    </row>
    <row r="37" spans="1:2" x14ac:dyDescent="0.25">
      <c r="A37" t="s">
        <v>187</v>
      </c>
      <c r="B37" s="5">
        <v>502.32</v>
      </c>
    </row>
    <row r="38" spans="1:2" x14ac:dyDescent="0.25">
      <c r="A38" s="125" t="s">
        <v>188</v>
      </c>
      <c r="B38" s="126">
        <v>787.07</v>
      </c>
    </row>
    <row r="39" spans="1:2" x14ac:dyDescent="0.25">
      <c r="A39" t="s">
        <v>189</v>
      </c>
      <c r="B39" s="5">
        <v>4555</v>
      </c>
    </row>
    <row r="40" spans="1:2" x14ac:dyDescent="0.25">
      <c r="A40" s="125" t="s">
        <v>190</v>
      </c>
      <c r="B40" s="126">
        <v>6305.54</v>
      </c>
    </row>
    <row r="41" spans="1:2" x14ac:dyDescent="0.25">
      <c r="A41" t="s">
        <v>191</v>
      </c>
      <c r="B41" s="5">
        <f>425.5+1531</f>
        <v>1956.5</v>
      </c>
    </row>
    <row r="42" spans="1:2" x14ac:dyDescent="0.25">
      <c r="A42" s="125" t="s">
        <v>192</v>
      </c>
      <c r="B42" s="126">
        <v>981.25</v>
      </c>
    </row>
    <row r="43" spans="1:2" x14ac:dyDescent="0.25">
      <c r="A43" t="s">
        <v>193</v>
      </c>
      <c r="B43" s="5">
        <v>156.80000000000001</v>
      </c>
    </row>
    <row r="44" spans="1:2" x14ac:dyDescent="0.25">
      <c r="A44" s="125" t="s">
        <v>194</v>
      </c>
      <c r="B44" s="126">
        <v>1730.62</v>
      </c>
    </row>
    <row r="45" spans="1:2" x14ac:dyDescent="0.25">
      <c r="A45" t="s">
        <v>195</v>
      </c>
      <c r="B45" s="5">
        <v>0</v>
      </c>
    </row>
    <row r="46" spans="1:2" x14ac:dyDescent="0.25">
      <c r="A46" s="125" t="s">
        <v>196</v>
      </c>
      <c r="B46" s="126">
        <v>8174</v>
      </c>
    </row>
    <row r="47" spans="1:2" x14ac:dyDescent="0.25">
      <c r="A47" t="s">
        <v>197</v>
      </c>
      <c r="B47" s="5">
        <f>186.48+186.48+100</f>
        <v>472.96</v>
      </c>
    </row>
    <row r="48" spans="1:2" x14ac:dyDescent="0.25">
      <c r="A48" s="125" t="s">
        <v>198</v>
      </c>
      <c r="B48" s="126">
        <v>500</v>
      </c>
    </row>
    <row r="49" spans="1:5" x14ac:dyDescent="0.25">
      <c r="A49" t="s">
        <v>201</v>
      </c>
      <c r="B49" s="5">
        <v>0</v>
      </c>
    </row>
    <row r="50" spans="1:5" x14ac:dyDescent="0.25">
      <c r="A50" s="125" t="s">
        <v>202</v>
      </c>
      <c r="B50" s="126">
        <v>300</v>
      </c>
    </row>
    <row r="51" spans="1:5" x14ac:dyDescent="0.25">
      <c r="A51" t="s">
        <v>203</v>
      </c>
      <c r="B51" s="5">
        <v>7000</v>
      </c>
    </row>
    <row r="52" spans="1:5" x14ac:dyDescent="0.25">
      <c r="A52" s="127" t="s">
        <v>204</v>
      </c>
      <c r="B52" s="128">
        <f>SUM(B4:B51)</f>
        <v>181134.34900000002</v>
      </c>
    </row>
    <row r="53" spans="1:5" x14ac:dyDescent="0.25">
      <c r="A53" t="s">
        <v>303</v>
      </c>
      <c r="B53" s="5">
        <v>2350</v>
      </c>
    </row>
    <row r="54" spans="1:5" x14ac:dyDescent="0.25">
      <c r="A54" s="125" t="s">
        <v>206</v>
      </c>
      <c r="B54" s="126">
        <v>0</v>
      </c>
    </row>
    <row r="55" spans="1:5" x14ac:dyDescent="0.25">
      <c r="A55" t="s">
        <v>207</v>
      </c>
      <c r="B55" s="5">
        <v>1500</v>
      </c>
    </row>
    <row r="56" spans="1:5" x14ac:dyDescent="0.25">
      <c r="A56" s="125" t="s">
        <v>208</v>
      </c>
      <c r="B56" s="126">
        <v>1000</v>
      </c>
    </row>
    <row r="57" spans="1:5" x14ac:dyDescent="0.25">
      <c r="A57" t="s">
        <v>209</v>
      </c>
      <c r="B57" s="5">
        <v>500</v>
      </c>
    </row>
    <row r="58" spans="1:5" x14ac:dyDescent="0.25">
      <c r="A58" s="125" t="s">
        <v>210</v>
      </c>
      <c r="B58" s="126">
        <v>2500</v>
      </c>
    </row>
    <row r="59" spans="1:5" x14ac:dyDescent="0.25">
      <c r="A59" t="s">
        <v>211</v>
      </c>
      <c r="B59" s="5">
        <v>2763</v>
      </c>
    </row>
    <row r="60" spans="1:5" x14ac:dyDescent="0.25">
      <c r="A60" s="127" t="s">
        <v>212</v>
      </c>
      <c r="B60" s="128">
        <f>SUM(B53:B59)</f>
        <v>10613</v>
      </c>
    </row>
    <row r="61" spans="1:5" ht="14.45" customHeight="1" x14ac:dyDescent="0.25">
      <c r="A61" t="s">
        <v>213</v>
      </c>
      <c r="B61" s="5">
        <v>2050</v>
      </c>
    </row>
    <row r="62" spans="1:5" x14ac:dyDescent="0.25">
      <c r="A62" s="125" t="s">
        <v>214</v>
      </c>
      <c r="B62" s="126">
        <v>11009</v>
      </c>
      <c r="C62" s="284" t="s">
        <v>304</v>
      </c>
      <c r="D62" s="129">
        <v>11009</v>
      </c>
      <c r="E62" s="284" t="s">
        <v>305</v>
      </c>
    </row>
    <row r="63" spans="1:5" x14ac:dyDescent="0.25">
      <c r="A63" t="s">
        <v>215</v>
      </c>
      <c r="B63" s="5">
        <v>5630</v>
      </c>
      <c r="C63" s="284"/>
      <c r="D63" s="129">
        <v>5630</v>
      </c>
      <c r="E63" s="284"/>
    </row>
    <row r="64" spans="1:5" x14ac:dyDescent="0.25">
      <c r="A64" s="125" t="s">
        <v>216</v>
      </c>
      <c r="B64" s="126">
        <v>600</v>
      </c>
    </row>
    <row r="65" spans="1:2" x14ac:dyDescent="0.25">
      <c r="A65" s="130" t="s">
        <v>217</v>
      </c>
      <c r="B65" s="131">
        <f>SUM(B61:B64)</f>
        <v>19289</v>
      </c>
    </row>
    <row r="66" spans="1:2" ht="15.75" thickBot="1" x14ac:dyDescent="0.3">
      <c r="A66" s="132" t="s">
        <v>220</v>
      </c>
      <c r="B66" s="133">
        <f>B65+B60+B52</f>
        <v>211036.34900000002</v>
      </c>
    </row>
  </sheetData>
  <mergeCells count="2">
    <mergeCell ref="C62:C63"/>
    <mergeCell ref="E62:E6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C957-E321-4ABB-8AAB-49CEA7B0A048}">
  <sheetPr codeName="Sheet32">
    <tabColor theme="8" tint="0.79998168889431442"/>
  </sheetPr>
  <dimension ref="A1:B66"/>
  <sheetViews>
    <sheetView showGridLines="0" workbookViewId="0">
      <selection activeCell="A42" sqref="A42:A112"/>
    </sheetView>
  </sheetViews>
  <sheetFormatPr defaultColWidth="8.85546875" defaultRowHeight="15" x14ac:dyDescent="0.25"/>
  <cols>
    <col min="1" max="1" width="28" customWidth="1"/>
    <col min="2" max="2" width="12" style="5" bestFit="1" customWidth="1"/>
  </cols>
  <sheetData>
    <row r="1" spans="1:2" ht="18.75" x14ac:dyDescent="0.3">
      <c r="A1" s="1" t="s">
        <v>306</v>
      </c>
    </row>
    <row r="3" spans="1:2" x14ac:dyDescent="0.25">
      <c r="A3" s="121" t="s">
        <v>149</v>
      </c>
      <c r="B3" s="122" t="s">
        <v>219</v>
      </c>
    </row>
    <row r="4" spans="1:2" x14ac:dyDescent="0.25">
      <c r="A4" s="123" t="s">
        <v>150</v>
      </c>
      <c r="B4" s="168">
        <v>1750</v>
      </c>
    </row>
    <row r="5" spans="1:2" x14ac:dyDescent="0.25">
      <c r="A5" t="s">
        <v>151</v>
      </c>
      <c r="B5" s="169">
        <v>200</v>
      </c>
    </row>
    <row r="6" spans="1:2" x14ac:dyDescent="0.25">
      <c r="A6" s="125" t="s">
        <v>152</v>
      </c>
      <c r="B6" s="168">
        <v>350</v>
      </c>
    </row>
    <row r="7" spans="1:2" x14ac:dyDescent="0.25">
      <c r="A7" t="s">
        <v>153</v>
      </c>
      <c r="B7" s="169">
        <v>50</v>
      </c>
    </row>
    <row r="8" spans="1:2" x14ac:dyDescent="0.25">
      <c r="A8" s="125" t="s">
        <v>154</v>
      </c>
      <c r="B8" s="168">
        <v>250</v>
      </c>
    </row>
    <row r="9" spans="1:2" x14ac:dyDescent="0.25">
      <c r="A9" t="s">
        <v>155</v>
      </c>
      <c r="B9" s="169">
        <v>17978.669999999998</v>
      </c>
    </row>
    <row r="10" spans="1:2" x14ac:dyDescent="0.25">
      <c r="A10" s="125" t="s">
        <v>156</v>
      </c>
      <c r="B10" s="168">
        <v>13664</v>
      </c>
    </row>
    <row r="11" spans="1:2" x14ac:dyDescent="0.25">
      <c r="A11" t="s">
        <v>158</v>
      </c>
      <c r="B11" s="169">
        <v>541.34</v>
      </c>
    </row>
    <row r="12" spans="1:2" x14ac:dyDescent="0.25">
      <c r="A12" s="125" t="s">
        <v>159</v>
      </c>
      <c r="B12" s="168">
        <v>2350.87</v>
      </c>
    </row>
    <row r="13" spans="1:2" x14ac:dyDescent="0.25">
      <c r="A13" t="s">
        <v>160</v>
      </c>
      <c r="B13" s="169">
        <v>3871.91</v>
      </c>
    </row>
    <row r="14" spans="1:2" x14ac:dyDescent="0.25">
      <c r="A14" s="125" t="s">
        <v>161</v>
      </c>
      <c r="B14" s="168">
        <v>1822.25</v>
      </c>
    </row>
    <row r="15" spans="1:2" x14ac:dyDescent="0.25">
      <c r="A15" t="s">
        <v>162</v>
      </c>
      <c r="B15">
        <v>0</v>
      </c>
    </row>
    <row r="16" spans="1:2" x14ac:dyDescent="0.25">
      <c r="A16" s="125" t="s">
        <v>164</v>
      </c>
      <c r="B16" s="169">
        <v>5904.75</v>
      </c>
    </row>
    <row r="17" spans="1:2" x14ac:dyDescent="0.25">
      <c r="A17" t="s">
        <v>165</v>
      </c>
      <c r="B17" s="168">
        <v>3685</v>
      </c>
    </row>
    <row r="18" spans="1:2" x14ac:dyDescent="0.25">
      <c r="A18" s="125" t="s">
        <v>166</v>
      </c>
      <c r="B18" s="169">
        <v>2076.02</v>
      </c>
    </row>
    <row r="19" spans="1:2" x14ac:dyDescent="0.25">
      <c r="A19" t="s">
        <v>167</v>
      </c>
      <c r="B19" s="168">
        <v>2456.2199999999998</v>
      </c>
    </row>
    <row r="20" spans="1:2" x14ac:dyDescent="0.25">
      <c r="A20" s="125" t="s">
        <v>302</v>
      </c>
      <c r="B20" s="169">
        <v>619.16999999999996</v>
      </c>
    </row>
    <row r="21" spans="1:2" x14ac:dyDescent="0.25">
      <c r="A21" t="s">
        <v>307</v>
      </c>
      <c r="B21" s="168">
        <v>1040</v>
      </c>
    </row>
    <row r="22" spans="1:2" x14ac:dyDescent="0.25">
      <c r="A22" s="125" t="s">
        <v>170</v>
      </c>
      <c r="B22" s="169">
        <v>1200</v>
      </c>
    </row>
    <row r="23" spans="1:2" x14ac:dyDescent="0.25">
      <c r="A23" t="s">
        <v>171</v>
      </c>
      <c r="B23" s="168">
        <v>15464.77</v>
      </c>
    </row>
    <row r="24" spans="1:2" x14ac:dyDescent="0.25">
      <c r="A24" s="125" t="s">
        <v>172</v>
      </c>
      <c r="B24" s="169">
        <v>9900</v>
      </c>
    </row>
    <row r="25" spans="1:2" x14ac:dyDescent="0.25">
      <c r="A25" t="s">
        <v>173</v>
      </c>
      <c r="B25" s="168">
        <v>9228</v>
      </c>
    </row>
    <row r="26" spans="1:2" x14ac:dyDescent="0.25">
      <c r="A26" s="125" t="s">
        <v>174</v>
      </c>
      <c r="B26" s="169">
        <v>300.11</v>
      </c>
    </row>
    <row r="27" spans="1:2" x14ac:dyDescent="0.25">
      <c r="A27" t="s">
        <v>175</v>
      </c>
      <c r="B27">
        <v>0</v>
      </c>
    </row>
    <row r="28" spans="1:2" x14ac:dyDescent="0.25">
      <c r="A28" s="125" t="s">
        <v>176</v>
      </c>
      <c r="B28" s="168">
        <v>5444</v>
      </c>
    </row>
    <row r="29" spans="1:2" x14ac:dyDescent="0.25">
      <c r="A29" t="s">
        <v>177</v>
      </c>
      <c r="B29" s="169">
        <v>4102.83</v>
      </c>
    </row>
    <row r="30" spans="1:2" x14ac:dyDescent="0.25">
      <c r="A30" s="125" t="s">
        <v>178</v>
      </c>
      <c r="B30" s="168">
        <v>4709.34</v>
      </c>
    </row>
    <row r="31" spans="1:2" x14ac:dyDescent="0.25">
      <c r="A31" t="s">
        <v>179</v>
      </c>
      <c r="B31">
        <v>0</v>
      </c>
    </row>
    <row r="32" spans="1:2" x14ac:dyDescent="0.25">
      <c r="A32" s="125" t="s">
        <v>180</v>
      </c>
      <c r="B32" s="169">
        <v>4230.2</v>
      </c>
    </row>
    <row r="33" spans="1:2" x14ac:dyDescent="0.25">
      <c r="A33" t="s">
        <v>183</v>
      </c>
      <c r="B33" s="168">
        <v>1073.05</v>
      </c>
    </row>
    <row r="34" spans="1:2" x14ac:dyDescent="0.25">
      <c r="A34" s="125" t="s">
        <v>184</v>
      </c>
      <c r="B34" s="169">
        <v>690.5</v>
      </c>
    </row>
    <row r="35" spans="1:2" x14ac:dyDescent="0.25">
      <c r="A35" t="s">
        <v>182</v>
      </c>
      <c r="B35" s="168">
        <v>6410.41</v>
      </c>
    </row>
    <row r="36" spans="1:2" x14ac:dyDescent="0.25">
      <c r="A36" s="125" t="s">
        <v>308</v>
      </c>
      <c r="B36">
        <v>0</v>
      </c>
    </row>
    <row r="37" spans="1:2" x14ac:dyDescent="0.25">
      <c r="A37" t="s">
        <v>186</v>
      </c>
      <c r="B37" s="169">
        <v>799.95</v>
      </c>
    </row>
    <row r="38" spans="1:2" x14ac:dyDescent="0.25">
      <c r="A38" s="125" t="s">
        <v>187</v>
      </c>
      <c r="B38" s="168">
        <v>459.88</v>
      </c>
    </row>
    <row r="39" spans="1:2" x14ac:dyDescent="0.25">
      <c r="A39" t="s">
        <v>188</v>
      </c>
      <c r="B39" s="169">
        <v>1500</v>
      </c>
    </row>
    <row r="40" spans="1:2" x14ac:dyDescent="0.25">
      <c r="A40" s="125" t="s">
        <v>189</v>
      </c>
      <c r="B40" s="168">
        <v>3178</v>
      </c>
    </row>
    <row r="41" spans="1:2" x14ac:dyDescent="0.25">
      <c r="A41" t="s">
        <v>190</v>
      </c>
      <c r="B41" s="169">
        <v>4776</v>
      </c>
    </row>
    <row r="42" spans="1:2" x14ac:dyDescent="0.25">
      <c r="A42" s="125" t="s">
        <v>191</v>
      </c>
      <c r="B42" s="168">
        <v>2630</v>
      </c>
    </row>
    <row r="43" spans="1:2" x14ac:dyDescent="0.25">
      <c r="A43" t="s">
        <v>192</v>
      </c>
      <c r="B43" s="169">
        <v>1483.32</v>
      </c>
    </row>
    <row r="44" spans="1:2" x14ac:dyDescent="0.25">
      <c r="A44" s="125" t="s">
        <v>193</v>
      </c>
      <c r="B44" s="168">
        <v>3583.88</v>
      </c>
    </row>
    <row r="45" spans="1:2" x14ac:dyDescent="0.25">
      <c r="A45" t="s">
        <v>196</v>
      </c>
      <c r="B45" s="169">
        <v>8525.64</v>
      </c>
    </row>
    <row r="46" spans="1:2" x14ac:dyDescent="0.25">
      <c r="A46" s="125" t="s">
        <v>197</v>
      </c>
      <c r="B46" s="168">
        <v>492.86</v>
      </c>
    </row>
    <row r="47" spans="1:2" x14ac:dyDescent="0.25">
      <c r="A47" t="s">
        <v>309</v>
      </c>
      <c r="B47" s="169">
        <v>1792</v>
      </c>
    </row>
    <row r="48" spans="1:2" x14ac:dyDescent="0.25">
      <c r="A48" s="125" t="s">
        <v>198</v>
      </c>
      <c r="B48" s="168">
        <v>490.67</v>
      </c>
    </row>
    <row r="49" spans="1:2" x14ac:dyDescent="0.25">
      <c r="A49" t="s">
        <v>201</v>
      </c>
      <c r="B49">
        <v>0</v>
      </c>
    </row>
    <row r="50" spans="1:2" x14ac:dyDescent="0.25">
      <c r="A50" s="125" t="s">
        <v>202</v>
      </c>
      <c r="B50" s="169">
        <v>250</v>
      </c>
    </row>
    <row r="51" spans="1:2" x14ac:dyDescent="0.25">
      <c r="A51" t="s">
        <v>203</v>
      </c>
      <c r="B51" s="168">
        <v>5778</v>
      </c>
    </row>
    <row r="52" spans="1:2" x14ac:dyDescent="0.25">
      <c r="A52" s="127" t="s">
        <v>204</v>
      </c>
      <c r="B52" s="128">
        <f>SUM(B4:B51)</f>
        <v>157103.61000000002</v>
      </c>
    </row>
    <row r="53" spans="1:2" x14ac:dyDescent="0.25">
      <c r="A53" t="s">
        <v>303</v>
      </c>
      <c r="B53" s="5">
        <v>600</v>
      </c>
    </row>
    <row r="54" spans="1:2" x14ac:dyDescent="0.25">
      <c r="A54" s="125" t="s">
        <v>206</v>
      </c>
      <c r="B54" s="126">
        <v>600</v>
      </c>
    </row>
    <row r="55" spans="1:2" x14ac:dyDescent="0.25">
      <c r="A55" t="s">
        <v>207</v>
      </c>
      <c r="B55" s="5">
        <v>2400</v>
      </c>
    </row>
    <row r="56" spans="1:2" x14ac:dyDescent="0.25">
      <c r="A56" s="125" t="s">
        <v>208</v>
      </c>
      <c r="B56" s="126">
        <v>2000</v>
      </c>
    </row>
    <row r="57" spans="1:2" x14ac:dyDescent="0.25">
      <c r="A57" t="s">
        <v>209</v>
      </c>
      <c r="B57" s="5">
        <v>500</v>
      </c>
    </row>
    <row r="58" spans="1:2" x14ac:dyDescent="0.25">
      <c r="A58" s="125" t="s">
        <v>210</v>
      </c>
      <c r="B58" s="126">
        <v>1500</v>
      </c>
    </row>
    <row r="59" spans="1:2" x14ac:dyDescent="0.25">
      <c r="A59" t="s">
        <v>211</v>
      </c>
      <c r="B59" s="5">
        <v>5549.99</v>
      </c>
    </row>
    <row r="60" spans="1:2" x14ac:dyDescent="0.25">
      <c r="A60" s="127" t="s">
        <v>212</v>
      </c>
      <c r="B60" s="128">
        <f>SUM(B53:B59)</f>
        <v>13149.99</v>
      </c>
    </row>
    <row r="61" spans="1:2" x14ac:dyDescent="0.25">
      <c r="A61" t="s">
        <v>213</v>
      </c>
      <c r="B61" s="5">
        <v>1600</v>
      </c>
    </row>
    <row r="62" spans="1:2" x14ac:dyDescent="0.25">
      <c r="A62" s="125" t="s">
        <v>214</v>
      </c>
      <c r="B62" s="126"/>
    </row>
    <row r="63" spans="1:2" x14ac:dyDescent="0.25">
      <c r="A63" t="s">
        <v>215</v>
      </c>
    </row>
    <row r="64" spans="1:2" x14ac:dyDescent="0.25">
      <c r="A64" s="125" t="s">
        <v>216</v>
      </c>
      <c r="B64" s="126">
        <v>600</v>
      </c>
    </row>
    <row r="65" spans="1:2" x14ac:dyDescent="0.25">
      <c r="A65" s="130" t="s">
        <v>217</v>
      </c>
      <c r="B65" s="131">
        <f>SUM(B61:B64)</f>
        <v>2200</v>
      </c>
    </row>
    <row r="66" spans="1:2" x14ac:dyDescent="0.25">
      <c r="A66" s="132" t="s">
        <v>220</v>
      </c>
      <c r="B66" s="133">
        <f>B65+B60+B52</f>
        <v>172453.6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73B-C0FA-48E8-81F2-C93810840357}">
  <sheetPr codeName="Sheet33">
    <tabColor theme="8" tint="0.79998168889431442"/>
  </sheetPr>
  <dimension ref="A1:L66"/>
  <sheetViews>
    <sheetView workbookViewId="0">
      <selection activeCell="A42" sqref="A42:A112"/>
    </sheetView>
  </sheetViews>
  <sheetFormatPr defaultColWidth="8.85546875" defaultRowHeight="15" x14ac:dyDescent="0.25"/>
  <cols>
    <col min="1" max="1" width="36.85546875" bestFit="1" customWidth="1"/>
    <col min="2" max="2" width="11.42578125" bestFit="1" customWidth="1"/>
    <col min="3" max="3" width="21.42578125" style="85" bestFit="1" customWidth="1"/>
    <col min="4" max="4" width="28.42578125" style="5" bestFit="1" customWidth="1"/>
    <col min="5" max="5" width="21.42578125" style="85" customWidth="1"/>
    <col min="6" max="6" width="8.85546875" bestFit="1" customWidth="1"/>
  </cols>
  <sheetData>
    <row r="1" spans="1:12" ht="19.5" thickBot="1" x14ac:dyDescent="0.35">
      <c r="A1" s="1" t="s">
        <v>310</v>
      </c>
      <c r="B1" s="85"/>
      <c r="C1" s="5"/>
      <c r="D1" s="85"/>
      <c r="E1"/>
    </row>
    <row r="2" spans="1:12" ht="15.75" thickBot="1" x14ac:dyDescent="0.3">
      <c r="A2" s="121" t="s">
        <v>149</v>
      </c>
      <c r="B2" s="134" t="s">
        <v>219</v>
      </c>
      <c r="C2" s="122" t="s">
        <v>311</v>
      </c>
      <c r="D2" s="85"/>
      <c r="E2"/>
    </row>
    <row r="3" spans="1:12" x14ac:dyDescent="0.25">
      <c r="A3" s="123" t="s">
        <v>150</v>
      </c>
      <c r="B3" s="124">
        <v>1750</v>
      </c>
      <c r="C3" s="137" t="s">
        <v>312</v>
      </c>
      <c r="E3" s="285" t="s">
        <v>313</v>
      </c>
      <c r="F3" s="286"/>
      <c r="G3" s="286"/>
      <c r="H3" s="286"/>
      <c r="I3" s="286"/>
      <c r="J3" s="286"/>
      <c r="K3" s="286"/>
      <c r="L3" s="287"/>
    </row>
    <row r="4" spans="1:12" ht="15.75" thickBot="1" x14ac:dyDescent="0.3">
      <c r="A4" t="s">
        <v>151</v>
      </c>
      <c r="B4" s="5">
        <v>200</v>
      </c>
      <c r="C4" s="85" t="s">
        <v>312</v>
      </c>
      <c r="E4" s="288"/>
      <c r="F4" s="289"/>
      <c r="G4" s="289"/>
      <c r="H4" s="289"/>
      <c r="I4" s="289"/>
      <c r="J4" s="289"/>
      <c r="K4" s="289"/>
      <c r="L4" s="290"/>
    </row>
    <row r="5" spans="1:12" x14ac:dyDescent="0.25">
      <c r="A5" s="125" t="s">
        <v>152</v>
      </c>
      <c r="B5" s="126">
        <v>350</v>
      </c>
      <c r="C5" s="138" t="s">
        <v>312</v>
      </c>
      <c r="E5"/>
    </row>
    <row r="6" spans="1:12" x14ac:dyDescent="0.25">
      <c r="A6" t="s">
        <v>153</v>
      </c>
      <c r="B6" s="5">
        <v>50</v>
      </c>
      <c r="C6" s="85" t="s">
        <v>312</v>
      </c>
      <c r="E6"/>
    </row>
    <row r="7" spans="1:12" x14ac:dyDescent="0.25">
      <c r="A7" s="125" t="s">
        <v>154</v>
      </c>
      <c r="B7" s="126">
        <v>250</v>
      </c>
      <c r="C7" s="138" t="s">
        <v>314</v>
      </c>
      <c r="E7"/>
    </row>
    <row r="8" spans="1:12" x14ac:dyDescent="0.25">
      <c r="A8" t="s">
        <v>155</v>
      </c>
      <c r="B8" s="5">
        <v>13058.378940000001</v>
      </c>
      <c r="C8" s="85" t="s">
        <v>315</v>
      </c>
      <c r="E8"/>
    </row>
    <row r="9" spans="1:12" x14ac:dyDescent="0.25">
      <c r="A9" s="125" t="s">
        <v>156</v>
      </c>
      <c r="B9" s="126">
        <v>11896.044</v>
      </c>
      <c r="C9" s="138" t="s">
        <v>315</v>
      </c>
      <c r="E9"/>
    </row>
    <row r="10" spans="1:12" x14ac:dyDescent="0.25">
      <c r="A10" t="s">
        <v>158</v>
      </c>
      <c r="B10" s="5">
        <v>604.57825361512789</v>
      </c>
      <c r="C10" s="85" t="s">
        <v>315</v>
      </c>
      <c r="E10"/>
    </row>
    <row r="11" spans="1:12" x14ac:dyDescent="0.25">
      <c r="A11" s="125" t="s">
        <v>159</v>
      </c>
      <c r="B11" s="126">
        <v>4412.0161799999996</v>
      </c>
      <c r="C11" s="138" t="s">
        <v>315</v>
      </c>
      <c r="E11"/>
    </row>
    <row r="12" spans="1:12" x14ac:dyDescent="0.25">
      <c r="A12" t="s">
        <v>160</v>
      </c>
      <c r="B12" s="5">
        <v>4990.8867599999994</v>
      </c>
      <c r="C12" s="85" t="s">
        <v>315</v>
      </c>
      <c r="E12"/>
    </row>
    <row r="13" spans="1:12" x14ac:dyDescent="0.25">
      <c r="A13" s="125" t="s">
        <v>161</v>
      </c>
      <c r="B13" s="126">
        <v>3624.3295200000002</v>
      </c>
      <c r="C13" s="138" t="s">
        <v>316</v>
      </c>
      <c r="E13"/>
    </row>
    <row r="14" spans="1:12" x14ac:dyDescent="0.25">
      <c r="A14" t="s">
        <v>317</v>
      </c>
      <c r="B14" s="5">
        <v>7505.5414800000008</v>
      </c>
      <c r="C14" s="85" t="s">
        <v>318</v>
      </c>
      <c r="E14"/>
    </row>
    <row r="15" spans="1:12" x14ac:dyDescent="0.25">
      <c r="A15" s="125" t="s">
        <v>319</v>
      </c>
      <c r="B15" s="126">
        <v>3825.4349999999999</v>
      </c>
      <c r="C15" s="138" t="s">
        <v>320</v>
      </c>
      <c r="E15"/>
    </row>
    <row r="16" spans="1:12" x14ac:dyDescent="0.25">
      <c r="A16" t="s">
        <v>166</v>
      </c>
      <c r="B16" s="5">
        <v>2953.7679600000001</v>
      </c>
      <c r="C16" s="85" t="s">
        <v>315</v>
      </c>
      <c r="E16"/>
    </row>
    <row r="17" spans="1:5" x14ac:dyDescent="0.25">
      <c r="A17" s="125" t="s">
        <v>167</v>
      </c>
      <c r="B17" s="126">
        <v>3656.8443600000001</v>
      </c>
      <c r="C17" s="138" t="s">
        <v>315</v>
      </c>
      <c r="E17"/>
    </row>
    <row r="18" spans="1:5" x14ac:dyDescent="0.25">
      <c r="A18" t="s">
        <v>302</v>
      </c>
      <c r="B18" s="5">
        <v>902.46600000000012</v>
      </c>
      <c r="C18" s="85" t="s">
        <v>315</v>
      </c>
      <c r="E18"/>
    </row>
    <row r="19" spans="1:5" x14ac:dyDescent="0.25">
      <c r="A19" s="125" t="s">
        <v>170</v>
      </c>
      <c r="B19" s="126">
        <v>1900</v>
      </c>
      <c r="C19" s="138" t="s">
        <v>321</v>
      </c>
      <c r="E19"/>
    </row>
    <row r="20" spans="1:5" x14ac:dyDescent="0.25">
      <c r="A20" t="s">
        <v>171</v>
      </c>
      <c r="B20" s="5">
        <v>12812.389080000001</v>
      </c>
      <c r="C20" s="85" t="s">
        <v>322</v>
      </c>
      <c r="E20"/>
    </row>
    <row r="21" spans="1:5" x14ac:dyDescent="0.25">
      <c r="A21" s="125" t="s">
        <v>172</v>
      </c>
      <c r="B21" s="126">
        <v>9556.7999999999993</v>
      </c>
      <c r="C21" s="138" t="s">
        <v>323</v>
      </c>
      <c r="E21"/>
    </row>
    <row r="22" spans="1:5" x14ac:dyDescent="0.25">
      <c r="A22" t="s">
        <v>173</v>
      </c>
      <c r="B22" s="5">
        <v>9051.81</v>
      </c>
      <c r="C22" s="85" t="s">
        <v>324</v>
      </c>
      <c r="E22"/>
    </row>
    <row r="23" spans="1:5" x14ac:dyDescent="0.25">
      <c r="A23" s="125" t="s">
        <v>174</v>
      </c>
      <c r="B23" s="126">
        <v>300.11</v>
      </c>
      <c r="C23" s="138" t="s">
        <v>312</v>
      </c>
      <c r="E23"/>
    </row>
    <row r="24" spans="1:5" x14ac:dyDescent="0.25">
      <c r="A24" t="s">
        <v>176</v>
      </c>
      <c r="B24" s="5">
        <v>3366.6000000000004</v>
      </c>
      <c r="C24" s="85" t="s">
        <v>325</v>
      </c>
      <c r="E24"/>
    </row>
    <row r="25" spans="1:5" x14ac:dyDescent="0.25">
      <c r="A25" s="125" t="s">
        <v>177</v>
      </c>
      <c r="B25" s="126">
        <v>4800.9562200000009</v>
      </c>
      <c r="C25" s="138" t="s">
        <v>326</v>
      </c>
      <c r="E25"/>
    </row>
    <row r="26" spans="1:5" x14ac:dyDescent="0.25">
      <c r="A26" t="s">
        <v>178</v>
      </c>
      <c r="B26" s="5">
        <v>4044.3182999999999</v>
      </c>
      <c r="C26" s="85" t="s">
        <v>327</v>
      </c>
      <c r="E26"/>
    </row>
    <row r="27" spans="1:5" x14ac:dyDescent="0.25">
      <c r="A27" s="125" t="s">
        <v>179</v>
      </c>
      <c r="B27" s="126">
        <v>217.2</v>
      </c>
      <c r="C27" s="138" t="s">
        <v>327</v>
      </c>
      <c r="E27"/>
    </row>
    <row r="28" spans="1:5" x14ac:dyDescent="0.25">
      <c r="A28" t="s">
        <v>180</v>
      </c>
      <c r="B28" s="5">
        <v>2932.2000000000003</v>
      </c>
      <c r="C28" s="85" t="s">
        <v>327</v>
      </c>
      <c r="E28"/>
    </row>
    <row r="29" spans="1:5" x14ac:dyDescent="0.25">
      <c r="A29" s="125" t="s">
        <v>181</v>
      </c>
      <c r="B29" s="126">
        <v>3942.2125799999999</v>
      </c>
      <c r="C29" s="138" t="s">
        <v>315</v>
      </c>
      <c r="E29"/>
    </row>
    <row r="30" spans="1:5" x14ac:dyDescent="0.25">
      <c r="A30" t="s">
        <v>183</v>
      </c>
      <c r="B30" s="5">
        <v>982.84086000000002</v>
      </c>
      <c r="C30" s="85" t="s">
        <v>328</v>
      </c>
      <c r="E30"/>
    </row>
    <row r="31" spans="1:5" x14ac:dyDescent="0.25">
      <c r="A31" s="125" t="s">
        <v>184</v>
      </c>
      <c r="B31" s="126">
        <v>827.74919999999997</v>
      </c>
      <c r="C31" s="138" t="s">
        <v>328</v>
      </c>
      <c r="E31"/>
    </row>
    <row r="32" spans="1:5" x14ac:dyDescent="0.25">
      <c r="A32" t="s">
        <v>185</v>
      </c>
      <c r="B32" s="5">
        <v>1677.8700000000001</v>
      </c>
      <c r="C32" s="85" t="s">
        <v>315</v>
      </c>
      <c r="E32"/>
    </row>
    <row r="33" spans="1:5" x14ac:dyDescent="0.25">
      <c r="A33" s="125" t="s">
        <v>186</v>
      </c>
      <c r="B33" s="126">
        <v>749.29656</v>
      </c>
      <c r="C33" s="138" t="s">
        <v>328</v>
      </c>
      <c r="E33"/>
    </row>
    <row r="34" spans="1:5" x14ac:dyDescent="0.25">
      <c r="A34" t="s">
        <v>187</v>
      </c>
      <c r="B34" s="5">
        <v>465.49218000000002</v>
      </c>
      <c r="C34" s="85" t="s">
        <v>328</v>
      </c>
      <c r="E34"/>
    </row>
    <row r="35" spans="1:5" x14ac:dyDescent="0.25">
      <c r="A35" s="125" t="s">
        <v>188</v>
      </c>
      <c r="B35" s="126">
        <v>1027.2473999999997</v>
      </c>
      <c r="C35" s="138" t="s">
        <v>328</v>
      </c>
      <c r="E35"/>
    </row>
    <row r="36" spans="1:5" x14ac:dyDescent="0.25">
      <c r="A36" t="s">
        <v>189</v>
      </c>
      <c r="B36" s="5">
        <v>3585.9720000000002</v>
      </c>
      <c r="C36" s="85" t="s">
        <v>329</v>
      </c>
      <c r="E36"/>
    </row>
    <row r="37" spans="1:5" x14ac:dyDescent="0.25">
      <c r="A37" s="125" t="s">
        <v>190</v>
      </c>
      <c r="B37" s="126">
        <v>6516.1303199999993</v>
      </c>
      <c r="C37" s="138" t="s">
        <v>328</v>
      </c>
      <c r="E37"/>
    </row>
    <row r="38" spans="1:5" x14ac:dyDescent="0.25">
      <c r="A38" t="s">
        <v>191</v>
      </c>
      <c r="B38" s="5">
        <v>453.00333704115684</v>
      </c>
      <c r="C38" s="85" t="s">
        <v>330</v>
      </c>
      <c r="E38"/>
    </row>
    <row r="39" spans="1:5" x14ac:dyDescent="0.25">
      <c r="A39" s="125" t="s">
        <v>192</v>
      </c>
      <c r="B39" s="126">
        <v>1424.2347000000002</v>
      </c>
      <c r="C39" s="138" t="s">
        <v>331</v>
      </c>
      <c r="E39"/>
    </row>
    <row r="40" spans="1:5" x14ac:dyDescent="0.25">
      <c r="A40" t="s">
        <v>193</v>
      </c>
      <c r="B40" s="5">
        <v>1805.6379000000002</v>
      </c>
      <c r="C40" s="85" t="s">
        <v>332</v>
      </c>
      <c r="E40"/>
    </row>
    <row r="41" spans="1:5" x14ac:dyDescent="0.25">
      <c r="A41" s="125" t="s">
        <v>194</v>
      </c>
      <c r="B41" s="126">
        <v>0</v>
      </c>
      <c r="C41" s="138" t="s">
        <v>330</v>
      </c>
      <c r="E41"/>
    </row>
    <row r="42" spans="1:5" x14ac:dyDescent="0.25">
      <c r="A42" t="s">
        <v>195</v>
      </c>
      <c r="B42" s="5">
        <v>0</v>
      </c>
      <c r="E42"/>
    </row>
    <row r="43" spans="1:5" x14ac:dyDescent="0.25">
      <c r="A43" s="125" t="s">
        <v>196</v>
      </c>
      <c r="B43" s="126">
        <v>6888.2807999999995</v>
      </c>
      <c r="C43" s="138" t="s">
        <v>328</v>
      </c>
      <c r="E43"/>
    </row>
    <row r="44" spans="1:5" x14ac:dyDescent="0.25">
      <c r="A44" t="s">
        <v>197</v>
      </c>
      <c r="B44" s="5">
        <v>418.22</v>
      </c>
      <c r="C44" s="85" t="s">
        <v>333</v>
      </c>
      <c r="E44"/>
    </row>
    <row r="45" spans="1:5" x14ac:dyDescent="0.25">
      <c r="A45" s="125" t="s">
        <v>198</v>
      </c>
      <c r="B45" s="126">
        <v>651.6</v>
      </c>
      <c r="C45" s="138" t="s">
        <v>325</v>
      </c>
      <c r="E45"/>
    </row>
    <row r="46" spans="1:5" x14ac:dyDescent="0.25">
      <c r="A46" t="s">
        <v>201</v>
      </c>
      <c r="B46" s="5">
        <v>0</v>
      </c>
      <c r="C46" s="85" t="s">
        <v>328</v>
      </c>
      <c r="E46"/>
    </row>
    <row r="47" spans="1:5" x14ac:dyDescent="0.25">
      <c r="A47" s="125" t="s">
        <v>202</v>
      </c>
      <c r="B47" s="126">
        <v>165</v>
      </c>
      <c r="C47" s="138" t="s">
        <v>333</v>
      </c>
      <c r="E47"/>
    </row>
    <row r="48" spans="1:5" x14ac:dyDescent="0.25">
      <c r="A48" t="s">
        <v>203</v>
      </c>
      <c r="B48" s="5">
        <v>6285.8766000000005</v>
      </c>
      <c r="C48" s="85" t="s">
        <v>334</v>
      </c>
      <c r="E48"/>
    </row>
    <row r="49" spans="1:6" x14ac:dyDescent="0.25">
      <c r="A49" s="125" t="s">
        <v>210</v>
      </c>
      <c r="B49" s="126">
        <v>3000</v>
      </c>
      <c r="C49" s="126" t="s">
        <v>335</v>
      </c>
      <c r="E49"/>
    </row>
    <row r="50" spans="1:6" x14ac:dyDescent="0.25">
      <c r="A50" t="s">
        <v>211</v>
      </c>
      <c r="B50" s="5">
        <v>1500</v>
      </c>
      <c r="C50" s="5" t="s">
        <v>336</v>
      </c>
      <c r="E50"/>
    </row>
    <row r="51" spans="1:6" x14ac:dyDescent="0.25">
      <c r="A51" s="125" t="s">
        <v>337</v>
      </c>
      <c r="B51" s="126">
        <v>2500</v>
      </c>
      <c r="C51" s="126" t="s">
        <v>338</v>
      </c>
      <c r="E51"/>
    </row>
    <row r="52" spans="1:6" x14ac:dyDescent="0.25">
      <c r="A52" t="s">
        <v>339</v>
      </c>
      <c r="B52" s="5">
        <v>1429.64</v>
      </c>
      <c r="C52" s="5" t="s">
        <v>332</v>
      </c>
      <c r="E52"/>
    </row>
    <row r="53" spans="1:6" x14ac:dyDescent="0.25">
      <c r="A53" s="125" t="s">
        <v>340</v>
      </c>
      <c r="B53" s="126">
        <v>3500</v>
      </c>
      <c r="C53" s="126" t="s">
        <v>341</v>
      </c>
      <c r="E53"/>
    </row>
    <row r="54" spans="1:6" x14ac:dyDescent="0.25">
      <c r="A54" t="s">
        <v>342</v>
      </c>
      <c r="B54" s="5">
        <v>1000</v>
      </c>
      <c r="C54" s="5" t="s">
        <v>343</v>
      </c>
      <c r="E54"/>
    </row>
    <row r="55" spans="1:6" x14ac:dyDescent="0.25">
      <c r="A55" s="125" t="s">
        <v>213</v>
      </c>
      <c r="B55" s="126">
        <v>1600</v>
      </c>
      <c r="C55" s="138" t="s">
        <v>312</v>
      </c>
      <c r="E55"/>
    </row>
    <row r="56" spans="1:6" x14ac:dyDescent="0.25">
      <c r="A56" s="130" t="s">
        <v>204</v>
      </c>
      <c r="B56" s="131">
        <f>SUM(B3:B55)</f>
        <v>161408.97649065629</v>
      </c>
      <c r="C56" s="110"/>
      <c r="D56" s="131"/>
      <c r="E56" s="131">
        <f>'Long Farm'!$B56/1629</f>
        <v>99.084700117038849</v>
      </c>
      <c r="F56" s="135" t="s">
        <v>344</v>
      </c>
    </row>
    <row r="57" spans="1:6" x14ac:dyDescent="0.25">
      <c r="A57" s="125" t="s">
        <v>303</v>
      </c>
      <c r="B57" s="126">
        <v>600</v>
      </c>
      <c r="C57" s="138" t="s">
        <v>312</v>
      </c>
      <c r="E57"/>
    </row>
    <row r="58" spans="1:6" x14ac:dyDescent="0.25">
      <c r="A58" t="s">
        <v>206</v>
      </c>
      <c r="B58" s="5">
        <v>600</v>
      </c>
      <c r="C58" s="85" t="s">
        <v>312</v>
      </c>
      <c r="E58"/>
    </row>
    <row r="59" spans="1:6" x14ac:dyDescent="0.25">
      <c r="A59" s="125" t="s">
        <v>207</v>
      </c>
      <c r="B59" s="126">
        <v>1800</v>
      </c>
      <c r="C59" s="138" t="s">
        <v>312</v>
      </c>
      <c r="E59"/>
    </row>
    <row r="60" spans="1:6" x14ac:dyDescent="0.25">
      <c r="A60" t="s">
        <v>208</v>
      </c>
      <c r="B60" s="5">
        <v>2000</v>
      </c>
      <c r="C60" s="85" t="s">
        <v>312</v>
      </c>
      <c r="E60"/>
    </row>
    <row r="61" spans="1:6" x14ac:dyDescent="0.25">
      <c r="A61" s="125" t="s">
        <v>209</v>
      </c>
      <c r="B61" s="126">
        <v>500</v>
      </c>
      <c r="C61" s="138" t="s">
        <v>312</v>
      </c>
      <c r="E61"/>
    </row>
    <row r="62" spans="1:6" x14ac:dyDescent="0.25">
      <c r="A62" s="130" t="s">
        <v>212</v>
      </c>
      <c r="B62" s="131">
        <f>SUM(B57:B61)</f>
        <v>5500</v>
      </c>
      <c r="C62" s="110"/>
      <c r="D62" s="131"/>
      <c r="E62"/>
    </row>
    <row r="63" spans="1:6" x14ac:dyDescent="0.25">
      <c r="A63" s="125" t="s">
        <v>345</v>
      </c>
      <c r="B63" s="126">
        <v>0</v>
      </c>
      <c r="C63" s="138" t="s">
        <v>312</v>
      </c>
      <c r="E63"/>
    </row>
    <row r="64" spans="1:6" x14ac:dyDescent="0.25">
      <c r="A64" t="s">
        <v>216</v>
      </c>
      <c r="B64" s="5">
        <v>0</v>
      </c>
      <c r="C64" s="85" t="s">
        <v>312</v>
      </c>
      <c r="E64"/>
    </row>
    <row r="65" spans="1:6" x14ac:dyDescent="0.25">
      <c r="A65" s="127" t="s">
        <v>217</v>
      </c>
      <c r="B65" s="128">
        <f>SUM(B63:B64)</f>
        <v>0</v>
      </c>
      <c r="C65" s="128"/>
      <c r="D65" s="131"/>
      <c r="E65"/>
    </row>
    <row r="66" spans="1:6" ht="15.75" thickBot="1" x14ac:dyDescent="0.3">
      <c r="A66" s="139" t="s">
        <v>220</v>
      </c>
      <c r="B66" s="140">
        <f>B56+B62+B65</f>
        <v>166908.97649065629</v>
      </c>
      <c r="C66" s="140"/>
      <c r="D66" s="131"/>
      <c r="E66" s="136">
        <f>'Long Farm'!$B66/1629</f>
        <v>102.46100459831571</v>
      </c>
      <c r="F66" s="135" t="s">
        <v>344</v>
      </c>
    </row>
  </sheetData>
  <mergeCells count="1">
    <mergeCell ref="E3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a1b2ee-f2b7-4066-91a1-5f7788ce1b22" xsi:nil="true"/>
    <lcf76f155ced4ddcb4097134ff3c332f xmlns="5c29b4f3-eb99-4e81-8679-fa1333def8cf">
      <Terms xmlns="http://schemas.microsoft.com/office/infopath/2007/PartnerControls"/>
    </lcf76f155ced4ddcb4097134ff3c332f>
    <Hidden xmlns="5c29b4f3-eb99-4e81-8679-fa1333def8cf">Enter Choice #1</Hidde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9B70EE884834BADD1040C486F5AE3" ma:contentTypeVersion="15" ma:contentTypeDescription="Create a new document." ma:contentTypeScope="" ma:versionID="a2cdea7c38619a5a6eeafc250707ba2b">
  <xsd:schema xmlns:xsd="http://www.w3.org/2001/XMLSchema" xmlns:xs="http://www.w3.org/2001/XMLSchema" xmlns:p="http://schemas.microsoft.com/office/2006/metadata/properties" xmlns:ns2="5c29b4f3-eb99-4e81-8679-fa1333def8cf" xmlns:ns3="50a1b2ee-f2b7-4066-91a1-5f7788ce1b22" targetNamespace="http://schemas.microsoft.com/office/2006/metadata/properties" ma:root="true" ma:fieldsID="31252773606e1157f6641c34e019425f" ns2:_="" ns3:_="">
    <xsd:import namespace="5c29b4f3-eb99-4e81-8679-fa1333def8cf"/>
    <xsd:import namespace="50a1b2ee-f2b7-4066-91a1-5f7788ce1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Hid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9b4f3-eb99-4e81-8679-fa1333def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89ebe9d-626c-4f98-b6a9-91df6504bb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Hidden" ma:index="22" nillable="true" ma:displayName="Hidden" ma:default="Enter Choice #1" ma:format="Dropdown" ma:internalName="Hidden">
      <xsd:simpleType>
        <xsd:restriction base="dms:Choice">
          <xsd:enumeration value="Enter Choice #1"/>
          <xsd:enumeration value="Enter Choice #2"/>
          <xsd:enumeration value="Enter Choice #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1b2ee-f2b7-4066-91a1-5f7788ce1b2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27c1725-9446-4acf-8d54-2c2c79f5ddcf}" ma:internalName="TaxCatchAll" ma:showField="CatchAllData" ma:web="50a1b2ee-f2b7-4066-91a1-5f7788ce1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F1706-8B11-4E89-A2E6-B8A0B5B45DB9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4EAAE3D5-BE28-437C-A57B-58257AFED1F8}">
  <ds:schemaRefs>
    <ds:schemaRef ds:uri="http://schemas.microsoft.com/office/2006/metadata/properties"/>
    <ds:schemaRef ds:uri="http://schemas.microsoft.com/office/infopath/2007/PartnerControls"/>
    <ds:schemaRef ds:uri="50a1b2ee-f2b7-4066-91a1-5f7788ce1b22"/>
    <ds:schemaRef ds:uri="5c29b4f3-eb99-4e81-8679-fa1333def8cf"/>
  </ds:schemaRefs>
</ds:datastoreItem>
</file>

<file path=customXml/itemProps3.xml><?xml version="1.0" encoding="utf-8"?>
<ds:datastoreItem xmlns:ds="http://schemas.openxmlformats.org/officeDocument/2006/customXml" ds:itemID="{1E4F1252-591F-4E7D-86CF-3F271DFA6F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030C63-B442-4E34-AE5C-AD070080B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29b4f3-eb99-4e81-8679-fa1333def8cf"/>
    <ds:schemaRef ds:uri="50a1b2ee-f2b7-4066-91a1-5f7788ce1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1</vt:i4>
      </vt:variant>
    </vt:vector>
  </HeadingPairs>
  <TitlesOfParts>
    <vt:vector size="42" baseType="lpstr">
      <vt:lpstr>Summary</vt:lpstr>
      <vt:lpstr>Trends</vt:lpstr>
      <vt:lpstr>MODEL SUMMARY</vt:lpstr>
      <vt:lpstr>Acacia</vt:lpstr>
      <vt:lpstr>Aspen 2-Story</vt:lpstr>
      <vt:lpstr>Atlas</vt:lpstr>
      <vt:lpstr>Banyan</vt:lpstr>
      <vt:lpstr>Cherry</vt:lpstr>
      <vt:lpstr>Dogwood</vt:lpstr>
      <vt:lpstr>Hazel</vt:lpstr>
      <vt:lpstr>Holly</vt:lpstr>
      <vt:lpstr>Elm</vt:lpstr>
      <vt:lpstr>Lilac</vt:lpstr>
      <vt:lpstr>Lily</vt:lpstr>
      <vt:lpstr>Magnolia</vt:lpstr>
      <vt:lpstr>Spindle</vt:lpstr>
      <vt:lpstr>Spruce</vt:lpstr>
      <vt:lpstr>Tulip</vt:lpstr>
      <vt:lpstr>White Oak</vt:lpstr>
      <vt:lpstr>Willow</vt:lpstr>
      <vt:lpstr>Alder</vt:lpstr>
      <vt:lpstr>Bayberry</vt:lpstr>
      <vt:lpstr>Boxelder</vt:lpstr>
      <vt:lpstr>Bur Oak</vt:lpstr>
      <vt:lpstr>Conifer</vt:lpstr>
      <vt:lpstr>Cottonwood</vt:lpstr>
      <vt:lpstr>Fig</vt:lpstr>
      <vt:lpstr>Fraser</vt:lpstr>
      <vt:lpstr>Jasmine</vt:lpstr>
      <vt:lpstr>Linville</vt:lpstr>
      <vt:lpstr>Locust</vt:lpstr>
      <vt:lpstr>Palm II</vt:lpstr>
      <vt:lpstr>Palmetto</vt:lpstr>
      <vt:lpstr>Palmetto II</vt:lpstr>
      <vt:lpstr>Pinyon</vt:lpstr>
      <vt:lpstr>Poplar</vt:lpstr>
      <vt:lpstr>Sycamore</vt:lpstr>
      <vt:lpstr>Water &amp; Sewer Data</vt:lpstr>
      <vt:lpstr>Fir</vt:lpstr>
      <vt:lpstr>West End</vt:lpstr>
      <vt:lpstr>Long Farm</vt:lpstr>
      <vt:lpstr>Tulip!Print_Titles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Hammer</dc:creator>
  <cp:keywords/>
  <dc:description/>
  <cp:lastModifiedBy>Bryan De Bruin, Esq.</cp:lastModifiedBy>
  <cp:revision/>
  <dcterms:created xsi:type="dcterms:W3CDTF">2024-03-15T21:08:37Z</dcterms:created>
  <dcterms:modified xsi:type="dcterms:W3CDTF">2026-02-17T22:04:57Z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{D54F1706-8B11-4E89-A2E6-B8A0B5B45DB9}</vt:lpwstr>
  </property>
  <property fmtid="{D5CDD505-2E9C-101B-9397-08002B2CF9AE}" pid="5" name="ContentTypeId">
    <vt:lpwstr>0x01010092D9B70EE884834BADD1040C486F5AE3</vt:lpwstr>
  </property>
  <property fmtid="{D5CDD505-2E9C-101B-9397-08002B2CF9AE}" pid="6" name="MediaServiceImageTags">
    <vt:lpwstr/>
  </property>
</Properties>
</file>