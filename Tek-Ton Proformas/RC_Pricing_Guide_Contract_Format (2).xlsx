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icks &amp; Bricks Detail" sheetId="1" state="visible" r:id="rId3"/>
    <sheet name="Pricing Summary" sheetId="2" state="visible" r:id="rId4"/>
    <sheet name="Detailed Breakdown" sheetId="3" state="visible" r:id="rId5"/>
    <sheet name="Upgrades Menu" sheetId="4" state="visible" r:id="rId6"/>
    <sheet name="Floor Plan Specs" sheetId="5" state="visible" r:id="rId7"/>
    <sheet name="Exclusions &amp; Notes" sheetId="6" state="visible" r:id="rId8"/>
  </sheets>
  <calcPr iterateCount="25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<sst xmlns="http://schemas.openxmlformats.org/spreadsheetml/2006/main" count="1491" uniqueCount="259">
  <si>
    <t xml:space="preserve">STICKS &amp; BRICKS - ITEMIZED COSTS</t>
  </si>
  <si>
    <t xml:space="preserve">Line Item</t>
  </si>
  <si>
    <t xml:space="preserve">TULIP</t>
  </si>
  <si>
    <t xml:space="preserve">ASH</t>
  </si>
  <si>
    <t xml:space="preserve">PALMETTO</t>
  </si>
  <si>
    <t xml:space="preserve">LILAC</t>
  </si>
  <si>
    <t xml:space="preserve">BANYAN</t>
  </si>
  <si>
    <t xml:space="preserve">JASMINE</t>
  </si>
  <si>
    <t xml:space="preserve">DOGWOOD</t>
  </si>
  <si>
    <t xml:space="preserve">SPRUCE</t>
  </si>
  <si>
    <t xml:space="preserve">ATLAS</t>
  </si>
  <si>
    <t xml:space="preserve">PALM</t>
  </si>
  <si>
    <t xml:space="preserve">ELM</t>
  </si>
  <si>
    <t xml:space="preserve">HAZEL</t>
  </si>
  <si>
    <t xml:space="preserve">ASPEN 2-Story</t>
  </si>
  <si>
    <t xml:space="preserve">FIG</t>
  </si>
  <si>
    <t xml:space="preserve">WILLOW</t>
  </si>
  <si>
    <t xml:space="preserve">HOLLY</t>
  </si>
  <si>
    <t xml:space="preserve">WHITE OAK</t>
  </si>
  <si>
    <t xml:space="preserve">FIR</t>
  </si>
  <si>
    <t xml:space="preserve">ASPEN 3-Story</t>
  </si>
  <si>
    <t xml:space="preserve">CHERRY</t>
  </si>
  <si>
    <t xml:space="preserve">RED OAK</t>
  </si>
  <si>
    <t xml:space="preserve">MAGNOLIA</t>
  </si>
  <si>
    <t xml:space="preserve">Square Footage</t>
  </si>
  <si>
    <t xml:space="preserve">Dumpster</t>
  </si>
  <si>
    <t xml:space="preserve">Utilities</t>
  </si>
  <si>
    <t xml:space="preserve">Portable Toilet</t>
  </si>
  <si>
    <t xml:space="preserve">Permit Box</t>
  </si>
  <si>
    <t xml:space="preserve">Termite</t>
  </si>
  <si>
    <t xml:space="preserve">Lumber All Floors</t>
  </si>
  <si>
    <t xml:space="preserve">Framing Labor</t>
  </si>
  <si>
    <t xml:space="preserve">Stairs</t>
  </si>
  <si>
    <t xml:space="preserve">Roof Trusses</t>
  </si>
  <si>
    <t xml:space="preserve">I-Joist/EWP</t>
  </si>
  <si>
    <t xml:space="preserve">Roofing Shingle</t>
  </si>
  <si>
    <t xml:space="preserve">Siding Material (Vinyl)</t>
  </si>
  <si>
    <t xml:space="preserve">Siding Labor</t>
  </si>
  <si>
    <t xml:space="preserve">Brick</t>
  </si>
  <si>
    <t xml:space="preserve">Window Material</t>
  </si>
  <si>
    <t xml:space="preserve">Window Labor</t>
  </si>
  <si>
    <t xml:space="preserve">Exterior Door Material</t>
  </si>
  <si>
    <t xml:space="preserve">Exterior Door Labor</t>
  </si>
  <si>
    <t xml:space="preserve">Garage Door Labor &amp; Material</t>
  </si>
  <si>
    <t xml:space="preserve">Plumbing Turnkey</t>
  </si>
  <si>
    <t xml:space="preserve">HVAC</t>
  </si>
  <si>
    <t xml:space="preserve">Electrical Rough &amp; Trim</t>
  </si>
  <si>
    <t xml:space="preserve">Blower Test</t>
  </si>
  <si>
    <t xml:space="preserve">Insulation</t>
  </si>
  <si>
    <t xml:space="preserve">Drywall Material</t>
  </si>
  <si>
    <t xml:space="preserve">Drywall Labor</t>
  </si>
  <si>
    <t xml:space="preserve">Exterior Paint Labor &amp; Material</t>
  </si>
  <si>
    <t xml:space="preserve">Interior Paint</t>
  </si>
  <si>
    <t xml:space="preserve">Interior Trim Turnkey</t>
  </si>
  <si>
    <t xml:space="preserve">Door Hardware</t>
  </si>
  <si>
    <t xml:space="preserve">Shelving</t>
  </si>
  <si>
    <t xml:space="preserve">Mirrors</t>
  </si>
  <si>
    <t xml:space="preserve">Bath Accessories</t>
  </si>
  <si>
    <t xml:space="preserve">Shower Door</t>
  </si>
  <si>
    <t xml:space="preserve">Countertops</t>
  </si>
  <si>
    <t xml:space="preserve">Cabinet Labor &amp; Material</t>
  </si>
  <si>
    <t xml:space="preserve">Tile Labor &amp; Material</t>
  </si>
  <si>
    <t xml:space="preserve">Light Fixtures</t>
  </si>
  <si>
    <t xml:space="preserve">Appliances</t>
  </si>
  <si>
    <t xml:space="preserve">Carpet Labor &amp; Material</t>
  </si>
  <si>
    <t xml:space="preserve">LVP Labor &amp; Material</t>
  </si>
  <si>
    <t xml:space="preserve">Interior Clean</t>
  </si>
  <si>
    <t xml:space="preserve">Gutters</t>
  </si>
  <si>
    <t xml:space="preserve">Mailbox</t>
  </si>
  <si>
    <t xml:space="preserve">Pressure Wash</t>
  </si>
  <si>
    <t xml:space="preserve">Foundation</t>
  </si>
  <si>
    <t xml:space="preserve">Landscaping</t>
  </si>
  <si>
    <t xml:space="preserve">Flatwork</t>
  </si>
  <si>
    <t xml:space="preserve">Deck (PT Deck)</t>
  </si>
  <si>
    <t xml:space="preserve">Blinds</t>
  </si>
  <si>
    <t xml:space="preserve">Waterproofing</t>
  </si>
  <si>
    <t xml:space="preserve">Building Permits</t>
  </si>
  <si>
    <t xml:space="preserve">STICKS &amp; BRICKS TOTAL</t>
  </si>
  <si>
    <t xml:space="preserve">Price per SF</t>
  </si>
  <si>
    <t xml:space="preserve">RED CEDAR HOMES - PRICING SUMMARY (Contract Format)</t>
  </si>
  <si>
    <t xml:space="preserve">Plan Name</t>
  </si>
  <si>
    <t xml:space="preserve">Sq Ft</t>
  </si>
  <si>
    <t xml:space="preserve">Bed/Bath</t>
  </si>
  <si>
    <t xml:space="preserve">Garage</t>
  </si>
  <si>
    <t xml:space="preserve">1. Sticks &amp; Bricks</t>
  </si>
  <si>
    <t xml:space="preserve">2. Upgrades</t>
  </si>
  <si>
    <t xml:space="preserve">3. Lot Prep</t>
  </si>
  <si>
    <t xml:space="preserve">4. Vert Costs</t>
  </si>
  <si>
    <t xml:space="preserve">5. Soft Costs</t>
  </si>
  <si>
    <t xml:space="preserve">6. Contingency</t>
  </si>
  <si>
    <t xml:space="preserve">7. Builder Fee &amp; Overhead</t>
  </si>
  <si>
    <t xml:space="preserve">TOTAL</t>
  </si>
  <si>
    <t xml:space="preserve">3/2</t>
  </si>
  <si>
    <t xml:space="preserve">1-Car</t>
  </si>
  <si>
    <t xml:space="preserve">2-Car</t>
  </si>
  <si>
    <t xml:space="preserve">3/2.5</t>
  </si>
  <si>
    <t xml:space="preserve">None</t>
  </si>
  <si>
    <t xml:space="preserve">3/3</t>
  </si>
  <si>
    <t xml:space="preserve">4/2.5</t>
  </si>
  <si>
    <t xml:space="preserve">3/3.5</t>
  </si>
  <si>
    <t xml:space="preserve">4/3.5</t>
  </si>
  <si>
    <t xml:space="preserve">4/3</t>
  </si>
  <si>
    <t xml:space="preserve">TULIP | 1170 SF | 3BD/2BA | 1-Car Garage</t>
  </si>
  <si>
    <t xml:space="preserve">Section</t>
  </si>
  <si>
    <t xml:space="preserve">Description</t>
  </si>
  <si>
    <t xml:space="preserve">Amount</t>
  </si>
  <si>
    <t xml:space="preserve">Notes</t>
  </si>
  <si>
    <t xml:space="preserve">1. STICKS &amp; BRICKS</t>
  </si>
  <si>
    <t xml:space="preserve">See 'Sticks &amp; Bricks Detail' Tab</t>
  </si>
  <si>
    <t xml:space="preserve">Full itemization in detail tab</t>
  </si>
  <si>
    <t xml:space="preserve">2. UPGRADES</t>
  </si>
  <si>
    <t xml:space="preserve">Hardie Color-Plus Siding</t>
  </si>
  <si>
    <t xml:space="preserve">$3,500-$4,000 if selected</t>
  </si>
  <si>
    <t xml:space="preserve">Exterior Elevation Upgrade</t>
  </si>
  <si>
    <t xml:space="preserve">$3,000-$4,000 if selected</t>
  </si>
  <si>
    <t xml:space="preserve">Interior Package Upgrade</t>
  </si>
  <si>
    <t xml:space="preserve">$3,795-$8,623 per level</t>
  </si>
  <si>
    <t xml:space="preserve">Upgrades Subtotal</t>
  </si>
  <si>
    <t xml:space="preserve">3. LOT PREP</t>
  </si>
  <si>
    <t xml:space="preserve">Homesite Preparation &amp; Excavation</t>
  </si>
  <si>
    <t xml:space="preserve">Utility Trenching &amp; Connections</t>
  </si>
  <si>
    <t xml:space="preserve">Backfill &amp; Final Grade</t>
  </si>
  <si>
    <t xml:space="preserve">Exterior Flatwork</t>
  </si>
  <si>
    <t xml:space="preserve">Other (to meet $15K min)</t>
  </si>
  <si>
    <t xml:space="preserve">Minimum $15,000 total</t>
  </si>
  <si>
    <t xml:space="preserve">Lot Prep Subtotal</t>
  </si>
  <si>
    <t xml:space="preserve">4. ADDED VERTICAL</t>
  </si>
  <si>
    <t xml:space="preserve">Stepped Foundation Upgrade</t>
  </si>
  <si>
    <t xml:space="preserve">Rock Hammering</t>
  </si>
  <si>
    <t xml:space="preserve">Fill Import/Export</t>
  </si>
  <si>
    <t xml:space="preserve">Added Vertical Subtotal</t>
  </si>
  <si>
    <t xml:space="preserve">5. SOFT COSTS</t>
  </si>
  <si>
    <t xml:space="preserve">Permitting &amp; Plan Submittal</t>
  </si>
  <si>
    <t xml:space="preserve">Architectural Fees</t>
  </si>
  <si>
    <t xml:space="preserve">Engineering</t>
  </si>
  <si>
    <t xml:space="preserve">Survey</t>
  </si>
  <si>
    <t xml:space="preserve">Construction Insurance</t>
  </si>
  <si>
    <t xml:space="preserve">Blueprints &amp; Misc Supplies</t>
  </si>
  <si>
    <t xml:space="preserve">Soft Costs Subtotal</t>
  </si>
  <si>
    <t xml:space="preserve">6. CONTINGENCY</t>
  </si>
  <si>
    <t xml:space="preserve">Contingency (≤$10K or 5%)</t>
  </si>
  <si>
    <t xml:space="preserve">Per contract terms</t>
  </si>
  <si>
    <t xml:space="preserve">7. BUILDER FEE &amp; OVERHEAD</t>
  </si>
  <si>
    <t xml:space="preserve">Builder Fee</t>
  </si>
  <si>
    <t xml:space="preserve">Fixed per home</t>
  </si>
  <si>
    <t xml:space="preserve">Warranty</t>
  </si>
  <si>
    <t xml:space="preserve">Builder's Risk</t>
  </si>
  <si>
    <t xml:space="preserve">Bookkeeping</t>
  </si>
  <si>
    <t xml:space="preserve">Project Management (PM)</t>
  </si>
  <si>
    <t xml:space="preserve">Purchase Orders (PO)</t>
  </si>
  <si>
    <t xml:space="preserve">Builder Fee &amp; Overhead Subtotal</t>
  </si>
  <si>
    <t xml:space="preserve">TOTAL COST</t>
  </si>
  <si>
    <t xml:space="preserve">ASH | 1188 SF | 3BD/2BA | 2-Car Garage</t>
  </si>
  <si>
    <t xml:space="preserve">PALMETTO | 1304 SF | 3BD/2.5BA | No Garage</t>
  </si>
  <si>
    <t xml:space="preserve">LILAC | 1383 SF | 3BD/3BA | 1-Car Garage</t>
  </si>
  <si>
    <t xml:space="preserve">BANYAN | 1400 SF | 3BD/3BA | 2-Car Garage</t>
  </si>
  <si>
    <t xml:space="preserve">JASMINE | 1500 SF | 3BD/2.5BA | 1-Car Garage</t>
  </si>
  <si>
    <t xml:space="preserve">DOGWOOD | 1541 SF | 3BD/2.5BA | 2-Car Garage</t>
  </si>
  <si>
    <t xml:space="preserve">SPRUCE | 1545 SF | 3BD/2BA | 2-Car Garage</t>
  </si>
  <si>
    <t xml:space="preserve">ATLAS | 1592 SF | 3BD/2.5BA | No Garage</t>
  </si>
  <si>
    <t xml:space="preserve">PALM | 1700 SF | 3BD/2.5BA | 1-Car Garage</t>
  </si>
  <si>
    <t xml:space="preserve">ELM | 1712 SF | 4BD/2.5BA | 2-Car Garage</t>
  </si>
  <si>
    <t xml:space="preserve">HAZEL | 1713 SF | 4BD/2.5BA | 2-Car Garage</t>
  </si>
  <si>
    <t xml:space="preserve">ASPEN 2-Story | 1788 SF | 3BD/2.5BA | 2-Car Garage</t>
  </si>
  <si>
    <t xml:space="preserve">FIG | 1798 SF | 3BD/3.5BA | 1-Car Garage</t>
  </si>
  <si>
    <t xml:space="preserve">WILLOW | 1857 SF | 4BD/2.5BA | 1-Car Garage</t>
  </si>
  <si>
    <t xml:space="preserve">HOLLY | 2000 SF | 4BD/2.5BA | 2-Car Garage</t>
  </si>
  <si>
    <t xml:space="preserve">WHITE OAK | 2005 SF | 4BD/2.5BA | 2-Car Garage</t>
  </si>
  <si>
    <t xml:space="preserve">FIR | 2072 SF | 4BD/3.5BA | 2-Car Garage</t>
  </si>
  <si>
    <t xml:space="preserve">ASPEN 3-Story | 2157 SF | 4BD/3.5BA | 2-Car Garage</t>
  </si>
  <si>
    <t xml:space="preserve">CHERRY | 2214 SF | 4BD/3BA | 2-Car Garage</t>
  </si>
  <si>
    <t xml:space="preserve">RED OAK | 2217 SF | 4BD/3BA | 2-Car Garage</t>
  </si>
  <si>
    <t xml:space="preserve">MAGNOLIA | 2771 SF | 4BD/3BA | 2-Car Garage</t>
  </si>
  <si>
    <t xml:space="preserve">RED CEDAR HOMES - UPGRADE OPTIONS</t>
  </si>
  <si>
    <t xml:space="preserve">Category</t>
  </si>
  <si>
    <t xml:space="preserve">Upgrade Name</t>
  </si>
  <si>
    <t xml:space="preserve">Price Range</t>
  </si>
  <si>
    <t xml:space="preserve">EXTERIOR</t>
  </si>
  <si>
    <t xml:space="preserve">$3,500 - $4,000</t>
  </si>
  <si>
    <t xml:space="preserve">Premium fiber cement siding</t>
  </si>
  <si>
    <t xml:space="preserve">Elevation Upgrade - 1</t>
  </si>
  <si>
    <t xml:space="preserve">$3,000 - $4,000</t>
  </si>
  <si>
    <t xml:space="preserve">Enhanced architectural details</t>
  </si>
  <si>
    <t xml:space="preserve">Elevation Upgrade - 2</t>
  </si>
  <si>
    <t xml:space="preserve">Premium elevation design</t>
  </si>
  <si>
    <t xml:space="preserve">INTERIOR - CLASSIC</t>
  </si>
  <si>
    <t xml:space="preserve">Foxcroft Classic</t>
  </si>
  <si>
    <t xml:space="preserve">$4,059</t>
  </si>
  <si>
    <t xml:space="preserve">Classic finish level</t>
  </si>
  <si>
    <t xml:space="preserve">Midwood Classic</t>
  </si>
  <si>
    <t xml:space="preserve">$3,792</t>
  </si>
  <si>
    <t xml:space="preserve">Madison Classic</t>
  </si>
  <si>
    <t xml:space="preserve">$3,852</t>
  </si>
  <si>
    <t xml:space="preserve">Uptown Classic</t>
  </si>
  <si>
    <t xml:space="preserve">$3,984</t>
  </si>
  <si>
    <t xml:space="preserve">INTERIOR - ELEGANCE</t>
  </si>
  <si>
    <t xml:space="preserve">Foxcroft Elegance</t>
  </si>
  <si>
    <t xml:space="preserve">$6,181</t>
  </si>
  <si>
    <t xml:space="preserve">Elegance finish level</t>
  </si>
  <si>
    <t xml:space="preserve">Midwood Elegance</t>
  </si>
  <si>
    <t xml:space="preserve">$6,468</t>
  </si>
  <si>
    <t xml:space="preserve">Madison Elegance</t>
  </si>
  <si>
    <t xml:space="preserve">$8,197</t>
  </si>
  <si>
    <t xml:space="preserve">Premium elegance finishes</t>
  </si>
  <si>
    <t xml:space="preserve">Uptown Elegance</t>
  </si>
  <si>
    <t xml:space="preserve">$8,623</t>
  </si>
  <si>
    <t xml:space="preserve">Top-tier elegance finishes</t>
  </si>
  <si>
    <t xml:space="preserve">RED CEDAR HOMES - FLOOR PLAN SPECIFICATIONS</t>
  </si>
  <si>
    <t xml:space="preserve">Bedrooms</t>
  </si>
  <si>
    <t xml:space="preserve">Bathrooms</t>
  </si>
  <si>
    <t xml:space="preserve">Width</t>
  </si>
  <si>
    <t xml:space="preserve">Depth</t>
  </si>
  <si>
    <t xml:space="preserve">Stories</t>
  </si>
  <si>
    <t xml:space="preserve">Type</t>
  </si>
  <si>
    <t xml:space="preserve">30'</t>
  </si>
  <si>
    <t xml:space="preserve">50'</t>
  </si>
  <si>
    <t xml:space="preserve">Single Family</t>
  </si>
  <si>
    <t xml:space="preserve">29'</t>
  </si>
  <si>
    <t xml:space="preserve">36'</t>
  </si>
  <si>
    <t xml:space="preserve">20'</t>
  </si>
  <si>
    <t xml:space="preserve">42'</t>
  </si>
  <si>
    <t xml:space="preserve">Townhome</t>
  </si>
  <si>
    <t xml:space="preserve">46'</t>
  </si>
  <si>
    <t xml:space="preserve">28'</t>
  </si>
  <si>
    <t xml:space="preserve">24'</t>
  </si>
  <si>
    <t xml:space="preserve">49'</t>
  </si>
  <si>
    <t xml:space="preserve">39'</t>
  </si>
  <si>
    <t xml:space="preserve">54'</t>
  </si>
  <si>
    <t xml:space="preserve">33'</t>
  </si>
  <si>
    <t xml:space="preserve">35'</t>
  </si>
  <si>
    <t xml:space="preserve">43'</t>
  </si>
  <si>
    <t xml:space="preserve">18'</t>
  </si>
  <si>
    <t xml:space="preserve">40'</t>
  </si>
  <si>
    <t xml:space="preserve">48'</t>
  </si>
  <si>
    <t xml:space="preserve">38'</t>
  </si>
  <si>
    <t xml:space="preserve">37'</t>
  </si>
  <si>
    <t xml:space="preserve">EXCLUSIONS - Items NOT Included in Pricing</t>
  </si>
  <si>
    <t xml:space="preserve">• Stepped foundations (assumes flat lots)</t>
  </si>
  <si>
    <t xml:space="preserve">• Fill Import/Export (assumes balanced lots)</t>
  </si>
  <si>
    <t xml:space="preserve">• Rock Hammering</t>
  </si>
  <si>
    <t xml:space="preserve">• Curb Cuts &amp; Approaches</t>
  </si>
  <si>
    <t xml:space="preserve">• City Sidewalks</t>
  </si>
  <si>
    <t xml:space="preserve">• SDC Fees / Permitting Fees</t>
  </si>
  <si>
    <t xml:space="preserve">• ARC Review Fees</t>
  </si>
  <si>
    <t xml:space="preserve">• Utility Connection Fees (beyond standard)</t>
  </si>
  <si>
    <t xml:space="preserve">• Landscaping (beyond standard allowance)</t>
  </si>
  <si>
    <t xml:space="preserve">• Fencing</t>
  </si>
  <si>
    <t xml:space="preserve">• Refrigerators</t>
  </si>
  <si>
    <t xml:space="preserve">• Washers and Dryers</t>
  </si>
  <si>
    <t xml:space="preserve">• State Tax (applicable to WA projects only)</t>
  </si>
  <si>
    <t xml:space="preserve">CONTRACT RULES &amp; NOTES</t>
  </si>
  <si>
    <t xml:space="preserve">• Builder Fee &amp; Overhead: $29,500 per home broken down as follows:</t>
  </si>
  <si>
    <t xml:space="preserve">    Builder Fee: $15,000 | Warranty: $5,000 | Builder's Risk: $1,500</t>
  </si>
  <si>
    <t xml:space="preserve">    Bookkeeping: $1,500 | PM: $3,500 | PO: $3,000</t>
  </si>
  <si>
    <t xml:space="preserve">• Contingency: Lower of $10,000 or 5% of costs (excluding contingency and builder fee)</t>
  </si>
  <si>
    <t xml:space="preserve">• Soft Costs: Minimum $15,000 total required</t>
  </si>
  <si>
    <t xml:space="preserve">• Lot Prep: Minimum $15,000 total required</t>
  </si>
  <si>
    <t xml:space="preserve">• Pricing assumes utilities stubbed out within 50 LF of home</t>
  </si>
  <si>
    <t xml:space="preserve">• All finishes per Inclusive Features Sheet unless upgrades selected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</si>
</sst>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538"/>
        <bgColor rgb="FF333300"/>
      </patternFill>
    </fill>
    <fill>
      <patternFill patternType="solid">
        <fgColor rgb="FF4A6D5C"/>
        <bgColor rgb="FF80808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D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5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3" min="2" style="1" width="12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57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5" hidden="false" customHeight="true" outlineLevel="0" collapsed="false">
      <c r="A3" s="5" t="s">
        <v>24</v>
      </c>
      <c r="B3" s="6" t="n">
        <v>1170</v>
      </c>
      <c r="C3" s="6" t="n">
        <v>1188</v>
      </c>
      <c r="D3" s="6" t="n">
        <v>1304</v>
      </c>
      <c r="E3" s="6" t="n">
        <v>1383</v>
      </c>
      <c r="F3" s="6" t="n">
        <v>1400</v>
      </c>
      <c r="G3" s="6" t="n">
        <v>1500</v>
      </c>
      <c r="H3" s="6" t="n">
        <v>1541</v>
      </c>
      <c r="I3" s="6" t="n">
        <v>1545</v>
      </c>
      <c r="J3" s="6" t="n">
        <v>1592</v>
      </c>
      <c r="K3" s="6" t="n">
        <v>1700</v>
      </c>
      <c r="L3" s="6" t="n">
        <v>1712</v>
      </c>
      <c r="M3" s="6" t="n">
        <v>1713</v>
      </c>
      <c r="N3" s="6" t="n">
        <v>1788</v>
      </c>
      <c r="O3" s="6" t="n">
        <v>1798</v>
      </c>
      <c r="P3" s="6" t="n">
        <v>1857</v>
      </c>
      <c r="Q3" s="6" t="n">
        <v>2000</v>
      </c>
      <c r="R3" s="6" t="n">
        <v>2005</v>
      </c>
      <c r="S3" s="6" t="n">
        <v>2072</v>
      </c>
      <c r="T3" s="6" t="n">
        <v>2157</v>
      </c>
      <c r="U3" s="6" t="n">
        <v>2214</v>
      </c>
      <c r="V3" s="6" t="n">
        <v>2217</v>
      </c>
      <c r="W3" s="6" t="n">
        <v>2771</v>
      </c>
    </row>
    <row r="4" customFormat="false" ht="15" hidden="false" customHeight="true" outlineLevel="0" collapsed="false">
      <c r="A4" s="7" t="s">
        <v>25</v>
      </c>
      <c r="B4" s="8" t="n">
        <v>3000</v>
      </c>
      <c r="C4" s="8" t="n">
        <v>3000</v>
      </c>
      <c r="D4" s="8" t="n">
        <v>3000</v>
      </c>
      <c r="E4" s="8" t="n">
        <v>3000</v>
      </c>
      <c r="F4" s="8" t="n">
        <v>3000</v>
      </c>
      <c r="G4" s="8" t="n">
        <v>3000</v>
      </c>
      <c r="H4" s="8" t="n">
        <v>3000</v>
      </c>
      <c r="I4" s="8" t="n">
        <v>3000</v>
      </c>
      <c r="J4" s="8" t="n">
        <v>3000</v>
      </c>
      <c r="K4" s="8" t="n">
        <v>3000</v>
      </c>
      <c r="L4" s="8" t="n">
        <v>3000</v>
      </c>
      <c r="M4" s="8" t="n">
        <v>3000</v>
      </c>
      <c r="N4" s="8" t="n">
        <v>3000</v>
      </c>
      <c r="O4" s="8" t="n">
        <v>3000</v>
      </c>
      <c r="P4" s="8" t="n">
        <v>3000</v>
      </c>
      <c r="Q4" s="8" t="n">
        <v>3000</v>
      </c>
      <c r="R4" s="8" t="n">
        <v>3000</v>
      </c>
      <c r="S4" s="8" t="n">
        <v>3000</v>
      </c>
      <c r="T4" s="8" t="n">
        <v>3000</v>
      </c>
      <c r="U4" s="8" t="n">
        <v>3000</v>
      </c>
      <c r="V4" s="8" t="n">
        <v>3000</v>
      </c>
      <c r="W4" s="8" t="n">
        <v>3000</v>
      </c>
    </row>
    <row r="5" customFormat="false" ht="15" hidden="false" customHeight="true" outlineLevel="0" collapsed="false">
      <c r="A5" s="7" t="s">
        <v>26</v>
      </c>
      <c r="B5" s="8" t="n">
        <v>600</v>
      </c>
      <c r="C5" s="8" t="n">
        <v>600</v>
      </c>
      <c r="D5" s="8" t="n">
        <v>600</v>
      </c>
      <c r="E5" s="8" t="n">
        <v>600</v>
      </c>
      <c r="F5" s="8" t="n">
        <v>600</v>
      </c>
      <c r="G5" s="8" t="n">
        <v>600</v>
      </c>
      <c r="H5" s="8" t="n">
        <v>600</v>
      </c>
      <c r="I5" s="8" t="n">
        <v>600</v>
      </c>
      <c r="J5" s="8" t="n">
        <v>600</v>
      </c>
      <c r="K5" s="8" t="n">
        <v>600</v>
      </c>
      <c r="L5" s="8" t="n">
        <v>600</v>
      </c>
      <c r="M5" s="8" t="n">
        <v>600</v>
      </c>
      <c r="N5" s="8" t="n">
        <v>600</v>
      </c>
      <c r="O5" s="8" t="n">
        <v>600</v>
      </c>
      <c r="P5" s="8" t="n">
        <v>600</v>
      </c>
      <c r="Q5" s="8" t="n">
        <v>600</v>
      </c>
      <c r="R5" s="8" t="n">
        <v>600</v>
      </c>
      <c r="S5" s="8" t="n">
        <v>600</v>
      </c>
      <c r="T5" s="8" t="n">
        <v>600</v>
      </c>
      <c r="U5" s="8" t="n">
        <v>600</v>
      </c>
      <c r="V5" s="8" t="n">
        <v>600</v>
      </c>
      <c r="W5" s="8" t="n">
        <v>600</v>
      </c>
    </row>
    <row r="6" customFormat="false" ht="15" hidden="false" customHeight="true" outlineLevel="0" collapsed="false">
      <c r="A6" s="7" t="s">
        <v>27</v>
      </c>
      <c r="B6" s="8" t="n">
        <v>875</v>
      </c>
      <c r="C6" s="8" t="n">
        <v>875</v>
      </c>
      <c r="D6" s="8" t="n">
        <v>875</v>
      </c>
      <c r="E6" s="8" t="n">
        <v>875</v>
      </c>
      <c r="F6" s="8" t="n">
        <v>875</v>
      </c>
      <c r="G6" s="8" t="n">
        <v>875</v>
      </c>
      <c r="H6" s="8" t="n">
        <v>875</v>
      </c>
      <c r="I6" s="8" t="n">
        <v>875</v>
      </c>
      <c r="J6" s="8" t="n">
        <v>875</v>
      </c>
      <c r="K6" s="8" t="n">
        <v>875</v>
      </c>
      <c r="L6" s="8" t="n">
        <v>875</v>
      </c>
      <c r="M6" s="8" t="n">
        <v>875</v>
      </c>
      <c r="N6" s="8" t="n">
        <v>875</v>
      </c>
      <c r="O6" s="8" t="n">
        <v>875</v>
      </c>
      <c r="P6" s="8" t="n">
        <v>875</v>
      </c>
      <c r="Q6" s="8" t="n">
        <v>875</v>
      </c>
      <c r="R6" s="8" t="n">
        <v>875</v>
      </c>
      <c r="S6" s="8" t="n">
        <v>875</v>
      </c>
      <c r="T6" s="8" t="n">
        <v>875</v>
      </c>
      <c r="U6" s="8" t="n">
        <v>875</v>
      </c>
      <c r="V6" s="8" t="n">
        <v>875</v>
      </c>
      <c r="W6" s="8" t="n">
        <v>875</v>
      </c>
    </row>
    <row r="7" customFormat="false" ht="15" hidden="false" customHeight="true" outlineLevel="0" collapsed="false">
      <c r="A7" s="7" t="s">
        <v>28</v>
      </c>
      <c r="B7" s="8" t="n">
        <v>50</v>
      </c>
      <c r="C7" s="8" t="n">
        <v>50</v>
      </c>
      <c r="D7" s="8" t="n">
        <v>50</v>
      </c>
      <c r="E7" s="8" t="n">
        <v>50</v>
      </c>
      <c r="F7" s="8" t="n">
        <v>50</v>
      </c>
      <c r="G7" s="8" t="n">
        <v>50</v>
      </c>
      <c r="H7" s="8" t="n">
        <v>50</v>
      </c>
      <c r="I7" s="8" t="n">
        <v>50</v>
      </c>
      <c r="J7" s="8" t="n">
        <v>50</v>
      </c>
      <c r="K7" s="8" t="n">
        <v>50</v>
      </c>
      <c r="L7" s="8" t="n">
        <v>50</v>
      </c>
      <c r="M7" s="8" t="n">
        <v>50</v>
      </c>
      <c r="N7" s="8" t="n">
        <v>50</v>
      </c>
      <c r="O7" s="8" t="n">
        <v>50</v>
      </c>
      <c r="P7" s="8" t="n">
        <v>50</v>
      </c>
      <c r="Q7" s="8" t="n">
        <v>50</v>
      </c>
      <c r="R7" s="8" t="n">
        <v>50</v>
      </c>
      <c r="S7" s="8" t="n">
        <v>50</v>
      </c>
      <c r="T7" s="8" t="n">
        <v>50</v>
      </c>
      <c r="U7" s="8" t="n">
        <v>50</v>
      </c>
      <c r="V7" s="8" t="n">
        <v>50</v>
      </c>
      <c r="W7" s="8" t="n">
        <v>50</v>
      </c>
    </row>
    <row r="8" customFormat="false" ht="15" hidden="false" customHeight="true" outlineLevel="0" collapsed="false">
      <c r="A8" s="7" t="s">
        <v>29</v>
      </c>
      <c r="B8" s="8" t="n">
        <v>250</v>
      </c>
      <c r="C8" s="8" t="n">
        <v>250</v>
      </c>
      <c r="D8" s="8" t="n">
        <v>250</v>
      </c>
      <c r="E8" s="8" t="n">
        <v>250</v>
      </c>
      <c r="F8" s="8" t="n">
        <v>250</v>
      </c>
      <c r="G8" s="8" t="n">
        <v>250</v>
      </c>
      <c r="H8" s="8" t="n">
        <v>250</v>
      </c>
      <c r="I8" s="8" t="n">
        <v>250</v>
      </c>
      <c r="J8" s="8" t="n">
        <v>250</v>
      </c>
      <c r="K8" s="8" t="n">
        <v>250</v>
      </c>
      <c r="L8" s="8" t="n">
        <v>250</v>
      </c>
      <c r="M8" s="8" t="n">
        <v>250</v>
      </c>
      <c r="N8" s="8" t="n">
        <v>250</v>
      </c>
      <c r="O8" s="8" t="n">
        <v>250</v>
      </c>
      <c r="P8" s="8" t="n">
        <v>250</v>
      </c>
      <c r="Q8" s="8" t="n">
        <v>250</v>
      </c>
      <c r="R8" s="8" t="n">
        <v>250</v>
      </c>
      <c r="S8" s="8" t="n">
        <v>250</v>
      </c>
      <c r="T8" s="8" t="n">
        <v>250</v>
      </c>
      <c r="U8" s="8" t="n">
        <v>250</v>
      </c>
      <c r="V8" s="8" t="n">
        <v>250</v>
      </c>
      <c r="W8" s="8" t="n">
        <v>250</v>
      </c>
    </row>
    <row r="9" customFormat="false" ht="15" hidden="false" customHeight="true" outlineLevel="0" collapsed="false">
      <c r="A9" s="7" t="s">
        <v>30</v>
      </c>
      <c r="B9" s="8" t="n">
        <v>6892</v>
      </c>
      <c r="C9" s="8" t="n">
        <v>6998</v>
      </c>
      <c r="D9" s="8" t="n">
        <v>7681</v>
      </c>
      <c r="E9" s="8" t="n">
        <v>8146</v>
      </c>
      <c r="F9" s="8" t="n">
        <v>8246</v>
      </c>
      <c r="G9" s="8" t="n">
        <v>8836</v>
      </c>
      <c r="H9" s="8" t="n">
        <v>9077</v>
      </c>
      <c r="I9" s="8" t="n">
        <v>9101</v>
      </c>
      <c r="J9" s="8" t="n">
        <v>9378</v>
      </c>
      <c r="K9" s="8" t="n">
        <v>10014</v>
      </c>
      <c r="L9" s="8" t="n">
        <v>10084</v>
      </c>
      <c r="M9" s="8" t="n">
        <v>10090</v>
      </c>
      <c r="N9" s="8" t="n">
        <v>10532</v>
      </c>
      <c r="O9" s="8" t="n">
        <v>10591</v>
      </c>
      <c r="P9" s="8" t="n">
        <v>10939</v>
      </c>
      <c r="Q9" s="8" t="n">
        <v>11781</v>
      </c>
      <c r="R9" s="8" t="n">
        <v>11810</v>
      </c>
      <c r="S9" s="8" t="n">
        <v>12205</v>
      </c>
      <c r="T9" s="8" t="n">
        <v>12706</v>
      </c>
      <c r="U9" s="8" t="n">
        <v>13042</v>
      </c>
      <c r="V9" s="8" t="n">
        <v>13059</v>
      </c>
      <c r="W9" s="8" t="n">
        <v>16323</v>
      </c>
    </row>
    <row r="10" customFormat="false" ht="15" hidden="false" customHeight="true" outlineLevel="0" collapsed="false">
      <c r="A10" s="7" t="s">
        <v>31</v>
      </c>
      <c r="B10" s="8" t="n">
        <v>4699</v>
      </c>
      <c r="C10" s="8" t="n">
        <v>4772</v>
      </c>
      <c r="D10" s="8" t="n">
        <v>5238</v>
      </c>
      <c r="E10" s="8" t="n">
        <v>5555</v>
      </c>
      <c r="F10" s="8" t="n">
        <v>5623</v>
      </c>
      <c r="G10" s="8" t="n">
        <v>6025</v>
      </c>
      <c r="H10" s="8" t="n">
        <v>6190</v>
      </c>
      <c r="I10" s="8" t="n">
        <v>6206</v>
      </c>
      <c r="J10" s="8" t="n">
        <v>6395</v>
      </c>
      <c r="K10" s="8" t="n">
        <v>6828</v>
      </c>
      <c r="L10" s="8" t="n">
        <v>6877</v>
      </c>
      <c r="M10" s="8" t="n">
        <v>6881</v>
      </c>
      <c r="N10" s="8" t="n">
        <v>7182</v>
      </c>
      <c r="O10" s="8" t="n">
        <v>7222</v>
      </c>
      <c r="P10" s="8" t="n">
        <v>7459</v>
      </c>
      <c r="Q10" s="8" t="n">
        <v>8033</v>
      </c>
      <c r="R10" s="8" t="n">
        <v>8054</v>
      </c>
      <c r="S10" s="8" t="n">
        <v>8323</v>
      </c>
      <c r="T10" s="8" t="n">
        <v>8664</v>
      </c>
      <c r="U10" s="8" t="n">
        <v>8893</v>
      </c>
      <c r="V10" s="8" t="n">
        <v>8905</v>
      </c>
      <c r="W10" s="8" t="n">
        <v>11130</v>
      </c>
    </row>
    <row r="11" customFormat="false" ht="15" hidden="false" customHeight="true" outlineLevel="0" collapsed="false">
      <c r="A11" s="7" t="s">
        <v>32</v>
      </c>
      <c r="B11" s="8" t="n">
        <v>408</v>
      </c>
      <c r="C11" s="8" t="n">
        <v>414</v>
      </c>
      <c r="D11" s="8" t="n">
        <v>455</v>
      </c>
      <c r="E11" s="8" t="n">
        <v>483</v>
      </c>
      <c r="F11" s="8" t="n">
        <v>488</v>
      </c>
      <c r="G11" s="8" t="n">
        <v>523</v>
      </c>
      <c r="H11" s="8" t="n">
        <v>538</v>
      </c>
      <c r="I11" s="8" t="n">
        <v>539</v>
      </c>
      <c r="J11" s="8" t="n">
        <v>556</v>
      </c>
      <c r="K11" s="8" t="n">
        <v>593</v>
      </c>
      <c r="L11" s="8" t="n">
        <v>597</v>
      </c>
      <c r="M11" s="8" t="n">
        <v>598</v>
      </c>
      <c r="N11" s="8" t="n">
        <v>624</v>
      </c>
      <c r="O11" s="8" t="n">
        <v>627</v>
      </c>
      <c r="P11" s="8" t="n">
        <v>648</v>
      </c>
      <c r="Q11" s="8" t="n">
        <v>698</v>
      </c>
      <c r="R11" s="8" t="n">
        <v>700</v>
      </c>
      <c r="S11" s="8" t="n">
        <v>723</v>
      </c>
      <c r="T11" s="8" t="n">
        <v>753</v>
      </c>
      <c r="U11" s="8" t="n">
        <v>773</v>
      </c>
      <c r="V11" s="8" t="n">
        <v>774</v>
      </c>
      <c r="W11" s="8" t="n">
        <v>967</v>
      </c>
    </row>
    <row r="12" customFormat="false" ht="15" hidden="false" customHeight="true" outlineLevel="0" collapsed="false">
      <c r="A12" s="7" t="s">
        <v>33</v>
      </c>
      <c r="B12" s="8" t="n">
        <v>2867</v>
      </c>
      <c r="C12" s="8" t="n">
        <v>2911</v>
      </c>
      <c r="D12" s="8" t="n">
        <v>3196</v>
      </c>
      <c r="E12" s="8" t="n">
        <v>3389</v>
      </c>
      <c r="F12" s="8" t="n">
        <v>3431</v>
      </c>
      <c r="G12" s="8" t="n">
        <v>3676</v>
      </c>
      <c r="H12" s="8" t="n">
        <v>3776</v>
      </c>
      <c r="I12" s="8" t="n">
        <v>3786</v>
      </c>
      <c r="J12" s="8" t="n">
        <v>3902</v>
      </c>
      <c r="K12" s="8" t="n">
        <v>4166</v>
      </c>
      <c r="L12" s="8" t="n">
        <v>4196</v>
      </c>
      <c r="M12" s="8" t="n">
        <v>4198</v>
      </c>
      <c r="N12" s="8" t="n">
        <v>4382</v>
      </c>
      <c r="O12" s="8" t="n">
        <v>4406</v>
      </c>
      <c r="P12" s="8" t="n">
        <v>4551</v>
      </c>
      <c r="Q12" s="8" t="n">
        <v>4902</v>
      </c>
      <c r="R12" s="8" t="n">
        <v>4914</v>
      </c>
      <c r="S12" s="8" t="n">
        <v>5078</v>
      </c>
      <c r="T12" s="8" t="n">
        <v>5286</v>
      </c>
      <c r="U12" s="8" t="n">
        <v>5426</v>
      </c>
      <c r="V12" s="8" t="n">
        <v>5433</v>
      </c>
      <c r="W12" s="8" t="n">
        <v>6791</v>
      </c>
    </row>
    <row r="13" customFormat="false" ht="15" hidden="false" customHeight="true" outlineLevel="0" collapsed="false">
      <c r="A13" s="7" t="s">
        <v>34</v>
      </c>
      <c r="B13" s="8" t="n">
        <v>2421</v>
      </c>
      <c r="C13" s="8" t="n">
        <v>2458</v>
      </c>
      <c r="D13" s="8" t="n">
        <v>2698</v>
      </c>
      <c r="E13" s="8" t="n">
        <v>2862</v>
      </c>
      <c r="F13" s="8" t="n">
        <v>2897</v>
      </c>
      <c r="G13" s="8" t="n">
        <v>3104</v>
      </c>
      <c r="H13" s="8" t="n">
        <v>3189</v>
      </c>
      <c r="I13" s="8" t="n">
        <v>3197</v>
      </c>
      <c r="J13" s="8" t="n">
        <v>3295</v>
      </c>
      <c r="K13" s="8" t="n">
        <v>3518</v>
      </c>
      <c r="L13" s="8" t="n">
        <v>3543</v>
      </c>
      <c r="M13" s="8" t="n">
        <v>3545</v>
      </c>
      <c r="N13" s="8" t="n">
        <v>3700</v>
      </c>
      <c r="O13" s="8" t="n">
        <v>3721</v>
      </c>
      <c r="P13" s="8" t="n">
        <v>3843</v>
      </c>
      <c r="Q13" s="8" t="n">
        <v>4139</v>
      </c>
      <c r="R13" s="8" t="n">
        <v>4149</v>
      </c>
      <c r="S13" s="8" t="n">
        <v>4288</v>
      </c>
      <c r="T13" s="8" t="n">
        <v>4464</v>
      </c>
      <c r="U13" s="8" t="n">
        <v>4582</v>
      </c>
      <c r="V13" s="8" t="n">
        <v>4588</v>
      </c>
      <c r="W13" s="8" t="n">
        <v>5735</v>
      </c>
    </row>
    <row r="14" customFormat="false" ht="15" hidden="false" customHeight="true" outlineLevel="0" collapsed="false">
      <c r="A14" s="7" t="s">
        <v>35</v>
      </c>
      <c r="B14" s="8" t="n">
        <v>2145</v>
      </c>
      <c r="C14" s="8" t="n">
        <v>2178</v>
      </c>
      <c r="D14" s="8" t="n">
        <v>2391</v>
      </c>
      <c r="E14" s="8" t="n">
        <v>2536</v>
      </c>
      <c r="F14" s="8" t="n">
        <v>2567</v>
      </c>
      <c r="G14" s="8" t="n">
        <v>2751</v>
      </c>
      <c r="H14" s="8" t="n">
        <v>2826</v>
      </c>
      <c r="I14" s="8" t="n">
        <v>2833</v>
      </c>
      <c r="J14" s="8" t="n">
        <v>2920</v>
      </c>
      <c r="K14" s="8" t="n">
        <v>3118</v>
      </c>
      <c r="L14" s="8" t="n">
        <v>3140</v>
      </c>
      <c r="M14" s="8" t="n">
        <v>3141</v>
      </c>
      <c r="N14" s="8" t="n">
        <v>3279</v>
      </c>
      <c r="O14" s="8" t="n">
        <v>3297</v>
      </c>
      <c r="P14" s="8" t="n">
        <v>3406</v>
      </c>
      <c r="Q14" s="8" t="n">
        <v>3668</v>
      </c>
      <c r="R14" s="8" t="n">
        <v>3677</v>
      </c>
      <c r="S14" s="8" t="n">
        <v>3800</v>
      </c>
      <c r="T14" s="8" t="n">
        <v>3956</v>
      </c>
      <c r="U14" s="8" t="n">
        <v>4060</v>
      </c>
      <c r="V14" s="8" t="n">
        <v>4066</v>
      </c>
      <c r="W14" s="8" t="n">
        <v>5082</v>
      </c>
    </row>
    <row r="15" customFormat="false" ht="15" hidden="false" customHeight="true" outlineLevel="0" collapsed="false">
      <c r="A15" s="7" t="s">
        <v>36</v>
      </c>
      <c r="B15" s="8" t="n">
        <v>2861</v>
      </c>
      <c r="C15" s="8" t="n">
        <v>2905</v>
      </c>
      <c r="D15" s="8" t="n">
        <v>3188</v>
      </c>
      <c r="E15" s="8" t="n">
        <v>3381</v>
      </c>
      <c r="F15" s="8" t="n">
        <v>3423</v>
      </c>
      <c r="G15" s="8" t="n">
        <v>3668</v>
      </c>
      <c r="H15" s="8" t="n">
        <v>3768</v>
      </c>
      <c r="I15" s="8" t="n">
        <v>3778</v>
      </c>
      <c r="J15" s="8" t="n">
        <v>3893</v>
      </c>
      <c r="K15" s="8" t="n">
        <v>4157</v>
      </c>
      <c r="L15" s="8" t="n">
        <v>4186</v>
      </c>
      <c r="M15" s="8" t="n">
        <v>4188</v>
      </c>
      <c r="N15" s="8" t="n">
        <v>4372</v>
      </c>
      <c r="O15" s="8" t="n">
        <v>4396</v>
      </c>
      <c r="P15" s="8" t="n">
        <v>4541</v>
      </c>
      <c r="Q15" s="8" t="n">
        <v>4890</v>
      </c>
      <c r="R15" s="8" t="n">
        <v>4902</v>
      </c>
      <c r="S15" s="8" t="n">
        <v>5066</v>
      </c>
      <c r="T15" s="8" t="n">
        <v>5274</v>
      </c>
      <c r="U15" s="8" t="n">
        <v>5414</v>
      </c>
      <c r="V15" s="8" t="n">
        <v>5421</v>
      </c>
      <c r="W15" s="8" t="n">
        <v>6776</v>
      </c>
    </row>
    <row r="16" customFormat="false" ht="15" hidden="false" customHeight="true" outlineLevel="0" collapsed="false">
      <c r="A16" s="7" t="s">
        <v>37</v>
      </c>
      <c r="B16" s="8" t="n">
        <v>1719</v>
      </c>
      <c r="C16" s="8" t="n">
        <v>1746</v>
      </c>
      <c r="D16" s="8" t="n">
        <v>1916</v>
      </c>
      <c r="E16" s="8" t="n">
        <v>2032</v>
      </c>
      <c r="F16" s="8" t="n">
        <v>2057</v>
      </c>
      <c r="G16" s="8" t="n">
        <v>2204</v>
      </c>
      <c r="H16" s="8" t="n">
        <v>2265</v>
      </c>
      <c r="I16" s="8" t="n">
        <v>2270</v>
      </c>
      <c r="J16" s="8" t="n">
        <v>2340</v>
      </c>
      <c r="K16" s="8" t="n">
        <v>2498</v>
      </c>
      <c r="L16" s="8" t="n">
        <v>2516</v>
      </c>
      <c r="M16" s="8" t="n">
        <v>2517</v>
      </c>
      <c r="N16" s="8" t="n">
        <v>2628</v>
      </c>
      <c r="O16" s="8" t="n">
        <v>2642</v>
      </c>
      <c r="P16" s="8" t="n">
        <v>2729</v>
      </c>
      <c r="Q16" s="8" t="n">
        <v>2939</v>
      </c>
      <c r="R16" s="8" t="n">
        <v>2947</v>
      </c>
      <c r="S16" s="8" t="n">
        <v>3045</v>
      </c>
      <c r="T16" s="8" t="n">
        <v>3170</v>
      </c>
      <c r="U16" s="8" t="n">
        <v>3254</v>
      </c>
      <c r="V16" s="8" t="n">
        <v>3258</v>
      </c>
      <c r="W16" s="8" t="n">
        <v>4072</v>
      </c>
    </row>
    <row r="17" customFormat="false" ht="15" hidden="false" customHeight="true" outlineLevel="0" collapsed="false">
      <c r="A17" s="7" t="s">
        <v>38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</row>
    <row r="18" customFormat="false" ht="15" hidden="false" customHeight="true" outlineLevel="0" collapsed="false">
      <c r="A18" s="7" t="s">
        <v>39</v>
      </c>
      <c r="B18" s="8" t="n">
        <v>2303</v>
      </c>
      <c r="C18" s="8" t="n">
        <v>2339</v>
      </c>
      <c r="D18" s="8" t="n">
        <v>2567</v>
      </c>
      <c r="E18" s="8" t="n">
        <v>2723</v>
      </c>
      <c r="F18" s="8" t="n">
        <v>2756</v>
      </c>
      <c r="G18" s="8" t="n">
        <v>2953</v>
      </c>
      <c r="H18" s="8" t="n">
        <v>3034</v>
      </c>
      <c r="I18" s="8" t="n">
        <v>3042</v>
      </c>
      <c r="J18" s="8" t="n">
        <v>3135</v>
      </c>
      <c r="K18" s="8" t="n">
        <v>3347</v>
      </c>
      <c r="L18" s="8" t="n">
        <v>3371</v>
      </c>
      <c r="M18" s="8" t="n">
        <v>3373</v>
      </c>
      <c r="N18" s="8" t="n">
        <v>3520</v>
      </c>
      <c r="O18" s="8" t="n">
        <v>3540</v>
      </c>
      <c r="P18" s="8" t="n">
        <v>3656</v>
      </c>
      <c r="Q18" s="8" t="n">
        <v>3938</v>
      </c>
      <c r="R18" s="8" t="n">
        <v>3948</v>
      </c>
      <c r="S18" s="8" t="n">
        <v>4080</v>
      </c>
      <c r="T18" s="8" t="n">
        <v>4247</v>
      </c>
      <c r="U18" s="8" t="n">
        <v>4359</v>
      </c>
      <c r="V18" s="8" t="n">
        <v>4365</v>
      </c>
      <c r="W18" s="8" t="n">
        <v>5456</v>
      </c>
    </row>
    <row r="19" customFormat="false" ht="15" hidden="false" customHeight="true" outlineLevel="0" collapsed="false">
      <c r="A19" s="7" t="s">
        <v>40</v>
      </c>
      <c r="B19" s="8" t="n">
        <v>440</v>
      </c>
      <c r="C19" s="8" t="n">
        <v>447</v>
      </c>
      <c r="D19" s="8" t="n">
        <v>491</v>
      </c>
      <c r="E19" s="8" t="n">
        <v>521</v>
      </c>
      <c r="F19" s="8" t="n">
        <v>527</v>
      </c>
      <c r="G19" s="8" t="n">
        <v>565</v>
      </c>
      <c r="H19" s="8" t="n">
        <v>580</v>
      </c>
      <c r="I19" s="8" t="n">
        <v>582</v>
      </c>
      <c r="J19" s="8" t="n">
        <v>600</v>
      </c>
      <c r="K19" s="8" t="n">
        <v>640</v>
      </c>
      <c r="L19" s="8" t="n">
        <v>645</v>
      </c>
      <c r="M19" s="8" t="n">
        <v>645</v>
      </c>
      <c r="N19" s="8" t="n">
        <v>673</v>
      </c>
      <c r="O19" s="8" t="n">
        <v>677</v>
      </c>
      <c r="P19" s="8" t="n">
        <v>699</v>
      </c>
      <c r="Q19" s="8" t="n">
        <v>753</v>
      </c>
      <c r="R19" s="8" t="n">
        <v>755</v>
      </c>
      <c r="S19" s="8" t="n">
        <v>780</v>
      </c>
      <c r="T19" s="8" t="n">
        <v>812</v>
      </c>
      <c r="U19" s="8" t="n">
        <v>834</v>
      </c>
      <c r="V19" s="8" t="n">
        <v>835</v>
      </c>
      <c r="W19" s="8" t="n">
        <v>1044</v>
      </c>
    </row>
    <row r="20" customFormat="false" ht="15" hidden="false" customHeight="true" outlineLevel="0" collapsed="false">
      <c r="A20" s="7" t="s">
        <v>41</v>
      </c>
      <c r="B20" s="8" t="n">
        <v>945</v>
      </c>
      <c r="C20" s="8" t="n">
        <v>960</v>
      </c>
      <c r="D20" s="8" t="n">
        <v>1054</v>
      </c>
      <c r="E20" s="8" t="n">
        <v>1118</v>
      </c>
      <c r="F20" s="8" t="n">
        <v>1131</v>
      </c>
      <c r="G20" s="8" t="n">
        <v>1212</v>
      </c>
      <c r="H20" s="8" t="n">
        <v>1245</v>
      </c>
      <c r="I20" s="8" t="n">
        <v>1249</v>
      </c>
      <c r="J20" s="8" t="n">
        <v>1287</v>
      </c>
      <c r="K20" s="8" t="n">
        <v>1374</v>
      </c>
      <c r="L20" s="8" t="n">
        <v>1384</v>
      </c>
      <c r="M20" s="8" t="n">
        <v>1384</v>
      </c>
      <c r="N20" s="8" t="n">
        <v>1445</v>
      </c>
      <c r="O20" s="8" t="n">
        <v>1453</v>
      </c>
      <c r="P20" s="8" t="n">
        <v>1501</v>
      </c>
      <c r="Q20" s="8" t="n">
        <v>1616</v>
      </c>
      <c r="R20" s="8" t="n">
        <v>1620</v>
      </c>
      <c r="S20" s="8" t="n">
        <v>1675</v>
      </c>
      <c r="T20" s="8" t="n">
        <v>1743</v>
      </c>
      <c r="U20" s="8" t="n">
        <v>1789</v>
      </c>
      <c r="V20" s="8" t="n">
        <v>1792</v>
      </c>
      <c r="W20" s="8" t="n">
        <v>2240</v>
      </c>
    </row>
    <row r="21" customFormat="false" ht="15" hidden="false" customHeight="true" outlineLevel="0" collapsed="false">
      <c r="A21" s="7" t="s">
        <v>42</v>
      </c>
      <c r="B21" s="8" t="n">
        <v>98</v>
      </c>
      <c r="C21" s="8" t="n">
        <v>99</v>
      </c>
      <c r="D21" s="8" t="n">
        <v>109</v>
      </c>
      <c r="E21" s="8" t="n">
        <v>116</v>
      </c>
      <c r="F21" s="8" t="n">
        <v>117</v>
      </c>
      <c r="G21" s="8" t="n">
        <v>126</v>
      </c>
      <c r="H21" s="8" t="n">
        <v>129</v>
      </c>
      <c r="I21" s="8" t="n">
        <v>130</v>
      </c>
      <c r="J21" s="8" t="n">
        <v>134</v>
      </c>
      <c r="K21" s="8" t="n">
        <v>143</v>
      </c>
      <c r="L21" s="8" t="n">
        <v>144</v>
      </c>
      <c r="M21" s="8" t="n">
        <v>144</v>
      </c>
      <c r="N21" s="8" t="n">
        <v>150</v>
      </c>
      <c r="O21" s="8" t="n">
        <v>151</v>
      </c>
      <c r="P21" s="8" t="n">
        <v>156</v>
      </c>
      <c r="Q21" s="8" t="n">
        <v>168</v>
      </c>
      <c r="R21" s="8" t="n">
        <v>168</v>
      </c>
      <c r="S21" s="8" t="n">
        <v>174</v>
      </c>
      <c r="T21" s="8" t="n">
        <v>181</v>
      </c>
      <c r="U21" s="8" t="n">
        <v>186</v>
      </c>
      <c r="V21" s="8" t="n">
        <v>186</v>
      </c>
      <c r="W21" s="8" t="n">
        <v>233</v>
      </c>
    </row>
    <row r="22" customFormat="false" ht="15" hidden="false" customHeight="true" outlineLevel="0" collapsed="false">
      <c r="A22" s="7" t="s">
        <v>43</v>
      </c>
      <c r="B22" s="8" t="n">
        <v>1100</v>
      </c>
      <c r="C22" s="8" t="n">
        <v>1600</v>
      </c>
      <c r="D22" s="8" t="n">
        <v>0</v>
      </c>
      <c r="E22" s="8" t="n">
        <v>1100</v>
      </c>
      <c r="F22" s="8" t="n">
        <v>1600</v>
      </c>
      <c r="G22" s="8" t="n">
        <v>1100</v>
      </c>
      <c r="H22" s="8" t="n">
        <v>1600</v>
      </c>
      <c r="I22" s="8" t="n">
        <v>1600</v>
      </c>
      <c r="J22" s="8" t="n">
        <v>0</v>
      </c>
      <c r="K22" s="8" t="n">
        <v>1100</v>
      </c>
      <c r="L22" s="8" t="n">
        <v>1600</v>
      </c>
      <c r="M22" s="8" t="n">
        <v>1600</v>
      </c>
      <c r="N22" s="8" t="n">
        <v>1600</v>
      </c>
      <c r="O22" s="8" t="n">
        <v>1100</v>
      </c>
      <c r="P22" s="8" t="n">
        <v>1100</v>
      </c>
      <c r="Q22" s="8" t="n">
        <v>1600</v>
      </c>
      <c r="R22" s="8" t="n">
        <v>1600</v>
      </c>
      <c r="S22" s="8" t="n">
        <v>1600</v>
      </c>
      <c r="T22" s="8" t="n">
        <v>1600</v>
      </c>
      <c r="U22" s="8" t="n">
        <v>1600</v>
      </c>
      <c r="V22" s="8" t="n">
        <v>1600</v>
      </c>
      <c r="W22" s="8" t="n">
        <v>1600</v>
      </c>
    </row>
    <row r="23" customFormat="false" ht="15" hidden="false" customHeight="true" outlineLevel="0" collapsed="false">
      <c r="A23" s="7" t="s">
        <v>44</v>
      </c>
      <c r="B23" s="8" t="n">
        <v>8535</v>
      </c>
      <c r="C23" s="8" t="n">
        <v>8611</v>
      </c>
      <c r="D23" s="8" t="n">
        <v>10476</v>
      </c>
      <c r="E23" s="8" t="n">
        <v>12352</v>
      </c>
      <c r="F23" s="8" t="n">
        <v>12460</v>
      </c>
      <c r="G23" s="8" t="n">
        <v>11510</v>
      </c>
      <c r="H23" s="8" t="n">
        <v>11726</v>
      </c>
      <c r="I23" s="8" t="n">
        <v>10118</v>
      </c>
      <c r="J23" s="8" t="n">
        <v>11995</v>
      </c>
      <c r="K23" s="8" t="n">
        <v>12565</v>
      </c>
      <c r="L23" s="8" t="n">
        <v>12628</v>
      </c>
      <c r="M23" s="8" t="n">
        <v>12634</v>
      </c>
      <c r="N23" s="8" t="n">
        <v>13029</v>
      </c>
      <c r="O23" s="8" t="n">
        <v>16876</v>
      </c>
      <c r="P23" s="8" t="n">
        <v>13393</v>
      </c>
      <c r="Q23" s="8" t="n">
        <v>14148</v>
      </c>
      <c r="R23" s="8" t="n">
        <v>14174</v>
      </c>
      <c r="S23" s="8" t="n">
        <v>18899</v>
      </c>
      <c r="T23" s="8" t="n">
        <v>19527</v>
      </c>
      <c r="U23" s="8" t="n">
        <v>17612</v>
      </c>
      <c r="V23" s="8" t="n">
        <v>17631</v>
      </c>
      <c r="W23" s="8" t="n">
        <v>21137</v>
      </c>
    </row>
    <row r="24" customFormat="false" ht="15" hidden="false" customHeight="true" outlineLevel="0" collapsed="false">
      <c r="A24" s="7" t="s">
        <v>45</v>
      </c>
      <c r="B24" s="8" t="n">
        <v>7422</v>
      </c>
      <c r="C24" s="8" t="n">
        <v>7536</v>
      </c>
      <c r="D24" s="8" t="n">
        <v>8272</v>
      </c>
      <c r="E24" s="8" t="n">
        <v>8774</v>
      </c>
      <c r="F24" s="8" t="n">
        <v>8881</v>
      </c>
      <c r="G24" s="8" t="n">
        <v>9516</v>
      </c>
      <c r="H24" s="8" t="n">
        <v>9776</v>
      </c>
      <c r="I24" s="8" t="n">
        <v>9801</v>
      </c>
      <c r="J24" s="8" t="n">
        <v>10100</v>
      </c>
      <c r="K24" s="8" t="n">
        <v>10785</v>
      </c>
      <c r="L24" s="8" t="n">
        <v>10861</v>
      </c>
      <c r="M24" s="8" t="n">
        <v>10867</v>
      </c>
      <c r="N24" s="8" t="n">
        <v>11343</v>
      </c>
      <c r="O24" s="8" t="n">
        <v>11406</v>
      </c>
      <c r="P24" s="8" t="n">
        <v>11781</v>
      </c>
      <c r="Q24" s="8" t="n">
        <v>12688</v>
      </c>
      <c r="R24" s="8" t="n">
        <v>12720</v>
      </c>
      <c r="S24" s="8" t="n">
        <v>13145</v>
      </c>
      <c r="T24" s="8" t="n">
        <v>13684</v>
      </c>
      <c r="U24" s="8" t="n">
        <v>14046</v>
      </c>
      <c r="V24" s="8" t="n">
        <v>14065</v>
      </c>
      <c r="W24" s="8" t="n">
        <v>17579</v>
      </c>
    </row>
    <row r="25" customFormat="false" ht="15" hidden="false" customHeight="true" outlineLevel="0" collapsed="false">
      <c r="A25" s="7" t="s">
        <v>46</v>
      </c>
      <c r="B25" s="8" t="n">
        <v>6666</v>
      </c>
      <c r="C25" s="8" t="n">
        <v>6769</v>
      </c>
      <c r="D25" s="8" t="n">
        <v>7430</v>
      </c>
      <c r="E25" s="8" t="n">
        <v>7880</v>
      </c>
      <c r="F25" s="8" t="n">
        <v>7977</v>
      </c>
      <c r="G25" s="8" t="n">
        <v>8546</v>
      </c>
      <c r="H25" s="8" t="n">
        <v>8780</v>
      </c>
      <c r="I25" s="8" t="n">
        <v>8803</v>
      </c>
      <c r="J25" s="8" t="n">
        <v>9071</v>
      </c>
      <c r="K25" s="8" t="n">
        <v>9686</v>
      </c>
      <c r="L25" s="8" t="n">
        <v>9754</v>
      </c>
      <c r="M25" s="8" t="n">
        <v>9760</v>
      </c>
      <c r="N25" s="8" t="n">
        <v>10187</v>
      </c>
      <c r="O25" s="8" t="n">
        <v>10244</v>
      </c>
      <c r="P25" s="8" t="n">
        <v>10580</v>
      </c>
      <c r="Q25" s="8" t="n">
        <v>11395</v>
      </c>
      <c r="R25" s="8" t="n">
        <v>11424</v>
      </c>
      <c r="S25" s="8" t="n">
        <v>11805</v>
      </c>
      <c r="T25" s="8" t="n">
        <v>12290</v>
      </c>
      <c r="U25" s="8" t="n">
        <v>12615</v>
      </c>
      <c r="V25" s="8" t="n">
        <v>12632</v>
      </c>
      <c r="W25" s="8" t="n">
        <v>15788</v>
      </c>
    </row>
    <row r="26" customFormat="false" ht="15" hidden="false" customHeight="true" outlineLevel="0" collapsed="false">
      <c r="A26" s="7" t="s">
        <v>47</v>
      </c>
      <c r="B26" s="8" t="n">
        <v>300</v>
      </c>
      <c r="C26" s="8" t="n">
        <v>300</v>
      </c>
      <c r="D26" s="8" t="n">
        <v>300</v>
      </c>
      <c r="E26" s="8" t="n">
        <v>300</v>
      </c>
      <c r="F26" s="8" t="n">
        <v>300</v>
      </c>
      <c r="G26" s="8" t="n">
        <v>300</v>
      </c>
      <c r="H26" s="8" t="n">
        <v>300</v>
      </c>
      <c r="I26" s="8" t="n">
        <v>300</v>
      </c>
      <c r="J26" s="8" t="n">
        <v>300</v>
      </c>
      <c r="K26" s="8" t="n">
        <v>300</v>
      </c>
      <c r="L26" s="8" t="n">
        <v>300</v>
      </c>
      <c r="M26" s="8" t="n">
        <v>300</v>
      </c>
      <c r="N26" s="8" t="n">
        <v>300</v>
      </c>
      <c r="O26" s="8" t="n">
        <v>300</v>
      </c>
      <c r="P26" s="8" t="n">
        <v>300</v>
      </c>
      <c r="Q26" s="8" t="n">
        <v>300</v>
      </c>
      <c r="R26" s="8" t="n">
        <v>300</v>
      </c>
      <c r="S26" s="8" t="n">
        <v>300</v>
      </c>
      <c r="T26" s="8" t="n">
        <v>300</v>
      </c>
      <c r="U26" s="8" t="n">
        <v>300</v>
      </c>
      <c r="V26" s="8" t="n">
        <v>300</v>
      </c>
      <c r="W26" s="8" t="n">
        <v>300</v>
      </c>
    </row>
    <row r="27" customFormat="false" ht="15" hidden="false" customHeight="true" outlineLevel="0" collapsed="false">
      <c r="A27" s="7" t="s">
        <v>48</v>
      </c>
      <c r="B27" s="8" t="n">
        <v>2123</v>
      </c>
      <c r="C27" s="8" t="n">
        <v>2156</v>
      </c>
      <c r="D27" s="8" t="n">
        <v>2367</v>
      </c>
      <c r="E27" s="8" t="n">
        <v>2510</v>
      </c>
      <c r="F27" s="8" t="n">
        <v>2541</v>
      </c>
      <c r="G27" s="8" t="n">
        <v>2722</v>
      </c>
      <c r="H27" s="8" t="n">
        <v>2797</v>
      </c>
      <c r="I27" s="8" t="n">
        <v>2804</v>
      </c>
      <c r="J27" s="8" t="n">
        <v>2890</v>
      </c>
      <c r="K27" s="8" t="n">
        <v>3086</v>
      </c>
      <c r="L27" s="8" t="n">
        <v>3107</v>
      </c>
      <c r="M27" s="8" t="n">
        <v>3109</v>
      </c>
      <c r="N27" s="8" t="n">
        <v>3245</v>
      </c>
      <c r="O27" s="8" t="n">
        <v>3263</v>
      </c>
      <c r="P27" s="8" t="n">
        <v>3371</v>
      </c>
      <c r="Q27" s="8" t="n">
        <v>3630</v>
      </c>
      <c r="R27" s="8" t="n">
        <v>3639</v>
      </c>
      <c r="S27" s="8" t="n">
        <v>3761</v>
      </c>
      <c r="T27" s="8" t="n">
        <v>3915</v>
      </c>
      <c r="U27" s="8" t="n">
        <v>4019</v>
      </c>
      <c r="V27" s="8" t="n">
        <v>4024</v>
      </c>
      <c r="W27" s="8" t="n">
        <v>5030</v>
      </c>
    </row>
    <row r="28" customFormat="false" ht="15" hidden="false" customHeight="true" outlineLevel="0" collapsed="false">
      <c r="A28" s="7" t="s">
        <v>49</v>
      </c>
      <c r="B28" s="8" t="n">
        <v>2737</v>
      </c>
      <c r="C28" s="8" t="n">
        <v>2779</v>
      </c>
      <c r="D28" s="8" t="n">
        <v>3051</v>
      </c>
      <c r="E28" s="8" t="n">
        <v>3235</v>
      </c>
      <c r="F28" s="8" t="n">
        <v>3275</v>
      </c>
      <c r="G28" s="8" t="n">
        <v>3509</v>
      </c>
      <c r="H28" s="8" t="n">
        <v>3605</v>
      </c>
      <c r="I28" s="8" t="n">
        <v>3615</v>
      </c>
      <c r="J28" s="8" t="n">
        <v>3725</v>
      </c>
      <c r="K28" s="8" t="n">
        <v>3977</v>
      </c>
      <c r="L28" s="8" t="n">
        <v>4005</v>
      </c>
      <c r="M28" s="8" t="n">
        <v>4008</v>
      </c>
      <c r="N28" s="8" t="n">
        <v>4183</v>
      </c>
      <c r="O28" s="8" t="n">
        <v>4207</v>
      </c>
      <c r="P28" s="8" t="n">
        <v>4345</v>
      </c>
      <c r="Q28" s="8" t="n">
        <v>4679</v>
      </c>
      <c r="R28" s="8" t="n">
        <v>4691</v>
      </c>
      <c r="S28" s="8" t="n">
        <v>4848</v>
      </c>
      <c r="T28" s="8" t="n">
        <v>5047</v>
      </c>
      <c r="U28" s="8" t="n">
        <v>5180</v>
      </c>
      <c r="V28" s="8" t="n">
        <v>5187</v>
      </c>
      <c r="W28" s="8" t="n">
        <v>6483</v>
      </c>
    </row>
    <row r="29" customFormat="false" ht="15" hidden="false" customHeight="true" outlineLevel="0" collapsed="false">
      <c r="A29" s="7" t="s">
        <v>50</v>
      </c>
      <c r="B29" s="8" t="n">
        <v>3083</v>
      </c>
      <c r="C29" s="8" t="n">
        <v>3130</v>
      </c>
      <c r="D29" s="8" t="n">
        <v>3436</v>
      </c>
      <c r="E29" s="8" t="n">
        <v>3644</v>
      </c>
      <c r="F29" s="8" t="n">
        <v>3689</v>
      </c>
      <c r="G29" s="8" t="n">
        <v>3952</v>
      </c>
      <c r="H29" s="8" t="n">
        <v>4060</v>
      </c>
      <c r="I29" s="8" t="n">
        <v>4071</v>
      </c>
      <c r="J29" s="8" t="n">
        <v>4195</v>
      </c>
      <c r="K29" s="8" t="n">
        <v>4479</v>
      </c>
      <c r="L29" s="8" t="n">
        <v>4511</v>
      </c>
      <c r="M29" s="8" t="n">
        <v>4513</v>
      </c>
      <c r="N29" s="8" t="n">
        <v>4711</v>
      </c>
      <c r="O29" s="8" t="n">
        <v>4737</v>
      </c>
      <c r="P29" s="8" t="n">
        <v>4893</v>
      </c>
      <c r="Q29" s="8" t="n">
        <v>5270</v>
      </c>
      <c r="R29" s="8" t="n">
        <v>5283</v>
      </c>
      <c r="S29" s="8" t="n">
        <v>5459</v>
      </c>
      <c r="T29" s="8" t="n">
        <v>5683</v>
      </c>
      <c r="U29" s="8" t="n">
        <v>5834</v>
      </c>
      <c r="V29" s="8" t="n">
        <v>5841</v>
      </c>
      <c r="W29" s="8" t="n">
        <v>7301</v>
      </c>
    </row>
    <row r="30" customFormat="false" ht="15" hidden="false" customHeight="true" outlineLevel="0" collapsed="false">
      <c r="A30" s="7" t="s">
        <v>51</v>
      </c>
      <c r="B30" s="8" t="n">
        <v>36</v>
      </c>
      <c r="C30" s="8" t="n">
        <v>37</v>
      </c>
      <c r="D30" s="8" t="n">
        <v>40</v>
      </c>
      <c r="E30" s="8" t="n">
        <v>43</v>
      </c>
      <c r="F30" s="8" t="n">
        <v>43</v>
      </c>
      <c r="G30" s="8" t="n">
        <v>47</v>
      </c>
      <c r="H30" s="8" t="n">
        <v>48</v>
      </c>
      <c r="I30" s="8" t="n">
        <v>48</v>
      </c>
      <c r="J30" s="8" t="n">
        <v>50</v>
      </c>
      <c r="K30" s="8" t="n">
        <v>53</v>
      </c>
      <c r="L30" s="8" t="n">
        <v>53</v>
      </c>
      <c r="M30" s="8" t="n">
        <v>53</v>
      </c>
      <c r="N30" s="8" t="n">
        <v>56</v>
      </c>
      <c r="O30" s="8" t="n">
        <v>56</v>
      </c>
      <c r="P30" s="8" t="n">
        <v>58</v>
      </c>
      <c r="Q30" s="8" t="n">
        <v>62</v>
      </c>
      <c r="R30" s="8" t="n">
        <v>62</v>
      </c>
      <c r="S30" s="8" t="n">
        <v>65</v>
      </c>
      <c r="T30" s="8" t="n">
        <v>67</v>
      </c>
      <c r="U30" s="8" t="n">
        <v>69</v>
      </c>
      <c r="V30" s="8" t="n">
        <v>69</v>
      </c>
      <c r="W30" s="8" t="n">
        <v>87</v>
      </c>
    </row>
    <row r="31" customFormat="false" ht="15" hidden="false" customHeight="true" outlineLevel="0" collapsed="false">
      <c r="A31" s="7" t="s">
        <v>52</v>
      </c>
      <c r="B31" s="8" t="n">
        <v>2152</v>
      </c>
      <c r="C31" s="8" t="n">
        <v>2185</v>
      </c>
      <c r="D31" s="8" t="n">
        <v>2399</v>
      </c>
      <c r="E31" s="8" t="n">
        <v>2544</v>
      </c>
      <c r="F31" s="8" t="n">
        <v>2575</v>
      </c>
      <c r="G31" s="8" t="n">
        <v>2759</v>
      </c>
      <c r="H31" s="8" t="n">
        <v>2835</v>
      </c>
      <c r="I31" s="8" t="n">
        <v>2842</v>
      </c>
      <c r="J31" s="8" t="n">
        <v>2929</v>
      </c>
      <c r="K31" s="8" t="n">
        <v>3127</v>
      </c>
      <c r="L31" s="8" t="n">
        <v>3149</v>
      </c>
      <c r="M31" s="8" t="n">
        <v>3151</v>
      </c>
      <c r="N31" s="8" t="n">
        <v>3289</v>
      </c>
      <c r="O31" s="8" t="n">
        <v>3308</v>
      </c>
      <c r="P31" s="8" t="n">
        <v>3416</v>
      </c>
      <c r="Q31" s="8" t="n">
        <v>3679</v>
      </c>
      <c r="R31" s="8" t="n">
        <v>3688</v>
      </c>
      <c r="S31" s="8" t="n">
        <v>3812</v>
      </c>
      <c r="T31" s="8" t="n">
        <v>3968</v>
      </c>
      <c r="U31" s="8" t="n">
        <v>4073</v>
      </c>
      <c r="V31" s="8" t="n">
        <v>4078</v>
      </c>
      <c r="W31" s="8" t="n">
        <v>5098</v>
      </c>
    </row>
    <row r="32" customFormat="false" ht="15" hidden="false" customHeight="true" outlineLevel="0" collapsed="false">
      <c r="A32" s="7" t="s">
        <v>53</v>
      </c>
      <c r="B32" s="8" t="n">
        <v>2717</v>
      </c>
      <c r="C32" s="8" t="n">
        <v>2759</v>
      </c>
      <c r="D32" s="8" t="n">
        <v>3029</v>
      </c>
      <c r="E32" s="8" t="n">
        <v>3212</v>
      </c>
      <c r="F32" s="8" t="n">
        <v>3252</v>
      </c>
      <c r="G32" s="8" t="n">
        <v>3484</v>
      </c>
      <c r="H32" s="8" t="n">
        <v>3579</v>
      </c>
      <c r="I32" s="8" t="n">
        <v>3588</v>
      </c>
      <c r="J32" s="8" t="n">
        <v>3698</v>
      </c>
      <c r="K32" s="8" t="n">
        <v>3948</v>
      </c>
      <c r="L32" s="8" t="n">
        <v>3976</v>
      </c>
      <c r="M32" s="8" t="n">
        <v>3979</v>
      </c>
      <c r="N32" s="8" t="n">
        <v>4153</v>
      </c>
      <c r="O32" s="8" t="n">
        <v>4176</v>
      </c>
      <c r="P32" s="8" t="n">
        <v>4313</v>
      </c>
      <c r="Q32" s="8" t="n">
        <v>4645</v>
      </c>
      <c r="R32" s="8" t="n">
        <v>4657</v>
      </c>
      <c r="S32" s="8" t="n">
        <v>4812</v>
      </c>
      <c r="T32" s="8" t="n">
        <v>5010</v>
      </c>
      <c r="U32" s="8" t="n">
        <v>5142</v>
      </c>
      <c r="V32" s="8" t="n">
        <v>5149</v>
      </c>
      <c r="W32" s="8" t="n">
        <v>6436</v>
      </c>
    </row>
    <row r="33" customFormat="false" ht="15" hidden="false" customHeight="true" outlineLevel="0" collapsed="false">
      <c r="A33" s="7" t="s">
        <v>54</v>
      </c>
      <c r="B33" s="8" t="n">
        <v>465</v>
      </c>
      <c r="C33" s="8" t="n">
        <v>472</v>
      </c>
      <c r="D33" s="8" t="n">
        <v>518</v>
      </c>
      <c r="E33" s="8" t="n">
        <v>549</v>
      </c>
      <c r="F33" s="8" t="n">
        <v>556</v>
      </c>
      <c r="G33" s="8" t="n">
        <v>596</v>
      </c>
      <c r="H33" s="8" t="n">
        <v>612</v>
      </c>
      <c r="I33" s="8" t="n">
        <v>614</v>
      </c>
      <c r="J33" s="8" t="n">
        <v>633</v>
      </c>
      <c r="K33" s="8" t="n">
        <v>675</v>
      </c>
      <c r="L33" s="8" t="n">
        <v>680</v>
      </c>
      <c r="M33" s="8" t="n">
        <v>681</v>
      </c>
      <c r="N33" s="8" t="n">
        <v>710</v>
      </c>
      <c r="O33" s="8" t="n">
        <v>714</v>
      </c>
      <c r="P33" s="8" t="n">
        <v>738</v>
      </c>
      <c r="Q33" s="8" t="n">
        <v>795</v>
      </c>
      <c r="R33" s="8" t="n">
        <v>797</v>
      </c>
      <c r="S33" s="8" t="n">
        <v>823</v>
      </c>
      <c r="T33" s="8" t="n">
        <v>857</v>
      </c>
      <c r="U33" s="8" t="n">
        <v>880</v>
      </c>
      <c r="V33" s="8" t="n">
        <v>881</v>
      </c>
      <c r="W33" s="8" t="n">
        <v>1101</v>
      </c>
    </row>
    <row r="34" customFormat="false" ht="15" hidden="false" customHeight="true" outlineLevel="0" collapsed="false">
      <c r="A34" s="7" t="s">
        <v>55</v>
      </c>
      <c r="B34" s="8" t="n">
        <v>394</v>
      </c>
      <c r="C34" s="8" t="n">
        <v>400</v>
      </c>
      <c r="D34" s="8" t="n">
        <v>439</v>
      </c>
      <c r="E34" s="8" t="n">
        <v>466</v>
      </c>
      <c r="F34" s="8" t="n">
        <v>472</v>
      </c>
      <c r="G34" s="8" t="n">
        <v>505</v>
      </c>
      <c r="H34" s="8" t="n">
        <v>519</v>
      </c>
      <c r="I34" s="8" t="n">
        <v>521</v>
      </c>
      <c r="J34" s="8" t="n">
        <v>537</v>
      </c>
      <c r="K34" s="8" t="n">
        <v>573</v>
      </c>
      <c r="L34" s="8" t="n">
        <v>577</v>
      </c>
      <c r="M34" s="8" t="n">
        <v>577</v>
      </c>
      <c r="N34" s="8" t="n">
        <v>603</v>
      </c>
      <c r="O34" s="8" t="n">
        <v>606</v>
      </c>
      <c r="P34" s="8" t="n">
        <v>626</v>
      </c>
      <c r="Q34" s="8" t="n">
        <v>674</v>
      </c>
      <c r="R34" s="8" t="n">
        <v>676</v>
      </c>
      <c r="S34" s="8" t="n">
        <v>698</v>
      </c>
      <c r="T34" s="8" t="n">
        <v>727</v>
      </c>
      <c r="U34" s="8" t="n">
        <v>746</v>
      </c>
      <c r="V34" s="8" t="n">
        <v>747</v>
      </c>
      <c r="W34" s="8" t="n">
        <v>934</v>
      </c>
    </row>
    <row r="35" customFormat="false" ht="15" hidden="false" customHeight="true" outlineLevel="0" collapsed="false">
      <c r="A35" s="7" t="s">
        <v>56</v>
      </c>
      <c r="B35" s="8" t="n">
        <v>507</v>
      </c>
      <c r="C35" s="8" t="n">
        <v>514</v>
      </c>
      <c r="D35" s="8" t="n">
        <v>565</v>
      </c>
      <c r="E35" s="8" t="n">
        <v>599</v>
      </c>
      <c r="F35" s="8" t="n">
        <v>606</v>
      </c>
      <c r="G35" s="8" t="n">
        <v>650</v>
      </c>
      <c r="H35" s="8" t="n">
        <v>667</v>
      </c>
      <c r="I35" s="8" t="n">
        <v>669</v>
      </c>
      <c r="J35" s="8" t="n">
        <v>690</v>
      </c>
      <c r="K35" s="8" t="n">
        <v>736</v>
      </c>
      <c r="L35" s="8" t="n">
        <v>742</v>
      </c>
      <c r="M35" s="8" t="n">
        <v>742</v>
      </c>
      <c r="N35" s="8" t="n">
        <v>774</v>
      </c>
      <c r="O35" s="8" t="n">
        <v>779</v>
      </c>
      <c r="P35" s="8" t="n">
        <v>804</v>
      </c>
      <c r="Q35" s="8" t="n">
        <v>866</v>
      </c>
      <c r="R35" s="8" t="n">
        <v>869</v>
      </c>
      <c r="S35" s="8" t="n">
        <v>898</v>
      </c>
      <c r="T35" s="8" t="n">
        <v>934</v>
      </c>
      <c r="U35" s="8" t="n">
        <v>959</v>
      </c>
      <c r="V35" s="8" t="n">
        <v>960</v>
      </c>
      <c r="W35" s="8" t="n">
        <v>1200</v>
      </c>
    </row>
    <row r="36" customFormat="false" ht="15" hidden="false" customHeight="true" outlineLevel="0" collapsed="false">
      <c r="A36" s="7" t="s">
        <v>57</v>
      </c>
      <c r="B36" s="8" t="n">
        <v>307</v>
      </c>
      <c r="C36" s="8" t="n">
        <v>312</v>
      </c>
      <c r="D36" s="8" t="n">
        <v>343</v>
      </c>
      <c r="E36" s="8" t="n">
        <v>363</v>
      </c>
      <c r="F36" s="8" t="n">
        <v>368</v>
      </c>
      <c r="G36" s="8" t="n">
        <v>394</v>
      </c>
      <c r="H36" s="8" t="n">
        <v>405</v>
      </c>
      <c r="I36" s="8" t="n">
        <v>406</v>
      </c>
      <c r="J36" s="8" t="n">
        <v>419</v>
      </c>
      <c r="K36" s="8" t="n">
        <v>447</v>
      </c>
      <c r="L36" s="8" t="n">
        <v>450</v>
      </c>
      <c r="M36" s="8" t="n">
        <v>450</v>
      </c>
      <c r="N36" s="8" t="n">
        <v>470</v>
      </c>
      <c r="O36" s="8" t="n">
        <v>473</v>
      </c>
      <c r="P36" s="8" t="n">
        <v>488</v>
      </c>
      <c r="Q36" s="8" t="n">
        <v>526</v>
      </c>
      <c r="R36" s="8" t="n">
        <v>527</v>
      </c>
      <c r="S36" s="8" t="n">
        <v>545</v>
      </c>
      <c r="T36" s="8" t="n">
        <v>567</v>
      </c>
      <c r="U36" s="8" t="n">
        <v>582</v>
      </c>
      <c r="V36" s="8" t="n">
        <v>583</v>
      </c>
      <c r="W36" s="8" t="n">
        <v>729</v>
      </c>
    </row>
    <row r="37" customFormat="false" ht="15" hidden="false" customHeight="true" outlineLevel="0" collapsed="false">
      <c r="A37" s="7" t="s">
        <v>58</v>
      </c>
      <c r="B37" s="8" t="n">
        <v>578</v>
      </c>
      <c r="C37" s="8" t="n">
        <v>587</v>
      </c>
      <c r="D37" s="8" t="n">
        <v>644</v>
      </c>
      <c r="E37" s="8" t="n">
        <v>683</v>
      </c>
      <c r="F37" s="8" t="n">
        <v>692</v>
      </c>
      <c r="G37" s="8" t="n">
        <v>741</v>
      </c>
      <c r="H37" s="8" t="n">
        <v>761</v>
      </c>
      <c r="I37" s="8" t="n">
        <v>763</v>
      </c>
      <c r="J37" s="8" t="n">
        <v>787</v>
      </c>
      <c r="K37" s="8" t="n">
        <v>840</v>
      </c>
      <c r="L37" s="8" t="n">
        <v>846</v>
      </c>
      <c r="M37" s="8" t="n">
        <v>846</v>
      </c>
      <c r="N37" s="8" t="n">
        <v>883</v>
      </c>
      <c r="O37" s="8" t="n">
        <v>888</v>
      </c>
      <c r="P37" s="8" t="n">
        <v>918</v>
      </c>
      <c r="Q37" s="8" t="n">
        <v>988</v>
      </c>
      <c r="R37" s="8" t="n">
        <v>991</v>
      </c>
      <c r="S37" s="8" t="n">
        <v>1024</v>
      </c>
      <c r="T37" s="8" t="n">
        <v>1066</v>
      </c>
      <c r="U37" s="8" t="n">
        <v>1094</v>
      </c>
      <c r="V37" s="8" t="n">
        <v>1095</v>
      </c>
      <c r="W37" s="8" t="n">
        <v>1369</v>
      </c>
    </row>
    <row r="38" customFormat="false" ht="15" hidden="false" customHeight="true" outlineLevel="0" collapsed="false">
      <c r="A38" s="7" t="s">
        <v>59</v>
      </c>
      <c r="B38" s="8" t="n">
        <v>3205</v>
      </c>
      <c r="C38" s="8" t="n">
        <v>3255</v>
      </c>
      <c r="D38" s="8" t="n">
        <v>3572</v>
      </c>
      <c r="E38" s="8" t="n">
        <v>3789</v>
      </c>
      <c r="F38" s="8" t="n">
        <v>3835</v>
      </c>
      <c r="G38" s="8" t="n">
        <v>4109</v>
      </c>
      <c r="H38" s="8" t="n">
        <v>4222</v>
      </c>
      <c r="I38" s="8" t="n">
        <v>4233</v>
      </c>
      <c r="J38" s="8" t="n">
        <v>4362</v>
      </c>
      <c r="K38" s="8" t="n">
        <v>4657</v>
      </c>
      <c r="L38" s="8" t="n">
        <v>4690</v>
      </c>
      <c r="M38" s="8" t="n">
        <v>4693</v>
      </c>
      <c r="N38" s="8" t="n">
        <v>4899</v>
      </c>
      <c r="O38" s="8" t="n">
        <v>4926</v>
      </c>
      <c r="P38" s="8" t="n">
        <v>5088</v>
      </c>
      <c r="Q38" s="8" t="n">
        <v>5479</v>
      </c>
      <c r="R38" s="8" t="n">
        <v>5493</v>
      </c>
      <c r="S38" s="8" t="n">
        <v>5677</v>
      </c>
      <c r="T38" s="8" t="n">
        <v>5910</v>
      </c>
      <c r="U38" s="8" t="n">
        <v>6066</v>
      </c>
      <c r="V38" s="8" t="n">
        <v>6074</v>
      </c>
      <c r="W38" s="8" t="n">
        <v>7592</v>
      </c>
    </row>
    <row r="39" customFormat="false" ht="15" hidden="false" customHeight="true" outlineLevel="0" collapsed="false">
      <c r="A39" s="7" t="s">
        <v>60</v>
      </c>
      <c r="B39" s="8" t="n">
        <v>4254</v>
      </c>
      <c r="C39" s="8" t="n">
        <v>4319</v>
      </c>
      <c r="D39" s="8" t="n">
        <v>4741</v>
      </c>
      <c r="E39" s="8" t="n">
        <v>5029</v>
      </c>
      <c r="F39" s="8" t="n">
        <v>5090</v>
      </c>
      <c r="G39" s="8" t="n">
        <v>5454</v>
      </c>
      <c r="H39" s="8" t="n">
        <v>5603</v>
      </c>
      <c r="I39" s="8" t="n">
        <v>5618</v>
      </c>
      <c r="J39" s="8" t="n">
        <v>5789</v>
      </c>
      <c r="K39" s="8" t="n">
        <v>6181</v>
      </c>
      <c r="L39" s="8" t="n">
        <v>6225</v>
      </c>
      <c r="M39" s="8" t="n">
        <v>6228</v>
      </c>
      <c r="N39" s="8" t="n">
        <v>6501</v>
      </c>
      <c r="O39" s="8" t="n">
        <v>6538</v>
      </c>
      <c r="P39" s="8" t="n">
        <v>6752</v>
      </c>
      <c r="Q39" s="8" t="n">
        <v>7272</v>
      </c>
      <c r="R39" s="8" t="n">
        <v>7290</v>
      </c>
      <c r="S39" s="8" t="n">
        <v>7534</v>
      </c>
      <c r="T39" s="8" t="n">
        <v>7843</v>
      </c>
      <c r="U39" s="8" t="n">
        <v>8050</v>
      </c>
      <c r="V39" s="8" t="n">
        <v>8061</v>
      </c>
      <c r="W39" s="8" t="n">
        <v>10076</v>
      </c>
    </row>
    <row r="40" customFormat="false" ht="15" hidden="false" customHeight="true" outlineLevel="0" collapsed="false">
      <c r="A40" s="7" t="s">
        <v>61</v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</row>
    <row r="41" customFormat="false" ht="15" hidden="false" customHeight="true" outlineLevel="0" collapsed="false">
      <c r="A41" s="7" t="s">
        <v>62</v>
      </c>
      <c r="B41" s="8" t="n">
        <v>508</v>
      </c>
      <c r="C41" s="8" t="n">
        <v>516</v>
      </c>
      <c r="D41" s="8" t="n">
        <v>566</v>
      </c>
      <c r="E41" s="8" t="n">
        <v>601</v>
      </c>
      <c r="F41" s="8" t="n">
        <v>608</v>
      </c>
      <c r="G41" s="8" t="n">
        <v>652</v>
      </c>
      <c r="H41" s="8" t="n">
        <v>669</v>
      </c>
      <c r="I41" s="8" t="n">
        <v>671</v>
      </c>
      <c r="J41" s="8" t="n">
        <v>692</v>
      </c>
      <c r="K41" s="8" t="n">
        <v>738</v>
      </c>
      <c r="L41" s="8" t="n">
        <v>744</v>
      </c>
      <c r="M41" s="8" t="n">
        <v>744</v>
      </c>
      <c r="N41" s="8" t="n">
        <v>777</v>
      </c>
      <c r="O41" s="8" t="n">
        <v>781</v>
      </c>
      <c r="P41" s="8" t="n">
        <v>807</v>
      </c>
      <c r="Q41" s="8" t="n">
        <v>869</v>
      </c>
      <c r="R41" s="8" t="n">
        <v>871</v>
      </c>
      <c r="S41" s="8" t="n">
        <v>900</v>
      </c>
      <c r="T41" s="8" t="n">
        <v>937</v>
      </c>
      <c r="U41" s="8" t="n">
        <v>962</v>
      </c>
      <c r="V41" s="8" t="n">
        <v>963</v>
      </c>
      <c r="W41" s="8" t="n">
        <v>1204</v>
      </c>
    </row>
    <row r="42" customFormat="false" ht="15" hidden="false" customHeight="true" outlineLevel="0" collapsed="false">
      <c r="A42" s="7" t="s">
        <v>63</v>
      </c>
      <c r="B42" s="8" t="n">
        <v>1616</v>
      </c>
      <c r="C42" s="8" t="n">
        <v>1616</v>
      </c>
      <c r="D42" s="8" t="n">
        <v>1616</v>
      </c>
      <c r="E42" s="8" t="n">
        <v>1616</v>
      </c>
      <c r="F42" s="8" t="n">
        <v>1616</v>
      </c>
      <c r="G42" s="8" t="n">
        <v>1616</v>
      </c>
      <c r="H42" s="8" t="n">
        <v>1616</v>
      </c>
      <c r="I42" s="8" t="n">
        <v>1616</v>
      </c>
      <c r="J42" s="8" t="n">
        <v>1616</v>
      </c>
      <c r="K42" s="8" t="n">
        <v>1616</v>
      </c>
      <c r="L42" s="8" t="n">
        <v>1616</v>
      </c>
      <c r="M42" s="8" t="n">
        <v>1616</v>
      </c>
      <c r="N42" s="8" t="n">
        <v>1616</v>
      </c>
      <c r="O42" s="8" t="n">
        <v>1616</v>
      </c>
      <c r="P42" s="8" t="n">
        <v>1616</v>
      </c>
      <c r="Q42" s="8" t="n">
        <v>1616</v>
      </c>
      <c r="R42" s="8" t="n">
        <v>1616</v>
      </c>
      <c r="S42" s="8" t="n">
        <v>1616</v>
      </c>
      <c r="T42" s="8" t="n">
        <v>1616</v>
      </c>
      <c r="U42" s="8" t="n">
        <v>1616</v>
      </c>
      <c r="V42" s="8" t="n">
        <v>1616</v>
      </c>
      <c r="W42" s="8" t="n">
        <v>1616</v>
      </c>
    </row>
    <row r="43" customFormat="false" ht="15" hidden="false" customHeight="true" outlineLevel="0" collapsed="false">
      <c r="A43" s="7" t="s">
        <v>64</v>
      </c>
      <c r="B43" s="8" t="n">
        <v>1027</v>
      </c>
      <c r="C43" s="8" t="n">
        <v>1043</v>
      </c>
      <c r="D43" s="8" t="n">
        <v>1145</v>
      </c>
      <c r="E43" s="8" t="n">
        <v>1214</v>
      </c>
      <c r="F43" s="8" t="n">
        <v>1229</v>
      </c>
      <c r="G43" s="8" t="n">
        <v>1317</v>
      </c>
      <c r="H43" s="8" t="n">
        <v>1353</v>
      </c>
      <c r="I43" s="8" t="n">
        <v>1356</v>
      </c>
      <c r="J43" s="8" t="n">
        <v>1398</v>
      </c>
      <c r="K43" s="8" t="n">
        <v>1492</v>
      </c>
      <c r="L43" s="8" t="n">
        <v>1503</v>
      </c>
      <c r="M43" s="8" t="n">
        <v>1504</v>
      </c>
      <c r="N43" s="8" t="n">
        <v>1570</v>
      </c>
      <c r="O43" s="8" t="n">
        <v>1578</v>
      </c>
      <c r="P43" s="8" t="n">
        <v>1630</v>
      </c>
      <c r="Q43" s="8" t="n">
        <v>1756</v>
      </c>
      <c r="R43" s="8" t="n">
        <v>1760</v>
      </c>
      <c r="S43" s="8" t="n">
        <v>1819</v>
      </c>
      <c r="T43" s="8" t="n">
        <v>1894</v>
      </c>
      <c r="U43" s="8" t="n">
        <v>1944</v>
      </c>
      <c r="V43" s="8" t="n">
        <v>1946</v>
      </c>
      <c r="W43" s="8" t="n">
        <v>2433</v>
      </c>
    </row>
    <row r="44" customFormat="false" ht="15" hidden="false" customHeight="true" outlineLevel="0" collapsed="false">
      <c r="A44" s="7" t="s">
        <v>65</v>
      </c>
      <c r="B44" s="8" t="n">
        <v>2378</v>
      </c>
      <c r="C44" s="8" t="n">
        <v>2415</v>
      </c>
      <c r="D44" s="8" t="n">
        <v>2651</v>
      </c>
      <c r="E44" s="8" t="n">
        <v>2812</v>
      </c>
      <c r="F44" s="8" t="n">
        <v>2846</v>
      </c>
      <c r="G44" s="8" t="n">
        <v>3049</v>
      </c>
      <c r="H44" s="8" t="n">
        <v>3133</v>
      </c>
      <c r="I44" s="8" t="n">
        <v>3141</v>
      </c>
      <c r="J44" s="8" t="n">
        <v>3237</v>
      </c>
      <c r="K44" s="8" t="n">
        <v>3456</v>
      </c>
      <c r="L44" s="8" t="n">
        <v>3480</v>
      </c>
      <c r="M44" s="8" t="n">
        <v>3483</v>
      </c>
      <c r="N44" s="8" t="n">
        <v>3635</v>
      </c>
      <c r="O44" s="8" t="n">
        <v>3655</v>
      </c>
      <c r="P44" s="8" t="n">
        <v>3775</v>
      </c>
      <c r="Q44" s="8" t="n">
        <v>4066</v>
      </c>
      <c r="R44" s="8" t="n">
        <v>4076</v>
      </c>
      <c r="S44" s="8" t="n">
        <v>4212</v>
      </c>
      <c r="T44" s="8" t="n">
        <v>4385</v>
      </c>
      <c r="U44" s="8" t="n">
        <v>4501</v>
      </c>
      <c r="V44" s="8" t="n">
        <v>4507</v>
      </c>
      <c r="W44" s="8" t="n">
        <v>5634</v>
      </c>
    </row>
    <row r="45" customFormat="false" ht="15" hidden="false" customHeight="true" outlineLevel="0" collapsed="false">
      <c r="A45" s="7" t="s">
        <v>66</v>
      </c>
      <c r="B45" s="8" t="n">
        <v>352</v>
      </c>
      <c r="C45" s="8" t="n">
        <v>358</v>
      </c>
      <c r="D45" s="8" t="n">
        <v>393</v>
      </c>
      <c r="E45" s="8" t="n">
        <v>416</v>
      </c>
      <c r="F45" s="8" t="n">
        <v>422</v>
      </c>
      <c r="G45" s="8" t="n">
        <v>452</v>
      </c>
      <c r="H45" s="8" t="n">
        <v>464</v>
      </c>
      <c r="I45" s="8" t="n">
        <v>465</v>
      </c>
      <c r="J45" s="8" t="n">
        <v>480</v>
      </c>
      <c r="K45" s="8" t="n">
        <v>512</v>
      </c>
      <c r="L45" s="8" t="n">
        <v>516</v>
      </c>
      <c r="M45" s="8" t="n">
        <v>516</v>
      </c>
      <c r="N45" s="8" t="n">
        <v>539</v>
      </c>
      <c r="O45" s="8" t="n">
        <v>542</v>
      </c>
      <c r="P45" s="8" t="n">
        <v>559</v>
      </c>
      <c r="Q45" s="8" t="n">
        <v>603</v>
      </c>
      <c r="R45" s="8" t="n">
        <v>604</v>
      </c>
      <c r="S45" s="8" t="n">
        <v>624</v>
      </c>
      <c r="T45" s="8" t="n">
        <v>650</v>
      </c>
      <c r="U45" s="8" t="n">
        <v>667</v>
      </c>
      <c r="V45" s="8" t="n">
        <v>668</v>
      </c>
      <c r="W45" s="8" t="n">
        <v>835</v>
      </c>
    </row>
    <row r="46" customFormat="false" ht="15" hidden="false" customHeight="true" outlineLevel="0" collapsed="false">
      <c r="A46" s="7" t="s">
        <v>67</v>
      </c>
      <c r="B46" s="8" t="n">
        <v>759</v>
      </c>
      <c r="C46" s="8" t="n">
        <v>771</v>
      </c>
      <c r="D46" s="8" t="n">
        <v>846</v>
      </c>
      <c r="E46" s="8" t="n">
        <v>898</v>
      </c>
      <c r="F46" s="8" t="n">
        <v>909</v>
      </c>
      <c r="G46" s="8" t="n">
        <v>974</v>
      </c>
      <c r="H46" s="8" t="n">
        <v>1000</v>
      </c>
      <c r="I46" s="8" t="n">
        <v>1003</v>
      </c>
      <c r="J46" s="8" t="n">
        <v>1034</v>
      </c>
      <c r="K46" s="8" t="n">
        <v>1104</v>
      </c>
      <c r="L46" s="8" t="n">
        <v>1111</v>
      </c>
      <c r="M46" s="8" t="n">
        <v>1112</v>
      </c>
      <c r="N46" s="8" t="n">
        <v>1161</v>
      </c>
      <c r="O46" s="8" t="n">
        <v>1167</v>
      </c>
      <c r="P46" s="8" t="n">
        <v>1206</v>
      </c>
      <c r="Q46" s="8" t="n">
        <v>1298</v>
      </c>
      <c r="R46" s="8" t="n">
        <v>1302</v>
      </c>
      <c r="S46" s="8" t="n">
        <v>1345</v>
      </c>
      <c r="T46" s="8" t="n">
        <v>1400</v>
      </c>
      <c r="U46" s="8" t="n">
        <v>1437</v>
      </c>
      <c r="V46" s="8" t="n">
        <v>1439</v>
      </c>
      <c r="W46" s="8" t="n">
        <v>1799</v>
      </c>
    </row>
    <row r="47" customFormat="false" ht="15" hidden="false" customHeight="true" outlineLevel="0" collapsed="false">
      <c r="A47" s="7" t="s">
        <v>68</v>
      </c>
      <c r="B47" s="8" t="n">
        <v>250</v>
      </c>
      <c r="C47" s="8" t="n">
        <v>250</v>
      </c>
      <c r="D47" s="8" t="n">
        <v>250</v>
      </c>
      <c r="E47" s="8" t="n">
        <v>250</v>
      </c>
      <c r="F47" s="8" t="n">
        <v>250</v>
      </c>
      <c r="G47" s="8" t="n">
        <v>250</v>
      </c>
      <c r="H47" s="8" t="n">
        <v>250</v>
      </c>
      <c r="I47" s="8" t="n">
        <v>250</v>
      </c>
      <c r="J47" s="8" t="n">
        <v>250</v>
      </c>
      <c r="K47" s="8" t="n">
        <v>250</v>
      </c>
      <c r="L47" s="8" t="n">
        <v>250</v>
      </c>
      <c r="M47" s="8" t="n">
        <v>250</v>
      </c>
      <c r="N47" s="8" t="n">
        <v>250</v>
      </c>
      <c r="O47" s="8" t="n">
        <v>250</v>
      </c>
      <c r="P47" s="8" t="n">
        <v>250</v>
      </c>
      <c r="Q47" s="8" t="n">
        <v>250</v>
      </c>
      <c r="R47" s="8" t="n">
        <v>250</v>
      </c>
      <c r="S47" s="8" t="n">
        <v>250</v>
      </c>
      <c r="T47" s="8" t="n">
        <v>250</v>
      </c>
      <c r="U47" s="8" t="n">
        <v>250</v>
      </c>
      <c r="V47" s="8" t="n">
        <v>250</v>
      </c>
      <c r="W47" s="8" t="n">
        <v>250</v>
      </c>
    </row>
    <row r="48" customFormat="false" ht="15" hidden="false" customHeight="true" outlineLevel="0" collapsed="false">
      <c r="A48" s="7" t="s">
        <v>69</v>
      </c>
      <c r="B48" s="8" t="n">
        <v>300</v>
      </c>
      <c r="C48" s="8" t="n">
        <v>300</v>
      </c>
      <c r="D48" s="8" t="n">
        <v>300</v>
      </c>
      <c r="E48" s="8" t="n">
        <v>300</v>
      </c>
      <c r="F48" s="8" t="n">
        <v>300</v>
      </c>
      <c r="G48" s="8" t="n">
        <v>300</v>
      </c>
      <c r="H48" s="8" t="n">
        <v>300</v>
      </c>
      <c r="I48" s="8" t="n">
        <v>300</v>
      </c>
      <c r="J48" s="8" t="n">
        <v>300</v>
      </c>
      <c r="K48" s="8" t="n">
        <v>300</v>
      </c>
      <c r="L48" s="8" t="n">
        <v>300</v>
      </c>
      <c r="M48" s="8" t="n">
        <v>300</v>
      </c>
      <c r="N48" s="8" t="n">
        <v>300</v>
      </c>
      <c r="O48" s="8" t="n">
        <v>300</v>
      </c>
      <c r="P48" s="8" t="n">
        <v>300</v>
      </c>
      <c r="Q48" s="8" t="n">
        <v>300</v>
      </c>
      <c r="R48" s="8" t="n">
        <v>300</v>
      </c>
      <c r="S48" s="8" t="n">
        <v>300</v>
      </c>
      <c r="T48" s="8" t="n">
        <v>300</v>
      </c>
      <c r="U48" s="8" t="n">
        <v>300</v>
      </c>
      <c r="V48" s="8" t="n">
        <v>300</v>
      </c>
      <c r="W48" s="8" t="n">
        <v>300</v>
      </c>
    </row>
    <row r="49" customFormat="false" ht="15" hidden="false" customHeight="true" outlineLevel="0" collapsed="false">
      <c r="A49" s="7" t="s">
        <v>70</v>
      </c>
      <c r="B49" s="8" t="n">
        <v>5111</v>
      </c>
      <c r="C49" s="8" t="n">
        <v>5178</v>
      </c>
      <c r="D49" s="8" t="n">
        <v>5604</v>
      </c>
      <c r="E49" s="8" t="n">
        <v>5892</v>
      </c>
      <c r="F49" s="8" t="n">
        <v>5953</v>
      </c>
      <c r="G49" s="8" t="n">
        <v>6313</v>
      </c>
      <c r="H49" s="8" t="n">
        <v>6459</v>
      </c>
      <c r="I49" s="8" t="n">
        <v>6473</v>
      </c>
      <c r="J49" s="8" t="n">
        <v>6641</v>
      </c>
      <c r="K49" s="8" t="n">
        <v>7022</v>
      </c>
      <c r="L49" s="8" t="n">
        <v>7064</v>
      </c>
      <c r="M49" s="8" t="n">
        <v>7067</v>
      </c>
      <c r="N49" s="8" t="n">
        <v>7329</v>
      </c>
      <c r="O49" s="8" t="n">
        <v>7364</v>
      </c>
      <c r="P49" s="8" t="n">
        <v>7569</v>
      </c>
      <c r="Q49" s="8" t="n">
        <v>8062</v>
      </c>
      <c r="R49" s="8" t="n">
        <v>8079</v>
      </c>
      <c r="S49" s="8" t="n">
        <v>8308</v>
      </c>
      <c r="T49" s="8" t="n">
        <v>8597</v>
      </c>
      <c r="U49" s="8" t="n">
        <v>8789</v>
      </c>
      <c r="V49" s="8" t="n">
        <v>8800</v>
      </c>
      <c r="W49" s="8" t="n">
        <v>10637</v>
      </c>
    </row>
    <row r="50" customFormat="false" ht="15" hidden="false" customHeight="true" outlineLevel="0" collapsed="false">
      <c r="A50" s="7" t="s">
        <v>71</v>
      </c>
      <c r="B50" s="8" t="n">
        <v>1469</v>
      </c>
      <c r="C50" s="8" t="n">
        <v>1492</v>
      </c>
      <c r="D50" s="8" t="n">
        <v>1638</v>
      </c>
      <c r="E50" s="8" t="n">
        <v>1737</v>
      </c>
      <c r="F50" s="8" t="n">
        <v>1758</v>
      </c>
      <c r="G50" s="8" t="n">
        <v>1884</v>
      </c>
      <c r="H50" s="8" t="n">
        <v>1935</v>
      </c>
      <c r="I50" s="8" t="n">
        <v>1940</v>
      </c>
      <c r="J50" s="8" t="n">
        <v>2000</v>
      </c>
      <c r="K50" s="8" t="n">
        <v>2135</v>
      </c>
      <c r="L50" s="8" t="n">
        <v>2150</v>
      </c>
      <c r="M50" s="8" t="n">
        <v>2152</v>
      </c>
      <c r="N50" s="8" t="n">
        <v>2246</v>
      </c>
      <c r="O50" s="8" t="n">
        <v>2258</v>
      </c>
      <c r="P50" s="8" t="n">
        <v>2332</v>
      </c>
      <c r="Q50" s="8" t="n">
        <v>2512</v>
      </c>
      <c r="R50" s="8" t="n">
        <v>2518</v>
      </c>
      <c r="S50" s="8" t="n">
        <v>2603</v>
      </c>
      <c r="T50" s="8" t="n">
        <v>2709</v>
      </c>
      <c r="U50" s="8" t="n">
        <v>2781</v>
      </c>
      <c r="V50" s="8" t="n">
        <v>2785</v>
      </c>
      <c r="W50" s="8" t="n">
        <v>3481</v>
      </c>
    </row>
    <row r="51" customFormat="false" ht="15" hidden="false" customHeight="true" outlineLevel="0" collapsed="false">
      <c r="A51" s="7" t="s">
        <v>72</v>
      </c>
      <c r="B51" s="8" t="n">
        <v>1102</v>
      </c>
      <c r="C51" s="8" t="n">
        <v>1119</v>
      </c>
      <c r="D51" s="8" t="n">
        <v>1228</v>
      </c>
      <c r="E51" s="8" t="n">
        <v>1303</v>
      </c>
      <c r="F51" s="8" t="n">
        <v>1319</v>
      </c>
      <c r="G51" s="8" t="n">
        <v>1413</v>
      </c>
      <c r="H51" s="8" t="n">
        <v>1451</v>
      </c>
      <c r="I51" s="8" t="n">
        <v>1455</v>
      </c>
      <c r="J51" s="8" t="n">
        <v>1500</v>
      </c>
      <c r="K51" s="8" t="n">
        <v>1601</v>
      </c>
      <c r="L51" s="8" t="n">
        <v>1613</v>
      </c>
      <c r="M51" s="8" t="n">
        <v>1614</v>
      </c>
      <c r="N51" s="8" t="n">
        <v>1684</v>
      </c>
      <c r="O51" s="8" t="n">
        <v>1694</v>
      </c>
      <c r="P51" s="8" t="n">
        <v>1749</v>
      </c>
      <c r="Q51" s="8" t="n">
        <v>1884</v>
      </c>
      <c r="R51" s="8" t="n">
        <v>1889</v>
      </c>
      <c r="S51" s="8" t="n">
        <v>1952</v>
      </c>
      <c r="T51" s="8" t="n">
        <v>2032</v>
      </c>
      <c r="U51" s="8" t="n">
        <v>2086</v>
      </c>
      <c r="V51" s="8" t="n">
        <v>2088</v>
      </c>
      <c r="W51" s="8" t="n">
        <v>2610</v>
      </c>
    </row>
    <row r="52" customFormat="false" ht="15" hidden="false" customHeight="true" outlineLevel="0" collapsed="false">
      <c r="A52" s="7" t="s">
        <v>73</v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</row>
    <row r="53" customFormat="false" ht="15" hidden="false" customHeight="true" outlineLevel="0" collapsed="false">
      <c r="A53" s="7" t="s">
        <v>74</v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</row>
    <row r="54" customFormat="false" ht="15" hidden="false" customHeight="true" outlineLevel="0" collapsed="false">
      <c r="A54" s="7" t="s">
        <v>75</v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</row>
    <row r="55" customFormat="false" ht="15" hidden="false" customHeight="true" outlineLevel="0" collapsed="false">
      <c r="A55" s="7" t="s">
        <v>76</v>
      </c>
      <c r="B55" s="8" t="n">
        <v>2050</v>
      </c>
      <c r="C55" s="8" t="n">
        <v>2050</v>
      </c>
      <c r="D55" s="8" t="n">
        <v>2050</v>
      </c>
      <c r="E55" s="8" t="n">
        <v>2050</v>
      </c>
      <c r="F55" s="8" t="n">
        <v>2050</v>
      </c>
      <c r="G55" s="8" t="n">
        <v>2050</v>
      </c>
      <c r="H55" s="8" t="n">
        <v>2050</v>
      </c>
      <c r="I55" s="8" t="n">
        <v>2050</v>
      </c>
      <c r="J55" s="8" t="n">
        <v>2050</v>
      </c>
      <c r="K55" s="8" t="n">
        <v>2050</v>
      </c>
      <c r="L55" s="8" t="n">
        <v>2050</v>
      </c>
      <c r="M55" s="8" t="n">
        <v>2050</v>
      </c>
      <c r="N55" s="8" t="n">
        <v>2050</v>
      </c>
      <c r="O55" s="8" t="n">
        <v>2050</v>
      </c>
      <c r="P55" s="8" t="n">
        <v>2050</v>
      </c>
      <c r="Q55" s="8" t="n">
        <v>2050</v>
      </c>
      <c r="R55" s="8" t="n">
        <v>2050</v>
      </c>
      <c r="S55" s="8" t="n">
        <v>2050</v>
      </c>
      <c r="T55" s="8" t="n">
        <v>2050</v>
      </c>
      <c r="U55" s="8" t="n">
        <v>2050</v>
      </c>
      <c r="V55" s="8" t="n">
        <v>2050</v>
      </c>
      <c r="W55" s="8" t="n">
        <v>2050</v>
      </c>
    </row>
    <row r="56" customFormat="false" ht="15" hidden="false" customHeight="true" outlineLevel="0" collapsed="false">
      <c r="A56" s="9" t="s">
        <v>77</v>
      </c>
      <c r="B56" s="10" t="n">
        <f aca="false">SUM(B4:B55)</f>
        <v>96076</v>
      </c>
      <c r="C56" s="10" t="n">
        <f aca="false">SUM(C4:C55)</f>
        <v>97831</v>
      </c>
      <c r="D56" s="10" t="n">
        <f aca="false">SUM(D4:D55)</f>
        <v>105668</v>
      </c>
      <c r="E56" s="10" t="n">
        <f aca="false">SUM(E4:E55)</f>
        <v>113798</v>
      </c>
      <c r="F56" s="10" t="n">
        <f aca="false">SUM(F4:F55)</f>
        <v>115510</v>
      </c>
      <c r="G56" s="10" t="n">
        <f aca="false">SUM(G4:G55)</f>
        <v>120582</v>
      </c>
      <c r="H56" s="10" t="n">
        <f aca="false">SUM(H4:H55)</f>
        <v>123967</v>
      </c>
      <c r="I56" s="10" t="n">
        <f aca="false">SUM(I4:I55)</f>
        <v>122622</v>
      </c>
      <c r="J56" s="10" t="n">
        <f aca="false">SUM(J4:J55)</f>
        <v>125978</v>
      </c>
      <c r="K56" s="10" t="n">
        <f aca="false">SUM(K4:K55)</f>
        <v>134662</v>
      </c>
      <c r="L56" s="10" t="n">
        <f aca="false">SUM(L4:L55)</f>
        <v>136009</v>
      </c>
      <c r="M56" s="10" t="n">
        <f aca="false">SUM(M4:M55)</f>
        <v>136078</v>
      </c>
      <c r="N56" s="10" t="n">
        <f aca="false">SUM(N4:N55)</f>
        <v>141355</v>
      </c>
      <c r="O56" s="10" t="n">
        <f aca="false">SUM(O4:O55)</f>
        <v>145350</v>
      </c>
      <c r="P56" s="10" t="n">
        <f aca="false">SUM(P4:P55)</f>
        <v>145710</v>
      </c>
      <c r="Q56" s="10" t="n">
        <f aca="false">SUM(Q4:Q55)</f>
        <v>156262</v>
      </c>
      <c r="R56" s="10" t="n">
        <f aca="false">SUM(R4:R55)</f>
        <v>156615</v>
      </c>
      <c r="S56" s="10" t="n">
        <f aca="false">SUM(S4:S55)</f>
        <v>165696</v>
      </c>
      <c r="T56" s="10" t="n">
        <f aca="false">SUM(T4:T55)</f>
        <v>171846</v>
      </c>
      <c r="U56" s="10" t="n">
        <f aca="false">SUM(U4:U55)</f>
        <v>173637</v>
      </c>
      <c r="V56" s="10" t="n">
        <f aca="false">SUM(V4:V55)</f>
        <v>173846</v>
      </c>
      <c r="W56" s="10" t="n">
        <f aca="false">SUM(W4:W55)</f>
        <v>213313</v>
      </c>
    </row>
    <row r="57" customFormat="false" ht="15" hidden="false" customHeight="true" outlineLevel="0" collapsed="false">
      <c r="A57" s="5" t="s">
        <v>78</v>
      </c>
      <c r="B57" s="11" t="n">
        <f aca="false">B56/B3</f>
        <v>82.1162393162393</v>
      </c>
      <c r="C57" s="11" t="n">
        <f aca="false">C56/C3</f>
        <v>82.3493265993266</v>
      </c>
      <c r="D57" s="11" t="n">
        <f aca="false">D56/D3</f>
        <v>81.0337423312883</v>
      </c>
      <c r="E57" s="11" t="n">
        <f aca="false">E56/E3</f>
        <v>82.2834417932032</v>
      </c>
      <c r="F57" s="11" t="n">
        <f aca="false">F56/F3</f>
        <v>82.5071428571429</v>
      </c>
      <c r="G57" s="11" t="n">
        <f aca="false">G56/G3</f>
        <v>80.388</v>
      </c>
      <c r="H57" s="11" t="n">
        <f aca="false">H56/H3</f>
        <v>80.4458144062297</v>
      </c>
      <c r="I57" s="11" t="n">
        <f aca="false">I56/I3</f>
        <v>79.3669902912621</v>
      </c>
      <c r="J57" s="11" t="n">
        <f aca="false">J56/J3</f>
        <v>79.1319095477387</v>
      </c>
      <c r="K57" s="11" t="n">
        <f aca="false">K56/K3</f>
        <v>79.2129411764706</v>
      </c>
      <c r="L57" s="11" t="n">
        <f aca="false">L56/L3</f>
        <v>79.4445093457944</v>
      </c>
      <c r="M57" s="11" t="n">
        <f aca="false">M56/M3</f>
        <v>79.4384121424402</v>
      </c>
      <c r="N57" s="11" t="n">
        <f aca="false">N56/N3</f>
        <v>79.0576062639821</v>
      </c>
      <c r="O57" s="11" t="n">
        <f aca="false">O56/O3</f>
        <v>80.8398220244716</v>
      </c>
      <c r="P57" s="11" t="n">
        <f aca="false">P56/P3</f>
        <v>78.4652665589661</v>
      </c>
      <c r="Q57" s="11" t="n">
        <f aca="false">Q56/Q3</f>
        <v>78.131</v>
      </c>
      <c r="R57" s="11" t="n">
        <f aca="false">R56/R3</f>
        <v>78.1122194513716</v>
      </c>
      <c r="S57" s="11" t="n">
        <f aca="false">S56/S3</f>
        <v>79.969111969112</v>
      </c>
      <c r="T57" s="11" t="n">
        <f aca="false">T56/T3</f>
        <v>79.6689847009736</v>
      </c>
      <c r="U57" s="11" t="n">
        <f aca="false">U56/U3</f>
        <v>78.4268292682927</v>
      </c>
      <c r="V57" s="11" t="n">
        <f aca="false">V56/V3</f>
        <v>78.4149751917005</v>
      </c>
      <c r="W57" s="11" t="n">
        <f aca="false">W56/W3</f>
        <v>76.9805124503789</v>
      </c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18"/>
    <col collapsed="false" customWidth="true" hidden="false" outlineLevel="0" max="9" min="6" style="1" width="12"/>
    <col collapsed="false" customWidth="true" hidden="false" outlineLevel="0" max="12" min="10" style="1" width="14"/>
  </cols>
  <sheetData>
    <row r="1" customFormat="false" ht="18" hidden="false" customHeight="true" outlineLevel="0" collapsed="false">
      <c r="A1" s="12" t="s">
        <v>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23.25" hidden="false" customHeight="true" outlineLevel="0" collapsed="false">
      <c r="A2" s="13" t="s">
        <v>80</v>
      </c>
      <c r="B2" s="13" t="s">
        <v>81</v>
      </c>
      <c r="C2" s="13" t="s">
        <v>82</v>
      </c>
      <c r="D2" s="13" t="s">
        <v>83</v>
      </c>
      <c r="E2" s="13" t="s">
        <v>84</v>
      </c>
      <c r="F2" s="13" t="s">
        <v>85</v>
      </c>
      <c r="G2" s="13" t="s">
        <v>86</v>
      </c>
      <c r="H2" s="13" t="s">
        <v>87</v>
      </c>
      <c r="I2" s="13" t="s">
        <v>88</v>
      </c>
      <c r="J2" s="13" t="s">
        <v>89</v>
      </c>
      <c r="K2" s="13" t="s">
        <v>90</v>
      </c>
      <c r="L2" s="13" t="s">
        <v>91</v>
      </c>
    </row>
    <row r="3" customFormat="false" ht="15" hidden="false" customHeight="true" outlineLevel="0" collapsed="false">
      <c r="A3" s="7" t="s">
        <v>2</v>
      </c>
      <c r="B3" s="7" t="n">
        <v>1170</v>
      </c>
      <c r="C3" s="7" t="s">
        <v>92</v>
      </c>
      <c r="D3" s="7" t="s">
        <v>93</v>
      </c>
      <c r="E3" s="14" t="n">
        <f aca="false">'Sticks &amp; Bricks Detail'!B56</f>
        <v>96076</v>
      </c>
      <c r="F3" s="15" t="n">
        <v>3500</v>
      </c>
      <c r="G3" s="15" t="n">
        <v>15000</v>
      </c>
      <c r="H3" s="15" t="n">
        <v>0</v>
      </c>
      <c r="I3" s="15" t="n">
        <v>15000</v>
      </c>
      <c r="J3" s="14" t="n">
        <f aca="false">MIN(10000, 0.05*SUM(E3:I3))</f>
        <v>6478.8</v>
      </c>
      <c r="K3" s="15" t="n">
        <v>29500</v>
      </c>
      <c r="L3" s="16" t="n">
        <f aca="false">SUM(E3:K3)</f>
        <v>165554.8</v>
      </c>
    </row>
    <row r="4" customFormat="false" ht="15" hidden="false" customHeight="true" outlineLevel="0" collapsed="false">
      <c r="A4" s="7" t="s">
        <v>3</v>
      </c>
      <c r="B4" s="7" t="n">
        <v>1188</v>
      </c>
      <c r="C4" s="7" t="s">
        <v>92</v>
      </c>
      <c r="D4" s="7" t="s">
        <v>94</v>
      </c>
      <c r="E4" s="14" t="n">
        <f aca="false">'Sticks &amp; Bricks Detail'!C56</f>
        <v>97831</v>
      </c>
      <c r="F4" s="15" t="n">
        <v>3500</v>
      </c>
      <c r="G4" s="15" t="n">
        <v>15000</v>
      </c>
      <c r="H4" s="15" t="n">
        <v>0</v>
      </c>
      <c r="I4" s="15" t="n">
        <v>15000</v>
      </c>
      <c r="J4" s="14" t="n">
        <f aca="false">MIN(10000, 0.05*SUM(E4:I4))</f>
        <v>6566.55</v>
      </c>
      <c r="K4" s="15" t="n">
        <v>29500</v>
      </c>
      <c r="L4" s="16" t="n">
        <f aca="false">SUM(E4:K4)</f>
        <v>167397.55</v>
      </c>
    </row>
    <row r="5" customFormat="false" ht="15" hidden="false" customHeight="true" outlineLevel="0" collapsed="false">
      <c r="A5" s="7" t="s">
        <v>4</v>
      </c>
      <c r="B5" s="7" t="n">
        <v>1304</v>
      </c>
      <c r="C5" s="7" t="s">
        <v>95</v>
      </c>
      <c r="D5" s="7" t="s">
        <v>96</v>
      </c>
      <c r="E5" s="14" t="n">
        <f aca="false">'Sticks &amp; Bricks Detail'!D56</f>
        <v>105668</v>
      </c>
      <c r="F5" s="15" t="n">
        <v>3500</v>
      </c>
      <c r="G5" s="15" t="n">
        <v>15000</v>
      </c>
      <c r="H5" s="15" t="n">
        <v>0</v>
      </c>
      <c r="I5" s="15" t="n">
        <v>15000</v>
      </c>
      <c r="J5" s="14" t="n">
        <f aca="false">MIN(10000, 0.05*SUM(E5:I5))</f>
        <v>6958.4</v>
      </c>
      <c r="K5" s="15" t="n">
        <v>29500</v>
      </c>
      <c r="L5" s="16" t="n">
        <f aca="false">SUM(E5:K5)</f>
        <v>175626.4</v>
      </c>
    </row>
    <row r="6" customFormat="false" ht="15" hidden="false" customHeight="true" outlineLevel="0" collapsed="false">
      <c r="A6" s="7" t="s">
        <v>5</v>
      </c>
      <c r="B6" s="7" t="n">
        <v>1383</v>
      </c>
      <c r="C6" s="7" t="s">
        <v>97</v>
      </c>
      <c r="D6" s="7" t="s">
        <v>93</v>
      </c>
      <c r="E6" s="14" t="n">
        <f aca="false">'Sticks &amp; Bricks Detail'!E56</f>
        <v>113798</v>
      </c>
      <c r="F6" s="15" t="n">
        <v>3500</v>
      </c>
      <c r="G6" s="15" t="n">
        <v>15000</v>
      </c>
      <c r="H6" s="15" t="n">
        <v>0</v>
      </c>
      <c r="I6" s="15" t="n">
        <v>15000</v>
      </c>
      <c r="J6" s="14" t="n">
        <f aca="false">MIN(10000, 0.05*SUM(E6:I6))</f>
        <v>7364.9</v>
      </c>
      <c r="K6" s="15" t="n">
        <v>29500</v>
      </c>
      <c r="L6" s="16" t="n">
        <f aca="false">SUM(E6:K6)</f>
        <v>184162.9</v>
      </c>
    </row>
    <row r="7" customFormat="false" ht="15" hidden="false" customHeight="true" outlineLevel="0" collapsed="false">
      <c r="A7" s="7" t="s">
        <v>6</v>
      </c>
      <c r="B7" s="7" t="n">
        <v>1400</v>
      </c>
      <c r="C7" s="7" t="s">
        <v>97</v>
      </c>
      <c r="D7" s="7" t="s">
        <v>94</v>
      </c>
      <c r="E7" s="14" t="n">
        <f aca="false">'Sticks &amp; Bricks Detail'!F56</f>
        <v>115510</v>
      </c>
      <c r="F7" s="15" t="n">
        <v>3500</v>
      </c>
      <c r="G7" s="15" t="n">
        <v>15000</v>
      </c>
      <c r="H7" s="15" t="n">
        <v>0</v>
      </c>
      <c r="I7" s="15" t="n">
        <v>15000</v>
      </c>
      <c r="J7" s="14" t="n">
        <f aca="false">MIN(10000, 0.05*SUM(E7:I7))</f>
        <v>7450.5</v>
      </c>
      <c r="K7" s="15" t="n">
        <v>29500</v>
      </c>
      <c r="L7" s="16" t="n">
        <f aca="false">SUM(E7:K7)</f>
        <v>185960.5</v>
      </c>
    </row>
    <row r="8" customFormat="false" ht="15" hidden="false" customHeight="true" outlineLevel="0" collapsed="false">
      <c r="A8" s="7" t="s">
        <v>7</v>
      </c>
      <c r="B8" s="7" t="n">
        <v>1500</v>
      </c>
      <c r="C8" s="7" t="s">
        <v>95</v>
      </c>
      <c r="D8" s="7" t="s">
        <v>93</v>
      </c>
      <c r="E8" s="14" t="n">
        <f aca="false">'Sticks &amp; Bricks Detail'!G56</f>
        <v>120582</v>
      </c>
      <c r="F8" s="15" t="n">
        <v>3500</v>
      </c>
      <c r="G8" s="15" t="n">
        <v>15000</v>
      </c>
      <c r="H8" s="15" t="n">
        <v>0</v>
      </c>
      <c r="I8" s="15" t="n">
        <v>15000</v>
      </c>
      <c r="J8" s="14" t="n">
        <f aca="false">MIN(10000, 0.05*SUM(E8:I8))</f>
        <v>7704.1</v>
      </c>
      <c r="K8" s="15" t="n">
        <v>29500</v>
      </c>
      <c r="L8" s="16" t="n">
        <f aca="false">SUM(E8:K8)</f>
        <v>191286.1</v>
      </c>
    </row>
    <row r="9" customFormat="false" ht="15" hidden="false" customHeight="true" outlineLevel="0" collapsed="false">
      <c r="A9" s="7" t="s">
        <v>8</v>
      </c>
      <c r="B9" s="7" t="n">
        <v>1541</v>
      </c>
      <c r="C9" s="7" t="s">
        <v>95</v>
      </c>
      <c r="D9" s="7" t="s">
        <v>94</v>
      </c>
      <c r="E9" s="14" t="n">
        <f aca="false">'Sticks &amp; Bricks Detail'!H56</f>
        <v>123967</v>
      </c>
      <c r="F9" s="15" t="n">
        <v>3500</v>
      </c>
      <c r="G9" s="15" t="n">
        <v>15000</v>
      </c>
      <c r="H9" s="15" t="n">
        <v>0</v>
      </c>
      <c r="I9" s="15" t="n">
        <v>15000</v>
      </c>
      <c r="J9" s="14" t="n">
        <f aca="false">MIN(10000, 0.05*SUM(E9:I9))</f>
        <v>7873.35</v>
      </c>
      <c r="K9" s="15" t="n">
        <v>29500</v>
      </c>
      <c r="L9" s="16" t="n">
        <f aca="false">SUM(E9:K9)</f>
        <v>194840.35</v>
      </c>
    </row>
    <row r="10" customFormat="false" ht="15" hidden="false" customHeight="true" outlineLevel="0" collapsed="false">
      <c r="A10" s="7" t="s">
        <v>9</v>
      </c>
      <c r="B10" s="7" t="n">
        <v>1545</v>
      </c>
      <c r="C10" s="7" t="s">
        <v>92</v>
      </c>
      <c r="D10" s="7" t="s">
        <v>94</v>
      </c>
      <c r="E10" s="14" t="n">
        <f aca="false">'Sticks &amp; Bricks Detail'!I56</f>
        <v>122622</v>
      </c>
      <c r="F10" s="15" t="n">
        <v>3500</v>
      </c>
      <c r="G10" s="15" t="n">
        <v>15000</v>
      </c>
      <c r="H10" s="15" t="n">
        <v>0</v>
      </c>
      <c r="I10" s="15" t="n">
        <v>15000</v>
      </c>
      <c r="J10" s="14" t="n">
        <f aca="false">MIN(10000, 0.05*SUM(E10:I10))</f>
        <v>7806.1</v>
      </c>
      <c r="K10" s="15" t="n">
        <v>29500</v>
      </c>
      <c r="L10" s="16" t="n">
        <f aca="false">SUM(E10:K10)</f>
        <v>193428.1</v>
      </c>
    </row>
    <row r="11" customFormat="false" ht="15" hidden="false" customHeight="true" outlineLevel="0" collapsed="false">
      <c r="A11" s="7" t="s">
        <v>10</v>
      </c>
      <c r="B11" s="7" t="n">
        <v>1592</v>
      </c>
      <c r="C11" s="7" t="s">
        <v>95</v>
      </c>
      <c r="D11" s="7" t="s">
        <v>96</v>
      </c>
      <c r="E11" s="14" t="n">
        <f aca="false">'Sticks &amp; Bricks Detail'!J56</f>
        <v>125978</v>
      </c>
      <c r="F11" s="15" t="n">
        <v>3500</v>
      </c>
      <c r="G11" s="15" t="n">
        <v>15000</v>
      </c>
      <c r="H11" s="15" t="n">
        <v>0</v>
      </c>
      <c r="I11" s="15" t="n">
        <v>15000</v>
      </c>
      <c r="J11" s="14" t="n">
        <f aca="false">MIN(10000, 0.05*SUM(E11:I11))</f>
        <v>7973.9</v>
      </c>
      <c r="K11" s="15" t="n">
        <v>29500</v>
      </c>
      <c r="L11" s="16" t="n">
        <f aca="false">SUM(E11:K11)</f>
        <v>196951.9</v>
      </c>
    </row>
    <row r="12" customFormat="false" ht="15" hidden="false" customHeight="true" outlineLevel="0" collapsed="false">
      <c r="A12" s="7" t="s">
        <v>11</v>
      </c>
      <c r="B12" s="7" t="n">
        <v>1700</v>
      </c>
      <c r="C12" s="7" t="s">
        <v>95</v>
      </c>
      <c r="D12" s="7" t="s">
        <v>93</v>
      </c>
      <c r="E12" s="14" t="n">
        <f aca="false">'Sticks &amp; Bricks Detail'!K56</f>
        <v>134662</v>
      </c>
      <c r="F12" s="15" t="n">
        <v>3500</v>
      </c>
      <c r="G12" s="15" t="n">
        <v>15000</v>
      </c>
      <c r="H12" s="15" t="n">
        <v>0</v>
      </c>
      <c r="I12" s="15" t="n">
        <v>15000</v>
      </c>
      <c r="J12" s="14" t="n">
        <f aca="false">MIN(10000, 0.05*SUM(E12:I12))</f>
        <v>8408.1</v>
      </c>
      <c r="K12" s="15" t="n">
        <v>29500</v>
      </c>
      <c r="L12" s="16" t="n">
        <f aca="false">SUM(E12:K12)</f>
        <v>206070.1</v>
      </c>
    </row>
    <row r="13" customFormat="false" ht="15" hidden="false" customHeight="true" outlineLevel="0" collapsed="false">
      <c r="A13" s="7" t="s">
        <v>12</v>
      </c>
      <c r="B13" s="7" t="n">
        <v>1712</v>
      </c>
      <c r="C13" s="7" t="s">
        <v>98</v>
      </c>
      <c r="D13" s="7" t="s">
        <v>94</v>
      </c>
      <c r="E13" s="14" t="n">
        <f aca="false">'Sticks &amp; Bricks Detail'!L56</f>
        <v>136009</v>
      </c>
      <c r="F13" s="15" t="n">
        <v>3500</v>
      </c>
      <c r="G13" s="15" t="n">
        <v>15000</v>
      </c>
      <c r="H13" s="15" t="n">
        <v>0</v>
      </c>
      <c r="I13" s="15" t="n">
        <v>15000</v>
      </c>
      <c r="J13" s="14" t="n">
        <f aca="false">MIN(10000, 0.05*SUM(E13:I13))</f>
        <v>8475.45</v>
      </c>
      <c r="K13" s="15" t="n">
        <v>29500</v>
      </c>
      <c r="L13" s="16" t="n">
        <f aca="false">SUM(E13:K13)</f>
        <v>207484.45</v>
      </c>
    </row>
    <row r="14" customFormat="false" ht="15" hidden="false" customHeight="true" outlineLevel="0" collapsed="false">
      <c r="A14" s="7" t="s">
        <v>13</v>
      </c>
      <c r="B14" s="7" t="n">
        <v>1713</v>
      </c>
      <c r="C14" s="7" t="s">
        <v>98</v>
      </c>
      <c r="D14" s="7" t="s">
        <v>94</v>
      </c>
      <c r="E14" s="14" t="n">
        <f aca="false">'Sticks &amp; Bricks Detail'!M56</f>
        <v>136078</v>
      </c>
      <c r="F14" s="15" t="n">
        <v>3500</v>
      </c>
      <c r="G14" s="15" t="n">
        <v>15000</v>
      </c>
      <c r="H14" s="15" t="n">
        <v>0</v>
      </c>
      <c r="I14" s="15" t="n">
        <v>15000</v>
      </c>
      <c r="J14" s="14" t="n">
        <f aca="false">MIN(10000, 0.05*SUM(E14:I14))</f>
        <v>8478.9</v>
      </c>
      <c r="K14" s="15" t="n">
        <v>29500</v>
      </c>
      <c r="L14" s="16" t="n">
        <f aca="false">SUM(E14:K14)</f>
        <v>207556.9</v>
      </c>
    </row>
    <row r="15" customFormat="false" ht="15" hidden="false" customHeight="true" outlineLevel="0" collapsed="false">
      <c r="A15" s="7" t="s">
        <v>14</v>
      </c>
      <c r="B15" s="7" t="n">
        <v>1788</v>
      </c>
      <c r="C15" s="7" t="s">
        <v>95</v>
      </c>
      <c r="D15" s="7" t="s">
        <v>94</v>
      </c>
      <c r="E15" s="14" t="n">
        <f aca="false">'Sticks &amp; Bricks Detail'!N56</f>
        <v>141355</v>
      </c>
      <c r="F15" s="15" t="n">
        <v>3500</v>
      </c>
      <c r="G15" s="15" t="n">
        <v>15000</v>
      </c>
      <c r="H15" s="15" t="n">
        <v>0</v>
      </c>
      <c r="I15" s="15" t="n">
        <v>15000</v>
      </c>
      <c r="J15" s="14" t="n">
        <f aca="false">MIN(10000, 0.05*SUM(E15:I15))</f>
        <v>8742.75</v>
      </c>
      <c r="K15" s="15" t="n">
        <v>29500</v>
      </c>
      <c r="L15" s="16" t="n">
        <f aca="false">SUM(E15:K15)</f>
        <v>213097.75</v>
      </c>
    </row>
    <row r="16" customFormat="false" ht="15" hidden="false" customHeight="true" outlineLevel="0" collapsed="false">
      <c r="A16" s="7" t="s">
        <v>15</v>
      </c>
      <c r="B16" s="7" t="n">
        <v>1798</v>
      </c>
      <c r="C16" s="7" t="s">
        <v>99</v>
      </c>
      <c r="D16" s="7" t="s">
        <v>93</v>
      </c>
      <c r="E16" s="14" t="n">
        <f aca="false">'Sticks &amp; Bricks Detail'!O56</f>
        <v>145350</v>
      </c>
      <c r="F16" s="15" t="n">
        <v>3500</v>
      </c>
      <c r="G16" s="15" t="n">
        <v>15000</v>
      </c>
      <c r="H16" s="15" t="n">
        <v>0</v>
      </c>
      <c r="I16" s="15" t="n">
        <v>15000</v>
      </c>
      <c r="J16" s="14" t="n">
        <f aca="false">MIN(10000, 0.05*SUM(E16:I16))</f>
        <v>8942.5</v>
      </c>
      <c r="K16" s="15" t="n">
        <v>29500</v>
      </c>
      <c r="L16" s="16" t="n">
        <f aca="false">SUM(E16:K16)</f>
        <v>217292.5</v>
      </c>
    </row>
    <row r="17" customFormat="false" ht="15" hidden="false" customHeight="true" outlineLevel="0" collapsed="false">
      <c r="A17" s="7" t="s">
        <v>16</v>
      </c>
      <c r="B17" s="7" t="n">
        <v>1857</v>
      </c>
      <c r="C17" s="7" t="s">
        <v>98</v>
      </c>
      <c r="D17" s="7" t="s">
        <v>93</v>
      </c>
      <c r="E17" s="14" t="n">
        <f aca="false">'Sticks &amp; Bricks Detail'!P56</f>
        <v>145710</v>
      </c>
      <c r="F17" s="15" t="n">
        <v>3500</v>
      </c>
      <c r="G17" s="15" t="n">
        <v>15000</v>
      </c>
      <c r="H17" s="15" t="n">
        <v>0</v>
      </c>
      <c r="I17" s="15" t="n">
        <v>15000</v>
      </c>
      <c r="J17" s="14" t="n">
        <f aca="false">MIN(10000, 0.05*SUM(E17:I17))</f>
        <v>8960.5</v>
      </c>
      <c r="K17" s="15" t="n">
        <v>29500</v>
      </c>
      <c r="L17" s="16" t="n">
        <f aca="false">SUM(E17:K17)</f>
        <v>217670.5</v>
      </c>
    </row>
    <row r="18" customFormat="false" ht="15" hidden="false" customHeight="true" outlineLevel="0" collapsed="false">
      <c r="A18" s="7" t="s">
        <v>17</v>
      </c>
      <c r="B18" s="7" t="n">
        <v>2000</v>
      </c>
      <c r="C18" s="7" t="s">
        <v>98</v>
      </c>
      <c r="D18" s="7" t="s">
        <v>94</v>
      </c>
      <c r="E18" s="14" t="n">
        <f aca="false">'Sticks &amp; Bricks Detail'!Q56</f>
        <v>156262</v>
      </c>
      <c r="F18" s="15" t="n">
        <v>3500</v>
      </c>
      <c r="G18" s="15" t="n">
        <v>15000</v>
      </c>
      <c r="H18" s="15" t="n">
        <v>0</v>
      </c>
      <c r="I18" s="15" t="n">
        <v>15000</v>
      </c>
      <c r="J18" s="14" t="n">
        <f aca="false">MIN(10000, 0.05*SUM(E18:I18))</f>
        <v>9488.1</v>
      </c>
      <c r="K18" s="15" t="n">
        <v>29500</v>
      </c>
      <c r="L18" s="16" t="n">
        <f aca="false">SUM(E18:K18)</f>
        <v>228750.1</v>
      </c>
    </row>
    <row r="19" customFormat="false" ht="15" hidden="false" customHeight="true" outlineLevel="0" collapsed="false">
      <c r="A19" s="7" t="s">
        <v>18</v>
      </c>
      <c r="B19" s="7" t="n">
        <v>2005</v>
      </c>
      <c r="C19" s="7" t="s">
        <v>98</v>
      </c>
      <c r="D19" s="7" t="s">
        <v>94</v>
      </c>
      <c r="E19" s="14" t="n">
        <f aca="false">'Sticks &amp; Bricks Detail'!R56</f>
        <v>156615</v>
      </c>
      <c r="F19" s="15" t="n">
        <v>3500</v>
      </c>
      <c r="G19" s="15" t="n">
        <v>15000</v>
      </c>
      <c r="H19" s="15" t="n">
        <v>0</v>
      </c>
      <c r="I19" s="15" t="n">
        <v>15000</v>
      </c>
      <c r="J19" s="14" t="n">
        <f aca="false">MIN(10000, 0.05*SUM(E19:I19))</f>
        <v>9505.75</v>
      </c>
      <c r="K19" s="15" t="n">
        <v>29500</v>
      </c>
      <c r="L19" s="16" t="n">
        <f aca="false">SUM(E19:K19)</f>
        <v>229120.75</v>
      </c>
    </row>
    <row r="20" customFormat="false" ht="15" hidden="false" customHeight="true" outlineLevel="0" collapsed="false">
      <c r="A20" s="7" t="s">
        <v>19</v>
      </c>
      <c r="B20" s="7" t="n">
        <v>2072</v>
      </c>
      <c r="C20" s="7" t="s">
        <v>100</v>
      </c>
      <c r="D20" s="7" t="s">
        <v>94</v>
      </c>
      <c r="E20" s="14" t="n">
        <f aca="false">'Sticks &amp; Bricks Detail'!S56</f>
        <v>165696</v>
      </c>
      <c r="F20" s="15" t="n">
        <v>3500</v>
      </c>
      <c r="G20" s="15" t="n">
        <v>15000</v>
      </c>
      <c r="H20" s="15" t="n">
        <v>0</v>
      </c>
      <c r="I20" s="15" t="n">
        <v>15000</v>
      </c>
      <c r="J20" s="14" t="n">
        <f aca="false">MIN(10000, 0.05*SUM(E20:I20))</f>
        <v>9959.8</v>
      </c>
      <c r="K20" s="15" t="n">
        <v>29500</v>
      </c>
      <c r="L20" s="16" t="n">
        <f aca="false">SUM(E20:K20)</f>
        <v>238655.8</v>
      </c>
    </row>
    <row r="21" customFormat="false" ht="15" hidden="false" customHeight="true" outlineLevel="0" collapsed="false">
      <c r="A21" s="7" t="s">
        <v>20</v>
      </c>
      <c r="B21" s="7" t="n">
        <v>2157</v>
      </c>
      <c r="C21" s="7" t="s">
        <v>100</v>
      </c>
      <c r="D21" s="7" t="s">
        <v>94</v>
      </c>
      <c r="E21" s="14" t="n">
        <f aca="false">'Sticks &amp; Bricks Detail'!T56</f>
        <v>171846</v>
      </c>
      <c r="F21" s="15" t="n">
        <v>3500</v>
      </c>
      <c r="G21" s="15" t="n">
        <v>15000</v>
      </c>
      <c r="H21" s="15" t="n">
        <v>0</v>
      </c>
      <c r="I21" s="15" t="n">
        <v>15000</v>
      </c>
      <c r="J21" s="14" t="n">
        <f aca="false">MIN(10000, 0.05*SUM(E21:I21))</f>
        <v>10000</v>
      </c>
      <c r="K21" s="15" t="n">
        <v>29500</v>
      </c>
      <c r="L21" s="16" t="n">
        <f aca="false">SUM(E21:K21)</f>
        <v>244846</v>
      </c>
    </row>
    <row r="22" customFormat="false" ht="15" hidden="false" customHeight="true" outlineLevel="0" collapsed="false">
      <c r="A22" s="7" t="s">
        <v>21</v>
      </c>
      <c r="B22" s="7" t="n">
        <v>2214</v>
      </c>
      <c r="C22" s="7" t="s">
        <v>101</v>
      </c>
      <c r="D22" s="7" t="s">
        <v>94</v>
      </c>
      <c r="E22" s="14" t="n">
        <f aca="false">'Sticks &amp; Bricks Detail'!U56</f>
        <v>173637</v>
      </c>
      <c r="F22" s="15" t="n">
        <v>3500</v>
      </c>
      <c r="G22" s="15" t="n">
        <v>15000</v>
      </c>
      <c r="H22" s="15" t="n">
        <v>0</v>
      </c>
      <c r="I22" s="15" t="n">
        <v>15000</v>
      </c>
      <c r="J22" s="14" t="n">
        <f aca="false">MIN(10000, 0.05*SUM(E22:I22))</f>
        <v>10000</v>
      </c>
      <c r="K22" s="15" t="n">
        <v>29500</v>
      </c>
      <c r="L22" s="16" t="n">
        <f aca="false">SUM(E22:K22)</f>
        <v>246637</v>
      </c>
    </row>
    <row r="23" customFormat="false" ht="15" hidden="false" customHeight="true" outlineLevel="0" collapsed="false">
      <c r="A23" s="7" t="s">
        <v>22</v>
      </c>
      <c r="B23" s="7" t="n">
        <v>2217</v>
      </c>
      <c r="C23" s="7" t="s">
        <v>101</v>
      </c>
      <c r="D23" s="7" t="s">
        <v>94</v>
      </c>
      <c r="E23" s="14" t="n">
        <f aca="false">'Sticks &amp; Bricks Detail'!V56</f>
        <v>173846</v>
      </c>
      <c r="F23" s="15" t="n">
        <v>3500</v>
      </c>
      <c r="G23" s="15" t="n">
        <v>15000</v>
      </c>
      <c r="H23" s="15" t="n">
        <v>0</v>
      </c>
      <c r="I23" s="15" t="n">
        <v>15000</v>
      </c>
      <c r="J23" s="14" t="n">
        <f aca="false">MIN(10000, 0.05*SUM(E23:I23))</f>
        <v>10000</v>
      </c>
      <c r="K23" s="15" t="n">
        <v>29500</v>
      </c>
      <c r="L23" s="16" t="n">
        <f aca="false">SUM(E23:K23)</f>
        <v>246846</v>
      </c>
    </row>
    <row r="24" customFormat="false" ht="15" hidden="false" customHeight="true" outlineLevel="0" collapsed="false">
      <c r="A24" s="7" t="s">
        <v>23</v>
      </c>
      <c r="B24" s="7" t="n">
        <v>2771</v>
      </c>
      <c r="C24" s="7" t="s">
        <v>101</v>
      </c>
      <c r="D24" s="7" t="s">
        <v>94</v>
      </c>
      <c r="E24" s="14" t="n">
        <f aca="false">'Sticks &amp; Bricks Detail'!W56</f>
        <v>213313</v>
      </c>
      <c r="F24" s="15" t="n">
        <v>3500</v>
      </c>
      <c r="G24" s="15" t="n">
        <v>15000</v>
      </c>
      <c r="H24" s="15" t="n">
        <v>0</v>
      </c>
      <c r="I24" s="15" t="n">
        <v>15000</v>
      </c>
      <c r="J24" s="14" t="n">
        <f aca="false">MIN(10000, 0.05*SUM(E24:I24))</f>
        <v>10000</v>
      </c>
      <c r="K24" s="15" t="n">
        <v>29500</v>
      </c>
      <c r="L24" s="16" t="n">
        <f aca="false">SUM(E24:K24)</f>
        <v>286313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30"/>
  </cols>
  <sheetData>
    <row r="1" customFormat="false" ht="15" hidden="false" customHeight="true" outlineLevel="0" collapsed="false">
      <c r="A1" s="17" t="s">
        <v>102</v>
      </c>
      <c r="B1" s="17"/>
      <c r="C1" s="17"/>
      <c r="D1" s="17"/>
    </row>
    <row r="2" customFormat="false" ht="15" hidden="false" customHeight="true" outlineLevel="0" collapsed="false">
      <c r="A2" s="3" t="s">
        <v>103</v>
      </c>
      <c r="B2" s="3" t="s">
        <v>104</v>
      </c>
      <c r="C2" s="3" t="s">
        <v>105</v>
      </c>
      <c r="D2" s="3" t="s">
        <v>106</v>
      </c>
    </row>
    <row r="3" customFormat="false" ht="15" hidden="false" customHeight="true" outlineLevel="0" collapsed="false">
      <c r="A3" s="18" t="s">
        <v>107</v>
      </c>
      <c r="B3" s="7" t="s">
        <v>108</v>
      </c>
      <c r="C3" s="14" t="n">
        <f aca="false">'Sticks &amp; Bricks Detail'!B56</f>
        <v>96076</v>
      </c>
      <c r="D3" s="7" t="s">
        <v>109</v>
      </c>
    </row>
    <row r="4" customFormat="false" ht="15" hidden="false" customHeight="true" outlineLevel="0" collapsed="false">
      <c r="A4" s="18" t="s">
        <v>110</v>
      </c>
      <c r="B4" s="7" t="s">
        <v>111</v>
      </c>
      <c r="C4" s="15" t="n">
        <v>0</v>
      </c>
      <c r="D4" s="7" t="s">
        <v>112</v>
      </c>
    </row>
    <row r="5" customFormat="false" ht="15" hidden="false" customHeight="true" outlineLevel="0" collapsed="false">
      <c r="A5" s="7"/>
      <c r="B5" s="7" t="s">
        <v>113</v>
      </c>
      <c r="C5" s="15" t="n">
        <v>0</v>
      </c>
      <c r="D5" s="7" t="s">
        <v>114</v>
      </c>
    </row>
    <row r="6" customFormat="false" ht="15" hidden="false" customHeight="true" outlineLevel="0" collapsed="false">
      <c r="A6" s="7"/>
      <c r="B6" s="7" t="s">
        <v>115</v>
      </c>
      <c r="C6" s="15" t="n">
        <v>0</v>
      </c>
      <c r="D6" s="7" t="s">
        <v>116</v>
      </c>
    </row>
    <row r="7" customFormat="false" ht="15" hidden="false" customHeight="true" outlineLevel="0" collapsed="false">
      <c r="A7" s="7"/>
      <c r="B7" s="18" t="s">
        <v>117</v>
      </c>
      <c r="C7" s="14" t="n">
        <f aca="false">SUM(C4:C6)</f>
        <v>0</v>
      </c>
      <c r="D7" s="7"/>
    </row>
    <row r="8" customFormat="false" ht="15" hidden="false" customHeight="true" outlineLevel="0" collapsed="false">
      <c r="A8" s="18" t="s">
        <v>118</v>
      </c>
      <c r="B8" s="7" t="s">
        <v>119</v>
      </c>
      <c r="C8" s="15" t="n">
        <v>5000</v>
      </c>
      <c r="D8" s="7"/>
    </row>
    <row r="9" customFormat="false" ht="15" hidden="false" customHeight="true" outlineLevel="0" collapsed="false">
      <c r="A9" s="7"/>
      <c r="B9" s="7" t="s">
        <v>120</v>
      </c>
      <c r="C9" s="15" t="n">
        <v>3000</v>
      </c>
      <c r="D9" s="7"/>
    </row>
    <row r="10" customFormat="false" ht="15" hidden="false" customHeight="true" outlineLevel="0" collapsed="false">
      <c r="A10" s="7"/>
      <c r="B10" s="7" t="s">
        <v>121</v>
      </c>
      <c r="C10" s="15" t="n">
        <v>2500</v>
      </c>
      <c r="D10" s="7"/>
    </row>
    <row r="11" customFormat="false" ht="15" hidden="false" customHeight="true" outlineLevel="0" collapsed="false">
      <c r="A11" s="7"/>
      <c r="B11" s="7" t="s">
        <v>122</v>
      </c>
      <c r="C11" s="15" t="n">
        <v>3500</v>
      </c>
      <c r="D11" s="7"/>
    </row>
    <row r="12" customFormat="false" ht="15" hidden="false" customHeight="true" outlineLevel="0" collapsed="false">
      <c r="A12" s="7"/>
      <c r="B12" s="7" t="s">
        <v>123</v>
      </c>
      <c r="C12" s="15" t="n">
        <v>1000</v>
      </c>
      <c r="D12" s="7" t="s">
        <v>124</v>
      </c>
    </row>
    <row r="13" customFormat="false" ht="15" hidden="false" customHeight="true" outlineLevel="0" collapsed="false">
      <c r="A13" s="7"/>
      <c r="B13" s="18" t="s">
        <v>125</v>
      </c>
      <c r="C13" s="14" t="n">
        <f aca="false">SUM(C8:C12)</f>
        <v>15000</v>
      </c>
      <c r="D13" s="7"/>
    </row>
    <row r="14" customFormat="false" ht="15" hidden="false" customHeight="true" outlineLevel="0" collapsed="false">
      <c r="A14" s="18" t="s">
        <v>126</v>
      </c>
      <c r="B14" s="7" t="s">
        <v>127</v>
      </c>
      <c r="C14" s="15" t="n">
        <v>0</v>
      </c>
      <c r="D14" s="7"/>
    </row>
    <row r="15" customFormat="false" ht="15" hidden="false" customHeight="true" outlineLevel="0" collapsed="false">
      <c r="A15" s="7"/>
      <c r="B15" s="7" t="s">
        <v>128</v>
      </c>
      <c r="C15" s="15" t="n">
        <v>0</v>
      </c>
      <c r="D15" s="7"/>
    </row>
    <row r="16" customFormat="false" ht="15" hidden="false" customHeight="true" outlineLevel="0" collapsed="false">
      <c r="A16" s="7"/>
      <c r="B16" s="7" t="s">
        <v>129</v>
      </c>
      <c r="C16" s="15" t="n">
        <v>0</v>
      </c>
      <c r="D16" s="7"/>
    </row>
    <row r="17" customFormat="false" ht="15" hidden="false" customHeight="true" outlineLevel="0" collapsed="false">
      <c r="A17" s="7"/>
      <c r="B17" s="18" t="s">
        <v>130</v>
      </c>
      <c r="C17" s="14" t="n">
        <f aca="false">SUM(C14:C16)</f>
        <v>0</v>
      </c>
      <c r="D17" s="7"/>
    </row>
    <row r="18" customFormat="false" ht="15" hidden="false" customHeight="true" outlineLevel="0" collapsed="false">
      <c r="A18" s="18" t="s">
        <v>131</v>
      </c>
      <c r="B18" s="7" t="s">
        <v>132</v>
      </c>
      <c r="C18" s="15" t="n">
        <v>3500</v>
      </c>
      <c r="D18" s="7"/>
    </row>
    <row r="19" customFormat="false" ht="15" hidden="false" customHeight="true" outlineLevel="0" collapsed="false">
      <c r="A19" s="7"/>
      <c r="B19" s="7" t="s">
        <v>133</v>
      </c>
      <c r="C19" s="15" t="n">
        <v>2500</v>
      </c>
      <c r="D19" s="7"/>
    </row>
    <row r="20" customFormat="false" ht="15" hidden="false" customHeight="true" outlineLevel="0" collapsed="false">
      <c r="A20" s="7"/>
      <c r="B20" s="7" t="s">
        <v>134</v>
      </c>
      <c r="C20" s="15" t="n">
        <v>1500</v>
      </c>
      <c r="D20" s="7"/>
    </row>
    <row r="21" customFormat="false" ht="15" hidden="false" customHeight="true" outlineLevel="0" collapsed="false">
      <c r="A21" s="7"/>
      <c r="B21" s="7" t="s">
        <v>135</v>
      </c>
      <c r="C21" s="15" t="n">
        <v>1700</v>
      </c>
      <c r="D21" s="7"/>
    </row>
    <row r="22" customFormat="false" ht="15" hidden="false" customHeight="true" outlineLevel="0" collapsed="false">
      <c r="A22" s="7"/>
      <c r="B22" s="7" t="s">
        <v>136</v>
      </c>
      <c r="C22" s="15" t="n">
        <v>2000</v>
      </c>
      <c r="D22" s="7"/>
    </row>
    <row r="23" customFormat="false" ht="15" hidden="false" customHeight="true" outlineLevel="0" collapsed="false">
      <c r="A23" s="7"/>
      <c r="B23" s="7" t="s">
        <v>137</v>
      </c>
      <c r="C23" s="15" t="n">
        <v>1500</v>
      </c>
      <c r="D23" s="7"/>
    </row>
    <row r="24" customFormat="false" ht="15" hidden="false" customHeight="true" outlineLevel="0" collapsed="false">
      <c r="A24" s="7"/>
      <c r="B24" s="7" t="s">
        <v>123</v>
      </c>
      <c r="C24" s="15" t="n">
        <v>2300</v>
      </c>
      <c r="D24" s="7" t="s">
        <v>124</v>
      </c>
    </row>
    <row r="25" customFormat="false" ht="15" hidden="false" customHeight="true" outlineLevel="0" collapsed="false">
      <c r="A25" s="7"/>
      <c r="B25" s="18" t="s">
        <v>138</v>
      </c>
      <c r="C25" s="14" t="n">
        <f aca="false">SUM(C18:C24)</f>
        <v>15000</v>
      </c>
      <c r="D25" s="7"/>
    </row>
    <row r="26" customFormat="false" ht="15" hidden="false" customHeight="true" outlineLevel="0" collapsed="false">
      <c r="A26" s="18" t="s">
        <v>139</v>
      </c>
      <c r="B26" s="7" t="s">
        <v>140</v>
      </c>
      <c r="C26" s="14" t="n">
        <f aca="false">MIN(10000,0.05*(C3+C7+C13+C17+C25))</f>
        <v>6303.8</v>
      </c>
      <c r="D26" s="7" t="s">
        <v>141</v>
      </c>
    </row>
    <row r="27" customFormat="false" ht="15" hidden="false" customHeight="true" outlineLevel="0" collapsed="false">
      <c r="A27" s="18" t="s">
        <v>142</v>
      </c>
      <c r="B27" s="7" t="s">
        <v>143</v>
      </c>
      <c r="C27" s="15" t="n">
        <v>15000</v>
      </c>
      <c r="D27" s="7" t="s">
        <v>144</v>
      </c>
    </row>
    <row r="28" customFormat="false" ht="15" hidden="false" customHeight="true" outlineLevel="0" collapsed="false">
      <c r="B28" s="1" t="s">
        <v>145</v>
      </c>
      <c r="C28" s="1" t="n">
        <v>5000</v>
      </c>
    </row>
    <row r="29" customFormat="false" ht="15" hidden="false" customHeight="true" outlineLevel="0" collapsed="false">
      <c r="B29" s="1" t="s">
        <v>146</v>
      </c>
      <c r="C29" s="1" t="n">
        <v>1500</v>
      </c>
    </row>
    <row r="30" customFormat="false" ht="15" hidden="false" customHeight="true" outlineLevel="0" collapsed="false">
      <c r="B30" s="1" t="s">
        <v>147</v>
      </c>
      <c r="C30" s="1" t="n">
        <v>1500</v>
      </c>
    </row>
    <row r="31" customFormat="false" ht="15" hidden="false" customHeight="true" outlineLevel="0" collapsed="false">
      <c r="B31" s="1" t="s">
        <v>148</v>
      </c>
      <c r="C31" s="1" t="n">
        <v>3500</v>
      </c>
    </row>
    <row r="32" customFormat="false" ht="15" hidden="false" customHeight="true" outlineLevel="0" collapsed="false">
      <c r="B32" s="1" t="s">
        <v>149</v>
      </c>
      <c r="C32" s="1" t="n">
        <v>3000</v>
      </c>
    </row>
    <row r="33" customFormat="false" ht="15" hidden="false" customHeight="true" outlineLevel="0" collapsed="false">
      <c r="B33" s="1" t="s">
        <v>150</v>
      </c>
      <c r="C33" s="1" t="n">
        <f aca="false">SUM(C27:C32)</f>
        <v>29500</v>
      </c>
    </row>
    <row r="34" customFormat="false" ht="15" hidden="false" customHeight="true" outlineLevel="0" collapsed="false">
      <c r="A34" s="9" t="s">
        <v>151</v>
      </c>
      <c r="B34" s="19"/>
      <c r="C34" s="16" t="n">
        <f aca="false">C3+C7+C13+C17+C25+C26+C33</f>
        <v>161879.8</v>
      </c>
      <c r="D34" s="19"/>
    </row>
    <row r="35" customFormat="false" ht="15" hidden="false" customHeight="true" outlineLevel="0" collapsed="false">
      <c r="A35" s="7"/>
      <c r="B35" s="7" t="s">
        <v>78</v>
      </c>
      <c r="C35" s="20" t="n">
        <f aca="false">C34/1170</f>
        <v>138.358803418803</v>
      </c>
      <c r="D35" s="7"/>
    </row>
    <row r="38" customFormat="false" ht="15" hidden="false" customHeight="true" outlineLevel="0" collapsed="false">
      <c r="A38" s="21" t="s">
        <v>152</v>
      </c>
    </row>
    <row r="39" customFormat="false" ht="15" hidden="false" customHeight="true" outlineLevel="0" collapsed="false">
      <c r="A39" s="3" t="s">
        <v>103</v>
      </c>
      <c r="B39" s="3" t="s">
        <v>104</v>
      </c>
      <c r="C39" s="3" t="s">
        <v>105</v>
      </c>
      <c r="D39" s="3" t="s">
        <v>106</v>
      </c>
    </row>
    <row r="40" customFormat="false" ht="15" hidden="false" customHeight="true" outlineLevel="0" collapsed="false">
      <c r="A40" s="18" t="s">
        <v>107</v>
      </c>
      <c r="B40" s="7" t="s">
        <v>108</v>
      </c>
      <c r="C40" s="14" t="n">
        <f aca="false">'Sticks &amp; Bricks Detail'!C56</f>
        <v>97831</v>
      </c>
      <c r="D40" s="7" t="s">
        <v>109</v>
      </c>
    </row>
    <row r="41" customFormat="false" ht="15" hidden="false" customHeight="true" outlineLevel="0" collapsed="false">
      <c r="A41" s="18" t="s">
        <v>110</v>
      </c>
      <c r="B41" s="7" t="s">
        <v>111</v>
      </c>
      <c r="C41" s="15" t="n">
        <v>0</v>
      </c>
      <c r="D41" s="7" t="s">
        <v>112</v>
      </c>
    </row>
    <row r="42" customFormat="false" ht="15" hidden="false" customHeight="true" outlineLevel="0" collapsed="false">
      <c r="A42" s="7"/>
      <c r="B42" s="7" t="s">
        <v>113</v>
      </c>
      <c r="C42" s="15" t="n">
        <v>0</v>
      </c>
      <c r="D42" s="7" t="s">
        <v>114</v>
      </c>
    </row>
    <row r="43" customFormat="false" ht="15" hidden="false" customHeight="true" outlineLevel="0" collapsed="false">
      <c r="A43" s="7"/>
      <c r="B43" s="7" t="s">
        <v>115</v>
      </c>
      <c r="C43" s="15" t="n">
        <v>0</v>
      </c>
      <c r="D43" s="7" t="s">
        <v>116</v>
      </c>
    </row>
    <row r="44" customFormat="false" ht="15" hidden="false" customHeight="true" outlineLevel="0" collapsed="false">
      <c r="A44" s="7"/>
      <c r="B44" s="18" t="s">
        <v>117</v>
      </c>
      <c r="C44" s="14" t="n">
        <f aca="false">SUM(C35:C37)</f>
        <v>138.358803418803</v>
      </c>
      <c r="D44" s="7"/>
    </row>
    <row r="45" customFormat="false" ht="15" hidden="false" customHeight="true" outlineLevel="0" collapsed="false">
      <c r="A45" s="18" t="s">
        <v>118</v>
      </c>
      <c r="B45" s="7" t="s">
        <v>119</v>
      </c>
      <c r="C45" s="15" t="n">
        <v>5000</v>
      </c>
      <c r="D45" s="7"/>
    </row>
    <row r="46" customFormat="false" ht="15" hidden="false" customHeight="true" outlineLevel="0" collapsed="false">
      <c r="A46" s="7"/>
      <c r="B46" s="7" t="s">
        <v>120</v>
      </c>
      <c r="C46" s="15" t="n">
        <v>3000</v>
      </c>
      <c r="D46" s="7"/>
    </row>
    <row r="47" customFormat="false" ht="15" hidden="false" customHeight="true" outlineLevel="0" collapsed="false">
      <c r="A47" s="7"/>
      <c r="B47" s="7" t="s">
        <v>121</v>
      </c>
      <c r="C47" s="15" t="n">
        <v>2500</v>
      </c>
      <c r="D47" s="7"/>
    </row>
    <row r="48" customFormat="false" ht="15" hidden="false" customHeight="true" outlineLevel="0" collapsed="false">
      <c r="A48" s="7"/>
      <c r="B48" s="7" t="s">
        <v>122</v>
      </c>
      <c r="C48" s="15" t="n">
        <v>3500</v>
      </c>
      <c r="D48" s="7"/>
    </row>
    <row r="49" customFormat="false" ht="15" hidden="false" customHeight="true" outlineLevel="0" collapsed="false">
      <c r="A49" s="7"/>
      <c r="B49" s="7" t="s">
        <v>123</v>
      </c>
      <c r="C49" s="15" t="n">
        <v>1000</v>
      </c>
      <c r="D49" s="7" t="s">
        <v>124</v>
      </c>
    </row>
    <row r="50" customFormat="false" ht="15" hidden="false" customHeight="true" outlineLevel="0" collapsed="false">
      <c r="A50" s="7"/>
      <c r="B50" s="18" t="s">
        <v>125</v>
      </c>
      <c r="C50" s="14" t="n">
        <f aca="false">SUM(C39:C43)</f>
        <v>97831</v>
      </c>
      <c r="D50" s="7"/>
    </row>
    <row r="51" customFormat="false" ht="15" hidden="false" customHeight="true" outlineLevel="0" collapsed="false">
      <c r="A51" s="18" t="s">
        <v>126</v>
      </c>
      <c r="B51" s="7" t="s">
        <v>127</v>
      </c>
      <c r="C51" s="15" t="n">
        <v>0</v>
      </c>
      <c r="D51" s="7"/>
    </row>
    <row r="52" customFormat="false" ht="15" hidden="false" customHeight="true" outlineLevel="0" collapsed="false">
      <c r="A52" s="7"/>
      <c r="B52" s="7" t="s">
        <v>128</v>
      </c>
      <c r="C52" s="15" t="n">
        <v>0</v>
      </c>
      <c r="D52" s="7"/>
    </row>
    <row r="53" customFormat="false" ht="15" hidden="false" customHeight="true" outlineLevel="0" collapsed="false">
      <c r="A53" s="7"/>
      <c r="B53" s="7" t="s">
        <v>129</v>
      </c>
      <c r="C53" s="15" t="n">
        <v>0</v>
      </c>
      <c r="D53" s="7"/>
    </row>
    <row r="54" customFormat="false" ht="15" hidden="false" customHeight="true" outlineLevel="0" collapsed="false">
      <c r="A54" s="7"/>
      <c r="B54" s="18" t="s">
        <v>130</v>
      </c>
      <c r="C54" s="14" t="n">
        <f aca="false">SUM(C45:C47)</f>
        <v>10500</v>
      </c>
      <c r="D54" s="7"/>
    </row>
    <row r="55" customFormat="false" ht="15" hidden="false" customHeight="true" outlineLevel="0" collapsed="false">
      <c r="A55" s="18" t="s">
        <v>131</v>
      </c>
      <c r="B55" s="7" t="s">
        <v>132</v>
      </c>
      <c r="C55" s="15" t="n">
        <v>3500</v>
      </c>
      <c r="D55" s="7"/>
    </row>
    <row r="56" customFormat="false" ht="15" hidden="false" customHeight="true" outlineLevel="0" collapsed="false">
      <c r="A56" s="7"/>
      <c r="B56" s="7" t="s">
        <v>133</v>
      </c>
      <c r="C56" s="15" t="n">
        <v>2500</v>
      </c>
      <c r="D56" s="7"/>
    </row>
    <row r="57" customFormat="false" ht="15" hidden="false" customHeight="true" outlineLevel="0" collapsed="false">
      <c r="A57" s="7"/>
      <c r="B57" s="7" t="s">
        <v>134</v>
      </c>
      <c r="C57" s="15" t="n">
        <v>1500</v>
      </c>
      <c r="D57" s="7"/>
    </row>
    <row r="58" customFormat="false" ht="15" hidden="false" customHeight="true" outlineLevel="0" collapsed="false">
      <c r="A58" s="7"/>
      <c r="B58" s="7" t="s">
        <v>135</v>
      </c>
      <c r="C58" s="15" t="n">
        <v>1700</v>
      </c>
      <c r="D58" s="7"/>
    </row>
    <row r="59" customFormat="false" ht="15" hidden="false" customHeight="true" outlineLevel="0" collapsed="false">
      <c r="A59" s="7"/>
      <c r="B59" s="7" t="s">
        <v>136</v>
      </c>
      <c r="C59" s="15" t="n">
        <v>2000</v>
      </c>
      <c r="D59" s="7"/>
    </row>
    <row r="60" customFormat="false" ht="15" hidden="false" customHeight="true" outlineLevel="0" collapsed="false">
      <c r="A60" s="7"/>
      <c r="B60" s="7" t="s">
        <v>137</v>
      </c>
      <c r="C60" s="15" t="n">
        <v>1500</v>
      </c>
      <c r="D60" s="7"/>
    </row>
    <row r="61" customFormat="false" ht="15" hidden="false" customHeight="true" outlineLevel="0" collapsed="false">
      <c r="A61" s="7"/>
      <c r="B61" s="7" t="s">
        <v>123</v>
      </c>
      <c r="C61" s="15" t="n">
        <v>2300</v>
      </c>
      <c r="D61" s="7" t="s">
        <v>124</v>
      </c>
    </row>
    <row r="62" customFormat="false" ht="15" hidden="false" customHeight="true" outlineLevel="0" collapsed="false">
      <c r="A62" s="7"/>
      <c r="B62" s="18" t="s">
        <v>138</v>
      </c>
      <c r="C62" s="14" t="n">
        <f aca="false">SUM(C49:C55)</f>
        <v>112831</v>
      </c>
      <c r="D62" s="7"/>
    </row>
    <row r="63" customFormat="false" ht="15" hidden="false" customHeight="true" outlineLevel="0" collapsed="false">
      <c r="A63" s="18" t="s">
        <v>139</v>
      </c>
      <c r="B63" s="18"/>
      <c r="C63" s="18"/>
      <c r="D63" s="18"/>
    </row>
    <row r="64" customFormat="false" ht="15" hidden="false" customHeight="true" outlineLevel="0" collapsed="false">
      <c r="A64" s="18" t="s">
        <v>142</v>
      </c>
      <c r="B64" s="7" t="s">
        <v>143</v>
      </c>
      <c r="C64" s="15" t="n">
        <v>15000</v>
      </c>
      <c r="D64" s="7" t="s">
        <v>144</v>
      </c>
    </row>
    <row r="65" customFormat="false" ht="15" hidden="false" customHeight="true" outlineLevel="0" collapsed="false">
      <c r="B65" s="1" t="s">
        <v>145</v>
      </c>
      <c r="C65" s="1" t="n">
        <v>5000</v>
      </c>
    </row>
    <row r="66" customFormat="false" ht="15" hidden="false" customHeight="true" outlineLevel="0" collapsed="false">
      <c r="B66" s="1" t="s">
        <v>146</v>
      </c>
      <c r="C66" s="1" t="n">
        <v>1500</v>
      </c>
    </row>
    <row r="67" customFormat="false" ht="15" hidden="false" customHeight="true" outlineLevel="0" collapsed="false">
      <c r="B67" s="1" t="s">
        <v>147</v>
      </c>
      <c r="C67" s="1" t="n">
        <v>1500</v>
      </c>
    </row>
    <row r="68" customFormat="false" ht="15" hidden="false" customHeight="true" outlineLevel="0" collapsed="false">
      <c r="B68" s="1" t="s">
        <v>148</v>
      </c>
      <c r="C68" s="1" t="n">
        <v>3500</v>
      </c>
    </row>
    <row r="69" customFormat="false" ht="15" hidden="false" customHeight="true" outlineLevel="0" collapsed="false">
      <c r="B69" s="1" t="s">
        <v>149</v>
      </c>
      <c r="C69" s="1" t="n">
        <v>3000</v>
      </c>
    </row>
    <row r="70" customFormat="false" ht="15" hidden="false" customHeight="true" outlineLevel="0" collapsed="false">
      <c r="B70" s="1" t="s">
        <v>150</v>
      </c>
      <c r="C70" s="1" t="n">
        <f aca="false">SUM(C58:C63)</f>
        <v>120331</v>
      </c>
    </row>
    <row r="71" customFormat="false" ht="15" hidden="false" customHeight="true" outlineLevel="0" collapsed="false">
      <c r="A71" s="9" t="s">
        <v>151</v>
      </c>
      <c r="B71" s="19"/>
      <c r="C71" s="16" t="n">
        <f aca="false">C40+C44+C50+C54+C62+C63+C70</f>
        <v>439462.358803419</v>
      </c>
      <c r="D71" s="19"/>
    </row>
    <row r="72" customFormat="false" ht="15" hidden="false" customHeight="true" outlineLevel="0" collapsed="false">
      <c r="A72" s="7"/>
      <c r="B72" s="7" t="s">
        <v>78</v>
      </c>
      <c r="C72" s="20" t="n">
        <f aca="false">C71/1188</f>
        <v>369.917810440588</v>
      </c>
      <c r="D72" s="7"/>
    </row>
    <row r="75" customFormat="false" ht="15" hidden="false" customHeight="true" outlineLevel="0" collapsed="false">
      <c r="A75" s="21" t="s">
        <v>153</v>
      </c>
    </row>
    <row r="76" customFormat="false" ht="15" hidden="false" customHeight="true" outlineLevel="0" collapsed="false">
      <c r="A76" s="3" t="s">
        <v>103</v>
      </c>
      <c r="B76" s="3" t="s">
        <v>104</v>
      </c>
      <c r="C76" s="3" t="s">
        <v>105</v>
      </c>
      <c r="D76" s="3" t="s">
        <v>106</v>
      </c>
    </row>
    <row r="77" customFormat="false" ht="15" hidden="false" customHeight="true" outlineLevel="0" collapsed="false">
      <c r="A77" s="18" t="s">
        <v>107</v>
      </c>
      <c r="B77" s="7" t="s">
        <v>108</v>
      </c>
      <c r="C77" s="14" t="n">
        <f aca="false">'Sticks &amp; Bricks Detail'!D56</f>
        <v>105668</v>
      </c>
      <c r="D77" s="7" t="s">
        <v>109</v>
      </c>
    </row>
    <row r="78" customFormat="false" ht="15" hidden="false" customHeight="true" outlineLevel="0" collapsed="false">
      <c r="A78" s="18" t="s">
        <v>110</v>
      </c>
      <c r="B78" s="7" t="s">
        <v>111</v>
      </c>
      <c r="C78" s="15" t="n">
        <v>0</v>
      </c>
      <c r="D78" s="7" t="s">
        <v>112</v>
      </c>
    </row>
    <row r="79" customFormat="false" ht="15" hidden="false" customHeight="true" outlineLevel="0" collapsed="false">
      <c r="A79" s="7"/>
      <c r="B79" s="7" t="s">
        <v>113</v>
      </c>
      <c r="C79" s="15" t="n">
        <v>0</v>
      </c>
      <c r="D79" s="7" t="s">
        <v>114</v>
      </c>
    </row>
    <row r="80" customFormat="false" ht="15" hidden="false" customHeight="true" outlineLevel="0" collapsed="false">
      <c r="A80" s="7"/>
      <c r="B80" s="7" t="s">
        <v>115</v>
      </c>
      <c r="C80" s="15" t="n">
        <v>0</v>
      </c>
      <c r="D80" s="7" t="s">
        <v>116</v>
      </c>
    </row>
    <row r="81" customFormat="false" ht="15" hidden="false" customHeight="true" outlineLevel="0" collapsed="false">
      <c r="A81" s="7"/>
      <c r="B81" s="18" t="s">
        <v>117</v>
      </c>
      <c r="C81" s="14" t="n">
        <f aca="false">SUM(C66:C68)</f>
        <v>6500</v>
      </c>
      <c r="D81" s="7"/>
    </row>
    <row r="82" customFormat="false" ht="15" hidden="false" customHeight="true" outlineLevel="0" collapsed="false">
      <c r="A82" s="18" t="s">
        <v>118</v>
      </c>
      <c r="B82" s="7" t="s">
        <v>119</v>
      </c>
      <c r="C82" s="15" t="n">
        <v>5000</v>
      </c>
      <c r="D82" s="7"/>
    </row>
    <row r="83" customFormat="false" ht="15" hidden="false" customHeight="true" outlineLevel="0" collapsed="false">
      <c r="A83" s="7"/>
      <c r="B83" s="7" t="s">
        <v>120</v>
      </c>
      <c r="C83" s="15" t="n">
        <v>3000</v>
      </c>
      <c r="D83" s="7"/>
    </row>
    <row r="84" customFormat="false" ht="15" hidden="false" customHeight="true" outlineLevel="0" collapsed="false">
      <c r="A84" s="7"/>
      <c r="B84" s="7" t="s">
        <v>121</v>
      </c>
      <c r="C84" s="15" t="n">
        <v>2500</v>
      </c>
      <c r="D84" s="7"/>
    </row>
    <row r="85" customFormat="false" ht="15" hidden="false" customHeight="true" outlineLevel="0" collapsed="false">
      <c r="A85" s="7"/>
      <c r="B85" s="7" t="s">
        <v>122</v>
      </c>
      <c r="C85" s="15" t="n">
        <v>3500</v>
      </c>
      <c r="D85" s="7"/>
    </row>
    <row r="86" customFormat="false" ht="15" hidden="false" customHeight="true" outlineLevel="0" collapsed="false">
      <c r="A86" s="7"/>
      <c r="B86" s="7" t="s">
        <v>123</v>
      </c>
      <c r="C86" s="15" t="n">
        <v>1000</v>
      </c>
      <c r="D86" s="7" t="s">
        <v>124</v>
      </c>
    </row>
    <row r="87" customFormat="false" ht="15" hidden="false" customHeight="true" outlineLevel="0" collapsed="false">
      <c r="A87" s="7"/>
      <c r="B87" s="18" t="s">
        <v>125</v>
      </c>
      <c r="C87" s="14" t="n">
        <f aca="false">SUM(C70:C74)</f>
        <v>560163.27661386</v>
      </c>
      <c r="D87" s="7"/>
    </row>
    <row r="88" customFormat="false" ht="15" hidden="false" customHeight="true" outlineLevel="0" collapsed="false">
      <c r="A88" s="18" t="s">
        <v>126</v>
      </c>
      <c r="B88" s="7" t="s">
        <v>127</v>
      </c>
      <c r="C88" s="15" t="n">
        <v>0</v>
      </c>
      <c r="D88" s="7"/>
    </row>
    <row r="89" customFormat="false" ht="15" hidden="false" customHeight="true" outlineLevel="0" collapsed="false">
      <c r="A89" s="7"/>
      <c r="B89" s="7" t="s">
        <v>128</v>
      </c>
      <c r="C89" s="15" t="n">
        <v>0</v>
      </c>
      <c r="D89" s="7"/>
    </row>
    <row r="90" customFormat="false" ht="15" hidden="false" customHeight="true" outlineLevel="0" collapsed="false">
      <c r="A90" s="7"/>
      <c r="B90" s="7" t="s">
        <v>129</v>
      </c>
      <c r="C90" s="15" t="n">
        <v>0</v>
      </c>
      <c r="D90" s="7"/>
    </row>
    <row r="91" customFormat="false" ht="15" hidden="false" customHeight="true" outlineLevel="0" collapsed="false">
      <c r="A91" s="7"/>
      <c r="B91" s="18" t="s">
        <v>130</v>
      </c>
      <c r="C91" s="14" t="n">
        <f aca="false">SUM(C76:C78)</f>
        <v>105668</v>
      </c>
      <c r="D91" s="7"/>
    </row>
    <row r="92" customFormat="false" ht="15" hidden="false" customHeight="true" outlineLevel="0" collapsed="false">
      <c r="A92" s="18" t="s">
        <v>131</v>
      </c>
      <c r="B92" s="7" t="s">
        <v>132</v>
      </c>
      <c r="C92" s="15" t="n">
        <v>3500</v>
      </c>
      <c r="D92" s="7"/>
    </row>
    <row r="93" customFormat="false" ht="15" hidden="false" customHeight="true" outlineLevel="0" collapsed="false">
      <c r="A93" s="7"/>
      <c r="B93" s="7" t="s">
        <v>133</v>
      </c>
      <c r="C93" s="15" t="n">
        <v>2500</v>
      </c>
      <c r="D93" s="7"/>
    </row>
    <row r="94" customFormat="false" ht="15" hidden="false" customHeight="true" outlineLevel="0" collapsed="false">
      <c r="A94" s="22"/>
      <c r="B94" s="22"/>
      <c r="C94" s="22"/>
      <c r="D94" s="22"/>
    </row>
    <row r="95" customFormat="false" ht="15" hidden="false" customHeight="true" outlineLevel="0" collapsed="false">
      <c r="A95" s="7"/>
      <c r="B95" s="7" t="s">
        <v>135</v>
      </c>
      <c r="C95" s="15" t="n">
        <v>1700</v>
      </c>
      <c r="D95" s="7"/>
    </row>
    <row r="96" customFormat="false" ht="15" hidden="false" customHeight="true" outlineLevel="0" collapsed="false">
      <c r="A96" s="7"/>
      <c r="B96" s="7" t="s">
        <v>136</v>
      </c>
      <c r="C96" s="15" t="n">
        <v>2000</v>
      </c>
      <c r="D96" s="7"/>
    </row>
    <row r="97" customFormat="false" ht="15" hidden="false" customHeight="true" outlineLevel="0" collapsed="false">
      <c r="A97" s="7"/>
      <c r="B97" s="7" t="s">
        <v>137</v>
      </c>
      <c r="C97" s="15" t="n">
        <v>1500</v>
      </c>
      <c r="D97" s="7"/>
    </row>
    <row r="98" customFormat="false" ht="15" hidden="false" customHeight="true" outlineLevel="0" collapsed="false">
      <c r="A98" s="7"/>
      <c r="B98" s="7" t="s">
        <v>123</v>
      </c>
      <c r="C98" s="15" t="n">
        <v>2300</v>
      </c>
      <c r="D98" s="7" t="s">
        <v>124</v>
      </c>
    </row>
    <row r="99" customFormat="false" ht="15" hidden="false" customHeight="true" outlineLevel="0" collapsed="false">
      <c r="A99" s="7"/>
      <c r="B99" s="18" t="s">
        <v>138</v>
      </c>
      <c r="C99" s="14" t="n">
        <f aca="false">SUM(C80:C86)</f>
        <v>21500</v>
      </c>
      <c r="D99" s="7"/>
    </row>
    <row r="100" customFormat="false" ht="15" hidden="false" customHeight="true" outlineLevel="0" collapsed="false">
      <c r="A100" s="18" t="s">
        <v>139</v>
      </c>
      <c r="B100" s="7" t="s">
        <v>140</v>
      </c>
      <c r="C100" s="14" t="n">
        <f aca="false">MIN(10000,0.05*(C77+C81+C87+C91+C99))</f>
        <v>10000</v>
      </c>
      <c r="D100" s="7" t="s">
        <v>141</v>
      </c>
    </row>
    <row r="101" customFormat="false" ht="15" hidden="false" customHeight="true" outlineLevel="0" collapsed="false">
      <c r="A101" s="18" t="s">
        <v>142</v>
      </c>
      <c r="B101" s="7" t="s">
        <v>143</v>
      </c>
      <c r="C101" s="15" t="n">
        <v>15000</v>
      </c>
      <c r="D101" s="7" t="s">
        <v>144</v>
      </c>
    </row>
    <row r="102" customFormat="false" ht="15" hidden="false" customHeight="true" outlineLevel="0" collapsed="false">
      <c r="B102" s="1" t="s">
        <v>145</v>
      </c>
      <c r="C102" s="1" t="n">
        <v>5000</v>
      </c>
    </row>
    <row r="103" customFormat="false" ht="15" hidden="false" customHeight="true" outlineLevel="0" collapsed="false">
      <c r="B103" s="1" t="s">
        <v>146</v>
      </c>
      <c r="C103" s="1" t="n">
        <v>1500</v>
      </c>
    </row>
    <row r="104" customFormat="false" ht="15" hidden="false" customHeight="true" outlineLevel="0" collapsed="false">
      <c r="B104" s="1" t="s">
        <v>147</v>
      </c>
      <c r="C104" s="1" t="n">
        <v>1500</v>
      </c>
    </row>
    <row r="105" customFormat="false" ht="15" hidden="false" customHeight="true" outlineLevel="0" collapsed="false">
      <c r="B105" s="1" t="s">
        <v>148</v>
      </c>
      <c r="C105" s="1" t="n">
        <v>3500</v>
      </c>
    </row>
    <row r="106" customFormat="false" ht="15" hidden="false" customHeight="true" outlineLevel="0" collapsed="false">
      <c r="B106" s="1" t="s">
        <v>149</v>
      </c>
      <c r="C106" s="1" t="n">
        <v>3000</v>
      </c>
    </row>
    <row r="107" customFormat="false" ht="15" hidden="false" customHeight="true" outlineLevel="0" collapsed="false">
      <c r="B107" s="1" t="s">
        <v>150</v>
      </c>
      <c r="C107" s="1" t="n">
        <f aca="false">SUM(C89:C94)</f>
        <v>111668</v>
      </c>
    </row>
    <row r="108" customFormat="false" ht="15" hidden="false" customHeight="true" outlineLevel="0" collapsed="false">
      <c r="A108" s="9" t="s">
        <v>151</v>
      </c>
      <c r="B108" s="19"/>
      <c r="C108" s="16" t="n">
        <f aca="false">C77+C81+C87+C91+C99+C100+C107</f>
        <v>921167.27661386</v>
      </c>
      <c r="D108" s="19"/>
    </row>
    <row r="109" customFormat="false" ht="15" hidden="false" customHeight="true" outlineLevel="0" collapsed="false">
      <c r="A109" s="7"/>
      <c r="B109" s="7" t="s">
        <v>78</v>
      </c>
      <c r="C109" s="20" t="n">
        <f aca="false">C108/1304</f>
        <v>706.416623170138</v>
      </c>
      <c r="D109" s="7"/>
    </row>
    <row r="112" customFormat="false" ht="15" hidden="false" customHeight="true" outlineLevel="0" collapsed="false">
      <c r="A112" s="21" t="s">
        <v>154</v>
      </c>
    </row>
    <row r="113" customFormat="false" ht="15" hidden="false" customHeight="true" outlineLevel="0" collapsed="false">
      <c r="A113" s="3" t="s">
        <v>103</v>
      </c>
      <c r="B113" s="3" t="s">
        <v>104</v>
      </c>
      <c r="C113" s="3" t="s">
        <v>105</v>
      </c>
      <c r="D113" s="3" t="s">
        <v>106</v>
      </c>
    </row>
    <row r="114" customFormat="false" ht="15" hidden="false" customHeight="true" outlineLevel="0" collapsed="false">
      <c r="A114" s="18" t="s">
        <v>107</v>
      </c>
      <c r="B114" s="7" t="s">
        <v>108</v>
      </c>
      <c r="C114" s="14" t="n">
        <f aca="false">'Sticks &amp; Bricks Detail'!E56</f>
        <v>113798</v>
      </c>
      <c r="D114" s="7" t="s">
        <v>109</v>
      </c>
    </row>
    <row r="115" customFormat="false" ht="15" hidden="false" customHeight="true" outlineLevel="0" collapsed="false">
      <c r="A115" s="18" t="s">
        <v>110</v>
      </c>
      <c r="B115" s="7" t="s">
        <v>111</v>
      </c>
      <c r="C115" s="15" t="n">
        <v>0</v>
      </c>
      <c r="D115" s="7" t="s">
        <v>112</v>
      </c>
    </row>
    <row r="116" customFormat="false" ht="15" hidden="false" customHeight="true" outlineLevel="0" collapsed="false">
      <c r="A116" s="7"/>
      <c r="B116" s="7" t="s">
        <v>113</v>
      </c>
      <c r="C116" s="15" t="n">
        <v>0</v>
      </c>
      <c r="D116" s="7" t="s">
        <v>114</v>
      </c>
    </row>
    <row r="117" customFormat="false" ht="15" hidden="false" customHeight="true" outlineLevel="0" collapsed="false">
      <c r="A117" s="7"/>
      <c r="B117" s="7" t="s">
        <v>115</v>
      </c>
      <c r="C117" s="15" t="n">
        <v>0</v>
      </c>
      <c r="D117" s="7" t="s">
        <v>116</v>
      </c>
    </row>
    <row r="118" customFormat="false" ht="15" hidden="false" customHeight="true" outlineLevel="0" collapsed="false">
      <c r="A118" s="7"/>
      <c r="B118" s="18" t="s">
        <v>117</v>
      </c>
      <c r="C118" s="14" t="n">
        <f aca="false">SUM(C97:C99)</f>
        <v>25300</v>
      </c>
      <c r="D118" s="7"/>
    </row>
    <row r="119" customFormat="false" ht="15" hidden="false" customHeight="true" outlineLevel="0" collapsed="false">
      <c r="A119" s="18" t="s">
        <v>118</v>
      </c>
      <c r="B119" s="7" t="s">
        <v>119</v>
      </c>
      <c r="C119" s="15" t="n">
        <v>5000</v>
      </c>
      <c r="D119" s="7"/>
    </row>
    <row r="120" customFormat="false" ht="15" hidden="false" customHeight="true" outlineLevel="0" collapsed="false">
      <c r="A120" s="7"/>
      <c r="B120" s="7" t="s">
        <v>120</v>
      </c>
      <c r="C120" s="15" t="n">
        <v>3000</v>
      </c>
      <c r="D120" s="7"/>
    </row>
    <row r="121" customFormat="false" ht="15" hidden="false" customHeight="true" outlineLevel="0" collapsed="false">
      <c r="A121" s="7"/>
      <c r="B121" s="7" t="s">
        <v>121</v>
      </c>
      <c r="C121" s="15" t="n">
        <v>2500</v>
      </c>
      <c r="D121" s="7"/>
    </row>
    <row r="122" customFormat="false" ht="15" hidden="false" customHeight="true" outlineLevel="0" collapsed="false">
      <c r="A122" s="7"/>
      <c r="B122" s="7" t="s">
        <v>122</v>
      </c>
      <c r="C122" s="15" t="n">
        <v>3500</v>
      </c>
      <c r="D122" s="7"/>
    </row>
    <row r="123" customFormat="false" ht="15" hidden="false" customHeight="true" outlineLevel="0" collapsed="false">
      <c r="A123" s="7"/>
      <c r="B123" s="7" t="s">
        <v>123</v>
      </c>
      <c r="C123" s="15" t="n">
        <v>1000</v>
      </c>
      <c r="D123" s="7" t="s">
        <v>124</v>
      </c>
    </row>
    <row r="124" customFormat="false" ht="15" hidden="false" customHeight="true" outlineLevel="0" collapsed="false">
      <c r="A124" s="7"/>
      <c r="B124" s="18" t="s">
        <v>125</v>
      </c>
      <c r="C124" s="14" t="n">
        <f aca="false">SUM(C101:C105)</f>
        <v>26500</v>
      </c>
      <c r="D124" s="7"/>
    </row>
    <row r="125" customFormat="false" ht="15" hidden="false" customHeight="true" outlineLevel="0" collapsed="false">
      <c r="A125" s="18" t="s">
        <v>126</v>
      </c>
      <c r="B125" s="18"/>
      <c r="C125" s="18"/>
      <c r="D125" s="18"/>
    </row>
    <row r="126" customFormat="false" ht="15" hidden="false" customHeight="true" outlineLevel="0" collapsed="false">
      <c r="A126" s="7"/>
      <c r="B126" s="7" t="s">
        <v>128</v>
      </c>
      <c r="C126" s="15" t="n">
        <v>0</v>
      </c>
      <c r="D126" s="7"/>
    </row>
    <row r="127" customFormat="false" ht="15" hidden="false" customHeight="true" outlineLevel="0" collapsed="false">
      <c r="A127" s="7"/>
      <c r="B127" s="7" t="s">
        <v>129</v>
      </c>
      <c r="C127" s="15" t="n">
        <v>0</v>
      </c>
      <c r="D127" s="7"/>
    </row>
    <row r="128" customFormat="false" ht="15" hidden="false" customHeight="true" outlineLevel="0" collapsed="false">
      <c r="A128" s="7"/>
      <c r="B128" s="18" t="s">
        <v>130</v>
      </c>
      <c r="C128" s="14" t="n">
        <f aca="false">SUM(C107:C109)</f>
        <v>1033541.69323703</v>
      </c>
      <c r="D128" s="7"/>
    </row>
    <row r="129" customFormat="false" ht="15" hidden="false" customHeight="true" outlineLevel="0" collapsed="false">
      <c r="A129" s="18" t="s">
        <v>131</v>
      </c>
      <c r="B129" s="7" t="s">
        <v>132</v>
      </c>
      <c r="C129" s="15" t="n">
        <v>3500</v>
      </c>
      <c r="D129" s="7"/>
    </row>
    <row r="130" customFormat="false" ht="15" hidden="false" customHeight="true" outlineLevel="0" collapsed="false">
      <c r="A130" s="7"/>
      <c r="B130" s="7" t="s">
        <v>133</v>
      </c>
      <c r="C130" s="15" t="n">
        <v>2500</v>
      </c>
      <c r="D130" s="7"/>
    </row>
    <row r="131" customFormat="false" ht="15" hidden="false" customHeight="true" outlineLevel="0" collapsed="false">
      <c r="A131" s="7"/>
      <c r="B131" s="7" t="s">
        <v>134</v>
      </c>
      <c r="C131" s="15" t="n">
        <v>1500</v>
      </c>
      <c r="D131" s="7"/>
    </row>
    <row r="132" customFormat="false" ht="15" hidden="false" customHeight="true" outlineLevel="0" collapsed="false">
      <c r="A132" s="7"/>
      <c r="B132" s="7" t="s">
        <v>135</v>
      </c>
      <c r="C132" s="15" t="n">
        <v>1700</v>
      </c>
      <c r="D132" s="7"/>
    </row>
    <row r="133" customFormat="false" ht="15" hidden="false" customHeight="true" outlineLevel="0" collapsed="false">
      <c r="A133" s="7"/>
      <c r="B133" s="7" t="s">
        <v>136</v>
      </c>
      <c r="C133" s="15" t="n">
        <v>2000</v>
      </c>
      <c r="D133" s="7"/>
    </row>
    <row r="134" customFormat="false" ht="15" hidden="false" customHeight="true" outlineLevel="0" collapsed="false">
      <c r="A134" s="7"/>
      <c r="B134" s="7" t="s">
        <v>137</v>
      </c>
      <c r="C134" s="15" t="n">
        <v>1500</v>
      </c>
      <c r="D134" s="7"/>
    </row>
    <row r="135" customFormat="false" ht="15" hidden="false" customHeight="true" outlineLevel="0" collapsed="false">
      <c r="A135" s="7"/>
      <c r="B135" s="7" t="s">
        <v>123</v>
      </c>
      <c r="C135" s="15" t="n">
        <v>2300</v>
      </c>
      <c r="D135" s="7" t="s">
        <v>124</v>
      </c>
    </row>
    <row r="136" customFormat="false" ht="15" hidden="false" customHeight="true" outlineLevel="0" collapsed="false">
      <c r="A136" s="7"/>
      <c r="B136" s="18" t="s">
        <v>138</v>
      </c>
      <c r="C136" s="14" t="n">
        <f aca="false">SUM(C111:C117)</f>
        <v>113798</v>
      </c>
      <c r="D136" s="7"/>
    </row>
    <row r="137" customFormat="false" ht="15" hidden="false" customHeight="true" outlineLevel="0" collapsed="false">
      <c r="A137" s="18" t="s">
        <v>139</v>
      </c>
      <c r="B137" s="7" t="s">
        <v>140</v>
      </c>
      <c r="C137" s="14" t="n">
        <f aca="false">MIN(10000,0.05*(C114+C118+C124+C128+C136))</f>
        <v>10000</v>
      </c>
      <c r="D137" s="7" t="s">
        <v>141</v>
      </c>
    </row>
    <row r="138" customFormat="false" ht="15" hidden="false" customHeight="true" outlineLevel="0" collapsed="false">
      <c r="A138" s="18" t="s">
        <v>142</v>
      </c>
      <c r="B138" s="7" t="s">
        <v>143</v>
      </c>
      <c r="C138" s="15" t="n">
        <v>15000</v>
      </c>
      <c r="D138" s="7" t="s">
        <v>144</v>
      </c>
    </row>
    <row r="139" customFormat="false" ht="15" hidden="false" customHeight="true" outlineLevel="0" collapsed="false">
      <c r="B139" s="1" t="s">
        <v>145</v>
      </c>
      <c r="C139" s="1" t="n">
        <v>5000</v>
      </c>
    </row>
    <row r="140" customFormat="false" ht="15" hidden="false" customHeight="true" outlineLevel="0" collapsed="false">
      <c r="B140" s="1" t="s">
        <v>146</v>
      </c>
      <c r="C140" s="1" t="n">
        <v>1500</v>
      </c>
    </row>
    <row r="141" customFormat="false" ht="15" hidden="false" customHeight="true" outlineLevel="0" collapsed="false">
      <c r="B141" s="1" t="s">
        <v>147</v>
      </c>
      <c r="C141" s="1" t="n">
        <v>1500</v>
      </c>
    </row>
    <row r="142" customFormat="false" ht="15" hidden="false" customHeight="true" outlineLevel="0" collapsed="false">
      <c r="B142" s="1" t="s">
        <v>148</v>
      </c>
      <c r="C142" s="1" t="n">
        <v>3500</v>
      </c>
    </row>
    <row r="143" customFormat="false" ht="15" hidden="false" customHeight="true" outlineLevel="0" collapsed="false">
      <c r="B143" s="1" t="s">
        <v>149</v>
      </c>
      <c r="C143" s="1" t="n">
        <v>3000</v>
      </c>
    </row>
    <row r="144" customFormat="false" ht="15" hidden="false" customHeight="true" outlineLevel="0" collapsed="false">
      <c r="B144" s="1" t="s">
        <v>150</v>
      </c>
      <c r="C144" s="1" t="n">
        <f aca="false">SUM(C120:C125)</f>
        <v>36500</v>
      </c>
    </row>
    <row r="145" customFormat="false" ht="15" hidden="false" customHeight="true" outlineLevel="0" collapsed="false">
      <c r="A145" s="9" t="s">
        <v>151</v>
      </c>
      <c r="B145" s="19"/>
      <c r="C145" s="16" t="n">
        <f aca="false">C114+C118+C124+C128+C136+C137+C144</f>
        <v>1359437.69323703</v>
      </c>
      <c r="D145" s="19"/>
    </row>
    <row r="146" customFormat="false" ht="15" hidden="false" customHeight="true" outlineLevel="0" collapsed="false">
      <c r="A146" s="7"/>
      <c r="B146" s="7" t="s">
        <v>78</v>
      </c>
      <c r="C146" s="20" t="n">
        <f aca="false">C145/1383</f>
        <v>982.962901834439</v>
      </c>
      <c r="D146" s="7"/>
    </row>
    <row r="149" customFormat="false" ht="15" hidden="false" customHeight="true" outlineLevel="0" collapsed="false">
      <c r="A149" s="21" t="s">
        <v>155</v>
      </c>
    </row>
    <row r="150" customFormat="false" ht="15" hidden="false" customHeight="true" outlineLevel="0" collapsed="false">
      <c r="A150" s="3" t="s">
        <v>103</v>
      </c>
      <c r="B150" s="3" t="s">
        <v>104</v>
      </c>
      <c r="C150" s="3" t="s">
        <v>105</v>
      </c>
      <c r="D150" s="3" t="s">
        <v>106</v>
      </c>
    </row>
    <row r="151" customFormat="false" ht="15" hidden="false" customHeight="true" outlineLevel="0" collapsed="false">
      <c r="A151" s="18" t="s">
        <v>107</v>
      </c>
      <c r="B151" s="7" t="s">
        <v>108</v>
      </c>
      <c r="C151" s="14" t="n">
        <f aca="false">'Sticks &amp; Bricks Detail'!F56</f>
        <v>115510</v>
      </c>
      <c r="D151" s="7" t="s">
        <v>109</v>
      </c>
    </row>
    <row r="152" customFormat="false" ht="15" hidden="false" customHeight="true" outlineLevel="0" collapsed="false">
      <c r="A152" s="18" t="s">
        <v>110</v>
      </c>
      <c r="B152" s="7" t="s">
        <v>111</v>
      </c>
      <c r="C152" s="15" t="n">
        <v>0</v>
      </c>
      <c r="D152" s="7" t="s">
        <v>112</v>
      </c>
    </row>
    <row r="153" customFormat="false" ht="15" hidden="false" customHeight="true" outlineLevel="0" collapsed="false">
      <c r="A153" s="7"/>
      <c r="B153" s="7" t="s">
        <v>113</v>
      </c>
      <c r="C153" s="15" t="n">
        <v>0</v>
      </c>
      <c r="D153" s="7" t="s">
        <v>114</v>
      </c>
    </row>
    <row r="154" customFormat="false" ht="15" hidden="false" customHeight="true" outlineLevel="0" collapsed="false">
      <c r="A154" s="7"/>
      <c r="B154" s="7" t="s">
        <v>115</v>
      </c>
      <c r="C154" s="15" t="n">
        <v>0</v>
      </c>
      <c r="D154" s="7" t="s">
        <v>116</v>
      </c>
    </row>
    <row r="155" customFormat="false" ht="15" hidden="false" customHeight="true" outlineLevel="0" collapsed="false">
      <c r="A155" s="7"/>
      <c r="B155" s="18" t="s">
        <v>117</v>
      </c>
      <c r="C155" s="14" t="n">
        <f aca="false">SUM(C128:C130)</f>
        <v>1039541.69323703</v>
      </c>
      <c r="D155" s="7"/>
    </row>
    <row r="156" customFormat="false" ht="15" hidden="false" customHeight="true" outlineLevel="0" collapsed="false">
      <c r="A156" s="18" t="s">
        <v>118</v>
      </c>
      <c r="B156" s="18"/>
      <c r="C156" s="18"/>
      <c r="D156" s="18"/>
    </row>
    <row r="157" customFormat="false" ht="15" hidden="false" customHeight="true" outlineLevel="0" collapsed="false">
      <c r="A157" s="7"/>
      <c r="B157" s="7" t="s">
        <v>120</v>
      </c>
      <c r="C157" s="15" t="n">
        <v>3000</v>
      </c>
      <c r="D157" s="7"/>
    </row>
    <row r="158" customFormat="false" ht="15" hidden="false" customHeight="true" outlineLevel="0" collapsed="false">
      <c r="A158" s="7"/>
      <c r="B158" s="7" t="s">
        <v>121</v>
      </c>
      <c r="C158" s="15" t="n">
        <v>2500</v>
      </c>
      <c r="D158" s="7"/>
    </row>
    <row r="159" customFormat="false" ht="15" hidden="false" customHeight="true" outlineLevel="0" collapsed="false">
      <c r="A159" s="7"/>
      <c r="B159" s="7" t="s">
        <v>122</v>
      </c>
      <c r="C159" s="15" t="n">
        <v>3500</v>
      </c>
      <c r="D159" s="7"/>
    </row>
    <row r="160" customFormat="false" ht="15" hidden="false" customHeight="true" outlineLevel="0" collapsed="false">
      <c r="A160" s="7"/>
      <c r="B160" s="7" t="s">
        <v>123</v>
      </c>
      <c r="C160" s="15" t="n">
        <v>1000</v>
      </c>
      <c r="D160" s="7" t="s">
        <v>124</v>
      </c>
    </row>
    <row r="161" customFormat="false" ht="15" hidden="false" customHeight="true" outlineLevel="0" collapsed="false">
      <c r="A161" s="7"/>
      <c r="B161" s="18" t="s">
        <v>125</v>
      </c>
      <c r="C161" s="14" t="n">
        <f aca="false">SUM(C132:C136)</f>
        <v>121298</v>
      </c>
      <c r="D161" s="7"/>
    </row>
    <row r="162" customFormat="false" ht="15" hidden="false" customHeight="true" outlineLevel="0" collapsed="false">
      <c r="A162" s="18" t="s">
        <v>126</v>
      </c>
      <c r="B162" s="7" t="s">
        <v>127</v>
      </c>
      <c r="C162" s="15" t="n">
        <v>0</v>
      </c>
      <c r="D162" s="7"/>
    </row>
    <row r="163" customFormat="false" ht="15" hidden="false" customHeight="true" outlineLevel="0" collapsed="false">
      <c r="A163" s="7"/>
      <c r="B163" s="7" t="s">
        <v>128</v>
      </c>
      <c r="C163" s="15" t="n">
        <v>0</v>
      </c>
      <c r="D163" s="7"/>
    </row>
    <row r="164" customFormat="false" ht="15" hidden="false" customHeight="true" outlineLevel="0" collapsed="false">
      <c r="A164" s="7"/>
      <c r="B164" s="7" t="s">
        <v>129</v>
      </c>
      <c r="C164" s="15" t="n">
        <v>0</v>
      </c>
      <c r="D164" s="7"/>
    </row>
    <row r="165" customFormat="false" ht="15" hidden="false" customHeight="true" outlineLevel="0" collapsed="false">
      <c r="A165" s="7"/>
      <c r="B165" s="18" t="s">
        <v>130</v>
      </c>
      <c r="C165" s="14" t="n">
        <f aca="false">SUM(C138:C140)</f>
        <v>21500</v>
      </c>
      <c r="D165" s="7"/>
    </row>
    <row r="166" customFormat="false" ht="15" hidden="false" customHeight="true" outlineLevel="0" collapsed="false">
      <c r="A166" s="18" t="s">
        <v>131</v>
      </c>
      <c r="B166" s="7" t="s">
        <v>132</v>
      </c>
      <c r="C166" s="15" t="n">
        <v>3500</v>
      </c>
      <c r="D166" s="7"/>
    </row>
    <row r="167" customFormat="false" ht="15" hidden="false" customHeight="true" outlineLevel="0" collapsed="false">
      <c r="A167" s="7"/>
      <c r="B167" s="7" t="s">
        <v>133</v>
      </c>
      <c r="C167" s="15" t="n">
        <v>2500</v>
      </c>
      <c r="D167" s="7"/>
    </row>
    <row r="168" customFormat="false" ht="15" hidden="false" customHeight="true" outlineLevel="0" collapsed="false">
      <c r="A168" s="7"/>
      <c r="B168" s="7" t="s">
        <v>134</v>
      </c>
      <c r="C168" s="15" t="n">
        <v>1500</v>
      </c>
      <c r="D168" s="7"/>
    </row>
    <row r="169" customFormat="false" ht="15" hidden="false" customHeight="true" outlineLevel="0" collapsed="false">
      <c r="A169" s="7"/>
      <c r="B169" s="7" t="s">
        <v>135</v>
      </c>
      <c r="C169" s="15" t="n">
        <v>1700</v>
      </c>
      <c r="D169" s="7"/>
    </row>
    <row r="170" customFormat="false" ht="15" hidden="false" customHeight="true" outlineLevel="0" collapsed="false">
      <c r="A170" s="7"/>
      <c r="B170" s="7" t="s">
        <v>136</v>
      </c>
      <c r="C170" s="15" t="n">
        <v>2000</v>
      </c>
      <c r="D170" s="7"/>
    </row>
    <row r="171" customFormat="false" ht="15" hidden="false" customHeight="true" outlineLevel="0" collapsed="false">
      <c r="A171" s="7"/>
      <c r="B171" s="7" t="s">
        <v>137</v>
      </c>
      <c r="C171" s="15" t="n">
        <v>1500</v>
      </c>
      <c r="D171" s="7"/>
    </row>
    <row r="172" customFormat="false" ht="15" hidden="false" customHeight="true" outlineLevel="0" collapsed="false">
      <c r="A172" s="7"/>
      <c r="B172" s="7" t="s">
        <v>123</v>
      </c>
      <c r="C172" s="15" t="n">
        <v>2300</v>
      </c>
      <c r="D172" s="7" t="s">
        <v>124</v>
      </c>
    </row>
    <row r="173" customFormat="false" ht="15" hidden="false" customHeight="true" outlineLevel="0" collapsed="false">
      <c r="A173" s="7"/>
      <c r="B173" s="18" t="s">
        <v>138</v>
      </c>
      <c r="C173" s="14" t="n">
        <f aca="false">SUM(C142:C148)</f>
        <v>1403420.65613886</v>
      </c>
      <c r="D173" s="7"/>
    </row>
    <row r="174" customFormat="false" ht="15" hidden="false" customHeight="true" outlineLevel="0" collapsed="false">
      <c r="A174" s="18" t="s">
        <v>139</v>
      </c>
      <c r="B174" s="7" t="s">
        <v>140</v>
      </c>
      <c r="C174" s="14" t="n">
        <f aca="false">MIN(10000,0.05*(C151+C155+C161+C165+C173))</f>
        <v>10000</v>
      </c>
      <c r="D174" s="7" t="s">
        <v>141</v>
      </c>
    </row>
    <row r="175" customFormat="false" ht="15" hidden="false" customHeight="true" outlineLevel="0" collapsed="false">
      <c r="A175" s="18" t="s">
        <v>142</v>
      </c>
      <c r="B175" s="7" t="s">
        <v>143</v>
      </c>
      <c r="C175" s="15" t="n">
        <v>15000</v>
      </c>
      <c r="D175" s="7" t="s">
        <v>144</v>
      </c>
    </row>
    <row r="176" customFormat="false" ht="15" hidden="false" customHeight="true" outlineLevel="0" collapsed="false">
      <c r="B176" s="1" t="s">
        <v>145</v>
      </c>
      <c r="C176" s="1" t="n">
        <v>5000</v>
      </c>
    </row>
    <row r="177" customFormat="false" ht="15" hidden="false" customHeight="true" outlineLevel="0" collapsed="false">
      <c r="B177" s="1" t="s">
        <v>146</v>
      </c>
      <c r="C177" s="1" t="n">
        <v>1500</v>
      </c>
    </row>
    <row r="178" customFormat="false" ht="15" hidden="false" customHeight="true" outlineLevel="0" collapsed="false">
      <c r="B178" s="1" t="s">
        <v>147</v>
      </c>
      <c r="C178" s="1" t="n">
        <v>1500</v>
      </c>
    </row>
    <row r="179" customFormat="false" ht="15" hidden="false" customHeight="true" outlineLevel="0" collapsed="false">
      <c r="B179" s="1" t="s">
        <v>148</v>
      </c>
      <c r="C179" s="1" t="n">
        <v>3500</v>
      </c>
    </row>
    <row r="180" customFormat="false" ht="15" hidden="false" customHeight="true" outlineLevel="0" collapsed="false">
      <c r="B180" s="1" t="s">
        <v>149</v>
      </c>
      <c r="C180" s="1" t="n">
        <v>3000</v>
      </c>
    </row>
    <row r="181" customFormat="false" ht="15" hidden="false" customHeight="true" outlineLevel="0" collapsed="false">
      <c r="B181" s="1" t="s">
        <v>150</v>
      </c>
      <c r="C181" s="1" t="n">
        <f aca="false">SUM(C151:C156)</f>
        <v>1155051.69323703</v>
      </c>
    </row>
    <row r="182" customFormat="false" ht="15" hidden="false" customHeight="true" outlineLevel="0" collapsed="false">
      <c r="A182" s="9" t="s">
        <v>151</v>
      </c>
      <c r="B182" s="19"/>
      <c r="C182" s="16" t="n">
        <f aca="false">C151+C155+C161+C165+C173+C174+C181</f>
        <v>3866322.04261292</v>
      </c>
      <c r="D182" s="19"/>
    </row>
    <row r="183" customFormat="false" ht="15" hidden="false" customHeight="true" outlineLevel="0" collapsed="false">
      <c r="A183" s="7"/>
      <c r="B183" s="7" t="s">
        <v>78</v>
      </c>
      <c r="C183" s="20" t="n">
        <f aca="false">C182/1400</f>
        <v>2761.65860186637</v>
      </c>
      <c r="D183" s="7"/>
    </row>
    <row r="186" customFormat="false" ht="15" hidden="false" customHeight="true" outlineLevel="0" collapsed="false">
      <c r="A186" s="21" t="s">
        <v>156</v>
      </c>
    </row>
    <row r="187" customFormat="false" ht="15" hidden="false" customHeight="true" outlineLevel="0" collapsed="false">
      <c r="A187" s="3" t="s">
        <v>103</v>
      </c>
      <c r="B187" s="3"/>
      <c r="C187" s="3"/>
      <c r="D187" s="3"/>
    </row>
    <row r="188" customFormat="false" ht="15" hidden="false" customHeight="true" outlineLevel="0" collapsed="false">
      <c r="A188" s="18" t="s">
        <v>107</v>
      </c>
      <c r="B188" s="7" t="s">
        <v>108</v>
      </c>
      <c r="C188" s="14" t="n">
        <f aca="false">'Sticks &amp; Bricks Detail'!G56</f>
        <v>120582</v>
      </c>
      <c r="D188" s="7" t="s">
        <v>109</v>
      </c>
    </row>
    <row r="189" customFormat="false" ht="15" hidden="false" customHeight="true" outlineLevel="0" collapsed="false">
      <c r="A189" s="18" t="s">
        <v>110</v>
      </c>
      <c r="B189" s="7" t="s">
        <v>111</v>
      </c>
      <c r="C189" s="15" t="n">
        <v>0</v>
      </c>
      <c r="D189" s="7" t="s">
        <v>112</v>
      </c>
    </row>
    <row r="190" customFormat="false" ht="15" hidden="false" customHeight="true" outlineLevel="0" collapsed="false">
      <c r="A190" s="7"/>
      <c r="B190" s="7" t="s">
        <v>113</v>
      </c>
      <c r="C190" s="15" t="n">
        <v>0</v>
      </c>
      <c r="D190" s="7" t="s">
        <v>114</v>
      </c>
    </row>
    <row r="191" customFormat="false" ht="15" hidden="false" customHeight="true" outlineLevel="0" collapsed="false">
      <c r="A191" s="7"/>
      <c r="B191" s="7" t="s">
        <v>115</v>
      </c>
      <c r="C191" s="15" t="n">
        <v>0</v>
      </c>
      <c r="D191" s="7" t="s">
        <v>116</v>
      </c>
    </row>
    <row r="192" customFormat="false" ht="15" hidden="false" customHeight="true" outlineLevel="0" collapsed="false">
      <c r="A192" s="7"/>
      <c r="B192" s="18" t="s">
        <v>117</v>
      </c>
      <c r="C192" s="14" t="n">
        <f aca="false">SUM(C159:C161)</f>
        <v>125798</v>
      </c>
      <c r="D192" s="7"/>
    </row>
    <row r="193" customFormat="false" ht="15" hidden="false" customHeight="true" outlineLevel="0" collapsed="false">
      <c r="A193" s="18" t="s">
        <v>118</v>
      </c>
      <c r="B193" s="7" t="s">
        <v>119</v>
      </c>
      <c r="C193" s="15" t="n">
        <v>5000</v>
      </c>
      <c r="D193" s="7"/>
    </row>
    <row r="194" customFormat="false" ht="15" hidden="false" customHeight="true" outlineLevel="0" collapsed="false">
      <c r="A194" s="7"/>
      <c r="B194" s="7" t="s">
        <v>120</v>
      </c>
      <c r="C194" s="15" t="n">
        <v>3000</v>
      </c>
      <c r="D194" s="7"/>
    </row>
    <row r="195" customFormat="false" ht="15" hidden="false" customHeight="true" outlineLevel="0" collapsed="false">
      <c r="A195" s="7"/>
      <c r="B195" s="7" t="s">
        <v>121</v>
      </c>
      <c r="C195" s="15" t="n">
        <v>2500</v>
      </c>
      <c r="D195" s="7"/>
    </row>
    <row r="196" customFormat="false" ht="15" hidden="false" customHeight="true" outlineLevel="0" collapsed="false">
      <c r="A196" s="7"/>
      <c r="B196" s="7" t="s">
        <v>122</v>
      </c>
      <c r="C196" s="15" t="n">
        <v>3500</v>
      </c>
      <c r="D196" s="7"/>
    </row>
    <row r="197" customFormat="false" ht="15" hidden="false" customHeight="true" outlineLevel="0" collapsed="false">
      <c r="A197" s="7"/>
      <c r="B197" s="7" t="s">
        <v>123</v>
      </c>
      <c r="C197" s="15" t="n">
        <v>1000</v>
      </c>
      <c r="D197" s="7" t="s">
        <v>124</v>
      </c>
    </row>
    <row r="198" customFormat="false" ht="15" hidden="false" customHeight="true" outlineLevel="0" collapsed="false">
      <c r="A198" s="7"/>
      <c r="B198" s="18" t="s">
        <v>125</v>
      </c>
      <c r="C198" s="14" t="n">
        <f aca="false">SUM(C163:C167)</f>
        <v>27500</v>
      </c>
      <c r="D198" s="7"/>
    </row>
    <row r="199" customFormat="false" ht="15" hidden="false" customHeight="true" outlineLevel="0" collapsed="false">
      <c r="A199" s="18" t="s">
        <v>126</v>
      </c>
      <c r="B199" s="7" t="s">
        <v>127</v>
      </c>
      <c r="C199" s="15" t="n">
        <v>0</v>
      </c>
      <c r="D199" s="7"/>
    </row>
    <row r="200" customFormat="false" ht="15" hidden="false" customHeight="true" outlineLevel="0" collapsed="false">
      <c r="A200" s="7"/>
      <c r="B200" s="7" t="s">
        <v>128</v>
      </c>
      <c r="C200" s="15" t="n">
        <v>0</v>
      </c>
      <c r="D200" s="7"/>
    </row>
    <row r="201" customFormat="false" ht="15" hidden="false" customHeight="true" outlineLevel="0" collapsed="false">
      <c r="A201" s="7"/>
      <c r="B201" s="7" t="s">
        <v>129</v>
      </c>
      <c r="C201" s="15" t="n">
        <v>0</v>
      </c>
      <c r="D201" s="7"/>
    </row>
    <row r="202" customFormat="false" ht="15" hidden="false" customHeight="true" outlineLevel="0" collapsed="false">
      <c r="A202" s="7"/>
      <c r="B202" s="18" t="s">
        <v>130</v>
      </c>
      <c r="C202" s="14" t="n">
        <f aca="false">SUM(C169:C171)</f>
        <v>5200</v>
      </c>
      <c r="D202" s="7"/>
    </row>
    <row r="203" customFormat="false" ht="15" hidden="false" customHeight="true" outlineLevel="0" collapsed="false">
      <c r="A203" s="18" t="s">
        <v>131</v>
      </c>
      <c r="B203" s="7" t="s">
        <v>132</v>
      </c>
      <c r="C203" s="15" t="n">
        <v>3500</v>
      </c>
      <c r="D203" s="7"/>
    </row>
    <row r="204" customFormat="false" ht="15" hidden="false" customHeight="true" outlineLevel="0" collapsed="false">
      <c r="A204" s="7"/>
      <c r="B204" s="7" t="s">
        <v>133</v>
      </c>
      <c r="C204" s="15" t="n">
        <v>2500</v>
      </c>
      <c r="D204" s="7"/>
    </row>
    <row r="205" customFormat="false" ht="15" hidden="false" customHeight="true" outlineLevel="0" collapsed="false">
      <c r="A205" s="7"/>
      <c r="B205" s="7" t="s">
        <v>134</v>
      </c>
      <c r="C205" s="15" t="n">
        <v>1500</v>
      </c>
      <c r="D205" s="7"/>
    </row>
    <row r="206" customFormat="false" ht="15" hidden="false" customHeight="true" outlineLevel="0" collapsed="false">
      <c r="A206" s="7"/>
      <c r="B206" s="7" t="s">
        <v>135</v>
      </c>
      <c r="C206" s="15" t="n">
        <v>1700</v>
      </c>
      <c r="D206" s="7"/>
    </row>
    <row r="207" customFormat="false" ht="15" hidden="false" customHeight="true" outlineLevel="0" collapsed="false">
      <c r="A207" s="7"/>
      <c r="B207" s="7" t="s">
        <v>136</v>
      </c>
      <c r="C207" s="15" t="n">
        <v>2000</v>
      </c>
      <c r="D207" s="7"/>
    </row>
    <row r="208" customFormat="false" ht="15" hidden="false" customHeight="true" outlineLevel="0" collapsed="false">
      <c r="A208" s="7"/>
      <c r="B208" s="7" t="s">
        <v>137</v>
      </c>
      <c r="C208" s="15" t="n">
        <v>1500</v>
      </c>
      <c r="D208" s="7"/>
    </row>
    <row r="209" customFormat="false" ht="15" hidden="false" customHeight="true" outlineLevel="0" collapsed="false">
      <c r="A209" s="7"/>
      <c r="B209" s="7" t="s">
        <v>123</v>
      </c>
      <c r="C209" s="15" t="n">
        <v>2300</v>
      </c>
      <c r="D209" s="7" t="s">
        <v>124</v>
      </c>
    </row>
    <row r="210" customFormat="false" ht="15" hidden="false" customHeight="true" outlineLevel="0" collapsed="false">
      <c r="A210" s="7"/>
      <c r="B210" s="18" t="s">
        <v>138</v>
      </c>
      <c r="C210" s="14" t="n">
        <f aca="false">SUM(C173:C179)</f>
        <v>1439920.65613886</v>
      </c>
      <c r="D210" s="7"/>
    </row>
    <row r="211" customFormat="false" ht="15" hidden="false" customHeight="true" outlineLevel="0" collapsed="false">
      <c r="A211" s="18" t="s">
        <v>139</v>
      </c>
      <c r="B211" s="7" t="s">
        <v>140</v>
      </c>
      <c r="C211" s="14" t="n">
        <f aca="false">MIN(10000,0.05*(C188+C192+C198+C202+C210))</f>
        <v>10000</v>
      </c>
      <c r="D211" s="7" t="s">
        <v>141</v>
      </c>
    </row>
    <row r="212" customFormat="false" ht="15" hidden="false" customHeight="true" outlineLevel="0" collapsed="false">
      <c r="A212" s="18" t="s">
        <v>142</v>
      </c>
      <c r="B212" s="7" t="s">
        <v>143</v>
      </c>
      <c r="C212" s="15" t="n">
        <v>15000</v>
      </c>
      <c r="D212" s="7" t="s">
        <v>144</v>
      </c>
    </row>
    <row r="213" customFormat="false" ht="15" hidden="false" customHeight="true" outlineLevel="0" collapsed="false">
      <c r="B213" s="1" t="s">
        <v>145</v>
      </c>
      <c r="C213" s="1" t="n">
        <v>5000</v>
      </c>
    </row>
    <row r="214" customFormat="false" ht="15" hidden="false" customHeight="true" outlineLevel="0" collapsed="false">
      <c r="B214" s="1" t="s">
        <v>146</v>
      </c>
      <c r="C214" s="1" t="n">
        <v>1500</v>
      </c>
    </row>
    <row r="215" customFormat="false" ht="15" hidden="false" customHeight="true" outlineLevel="0" collapsed="false">
      <c r="B215" s="1" t="s">
        <v>147</v>
      </c>
      <c r="C215" s="1" t="n">
        <v>1500</v>
      </c>
    </row>
    <row r="216" customFormat="false" ht="15" hidden="false" customHeight="true" outlineLevel="0" collapsed="false">
      <c r="B216" s="1" t="s">
        <v>148</v>
      </c>
      <c r="C216" s="1" t="n">
        <v>3500</v>
      </c>
    </row>
    <row r="217" customFormat="false" ht="15" hidden="false" customHeight="true" outlineLevel="0" collapsed="false">
      <c r="B217" s="1" t="s">
        <v>149</v>
      </c>
      <c r="C217" s="1" t="n">
        <v>3000</v>
      </c>
    </row>
    <row r="218" customFormat="false" ht="15" hidden="false" customHeight="true" outlineLevel="0" collapsed="false">
      <c r="A218" s="23"/>
      <c r="B218" s="23"/>
      <c r="C218" s="23"/>
      <c r="D218" s="23"/>
    </row>
    <row r="219" customFormat="false" ht="15" hidden="false" customHeight="true" outlineLevel="0" collapsed="false">
      <c r="A219" s="9" t="s">
        <v>151</v>
      </c>
      <c r="B219" s="19"/>
      <c r="C219" s="16" t="n">
        <f aca="false">C188+C192+C198+C202+C210+C211+C218</f>
        <v>1729000.65613886</v>
      </c>
      <c r="D219" s="19"/>
    </row>
    <row r="220" customFormat="false" ht="15" hidden="false" customHeight="true" outlineLevel="0" collapsed="false">
      <c r="A220" s="7"/>
      <c r="B220" s="7" t="s">
        <v>78</v>
      </c>
      <c r="C220" s="20" t="n">
        <f aca="false">C219/1500</f>
        <v>1152.66710409258</v>
      </c>
      <c r="D220" s="7"/>
    </row>
    <row r="223" customFormat="false" ht="15" hidden="false" customHeight="true" outlineLevel="0" collapsed="false">
      <c r="A223" s="21" t="s">
        <v>157</v>
      </c>
    </row>
    <row r="224" customFormat="false" ht="15" hidden="false" customHeight="true" outlineLevel="0" collapsed="false">
      <c r="A224" s="3" t="s">
        <v>103</v>
      </c>
      <c r="B224" s="3" t="s">
        <v>104</v>
      </c>
      <c r="C224" s="3" t="s">
        <v>105</v>
      </c>
      <c r="D224" s="3" t="s">
        <v>106</v>
      </c>
    </row>
    <row r="225" customFormat="false" ht="15" hidden="false" customHeight="true" outlineLevel="0" collapsed="false">
      <c r="A225" s="18" t="s">
        <v>107</v>
      </c>
      <c r="B225" s="7" t="s">
        <v>108</v>
      </c>
      <c r="C225" s="14" t="n">
        <f aca="false">'Sticks &amp; Bricks Detail'!H56</f>
        <v>123967</v>
      </c>
      <c r="D225" s="7" t="s">
        <v>109</v>
      </c>
    </row>
    <row r="226" customFormat="false" ht="15" hidden="false" customHeight="true" outlineLevel="0" collapsed="false">
      <c r="A226" s="18" t="s">
        <v>110</v>
      </c>
      <c r="B226" s="7" t="s">
        <v>111</v>
      </c>
      <c r="C226" s="15" t="n">
        <v>0</v>
      </c>
      <c r="D226" s="7" t="s">
        <v>112</v>
      </c>
    </row>
    <row r="227" customFormat="false" ht="15" hidden="false" customHeight="true" outlineLevel="0" collapsed="false">
      <c r="A227" s="7"/>
      <c r="B227" s="7" t="s">
        <v>113</v>
      </c>
      <c r="C227" s="15" t="n">
        <v>0</v>
      </c>
      <c r="D227" s="7" t="s">
        <v>114</v>
      </c>
    </row>
    <row r="228" customFormat="false" ht="15" hidden="false" customHeight="true" outlineLevel="0" collapsed="false">
      <c r="A228" s="7"/>
      <c r="B228" s="7" t="s">
        <v>115</v>
      </c>
      <c r="C228" s="15" t="n">
        <v>0</v>
      </c>
      <c r="D228" s="7" t="s">
        <v>116</v>
      </c>
    </row>
    <row r="229" customFormat="false" ht="15" hidden="false" customHeight="true" outlineLevel="0" collapsed="false">
      <c r="A229" s="7"/>
      <c r="B229" s="18" t="s">
        <v>117</v>
      </c>
      <c r="C229" s="14" t="n">
        <f aca="false">SUM(C190:C192)</f>
        <v>125798</v>
      </c>
      <c r="D229" s="7"/>
    </row>
    <row r="230" customFormat="false" ht="15" hidden="false" customHeight="true" outlineLevel="0" collapsed="false">
      <c r="A230" s="18" t="s">
        <v>118</v>
      </c>
      <c r="B230" s="7" t="s">
        <v>119</v>
      </c>
      <c r="C230" s="15" t="n">
        <v>5000</v>
      </c>
      <c r="D230" s="7"/>
    </row>
    <row r="231" customFormat="false" ht="15" hidden="false" customHeight="true" outlineLevel="0" collapsed="false">
      <c r="A231" s="7"/>
      <c r="B231" s="7" t="s">
        <v>120</v>
      </c>
      <c r="C231" s="15" t="n">
        <v>3000</v>
      </c>
      <c r="D231" s="7"/>
    </row>
    <row r="232" customFormat="false" ht="15" hidden="false" customHeight="true" outlineLevel="0" collapsed="false">
      <c r="A232" s="7"/>
      <c r="B232" s="7" t="s">
        <v>121</v>
      </c>
      <c r="C232" s="15" t="n">
        <v>2500</v>
      </c>
      <c r="D232" s="7"/>
    </row>
    <row r="233" customFormat="false" ht="15" hidden="false" customHeight="true" outlineLevel="0" collapsed="false">
      <c r="A233" s="7"/>
      <c r="B233" s="7" t="s">
        <v>122</v>
      </c>
      <c r="C233" s="15" t="n">
        <v>3500</v>
      </c>
      <c r="D233" s="7"/>
    </row>
    <row r="234" customFormat="false" ht="15" hidden="false" customHeight="true" outlineLevel="0" collapsed="false">
      <c r="A234" s="7"/>
      <c r="B234" s="7" t="s">
        <v>123</v>
      </c>
      <c r="C234" s="15" t="n">
        <v>1000</v>
      </c>
      <c r="D234" s="7" t="s">
        <v>124</v>
      </c>
    </row>
    <row r="235" customFormat="false" ht="15" hidden="false" customHeight="true" outlineLevel="0" collapsed="false">
      <c r="A235" s="7"/>
      <c r="B235" s="18" t="s">
        <v>125</v>
      </c>
      <c r="C235" s="14" t="n">
        <f aca="false">SUM(C194:C198)</f>
        <v>37500</v>
      </c>
      <c r="D235" s="7"/>
    </row>
    <row r="236" customFormat="false" ht="15" hidden="false" customHeight="true" outlineLevel="0" collapsed="false">
      <c r="A236" s="18" t="s">
        <v>126</v>
      </c>
      <c r="B236" s="7" t="s">
        <v>127</v>
      </c>
      <c r="C236" s="15" t="n">
        <v>0</v>
      </c>
      <c r="D236" s="7"/>
    </row>
    <row r="237" customFormat="false" ht="15" hidden="false" customHeight="true" outlineLevel="0" collapsed="false">
      <c r="A237" s="7"/>
      <c r="B237" s="7" t="s">
        <v>128</v>
      </c>
      <c r="C237" s="15" t="n">
        <v>0</v>
      </c>
      <c r="D237" s="7"/>
    </row>
    <row r="238" customFormat="false" ht="15" hidden="false" customHeight="true" outlineLevel="0" collapsed="false">
      <c r="A238" s="7"/>
      <c r="B238" s="7" t="s">
        <v>129</v>
      </c>
      <c r="C238" s="15" t="n">
        <v>0</v>
      </c>
      <c r="D238" s="7"/>
    </row>
    <row r="239" customFormat="false" ht="15" hidden="false" customHeight="true" outlineLevel="0" collapsed="false">
      <c r="A239" s="7"/>
      <c r="B239" s="18" t="s">
        <v>130</v>
      </c>
      <c r="C239" s="14" t="n">
        <f aca="false">SUM(C200:C202)</f>
        <v>5200</v>
      </c>
      <c r="D239" s="7"/>
    </row>
    <row r="240" customFormat="false" ht="15" hidden="false" customHeight="true" outlineLevel="0" collapsed="false">
      <c r="A240" s="18" t="s">
        <v>131</v>
      </c>
      <c r="B240" s="7" t="s">
        <v>132</v>
      </c>
      <c r="C240" s="15" t="n">
        <v>3500</v>
      </c>
      <c r="D240" s="7"/>
    </row>
    <row r="241" customFormat="false" ht="15" hidden="false" customHeight="true" outlineLevel="0" collapsed="false">
      <c r="A241" s="7"/>
      <c r="B241" s="7" t="s">
        <v>133</v>
      </c>
      <c r="C241" s="15" t="n">
        <v>2500</v>
      </c>
      <c r="D241" s="7"/>
    </row>
    <row r="242" customFormat="false" ht="15" hidden="false" customHeight="true" outlineLevel="0" collapsed="false">
      <c r="A242" s="7"/>
      <c r="B242" s="7" t="s">
        <v>134</v>
      </c>
      <c r="C242" s="15" t="n">
        <v>1500</v>
      </c>
      <c r="D242" s="7"/>
    </row>
    <row r="243" customFormat="false" ht="15" hidden="false" customHeight="true" outlineLevel="0" collapsed="false">
      <c r="A243" s="7"/>
      <c r="B243" s="7" t="s">
        <v>135</v>
      </c>
      <c r="C243" s="15" t="n">
        <v>1700</v>
      </c>
      <c r="D243" s="7"/>
    </row>
    <row r="244" customFormat="false" ht="15" hidden="false" customHeight="true" outlineLevel="0" collapsed="false">
      <c r="A244" s="7"/>
      <c r="B244" s="7" t="s">
        <v>136</v>
      </c>
      <c r="C244" s="15" t="n">
        <v>2000</v>
      </c>
      <c r="D244" s="7"/>
    </row>
    <row r="245" customFormat="false" ht="15" hidden="false" customHeight="true" outlineLevel="0" collapsed="false">
      <c r="A245" s="7"/>
      <c r="B245" s="7" t="s">
        <v>137</v>
      </c>
      <c r="C245" s="15" t="n">
        <v>1500</v>
      </c>
      <c r="D245" s="7"/>
    </row>
    <row r="246" customFormat="false" ht="15" hidden="false" customHeight="true" outlineLevel="0" collapsed="false">
      <c r="A246" s="7"/>
      <c r="B246" s="7" t="s">
        <v>123</v>
      </c>
      <c r="C246" s="15" t="n">
        <v>2300</v>
      </c>
      <c r="D246" s="7" t="s">
        <v>124</v>
      </c>
    </row>
    <row r="247" customFormat="false" ht="15" hidden="false" customHeight="true" outlineLevel="0" collapsed="false">
      <c r="A247" s="7"/>
      <c r="B247" s="18" t="s">
        <v>138</v>
      </c>
      <c r="C247" s="14" t="n">
        <f aca="false">SUM(C204:C210)</f>
        <v>1451420.65613886</v>
      </c>
      <c r="D247" s="7"/>
    </row>
    <row r="248" customFormat="false" ht="15" hidden="false" customHeight="true" outlineLevel="0" collapsed="false">
      <c r="A248" s="18" t="s">
        <v>139</v>
      </c>
      <c r="B248" s="7" t="s">
        <v>140</v>
      </c>
      <c r="C248" s="14" t="n">
        <f aca="false">MIN(10000,0.05*(C225+C229+C235+C239+C247))</f>
        <v>10000</v>
      </c>
      <c r="D248" s="7" t="s">
        <v>141</v>
      </c>
    </row>
    <row r="249" customFormat="false" ht="15" hidden="false" customHeight="true" outlineLevel="0" collapsed="false">
      <c r="A249" s="18" t="s">
        <v>142</v>
      </c>
      <c r="B249" s="18"/>
      <c r="C249" s="18"/>
      <c r="D249" s="18"/>
    </row>
    <row r="250" customFormat="false" ht="15" hidden="false" customHeight="true" outlineLevel="0" collapsed="false">
      <c r="B250" s="1" t="s">
        <v>145</v>
      </c>
      <c r="C250" s="1" t="n">
        <v>5000</v>
      </c>
    </row>
    <row r="251" customFormat="false" ht="15" hidden="false" customHeight="true" outlineLevel="0" collapsed="false">
      <c r="B251" s="1" t="s">
        <v>146</v>
      </c>
      <c r="C251" s="1" t="n">
        <v>1500</v>
      </c>
    </row>
    <row r="252" customFormat="false" ht="15" hidden="false" customHeight="true" outlineLevel="0" collapsed="false">
      <c r="B252" s="1" t="s">
        <v>147</v>
      </c>
      <c r="C252" s="1" t="n">
        <v>1500</v>
      </c>
    </row>
    <row r="253" customFormat="false" ht="15" hidden="false" customHeight="true" outlineLevel="0" collapsed="false">
      <c r="B253" s="1" t="s">
        <v>148</v>
      </c>
      <c r="C253" s="1" t="n">
        <v>3500</v>
      </c>
    </row>
    <row r="254" customFormat="false" ht="15" hidden="false" customHeight="true" outlineLevel="0" collapsed="false">
      <c r="B254" s="1" t="s">
        <v>149</v>
      </c>
      <c r="C254" s="1" t="n">
        <v>3000</v>
      </c>
    </row>
    <row r="255" customFormat="false" ht="15" hidden="false" customHeight="true" outlineLevel="0" collapsed="false">
      <c r="B255" s="1" t="s">
        <v>150</v>
      </c>
      <c r="C255" s="1" t="n">
        <f aca="false">SUM(C213:C218)</f>
        <v>14500</v>
      </c>
    </row>
    <row r="256" customFormat="false" ht="15" hidden="false" customHeight="true" outlineLevel="0" collapsed="false">
      <c r="A256" s="9" t="s">
        <v>151</v>
      </c>
      <c r="B256" s="19"/>
      <c r="C256" s="16" t="n">
        <f aca="false">C225+C229+C235+C239+C247+C248+C255</f>
        <v>1768385.65613886</v>
      </c>
      <c r="D256" s="19"/>
    </row>
    <row r="257" customFormat="false" ht="15" hidden="false" customHeight="true" outlineLevel="0" collapsed="false">
      <c r="A257" s="7"/>
      <c r="B257" s="7" t="s">
        <v>78</v>
      </c>
      <c r="C257" s="20" t="n">
        <f aca="false">C256/1541</f>
        <v>1147.55720709855</v>
      </c>
      <c r="D257" s="7"/>
    </row>
    <row r="260" customFormat="false" ht="15" hidden="false" customHeight="true" outlineLevel="0" collapsed="false">
      <c r="A260" s="21" t="s">
        <v>158</v>
      </c>
    </row>
    <row r="261" customFormat="false" ht="15" hidden="false" customHeight="true" outlineLevel="0" collapsed="false">
      <c r="A261" s="3" t="s">
        <v>103</v>
      </c>
      <c r="B261" s="3" t="s">
        <v>104</v>
      </c>
      <c r="C261" s="3" t="s">
        <v>105</v>
      </c>
      <c r="D261" s="3" t="s">
        <v>106</v>
      </c>
    </row>
    <row r="262" customFormat="false" ht="15" hidden="false" customHeight="true" outlineLevel="0" collapsed="false">
      <c r="A262" s="18" t="s">
        <v>107</v>
      </c>
      <c r="B262" s="7" t="s">
        <v>108</v>
      </c>
      <c r="C262" s="14" t="n">
        <f aca="false">'Sticks &amp; Bricks Detail'!I56</f>
        <v>122622</v>
      </c>
      <c r="D262" s="7" t="s">
        <v>109</v>
      </c>
    </row>
    <row r="263" customFormat="false" ht="15" hidden="false" customHeight="true" outlineLevel="0" collapsed="false">
      <c r="A263" s="18" t="s">
        <v>110</v>
      </c>
      <c r="B263" s="7" t="s">
        <v>111</v>
      </c>
      <c r="C263" s="15" t="n">
        <v>0</v>
      </c>
      <c r="D263" s="7" t="s">
        <v>112</v>
      </c>
    </row>
    <row r="264" customFormat="false" ht="15" hidden="false" customHeight="true" outlineLevel="0" collapsed="false">
      <c r="A264" s="7"/>
      <c r="B264" s="7" t="s">
        <v>113</v>
      </c>
      <c r="C264" s="15" t="n">
        <v>0</v>
      </c>
      <c r="D264" s="7" t="s">
        <v>114</v>
      </c>
    </row>
    <row r="265" customFormat="false" ht="15" hidden="false" customHeight="true" outlineLevel="0" collapsed="false">
      <c r="A265" s="7"/>
      <c r="B265" s="7" t="s">
        <v>115</v>
      </c>
      <c r="C265" s="15" t="n">
        <v>0</v>
      </c>
      <c r="D265" s="7" t="s">
        <v>116</v>
      </c>
    </row>
    <row r="266" customFormat="false" ht="15" hidden="false" customHeight="true" outlineLevel="0" collapsed="false">
      <c r="A266" s="7"/>
      <c r="B266" s="18" t="s">
        <v>117</v>
      </c>
      <c r="C266" s="14" t="n">
        <f aca="false">SUM(C221:C223)</f>
        <v>0</v>
      </c>
      <c r="D266" s="7"/>
    </row>
    <row r="267" customFormat="false" ht="15" hidden="false" customHeight="true" outlineLevel="0" collapsed="false">
      <c r="A267" s="18" t="s">
        <v>118</v>
      </c>
      <c r="B267" s="7" t="s">
        <v>119</v>
      </c>
      <c r="C267" s="15" t="n">
        <v>5000</v>
      </c>
      <c r="D267" s="7"/>
    </row>
    <row r="268" customFormat="false" ht="15" hidden="false" customHeight="true" outlineLevel="0" collapsed="false">
      <c r="A268" s="7"/>
      <c r="B268" s="7" t="s">
        <v>120</v>
      </c>
      <c r="C268" s="15" t="n">
        <v>3000</v>
      </c>
      <c r="D268" s="7"/>
    </row>
    <row r="269" customFormat="false" ht="15" hidden="false" customHeight="true" outlineLevel="0" collapsed="false">
      <c r="A269" s="7"/>
      <c r="B269" s="7" t="s">
        <v>121</v>
      </c>
      <c r="C269" s="15" t="n">
        <v>2500</v>
      </c>
      <c r="D269" s="7"/>
    </row>
    <row r="270" customFormat="false" ht="15" hidden="false" customHeight="true" outlineLevel="0" collapsed="false">
      <c r="A270" s="7"/>
      <c r="B270" s="7" t="s">
        <v>122</v>
      </c>
      <c r="C270" s="15" t="n">
        <v>3500</v>
      </c>
      <c r="D270" s="7"/>
    </row>
    <row r="271" customFormat="false" ht="15" hidden="false" customHeight="true" outlineLevel="0" collapsed="false">
      <c r="A271" s="7"/>
      <c r="B271" s="7" t="s">
        <v>123</v>
      </c>
      <c r="C271" s="15" t="n">
        <v>1000</v>
      </c>
      <c r="D271" s="7" t="s">
        <v>124</v>
      </c>
    </row>
    <row r="272" customFormat="false" ht="15" hidden="false" customHeight="true" outlineLevel="0" collapsed="false">
      <c r="A272" s="7"/>
      <c r="B272" s="18" t="s">
        <v>125</v>
      </c>
      <c r="C272" s="14" t="n">
        <f aca="false">SUM(C225:C229)</f>
        <v>249765</v>
      </c>
      <c r="D272" s="7"/>
    </row>
    <row r="273" customFormat="false" ht="15" hidden="false" customHeight="true" outlineLevel="0" collapsed="false">
      <c r="A273" s="18" t="s">
        <v>126</v>
      </c>
      <c r="B273" s="7" t="s">
        <v>127</v>
      </c>
      <c r="C273" s="15" t="n">
        <v>0</v>
      </c>
      <c r="D273" s="7"/>
    </row>
    <row r="274" customFormat="false" ht="15" hidden="false" customHeight="true" outlineLevel="0" collapsed="false">
      <c r="A274" s="7"/>
      <c r="B274" s="7" t="s">
        <v>128</v>
      </c>
      <c r="C274" s="15" t="n">
        <v>0</v>
      </c>
      <c r="D274" s="7"/>
    </row>
    <row r="275" customFormat="false" ht="15" hidden="false" customHeight="true" outlineLevel="0" collapsed="false">
      <c r="A275" s="7"/>
      <c r="B275" s="7" t="s">
        <v>129</v>
      </c>
      <c r="C275" s="15" t="n">
        <v>0</v>
      </c>
      <c r="D275" s="7"/>
    </row>
    <row r="276" customFormat="false" ht="15" hidden="false" customHeight="true" outlineLevel="0" collapsed="false">
      <c r="A276" s="7"/>
      <c r="B276" s="18" t="s">
        <v>130</v>
      </c>
      <c r="C276" s="14" t="n">
        <f aca="false">SUM(C231:C233)</f>
        <v>9000</v>
      </c>
      <c r="D276" s="7"/>
    </row>
    <row r="277" customFormat="false" ht="15" hidden="false" customHeight="true" outlineLevel="0" collapsed="false">
      <c r="A277" s="18" t="s">
        <v>131</v>
      </c>
      <c r="B277" s="7" t="s">
        <v>132</v>
      </c>
      <c r="C277" s="15" t="n">
        <v>3500</v>
      </c>
      <c r="D277" s="7"/>
    </row>
    <row r="278" customFormat="false" ht="15" hidden="false" customHeight="true" outlineLevel="0" collapsed="false">
      <c r="A278" s="7"/>
      <c r="B278" s="7" t="s">
        <v>133</v>
      </c>
      <c r="C278" s="15" t="n">
        <v>2500</v>
      </c>
      <c r="D278" s="7"/>
    </row>
    <row r="279" customFormat="false" ht="15" hidden="false" customHeight="true" outlineLevel="0" collapsed="false">
      <c r="A279" s="7"/>
      <c r="B279" s="7" t="s">
        <v>134</v>
      </c>
      <c r="C279" s="15" t="n">
        <v>1500</v>
      </c>
      <c r="D279" s="7"/>
    </row>
    <row r="280" customFormat="false" ht="15" hidden="false" customHeight="true" outlineLevel="0" collapsed="false">
      <c r="A280" s="22"/>
      <c r="B280" s="22"/>
      <c r="C280" s="22"/>
      <c r="D280" s="22"/>
    </row>
    <row r="281" customFormat="false" ht="15" hidden="false" customHeight="true" outlineLevel="0" collapsed="false">
      <c r="A281" s="7"/>
      <c r="B281" s="7" t="s">
        <v>136</v>
      </c>
      <c r="C281" s="15" t="n">
        <v>2000</v>
      </c>
      <c r="D281" s="7"/>
    </row>
    <row r="282" customFormat="false" ht="15" hidden="false" customHeight="true" outlineLevel="0" collapsed="false">
      <c r="A282" s="7"/>
      <c r="B282" s="7" t="s">
        <v>137</v>
      </c>
      <c r="C282" s="15" t="n">
        <v>1500</v>
      </c>
      <c r="D282" s="7"/>
    </row>
    <row r="283" customFormat="false" ht="15" hidden="false" customHeight="true" outlineLevel="0" collapsed="false">
      <c r="A283" s="7"/>
      <c r="B283" s="7" t="s">
        <v>123</v>
      </c>
      <c r="C283" s="15" t="n">
        <v>2300</v>
      </c>
      <c r="D283" s="7" t="s">
        <v>124</v>
      </c>
    </row>
    <row r="284" customFormat="false" ht="15" hidden="false" customHeight="true" outlineLevel="0" collapsed="false">
      <c r="A284" s="7"/>
      <c r="B284" s="18" t="s">
        <v>138</v>
      </c>
      <c r="C284" s="14" t="n">
        <f aca="false">SUM(C235:C241)</f>
        <v>48700</v>
      </c>
      <c r="D284" s="7"/>
    </row>
    <row r="285" customFormat="false" ht="15" hidden="false" customHeight="true" outlineLevel="0" collapsed="false">
      <c r="A285" s="18" t="s">
        <v>139</v>
      </c>
      <c r="B285" s="7" t="s">
        <v>140</v>
      </c>
      <c r="C285" s="14" t="n">
        <f aca="false">MIN(10000,0.05*(C262+C266+C272+C276+C284))</f>
        <v>10000</v>
      </c>
      <c r="D285" s="7" t="s">
        <v>141</v>
      </c>
    </row>
    <row r="286" customFormat="false" ht="15" hidden="false" customHeight="true" outlineLevel="0" collapsed="false">
      <c r="A286" s="18" t="s">
        <v>142</v>
      </c>
      <c r="B286" s="7" t="s">
        <v>143</v>
      </c>
      <c r="C286" s="15" t="n">
        <v>15000</v>
      </c>
      <c r="D286" s="7" t="s">
        <v>144</v>
      </c>
    </row>
    <row r="287" customFormat="false" ht="15" hidden="false" customHeight="true" outlineLevel="0" collapsed="false">
      <c r="B287" s="1" t="s">
        <v>145</v>
      </c>
      <c r="C287" s="1" t="n">
        <v>5000</v>
      </c>
    </row>
    <row r="288" customFormat="false" ht="15" hidden="false" customHeight="true" outlineLevel="0" collapsed="false">
      <c r="B288" s="1" t="s">
        <v>146</v>
      </c>
      <c r="C288" s="1" t="n">
        <v>1500</v>
      </c>
    </row>
    <row r="289" customFormat="false" ht="15" hidden="false" customHeight="true" outlineLevel="0" collapsed="false">
      <c r="B289" s="1" t="s">
        <v>147</v>
      </c>
      <c r="C289" s="1" t="n">
        <v>1500</v>
      </c>
    </row>
    <row r="290" customFormat="false" ht="15" hidden="false" customHeight="true" outlineLevel="0" collapsed="false">
      <c r="B290" s="1" t="s">
        <v>148</v>
      </c>
      <c r="C290" s="1" t="n">
        <v>3500</v>
      </c>
    </row>
    <row r="291" customFormat="false" ht="15" hidden="false" customHeight="true" outlineLevel="0" collapsed="false">
      <c r="B291" s="1" t="s">
        <v>149</v>
      </c>
      <c r="C291" s="1" t="n">
        <v>3000</v>
      </c>
    </row>
    <row r="292" customFormat="false" ht="15" hidden="false" customHeight="true" outlineLevel="0" collapsed="false">
      <c r="B292" s="1" t="s">
        <v>150</v>
      </c>
      <c r="C292" s="1" t="n">
        <f aca="false">SUM(C244:C249)</f>
        <v>1467220.65613886</v>
      </c>
    </row>
    <row r="293" customFormat="false" ht="15" hidden="false" customHeight="true" outlineLevel="0" collapsed="false">
      <c r="A293" s="9" t="s">
        <v>151</v>
      </c>
      <c r="B293" s="19"/>
      <c r="C293" s="16" t="n">
        <f aca="false">C262+C266+C272+C276+C284+C285+C292</f>
        <v>1907307.65613886</v>
      </c>
      <c r="D293" s="19"/>
    </row>
    <row r="294" customFormat="false" ht="15" hidden="false" customHeight="true" outlineLevel="0" collapsed="false">
      <c r="A294" s="7"/>
      <c r="B294" s="7" t="s">
        <v>78</v>
      </c>
      <c r="C294" s="20" t="n">
        <f aca="false">C293/1545</f>
        <v>1234.50333730671</v>
      </c>
      <c r="D294" s="7"/>
    </row>
    <row r="297" customFormat="false" ht="15" hidden="false" customHeight="true" outlineLevel="0" collapsed="false">
      <c r="A297" s="21" t="s">
        <v>159</v>
      </c>
    </row>
    <row r="298" customFormat="false" ht="15" hidden="false" customHeight="true" outlineLevel="0" collapsed="false">
      <c r="A298" s="3" t="s">
        <v>103</v>
      </c>
      <c r="B298" s="3" t="s">
        <v>104</v>
      </c>
      <c r="C298" s="3" t="s">
        <v>105</v>
      </c>
      <c r="D298" s="3" t="s">
        <v>106</v>
      </c>
    </row>
    <row r="299" customFormat="false" ht="15" hidden="false" customHeight="true" outlineLevel="0" collapsed="false">
      <c r="A299" s="18" t="s">
        <v>107</v>
      </c>
      <c r="B299" s="7" t="s">
        <v>108</v>
      </c>
      <c r="C299" s="14" t="n">
        <f aca="false">'Sticks &amp; Bricks Detail'!J56</f>
        <v>125978</v>
      </c>
      <c r="D299" s="7" t="s">
        <v>109</v>
      </c>
    </row>
    <row r="300" customFormat="false" ht="15" hidden="false" customHeight="true" outlineLevel="0" collapsed="false">
      <c r="A300" s="18" t="s">
        <v>110</v>
      </c>
      <c r="B300" s="7" t="s">
        <v>111</v>
      </c>
      <c r="C300" s="15" t="n">
        <v>0</v>
      </c>
      <c r="D300" s="7" t="s">
        <v>112</v>
      </c>
    </row>
    <row r="301" customFormat="false" ht="15" hidden="false" customHeight="true" outlineLevel="0" collapsed="false">
      <c r="A301" s="7"/>
      <c r="B301" s="7" t="s">
        <v>113</v>
      </c>
      <c r="C301" s="15" t="n">
        <v>0</v>
      </c>
      <c r="D301" s="7" t="s">
        <v>114</v>
      </c>
    </row>
    <row r="302" customFormat="false" ht="15" hidden="false" customHeight="true" outlineLevel="0" collapsed="false">
      <c r="A302" s="7"/>
      <c r="B302" s="7" t="s">
        <v>115</v>
      </c>
      <c r="C302" s="15" t="n">
        <v>0</v>
      </c>
      <c r="D302" s="7" t="s">
        <v>116</v>
      </c>
    </row>
    <row r="303" customFormat="false" ht="15" hidden="false" customHeight="true" outlineLevel="0" collapsed="false">
      <c r="A303" s="7"/>
      <c r="B303" s="18" t="s">
        <v>117</v>
      </c>
      <c r="C303" s="14" t="n">
        <f aca="false">SUM(C252:C254)</f>
        <v>8000</v>
      </c>
      <c r="D303" s="7"/>
    </row>
    <row r="304" customFormat="false" ht="15" hidden="false" customHeight="true" outlineLevel="0" collapsed="false">
      <c r="A304" s="18" t="s">
        <v>118</v>
      </c>
      <c r="B304" s="7" t="s">
        <v>119</v>
      </c>
      <c r="C304" s="15" t="n">
        <v>5000</v>
      </c>
      <c r="D304" s="7"/>
    </row>
    <row r="305" customFormat="false" ht="15" hidden="false" customHeight="true" outlineLevel="0" collapsed="false">
      <c r="A305" s="7"/>
      <c r="B305" s="7" t="s">
        <v>120</v>
      </c>
      <c r="C305" s="15" t="n">
        <v>3000</v>
      </c>
      <c r="D305" s="7"/>
    </row>
    <row r="306" customFormat="false" ht="15" hidden="false" customHeight="true" outlineLevel="0" collapsed="false">
      <c r="A306" s="7"/>
      <c r="B306" s="7" t="s">
        <v>121</v>
      </c>
      <c r="C306" s="15" t="n">
        <v>2500</v>
      </c>
      <c r="D306" s="7"/>
    </row>
    <row r="307" customFormat="false" ht="15" hidden="false" customHeight="true" outlineLevel="0" collapsed="false">
      <c r="A307" s="7"/>
      <c r="B307" s="7" t="s">
        <v>122</v>
      </c>
      <c r="C307" s="15" t="n">
        <v>3500</v>
      </c>
      <c r="D307" s="7"/>
    </row>
    <row r="308" customFormat="false" ht="15" hidden="false" customHeight="true" outlineLevel="0" collapsed="false">
      <c r="A308" s="7"/>
      <c r="B308" s="7" t="s">
        <v>123</v>
      </c>
      <c r="C308" s="15" t="n">
        <v>1000</v>
      </c>
      <c r="D308" s="7" t="s">
        <v>124</v>
      </c>
    </row>
    <row r="309" customFormat="false" ht="15" hidden="false" customHeight="true" outlineLevel="0" collapsed="false">
      <c r="A309" s="7"/>
      <c r="B309" s="18" t="s">
        <v>125</v>
      </c>
      <c r="C309" s="14" t="n">
        <f aca="false">SUM(C256:C260)</f>
        <v>1769533.21334596</v>
      </c>
      <c r="D309" s="7"/>
    </row>
    <row r="310" customFormat="false" ht="15" hidden="false" customHeight="true" outlineLevel="0" collapsed="false">
      <c r="A310" s="18" t="s">
        <v>126</v>
      </c>
      <c r="B310" s="7" t="s">
        <v>127</v>
      </c>
      <c r="C310" s="15" t="n">
        <v>0</v>
      </c>
      <c r="D310" s="7"/>
    </row>
    <row r="311" customFormat="false" ht="15" hidden="false" customHeight="true" outlineLevel="0" collapsed="false">
      <c r="A311" s="22"/>
      <c r="B311" s="22"/>
      <c r="C311" s="22"/>
      <c r="D311" s="22"/>
    </row>
    <row r="312" customFormat="false" ht="15" hidden="false" customHeight="true" outlineLevel="0" collapsed="false">
      <c r="A312" s="7"/>
      <c r="B312" s="7" t="s">
        <v>129</v>
      </c>
      <c r="C312" s="15" t="n">
        <v>0</v>
      </c>
      <c r="D312" s="7"/>
    </row>
    <row r="313" customFormat="false" ht="15" hidden="false" customHeight="true" outlineLevel="0" collapsed="false">
      <c r="A313" s="7"/>
      <c r="B313" s="18" t="s">
        <v>130</v>
      </c>
      <c r="C313" s="14" t="n">
        <f aca="false">SUM(C262:C264)</f>
        <v>122622</v>
      </c>
      <c r="D313" s="7"/>
    </row>
    <row r="314" customFormat="false" ht="15" hidden="false" customHeight="true" outlineLevel="0" collapsed="false">
      <c r="A314" s="18" t="s">
        <v>131</v>
      </c>
      <c r="B314" s="7" t="s">
        <v>132</v>
      </c>
      <c r="C314" s="15" t="n">
        <v>3500</v>
      </c>
      <c r="D314" s="7"/>
    </row>
    <row r="315" customFormat="false" ht="15" hidden="false" customHeight="true" outlineLevel="0" collapsed="false">
      <c r="A315" s="7"/>
      <c r="B315" s="7" t="s">
        <v>133</v>
      </c>
      <c r="C315" s="15" t="n">
        <v>2500</v>
      </c>
      <c r="D315" s="7"/>
    </row>
    <row r="316" customFormat="false" ht="15" hidden="false" customHeight="true" outlineLevel="0" collapsed="false">
      <c r="A316" s="7"/>
      <c r="B316" s="7" t="s">
        <v>134</v>
      </c>
      <c r="C316" s="15" t="n">
        <v>1500</v>
      </c>
      <c r="D316" s="7"/>
    </row>
    <row r="317" customFormat="false" ht="15" hidden="false" customHeight="true" outlineLevel="0" collapsed="false">
      <c r="A317" s="7"/>
      <c r="B317" s="7" t="s">
        <v>135</v>
      </c>
      <c r="C317" s="15" t="n">
        <v>1700</v>
      </c>
      <c r="D317" s="7"/>
    </row>
    <row r="318" customFormat="false" ht="15" hidden="false" customHeight="true" outlineLevel="0" collapsed="false">
      <c r="A318" s="7"/>
      <c r="B318" s="7" t="s">
        <v>136</v>
      </c>
      <c r="C318" s="15" t="n">
        <v>2000</v>
      </c>
      <c r="D318" s="7"/>
    </row>
    <row r="319" customFormat="false" ht="15" hidden="false" customHeight="true" outlineLevel="0" collapsed="false">
      <c r="A319" s="7"/>
      <c r="B319" s="7" t="s">
        <v>137</v>
      </c>
      <c r="C319" s="15" t="n">
        <v>1500</v>
      </c>
      <c r="D319" s="7"/>
    </row>
    <row r="320" customFormat="false" ht="15" hidden="false" customHeight="true" outlineLevel="0" collapsed="false">
      <c r="A320" s="7"/>
      <c r="B320" s="7" t="s">
        <v>123</v>
      </c>
      <c r="C320" s="15" t="n">
        <v>2300</v>
      </c>
      <c r="D320" s="7" t="s">
        <v>124</v>
      </c>
    </row>
    <row r="321" customFormat="false" ht="15" hidden="false" customHeight="true" outlineLevel="0" collapsed="false">
      <c r="A321" s="7"/>
      <c r="B321" s="18" t="s">
        <v>138</v>
      </c>
      <c r="C321" s="14" t="n">
        <f aca="false">SUM(C266:C272)</f>
        <v>264765</v>
      </c>
      <c r="D321" s="7"/>
    </row>
    <row r="322" customFormat="false" ht="15" hidden="false" customHeight="true" outlineLevel="0" collapsed="false">
      <c r="A322" s="18" t="s">
        <v>139</v>
      </c>
      <c r="B322" s="7" t="s">
        <v>140</v>
      </c>
      <c r="C322" s="14" t="n">
        <f aca="false">MIN(10000,0.05*(C299+C303+C309+C313+C321))</f>
        <v>10000</v>
      </c>
      <c r="D322" s="7" t="s">
        <v>141</v>
      </c>
    </row>
    <row r="323" customFormat="false" ht="15" hidden="false" customHeight="true" outlineLevel="0" collapsed="false">
      <c r="A323" s="18" t="s">
        <v>142</v>
      </c>
      <c r="B323" s="7" t="s">
        <v>143</v>
      </c>
      <c r="C323" s="15" t="n">
        <v>15000</v>
      </c>
      <c r="D323" s="7" t="s">
        <v>144</v>
      </c>
    </row>
    <row r="324" customFormat="false" ht="15" hidden="false" customHeight="true" outlineLevel="0" collapsed="false">
      <c r="B324" s="1" t="s">
        <v>145</v>
      </c>
      <c r="C324" s="1" t="n">
        <v>5000</v>
      </c>
    </row>
    <row r="325" customFormat="false" ht="15" hidden="false" customHeight="true" outlineLevel="0" collapsed="false">
      <c r="B325" s="1" t="s">
        <v>146</v>
      </c>
      <c r="C325" s="1" t="n">
        <v>1500</v>
      </c>
    </row>
    <row r="326" customFormat="false" ht="15" hidden="false" customHeight="true" outlineLevel="0" collapsed="false">
      <c r="B326" s="1" t="s">
        <v>147</v>
      </c>
      <c r="C326" s="1" t="n">
        <v>1500</v>
      </c>
    </row>
    <row r="327" customFormat="false" ht="15" hidden="false" customHeight="true" outlineLevel="0" collapsed="false">
      <c r="B327" s="1" t="s">
        <v>148</v>
      </c>
      <c r="C327" s="1" t="n">
        <v>3500</v>
      </c>
    </row>
    <row r="328" customFormat="false" ht="15" hidden="false" customHeight="true" outlineLevel="0" collapsed="false">
      <c r="B328" s="1" t="s">
        <v>149</v>
      </c>
      <c r="C328" s="1" t="n">
        <v>3000</v>
      </c>
    </row>
    <row r="329" customFormat="false" ht="15" hidden="false" customHeight="true" outlineLevel="0" collapsed="false">
      <c r="B329" s="1" t="s">
        <v>150</v>
      </c>
      <c r="C329" s="1" t="n">
        <f aca="false">SUM(C275:C280)</f>
        <v>16500</v>
      </c>
    </row>
    <row r="330" customFormat="false" ht="15" hidden="false" customHeight="true" outlineLevel="0" collapsed="false">
      <c r="A330" s="9" t="s">
        <v>151</v>
      </c>
      <c r="B330" s="19"/>
      <c r="C330" s="16" t="n">
        <f aca="false">C299+C303+C309+C313+C321+C322+C329</f>
        <v>2317398.21334596</v>
      </c>
      <c r="D330" s="19"/>
    </row>
    <row r="331" customFormat="false" ht="15" hidden="false" customHeight="true" outlineLevel="0" collapsed="false">
      <c r="A331" s="7"/>
      <c r="B331" s="7" t="s">
        <v>78</v>
      </c>
      <c r="C331" s="20" t="n">
        <f aca="false">C330/1592</f>
        <v>1455.65214406153</v>
      </c>
      <c r="D331" s="7"/>
    </row>
    <row r="334" customFormat="false" ht="15" hidden="false" customHeight="true" outlineLevel="0" collapsed="false">
      <c r="A334" s="21" t="s">
        <v>160</v>
      </c>
    </row>
    <row r="335" customFormat="false" ht="15" hidden="false" customHeight="true" outlineLevel="0" collapsed="false">
      <c r="A335" s="3" t="s">
        <v>103</v>
      </c>
      <c r="B335" s="3" t="s">
        <v>104</v>
      </c>
      <c r="C335" s="3" t="s">
        <v>105</v>
      </c>
      <c r="D335" s="3" t="s">
        <v>106</v>
      </c>
    </row>
    <row r="336" customFormat="false" ht="15" hidden="false" customHeight="true" outlineLevel="0" collapsed="false">
      <c r="A336" s="18" t="s">
        <v>107</v>
      </c>
      <c r="B336" s="7" t="s">
        <v>108</v>
      </c>
      <c r="C336" s="14" t="n">
        <f aca="false">'Sticks &amp; Bricks Detail'!K56</f>
        <v>134662</v>
      </c>
      <c r="D336" s="7" t="s">
        <v>109</v>
      </c>
    </row>
    <row r="337" customFormat="false" ht="15" hidden="false" customHeight="true" outlineLevel="0" collapsed="false">
      <c r="A337" s="18" t="s">
        <v>110</v>
      </c>
      <c r="B337" s="7" t="s">
        <v>111</v>
      </c>
      <c r="C337" s="15" t="n">
        <v>0</v>
      </c>
      <c r="D337" s="7" t="s">
        <v>112</v>
      </c>
    </row>
    <row r="338" customFormat="false" ht="15" hidden="false" customHeight="true" outlineLevel="0" collapsed="false">
      <c r="A338" s="7"/>
      <c r="B338" s="7" t="s">
        <v>113</v>
      </c>
      <c r="C338" s="15" t="n">
        <v>0</v>
      </c>
      <c r="D338" s="7" t="s">
        <v>114</v>
      </c>
    </row>
    <row r="339" customFormat="false" ht="15" hidden="false" customHeight="true" outlineLevel="0" collapsed="false">
      <c r="A339" s="7"/>
      <c r="B339" s="7" t="s">
        <v>115</v>
      </c>
      <c r="C339" s="15" t="n">
        <v>0</v>
      </c>
      <c r="D339" s="7" t="s">
        <v>116</v>
      </c>
    </row>
    <row r="340" customFormat="false" ht="15" hidden="false" customHeight="true" outlineLevel="0" collapsed="false">
      <c r="A340" s="7"/>
      <c r="B340" s="18" t="s">
        <v>117</v>
      </c>
      <c r="C340" s="14" t="n">
        <f aca="false">SUM(C283:C285)</f>
        <v>61000</v>
      </c>
      <c r="D340" s="7"/>
    </row>
    <row r="341" customFormat="false" ht="15" hidden="false" customHeight="true" outlineLevel="0" collapsed="false">
      <c r="A341" s="18" t="s">
        <v>118</v>
      </c>
      <c r="B341" s="7" t="s">
        <v>119</v>
      </c>
      <c r="C341" s="15" t="n">
        <v>5000</v>
      </c>
      <c r="D341" s="7"/>
    </row>
    <row r="342" customFormat="false" ht="15" hidden="false" customHeight="true" outlineLevel="0" collapsed="false">
      <c r="A342" s="22"/>
      <c r="B342" s="22"/>
      <c r="C342" s="22"/>
      <c r="D342" s="22"/>
    </row>
    <row r="343" customFormat="false" ht="15" hidden="false" customHeight="true" outlineLevel="0" collapsed="false">
      <c r="A343" s="7"/>
      <c r="B343" s="7" t="s">
        <v>121</v>
      </c>
      <c r="C343" s="15" t="n">
        <v>2500</v>
      </c>
      <c r="D343" s="7"/>
    </row>
    <row r="344" customFormat="false" ht="15" hidden="false" customHeight="true" outlineLevel="0" collapsed="false">
      <c r="A344" s="7"/>
      <c r="B344" s="7" t="s">
        <v>122</v>
      </c>
      <c r="C344" s="15" t="n">
        <v>3500</v>
      </c>
      <c r="D344" s="7"/>
    </row>
    <row r="345" customFormat="false" ht="15" hidden="false" customHeight="true" outlineLevel="0" collapsed="false">
      <c r="A345" s="7"/>
      <c r="B345" s="7" t="s">
        <v>123</v>
      </c>
      <c r="C345" s="15" t="n">
        <v>1000</v>
      </c>
      <c r="D345" s="7" t="s">
        <v>124</v>
      </c>
    </row>
    <row r="346" customFormat="false" ht="15" hidden="false" customHeight="true" outlineLevel="0" collapsed="false">
      <c r="A346" s="7"/>
      <c r="B346" s="18" t="s">
        <v>125</v>
      </c>
      <c r="C346" s="14" t="n">
        <f aca="false">SUM(C287:C291)</f>
        <v>14500</v>
      </c>
      <c r="D346" s="7"/>
    </row>
    <row r="347" customFormat="false" ht="15" hidden="false" customHeight="true" outlineLevel="0" collapsed="false">
      <c r="A347" s="18" t="s">
        <v>126</v>
      </c>
      <c r="B347" s="7" t="s">
        <v>127</v>
      </c>
      <c r="C347" s="15" t="n">
        <v>0</v>
      </c>
      <c r="D347" s="7"/>
    </row>
    <row r="348" customFormat="false" ht="15" hidden="false" customHeight="true" outlineLevel="0" collapsed="false">
      <c r="A348" s="7"/>
      <c r="B348" s="7" t="s">
        <v>128</v>
      </c>
      <c r="C348" s="15" t="n">
        <v>0</v>
      </c>
      <c r="D348" s="7"/>
    </row>
    <row r="349" customFormat="false" ht="15" hidden="false" customHeight="true" outlineLevel="0" collapsed="false">
      <c r="A349" s="7"/>
      <c r="B349" s="7" t="s">
        <v>129</v>
      </c>
      <c r="C349" s="15" t="n">
        <v>0</v>
      </c>
      <c r="D349" s="7"/>
    </row>
    <row r="350" customFormat="false" ht="15" hidden="false" customHeight="true" outlineLevel="0" collapsed="false">
      <c r="A350" s="7"/>
      <c r="B350" s="18" t="s">
        <v>130</v>
      </c>
      <c r="C350" s="14" t="n">
        <f aca="false">SUM(C293:C295)</f>
        <v>1908542.15947617</v>
      </c>
      <c r="D350" s="7"/>
    </row>
    <row r="351" customFormat="false" ht="15" hidden="false" customHeight="true" outlineLevel="0" collapsed="false">
      <c r="A351" s="18" t="s">
        <v>131</v>
      </c>
      <c r="B351" s="7" t="s">
        <v>132</v>
      </c>
      <c r="C351" s="15" t="n">
        <v>3500</v>
      </c>
      <c r="D351" s="7"/>
    </row>
    <row r="352" customFormat="false" ht="15" hidden="false" customHeight="true" outlineLevel="0" collapsed="false">
      <c r="A352" s="7"/>
      <c r="B352" s="7" t="s">
        <v>133</v>
      </c>
      <c r="C352" s="15" t="n">
        <v>2500</v>
      </c>
      <c r="D352" s="7"/>
    </row>
    <row r="353" customFormat="false" ht="15" hidden="false" customHeight="true" outlineLevel="0" collapsed="false">
      <c r="A353" s="7"/>
      <c r="B353" s="7" t="s">
        <v>134</v>
      </c>
      <c r="C353" s="15" t="n">
        <v>1500</v>
      </c>
      <c r="D353" s="7"/>
    </row>
    <row r="354" customFormat="false" ht="15" hidden="false" customHeight="true" outlineLevel="0" collapsed="false">
      <c r="A354" s="7"/>
      <c r="B354" s="7" t="s">
        <v>135</v>
      </c>
      <c r="C354" s="15" t="n">
        <v>1700</v>
      </c>
      <c r="D354" s="7"/>
    </row>
    <row r="355" customFormat="false" ht="15" hidden="false" customHeight="true" outlineLevel="0" collapsed="false">
      <c r="A355" s="7"/>
      <c r="B355" s="7" t="s">
        <v>136</v>
      </c>
      <c r="C355" s="15" t="n">
        <v>2000</v>
      </c>
      <c r="D355" s="7"/>
    </row>
    <row r="356" customFormat="false" ht="15" hidden="false" customHeight="true" outlineLevel="0" collapsed="false">
      <c r="A356" s="7"/>
      <c r="B356" s="7" t="s">
        <v>137</v>
      </c>
      <c r="C356" s="15" t="n">
        <v>1500</v>
      </c>
      <c r="D356" s="7"/>
    </row>
    <row r="357" customFormat="false" ht="15" hidden="false" customHeight="true" outlineLevel="0" collapsed="false">
      <c r="A357" s="7"/>
      <c r="B357" s="7" t="s">
        <v>123</v>
      </c>
      <c r="C357" s="15" t="n">
        <v>2300</v>
      </c>
      <c r="D357" s="7" t="s">
        <v>124</v>
      </c>
    </row>
    <row r="358" customFormat="false" ht="15" hidden="false" customHeight="true" outlineLevel="0" collapsed="false">
      <c r="A358" s="7"/>
      <c r="B358" s="18" t="s">
        <v>138</v>
      </c>
      <c r="C358" s="14" t="n">
        <f aca="false">SUM(C297:C303)</f>
        <v>133978</v>
      </c>
      <c r="D358" s="7"/>
    </row>
    <row r="359" customFormat="false" ht="15" hidden="false" customHeight="true" outlineLevel="0" collapsed="false">
      <c r="A359" s="18" t="s">
        <v>139</v>
      </c>
      <c r="B359" s="7" t="s">
        <v>140</v>
      </c>
      <c r="C359" s="14" t="n">
        <f aca="false">MIN(10000,0.05*(C336+C340+C346+C350+C358))</f>
        <v>10000</v>
      </c>
      <c r="D359" s="7" t="s">
        <v>141</v>
      </c>
    </row>
    <row r="360" customFormat="false" ht="15" hidden="false" customHeight="true" outlineLevel="0" collapsed="false">
      <c r="A360" s="18" t="s">
        <v>142</v>
      </c>
      <c r="B360" s="7" t="s">
        <v>143</v>
      </c>
      <c r="C360" s="15" t="n">
        <v>15000</v>
      </c>
      <c r="D360" s="7" t="s">
        <v>144</v>
      </c>
    </row>
    <row r="361" customFormat="false" ht="15" hidden="false" customHeight="true" outlineLevel="0" collapsed="false">
      <c r="B361" s="1" t="s">
        <v>145</v>
      </c>
      <c r="C361" s="1" t="n">
        <v>5000</v>
      </c>
    </row>
    <row r="362" customFormat="false" ht="15" hidden="false" customHeight="true" outlineLevel="0" collapsed="false">
      <c r="B362" s="1" t="s">
        <v>146</v>
      </c>
      <c r="C362" s="1" t="n">
        <v>1500</v>
      </c>
    </row>
    <row r="363" customFormat="false" ht="15" hidden="false" customHeight="true" outlineLevel="0" collapsed="false">
      <c r="B363" s="1" t="s">
        <v>147</v>
      </c>
      <c r="C363" s="1" t="n">
        <v>1500</v>
      </c>
    </row>
    <row r="364" customFormat="false" ht="15" hidden="false" customHeight="true" outlineLevel="0" collapsed="false">
      <c r="B364" s="1" t="s">
        <v>148</v>
      </c>
      <c r="C364" s="1" t="n">
        <v>3500</v>
      </c>
    </row>
    <row r="365" customFormat="false" ht="15" hidden="false" customHeight="true" outlineLevel="0" collapsed="false">
      <c r="B365" s="1" t="s">
        <v>149</v>
      </c>
      <c r="C365" s="1" t="n">
        <v>3000</v>
      </c>
    </row>
    <row r="366" customFormat="false" ht="15" hidden="false" customHeight="true" outlineLevel="0" collapsed="false">
      <c r="B366" s="1" t="s">
        <v>150</v>
      </c>
      <c r="C366" s="1" t="n">
        <f aca="false">SUM(C306:C311)</f>
        <v>1776533.21334596</v>
      </c>
    </row>
    <row r="367" customFormat="false" ht="15" hidden="false" customHeight="true" outlineLevel="0" collapsed="false">
      <c r="A367" s="9" t="s">
        <v>151</v>
      </c>
      <c r="B367" s="19"/>
      <c r="C367" s="16" t="n">
        <f aca="false">C336+C340+C346+C350+C358+C359+C366</f>
        <v>4039215.37282213</v>
      </c>
      <c r="D367" s="19"/>
    </row>
    <row r="368" customFormat="false" ht="15" hidden="false" customHeight="true" outlineLevel="0" collapsed="false">
      <c r="A368" s="7"/>
      <c r="B368" s="7" t="s">
        <v>78</v>
      </c>
      <c r="C368" s="20" t="n">
        <f aca="false">C367/1700</f>
        <v>2376.00904283655</v>
      </c>
      <c r="D368" s="7"/>
    </row>
    <row r="371" customFormat="false" ht="15" hidden="false" customHeight="true" outlineLevel="0" collapsed="false">
      <c r="A371" s="21" t="s">
        <v>161</v>
      </c>
    </row>
    <row r="372" customFormat="false" ht="15" hidden="false" customHeight="true" outlineLevel="0" collapsed="false">
      <c r="A372" s="3" t="s">
        <v>103</v>
      </c>
      <c r="B372" s="3" t="s">
        <v>104</v>
      </c>
      <c r="C372" s="3" t="s">
        <v>105</v>
      </c>
      <c r="D372" s="3" t="s">
        <v>106</v>
      </c>
    </row>
    <row r="373" customFormat="false" ht="15" hidden="false" customHeight="true" outlineLevel="0" collapsed="false">
      <c r="A373" s="18" t="s">
        <v>107</v>
      </c>
      <c r="B373" s="18"/>
      <c r="C373" s="18"/>
      <c r="D373" s="18"/>
    </row>
    <row r="374" customFormat="false" ht="15" hidden="false" customHeight="true" outlineLevel="0" collapsed="false">
      <c r="A374" s="18" t="s">
        <v>110</v>
      </c>
      <c r="B374" s="7" t="s">
        <v>111</v>
      </c>
      <c r="C374" s="15" t="n">
        <v>0</v>
      </c>
      <c r="D374" s="7" t="s">
        <v>112</v>
      </c>
    </row>
    <row r="375" customFormat="false" ht="15" hidden="false" customHeight="true" outlineLevel="0" collapsed="false">
      <c r="A375" s="7"/>
      <c r="B375" s="7" t="s">
        <v>113</v>
      </c>
      <c r="C375" s="15" t="n">
        <v>0</v>
      </c>
      <c r="D375" s="7" t="s">
        <v>114</v>
      </c>
    </row>
    <row r="376" customFormat="false" ht="15" hidden="false" customHeight="true" outlineLevel="0" collapsed="false">
      <c r="A376" s="7"/>
      <c r="B376" s="7" t="s">
        <v>115</v>
      </c>
      <c r="C376" s="15" t="n">
        <v>0</v>
      </c>
      <c r="D376" s="7" t="s">
        <v>116</v>
      </c>
    </row>
    <row r="377" customFormat="false" ht="15" hidden="false" customHeight="true" outlineLevel="0" collapsed="false">
      <c r="A377" s="7"/>
      <c r="B377" s="18" t="s">
        <v>117</v>
      </c>
      <c r="C377" s="14" t="n">
        <f aca="false">SUM(C314:C316)</f>
        <v>7500</v>
      </c>
      <c r="D377" s="7"/>
    </row>
    <row r="378" customFormat="false" ht="15" hidden="false" customHeight="true" outlineLevel="0" collapsed="false">
      <c r="A378" s="18" t="s">
        <v>118</v>
      </c>
      <c r="B378" s="7" t="s">
        <v>119</v>
      </c>
      <c r="C378" s="15" t="n">
        <v>5000</v>
      </c>
      <c r="D378" s="7"/>
    </row>
    <row r="379" customFormat="false" ht="15" hidden="false" customHeight="true" outlineLevel="0" collapsed="false">
      <c r="A379" s="7"/>
      <c r="B379" s="7" t="s">
        <v>120</v>
      </c>
      <c r="C379" s="15" t="n">
        <v>3000</v>
      </c>
      <c r="D379" s="7"/>
    </row>
    <row r="380" customFormat="false" ht="15" hidden="false" customHeight="true" outlineLevel="0" collapsed="false">
      <c r="A380" s="7"/>
      <c r="B380" s="7" t="s">
        <v>121</v>
      </c>
      <c r="C380" s="15" t="n">
        <v>2500</v>
      </c>
      <c r="D380" s="7"/>
    </row>
    <row r="381" customFormat="false" ht="15" hidden="false" customHeight="true" outlineLevel="0" collapsed="false">
      <c r="A381" s="7"/>
      <c r="B381" s="7" t="s">
        <v>122</v>
      </c>
      <c r="C381" s="15" t="n">
        <v>3500</v>
      </c>
      <c r="D381" s="7"/>
    </row>
    <row r="382" customFormat="false" ht="15" hidden="false" customHeight="true" outlineLevel="0" collapsed="false">
      <c r="A382" s="7"/>
      <c r="B382" s="7" t="s">
        <v>123</v>
      </c>
      <c r="C382" s="15" t="n">
        <v>1000</v>
      </c>
      <c r="D382" s="7" t="s">
        <v>124</v>
      </c>
    </row>
    <row r="383" customFormat="false" ht="15" hidden="false" customHeight="true" outlineLevel="0" collapsed="false">
      <c r="A383" s="7"/>
      <c r="B383" s="18" t="s">
        <v>125</v>
      </c>
      <c r="C383" s="14" t="n">
        <f aca="false">SUM(C318:C322)</f>
        <v>280565</v>
      </c>
      <c r="D383" s="7"/>
    </row>
    <row r="384" customFormat="false" ht="15" hidden="false" customHeight="true" outlineLevel="0" collapsed="false">
      <c r="A384" s="18" t="s">
        <v>126</v>
      </c>
      <c r="B384" s="7" t="s">
        <v>127</v>
      </c>
      <c r="C384" s="15" t="n">
        <v>0</v>
      </c>
      <c r="D384" s="7"/>
    </row>
    <row r="385" customFormat="false" ht="15" hidden="false" customHeight="true" outlineLevel="0" collapsed="false">
      <c r="A385" s="7"/>
      <c r="B385" s="7" t="s">
        <v>128</v>
      </c>
      <c r="C385" s="15" t="n">
        <v>0</v>
      </c>
      <c r="D385" s="7"/>
    </row>
    <row r="386" customFormat="false" ht="15" hidden="false" customHeight="true" outlineLevel="0" collapsed="false">
      <c r="A386" s="7"/>
      <c r="B386" s="7" t="s">
        <v>129</v>
      </c>
      <c r="C386" s="15" t="n">
        <v>0</v>
      </c>
      <c r="D386" s="7"/>
    </row>
    <row r="387" customFormat="false" ht="15" hidden="false" customHeight="true" outlineLevel="0" collapsed="false">
      <c r="A387" s="7"/>
      <c r="B387" s="18" t="s">
        <v>130</v>
      </c>
      <c r="C387" s="14" t="n">
        <f aca="false">SUM(C324:C326)</f>
        <v>8000</v>
      </c>
      <c r="D387" s="7"/>
    </row>
    <row r="388" customFormat="false" ht="15" hidden="false" customHeight="true" outlineLevel="0" collapsed="false">
      <c r="A388" s="18" t="s">
        <v>131</v>
      </c>
      <c r="B388" s="7" t="s">
        <v>132</v>
      </c>
      <c r="C388" s="15" t="n">
        <v>3500</v>
      </c>
      <c r="D388" s="7"/>
    </row>
    <row r="389" customFormat="false" ht="15" hidden="false" customHeight="true" outlineLevel="0" collapsed="false">
      <c r="A389" s="7"/>
      <c r="B389" s="7" t="s">
        <v>133</v>
      </c>
      <c r="C389" s="15" t="n">
        <v>2500</v>
      </c>
      <c r="D389" s="7"/>
    </row>
    <row r="390" customFormat="false" ht="15" hidden="false" customHeight="true" outlineLevel="0" collapsed="false">
      <c r="A390" s="7"/>
      <c r="B390" s="7" t="s">
        <v>134</v>
      </c>
      <c r="C390" s="15" t="n">
        <v>1500</v>
      </c>
      <c r="D390" s="7"/>
    </row>
    <row r="391" customFormat="false" ht="15" hidden="false" customHeight="true" outlineLevel="0" collapsed="false">
      <c r="A391" s="7"/>
      <c r="B391" s="7" t="s">
        <v>135</v>
      </c>
      <c r="C391" s="15" t="n">
        <v>1700</v>
      </c>
      <c r="D391" s="7"/>
    </row>
    <row r="392" customFormat="false" ht="15" hidden="false" customHeight="true" outlineLevel="0" collapsed="false">
      <c r="A392" s="7"/>
      <c r="B392" s="7" t="s">
        <v>136</v>
      </c>
      <c r="C392" s="15" t="n">
        <v>2000</v>
      </c>
      <c r="D392" s="7"/>
    </row>
    <row r="393" customFormat="false" ht="15" hidden="false" customHeight="true" outlineLevel="0" collapsed="false">
      <c r="A393" s="7"/>
      <c r="B393" s="7" t="s">
        <v>137</v>
      </c>
      <c r="C393" s="15" t="n">
        <v>1500</v>
      </c>
      <c r="D393" s="7"/>
    </row>
    <row r="394" customFormat="false" ht="15" hidden="false" customHeight="true" outlineLevel="0" collapsed="false">
      <c r="A394" s="7"/>
      <c r="B394" s="7" t="s">
        <v>123</v>
      </c>
      <c r="C394" s="15" t="n">
        <v>2300</v>
      </c>
      <c r="D394" s="7" t="s">
        <v>124</v>
      </c>
    </row>
    <row r="395" customFormat="false" ht="15" hidden="false" customHeight="true" outlineLevel="0" collapsed="false">
      <c r="A395" s="7"/>
      <c r="B395" s="18" t="s">
        <v>138</v>
      </c>
      <c r="C395" s="14" t="n">
        <f aca="false">SUM(C328:C334)</f>
        <v>2338353.86549002</v>
      </c>
      <c r="D395" s="7"/>
    </row>
    <row r="396" customFormat="false" ht="15" hidden="false" customHeight="true" outlineLevel="0" collapsed="false">
      <c r="A396" s="18" t="s">
        <v>139</v>
      </c>
      <c r="B396" s="7" t="s">
        <v>140</v>
      </c>
      <c r="C396" s="14" t="n">
        <f aca="false">MIN(10000,0.05*(C373+C377+C383+C387+C395))</f>
        <v>10000</v>
      </c>
      <c r="D396" s="7" t="s">
        <v>141</v>
      </c>
    </row>
    <row r="397" customFormat="false" ht="15" hidden="false" customHeight="true" outlineLevel="0" collapsed="false">
      <c r="A397" s="18" t="s">
        <v>142</v>
      </c>
      <c r="B397" s="7" t="s">
        <v>143</v>
      </c>
      <c r="C397" s="15" t="n">
        <v>15000</v>
      </c>
      <c r="D397" s="7" t="s">
        <v>144</v>
      </c>
    </row>
    <row r="398" customFormat="false" ht="15" hidden="false" customHeight="true" outlineLevel="0" collapsed="false">
      <c r="B398" s="1" t="s">
        <v>145</v>
      </c>
      <c r="C398" s="1" t="n">
        <v>5000</v>
      </c>
    </row>
    <row r="399" customFormat="false" ht="15" hidden="false" customHeight="true" outlineLevel="0" collapsed="false">
      <c r="B399" s="1" t="s">
        <v>146</v>
      </c>
      <c r="C399" s="1" t="n">
        <v>1500</v>
      </c>
    </row>
    <row r="400" customFormat="false" ht="15" hidden="false" customHeight="true" outlineLevel="0" collapsed="false">
      <c r="B400" s="1" t="s">
        <v>147</v>
      </c>
      <c r="C400" s="1" t="n">
        <v>1500</v>
      </c>
    </row>
    <row r="401" customFormat="false" ht="15" hidden="false" customHeight="true" outlineLevel="0" collapsed="false">
      <c r="B401" s="1" t="s">
        <v>148</v>
      </c>
      <c r="C401" s="1" t="n">
        <v>3500</v>
      </c>
    </row>
    <row r="402" customFormat="false" ht="15" hidden="false" customHeight="true" outlineLevel="0" collapsed="false">
      <c r="B402" s="1" t="s">
        <v>149</v>
      </c>
      <c r="C402" s="1" t="n">
        <v>3000</v>
      </c>
    </row>
    <row r="403" customFormat="false" ht="15" hidden="false" customHeight="true" outlineLevel="0" collapsed="false">
      <c r="B403" s="1" t="s">
        <v>150</v>
      </c>
      <c r="C403" s="1" t="n">
        <f aca="false">SUM(C337:C342)</f>
        <v>66000</v>
      </c>
    </row>
    <row r="404" customFormat="false" ht="15" hidden="false" customHeight="true" outlineLevel="0" collapsed="false">
      <c r="A404" s="9" t="s">
        <v>151</v>
      </c>
      <c r="B404" s="9"/>
      <c r="C404" s="9"/>
      <c r="D404" s="9"/>
    </row>
    <row r="405" customFormat="false" ht="15" hidden="false" customHeight="true" outlineLevel="0" collapsed="false">
      <c r="A405" s="7"/>
      <c r="B405" s="7" t="s">
        <v>78</v>
      </c>
      <c r="C405" s="20" t="n">
        <f aca="false">C404/1712</f>
        <v>0</v>
      </c>
      <c r="D405" s="7"/>
    </row>
    <row r="408" customFormat="false" ht="15" hidden="false" customHeight="true" outlineLevel="0" collapsed="false">
      <c r="A408" s="21" t="s">
        <v>162</v>
      </c>
    </row>
    <row r="409" customFormat="false" ht="15" hidden="false" customHeight="true" outlineLevel="0" collapsed="false">
      <c r="A409" s="3" t="s">
        <v>103</v>
      </c>
      <c r="B409" s="3" t="s">
        <v>104</v>
      </c>
      <c r="C409" s="3" t="s">
        <v>105</v>
      </c>
      <c r="D409" s="3" t="s">
        <v>106</v>
      </c>
    </row>
    <row r="410" customFormat="false" ht="15" hidden="false" customHeight="true" outlineLevel="0" collapsed="false">
      <c r="A410" s="18" t="s">
        <v>107</v>
      </c>
      <c r="B410" s="7" t="s">
        <v>108</v>
      </c>
      <c r="C410" s="14" t="n">
        <f aca="false">'Sticks &amp; Bricks Detail'!M56</f>
        <v>136078</v>
      </c>
      <c r="D410" s="7" t="s">
        <v>109</v>
      </c>
    </row>
    <row r="411" customFormat="false" ht="15" hidden="false" customHeight="true" outlineLevel="0" collapsed="false">
      <c r="A411" s="18" t="s">
        <v>110</v>
      </c>
      <c r="B411" s="7" t="s">
        <v>111</v>
      </c>
      <c r="C411" s="15" t="n">
        <v>0</v>
      </c>
      <c r="D411" s="7" t="s">
        <v>112</v>
      </c>
    </row>
    <row r="412" customFormat="false" ht="15" hidden="false" customHeight="true" outlineLevel="0" collapsed="false">
      <c r="A412" s="7"/>
      <c r="B412" s="7" t="s">
        <v>113</v>
      </c>
      <c r="C412" s="15" t="n">
        <v>0</v>
      </c>
      <c r="D412" s="7" t="s">
        <v>114</v>
      </c>
    </row>
    <row r="413" customFormat="false" ht="15" hidden="false" customHeight="true" outlineLevel="0" collapsed="false">
      <c r="A413" s="7"/>
      <c r="B413" s="7" t="s">
        <v>115</v>
      </c>
      <c r="C413" s="15" t="n">
        <v>0</v>
      </c>
      <c r="D413" s="7" t="s">
        <v>116</v>
      </c>
    </row>
    <row r="414" customFormat="false" ht="15" hidden="false" customHeight="true" outlineLevel="0" collapsed="false">
      <c r="A414" s="7"/>
      <c r="B414" s="18" t="s">
        <v>117</v>
      </c>
      <c r="C414" s="14" t="n">
        <f aca="false">SUM(C345:C347)</f>
        <v>15500</v>
      </c>
      <c r="D414" s="7"/>
    </row>
    <row r="415" customFormat="false" ht="15" hidden="false" customHeight="true" outlineLevel="0" collapsed="false">
      <c r="A415" s="18" t="s">
        <v>118</v>
      </c>
      <c r="B415" s="7" t="s">
        <v>119</v>
      </c>
      <c r="C415" s="15" t="n">
        <v>5000</v>
      </c>
      <c r="D415" s="7"/>
    </row>
    <row r="416" customFormat="false" ht="15" hidden="false" customHeight="true" outlineLevel="0" collapsed="false">
      <c r="A416" s="7"/>
      <c r="B416" s="7" t="s">
        <v>120</v>
      </c>
      <c r="C416" s="15" t="n">
        <v>3000</v>
      </c>
      <c r="D416" s="7"/>
    </row>
    <row r="417" customFormat="false" ht="15" hidden="false" customHeight="true" outlineLevel="0" collapsed="false">
      <c r="A417" s="7"/>
      <c r="B417" s="7" t="s">
        <v>121</v>
      </c>
      <c r="C417" s="15" t="n">
        <v>2500</v>
      </c>
      <c r="D417" s="7"/>
    </row>
    <row r="418" customFormat="false" ht="15" hidden="false" customHeight="true" outlineLevel="0" collapsed="false">
      <c r="A418" s="7"/>
      <c r="B418" s="7" t="s">
        <v>122</v>
      </c>
      <c r="C418" s="15" t="n">
        <v>3500</v>
      </c>
      <c r="D418" s="7"/>
    </row>
    <row r="419" customFormat="false" ht="15" hidden="false" customHeight="true" outlineLevel="0" collapsed="false">
      <c r="A419" s="7"/>
      <c r="B419" s="7" t="s">
        <v>123</v>
      </c>
      <c r="C419" s="15" t="n">
        <v>1000</v>
      </c>
      <c r="D419" s="7" t="s">
        <v>124</v>
      </c>
    </row>
    <row r="420" customFormat="false" ht="15" hidden="false" customHeight="true" outlineLevel="0" collapsed="false">
      <c r="A420" s="7"/>
      <c r="B420" s="18" t="s">
        <v>125</v>
      </c>
      <c r="C420" s="14" t="n">
        <f aca="false">SUM(C349:C353)</f>
        <v>1916042.15947617</v>
      </c>
      <c r="D420" s="7"/>
    </row>
    <row r="421" customFormat="false" ht="15" hidden="false" customHeight="true" outlineLevel="0" collapsed="false">
      <c r="A421" s="18" t="s">
        <v>126</v>
      </c>
      <c r="B421" s="7" t="s">
        <v>127</v>
      </c>
      <c r="C421" s="15" t="n">
        <v>0</v>
      </c>
      <c r="D421" s="7"/>
    </row>
    <row r="422" customFormat="false" ht="15" hidden="false" customHeight="true" outlineLevel="0" collapsed="false">
      <c r="A422" s="7"/>
      <c r="B422" s="7" t="s">
        <v>128</v>
      </c>
      <c r="C422" s="15" t="n">
        <v>0</v>
      </c>
      <c r="D422" s="7"/>
    </row>
    <row r="423" customFormat="false" ht="15" hidden="false" customHeight="true" outlineLevel="0" collapsed="false">
      <c r="A423" s="7"/>
      <c r="B423" s="7" t="s">
        <v>129</v>
      </c>
      <c r="C423" s="15" t="n">
        <v>0</v>
      </c>
      <c r="D423" s="7"/>
    </row>
    <row r="424" customFormat="false" ht="15" hidden="false" customHeight="true" outlineLevel="0" collapsed="false">
      <c r="A424" s="7"/>
      <c r="B424" s="18" t="s">
        <v>130</v>
      </c>
      <c r="C424" s="14" t="n">
        <f aca="false">SUM(C355:C357)</f>
        <v>5800</v>
      </c>
      <c r="D424" s="7"/>
    </row>
    <row r="425" customFormat="false" ht="15" hidden="false" customHeight="true" outlineLevel="0" collapsed="false">
      <c r="A425" s="18" t="s">
        <v>131</v>
      </c>
      <c r="B425" s="7" t="s">
        <v>132</v>
      </c>
      <c r="C425" s="15" t="n">
        <v>3500</v>
      </c>
      <c r="D425" s="7"/>
    </row>
    <row r="426" customFormat="false" ht="15" hidden="false" customHeight="true" outlineLevel="0" collapsed="false">
      <c r="A426" s="7"/>
      <c r="B426" s="7" t="s">
        <v>133</v>
      </c>
      <c r="C426" s="15" t="n">
        <v>2500</v>
      </c>
      <c r="D426" s="7"/>
    </row>
    <row r="427" customFormat="false" ht="15" hidden="false" customHeight="true" outlineLevel="0" collapsed="false">
      <c r="A427" s="7"/>
      <c r="B427" s="7" t="s">
        <v>134</v>
      </c>
      <c r="C427" s="15" t="n">
        <v>1500</v>
      </c>
      <c r="D427" s="7"/>
    </row>
    <row r="428" customFormat="false" ht="15" hidden="false" customHeight="true" outlineLevel="0" collapsed="false">
      <c r="A428" s="7"/>
      <c r="B428" s="7" t="s">
        <v>135</v>
      </c>
      <c r="C428" s="15" t="n">
        <v>1700</v>
      </c>
      <c r="D428" s="7"/>
    </row>
    <row r="429" customFormat="false" ht="15" hidden="false" customHeight="true" outlineLevel="0" collapsed="false">
      <c r="A429" s="7"/>
      <c r="B429" s="7" t="s">
        <v>136</v>
      </c>
      <c r="C429" s="15" t="n">
        <v>2000</v>
      </c>
      <c r="D429" s="7"/>
    </row>
    <row r="430" customFormat="false" ht="15" hidden="false" customHeight="true" outlineLevel="0" collapsed="false">
      <c r="A430" s="7"/>
      <c r="B430" s="7" t="s">
        <v>137</v>
      </c>
      <c r="C430" s="15" t="n">
        <v>1500</v>
      </c>
      <c r="D430" s="7"/>
    </row>
    <row r="431" customFormat="false" ht="15" hidden="false" customHeight="true" outlineLevel="0" collapsed="false">
      <c r="A431" s="7"/>
      <c r="B431" s="7" t="s">
        <v>123</v>
      </c>
      <c r="C431" s="15" t="n">
        <v>2300</v>
      </c>
      <c r="D431" s="7" t="s">
        <v>124</v>
      </c>
    </row>
    <row r="432" customFormat="false" ht="15" hidden="false" customHeight="true" outlineLevel="0" collapsed="false">
      <c r="A432" s="7"/>
      <c r="B432" s="18" t="s">
        <v>138</v>
      </c>
      <c r="C432" s="14" t="n">
        <f aca="false">SUM(C359:C365)</f>
        <v>39500</v>
      </c>
      <c r="D432" s="7"/>
    </row>
    <row r="433" customFormat="false" ht="15" hidden="false" customHeight="true" outlineLevel="0" collapsed="false">
      <c r="A433" s="18" t="s">
        <v>139</v>
      </c>
      <c r="B433" s="7" t="s">
        <v>140</v>
      </c>
      <c r="C433" s="14" t="n">
        <f aca="false">MIN(10000,0.05*(C410+C414+C420+C424+C432))</f>
        <v>10000</v>
      </c>
      <c r="D433" s="7" t="s">
        <v>141</v>
      </c>
    </row>
    <row r="434" customFormat="false" ht="15" hidden="false" customHeight="true" outlineLevel="0" collapsed="false">
      <c r="A434" s="18" t="s">
        <v>142</v>
      </c>
      <c r="B434" s="7" t="s">
        <v>143</v>
      </c>
      <c r="C434" s="15" t="n">
        <v>15000</v>
      </c>
      <c r="D434" s="7" t="s">
        <v>144</v>
      </c>
    </row>
    <row r="435" customFormat="false" ht="15" hidden="false" customHeight="true" outlineLevel="0" collapsed="false">
      <c r="A435" s="23"/>
      <c r="B435" s="23"/>
      <c r="C435" s="23"/>
      <c r="D435" s="23"/>
    </row>
    <row r="436" customFormat="false" ht="15" hidden="false" customHeight="true" outlineLevel="0" collapsed="false">
      <c r="B436" s="1" t="s">
        <v>146</v>
      </c>
      <c r="C436" s="1" t="n">
        <v>1500</v>
      </c>
    </row>
    <row r="437" customFormat="false" ht="15" hidden="false" customHeight="true" outlineLevel="0" collapsed="false">
      <c r="B437" s="1" t="s">
        <v>147</v>
      </c>
      <c r="C437" s="1" t="n">
        <v>1500</v>
      </c>
    </row>
    <row r="438" customFormat="false" ht="15" hidden="false" customHeight="true" outlineLevel="0" collapsed="false">
      <c r="B438" s="1" t="s">
        <v>148</v>
      </c>
      <c r="C438" s="1" t="n">
        <v>3500</v>
      </c>
    </row>
    <row r="439" customFormat="false" ht="15" hidden="false" customHeight="true" outlineLevel="0" collapsed="false">
      <c r="B439" s="1" t="s">
        <v>149</v>
      </c>
      <c r="C439" s="1" t="n">
        <v>3000</v>
      </c>
    </row>
    <row r="440" customFormat="false" ht="15" hidden="false" customHeight="true" outlineLevel="0" collapsed="false">
      <c r="B440" s="1" t="s">
        <v>150</v>
      </c>
      <c r="C440" s="1" t="n">
        <f aca="false">SUM(C368:C373)</f>
        <v>2376.00904283655</v>
      </c>
    </row>
    <row r="441" customFormat="false" ht="15" hidden="false" customHeight="true" outlineLevel="0" collapsed="false">
      <c r="A441" s="9" t="s">
        <v>151</v>
      </c>
      <c r="B441" s="19"/>
      <c r="C441" s="16" t="n">
        <f aca="false">C410+C414+C420+C424+C432+C433+C440</f>
        <v>2125296.16851901</v>
      </c>
      <c r="D441" s="19"/>
    </row>
    <row r="442" customFormat="false" ht="15" hidden="false" customHeight="true" outlineLevel="0" collapsed="false">
      <c r="A442" s="7"/>
      <c r="B442" s="7" t="s">
        <v>78</v>
      </c>
      <c r="C442" s="20" t="n">
        <f aca="false">C441/1713</f>
        <v>1240.6866132627</v>
      </c>
      <c r="D442" s="7"/>
    </row>
    <row r="445" customFormat="false" ht="15" hidden="false" customHeight="true" outlineLevel="0" collapsed="false">
      <c r="A445" s="21" t="s">
        <v>163</v>
      </c>
    </row>
    <row r="446" customFormat="false" ht="15" hidden="false" customHeight="true" outlineLevel="0" collapsed="false">
      <c r="A446" s="3" t="s">
        <v>103</v>
      </c>
      <c r="B446" s="3" t="s">
        <v>104</v>
      </c>
      <c r="C446" s="3" t="s">
        <v>105</v>
      </c>
      <c r="D446" s="3" t="s">
        <v>106</v>
      </c>
    </row>
    <row r="447" customFormat="false" ht="15" hidden="false" customHeight="true" outlineLevel="0" collapsed="false">
      <c r="A447" s="18" t="s">
        <v>107</v>
      </c>
      <c r="B447" s="7" t="s">
        <v>108</v>
      </c>
      <c r="C447" s="14" t="n">
        <f aca="false">'Sticks &amp; Bricks Detail'!N56</f>
        <v>141355</v>
      </c>
      <c r="D447" s="7" t="s">
        <v>109</v>
      </c>
    </row>
    <row r="448" customFormat="false" ht="15" hidden="false" customHeight="true" outlineLevel="0" collapsed="false">
      <c r="A448" s="18" t="s">
        <v>110</v>
      </c>
      <c r="B448" s="7" t="s">
        <v>111</v>
      </c>
      <c r="C448" s="15" t="n">
        <v>0</v>
      </c>
      <c r="D448" s="7" t="s">
        <v>112</v>
      </c>
    </row>
    <row r="449" customFormat="false" ht="15" hidden="false" customHeight="true" outlineLevel="0" collapsed="false">
      <c r="A449" s="7"/>
      <c r="B449" s="7" t="s">
        <v>113</v>
      </c>
      <c r="C449" s="15" t="n">
        <v>0</v>
      </c>
      <c r="D449" s="7" t="s">
        <v>114</v>
      </c>
    </row>
    <row r="450" customFormat="false" ht="15" hidden="false" customHeight="true" outlineLevel="0" collapsed="false">
      <c r="A450" s="7"/>
      <c r="B450" s="7" t="s">
        <v>115</v>
      </c>
      <c r="C450" s="15" t="n">
        <v>0</v>
      </c>
      <c r="D450" s="7" t="s">
        <v>116</v>
      </c>
    </row>
    <row r="451" customFormat="false" ht="15" hidden="false" customHeight="true" outlineLevel="0" collapsed="false">
      <c r="A451" s="7"/>
      <c r="B451" s="18" t="s">
        <v>117</v>
      </c>
      <c r="C451" s="14" t="n">
        <f aca="false">SUM(C376:C378)</f>
        <v>12500</v>
      </c>
      <c r="D451" s="7"/>
    </row>
    <row r="452" customFormat="false" ht="15" hidden="false" customHeight="true" outlineLevel="0" collapsed="false">
      <c r="A452" s="18" t="s">
        <v>118</v>
      </c>
      <c r="B452" s="7" t="s">
        <v>119</v>
      </c>
      <c r="C452" s="15" t="n">
        <v>5000</v>
      </c>
      <c r="D452" s="7"/>
    </row>
    <row r="453" customFormat="false" ht="15" hidden="false" customHeight="true" outlineLevel="0" collapsed="false">
      <c r="A453" s="7"/>
      <c r="B453" s="7" t="s">
        <v>120</v>
      </c>
      <c r="C453" s="15" t="n">
        <v>3000</v>
      </c>
      <c r="D453" s="7"/>
    </row>
    <row r="454" customFormat="false" ht="15" hidden="false" customHeight="true" outlineLevel="0" collapsed="false">
      <c r="A454" s="7"/>
      <c r="B454" s="7" t="s">
        <v>121</v>
      </c>
      <c r="C454" s="15" t="n">
        <v>2500</v>
      </c>
      <c r="D454" s="7"/>
    </row>
    <row r="455" customFormat="false" ht="15" hidden="false" customHeight="true" outlineLevel="0" collapsed="false">
      <c r="A455" s="7"/>
      <c r="B455" s="7" t="s">
        <v>122</v>
      </c>
      <c r="C455" s="15" t="n">
        <v>3500</v>
      </c>
      <c r="D455" s="7"/>
    </row>
    <row r="456" customFormat="false" ht="15" hidden="false" customHeight="true" outlineLevel="0" collapsed="false">
      <c r="A456" s="7"/>
      <c r="B456" s="7" t="s">
        <v>123</v>
      </c>
      <c r="C456" s="15" t="n">
        <v>1000</v>
      </c>
      <c r="D456" s="7" t="s">
        <v>124</v>
      </c>
    </row>
    <row r="457" customFormat="false" ht="15" hidden="false" customHeight="true" outlineLevel="0" collapsed="false">
      <c r="A457" s="7"/>
      <c r="B457" s="18" t="s">
        <v>125</v>
      </c>
      <c r="C457" s="14" t="n">
        <f aca="false">SUM(C380:C384)</f>
        <v>287565</v>
      </c>
      <c r="D457" s="7"/>
    </row>
    <row r="458" customFormat="false" ht="15" hidden="false" customHeight="true" outlineLevel="0" collapsed="false">
      <c r="A458" s="18" t="s">
        <v>126</v>
      </c>
      <c r="B458" s="7" t="s">
        <v>127</v>
      </c>
      <c r="C458" s="15" t="n">
        <v>0</v>
      </c>
      <c r="D458" s="7"/>
    </row>
    <row r="459" customFormat="false" ht="15" hidden="false" customHeight="true" outlineLevel="0" collapsed="false">
      <c r="A459" s="7"/>
      <c r="B459" s="7" t="s">
        <v>128</v>
      </c>
      <c r="C459" s="15" t="n">
        <v>0</v>
      </c>
      <c r="D459" s="7"/>
    </row>
    <row r="460" customFormat="false" ht="15" hidden="false" customHeight="true" outlineLevel="0" collapsed="false">
      <c r="A460" s="7"/>
      <c r="B460" s="7" t="s">
        <v>129</v>
      </c>
      <c r="C460" s="15" t="n">
        <v>0</v>
      </c>
      <c r="D460" s="7"/>
    </row>
    <row r="461" customFormat="false" ht="15" hidden="false" customHeight="true" outlineLevel="0" collapsed="false">
      <c r="A461" s="7"/>
      <c r="B461" s="18" t="s">
        <v>130</v>
      </c>
      <c r="C461" s="14" t="n">
        <f aca="false">SUM(C386:C388)</f>
        <v>11500</v>
      </c>
      <c r="D461" s="7"/>
    </row>
    <row r="462" customFormat="false" ht="15" hidden="false" customHeight="true" outlineLevel="0" collapsed="false">
      <c r="A462" s="18" t="s">
        <v>131</v>
      </c>
      <c r="B462" s="7" t="s">
        <v>132</v>
      </c>
      <c r="C462" s="15" t="n">
        <v>3500</v>
      </c>
      <c r="D462" s="7"/>
    </row>
    <row r="463" customFormat="false" ht="15" hidden="false" customHeight="true" outlineLevel="0" collapsed="false">
      <c r="A463" s="7"/>
      <c r="B463" s="7" t="s">
        <v>133</v>
      </c>
      <c r="C463" s="15" t="n">
        <v>2500</v>
      </c>
      <c r="D463" s="7"/>
    </row>
    <row r="464" customFormat="false" ht="15" hidden="false" customHeight="true" outlineLevel="0" collapsed="false">
      <c r="A464" s="7"/>
      <c r="B464" s="7" t="s">
        <v>134</v>
      </c>
      <c r="C464" s="15" t="n">
        <v>1500</v>
      </c>
      <c r="D464" s="7"/>
    </row>
    <row r="465" customFormat="false" ht="15" hidden="false" customHeight="true" outlineLevel="0" collapsed="false">
      <c r="A465" s="7"/>
      <c r="B465" s="7" t="s">
        <v>135</v>
      </c>
      <c r="C465" s="15" t="n">
        <v>1700</v>
      </c>
      <c r="D465" s="7"/>
    </row>
    <row r="466" customFormat="false" ht="15" hidden="false" customHeight="true" outlineLevel="0" collapsed="false">
      <c r="A466" s="22"/>
      <c r="B466" s="22"/>
      <c r="C466" s="22"/>
      <c r="D466" s="22"/>
    </row>
    <row r="467" customFormat="false" ht="15" hidden="false" customHeight="true" outlineLevel="0" collapsed="false">
      <c r="A467" s="7"/>
      <c r="B467" s="7" t="s">
        <v>137</v>
      </c>
      <c r="C467" s="15" t="n">
        <v>1500</v>
      </c>
      <c r="D467" s="7"/>
    </row>
    <row r="468" customFormat="false" ht="15" hidden="false" customHeight="true" outlineLevel="0" collapsed="false">
      <c r="A468" s="7"/>
      <c r="B468" s="7" t="s">
        <v>123</v>
      </c>
      <c r="C468" s="15" t="n">
        <v>2300</v>
      </c>
      <c r="D468" s="7" t="s">
        <v>124</v>
      </c>
    </row>
    <row r="469" customFormat="false" ht="15" hidden="false" customHeight="true" outlineLevel="0" collapsed="false">
      <c r="A469" s="7"/>
      <c r="B469" s="18" t="s">
        <v>138</v>
      </c>
      <c r="C469" s="14" t="n">
        <f aca="false">SUM(C390:C396)</f>
        <v>2357353.86549002</v>
      </c>
      <c r="D469" s="7"/>
    </row>
    <row r="470" customFormat="false" ht="15" hidden="false" customHeight="true" outlineLevel="0" collapsed="false">
      <c r="A470" s="18" t="s">
        <v>139</v>
      </c>
      <c r="B470" s="7" t="s">
        <v>140</v>
      </c>
      <c r="C470" s="14" t="n">
        <f aca="false">MIN(10000,0.05*(C447+C451+C457+C461+C469))</f>
        <v>10000</v>
      </c>
      <c r="D470" s="7" t="s">
        <v>141</v>
      </c>
    </row>
    <row r="471" customFormat="false" ht="15" hidden="false" customHeight="true" outlineLevel="0" collapsed="false">
      <c r="A471" s="18" t="s">
        <v>142</v>
      </c>
      <c r="B471" s="7" t="s">
        <v>143</v>
      </c>
      <c r="C471" s="15" t="n">
        <v>15000</v>
      </c>
      <c r="D471" s="7" t="s">
        <v>144</v>
      </c>
    </row>
    <row r="472" customFormat="false" ht="15" hidden="false" customHeight="true" outlineLevel="0" collapsed="false">
      <c r="B472" s="1" t="s">
        <v>145</v>
      </c>
      <c r="C472" s="1" t="n">
        <v>5000</v>
      </c>
    </row>
    <row r="473" customFormat="false" ht="15" hidden="false" customHeight="true" outlineLevel="0" collapsed="false">
      <c r="B473" s="1" t="s">
        <v>146</v>
      </c>
      <c r="C473" s="1" t="n">
        <v>1500</v>
      </c>
    </row>
    <row r="474" customFormat="false" ht="15" hidden="false" customHeight="true" outlineLevel="0" collapsed="false">
      <c r="B474" s="1" t="s">
        <v>147</v>
      </c>
      <c r="C474" s="1" t="n">
        <v>1500</v>
      </c>
    </row>
    <row r="475" customFormat="false" ht="15" hidden="false" customHeight="true" outlineLevel="0" collapsed="false">
      <c r="B475" s="1" t="s">
        <v>148</v>
      </c>
      <c r="C475" s="1" t="n">
        <v>3500</v>
      </c>
    </row>
    <row r="476" customFormat="false" ht="15" hidden="false" customHeight="true" outlineLevel="0" collapsed="false">
      <c r="B476" s="1" t="s">
        <v>149</v>
      </c>
      <c r="C476" s="1" t="n">
        <v>3000</v>
      </c>
    </row>
    <row r="477" customFormat="false" ht="15" hidden="false" customHeight="true" outlineLevel="0" collapsed="false">
      <c r="B477" s="1" t="s">
        <v>150</v>
      </c>
      <c r="C477" s="1" t="n">
        <f aca="false">SUM(C399:C404)</f>
        <v>75500</v>
      </c>
    </row>
    <row r="478" customFormat="false" ht="15" hidden="false" customHeight="true" outlineLevel="0" collapsed="false">
      <c r="A478" s="9" t="s">
        <v>151</v>
      </c>
      <c r="B478" s="19"/>
      <c r="C478" s="16" t="n">
        <f aca="false">C447+C451+C457+C461+C469+C470+C477</f>
        <v>2895773.86549002</v>
      </c>
      <c r="D478" s="19"/>
    </row>
    <row r="479" customFormat="false" ht="15" hidden="false" customHeight="true" outlineLevel="0" collapsed="false">
      <c r="A479" s="7"/>
      <c r="B479" s="7" t="s">
        <v>78</v>
      </c>
      <c r="C479" s="20" t="n">
        <f aca="false">C478/1788</f>
        <v>1619.56032745527</v>
      </c>
      <c r="D479" s="7"/>
    </row>
    <row r="482" customFormat="false" ht="15" hidden="false" customHeight="true" outlineLevel="0" collapsed="false">
      <c r="A482" s="21" t="s">
        <v>164</v>
      </c>
    </row>
    <row r="483" customFormat="false" ht="15" hidden="false" customHeight="true" outlineLevel="0" collapsed="false">
      <c r="A483" s="3" t="s">
        <v>103</v>
      </c>
      <c r="B483" s="3" t="s">
        <v>104</v>
      </c>
      <c r="C483" s="3" t="s">
        <v>105</v>
      </c>
      <c r="D483" s="3" t="s">
        <v>106</v>
      </c>
    </row>
    <row r="484" customFormat="false" ht="15" hidden="false" customHeight="true" outlineLevel="0" collapsed="false">
      <c r="A484" s="18" t="s">
        <v>107</v>
      </c>
      <c r="B484" s="7" t="s">
        <v>108</v>
      </c>
      <c r="C484" s="14" t="n">
        <f aca="false">'Sticks &amp; Bricks Detail'!O56</f>
        <v>145350</v>
      </c>
      <c r="D484" s="7" t="s">
        <v>109</v>
      </c>
    </row>
    <row r="485" customFormat="false" ht="15" hidden="false" customHeight="true" outlineLevel="0" collapsed="false">
      <c r="A485" s="18" t="s">
        <v>110</v>
      </c>
      <c r="B485" s="7" t="s">
        <v>111</v>
      </c>
      <c r="C485" s="15" t="n">
        <v>0</v>
      </c>
      <c r="D485" s="7" t="s">
        <v>112</v>
      </c>
    </row>
    <row r="486" customFormat="false" ht="15" hidden="false" customHeight="true" outlineLevel="0" collapsed="false">
      <c r="A486" s="7"/>
      <c r="B486" s="7" t="s">
        <v>113</v>
      </c>
      <c r="C486" s="15" t="n">
        <v>0</v>
      </c>
      <c r="D486" s="7" t="s">
        <v>114</v>
      </c>
    </row>
    <row r="487" customFormat="false" ht="15" hidden="false" customHeight="true" outlineLevel="0" collapsed="false">
      <c r="A487" s="7"/>
      <c r="B487" s="7" t="s">
        <v>115</v>
      </c>
      <c r="C487" s="15" t="n">
        <v>0</v>
      </c>
      <c r="D487" s="7" t="s">
        <v>116</v>
      </c>
    </row>
    <row r="488" customFormat="false" ht="15" hidden="false" customHeight="true" outlineLevel="0" collapsed="false">
      <c r="A488" s="7"/>
      <c r="B488" s="18" t="s">
        <v>117</v>
      </c>
      <c r="C488" s="14" t="n">
        <f aca="false">SUM(C407:C409)</f>
        <v>0</v>
      </c>
      <c r="D488" s="7"/>
    </row>
    <row r="489" customFormat="false" ht="15" hidden="false" customHeight="true" outlineLevel="0" collapsed="false">
      <c r="A489" s="18" t="s">
        <v>118</v>
      </c>
      <c r="B489" s="7" t="s">
        <v>119</v>
      </c>
      <c r="C489" s="15" t="n">
        <v>5000</v>
      </c>
      <c r="D489" s="7"/>
    </row>
    <row r="490" customFormat="false" ht="15" hidden="false" customHeight="true" outlineLevel="0" collapsed="false">
      <c r="A490" s="7"/>
      <c r="B490" s="7" t="s">
        <v>120</v>
      </c>
      <c r="C490" s="15" t="n">
        <v>3000</v>
      </c>
      <c r="D490" s="7"/>
    </row>
    <row r="491" customFormat="false" ht="15" hidden="false" customHeight="true" outlineLevel="0" collapsed="false">
      <c r="A491" s="7"/>
      <c r="B491" s="7" t="s">
        <v>121</v>
      </c>
      <c r="C491" s="15" t="n">
        <v>2500</v>
      </c>
      <c r="D491" s="7"/>
    </row>
    <row r="492" customFormat="false" ht="15" hidden="false" customHeight="true" outlineLevel="0" collapsed="false">
      <c r="A492" s="7"/>
      <c r="B492" s="7" t="s">
        <v>122</v>
      </c>
      <c r="C492" s="15" t="n">
        <v>3500</v>
      </c>
      <c r="D492" s="7"/>
    </row>
    <row r="493" customFormat="false" ht="15" hidden="false" customHeight="true" outlineLevel="0" collapsed="false">
      <c r="A493" s="7"/>
      <c r="B493" s="7" t="s">
        <v>123</v>
      </c>
      <c r="C493" s="15" t="n">
        <v>1000</v>
      </c>
      <c r="D493" s="7" t="s">
        <v>124</v>
      </c>
    </row>
    <row r="494" customFormat="false" ht="15" hidden="false" customHeight="true" outlineLevel="0" collapsed="false">
      <c r="A494" s="7"/>
      <c r="B494" s="18" t="s">
        <v>125</v>
      </c>
      <c r="C494" s="14" t="n">
        <f aca="false">SUM(C411:C415)</f>
        <v>20500</v>
      </c>
      <c r="D494" s="7"/>
    </row>
    <row r="495" customFormat="false" ht="15" hidden="false" customHeight="true" outlineLevel="0" collapsed="false">
      <c r="A495" s="18" t="s">
        <v>126</v>
      </c>
      <c r="B495" s="7" t="s">
        <v>127</v>
      </c>
      <c r="C495" s="15" t="n">
        <v>0</v>
      </c>
      <c r="D495" s="7"/>
    </row>
    <row r="496" customFormat="false" ht="15" hidden="false" customHeight="true" outlineLevel="0" collapsed="false">
      <c r="A496" s="7"/>
      <c r="B496" s="7" t="s">
        <v>128</v>
      </c>
      <c r="C496" s="15" t="n">
        <v>0</v>
      </c>
      <c r="D496" s="7"/>
    </row>
    <row r="497" customFormat="false" ht="15" hidden="false" customHeight="true" outlineLevel="0" collapsed="false">
      <c r="A497" s="22"/>
      <c r="B497" s="22"/>
      <c r="C497" s="22"/>
      <c r="D497" s="22"/>
    </row>
    <row r="498" customFormat="false" ht="15" hidden="false" customHeight="true" outlineLevel="0" collapsed="false">
      <c r="A498" s="7"/>
      <c r="B498" s="18" t="s">
        <v>130</v>
      </c>
      <c r="C498" s="14" t="n">
        <f aca="false">SUM(C417:C419)</f>
        <v>7000</v>
      </c>
      <c r="D498" s="7"/>
    </row>
    <row r="499" customFormat="false" ht="15" hidden="false" customHeight="true" outlineLevel="0" collapsed="false">
      <c r="A499" s="18" t="s">
        <v>131</v>
      </c>
      <c r="B499" s="7" t="s">
        <v>132</v>
      </c>
      <c r="C499" s="15" t="n">
        <v>3500</v>
      </c>
      <c r="D499" s="7"/>
    </row>
    <row r="500" customFormat="false" ht="15" hidden="false" customHeight="true" outlineLevel="0" collapsed="false">
      <c r="A500" s="7"/>
      <c r="B500" s="7" t="s">
        <v>133</v>
      </c>
      <c r="C500" s="15" t="n">
        <v>2500</v>
      </c>
      <c r="D500" s="7"/>
    </row>
    <row r="501" customFormat="false" ht="15" hidden="false" customHeight="true" outlineLevel="0" collapsed="false">
      <c r="A501" s="7"/>
      <c r="B501" s="7" t="s">
        <v>134</v>
      </c>
      <c r="C501" s="15" t="n">
        <v>1500</v>
      </c>
      <c r="D501" s="7"/>
    </row>
    <row r="502" customFormat="false" ht="15" hidden="false" customHeight="true" outlineLevel="0" collapsed="false">
      <c r="A502" s="7"/>
      <c r="B502" s="7" t="s">
        <v>135</v>
      </c>
      <c r="C502" s="15" t="n">
        <v>1700</v>
      </c>
      <c r="D502" s="7"/>
    </row>
    <row r="503" customFormat="false" ht="15" hidden="false" customHeight="true" outlineLevel="0" collapsed="false">
      <c r="A503" s="7"/>
      <c r="B503" s="7" t="s">
        <v>136</v>
      </c>
      <c r="C503" s="15" t="n">
        <v>2000</v>
      </c>
      <c r="D503" s="7"/>
    </row>
    <row r="504" customFormat="false" ht="15" hidden="false" customHeight="true" outlineLevel="0" collapsed="false">
      <c r="A504" s="7"/>
      <c r="B504" s="7" t="s">
        <v>137</v>
      </c>
      <c r="C504" s="15" t="n">
        <v>1500</v>
      </c>
      <c r="D504" s="7"/>
    </row>
    <row r="505" customFormat="false" ht="15" hidden="false" customHeight="true" outlineLevel="0" collapsed="false">
      <c r="A505" s="7"/>
      <c r="B505" s="7" t="s">
        <v>123</v>
      </c>
      <c r="C505" s="15" t="n">
        <v>2300</v>
      </c>
      <c r="D505" s="7" t="s">
        <v>124</v>
      </c>
    </row>
    <row r="506" customFormat="false" ht="15" hidden="false" customHeight="true" outlineLevel="0" collapsed="false">
      <c r="A506" s="7"/>
      <c r="B506" s="18" t="s">
        <v>138</v>
      </c>
      <c r="C506" s="14" t="n">
        <f aca="false">SUM(C421:C427)</f>
        <v>13300</v>
      </c>
      <c r="D506" s="7"/>
    </row>
    <row r="507" customFormat="false" ht="15" hidden="false" customHeight="true" outlineLevel="0" collapsed="false">
      <c r="A507" s="18" t="s">
        <v>139</v>
      </c>
      <c r="B507" s="7" t="s">
        <v>140</v>
      </c>
      <c r="C507" s="14" t="n">
        <f aca="false">MIN(10000,0.05*(C484+C488+C494+C498+C506))</f>
        <v>9307.5</v>
      </c>
      <c r="D507" s="7" t="s">
        <v>141</v>
      </c>
    </row>
    <row r="508" customFormat="false" ht="15" hidden="false" customHeight="true" outlineLevel="0" collapsed="false">
      <c r="A508" s="18" t="s">
        <v>142</v>
      </c>
      <c r="B508" s="7" t="s">
        <v>143</v>
      </c>
      <c r="C508" s="15" t="n">
        <v>15000</v>
      </c>
      <c r="D508" s="7" t="s">
        <v>144</v>
      </c>
    </row>
    <row r="509" customFormat="false" ht="15" hidden="false" customHeight="true" outlineLevel="0" collapsed="false">
      <c r="B509" s="1" t="s">
        <v>145</v>
      </c>
      <c r="C509" s="1" t="n">
        <v>5000</v>
      </c>
    </row>
    <row r="510" customFormat="false" ht="15" hidden="false" customHeight="true" outlineLevel="0" collapsed="false">
      <c r="B510" s="1" t="s">
        <v>146</v>
      </c>
      <c r="C510" s="1" t="n">
        <v>1500</v>
      </c>
    </row>
    <row r="511" customFormat="false" ht="15" hidden="false" customHeight="true" outlineLevel="0" collapsed="false">
      <c r="B511" s="1" t="s">
        <v>147</v>
      </c>
      <c r="C511" s="1" t="n">
        <v>1500</v>
      </c>
    </row>
    <row r="512" customFormat="false" ht="15" hidden="false" customHeight="true" outlineLevel="0" collapsed="false">
      <c r="B512" s="1" t="s">
        <v>148</v>
      </c>
      <c r="C512" s="1" t="n">
        <v>3500</v>
      </c>
    </row>
    <row r="513" customFormat="false" ht="15" hidden="false" customHeight="true" outlineLevel="0" collapsed="false">
      <c r="B513" s="1" t="s">
        <v>149</v>
      </c>
      <c r="C513" s="1" t="n">
        <v>3000</v>
      </c>
    </row>
    <row r="514" customFormat="false" ht="15" hidden="false" customHeight="true" outlineLevel="0" collapsed="false">
      <c r="B514" s="1" t="s">
        <v>150</v>
      </c>
      <c r="C514" s="1" t="n">
        <f aca="false">SUM(C430:C435)</f>
        <v>68300</v>
      </c>
    </row>
    <row r="515" customFormat="false" ht="15" hidden="false" customHeight="true" outlineLevel="0" collapsed="false">
      <c r="A515" s="9" t="s">
        <v>151</v>
      </c>
      <c r="B515" s="19"/>
      <c r="C515" s="16" t="n">
        <f aca="false">C484+C488+C494+C498+C506+C507+C514</f>
        <v>263757.5</v>
      </c>
      <c r="D515" s="19"/>
    </row>
    <row r="516" customFormat="false" ht="15" hidden="false" customHeight="true" outlineLevel="0" collapsed="false">
      <c r="A516" s="7"/>
      <c r="B516" s="7" t="s">
        <v>78</v>
      </c>
      <c r="C516" s="20" t="n">
        <f aca="false">C515/1798</f>
        <v>146.694938820912</v>
      </c>
      <c r="D516" s="7"/>
    </row>
    <row r="519" customFormat="false" ht="15" hidden="false" customHeight="true" outlineLevel="0" collapsed="false">
      <c r="A519" s="21" t="s">
        <v>165</v>
      </c>
    </row>
    <row r="520" customFormat="false" ht="15" hidden="false" customHeight="true" outlineLevel="0" collapsed="false">
      <c r="A520" s="3" t="s">
        <v>103</v>
      </c>
      <c r="B520" s="3" t="s">
        <v>104</v>
      </c>
      <c r="C520" s="3" t="s">
        <v>105</v>
      </c>
      <c r="D520" s="3" t="s">
        <v>106</v>
      </c>
    </row>
    <row r="521" customFormat="false" ht="15" hidden="false" customHeight="true" outlineLevel="0" collapsed="false">
      <c r="A521" s="18" t="s">
        <v>107</v>
      </c>
      <c r="B521" s="7" t="s">
        <v>108</v>
      </c>
      <c r="C521" s="14" t="n">
        <f aca="false">'Sticks &amp; Bricks Detail'!P56</f>
        <v>145710</v>
      </c>
      <c r="D521" s="7" t="s">
        <v>109</v>
      </c>
    </row>
    <row r="522" customFormat="false" ht="15" hidden="false" customHeight="true" outlineLevel="0" collapsed="false">
      <c r="A522" s="18" t="s">
        <v>110</v>
      </c>
      <c r="B522" s="7" t="s">
        <v>111</v>
      </c>
      <c r="C522" s="15" t="n">
        <v>0</v>
      </c>
      <c r="D522" s="7" t="s">
        <v>112</v>
      </c>
    </row>
    <row r="523" customFormat="false" ht="15" hidden="false" customHeight="true" outlineLevel="0" collapsed="false">
      <c r="A523" s="7"/>
      <c r="B523" s="7" t="s">
        <v>113</v>
      </c>
      <c r="C523" s="15" t="n">
        <v>0</v>
      </c>
      <c r="D523" s="7" t="s">
        <v>114</v>
      </c>
    </row>
    <row r="524" customFormat="false" ht="15" hidden="false" customHeight="true" outlineLevel="0" collapsed="false">
      <c r="A524" s="7"/>
      <c r="B524" s="7" t="s">
        <v>115</v>
      </c>
      <c r="C524" s="15" t="n">
        <v>0</v>
      </c>
      <c r="D524" s="7" t="s">
        <v>116</v>
      </c>
    </row>
    <row r="525" customFormat="false" ht="15" hidden="false" customHeight="true" outlineLevel="0" collapsed="false">
      <c r="A525" s="7"/>
      <c r="B525" s="18" t="s">
        <v>117</v>
      </c>
      <c r="C525" s="14" t="n">
        <f aca="false">SUM(C438:C440)</f>
        <v>8876.00904283655</v>
      </c>
      <c r="D525" s="7"/>
    </row>
    <row r="526" customFormat="false" ht="15" hidden="false" customHeight="true" outlineLevel="0" collapsed="false">
      <c r="A526" s="18" t="s">
        <v>118</v>
      </c>
      <c r="B526" s="7" t="s">
        <v>119</v>
      </c>
      <c r="C526" s="15" t="n">
        <v>5000</v>
      </c>
      <c r="D526" s="7"/>
    </row>
    <row r="527" customFormat="false" ht="15" hidden="false" customHeight="true" outlineLevel="0" collapsed="false">
      <c r="A527" s="7"/>
      <c r="B527" s="7" t="s">
        <v>120</v>
      </c>
      <c r="C527" s="15" t="n">
        <v>3000</v>
      </c>
      <c r="D527" s="7"/>
    </row>
    <row r="528" customFormat="false" ht="15" hidden="false" customHeight="true" outlineLevel="0" collapsed="false">
      <c r="A528" s="22"/>
      <c r="B528" s="22"/>
      <c r="C528" s="22"/>
      <c r="D528" s="22"/>
    </row>
    <row r="529" customFormat="false" ht="15" hidden="false" customHeight="true" outlineLevel="0" collapsed="false">
      <c r="A529" s="7"/>
      <c r="B529" s="7" t="s">
        <v>122</v>
      </c>
      <c r="C529" s="15" t="n">
        <v>3500</v>
      </c>
      <c r="D529" s="7"/>
    </row>
    <row r="530" customFormat="false" ht="15" hidden="false" customHeight="true" outlineLevel="0" collapsed="false">
      <c r="A530" s="7"/>
      <c r="B530" s="7" t="s">
        <v>123</v>
      </c>
      <c r="C530" s="15" t="n">
        <v>1000</v>
      </c>
      <c r="D530" s="7" t="s">
        <v>124</v>
      </c>
    </row>
    <row r="531" customFormat="false" ht="15" hidden="false" customHeight="true" outlineLevel="0" collapsed="false">
      <c r="A531" s="7"/>
      <c r="B531" s="18" t="s">
        <v>125</v>
      </c>
      <c r="C531" s="14" t="n">
        <f aca="false">SUM(C442:C446)</f>
        <v>1240.6866132627</v>
      </c>
      <c r="D531" s="7"/>
    </row>
    <row r="532" customFormat="false" ht="15" hidden="false" customHeight="true" outlineLevel="0" collapsed="false">
      <c r="A532" s="18" t="s">
        <v>126</v>
      </c>
      <c r="B532" s="7" t="s">
        <v>127</v>
      </c>
      <c r="C532" s="15" t="n">
        <v>0</v>
      </c>
      <c r="D532" s="7"/>
    </row>
    <row r="533" customFormat="false" ht="15" hidden="false" customHeight="true" outlineLevel="0" collapsed="false">
      <c r="A533" s="7"/>
      <c r="B533" s="7" t="s">
        <v>128</v>
      </c>
      <c r="C533" s="15" t="n">
        <v>0</v>
      </c>
      <c r="D533" s="7"/>
    </row>
    <row r="534" customFormat="false" ht="15" hidden="false" customHeight="true" outlineLevel="0" collapsed="false">
      <c r="A534" s="7"/>
      <c r="B534" s="7" t="s">
        <v>129</v>
      </c>
      <c r="C534" s="15" t="n">
        <v>0</v>
      </c>
      <c r="D534" s="7"/>
    </row>
    <row r="535" customFormat="false" ht="15" hidden="false" customHeight="true" outlineLevel="0" collapsed="false">
      <c r="A535" s="7"/>
      <c r="B535" s="18" t="s">
        <v>130</v>
      </c>
      <c r="C535" s="14" t="n">
        <f aca="false">SUM(C448:C450)</f>
        <v>0</v>
      </c>
      <c r="D535" s="7"/>
    </row>
    <row r="536" customFormat="false" ht="15" hidden="false" customHeight="true" outlineLevel="0" collapsed="false">
      <c r="A536" s="18" t="s">
        <v>131</v>
      </c>
      <c r="B536" s="7" t="s">
        <v>132</v>
      </c>
      <c r="C536" s="15" t="n">
        <v>3500</v>
      </c>
      <c r="D536" s="7"/>
    </row>
    <row r="537" customFormat="false" ht="15" hidden="false" customHeight="true" outlineLevel="0" collapsed="false">
      <c r="A537" s="7"/>
      <c r="B537" s="7" t="s">
        <v>133</v>
      </c>
      <c r="C537" s="15" t="n">
        <v>2500</v>
      </c>
      <c r="D537" s="7"/>
    </row>
    <row r="538" customFormat="false" ht="15" hidden="false" customHeight="true" outlineLevel="0" collapsed="false">
      <c r="A538" s="7"/>
      <c r="B538" s="7" t="s">
        <v>134</v>
      </c>
      <c r="C538" s="15" t="n">
        <v>1500</v>
      </c>
      <c r="D538" s="7"/>
    </row>
    <row r="539" customFormat="false" ht="15" hidden="false" customHeight="true" outlineLevel="0" collapsed="false">
      <c r="A539" s="7"/>
      <c r="B539" s="7" t="s">
        <v>135</v>
      </c>
      <c r="C539" s="15" t="n">
        <v>1700</v>
      </c>
      <c r="D539" s="7"/>
    </row>
    <row r="540" customFormat="false" ht="15" hidden="false" customHeight="true" outlineLevel="0" collapsed="false">
      <c r="A540" s="7"/>
      <c r="B540" s="7" t="s">
        <v>136</v>
      </c>
      <c r="C540" s="15" t="n">
        <v>2000</v>
      </c>
      <c r="D540" s="7"/>
    </row>
    <row r="541" customFormat="false" ht="15" hidden="false" customHeight="true" outlineLevel="0" collapsed="false">
      <c r="A541" s="7"/>
      <c r="B541" s="7" t="s">
        <v>137</v>
      </c>
      <c r="C541" s="15" t="n">
        <v>1500</v>
      </c>
      <c r="D541" s="7"/>
    </row>
    <row r="542" customFormat="false" ht="15" hidden="false" customHeight="true" outlineLevel="0" collapsed="false">
      <c r="A542" s="7"/>
      <c r="B542" s="7" t="s">
        <v>123</v>
      </c>
      <c r="C542" s="15" t="n">
        <v>2300</v>
      </c>
      <c r="D542" s="7" t="s">
        <v>124</v>
      </c>
    </row>
    <row r="543" customFormat="false" ht="15" hidden="false" customHeight="true" outlineLevel="0" collapsed="false">
      <c r="A543" s="7"/>
      <c r="B543" s="18" t="s">
        <v>138</v>
      </c>
      <c r="C543" s="14" t="n">
        <f aca="false">SUM(C452:C458)</f>
        <v>302565</v>
      </c>
      <c r="D543" s="7"/>
    </row>
    <row r="544" customFormat="false" ht="15" hidden="false" customHeight="true" outlineLevel="0" collapsed="false">
      <c r="A544" s="18" t="s">
        <v>139</v>
      </c>
      <c r="B544" s="7" t="s">
        <v>140</v>
      </c>
      <c r="C544" s="14" t="n">
        <f aca="false">MIN(10000,0.05*(C521+C525+C531+C535+C543))</f>
        <v>10000</v>
      </c>
      <c r="D544" s="7" t="s">
        <v>141</v>
      </c>
    </row>
    <row r="545" customFormat="false" ht="15" hidden="false" customHeight="true" outlineLevel="0" collapsed="false">
      <c r="A545" s="18" t="s">
        <v>142</v>
      </c>
      <c r="B545" s="7" t="s">
        <v>143</v>
      </c>
      <c r="C545" s="15" t="n">
        <v>15000</v>
      </c>
      <c r="D545" s="7" t="s">
        <v>144</v>
      </c>
    </row>
    <row r="546" customFormat="false" ht="15" hidden="false" customHeight="true" outlineLevel="0" collapsed="false">
      <c r="B546" s="1" t="s">
        <v>145</v>
      </c>
      <c r="C546" s="1" t="n">
        <v>5000</v>
      </c>
    </row>
    <row r="547" customFormat="false" ht="15" hidden="false" customHeight="true" outlineLevel="0" collapsed="false">
      <c r="B547" s="1" t="s">
        <v>146</v>
      </c>
      <c r="C547" s="1" t="n">
        <v>1500</v>
      </c>
    </row>
    <row r="548" customFormat="false" ht="15" hidden="false" customHeight="true" outlineLevel="0" collapsed="false">
      <c r="B548" s="1" t="s">
        <v>147</v>
      </c>
      <c r="C548" s="1" t="n">
        <v>1500</v>
      </c>
    </row>
    <row r="549" customFormat="false" ht="15" hidden="false" customHeight="true" outlineLevel="0" collapsed="false">
      <c r="B549" s="1" t="s">
        <v>148</v>
      </c>
      <c r="C549" s="1" t="n">
        <v>3500</v>
      </c>
    </row>
    <row r="550" customFormat="false" ht="15" hidden="false" customHeight="true" outlineLevel="0" collapsed="false">
      <c r="B550" s="1" t="s">
        <v>149</v>
      </c>
      <c r="C550" s="1" t="n">
        <v>3000</v>
      </c>
    </row>
    <row r="551" customFormat="false" ht="15" hidden="false" customHeight="true" outlineLevel="0" collapsed="false">
      <c r="B551" s="1" t="s">
        <v>150</v>
      </c>
      <c r="C551" s="1" t="n">
        <f aca="false">SUM(C461:C466)</f>
        <v>20700</v>
      </c>
    </row>
    <row r="552" customFormat="false" ht="15" hidden="false" customHeight="true" outlineLevel="0" collapsed="false">
      <c r="A552" s="9" t="s">
        <v>151</v>
      </c>
      <c r="B552" s="19"/>
      <c r="C552" s="16" t="n">
        <f aca="false">C521+C525+C531+C535+C543+C544+C551</f>
        <v>489091.695656099</v>
      </c>
      <c r="D552" s="19"/>
    </row>
    <row r="553" customFormat="false" ht="15" hidden="false" customHeight="true" outlineLevel="0" collapsed="false">
      <c r="A553" s="7"/>
      <c r="B553" s="7" t="s">
        <v>78</v>
      </c>
      <c r="C553" s="20" t="n">
        <f aca="false">C552/1857</f>
        <v>263.377326686106</v>
      </c>
      <c r="D553" s="7"/>
    </row>
    <row r="556" customFormat="false" ht="15" hidden="false" customHeight="true" outlineLevel="0" collapsed="false">
      <c r="A556" s="21" t="s">
        <v>166</v>
      </c>
    </row>
    <row r="557" customFormat="false" ht="15" hidden="false" customHeight="true" outlineLevel="0" collapsed="false">
      <c r="A557" s="3" t="s">
        <v>103</v>
      </c>
      <c r="B557" s="3" t="s">
        <v>104</v>
      </c>
      <c r="C557" s="3" t="s">
        <v>105</v>
      </c>
      <c r="D557" s="3" t="s">
        <v>106</v>
      </c>
    </row>
    <row r="558" customFormat="false" ht="15" hidden="false" customHeight="true" outlineLevel="0" collapsed="false">
      <c r="A558" s="18" t="s">
        <v>107</v>
      </c>
      <c r="B558" s="7" t="s">
        <v>108</v>
      </c>
      <c r="C558" s="14" t="n">
        <f aca="false">'Sticks &amp; Bricks Detail'!Q56</f>
        <v>156262</v>
      </c>
      <c r="D558" s="7" t="s">
        <v>109</v>
      </c>
    </row>
    <row r="559" customFormat="false" ht="15" hidden="false" customHeight="true" outlineLevel="0" collapsed="false">
      <c r="A559" s="18" t="s">
        <v>110</v>
      </c>
      <c r="B559" s="18"/>
      <c r="C559" s="18"/>
      <c r="D559" s="18"/>
    </row>
    <row r="560" customFormat="false" ht="15" hidden="false" customHeight="true" outlineLevel="0" collapsed="false">
      <c r="A560" s="7"/>
      <c r="B560" s="7" t="s">
        <v>113</v>
      </c>
      <c r="C560" s="15" t="n">
        <v>0</v>
      </c>
      <c r="D560" s="7" t="s">
        <v>114</v>
      </c>
    </row>
    <row r="561" customFormat="false" ht="15" hidden="false" customHeight="true" outlineLevel="0" collapsed="false">
      <c r="A561" s="7"/>
      <c r="B561" s="7" t="s">
        <v>115</v>
      </c>
      <c r="C561" s="15" t="n">
        <v>0</v>
      </c>
      <c r="D561" s="7" t="s">
        <v>116</v>
      </c>
    </row>
    <row r="562" customFormat="false" ht="15" hidden="false" customHeight="true" outlineLevel="0" collapsed="false">
      <c r="A562" s="7"/>
      <c r="B562" s="18" t="s">
        <v>117</v>
      </c>
      <c r="C562" s="14" t="n">
        <f aca="false">SUM(C469:C471)</f>
        <v>2382353.86549002</v>
      </c>
      <c r="D562" s="7"/>
    </row>
    <row r="563" customFormat="false" ht="15" hidden="false" customHeight="true" outlineLevel="0" collapsed="false">
      <c r="A563" s="18" t="s">
        <v>118</v>
      </c>
      <c r="B563" s="7" t="s">
        <v>119</v>
      </c>
      <c r="C563" s="15" t="n">
        <v>5000</v>
      </c>
      <c r="D563" s="7"/>
    </row>
    <row r="564" customFormat="false" ht="15" hidden="false" customHeight="true" outlineLevel="0" collapsed="false">
      <c r="A564" s="7"/>
      <c r="B564" s="7" t="s">
        <v>120</v>
      </c>
      <c r="C564" s="15" t="n">
        <v>3000</v>
      </c>
      <c r="D564" s="7"/>
    </row>
    <row r="565" customFormat="false" ht="15" hidden="false" customHeight="true" outlineLevel="0" collapsed="false">
      <c r="A565" s="7"/>
      <c r="B565" s="7" t="s">
        <v>121</v>
      </c>
      <c r="C565" s="15" t="n">
        <v>2500</v>
      </c>
      <c r="D565" s="7"/>
    </row>
    <row r="566" customFormat="false" ht="15" hidden="false" customHeight="true" outlineLevel="0" collapsed="false">
      <c r="A566" s="7"/>
      <c r="B566" s="7" t="s">
        <v>122</v>
      </c>
      <c r="C566" s="15" t="n">
        <v>3500</v>
      </c>
      <c r="D566" s="7"/>
    </row>
    <row r="567" customFormat="false" ht="15" hidden="false" customHeight="true" outlineLevel="0" collapsed="false">
      <c r="A567" s="7"/>
      <c r="B567" s="7" t="s">
        <v>123</v>
      </c>
      <c r="C567" s="15" t="n">
        <v>1000</v>
      </c>
      <c r="D567" s="7" t="s">
        <v>124</v>
      </c>
    </row>
    <row r="568" customFormat="false" ht="15" hidden="false" customHeight="true" outlineLevel="0" collapsed="false">
      <c r="A568" s="7"/>
      <c r="B568" s="18" t="s">
        <v>125</v>
      </c>
      <c r="C568" s="14" t="n">
        <f aca="false">SUM(C473:C477)</f>
        <v>85000</v>
      </c>
      <c r="D568" s="7"/>
    </row>
    <row r="569" customFormat="false" ht="15" hidden="false" customHeight="true" outlineLevel="0" collapsed="false">
      <c r="A569" s="18" t="s">
        <v>126</v>
      </c>
      <c r="B569" s="7" t="s">
        <v>127</v>
      </c>
      <c r="C569" s="15" t="n">
        <v>0</v>
      </c>
      <c r="D569" s="7"/>
    </row>
    <row r="570" customFormat="false" ht="15" hidden="false" customHeight="true" outlineLevel="0" collapsed="false">
      <c r="A570" s="7"/>
      <c r="B570" s="7" t="s">
        <v>128</v>
      </c>
      <c r="C570" s="15" t="n">
        <v>0</v>
      </c>
      <c r="D570" s="7"/>
    </row>
    <row r="571" customFormat="false" ht="15" hidden="false" customHeight="true" outlineLevel="0" collapsed="false">
      <c r="A571" s="7"/>
      <c r="B571" s="7" t="s">
        <v>129</v>
      </c>
      <c r="C571" s="15" t="n">
        <v>0</v>
      </c>
      <c r="D571" s="7"/>
    </row>
    <row r="572" customFormat="false" ht="15" hidden="false" customHeight="true" outlineLevel="0" collapsed="false">
      <c r="A572" s="7"/>
      <c r="B572" s="18" t="s">
        <v>130</v>
      </c>
      <c r="C572" s="14" t="n">
        <f aca="false">SUM(C479:C481)</f>
        <v>1619.56032745527</v>
      </c>
      <c r="D572" s="7"/>
    </row>
    <row r="573" customFormat="false" ht="15" hidden="false" customHeight="true" outlineLevel="0" collapsed="false">
      <c r="A573" s="18" t="s">
        <v>131</v>
      </c>
      <c r="B573" s="7" t="s">
        <v>132</v>
      </c>
      <c r="C573" s="15" t="n">
        <v>3500</v>
      </c>
      <c r="D573" s="7"/>
    </row>
    <row r="574" customFormat="false" ht="15" hidden="false" customHeight="true" outlineLevel="0" collapsed="false">
      <c r="A574" s="7"/>
      <c r="B574" s="7" t="s">
        <v>133</v>
      </c>
      <c r="C574" s="15" t="n">
        <v>2500</v>
      </c>
      <c r="D574" s="7"/>
    </row>
    <row r="575" customFormat="false" ht="15" hidden="false" customHeight="true" outlineLevel="0" collapsed="false">
      <c r="A575" s="7"/>
      <c r="B575" s="7" t="s">
        <v>134</v>
      </c>
      <c r="C575" s="15" t="n">
        <v>1500</v>
      </c>
      <c r="D575" s="7"/>
    </row>
    <row r="576" customFormat="false" ht="15" hidden="false" customHeight="true" outlineLevel="0" collapsed="false">
      <c r="A576" s="7"/>
      <c r="B576" s="7" t="s">
        <v>135</v>
      </c>
      <c r="C576" s="15" t="n">
        <v>1700</v>
      </c>
      <c r="D576" s="7"/>
    </row>
    <row r="577" customFormat="false" ht="15" hidden="false" customHeight="true" outlineLevel="0" collapsed="false">
      <c r="A577" s="7"/>
      <c r="B577" s="7" t="s">
        <v>136</v>
      </c>
      <c r="C577" s="15" t="n">
        <v>2000</v>
      </c>
      <c r="D577" s="7"/>
    </row>
    <row r="578" customFormat="false" ht="15" hidden="false" customHeight="true" outlineLevel="0" collapsed="false">
      <c r="A578" s="7"/>
      <c r="B578" s="7" t="s">
        <v>137</v>
      </c>
      <c r="C578" s="15" t="n">
        <v>1500</v>
      </c>
      <c r="D578" s="7"/>
    </row>
    <row r="579" customFormat="false" ht="15" hidden="false" customHeight="true" outlineLevel="0" collapsed="false">
      <c r="A579" s="7"/>
      <c r="B579" s="7" t="s">
        <v>123</v>
      </c>
      <c r="C579" s="15" t="n">
        <v>2300</v>
      </c>
      <c r="D579" s="7" t="s">
        <v>124</v>
      </c>
    </row>
    <row r="580" customFormat="false" ht="15" hidden="false" customHeight="true" outlineLevel="0" collapsed="false">
      <c r="A580" s="7"/>
      <c r="B580" s="18" t="s">
        <v>138</v>
      </c>
      <c r="C580" s="14" t="n">
        <f aca="false">SUM(C483:C489)</f>
        <v>150350</v>
      </c>
      <c r="D580" s="7"/>
    </row>
    <row r="581" customFormat="false" ht="15" hidden="false" customHeight="true" outlineLevel="0" collapsed="false">
      <c r="A581" s="18" t="s">
        <v>139</v>
      </c>
      <c r="B581" s="7" t="s">
        <v>140</v>
      </c>
      <c r="C581" s="14" t="n">
        <f aca="false">MIN(10000,0.05*(C558+C562+C568+C572+C580))</f>
        <v>10000</v>
      </c>
      <c r="D581" s="7" t="s">
        <v>141</v>
      </c>
    </row>
    <row r="582" customFormat="false" ht="15" hidden="false" customHeight="true" outlineLevel="0" collapsed="false">
      <c r="A582" s="18" t="s">
        <v>142</v>
      </c>
      <c r="B582" s="7" t="s">
        <v>143</v>
      </c>
      <c r="C582" s="15" t="n">
        <v>15000</v>
      </c>
      <c r="D582" s="7" t="s">
        <v>144</v>
      </c>
    </row>
    <row r="583" customFormat="false" ht="15" hidden="false" customHeight="true" outlineLevel="0" collapsed="false">
      <c r="B583" s="1" t="s">
        <v>145</v>
      </c>
      <c r="C583" s="1" t="n">
        <v>5000</v>
      </c>
    </row>
    <row r="584" customFormat="false" ht="15" hidden="false" customHeight="true" outlineLevel="0" collapsed="false">
      <c r="B584" s="1" t="s">
        <v>146</v>
      </c>
      <c r="C584" s="1" t="n">
        <v>1500</v>
      </c>
    </row>
    <row r="585" customFormat="false" ht="15" hidden="false" customHeight="true" outlineLevel="0" collapsed="false">
      <c r="B585" s="1" t="s">
        <v>147</v>
      </c>
      <c r="C585" s="1" t="n">
        <v>1500</v>
      </c>
    </row>
    <row r="586" customFormat="false" ht="15" hidden="false" customHeight="true" outlineLevel="0" collapsed="false">
      <c r="B586" s="1" t="s">
        <v>148</v>
      </c>
      <c r="C586" s="1" t="n">
        <v>3500</v>
      </c>
    </row>
    <row r="587" customFormat="false" ht="15" hidden="false" customHeight="true" outlineLevel="0" collapsed="false">
      <c r="B587" s="1" t="s">
        <v>149</v>
      </c>
      <c r="C587" s="1" t="n">
        <v>3000</v>
      </c>
    </row>
    <row r="588" customFormat="false" ht="15" hidden="false" customHeight="true" outlineLevel="0" collapsed="false">
      <c r="B588" s="1" t="s">
        <v>150</v>
      </c>
      <c r="C588" s="1" t="n">
        <f aca="false">SUM(C492:C497)</f>
        <v>25000</v>
      </c>
    </row>
    <row r="589" customFormat="false" ht="15" hidden="false" customHeight="true" outlineLevel="0" collapsed="false">
      <c r="A589" s="9" t="s">
        <v>151</v>
      </c>
      <c r="B589" s="19"/>
      <c r="C589" s="16" t="n">
        <f aca="false">C558+C562+C568+C572+C580+C581+C588</f>
        <v>2810585.42581748</v>
      </c>
      <c r="D589" s="19"/>
    </row>
    <row r="590" customFormat="false" ht="15" hidden="false" customHeight="true" outlineLevel="0" collapsed="false">
      <c r="A590" s="22"/>
      <c r="B590" s="22"/>
      <c r="C590" s="22"/>
      <c r="D590" s="22"/>
    </row>
    <row r="593" customFormat="false" ht="15" hidden="false" customHeight="true" outlineLevel="0" collapsed="false">
      <c r="A593" s="21" t="s">
        <v>167</v>
      </c>
    </row>
    <row r="594" customFormat="false" ht="15" hidden="false" customHeight="true" outlineLevel="0" collapsed="false">
      <c r="A594" s="3" t="s">
        <v>103</v>
      </c>
      <c r="B594" s="3" t="s">
        <v>104</v>
      </c>
      <c r="C594" s="3" t="s">
        <v>105</v>
      </c>
      <c r="D594" s="3" t="s">
        <v>106</v>
      </c>
    </row>
    <row r="595" customFormat="false" ht="15" hidden="false" customHeight="true" outlineLevel="0" collapsed="false">
      <c r="A595" s="18" t="s">
        <v>107</v>
      </c>
      <c r="B595" s="7" t="s">
        <v>108</v>
      </c>
      <c r="C595" s="14" t="n">
        <f aca="false">'Sticks &amp; Bricks Detail'!R56</f>
        <v>156615</v>
      </c>
      <c r="D595" s="7" t="s">
        <v>109</v>
      </c>
    </row>
    <row r="596" customFormat="false" ht="15" hidden="false" customHeight="true" outlineLevel="0" collapsed="false">
      <c r="A596" s="18" t="s">
        <v>110</v>
      </c>
      <c r="B596" s="7" t="s">
        <v>111</v>
      </c>
      <c r="C596" s="15" t="n">
        <v>0</v>
      </c>
      <c r="D596" s="7" t="s">
        <v>112</v>
      </c>
    </row>
    <row r="597" customFormat="false" ht="15" hidden="false" customHeight="true" outlineLevel="0" collapsed="false">
      <c r="A597" s="7"/>
      <c r="B597" s="7" t="s">
        <v>113</v>
      </c>
      <c r="C597" s="15" t="n">
        <v>0</v>
      </c>
      <c r="D597" s="7" t="s">
        <v>114</v>
      </c>
    </row>
    <row r="598" customFormat="false" ht="15" hidden="false" customHeight="true" outlineLevel="0" collapsed="false">
      <c r="A598" s="7"/>
      <c r="B598" s="7" t="s">
        <v>115</v>
      </c>
      <c r="C598" s="15" t="n">
        <v>0</v>
      </c>
      <c r="D598" s="7" t="s">
        <v>116</v>
      </c>
    </row>
    <row r="599" customFormat="false" ht="15" hidden="false" customHeight="true" outlineLevel="0" collapsed="false">
      <c r="A599" s="7"/>
      <c r="B599" s="18" t="s">
        <v>117</v>
      </c>
      <c r="C599" s="14" t="n">
        <f aca="false">SUM(C500:C502)</f>
        <v>5700</v>
      </c>
      <c r="D599" s="7"/>
    </row>
    <row r="600" customFormat="false" ht="15" hidden="false" customHeight="true" outlineLevel="0" collapsed="false">
      <c r="A600" s="18" t="s">
        <v>118</v>
      </c>
      <c r="B600" s="7" t="s">
        <v>119</v>
      </c>
      <c r="C600" s="15" t="n">
        <v>5000</v>
      </c>
      <c r="D600" s="7"/>
    </row>
    <row r="601" customFormat="false" ht="15" hidden="false" customHeight="true" outlineLevel="0" collapsed="false">
      <c r="A601" s="7"/>
      <c r="B601" s="7" t="s">
        <v>120</v>
      </c>
      <c r="C601" s="15" t="n">
        <v>3000</v>
      </c>
      <c r="D601" s="7"/>
    </row>
    <row r="602" customFormat="false" ht="15" hidden="false" customHeight="true" outlineLevel="0" collapsed="false">
      <c r="A602" s="7"/>
      <c r="B602" s="7" t="s">
        <v>121</v>
      </c>
      <c r="C602" s="15" t="n">
        <v>2500</v>
      </c>
      <c r="D602" s="7"/>
    </row>
    <row r="603" customFormat="false" ht="15" hidden="false" customHeight="true" outlineLevel="0" collapsed="false">
      <c r="A603" s="7"/>
      <c r="B603" s="7" t="s">
        <v>122</v>
      </c>
      <c r="C603" s="15" t="n">
        <v>3500</v>
      </c>
      <c r="D603" s="7"/>
    </row>
    <row r="604" customFormat="false" ht="15" hidden="false" customHeight="true" outlineLevel="0" collapsed="false">
      <c r="A604" s="7"/>
      <c r="B604" s="7" t="s">
        <v>123</v>
      </c>
      <c r="C604" s="15" t="n">
        <v>1000</v>
      </c>
      <c r="D604" s="7" t="s">
        <v>124</v>
      </c>
    </row>
    <row r="605" customFormat="false" ht="15" hidden="false" customHeight="true" outlineLevel="0" collapsed="false">
      <c r="A605" s="7"/>
      <c r="B605" s="18" t="s">
        <v>125</v>
      </c>
      <c r="C605" s="14" t="n">
        <f aca="false">SUM(C504:C508)</f>
        <v>41407.5</v>
      </c>
      <c r="D605" s="7"/>
    </row>
    <row r="606" customFormat="false" ht="15" hidden="false" customHeight="true" outlineLevel="0" collapsed="false">
      <c r="A606" s="18" t="s">
        <v>126</v>
      </c>
      <c r="B606" s="7" t="s">
        <v>127</v>
      </c>
      <c r="C606" s="15" t="n">
        <v>0</v>
      </c>
      <c r="D606" s="7"/>
    </row>
    <row r="607" customFormat="false" ht="15" hidden="false" customHeight="true" outlineLevel="0" collapsed="false">
      <c r="A607" s="7"/>
      <c r="B607" s="7" t="s">
        <v>128</v>
      </c>
      <c r="C607" s="15" t="n">
        <v>0</v>
      </c>
      <c r="D607" s="7"/>
    </row>
    <row r="608" customFormat="false" ht="15" hidden="false" customHeight="true" outlineLevel="0" collapsed="false">
      <c r="A608" s="7"/>
      <c r="B608" s="7" t="s">
        <v>129</v>
      </c>
      <c r="C608" s="15" t="n">
        <v>0</v>
      </c>
      <c r="D608" s="7"/>
    </row>
    <row r="609" customFormat="false" ht="15" hidden="false" customHeight="true" outlineLevel="0" collapsed="false">
      <c r="A609" s="7"/>
      <c r="B609" s="18" t="s">
        <v>130</v>
      </c>
      <c r="C609" s="14" t="n">
        <f aca="false">SUM(C510:C512)</f>
        <v>6500</v>
      </c>
      <c r="D609" s="7"/>
    </row>
    <row r="610" customFormat="false" ht="15" hidden="false" customHeight="true" outlineLevel="0" collapsed="false">
      <c r="A610" s="18" t="s">
        <v>131</v>
      </c>
      <c r="B610" s="7" t="s">
        <v>132</v>
      </c>
      <c r="C610" s="15" t="n">
        <v>3500</v>
      </c>
      <c r="D610" s="7"/>
    </row>
    <row r="611" customFormat="false" ht="15" hidden="false" customHeight="true" outlineLevel="0" collapsed="false">
      <c r="A611" s="7"/>
      <c r="B611" s="7" t="s">
        <v>133</v>
      </c>
      <c r="C611" s="15" t="n">
        <v>2500</v>
      </c>
      <c r="D611" s="7"/>
    </row>
    <row r="612" customFormat="false" ht="15" hidden="false" customHeight="true" outlineLevel="0" collapsed="false">
      <c r="A612" s="7"/>
      <c r="B612" s="7" t="s">
        <v>134</v>
      </c>
      <c r="C612" s="15" t="n">
        <v>1500</v>
      </c>
      <c r="D612" s="7"/>
    </row>
    <row r="613" customFormat="false" ht="15" hidden="false" customHeight="true" outlineLevel="0" collapsed="false">
      <c r="A613" s="7"/>
      <c r="B613" s="7" t="s">
        <v>135</v>
      </c>
      <c r="C613" s="15" t="n">
        <v>1700</v>
      </c>
      <c r="D613" s="7"/>
    </row>
    <row r="614" customFormat="false" ht="15" hidden="false" customHeight="true" outlineLevel="0" collapsed="false">
      <c r="A614" s="7"/>
      <c r="B614" s="7" t="s">
        <v>136</v>
      </c>
      <c r="C614" s="15" t="n">
        <v>2000</v>
      </c>
      <c r="D614" s="7"/>
    </row>
    <row r="615" customFormat="false" ht="15" hidden="false" customHeight="true" outlineLevel="0" collapsed="false">
      <c r="A615" s="7"/>
      <c r="B615" s="7" t="s">
        <v>137</v>
      </c>
      <c r="C615" s="15" t="n">
        <v>1500</v>
      </c>
      <c r="D615" s="7"/>
    </row>
    <row r="616" customFormat="false" ht="15" hidden="false" customHeight="true" outlineLevel="0" collapsed="false">
      <c r="A616" s="7"/>
      <c r="B616" s="7" t="s">
        <v>123</v>
      </c>
      <c r="C616" s="15" t="n">
        <v>2300</v>
      </c>
      <c r="D616" s="7" t="s">
        <v>124</v>
      </c>
    </row>
    <row r="617" customFormat="false" ht="15" hidden="false" customHeight="true" outlineLevel="0" collapsed="false">
      <c r="A617" s="7"/>
      <c r="B617" s="18" t="s">
        <v>138</v>
      </c>
      <c r="C617" s="14" t="n">
        <f aca="false">SUM(C514:C520)</f>
        <v>332204.194938821</v>
      </c>
      <c r="D617" s="7"/>
    </row>
    <row r="618" customFormat="false" ht="15" hidden="false" customHeight="true" outlineLevel="0" collapsed="false">
      <c r="A618" s="18" t="s">
        <v>139</v>
      </c>
      <c r="B618" s="7" t="s">
        <v>140</v>
      </c>
      <c r="C618" s="14" t="n">
        <f aca="false">MIN(10000,0.05*(C595+C599+C605+C609+C617))</f>
        <v>10000</v>
      </c>
      <c r="D618" s="7" t="s">
        <v>141</v>
      </c>
    </row>
    <row r="619" customFormat="false" ht="15" hidden="false" customHeight="true" outlineLevel="0" collapsed="false">
      <c r="A619" s="18" t="s">
        <v>142</v>
      </c>
      <c r="B619" s="7" t="s">
        <v>143</v>
      </c>
      <c r="C619" s="15" t="n">
        <v>15000</v>
      </c>
      <c r="D619" s="7" t="s">
        <v>144</v>
      </c>
    </row>
    <row r="620" customFormat="false" ht="15" hidden="false" customHeight="true" outlineLevel="0" collapsed="false">
      <c r="B620" s="1" t="s">
        <v>145</v>
      </c>
      <c r="C620" s="1" t="n">
        <v>5000</v>
      </c>
    </row>
    <row r="621" customFormat="false" ht="15" hidden="false" customHeight="true" outlineLevel="0" collapsed="false">
      <c r="A621" s="23"/>
      <c r="B621" s="23"/>
      <c r="C621" s="23"/>
      <c r="D621" s="23"/>
    </row>
    <row r="622" customFormat="false" ht="15" hidden="false" customHeight="true" outlineLevel="0" collapsed="false">
      <c r="B622" s="1" t="s">
        <v>147</v>
      </c>
      <c r="C622" s="1" t="n">
        <v>1500</v>
      </c>
    </row>
    <row r="623" customFormat="false" ht="15" hidden="false" customHeight="true" outlineLevel="0" collapsed="false">
      <c r="B623" s="1" t="s">
        <v>148</v>
      </c>
      <c r="C623" s="1" t="n">
        <v>3500</v>
      </c>
    </row>
    <row r="624" customFormat="false" ht="15" hidden="false" customHeight="true" outlineLevel="0" collapsed="false">
      <c r="B624" s="1" t="s">
        <v>149</v>
      </c>
      <c r="C624" s="1" t="n">
        <v>3000</v>
      </c>
    </row>
    <row r="625" customFormat="false" ht="15" hidden="false" customHeight="true" outlineLevel="0" collapsed="false">
      <c r="B625" s="1" t="s">
        <v>150</v>
      </c>
      <c r="C625" s="1" t="n">
        <f aca="false">SUM(C523:C528)</f>
        <v>16876.0090428366</v>
      </c>
    </row>
    <row r="626" customFormat="false" ht="15" hidden="false" customHeight="true" outlineLevel="0" collapsed="false">
      <c r="A626" s="9" t="s">
        <v>151</v>
      </c>
      <c r="B626" s="19"/>
      <c r="C626" s="16" t="n">
        <f aca="false">C595+C599+C605+C609+C617+C618+C625</f>
        <v>569302.703981658</v>
      </c>
      <c r="D626" s="19"/>
    </row>
    <row r="627" customFormat="false" ht="15" hidden="false" customHeight="true" outlineLevel="0" collapsed="false">
      <c r="A627" s="7"/>
      <c r="B627" s="7" t="s">
        <v>78</v>
      </c>
      <c r="C627" s="20" t="n">
        <f aca="false">C626/2005</f>
        <v>283.941498245216</v>
      </c>
      <c r="D627" s="7"/>
    </row>
    <row r="630" customFormat="false" ht="15" hidden="false" customHeight="true" outlineLevel="0" collapsed="false">
      <c r="A630" s="21" t="s">
        <v>168</v>
      </c>
    </row>
    <row r="631" customFormat="false" ht="15" hidden="false" customHeight="true" outlineLevel="0" collapsed="false">
      <c r="A631" s="3" t="s">
        <v>103</v>
      </c>
      <c r="B631" s="3" t="s">
        <v>104</v>
      </c>
      <c r="C631" s="3" t="s">
        <v>105</v>
      </c>
      <c r="D631" s="3" t="s">
        <v>106</v>
      </c>
    </row>
    <row r="632" customFormat="false" ht="15" hidden="false" customHeight="true" outlineLevel="0" collapsed="false">
      <c r="A632" s="18" t="s">
        <v>107</v>
      </c>
      <c r="B632" s="7" t="s">
        <v>108</v>
      </c>
      <c r="C632" s="14" t="n">
        <f aca="false">'Sticks &amp; Bricks Detail'!S56</f>
        <v>165696</v>
      </c>
      <c r="D632" s="7" t="s">
        <v>109</v>
      </c>
    </row>
    <row r="633" customFormat="false" ht="15" hidden="false" customHeight="true" outlineLevel="0" collapsed="false">
      <c r="A633" s="18" t="s">
        <v>110</v>
      </c>
      <c r="B633" s="7" t="s">
        <v>111</v>
      </c>
      <c r="C633" s="15" t="n">
        <v>0</v>
      </c>
      <c r="D633" s="7" t="s">
        <v>112</v>
      </c>
    </row>
    <row r="634" customFormat="false" ht="15" hidden="false" customHeight="true" outlineLevel="0" collapsed="false">
      <c r="A634" s="7"/>
      <c r="B634" s="7" t="s">
        <v>113</v>
      </c>
      <c r="C634" s="15" t="n">
        <v>0</v>
      </c>
      <c r="D634" s="7" t="s">
        <v>114</v>
      </c>
    </row>
    <row r="635" customFormat="false" ht="15" hidden="false" customHeight="true" outlineLevel="0" collapsed="false">
      <c r="A635" s="7"/>
      <c r="B635" s="7" t="s">
        <v>115</v>
      </c>
      <c r="C635" s="15" t="n">
        <v>0</v>
      </c>
      <c r="D635" s="7" t="s">
        <v>116</v>
      </c>
    </row>
    <row r="636" customFormat="false" ht="15" hidden="false" customHeight="true" outlineLevel="0" collapsed="false">
      <c r="A636" s="7"/>
      <c r="B636" s="18" t="s">
        <v>117</v>
      </c>
      <c r="C636" s="14" t="n">
        <f aca="false">SUM(C531:C533)</f>
        <v>1240.6866132627</v>
      </c>
      <c r="D636" s="7"/>
    </row>
    <row r="637" customFormat="false" ht="15" hidden="false" customHeight="true" outlineLevel="0" collapsed="false">
      <c r="A637" s="18" t="s">
        <v>118</v>
      </c>
      <c r="B637" s="7" t="s">
        <v>119</v>
      </c>
      <c r="C637" s="15" t="n">
        <v>5000</v>
      </c>
      <c r="D637" s="7"/>
    </row>
    <row r="638" customFormat="false" ht="15" hidden="false" customHeight="true" outlineLevel="0" collapsed="false">
      <c r="A638" s="7"/>
      <c r="B638" s="7" t="s">
        <v>120</v>
      </c>
      <c r="C638" s="15" t="n">
        <v>3000</v>
      </c>
      <c r="D638" s="7"/>
    </row>
    <row r="639" customFormat="false" ht="15" hidden="false" customHeight="true" outlineLevel="0" collapsed="false">
      <c r="A639" s="7"/>
      <c r="B639" s="7" t="s">
        <v>121</v>
      </c>
      <c r="C639" s="15" t="n">
        <v>2500</v>
      </c>
      <c r="D639" s="7"/>
    </row>
    <row r="640" customFormat="false" ht="15" hidden="false" customHeight="true" outlineLevel="0" collapsed="false">
      <c r="A640" s="7"/>
      <c r="B640" s="7" t="s">
        <v>122</v>
      </c>
      <c r="C640" s="15" t="n">
        <v>3500</v>
      </c>
      <c r="D640" s="7"/>
    </row>
    <row r="641" customFormat="false" ht="15" hidden="false" customHeight="true" outlineLevel="0" collapsed="false">
      <c r="A641" s="7"/>
      <c r="B641" s="7" t="s">
        <v>123</v>
      </c>
      <c r="C641" s="15" t="n">
        <v>1000</v>
      </c>
      <c r="D641" s="7" t="s">
        <v>124</v>
      </c>
    </row>
    <row r="642" customFormat="false" ht="15" hidden="false" customHeight="true" outlineLevel="0" collapsed="false">
      <c r="A642" s="7"/>
      <c r="B642" s="18" t="s">
        <v>125</v>
      </c>
      <c r="C642" s="14" t="n">
        <f aca="false">SUM(C535:C539)</f>
        <v>9200</v>
      </c>
      <c r="D642" s="7"/>
    </row>
    <row r="643" customFormat="false" ht="15" hidden="false" customHeight="true" outlineLevel="0" collapsed="false">
      <c r="A643" s="18" t="s">
        <v>126</v>
      </c>
      <c r="B643" s="7" t="s">
        <v>127</v>
      </c>
      <c r="C643" s="15" t="n">
        <v>0</v>
      </c>
      <c r="D643" s="7"/>
    </row>
    <row r="644" customFormat="false" ht="15" hidden="false" customHeight="true" outlineLevel="0" collapsed="false">
      <c r="A644" s="7"/>
      <c r="B644" s="7" t="s">
        <v>128</v>
      </c>
      <c r="C644" s="15" t="n">
        <v>0</v>
      </c>
      <c r="D644" s="7"/>
    </row>
    <row r="645" customFormat="false" ht="15" hidden="false" customHeight="true" outlineLevel="0" collapsed="false">
      <c r="A645" s="7"/>
      <c r="B645" s="7" t="s">
        <v>129</v>
      </c>
      <c r="C645" s="15" t="n">
        <v>0</v>
      </c>
      <c r="D645" s="7"/>
    </row>
    <row r="646" customFormat="false" ht="15" hidden="false" customHeight="true" outlineLevel="0" collapsed="false">
      <c r="A646" s="7"/>
      <c r="B646" s="18" t="s">
        <v>130</v>
      </c>
      <c r="C646" s="14" t="n">
        <f aca="false">SUM(C541:C543)</f>
        <v>306365</v>
      </c>
      <c r="D646" s="7"/>
    </row>
    <row r="647" customFormat="false" ht="15" hidden="false" customHeight="true" outlineLevel="0" collapsed="false">
      <c r="A647" s="18" t="s">
        <v>131</v>
      </c>
      <c r="B647" s="7" t="s">
        <v>132</v>
      </c>
      <c r="C647" s="15" t="n">
        <v>3500</v>
      </c>
      <c r="D647" s="7"/>
    </row>
    <row r="648" customFormat="false" ht="15" hidden="false" customHeight="true" outlineLevel="0" collapsed="false">
      <c r="A648" s="7"/>
      <c r="B648" s="7" t="s">
        <v>133</v>
      </c>
      <c r="C648" s="15" t="n">
        <v>2500</v>
      </c>
      <c r="D648" s="7"/>
    </row>
    <row r="649" customFormat="false" ht="15" hidden="false" customHeight="true" outlineLevel="0" collapsed="false">
      <c r="A649" s="7"/>
      <c r="B649" s="7" t="s">
        <v>134</v>
      </c>
      <c r="C649" s="15" t="n">
        <v>1500</v>
      </c>
      <c r="D649" s="7"/>
    </row>
    <row r="650" customFormat="false" ht="15" hidden="false" customHeight="true" outlineLevel="0" collapsed="false">
      <c r="A650" s="7"/>
      <c r="B650" s="7" t="s">
        <v>135</v>
      </c>
      <c r="C650" s="15" t="n">
        <v>1700</v>
      </c>
      <c r="D650" s="7"/>
    </row>
    <row r="651" customFormat="false" ht="15" hidden="false" customHeight="true" outlineLevel="0" collapsed="false">
      <c r="A651" s="7"/>
      <c r="B651" s="7" t="s">
        <v>136</v>
      </c>
      <c r="C651" s="15" t="n">
        <v>2000</v>
      </c>
      <c r="D651" s="7"/>
    </row>
    <row r="652" customFormat="false" ht="15" hidden="false" customHeight="true" outlineLevel="0" collapsed="false">
      <c r="A652" s="22"/>
      <c r="B652" s="22"/>
      <c r="C652" s="22"/>
      <c r="D652" s="22"/>
    </row>
    <row r="653" customFormat="false" ht="15" hidden="false" customHeight="true" outlineLevel="0" collapsed="false">
      <c r="A653" s="7"/>
      <c r="B653" s="7" t="s">
        <v>123</v>
      </c>
      <c r="C653" s="15" t="n">
        <v>2300</v>
      </c>
      <c r="D653" s="7" t="s">
        <v>124</v>
      </c>
    </row>
    <row r="654" customFormat="false" ht="15" hidden="false" customHeight="true" outlineLevel="0" collapsed="false">
      <c r="A654" s="7"/>
      <c r="B654" s="18" t="s">
        <v>138</v>
      </c>
      <c r="C654" s="14" t="n">
        <f aca="false">SUM(C545:C551)</f>
        <v>50200</v>
      </c>
      <c r="D654" s="7"/>
    </row>
    <row r="655" customFormat="false" ht="15" hidden="false" customHeight="true" outlineLevel="0" collapsed="false">
      <c r="A655" s="18" t="s">
        <v>139</v>
      </c>
      <c r="B655" s="7" t="s">
        <v>140</v>
      </c>
      <c r="C655" s="14" t="n">
        <f aca="false">MIN(10000,0.05*(C632+C636+C642+C646+C654))</f>
        <v>10000</v>
      </c>
      <c r="D655" s="7" t="s">
        <v>141</v>
      </c>
    </row>
    <row r="656" customFormat="false" ht="15" hidden="false" customHeight="true" outlineLevel="0" collapsed="false">
      <c r="A656" s="18" t="s">
        <v>142</v>
      </c>
      <c r="B656" s="7" t="s">
        <v>143</v>
      </c>
      <c r="C656" s="15" t="n">
        <v>15000</v>
      </c>
      <c r="D656" s="7" t="s">
        <v>144</v>
      </c>
    </row>
    <row r="657" customFormat="false" ht="15" hidden="false" customHeight="true" outlineLevel="0" collapsed="false">
      <c r="B657" s="1" t="s">
        <v>145</v>
      </c>
      <c r="C657" s="1" t="n">
        <v>5000</v>
      </c>
    </row>
    <row r="658" customFormat="false" ht="15" hidden="false" customHeight="true" outlineLevel="0" collapsed="false">
      <c r="B658" s="1" t="s">
        <v>146</v>
      </c>
      <c r="C658" s="1" t="n">
        <v>1500</v>
      </c>
    </row>
    <row r="659" customFormat="false" ht="15" hidden="false" customHeight="true" outlineLevel="0" collapsed="false">
      <c r="B659" s="1" t="s">
        <v>147</v>
      </c>
      <c r="C659" s="1" t="n">
        <v>1500</v>
      </c>
    </row>
    <row r="660" customFormat="false" ht="15" hidden="false" customHeight="true" outlineLevel="0" collapsed="false">
      <c r="B660" s="1" t="s">
        <v>148</v>
      </c>
      <c r="C660" s="1" t="n">
        <v>3500</v>
      </c>
    </row>
    <row r="661" customFormat="false" ht="15" hidden="false" customHeight="true" outlineLevel="0" collapsed="false">
      <c r="B661" s="1" t="s">
        <v>149</v>
      </c>
      <c r="C661" s="1" t="n">
        <v>3000</v>
      </c>
    </row>
    <row r="662" customFormat="false" ht="15" hidden="false" customHeight="true" outlineLevel="0" collapsed="false">
      <c r="B662" s="1" t="s">
        <v>150</v>
      </c>
      <c r="C662" s="1" t="n">
        <f aca="false">SUM(C554:C559)</f>
        <v>156262</v>
      </c>
    </row>
    <row r="663" customFormat="false" ht="15" hidden="false" customHeight="true" outlineLevel="0" collapsed="false">
      <c r="A663" s="9" t="s">
        <v>151</v>
      </c>
      <c r="B663" s="19"/>
      <c r="C663" s="16" t="n">
        <f aca="false">C632+C636+C642+C646+C654+C655+C662</f>
        <v>698963.686613263</v>
      </c>
      <c r="D663" s="19"/>
    </row>
    <row r="664" customFormat="false" ht="15" hidden="false" customHeight="true" outlineLevel="0" collapsed="false">
      <c r="A664" s="7"/>
      <c r="B664" s="7" t="s">
        <v>78</v>
      </c>
      <c r="C664" s="20" t="n">
        <f aca="false">C663/2072</f>
        <v>337.337686589412</v>
      </c>
      <c r="D664" s="7"/>
    </row>
    <row r="667" customFormat="false" ht="15" hidden="false" customHeight="true" outlineLevel="0" collapsed="false">
      <c r="A667" s="21" t="s">
        <v>169</v>
      </c>
    </row>
    <row r="668" customFormat="false" ht="15" hidden="false" customHeight="true" outlineLevel="0" collapsed="false">
      <c r="A668" s="3" t="s">
        <v>103</v>
      </c>
      <c r="B668" s="3" t="s">
        <v>104</v>
      </c>
      <c r="C668" s="3" t="s">
        <v>105</v>
      </c>
      <c r="D668" s="3" t="s">
        <v>106</v>
      </c>
    </row>
    <row r="669" customFormat="false" ht="15" hidden="false" customHeight="true" outlineLevel="0" collapsed="false">
      <c r="A669" s="18" t="s">
        <v>107</v>
      </c>
      <c r="B669" s="7" t="s">
        <v>108</v>
      </c>
      <c r="C669" s="14" t="n">
        <f aca="false">'Sticks &amp; Bricks Detail'!T56</f>
        <v>171846</v>
      </c>
      <c r="D669" s="7" t="s">
        <v>109</v>
      </c>
    </row>
    <row r="670" customFormat="false" ht="15" hidden="false" customHeight="true" outlineLevel="0" collapsed="false">
      <c r="A670" s="18" t="s">
        <v>110</v>
      </c>
      <c r="B670" s="7" t="s">
        <v>111</v>
      </c>
      <c r="C670" s="15" t="n">
        <v>0</v>
      </c>
      <c r="D670" s="7" t="s">
        <v>112</v>
      </c>
    </row>
    <row r="671" customFormat="false" ht="15" hidden="false" customHeight="true" outlineLevel="0" collapsed="false">
      <c r="A671" s="7"/>
      <c r="B671" s="7" t="s">
        <v>113</v>
      </c>
      <c r="C671" s="15" t="n">
        <v>0</v>
      </c>
      <c r="D671" s="7" t="s">
        <v>114</v>
      </c>
    </row>
    <row r="672" customFormat="false" ht="15" hidden="false" customHeight="true" outlineLevel="0" collapsed="false">
      <c r="A672" s="7"/>
      <c r="B672" s="7" t="s">
        <v>115</v>
      </c>
      <c r="C672" s="15" t="n">
        <v>0</v>
      </c>
      <c r="D672" s="7" t="s">
        <v>116</v>
      </c>
    </row>
    <row r="673" customFormat="false" ht="15" hidden="false" customHeight="true" outlineLevel="0" collapsed="false">
      <c r="A673" s="7"/>
      <c r="B673" s="18" t="s">
        <v>117</v>
      </c>
      <c r="C673" s="14" t="n">
        <f aca="false">SUM(C562:C564)</f>
        <v>2390353.86549002</v>
      </c>
      <c r="D673" s="7"/>
    </row>
    <row r="674" customFormat="false" ht="15" hidden="false" customHeight="true" outlineLevel="0" collapsed="false">
      <c r="A674" s="18" t="s">
        <v>118</v>
      </c>
      <c r="B674" s="7" t="s">
        <v>119</v>
      </c>
      <c r="C674" s="15" t="n">
        <v>5000</v>
      </c>
      <c r="D674" s="7"/>
    </row>
    <row r="675" customFormat="false" ht="15" hidden="false" customHeight="true" outlineLevel="0" collapsed="false">
      <c r="A675" s="7"/>
      <c r="B675" s="7" t="s">
        <v>120</v>
      </c>
      <c r="C675" s="15" t="n">
        <v>3000</v>
      </c>
      <c r="D675" s="7"/>
    </row>
    <row r="676" customFormat="false" ht="15" hidden="false" customHeight="true" outlineLevel="0" collapsed="false">
      <c r="A676" s="7"/>
      <c r="B676" s="7" t="s">
        <v>121</v>
      </c>
      <c r="C676" s="15" t="n">
        <v>2500</v>
      </c>
      <c r="D676" s="7"/>
    </row>
    <row r="677" customFormat="false" ht="15" hidden="false" customHeight="true" outlineLevel="0" collapsed="false">
      <c r="A677" s="7"/>
      <c r="B677" s="7" t="s">
        <v>122</v>
      </c>
      <c r="C677" s="15" t="n">
        <v>3500</v>
      </c>
      <c r="D677" s="7"/>
    </row>
    <row r="678" customFormat="false" ht="15" hidden="false" customHeight="true" outlineLevel="0" collapsed="false">
      <c r="A678" s="7"/>
      <c r="B678" s="7" t="s">
        <v>123</v>
      </c>
      <c r="C678" s="15" t="n">
        <v>1000</v>
      </c>
      <c r="D678" s="7" t="s">
        <v>124</v>
      </c>
    </row>
    <row r="679" customFormat="false" ht="15" hidden="false" customHeight="true" outlineLevel="0" collapsed="false">
      <c r="A679" s="7"/>
      <c r="B679" s="18" t="s">
        <v>125</v>
      </c>
      <c r="C679" s="14" t="n">
        <f aca="false">SUM(C566:C570)</f>
        <v>89500</v>
      </c>
      <c r="D679" s="7"/>
    </row>
    <row r="680" customFormat="false" ht="15" hidden="false" customHeight="true" outlineLevel="0" collapsed="false">
      <c r="A680" s="18" t="s">
        <v>126</v>
      </c>
      <c r="B680" s="7" t="s">
        <v>127</v>
      </c>
      <c r="C680" s="15" t="n">
        <v>0</v>
      </c>
      <c r="D680" s="7"/>
    </row>
    <row r="681" customFormat="false" ht="15" hidden="false" customHeight="true" outlineLevel="0" collapsed="false">
      <c r="A681" s="7"/>
      <c r="B681" s="7" t="s">
        <v>128</v>
      </c>
      <c r="C681" s="15" t="n">
        <v>0</v>
      </c>
      <c r="D681" s="7"/>
    </row>
    <row r="682" customFormat="false" ht="15" hidden="false" customHeight="true" outlineLevel="0" collapsed="false">
      <c r="A682" s="7"/>
      <c r="B682" s="7" t="s">
        <v>129</v>
      </c>
      <c r="C682" s="15" t="n">
        <v>0</v>
      </c>
      <c r="D682" s="7"/>
    </row>
    <row r="683" customFormat="false" ht="15" hidden="false" customHeight="true" outlineLevel="0" collapsed="false">
      <c r="A683" s="7"/>
      <c r="B683" s="18" t="s">
        <v>130</v>
      </c>
      <c r="C683" s="14" t="n">
        <f aca="false">SUM(C572:C574)</f>
        <v>7619.56032745527</v>
      </c>
      <c r="D683" s="7"/>
    </row>
    <row r="684" customFormat="false" ht="15" hidden="false" customHeight="true" outlineLevel="0" collapsed="false">
      <c r="A684" s="18" t="s">
        <v>131</v>
      </c>
      <c r="B684" s="7" t="s">
        <v>132</v>
      </c>
      <c r="C684" s="15" t="n">
        <v>3500</v>
      </c>
      <c r="D684" s="7"/>
    </row>
    <row r="685" customFormat="false" ht="15" hidden="false" customHeight="true" outlineLevel="0" collapsed="false">
      <c r="A685" s="7"/>
      <c r="B685" s="7" t="s">
        <v>133</v>
      </c>
      <c r="C685" s="15" t="n">
        <v>2500</v>
      </c>
      <c r="D685" s="7"/>
    </row>
    <row r="686" customFormat="false" ht="15" hidden="false" customHeight="true" outlineLevel="0" collapsed="false">
      <c r="A686" s="7"/>
      <c r="B686" s="7" t="s">
        <v>134</v>
      </c>
      <c r="C686" s="15" t="n">
        <v>1500</v>
      </c>
      <c r="D686" s="7"/>
    </row>
    <row r="687" customFormat="false" ht="15" hidden="false" customHeight="true" outlineLevel="0" collapsed="false">
      <c r="A687" s="7"/>
      <c r="B687" s="7" t="s">
        <v>135</v>
      </c>
      <c r="C687" s="15" t="n">
        <v>1700</v>
      </c>
      <c r="D687" s="7"/>
    </row>
    <row r="688" customFormat="false" ht="15" hidden="false" customHeight="true" outlineLevel="0" collapsed="false">
      <c r="A688" s="7"/>
      <c r="B688" s="7" t="s">
        <v>136</v>
      </c>
      <c r="C688" s="15" t="n">
        <v>2000</v>
      </c>
      <c r="D688" s="7"/>
    </row>
    <row r="689" customFormat="false" ht="15" hidden="false" customHeight="true" outlineLevel="0" collapsed="false">
      <c r="A689" s="7"/>
      <c r="B689" s="7" t="s">
        <v>137</v>
      </c>
      <c r="C689" s="15" t="n">
        <v>1500</v>
      </c>
      <c r="D689" s="7"/>
    </row>
    <row r="690" customFormat="false" ht="15" hidden="false" customHeight="true" outlineLevel="0" collapsed="false">
      <c r="A690" s="7"/>
      <c r="B690" s="7" t="s">
        <v>123</v>
      </c>
      <c r="C690" s="15" t="n">
        <v>2300</v>
      </c>
      <c r="D690" s="7" t="s">
        <v>124</v>
      </c>
    </row>
    <row r="691" customFormat="false" ht="15" hidden="false" customHeight="true" outlineLevel="0" collapsed="false">
      <c r="A691" s="7"/>
      <c r="B691" s="18" t="s">
        <v>138</v>
      </c>
      <c r="C691" s="14" t="n">
        <f aca="false">SUM(C576:C582)</f>
        <v>182850</v>
      </c>
      <c r="D691" s="7"/>
    </row>
    <row r="692" customFormat="false" ht="15" hidden="false" customHeight="true" outlineLevel="0" collapsed="false">
      <c r="A692" s="18" t="s">
        <v>139</v>
      </c>
      <c r="B692" s="7" t="s">
        <v>140</v>
      </c>
      <c r="C692" s="14" t="n">
        <f aca="false">MIN(10000,0.05*(C669+C673+C679+C683+C691))</f>
        <v>10000</v>
      </c>
      <c r="D692" s="7" t="s">
        <v>141</v>
      </c>
    </row>
    <row r="693" customFormat="false" ht="15" hidden="false" customHeight="true" outlineLevel="0" collapsed="false">
      <c r="A693" s="18" t="s">
        <v>142</v>
      </c>
      <c r="B693" s="7" t="s">
        <v>143</v>
      </c>
      <c r="C693" s="15" t="n">
        <v>15000</v>
      </c>
      <c r="D693" s="7" t="s">
        <v>144</v>
      </c>
    </row>
    <row r="694" customFormat="false" ht="15" hidden="false" customHeight="true" outlineLevel="0" collapsed="false">
      <c r="B694" s="1" t="s">
        <v>145</v>
      </c>
      <c r="C694" s="1" t="n">
        <v>5000</v>
      </c>
    </row>
    <row r="695" customFormat="false" ht="15" hidden="false" customHeight="true" outlineLevel="0" collapsed="false">
      <c r="B695" s="1" t="s">
        <v>146</v>
      </c>
      <c r="C695" s="1" t="n">
        <v>1500</v>
      </c>
    </row>
    <row r="696" customFormat="false" ht="15" hidden="false" customHeight="true" outlineLevel="0" collapsed="false">
      <c r="B696" s="1" t="s">
        <v>147</v>
      </c>
      <c r="C696" s="1" t="n">
        <v>1500</v>
      </c>
    </row>
    <row r="697" customFormat="false" ht="15" hidden="false" customHeight="true" outlineLevel="0" collapsed="false">
      <c r="B697" s="1" t="s">
        <v>148</v>
      </c>
      <c r="C697" s="1" t="n">
        <v>3500</v>
      </c>
    </row>
    <row r="698" customFormat="false" ht="15" hidden="false" customHeight="true" outlineLevel="0" collapsed="false">
      <c r="B698" s="1" t="s">
        <v>149</v>
      </c>
      <c r="C698" s="1" t="n">
        <v>3000</v>
      </c>
    </row>
    <row r="699" customFormat="false" ht="15" hidden="false" customHeight="true" outlineLevel="0" collapsed="false">
      <c r="B699" s="1" t="s">
        <v>150</v>
      </c>
      <c r="C699" s="1" t="n">
        <f aca="false">SUM(C585:C590)</f>
        <v>2843585.42581748</v>
      </c>
    </row>
    <row r="700" customFormat="false" ht="15" hidden="false" customHeight="true" outlineLevel="0" collapsed="false">
      <c r="A700" s="9" t="s">
        <v>151</v>
      </c>
      <c r="B700" s="19"/>
      <c r="C700" s="16" t="n">
        <f aca="false">C669+C673+C679+C683+C691+C692+C699</f>
        <v>5695754.85163496</v>
      </c>
      <c r="D700" s="19"/>
    </row>
    <row r="701" customFormat="false" ht="15" hidden="false" customHeight="true" outlineLevel="0" collapsed="false">
      <c r="A701" s="7"/>
      <c r="B701" s="7" t="s">
        <v>78</v>
      </c>
      <c r="C701" s="20" t="n">
        <f aca="false">C700/2157</f>
        <v>2640.59102996521</v>
      </c>
      <c r="D701" s="7"/>
    </row>
    <row r="704" customFormat="false" ht="15" hidden="false" customHeight="true" outlineLevel="0" collapsed="false">
      <c r="A704" s="21" t="s">
        <v>170</v>
      </c>
    </row>
    <row r="705" customFormat="false" ht="15" hidden="false" customHeight="true" outlineLevel="0" collapsed="false">
      <c r="A705" s="3" t="s">
        <v>103</v>
      </c>
      <c r="B705" s="3" t="s">
        <v>104</v>
      </c>
      <c r="C705" s="3" t="s">
        <v>105</v>
      </c>
      <c r="D705" s="3" t="s">
        <v>106</v>
      </c>
    </row>
    <row r="706" customFormat="false" ht="15" hidden="false" customHeight="true" outlineLevel="0" collapsed="false">
      <c r="A706" s="18" t="s">
        <v>107</v>
      </c>
      <c r="B706" s="7" t="s">
        <v>108</v>
      </c>
      <c r="C706" s="14" t="n">
        <f aca="false">'Sticks &amp; Bricks Detail'!U56</f>
        <v>173637</v>
      </c>
      <c r="D706" s="7" t="s">
        <v>109</v>
      </c>
    </row>
    <row r="707" customFormat="false" ht="15" hidden="false" customHeight="true" outlineLevel="0" collapsed="false">
      <c r="A707" s="18" t="s">
        <v>110</v>
      </c>
      <c r="B707" s="7" t="s">
        <v>111</v>
      </c>
      <c r="C707" s="15" t="n">
        <v>0</v>
      </c>
      <c r="D707" s="7" t="s">
        <v>112</v>
      </c>
    </row>
    <row r="708" customFormat="false" ht="15" hidden="false" customHeight="true" outlineLevel="0" collapsed="false">
      <c r="A708" s="7"/>
      <c r="B708" s="7" t="s">
        <v>113</v>
      </c>
      <c r="C708" s="15" t="n">
        <v>0</v>
      </c>
      <c r="D708" s="7" t="s">
        <v>114</v>
      </c>
    </row>
    <row r="709" customFormat="false" ht="15" hidden="false" customHeight="true" outlineLevel="0" collapsed="false">
      <c r="A709" s="7"/>
      <c r="B709" s="7" t="s">
        <v>115</v>
      </c>
      <c r="C709" s="15" t="n">
        <v>0</v>
      </c>
      <c r="D709" s="7" t="s">
        <v>116</v>
      </c>
    </row>
    <row r="710" customFormat="false" ht="15" hidden="false" customHeight="true" outlineLevel="0" collapsed="false">
      <c r="A710" s="7"/>
      <c r="B710" s="18" t="s">
        <v>117</v>
      </c>
      <c r="C710" s="14" t="n">
        <f aca="false">SUM(C593:C595)</f>
        <v>156615</v>
      </c>
      <c r="D710" s="7"/>
    </row>
    <row r="711" customFormat="false" ht="15" hidden="false" customHeight="true" outlineLevel="0" collapsed="false">
      <c r="A711" s="18" t="s">
        <v>118</v>
      </c>
      <c r="B711" s="7" t="s">
        <v>119</v>
      </c>
      <c r="C711" s="15" t="n">
        <v>5000</v>
      </c>
      <c r="D711" s="7"/>
    </row>
    <row r="712" customFormat="false" ht="15" hidden="false" customHeight="true" outlineLevel="0" collapsed="false">
      <c r="A712" s="7"/>
      <c r="B712" s="7" t="s">
        <v>120</v>
      </c>
      <c r="C712" s="15" t="n">
        <v>3000</v>
      </c>
      <c r="D712" s="7"/>
    </row>
    <row r="713" customFormat="false" ht="15" hidden="false" customHeight="true" outlineLevel="0" collapsed="false">
      <c r="A713" s="7"/>
      <c r="B713" s="7" t="s">
        <v>121</v>
      </c>
      <c r="C713" s="15" t="n">
        <v>2500</v>
      </c>
      <c r="D713" s="7"/>
    </row>
    <row r="714" customFormat="false" ht="15" hidden="false" customHeight="true" outlineLevel="0" collapsed="false">
      <c r="A714" s="7"/>
      <c r="B714" s="7" t="s">
        <v>122</v>
      </c>
      <c r="C714" s="15" t="n">
        <v>3500</v>
      </c>
      <c r="D714" s="7"/>
    </row>
    <row r="715" customFormat="false" ht="15" hidden="false" customHeight="true" outlineLevel="0" collapsed="false">
      <c r="A715" s="7"/>
      <c r="B715" s="7" t="s">
        <v>123</v>
      </c>
      <c r="C715" s="15" t="n">
        <v>1000</v>
      </c>
      <c r="D715" s="7" t="s">
        <v>124</v>
      </c>
    </row>
    <row r="716" customFormat="false" ht="15" hidden="false" customHeight="true" outlineLevel="0" collapsed="false">
      <c r="A716" s="7"/>
      <c r="B716" s="18" t="s">
        <v>125</v>
      </c>
      <c r="C716" s="14" t="n">
        <f aca="false">SUM(C597:C601)</f>
        <v>13700</v>
      </c>
      <c r="D716" s="7"/>
    </row>
    <row r="717" customFormat="false" ht="15" hidden="false" customHeight="true" outlineLevel="0" collapsed="false">
      <c r="A717" s="18" t="s">
        <v>126</v>
      </c>
      <c r="B717" s="7" t="s">
        <v>127</v>
      </c>
      <c r="C717" s="15" t="n">
        <v>0</v>
      </c>
      <c r="D717" s="7"/>
    </row>
    <row r="718" customFormat="false" ht="15" hidden="false" customHeight="true" outlineLevel="0" collapsed="false">
      <c r="A718" s="7"/>
      <c r="B718" s="7" t="s">
        <v>128</v>
      </c>
      <c r="C718" s="15" t="n">
        <v>0</v>
      </c>
      <c r="D718" s="7"/>
    </row>
    <row r="719" customFormat="false" ht="15" hidden="false" customHeight="true" outlineLevel="0" collapsed="false">
      <c r="A719" s="7"/>
      <c r="B719" s="7" t="s">
        <v>129</v>
      </c>
      <c r="C719" s="15" t="n">
        <v>0</v>
      </c>
      <c r="D719" s="7"/>
    </row>
    <row r="720" customFormat="false" ht="15" hidden="false" customHeight="true" outlineLevel="0" collapsed="false">
      <c r="A720" s="7"/>
      <c r="B720" s="18" t="s">
        <v>130</v>
      </c>
      <c r="C720" s="14" t="n">
        <f aca="false">SUM(C603:C605)</f>
        <v>45907.5</v>
      </c>
      <c r="D720" s="7"/>
    </row>
    <row r="721" customFormat="false" ht="15" hidden="false" customHeight="true" outlineLevel="0" collapsed="false">
      <c r="A721" s="18" t="s">
        <v>131</v>
      </c>
      <c r="B721" s="7" t="s">
        <v>132</v>
      </c>
      <c r="C721" s="15" t="n">
        <v>3500</v>
      </c>
      <c r="D721" s="7"/>
    </row>
    <row r="722" customFormat="false" ht="15" hidden="false" customHeight="true" outlineLevel="0" collapsed="false">
      <c r="A722" s="7"/>
      <c r="B722" s="7" t="s">
        <v>133</v>
      </c>
      <c r="C722" s="15" t="n">
        <v>2500</v>
      </c>
      <c r="D722" s="7"/>
    </row>
    <row r="723" customFormat="false" ht="15" hidden="false" customHeight="true" outlineLevel="0" collapsed="false">
      <c r="A723" s="7"/>
      <c r="B723" s="7" t="s">
        <v>134</v>
      </c>
      <c r="C723" s="15" t="n">
        <v>1500</v>
      </c>
      <c r="D723" s="7"/>
    </row>
    <row r="724" customFormat="false" ht="15" hidden="false" customHeight="true" outlineLevel="0" collapsed="false">
      <c r="A724" s="7"/>
      <c r="B724" s="7" t="s">
        <v>135</v>
      </c>
      <c r="C724" s="15" t="n">
        <v>1700</v>
      </c>
      <c r="D724" s="7"/>
    </row>
    <row r="725" customFormat="false" ht="15" hidden="false" customHeight="true" outlineLevel="0" collapsed="false">
      <c r="A725" s="7"/>
      <c r="B725" s="7" t="s">
        <v>136</v>
      </c>
      <c r="C725" s="15" t="n">
        <v>2000</v>
      </c>
      <c r="D725" s="7"/>
    </row>
    <row r="726" customFormat="false" ht="15" hidden="false" customHeight="true" outlineLevel="0" collapsed="false">
      <c r="A726" s="7"/>
      <c r="B726" s="7" t="s">
        <v>137</v>
      </c>
      <c r="C726" s="15" t="n">
        <v>1500</v>
      </c>
      <c r="D726" s="7"/>
    </row>
    <row r="727" customFormat="false" ht="15" hidden="false" customHeight="true" outlineLevel="0" collapsed="false">
      <c r="A727" s="7"/>
      <c r="B727" s="7" t="s">
        <v>123</v>
      </c>
      <c r="C727" s="15" t="n">
        <v>2300</v>
      </c>
      <c r="D727" s="7" t="s">
        <v>124</v>
      </c>
    </row>
    <row r="728" customFormat="false" ht="15" hidden="false" customHeight="true" outlineLevel="0" collapsed="false">
      <c r="A728" s="7"/>
      <c r="B728" s="18" t="s">
        <v>138</v>
      </c>
      <c r="C728" s="14" t="n">
        <f aca="false">SUM(C607:C613)</f>
        <v>15700</v>
      </c>
      <c r="D728" s="7"/>
    </row>
    <row r="729" customFormat="false" ht="15" hidden="false" customHeight="true" outlineLevel="0" collapsed="false">
      <c r="A729" s="18" t="s">
        <v>139</v>
      </c>
      <c r="B729" s="7" t="s">
        <v>140</v>
      </c>
      <c r="C729" s="14" t="n">
        <f aca="false">MIN(10000,0.05*(C706+C710+C716+C720+C728))</f>
        <v>10000</v>
      </c>
      <c r="D729" s="7" t="s">
        <v>141</v>
      </c>
    </row>
    <row r="730" customFormat="false" ht="15" hidden="false" customHeight="true" outlineLevel="0" collapsed="false">
      <c r="A730" s="18" t="s">
        <v>142</v>
      </c>
      <c r="B730" s="7" t="s">
        <v>143</v>
      </c>
      <c r="C730" s="15" t="n">
        <v>15000</v>
      </c>
      <c r="D730" s="7" t="s">
        <v>144</v>
      </c>
    </row>
    <row r="731" customFormat="false" ht="15" hidden="false" customHeight="true" outlineLevel="0" collapsed="false">
      <c r="B731" s="1" t="s">
        <v>145</v>
      </c>
      <c r="C731" s="1" t="n">
        <v>5000</v>
      </c>
    </row>
    <row r="732" customFormat="false" ht="15" hidden="false" customHeight="true" outlineLevel="0" collapsed="false">
      <c r="B732" s="1" t="s">
        <v>146</v>
      </c>
      <c r="C732" s="1" t="n">
        <v>1500</v>
      </c>
    </row>
    <row r="733" customFormat="false" ht="15" hidden="false" customHeight="true" outlineLevel="0" collapsed="false">
      <c r="B733" s="1" t="s">
        <v>147</v>
      </c>
      <c r="C733" s="1" t="n">
        <v>1500</v>
      </c>
    </row>
    <row r="734" customFormat="false" ht="15" hidden="false" customHeight="true" outlineLevel="0" collapsed="false">
      <c r="B734" s="1" t="s">
        <v>148</v>
      </c>
      <c r="C734" s="1" t="n">
        <v>3500</v>
      </c>
    </row>
    <row r="735" customFormat="false" ht="15" hidden="false" customHeight="true" outlineLevel="0" collapsed="false">
      <c r="B735" s="1" t="s">
        <v>149</v>
      </c>
      <c r="C735" s="1" t="n">
        <v>3000</v>
      </c>
    </row>
    <row r="736" customFormat="false" ht="15" hidden="false" customHeight="true" outlineLevel="0" collapsed="false">
      <c r="B736" s="1" t="s">
        <v>150</v>
      </c>
      <c r="C736" s="1" t="n">
        <f aca="false">SUM(C616:C621)</f>
        <v>364504.194938821</v>
      </c>
    </row>
    <row r="737" customFormat="false" ht="15" hidden="false" customHeight="true" outlineLevel="0" collapsed="false">
      <c r="A737" s="9" t="s">
        <v>151</v>
      </c>
      <c r="B737" s="19"/>
      <c r="C737" s="16" t="n">
        <f aca="false">C706+C710+C716+C720+C728+C729+C736</f>
        <v>780063.694938821</v>
      </c>
      <c r="D737" s="19"/>
    </row>
    <row r="738" customFormat="false" ht="15" hidden="false" customHeight="true" outlineLevel="0" collapsed="false">
      <c r="A738" s="7"/>
      <c r="B738" s="7" t="s">
        <v>78</v>
      </c>
      <c r="C738" s="20" t="n">
        <f aca="false">C737/2214</f>
        <v>352.332292203623</v>
      </c>
      <c r="D738" s="7"/>
    </row>
    <row r="741" customFormat="false" ht="15" hidden="false" customHeight="true" outlineLevel="0" collapsed="false">
      <c r="A741" s="21" t="s">
        <v>171</v>
      </c>
    </row>
    <row r="742" customFormat="false" ht="15" hidden="false" customHeight="true" outlineLevel="0" collapsed="false">
      <c r="A742" s="3" t="s">
        <v>103</v>
      </c>
      <c r="B742" s="3" t="s">
        <v>104</v>
      </c>
      <c r="C742" s="3" t="s">
        <v>105</v>
      </c>
      <c r="D742" s="3" t="s">
        <v>106</v>
      </c>
    </row>
    <row r="743" customFormat="false" ht="15" hidden="false" customHeight="true" outlineLevel="0" collapsed="false">
      <c r="A743" s="18" t="s">
        <v>107</v>
      </c>
      <c r="B743" s="7" t="s">
        <v>108</v>
      </c>
      <c r="C743" s="14" t="n">
        <f aca="false">'Sticks &amp; Bricks Detail'!V56</f>
        <v>173846</v>
      </c>
      <c r="D743" s="7" t="s">
        <v>109</v>
      </c>
    </row>
    <row r="744" customFormat="false" ht="15" hidden="false" customHeight="true" outlineLevel="0" collapsed="false">
      <c r="A744" s="18" t="s">
        <v>110</v>
      </c>
      <c r="B744" s="7" t="s">
        <v>111</v>
      </c>
      <c r="C744" s="15" t="n">
        <v>0</v>
      </c>
      <c r="D744" s="7" t="s">
        <v>112</v>
      </c>
    </row>
    <row r="745" customFormat="false" ht="15" hidden="false" customHeight="true" outlineLevel="0" collapsed="false">
      <c r="A745" s="7"/>
      <c r="B745" s="7" t="s">
        <v>113</v>
      </c>
      <c r="C745" s="15" t="n">
        <v>0</v>
      </c>
      <c r="D745" s="7" t="s">
        <v>114</v>
      </c>
    </row>
    <row r="746" customFormat="false" ht="15" hidden="false" customHeight="true" outlineLevel="0" collapsed="false">
      <c r="A746" s="7"/>
      <c r="B746" s="7" t="s">
        <v>115</v>
      </c>
      <c r="C746" s="15" t="n">
        <v>0</v>
      </c>
      <c r="D746" s="7" t="s">
        <v>116</v>
      </c>
    </row>
    <row r="747" customFormat="false" ht="15" hidden="false" customHeight="true" outlineLevel="0" collapsed="false">
      <c r="A747" s="7"/>
      <c r="B747" s="18" t="s">
        <v>117</v>
      </c>
      <c r="C747" s="14" t="n">
        <f aca="false">SUM(C624:C626)</f>
        <v>589178.713024494</v>
      </c>
      <c r="D747" s="7"/>
    </row>
    <row r="748" customFormat="false" ht="15" hidden="false" customHeight="true" outlineLevel="0" collapsed="false">
      <c r="A748" s="18" t="s">
        <v>118</v>
      </c>
      <c r="B748" s="7" t="s">
        <v>119</v>
      </c>
      <c r="C748" s="15" t="n">
        <v>5000</v>
      </c>
      <c r="D748" s="7"/>
    </row>
    <row r="749" customFormat="false" ht="15" hidden="false" customHeight="true" outlineLevel="0" collapsed="false">
      <c r="A749" s="7"/>
      <c r="B749" s="7" t="s">
        <v>120</v>
      </c>
      <c r="C749" s="15" t="n">
        <v>3000</v>
      </c>
      <c r="D749" s="7"/>
    </row>
    <row r="750" customFormat="false" ht="15" hidden="false" customHeight="true" outlineLevel="0" collapsed="false">
      <c r="A750" s="7"/>
      <c r="B750" s="7" t="s">
        <v>121</v>
      </c>
      <c r="C750" s="15" t="n">
        <v>2500</v>
      </c>
      <c r="D750" s="7"/>
    </row>
    <row r="751" customFormat="false" ht="15" hidden="false" customHeight="true" outlineLevel="0" collapsed="false">
      <c r="A751" s="7"/>
      <c r="B751" s="7" t="s">
        <v>122</v>
      </c>
      <c r="C751" s="15" t="n">
        <v>3500</v>
      </c>
      <c r="D751" s="7"/>
    </row>
    <row r="752" customFormat="false" ht="15" hidden="false" customHeight="true" outlineLevel="0" collapsed="false">
      <c r="A752" s="7"/>
      <c r="B752" s="7" t="s">
        <v>123</v>
      </c>
      <c r="C752" s="15" t="n">
        <v>1000</v>
      </c>
      <c r="D752" s="7" t="s">
        <v>124</v>
      </c>
    </row>
    <row r="753" customFormat="false" ht="15" hidden="false" customHeight="true" outlineLevel="0" collapsed="false">
      <c r="A753" s="7"/>
      <c r="B753" s="18" t="s">
        <v>125</v>
      </c>
      <c r="C753" s="14" t="n">
        <f aca="false">SUM(C628:C632)</f>
        <v>165696</v>
      </c>
      <c r="D753" s="7"/>
    </row>
    <row r="754" customFormat="false" ht="15" hidden="false" customHeight="true" outlineLevel="0" collapsed="false">
      <c r="A754" s="18" t="s">
        <v>126</v>
      </c>
      <c r="B754" s="7" t="s">
        <v>127</v>
      </c>
      <c r="C754" s="15" t="n">
        <v>0</v>
      </c>
      <c r="D754" s="7"/>
    </row>
    <row r="755" customFormat="false" ht="15" hidden="false" customHeight="true" outlineLevel="0" collapsed="false">
      <c r="A755" s="7"/>
      <c r="B755" s="7" t="s">
        <v>128</v>
      </c>
      <c r="C755" s="15" t="n">
        <v>0</v>
      </c>
      <c r="D755" s="7"/>
    </row>
    <row r="756" customFormat="false" ht="15" hidden="false" customHeight="true" outlineLevel="0" collapsed="false">
      <c r="A756" s="7"/>
      <c r="B756" s="7" t="s">
        <v>129</v>
      </c>
      <c r="C756" s="15" t="n">
        <v>0</v>
      </c>
      <c r="D756" s="7"/>
    </row>
    <row r="757" customFormat="false" ht="15" hidden="false" customHeight="true" outlineLevel="0" collapsed="false">
      <c r="A757" s="7"/>
      <c r="B757" s="18" t="s">
        <v>130</v>
      </c>
      <c r="C757" s="14" t="n">
        <f aca="false">SUM(C634:C636)</f>
        <v>1240.6866132627</v>
      </c>
      <c r="D757" s="7"/>
    </row>
    <row r="758" customFormat="false" ht="15" hidden="false" customHeight="true" outlineLevel="0" collapsed="false">
      <c r="A758" s="18" t="s">
        <v>131</v>
      </c>
      <c r="B758" s="7" t="s">
        <v>132</v>
      </c>
      <c r="C758" s="15" t="n">
        <v>3500</v>
      </c>
      <c r="D758" s="7"/>
    </row>
    <row r="759" customFormat="false" ht="15" hidden="false" customHeight="true" outlineLevel="0" collapsed="false">
      <c r="A759" s="7"/>
      <c r="B759" s="7" t="s">
        <v>133</v>
      </c>
      <c r="C759" s="15" t="n">
        <v>2500</v>
      </c>
      <c r="D759" s="7"/>
    </row>
    <row r="760" customFormat="false" ht="15" hidden="false" customHeight="true" outlineLevel="0" collapsed="false">
      <c r="A760" s="7"/>
      <c r="B760" s="7" t="s">
        <v>134</v>
      </c>
      <c r="C760" s="15" t="n">
        <v>1500</v>
      </c>
      <c r="D760" s="7"/>
    </row>
    <row r="761" customFormat="false" ht="15" hidden="false" customHeight="true" outlineLevel="0" collapsed="false">
      <c r="A761" s="7"/>
      <c r="B761" s="7" t="s">
        <v>135</v>
      </c>
      <c r="C761" s="15" t="n">
        <v>1700</v>
      </c>
      <c r="D761" s="7"/>
    </row>
    <row r="762" customFormat="false" ht="15" hidden="false" customHeight="true" outlineLevel="0" collapsed="false">
      <c r="A762" s="7"/>
      <c r="B762" s="7" t="s">
        <v>136</v>
      </c>
      <c r="C762" s="15" t="n">
        <v>2000</v>
      </c>
      <c r="D762" s="7"/>
    </row>
    <row r="763" customFormat="false" ht="15" hidden="false" customHeight="true" outlineLevel="0" collapsed="false">
      <c r="A763" s="7"/>
      <c r="B763" s="7" t="s">
        <v>137</v>
      </c>
      <c r="C763" s="15" t="n">
        <v>1500</v>
      </c>
      <c r="D763" s="7"/>
    </row>
    <row r="764" customFormat="false" ht="15" hidden="false" customHeight="true" outlineLevel="0" collapsed="false">
      <c r="A764" s="7"/>
      <c r="B764" s="7" t="s">
        <v>123</v>
      </c>
      <c r="C764" s="15" t="n">
        <v>2300</v>
      </c>
      <c r="D764" s="7" t="s">
        <v>124</v>
      </c>
    </row>
    <row r="765" customFormat="false" ht="15" hidden="false" customHeight="true" outlineLevel="0" collapsed="false">
      <c r="A765" s="7"/>
      <c r="B765" s="18" t="s">
        <v>138</v>
      </c>
      <c r="C765" s="14" t="n">
        <f aca="false">SUM(C638:C644)</f>
        <v>19200</v>
      </c>
      <c r="D765" s="7"/>
    </row>
    <row r="766" customFormat="false" ht="15" hidden="false" customHeight="true" outlineLevel="0" collapsed="false">
      <c r="A766" s="18" t="s">
        <v>139</v>
      </c>
      <c r="B766" s="7" t="s">
        <v>140</v>
      </c>
      <c r="C766" s="14" t="n">
        <f aca="false">MIN(10000,0.05*(C743+C747+C753+C757+C765))</f>
        <v>10000</v>
      </c>
      <c r="D766" s="7" t="s">
        <v>141</v>
      </c>
    </row>
    <row r="767" customFormat="false" ht="15" hidden="false" customHeight="true" outlineLevel="0" collapsed="false">
      <c r="A767" s="18" t="s">
        <v>142</v>
      </c>
      <c r="B767" s="7" t="s">
        <v>143</v>
      </c>
      <c r="C767" s="15" t="n">
        <v>15000</v>
      </c>
      <c r="D767" s="7" t="s">
        <v>144</v>
      </c>
    </row>
    <row r="768" customFormat="false" ht="15" hidden="false" customHeight="true" outlineLevel="0" collapsed="false">
      <c r="B768" s="1" t="s">
        <v>145</v>
      </c>
      <c r="C768" s="1" t="n">
        <v>5000</v>
      </c>
    </row>
    <row r="769" customFormat="false" ht="15" hidden="false" customHeight="true" outlineLevel="0" collapsed="false">
      <c r="B769" s="1" t="s">
        <v>146</v>
      </c>
      <c r="C769" s="1" t="n">
        <v>1500</v>
      </c>
    </row>
    <row r="770" customFormat="false" ht="15" hidden="false" customHeight="true" outlineLevel="0" collapsed="false">
      <c r="B770" s="1" t="s">
        <v>147</v>
      </c>
      <c r="C770" s="1" t="n">
        <v>1500</v>
      </c>
    </row>
    <row r="771" customFormat="false" ht="15" hidden="false" customHeight="true" outlineLevel="0" collapsed="false">
      <c r="B771" s="1" t="s">
        <v>148</v>
      </c>
      <c r="C771" s="1" t="n">
        <v>3500</v>
      </c>
    </row>
    <row r="772" customFormat="false" ht="15" hidden="false" customHeight="true" outlineLevel="0" collapsed="false">
      <c r="B772" s="1" t="s">
        <v>149</v>
      </c>
      <c r="C772" s="1" t="n">
        <v>3000</v>
      </c>
    </row>
    <row r="773" customFormat="false" ht="15" hidden="false" customHeight="true" outlineLevel="0" collapsed="false">
      <c r="B773" s="1" t="s">
        <v>150</v>
      </c>
      <c r="C773" s="1" t="n">
        <f aca="false">SUM(C647:C652)</f>
        <v>11200</v>
      </c>
    </row>
    <row r="774" customFormat="false" ht="15" hidden="false" customHeight="true" outlineLevel="0" collapsed="false">
      <c r="A774" s="9" t="s">
        <v>151</v>
      </c>
      <c r="B774" s="19"/>
      <c r="C774" s="16" t="n">
        <f aca="false">C743+C747+C753+C757+C765+C766+C773</f>
        <v>970361.399637757</v>
      </c>
      <c r="D774" s="19"/>
    </row>
    <row r="775" customFormat="false" ht="15" hidden="false" customHeight="true" outlineLevel="0" collapsed="false">
      <c r="A775" s="7"/>
      <c r="B775" s="7" t="s">
        <v>78</v>
      </c>
      <c r="C775" s="20" t="n">
        <f aca="false">C774/2217</f>
        <v>437.691204166783</v>
      </c>
      <c r="D775" s="7"/>
    </row>
    <row r="778" customFormat="false" ht="15" hidden="false" customHeight="true" outlineLevel="0" collapsed="false">
      <c r="A778" s="21" t="s">
        <v>172</v>
      </c>
    </row>
    <row r="779" customFormat="false" ht="15" hidden="false" customHeight="true" outlineLevel="0" collapsed="false">
      <c r="A779" s="3" t="s">
        <v>103</v>
      </c>
      <c r="B779" s="3" t="s">
        <v>104</v>
      </c>
      <c r="C779" s="3" t="s">
        <v>105</v>
      </c>
      <c r="D779" s="3" t="s">
        <v>106</v>
      </c>
    </row>
    <row r="780" customFormat="false" ht="15" hidden="false" customHeight="true" outlineLevel="0" collapsed="false">
      <c r="A780" s="18" t="s">
        <v>107</v>
      </c>
      <c r="B780" s="7" t="s">
        <v>108</v>
      </c>
      <c r="C780" s="14" t="n">
        <f aca="false">'Sticks &amp; Bricks Detail'!W56</f>
        <v>213313</v>
      </c>
      <c r="D780" s="7" t="s">
        <v>109</v>
      </c>
    </row>
    <row r="781" customFormat="false" ht="15" hidden="false" customHeight="true" outlineLevel="0" collapsed="false">
      <c r="A781" s="18" t="s">
        <v>110</v>
      </c>
      <c r="B781" s="7" t="s">
        <v>111</v>
      </c>
      <c r="C781" s="15" t="n">
        <v>0</v>
      </c>
      <c r="D781" s="7" t="s">
        <v>112</v>
      </c>
    </row>
    <row r="782" customFormat="false" ht="15" hidden="false" customHeight="true" outlineLevel="0" collapsed="false">
      <c r="A782" s="7"/>
      <c r="B782" s="7" t="s">
        <v>113</v>
      </c>
      <c r="C782" s="15" t="n">
        <v>0</v>
      </c>
      <c r="D782" s="7" t="s">
        <v>114</v>
      </c>
    </row>
    <row r="783" customFormat="false" ht="15" hidden="false" customHeight="true" outlineLevel="0" collapsed="false">
      <c r="A783" s="7"/>
      <c r="B783" s="7" t="s">
        <v>115</v>
      </c>
      <c r="C783" s="15" t="n">
        <v>0</v>
      </c>
      <c r="D783" s="7" t="s">
        <v>116</v>
      </c>
    </row>
    <row r="784" customFormat="false" ht="15" hidden="false" customHeight="true" outlineLevel="0" collapsed="false">
      <c r="A784" s="7"/>
      <c r="B784" s="18" t="s">
        <v>117</v>
      </c>
      <c r="C784" s="14" t="n">
        <f aca="false">SUM(C655:C657)</f>
        <v>30000</v>
      </c>
      <c r="D784" s="7"/>
    </row>
    <row r="785" customFormat="false" ht="15" hidden="false" customHeight="true" outlineLevel="0" collapsed="false">
      <c r="A785" s="18" t="s">
        <v>118</v>
      </c>
      <c r="B785" s="7" t="s">
        <v>119</v>
      </c>
      <c r="C785" s="15" t="n">
        <v>5000</v>
      </c>
      <c r="D785" s="7"/>
    </row>
    <row r="786" customFormat="false" ht="15" hidden="false" customHeight="true" outlineLevel="0" collapsed="false">
      <c r="A786" s="7"/>
      <c r="B786" s="7" t="s">
        <v>120</v>
      </c>
      <c r="C786" s="15" t="n">
        <v>3000</v>
      </c>
      <c r="D786" s="7"/>
    </row>
    <row r="787" customFormat="false" ht="15" hidden="false" customHeight="true" outlineLevel="0" collapsed="false">
      <c r="A787" s="7"/>
      <c r="B787" s="7" t="s">
        <v>121</v>
      </c>
      <c r="C787" s="15" t="n">
        <v>2500</v>
      </c>
      <c r="D787" s="7"/>
    </row>
    <row r="788" customFormat="false" ht="15" hidden="false" customHeight="true" outlineLevel="0" collapsed="false">
      <c r="A788" s="7"/>
      <c r="B788" s="7" t="s">
        <v>122</v>
      </c>
      <c r="C788" s="15" t="n">
        <v>3500</v>
      </c>
      <c r="D788" s="7"/>
    </row>
    <row r="789" customFormat="false" ht="15" hidden="false" customHeight="true" outlineLevel="0" collapsed="false">
      <c r="A789" s="7"/>
      <c r="B789" s="7" t="s">
        <v>123</v>
      </c>
      <c r="C789" s="15" t="n">
        <v>1000</v>
      </c>
      <c r="D789" s="7" t="s">
        <v>124</v>
      </c>
    </row>
    <row r="790" customFormat="false" ht="15" hidden="false" customHeight="true" outlineLevel="0" collapsed="false">
      <c r="A790" s="7"/>
      <c r="B790" s="18" t="s">
        <v>125</v>
      </c>
      <c r="C790" s="14" t="n">
        <f aca="false">SUM(C659:C663)</f>
        <v>863225.686613263</v>
      </c>
      <c r="D790" s="7"/>
    </row>
    <row r="791" customFormat="false" ht="15" hidden="false" customHeight="true" outlineLevel="0" collapsed="false">
      <c r="A791" s="18" t="s">
        <v>126</v>
      </c>
      <c r="B791" s="7" t="s">
        <v>127</v>
      </c>
      <c r="C791" s="15" t="n">
        <v>0</v>
      </c>
      <c r="D791" s="7"/>
    </row>
    <row r="792" customFormat="false" ht="15" hidden="false" customHeight="true" outlineLevel="0" collapsed="false">
      <c r="A792" s="7"/>
      <c r="B792" s="7" t="s">
        <v>128</v>
      </c>
      <c r="C792" s="15" t="n">
        <v>0</v>
      </c>
      <c r="D792" s="7"/>
    </row>
    <row r="793" customFormat="false" ht="15" hidden="false" customHeight="true" outlineLevel="0" collapsed="false">
      <c r="A793" s="7"/>
      <c r="B793" s="7" t="s">
        <v>129</v>
      </c>
      <c r="C793" s="15" t="n">
        <v>0</v>
      </c>
      <c r="D793" s="7"/>
    </row>
    <row r="794" customFormat="false" ht="15" hidden="false" customHeight="true" outlineLevel="0" collapsed="false">
      <c r="A794" s="7"/>
      <c r="B794" s="18" t="s">
        <v>130</v>
      </c>
      <c r="C794" s="14" t="n">
        <f aca="false">SUM(C665:C667)</f>
        <v>0</v>
      </c>
      <c r="D794" s="7"/>
    </row>
    <row r="795" customFormat="false" ht="15" hidden="false" customHeight="true" outlineLevel="0" collapsed="false">
      <c r="A795" s="18" t="s">
        <v>131</v>
      </c>
      <c r="B795" s="7" t="s">
        <v>132</v>
      </c>
      <c r="C795" s="15" t="n">
        <v>3500</v>
      </c>
      <c r="D795" s="7"/>
    </row>
    <row r="796" customFormat="false" ht="15" hidden="false" customHeight="true" outlineLevel="0" collapsed="false">
      <c r="A796" s="7"/>
      <c r="B796" s="7" t="s">
        <v>133</v>
      </c>
      <c r="C796" s="15" t="n">
        <v>2500</v>
      </c>
      <c r="D796" s="7"/>
    </row>
    <row r="797" customFormat="false" ht="15" hidden="false" customHeight="true" outlineLevel="0" collapsed="false">
      <c r="A797" s="7"/>
      <c r="B797" s="7" t="s">
        <v>134</v>
      </c>
      <c r="C797" s="15" t="n">
        <v>1500</v>
      </c>
      <c r="D797" s="7"/>
    </row>
    <row r="798" customFormat="false" ht="15" hidden="false" customHeight="true" outlineLevel="0" collapsed="false">
      <c r="A798" s="7"/>
      <c r="B798" s="7" t="s">
        <v>135</v>
      </c>
      <c r="C798" s="15" t="n">
        <v>1700</v>
      </c>
      <c r="D798" s="7"/>
    </row>
    <row r="799" customFormat="false" ht="15" hidden="false" customHeight="true" outlineLevel="0" collapsed="false">
      <c r="A799" s="7"/>
      <c r="B799" s="7" t="s">
        <v>136</v>
      </c>
      <c r="C799" s="15" t="n">
        <v>2000</v>
      </c>
      <c r="D799" s="7"/>
    </row>
    <row r="800" customFormat="false" ht="15" hidden="false" customHeight="true" outlineLevel="0" collapsed="false">
      <c r="A800" s="7"/>
      <c r="B800" s="7" t="s">
        <v>137</v>
      </c>
      <c r="C800" s="15" t="n">
        <v>1500</v>
      </c>
      <c r="D800" s="7"/>
    </row>
    <row r="801" customFormat="false" ht="15" hidden="false" customHeight="true" outlineLevel="0" collapsed="false">
      <c r="A801" s="7"/>
      <c r="B801" s="7" t="s">
        <v>123</v>
      </c>
      <c r="C801" s="15" t="n">
        <v>2300</v>
      </c>
      <c r="D801" s="7" t="s">
        <v>124</v>
      </c>
    </row>
    <row r="802" customFormat="false" ht="15" hidden="false" customHeight="true" outlineLevel="0" collapsed="false">
      <c r="A802" s="7"/>
      <c r="B802" s="18" t="s">
        <v>138</v>
      </c>
      <c r="C802" s="14" t="n">
        <f aca="false">SUM(C669:C675)</f>
        <v>2570199.86549002</v>
      </c>
      <c r="D802" s="7"/>
    </row>
    <row r="803" customFormat="false" ht="15" hidden="false" customHeight="true" outlineLevel="0" collapsed="false">
      <c r="A803" s="18" t="s">
        <v>139</v>
      </c>
      <c r="B803" s="7" t="s">
        <v>140</v>
      </c>
      <c r="C803" s="14" t="n">
        <f aca="false">MIN(10000,0.05*(C780+C784+C790+C794+C802))</f>
        <v>10000</v>
      </c>
      <c r="D803" s="7" t="s">
        <v>141</v>
      </c>
    </row>
    <row r="804" customFormat="false" ht="15" hidden="false" customHeight="true" outlineLevel="0" collapsed="false">
      <c r="A804" s="18" t="s">
        <v>142</v>
      </c>
      <c r="B804" s="7" t="s">
        <v>143</v>
      </c>
      <c r="C804" s="15" t="n">
        <v>15000</v>
      </c>
      <c r="D804" s="7" t="s">
        <v>144</v>
      </c>
    </row>
    <row r="805" customFormat="false" ht="15" hidden="false" customHeight="true" outlineLevel="0" collapsed="false">
      <c r="B805" s="1" t="s">
        <v>145</v>
      </c>
      <c r="C805" s="1" t="n">
        <v>5000</v>
      </c>
    </row>
    <row r="806" customFormat="false" ht="15" hidden="false" customHeight="true" outlineLevel="0" collapsed="false">
      <c r="B806" s="1" t="s">
        <v>146</v>
      </c>
      <c r="C806" s="1" t="n">
        <v>1500</v>
      </c>
    </row>
    <row r="807" customFormat="false" ht="15" hidden="false" customHeight="true" outlineLevel="0" collapsed="false">
      <c r="B807" s="1" t="s">
        <v>147</v>
      </c>
      <c r="C807" s="1" t="n">
        <v>1500</v>
      </c>
    </row>
    <row r="808" customFormat="false" ht="15" hidden="false" customHeight="true" outlineLevel="0" collapsed="false">
      <c r="B808" s="1" t="s">
        <v>148</v>
      </c>
      <c r="C808" s="1" t="n">
        <v>3500</v>
      </c>
    </row>
    <row r="809" customFormat="false" ht="15" hidden="false" customHeight="true" outlineLevel="0" collapsed="false">
      <c r="B809" s="1" t="s">
        <v>149</v>
      </c>
      <c r="C809" s="1" t="n">
        <v>3000</v>
      </c>
    </row>
    <row r="810" customFormat="false" ht="15" hidden="false" customHeight="true" outlineLevel="0" collapsed="false">
      <c r="B810" s="1" t="s">
        <v>150</v>
      </c>
      <c r="C810" s="1" t="n">
        <f aca="false">SUM(C678:C683)</f>
        <v>98119.5603274553</v>
      </c>
    </row>
    <row r="811" customFormat="false" ht="15" hidden="false" customHeight="true" outlineLevel="0" collapsed="false">
      <c r="A811" s="9" t="s">
        <v>151</v>
      </c>
      <c r="B811" s="19"/>
      <c r="C811" s="16" t="n">
        <f aca="false">C780+C784+C790+C794+C802+C803+C810</f>
        <v>3784858.11243074</v>
      </c>
      <c r="D811" s="19"/>
    </row>
    <row r="812" customFormat="false" ht="15" hidden="false" customHeight="true" outlineLevel="0" collapsed="false">
      <c r="A812" s="7"/>
      <c r="B812" s="7" t="s">
        <v>78</v>
      </c>
      <c r="C812" s="20" t="n">
        <f aca="false">C811/2771</f>
        <v>1365.88167175415</v>
      </c>
      <c r="D812" s="7"/>
    </row>
  </sheetData>
  <mergeCells count="21">
    <mergeCell ref="A1:D1"/>
    <mergeCell ref="A63:D63"/>
    <mergeCell ref="A94:D94"/>
    <mergeCell ref="A125:D125"/>
    <mergeCell ref="A156:D156"/>
    <mergeCell ref="A187:D187"/>
    <mergeCell ref="A218:D218"/>
    <mergeCell ref="A249:D249"/>
    <mergeCell ref="A280:D280"/>
    <mergeCell ref="A311:D311"/>
    <mergeCell ref="A342:D342"/>
    <mergeCell ref="A373:D373"/>
    <mergeCell ref="A404:D404"/>
    <mergeCell ref="A435:D435"/>
    <mergeCell ref="A466:D466"/>
    <mergeCell ref="A497:D497"/>
    <mergeCell ref="A528:D528"/>
    <mergeCell ref="A559:D559"/>
    <mergeCell ref="A590:D590"/>
    <mergeCell ref="A621:D621"/>
    <mergeCell ref="A652:D6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5"/>
  </cols>
  <sheetData>
    <row r="1" customFormat="false" ht="18" hidden="false" customHeight="true" outlineLevel="0" collapsed="false">
      <c r="A1" s="12" t="s">
        <v>173</v>
      </c>
      <c r="B1" s="12"/>
      <c r="C1" s="12"/>
      <c r="D1" s="12"/>
    </row>
    <row r="2" customFormat="false" ht="15" hidden="false" customHeight="true" outlineLevel="0" collapsed="false">
      <c r="A2" s="3" t="s">
        <v>174</v>
      </c>
      <c r="B2" s="3" t="s">
        <v>175</v>
      </c>
      <c r="C2" s="3" t="s">
        <v>176</v>
      </c>
      <c r="D2" s="3" t="s">
        <v>104</v>
      </c>
    </row>
    <row r="3" customFormat="false" ht="15" hidden="false" customHeight="true" outlineLevel="0" collapsed="false">
      <c r="A3" s="7" t="s">
        <v>177</v>
      </c>
      <c r="B3" s="7" t="s">
        <v>111</v>
      </c>
      <c r="C3" s="7" t="s">
        <v>178</v>
      </c>
      <c r="D3" s="7" t="s">
        <v>179</v>
      </c>
    </row>
    <row r="4" customFormat="false" ht="15" hidden="false" customHeight="true" outlineLevel="0" collapsed="false">
      <c r="A4" s="7" t="s">
        <v>177</v>
      </c>
      <c r="B4" s="7" t="s">
        <v>180</v>
      </c>
      <c r="C4" s="7" t="s">
        <v>181</v>
      </c>
      <c r="D4" s="7" t="s">
        <v>182</v>
      </c>
    </row>
    <row r="5" customFormat="false" ht="15" hidden="false" customHeight="true" outlineLevel="0" collapsed="false">
      <c r="A5" s="7" t="s">
        <v>177</v>
      </c>
      <c r="B5" s="7" t="s">
        <v>183</v>
      </c>
      <c r="C5" s="7" t="s">
        <v>181</v>
      </c>
      <c r="D5" s="7" t="s">
        <v>184</v>
      </c>
    </row>
    <row r="6" customFormat="false" ht="15" hidden="false" customHeight="true" outlineLevel="0" collapsed="false">
      <c r="A6" s="7" t="s">
        <v>185</v>
      </c>
      <c r="B6" s="7" t="s">
        <v>186</v>
      </c>
      <c r="C6" s="7" t="s">
        <v>187</v>
      </c>
      <c r="D6" s="7" t="s">
        <v>188</v>
      </c>
    </row>
    <row r="7" customFormat="false" ht="15" hidden="false" customHeight="true" outlineLevel="0" collapsed="false">
      <c r="A7" s="7" t="s">
        <v>185</v>
      </c>
      <c r="B7" s="7" t="s">
        <v>189</v>
      </c>
      <c r="C7" s="7" t="s">
        <v>190</v>
      </c>
      <c r="D7" s="7" t="s">
        <v>188</v>
      </c>
    </row>
    <row r="8" customFormat="false" ht="15" hidden="false" customHeight="true" outlineLevel="0" collapsed="false">
      <c r="A8" s="7" t="s">
        <v>185</v>
      </c>
      <c r="B8" s="7" t="s">
        <v>191</v>
      </c>
      <c r="C8" s="7" t="s">
        <v>192</v>
      </c>
      <c r="D8" s="7" t="s">
        <v>188</v>
      </c>
    </row>
    <row r="9" customFormat="false" ht="15" hidden="false" customHeight="true" outlineLevel="0" collapsed="false">
      <c r="A9" s="7" t="s">
        <v>185</v>
      </c>
      <c r="B9" s="7" t="s">
        <v>193</v>
      </c>
      <c r="C9" s="7" t="s">
        <v>194</v>
      </c>
      <c r="D9" s="7" t="s">
        <v>188</v>
      </c>
    </row>
    <row r="10" customFormat="false" ht="15" hidden="false" customHeight="true" outlineLevel="0" collapsed="false">
      <c r="A10" s="7" t="s">
        <v>195</v>
      </c>
      <c r="B10" s="7" t="s">
        <v>196</v>
      </c>
      <c r="C10" s="7" t="s">
        <v>197</v>
      </c>
      <c r="D10" s="7" t="s">
        <v>198</v>
      </c>
    </row>
    <row r="11" customFormat="false" ht="15" hidden="false" customHeight="true" outlineLevel="0" collapsed="false">
      <c r="A11" s="7" t="s">
        <v>195</v>
      </c>
      <c r="B11" s="7" t="s">
        <v>199</v>
      </c>
      <c r="C11" s="7" t="s">
        <v>200</v>
      </c>
      <c r="D11" s="7" t="s">
        <v>198</v>
      </c>
    </row>
    <row r="12" customFormat="false" ht="15" hidden="false" customHeight="true" outlineLevel="0" collapsed="false">
      <c r="A12" s="7" t="s">
        <v>195</v>
      </c>
      <c r="B12" s="7" t="s">
        <v>201</v>
      </c>
      <c r="C12" s="7" t="s">
        <v>202</v>
      </c>
      <c r="D12" s="7" t="s">
        <v>203</v>
      </c>
    </row>
    <row r="13" customFormat="false" ht="15" hidden="false" customHeight="true" outlineLevel="0" collapsed="false">
      <c r="A13" s="7" t="s">
        <v>195</v>
      </c>
      <c r="B13" s="7" t="s">
        <v>204</v>
      </c>
      <c r="C13" s="7" t="s">
        <v>205</v>
      </c>
      <c r="D13" s="7" t="s">
        <v>206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5" min="3" style="1" width="10"/>
    <col collapsed="false" customWidth="true" hidden="false" outlineLevel="0" max="7" min="6" style="1" width="8"/>
    <col collapsed="false" customWidth="true" hidden="false" outlineLevel="0" max="8" min="8" style="1" width="9"/>
    <col collapsed="false" customWidth="true" hidden="false" outlineLevel="0" max="9" min="9" style="1" width="14"/>
  </cols>
  <sheetData>
    <row r="1" customFormat="false" ht="18" hidden="false" customHeight="true" outlineLevel="0" collapsed="false">
      <c r="A1" s="12" t="s">
        <v>207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3" t="s">
        <v>80</v>
      </c>
      <c r="B2" s="3" t="s">
        <v>81</v>
      </c>
      <c r="C2" s="3" t="s">
        <v>208</v>
      </c>
      <c r="D2" s="3" t="s">
        <v>209</v>
      </c>
      <c r="E2" s="3" t="s">
        <v>83</v>
      </c>
      <c r="F2" s="3" t="s">
        <v>210</v>
      </c>
      <c r="G2" s="3" t="s">
        <v>211</v>
      </c>
      <c r="H2" s="3" t="s">
        <v>212</v>
      </c>
      <c r="I2" s="3" t="s">
        <v>213</v>
      </c>
    </row>
    <row r="3" customFormat="false" ht="15" hidden="false" customHeight="true" outlineLevel="0" collapsed="false">
      <c r="A3" s="7" t="s">
        <v>2</v>
      </c>
      <c r="B3" s="7" t="n">
        <v>1170</v>
      </c>
      <c r="C3" s="7" t="n">
        <v>3</v>
      </c>
      <c r="D3" s="7" t="n">
        <v>2</v>
      </c>
      <c r="E3" s="7" t="s">
        <v>93</v>
      </c>
      <c r="F3" s="7" t="s">
        <v>214</v>
      </c>
      <c r="G3" s="7" t="s">
        <v>215</v>
      </c>
      <c r="H3" s="7" t="n">
        <v>1</v>
      </c>
      <c r="I3" s="7" t="s">
        <v>216</v>
      </c>
    </row>
    <row r="4" customFormat="false" ht="15" hidden="false" customHeight="true" outlineLevel="0" collapsed="false">
      <c r="A4" s="7" t="s">
        <v>3</v>
      </c>
      <c r="B4" s="7" t="n">
        <v>1188</v>
      </c>
      <c r="C4" s="7" t="n">
        <v>3</v>
      </c>
      <c r="D4" s="7" t="n">
        <v>2</v>
      </c>
      <c r="E4" s="7" t="s">
        <v>94</v>
      </c>
      <c r="F4" s="7" t="s">
        <v>217</v>
      </c>
      <c r="G4" s="7" t="s">
        <v>218</v>
      </c>
      <c r="H4" s="7" t="n">
        <v>1</v>
      </c>
      <c r="I4" s="7" t="s">
        <v>216</v>
      </c>
    </row>
    <row r="5" customFormat="false" ht="15" hidden="false" customHeight="true" outlineLevel="0" collapsed="false">
      <c r="A5" s="7" t="s">
        <v>4</v>
      </c>
      <c r="B5" s="7" t="n">
        <v>1304</v>
      </c>
      <c r="C5" s="7" t="n">
        <v>3</v>
      </c>
      <c r="D5" s="7" t="n">
        <v>2.5</v>
      </c>
      <c r="E5" s="7" t="s">
        <v>96</v>
      </c>
      <c r="F5" s="7" t="s">
        <v>219</v>
      </c>
      <c r="G5" s="7" t="s">
        <v>220</v>
      </c>
      <c r="H5" s="7" t="n">
        <v>2</v>
      </c>
      <c r="I5" s="7" t="s">
        <v>221</v>
      </c>
    </row>
    <row r="6" customFormat="false" ht="15" hidden="false" customHeight="true" outlineLevel="0" collapsed="false">
      <c r="A6" s="7" t="s">
        <v>5</v>
      </c>
      <c r="B6" s="7" t="n">
        <v>1383</v>
      </c>
      <c r="C6" s="7" t="n">
        <v>3</v>
      </c>
      <c r="D6" s="7" t="n">
        <v>3</v>
      </c>
      <c r="E6" s="7" t="s">
        <v>93</v>
      </c>
      <c r="F6" s="7" t="s">
        <v>214</v>
      </c>
      <c r="G6" s="7" t="s">
        <v>222</v>
      </c>
      <c r="H6" s="7" t="n">
        <v>1.5</v>
      </c>
      <c r="I6" s="7" t="s">
        <v>216</v>
      </c>
    </row>
    <row r="7" customFormat="false" ht="15" hidden="false" customHeight="true" outlineLevel="0" collapsed="false">
      <c r="A7" s="7" t="s">
        <v>6</v>
      </c>
      <c r="B7" s="7" t="n">
        <v>1400</v>
      </c>
      <c r="C7" s="7" t="n">
        <v>3</v>
      </c>
      <c r="D7" s="7" t="n">
        <v>3</v>
      </c>
      <c r="E7" s="7" t="s">
        <v>94</v>
      </c>
      <c r="F7" s="7" t="s">
        <v>223</v>
      </c>
      <c r="G7" s="7" t="s">
        <v>224</v>
      </c>
      <c r="H7" s="7" t="n">
        <v>3</v>
      </c>
      <c r="I7" s="7" t="s">
        <v>216</v>
      </c>
    </row>
    <row r="8" customFormat="false" ht="15" hidden="false" customHeight="true" outlineLevel="0" collapsed="false">
      <c r="A8" s="7" t="s">
        <v>7</v>
      </c>
      <c r="B8" s="7" t="n">
        <v>1500</v>
      </c>
      <c r="C8" s="7" t="n">
        <v>3</v>
      </c>
      <c r="D8" s="7" t="n">
        <v>2.5</v>
      </c>
      <c r="E8" s="7" t="s">
        <v>93</v>
      </c>
      <c r="F8" s="7" t="s">
        <v>219</v>
      </c>
      <c r="G8" s="7" t="s">
        <v>225</v>
      </c>
      <c r="H8" s="7" t="n">
        <v>2</v>
      </c>
      <c r="I8" s="7" t="s">
        <v>221</v>
      </c>
    </row>
    <row r="9" customFormat="false" ht="15" hidden="false" customHeight="true" outlineLevel="0" collapsed="false">
      <c r="A9" s="7" t="s">
        <v>8</v>
      </c>
      <c r="B9" s="7" t="n">
        <v>1541</v>
      </c>
      <c r="C9" s="7" t="n">
        <v>3</v>
      </c>
      <c r="D9" s="7" t="n">
        <v>2.5</v>
      </c>
      <c r="E9" s="7" t="s">
        <v>94</v>
      </c>
      <c r="F9" s="7" t="s">
        <v>217</v>
      </c>
      <c r="G9" s="7" t="s">
        <v>218</v>
      </c>
      <c r="H9" s="7" t="n">
        <v>2</v>
      </c>
      <c r="I9" s="7" t="s">
        <v>216</v>
      </c>
    </row>
    <row r="10" customFormat="false" ht="15" hidden="false" customHeight="true" outlineLevel="0" collapsed="false">
      <c r="A10" s="7" t="s">
        <v>9</v>
      </c>
      <c r="B10" s="7" t="n">
        <v>1545</v>
      </c>
      <c r="C10" s="7" t="n">
        <v>3</v>
      </c>
      <c r="D10" s="7" t="n">
        <v>2</v>
      </c>
      <c r="E10" s="7" t="s">
        <v>94</v>
      </c>
      <c r="F10" s="7" t="s">
        <v>226</v>
      </c>
      <c r="G10" s="7" t="s">
        <v>227</v>
      </c>
      <c r="H10" s="7" t="n">
        <v>1</v>
      </c>
      <c r="I10" s="7" t="s">
        <v>216</v>
      </c>
    </row>
    <row r="11" customFormat="false" ht="15" hidden="false" customHeight="true" outlineLevel="0" collapsed="false">
      <c r="A11" s="7" t="s">
        <v>10</v>
      </c>
      <c r="B11" s="7" t="n">
        <v>1592</v>
      </c>
      <c r="C11" s="7" t="n">
        <v>3</v>
      </c>
      <c r="D11" s="7" t="n">
        <v>2.5</v>
      </c>
      <c r="E11" s="7" t="s">
        <v>96</v>
      </c>
      <c r="F11" s="7" t="s">
        <v>224</v>
      </c>
      <c r="G11" s="7" t="s">
        <v>228</v>
      </c>
      <c r="H11" s="7" t="n">
        <v>2</v>
      </c>
      <c r="I11" s="7" t="s">
        <v>216</v>
      </c>
    </row>
    <row r="12" customFormat="false" ht="15" hidden="false" customHeight="true" outlineLevel="0" collapsed="false">
      <c r="A12" s="7" t="s">
        <v>11</v>
      </c>
      <c r="B12" s="7" t="n">
        <v>1700</v>
      </c>
      <c r="C12" s="7" t="n">
        <v>3</v>
      </c>
      <c r="D12" s="7" t="n">
        <v>2.5</v>
      </c>
      <c r="E12" s="7" t="s">
        <v>93</v>
      </c>
      <c r="F12" s="7" t="s">
        <v>219</v>
      </c>
      <c r="G12" s="7" t="s">
        <v>215</v>
      </c>
      <c r="H12" s="7" t="n">
        <v>2</v>
      </c>
      <c r="I12" s="7" t="s">
        <v>221</v>
      </c>
    </row>
    <row r="13" customFormat="false" ht="15" hidden="false" customHeight="true" outlineLevel="0" collapsed="false">
      <c r="A13" s="7" t="s">
        <v>12</v>
      </c>
      <c r="B13" s="7" t="n">
        <v>1712</v>
      </c>
      <c r="C13" s="7" t="n">
        <v>4</v>
      </c>
      <c r="D13" s="7" t="n">
        <v>2.5</v>
      </c>
      <c r="E13" s="7" t="s">
        <v>94</v>
      </c>
      <c r="F13" s="7" t="s">
        <v>223</v>
      </c>
      <c r="G13" s="7" t="s">
        <v>229</v>
      </c>
      <c r="H13" s="7" t="n">
        <v>2</v>
      </c>
      <c r="I13" s="7" t="s">
        <v>216</v>
      </c>
    </row>
    <row r="14" customFormat="false" ht="15" hidden="false" customHeight="true" outlineLevel="0" collapsed="false">
      <c r="A14" s="7" t="s">
        <v>13</v>
      </c>
      <c r="B14" s="7" t="n">
        <v>1713</v>
      </c>
      <c r="C14" s="7" t="n">
        <v>4</v>
      </c>
      <c r="D14" s="7" t="n">
        <v>2.5</v>
      </c>
      <c r="E14" s="7" t="s">
        <v>94</v>
      </c>
      <c r="F14" s="7" t="s">
        <v>214</v>
      </c>
      <c r="G14" s="7" t="s">
        <v>230</v>
      </c>
      <c r="H14" s="7" t="n">
        <v>2</v>
      </c>
      <c r="I14" s="7" t="s">
        <v>216</v>
      </c>
    </row>
    <row r="15" customFormat="false" ht="15" hidden="false" customHeight="true" outlineLevel="0" collapsed="false">
      <c r="A15" s="7" t="s">
        <v>14</v>
      </c>
      <c r="B15" s="7" t="n">
        <v>1788</v>
      </c>
      <c r="C15" s="7" t="n">
        <v>3</v>
      </c>
      <c r="D15" s="7" t="n">
        <v>2.5</v>
      </c>
      <c r="E15" s="7" t="s">
        <v>94</v>
      </c>
      <c r="F15" s="7" t="s">
        <v>214</v>
      </c>
      <c r="G15" s="7" t="s">
        <v>230</v>
      </c>
      <c r="H15" s="7" t="n">
        <v>2</v>
      </c>
      <c r="I15" s="7" t="s">
        <v>216</v>
      </c>
    </row>
    <row r="16" customFormat="false" ht="15" hidden="false" customHeight="true" outlineLevel="0" collapsed="false">
      <c r="A16" s="7" t="s">
        <v>15</v>
      </c>
      <c r="B16" s="7" t="n">
        <v>1798</v>
      </c>
      <c r="C16" s="7" t="n">
        <v>3</v>
      </c>
      <c r="D16" s="7" t="n">
        <v>3.5</v>
      </c>
      <c r="E16" s="7" t="s">
        <v>93</v>
      </c>
      <c r="F16" s="7" t="s">
        <v>231</v>
      </c>
      <c r="G16" s="7" t="s">
        <v>232</v>
      </c>
      <c r="H16" s="7" t="n">
        <v>3</v>
      </c>
      <c r="I16" s="7" t="s">
        <v>221</v>
      </c>
    </row>
    <row r="17" customFormat="false" ht="15" hidden="false" customHeight="true" outlineLevel="0" collapsed="false">
      <c r="A17" s="7" t="s">
        <v>16</v>
      </c>
      <c r="B17" s="7" t="n">
        <v>1857</v>
      </c>
      <c r="C17" s="7" t="n">
        <v>4</v>
      </c>
      <c r="D17" s="7" t="n">
        <v>2.5</v>
      </c>
      <c r="E17" s="7" t="s">
        <v>93</v>
      </c>
      <c r="F17" s="7" t="s">
        <v>214</v>
      </c>
      <c r="G17" s="7" t="s">
        <v>232</v>
      </c>
      <c r="H17" s="7" t="n">
        <v>2</v>
      </c>
      <c r="I17" s="7" t="s">
        <v>216</v>
      </c>
    </row>
    <row r="18" customFormat="false" ht="15" hidden="false" customHeight="true" outlineLevel="0" collapsed="false">
      <c r="A18" s="7" t="s">
        <v>17</v>
      </c>
      <c r="B18" s="7" t="n">
        <v>2000</v>
      </c>
      <c r="C18" s="7" t="n">
        <v>4</v>
      </c>
      <c r="D18" s="7" t="n">
        <v>2.5</v>
      </c>
      <c r="E18" s="7" t="s">
        <v>94</v>
      </c>
      <c r="F18" s="7" t="s">
        <v>217</v>
      </c>
      <c r="G18" s="7" t="s">
        <v>233</v>
      </c>
      <c r="H18" s="7" t="n">
        <v>2</v>
      </c>
      <c r="I18" s="7" t="s">
        <v>216</v>
      </c>
    </row>
    <row r="19" customFormat="false" ht="15" hidden="false" customHeight="true" outlineLevel="0" collapsed="false">
      <c r="A19" s="7" t="s">
        <v>18</v>
      </c>
      <c r="B19" s="7" t="n">
        <v>2005</v>
      </c>
      <c r="C19" s="7" t="n">
        <v>4</v>
      </c>
      <c r="D19" s="7" t="n">
        <v>2.5</v>
      </c>
      <c r="E19" s="7" t="s">
        <v>94</v>
      </c>
      <c r="F19" s="7" t="s">
        <v>234</v>
      </c>
      <c r="G19" s="7" t="s">
        <v>229</v>
      </c>
      <c r="H19" s="7" t="n">
        <v>2</v>
      </c>
      <c r="I19" s="7" t="s">
        <v>216</v>
      </c>
    </row>
    <row r="20" customFormat="false" ht="15" hidden="false" customHeight="true" outlineLevel="0" collapsed="false">
      <c r="A20" s="7" t="s">
        <v>19</v>
      </c>
      <c r="B20" s="7" t="n">
        <v>2072</v>
      </c>
      <c r="C20" s="7" t="n">
        <v>4</v>
      </c>
      <c r="D20" s="7" t="n">
        <v>3.5</v>
      </c>
      <c r="E20" s="7" t="s">
        <v>94</v>
      </c>
      <c r="F20" s="7" t="s">
        <v>224</v>
      </c>
      <c r="G20" s="7" t="s">
        <v>235</v>
      </c>
      <c r="H20" s="7" t="n">
        <v>3</v>
      </c>
      <c r="I20" s="7" t="s">
        <v>221</v>
      </c>
    </row>
    <row r="21" customFormat="false" ht="15" hidden="false" customHeight="true" outlineLevel="0" collapsed="false">
      <c r="A21" s="7" t="s">
        <v>20</v>
      </c>
      <c r="B21" s="7" t="n">
        <v>2157</v>
      </c>
      <c r="C21" s="7" t="n">
        <v>4</v>
      </c>
      <c r="D21" s="7" t="n">
        <v>3.5</v>
      </c>
      <c r="E21" s="7" t="s">
        <v>94</v>
      </c>
      <c r="F21" s="7" t="s">
        <v>214</v>
      </c>
      <c r="G21" s="7" t="s">
        <v>230</v>
      </c>
      <c r="H21" s="7" t="n">
        <v>3</v>
      </c>
      <c r="I21" s="7" t="s">
        <v>216</v>
      </c>
    </row>
    <row r="22" customFormat="false" ht="15" hidden="false" customHeight="true" outlineLevel="0" collapsed="false">
      <c r="A22" s="7" t="s">
        <v>21</v>
      </c>
      <c r="B22" s="7" t="n">
        <v>2214</v>
      </c>
      <c r="C22" s="7" t="n">
        <v>4</v>
      </c>
      <c r="D22" s="7" t="n">
        <v>3</v>
      </c>
      <c r="E22" s="7" t="s">
        <v>94</v>
      </c>
      <c r="F22" s="7" t="s">
        <v>234</v>
      </c>
      <c r="G22" s="7" t="s">
        <v>234</v>
      </c>
      <c r="H22" s="7" t="n">
        <v>2</v>
      </c>
      <c r="I22" s="7" t="s">
        <v>216</v>
      </c>
    </row>
    <row r="23" customFormat="false" ht="15" hidden="false" customHeight="true" outlineLevel="0" collapsed="false">
      <c r="A23" s="7" t="s">
        <v>22</v>
      </c>
      <c r="B23" s="7" t="n">
        <v>2217</v>
      </c>
      <c r="C23" s="7" t="n">
        <v>4</v>
      </c>
      <c r="D23" s="7" t="n">
        <v>3</v>
      </c>
      <c r="E23" s="7" t="s">
        <v>94</v>
      </c>
      <c r="F23" s="7" t="s">
        <v>234</v>
      </c>
      <c r="G23" s="7" t="s">
        <v>232</v>
      </c>
      <c r="H23" s="7" t="n">
        <v>2</v>
      </c>
      <c r="I23" s="7" t="s">
        <v>216</v>
      </c>
    </row>
    <row r="24" customFormat="false" ht="15" hidden="false" customHeight="true" outlineLevel="0" collapsed="false">
      <c r="A24" s="7" t="s">
        <v>23</v>
      </c>
      <c r="B24" s="7" t="n">
        <v>2771</v>
      </c>
      <c r="C24" s="7" t="n">
        <v>4</v>
      </c>
      <c r="D24" s="7" t="n">
        <v>3</v>
      </c>
      <c r="E24" s="7" t="s">
        <v>94</v>
      </c>
      <c r="F24" s="7" t="s">
        <v>234</v>
      </c>
      <c r="G24" s="7" t="s">
        <v>232</v>
      </c>
      <c r="H24" s="7" t="n">
        <v>2</v>
      </c>
      <c r="I24" s="7" t="s">
        <v>216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5"/>
  </cols>
  <sheetData>
    <row r="1" customFormat="false" ht="15.75" hidden="false" customHeight="true" outlineLevel="0" collapsed="false">
      <c r="A1" s="24" t="s">
        <v>236</v>
      </c>
      <c r="B1" s="24"/>
    </row>
    <row r="2" customFormat="false" ht="15" hidden="false" customHeight="true" outlineLevel="0" collapsed="false">
      <c r="A2" s="1" t="s">
        <v>237</v>
      </c>
    </row>
    <row r="3" customFormat="false" ht="15" hidden="false" customHeight="true" outlineLevel="0" collapsed="false">
      <c r="A3" s="1" t="s">
        <v>238</v>
      </c>
    </row>
    <row r="4" customFormat="false" ht="15" hidden="false" customHeight="true" outlineLevel="0" collapsed="false">
      <c r="A4" s="1" t="s">
        <v>239</v>
      </c>
    </row>
    <row r="5" customFormat="false" ht="15" hidden="false" customHeight="true" outlineLevel="0" collapsed="false">
      <c r="A5" s="1" t="s">
        <v>240</v>
      </c>
    </row>
    <row r="6" customFormat="false" ht="15" hidden="false" customHeight="true" outlineLevel="0" collapsed="false">
      <c r="A6" s="1" t="s">
        <v>241</v>
      </c>
    </row>
    <row r="7" customFormat="false" ht="15" hidden="false" customHeight="true" outlineLevel="0" collapsed="false">
      <c r="A7" s="1" t="s">
        <v>242</v>
      </c>
    </row>
    <row r="8" customFormat="false" ht="15" hidden="false" customHeight="true" outlineLevel="0" collapsed="false">
      <c r="A8" s="1" t="s">
        <v>243</v>
      </c>
    </row>
    <row r="9" customFormat="false" ht="15" hidden="false" customHeight="true" outlineLevel="0" collapsed="false">
      <c r="A9" s="1" t="s">
        <v>244</v>
      </c>
    </row>
    <row r="10" customFormat="false" ht="15" hidden="false" customHeight="true" outlineLevel="0" collapsed="false">
      <c r="A10" s="1" t="s">
        <v>245</v>
      </c>
    </row>
    <row r="11" customFormat="false" ht="15" hidden="false" customHeight="true" outlineLevel="0" collapsed="false">
      <c r="A11" s="1" t="s">
        <v>246</v>
      </c>
    </row>
    <row r="12" customFormat="false" ht="15" hidden="false" customHeight="true" outlineLevel="0" collapsed="false">
      <c r="A12" s="1" t="s">
        <v>247</v>
      </c>
    </row>
    <row r="13" customFormat="false" ht="15" hidden="false" customHeight="true" outlineLevel="0" collapsed="false">
      <c r="A13" s="1" t="s">
        <v>248</v>
      </c>
    </row>
    <row r="14" customFormat="false" ht="15" hidden="false" customHeight="true" outlineLevel="0" collapsed="false">
      <c r="A14" s="1" t="s">
        <v>249</v>
      </c>
    </row>
    <row r="17" customFormat="false" ht="15.75" hidden="false" customHeight="true" outlineLevel="0" collapsed="false">
      <c r="A17" s="25" t="s">
        <v>250</v>
      </c>
    </row>
    <row r="18" customFormat="false" ht="15" hidden="false" customHeight="true" outlineLevel="0" collapsed="false">
      <c r="A18" s="1" t="s">
        <v>251</v>
      </c>
    </row>
    <row r="19" customFormat="false" ht="15" hidden="false" customHeight="true" outlineLevel="0" collapsed="false">
      <c r="A19" s="1" t="s">
        <v>252</v>
      </c>
    </row>
    <row r="20" customFormat="false" ht="15" hidden="false" customHeight="true" outlineLevel="0" collapsed="false">
      <c r="A20" s="1" t="s">
        <v>253</v>
      </c>
    </row>
    <row r="21" customFormat="false" ht="15" hidden="false" customHeight="true" outlineLevel="0" collapsed="false">
      <c r="A21" s="1" t="s">
        <v>254</v>
      </c>
    </row>
    <row r="22" customFormat="false" ht="15" hidden="false" customHeight="true" outlineLevel="0" collapsed="false">
      <c r="A22" s="1" t="s">
        <v>255</v>
      </c>
    </row>
    <row r="23" customFormat="false" ht="15" hidden="false" customHeight="true" outlineLevel="0" collapsed="false">
      <c r="A23" s="1" t="s">
        <v>256</v>
      </c>
    </row>
    <row r="24" customFormat="false" ht="15" hidden="false" customHeight="true" outlineLevel="0" collapsed="false">
      <c r="A24" s="1" t="s">
        <v>257</v>
      </c>
    </row>
    <row r="25" customFormat="false" ht="15" hidden="false" customHeight="true" outlineLevel="0" collapsed="false">
      <c r="A25" s="1" t="s">
        <v>258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2026-01-01T18:18:46Z</dcterms:created>
  <dc:creator>openpyxl</dc:creator>
  <dc:description/>
  <dc:language>en-US</dc:language>
  <cp:lastModifiedBy/>
  <dcterms:modified xsi:type="dcterms:W3CDTF">2026-02-20T08:44:58Z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