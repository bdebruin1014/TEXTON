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vanrockre.sharepoint.com/sites/VRCorp/Shared Documents/Development Projects/Open/12--Aiken-Rutland-Horizontal Development/04 Budget/"/>
    </mc:Choice>
  </mc:AlternateContent>
  <xr:revisionPtr revIDLastSave="0" documentId="8_{F0A1A2FB-7032-495A-8B9A-4F12842F1450}" xr6:coauthVersionLast="47" xr6:coauthVersionMax="47" xr10:uidLastSave="{00000000-0000-0000-0000-000000000000}"/>
  <bookViews>
    <workbookView xWindow="-120" yWindow="-120" windowWidth="29040" windowHeight="15720" firstSheet="1" activeTab="1" xr2:uid="{8A06324B-D878-4456-B007-A933AC7AAFE9}"/>
  </bookViews>
  <sheets>
    <sheet name="List" sheetId="1" r:id="rId1"/>
    <sheet name="Sheet2" sheetId="4" r:id="rId2"/>
    <sheet name="Sheet1" sheetId="3" r:id="rId3"/>
    <sheet name="Current Invoices" sheetId="2" r:id="rId4"/>
  </sheets>
  <definedNames>
    <definedName name="_xlnm.Print_Area" localSheetId="1">Sheet2!$A$1:$E$30</definedName>
  </definedNames>
  <calcPr calcId="191028" iterateCount="25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4" l="1"/>
  <c r="H84" i="1"/>
  <c r="H81" i="1"/>
  <c r="I5" i="2" l="1"/>
  <c r="H51" i="2"/>
  <c r="H50" i="2"/>
  <c r="H49" i="2"/>
  <c r="G49" i="2"/>
  <c r="I43" i="2"/>
  <c r="I41" i="2"/>
  <c r="I39" i="2"/>
  <c r="I37" i="2"/>
  <c r="I35" i="2"/>
  <c r="I33" i="2"/>
  <c r="I29" i="2"/>
  <c r="I25" i="2"/>
  <c r="I23" i="2"/>
  <c r="I15" i="2"/>
  <c r="I9" i="2"/>
  <c r="I7" i="2"/>
  <c r="I3" i="2"/>
  <c r="I49" i="2" s="1"/>
  <c r="H67" i="1"/>
  <c r="H66" i="1"/>
  <c r="I37" i="1"/>
  <c r="I41" i="1"/>
  <c r="I9" i="1"/>
  <c r="I39" i="1"/>
  <c r="G65" i="1"/>
  <c r="H65" i="1"/>
  <c r="I33" i="1"/>
  <c r="I35" i="1"/>
  <c r="I43" i="1"/>
  <c r="I23" i="1"/>
  <c r="I5" i="1"/>
  <c r="I15" i="1"/>
  <c r="I7" i="1"/>
  <c r="I25" i="1"/>
  <c r="I29" i="1"/>
  <c r="I3" i="1"/>
  <c r="I65" i="1" l="1"/>
</calcChain>
</file>

<file path=xl/sharedStrings.xml><?xml version="1.0" encoding="utf-8"?>
<sst xmlns="http://schemas.openxmlformats.org/spreadsheetml/2006/main" count="281" uniqueCount="102">
  <si>
    <t>Invoice Date</t>
  </si>
  <si>
    <t>Paid</t>
  </si>
  <si>
    <t>Invoice #</t>
  </si>
  <si>
    <t>Vendor Name-Notes</t>
  </si>
  <si>
    <t>Paid By:</t>
  </si>
  <si>
    <t>Progress</t>
  </si>
  <si>
    <t>Planned</t>
  </si>
  <si>
    <t>Actual Paid</t>
  </si>
  <si>
    <t>Balance</t>
  </si>
  <si>
    <t>05.01.2024</t>
  </si>
  <si>
    <t>Yes</t>
  </si>
  <si>
    <t>EMD</t>
  </si>
  <si>
    <t>VanRock</t>
  </si>
  <si>
    <t>07.01.2024</t>
  </si>
  <si>
    <t>VP Riverside-Traffic Study Reimb</t>
  </si>
  <si>
    <t>7.15.2024</t>
  </si>
  <si>
    <t>VP Riverside-Rezoning Application Fee</t>
  </si>
  <si>
    <t>9.18.2024</t>
  </si>
  <si>
    <t>TIA Study-Resdential Portion-paid on 12.06.2024</t>
  </si>
  <si>
    <t>VRC</t>
  </si>
  <si>
    <t>10.30.2024</t>
  </si>
  <si>
    <t>Civil Engineering-58574</t>
  </si>
  <si>
    <t>Combined</t>
  </si>
  <si>
    <t>Arun/Rahul</t>
  </si>
  <si>
    <t>10.31.2024</t>
  </si>
  <si>
    <t>VP Riverside-Civil Engineering-57940--Cranston Invoice</t>
  </si>
  <si>
    <t>11.22.2024</t>
  </si>
  <si>
    <t>Civil Engineering-58804</t>
  </si>
  <si>
    <t>12.05.2024</t>
  </si>
  <si>
    <t>MP</t>
  </si>
  <si>
    <t>Payment to VP Riverside</t>
  </si>
  <si>
    <t>12.31.2024</t>
  </si>
  <si>
    <t>Civil Engineering-58960</t>
  </si>
  <si>
    <t>12.10.2024</t>
  </si>
  <si>
    <t>No</t>
  </si>
  <si>
    <t>Civil Engineering-59177</t>
  </si>
  <si>
    <t>01.16.2025</t>
  </si>
  <si>
    <t>Civil Engineering-59411</t>
  </si>
  <si>
    <t>2.11.2025</t>
  </si>
  <si>
    <t>Civil Engineering-59591</t>
  </si>
  <si>
    <t>3.5.2025</t>
  </si>
  <si>
    <t>N/A</t>
  </si>
  <si>
    <t>Attorney charges for sewer easement, title search &amp; recording fee</t>
  </si>
  <si>
    <t>Sewer Easement</t>
  </si>
  <si>
    <t>3.27.25</t>
  </si>
  <si>
    <t>Payment of $500 (short from $25,500 payment)</t>
  </si>
  <si>
    <t>3.11.2025</t>
  </si>
  <si>
    <t>Civil Engineering-59735</t>
  </si>
  <si>
    <t>3.05.2025</t>
  </si>
  <si>
    <t>Cranston Enginnering</t>
  </si>
  <si>
    <t>Total</t>
  </si>
  <si>
    <t>Total VanRock</t>
  </si>
  <si>
    <t>Total Arun &amp; Raul</t>
  </si>
  <si>
    <t xml:space="preserve">Date </t>
  </si>
  <si>
    <t>Vendor</t>
  </si>
  <si>
    <t>Paid By</t>
  </si>
  <si>
    <t>Amount</t>
  </si>
  <si>
    <t>Notes</t>
  </si>
  <si>
    <t>Cranston Engineering</t>
  </si>
  <si>
    <t>Closing to VP Riverside</t>
  </si>
  <si>
    <t>Terra Equities</t>
  </si>
  <si>
    <t>Rutland Partners LLC</t>
  </si>
  <si>
    <t>VanRock Holdings</t>
  </si>
  <si>
    <t>Payoff to VP Riverside</t>
  </si>
  <si>
    <t>Payment to WakeField Group - Brokerage</t>
  </si>
  <si>
    <t>Cranston Engineering $4063.50?</t>
  </si>
  <si>
    <t>sent to A/P</t>
  </si>
  <si>
    <t>Out of scope labor - Project Manager I (same invoice)</t>
  </si>
  <si>
    <t>Aiken Rutland Seller Carryback Note</t>
  </si>
  <si>
    <t>Item</t>
  </si>
  <si>
    <t>Term Start</t>
  </si>
  <si>
    <t>Maturity</t>
  </si>
  <si>
    <t>Interest Rate</t>
  </si>
  <si>
    <t>Principal</t>
  </si>
  <si>
    <t>Annual</t>
  </si>
  <si>
    <t>Daily Per Diem</t>
  </si>
  <si>
    <t>Payment 1</t>
  </si>
  <si>
    <t xml:space="preserve">Payment 1 Date </t>
  </si>
  <si>
    <t>Payment 1 Amount</t>
  </si>
  <si>
    <t>Payment 1 Accrued Days</t>
  </si>
  <si>
    <t>Accrued Interest 9/3/2025 Amount</t>
  </si>
  <si>
    <t>Total Owed 9/3/2025</t>
  </si>
  <si>
    <t>Less 9/3 Payment</t>
  </si>
  <si>
    <t>Payment 2</t>
  </si>
  <si>
    <t>Principal Remaining</t>
  </si>
  <si>
    <t>Payment 2 Date</t>
  </si>
  <si>
    <t>Accrued Interest 9/3 to 9/9 Days</t>
  </si>
  <si>
    <t>Accrued Interest Amount</t>
  </si>
  <si>
    <t>Remaining Amount Owed</t>
  </si>
  <si>
    <t>Remaining P&amp;I Balance</t>
  </si>
  <si>
    <t>Payment 3</t>
  </si>
  <si>
    <t>Remaining Balance</t>
  </si>
  <si>
    <t>Payment 4 - Outstanding</t>
  </si>
  <si>
    <t>Transaction History for Rutland Place (Aiken Project)</t>
  </si>
  <si>
    <t>As part of our request for a $1.5 million draw at closing, below is a compiled, sorted, and cleaned-up transaction history showing the payments made thus far for the project. This includes all confirmed paid transactions from the provided data, organized chronologically for clarity. Only payments marked as "Yes" from the initial dataset were included, along with the additional transactions listed (all assumed paid based on context and past dates as of October 3, 2025).</t>
  </si>
  <si>
    <t>Date</t>
  </si>
  <si>
    <t>Invoice</t>
  </si>
  <si>
    <t>Paid_by</t>
  </si>
  <si>
    <t>Total Paid to Date</t>
  </si>
  <si>
    <t>Totals by Paid By</t>
  </si>
  <si>
    <t>Grand Total Paid: $3,058,839.19</t>
  </si>
  <si>
    <t>Please let us know if you need any additional details or clarification. We look forward to your approval of the $1.5 million draw.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</si>
</sst>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11">
    <font>
      <sz val="10"/>
      <color indexed="8"/>
      <name val="Arial"/>
    </font>
    <font>
      <sz val="10"/>
      <color indexed="8"/>
      <name val="Arial"/>
      <family val="2"/>
    </font>
    <font>
      <b/>
      <sz val="10"/>
      <color indexed="8"/>
      <name val="Arial"/>
      <family val="2"/>
    </font>
    <font>
      <sz val="10"/>
      <color indexed="8"/>
      <name val="Arial"/>
      <family val="2"/>
    </font>
    <font>
      <b/>
      <sz val="11"/>
      <color indexed="8"/>
      <name val="Arial"/>
      <family val="2"/>
    </font>
    <font>
      <sz val="11"/>
      <color indexed="8"/>
      <name val="Arial"/>
      <family val="2"/>
    </font>
    <font>
      <b/>
      <sz val="11"/>
      <color rgb="FF000000"/>
      <name val="Aptos Narrow"/>
      <family val="2"/>
    </font>
    <font>
      <sz val="11"/>
      <color rgb="FF000000"/>
      <name val="Aptos Narrow"/>
      <family val="2"/>
    </font>
    <font>
      <sz val="11"/>
      <color rgb="FFFF0000"/>
      <name val="Aptos Narrow"/>
      <family val="2"/>
    </font>
    <font>
      <b/>
      <sz val="18"/>
      <color indexed="8"/>
      <name val="Arial"/>
      <family val="2"/>
    </font>
    <font>
      <b/>
      <sz val="13.5"/>
      <color indexed="8"/>
      <name val="Arial"/>
      <family val="2"/>
    </font>
  </fonts>
  <fills count="8">
    <fill>
      <patternFill patternType="none"/>
    </fill>
    <fill>
      <patternFill patternType="gray125"/>
    </fill>
    <fill>
      <patternFill patternType="solid">
        <fgColor theme="3" tint="0.89999084444715716"/>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1" tint="0.34998626667073579"/>
        <bgColor indexed="64"/>
      </patternFill>
    </fill>
    <fill>
      <patternFill patternType="solid">
        <fgColor rgb="FFD9D9D9"/>
        <bgColor rgb="FFD9D9D9"/>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pplyFill="0" applyProtection="0"/>
    <xf numFmtId="44" fontId="3" fillId="0" borderId="0" applyFont="0" applyFill="0" applyBorder="0" applyAlignment="0" applyProtection="0"/>
  </cellStyleXfs>
  <cellXfs count="132">
    <xf numFmtId="0" fontId="0" fillId="0" borderId="0" xfId="0" applyFill="1" applyProtection="1"/>
    <xf numFmtId="0" fontId="0" fillId="0" borderId="0" xfId="0" applyFill="1" applyAlignment="1" applyProtection="1">
      <alignment horizontal="center"/>
    </xf>
    <xf numFmtId="0" fontId="0" fillId="0" borderId="0" xfId="0" applyFill="1" applyAlignment="1" applyProtection="1">
      <alignment horizontal="left"/>
    </xf>
    <xf numFmtId="0" fontId="0" fillId="0" borderId="1" xfId="0" applyFill="1" applyBorder="1" applyAlignment="1" applyProtection="1">
      <alignment horizontal="left"/>
    </xf>
    <xf numFmtId="0" fontId="0" fillId="0" borderId="1" xfId="0" applyFill="1" applyBorder="1" applyAlignment="1" applyProtection="1">
      <alignment horizontal="center"/>
    </xf>
    <xf numFmtId="0" fontId="0" fillId="0" borderId="1" xfId="0" applyFill="1" applyBorder="1" applyProtection="1"/>
    <xf numFmtId="0" fontId="1" fillId="0" borderId="1" xfId="0" applyFont="1" applyFill="1" applyBorder="1" applyAlignment="1" applyProtection="1">
      <alignment horizontal="left"/>
    </xf>
    <xf numFmtId="9" fontId="0" fillId="0" borderId="1" xfId="0" applyNumberFormat="1" applyFill="1" applyBorder="1" applyProtection="1"/>
    <xf numFmtId="8" fontId="0" fillId="0" borderId="1" xfId="0" applyNumberFormat="1" applyFill="1" applyBorder="1" applyProtection="1"/>
    <xf numFmtId="0" fontId="1" fillId="0" borderId="1" xfId="0" applyFont="1" applyFill="1" applyBorder="1" applyAlignment="1" applyProtection="1">
      <alignment wrapText="1"/>
    </xf>
    <xf numFmtId="0" fontId="0" fillId="2" borderId="1" xfId="0" applyFill="1" applyBorder="1" applyAlignment="1" applyProtection="1">
      <alignment horizontal="left"/>
    </xf>
    <xf numFmtId="0" fontId="0" fillId="2" borderId="1" xfId="0" applyFill="1" applyBorder="1" applyAlignment="1" applyProtection="1">
      <alignment horizontal="center"/>
    </xf>
    <xf numFmtId="0" fontId="0" fillId="2" borderId="1" xfId="0" applyFill="1" applyBorder="1" applyProtection="1"/>
    <xf numFmtId="9" fontId="0" fillId="2" borderId="1" xfId="0" applyNumberFormat="1" applyFill="1" applyBorder="1" applyProtection="1"/>
    <xf numFmtId="8" fontId="0" fillId="2" borderId="1" xfId="0" applyNumberFormat="1" applyFill="1" applyBorder="1" applyProtection="1"/>
    <xf numFmtId="0" fontId="1" fillId="2" borderId="1" xfId="0" applyFont="1" applyFill="1" applyBorder="1" applyProtection="1"/>
    <xf numFmtId="0" fontId="1" fillId="0" borderId="1" xfId="0" applyFont="1" applyFill="1" applyBorder="1" applyProtection="1"/>
    <xf numFmtId="0" fontId="1" fillId="2" borderId="1" xfId="0" applyFont="1" applyFill="1" applyBorder="1" applyAlignment="1" applyProtection="1">
      <alignment horizontal="left"/>
    </xf>
    <xf numFmtId="0" fontId="1" fillId="3" borderId="1" xfId="0" applyFont="1" applyFill="1" applyBorder="1" applyAlignment="1" applyProtection="1">
      <alignment horizontal="left"/>
    </xf>
    <xf numFmtId="0" fontId="0" fillId="3" borderId="1" xfId="0" applyFill="1" applyBorder="1" applyAlignment="1" applyProtection="1">
      <alignment horizontal="center"/>
    </xf>
    <xf numFmtId="0" fontId="1" fillId="3" borderId="1" xfId="0" applyFont="1" applyFill="1" applyBorder="1" applyProtection="1"/>
    <xf numFmtId="9" fontId="0" fillId="3" borderId="1" xfId="0" applyNumberFormat="1" applyFill="1" applyBorder="1" applyProtection="1"/>
    <xf numFmtId="8" fontId="0" fillId="3" borderId="1" xfId="0" applyNumberFormat="1" applyFill="1" applyBorder="1" applyProtection="1"/>
    <xf numFmtId="0" fontId="0" fillId="3" borderId="0" xfId="0" applyFill="1" applyProtection="1"/>
    <xf numFmtId="0" fontId="0" fillId="3" borderId="1" xfId="0" applyFill="1" applyBorder="1" applyProtection="1"/>
    <xf numFmtId="10" fontId="0" fillId="3" borderId="1" xfId="0" applyNumberFormat="1" applyFill="1" applyBorder="1" applyProtection="1"/>
    <xf numFmtId="0" fontId="0" fillId="4" borderId="1" xfId="0" applyFill="1" applyBorder="1" applyProtection="1"/>
    <xf numFmtId="0" fontId="1" fillId="4" borderId="1" xfId="0" applyFont="1" applyFill="1" applyBorder="1" applyAlignment="1" applyProtection="1">
      <alignment horizontal="left"/>
    </xf>
    <xf numFmtId="0" fontId="0" fillId="4" borderId="1" xfId="0" applyFill="1" applyBorder="1" applyAlignment="1" applyProtection="1">
      <alignment horizontal="center"/>
    </xf>
    <xf numFmtId="9" fontId="0" fillId="4" borderId="1" xfId="0" applyNumberFormat="1" applyFill="1" applyBorder="1" applyProtection="1"/>
    <xf numFmtId="8" fontId="0" fillId="4" borderId="1" xfId="0" applyNumberFormat="1" applyFill="1" applyBorder="1" applyProtection="1"/>
    <xf numFmtId="0" fontId="1" fillId="2" borderId="1" xfId="0" applyFont="1" applyFill="1" applyBorder="1" applyAlignment="1" applyProtection="1">
      <alignment horizontal="center"/>
    </xf>
    <xf numFmtId="0" fontId="0" fillId="3" borderId="1" xfId="0" applyFill="1" applyBorder="1" applyAlignment="1" applyProtection="1">
      <alignment horizontal="left"/>
    </xf>
    <xf numFmtId="0" fontId="1" fillId="4" borderId="1" xfId="0" applyFont="1" applyFill="1" applyBorder="1" applyProtection="1"/>
    <xf numFmtId="0" fontId="0" fillId="5" borderId="1" xfId="0" applyFill="1" applyBorder="1" applyAlignment="1" applyProtection="1">
      <alignment horizontal="left"/>
    </xf>
    <xf numFmtId="0" fontId="0" fillId="5" borderId="1" xfId="0" applyFill="1" applyBorder="1" applyAlignment="1" applyProtection="1">
      <alignment horizontal="center"/>
    </xf>
    <xf numFmtId="0" fontId="0" fillId="5" borderId="1" xfId="0" applyFill="1" applyBorder="1" applyProtection="1"/>
    <xf numFmtId="0" fontId="1" fillId="5" borderId="1" xfId="0" applyFont="1" applyFill="1" applyBorder="1" applyAlignment="1" applyProtection="1">
      <alignment horizontal="left"/>
    </xf>
    <xf numFmtId="0" fontId="1" fillId="5" borderId="1" xfId="0" applyFont="1" applyFill="1" applyBorder="1" applyAlignment="1" applyProtection="1">
      <alignment horizontal="center"/>
    </xf>
    <xf numFmtId="0" fontId="1" fillId="5" borderId="1" xfId="0" applyFont="1" applyFill="1" applyBorder="1" applyProtection="1"/>
    <xf numFmtId="44" fontId="0" fillId="0" borderId="1" xfId="1" applyFont="1" applyFill="1" applyBorder="1" applyProtection="1"/>
    <xf numFmtId="44" fontId="0" fillId="2" borderId="1" xfId="1" applyFont="1" applyFill="1" applyBorder="1" applyProtection="1"/>
    <xf numFmtId="44" fontId="0" fillId="3" borderId="1" xfId="1" applyFont="1" applyFill="1" applyBorder="1" applyProtection="1"/>
    <xf numFmtId="44" fontId="0" fillId="4" borderId="1" xfId="1" applyFont="1" applyFill="1" applyBorder="1" applyProtection="1"/>
    <xf numFmtId="44" fontId="0" fillId="0" borderId="0" xfId="1" applyFont="1" applyFill="1" applyProtection="1"/>
    <xf numFmtId="9" fontId="0" fillId="5" borderId="1" xfId="0" applyNumberFormat="1" applyFill="1" applyBorder="1" applyProtection="1"/>
    <xf numFmtId="44" fontId="0" fillId="5" borderId="1" xfId="1" applyFont="1" applyFill="1" applyBorder="1" applyProtection="1"/>
    <xf numFmtId="8" fontId="0" fillId="5" borderId="1" xfId="0" applyNumberFormat="1" applyFill="1" applyBorder="1" applyProtection="1"/>
    <xf numFmtId="0" fontId="1" fillId="6" borderId="1" xfId="0" applyFont="1" applyFill="1" applyBorder="1" applyAlignment="1" applyProtection="1">
      <alignment horizontal="left"/>
    </xf>
    <xf numFmtId="0" fontId="1" fillId="6" borderId="1" xfId="0" applyFont="1" applyFill="1" applyBorder="1" applyAlignment="1" applyProtection="1">
      <alignment horizontal="center"/>
    </xf>
    <xf numFmtId="0" fontId="0" fillId="6" borderId="1" xfId="0" applyFill="1" applyBorder="1" applyAlignment="1" applyProtection="1">
      <alignment horizontal="center"/>
    </xf>
    <xf numFmtId="0" fontId="0" fillId="6" borderId="1" xfId="0" applyFill="1" applyBorder="1" applyProtection="1"/>
    <xf numFmtId="44" fontId="0" fillId="6" borderId="1" xfId="1" applyFont="1" applyFill="1" applyBorder="1" applyProtection="1"/>
    <xf numFmtId="8" fontId="0" fillId="6" borderId="1" xfId="0" applyNumberFormat="1" applyFill="1" applyBorder="1" applyProtection="1"/>
    <xf numFmtId="44" fontId="4" fillId="5" borderId="1" xfId="1" applyFont="1" applyFill="1" applyBorder="1" applyProtection="1"/>
    <xf numFmtId="8" fontId="4" fillId="5" borderId="1" xfId="0" applyNumberFormat="1" applyFont="1" applyFill="1" applyBorder="1" applyProtection="1"/>
    <xf numFmtId="44" fontId="4" fillId="2" borderId="1" xfId="1" applyFont="1" applyFill="1" applyBorder="1" applyProtection="1"/>
    <xf numFmtId="8" fontId="4" fillId="2" borderId="1" xfId="0" applyNumberFormat="1" applyFont="1" applyFill="1" applyBorder="1" applyProtection="1"/>
    <xf numFmtId="44" fontId="4" fillId="4" borderId="1" xfId="1" applyFont="1" applyFill="1" applyBorder="1" applyProtection="1"/>
    <xf numFmtId="44" fontId="4" fillId="4" borderId="1" xfId="0" applyNumberFormat="1" applyFont="1" applyFill="1" applyBorder="1" applyProtection="1"/>
    <xf numFmtId="8" fontId="4" fillId="4" borderId="1" xfId="0" applyNumberFormat="1" applyFont="1" applyFill="1" applyBorder="1" applyProtection="1"/>
    <xf numFmtId="0" fontId="1" fillId="3" borderId="1" xfId="0" applyFont="1" applyFill="1" applyBorder="1" applyAlignment="1" applyProtection="1">
      <alignment horizontal="center"/>
    </xf>
    <xf numFmtId="9" fontId="2" fillId="5" borderId="1" xfId="0" applyNumberFormat="1" applyFont="1" applyFill="1" applyBorder="1" applyProtection="1"/>
    <xf numFmtId="9" fontId="2" fillId="3" borderId="1" xfId="0" applyNumberFormat="1" applyFont="1" applyFill="1" applyBorder="1" applyProtection="1"/>
    <xf numFmtId="0" fontId="4" fillId="0" borderId="1" xfId="0" applyFont="1" applyFill="1" applyBorder="1" applyAlignment="1" applyProtection="1">
      <alignment horizontal="left"/>
    </xf>
    <xf numFmtId="0" fontId="4" fillId="0" borderId="1" xfId="0" applyFont="1" applyFill="1" applyBorder="1" applyAlignment="1" applyProtection="1">
      <alignment horizontal="center"/>
    </xf>
    <xf numFmtId="44" fontId="4" fillId="0" borderId="1" xfId="1" applyFont="1" applyFill="1" applyBorder="1" applyAlignment="1" applyProtection="1">
      <alignment horizontal="left"/>
    </xf>
    <xf numFmtId="0" fontId="5" fillId="0" borderId="0" xfId="0" applyFont="1" applyFill="1" applyProtection="1"/>
    <xf numFmtId="0" fontId="1" fillId="0" borderId="1" xfId="0" applyFont="1" applyFill="1" applyBorder="1" applyAlignment="1" applyProtection="1">
      <alignment horizontal="center"/>
    </xf>
    <xf numFmtId="9" fontId="2" fillId="0" borderId="1" xfId="0" applyNumberFormat="1" applyFont="1" applyFill="1" applyBorder="1" applyProtection="1"/>
    <xf numFmtId="9" fontId="2" fillId="4" borderId="1" xfId="0" applyNumberFormat="1" applyFont="1" applyFill="1" applyBorder="1" applyProtection="1"/>
    <xf numFmtId="14" fontId="1" fillId="3" borderId="1" xfId="0" applyNumberFormat="1" applyFont="1" applyFill="1" applyBorder="1" applyAlignment="1" applyProtection="1">
      <alignment horizontal="left"/>
    </xf>
    <xf numFmtId="14" fontId="1" fillId="2" borderId="1" xfId="0" applyNumberFormat="1" applyFont="1" applyFill="1" applyBorder="1" applyAlignment="1" applyProtection="1">
      <alignment horizontal="left"/>
    </xf>
    <xf numFmtId="14" fontId="1" fillId="0" borderId="1" xfId="0" applyNumberFormat="1" applyFont="1" applyFill="1" applyBorder="1" applyAlignment="1" applyProtection="1">
      <alignment horizontal="left"/>
    </xf>
    <xf numFmtId="14" fontId="0" fillId="0" borderId="1" xfId="0" applyNumberFormat="1" applyFill="1" applyBorder="1" applyAlignment="1" applyProtection="1">
      <alignment horizontal="left"/>
    </xf>
    <xf numFmtId="10" fontId="0" fillId="0" borderId="1" xfId="0" applyNumberFormat="1" applyFill="1" applyBorder="1" applyProtection="1"/>
    <xf numFmtId="44" fontId="4" fillId="0" borderId="1" xfId="1" applyFont="1" applyFill="1" applyBorder="1" applyProtection="1"/>
    <xf numFmtId="8" fontId="4" fillId="0" borderId="1" xfId="0" applyNumberFormat="1" applyFont="1" applyFill="1" applyBorder="1" applyProtection="1"/>
    <xf numFmtId="44" fontId="4" fillId="0" borderId="1" xfId="0" applyNumberFormat="1" applyFont="1" applyFill="1" applyBorder="1" applyProtection="1"/>
    <xf numFmtId="44" fontId="0" fillId="0" borderId="1" xfId="0" applyNumberFormat="1" applyFill="1" applyBorder="1" applyProtection="1"/>
    <xf numFmtId="0" fontId="1" fillId="0" borderId="0" xfId="0" applyFont="1" applyFill="1" applyAlignment="1" applyProtection="1">
      <alignment horizontal="left"/>
    </xf>
    <xf numFmtId="0" fontId="1" fillId="0" borderId="0" xfId="0" applyFont="1" applyFill="1" applyAlignment="1" applyProtection="1">
      <alignment horizontal="center"/>
    </xf>
    <xf numFmtId="0" fontId="1" fillId="0" borderId="0" xfId="0" applyFont="1" applyFill="1" applyProtection="1"/>
    <xf numFmtId="14" fontId="0" fillId="0" borderId="0" xfId="0" applyNumberFormat="1" applyFill="1" applyAlignment="1" applyProtection="1">
      <alignment horizontal="left"/>
    </xf>
    <xf numFmtId="0" fontId="0" fillId="0" borderId="2" xfId="0" applyFill="1" applyBorder="1" applyProtection="1"/>
    <xf numFmtId="9" fontId="2" fillId="0" borderId="3" xfId="0" applyNumberFormat="1" applyFont="1" applyFill="1" applyBorder="1" applyProtection="1"/>
    <xf numFmtId="0" fontId="1" fillId="3" borderId="0" xfId="0" applyFont="1" applyFill="1" applyProtection="1"/>
    <xf numFmtId="0" fontId="6" fillId="0" borderId="0" xfId="0" applyFont="1" applyFill="1" applyProtection="1"/>
    <xf numFmtId="0" fontId="6" fillId="0" borderId="0" xfId="0" applyFont="1" applyFill="1" applyAlignment="1" applyProtection="1">
      <alignment horizontal="right"/>
    </xf>
    <xf numFmtId="0" fontId="7" fillId="7" borderId="0" xfId="0" applyFont="1" applyFill="1" applyProtection="1"/>
    <xf numFmtId="14" fontId="7" fillId="7" borderId="0" xfId="0" applyNumberFormat="1" applyFont="1" applyFill="1" applyAlignment="1" applyProtection="1">
      <alignment horizontal="right"/>
    </xf>
    <xf numFmtId="0" fontId="7" fillId="0" borderId="0" xfId="0" applyFont="1" applyFill="1" applyProtection="1"/>
    <xf numFmtId="14" fontId="7" fillId="0" borderId="0" xfId="0" applyNumberFormat="1" applyFont="1" applyFill="1" applyAlignment="1" applyProtection="1">
      <alignment horizontal="right"/>
    </xf>
    <xf numFmtId="9" fontId="7" fillId="7" borderId="0" xfId="0" applyNumberFormat="1" applyFont="1" applyFill="1" applyAlignment="1" applyProtection="1">
      <alignment horizontal="right"/>
    </xf>
    <xf numFmtId="0" fontId="7" fillId="0" borderId="0" xfId="0" applyFont="1" applyFill="1" applyAlignment="1" applyProtection="1">
      <alignment horizontal="left"/>
    </xf>
    <xf numFmtId="8" fontId="7" fillId="0" borderId="0" xfId="0" applyNumberFormat="1" applyFont="1" applyFill="1" applyAlignment="1" applyProtection="1">
      <alignment horizontal="right"/>
    </xf>
    <xf numFmtId="8" fontId="7" fillId="7" borderId="0" xfId="0" applyNumberFormat="1" applyFont="1" applyFill="1" applyAlignment="1" applyProtection="1">
      <alignment horizontal="right"/>
    </xf>
    <xf numFmtId="14" fontId="7" fillId="7" borderId="0" xfId="0" applyNumberFormat="1" applyFont="1" applyFill="1" applyProtection="1"/>
    <xf numFmtId="6" fontId="7" fillId="0" borderId="0" xfId="0" applyNumberFormat="1" applyFont="1" applyFill="1" applyProtection="1"/>
    <xf numFmtId="8" fontId="7" fillId="0" borderId="0" xfId="0" applyNumberFormat="1" applyFont="1" applyFill="1" applyProtection="1"/>
    <xf numFmtId="8" fontId="7" fillId="7" borderId="0" xfId="0" applyNumberFormat="1" applyFont="1" applyFill="1" applyProtection="1"/>
    <xf numFmtId="14" fontId="7" fillId="0" borderId="0" xfId="0" applyNumberFormat="1" applyFont="1" applyFill="1" applyProtection="1"/>
    <xf numFmtId="8" fontId="6" fillId="7" borderId="0" xfId="0" applyNumberFormat="1" applyFont="1" applyFill="1" applyProtection="1"/>
    <xf numFmtId="8" fontId="6" fillId="0" borderId="0" xfId="0" applyNumberFormat="1" applyFont="1" applyFill="1" applyProtection="1"/>
    <xf numFmtId="8" fontId="8" fillId="0" borderId="0" xfId="0" applyNumberFormat="1" applyFont="1" applyFill="1" applyProtection="1"/>
    <xf numFmtId="8" fontId="0" fillId="0" borderId="0" xfId="1" applyNumberFormat="1" applyFont="1" applyFill="1" applyProtection="1"/>
    <xf numFmtId="44" fontId="2" fillId="0" borderId="0" xfId="1" applyFont="1" applyFill="1" applyProtection="1"/>
    <xf numFmtId="0" fontId="0" fillId="0" borderId="0" xfId="0" applyFill="1" applyAlignment="1" applyProtection="1">
      <alignment horizontal="left" vertical="center" wrapText="1"/>
    </xf>
    <xf numFmtId="0" fontId="2" fillId="0" borderId="0" xfId="0" applyFont="1" applyFill="1" applyAlignment="1" applyProtection="1">
      <alignment horizontal="left" vertical="center" wrapText="1"/>
    </xf>
    <xf numFmtId="0" fontId="2" fillId="0" borderId="0" xfId="0" applyFont="1" applyFill="1" applyAlignment="1" applyProtection="1">
      <alignment horizontal="right" vertical="center" wrapText="1"/>
    </xf>
    <xf numFmtId="14" fontId="1" fillId="0" borderId="0" xfId="0" applyNumberFormat="1" applyFont="1" applyFill="1" applyAlignment="1" applyProtection="1">
      <alignment horizontal="left" vertical="center" wrapText="1"/>
    </xf>
    <xf numFmtId="0" fontId="1" fillId="0" borderId="0" xfId="0" applyFont="1" applyFill="1" applyAlignment="1" applyProtection="1">
      <alignment horizontal="left" vertical="center" wrapText="1"/>
    </xf>
    <xf numFmtId="0" fontId="10" fillId="0" borderId="0" xfId="0" applyFont="1" applyFill="1" applyAlignment="1" applyProtection="1">
      <alignment vertical="center"/>
    </xf>
    <xf numFmtId="0" fontId="0" fillId="0" borderId="0" xfId="0" applyFill="1" applyAlignment="1" applyProtection="1">
      <alignment wrapText="1"/>
    </xf>
    <xf numFmtId="44" fontId="2" fillId="0" borderId="0" xfId="1" applyFont="1" applyFill="1" applyAlignment="1" applyProtection="1">
      <alignment horizontal="right" vertical="center" wrapText="1"/>
    </xf>
    <xf numFmtId="44" fontId="1" fillId="0" borderId="0" xfId="1" applyFont="1" applyFill="1" applyAlignment="1" applyProtection="1">
      <alignment horizontal="right" vertical="center" wrapText="1"/>
    </xf>
    <xf numFmtId="0" fontId="6" fillId="0" borderId="0" xfId="0" applyFont="1" applyFill="1" applyAlignment="1" applyProtection="1">
      <alignment horizontal="center"/>
    </xf>
    <xf numFmtId="0" fontId="4" fillId="5" borderId="2" xfId="0" applyFont="1" applyFill="1" applyBorder="1" applyAlignment="1" applyProtection="1">
      <alignment horizontal="center"/>
    </xf>
    <xf numFmtId="0" fontId="4" fillId="5" borderId="3" xfId="0" applyFont="1" applyFill="1" applyBorder="1" applyAlignment="1" applyProtection="1">
      <alignment horizontal="center"/>
    </xf>
    <xf numFmtId="0" fontId="4" fillId="2" borderId="2" xfId="0" applyFont="1" applyFill="1" applyBorder="1" applyAlignment="1" applyProtection="1">
      <alignment horizontal="center"/>
    </xf>
    <xf numFmtId="0" fontId="4" fillId="2" borderId="3" xfId="0" applyFont="1" applyFill="1" applyBorder="1" applyAlignment="1" applyProtection="1">
      <alignment horizontal="center"/>
    </xf>
    <xf numFmtId="0" fontId="4" fillId="4" borderId="2" xfId="0" applyFont="1" applyFill="1" applyBorder="1" applyAlignment="1" applyProtection="1">
      <alignment horizontal="center"/>
    </xf>
    <xf numFmtId="0" fontId="4" fillId="4" borderId="3" xfId="0" applyFont="1" applyFill="1" applyBorder="1" applyAlignment="1" applyProtection="1">
      <alignment horizontal="center"/>
    </xf>
    <xf numFmtId="0" fontId="0" fillId="6" borderId="2" xfId="0" applyFill="1" applyBorder="1" applyAlignment="1" applyProtection="1">
      <alignment horizontal="center"/>
    </xf>
    <xf numFmtId="0" fontId="0" fillId="6" borderId="3" xfId="0" applyFill="1" applyBorder="1" applyAlignment="1" applyProtection="1">
      <alignment horizontal="center"/>
    </xf>
    <xf numFmtId="0" fontId="1" fillId="0" borderId="0" xfId="0" applyFont="1" applyFill="1" applyAlignment="1" applyProtection="1">
      <alignment horizontal="center" wrapText="1"/>
    </xf>
    <xf numFmtId="0" fontId="10" fillId="0" borderId="0" xfId="0" applyFont="1" applyFill="1" applyAlignment="1" applyProtection="1">
      <alignment horizontal="center" vertical="center"/>
    </xf>
    <xf numFmtId="0" fontId="9" fillId="0" borderId="0" xfId="0" applyFont="1" applyFill="1" applyAlignment="1" applyProtection="1">
      <alignment horizontal="center" vertical="center"/>
    </xf>
    <xf numFmtId="0" fontId="0" fillId="0" borderId="2" xfId="0" applyFill="1" applyBorder="1" applyAlignment="1" applyProtection="1">
      <alignment horizontal="center"/>
    </xf>
    <xf numFmtId="0" fontId="0" fillId="0" borderId="3" xfId="0" applyFill="1" applyBorder="1" applyAlignment="1" applyProtection="1">
      <alignment horizontal="center"/>
    </xf>
    <xf numFmtId="0" fontId="4" fillId="0" borderId="2" xfId="0" applyFont="1" applyFill="1" applyBorder="1" applyAlignment="1" applyProtection="1">
      <alignment horizontal="center"/>
    </xf>
    <xf numFmtId="0" fontId="4" fillId="0" borderId="3" xfId="0" applyFont="1" applyFill="1" applyBorder="1" applyAlignment="1" applyProtection="1">
      <alignment horizontal="center"/>
    </xf>
  </cellXfs>
  <cellStyles count="2">
    <cellStyle name="Currency" xfId="1" builtinId="4"/>
    <cellStyle name="Normal" xfId="0" builtinId="0"/>
  </cellStyles>
  <dxfs count="7">
    <dxf>
      <font>
        <b val="0"/>
        <i val="0"/>
        <strike val="0"/>
        <condense val="0"/>
        <extend val="0"/>
        <outline val="0"/>
        <shadow val="0"/>
        <u val="none"/>
        <vertAlign val="baseline"/>
        <sz val="10"/>
        <color indexed="8"/>
        <name val="Arial"/>
        <family val="2"/>
        <scheme val="none"/>
      </font>
      <fill>
        <patternFill patternType="none">
          <fgColor indexed="64"/>
          <bgColor indexed="65"/>
        </patternFill>
      </fill>
      <alignment horizontal="right" vertical="center" textRotation="0" wrapText="1" indent="0" justifyLastLine="0" shrinkToFit="0" readingOrder="0"/>
      <protection locked="1" hidden="0"/>
    </dxf>
    <dxf>
      <font>
        <b val="0"/>
        <i val="0"/>
        <strike val="0"/>
        <condense val="0"/>
        <extend val="0"/>
        <outline val="0"/>
        <shadow val="0"/>
        <u val="none"/>
        <vertAlign val="baseline"/>
        <sz val="10"/>
        <color indexed="8"/>
        <name val="Arial"/>
        <family val="2"/>
        <scheme val="none"/>
      </font>
      <fill>
        <patternFill patternType="none">
          <fgColor indexed="64"/>
          <bgColor indexed="65"/>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0"/>
        <color indexed="8"/>
        <name val="Arial"/>
        <family val="2"/>
        <scheme val="none"/>
      </font>
      <fill>
        <patternFill patternType="none">
          <fgColor indexed="64"/>
          <bgColor indexed="65"/>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0"/>
        <color indexed="8"/>
        <name val="Arial"/>
        <family val="2"/>
        <scheme val="none"/>
      </font>
      <fill>
        <patternFill patternType="none">
          <fgColor indexed="64"/>
          <bgColor indexed="65"/>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0"/>
        <color indexed="8"/>
        <name val="Arial"/>
        <family val="2"/>
        <scheme val="none"/>
      </font>
      <numFmt numFmtId="19" formatCode="m/d/yyyy"/>
      <fill>
        <patternFill patternType="none">
          <fgColor indexed="64"/>
          <bgColor indexed="65"/>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0"/>
        <color indexed="8"/>
        <name val="Arial"/>
        <family val="2"/>
        <scheme val="none"/>
      </font>
      <fill>
        <patternFill patternType="none">
          <fgColor indexed="64"/>
          <bgColor indexed="65"/>
        </patternFill>
      </fill>
      <alignment horizontal="left" vertical="center" textRotation="0" wrapText="1" indent="0" justifyLastLine="0" shrinkToFit="0" readingOrder="0"/>
      <protection locked="1" hidden="0"/>
    </dxf>
    <dxf>
      <font>
        <b/>
        <i val="0"/>
        <strike val="0"/>
        <condense val="0"/>
        <extend val="0"/>
        <outline val="0"/>
        <shadow val="0"/>
        <u val="none"/>
        <vertAlign val="baseline"/>
        <sz val="10"/>
        <color indexed="8"/>
        <name val="Arial"/>
        <family val="2"/>
        <scheme val="none"/>
      </font>
      <fill>
        <patternFill patternType="none">
          <fgColor indexed="64"/>
          <bgColor indexed="65"/>
        </patternFill>
      </fill>
      <alignment horizontal="left" vertical="center" textRotation="0" wrapText="1"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9</xdr:col>
      <xdr:colOff>85725</xdr:colOff>
      <xdr:row>35</xdr:row>
      <xdr:rowOff>104775</xdr:rowOff>
    </xdr:from>
    <xdr:to>
      <xdr:col>20</xdr:col>
      <xdr:colOff>67945</xdr:colOff>
      <xdr:row>59</xdr:row>
      <xdr:rowOff>554</xdr:rowOff>
    </xdr:to>
    <xdr:pic>
      <xdr:nvPicPr>
        <xdr:cNvPr id="2" name="Picture 1">
          <a:extLst>
            <a:ext uri="{FF2B5EF4-FFF2-40B4-BE49-F238E27FC236}">
              <a16:creationId xmlns:a16="http://schemas.microsoft.com/office/drawing/2014/main" id="{33AC0C78-3A95-DA0A-4BB7-EE8AA51E411E}"/>
            </a:ext>
          </a:extLst>
        </xdr:cNvPr>
        <xdr:cNvPicPr>
          <a:picLocks noChangeAspect="1"/>
        </xdr:cNvPicPr>
      </xdr:nvPicPr>
      <xdr:blipFill>
        <a:blip xmlns:r="http://schemas.openxmlformats.org/officeDocument/2006/relationships" r:embed="rId1"/>
        <a:stretch>
          <a:fillRect/>
        </a:stretch>
      </xdr:blipFill>
      <xdr:spPr>
        <a:xfrm>
          <a:off x="11477625" y="5800725"/>
          <a:ext cx="6687820" cy="39724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106491</xdr:colOff>
      <xdr:row>11</xdr:row>
      <xdr:rowOff>143144</xdr:rowOff>
    </xdr:to>
    <xdr:pic>
      <xdr:nvPicPr>
        <xdr:cNvPr id="2" name="Picture 1">
          <a:extLst>
            <a:ext uri="{FF2B5EF4-FFF2-40B4-BE49-F238E27FC236}">
              <a16:creationId xmlns:a16="http://schemas.microsoft.com/office/drawing/2014/main" id="{476DE761-3800-53CF-EA57-6832A974D978}"/>
            </a:ext>
          </a:extLst>
        </xdr:cNvPr>
        <xdr:cNvPicPr>
          <a:picLocks noChangeAspect="1"/>
        </xdr:cNvPicPr>
      </xdr:nvPicPr>
      <xdr:blipFill>
        <a:blip xmlns:r="http://schemas.openxmlformats.org/officeDocument/2006/relationships" r:embed="rId1"/>
        <a:stretch>
          <a:fillRect/>
        </a:stretch>
      </xdr:blipFill>
      <xdr:spPr>
        <a:xfrm>
          <a:off x="0" y="0"/>
          <a:ext cx="12298491" cy="1924319"/>
        </a:xfrm>
        <a:prstGeom prst="rect">
          <a:avLst/>
        </a:prstGeom>
      </xdr:spPr>
    </xdr:pic>
    <xdr:clientData/>
  </xdr:twoCellAnchor>
  <xdr:twoCellAnchor editAs="oneCell">
    <xdr:from>
      <xdr:col>0</xdr:col>
      <xdr:colOff>0</xdr:colOff>
      <xdr:row>15</xdr:row>
      <xdr:rowOff>0</xdr:rowOff>
    </xdr:from>
    <xdr:to>
      <xdr:col>20</xdr:col>
      <xdr:colOff>287492</xdr:colOff>
      <xdr:row>43</xdr:row>
      <xdr:rowOff>76843</xdr:rowOff>
    </xdr:to>
    <xdr:pic>
      <xdr:nvPicPr>
        <xdr:cNvPr id="3" name="Picture 2">
          <a:extLst>
            <a:ext uri="{FF2B5EF4-FFF2-40B4-BE49-F238E27FC236}">
              <a16:creationId xmlns:a16="http://schemas.microsoft.com/office/drawing/2014/main" id="{00B635DE-4485-629D-8631-C416865C969C}"/>
            </a:ext>
          </a:extLst>
        </xdr:cNvPr>
        <xdr:cNvPicPr>
          <a:picLocks noChangeAspect="1"/>
        </xdr:cNvPicPr>
      </xdr:nvPicPr>
      <xdr:blipFill>
        <a:blip xmlns:r="http://schemas.openxmlformats.org/officeDocument/2006/relationships" r:embed="rId2"/>
        <a:stretch>
          <a:fillRect/>
        </a:stretch>
      </xdr:blipFill>
      <xdr:spPr>
        <a:xfrm>
          <a:off x="0" y="2428875"/>
          <a:ext cx="12479492" cy="4610743"/>
        </a:xfrm>
        <a:prstGeom prst="rect">
          <a:avLst/>
        </a:prstGeom>
      </xdr:spPr>
    </xdr:pic>
    <xdr:clientData/>
  </xdr:twoCellAnchor>
  <xdr:twoCellAnchor editAs="oneCell">
    <xdr:from>
      <xdr:col>0</xdr:col>
      <xdr:colOff>0</xdr:colOff>
      <xdr:row>46</xdr:row>
      <xdr:rowOff>0</xdr:rowOff>
    </xdr:from>
    <xdr:to>
      <xdr:col>20</xdr:col>
      <xdr:colOff>49333</xdr:colOff>
      <xdr:row>70</xdr:row>
      <xdr:rowOff>57700</xdr:rowOff>
    </xdr:to>
    <xdr:pic>
      <xdr:nvPicPr>
        <xdr:cNvPr id="4" name="Picture 3">
          <a:extLst>
            <a:ext uri="{FF2B5EF4-FFF2-40B4-BE49-F238E27FC236}">
              <a16:creationId xmlns:a16="http://schemas.microsoft.com/office/drawing/2014/main" id="{24E65FF7-BD43-8587-A40D-F79AAEB95CBA}"/>
            </a:ext>
          </a:extLst>
        </xdr:cNvPr>
        <xdr:cNvPicPr>
          <a:picLocks noChangeAspect="1"/>
        </xdr:cNvPicPr>
      </xdr:nvPicPr>
      <xdr:blipFill>
        <a:blip xmlns:r="http://schemas.openxmlformats.org/officeDocument/2006/relationships" r:embed="rId3"/>
        <a:stretch>
          <a:fillRect/>
        </a:stretch>
      </xdr:blipFill>
      <xdr:spPr>
        <a:xfrm>
          <a:off x="0" y="7448550"/>
          <a:ext cx="12241333" cy="3943900"/>
        </a:xfrm>
        <a:prstGeom prst="rect">
          <a:avLst/>
        </a:prstGeom>
      </xdr:spPr>
    </xdr:pic>
    <xdr:clientData/>
  </xdr:twoCellAnchor>
  <xdr:twoCellAnchor editAs="oneCell">
    <xdr:from>
      <xdr:col>0</xdr:col>
      <xdr:colOff>0</xdr:colOff>
      <xdr:row>72</xdr:row>
      <xdr:rowOff>0</xdr:rowOff>
    </xdr:from>
    <xdr:to>
      <xdr:col>21</xdr:col>
      <xdr:colOff>58945</xdr:colOff>
      <xdr:row>90</xdr:row>
      <xdr:rowOff>133775</xdr:rowOff>
    </xdr:to>
    <xdr:pic>
      <xdr:nvPicPr>
        <xdr:cNvPr id="5" name="Picture 4">
          <a:extLst>
            <a:ext uri="{FF2B5EF4-FFF2-40B4-BE49-F238E27FC236}">
              <a16:creationId xmlns:a16="http://schemas.microsoft.com/office/drawing/2014/main" id="{5CCE534B-9331-D54A-5ADB-C266CED41DAB}"/>
            </a:ext>
          </a:extLst>
        </xdr:cNvPr>
        <xdr:cNvPicPr>
          <a:picLocks noChangeAspect="1"/>
        </xdr:cNvPicPr>
      </xdr:nvPicPr>
      <xdr:blipFill>
        <a:blip xmlns:r="http://schemas.openxmlformats.org/officeDocument/2006/relationships" r:embed="rId4"/>
        <a:stretch>
          <a:fillRect/>
        </a:stretch>
      </xdr:blipFill>
      <xdr:spPr>
        <a:xfrm>
          <a:off x="0" y="11658600"/>
          <a:ext cx="12860545" cy="3048425"/>
        </a:xfrm>
        <a:prstGeom prst="rect">
          <a:avLst/>
        </a:prstGeom>
      </xdr:spPr>
    </xdr:pic>
    <xdr:clientData/>
  </xdr:twoCellAnchor>
  <xdr:twoCellAnchor editAs="oneCell">
    <xdr:from>
      <xdr:col>0</xdr:col>
      <xdr:colOff>0</xdr:colOff>
      <xdr:row>94</xdr:row>
      <xdr:rowOff>0</xdr:rowOff>
    </xdr:from>
    <xdr:to>
      <xdr:col>18</xdr:col>
      <xdr:colOff>30111</xdr:colOff>
      <xdr:row>128</xdr:row>
      <xdr:rowOff>96032</xdr:rowOff>
    </xdr:to>
    <xdr:pic>
      <xdr:nvPicPr>
        <xdr:cNvPr id="6" name="Picture 5">
          <a:extLst>
            <a:ext uri="{FF2B5EF4-FFF2-40B4-BE49-F238E27FC236}">
              <a16:creationId xmlns:a16="http://schemas.microsoft.com/office/drawing/2014/main" id="{32E9D08A-311B-6C98-4B9F-35C1ADEC80B7}"/>
            </a:ext>
          </a:extLst>
        </xdr:cNvPr>
        <xdr:cNvPicPr>
          <a:picLocks noChangeAspect="1"/>
        </xdr:cNvPicPr>
      </xdr:nvPicPr>
      <xdr:blipFill>
        <a:blip xmlns:r="http://schemas.openxmlformats.org/officeDocument/2006/relationships" r:embed="rId5"/>
        <a:stretch>
          <a:fillRect/>
        </a:stretch>
      </xdr:blipFill>
      <xdr:spPr>
        <a:xfrm>
          <a:off x="0" y="15220950"/>
          <a:ext cx="11002911" cy="5601482"/>
        </a:xfrm>
        <a:prstGeom prst="rect">
          <a:avLst/>
        </a:prstGeom>
      </xdr:spPr>
    </xdr:pic>
    <xdr:clientData/>
  </xdr:twoCellAnchor>
  <xdr:twoCellAnchor editAs="oneCell">
    <xdr:from>
      <xdr:col>0</xdr:col>
      <xdr:colOff>0</xdr:colOff>
      <xdr:row>130</xdr:row>
      <xdr:rowOff>0</xdr:rowOff>
    </xdr:from>
    <xdr:to>
      <xdr:col>17</xdr:col>
      <xdr:colOff>601605</xdr:colOff>
      <xdr:row>137</xdr:row>
      <xdr:rowOff>9685</xdr:rowOff>
    </xdr:to>
    <xdr:pic>
      <xdr:nvPicPr>
        <xdr:cNvPr id="7" name="Picture 6">
          <a:extLst>
            <a:ext uri="{FF2B5EF4-FFF2-40B4-BE49-F238E27FC236}">
              <a16:creationId xmlns:a16="http://schemas.microsoft.com/office/drawing/2014/main" id="{9AEA7C4A-7524-4617-400C-69C07925041A}"/>
            </a:ext>
          </a:extLst>
        </xdr:cNvPr>
        <xdr:cNvPicPr>
          <a:picLocks noChangeAspect="1"/>
        </xdr:cNvPicPr>
      </xdr:nvPicPr>
      <xdr:blipFill>
        <a:blip xmlns:r="http://schemas.openxmlformats.org/officeDocument/2006/relationships" r:embed="rId6"/>
        <a:stretch>
          <a:fillRect/>
        </a:stretch>
      </xdr:blipFill>
      <xdr:spPr>
        <a:xfrm>
          <a:off x="0" y="21050250"/>
          <a:ext cx="10964805" cy="1143160"/>
        </a:xfrm>
        <a:prstGeom prst="rect">
          <a:avLst/>
        </a:prstGeom>
      </xdr:spPr>
    </xdr:pic>
    <xdr:clientData/>
  </xdr:twoCellAnchor>
  <xdr:twoCellAnchor editAs="oneCell">
    <xdr:from>
      <xdr:col>0</xdr:col>
      <xdr:colOff>0</xdr:colOff>
      <xdr:row>139</xdr:row>
      <xdr:rowOff>0</xdr:rowOff>
    </xdr:from>
    <xdr:to>
      <xdr:col>18</xdr:col>
      <xdr:colOff>334953</xdr:colOff>
      <xdr:row>151</xdr:row>
      <xdr:rowOff>66956</xdr:rowOff>
    </xdr:to>
    <xdr:pic>
      <xdr:nvPicPr>
        <xdr:cNvPr id="8" name="Picture 7">
          <a:extLst>
            <a:ext uri="{FF2B5EF4-FFF2-40B4-BE49-F238E27FC236}">
              <a16:creationId xmlns:a16="http://schemas.microsoft.com/office/drawing/2014/main" id="{A4E42AEC-A418-1F52-FF9B-68AA0F1AE483}"/>
            </a:ext>
          </a:extLst>
        </xdr:cNvPr>
        <xdr:cNvPicPr>
          <a:picLocks noChangeAspect="1"/>
        </xdr:cNvPicPr>
      </xdr:nvPicPr>
      <xdr:blipFill>
        <a:blip xmlns:r="http://schemas.openxmlformats.org/officeDocument/2006/relationships" r:embed="rId7"/>
        <a:stretch>
          <a:fillRect/>
        </a:stretch>
      </xdr:blipFill>
      <xdr:spPr>
        <a:xfrm>
          <a:off x="0" y="22507575"/>
          <a:ext cx="11307753" cy="2010056"/>
        </a:xfrm>
        <a:prstGeom prst="rect">
          <a:avLst/>
        </a:prstGeom>
      </xdr:spPr>
    </xdr:pic>
    <xdr:clientData/>
  </xdr:twoCellAnchor>
  <xdr:twoCellAnchor editAs="oneCell">
    <xdr:from>
      <xdr:col>0</xdr:col>
      <xdr:colOff>0</xdr:colOff>
      <xdr:row>153</xdr:row>
      <xdr:rowOff>0</xdr:rowOff>
    </xdr:from>
    <xdr:to>
      <xdr:col>18</xdr:col>
      <xdr:colOff>220637</xdr:colOff>
      <xdr:row>160</xdr:row>
      <xdr:rowOff>76369</xdr:rowOff>
    </xdr:to>
    <xdr:pic>
      <xdr:nvPicPr>
        <xdr:cNvPr id="9" name="Picture 8">
          <a:extLst>
            <a:ext uri="{FF2B5EF4-FFF2-40B4-BE49-F238E27FC236}">
              <a16:creationId xmlns:a16="http://schemas.microsoft.com/office/drawing/2014/main" id="{2DF0E3F5-FCE3-053B-58FB-C253E3331347}"/>
            </a:ext>
          </a:extLst>
        </xdr:cNvPr>
        <xdr:cNvPicPr>
          <a:picLocks noChangeAspect="1"/>
        </xdr:cNvPicPr>
      </xdr:nvPicPr>
      <xdr:blipFill>
        <a:blip xmlns:r="http://schemas.openxmlformats.org/officeDocument/2006/relationships" r:embed="rId8"/>
        <a:stretch>
          <a:fillRect/>
        </a:stretch>
      </xdr:blipFill>
      <xdr:spPr>
        <a:xfrm>
          <a:off x="0" y="24774525"/>
          <a:ext cx="11193437" cy="120984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80ED6F-A627-44C0-A436-EC24984F7D2E}" name="Table1" displayName="Table1" ref="A4:E29" totalsRowShown="0" headerRowDxfId="6" dataDxfId="5">
  <autoFilter ref="A4:E29" xr:uid="{AF80ED6F-A627-44C0-A436-EC24984F7D2E}"/>
  <tableColumns count="5">
    <tableColumn id="1" xr3:uid="{75C3B34A-AA22-46C1-BD94-0E1D824ABC34}" name="Date" dataDxfId="4"/>
    <tableColumn id="2" xr3:uid="{FECCB843-15D6-452B-939C-4149CAAF8E8F}" name="Invoice" dataDxfId="3"/>
    <tableColumn id="3" xr3:uid="{E47DFBB3-5D2A-4746-ADF0-21FEDA355603}" name="Vendor" dataDxfId="2"/>
    <tableColumn id="4" xr3:uid="{CB444C49-3240-49CB-9FA4-13F74261C858}" name="Paid_by" dataDxfId="1"/>
    <tableColumn id="5" xr3:uid="{165C2FBA-C11D-42B8-B14F-B123A740C7D3}" name="Amount" dataDxfId="0" dataCellStyle="Currency"/>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9587-9195-4ED6-88CE-810108B85805}">
  <sheetPr>
    <pageSetUpPr fitToPage="1"/>
  </sheetPr>
  <dimension ref="A1:J131"/>
  <sheetViews>
    <sheetView showRuler="0" zoomScaleNormal="100" workbookViewId="0">
      <selection activeCell="L28" sqref="L28"/>
    </sheetView>
  </sheetViews>
  <sheetFormatPr defaultRowHeight="12.75"/>
  <cols>
    <col min="1" max="1" width="16.140625" style="2" customWidth="1"/>
    <col min="2" max="2" width="21.5703125" style="1" customWidth="1"/>
    <col min="3" max="3" width="11" style="1" customWidth="1"/>
    <col min="4" max="4" width="59.42578125" customWidth="1"/>
    <col min="5" max="5" width="18.42578125" customWidth="1"/>
    <col min="6" max="6" width="15.7109375" bestFit="1" customWidth="1"/>
    <col min="7" max="7" width="13.7109375" style="44" customWidth="1"/>
    <col min="8" max="9" width="13.7109375" customWidth="1"/>
  </cols>
  <sheetData>
    <row r="1" spans="1:10" s="67" customFormat="1" ht="15">
      <c r="A1" s="64" t="s">
        <v>0</v>
      </c>
      <c r="B1" s="65" t="s">
        <v>1</v>
      </c>
      <c r="C1" s="65" t="s">
        <v>2</v>
      </c>
      <c r="D1" s="64" t="s">
        <v>3</v>
      </c>
      <c r="E1" s="64" t="s">
        <v>4</v>
      </c>
      <c r="F1" s="64" t="s">
        <v>5</v>
      </c>
      <c r="G1" s="66" t="s">
        <v>6</v>
      </c>
      <c r="H1" s="64" t="s">
        <v>7</v>
      </c>
      <c r="I1" s="64" t="s">
        <v>8</v>
      </c>
    </row>
    <row r="2" spans="1:10">
      <c r="A2" s="3"/>
      <c r="B2" s="4"/>
      <c r="C2" s="4"/>
      <c r="D2" s="5"/>
      <c r="E2" s="5"/>
      <c r="F2" s="5"/>
      <c r="G2" s="40"/>
      <c r="H2" s="5"/>
      <c r="I2" s="5"/>
    </row>
    <row r="3" spans="1:10">
      <c r="A3" s="37" t="s">
        <v>9</v>
      </c>
      <c r="B3" s="35" t="s">
        <v>10</v>
      </c>
      <c r="C3" s="38"/>
      <c r="D3" s="36" t="s">
        <v>11</v>
      </c>
      <c r="E3" s="15" t="s">
        <v>12</v>
      </c>
      <c r="F3" s="13">
        <v>1</v>
      </c>
      <c r="G3" s="41">
        <v>50000</v>
      </c>
      <c r="H3" s="14">
        <v>50000</v>
      </c>
      <c r="I3" s="14">
        <f>SUM(G3-H3)</f>
        <v>0</v>
      </c>
    </row>
    <row r="4" spans="1:10">
      <c r="A4" s="3"/>
      <c r="B4" s="4"/>
      <c r="C4" s="4"/>
      <c r="D4" s="9"/>
      <c r="E4" s="9"/>
      <c r="F4" s="7"/>
      <c r="G4" s="40"/>
      <c r="H4" s="5"/>
      <c r="I4" s="8"/>
    </row>
    <row r="5" spans="1:10">
      <c r="A5" s="34" t="s">
        <v>13</v>
      </c>
      <c r="B5" s="35" t="s">
        <v>10</v>
      </c>
      <c r="C5" s="35">
        <v>52054</v>
      </c>
      <c r="D5" s="36" t="s">
        <v>14</v>
      </c>
      <c r="E5" s="15" t="s">
        <v>12</v>
      </c>
      <c r="F5" s="13">
        <v>1</v>
      </c>
      <c r="G5" s="41">
        <v>2400</v>
      </c>
      <c r="H5" s="14">
        <v>2400</v>
      </c>
      <c r="I5" s="14">
        <f t="shared" ref="I5:I43" si="0">SUM(G5-H5)</f>
        <v>0</v>
      </c>
    </row>
    <row r="6" spans="1:10">
      <c r="A6" s="3"/>
      <c r="B6" s="4"/>
      <c r="C6" s="4"/>
      <c r="D6" s="5"/>
      <c r="E6" s="5"/>
      <c r="F6" s="7"/>
      <c r="G6" s="40"/>
      <c r="H6" s="5"/>
      <c r="I6" s="8"/>
    </row>
    <row r="7" spans="1:10">
      <c r="A7" s="37" t="s">
        <v>15</v>
      </c>
      <c r="B7" s="35" t="s">
        <v>10</v>
      </c>
      <c r="C7" s="35">
        <v>52026</v>
      </c>
      <c r="D7" s="39" t="s">
        <v>16</v>
      </c>
      <c r="E7" s="15" t="s">
        <v>12</v>
      </c>
      <c r="F7" s="13">
        <v>1</v>
      </c>
      <c r="G7" s="41">
        <v>2824.16</v>
      </c>
      <c r="H7" s="14">
        <v>2824.16</v>
      </c>
      <c r="I7" s="14">
        <f>SUM(G7-H7)</f>
        <v>0</v>
      </c>
    </row>
    <row r="8" spans="1:10">
      <c r="A8" s="6"/>
      <c r="B8" s="4"/>
      <c r="C8" s="4"/>
      <c r="D8" s="16"/>
      <c r="E8" s="16"/>
      <c r="F8" s="7"/>
      <c r="G8" s="40"/>
      <c r="H8" s="22"/>
      <c r="I8" s="22"/>
    </row>
    <row r="9" spans="1:10">
      <c r="A9" s="17" t="s">
        <v>17</v>
      </c>
      <c r="B9" s="11" t="s">
        <v>10</v>
      </c>
      <c r="C9" s="11">
        <v>52027</v>
      </c>
      <c r="D9" s="15" t="s">
        <v>18</v>
      </c>
      <c r="E9" s="15" t="s">
        <v>12</v>
      </c>
      <c r="F9" s="13">
        <v>1</v>
      </c>
      <c r="G9" s="41">
        <v>18756.330000000002</v>
      </c>
      <c r="H9" s="14">
        <v>18756.330000000002</v>
      </c>
      <c r="I9" s="14">
        <f t="shared" ref="I9" si="1">SUM(G9-H9)</f>
        <v>0</v>
      </c>
      <c r="J9" s="82" t="s">
        <v>19</v>
      </c>
    </row>
    <row r="10" spans="1:10">
      <c r="A10" s="6"/>
      <c r="B10" s="4"/>
      <c r="C10" s="4"/>
      <c r="D10" s="16"/>
      <c r="E10" s="16"/>
      <c r="F10" s="7"/>
      <c r="G10" s="40"/>
      <c r="H10" s="8"/>
      <c r="I10" s="8"/>
    </row>
    <row r="11" spans="1:10">
      <c r="A11" s="34" t="s">
        <v>20</v>
      </c>
      <c r="B11" s="35" t="s">
        <v>10</v>
      </c>
      <c r="C11" s="35">
        <v>58574</v>
      </c>
      <c r="D11" s="36" t="s">
        <v>21</v>
      </c>
      <c r="E11" s="39" t="s">
        <v>22</v>
      </c>
      <c r="F11" s="45">
        <v>1</v>
      </c>
      <c r="G11" s="46"/>
      <c r="H11" s="47">
        <v>987.5</v>
      </c>
      <c r="I11" s="47">
        <v>0</v>
      </c>
    </row>
    <row r="12" spans="1:10">
      <c r="A12" s="3"/>
      <c r="B12" s="4"/>
      <c r="C12" s="4"/>
      <c r="D12" s="5"/>
      <c r="E12" s="15" t="s">
        <v>12</v>
      </c>
      <c r="F12" s="15"/>
      <c r="G12" s="41"/>
      <c r="H12" s="5">
        <v>720</v>
      </c>
      <c r="I12" s="8"/>
    </row>
    <row r="13" spans="1:10">
      <c r="A13" s="3"/>
      <c r="B13" s="4"/>
      <c r="C13" s="4"/>
      <c r="D13" s="5"/>
      <c r="E13" s="26" t="s">
        <v>23</v>
      </c>
      <c r="F13" s="29"/>
      <c r="G13" s="43"/>
      <c r="H13" s="5">
        <v>267.5</v>
      </c>
      <c r="I13" s="8"/>
    </row>
    <row r="14" spans="1:10">
      <c r="A14" s="3"/>
      <c r="B14" s="4"/>
      <c r="C14" s="4"/>
      <c r="D14" s="5"/>
      <c r="E14" s="24"/>
      <c r="F14" s="21"/>
      <c r="G14" s="42"/>
      <c r="H14" s="5"/>
      <c r="I14" s="8"/>
    </row>
    <row r="15" spans="1:10">
      <c r="A15" s="10" t="s">
        <v>24</v>
      </c>
      <c r="B15" s="11" t="s">
        <v>10</v>
      </c>
      <c r="C15" s="11">
        <v>52025</v>
      </c>
      <c r="D15" s="15" t="s">
        <v>25</v>
      </c>
      <c r="E15" s="15" t="s">
        <v>12</v>
      </c>
      <c r="F15" s="13">
        <v>1</v>
      </c>
      <c r="G15" s="41">
        <v>3803.75</v>
      </c>
      <c r="H15" s="14">
        <v>3803.75</v>
      </c>
      <c r="I15" s="14">
        <f t="shared" si="0"/>
        <v>0</v>
      </c>
    </row>
    <row r="16" spans="1:10">
      <c r="A16" s="32"/>
      <c r="B16" s="19"/>
      <c r="C16" s="19"/>
      <c r="D16" s="24"/>
      <c r="E16" s="24"/>
      <c r="F16" s="21"/>
      <c r="G16" s="42"/>
      <c r="H16" s="22"/>
      <c r="I16" s="8"/>
    </row>
    <row r="17" spans="1:10">
      <c r="A17" s="34" t="s">
        <v>26</v>
      </c>
      <c r="B17" s="35"/>
      <c r="C17" s="35">
        <v>58804</v>
      </c>
      <c r="D17" s="36" t="s">
        <v>27</v>
      </c>
      <c r="E17" s="39" t="s">
        <v>22</v>
      </c>
      <c r="F17" s="45">
        <v>1</v>
      </c>
      <c r="G17" s="46"/>
      <c r="H17" s="8"/>
      <c r="I17" s="47">
        <v>0</v>
      </c>
    </row>
    <row r="18" spans="1:10">
      <c r="A18" s="3"/>
      <c r="B18" s="4"/>
      <c r="C18" s="4"/>
      <c r="D18" s="5"/>
      <c r="E18" s="15" t="s">
        <v>12</v>
      </c>
      <c r="F18" s="13"/>
      <c r="G18" s="41"/>
      <c r="H18" s="41">
        <v>24280</v>
      </c>
      <c r="I18" s="8"/>
    </row>
    <row r="19" spans="1:10">
      <c r="A19" s="3"/>
      <c r="B19" s="4"/>
      <c r="C19" s="4"/>
      <c r="D19" s="5"/>
      <c r="E19" s="26" t="s">
        <v>23</v>
      </c>
      <c r="F19" s="29"/>
      <c r="G19" s="43"/>
      <c r="H19" s="43">
        <v>26500</v>
      </c>
      <c r="I19" s="8"/>
    </row>
    <row r="20" spans="1:10">
      <c r="A20" s="3"/>
      <c r="B20" s="4"/>
      <c r="C20" s="4"/>
      <c r="D20" s="5"/>
      <c r="E20" s="5"/>
      <c r="F20" s="5"/>
      <c r="G20" s="40"/>
      <c r="H20" s="8"/>
      <c r="I20" s="8"/>
    </row>
    <row r="21" spans="1:10">
      <c r="A21" s="10" t="s">
        <v>28</v>
      </c>
      <c r="B21" s="11" t="s">
        <v>10</v>
      </c>
      <c r="C21" s="11" t="s">
        <v>29</v>
      </c>
      <c r="D21" s="12" t="s">
        <v>30</v>
      </c>
      <c r="E21" s="12" t="s">
        <v>12</v>
      </c>
      <c r="F21" s="13">
        <v>1</v>
      </c>
      <c r="G21" s="41">
        <v>25500</v>
      </c>
      <c r="H21" s="14">
        <v>25500</v>
      </c>
      <c r="I21" s="14">
        <v>0</v>
      </c>
      <c r="J21" s="82" t="s">
        <v>19</v>
      </c>
    </row>
    <row r="22" spans="1:10">
      <c r="A22" s="3"/>
      <c r="B22" s="4"/>
      <c r="C22" s="4"/>
      <c r="D22" s="5"/>
      <c r="E22" s="5"/>
      <c r="F22" s="5"/>
      <c r="G22" s="40"/>
      <c r="H22" s="8"/>
      <c r="I22" s="8"/>
    </row>
    <row r="23" spans="1:10">
      <c r="A23" s="27" t="s">
        <v>31</v>
      </c>
      <c r="B23" s="28"/>
      <c r="C23" s="28">
        <v>58960</v>
      </c>
      <c r="D23" s="26" t="s">
        <v>32</v>
      </c>
      <c r="E23" s="26" t="s">
        <v>23</v>
      </c>
      <c r="F23" s="29">
        <v>1</v>
      </c>
      <c r="G23" s="43">
        <v>22135</v>
      </c>
      <c r="H23" s="30">
        <v>22135</v>
      </c>
      <c r="I23" s="30">
        <f>SUM(G23-H23)</f>
        <v>0</v>
      </c>
    </row>
    <row r="24" spans="1:10">
      <c r="A24" s="6"/>
      <c r="B24" s="4"/>
      <c r="C24" s="4"/>
      <c r="D24" s="5"/>
      <c r="E24" s="5"/>
      <c r="F24" s="7"/>
      <c r="G24" s="40"/>
      <c r="H24" s="8"/>
      <c r="I24" s="8"/>
    </row>
    <row r="25" spans="1:10">
      <c r="A25" s="27" t="s">
        <v>33</v>
      </c>
      <c r="B25" s="28" t="s">
        <v>34</v>
      </c>
      <c r="C25" s="28">
        <v>59177</v>
      </c>
      <c r="D25" s="33" t="s">
        <v>35</v>
      </c>
      <c r="E25" s="26" t="s">
        <v>23</v>
      </c>
      <c r="F25" s="29">
        <v>1</v>
      </c>
      <c r="G25" s="43">
        <v>15075</v>
      </c>
      <c r="H25" s="30">
        <v>15075</v>
      </c>
      <c r="I25" s="30">
        <f t="shared" si="0"/>
        <v>0</v>
      </c>
    </row>
    <row r="26" spans="1:10" s="23" customFormat="1">
      <c r="A26" s="18"/>
      <c r="B26" s="19"/>
      <c r="C26" s="19"/>
      <c r="D26" s="20"/>
      <c r="E26" s="20"/>
      <c r="F26" s="21"/>
      <c r="G26" s="42"/>
      <c r="H26" s="22"/>
      <c r="I26" s="22"/>
    </row>
    <row r="27" spans="1:10" s="23" customFormat="1">
      <c r="A27" s="72">
        <v>45662</v>
      </c>
      <c r="B27" s="11" t="s">
        <v>10</v>
      </c>
      <c r="C27" s="11" t="s">
        <v>29</v>
      </c>
      <c r="D27" s="15" t="s">
        <v>30</v>
      </c>
      <c r="E27" s="15" t="s">
        <v>12</v>
      </c>
      <c r="F27" s="13">
        <v>1</v>
      </c>
      <c r="G27" s="41">
        <v>25500</v>
      </c>
      <c r="H27" s="14">
        <v>25500</v>
      </c>
      <c r="I27" s="14">
        <v>0</v>
      </c>
      <c r="J27" s="86" t="s">
        <v>19</v>
      </c>
    </row>
    <row r="28" spans="1:10" s="23" customFormat="1">
      <c r="A28" s="18"/>
      <c r="B28" s="19"/>
      <c r="C28" s="19"/>
      <c r="D28" s="20"/>
      <c r="E28" s="20"/>
      <c r="F28" s="21"/>
      <c r="G28" s="42"/>
      <c r="H28" s="22"/>
      <c r="I28" s="22"/>
    </row>
    <row r="29" spans="1:10">
      <c r="A29" s="37" t="s">
        <v>36</v>
      </c>
      <c r="B29" s="35"/>
      <c r="C29" s="35">
        <v>29411</v>
      </c>
      <c r="D29" s="36" t="s">
        <v>37</v>
      </c>
      <c r="E29" s="39" t="s">
        <v>12</v>
      </c>
      <c r="F29" s="45">
        <v>1</v>
      </c>
      <c r="G29" s="46">
        <v>23475</v>
      </c>
      <c r="H29" s="47">
        <v>23475</v>
      </c>
      <c r="I29" s="47">
        <f t="shared" si="0"/>
        <v>0</v>
      </c>
    </row>
    <row r="30" spans="1:10" s="23" customFormat="1">
      <c r="A30" s="18"/>
      <c r="B30" s="19"/>
      <c r="C30" s="19"/>
      <c r="D30" s="24"/>
      <c r="E30" s="24"/>
      <c r="F30" s="21"/>
      <c r="G30" s="42"/>
      <c r="H30" s="22"/>
      <c r="I30" s="22"/>
    </row>
    <row r="31" spans="1:10" s="23" customFormat="1">
      <c r="A31" s="72">
        <v>45693</v>
      </c>
      <c r="B31" s="11" t="s">
        <v>10</v>
      </c>
      <c r="C31" s="11" t="s">
        <v>29</v>
      </c>
      <c r="D31" s="15" t="s">
        <v>30</v>
      </c>
      <c r="E31" s="15" t="s">
        <v>12</v>
      </c>
      <c r="F31" s="13">
        <v>1</v>
      </c>
      <c r="G31" s="41">
        <v>25500</v>
      </c>
      <c r="H31" s="14">
        <v>25000</v>
      </c>
      <c r="I31" s="14">
        <v>500</v>
      </c>
      <c r="J31" s="86" t="s">
        <v>19</v>
      </c>
    </row>
    <row r="32" spans="1:10" s="23" customFormat="1">
      <c r="A32" s="71"/>
      <c r="B32" s="19"/>
      <c r="C32" s="19"/>
      <c r="D32" s="20"/>
      <c r="E32" s="20"/>
      <c r="F32" s="21"/>
      <c r="G32" s="42"/>
      <c r="H32" s="22"/>
      <c r="I32" s="22"/>
    </row>
    <row r="33" spans="1:10">
      <c r="A33" s="37" t="s">
        <v>38</v>
      </c>
      <c r="B33" s="35"/>
      <c r="C33" s="35">
        <v>59591</v>
      </c>
      <c r="D33" s="39" t="s">
        <v>39</v>
      </c>
      <c r="E33" s="39" t="s">
        <v>22</v>
      </c>
      <c r="F33" s="45">
        <v>1</v>
      </c>
      <c r="G33" s="46">
        <v>24250</v>
      </c>
      <c r="H33" s="47">
        <v>24250</v>
      </c>
      <c r="I33" s="47">
        <f t="shared" si="0"/>
        <v>0</v>
      </c>
    </row>
    <row r="34" spans="1:10" s="23" customFormat="1">
      <c r="A34" s="18"/>
      <c r="B34" s="19"/>
      <c r="C34" s="19"/>
      <c r="D34" s="20"/>
      <c r="E34" s="20"/>
      <c r="F34" s="25"/>
      <c r="G34" s="42"/>
      <c r="H34" s="22"/>
      <c r="I34" s="22"/>
    </row>
    <row r="35" spans="1:10">
      <c r="A35" s="17" t="s">
        <v>40</v>
      </c>
      <c r="B35" s="11"/>
      <c r="C35" s="31" t="s">
        <v>41</v>
      </c>
      <c r="D35" s="15" t="s">
        <v>42</v>
      </c>
      <c r="E35" s="15" t="s">
        <v>12</v>
      </c>
      <c r="F35" s="13">
        <v>1</v>
      </c>
      <c r="G35" s="41">
        <v>775</v>
      </c>
      <c r="H35" s="14">
        <v>775</v>
      </c>
      <c r="I35" s="14">
        <f t="shared" si="0"/>
        <v>0</v>
      </c>
    </row>
    <row r="36" spans="1:10">
      <c r="A36" s="18"/>
      <c r="B36" s="19"/>
      <c r="C36" s="61"/>
      <c r="D36" s="20"/>
      <c r="E36" s="20"/>
      <c r="F36" s="21"/>
      <c r="G36" s="42"/>
      <c r="H36" s="22"/>
      <c r="I36" s="22"/>
    </row>
    <row r="37" spans="1:10">
      <c r="A37" s="10" t="s">
        <v>40</v>
      </c>
      <c r="B37" s="11" t="s">
        <v>10</v>
      </c>
      <c r="C37" s="11" t="s">
        <v>41</v>
      </c>
      <c r="D37" s="12" t="s">
        <v>43</v>
      </c>
      <c r="E37" s="12" t="s">
        <v>12</v>
      </c>
      <c r="F37" s="13">
        <v>1</v>
      </c>
      <c r="G37" s="41">
        <v>15000</v>
      </c>
      <c r="H37" s="14">
        <v>15000</v>
      </c>
      <c r="I37" s="14">
        <f t="shared" ref="I37" si="2">SUM(G37-H37)</f>
        <v>0</v>
      </c>
    </row>
    <row r="38" spans="1:10">
      <c r="A38" s="3"/>
      <c r="B38" s="4"/>
      <c r="C38" s="4"/>
      <c r="D38" s="5"/>
      <c r="E38" s="5"/>
      <c r="F38" s="5"/>
      <c r="G38" s="40"/>
      <c r="H38" s="8"/>
      <c r="I38" s="22"/>
    </row>
    <row r="39" spans="1:10">
      <c r="A39" s="10" t="s">
        <v>44</v>
      </c>
      <c r="B39" s="11" t="s">
        <v>10</v>
      </c>
      <c r="C39" s="11" t="s">
        <v>41</v>
      </c>
      <c r="D39" s="12" t="s">
        <v>45</v>
      </c>
      <c r="E39" s="12" t="s">
        <v>12</v>
      </c>
      <c r="F39" s="13">
        <v>1</v>
      </c>
      <c r="G39" s="41">
        <v>500</v>
      </c>
      <c r="H39" s="14">
        <v>500</v>
      </c>
      <c r="I39" s="14">
        <f t="shared" si="0"/>
        <v>0</v>
      </c>
    </row>
    <row r="40" spans="1:10">
      <c r="A40" s="3"/>
      <c r="B40" s="4"/>
      <c r="C40" s="4"/>
      <c r="D40" s="5"/>
      <c r="E40" s="5"/>
      <c r="F40" s="5"/>
      <c r="G40" s="40"/>
      <c r="H40" s="8"/>
      <c r="I40" s="8"/>
    </row>
    <row r="41" spans="1:10">
      <c r="A41" s="37" t="s">
        <v>36</v>
      </c>
      <c r="B41" s="38" t="s">
        <v>34</v>
      </c>
      <c r="C41" s="35">
        <v>59411</v>
      </c>
      <c r="D41" s="36" t="s">
        <v>37</v>
      </c>
      <c r="E41" s="39" t="s">
        <v>12</v>
      </c>
      <c r="F41" s="62">
        <v>1</v>
      </c>
      <c r="G41" s="46">
        <v>21210</v>
      </c>
      <c r="H41" s="47">
        <v>21210</v>
      </c>
      <c r="I41" s="47">
        <f t="shared" ref="I41" si="3">SUM(G41-H41)</f>
        <v>0</v>
      </c>
    </row>
    <row r="42" spans="1:10">
      <c r="A42" s="6"/>
      <c r="B42" s="68"/>
      <c r="C42" s="4"/>
      <c r="D42" s="5"/>
      <c r="E42" s="5"/>
      <c r="F42" s="69"/>
      <c r="G42" s="40"/>
      <c r="H42" s="8"/>
      <c r="I42" s="8"/>
    </row>
    <row r="43" spans="1:10">
      <c r="A43" s="37" t="s">
        <v>46</v>
      </c>
      <c r="B43" s="38" t="s">
        <v>34</v>
      </c>
      <c r="C43" s="35">
        <v>59735</v>
      </c>
      <c r="D43" s="36" t="s">
        <v>47</v>
      </c>
      <c r="E43" s="39" t="s">
        <v>12</v>
      </c>
      <c r="F43" s="62">
        <v>1</v>
      </c>
      <c r="G43" s="46">
        <v>6810</v>
      </c>
      <c r="H43" s="47">
        <v>6810</v>
      </c>
      <c r="I43" s="47">
        <f t="shared" si="0"/>
        <v>0</v>
      </c>
    </row>
    <row r="44" spans="1:10">
      <c r="A44" s="18"/>
      <c r="B44" s="61"/>
      <c r="C44" s="19"/>
      <c r="D44" s="24"/>
      <c r="E44" s="24"/>
      <c r="F44" s="63"/>
      <c r="G44" s="42"/>
      <c r="H44" s="22"/>
      <c r="I44" s="22"/>
    </row>
    <row r="45" spans="1:10">
      <c r="A45" s="37" t="s">
        <v>48</v>
      </c>
      <c r="B45" s="38" t="s">
        <v>10</v>
      </c>
      <c r="C45" s="35" t="s">
        <v>41</v>
      </c>
      <c r="D45" s="36" t="s">
        <v>30</v>
      </c>
      <c r="E45" s="39" t="s">
        <v>22</v>
      </c>
      <c r="F45" s="62">
        <v>1</v>
      </c>
      <c r="G45" s="46">
        <v>25500</v>
      </c>
      <c r="H45" s="47">
        <v>25500</v>
      </c>
      <c r="I45" s="47">
        <v>0</v>
      </c>
    </row>
    <row r="46" spans="1:10" ht="27.75" customHeight="1">
      <c r="A46" s="37"/>
      <c r="B46" s="38"/>
      <c r="C46" s="35"/>
      <c r="D46" s="36"/>
      <c r="E46" s="26" t="s">
        <v>23</v>
      </c>
      <c r="F46" s="70"/>
      <c r="G46" s="43"/>
      <c r="H46" s="43">
        <v>25000</v>
      </c>
      <c r="I46" s="22"/>
    </row>
    <row r="47" spans="1:10">
      <c r="A47" s="6"/>
      <c r="B47" s="68"/>
      <c r="C47" s="4"/>
      <c r="D47" s="5"/>
      <c r="E47" s="5" t="s">
        <v>12</v>
      </c>
      <c r="F47" s="69"/>
      <c r="G47" s="40"/>
      <c r="H47" s="40">
        <v>500</v>
      </c>
      <c r="I47" s="8"/>
      <c r="J47" s="82" t="s">
        <v>19</v>
      </c>
    </row>
    <row r="48" spans="1:10">
      <c r="A48" s="6"/>
      <c r="B48" s="68"/>
      <c r="C48" s="4"/>
      <c r="D48" s="16" t="s">
        <v>49</v>
      </c>
      <c r="E48" s="84"/>
      <c r="F48" s="85"/>
      <c r="G48" s="40"/>
      <c r="H48" s="40"/>
      <c r="I48" s="8"/>
    </row>
    <row r="49" spans="1:9">
      <c r="A49" s="6"/>
      <c r="B49" s="68"/>
      <c r="C49" s="4"/>
      <c r="D49" s="16" t="s">
        <v>49</v>
      </c>
      <c r="E49" s="84"/>
      <c r="F49" s="85"/>
      <c r="G49" s="40"/>
      <c r="H49" s="40"/>
      <c r="I49" s="8"/>
    </row>
    <row r="50" spans="1:9">
      <c r="A50" s="6"/>
      <c r="B50" s="68"/>
      <c r="C50" s="4"/>
      <c r="D50" s="16" t="s">
        <v>49</v>
      </c>
      <c r="E50" s="84"/>
      <c r="F50" s="85"/>
      <c r="G50" s="40"/>
      <c r="H50" s="40"/>
      <c r="I50" s="8"/>
    </row>
    <row r="51" spans="1:9">
      <c r="A51" s="6"/>
      <c r="B51" s="68"/>
      <c r="C51" s="4"/>
      <c r="D51" s="16" t="s">
        <v>49</v>
      </c>
      <c r="E51" s="84"/>
      <c r="F51" s="85"/>
      <c r="G51" s="40"/>
      <c r="H51" s="40"/>
      <c r="I51" s="8"/>
    </row>
    <row r="52" spans="1:9">
      <c r="A52" s="6"/>
      <c r="B52" s="68"/>
      <c r="C52" s="4"/>
      <c r="D52" s="5"/>
      <c r="E52" s="84"/>
      <c r="F52" s="85"/>
      <c r="G52" s="40"/>
      <c r="H52" s="40"/>
      <c r="I52" s="8"/>
    </row>
    <row r="53" spans="1:9">
      <c r="A53" s="6"/>
      <c r="B53" s="68"/>
      <c r="C53" s="4"/>
      <c r="D53" s="5"/>
      <c r="E53" s="84"/>
      <c r="F53" s="85"/>
      <c r="G53" s="40"/>
      <c r="H53" s="40"/>
      <c r="I53" s="8"/>
    </row>
    <row r="54" spans="1:9">
      <c r="A54" s="6"/>
      <c r="B54" s="68"/>
      <c r="C54" s="4"/>
      <c r="D54" s="5"/>
      <c r="E54" s="84"/>
      <c r="F54" s="85"/>
      <c r="G54" s="40"/>
      <c r="H54" s="40"/>
      <c r="I54" s="8"/>
    </row>
    <row r="55" spans="1:9">
      <c r="A55" s="6"/>
      <c r="B55" s="68"/>
      <c r="C55" s="4"/>
      <c r="D55" s="5"/>
      <c r="E55" s="84"/>
      <c r="F55" s="85"/>
      <c r="G55" s="40"/>
      <c r="H55" s="40"/>
      <c r="I55" s="8"/>
    </row>
    <row r="56" spans="1:9">
      <c r="A56" s="6"/>
      <c r="B56" s="68"/>
      <c r="C56" s="4"/>
      <c r="D56" s="5"/>
      <c r="E56" s="84"/>
      <c r="F56" s="85"/>
      <c r="G56" s="40"/>
      <c r="H56" s="40"/>
      <c r="I56" s="8"/>
    </row>
    <row r="57" spans="1:9">
      <c r="A57" s="6"/>
      <c r="B57" s="68"/>
      <c r="C57" s="4"/>
      <c r="D57" s="5"/>
      <c r="E57" s="84"/>
      <c r="F57" s="85"/>
      <c r="G57" s="40"/>
      <c r="H57" s="40"/>
      <c r="I57" s="8"/>
    </row>
    <row r="58" spans="1:9">
      <c r="A58" s="6"/>
      <c r="B58" s="68"/>
      <c r="C58" s="4"/>
      <c r="D58" s="5"/>
      <c r="E58" s="84"/>
      <c r="F58" s="85"/>
      <c r="G58" s="40"/>
      <c r="H58" s="40"/>
      <c r="I58" s="8"/>
    </row>
    <row r="59" spans="1:9">
      <c r="A59" s="6"/>
      <c r="B59" s="68"/>
      <c r="C59" s="4"/>
      <c r="D59" s="5"/>
      <c r="E59" s="84"/>
      <c r="F59" s="85"/>
      <c r="G59" s="40"/>
      <c r="H59" s="40"/>
      <c r="I59" s="8"/>
    </row>
    <row r="60" spans="1:9">
      <c r="A60" s="6"/>
      <c r="B60" s="68"/>
      <c r="C60" s="4"/>
      <c r="D60" s="5"/>
      <c r="E60" s="84"/>
      <c r="F60" s="85"/>
      <c r="G60" s="40"/>
      <c r="H60" s="40"/>
      <c r="I60" s="8"/>
    </row>
    <row r="61" spans="1:9">
      <c r="A61" s="6"/>
      <c r="B61" s="68"/>
      <c r="C61" s="4"/>
      <c r="D61" s="5"/>
      <c r="E61" s="84"/>
      <c r="F61" s="85"/>
      <c r="G61" s="40"/>
      <c r="H61" s="40"/>
      <c r="I61" s="8"/>
    </row>
    <row r="62" spans="1:9">
      <c r="A62" s="6"/>
      <c r="B62" s="68"/>
      <c r="C62" s="4"/>
      <c r="D62" s="5"/>
      <c r="E62" s="84"/>
      <c r="F62" s="85"/>
      <c r="G62" s="40"/>
      <c r="H62" s="40"/>
      <c r="I62" s="8"/>
    </row>
    <row r="63" spans="1:9">
      <c r="A63" s="6"/>
      <c r="B63" s="68"/>
      <c r="C63" s="4"/>
      <c r="D63" s="5"/>
      <c r="E63" s="84"/>
      <c r="F63" s="85"/>
      <c r="G63" s="40"/>
      <c r="H63" s="40"/>
      <c r="I63" s="8"/>
    </row>
    <row r="64" spans="1:9">
      <c r="A64" s="48"/>
      <c r="B64" s="49"/>
      <c r="C64" s="50"/>
      <c r="D64" s="51"/>
      <c r="E64" s="123"/>
      <c r="F64" s="124"/>
      <c r="G64" s="52"/>
      <c r="H64" s="53"/>
      <c r="I64" s="53"/>
    </row>
    <row r="65" spans="1:10" ht="26.25" customHeight="1">
      <c r="A65" s="3"/>
      <c r="B65" s="4"/>
      <c r="C65" s="4"/>
      <c r="D65" s="5"/>
      <c r="E65" s="117" t="s">
        <v>50</v>
      </c>
      <c r="F65" s="118"/>
      <c r="G65" s="54">
        <f>SUM(G3:G47)</f>
        <v>309014.24</v>
      </c>
      <c r="H65" s="55">
        <f>SUM(H3:H47)</f>
        <v>386769.24</v>
      </c>
      <c r="I65" s="55">
        <f>SUM(I3:I47)</f>
        <v>500</v>
      </c>
    </row>
    <row r="66" spans="1:10" ht="24" customHeight="1">
      <c r="A66" s="3"/>
      <c r="B66" s="4"/>
      <c r="C66" s="4"/>
      <c r="D66" s="5"/>
      <c r="E66" s="119" t="s">
        <v>51</v>
      </c>
      <c r="F66" s="120"/>
      <c r="G66" s="56"/>
      <c r="H66" s="57">
        <f>SUM(H3+H5+H7+H9+G12+H15+H18+H35+H39+H37+H47+H27+H21)</f>
        <v>169839.24</v>
      </c>
      <c r="I66" s="57"/>
    </row>
    <row r="67" spans="1:10" ht="25.5" customHeight="1">
      <c r="A67" s="3"/>
      <c r="B67" s="4"/>
      <c r="C67" s="4"/>
      <c r="D67" s="5"/>
      <c r="E67" s="121" t="s">
        <v>52</v>
      </c>
      <c r="F67" s="122"/>
      <c r="G67" s="58"/>
      <c r="H67" s="59">
        <f>SUM(G13+H19+H23+H25+H46)</f>
        <v>88710</v>
      </c>
      <c r="I67" s="60"/>
    </row>
    <row r="71" spans="1:10">
      <c r="A71" s="80" t="s">
        <v>53</v>
      </c>
      <c r="C71" s="81" t="s">
        <v>2</v>
      </c>
      <c r="D71" s="82" t="s">
        <v>54</v>
      </c>
      <c r="E71" s="82" t="s">
        <v>55</v>
      </c>
      <c r="H71" s="82" t="s">
        <v>56</v>
      </c>
      <c r="J71" s="82" t="s">
        <v>57</v>
      </c>
    </row>
    <row r="72" spans="1:10">
      <c r="A72" s="83">
        <v>45818</v>
      </c>
      <c r="C72" s="1">
        <v>60306</v>
      </c>
      <c r="D72" s="82" t="s">
        <v>58</v>
      </c>
      <c r="E72" s="82" t="s">
        <v>12</v>
      </c>
      <c r="H72" s="44">
        <v>3253.5</v>
      </c>
    </row>
    <row r="73" spans="1:10">
      <c r="A73" s="83">
        <v>45848</v>
      </c>
      <c r="C73" s="1">
        <v>60494</v>
      </c>
      <c r="D73" s="82" t="s">
        <v>58</v>
      </c>
      <c r="E73" s="82" t="s">
        <v>12</v>
      </c>
      <c r="H73" s="44">
        <v>4972</v>
      </c>
    </row>
    <row r="74" spans="1:10">
      <c r="A74" s="83">
        <v>45848</v>
      </c>
      <c r="C74" s="1">
        <v>60494</v>
      </c>
      <c r="D74" s="82" t="s">
        <v>58</v>
      </c>
      <c r="E74" s="82" t="s">
        <v>12</v>
      </c>
      <c r="H74" s="44">
        <v>3420</v>
      </c>
    </row>
    <row r="75" spans="1:10">
      <c r="A75" s="83">
        <v>45881</v>
      </c>
      <c r="C75" s="1">
        <v>60708</v>
      </c>
      <c r="D75" s="82" t="s">
        <v>58</v>
      </c>
      <c r="E75" s="82" t="s">
        <v>12</v>
      </c>
      <c r="H75" s="44">
        <v>1200</v>
      </c>
    </row>
    <row r="76" spans="1:10">
      <c r="A76" s="83">
        <v>45780</v>
      </c>
      <c r="D76" s="82" t="s">
        <v>59</v>
      </c>
      <c r="E76" s="82" t="s">
        <v>60</v>
      </c>
      <c r="H76" s="44">
        <v>500000</v>
      </c>
    </row>
    <row r="77" spans="1:10">
      <c r="A77" s="83">
        <v>45780</v>
      </c>
      <c r="D77" s="82" t="s">
        <v>59</v>
      </c>
      <c r="E77" s="82" t="s">
        <v>61</v>
      </c>
      <c r="H77" s="44">
        <v>1000000</v>
      </c>
    </row>
    <row r="78" spans="1:10">
      <c r="A78" s="83">
        <v>45780</v>
      </c>
      <c r="D78" s="82" t="s">
        <v>59</v>
      </c>
      <c r="E78" s="82" t="s">
        <v>62</v>
      </c>
      <c r="H78" s="44">
        <v>68000</v>
      </c>
    </row>
    <row r="79" spans="1:10">
      <c r="A79" s="83">
        <v>45780</v>
      </c>
      <c r="D79" s="82" t="s">
        <v>59</v>
      </c>
      <c r="E79" s="82" t="s">
        <v>62</v>
      </c>
      <c r="H79" s="44">
        <v>200000</v>
      </c>
    </row>
    <row r="80" spans="1:10">
      <c r="A80" s="83">
        <v>45780</v>
      </c>
      <c r="D80" s="82" t="s">
        <v>59</v>
      </c>
      <c r="E80" s="82" t="s">
        <v>62</v>
      </c>
      <c r="H80" s="44">
        <v>20000</v>
      </c>
    </row>
    <row r="81" spans="1:8">
      <c r="A81" s="83">
        <v>45901</v>
      </c>
      <c r="D81" s="82" t="s">
        <v>63</v>
      </c>
      <c r="E81" s="82" t="s">
        <v>61</v>
      </c>
      <c r="H81" s="105">
        <f>B103+B104</f>
        <v>948721.95</v>
      </c>
    </row>
    <row r="82" spans="1:8">
      <c r="A82" s="83">
        <v>45931</v>
      </c>
      <c r="D82" s="82" t="s">
        <v>64</v>
      </c>
      <c r="E82" s="82" t="s">
        <v>61</v>
      </c>
      <c r="H82" s="44">
        <v>113500</v>
      </c>
    </row>
    <row r="83" spans="1:8">
      <c r="H83" s="44"/>
    </row>
    <row r="84" spans="1:8">
      <c r="H84" s="106">
        <f>SUM(H2:H82)</f>
        <v>3895155.17</v>
      </c>
    </row>
    <row r="85" spans="1:8">
      <c r="H85" s="44"/>
    </row>
    <row r="86" spans="1:8">
      <c r="H86" s="44"/>
    </row>
    <row r="87" spans="1:8">
      <c r="H87" s="44"/>
    </row>
    <row r="90" spans="1:8">
      <c r="A90" s="73">
        <v>45818</v>
      </c>
      <c r="B90" s="4"/>
      <c r="C90" s="68">
        <v>60306</v>
      </c>
      <c r="D90" s="5" t="s">
        <v>65</v>
      </c>
      <c r="E90" s="16" t="s">
        <v>12</v>
      </c>
      <c r="F90" s="7" t="s">
        <v>66</v>
      </c>
      <c r="G90" s="40">
        <v>3253.5</v>
      </c>
    </row>
    <row r="91" spans="1:8">
      <c r="A91" s="3"/>
      <c r="B91" s="4"/>
      <c r="C91" s="4"/>
      <c r="D91" s="9"/>
      <c r="E91" s="9"/>
      <c r="F91" s="7"/>
      <c r="G91" s="40"/>
    </row>
    <row r="92" spans="1:8">
      <c r="A92" s="74">
        <v>45848</v>
      </c>
      <c r="B92" s="4"/>
      <c r="C92" s="4">
        <v>60494</v>
      </c>
      <c r="D92" s="5" t="s">
        <v>58</v>
      </c>
      <c r="E92" s="16" t="s">
        <v>12</v>
      </c>
      <c r="F92" s="7" t="s">
        <v>66</v>
      </c>
      <c r="G92" s="40">
        <v>4972</v>
      </c>
    </row>
    <row r="93" spans="1:8">
      <c r="A93" s="3"/>
      <c r="B93" s="4"/>
      <c r="C93" s="4"/>
      <c r="D93" s="5" t="s">
        <v>67</v>
      </c>
      <c r="E93" s="16"/>
      <c r="F93" s="16"/>
      <c r="G93" s="40">
        <v>3420</v>
      </c>
    </row>
    <row r="94" spans="1:8">
      <c r="A94" s="74"/>
      <c r="B94" s="4"/>
      <c r="C94" s="4"/>
      <c r="D94" s="5"/>
      <c r="E94" s="16"/>
      <c r="F94" s="7"/>
      <c r="G94" s="40"/>
    </row>
    <row r="95" spans="1:8">
      <c r="A95" s="74">
        <v>45881</v>
      </c>
      <c r="B95" s="4"/>
      <c r="C95" s="4">
        <v>60708</v>
      </c>
      <c r="D95" s="5" t="s">
        <v>58</v>
      </c>
      <c r="E95" s="16" t="s">
        <v>12</v>
      </c>
      <c r="F95" s="7" t="s">
        <v>66</v>
      </c>
      <c r="G95" s="40">
        <v>1200</v>
      </c>
    </row>
    <row r="98" spans="1:2" ht="15">
      <c r="A98" s="116" t="s">
        <v>68</v>
      </c>
      <c r="B98" s="116"/>
    </row>
    <row r="99" spans="1:2" ht="15">
      <c r="A99" s="87" t="s">
        <v>69</v>
      </c>
      <c r="B99" s="88" t="s">
        <v>56</v>
      </c>
    </row>
    <row r="100" spans="1:2" ht="15">
      <c r="A100" s="89" t="s">
        <v>70</v>
      </c>
      <c r="B100" s="90">
        <v>45842</v>
      </c>
    </row>
    <row r="101" spans="1:2" ht="15">
      <c r="A101" s="91" t="s">
        <v>71</v>
      </c>
      <c r="B101" s="92">
        <v>45909</v>
      </c>
    </row>
    <row r="102" spans="1:2" ht="15">
      <c r="A102" s="89" t="s">
        <v>72</v>
      </c>
      <c r="B102" s="93">
        <v>0.1</v>
      </c>
    </row>
    <row r="103" spans="1:2" ht="15">
      <c r="A103" s="94" t="s">
        <v>73</v>
      </c>
      <c r="B103" s="95">
        <v>862474.5</v>
      </c>
    </row>
    <row r="104" spans="1:2" ht="15">
      <c r="A104" s="89" t="s">
        <v>74</v>
      </c>
      <c r="B104" s="96">
        <v>86247.45</v>
      </c>
    </row>
    <row r="105" spans="1:2" ht="15">
      <c r="A105" s="94" t="s">
        <v>75</v>
      </c>
      <c r="B105" s="95">
        <v>236.29</v>
      </c>
    </row>
    <row r="106" spans="1:2" ht="15">
      <c r="A106" s="116" t="s">
        <v>76</v>
      </c>
      <c r="B106" s="116"/>
    </row>
    <row r="107" spans="1:2" ht="15">
      <c r="A107" s="87" t="s">
        <v>69</v>
      </c>
      <c r="B107" s="87" t="s">
        <v>56</v>
      </c>
    </row>
    <row r="108" spans="1:2" ht="15">
      <c r="A108" s="89" t="s">
        <v>77</v>
      </c>
      <c r="B108" s="97">
        <v>45903</v>
      </c>
    </row>
    <row r="109" spans="1:2" ht="15">
      <c r="A109" s="91" t="s">
        <v>78</v>
      </c>
      <c r="B109" s="98">
        <v>250000</v>
      </c>
    </row>
    <row r="110" spans="1:2" ht="15">
      <c r="A110" s="89" t="s">
        <v>79</v>
      </c>
      <c r="B110" s="89">
        <v>67</v>
      </c>
    </row>
    <row r="111" spans="1:2" ht="15">
      <c r="A111" s="91" t="s">
        <v>80</v>
      </c>
      <c r="B111" s="99">
        <v>15831.72</v>
      </c>
    </row>
    <row r="112" spans="1:2" ht="15">
      <c r="A112" s="89" t="s">
        <v>81</v>
      </c>
      <c r="B112" s="100">
        <v>878306.22</v>
      </c>
    </row>
    <row r="113" spans="1:2" ht="15">
      <c r="A113" s="91" t="s">
        <v>82</v>
      </c>
      <c r="B113" s="98">
        <v>-250000</v>
      </c>
    </row>
    <row r="114" spans="1:2" ht="15">
      <c r="A114" s="116" t="s">
        <v>83</v>
      </c>
      <c r="B114" s="116"/>
    </row>
    <row r="115" spans="1:2" ht="15">
      <c r="A115" s="87" t="s">
        <v>69</v>
      </c>
      <c r="B115" s="87" t="s">
        <v>56</v>
      </c>
    </row>
    <row r="116" spans="1:2" ht="15">
      <c r="A116" s="89" t="s">
        <v>84</v>
      </c>
      <c r="B116" s="100">
        <v>628306.22</v>
      </c>
    </row>
    <row r="117" spans="1:2" ht="15">
      <c r="A117" s="91" t="s">
        <v>85</v>
      </c>
      <c r="B117" s="101">
        <v>45909</v>
      </c>
    </row>
    <row r="118" spans="1:2" ht="15">
      <c r="A118" s="89" t="s">
        <v>74</v>
      </c>
      <c r="B118" s="100">
        <v>62830.62</v>
      </c>
    </row>
    <row r="119" spans="1:2" ht="15">
      <c r="A119" s="91" t="s">
        <v>75</v>
      </c>
      <c r="B119" s="99">
        <v>172.14</v>
      </c>
    </row>
    <row r="120" spans="1:2" ht="15">
      <c r="A120" s="89" t="s">
        <v>86</v>
      </c>
      <c r="B120" s="89">
        <v>6</v>
      </c>
    </row>
    <row r="121" spans="1:2" ht="15">
      <c r="A121" s="91" t="s">
        <v>87</v>
      </c>
      <c r="B121" s="99">
        <v>1032.83</v>
      </c>
    </row>
    <row r="122" spans="1:2" ht="15">
      <c r="A122" s="89" t="s">
        <v>88</v>
      </c>
      <c r="B122" s="102">
        <v>629339.06000000006</v>
      </c>
    </row>
    <row r="123" spans="1:2" ht="15">
      <c r="A123" s="91" t="s">
        <v>83</v>
      </c>
      <c r="B123" s="103">
        <v>-500000</v>
      </c>
    </row>
    <row r="124" spans="1:2" ht="15">
      <c r="A124" s="89" t="s">
        <v>89</v>
      </c>
      <c r="B124" s="102">
        <v>129339.06</v>
      </c>
    </row>
    <row r="125" spans="1:2" ht="15">
      <c r="A125" s="116" t="s">
        <v>90</v>
      </c>
      <c r="B125" s="116"/>
    </row>
    <row r="126" spans="1:2" ht="15">
      <c r="A126" s="87" t="s">
        <v>69</v>
      </c>
      <c r="B126" s="87" t="s">
        <v>56</v>
      </c>
    </row>
    <row r="127" spans="1:2" ht="15">
      <c r="A127" s="89" t="s">
        <v>91</v>
      </c>
      <c r="B127" s="100">
        <v>129339.06</v>
      </c>
    </row>
    <row r="128" spans="1:2" ht="15">
      <c r="A128" s="91" t="s">
        <v>90</v>
      </c>
      <c r="B128" s="104">
        <v>-125331.29</v>
      </c>
    </row>
    <row r="129" spans="1:2" ht="15">
      <c r="A129" s="89" t="s">
        <v>91</v>
      </c>
      <c r="B129" s="100">
        <v>4007.77</v>
      </c>
    </row>
    <row r="130" spans="1:2" ht="15">
      <c r="A130" s="116" t="s">
        <v>92</v>
      </c>
      <c r="B130" s="116"/>
    </row>
    <row r="131" spans="1:2" ht="15">
      <c r="A131" s="87" t="s">
        <v>91</v>
      </c>
      <c r="B131" s="103">
        <v>4007.77</v>
      </c>
    </row>
  </sheetData>
  <sheetProtection formatCells="0" formatColumns="0" formatRows="0" insertColumns="0" insertRows="0" insertHyperlinks="0" deleteColumns="0" deleteRows="0" sort="0" autoFilter="0" pivotTables="0"/>
  <mergeCells count="9">
    <mergeCell ref="E64:F64"/>
    <mergeCell ref="A98:B98"/>
    <mergeCell ref="A106:B106"/>
    <mergeCell ref="A114:B114"/>
    <mergeCell ref="A125:B125"/>
    <mergeCell ref="A130:B130"/>
    <mergeCell ref="E65:F65"/>
    <mergeCell ref="E66:F66"/>
    <mergeCell ref="E67:F67"/>
  </mergeCells>
  <pageMargins left="0.75" right="0.75" top="1" bottom="1" header="0.3" footer="0.3"/>
  <pageSetup paperSize="9" fitToHeight="0" orientation="portrait"/>
  <headerFooter alignWithMargins="0">
    <oddHeader>Aiken/Rutland Lot Development-Finance</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07817-E189-4128-8706-EE6B7CC3ADAF}">
  <sheetPr>
    <pageSetUpPr fitToPage="1"/>
  </sheetPr>
  <dimension ref="A1:E42"/>
  <sheetViews>
    <sheetView tabSelected="1" topLeftCell="A12" workbookViewId="0">
      <selection activeCell="E30" sqref="A1:E30"/>
    </sheetView>
  </sheetViews>
  <sheetFormatPr defaultRowHeight="12.75"/>
  <cols>
    <col min="1" max="1" width="30.7109375" customWidth="1"/>
    <col min="2" max="2" width="20.85546875" customWidth="1"/>
    <col min="3" max="4" width="27.7109375" customWidth="1"/>
    <col min="5" max="5" width="16.140625" style="44" customWidth="1"/>
  </cols>
  <sheetData>
    <row r="1" spans="1:5" ht="23.25">
      <c r="A1" s="127" t="s">
        <v>93</v>
      </c>
      <c r="B1" s="127"/>
      <c r="C1" s="127"/>
      <c r="D1" s="127"/>
      <c r="E1" s="127"/>
    </row>
    <row r="2" spans="1:5" s="113" customFormat="1" ht="113.25" customHeight="1">
      <c r="A2" s="125" t="s">
        <v>94</v>
      </c>
      <c r="B2" s="125"/>
      <c r="C2" s="125"/>
      <c r="D2" s="125"/>
      <c r="E2" s="125"/>
    </row>
    <row r="4" spans="1:5">
      <c r="A4" s="108" t="s">
        <v>95</v>
      </c>
      <c r="B4" s="108" t="s">
        <v>96</v>
      </c>
      <c r="C4" s="108" t="s">
        <v>54</v>
      </c>
      <c r="D4" s="108" t="s">
        <v>97</v>
      </c>
      <c r="E4" s="114" t="s">
        <v>56</v>
      </c>
    </row>
    <row r="5" spans="1:5">
      <c r="A5" s="110">
        <v>45413</v>
      </c>
      <c r="B5" s="107"/>
      <c r="C5" s="111" t="s">
        <v>11</v>
      </c>
      <c r="D5" s="111" t="s">
        <v>12</v>
      </c>
      <c r="E5" s="115">
        <v>50000</v>
      </c>
    </row>
    <row r="6" spans="1:5" ht="25.5">
      <c r="A6" s="110">
        <v>45474</v>
      </c>
      <c r="B6" s="111">
        <v>52054</v>
      </c>
      <c r="C6" s="111" t="s">
        <v>14</v>
      </c>
      <c r="D6" s="111" t="s">
        <v>12</v>
      </c>
      <c r="E6" s="115">
        <v>2400</v>
      </c>
    </row>
    <row r="7" spans="1:5" ht="25.5">
      <c r="A7" s="110">
        <v>45488</v>
      </c>
      <c r="B7" s="111">
        <v>52026</v>
      </c>
      <c r="C7" s="111" t="s">
        <v>16</v>
      </c>
      <c r="D7" s="111" t="s">
        <v>12</v>
      </c>
      <c r="E7" s="115">
        <v>2824.16</v>
      </c>
    </row>
    <row r="8" spans="1:5" ht="25.5">
      <c r="A8" s="110">
        <v>45553</v>
      </c>
      <c r="B8" s="111">
        <v>52027</v>
      </c>
      <c r="C8" s="111" t="s">
        <v>18</v>
      </c>
      <c r="D8" s="111" t="s">
        <v>12</v>
      </c>
      <c r="E8" s="115">
        <v>18756.330000000002</v>
      </c>
    </row>
    <row r="9" spans="1:5">
      <c r="A9" s="110">
        <v>45595</v>
      </c>
      <c r="B9" s="111">
        <v>58574</v>
      </c>
      <c r="C9" s="111" t="s">
        <v>21</v>
      </c>
      <c r="D9" s="111" t="s">
        <v>12</v>
      </c>
      <c r="E9" s="115">
        <v>720</v>
      </c>
    </row>
    <row r="10" spans="1:5">
      <c r="A10" s="110">
        <v>45595</v>
      </c>
      <c r="B10" s="111">
        <v>58574</v>
      </c>
      <c r="C10" s="111" t="s">
        <v>21</v>
      </c>
      <c r="D10" s="111" t="s">
        <v>23</v>
      </c>
      <c r="E10" s="115">
        <v>267.5</v>
      </c>
    </row>
    <row r="11" spans="1:5" ht="25.5">
      <c r="A11" s="110">
        <v>45596</v>
      </c>
      <c r="B11" s="111">
        <v>52025</v>
      </c>
      <c r="C11" s="111" t="s">
        <v>25</v>
      </c>
      <c r="D11" s="111" t="s">
        <v>12</v>
      </c>
      <c r="E11" s="115">
        <v>3803.75</v>
      </c>
    </row>
    <row r="12" spans="1:5">
      <c r="A12" s="110">
        <v>45631</v>
      </c>
      <c r="B12" s="111" t="s">
        <v>29</v>
      </c>
      <c r="C12" s="111" t="s">
        <v>30</v>
      </c>
      <c r="D12" s="111" t="s">
        <v>12</v>
      </c>
      <c r="E12" s="115">
        <v>25500</v>
      </c>
    </row>
    <row r="13" spans="1:5">
      <c r="A13" s="110">
        <v>45662</v>
      </c>
      <c r="B13" s="111" t="s">
        <v>29</v>
      </c>
      <c r="C13" s="111" t="s">
        <v>30</v>
      </c>
      <c r="D13" s="111" t="s">
        <v>12</v>
      </c>
      <c r="E13" s="115">
        <v>25500</v>
      </c>
    </row>
    <row r="14" spans="1:5">
      <c r="A14" s="110">
        <v>45693</v>
      </c>
      <c r="B14" s="111" t="s">
        <v>29</v>
      </c>
      <c r="C14" s="111" t="s">
        <v>30</v>
      </c>
      <c r="D14" s="111" t="s">
        <v>12</v>
      </c>
      <c r="E14" s="115">
        <v>25000</v>
      </c>
    </row>
    <row r="15" spans="1:5">
      <c r="A15" s="110">
        <v>45721</v>
      </c>
      <c r="B15" s="111" t="s">
        <v>41</v>
      </c>
      <c r="C15" s="111" t="s">
        <v>30</v>
      </c>
      <c r="D15" s="111" t="s">
        <v>12</v>
      </c>
      <c r="E15" s="115">
        <v>500</v>
      </c>
    </row>
    <row r="16" spans="1:5">
      <c r="A16" s="110">
        <v>45721</v>
      </c>
      <c r="B16" s="111" t="s">
        <v>41</v>
      </c>
      <c r="C16" s="111" t="s">
        <v>30</v>
      </c>
      <c r="D16" s="111" t="s">
        <v>23</v>
      </c>
      <c r="E16" s="115">
        <v>25000</v>
      </c>
    </row>
    <row r="17" spans="1:5">
      <c r="A17" s="110">
        <v>45721</v>
      </c>
      <c r="B17" s="111" t="s">
        <v>41</v>
      </c>
      <c r="C17" s="111" t="s">
        <v>43</v>
      </c>
      <c r="D17" s="111" t="s">
        <v>12</v>
      </c>
      <c r="E17" s="115">
        <v>15000</v>
      </c>
    </row>
    <row r="18" spans="1:5" ht="25.5">
      <c r="A18" s="110">
        <v>45743</v>
      </c>
      <c r="B18" s="111" t="s">
        <v>41</v>
      </c>
      <c r="C18" s="111" t="s">
        <v>45</v>
      </c>
      <c r="D18" s="111" t="s">
        <v>12</v>
      </c>
      <c r="E18" s="115">
        <v>500</v>
      </c>
    </row>
    <row r="19" spans="1:5">
      <c r="A19" s="110">
        <v>45780</v>
      </c>
      <c r="B19" s="107"/>
      <c r="C19" s="111" t="s">
        <v>59</v>
      </c>
      <c r="D19" s="111" t="s">
        <v>60</v>
      </c>
      <c r="E19" s="115">
        <v>500000</v>
      </c>
    </row>
    <row r="20" spans="1:5">
      <c r="A20" s="110">
        <v>45780</v>
      </c>
      <c r="B20" s="107"/>
      <c r="C20" s="111" t="s">
        <v>59</v>
      </c>
      <c r="D20" s="111" t="s">
        <v>61</v>
      </c>
      <c r="E20" s="115">
        <v>1000000</v>
      </c>
    </row>
    <row r="21" spans="1:5">
      <c r="A21" s="110">
        <v>45780</v>
      </c>
      <c r="B21" s="107"/>
      <c r="C21" s="111" t="s">
        <v>59</v>
      </c>
      <c r="D21" s="111" t="s">
        <v>62</v>
      </c>
      <c r="E21" s="115">
        <v>68000</v>
      </c>
    </row>
    <row r="22" spans="1:5">
      <c r="A22" s="110">
        <v>45780</v>
      </c>
      <c r="B22" s="107"/>
      <c r="C22" s="111" t="s">
        <v>59</v>
      </c>
      <c r="D22" s="111" t="s">
        <v>62</v>
      </c>
      <c r="E22" s="115">
        <v>200000</v>
      </c>
    </row>
    <row r="23" spans="1:5">
      <c r="A23" s="110">
        <v>45780</v>
      </c>
      <c r="B23" s="107"/>
      <c r="C23" s="111" t="s">
        <v>59</v>
      </c>
      <c r="D23" s="111" t="s">
        <v>62</v>
      </c>
      <c r="E23" s="115">
        <v>20000</v>
      </c>
    </row>
    <row r="24" spans="1:5">
      <c r="A24" s="110">
        <v>45818</v>
      </c>
      <c r="B24" s="111">
        <v>60306</v>
      </c>
      <c r="C24" s="111" t="s">
        <v>58</v>
      </c>
      <c r="D24" s="111" t="s">
        <v>12</v>
      </c>
      <c r="E24" s="115">
        <v>3253.5</v>
      </c>
    </row>
    <row r="25" spans="1:5">
      <c r="A25" s="110">
        <v>45848</v>
      </c>
      <c r="B25" s="111">
        <v>60494</v>
      </c>
      <c r="C25" s="111" t="s">
        <v>58</v>
      </c>
      <c r="D25" s="111" t="s">
        <v>12</v>
      </c>
      <c r="E25" s="115">
        <v>4972</v>
      </c>
    </row>
    <row r="26" spans="1:5">
      <c r="A26" s="110">
        <v>45848</v>
      </c>
      <c r="B26" s="111">
        <v>60494</v>
      </c>
      <c r="C26" s="111" t="s">
        <v>58</v>
      </c>
      <c r="D26" s="111" t="s">
        <v>12</v>
      </c>
      <c r="E26" s="115">
        <v>3420</v>
      </c>
    </row>
    <row r="27" spans="1:5">
      <c r="A27" s="110">
        <v>45881</v>
      </c>
      <c r="B27" s="111">
        <v>60708</v>
      </c>
      <c r="C27" s="111" t="s">
        <v>58</v>
      </c>
      <c r="D27" s="111" t="s">
        <v>12</v>
      </c>
      <c r="E27" s="115">
        <v>1200</v>
      </c>
    </row>
    <row r="28" spans="1:5">
      <c r="A28" s="110">
        <v>45901</v>
      </c>
      <c r="B28" s="107"/>
      <c r="C28" s="111" t="s">
        <v>63</v>
      </c>
      <c r="D28" s="111" t="s">
        <v>61</v>
      </c>
      <c r="E28" s="115">
        <v>948721.95</v>
      </c>
    </row>
    <row r="29" spans="1:5" ht="25.5">
      <c r="A29" s="110">
        <v>45931</v>
      </c>
      <c r="B29" s="107"/>
      <c r="C29" s="111" t="s">
        <v>64</v>
      </c>
      <c r="D29" s="111" t="s">
        <v>61</v>
      </c>
      <c r="E29" s="115">
        <v>113500</v>
      </c>
    </row>
    <row r="30" spans="1:5">
      <c r="D30" s="109" t="s">
        <v>98</v>
      </c>
      <c r="E30" s="106">
        <f>SUM(E5:E29)</f>
        <v>3058839.19</v>
      </c>
    </row>
    <row r="31" spans="1:5" ht="17.25">
      <c r="A31" s="126" t="s">
        <v>99</v>
      </c>
      <c r="B31" s="126"/>
      <c r="C31" s="126"/>
      <c r="D31" s="126"/>
      <c r="E31" s="126"/>
    </row>
    <row r="33" spans="1:2">
      <c r="A33" s="108" t="s">
        <v>55</v>
      </c>
      <c r="B33" s="109" t="s">
        <v>56</v>
      </c>
    </row>
    <row r="34" spans="1:2">
      <c r="A34" s="111" t="s">
        <v>23</v>
      </c>
      <c r="B34" s="115">
        <v>25267.5</v>
      </c>
    </row>
    <row r="35" spans="1:2">
      <c r="A35" s="111" t="s">
        <v>61</v>
      </c>
      <c r="B35" s="115">
        <v>2062221.95</v>
      </c>
    </row>
    <row r="36" spans="1:2">
      <c r="A36" s="111" t="s">
        <v>60</v>
      </c>
      <c r="B36" s="115">
        <v>500000</v>
      </c>
    </row>
    <row r="37" spans="1:2">
      <c r="A37" s="111" t="s">
        <v>12</v>
      </c>
      <c r="B37" s="115">
        <v>183349.74</v>
      </c>
    </row>
    <row r="38" spans="1:2">
      <c r="A38" s="111" t="s">
        <v>62</v>
      </c>
      <c r="B38" s="115">
        <v>288000</v>
      </c>
    </row>
    <row r="40" spans="1:2" ht="17.25">
      <c r="A40" s="112" t="s">
        <v>100</v>
      </c>
    </row>
    <row r="42" spans="1:2">
      <c r="A42" s="82" t="s">
        <v>101</v>
      </c>
    </row>
  </sheetData>
  <mergeCells count="3">
    <mergeCell ref="A2:E2"/>
    <mergeCell ref="A31:E31"/>
    <mergeCell ref="A1:E1"/>
  </mergeCells>
  <pageMargins left="0.7" right="0.7" top="0.75" bottom="0.75" header="0.3" footer="0.3"/>
  <pageSetup scale="75" orientation="portrait" r:id="rId1"/>
  <rowBreaks count="1" manualBreakCount="1">
    <brk id="29" max="4" man="1"/>
  </rowBreaks>
  <colBreaks count="1" manualBreakCount="1">
    <brk id="4" max="29" man="1"/>
  </col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4D1AD-07AB-4277-93E6-851850C7C1B0}">
  <dimension ref="A1"/>
  <sheetViews>
    <sheetView topLeftCell="A124" workbookViewId="0">
      <selection activeCell="A154" sqref="A154"/>
    </sheetView>
  </sheetViews>
  <sheetFormatPr defaultRowHeight="12.7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57C5-73A9-40F7-BC35-278BC689FAC8}">
  <sheetPr>
    <pageSetUpPr fitToPage="1"/>
  </sheetPr>
  <dimension ref="A1:I51"/>
  <sheetViews>
    <sheetView showRuler="0" zoomScaleNormal="100" workbookViewId="0">
      <selection activeCell="A2" sqref="A2:G7"/>
    </sheetView>
  </sheetViews>
  <sheetFormatPr defaultRowHeight="12.75"/>
  <cols>
    <col min="1" max="1" width="16.140625" style="2" customWidth="1"/>
    <col min="2" max="2" width="9" style="1" customWidth="1"/>
    <col min="3" max="3" width="11" style="1" customWidth="1"/>
    <col min="4" max="4" width="59.42578125" customWidth="1"/>
    <col min="5" max="5" width="18.42578125" customWidth="1"/>
    <col min="6" max="6" width="15.7109375" bestFit="1" customWidth="1"/>
    <col min="7" max="7" width="13.7109375" style="44" customWidth="1"/>
    <col min="8" max="9" width="13.7109375" customWidth="1"/>
  </cols>
  <sheetData>
    <row r="1" spans="1:9" s="67" customFormat="1" ht="15">
      <c r="A1" s="64" t="s">
        <v>0</v>
      </c>
      <c r="B1" s="65" t="s">
        <v>1</v>
      </c>
      <c r="C1" s="65" t="s">
        <v>2</v>
      </c>
      <c r="D1" s="64" t="s">
        <v>3</v>
      </c>
      <c r="E1" s="64" t="s">
        <v>4</v>
      </c>
      <c r="F1" s="64" t="s">
        <v>5</v>
      </c>
      <c r="G1" s="66" t="s">
        <v>6</v>
      </c>
      <c r="H1" s="64" t="s">
        <v>7</v>
      </c>
      <c r="I1" s="64" t="s">
        <v>8</v>
      </c>
    </row>
    <row r="2" spans="1:9">
      <c r="A2" s="73">
        <v>45818</v>
      </c>
      <c r="B2" s="4"/>
      <c r="C2" s="68">
        <v>60306</v>
      </c>
      <c r="D2" s="5" t="s">
        <v>65</v>
      </c>
      <c r="E2" s="16" t="s">
        <v>12</v>
      </c>
      <c r="F2" s="7" t="s">
        <v>66</v>
      </c>
      <c r="G2" s="40">
        <v>3253.5</v>
      </c>
      <c r="H2" s="5"/>
      <c r="I2" s="5"/>
    </row>
    <row r="3" spans="1:9">
      <c r="A3" s="3"/>
      <c r="B3" s="4"/>
      <c r="C3" s="4"/>
      <c r="D3" s="9"/>
      <c r="E3" s="9"/>
      <c r="F3" s="7"/>
      <c r="G3" s="40"/>
      <c r="H3" s="8"/>
      <c r="I3" s="8">
        <f>SUM(G3-H3)</f>
        <v>0</v>
      </c>
    </row>
    <row r="4" spans="1:9">
      <c r="A4" s="74">
        <v>45848</v>
      </c>
      <c r="B4" s="4"/>
      <c r="C4" s="4">
        <v>60494</v>
      </c>
      <c r="D4" s="5" t="s">
        <v>58</v>
      </c>
      <c r="E4" s="16" t="s">
        <v>12</v>
      </c>
      <c r="F4" s="7" t="s">
        <v>66</v>
      </c>
      <c r="G4" s="40">
        <v>4972</v>
      </c>
      <c r="H4" s="5"/>
      <c r="I4" s="8"/>
    </row>
    <row r="5" spans="1:9">
      <c r="A5" s="3"/>
      <c r="B5" s="4"/>
      <c r="C5" s="4"/>
      <c r="D5" s="5" t="s">
        <v>67</v>
      </c>
      <c r="E5" s="16"/>
      <c r="F5" s="16"/>
      <c r="G5" s="40">
        <v>3420</v>
      </c>
      <c r="H5" s="8"/>
      <c r="I5" s="79">
        <f>SUM(G4:G5)</f>
        <v>8392</v>
      </c>
    </row>
    <row r="6" spans="1:9">
      <c r="A6" s="74"/>
      <c r="B6" s="4"/>
      <c r="C6" s="4"/>
      <c r="D6" s="5"/>
      <c r="E6" s="16"/>
      <c r="F6" s="7"/>
      <c r="G6" s="40"/>
      <c r="H6" s="5"/>
      <c r="I6" s="8"/>
    </row>
    <row r="7" spans="1:9">
      <c r="A7" s="74">
        <v>45881</v>
      </c>
      <c r="B7" s="4"/>
      <c r="C7" s="4">
        <v>60708</v>
      </c>
      <c r="D7" s="5" t="s">
        <v>58</v>
      </c>
      <c r="E7" s="16" t="s">
        <v>12</v>
      </c>
      <c r="F7" s="7" t="s">
        <v>66</v>
      </c>
      <c r="G7" s="40">
        <v>1200</v>
      </c>
      <c r="H7" s="8"/>
      <c r="I7" s="8">
        <f>SUM(G7-H7)</f>
        <v>1200</v>
      </c>
    </row>
    <row r="8" spans="1:9">
      <c r="A8" s="6"/>
      <c r="B8" s="4"/>
      <c r="C8" s="4"/>
      <c r="D8" s="16"/>
      <c r="E8" s="16"/>
      <c r="F8" s="7"/>
      <c r="G8" s="40"/>
      <c r="H8" s="8"/>
      <c r="I8" s="8"/>
    </row>
    <row r="9" spans="1:9">
      <c r="A9" s="73"/>
      <c r="B9" s="4"/>
      <c r="C9" s="68"/>
      <c r="D9" s="5"/>
      <c r="E9" s="16"/>
      <c r="F9" s="7"/>
      <c r="G9" s="40"/>
      <c r="H9" s="8"/>
      <c r="I9" s="8">
        <f t="shared" ref="I9" si="0">SUM(G9-H9)</f>
        <v>0</v>
      </c>
    </row>
    <row r="10" spans="1:9">
      <c r="A10" s="3"/>
      <c r="B10" s="4"/>
      <c r="C10" s="4"/>
      <c r="D10" s="9"/>
      <c r="E10" s="9"/>
      <c r="F10" s="7"/>
      <c r="G10" s="40"/>
      <c r="H10" s="5"/>
      <c r="I10" s="8"/>
    </row>
    <row r="11" spans="1:9">
      <c r="A11" s="74"/>
      <c r="B11" s="4"/>
      <c r="C11" s="4"/>
      <c r="D11" s="5"/>
      <c r="E11" s="16"/>
      <c r="F11" s="7"/>
      <c r="G11" s="40"/>
      <c r="H11" s="8"/>
      <c r="I11" s="8">
        <v>0</v>
      </c>
    </row>
    <row r="12" spans="1:9">
      <c r="A12" s="3"/>
      <c r="B12" s="4"/>
      <c r="C12" s="4"/>
      <c r="D12" s="5"/>
      <c r="E12" s="16"/>
      <c r="F12" s="16"/>
      <c r="G12" s="40"/>
      <c r="H12" s="5"/>
      <c r="I12" s="8"/>
    </row>
    <row r="13" spans="1:9">
      <c r="A13" s="74"/>
      <c r="B13" s="4"/>
      <c r="C13" s="4"/>
      <c r="D13" s="5"/>
      <c r="E13" s="16"/>
      <c r="F13" s="7"/>
      <c r="G13" s="40"/>
      <c r="H13" s="5"/>
      <c r="I13" s="8"/>
    </row>
    <row r="14" spans="1:9">
      <c r="A14" s="3"/>
      <c r="B14" s="4"/>
      <c r="C14" s="4"/>
      <c r="D14" s="5"/>
      <c r="E14" s="5"/>
      <c r="F14" s="7"/>
      <c r="G14" s="40"/>
      <c r="H14" s="5"/>
      <c r="I14" s="8"/>
    </row>
    <row r="15" spans="1:9">
      <c r="A15" s="3"/>
      <c r="B15" s="4"/>
      <c r="C15" s="4"/>
      <c r="D15" s="16"/>
      <c r="E15" s="16"/>
      <c r="F15" s="7"/>
      <c r="G15" s="40"/>
      <c r="H15" s="8"/>
      <c r="I15" s="8">
        <f t="shared" ref="I15:I43" si="1">SUM(G15-H15)</f>
        <v>0</v>
      </c>
    </row>
    <row r="16" spans="1:9">
      <c r="A16" s="3"/>
      <c r="B16" s="4"/>
      <c r="C16" s="4"/>
      <c r="D16" s="5"/>
      <c r="E16" s="5"/>
      <c r="F16" s="7"/>
      <c r="G16" s="40"/>
      <c r="H16" s="8"/>
      <c r="I16" s="8"/>
    </row>
    <row r="17" spans="1:9">
      <c r="A17" s="3"/>
      <c r="B17" s="4"/>
      <c r="C17" s="4"/>
      <c r="D17" s="5"/>
      <c r="E17" s="16"/>
      <c r="F17" s="7"/>
      <c r="G17" s="40"/>
      <c r="H17" s="8"/>
      <c r="I17" s="8">
        <v>0</v>
      </c>
    </row>
    <row r="18" spans="1:9">
      <c r="A18" s="3"/>
      <c r="B18" s="4"/>
      <c r="C18" s="4"/>
      <c r="D18" s="5"/>
      <c r="E18" s="16"/>
      <c r="F18" s="7"/>
      <c r="G18" s="40"/>
      <c r="H18" s="40"/>
      <c r="I18" s="8"/>
    </row>
    <row r="19" spans="1:9">
      <c r="A19" s="3"/>
      <c r="B19" s="4"/>
      <c r="C19" s="4"/>
      <c r="D19" s="5"/>
      <c r="E19" s="5"/>
      <c r="F19" s="7"/>
      <c r="G19" s="40"/>
      <c r="H19" s="40"/>
      <c r="I19" s="8"/>
    </row>
    <row r="20" spans="1:9">
      <c r="A20" s="3"/>
      <c r="B20" s="4"/>
      <c r="C20" s="4"/>
      <c r="D20" s="5"/>
      <c r="E20" s="5"/>
      <c r="F20" s="5"/>
      <c r="G20" s="40"/>
      <c r="H20" s="8"/>
      <c r="I20" s="8"/>
    </row>
    <row r="21" spans="1:9">
      <c r="A21" s="3"/>
      <c r="B21" s="4"/>
      <c r="C21" s="4"/>
      <c r="D21" s="5"/>
      <c r="E21" s="5"/>
      <c r="F21" s="7"/>
      <c r="G21" s="40"/>
      <c r="H21" s="8"/>
      <c r="I21" s="8">
        <v>0</v>
      </c>
    </row>
    <row r="22" spans="1:9">
      <c r="A22" s="3"/>
      <c r="B22" s="4"/>
      <c r="C22" s="4"/>
      <c r="D22" s="5"/>
      <c r="E22" s="5"/>
      <c r="F22" s="5"/>
      <c r="G22" s="40"/>
      <c r="H22" s="8"/>
      <c r="I22" s="8"/>
    </row>
    <row r="23" spans="1:9">
      <c r="A23" s="6"/>
      <c r="B23" s="4"/>
      <c r="C23" s="4"/>
      <c r="D23" s="5"/>
      <c r="E23" s="5"/>
      <c r="F23" s="7"/>
      <c r="G23" s="40"/>
      <c r="H23" s="8"/>
      <c r="I23" s="8">
        <f>SUM(G23-H23)</f>
        <v>0</v>
      </c>
    </row>
    <row r="24" spans="1:9">
      <c r="A24" s="6"/>
      <c r="B24" s="4"/>
      <c r="C24" s="4"/>
      <c r="D24" s="5"/>
      <c r="E24" s="5"/>
      <c r="F24" s="7"/>
      <c r="G24" s="40"/>
      <c r="H24" s="8"/>
      <c r="I24" s="8"/>
    </row>
    <row r="25" spans="1:9">
      <c r="A25" s="6"/>
      <c r="B25" s="4"/>
      <c r="C25" s="4"/>
      <c r="D25" s="16"/>
      <c r="E25" s="5"/>
      <c r="F25" s="7"/>
      <c r="G25" s="40"/>
      <c r="H25" s="8"/>
      <c r="I25" s="8">
        <f t="shared" si="1"/>
        <v>0</v>
      </c>
    </row>
    <row r="26" spans="1:9" s="23" customFormat="1">
      <c r="A26" s="6"/>
      <c r="B26" s="4"/>
      <c r="C26" s="4"/>
      <c r="D26" s="16"/>
      <c r="E26" s="16"/>
      <c r="F26" s="7"/>
      <c r="G26" s="40"/>
      <c r="H26" s="8"/>
      <c r="I26" s="8"/>
    </row>
    <row r="27" spans="1:9" s="23" customFormat="1">
      <c r="A27" s="73"/>
      <c r="B27" s="4"/>
      <c r="C27" s="4"/>
      <c r="D27" s="16"/>
      <c r="E27" s="16"/>
      <c r="F27" s="7"/>
      <c r="G27" s="40"/>
      <c r="H27" s="8"/>
      <c r="I27" s="8">
        <v>0</v>
      </c>
    </row>
    <row r="28" spans="1:9" s="23" customFormat="1">
      <c r="A28" s="6"/>
      <c r="B28" s="4"/>
      <c r="C28" s="4"/>
      <c r="D28" s="16"/>
      <c r="E28" s="16"/>
      <c r="F28" s="7"/>
      <c r="G28" s="40"/>
      <c r="H28" s="8"/>
      <c r="I28" s="8"/>
    </row>
    <row r="29" spans="1:9">
      <c r="A29" s="6"/>
      <c r="B29" s="4"/>
      <c r="C29" s="4"/>
      <c r="D29" s="5"/>
      <c r="E29" s="5"/>
      <c r="F29" s="7"/>
      <c r="G29" s="40"/>
      <c r="H29" s="8"/>
      <c r="I29" s="8">
        <f t="shared" si="1"/>
        <v>0</v>
      </c>
    </row>
    <row r="30" spans="1:9" s="23" customFormat="1">
      <c r="A30" s="6"/>
      <c r="B30" s="4"/>
      <c r="C30" s="4"/>
      <c r="D30" s="5"/>
      <c r="E30" s="5"/>
      <c r="F30" s="7"/>
      <c r="G30" s="40"/>
      <c r="H30" s="8"/>
      <c r="I30" s="8"/>
    </row>
    <row r="31" spans="1:9" s="23" customFormat="1">
      <c r="A31" s="73"/>
      <c r="B31" s="4"/>
      <c r="C31" s="4"/>
      <c r="D31" s="16"/>
      <c r="E31" s="16"/>
      <c r="F31" s="7"/>
      <c r="G31" s="40"/>
      <c r="H31" s="8"/>
      <c r="I31" s="8"/>
    </row>
    <row r="32" spans="1:9" s="23" customFormat="1">
      <c r="A32" s="73"/>
      <c r="B32" s="4"/>
      <c r="C32" s="4"/>
      <c r="D32" s="16"/>
      <c r="E32" s="16"/>
      <c r="F32" s="7"/>
      <c r="G32" s="40"/>
      <c r="H32" s="8"/>
      <c r="I32" s="8"/>
    </row>
    <row r="33" spans="1:9">
      <c r="A33" s="6"/>
      <c r="B33" s="4"/>
      <c r="C33" s="4"/>
      <c r="D33" s="16"/>
      <c r="E33" s="16"/>
      <c r="F33" s="7"/>
      <c r="G33" s="40"/>
      <c r="H33" s="8"/>
      <c r="I33" s="8">
        <f t="shared" si="1"/>
        <v>0</v>
      </c>
    </row>
    <row r="34" spans="1:9" s="23" customFormat="1">
      <c r="A34" s="6"/>
      <c r="B34" s="4"/>
      <c r="C34" s="4"/>
      <c r="D34" s="16"/>
      <c r="E34" s="16"/>
      <c r="F34" s="75"/>
      <c r="G34" s="40"/>
      <c r="H34" s="8"/>
      <c r="I34" s="8"/>
    </row>
    <row r="35" spans="1:9">
      <c r="A35" s="6"/>
      <c r="B35" s="4"/>
      <c r="C35" s="68"/>
      <c r="D35" s="16"/>
      <c r="E35" s="16"/>
      <c r="F35" s="7"/>
      <c r="G35" s="40"/>
      <c r="H35" s="8"/>
      <c r="I35" s="8">
        <f t="shared" si="1"/>
        <v>0</v>
      </c>
    </row>
    <row r="36" spans="1:9">
      <c r="A36" s="6"/>
      <c r="B36" s="4"/>
      <c r="C36" s="68"/>
      <c r="D36" s="16"/>
      <c r="E36" s="16"/>
      <c r="F36" s="7"/>
      <c r="G36" s="40"/>
      <c r="H36" s="8"/>
      <c r="I36" s="8"/>
    </row>
    <row r="37" spans="1:9">
      <c r="A37" s="3"/>
      <c r="B37" s="4"/>
      <c r="C37" s="4"/>
      <c r="D37" s="5"/>
      <c r="E37" s="5"/>
      <c r="F37" s="7"/>
      <c r="G37" s="40"/>
      <c r="H37" s="8"/>
      <c r="I37" s="8">
        <f t="shared" ref="I37" si="2">SUM(G37-H37)</f>
        <v>0</v>
      </c>
    </row>
    <row r="38" spans="1:9">
      <c r="A38" s="3"/>
      <c r="B38" s="4"/>
      <c r="C38" s="4"/>
      <c r="D38" s="5"/>
      <c r="E38" s="5"/>
      <c r="F38" s="5"/>
      <c r="G38" s="40"/>
      <c r="H38" s="8"/>
      <c r="I38" s="8"/>
    </row>
    <row r="39" spans="1:9">
      <c r="A39" s="3"/>
      <c r="B39" s="4"/>
      <c r="C39" s="4"/>
      <c r="D39" s="5"/>
      <c r="E39" s="5"/>
      <c r="F39" s="7"/>
      <c r="G39" s="40"/>
      <c r="H39" s="8"/>
      <c r="I39" s="8">
        <f t="shared" si="1"/>
        <v>0</v>
      </c>
    </row>
    <row r="40" spans="1:9">
      <c r="A40" s="3"/>
      <c r="B40" s="4"/>
      <c r="C40" s="4"/>
      <c r="D40" s="5"/>
      <c r="E40" s="5"/>
      <c r="F40" s="5"/>
      <c r="G40" s="40"/>
      <c r="H40" s="8"/>
      <c r="I40" s="8"/>
    </row>
    <row r="41" spans="1:9">
      <c r="A41" s="6"/>
      <c r="B41" s="68"/>
      <c r="C41" s="4"/>
      <c r="D41" s="5"/>
      <c r="E41" s="5"/>
      <c r="F41" s="69"/>
      <c r="G41" s="40"/>
      <c r="H41" s="8"/>
      <c r="I41" s="8">
        <f t="shared" ref="I41" si="3">SUM(G41-H41)</f>
        <v>0</v>
      </c>
    </row>
    <row r="42" spans="1:9">
      <c r="A42" s="6"/>
      <c r="B42" s="68"/>
      <c r="C42" s="4"/>
      <c r="D42" s="5"/>
      <c r="E42" s="5"/>
      <c r="F42" s="69"/>
      <c r="G42" s="40"/>
      <c r="H42" s="8"/>
      <c r="I42" s="8"/>
    </row>
    <row r="43" spans="1:9">
      <c r="A43" s="6"/>
      <c r="B43" s="68"/>
      <c r="C43" s="4"/>
      <c r="D43" s="5"/>
      <c r="E43" s="5"/>
      <c r="F43" s="69"/>
      <c r="G43" s="40"/>
      <c r="H43" s="8"/>
      <c r="I43" s="8">
        <f t="shared" si="1"/>
        <v>0</v>
      </c>
    </row>
    <row r="44" spans="1:9">
      <c r="A44" s="6"/>
      <c r="B44" s="68"/>
      <c r="C44" s="4"/>
      <c r="D44" s="5"/>
      <c r="E44" s="5"/>
      <c r="F44" s="69"/>
      <c r="G44" s="40"/>
      <c r="H44" s="8"/>
      <c r="I44" s="8"/>
    </row>
    <row r="45" spans="1:9">
      <c r="A45" s="6"/>
      <c r="B45" s="68"/>
      <c r="C45" s="4"/>
      <c r="D45" s="5"/>
      <c r="E45" s="5"/>
      <c r="F45" s="69"/>
      <c r="G45" s="40"/>
      <c r="H45" s="8"/>
      <c r="I45" s="8">
        <v>0</v>
      </c>
    </row>
    <row r="46" spans="1:9">
      <c r="A46" s="6"/>
      <c r="B46" s="68"/>
      <c r="C46" s="4"/>
      <c r="D46" s="5"/>
      <c r="E46" s="5"/>
      <c r="F46" s="69"/>
      <c r="G46" s="40"/>
      <c r="H46" s="40"/>
      <c r="I46" s="8"/>
    </row>
    <row r="47" spans="1:9">
      <c r="A47" s="6"/>
      <c r="B47" s="68"/>
      <c r="C47" s="4"/>
      <c r="D47" s="5"/>
      <c r="E47" s="5" t="s">
        <v>12</v>
      </c>
      <c r="F47" s="69"/>
      <c r="G47" s="40"/>
      <c r="H47" s="40"/>
      <c r="I47" s="8"/>
    </row>
    <row r="48" spans="1:9">
      <c r="A48" s="6"/>
      <c r="B48" s="68"/>
      <c r="C48" s="4"/>
      <c r="D48" s="5"/>
      <c r="E48" s="128"/>
      <c r="F48" s="129"/>
      <c r="G48" s="40"/>
      <c r="H48" s="8"/>
      <c r="I48" s="8"/>
    </row>
    <row r="49" spans="1:9" ht="26.25" customHeight="1">
      <c r="A49" s="3"/>
      <c r="B49" s="4"/>
      <c r="C49" s="4"/>
      <c r="D49" s="5"/>
      <c r="E49" s="130" t="s">
        <v>50</v>
      </c>
      <c r="F49" s="131"/>
      <c r="G49" s="76">
        <f>SUM(G3:G47)</f>
        <v>9592</v>
      </c>
      <c r="H49" s="77">
        <f>SUM(H3:H47)</f>
        <v>0</v>
      </c>
      <c r="I49" s="77">
        <f>SUM(I3:I47)</f>
        <v>9592</v>
      </c>
    </row>
    <row r="50" spans="1:9" ht="24" customHeight="1">
      <c r="A50" s="3"/>
      <c r="B50" s="4"/>
      <c r="C50" s="4"/>
      <c r="D50" s="5"/>
      <c r="E50" s="130" t="s">
        <v>51</v>
      </c>
      <c r="F50" s="131"/>
      <c r="G50" s="76"/>
      <c r="H50" s="77">
        <f>SUM(H3+H5+H7+H9+G12+H15+H18+H35+H39+H37+H47+H27+H21)</f>
        <v>0</v>
      </c>
      <c r="I50" s="77"/>
    </row>
    <row r="51" spans="1:9" ht="25.5" customHeight="1">
      <c r="A51" s="3"/>
      <c r="B51" s="4"/>
      <c r="C51" s="4"/>
      <c r="D51" s="5"/>
      <c r="E51" s="130" t="s">
        <v>52</v>
      </c>
      <c r="F51" s="131"/>
      <c r="G51" s="76"/>
      <c r="H51" s="78">
        <f>SUM(G13+H19+H23+H25+H46)</f>
        <v>0</v>
      </c>
      <c r="I51" s="77"/>
    </row>
  </sheetData>
  <sheetProtection formatCells="0" formatColumns="0" formatRows="0" insertColumns="0" insertRows="0" insertHyperlinks="0" deleteColumns="0" deleteRows="0" sort="0" autoFilter="0" pivotTables="0"/>
  <mergeCells count="4">
    <mergeCell ref="E48:F48"/>
    <mergeCell ref="E49:F49"/>
    <mergeCell ref="E50:F50"/>
    <mergeCell ref="E51:F51"/>
  </mergeCells>
  <pageMargins left="0.75" right="0.75" top="1" bottom="1" header="0.3" footer="0.3"/>
  <pageSetup paperSize="9" fitToHeight="0" orientation="portrait"/>
  <headerFooter alignWithMargins="0">
    <oddHeader>Aiken/Rutland Lot Development-Finance</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cd7767b-fbbb-4564-97b2-00a571431728" xsi:nil="true"/>
    <lcf76f155ced4ddcb4097134ff3c332f xmlns="f973a707-3aa9-46ff-a34c-6454ac29641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25C813CD0721741A0C9B6B6CC3052A0" ma:contentTypeVersion="15" ma:contentTypeDescription="Create a new document." ma:contentTypeScope="" ma:versionID="82b731608f6161ac2f82dd6aac969c7e">
  <xsd:schema xmlns:xsd="http://www.w3.org/2001/XMLSchema" xmlns:xs="http://www.w3.org/2001/XMLSchema" xmlns:p="http://schemas.microsoft.com/office/2006/metadata/properties" xmlns:ns2="f973a707-3aa9-46ff-a34c-6454ac29641e" xmlns:ns3="5cd7767b-fbbb-4564-97b2-00a571431728" targetNamespace="http://schemas.microsoft.com/office/2006/metadata/properties" ma:root="true" ma:fieldsID="a99e9b653a270f9591cd4a59b2aeca91" ns2:_="" ns3:_="">
    <xsd:import namespace="f973a707-3aa9-46ff-a34c-6454ac29641e"/>
    <xsd:import namespace="5cd7767b-fbbb-4564-97b2-00a5714317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SearchProperties" minOccurs="0"/>
                <xsd:element ref="ns2:MediaServiceDateTaken"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73a707-3aa9-46ff-a34c-6454ac296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f55e77a-921f-4c6b-8061-7eb2adfeb052"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cd7767b-fbbb-4564-97b2-00a571431728"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b3f0737-642a-43d2-ad6a-763a047c2d9b}" ma:internalName="TaxCatchAll" ma:showField="CatchAllData" ma:web="5cd7767b-fbbb-4564-97b2-00a571431728">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A15A30-F644-46BD-88EA-605A1A0D80D7}"/>
</file>

<file path=customXml/itemProps2.xml><?xml version="1.0" encoding="utf-8"?>
<ds:datastoreItem xmlns:ds="http://schemas.openxmlformats.org/officeDocument/2006/customXml" ds:itemID="{97FFB4AE-D488-4DF2-A4BF-799D347EE8A0}"/>
</file>

<file path=customXml/itemProps3.xml><?xml version="1.0" encoding="utf-8"?>
<ds:datastoreItem xmlns:ds="http://schemas.openxmlformats.org/officeDocument/2006/customXml" ds:itemID="{52BB6490-0A22-4FE6-BEEB-8AC226A682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Aiken/Rutland Lot Development-Finance</dc:title>
  <dc:subject>Document</dc:subject>
  <dc:creator>Jenny Reyes</dc:creator>
  <cp:keywords>Aiken/Rutland Lot Development-Finance</cp:keywords>
  <dc:description/>
  <cp:lastModifiedBy/>
  <cp:revision/>
  <dcterms:created xsi:type="dcterms:W3CDTF">2025-03-25T16:49:02Z</dcterms:created>
  <dcterms:modified xsi:type="dcterms:W3CDTF">2026-02-19T13:43:56Z</dcterms:modified>
  <cp:category>file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0x010100425C813CD0721741A0C9B6B6CC3052A0</vt:lpwstr>
  </property>
  <property fmtid="{D5CDD505-2E9C-101B-9397-08002B2CF9AE}" pid="3" name="MediaServiceImageTags">
    <vt:lpwstr/>
  </property>
</Properties>
</file>