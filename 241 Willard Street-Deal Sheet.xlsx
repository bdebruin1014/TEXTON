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redcedarcapitalpartners.sharepoint.com/Dropbox Migration/00. Projects/01. SC/01. Active/AQ1129 - 241 Willard Dr B Greenville 296111/06. Finance/"/>
    </mc:Choice>
  </mc:AlternateContent>
  <xr:revisionPtr revIDLastSave="2" documentId="8_{537B8B7D-88B2-4427-B02F-5E5B5A591E4C}" xr6:coauthVersionLast="47" xr6:coauthVersionMax="47" xr10:uidLastSave="{DA87C538-CB4D-4F2B-A434-A55C51CFCCED}"/>
  <bookViews>
    <workbookView xWindow="-110" yWindow="-110" windowWidth="34620" windowHeight="13900" tabRatio="776" activeTab="1" xr2:uid="{00000000-000D-0000-FFFF-FFFF00000000}"/>
  </bookViews>
  <sheets>
    <sheet name="LENDER" sheetId="29" r:id="rId1"/>
    <sheet name="Inputs" sheetId="1" r:id="rId2"/>
    <sheet name="Fee Build Dashboard" sheetId="17" state="hidden" r:id="rId3"/>
    <sheet name="Acquisition Summary" sheetId="13" r:id="rId4"/>
    <sheet name="Investor Summary" sheetId="16" r:id="rId5"/>
    <sheet name="Financing Summary" sheetId="24" state="hidden" r:id="rId6"/>
    <sheet name="CFO Summary" sheetId="25" state="hidden" r:id="rId7"/>
    <sheet name="Monthly CF" sheetId="9" r:id="rId8"/>
    <sheet name="Comps" sheetId="26" r:id="rId9"/>
    <sheet name="Common Eq. WF" sheetId="14" state="hidden" r:id="rId10"/>
    <sheet name="Reference Tab" sheetId="5" r:id="rId11"/>
    <sheet name="Construction Bell-Shaped Curve" sheetId="11" state="hidden" r:id="rId12"/>
    <sheet name="Process" sheetId="4" state="hidden" r:id="rId13"/>
    <sheet name="Internal Budget" sheetId="18" state="hidden" r:id="rId14"/>
    <sheet name="SOV - External" sheetId="19" state="hidden" r:id="rId15"/>
    <sheet name="Synopsis" sheetId="20" state="hidden" r:id="rId16"/>
    <sheet name="Construction Details" sheetId="21" r:id="rId17"/>
    <sheet name="Deal Abstract" sheetId="15" state="hidden" r:id="rId18"/>
    <sheet name="Sheet1" sheetId="28" state="hidden" r:id="rId19"/>
    <sheet name="Brix Actual Budget" sheetId="27" r:id="rId20"/>
  </sheets>
  <externalReferences>
    <externalReference r:id="rId21"/>
    <externalReference r:id="rId22"/>
    <externalReference r:id="rId23"/>
  </externalReferences>
  <definedNames>
    <definedName name="\P">#REF!</definedName>
    <definedName name="\s" hidden="1">#REF!</definedName>
    <definedName name="_">#REF!</definedName>
    <definedName name="___wrn2" localSheetId="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wrn2" localSheetId="6"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wrn2" localSheetId="9"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wrn2" localSheetId="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wrn2" localSheetId="4"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wrn2" localSheetId="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wrn3" localSheetId="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wrn3" localSheetId="6"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wrn3" localSheetId="9"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wrn3" localSheetId="2"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wrn3" localSheetId="4"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wrn3" localSheetId="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123Graph_A" localSheetId="3" hidden="1">#REF!</definedName>
    <definedName name="__123Graph_A" localSheetId="9" hidden="1">#REF!</definedName>
    <definedName name="__123Graph_A" localSheetId="2" hidden="1">#REF!</definedName>
    <definedName name="__123Graph_A" localSheetId="4" hidden="1">#REF!</definedName>
    <definedName name="__123Graph_A" hidden="1">#REF!</definedName>
    <definedName name="__123Graph_AADJUSTED" hidden="1">#REF!</definedName>
    <definedName name="__123Graph_ABASE" hidden="1">#REF!</definedName>
    <definedName name="__123Graph_ACOLLECTIONS" hidden="1">#REF!</definedName>
    <definedName name="__123Graph_AGRAPH1" hidden="1">#REF!</definedName>
    <definedName name="__123Graph_AGRAPH4" hidden="1">#REF!</definedName>
    <definedName name="__123Graph_AGRAPH5" hidden="1">#REF!</definedName>
    <definedName name="__123Graph_B" hidden="1">#REF!</definedName>
    <definedName name="__123Graph_BCOLLECTIONS" hidden="1">#REF!</definedName>
    <definedName name="__123Graph_C" hidden="1">#REF!</definedName>
    <definedName name="__123Graph_D" hidden="1">#REF!</definedName>
    <definedName name="__123Graph_E" hidden="1">#REF!</definedName>
    <definedName name="__123Graph_F" hidden="1">#REF!</definedName>
    <definedName name="__123Graph_LBL_A" hidden="1">#REF!</definedName>
    <definedName name="__123Graph_LBL_AADJUSTED" hidden="1">#REF!</definedName>
    <definedName name="__123Graph_LBL_ABASE" hidden="1">#REF!</definedName>
    <definedName name="__123Graph_LBL_AGRAPH4" hidden="1">#REF!</definedName>
    <definedName name="__123Graph_LBL_AGRAPH5" hidden="1">#REF!</definedName>
    <definedName name="__123Graph_LBL_AMETPLX" hidden="1">#REF!</definedName>
    <definedName name="__123Graph_LBL_ANDALLAS" hidden="1">#REF!</definedName>
    <definedName name="__123Graph_LBL_B" hidden="1">#REF!</definedName>
    <definedName name="__123Graph_LBL_BGRAPH4" hidden="1">#REF!</definedName>
    <definedName name="__123Graph_LBL_BGRAPH5" hidden="1">#REF!</definedName>
    <definedName name="__123Graph_LBL_BMETPLX" hidden="1">#REF!</definedName>
    <definedName name="__123Graph_LBL_BNDALLAS" hidden="1">#REF!</definedName>
    <definedName name="__123Graph_LBL_C" hidden="1">#REF!</definedName>
    <definedName name="__123Graph_LBL_CMETPLX" hidden="1">#REF!</definedName>
    <definedName name="__123Graph_LBL_CNDALLAS" hidden="1">#REF!</definedName>
    <definedName name="__123Graph_X" hidden="1">#REF!</definedName>
    <definedName name="__123Graph_XADJUSTED" hidden="1">#REF!</definedName>
    <definedName name="__123Graph_XBASE" hidden="1">#REF!</definedName>
    <definedName name="__123Graph_XCOLLECTIONS" hidden="1">#REF!</definedName>
    <definedName name="__123Graph_XGRAPH1" hidden="1">#REF!</definedName>
    <definedName name="__123Graph_XGRAPH4" hidden="1">#REF!</definedName>
    <definedName name="__123Graph_XGRAPH5" hidden="1">#REF!</definedName>
    <definedName name="__FDS_HYPERLINK_TOGGLE_STATE__" hidden="1">"ON"</definedName>
    <definedName name="__IntlFixup" hidden="1">TRUE</definedName>
    <definedName name="__key2" hidden="1">#N/A</definedName>
    <definedName name="__PF1">#REF!</definedName>
    <definedName name="__wrn1" localSheetId="0" hidden="1">{"schedule1",#N/A,FALSE,"Sheet1";"schedule2",#N/A,FALSE,"Sheet1";"schedule3",#N/A,FALSE,"Sheet1";"schedule4",#N/A,FALSE,"Sheet1";"schedule5",#N/A,FALSE,"Sheet1";"schedule6",#N/A,FALSE,"Sheet1"}</definedName>
    <definedName name="__wrn1" hidden="1">{"schedule1",#N/A,FALSE,"Sheet1";"schedule2",#N/A,FALSE,"Sheet1";"schedule3",#N/A,FALSE,"Sheet1";"schedule4",#N/A,FALSE,"Sheet1";"schedule5",#N/A,FALSE,"Sheet1";"schedule6",#N/A,FALSE,"Sheet1"}</definedName>
    <definedName name="__wrn2" localSheetId="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wrn2" localSheetId="6"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wrn2" localSheetId="9"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wrn2" localSheetId="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wrn2" localSheetId="4"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wrn2" localSheetId="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wrn3" localSheetId="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wrn3" localSheetId="6"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wrn3" localSheetId="9"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wrn3" localSheetId="2"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wrn3" localSheetId="4"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wrn3" localSheetId="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1__123Graph_ACHART_1" localSheetId="3" hidden="1">#REF!</definedName>
    <definedName name="_1__123Graph_ACHART_1" localSheetId="9" hidden="1">#REF!</definedName>
    <definedName name="_1__123Graph_ACHART_1" localSheetId="2" hidden="1">#REF!</definedName>
    <definedName name="_1__123Graph_ACHART_1" localSheetId="4" hidden="1">#REF!</definedName>
    <definedName name="_1__123Graph_ACHART_1" hidden="1">#REF!</definedName>
    <definedName name="_1__123Graph_ACHART_2" hidden="1">#REF!</definedName>
    <definedName name="_10__123Graph_XCHART_1" hidden="1">#REF!</definedName>
    <definedName name="_10__123Graph_XCHART_2" hidden="1">#REF!</definedName>
    <definedName name="_100__123Graph_XChart_5" hidden="1">#REF!</definedName>
    <definedName name="_101__123Graph_XChart_6" hidden="1">#REF!</definedName>
    <definedName name="_11__123Graph_XCHART_3" hidden="1">#REF!</definedName>
    <definedName name="_2__123Graph_ACHART_1" hidden="1">#REF!</definedName>
    <definedName name="_2__123Graph_ACHART_2" localSheetId="3" hidden="1">#REF!</definedName>
    <definedName name="_2__123Graph_ACHART_2" localSheetId="9" hidden="1">#REF!</definedName>
    <definedName name="_2__123Graph_ACHART_2" localSheetId="2" hidden="1">#REF!</definedName>
    <definedName name="_2__123Graph_ACHART_2" localSheetId="4" hidden="1">#REF!</definedName>
    <definedName name="_2__123Graph_ACHART_2" hidden="1">#REF!</definedName>
    <definedName name="_2__123Graph_BCHART_2" hidden="1">#REF!</definedName>
    <definedName name="_22__123Graph_A_Chart_1A" hidden="1">#REF!</definedName>
    <definedName name="_23__123Graph_AChart_1" hidden="1">#REF!</definedName>
    <definedName name="_24__123Graph_ACHART_19" hidden="1">#REF!</definedName>
    <definedName name="_25__123Graph_AChart_2" hidden="1">#REF!</definedName>
    <definedName name="_26__123Graph_ACHART_20" hidden="1">#REF!</definedName>
    <definedName name="_27__123Graph_ACHART_22" hidden="1">#REF!</definedName>
    <definedName name="_28__123Graph_ACHART_23" hidden="1">#REF!</definedName>
    <definedName name="_29__123Graph_AChart_3" hidden="1">#REF!</definedName>
    <definedName name="_3__123Graph_ACHART_3" hidden="1">#REF!</definedName>
    <definedName name="_3__123Graph_BCHART_1" localSheetId="3" hidden="1">#REF!</definedName>
    <definedName name="_3__123Graph_BCHART_1" localSheetId="9" hidden="1">#REF!</definedName>
    <definedName name="_3__123Graph_BCHART_1" localSheetId="2" hidden="1">#REF!</definedName>
    <definedName name="_3__123Graph_BCHART_1" localSheetId="4" hidden="1">#REF!</definedName>
    <definedName name="_3__123Graph_BCHART_1" hidden="1">#REF!</definedName>
    <definedName name="_3__123Graph_CCHART_2" hidden="1">#REF!</definedName>
    <definedName name="_3_0_0_S" hidden="1">#REF!</definedName>
    <definedName name="_30__123Graph_AChart_4" hidden="1">#REF!</definedName>
    <definedName name="_31__123Graph_AChart_5" hidden="1">#REF!</definedName>
    <definedName name="_32__123Graph_AChart_6" hidden="1">#REF!</definedName>
    <definedName name="_33__123Graph_B_Chart_1A" hidden="1">#REF!</definedName>
    <definedName name="_34__123Graph_BCHART_12" hidden="1">#REF!</definedName>
    <definedName name="_35__123Graph_C_Chart_1A" hidden="1">#REF!</definedName>
    <definedName name="_36__123Graph_CCHART_10" hidden="1">#REF!</definedName>
    <definedName name="_37__123Graph_CCHART_11" hidden="1">#REF!</definedName>
    <definedName name="_38__123Graph_CCHART_12" hidden="1">#REF!</definedName>
    <definedName name="_39__123Graph_CCHART_13" hidden="1">#REF!</definedName>
    <definedName name="_4__123Graph_ACHART_3I" hidden="1">#REF!</definedName>
    <definedName name="_4__123Graph_BCHART_1" hidden="1">#REF!</definedName>
    <definedName name="_4__123Graph_XCHART_1" localSheetId="3" hidden="1">#REF!</definedName>
    <definedName name="_4__123Graph_XCHART_1" localSheetId="9" hidden="1">#REF!</definedName>
    <definedName name="_4__123Graph_XCHART_1" localSheetId="2" hidden="1">#REF!</definedName>
    <definedName name="_4__123Graph_XCHART_1" localSheetId="4" hidden="1">#REF!</definedName>
    <definedName name="_4__123Graph_XCHART_1" hidden="1">#REF!</definedName>
    <definedName name="_4__123Graph_XCHART_2" hidden="1">#REF!</definedName>
    <definedName name="_4_0_0_S" hidden="1">#REF!</definedName>
    <definedName name="_40__123Graph_CCHART_14" hidden="1">#REF!</definedName>
    <definedName name="_41__123Graph_CCHART_15" hidden="1">#REF!</definedName>
    <definedName name="_42__123Graph_CCHART_16" hidden="1">#REF!</definedName>
    <definedName name="_43__123Graph_CCHART_17" hidden="1">#REF!</definedName>
    <definedName name="_44__123Graph_CCHART_18" hidden="1">#REF!</definedName>
    <definedName name="_45__123Graph_CCHART_4" hidden="1">#REF!</definedName>
    <definedName name="_46__123Graph_CCHART_6" hidden="1">#REF!</definedName>
    <definedName name="_47__123Graph_CCHART_7" hidden="1">#REF!</definedName>
    <definedName name="_48__123Graph_CCHART_8" hidden="1">#REF!</definedName>
    <definedName name="_49__123Graph_CCHART_9" hidden="1">#REF!</definedName>
    <definedName name="_5__123Graph_CCHART_1" hidden="1">#REF!</definedName>
    <definedName name="_5__123Graph_XCHART_2" localSheetId="3" hidden="1">#REF!</definedName>
    <definedName name="_5__123Graph_XCHART_2" localSheetId="9" hidden="1">#REF!</definedName>
    <definedName name="_5__123Graph_XCHART_2" localSheetId="2" hidden="1">#REF!</definedName>
    <definedName name="_5__123Graph_XCHART_2" localSheetId="4" hidden="1">#REF!</definedName>
    <definedName name="_5__123Graph_XCHART_2" hidden="1">#REF!</definedName>
    <definedName name="_50__123Graph_D_Chart_1A" hidden="1">#REF!</definedName>
    <definedName name="_51__123Graph_DCHART_10" hidden="1">#REF!</definedName>
    <definedName name="_52__123Graph_DCHART_11" hidden="1">#REF!</definedName>
    <definedName name="_53__123Graph_DCHART_12" hidden="1">#REF!</definedName>
    <definedName name="_54__123Graph_DCHART_13" hidden="1">#REF!</definedName>
    <definedName name="_55__123Graph_DCHART_14" hidden="1">#REF!</definedName>
    <definedName name="_56__123Graph_DCHART_15" hidden="1">#REF!</definedName>
    <definedName name="_57__123Graph_DCHART_16" hidden="1">#REF!</definedName>
    <definedName name="_58__123Graph_DCHART_17" hidden="1">#REF!</definedName>
    <definedName name="_59__123Graph_DCHART_18" hidden="1">#REF!</definedName>
    <definedName name="_6__123Graph_DCHART_1" hidden="1">#REF!</definedName>
    <definedName name="_6__123Graph_LBL_ACHART_1" hidden="1">#REF!</definedName>
    <definedName name="_6_0_0_S" hidden="1">#REF!</definedName>
    <definedName name="_60__123Graph_DCHART_4" hidden="1">#REF!</definedName>
    <definedName name="_61__123Graph_DCHART_6" hidden="1">#REF!</definedName>
    <definedName name="_62__123Graph_DCHART_7" hidden="1">#REF!</definedName>
    <definedName name="_63__123Graph_DCHART_8" hidden="1">#REF!</definedName>
    <definedName name="_64__123Graph_DCHART_9" hidden="1">#REF!</definedName>
    <definedName name="_65__123Graph_E_Chart_1A" hidden="1">#REF!</definedName>
    <definedName name="_66__123Graph_ECHART_10" hidden="1">#REF!</definedName>
    <definedName name="_67__123Graph_ECHART_11" hidden="1">#REF!</definedName>
    <definedName name="_68__123Graph_ECHART_12" hidden="1">#REF!</definedName>
    <definedName name="_69__123Graph_ECHART_13" hidden="1">#REF!</definedName>
    <definedName name="_7__123Graph_ECHART_1" hidden="1">#REF!</definedName>
    <definedName name="_70__123Graph_ECHART_14" hidden="1">#REF!</definedName>
    <definedName name="_71__123Graph_ECHART_15" hidden="1">#REF!</definedName>
    <definedName name="_72__123Graph_ECHART_16" hidden="1">#REF!</definedName>
    <definedName name="_73__123Graph_ECHART_17" hidden="1">#REF!</definedName>
    <definedName name="_74__123Graph_ECHART_18" hidden="1">#REF!</definedName>
    <definedName name="_75__123Graph_ECHART_4" hidden="1">#REF!</definedName>
    <definedName name="_76__123Graph_ECHART_6" hidden="1">#REF!</definedName>
    <definedName name="_77__123Graph_ECHART_7" hidden="1">#REF!</definedName>
    <definedName name="_78__123Graph_ECHART_8" hidden="1">#REF!</definedName>
    <definedName name="_79__123Graph_ECHART_9" hidden="1">#REF!</definedName>
    <definedName name="_8__123Graph_FCHART_1" hidden="1">#REF!</definedName>
    <definedName name="_8__123Graph_LBL_ACHART_3I" hidden="1">#REF!</definedName>
    <definedName name="_80__123Graph_F_Chart_1A" hidden="1">#REF!</definedName>
    <definedName name="_81__123Graph_FCHART_10" hidden="1">#REF!</definedName>
    <definedName name="_82__123Graph_FCHART_11" hidden="1">#REF!</definedName>
    <definedName name="_83__123Graph_FCHART_12" hidden="1">#REF!</definedName>
    <definedName name="_84__123Graph_FCHART_13" hidden="1">#REF!</definedName>
    <definedName name="_85__123Graph_FCHART_14" hidden="1">#REF!</definedName>
    <definedName name="_86__123Graph_FCHART_15" hidden="1">#REF!</definedName>
    <definedName name="_87__123Graph_FCHART_16" hidden="1">#REF!</definedName>
    <definedName name="_88__123Graph_FCHART_4" hidden="1">#REF!</definedName>
    <definedName name="_89__123Graph_FCHART_6" hidden="1">#REF!</definedName>
    <definedName name="_9__123Graph_XCHART_1" hidden="1">#REF!</definedName>
    <definedName name="_90__123Graph_FCHART_7" hidden="1">#REF!</definedName>
    <definedName name="_91__123Graph_FCHART_8" hidden="1">#REF!</definedName>
    <definedName name="_92__123Graph_FCHART_9" hidden="1">#REF!</definedName>
    <definedName name="_93__123Graph_X_Chart_1A" hidden="1">#REF!</definedName>
    <definedName name="_94__123Graph_XChart_1" hidden="1">#REF!</definedName>
    <definedName name="_95__123Graph_XChart_2" hidden="1">#REF!</definedName>
    <definedName name="_96__123Graph_XCHART_20" hidden="1">#REF!</definedName>
    <definedName name="_97__123Graph_XCHART_23" hidden="1">#REF!</definedName>
    <definedName name="_98__123Graph_XChart_3" hidden="1">#REF!</definedName>
    <definedName name="_99__123Graph_XChart_4" hidden="1">#REF!</definedName>
    <definedName name="_a1" localSheetId="3" hidden="1">{"Assump",#N/A,TRUE,"Proforma";"first",#N/A,TRUE,"Proforma";"second",#N/A,TRUE,"Proforma";"lease1",#N/A,TRUE,"Proforma";"lease2",#N/A,TRUE,"Proforma"}</definedName>
    <definedName name="_a1" localSheetId="6" hidden="1">{#N/A,#N/A,FALSE,"el.det";#N/A,#N/A,FALSE,"mu.det";#N/A,#N/A,FALSE,"ug.det";#N/A,#N/A,FALSE,"ex.det";#N/A,#N/A,FALSE,"lux.det";#N/A,#N/A,FALSE,"custom.lot";#N/A,#N/A,FALSE,"condo.att";#N/A,#N/A,FALSE,"el.att";#N/A,#N/A,FALSE,"mu.att";#N/A,#N/A,FALSE,"ex.att";#N/A,#N/A,FALSE,"lux.att";#N/A,#N/A,FALSE,"all.by.village"}</definedName>
    <definedName name="_a1" localSheetId="9" hidden="1">{"Assump",#N/A,TRUE,"Proforma";"first",#N/A,TRUE,"Proforma";"second",#N/A,TRUE,"Proforma";"lease1",#N/A,TRUE,"Proforma";"lease2",#N/A,TRUE,"Proforma"}</definedName>
    <definedName name="_a1" localSheetId="2" hidden="1">{"Assump",#N/A,TRUE,"Proforma";"first",#N/A,TRUE,"Proforma";"second",#N/A,TRUE,"Proforma";"lease1",#N/A,TRUE,"Proforma";"lease2",#N/A,TRUE,"Proforma"}</definedName>
    <definedName name="_a1" localSheetId="4" hidden="1">{"Assump",#N/A,TRUE,"Proforma";"first",#N/A,TRUE,"Proforma";"second",#N/A,TRUE,"Proforma";"lease1",#N/A,TRUE,"Proforma";"lease2",#N/A,TRUE,"Proforma"}</definedName>
    <definedName name="_a1" localSheetId="0" hidden="1">{"Assump",#N/A,TRUE,"Proforma";"first",#N/A,TRUE,"Proforma";"second",#N/A,TRUE,"Proforma";"lease1",#N/A,TRUE,"Proforma";"lease2",#N/A,TRUE,"Proforma"}</definedName>
    <definedName name="_a1" hidden="1">{"Assump",#N/A,TRUE,"Proforma";"first",#N/A,TRUE,"Proforma";"second",#N/A,TRUE,"Proforma";"lease1",#N/A,TRUE,"Proforma";"lease2",#N/A,TRUE,"Proforma"}</definedName>
    <definedName name="_b1" localSheetId="0" hidden="1">{#N/A,#N/A,FALSE,"Aging Summary";#N/A,#N/A,FALSE,"Ratio Analysis";#N/A,#N/A,FALSE,"Test 120 Day Accts";#N/A,#N/A,FALSE,"Tickmarks"}</definedName>
    <definedName name="_b1" hidden="1">{#N/A,#N/A,FALSE,"Aging Summary";#N/A,#N/A,FALSE,"Ratio Analysis";#N/A,#N/A,FALSE,"Test 120 Day Accts";#N/A,#N/A,FALSE,"Tickmarks"}</definedName>
    <definedName name="_b2" localSheetId="3" hidden="1">{"PVGraph2",#N/A,FALSE,"PV Data"}</definedName>
    <definedName name="_b2" localSheetId="6" hidden="1">{#N/A,#N/A,FALSE,"IPCOVER";#N/A,#N/A,FALSE,"STATEMENT";#N/A,#N/A,FALSE,"MARGIN";#N/A,#N/A,FALSE,"GNS &amp; LSS";#N/A,#N/A,FALSE,"IPREALGL";#N/A,#N/A,FALSE,"SHRTACCT"}</definedName>
    <definedName name="_b2" localSheetId="9" hidden="1">{"PVGraph2",#N/A,FALSE,"PV Data"}</definedName>
    <definedName name="_b2" localSheetId="2" hidden="1">{"PVGraph2",#N/A,FALSE,"PV Data"}</definedName>
    <definedName name="_b2" localSheetId="4" hidden="1">{"PVGraph2",#N/A,FALSE,"PV Data"}</definedName>
    <definedName name="_b2" localSheetId="0" hidden="1">{"PVGraph2",#N/A,FALSE,"PV Data"}</definedName>
    <definedName name="_b2" hidden="1">{"PVGraph2",#N/A,FALSE,"PV Data"}</definedName>
    <definedName name="_bdm.CAAD75B892744DA7A396804116BF19C2.edm" hidden="1">#REF!</definedName>
    <definedName name="_bdm.FB8D8AB244B64BB9B4F5F5A4C5205085.edm" hidden="1">#REF!</definedName>
    <definedName name="_cbf1">#REF!</definedName>
    <definedName name="_cth1">#REF!</definedName>
    <definedName name="_cxe1">#REF!</definedName>
    <definedName name="_e4" localSheetId="3" hidden="1">{"new",#N/A,FALSE,"D";"PROFORMA",#N/A,FALSE,"A";"partial 1",#N/A,FALSE,"B";"partial 2",#N/A,FALSE,"B";"partial 3",#N/A,FALSE,"B";"SMALL CF 1",#N/A,FALSE,"C"}</definedName>
    <definedName name="_e4" localSheetId="9" hidden="1">{"new",#N/A,FALSE,"D";"PROFORMA",#N/A,FALSE,"A";"partial 1",#N/A,FALSE,"B";"partial 2",#N/A,FALSE,"B";"partial 3",#N/A,FALSE,"B";"SMALL CF 1",#N/A,FALSE,"C"}</definedName>
    <definedName name="_e4" localSheetId="2" hidden="1">{"new",#N/A,FALSE,"D";"PROFORMA",#N/A,FALSE,"A";"partial 1",#N/A,FALSE,"B";"partial 2",#N/A,FALSE,"B";"partial 3",#N/A,FALSE,"B";"SMALL CF 1",#N/A,FALSE,"C"}</definedName>
    <definedName name="_e4" localSheetId="4" hidden="1">{"new",#N/A,FALSE,"D";"PROFORMA",#N/A,FALSE,"A";"partial 1",#N/A,FALSE,"B";"partial 2",#N/A,FALSE,"B";"partial 3",#N/A,FALSE,"B";"SMALL CF 1",#N/A,FALSE,"C"}</definedName>
    <definedName name="_e4" localSheetId="0" hidden="1">{"new",#N/A,FALSE,"D";"PROFORMA",#N/A,FALSE,"A";"partial 1",#N/A,FALSE,"B";"partial 2",#N/A,FALSE,"B";"partial 3",#N/A,FALSE,"B";"SMALL CF 1",#N/A,FALSE,"C"}</definedName>
    <definedName name="_e4" hidden="1">{"new",#N/A,FALSE,"D";"PROFORMA",#N/A,FALSE,"A";"partial 1",#N/A,FALSE,"B";"partial 2",#N/A,FALSE,"B";"partial 3",#N/A,FALSE,"B";"SMALL CF 1",#N/A,FALSE,"C"}</definedName>
    <definedName name="_Example" hidden="1">#REF!</definedName>
    <definedName name="_Fill" localSheetId="3" hidden="1">#REF!</definedName>
    <definedName name="_Fill" localSheetId="9" hidden="1">#REF!</definedName>
    <definedName name="_Fill" localSheetId="2" hidden="1">#REF!</definedName>
    <definedName name="_Fill" localSheetId="4" hidden="1">#REF!</definedName>
    <definedName name="_Fill" hidden="1">#REF!</definedName>
    <definedName name="_Fill_HO" hidden="1">#REF!</definedName>
    <definedName name="_Fill18A" hidden="1">#REF!</definedName>
    <definedName name="_Fill18b" hidden="1">#REF!</definedName>
    <definedName name="_Fill18c" hidden="1">#REF!</definedName>
    <definedName name="_Fill19" hidden="1">#REF!</definedName>
    <definedName name="_Fill19b" hidden="1">#REF!</definedName>
    <definedName name="_Fill2" hidden="1">#REF!</definedName>
    <definedName name="_Fill3" hidden="1">#REF!</definedName>
    <definedName name="_I2" localSheetId="3" hidden="1">{"PVGraph2",#N/A,FALSE,"PV Data"}</definedName>
    <definedName name="_I2" localSheetId="9" hidden="1">{"PVGraph2",#N/A,FALSE,"PV Data"}</definedName>
    <definedName name="_I2" localSheetId="2" hidden="1">{"PVGraph2",#N/A,FALSE,"PV Data"}</definedName>
    <definedName name="_I2" localSheetId="4" hidden="1">{"PVGraph2",#N/A,FALSE,"PV Data"}</definedName>
    <definedName name="_I2" localSheetId="0" hidden="1">{"PVGraph2",#N/A,FALSE,"PV Data"}</definedName>
    <definedName name="_I2" hidden="1">{"PVGraph2",#N/A,FALSE,"PV Data"}</definedName>
    <definedName name="_I22" localSheetId="3" hidden="1">{"PVGraph2",#N/A,FALSE,"PV Data"}</definedName>
    <definedName name="_I22" localSheetId="9" hidden="1">{"PVGraph2",#N/A,FALSE,"PV Data"}</definedName>
    <definedName name="_I22" localSheetId="2" hidden="1">{"PVGraph2",#N/A,FALSE,"PV Data"}</definedName>
    <definedName name="_I22" localSheetId="4" hidden="1">{"PVGraph2",#N/A,FALSE,"PV Data"}</definedName>
    <definedName name="_I22" localSheetId="0" hidden="1">{"PVGraph2",#N/A,FALSE,"PV Data"}</definedName>
    <definedName name="_I22" hidden="1">{"PVGraph2",#N/A,FALSE,"PV Data"}</definedName>
    <definedName name="_I3" localSheetId="3" hidden="1">{"PVGraph2",#N/A,FALSE,"PV Data"}</definedName>
    <definedName name="_I3" localSheetId="9" hidden="1">{"PVGraph2",#N/A,FALSE,"PV Data"}</definedName>
    <definedName name="_I3" localSheetId="2" hidden="1">{"PVGraph2",#N/A,FALSE,"PV Data"}</definedName>
    <definedName name="_I3" localSheetId="4" hidden="1">{"PVGraph2",#N/A,FALSE,"PV Data"}</definedName>
    <definedName name="_I3" localSheetId="0" hidden="1">{"PVGraph2",#N/A,FALSE,"PV Data"}</definedName>
    <definedName name="_I3" hidden="1">{"PVGraph2",#N/A,FALSE,"PV Data"}</definedName>
    <definedName name="_II2" localSheetId="3" hidden="1">{"PVGraph2",#N/A,FALSE,"PV Data"}</definedName>
    <definedName name="_II2" localSheetId="9" hidden="1">{"PVGraph2",#N/A,FALSE,"PV Data"}</definedName>
    <definedName name="_II2" localSheetId="2" hidden="1">{"PVGraph2",#N/A,FALSE,"PV Data"}</definedName>
    <definedName name="_II2" localSheetId="4" hidden="1">{"PVGraph2",#N/A,FALSE,"PV Data"}</definedName>
    <definedName name="_II2" localSheetId="0" hidden="1">{"PVGraph2",#N/A,FALSE,"PV Data"}</definedName>
    <definedName name="_II2" hidden="1">{"PVGraph2",#N/A,FALSE,"PV Data"}</definedName>
    <definedName name="_Key1" localSheetId="3" hidden="1">#REF!</definedName>
    <definedName name="_Key1" localSheetId="9" hidden="1">#REF!</definedName>
    <definedName name="_Key1" localSheetId="2" hidden="1">#REF!</definedName>
    <definedName name="_Key1" localSheetId="4" hidden="1">#REF!</definedName>
    <definedName name="_Key1" hidden="1">#REF!</definedName>
    <definedName name="_Key2" localSheetId="3" hidden="1">#REF!</definedName>
    <definedName name="_Key2" localSheetId="9" hidden="1">#REF!</definedName>
    <definedName name="_Key2" localSheetId="2" hidden="1">#REF!</definedName>
    <definedName name="_Key2" localSheetId="4" hidden="1">#REF!</definedName>
    <definedName name="_Key2" hidden="1">#REF!</definedName>
    <definedName name="_Look" hidden="1">#REF!</definedName>
    <definedName name="_new1" localSheetId="0" hidden="1">{#N/A,#N/A,FALSE,"IPCOVER";#N/A,#N/A,FALSE,"STATEMENT";#N/A,#N/A,FALSE,"MARGIN";#N/A,#N/A,FALSE,"GNS &amp; LSS";#N/A,#N/A,FALSE,"IPREALGL";#N/A,#N/A,FALSE,"SHRTACCT"}</definedName>
    <definedName name="_new1" hidden="1">{#N/A,#N/A,FALSE,"IPCOVER";#N/A,#N/A,FALSE,"STATEMENT";#N/A,#N/A,FALSE,"MARGIN";#N/A,#N/A,FALSE,"GNS &amp; LSS";#N/A,#N/A,FALSE,"IPREALGL";#N/A,#N/A,FALSE,"SHRTACCT"}</definedName>
    <definedName name="_new3" localSheetId="0" hidden="1">{#N/A,#N/A,FALSE,"Aging Summary";#N/A,#N/A,FALSE,"Ratio Analysis";#N/A,#N/A,FALSE,"Test 120 Day Accts";#N/A,#N/A,FALSE,"Tickmarks"}</definedName>
    <definedName name="_new3" hidden="1">{#N/A,#N/A,FALSE,"Aging Summary";#N/A,#N/A,FALSE,"Ratio Analysis";#N/A,#N/A,FALSE,"Test 120 Day Accts";#N/A,#N/A,FALSE,"Tickmarks"}</definedName>
    <definedName name="_new5" localSheetId="0" hidden="1">{#N/A,#N/A,FALSE,"IPCOVER";#N/A,#N/A,FALSE,"STATEMENT";#N/A,#N/A,FALSE,"MARGIN";#N/A,#N/A,FALSE,"GNS &amp; LSS";#N/A,#N/A,FALSE,"IPREALGL";#N/A,#N/A,FALSE,"SHRTACCT"}</definedName>
    <definedName name="_new5" hidden="1">{#N/A,#N/A,FALSE,"IPCOVER";#N/A,#N/A,FALSE,"STATEMENT";#N/A,#N/A,FALSE,"MARGIN";#N/A,#N/A,FALSE,"GNS &amp; LSS";#N/A,#N/A,FALSE,"IPREALGL";#N/A,#N/A,FALSE,"SHRTACCT"}</definedName>
    <definedName name="_new6" localSheetId="0" hidden="1">{"page1",#N/A,FALSE,"The Sheet!!";"page2",#N/A,FALSE,"The Sheet!!"}</definedName>
    <definedName name="_new6" hidden="1">{"page1",#N/A,FALSE,"The Sheet!!";"page2",#N/A,FALSE,"The Sheet!!"}</definedName>
    <definedName name="_new7" localSheetId="0" hidden="1">{"page1",#N/A,FALSE,"The Sheet!!";"page2",#N/A,FALSE,"The Sheet!!"}</definedName>
    <definedName name="_new7" hidden="1">{"page1",#N/A,FALSE,"The Sheet!!";"page2",#N/A,FALSE,"The Sheet!!"}</definedName>
    <definedName name="_new8" localSheetId="0" hidden="1">{#N/A,#N/A,FALSE,"Aging Summary";#N/A,#N/A,FALSE,"Ratio Analysis";#N/A,#N/A,FALSE,"Test 120 Day Accts";#N/A,#N/A,FALSE,"Tickmarks"}</definedName>
    <definedName name="_new8" hidden="1">{#N/A,#N/A,FALSE,"Aging Summary";#N/A,#N/A,FALSE,"Ratio Analysis";#N/A,#N/A,FALSE,"Test 120 Day Accts";#N/A,#N/A,FALSE,"Tickmarks"}</definedName>
    <definedName name="_new97">#REF!</definedName>
    <definedName name="_Order1" hidden="1">255</definedName>
    <definedName name="_Order2" hidden="1">255</definedName>
    <definedName name="_Parse_Out" hidden="1">#REF!</definedName>
    <definedName name="_PF2">#REF!</definedName>
    <definedName name="_PG1">#REF!</definedName>
    <definedName name="_PG2">#REF!</definedName>
    <definedName name="_q234" hidden="1">#REF!</definedName>
    <definedName name="_Regression_Int" hidden="1">1</definedName>
    <definedName name="_Regression_Out" hidden="1">#REF!</definedName>
    <definedName name="_Regression_X" hidden="1">#REF!</definedName>
    <definedName name="_Regression_Y" hidden="1">#REF!</definedName>
    <definedName name="_s1" hidden="1">#REF!</definedName>
    <definedName name="_s2" hidden="1">#REF!</definedName>
    <definedName name="_s3" hidden="1">#REF!</definedName>
    <definedName name="_s4" hidden="1">#REF!</definedName>
    <definedName name="_s5" hidden="1">#REF!</definedName>
    <definedName name="_s6" hidden="1">#REF!</definedName>
    <definedName name="_sad2" localSheetId="0" hidden="1">{"MonthlyRentRoll",#N/A,FALSE,"RentRoll"}</definedName>
    <definedName name="_sad2" hidden="1">{"MonthlyRentRoll",#N/A,FALSE,"RentRoll"}</definedName>
    <definedName name="_Series" hidden="1">#REF!</definedName>
    <definedName name="_Shading" hidden="1">#REF!</definedName>
    <definedName name="_Sort" localSheetId="3" hidden="1">#REF!</definedName>
    <definedName name="_Sort" localSheetId="9" hidden="1">#REF!</definedName>
    <definedName name="_Sort" localSheetId="2" hidden="1">#REF!</definedName>
    <definedName name="_Sort" localSheetId="4" hidden="1">#REF!</definedName>
    <definedName name="_Sort" hidden="1">#REF!</definedName>
    <definedName name="_Table1_In1" localSheetId="3" hidden="1">#REF!</definedName>
    <definedName name="_Table1_In1" localSheetId="9" hidden="1">#REF!</definedName>
    <definedName name="_Table1_In1" localSheetId="2" hidden="1">#REF!</definedName>
    <definedName name="_Table1_In1" localSheetId="4" hidden="1">#REF!</definedName>
    <definedName name="_Table1_In1" hidden="1">#REF!</definedName>
    <definedName name="_Table1_In2" hidden="1">#REF!</definedName>
    <definedName name="_Table1_Out" localSheetId="3" hidden="1">#REF!</definedName>
    <definedName name="_Table1_Out" localSheetId="9" hidden="1">#REF!</definedName>
    <definedName name="_Table1_Out" localSheetId="2" hidden="1">#REF!</definedName>
    <definedName name="_Table1_Out" localSheetId="4" hidden="1">#REF!</definedName>
    <definedName name="_Table1_Out" hidden="1">#REF!</definedName>
    <definedName name="_Table2_In1" hidden="1">#REF!</definedName>
    <definedName name="_Table2_In2" hidden="1">#REF!</definedName>
    <definedName name="_Table2_Out" localSheetId="3" hidden="1">#REF!</definedName>
    <definedName name="_Table2_Out" localSheetId="9" hidden="1">#REF!</definedName>
    <definedName name="_Table2_Out" localSheetId="2" hidden="1">#REF!</definedName>
    <definedName name="_Table2_Out" localSheetId="4" hidden="1">#REF!</definedName>
    <definedName name="_Table2_Out" hidden="1">#REF!</definedName>
    <definedName name="_w1" localSheetId="3" hidden="1">{"PVGraph2",#N/A,FALSE,"PV Data"}</definedName>
    <definedName name="_w1" localSheetId="9" hidden="1">{"PVGraph2",#N/A,FALSE,"PV Data"}</definedName>
    <definedName name="_w1" localSheetId="2" hidden="1">{"PVGraph2",#N/A,FALSE,"PV Data"}</definedName>
    <definedName name="_w1" localSheetId="4" hidden="1">{"PVGraph2",#N/A,FALSE,"PV Data"}</definedName>
    <definedName name="_w1" localSheetId="0" hidden="1">{"PVGraph2",#N/A,FALSE,"PV Data"}</definedName>
    <definedName name="_w1" hidden="1">{"PVGraph2",#N/A,FALSE,"PV Data"}</definedName>
    <definedName name="_w2" localSheetId="3" hidden="1">{"PVGraph2",#N/A,FALSE,"PV Data"}</definedName>
    <definedName name="_w2" localSheetId="9" hidden="1">{"PVGraph2",#N/A,FALSE,"PV Data"}</definedName>
    <definedName name="_w2" localSheetId="2" hidden="1">{"PVGraph2",#N/A,FALSE,"PV Data"}</definedName>
    <definedName name="_w2" localSheetId="4" hidden="1">{"PVGraph2",#N/A,FALSE,"PV Data"}</definedName>
    <definedName name="_w2" localSheetId="0" hidden="1">{"PVGraph2",#N/A,FALSE,"PV Data"}</definedName>
    <definedName name="_w2" hidden="1">{"PVGraph2",#N/A,FALSE,"PV Data"}</definedName>
    <definedName name="_w3" localSheetId="3" hidden="1">{"PVGraph2",#N/A,FALSE,"PV Data"}</definedName>
    <definedName name="_w3" localSheetId="9" hidden="1">{"PVGraph2",#N/A,FALSE,"PV Data"}</definedName>
    <definedName name="_w3" localSheetId="2" hidden="1">{"PVGraph2",#N/A,FALSE,"PV Data"}</definedName>
    <definedName name="_w3" localSheetId="4" hidden="1">{"PVGraph2",#N/A,FALSE,"PV Data"}</definedName>
    <definedName name="_w3" localSheetId="0" hidden="1">{"PVGraph2",#N/A,FALSE,"PV Data"}</definedName>
    <definedName name="_w3" hidden="1">{"PVGraph2",#N/A,FALSE,"PV Data"}</definedName>
    <definedName name="_w9" localSheetId="3" hidden="1">{"PVGraph2",#N/A,FALSE,"PV Data"}</definedName>
    <definedName name="_w9" localSheetId="9" hidden="1">{"PVGraph2",#N/A,FALSE,"PV Data"}</definedName>
    <definedName name="_w9" localSheetId="2" hidden="1">{"PVGraph2",#N/A,FALSE,"PV Data"}</definedName>
    <definedName name="_w9" localSheetId="4" hidden="1">{"PVGraph2",#N/A,FALSE,"PV Data"}</definedName>
    <definedName name="_w9" localSheetId="0" hidden="1">{"PVGraph2",#N/A,FALSE,"PV Data"}</definedName>
    <definedName name="_w9" hidden="1">{"PVGraph2",#N/A,FALSE,"PV Data"}</definedName>
    <definedName name="_wer33" localSheetId="3" hidden="1">{"cover",#N/A,TRUE,"Cover";"toc5",#N/A,TRUE,"TOC";"over",#N/A,TRUE,"Overview";"ts2",#N/A,TRUE,"Det_Trans_Sum";"ei1",#N/A,TRUE,"Earnings Impact";"ad1",#N/A,TRUE,"accretion dilution";"pfis1",#N/A,TRUE,"Pro Forma Income Statement";"ca1",#N/A,TRUE,"Contribution_Analysis";"acq1",#N/A,TRUE,"Acquirer";"tar1",#N/A,TRUE,"Target"}</definedName>
    <definedName name="_wer33" localSheetId="9" hidden="1">{"cover",#N/A,TRUE,"Cover";"toc5",#N/A,TRUE,"TOC";"over",#N/A,TRUE,"Overview";"ts2",#N/A,TRUE,"Det_Trans_Sum";"ei1",#N/A,TRUE,"Earnings Impact";"ad1",#N/A,TRUE,"accretion dilution";"pfis1",#N/A,TRUE,"Pro Forma Income Statement";"ca1",#N/A,TRUE,"Contribution_Analysis";"acq1",#N/A,TRUE,"Acquirer";"tar1",#N/A,TRUE,"Target"}</definedName>
    <definedName name="_wer33" localSheetId="2" hidden="1">{"cover",#N/A,TRUE,"Cover";"toc5",#N/A,TRUE,"TOC";"over",#N/A,TRUE,"Overview";"ts2",#N/A,TRUE,"Det_Trans_Sum";"ei1",#N/A,TRUE,"Earnings Impact";"ad1",#N/A,TRUE,"accretion dilution";"pfis1",#N/A,TRUE,"Pro Forma Income Statement";"ca1",#N/A,TRUE,"Contribution_Analysis";"acq1",#N/A,TRUE,"Acquirer";"tar1",#N/A,TRUE,"Target"}</definedName>
    <definedName name="_wer33" localSheetId="4" hidden="1">{"cover",#N/A,TRUE,"Cover";"toc5",#N/A,TRUE,"TOC";"over",#N/A,TRUE,"Overview";"ts2",#N/A,TRUE,"Det_Trans_Sum";"ei1",#N/A,TRUE,"Earnings Impact";"ad1",#N/A,TRUE,"accretion dilution";"pfis1",#N/A,TRUE,"Pro Forma Income Statement";"ca1",#N/A,TRUE,"Contribution_Analysis";"acq1",#N/A,TRUE,"Acquirer";"tar1",#N/A,TRUE,"Target"}</definedName>
    <definedName name="_wer33" localSheetId="0" hidden="1">{"cover",#N/A,TRUE,"Cover";"toc5",#N/A,TRUE,"TOC";"over",#N/A,TRUE,"Overview";"ts2",#N/A,TRUE,"Det_Trans_Sum";"ei1",#N/A,TRUE,"Earnings Impact";"ad1",#N/A,TRUE,"accretion dilution";"pfis1",#N/A,TRUE,"Pro Forma Income Statement";"ca1",#N/A,TRUE,"Contribution_Analysis";"acq1",#N/A,TRUE,"Acquirer";"tar1",#N/A,TRUE,"Target"}</definedName>
    <definedName name="_wer33" hidden="1">{"cover",#N/A,TRUE,"Cover";"toc5",#N/A,TRUE,"TOC";"over",#N/A,TRUE,"Overview";"ts2",#N/A,TRUE,"Det_Trans_Sum";"ei1",#N/A,TRUE,"Earnings Impact";"ad1",#N/A,TRUE,"accretion dilution";"pfis1",#N/A,TRUE,"Pro Forma Income Statement";"ca1",#N/A,TRUE,"Contribution_Analysis";"acq1",#N/A,TRUE,"Acquirer";"tar1",#N/A,TRUE,"Target"}</definedName>
    <definedName name="_wrn1" localSheetId="3" hidden="1">{"schedule1",#N/A,FALSE,"Sheet1";"schedule2",#N/A,FALSE,"Sheet1";"schedule3",#N/A,FALSE,"Sheet1";"schedule4",#N/A,FALSE,"Sheet1";"schedule5",#N/A,FALSE,"Sheet1";"schedule6",#N/A,FALSE,"Sheet1"}</definedName>
    <definedName name="_wrn1" localSheetId="6" hidden="1">{"schedule1",#N/A,FALSE,"Sheet1";"schedule2",#N/A,FALSE,"Sheet1";"schedule3",#N/A,FALSE,"Sheet1";"schedule4",#N/A,FALSE,"Sheet1";"schedule5",#N/A,FALSE,"Sheet1";"schedule6",#N/A,FALSE,"Sheet1"}</definedName>
    <definedName name="_wrn1" localSheetId="9" hidden="1">{"schedule1",#N/A,FALSE,"Sheet1";"schedule2",#N/A,FALSE,"Sheet1";"schedule3",#N/A,FALSE,"Sheet1";"schedule4",#N/A,FALSE,"Sheet1";"schedule5",#N/A,FALSE,"Sheet1";"schedule6",#N/A,FALSE,"Sheet1"}</definedName>
    <definedName name="_wrn1" localSheetId="2" hidden="1">{"schedule1",#N/A,FALSE,"Sheet1";"schedule2",#N/A,FALSE,"Sheet1";"schedule3",#N/A,FALSE,"Sheet1";"schedule4",#N/A,FALSE,"Sheet1";"schedule5",#N/A,FALSE,"Sheet1";"schedule6",#N/A,FALSE,"Sheet1"}</definedName>
    <definedName name="_wrn1" localSheetId="4" hidden="1">{"schedule1",#N/A,FALSE,"Sheet1";"schedule2",#N/A,FALSE,"Sheet1";"schedule3",#N/A,FALSE,"Sheet1";"schedule4",#N/A,FALSE,"Sheet1";"schedule5",#N/A,FALSE,"Sheet1";"schedule6",#N/A,FALSE,"Sheet1"}</definedName>
    <definedName name="_wrn1" localSheetId="0" hidden="1">{"schedule1",#N/A,FALSE,"Sheet1";"schedule2",#N/A,FALSE,"Sheet1";"schedule3",#N/A,FALSE,"Sheet1";"schedule4",#N/A,FALSE,"Sheet1";"schedule5",#N/A,FALSE,"Sheet1";"schedule6",#N/A,FALSE,"Sheet1"}</definedName>
    <definedName name="_wrn1" hidden="1">{"schedule1",#N/A,FALSE,"Sheet1";"schedule2",#N/A,FALSE,"Sheet1";"schedule3",#N/A,FALSE,"Sheet1";"schedule4",#N/A,FALSE,"Sheet1";"schedule5",#N/A,FALSE,"Sheet1";"schedule6",#N/A,FALSE,"Sheet1"}</definedName>
    <definedName name="_wrn2" localSheetId="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2" localSheetId="6"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2" localSheetId="9"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2" localSheetId="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2" localSheetId="4"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2" localSheetId="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3" localSheetId="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wrn3" localSheetId="6"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wrn3" localSheetId="9"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wrn3" localSheetId="2"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wrn3" localSheetId="4"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wrn3" localSheetId="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x1" localSheetId="3" hidden="1">{#N/A,#N/A,FALSE,"WATCHDSC";#N/A,#N/A,FALSE,"2LOSSMOD";#N/A,#N/A,FALSE,"2LOSS";#N/A,#N/A,FALSE,"DSC";#N/A,#N/A,FALSE,"OPERAT";#N/A,#N/A,FALSE,"ADJUST";#N/A,#N/A,FALSE,"LEASE EXPIRE"}</definedName>
    <definedName name="_x1" localSheetId="6" hidden="1">{#N/A,#N/A,FALSE,"WATCHDSC";#N/A,#N/A,FALSE,"2LOSSMOD";#N/A,#N/A,FALSE,"2LOSS";#N/A,#N/A,FALSE,"DSC";#N/A,#N/A,FALSE,"OPERAT";#N/A,#N/A,FALSE,"ADJUST";#N/A,#N/A,FALSE,"LEASE EXPIRE"}</definedName>
    <definedName name="_x1" localSheetId="9" hidden="1">{#N/A,#N/A,FALSE,"WATCHDSC";#N/A,#N/A,FALSE,"2LOSSMOD";#N/A,#N/A,FALSE,"2LOSS";#N/A,#N/A,FALSE,"DSC";#N/A,#N/A,FALSE,"OPERAT";#N/A,#N/A,FALSE,"ADJUST";#N/A,#N/A,FALSE,"LEASE EXPIRE"}</definedName>
    <definedName name="_x1" localSheetId="2" hidden="1">{#N/A,#N/A,FALSE,"WATCHDSC";#N/A,#N/A,FALSE,"2LOSSMOD";#N/A,#N/A,FALSE,"2LOSS";#N/A,#N/A,FALSE,"DSC";#N/A,#N/A,FALSE,"OPERAT";#N/A,#N/A,FALSE,"ADJUST";#N/A,#N/A,FALSE,"LEASE EXPIRE"}</definedName>
    <definedName name="_x1" localSheetId="4" hidden="1">{#N/A,#N/A,FALSE,"WATCHDSC";#N/A,#N/A,FALSE,"2LOSSMOD";#N/A,#N/A,FALSE,"2LOSS";#N/A,#N/A,FALSE,"DSC";#N/A,#N/A,FALSE,"OPERAT";#N/A,#N/A,FALSE,"ADJUST";#N/A,#N/A,FALSE,"LEASE EXPIRE"}</definedName>
    <definedName name="_x1" localSheetId="0" hidden="1">{#N/A,#N/A,FALSE,"WATCHDSC";#N/A,#N/A,FALSE,"2LOSSMOD";#N/A,#N/A,FALSE,"2LOSS";#N/A,#N/A,FALSE,"DSC";#N/A,#N/A,FALSE,"OPERAT";#N/A,#N/A,FALSE,"ADJUST";#N/A,#N/A,FALSE,"LEASE EXPIRE"}</definedName>
    <definedName name="_x1" hidden="1">{#N/A,#N/A,FALSE,"WATCHDSC";#N/A,#N/A,FALSE,"2LOSSMOD";#N/A,#N/A,FALSE,"2LOSS";#N/A,#N/A,FALSE,"DSC";#N/A,#N/A,FALSE,"OPERAT";#N/A,#N/A,FALSE,"ADJUST";#N/A,#N/A,FALSE,"LEASE EXPIRE"}</definedName>
    <definedName name="_x2" localSheetId="3" hidden="1">{#N/A,#N/A,FALSE,"WATCHDSC";#N/A,#N/A,FALSE,"2LOSSMOD";#N/A,#N/A,FALSE,"2LOSS";#N/A,#N/A,FALSE,"DSC";#N/A,#N/A,FALSE,"OPERAT";#N/A,#N/A,FALSE,"ADJUST";#N/A,#N/A,FALSE,"LEASE EXPIRE"}</definedName>
    <definedName name="_x2" localSheetId="6" hidden="1">{#N/A,#N/A,FALSE,"WATCHDSC";#N/A,#N/A,FALSE,"2LOSSMOD";#N/A,#N/A,FALSE,"2LOSS";#N/A,#N/A,FALSE,"DSC";#N/A,#N/A,FALSE,"OPERAT";#N/A,#N/A,FALSE,"ADJUST";#N/A,#N/A,FALSE,"LEASE EXPIRE"}</definedName>
    <definedName name="_x2" localSheetId="9" hidden="1">{#N/A,#N/A,FALSE,"WATCHDSC";#N/A,#N/A,FALSE,"2LOSSMOD";#N/A,#N/A,FALSE,"2LOSS";#N/A,#N/A,FALSE,"DSC";#N/A,#N/A,FALSE,"OPERAT";#N/A,#N/A,FALSE,"ADJUST";#N/A,#N/A,FALSE,"LEASE EXPIRE"}</definedName>
    <definedName name="_x2" localSheetId="2" hidden="1">{#N/A,#N/A,FALSE,"WATCHDSC";#N/A,#N/A,FALSE,"2LOSSMOD";#N/A,#N/A,FALSE,"2LOSS";#N/A,#N/A,FALSE,"DSC";#N/A,#N/A,FALSE,"OPERAT";#N/A,#N/A,FALSE,"ADJUST";#N/A,#N/A,FALSE,"LEASE EXPIRE"}</definedName>
    <definedName name="_x2" localSheetId="4" hidden="1">{#N/A,#N/A,FALSE,"WATCHDSC";#N/A,#N/A,FALSE,"2LOSSMOD";#N/A,#N/A,FALSE,"2LOSS";#N/A,#N/A,FALSE,"DSC";#N/A,#N/A,FALSE,"OPERAT";#N/A,#N/A,FALSE,"ADJUST";#N/A,#N/A,FALSE,"LEASE EXPIRE"}</definedName>
    <definedName name="_x2" localSheetId="0" hidden="1">{#N/A,#N/A,FALSE,"WATCHDSC";#N/A,#N/A,FALSE,"2LOSSMOD";#N/A,#N/A,FALSE,"2LOSS";#N/A,#N/A,FALSE,"DSC";#N/A,#N/A,FALSE,"OPERAT";#N/A,#N/A,FALSE,"ADJUST";#N/A,#N/A,FALSE,"LEASE EXPIRE"}</definedName>
    <definedName name="_x2" hidden="1">{#N/A,#N/A,FALSE,"WATCHDSC";#N/A,#N/A,FALSE,"2LOSSMOD";#N/A,#N/A,FALSE,"2LOSS";#N/A,#N/A,FALSE,"DSC";#N/A,#N/A,FALSE,"OPERAT";#N/A,#N/A,FALSE,"ADJUST";#N/A,#N/A,FALSE,"LEASE EXPIRE"}</definedName>
    <definedName name="_x3" localSheetId="3" hidden="1">{#N/A,#N/A,FALSE,"WATCHDSC";#N/A,#N/A,FALSE,"2LOSSMOD";#N/A,#N/A,FALSE,"2LOSS";#N/A,#N/A,FALSE,"DSC";#N/A,#N/A,FALSE,"OPERAT";#N/A,#N/A,FALSE,"ADJUST";#N/A,#N/A,FALSE,"LEASE EXPIRE"}</definedName>
    <definedName name="_x3" localSheetId="6" hidden="1">{#N/A,#N/A,FALSE,"WATCHDSC";#N/A,#N/A,FALSE,"2LOSSMOD";#N/A,#N/A,FALSE,"2LOSS";#N/A,#N/A,FALSE,"DSC";#N/A,#N/A,FALSE,"OPERAT";#N/A,#N/A,FALSE,"ADJUST";#N/A,#N/A,FALSE,"LEASE EXPIRE"}</definedName>
    <definedName name="_x3" localSheetId="9" hidden="1">{#N/A,#N/A,FALSE,"WATCHDSC";#N/A,#N/A,FALSE,"2LOSSMOD";#N/A,#N/A,FALSE,"2LOSS";#N/A,#N/A,FALSE,"DSC";#N/A,#N/A,FALSE,"OPERAT";#N/A,#N/A,FALSE,"ADJUST";#N/A,#N/A,FALSE,"LEASE EXPIRE"}</definedName>
    <definedName name="_x3" localSheetId="2" hidden="1">{#N/A,#N/A,FALSE,"WATCHDSC";#N/A,#N/A,FALSE,"2LOSSMOD";#N/A,#N/A,FALSE,"2LOSS";#N/A,#N/A,FALSE,"DSC";#N/A,#N/A,FALSE,"OPERAT";#N/A,#N/A,FALSE,"ADJUST";#N/A,#N/A,FALSE,"LEASE EXPIRE"}</definedName>
    <definedName name="_x3" localSheetId="4" hidden="1">{#N/A,#N/A,FALSE,"WATCHDSC";#N/A,#N/A,FALSE,"2LOSSMOD";#N/A,#N/A,FALSE,"2LOSS";#N/A,#N/A,FALSE,"DSC";#N/A,#N/A,FALSE,"OPERAT";#N/A,#N/A,FALSE,"ADJUST";#N/A,#N/A,FALSE,"LEASE EXPIRE"}</definedName>
    <definedName name="_x3" localSheetId="0" hidden="1">{#N/A,#N/A,FALSE,"WATCHDSC";#N/A,#N/A,FALSE,"2LOSSMOD";#N/A,#N/A,FALSE,"2LOSS";#N/A,#N/A,FALSE,"DSC";#N/A,#N/A,FALSE,"OPERAT";#N/A,#N/A,FALSE,"ADJUST";#N/A,#N/A,FALSE,"LEASE EXPIRE"}</definedName>
    <definedName name="_x3" hidden="1">{#N/A,#N/A,FALSE,"WATCHDSC";#N/A,#N/A,FALSE,"2LOSSMOD";#N/A,#N/A,FALSE,"2LOSS";#N/A,#N/A,FALSE,"DSC";#N/A,#N/A,FALSE,"OPERAT";#N/A,#N/A,FALSE,"ADJUST";#N/A,#N/A,FALSE,"LEASE EXPIRE"}</definedName>
    <definedName name="_y2" localSheetId="3" hidden="1">{"PVGraph2",#N/A,FALSE,"PV Data"}</definedName>
    <definedName name="_y2" localSheetId="9" hidden="1">{"PVGraph2",#N/A,FALSE,"PV Data"}</definedName>
    <definedName name="_y2" localSheetId="2" hidden="1">{"PVGraph2",#N/A,FALSE,"PV Data"}</definedName>
    <definedName name="_y2" localSheetId="4" hidden="1">{"PVGraph2",#N/A,FALSE,"PV Data"}</definedName>
    <definedName name="_y2" localSheetId="0" hidden="1">{"PVGraph2",#N/A,FALSE,"PV Data"}</definedName>
    <definedName name="_y2" hidden="1">{"PVGraph2",#N/A,FALSE,"PV Data"}</definedName>
    <definedName name="a" localSheetId="3" hidden="1">#REF!</definedName>
    <definedName name="a" localSheetId="9" hidden="1">#REF!</definedName>
    <definedName name="a" localSheetId="2" hidden="1">#REF!</definedName>
    <definedName name="a" localSheetId="4" hidden="1">#REF!</definedName>
    <definedName name="A">#N/A</definedName>
    <definedName name="aa" localSheetId="3" hidden="1">{"toc1",#N/A,FALSE,"TOC";"cover",#N/A,FALSE,"Cover";"ts1",#N/A,FALSE,"Transaction Summary";"ei3",#N/A,FALSE,"Earnings Impact";"ad3",#N/A,FALSE,"accretion dilution"}</definedName>
    <definedName name="aa" localSheetId="9" hidden="1">{"toc1",#N/A,FALSE,"TOC";"cover",#N/A,FALSE,"Cover";"ts1",#N/A,FALSE,"Transaction Summary";"ei3",#N/A,FALSE,"Earnings Impact";"ad3",#N/A,FALSE,"accretion dilution"}</definedName>
    <definedName name="aa" localSheetId="2" hidden="1">{"toc1",#N/A,FALSE,"TOC";"cover",#N/A,FALSE,"Cover";"ts1",#N/A,FALSE,"Transaction Summary";"ei3",#N/A,FALSE,"Earnings Impact";"ad3",#N/A,FALSE,"accretion dilution"}</definedName>
    <definedName name="aa" localSheetId="4" hidden="1">{"toc1",#N/A,FALSE,"TOC";"cover",#N/A,FALSE,"Cover";"ts1",#N/A,FALSE,"Transaction Summary";"ei3",#N/A,FALSE,"Earnings Impact";"ad3",#N/A,FALSE,"accretion dilution"}</definedName>
    <definedName name="aa" localSheetId="0" hidden="1">{"AnnualRentRoll",#N/A,FALSE,"RentRoll"}</definedName>
    <definedName name="aa" hidden="1">{"AnnualRentRoll",#N/A,FALSE,"RentRoll"}</definedName>
    <definedName name="aa.2" localSheetId="3" hidden="1">{#N/A,#N/A,FALSE,"Cashflow Analysis";#N/A,#N/A,FALSE,"Sensitivity Analysis";#N/A,#N/A,FALSE,"PV";#N/A,#N/A,FALSE,"Pro Forma"}</definedName>
    <definedName name="aa.2" localSheetId="9" hidden="1">{#N/A,#N/A,FALSE,"Cashflow Analysis";#N/A,#N/A,FALSE,"Sensitivity Analysis";#N/A,#N/A,FALSE,"PV";#N/A,#N/A,FALSE,"Pro Forma"}</definedName>
    <definedName name="aa.2" localSheetId="2" hidden="1">{#N/A,#N/A,FALSE,"Cashflow Analysis";#N/A,#N/A,FALSE,"Sensitivity Analysis";#N/A,#N/A,FALSE,"PV";#N/A,#N/A,FALSE,"Pro Forma"}</definedName>
    <definedName name="aa.2" localSheetId="4" hidden="1">{#N/A,#N/A,FALSE,"Cashflow Analysis";#N/A,#N/A,FALSE,"Sensitivity Analysis";#N/A,#N/A,FALSE,"PV";#N/A,#N/A,FALSE,"Pro Forma"}</definedName>
    <definedName name="aa.2" localSheetId="0" hidden="1">{#N/A,#N/A,FALSE,"Cashflow Analysis";#N/A,#N/A,FALSE,"Sensitivity Analysis";#N/A,#N/A,FALSE,"PV";#N/A,#N/A,FALSE,"Pro Forma"}</definedName>
    <definedName name="aa.2" hidden="1">{#N/A,#N/A,FALSE,"Cashflow Analysis";#N/A,#N/A,FALSE,"Sensitivity Analysis";#N/A,#N/A,FALSE,"PV";#N/A,#N/A,FALSE,"Pro Forma"}</definedName>
    <definedName name="aaa" localSheetId="3" hidden="1">{"AnnualRentRoll",#N/A,FALSE,"RentRoll"}</definedName>
    <definedName name="aaa" localSheetId="6" hidden="1">{"AnnualRentRoll",#N/A,FALSE,"RentRoll"}</definedName>
    <definedName name="aaa" localSheetId="9" hidden="1">{"AnnualRentRoll",#N/A,FALSE,"RentRoll"}</definedName>
    <definedName name="aaa" localSheetId="2" hidden="1">{"AnnualRentRoll",#N/A,FALSE,"RentRoll"}</definedName>
    <definedName name="aaa" localSheetId="4" hidden="1">{"AnnualRentRoll",#N/A,FALSE,"RentRoll"}</definedName>
    <definedName name="aaa" localSheetId="0" hidden="1">{"AnnualRentRoll",#N/A,FALSE,"RentRoll"}</definedName>
    <definedName name="aaa" hidden="1">{"AnnualRentRoll",#N/A,FALSE,"RentRoll"}</definedName>
    <definedName name="AAA_DOCTOPS" hidden="1">"AAA_SET"</definedName>
    <definedName name="AAA_duser" hidden="1">"OFF"</definedName>
    <definedName name="aaaaaaa" localSheetId="3" hidden="1">{"Outflow 1",#N/A,FALSE,"Outflows-Inflows";"Outflow 2",#N/A,FALSE,"Outflows-Inflows";"Inflow 1",#N/A,FALSE,"Outflows-Inflows";"Inflow 2",#N/A,FALSE,"Outflows-Inflows"}</definedName>
    <definedName name="aaaaaaa" localSheetId="6" hidden="1">{"Outflow 1",#N/A,FALSE,"Outflows-Inflows";"Outflow 2",#N/A,FALSE,"Outflows-Inflows";"Inflow 1",#N/A,FALSE,"Outflows-Inflows";"Inflow 2",#N/A,FALSE,"Outflows-Inflows"}</definedName>
    <definedName name="aaaaaaa" localSheetId="9" hidden="1">{"Outflow 1",#N/A,FALSE,"Outflows-Inflows";"Outflow 2",#N/A,FALSE,"Outflows-Inflows";"Inflow 1",#N/A,FALSE,"Outflows-Inflows";"Inflow 2",#N/A,FALSE,"Outflows-Inflows"}</definedName>
    <definedName name="aaaaaaa" localSheetId="2" hidden="1">{"Outflow 1",#N/A,FALSE,"Outflows-Inflows";"Outflow 2",#N/A,FALSE,"Outflows-Inflows";"Inflow 1",#N/A,FALSE,"Outflows-Inflows";"Inflow 2",#N/A,FALSE,"Outflows-Inflows"}</definedName>
    <definedName name="aaaaaaa" localSheetId="4" hidden="1">{"Outflow 1",#N/A,FALSE,"Outflows-Inflows";"Outflow 2",#N/A,FALSE,"Outflows-Inflows";"Inflow 1",#N/A,FALSE,"Outflows-Inflows";"Inflow 2",#N/A,FALSE,"Outflows-Inflows"}</definedName>
    <definedName name="aaaaaaa" localSheetId="0" hidden="1">{"Outflow 1",#N/A,FALSE,"Outflows-Inflows";"Outflow 2",#N/A,FALSE,"Outflows-Inflows";"Inflow 1",#N/A,FALSE,"Outflows-Inflows";"Inflow 2",#N/A,FALSE,"Outflows-Inflows"}</definedName>
    <definedName name="aaaaaaa" hidden="1">{"Outflow 1",#N/A,FALSE,"Outflows-Inflows";"Outflow 2",#N/A,FALSE,"Outflows-Inflows";"Inflow 1",#N/A,FALSE,"Outflows-Inflows";"Inflow 2",#N/A,FALSE,"Outflows-Inflows"}</definedName>
    <definedName name="AAB_Addin5" hidden="1">"AAB_Description for addin 5,Description for addin 5,Description for addin 5,Description for addin 5,Description for addin 5,Description for addin 5"</definedName>
    <definedName name="aasdfa" localSheetId="3" hidden="1">{"rtn",#N/A,FALSE,"RTN";"tables",#N/A,FALSE,"RTN";"cf",#N/A,FALSE,"CF";"stats",#N/A,FALSE,"Stats";"prop",#N/A,FALSE,"Prop"}</definedName>
    <definedName name="aasdfa" localSheetId="6" hidden="1">{"rtn",#N/A,FALSE,"RTN";"tables",#N/A,FALSE,"RTN";"cf",#N/A,FALSE,"CF";"stats",#N/A,FALSE,"Stats";"prop",#N/A,FALSE,"Prop"}</definedName>
    <definedName name="aasdfa" localSheetId="9" hidden="1">{"rtn",#N/A,FALSE,"RTN";"tables",#N/A,FALSE,"RTN";"cf",#N/A,FALSE,"CF";"stats",#N/A,FALSE,"Stats";"prop",#N/A,FALSE,"Prop"}</definedName>
    <definedName name="aasdfa" localSheetId="2" hidden="1">{"rtn",#N/A,FALSE,"RTN";"tables",#N/A,FALSE,"RTN";"cf",#N/A,FALSE,"CF";"stats",#N/A,FALSE,"Stats";"prop",#N/A,FALSE,"Prop"}</definedName>
    <definedName name="aasdfa" localSheetId="4" hidden="1">{"rtn",#N/A,FALSE,"RTN";"tables",#N/A,FALSE,"RTN";"cf",#N/A,FALSE,"CF";"stats",#N/A,FALSE,"Stats";"prop",#N/A,FALSE,"Prop"}</definedName>
    <definedName name="aasdfa" localSheetId="0" hidden="1">{"rtn",#N/A,FALSE,"RTN";"tables",#N/A,FALSE,"RTN";"cf",#N/A,FALSE,"CF";"stats",#N/A,FALSE,"Stats";"prop",#N/A,FALSE,"Prop"}</definedName>
    <definedName name="aasdfa" hidden="1">{"rtn",#N/A,FALSE,"RTN";"tables",#N/A,FALSE,"RTN";"cf",#N/A,FALSE,"CF";"stats",#N/A,FALSE,"Stats";"prop",#N/A,FALSE,"Prop"}</definedName>
    <definedName name="ab" hidden="1">#REF!</definedName>
    <definedName name="abc" localSheetId="0" hidden="1">{#N/A,#N/A,FALSE,"Invest Sum";#N/A,#N/A,FALSE,"Dev Costs";#N/A,#N/A,FALSE,"PnL 5 Year"}</definedName>
    <definedName name="abc" hidden="1">{#N/A,#N/A,FALSE,"Invest Sum";#N/A,#N/A,FALSE,"Dev Costs";#N/A,#N/A,FALSE,"PnL 5 Year"}</definedName>
    <definedName name="Access_Button" hidden="1">"Loan_Front_End_Input_List"</definedName>
    <definedName name="AccessDatabase" localSheetId="6" hidden="1">"C:\ncux\bud\rms_inv.mdb"</definedName>
    <definedName name="AccessDatabase" hidden="1">"C:\My Documents\DAVE\MODELS\Cash at Risk\Loan Front End.mdb"</definedName>
    <definedName name="Accounts">#REF!</definedName>
    <definedName name="Accounts1">#REF!</definedName>
    <definedName name="accts">#REF!</definedName>
    <definedName name="ACDATE">#REF!</definedName>
    <definedName name="acq">#REF!</definedName>
    <definedName name="Acquisition_Total_Cost">#REF!</definedName>
    <definedName name="acres" localSheetId="0" hidden="1">{#N/A,#N/A,FALSE,"III-1 Sum.Dem";#N/A,#N/A,FALSE,"III-2 RER.Dem.Pop";#N/A,#N/A,FALSE,"III-3 RER.Cap.Pop";#N/A,#N/A,FALSE,"III-4 RER.Dem.TCSS";#N/A,#N/A,FALSE,"III-5 RER.Cap.TCSS";#N/A,#N/A,FALSE,"III-6 Pow.Center.Dem";#N/A,#N/A,FALSE,"III-7 Off.Demand";#N/A,#N/A,FALSE,"III-8 Htl.Dem"}</definedName>
    <definedName name="acres" hidden="1">{#N/A,#N/A,FALSE,"III-1 Sum.Dem";#N/A,#N/A,FALSE,"III-2 RER.Dem.Pop";#N/A,#N/A,FALSE,"III-3 RER.Cap.Pop";#N/A,#N/A,FALSE,"III-4 RER.Dem.TCSS";#N/A,#N/A,FALSE,"III-5 RER.Cap.TCSS";#N/A,#N/A,FALSE,"III-6 Pow.Center.Dem";#N/A,#N/A,FALSE,"III-7 Off.Demand";#N/A,#N/A,FALSE,"III-8 Htl.Dem"}</definedName>
    <definedName name="Acres_Acquired">#REF!</definedName>
    <definedName name="ad" localSheetId="0" hidden="1">{"MonthlyRentRoll",#N/A,FALSE,"RentRoll"}</definedName>
    <definedName name="ad" hidden="1">{"MonthlyRentRoll",#N/A,FALSE,"RentRoll"}</definedName>
    <definedName name="address">#REF!</definedName>
    <definedName name="adf"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adf"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adfa"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fa"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sad" hidden="1">#REF!</definedName>
    <definedName name="adsf" localSheetId="3" hidden="1">{"sheet a",#N/A,FALSE,"A";"2 9 casflow",#N/A,FALSE,"B"}</definedName>
    <definedName name="adsf" localSheetId="6" hidden="1">{"sheet a",#N/A,FALSE,"A";"2 9 casflow",#N/A,FALSE,"B"}</definedName>
    <definedName name="adsf" localSheetId="9" hidden="1">{"sheet a",#N/A,FALSE,"A";"2 9 casflow",#N/A,FALSE,"B"}</definedName>
    <definedName name="adsf" localSheetId="2" hidden="1">{"sheet a",#N/A,FALSE,"A";"2 9 casflow",#N/A,FALSE,"B"}</definedName>
    <definedName name="adsf" localSheetId="4" hidden="1">{"sheet a",#N/A,FALSE,"A";"2 9 casflow",#N/A,FALSE,"B"}</definedName>
    <definedName name="adsf" localSheetId="0" hidden="1">{"sheet a",#N/A,FALSE,"A";"2 9 casflow",#N/A,FALSE,"B"}</definedName>
    <definedName name="adsf" hidden="1">{"sheet a",#N/A,FALSE,"A";"2 9 casflow",#N/A,FALSE,"B"}</definedName>
    <definedName name="af" hidden="1">#REF!</definedName>
    <definedName name="aff" localSheetId="0" hidden="1">{#N/A,#N/A,FALSE,"Aging Summary";#N/A,#N/A,FALSE,"Ratio Analysis";#N/A,#N/A,FALSE,"Test 120 Day Accts";#N/A,#N/A,FALSE,"Tickmarks"}</definedName>
    <definedName name="aff" hidden="1">{#N/A,#N/A,FALSE,"Aging Summary";#N/A,#N/A,FALSE,"Ratio Analysis";#N/A,#N/A,FALSE,"Test 120 Day Accts";#N/A,#N/A,FALSE,"Tickmarks"}</definedName>
    <definedName name="afv" localSheetId="0" hidden="1">{#N/A,#N/A,FALSE,"Aging Summary";#N/A,#N/A,FALSE,"Ratio Analysis";#N/A,#N/A,FALSE,"Test 120 Day Accts";#N/A,#N/A,FALSE,"Tickmarks"}</definedName>
    <definedName name="afv" hidden="1">{#N/A,#N/A,FALSE,"Aging Summary";#N/A,#N/A,FALSE,"Ratio Analysis";#N/A,#N/A,FALSE,"Test 120 Day Accts";#N/A,#N/A,FALSE,"Tickmarks"}</definedName>
    <definedName name="ag" localSheetId="0" hidden="1">{#N/A,#N/A,FALSE,"IPCOVER";#N/A,#N/A,FALSE,"STATEMENT";#N/A,#N/A,FALSE,"MARGIN";#N/A,#N/A,FALSE,"GNS &amp; LSS";#N/A,#N/A,FALSE,"IPREALGL";#N/A,#N/A,FALSE,"SHRTACCT"}</definedName>
    <definedName name="ag" hidden="1">{#N/A,#N/A,FALSE,"IPCOVER";#N/A,#N/A,FALSE,"STATEMENT";#N/A,#N/A,FALSE,"MARGIN";#N/A,#N/A,FALSE,"GNS &amp; LSS";#N/A,#N/A,FALSE,"IPREALGL";#N/A,#N/A,FALSE,"SHRTACCT"}</definedName>
    <definedName name="ageincexh" localSheetId="0" hidden="1">{#N/A,#N/A,FALSE,"el.det";#N/A,#N/A,FALSE,"mu.det";#N/A,#N/A,FALSE,"ug.det";#N/A,#N/A,FALSE,"ex.det";#N/A,#N/A,FALSE,"lux.det";#N/A,#N/A,FALSE,"custom.lot";#N/A,#N/A,FALSE,"condo.att";#N/A,#N/A,FALSE,"el.att";#N/A,#N/A,FALSE,"mu.att";#N/A,#N/A,FALSE,"ex.att";#N/A,#N/A,FALSE,"lux.att";#N/A,#N/A,FALSE,"all.by.village"}</definedName>
    <definedName name="ageincexh" hidden="1">{#N/A,#N/A,FALSE,"el.det";#N/A,#N/A,FALSE,"mu.det";#N/A,#N/A,FALSE,"ug.det";#N/A,#N/A,FALSE,"ex.det";#N/A,#N/A,FALSE,"lux.det";#N/A,#N/A,FALSE,"custom.lot";#N/A,#N/A,FALSE,"condo.att";#N/A,#N/A,FALSE,"el.att";#N/A,#N/A,FALSE,"mu.att";#N/A,#N/A,FALSE,"ex.att";#N/A,#N/A,FALSE,"lux.att";#N/A,#N/A,FALSE,"all.by.village"}</definedName>
    <definedName name="agv" localSheetId="0" hidden="1">{#N/A,#N/A,FALSE,"IPCOVER";#N/A,#N/A,FALSE,"STATEMENT";#N/A,#N/A,FALSE,"MARGIN";#N/A,#N/A,FALSE,"GNS &amp; LSS";#N/A,#N/A,FALSE,"IPREALGL";#N/A,#N/A,FALSE,"SHRTACCT"}</definedName>
    <definedName name="agv" hidden="1">{#N/A,#N/A,FALSE,"IPCOVER";#N/A,#N/A,FALSE,"STATEMENT";#N/A,#N/A,FALSE,"MARGIN";#N/A,#N/A,FALSE,"GNS &amp; LSS";#N/A,#N/A,FALSE,"IPREALGL";#N/A,#N/A,FALSE,"SHRTACCT"}</definedName>
    <definedName name="AliasTable">#REF!</definedName>
    <definedName name="Amenity">#REF!</definedName>
    <definedName name="Amenroof">#REF!</definedName>
    <definedName name="amo">#REF!</definedName>
    <definedName name="Amount">#REF!</definedName>
    <definedName name="An" localSheetId="0" hidden="1">{"eca",#N/A,TRUE,"E-C1 (R)";"ecb",#N/A,TRUE,"E-C1 (R)"}</definedName>
    <definedName name="An" hidden="1">{"eca",#N/A,TRUE,"E-C1 (R)";"ecb",#N/A,TRUE,"E-C1 (R)"}</definedName>
    <definedName name="Analysis_End_Date">#REF!</definedName>
    <definedName name="Analysis_End_Month">#REF!</definedName>
    <definedName name="Analysis_Length_Years">#REF!</definedName>
    <definedName name="Analysis_Start_Date">#REF!</definedName>
    <definedName name="andrew" localSheetId="0" hidden="1">{"eca",#N/A,TRUE,"E-C1 (R)";"ecb",#N/A,TRUE,"E-C1 (R)"}</definedName>
    <definedName name="andrew" hidden="1">{"eca",#N/A,TRUE,"E-C1 (R)";"ecb",#N/A,TRUE,"E-C1 (R)"}</definedName>
    <definedName name="anscount" hidden="1">1</definedName>
    <definedName name="Argus" localSheetId="2">ROW()-ROW([1]!rrFirstRow)-1</definedName>
    <definedName name="Argus" localSheetId="4">ROW()-ROW([1]!rrFirstRow)-1</definedName>
    <definedName name="Argus" localSheetId="0">ROW()-ROW([1]!rrFirstRow)-1</definedName>
    <definedName name="Argus">ROW()-ROW([1]!rrFirstRow)-1</definedName>
    <definedName name="as" localSheetId="3" hidden="1">{"Outflow 1",#N/A,FALSE,"Outflows-Inflows";"Outflow 2",#N/A,FALSE,"Outflows-Inflows";"Inflow 1",#N/A,FALSE,"Outflows-Inflows";"Inflow 2",#N/A,FALSE,"Outflows-Inflows"}</definedName>
    <definedName name="as" localSheetId="6" hidden="1">{"Outflow 1",#N/A,FALSE,"Outflows-Inflows";"Outflow 2",#N/A,FALSE,"Outflows-Inflows";"Inflow 1",#N/A,FALSE,"Outflows-Inflows";"Inflow 2",#N/A,FALSE,"Outflows-Inflows"}</definedName>
    <definedName name="as" localSheetId="9" hidden="1">{"Outflow 1",#N/A,FALSE,"Outflows-Inflows";"Outflow 2",#N/A,FALSE,"Outflows-Inflows";"Inflow 1",#N/A,FALSE,"Outflows-Inflows";"Inflow 2",#N/A,FALSE,"Outflows-Inflows"}</definedName>
    <definedName name="as" localSheetId="2" hidden="1">{"Outflow 1",#N/A,FALSE,"Outflows-Inflows";"Outflow 2",#N/A,FALSE,"Outflows-Inflows";"Inflow 1",#N/A,FALSE,"Outflows-Inflows";"Inflow 2",#N/A,FALSE,"Outflows-Inflows"}</definedName>
    <definedName name="as" localSheetId="4" hidden="1">{"Outflow 1",#N/A,FALSE,"Outflows-Inflows";"Outflow 2",#N/A,FALSE,"Outflows-Inflows";"Inflow 1",#N/A,FALSE,"Outflows-Inflows";"Inflow 2",#N/A,FALSE,"Outflows-Inflows"}</definedName>
    <definedName name="as" localSheetId="0" hidden="1">{"Outflow 1",#N/A,FALSE,"Outflows-Inflows";"Outflow 2",#N/A,FALSE,"Outflows-Inflows";"Inflow 1",#N/A,FALSE,"Outflows-Inflows";"Inflow 2",#N/A,FALSE,"Outflows-Inflows"}</definedName>
    <definedName name="as" hidden="1">{"Outflow 1",#N/A,FALSE,"Outflows-Inflows";"Outflow 2",#N/A,FALSE,"Outflows-Inflows";"Inflow 1",#N/A,FALSE,"Outflows-Inflows";"Inflow 2",#N/A,FALSE,"Outflows-Inflows"}</definedName>
    <definedName name="AS2DocOpenMode" hidden="1">"AS2DocumentEdit"</definedName>
    <definedName name="ascdsad" localSheetId="0" hidden="1">{#N/A,#N/A,FALSE,"el.det";#N/A,#N/A,FALSE,"mu.det";#N/A,#N/A,FALSE,"ug.det";#N/A,#N/A,FALSE,"ex.det";#N/A,#N/A,FALSE,"lux.det";#N/A,#N/A,FALSE,"custom.lot";#N/A,#N/A,FALSE,"condo.att";#N/A,#N/A,FALSE,"el.att";#N/A,#N/A,FALSE,"mu.att";#N/A,#N/A,FALSE,"ex.att";#N/A,#N/A,FALSE,"lux.att";#N/A,#N/A,FALSE,"all.by.village"}</definedName>
    <definedName name="ascdsad" hidden="1">{#N/A,#N/A,FALSE,"el.det";#N/A,#N/A,FALSE,"mu.det";#N/A,#N/A,FALSE,"ug.det";#N/A,#N/A,FALSE,"ex.det";#N/A,#N/A,FALSE,"lux.det";#N/A,#N/A,FALSE,"custom.lot";#N/A,#N/A,FALSE,"condo.att";#N/A,#N/A,FALSE,"el.att";#N/A,#N/A,FALSE,"mu.att";#N/A,#N/A,FALSE,"ex.att";#N/A,#N/A,FALSE,"lux.att";#N/A,#N/A,FALSE,"all.by.village"}</definedName>
    <definedName name="asdasd" localSheetId="3" hidden="1">{"toc1",#N/A,FALSE,"TOC";"cover",#N/A,FALSE,"Cover";"ts1",#N/A,FALSE,"Transaction Summary";"ei3",#N/A,FALSE,"Earnings Impact";"ad3",#N/A,FALSE,"accretion dilution"}</definedName>
    <definedName name="asdasd" localSheetId="9" hidden="1">{"toc1",#N/A,FALSE,"TOC";"cover",#N/A,FALSE,"Cover";"ts1",#N/A,FALSE,"Transaction Summary";"ei3",#N/A,FALSE,"Earnings Impact";"ad3",#N/A,FALSE,"accretion dilution"}</definedName>
    <definedName name="asdasd" localSheetId="2" hidden="1">{"toc1",#N/A,FALSE,"TOC";"cover",#N/A,FALSE,"Cover";"ts1",#N/A,FALSE,"Transaction Summary";"ei3",#N/A,FALSE,"Earnings Impact";"ad3",#N/A,FALSE,"accretion dilution"}</definedName>
    <definedName name="asdasd" localSheetId="4" hidden="1">{"toc1",#N/A,FALSE,"TOC";"cover",#N/A,FALSE,"Cover";"ts1",#N/A,FALSE,"Transaction Summary";"ei3",#N/A,FALSE,"Earnings Impact";"ad3",#N/A,FALSE,"accretion dilution"}</definedName>
    <definedName name="asdasd" localSheetId="0" hidden="1">{"toc1",#N/A,FALSE,"TOC";"cover",#N/A,FALSE,"Cover";"ts1",#N/A,FALSE,"Transaction Summary";"ei3",#N/A,FALSE,"Earnings Impact";"ad3",#N/A,FALSE,"accretion dilution"}</definedName>
    <definedName name="asdasd" hidden="1">{"toc1",#N/A,FALSE,"TOC";"cover",#N/A,FALSE,"Cover";"ts1",#N/A,FALSE,"Transaction Summary";"ei3",#N/A,FALSE,"Earnings Impact";"ad3",#N/A,FALSE,"accretion dilution"}</definedName>
    <definedName name="ASDATE">#REF!</definedName>
    <definedName name="asdf" hidden="1">#REF!</definedName>
    <definedName name="asdf2" localSheetId="3" hidden="1">{#N/A,#N/A,FALSE,"OperatingAssumptions"}</definedName>
    <definedName name="asdf2" localSheetId="6" hidden="1">{#N/A,#N/A,FALSE,"OperatingAssumptions"}</definedName>
    <definedName name="asdf2" localSheetId="9" hidden="1">{#N/A,#N/A,FALSE,"OperatingAssumptions"}</definedName>
    <definedName name="asdf2" localSheetId="2" hidden="1">{#N/A,#N/A,FALSE,"OperatingAssumptions"}</definedName>
    <definedName name="asdf2" localSheetId="4" hidden="1">{#N/A,#N/A,FALSE,"OperatingAssumptions"}</definedName>
    <definedName name="asdf2" localSheetId="0" hidden="1">{#N/A,#N/A,FALSE,"OperatingAssumptions"}</definedName>
    <definedName name="asdf2" hidden="1">{#N/A,#N/A,FALSE,"OperatingAssumptions"}</definedName>
    <definedName name="asdf22" localSheetId="0" hidden="1">{#N/A,#N/A,FALSE,"OperatingAssumptions"}</definedName>
    <definedName name="asdf22" hidden="1">{#N/A,#N/A,FALSE,"OperatingAssumptions"}</definedName>
    <definedName name="asdf3" localSheetId="3" hidden="1">{#N/A,#N/A,FALSE,"LoanAssumptions"}</definedName>
    <definedName name="asdf3" localSheetId="6" hidden="1">{#N/A,#N/A,FALSE,"LoanAssumptions"}</definedName>
    <definedName name="asdf3" localSheetId="9" hidden="1">{#N/A,#N/A,FALSE,"LoanAssumptions"}</definedName>
    <definedName name="asdf3" localSheetId="2" hidden="1">{#N/A,#N/A,FALSE,"LoanAssumptions"}</definedName>
    <definedName name="asdf3" localSheetId="4" hidden="1">{#N/A,#N/A,FALSE,"LoanAssumptions"}</definedName>
    <definedName name="asdf3" localSheetId="0" hidden="1">{#N/A,#N/A,FALSE,"LoanAssumptions"}</definedName>
    <definedName name="asdf3" hidden="1">{#N/A,#N/A,FALSE,"LoanAssumptions"}</definedName>
    <definedName name="asdf33" localSheetId="0" hidden="1">{#N/A,#N/A,FALSE,"LoanAssumptions"}</definedName>
    <definedName name="asdf33" hidden="1">{#N/A,#N/A,FALSE,"LoanAssumptions"}</definedName>
    <definedName name="asdf5" localSheetId="3" hidden="1">{"MonthlyRentRoll",#N/A,FALSE,"RentRoll"}</definedName>
    <definedName name="asdf5" localSheetId="6" hidden="1">{"MonthlyRentRoll",#N/A,FALSE,"RentRoll"}</definedName>
    <definedName name="asdf5" localSheetId="9" hidden="1">{"MonthlyRentRoll",#N/A,FALSE,"RentRoll"}</definedName>
    <definedName name="asdf5" localSheetId="2" hidden="1">{"MonthlyRentRoll",#N/A,FALSE,"RentRoll"}</definedName>
    <definedName name="asdf5" localSheetId="4" hidden="1">{"MonthlyRentRoll",#N/A,FALSE,"RentRoll"}</definedName>
    <definedName name="asdf5" localSheetId="0" hidden="1">{"MonthlyRentRoll",#N/A,FALSE,"RentRoll"}</definedName>
    <definedName name="asdf5" hidden="1">{"MonthlyRentRoll",#N/A,FALSE,"RentRoll"}</definedName>
    <definedName name="asdf55" localSheetId="0" hidden="1">{"MonthlyRentRoll",#N/A,FALSE,"RentRoll"}</definedName>
    <definedName name="asdf55" hidden="1">{"MonthlyRentRoll",#N/A,FALSE,"RentRoll"}</definedName>
    <definedName name="asdf7" localSheetId="3" hidden="1">{#N/A,#N/A,TRUE,"Summary";"AnnualRentRoll",#N/A,TRUE,"RentRoll";#N/A,#N/A,TRUE,"ExitStratigy";#N/A,#N/A,TRUE,"OperatingAssumptions"}</definedName>
    <definedName name="asdf7" localSheetId="6" hidden="1">{#N/A,#N/A,TRUE,"Summary";"AnnualRentRoll",#N/A,TRUE,"RentRoll";#N/A,#N/A,TRUE,"ExitStratigy";#N/A,#N/A,TRUE,"OperatingAssumptions"}</definedName>
    <definedName name="asdf7" localSheetId="9" hidden="1">{#N/A,#N/A,TRUE,"Summary";"AnnualRentRoll",#N/A,TRUE,"RentRoll";#N/A,#N/A,TRUE,"ExitStratigy";#N/A,#N/A,TRUE,"OperatingAssumptions"}</definedName>
    <definedName name="asdf7" localSheetId="2" hidden="1">{#N/A,#N/A,TRUE,"Summary";"AnnualRentRoll",#N/A,TRUE,"RentRoll";#N/A,#N/A,TRUE,"ExitStratigy";#N/A,#N/A,TRUE,"OperatingAssumptions"}</definedName>
    <definedName name="asdf7" localSheetId="4" hidden="1">{#N/A,#N/A,TRUE,"Summary";"AnnualRentRoll",#N/A,TRUE,"RentRoll";#N/A,#N/A,TRUE,"ExitStratigy";#N/A,#N/A,TRUE,"OperatingAssumptions"}</definedName>
    <definedName name="asdf7" localSheetId="0" hidden="1">{#N/A,#N/A,TRUE,"Summary";"AnnualRentRoll",#N/A,TRUE,"RentRoll";#N/A,#N/A,TRUE,"ExitStratigy";#N/A,#N/A,TRUE,"OperatingAssumptions"}</definedName>
    <definedName name="asdf7" hidden="1">{#N/A,#N/A,TRUE,"Summary";"AnnualRentRoll",#N/A,TRUE,"RentRoll";#N/A,#N/A,TRUE,"ExitStratigy";#N/A,#N/A,TRUE,"OperatingAssumptions"}</definedName>
    <definedName name="asdf77" localSheetId="0" hidden="1">{#N/A,#N/A,TRUE,"Summary";"AnnualRentRoll",#N/A,TRUE,"RentRoll";#N/A,#N/A,TRUE,"ExitStratigy";#N/A,#N/A,TRUE,"OperatingAssumptions"}</definedName>
    <definedName name="asdf77" hidden="1">{#N/A,#N/A,TRUE,"Summary";"AnnualRentRoll",#N/A,TRUE,"RentRoll";#N/A,#N/A,TRUE,"ExitStratigy";#N/A,#N/A,TRUE,"OperatingAssumptions"}</definedName>
    <definedName name="asdfas" localSheetId="3" hidden="1">{"print 1.6",#N/A,FALSE,"Sheet1";"print 2.6",#N/A,FALSE,"Sheet1";"print 3.6",#N/A,FALSE,"Sheet1";"print 4.6",#N/A,FALSE,"Sheet1";"print 5.6",#N/A,FALSE,"Sheet1";"print 6.6",#N/A,FALSE,"Sheet1"}</definedName>
    <definedName name="asdfas" localSheetId="6" hidden="1">{"print 1.6",#N/A,FALSE,"Sheet1";"print 2.6",#N/A,FALSE,"Sheet1";"print 3.6",#N/A,FALSE,"Sheet1";"print 4.6",#N/A,FALSE,"Sheet1";"print 5.6",#N/A,FALSE,"Sheet1";"print 6.6",#N/A,FALSE,"Sheet1"}</definedName>
    <definedName name="asdfas" localSheetId="9" hidden="1">{"print 1.6",#N/A,FALSE,"Sheet1";"print 2.6",#N/A,FALSE,"Sheet1";"print 3.6",#N/A,FALSE,"Sheet1";"print 4.6",#N/A,FALSE,"Sheet1";"print 5.6",#N/A,FALSE,"Sheet1";"print 6.6",#N/A,FALSE,"Sheet1"}</definedName>
    <definedName name="asdfas" localSheetId="2" hidden="1">{"print 1.6",#N/A,FALSE,"Sheet1";"print 2.6",#N/A,FALSE,"Sheet1";"print 3.6",#N/A,FALSE,"Sheet1";"print 4.6",#N/A,FALSE,"Sheet1";"print 5.6",#N/A,FALSE,"Sheet1";"print 6.6",#N/A,FALSE,"Sheet1"}</definedName>
    <definedName name="asdfas" localSheetId="4" hidden="1">{"print 1.6",#N/A,FALSE,"Sheet1";"print 2.6",#N/A,FALSE,"Sheet1";"print 3.6",#N/A,FALSE,"Sheet1";"print 4.6",#N/A,FALSE,"Sheet1";"print 5.6",#N/A,FALSE,"Sheet1";"print 6.6",#N/A,FALSE,"Sheet1"}</definedName>
    <definedName name="asdfas" localSheetId="0" hidden="1">{"print 1.6",#N/A,FALSE,"Sheet1";"print 2.6",#N/A,FALSE,"Sheet1";"print 3.6",#N/A,FALSE,"Sheet1";"print 4.6",#N/A,FALSE,"Sheet1";"print 5.6",#N/A,FALSE,"Sheet1";"print 6.6",#N/A,FALSE,"Sheet1"}</definedName>
    <definedName name="asdfas" hidden="1">{"print 1.6",#N/A,FALSE,"Sheet1";"print 2.6",#N/A,FALSE,"Sheet1";"print 3.6",#N/A,FALSE,"Sheet1";"print 4.6",#N/A,FALSE,"Sheet1";"print 5.6",#N/A,FALSE,"Sheet1";"print 6.6",#N/A,FALSE,"Sheet1"}</definedName>
    <definedName name="asdfasaa" localSheetId="3" hidden="1">{"print 1.6",#N/A,FALSE,"Sheet1";"print 2.6",#N/A,FALSE,"Sheet1";"print 3.6",#N/A,FALSE,"Sheet1";"print 4.6",#N/A,FALSE,"Sheet1";"print 5.6",#N/A,FALSE,"Sheet1";"print 6.6",#N/A,FALSE,"Sheet1"}</definedName>
    <definedName name="asdfasaa" localSheetId="6" hidden="1">{"print 1.6",#N/A,FALSE,"Sheet1";"print 2.6",#N/A,FALSE,"Sheet1";"print 3.6",#N/A,FALSE,"Sheet1";"print 4.6",#N/A,FALSE,"Sheet1";"print 5.6",#N/A,FALSE,"Sheet1";"print 6.6",#N/A,FALSE,"Sheet1"}</definedName>
    <definedName name="asdfasaa" localSheetId="9" hidden="1">{"print 1.6",#N/A,FALSE,"Sheet1";"print 2.6",#N/A,FALSE,"Sheet1";"print 3.6",#N/A,FALSE,"Sheet1";"print 4.6",#N/A,FALSE,"Sheet1";"print 5.6",#N/A,FALSE,"Sheet1";"print 6.6",#N/A,FALSE,"Sheet1"}</definedName>
    <definedName name="asdfasaa" localSheetId="2" hidden="1">{"print 1.6",#N/A,FALSE,"Sheet1";"print 2.6",#N/A,FALSE,"Sheet1";"print 3.6",#N/A,FALSE,"Sheet1";"print 4.6",#N/A,FALSE,"Sheet1";"print 5.6",#N/A,FALSE,"Sheet1";"print 6.6",#N/A,FALSE,"Sheet1"}</definedName>
    <definedName name="asdfasaa" localSheetId="4" hidden="1">{"print 1.6",#N/A,FALSE,"Sheet1";"print 2.6",#N/A,FALSE,"Sheet1";"print 3.6",#N/A,FALSE,"Sheet1";"print 4.6",#N/A,FALSE,"Sheet1";"print 5.6",#N/A,FALSE,"Sheet1";"print 6.6",#N/A,FALSE,"Sheet1"}</definedName>
    <definedName name="asdfasaa" localSheetId="0"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df" localSheetId="3" hidden="1">{"rtn",#N/A,FALSE,"RTN";"tables",#N/A,FALSE,"RTN";"cf",#N/A,FALSE,"CF";"stats",#N/A,FALSE,"Stats";"prop",#N/A,FALSE,"Prop"}</definedName>
    <definedName name="asdfasdf" localSheetId="6" hidden="1">{"rtn",#N/A,FALSE,"RTN";"tables",#N/A,FALSE,"RTN";"cf",#N/A,FALSE,"CF";"stats",#N/A,FALSE,"Stats";"prop",#N/A,FALSE,"Prop"}</definedName>
    <definedName name="asdfasdf" localSheetId="9" hidden="1">{"rtn",#N/A,FALSE,"RTN";"tables",#N/A,FALSE,"RTN";"cf",#N/A,FALSE,"CF";"stats",#N/A,FALSE,"Stats";"prop",#N/A,FALSE,"Prop"}</definedName>
    <definedName name="asdfasdf" localSheetId="2" hidden="1">{"rtn",#N/A,FALSE,"RTN";"tables",#N/A,FALSE,"RTN";"cf",#N/A,FALSE,"CF";"stats",#N/A,FALSE,"Stats";"prop",#N/A,FALSE,"Prop"}</definedName>
    <definedName name="asdfasdf" localSheetId="4" hidden="1">{"rtn",#N/A,FALSE,"RTN";"tables",#N/A,FALSE,"RTN";"cf",#N/A,FALSE,"CF";"stats",#N/A,FALSE,"Stats";"prop",#N/A,FALSE,"Prop"}</definedName>
    <definedName name="asdfasdf" localSheetId="0" hidden="1">{"rtn",#N/A,FALSE,"RTN";"tables",#N/A,FALSE,"RTN";"cf",#N/A,FALSE,"CF";"stats",#N/A,FALSE,"Stats";"prop",#N/A,FALSE,"Prop"}</definedName>
    <definedName name="asdfasdf" hidden="1">{"rtn",#N/A,FALSE,"RTN";"tables",#N/A,FALSE,"RTN";"cf",#N/A,FALSE,"CF";"stats",#N/A,FALSE,"Stats";"prop",#N/A,FALSE,"Prop"}</definedName>
    <definedName name="asdfg" localSheetId="3" hidden="1">{"rtn",#N/A,FALSE,"RTN";"tables",#N/A,FALSE,"RTN";"cf",#N/A,FALSE,"CF";"stats",#N/A,FALSE,"Stats";"prop",#N/A,FALSE,"Prop"}</definedName>
    <definedName name="asdfg" localSheetId="6" hidden="1">{"rtn",#N/A,FALSE,"RTN";"tables",#N/A,FALSE,"RTN";"cf",#N/A,FALSE,"CF";"stats",#N/A,FALSE,"Stats";"prop",#N/A,FALSE,"Prop"}</definedName>
    <definedName name="asdfg" localSheetId="9" hidden="1">{"rtn",#N/A,FALSE,"RTN";"tables",#N/A,FALSE,"RTN";"cf",#N/A,FALSE,"CF";"stats",#N/A,FALSE,"Stats";"prop",#N/A,FALSE,"Prop"}</definedName>
    <definedName name="asdfg" localSheetId="2" hidden="1">{"rtn",#N/A,FALSE,"RTN";"tables",#N/A,FALSE,"RTN";"cf",#N/A,FALSE,"CF";"stats",#N/A,FALSE,"Stats";"prop",#N/A,FALSE,"Prop"}</definedName>
    <definedName name="asdfg" localSheetId="4" hidden="1">{"rtn",#N/A,FALSE,"RTN";"tables",#N/A,FALSE,"RTN";"cf",#N/A,FALSE,"CF";"stats",#N/A,FALSE,"Stats";"prop",#N/A,FALSE,"Prop"}</definedName>
    <definedName name="asdfg" localSheetId="0" hidden="1">{"rtn",#N/A,FALSE,"RTN";"tables",#N/A,FALSE,"RTN";"cf",#N/A,FALSE,"CF";"stats",#N/A,FALSE,"Stats";"prop",#N/A,FALSE,"Prop"}</definedName>
    <definedName name="asdfg" hidden="1">{"rtn",#N/A,FALSE,"RTN";"tables",#N/A,FALSE,"RTN";"cf",#N/A,FALSE,"CF";"stats",#N/A,FALSE,"Stats";"prop",#N/A,FALSE,"Prop"}</definedName>
    <definedName name="asdfsdfsdf" localSheetId="3" hidden="1">{#N/A,#N/A,FALSE,"Expense Comparison"}</definedName>
    <definedName name="asdfsdfsdf" localSheetId="6" hidden="1">{#N/A,#N/A,FALSE,"Expense Comparison"}</definedName>
    <definedName name="asdfsdfsdf" localSheetId="9" hidden="1">{#N/A,#N/A,FALSE,"Expense Comparison"}</definedName>
    <definedName name="asdfsdfsdf" localSheetId="2" hidden="1">{#N/A,#N/A,FALSE,"Expense Comparison"}</definedName>
    <definedName name="asdfsdfsdf" localSheetId="4" hidden="1">{#N/A,#N/A,FALSE,"Expense Comparison"}</definedName>
    <definedName name="asdfsdfsdf" localSheetId="0" hidden="1">{#N/A,#N/A,FALSE,"Expense Comparison"}</definedName>
    <definedName name="asdfsdfsdf" hidden="1">{#N/A,#N/A,FALSE,"Expense Comparison"}</definedName>
    <definedName name="ashish" localSheetId="3" hidden="1">{"'Assump'!$F$6:$J$6"}</definedName>
    <definedName name="ashish" localSheetId="6" hidden="1">{"'Assump'!$F$6:$J$6"}</definedName>
    <definedName name="ashish" localSheetId="9" hidden="1">{"'Assump'!$F$6:$J$6"}</definedName>
    <definedName name="ashish" localSheetId="2" hidden="1">{"'Assump'!$F$6:$J$6"}</definedName>
    <definedName name="ashish" localSheetId="4" hidden="1">{"'Assump'!$F$6:$J$6"}</definedName>
    <definedName name="ashish" localSheetId="0" hidden="1">{"'Assump'!$F$6:$J$6"}</definedName>
    <definedName name="ashish" hidden="1">{"'Assump'!$F$6:$J$6"}</definedName>
    <definedName name="AsOf">#REF!</definedName>
    <definedName name="ass" localSheetId="3" hidden="1">{"print 1.6",#N/A,FALSE,"Sheet1";"print 2.6",#N/A,FALSE,"Sheet1";"print 3.6",#N/A,FALSE,"Sheet1";"print 4.6",#N/A,FALSE,"Sheet1";"print 5.6",#N/A,FALSE,"Sheet1";"print 6.6",#N/A,FALSE,"Sheet1"}</definedName>
    <definedName name="ass" localSheetId="6" hidden="1">{"print 1.6",#N/A,FALSE,"Sheet1";"print 2.6",#N/A,FALSE,"Sheet1";"print 3.6",#N/A,FALSE,"Sheet1";"print 4.6",#N/A,FALSE,"Sheet1";"print 5.6",#N/A,FALSE,"Sheet1";"print 6.6",#N/A,FALSE,"Sheet1"}</definedName>
    <definedName name="ass" localSheetId="9" hidden="1">{"print 1.6",#N/A,FALSE,"Sheet1";"print 2.6",#N/A,FALSE,"Sheet1";"print 3.6",#N/A,FALSE,"Sheet1";"print 4.6",#N/A,FALSE,"Sheet1";"print 5.6",#N/A,FALSE,"Sheet1";"print 6.6",#N/A,FALSE,"Sheet1"}</definedName>
    <definedName name="ass" localSheetId="2" hidden="1">{"print 1.6",#N/A,FALSE,"Sheet1";"print 2.6",#N/A,FALSE,"Sheet1";"print 3.6",#N/A,FALSE,"Sheet1";"print 4.6",#N/A,FALSE,"Sheet1";"print 5.6",#N/A,FALSE,"Sheet1";"print 6.6",#N/A,FALSE,"Sheet1"}</definedName>
    <definedName name="ass" localSheetId="4" hidden="1">{"print 1.6",#N/A,FALSE,"Sheet1";"print 2.6",#N/A,FALSE,"Sheet1";"print 3.6",#N/A,FALSE,"Sheet1";"print 4.6",#N/A,FALSE,"Sheet1";"print 5.6",#N/A,FALSE,"Sheet1";"print 6.6",#N/A,FALSE,"Sheet1"}</definedName>
    <definedName name="ass" localSheetId="0" hidden="1">{"print 1.6",#N/A,FALSE,"Sheet1";"print 2.6",#N/A,FALSE,"Sheet1";"print 3.6",#N/A,FALSE,"Sheet1";"print 4.6",#N/A,FALSE,"Sheet1";"print 5.6",#N/A,FALSE,"Sheet1";"print 6.6",#N/A,FALSE,"Sheet1"}</definedName>
    <definedName name="ass" hidden="1">{"print 1.6",#N/A,FALSE,"Sheet1";"print 2.6",#N/A,FALSE,"Sheet1";"print 3.6",#N/A,FALSE,"Sheet1";"print 4.6",#N/A,FALSE,"Sheet1";"print 5.6",#N/A,FALSE,"Sheet1";"print 6.6",#N/A,FALSE,"Sheet1"}</definedName>
    <definedName name="assd" localSheetId="0" hidden="1">{#N/A,#N/A,FALSE,"II-2 POP.HH";#N/A,#N/A,FALSE,"II-3 AGE.DIST";#N/A,#N/A,FALSE,"II-4 HH.DIST";#N/A,#N/A,FALSE,"II-5 EMP.INDUS"}</definedName>
    <definedName name="assd" hidden="1">{#N/A,#N/A,FALSE,"II-2 POP.HH";#N/A,#N/A,FALSE,"II-3 AGE.DIST";#N/A,#N/A,FALSE,"II-4 HH.DIST";#N/A,#N/A,FALSE,"II-5 EMP.INDUS"}</definedName>
    <definedName name="Asset_Number">#REF!</definedName>
    <definedName name="AssetChart">[1]!AssetChart</definedName>
    <definedName name="asss" localSheetId="3" hidden="1">{"rtn",#N/A,FALSE,"RTN";"tables",#N/A,FALSE,"RTN";"cf",#N/A,FALSE,"CF";"stats",#N/A,FALSE,"Stats";"prop",#N/A,FALSE,"Prop"}</definedName>
    <definedName name="asss" localSheetId="6" hidden="1">{"rtn",#N/A,FALSE,"RTN";"tables",#N/A,FALSE,"RTN";"cf",#N/A,FALSE,"CF";"stats",#N/A,FALSE,"Stats";"prop",#N/A,FALSE,"Prop"}</definedName>
    <definedName name="asss" localSheetId="9" hidden="1">{"rtn",#N/A,FALSE,"RTN";"tables",#N/A,FALSE,"RTN";"cf",#N/A,FALSE,"CF";"stats",#N/A,FALSE,"Stats";"prop",#N/A,FALSE,"Prop"}</definedName>
    <definedName name="asss" localSheetId="2" hidden="1">{"rtn",#N/A,FALSE,"RTN";"tables",#N/A,FALSE,"RTN";"cf",#N/A,FALSE,"CF";"stats",#N/A,FALSE,"Stats";"prop",#N/A,FALSE,"Prop"}</definedName>
    <definedName name="asss" localSheetId="4" hidden="1">{"rtn",#N/A,FALSE,"RTN";"tables",#N/A,FALSE,"RTN";"cf",#N/A,FALSE,"CF";"stats",#N/A,FALSE,"Stats";"prop",#N/A,FALSE,"Prop"}</definedName>
    <definedName name="asss" localSheetId="0" hidden="1">{"rtn",#N/A,FALSE,"RTN";"tables",#N/A,FALSE,"RTN";"cf",#N/A,FALSE,"CF";"stats",#N/A,FALSE,"Stats";"prop",#N/A,FALSE,"Prop"}</definedName>
    <definedName name="asss" hidden="1">{"rtn",#N/A,FALSE,"RTN";"tables",#N/A,FALSE,"RTN";"cf",#N/A,FALSE,"CF";"stats",#N/A,FALSE,"Stats";"prop",#N/A,FALSE,"Prop"}</definedName>
    <definedName name="ASSUMP1">#REF!</definedName>
    <definedName name="ASSUMP2">#REF!</definedName>
    <definedName name="ATTACHED" localSheetId="0" hidden="1">{#N/A,#N/A,FALSE,"el.det";#N/A,#N/A,FALSE,"mu.det";#N/A,#N/A,FALSE,"ug.det";#N/A,#N/A,FALSE,"ex.det";#N/A,#N/A,FALSE,"lux.det";#N/A,#N/A,FALSE,"custom.lot";#N/A,#N/A,FALSE,"condo.att";#N/A,#N/A,FALSE,"el.att";#N/A,#N/A,FALSE,"mu.att";#N/A,#N/A,FALSE,"ex.att";#N/A,#N/A,FALSE,"lux.att";#N/A,#N/A,FALSE,"all.by.village"}</definedName>
    <definedName name="ATTACHED" hidden="1">{#N/A,#N/A,FALSE,"el.det";#N/A,#N/A,FALSE,"mu.det";#N/A,#N/A,FALSE,"ug.det";#N/A,#N/A,FALSE,"ex.det";#N/A,#N/A,FALSE,"lux.det";#N/A,#N/A,FALSE,"custom.lot";#N/A,#N/A,FALSE,"condo.att";#N/A,#N/A,FALSE,"el.att";#N/A,#N/A,FALSE,"mu.att";#N/A,#N/A,FALSE,"ex.att";#N/A,#N/A,FALSE,"lux.att";#N/A,#N/A,FALSE,"all.by.village"}</definedName>
    <definedName name="AveUnitSize">#REF!</definedName>
    <definedName name="Avg_Sales_Lead_Time">#REF!</definedName>
    <definedName name="AVILAFEES">#REF!</definedName>
    <definedName name="b" localSheetId="3" hidden="1">{#N/A,#N/A,FALSE,"ExitStratigy"}</definedName>
    <definedName name="B" localSheetId="6">#N/A</definedName>
    <definedName name="b" localSheetId="9" hidden="1">{#N/A,#N/A,FALSE,"ExitStratigy"}</definedName>
    <definedName name="b" localSheetId="2" hidden="1">{#N/A,#N/A,FALSE,"ExitStratigy"}</definedName>
    <definedName name="b" localSheetId="4" hidden="1">{#N/A,#N/A,FALSE,"ExitStratigy"}</definedName>
    <definedName name="b" localSheetId="0" hidden="1">{#N/A,#N/A,FALSE,"ExitStratigy"}</definedName>
    <definedName name="b" hidden="1">{#N/A,#N/A,FALSE,"ExitStratigy"}</definedName>
    <definedName name="BadLink" hidden="1">#REF!</definedName>
    <definedName name="bb" localSheetId="3" hidden="1">{#N/A,#N/A,FALSE,"ExitStratigy"}</definedName>
    <definedName name="bb" localSheetId="6" hidden="1">{#N/A,#N/A,FALSE,"ExitStratigy"}</definedName>
    <definedName name="bb" localSheetId="9" hidden="1">{#N/A,#N/A,FALSE,"ExitStratigy"}</definedName>
    <definedName name="bb" localSheetId="2" hidden="1">{#N/A,#N/A,FALSE,"ExitStratigy"}</definedName>
    <definedName name="bb" localSheetId="4" hidden="1">{#N/A,#N/A,FALSE,"ExitStratigy"}</definedName>
    <definedName name="bb" localSheetId="0" hidden="1">{#N/A,#N/A,FALSE,"ExitStratigy"}</definedName>
    <definedName name="bb" hidden="1">{#N/A,#N/A,FALSE,"ExitStratigy"}</definedName>
    <definedName name="BB_HC">#REF!</definedName>
    <definedName name="bbb" localSheetId="3" hidden="1">{#N/A,#N/A,FALSE,"ExitStratigy"}</definedName>
    <definedName name="bbb" localSheetId="6" hidden="1">{#N/A,#N/A,FALSE,"ExitStratigy"}</definedName>
    <definedName name="bbb" localSheetId="9" hidden="1">{#N/A,#N/A,FALSE,"ExitStratigy"}</definedName>
    <definedName name="bbb" localSheetId="2" hidden="1">{#N/A,#N/A,FALSE,"ExitStratigy"}</definedName>
    <definedName name="bbb" localSheetId="4" hidden="1">{#N/A,#N/A,FALSE,"ExitStratigy"}</definedName>
    <definedName name="bbb" localSheetId="0" hidden="1">{#N/A,#N/A,FALSE,"ExitStratigy"}</definedName>
    <definedName name="bbb" hidden="1">{#N/A,#N/A,FALSE,"ExitStratigy"}</definedName>
    <definedName name="bbbbbb" localSheetId="0" hidden="1">{"Outflow 1",#N/A,FALSE,"Outflows-Inflows";"Outflow 2",#N/A,FALSE,"Outflows-Inflows";"Inflow 1",#N/A,FALSE,"Outflows-Inflows";"Inflow 2",#N/A,FALSE,"Outflows-Inflows"}</definedName>
    <definedName name="bbbbbb" hidden="1">{"Outflow 1",#N/A,FALSE,"Outflows-Inflows";"Outflow 2",#N/A,FALSE,"Outflows-Inflows";"Inflow 1",#N/A,FALSE,"Outflows-Inflows";"Inflow 2",#N/A,FALSE,"Outflows-Inflows"}</definedName>
    <definedName name="be" localSheetId="0" hidden="1">{#N/A,#N/A,FALSE,"Exec Sum 10Yr";#N/A,#N/A,FALSE,"Assumptions";#N/A,#N/A,FALSE,"Operating Stmts";#N/A,#N/A,FALSE,"Year One Pro Forma";#N/A,#N/A,FALSE,"Rent Roll Summary";#N/A,#N/A,FALSE,"Market Rent Detail";#N/A,#N/A,FALSE,"Effective Rental Income Detail";#N/A,#N/A,FALSE,"Cash Flow Projections";#N/A,#N/A,FALSE,"Net Residual Value"}</definedName>
    <definedName name="be" hidden="1">{#N/A,#N/A,FALSE,"Exec Sum 10Yr";#N/A,#N/A,FALSE,"Assumptions";#N/A,#N/A,FALSE,"Operating Stmts";#N/A,#N/A,FALSE,"Year One Pro Forma";#N/A,#N/A,FALSE,"Rent Roll Summary";#N/A,#N/A,FALSE,"Market Rent Detail";#N/A,#N/A,FALSE,"Effective Rental Income Detail";#N/A,#N/A,FALSE,"Cash Flow Projections";#N/A,#N/A,FALSE,"Net Residual Value"}</definedName>
    <definedName name="beattle" localSheetId="3" hidden="1">{"Full Sheet",#N/A,FALSE,"Expense Comparison"}</definedName>
    <definedName name="beattle" localSheetId="6" hidden="1">{"Full Sheet",#N/A,FALSE,"Expense Comparison"}</definedName>
    <definedName name="beattle" localSheetId="9" hidden="1">{"Full Sheet",#N/A,FALSE,"Expense Comparison"}</definedName>
    <definedName name="beattle" localSheetId="2" hidden="1">{"Full Sheet",#N/A,FALSE,"Expense Comparison"}</definedName>
    <definedName name="beattle" localSheetId="4" hidden="1">{"Full Sheet",#N/A,FALSE,"Expense Comparison"}</definedName>
    <definedName name="beattle" localSheetId="0" hidden="1">{"Full Sheet",#N/A,FALSE,"Expense Comparison"}</definedName>
    <definedName name="beattle" hidden="1">{"Full Sheet",#N/A,FALSE,"Expense Comparison"}</definedName>
    <definedName name="Beg_Bal">#REF!</definedName>
    <definedName name="BGRSF">#REF!</definedName>
    <definedName name="BillTo">#REF!</definedName>
    <definedName name="BillToAddress">#REF!</definedName>
    <definedName name="BillToCitySt">#REF!</definedName>
    <definedName name="BillToContact">#REF!</definedName>
    <definedName name="BillToCustomer">#REF!</definedName>
    <definedName name="BillToName">#REF!</definedName>
    <definedName name="BillToPhone">#REF!</definedName>
    <definedName name="BillToZip">#REF!</definedName>
    <definedName name="Blah">#REF!</definedName>
    <definedName name="Blah4" localSheetId="0" hidden="1">REPT(LOCAL_YEAR_FORMAT,4)&amp;blah5&amp;REPT(LOCAL_MONTH_FORMAT,2)&amp;blah5&amp;REPT(LOCAL_DAY_FORMAT,2)&amp;" "&amp;REPT(Blah6,2)&amp;Blah7&amp;REPT(LOCAL_MINUTE_FORMAT,2)&amp;Blah7&amp;REPT(LOCAL_SECOND_FORMAT,2)</definedName>
    <definedName name="Blah4" hidden="1">REPT(LOCAL_YEAR_FORMAT,4)&amp;blah5&amp;REPT(LOCAL_MONTH_FORMAT,2)&amp;blah5&amp;REPT(LOCAL_DAY_FORMAT,2)&amp;" "&amp;REPT(Blah6,2)&amp;Blah7&amp;REPT(LOCAL_MINUTE_FORMAT,2)&amp;Blah7&amp;REPT(LOCAL_SECOND_FORMAT,2)</definedName>
    <definedName name="blah8">#REF!</definedName>
    <definedName name="BLPH1" hidden="1">#REF!</definedName>
    <definedName name="BLPH10" hidden="1">#REF!</definedName>
    <definedName name="BLPH11" hidden="1">#REF!</definedName>
    <definedName name="BLPH12"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BNRSF">#REF!</definedName>
    <definedName name="bog" localSheetId="0" hidden="1">{"CF",#N/A,FALSE,"Cash Flow";"RET",#N/A,FALSE,"Returns";"NPV",#N/A,FALSE,"Values";"ASMPT",#N/A,FALSE,"Assumptions"}</definedName>
    <definedName name="bog" hidden="1">{"CF",#N/A,FALSE,"Cash Flow";"RET",#N/A,FALSE,"Returns";"NPV",#N/A,FALSE,"Values";"ASMPT",#N/A,FALSE,"Assumptions"}</definedName>
    <definedName name="bogu" localSheetId="0" hidden="1">{"CF",#N/A,FALSE,"Cash Flow";"RET",#N/A,FALSE,"Returns";"NPV",#N/A,FALSE,"Values";"ASMPT",#N/A,FALSE,"Assumptions"}</definedName>
    <definedName name="bogu" hidden="1">{"CF",#N/A,FALSE,"Cash Flow";"RET",#N/A,FALSE,"Returns";"NPV",#N/A,FALSE,"Values";"ASMPT",#N/A,FALSE,"Assumptions"}</definedName>
    <definedName name="bogus" localSheetId="0" hidden="1">{"CF",#N/A,FALSE,"Cash Flow";"RET",#N/A,FALSE,"Returns";"NPV",#N/A,FALSE,"Values";"ASMPT",#N/A,FALSE,"Assumptions"}</definedName>
    <definedName name="bogus" hidden="1">{"CF",#N/A,FALSE,"Cash Flow";"RET",#N/A,FALSE,"Returns";"NPV",#N/A,FALSE,"Values";"ASMPT",#N/A,FALSE,"Assumptions"}</definedName>
    <definedName name="bogus2" localSheetId="0" hidden="1">{"CF",#N/A,FALSE,"Cash Flow";"RET",#N/A,FALSE,"Returns";"NPV",#N/A,FALSE,"Values";"ASMPT",#N/A,FALSE,"Assumptions"}</definedName>
    <definedName name="bogus2" hidden="1">{"CF",#N/A,FALSE,"Cash Flow";"RET",#N/A,FALSE,"Returns";"NPV",#N/A,FALSE,"Values";"ASMPT",#N/A,FALSE,"Assumptions"}</definedName>
    <definedName name="br" localSheetId="0" hidden="1">{#N/A,#N/A,FALSE,"Aging Summary";#N/A,#N/A,FALSE,"Ratio Analysis";#N/A,#N/A,FALSE,"Test 120 Day Accts";#N/A,#N/A,FALSE,"Tickmarks"}</definedName>
    <definedName name="br" hidden="1">{#N/A,#N/A,FALSE,"Aging Summary";#N/A,#N/A,FALSE,"Ratio Analysis";#N/A,#N/A,FALSE,"Test 120 Day Accts";#N/A,#N/A,FALSE,"Tickmarks"}</definedName>
    <definedName name="BROW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6"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9"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ud_Yr">#REF!</definedName>
    <definedName name="Budget_Year">#REF!</definedName>
    <definedName name="BudgetSumm" localSheetId="3" hidden="1">{#N/A,#N/A,FALSE,"Cashflow Analysis";#N/A,#N/A,FALSE,"Sensitivity Analysis";#N/A,#N/A,FALSE,"PV";#N/A,#N/A,FALSE,"Pro Forma"}</definedName>
    <definedName name="BudgetSumm" localSheetId="9" hidden="1">{#N/A,#N/A,FALSE,"Cashflow Analysis";#N/A,#N/A,FALSE,"Sensitivity Analysis";#N/A,#N/A,FALSE,"PV";#N/A,#N/A,FALSE,"Pro Forma"}</definedName>
    <definedName name="BudgetSumm" localSheetId="2" hidden="1">{#N/A,#N/A,FALSE,"Cashflow Analysis";#N/A,#N/A,FALSE,"Sensitivity Analysis";#N/A,#N/A,FALSE,"PV";#N/A,#N/A,FALSE,"Pro Forma"}</definedName>
    <definedName name="BudgetSumm" localSheetId="4" hidden="1">{#N/A,#N/A,FALSE,"Cashflow Analysis";#N/A,#N/A,FALSE,"Sensitivity Analysis";#N/A,#N/A,FALSE,"PV";#N/A,#N/A,FALSE,"Pro Forma"}</definedName>
    <definedName name="BudgetSumm" localSheetId="0" hidden="1">{#N/A,#N/A,FALSE,"Cashflow Analysis";#N/A,#N/A,FALSE,"Sensitivity Analysis";#N/A,#N/A,FALSE,"PV";#N/A,#N/A,FALSE,"Pro Forma"}</definedName>
    <definedName name="BudgetSumm" hidden="1">{#N/A,#N/A,FALSE,"Cashflow Analysis";#N/A,#N/A,FALSE,"Sensitivity Analysis";#N/A,#N/A,FALSE,"PV";#N/A,#N/A,FALSE,"Pro Forma"}</definedName>
    <definedName name="BudgetSumm.2" localSheetId="3" hidden="1">{#N/A,#N/A,FALSE,"Cashflow Analysis";#N/A,#N/A,FALSE,"Sensitivity Analysis";#N/A,#N/A,FALSE,"PV";#N/A,#N/A,FALSE,"Pro Forma"}</definedName>
    <definedName name="BudgetSumm.2" localSheetId="9" hidden="1">{#N/A,#N/A,FALSE,"Cashflow Analysis";#N/A,#N/A,FALSE,"Sensitivity Analysis";#N/A,#N/A,FALSE,"PV";#N/A,#N/A,FALSE,"Pro Forma"}</definedName>
    <definedName name="BudgetSumm.2" localSheetId="2" hidden="1">{#N/A,#N/A,FALSE,"Cashflow Analysis";#N/A,#N/A,FALSE,"Sensitivity Analysis";#N/A,#N/A,FALSE,"PV";#N/A,#N/A,FALSE,"Pro Forma"}</definedName>
    <definedName name="BudgetSumm.2" localSheetId="4" hidden="1">{#N/A,#N/A,FALSE,"Cashflow Analysis";#N/A,#N/A,FALSE,"Sensitivity Analysis";#N/A,#N/A,FALSE,"PV";#N/A,#N/A,FALSE,"Pro Forma"}</definedName>
    <definedName name="BudgetSumm.2" localSheetId="0" hidden="1">{#N/A,#N/A,FALSE,"Cashflow Analysis";#N/A,#N/A,FALSE,"Sensitivity Analysis";#N/A,#N/A,FALSE,"PV";#N/A,#N/A,FALSE,"Pro Forma"}</definedName>
    <definedName name="BudgetSumm.2" hidden="1">{#N/A,#N/A,FALSE,"Cashflow Analysis";#N/A,#N/A,FALSE,"Sensitivity Analysis";#N/A,#N/A,FALSE,"PV";#N/A,#N/A,FALSE,"Pro Forma"}</definedName>
    <definedName name="buildcount" localSheetId="0">'[2]Deal Sheet Inputs'!$C$77</definedName>
    <definedName name="buildcount">Inputs!$C$76</definedName>
    <definedName name="builder" localSheetId="0" hidden="1">{#N/A,#N/A,FALSE,"el.det";#N/A,#N/A,FALSE,"mu.det";#N/A,#N/A,FALSE,"ug.det";#N/A,#N/A,FALSE,"ex.det";#N/A,#N/A,FALSE,"lux.det";#N/A,#N/A,FALSE,"custom.lot";#N/A,#N/A,FALSE,"condo.att";#N/A,#N/A,FALSE,"el.att";#N/A,#N/A,FALSE,"mu.att";#N/A,#N/A,FALSE,"ex.att";#N/A,#N/A,FALSE,"lux.att";#N/A,#N/A,FALSE,"all.by.village"}</definedName>
    <definedName name="builder" hidden="1">{#N/A,#N/A,FALSE,"el.det";#N/A,#N/A,FALSE,"mu.det";#N/A,#N/A,FALSE,"ug.det";#N/A,#N/A,FALSE,"ex.det";#N/A,#N/A,FALSE,"lux.det";#N/A,#N/A,FALSE,"custom.lot";#N/A,#N/A,FALSE,"condo.att";#N/A,#N/A,FALSE,"el.att";#N/A,#N/A,FALSE,"mu.att";#N/A,#N/A,FALSE,"ex.att";#N/A,#N/A,FALSE,"lux.att";#N/A,#N/A,FALSE,"all.by.village"}</definedName>
    <definedName name="BunkerSandSub">#REF!</definedName>
    <definedName name="BunkerSandSub1">#REF!</definedName>
    <definedName name="BusinessUnit">#REF!</definedName>
    <definedName name="buyer">#REF!</definedName>
    <definedName name="bv" localSheetId="0" hidden="1">{#N/A,#N/A,FALSE,"II-2 POP.HH";#N/A,#N/A,FALSE,"II-3 AGE.DIST";#N/A,#N/A,FALSE,"II-4 HH.DIST";#N/A,#N/A,FALSE,"II-5 EMP.INDUS"}</definedName>
    <definedName name="bv" hidden="1">{#N/A,#N/A,FALSE,"II-2 POP.HH";#N/A,#N/A,FALSE,"II-3 AGE.DIST";#N/A,#N/A,FALSE,"II-4 HH.DIST";#N/A,#N/A,FALSE,"II-5 EMP.INDUS"}</definedName>
    <definedName name="Cap">#REF!</definedName>
    <definedName name="Capex2" localSheetId="0"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ex2"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EX3" localSheetId="0"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EX3"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exNEW" localSheetId="0"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exNEW"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rate">#REF!</definedName>
    <definedName name="CartpathSub">#REF!</definedName>
    <definedName name="CartpathSub1">#REF!</definedName>
    <definedName name="Case1">#REF!</definedName>
    <definedName name="Case2">#REF!</definedName>
    <definedName name="Case3">#REF!</definedName>
    <definedName name="Case4">#REF!</definedName>
    <definedName name="cat" localSheetId="0" hidden="1">{#N/A,#N/A,FALSE,"Exec Sum 10Yr";#N/A,#N/A,FALSE,"Assumptions";#N/A,#N/A,FALSE,"Operating Stmts";#N/A,#N/A,FALSE,"Year One Pro Forma";#N/A,#N/A,FALSE,"Rent Roll Summary";#N/A,#N/A,FALSE,"Market Rent Detail";#N/A,#N/A,FALSE,"Effective Rental Income Detail";#N/A,#N/A,FALSE,"Cash Flow Projections";#N/A,#N/A,FALSE,"Net Residual Value"}</definedName>
    <definedName name="cat" hidden="1">{#N/A,#N/A,FALSE,"Exec Sum 10Yr";#N/A,#N/A,FALSE,"Assumptions";#N/A,#N/A,FALSE,"Operating Stmts";#N/A,#N/A,FALSE,"Year One Pro Forma";#N/A,#N/A,FALSE,"Rent Roll Summary";#N/A,#N/A,FALSE,"Market Rent Detail";#N/A,#N/A,FALSE,"Effective Rental Income Detail";#N/A,#N/A,FALSE,"Cash Flow Projections";#N/A,#N/A,FALSE,"Net Residual Value"}</definedName>
    <definedName name="cb" localSheetId="0" hidden="1">{#N/A,#N/A,FALSE,"el.det";#N/A,#N/A,FALSE,"mu.det";#N/A,#N/A,FALSE,"ug.det";#N/A,#N/A,FALSE,"ex.det";#N/A,#N/A,FALSE,"lux.det";#N/A,#N/A,FALSE,"custom.lot";#N/A,#N/A,FALSE,"condo.att";#N/A,#N/A,FALSE,"el.att";#N/A,#N/A,FALSE,"mu.att";#N/A,#N/A,FALSE,"ex.att";#N/A,#N/A,FALSE,"lux.att";#N/A,#N/A,FALSE,"all.by.village"}</definedName>
    <definedName name="cb" hidden="1">{#N/A,#N/A,FALSE,"el.det";#N/A,#N/A,FALSE,"mu.det";#N/A,#N/A,FALSE,"ug.det";#N/A,#N/A,FALSE,"ex.det";#N/A,#N/A,FALSE,"lux.det";#N/A,#N/A,FALSE,"custom.lot";#N/A,#N/A,FALSE,"condo.att";#N/A,#N/A,FALSE,"el.att";#N/A,#N/A,FALSE,"mu.att";#N/A,#N/A,FALSE,"ex.att";#N/A,#N/A,FALSE,"lux.att";#N/A,#N/A,FALSE,"all.by.village"}</definedName>
    <definedName name="cb_sChart41E9A35_opts" hidden="1">"1, 9, 1, False, 2, False, False, , 0, False, True, 1, 1"</definedName>
    <definedName name="cbra">#REF!</definedName>
    <definedName name="cbre" localSheetId="0" hidden="1">{#N/A,#N/A,FALSE,"Pricing Matrix";#N/A,#N/A,FALSE,"Assumptions";#N/A,#N/A,FALSE,"Year One Pro Forma";#N/A,#N/A,FALSE,"Operating Stmts";#N/A,#N/A,FALSE,"Cash Flow Projections";#N/A,#N/A,FALSE,"Rent Roll Summary";#N/A,#N/A,FALSE,"Market Rent Detail";#N/A,#N/A,FALSE,"Effective Rental Income Detail"}</definedName>
    <definedName name="cbre" hidden="1">{#N/A,#N/A,FALSE,"Pricing Matrix";#N/A,#N/A,FALSE,"Assumptions";#N/A,#N/A,FALSE,"Year One Pro Forma";#N/A,#N/A,FALSE,"Operating Stmts";#N/A,#N/A,FALSE,"Cash Flow Projections";#N/A,#N/A,FALSE,"Rent Roll Summary";#N/A,#N/A,FALSE,"Market Rent Detail";#N/A,#N/A,FALSE,"Effective Rental Income Detail"}</definedName>
    <definedName name="cc" localSheetId="3" hidden="1">{#N/A,#N/A,FALSE,"LoanAssumptions"}</definedName>
    <definedName name="cc" localSheetId="9" hidden="1">{#N/A,#N/A,FALSE,"LoanAssumptions"}</definedName>
    <definedName name="cc" localSheetId="2" hidden="1">{#N/A,#N/A,FALSE,"LoanAssumptions"}</definedName>
    <definedName name="cc" localSheetId="4" hidden="1">{#N/A,#N/A,FALSE,"LoanAssumptions"}</definedName>
    <definedName name="CC">#N/A</definedName>
    <definedName name="cc." localSheetId="0" hidden="1">{"CD1",#N/A,TRUE,"C-D (R)";"CD2",#N/A,TRUE,"C-D (R)"}</definedName>
    <definedName name="cc." hidden="1">{"CD1",#N/A,TRUE,"C-D (R)";"CD2",#N/A,TRUE,"C-D (R)"}</definedName>
    <definedName name="ccc" localSheetId="3" hidden="1">{#N/A,#N/A,FALSE,"LoanAssumptions"}</definedName>
    <definedName name="ccc" localSheetId="6" hidden="1">{#N/A,#N/A,FALSE,"LoanAssumptions"}</definedName>
    <definedName name="ccc" localSheetId="9" hidden="1">{#N/A,#N/A,FALSE,"LoanAssumptions"}</definedName>
    <definedName name="ccc" localSheetId="2" hidden="1">{#N/A,#N/A,FALSE,"LoanAssumptions"}</definedName>
    <definedName name="ccc" localSheetId="4" hidden="1">{#N/A,#N/A,FALSE,"LoanAssumptions"}</definedName>
    <definedName name="ccc" localSheetId="0" hidden="1">{#N/A,#N/A,FALSE,"LoanAssumptions"}</definedName>
    <definedName name="ccc" hidden="1">{#N/A,#N/A,FALSE,"LoanAssumptions"}</definedName>
    <definedName name="CCCCCCCCC" localSheetId="0" hidden="1">{FALSE,FALSE,1.75,1,600,351,FALSE,FALSE,TRUE,TRUE,0,30,#N/A,41,#N/A,9.57777777777778,18.9166666666667,1,FALSE,FALSE,1,TRUE,1,FALSE,100,"Swvu.As._.Is._.Value.","ACwvu.As._.Is._.Value.",1,FALSE,FALSE,1,1,1,1,1,"","",FALSE,FALSE,FALSE,FALSE,1,#N/A,1,1,FALSE,FALSE,FALSE,FALSE,FALSE,FALSE}</definedName>
    <definedName name="CCCCCCCCC" hidden="1">{FALSE,FALSE,1.75,1,600,351,FALSE,FALSE,TRUE,TRUE,0,30,#N/A,41,#N/A,9.57777777777778,18.9166666666667,1,FALSE,FALSE,1,TRUE,1,FALSE,100,"Swvu.As._.Is._.Value.","ACwvu.As._.Is._.Value.",1,FALSE,FALSE,1,1,1,1,1,"","",FALSE,FALSE,FALSE,FALSE,1,#N/A,1,1,FALSE,FALSE,FALSE,FALSE,FALSE,FALSE}</definedName>
    <definedName name="CDATE">#REF!</definedName>
    <definedName name="CFB">#REF!</definedName>
    <definedName name="CFC">#REF!</definedName>
    <definedName name="CFD">#REF!</definedName>
    <definedName name="CFE">#REF!</definedName>
    <definedName name="CFF">#REF!</definedName>
    <definedName name="CFG">#REF!</definedName>
    <definedName name="CFI">#REF!</definedName>
    <definedName name="CFL">#REF!</definedName>
    <definedName name="cflow" localSheetId="0" hidden="1">{"CF",#N/A,FALSE,"Cash Flow";"RET",#N/A,FALSE,"Returns";"NPV",#N/A,FALSE,"Values";"ASMPT",#N/A,FALSE,"Assumptions"}</definedName>
    <definedName name="cflow" hidden="1">{"CF",#N/A,FALSE,"Cash Flow";"RET",#N/A,FALSE,"Returns";"NPV",#N/A,FALSE,"Values";"ASMPT",#N/A,FALSE,"Assumptions"}</definedName>
    <definedName name="CFT">#REF!</definedName>
    <definedName name="CGRSF">#REF!</definedName>
    <definedName name="Chart2">#REF!</definedName>
    <definedName name="Chart3">#REF!</definedName>
    <definedName name="check2" localSheetId="3" hidden="1">{#N/A,#N/A,FALSE,"Cashflow Analysis";#N/A,#N/A,FALSE,"Sensitivity Analysis";#N/A,#N/A,FALSE,"PV";#N/A,#N/A,FALSE,"Pro Forma"}</definedName>
    <definedName name="check2" localSheetId="9" hidden="1">{#N/A,#N/A,FALSE,"Cashflow Analysis";#N/A,#N/A,FALSE,"Sensitivity Analysis";#N/A,#N/A,FALSE,"PV";#N/A,#N/A,FALSE,"Pro Forma"}</definedName>
    <definedName name="check2" localSheetId="2" hidden="1">{#N/A,#N/A,FALSE,"Cashflow Analysis";#N/A,#N/A,FALSE,"Sensitivity Analysis";#N/A,#N/A,FALSE,"PV";#N/A,#N/A,FALSE,"Pro Forma"}</definedName>
    <definedName name="check2" localSheetId="4" hidden="1">{#N/A,#N/A,FALSE,"Cashflow Analysis";#N/A,#N/A,FALSE,"Sensitivity Analysis";#N/A,#N/A,FALSE,"PV";#N/A,#N/A,FALSE,"Pro Forma"}</definedName>
    <definedName name="check2" localSheetId="0" hidden="1">{#N/A,#N/A,FALSE,"Cashflow Analysis";#N/A,#N/A,FALSE,"Sensitivity Analysis";#N/A,#N/A,FALSE,"PV";#N/A,#N/A,FALSE,"Pro Forma"}</definedName>
    <definedName name="check2" hidden="1">{#N/A,#N/A,FALSE,"Cashflow Analysis";#N/A,#N/A,FALSE,"Sensitivity Analysis";#N/A,#N/A,FALSE,"PV";#N/A,#N/A,FALSE,"Pro Forma"}</definedName>
    <definedName name="CIQWBGuid" hidden="1">"4d1044d7-f772-443e-bf4e-e57e5c85e448"</definedName>
    <definedName name="Circ">#REF!</definedName>
    <definedName name="cityst">#REF!</definedName>
    <definedName name="ck" localSheetId="0" hidden="1">{#N/A,#N/A,FALSE,"Aging Summary";#N/A,#N/A,FALSE,"Ratio Analysis";#N/A,#N/A,FALSE,"Test 120 Day Accts";#N/A,#N/A,FALSE,"Tickmarks"}</definedName>
    <definedName name="ck" hidden="1">{#N/A,#N/A,FALSE,"Aging Summary";#N/A,#N/A,FALSE,"Ratio Analysis";#N/A,#N/A,FALSE,"Test 120 Day Accts";#N/A,#N/A,FALSE,"Tickmarks"}</definedName>
    <definedName name="cka">#REF!</definedName>
    <definedName name="Clear1">#REF!,#REF!,#REF!,#REF!</definedName>
    <definedName name="COE">#REF!</definedName>
    <definedName name="cofs">#REF!</definedName>
    <definedName name="COG">#REF!</definedName>
    <definedName name="COL1STYR">7</definedName>
    <definedName name="ColDiff" localSheetId="0">COLUMN()-COL1STYR</definedName>
    <definedName name="ColDiff">COLUMN()-COL1STYR</definedName>
    <definedName name="ColDiff2" localSheetId="0">COLUMN()-COL1STYR</definedName>
    <definedName name="ColDiff2">COLUMN()-COL1STYR</definedName>
    <definedName name="comm"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comm"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condo">#REF!</definedName>
    <definedName name="Const_End_Date">#REF!</definedName>
    <definedName name="Const_Start_Date">#REF!</definedName>
    <definedName name="ConstManSub">#REF!</definedName>
    <definedName name="ConstManSub1">#REF!</definedName>
    <definedName name="constr_compl_date">#REF!</definedName>
    <definedName name="constr_loan_payoff">#REF!</definedName>
    <definedName name="Construct" localSheetId="0" hidden="1">{"Assumptions",#N/A,FALSE,"Assumptions"}</definedName>
    <definedName name="Construct" hidden="1">{"Assumptions",#N/A,FALSE,"Assumptions"}</definedName>
    <definedName name="construction" localSheetId="3" hidden="1">{"Construction Costs",#N/A,FALSE,"Total Costs"}</definedName>
    <definedName name="construction" localSheetId="6" hidden="1">{"Construction Costs",#N/A,FALSE,"Total Costs"}</definedName>
    <definedName name="construction" localSheetId="9" hidden="1">{"Construction Costs",#N/A,FALSE,"Total Costs"}</definedName>
    <definedName name="construction" localSheetId="2" hidden="1">{"Construction Costs",#N/A,FALSE,"Total Costs"}</definedName>
    <definedName name="construction" localSheetId="4" hidden="1">{"Construction Costs",#N/A,FALSE,"Total Costs"}</definedName>
    <definedName name="construction" localSheetId="0" hidden="1">{"Construction Costs",#N/A,FALSE,"Total Costs"}</definedName>
    <definedName name="construction" hidden="1">{"Construction Costs",#N/A,FALSE,"Total Costs"}</definedName>
    <definedName name="Construction_Int_Rate">#REF!</definedName>
    <definedName name="Construction_Length">#REF!</definedName>
    <definedName name="Construction_Loan_Amount">#REF!</definedName>
    <definedName name="Construction_Module_On?">#REF!</definedName>
    <definedName name="Construction1" localSheetId="0" hidden="1">{"Construction Costs",#N/A,FALSE,"Total Costs"}</definedName>
    <definedName name="Construction1" hidden="1">{"Construction Costs",#N/A,FALSE,"Total Costs"}</definedName>
    <definedName name="CONT">#REF!</definedName>
    <definedName name="copied" localSheetId="0" hidden="1">{#N/A,#N/A,FALSE,"el.det";#N/A,#N/A,FALSE,"mu.det";#N/A,#N/A,FALSE,"ug.det";#N/A,#N/A,FALSE,"ex.det";#N/A,#N/A,FALSE,"lux.det";#N/A,#N/A,FALSE,"custom.lot";#N/A,#N/A,FALSE,"condo.att";#N/A,#N/A,FALSE,"el.att";#N/A,#N/A,FALSE,"mu.att";#N/A,#N/A,FALSE,"ex.att";#N/A,#N/A,FALSE,"lux.att";#N/A,#N/A,FALSE,"all.by.village"}</definedName>
    <definedName name="copied" hidden="1">{#N/A,#N/A,FALSE,"el.det";#N/A,#N/A,FALSE,"mu.det";#N/A,#N/A,FALSE,"ug.det";#N/A,#N/A,FALSE,"ex.det";#N/A,#N/A,FALSE,"lux.det";#N/A,#N/A,FALSE,"custom.lot";#N/A,#N/A,FALSE,"condo.att";#N/A,#N/A,FALSE,"el.att";#N/A,#N/A,FALSE,"mu.att";#N/A,#N/A,FALSE,"ex.att";#N/A,#N/A,FALSE,"lux.att";#N/A,#N/A,FALSE,"all.by.village"}</definedName>
    <definedName name="copy" localSheetId="3" hidden="1">{"sheet a",#N/A,FALSE,"A";"2 9 casflow",#N/A,FALSE,"B"}</definedName>
    <definedName name="copy" localSheetId="6" hidden="1">{"sheet a",#N/A,FALSE,"A";"2 9 casflow",#N/A,FALSE,"B"}</definedName>
    <definedName name="copy" localSheetId="9" hidden="1">{"sheet a",#N/A,FALSE,"A";"2 9 casflow",#N/A,FALSE,"B"}</definedName>
    <definedName name="copy" localSheetId="2" hidden="1">{"sheet a",#N/A,FALSE,"A";"2 9 casflow",#N/A,FALSE,"B"}</definedName>
    <definedName name="copy" localSheetId="4" hidden="1">{"sheet a",#N/A,FALSE,"A";"2 9 casflow",#N/A,FALSE,"B"}</definedName>
    <definedName name="copy" localSheetId="0" hidden="1">{"sheet a",#N/A,FALSE,"A";"2 9 casflow",#N/A,FALSE,"B"}</definedName>
    <definedName name="copy" hidden="1">{"sheet a",#N/A,FALSE,"A";"2 9 casflow",#N/A,FALSE,"B"}</definedName>
    <definedName name="copy2" localSheetId="3" hidden="1">{"new",#N/A,FALSE,"D";"PROFORMA",#N/A,FALSE,"A";"partial 1",#N/A,FALSE,"B";"partial 2",#N/A,FALSE,"B";"partial 3",#N/A,FALSE,"B";"SMALL CF 1",#N/A,FALSE,"C"}</definedName>
    <definedName name="copy2" localSheetId="6" hidden="1">{"new",#N/A,FALSE,"D";"PROFORMA",#N/A,FALSE,"A";"partial 1",#N/A,FALSE,"B";"partial 2",#N/A,FALSE,"B";"partial 3",#N/A,FALSE,"B";"SMALL CF 1",#N/A,FALSE,"C"}</definedName>
    <definedName name="copy2" localSheetId="9" hidden="1">{"new",#N/A,FALSE,"D";"PROFORMA",#N/A,FALSE,"A";"partial 1",#N/A,FALSE,"B";"partial 2",#N/A,FALSE,"B";"partial 3",#N/A,FALSE,"B";"SMALL CF 1",#N/A,FALSE,"C"}</definedName>
    <definedName name="copy2" localSheetId="2" hidden="1">{"new",#N/A,FALSE,"D";"PROFORMA",#N/A,FALSE,"A";"partial 1",#N/A,FALSE,"B";"partial 2",#N/A,FALSE,"B";"partial 3",#N/A,FALSE,"B";"SMALL CF 1",#N/A,FALSE,"C"}</definedName>
    <definedName name="copy2" localSheetId="4" hidden="1">{"new",#N/A,FALSE,"D";"PROFORMA",#N/A,FALSE,"A";"partial 1",#N/A,FALSE,"B";"partial 2",#N/A,FALSE,"B";"partial 3",#N/A,FALSE,"B";"SMALL CF 1",#N/A,FALSE,"C"}</definedName>
    <definedName name="copy2" localSheetId="0" hidden="1">{"new",#N/A,FALSE,"D";"PROFORMA",#N/A,FALSE,"A";"partial 1",#N/A,FALSE,"B";"partial 2",#N/A,FALSE,"B";"partial 3",#N/A,FALSE,"B";"SMALL CF 1",#N/A,FALSE,"C"}</definedName>
    <definedName name="copy2" hidden="1">{"new",#N/A,FALSE,"D";"PROFORMA",#N/A,FALSE,"A";"partial 1",#N/A,FALSE,"B";"partial 2",#N/A,FALSE,"B";"partial 3",#N/A,FALSE,"B";"SMALL CF 1",#N/A,FALSE,"C"}</definedName>
    <definedName name="Corner_copy" hidden="1">#REF!</definedName>
    <definedName name="CostDetail" localSheetId="0" hidden="1">{"CF",#N/A,FALSE,"Cash Flow";"RET",#N/A,FALSE,"Returns";"NPV",#N/A,FALSE,"Values";"ASMPT",#N/A,FALSE,"Assumptions"}</definedName>
    <definedName name="CostDetail" hidden="1">{"CF",#N/A,FALSE,"Cash Flow";"RET",#N/A,FALSE,"Returns";"NPV",#N/A,FALSE,"Values";"ASMPT",#N/A,FALSE,"Assumptions"}</definedName>
    <definedName name="CostsDetail" localSheetId="0" hidden="1">{"CF",#N/A,FALSE,"Cash Flow";"RET",#N/A,FALSE,"Returns";"NPV",#N/A,FALSE,"Values";"ASMPT",#N/A,FALSE,"Assumptions"}</definedName>
    <definedName name="CostsDetail" hidden="1">{"CF",#N/A,FALSE,"Cash Flow";"RET",#N/A,FALSE,"Returns";"NPV",#N/A,FALSE,"Values";"ASMPT",#N/A,FALSE,"Assumptions"}</definedName>
    <definedName name="Cottage" localSheetId="3" hidden="1">{"cot1",#N/A,FALSE,"Cottages";"cot2",#N/A,FALSE,"Cottages";"cot3",#N/A,FALSE,"Cottages"}</definedName>
    <definedName name="Cottage" localSheetId="6" hidden="1">{"cot1",#N/A,FALSE,"Cottages";"cot2",#N/A,FALSE,"Cottages";"cot3",#N/A,FALSE,"Cottages"}</definedName>
    <definedName name="Cottage" localSheetId="9" hidden="1">{"cot1",#N/A,FALSE,"Cottages";"cot2",#N/A,FALSE,"Cottages";"cot3",#N/A,FALSE,"Cottages"}</definedName>
    <definedName name="Cottage" localSheetId="2" hidden="1">{"cot1",#N/A,FALSE,"Cottages";"cot2",#N/A,FALSE,"Cottages";"cot3",#N/A,FALSE,"Cottages"}</definedName>
    <definedName name="Cottage" localSheetId="4" hidden="1">{"cot1",#N/A,FALSE,"Cottages";"cot2",#N/A,FALSE,"Cottages";"cot3",#N/A,FALSE,"Cottages"}</definedName>
    <definedName name="Cottage" localSheetId="0" hidden="1">{"cot1",#N/A,FALSE,"Cottages";"cot2",#N/A,FALSE,"Cottages";"cot3",#N/A,FALSE,"Cottages"}</definedName>
    <definedName name="Cottage" hidden="1">{"cot1",#N/A,FALSE,"Cottages";"cot2",#N/A,FALSE,"Cottages";"cot3",#N/A,FALSE,"Cottages"}</definedName>
    <definedName name="cottage2" localSheetId="0" hidden="1">{"cot1",#N/A,FALSE,"Cottages";"cot2",#N/A,FALSE,"Cottages";"cot3",#N/A,FALSE,"Cottages"}</definedName>
    <definedName name="cottage2" hidden="1">{"cot1",#N/A,FALSE,"Cottages";"cot2",#N/A,FALSE,"Cottages";"cot3",#N/A,FALSE,"Cottages"}</definedName>
    <definedName name="CPIG">#REF!</definedName>
    <definedName name="CRANDELLFEES">#REF!</definedName>
    <definedName name="crap" localSheetId="0" hidden="1">{"CF",#N/A,FALSE,"Cash Flow";"RET",#N/A,FALSE,"Returns";"NPV",#N/A,FALSE,"Values";"ASMPT",#N/A,FALSE,"Assumptions"}</definedName>
    <definedName name="crap" hidden="1">{"CF",#N/A,FALSE,"Cash Flow";"RET",#N/A,FALSE,"Returns";"NPV",#N/A,FALSE,"Values";"ASMPT",#N/A,FALSE,"Assumptions"}</definedName>
    <definedName name="CreditRel">#REF!</definedName>
    <definedName name="CRFEES">#REF!</definedName>
    <definedName name="crra">#REF!</definedName>
    <definedName name="crrc">#REF!</definedName>
    <definedName name="CSDATE">#REF!</definedName>
    <definedName name="cSum">9</definedName>
    <definedName name="CTB">#REF!</definedName>
    <definedName name="CTE">#REF!</definedName>
    <definedName name="CTF">#REF!</definedName>
    <definedName name="CTG">#REF!</definedName>
    <definedName name="CTH">#REF!</definedName>
    <definedName name="CTP">#REF!</definedName>
    <definedName name="CTR">#REF!</definedName>
    <definedName name="Current_Year">#REF!</definedName>
    <definedName name="CurrentMoveInDate">#REF!</definedName>
    <definedName name="CurrentNetEffectiveRent">#REF!</definedName>
    <definedName name="CurrMonth">#REF!</definedName>
    <definedName name="cvb" localSheetId="3" hidden="1">{"toc1",#N/A,FALSE,"TOC";"cover",#N/A,FALSE,"Cover";"ts1",#N/A,FALSE,"Transaction Summary";"ei3",#N/A,FALSE,"Earnings Impact";"ad3",#N/A,FALSE,"accretion dilution"}</definedName>
    <definedName name="cvb" localSheetId="9" hidden="1">{"toc1",#N/A,FALSE,"TOC";"cover",#N/A,FALSE,"Cover";"ts1",#N/A,FALSE,"Transaction Summary";"ei3",#N/A,FALSE,"Earnings Impact";"ad3",#N/A,FALSE,"accretion dilution"}</definedName>
    <definedName name="cvb" localSheetId="2" hidden="1">{"toc1",#N/A,FALSE,"TOC";"cover",#N/A,FALSE,"Cover";"ts1",#N/A,FALSE,"Transaction Summary";"ei3",#N/A,FALSE,"Earnings Impact";"ad3",#N/A,FALSE,"accretion dilution"}</definedName>
    <definedName name="cvb" localSheetId="4" hidden="1">{"toc1",#N/A,FALSE,"TOC";"cover",#N/A,FALSE,"Cover";"ts1",#N/A,FALSE,"Transaction Summary";"ei3",#N/A,FALSE,"Earnings Impact";"ad3",#N/A,FALSE,"accretion dilution"}</definedName>
    <definedName name="cvb" localSheetId="0" hidden="1">{"toc1",#N/A,FALSE,"TOC";"cover",#N/A,FALSE,"Cover";"ts1",#N/A,FALSE,"Transaction Summary";"ei3",#N/A,FALSE,"Earnings Impact";"ad3",#N/A,FALSE,"accretion dilution"}</definedName>
    <definedName name="cvb" hidden="1">{"toc1",#N/A,FALSE,"TOC";"cover",#N/A,FALSE,"Cover";"ts1",#N/A,FALSE,"Transaction Summary";"ei3",#N/A,FALSE,"Earnings Impact";"ad3",#N/A,FALSE,"accretion dilution"}</definedName>
    <definedName name="CXE">#REF!</definedName>
    <definedName name="CXG">#REF!</definedName>
    <definedName name="cxgxgfgfs" localSheetId="3" hidden="1">{#N/A,#N/A,FALSE,"Cashflow Analysis";#N/A,#N/A,FALSE,"Sensitivity Analysis";#N/A,#N/A,FALSE,"PV";#N/A,#N/A,FALSE,"Pro Forma"}</definedName>
    <definedName name="cxgxgfgfs" localSheetId="9" hidden="1">{#N/A,#N/A,FALSE,"Cashflow Analysis";#N/A,#N/A,FALSE,"Sensitivity Analysis";#N/A,#N/A,FALSE,"PV";#N/A,#N/A,FALSE,"Pro Forma"}</definedName>
    <definedName name="cxgxgfgfs" localSheetId="2" hidden="1">{#N/A,#N/A,FALSE,"Cashflow Analysis";#N/A,#N/A,FALSE,"Sensitivity Analysis";#N/A,#N/A,FALSE,"PV";#N/A,#N/A,FALSE,"Pro Forma"}</definedName>
    <definedName name="cxgxgfgfs" localSheetId="4" hidden="1">{#N/A,#N/A,FALSE,"Cashflow Analysis";#N/A,#N/A,FALSE,"Sensitivity Analysis";#N/A,#N/A,FALSE,"PV";#N/A,#N/A,FALSE,"Pro Forma"}</definedName>
    <definedName name="cxgxgfgfs" localSheetId="0" hidden="1">{#N/A,#N/A,FALSE,"Cashflow Analysis";#N/A,#N/A,FALSE,"Sensitivity Analysis";#N/A,#N/A,FALSE,"PV";#N/A,#N/A,FALSE,"Pro Forma"}</definedName>
    <definedName name="cxgxgfgfs" hidden="1">{#N/A,#N/A,FALSE,"Cashflow Analysis";#N/A,#N/A,FALSE,"Sensitivity Analysis";#N/A,#N/A,FALSE,"PV";#N/A,#N/A,FALSE,"Pro Forma"}</definedName>
    <definedName name="cxgxgfgfs.2" localSheetId="3" hidden="1">{#N/A,#N/A,FALSE,"Cashflow Analysis";#N/A,#N/A,FALSE,"Sensitivity Analysis";#N/A,#N/A,FALSE,"PV";#N/A,#N/A,FALSE,"Pro Forma"}</definedName>
    <definedName name="cxgxgfgfs.2" localSheetId="9" hidden="1">{#N/A,#N/A,FALSE,"Cashflow Analysis";#N/A,#N/A,FALSE,"Sensitivity Analysis";#N/A,#N/A,FALSE,"PV";#N/A,#N/A,FALSE,"Pro Forma"}</definedName>
    <definedName name="cxgxgfgfs.2" localSheetId="2" hidden="1">{#N/A,#N/A,FALSE,"Cashflow Analysis";#N/A,#N/A,FALSE,"Sensitivity Analysis";#N/A,#N/A,FALSE,"PV";#N/A,#N/A,FALSE,"Pro Forma"}</definedName>
    <definedName name="cxgxgfgfs.2" localSheetId="4" hidden="1">{#N/A,#N/A,FALSE,"Cashflow Analysis";#N/A,#N/A,FALSE,"Sensitivity Analysis";#N/A,#N/A,FALSE,"PV";#N/A,#N/A,FALSE,"Pro Forma"}</definedName>
    <definedName name="cxgxgfgfs.2" localSheetId="0" hidden="1">{#N/A,#N/A,FALSE,"Cashflow Analysis";#N/A,#N/A,FALSE,"Sensitivity Analysis";#N/A,#N/A,FALSE,"PV";#N/A,#N/A,FALSE,"Pro Forma"}</definedName>
    <definedName name="cxgxgfgfs.2" hidden="1">{#N/A,#N/A,FALSE,"Cashflow Analysis";#N/A,#N/A,FALSE,"Sensitivity Analysis";#N/A,#N/A,FALSE,"PV";#N/A,#N/A,FALSE,"Pro Forma"}</definedName>
    <definedName name="D">#N/A</definedName>
    <definedName name="data" localSheetId="3" hidden="1">{"data",#N/A,FALSE,"INPUT"}</definedName>
    <definedName name="data" localSheetId="9" hidden="1">{"data",#N/A,FALSE,"INPUT"}</definedName>
    <definedName name="data" localSheetId="2" hidden="1">{"data",#N/A,FALSE,"INPUT"}</definedName>
    <definedName name="data" localSheetId="4" hidden="1">{"data",#N/A,FALSE,"INPUT"}</definedName>
    <definedName name="data" localSheetId="0" hidden="1">{"data",#N/A,FALSE,"INPUT"}</definedName>
    <definedName name="data" hidden="1">{"data",#N/A,FALSE,"INPUT"}</definedName>
    <definedName name="DATA_01" hidden="1">#REF!</definedName>
    <definedName name="DATA_08" localSheetId="3" hidden="1">#REF!</definedName>
    <definedName name="DATA_08" localSheetId="9" hidden="1">#REF!</definedName>
    <definedName name="DATA_08" localSheetId="2" hidden="1">#REF!</definedName>
    <definedName name="DATA_08" localSheetId="4" hidden="1">#REF!</definedName>
    <definedName name="DATA_08" hidden="1">#REF!</definedName>
    <definedName name="DATA2" localSheetId="0" hidden="1">{"data",#N/A,FALSE,"INPUT"}</definedName>
    <definedName name="DATA2" hidden="1">{"data",#N/A,FALSE,"INPUT"}</definedName>
    <definedName name="_xlnm.Database">#REF!</definedName>
    <definedName name="Date_Input">#REF!</definedName>
    <definedName name="dd" localSheetId="3" hidden="1">{"MonthlyRentRoll",#N/A,FALSE,"RentRoll"}</definedName>
    <definedName name="dd" localSheetId="6" hidden="1">{"MonthlyRentRoll",#N/A,FALSE,"RentRoll"}</definedName>
    <definedName name="dd" localSheetId="9" hidden="1">{"MonthlyRentRoll",#N/A,FALSE,"RentRoll"}</definedName>
    <definedName name="dd" localSheetId="2" hidden="1">{"MonthlyRentRoll",#N/A,FALSE,"RentRoll"}</definedName>
    <definedName name="dd" localSheetId="4" hidden="1">{"MonthlyRentRoll",#N/A,FALSE,"RentRoll"}</definedName>
    <definedName name="dd" localSheetId="0" hidden="1">{"MonthlyRentRoll",#N/A,FALSE,"RentRoll"}</definedName>
    <definedName name="dd" hidden="1">{"MonthlyRentRoll",#N/A,FALSE,"RentRoll"}</definedName>
    <definedName name="DDATE">#REF!</definedName>
    <definedName name="ddd" localSheetId="3" hidden="1">{"MonthlyRentRoll",#N/A,FALSE,"RentRoll"}</definedName>
    <definedName name="ddd" localSheetId="6" hidden="1">{"MonthlyRentRoll",#N/A,FALSE,"RentRoll"}</definedName>
    <definedName name="ddd" localSheetId="9" hidden="1">{"MonthlyRentRoll",#N/A,FALSE,"RentRoll"}</definedName>
    <definedName name="ddd" localSheetId="2" hidden="1">{"MonthlyRentRoll",#N/A,FALSE,"RentRoll"}</definedName>
    <definedName name="ddd" localSheetId="4" hidden="1">{"MonthlyRentRoll",#N/A,FALSE,"RentRoll"}</definedName>
    <definedName name="ddd" localSheetId="0" hidden="1">{"MonthlyRentRoll",#N/A,FALSE,"RentRoll"}</definedName>
    <definedName name="ddd" hidden="1">{"MonthlyRentRoll",#N/A,FALSE,"RentRoll"}</definedName>
    <definedName name="DealName">#REF!</definedName>
    <definedName name="DealUnits">#REF!</definedName>
    <definedName name="DEBT">"B42"</definedName>
    <definedName name="Debt_Calc1_Amort" localSheetId="3" hidden="1">#REF!</definedName>
    <definedName name="Debt_Calc1_Amort" localSheetId="9" hidden="1">#REF!</definedName>
    <definedName name="Debt_Calc1_Amort" localSheetId="2" hidden="1">#REF!</definedName>
    <definedName name="Debt_Calc1_Amort" localSheetId="4" hidden="1">#REF!</definedName>
    <definedName name="Debt_Calc1_Amort" hidden="1">#REF!</definedName>
    <definedName name="Debt_Calc1_CapExEnd" localSheetId="3" hidden="1">#REF!</definedName>
    <definedName name="Debt_Calc1_CapExEnd" localSheetId="9" hidden="1">#REF!</definedName>
    <definedName name="Debt_Calc1_CapExEnd" localSheetId="2" hidden="1">#REF!</definedName>
    <definedName name="Debt_Calc1_CapExEnd" localSheetId="4" hidden="1">#REF!</definedName>
    <definedName name="Debt_Calc1_CapExEnd" hidden="1">#REF!</definedName>
    <definedName name="Debt_Calc1_Draw" localSheetId="3" hidden="1">#REF!</definedName>
    <definedName name="Debt_Calc1_Draw" localSheetId="9" hidden="1">#REF!</definedName>
    <definedName name="Debt_Calc1_Draw" localSheetId="2" hidden="1">#REF!</definedName>
    <definedName name="Debt_Calc1_Draw" localSheetId="4" hidden="1">#REF!</definedName>
    <definedName name="Debt_Calc1_Draw" hidden="1">#REF!</definedName>
    <definedName name="Debt_Calc1_End" localSheetId="3" hidden="1">#REF!</definedName>
    <definedName name="Debt_Calc1_End" localSheetId="9" hidden="1">#REF!</definedName>
    <definedName name="Debt_Calc1_End" localSheetId="2" hidden="1">#REF!</definedName>
    <definedName name="Debt_Calc1_End" localSheetId="4" hidden="1">#REF!</definedName>
    <definedName name="Debt_Calc1_End" hidden="1">#REF!</definedName>
    <definedName name="Debt_Calc1_InitialBalance" localSheetId="3" hidden="1">#REF!</definedName>
    <definedName name="Debt_Calc1_InitialBalance" localSheetId="9" hidden="1">#REF!</definedName>
    <definedName name="Debt_Calc1_InitialBalance" localSheetId="2" hidden="1">#REF!</definedName>
    <definedName name="Debt_Calc1_InitialBalance" localSheetId="4" hidden="1">#REF!</definedName>
    <definedName name="Debt_Calc1_InitialBalance" hidden="1">#REF!</definedName>
    <definedName name="Debt_Calc1_IO" localSheetId="3" hidden="1">#REF!</definedName>
    <definedName name="Debt_Calc1_IO" localSheetId="9" hidden="1">#REF!</definedName>
    <definedName name="Debt_Calc1_IO" localSheetId="2" hidden="1">#REF!</definedName>
    <definedName name="Debt_Calc1_IO" localSheetId="4" hidden="1">#REF!</definedName>
    <definedName name="Debt_Calc1_IO" hidden="1">#REF!</definedName>
    <definedName name="Debt_Calc1_IsPrepaid" localSheetId="3" hidden="1">#REF!</definedName>
    <definedName name="Debt_Calc1_IsPrepaid" localSheetId="9" hidden="1">#REF!</definedName>
    <definedName name="Debt_Calc1_IsPrepaid" localSheetId="2" hidden="1">#REF!</definedName>
    <definedName name="Debt_Calc1_IsPrepaid" localSheetId="4" hidden="1">#REF!</definedName>
    <definedName name="Debt_Calc1_IsPrepaid" hidden="1">#REF!</definedName>
    <definedName name="Debt_Calc1_IsRefied" localSheetId="3" hidden="1">#REF!</definedName>
    <definedName name="Debt_Calc1_IsRefied" localSheetId="9" hidden="1">#REF!</definedName>
    <definedName name="Debt_Calc1_IsRefied" localSheetId="2" hidden="1">#REF!</definedName>
    <definedName name="Debt_Calc1_IsRefied" localSheetId="4" hidden="1">#REF!</definedName>
    <definedName name="Debt_Calc1_IsRefied" hidden="1">#REF!</definedName>
    <definedName name="Debt_Calc1_Maturity" localSheetId="3" hidden="1">#REF!</definedName>
    <definedName name="Debt_Calc1_Maturity" localSheetId="9" hidden="1">#REF!</definedName>
    <definedName name="Debt_Calc1_Maturity" localSheetId="2" hidden="1">#REF!</definedName>
    <definedName name="Debt_Calc1_Maturity" localSheetId="4" hidden="1">#REF!</definedName>
    <definedName name="Debt_Calc1_Maturity" hidden="1">#REF!</definedName>
    <definedName name="Debt_Calc1_Start" localSheetId="3" hidden="1">#REF!</definedName>
    <definedName name="Debt_Calc1_Start" localSheetId="9" hidden="1">#REF!</definedName>
    <definedName name="Debt_Calc1_Start" localSheetId="2" hidden="1">#REF!</definedName>
    <definedName name="Debt_Calc1_Start" localSheetId="4" hidden="1">#REF!</definedName>
    <definedName name="Debt_Calc1_Start" hidden="1">#REF!</definedName>
    <definedName name="Debt_Calc1_Term" localSheetId="3" hidden="1">#REF!</definedName>
    <definedName name="Debt_Calc1_Term" localSheetId="9" hidden="1">#REF!</definedName>
    <definedName name="Debt_Calc1_Term" localSheetId="2" hidden="1">#REF!</definedName>
    <definedName name="Debt_Calc1_Term" localSheetId="4" hidden="1">#REF!</definedName>
    <definedName name="Debt_Calc1_Term" hidden="1">#REF!</definedName>
    <definedName name="Debt_Calc1_Year" localSheetId="3" hidden="1">#REF!</definedName>
    <definedName name="Debt_Calc1_Year" localSheetId="9" hidden="1">#REF!</definedName>
    <definedName name="Debt_Calc1_Year" localSheetId="2" hidden="1">#REF!</definedName>
    <definedName name="Debt_Calc1_Year" localSheetId="4" hidden="1">#REF!</definedName>
    <definedName name="Debt_Calc1_Year" hidden="1">#REF!</definedName>
    <definedName name="Debt_Calc2_Amort" localSheetId="3" hidden="1">#REF!</definedName>
    <definedName name="Debt_Calc2_Amort" localSheetId="9" hidden="1">#REF!</definedName>
    <definedName name="Debt_Calc2_Amort" localSheetId="2" hidden="1">#REF!</definedName>
    <definedName name="Debt_Calc2_Amort" localSheetId="4" hidden="1">#REF!</definedName>
    <definedName name="Debt_Calc2_Amort" hidden="1">#REF!</definedName>
    <definedName name="Debt_Calc2_CapExEnd" localSheetId="3" hidden="1">#REF!</definedName>
    <definedName name="Debt_Calc2_CapExEnd" localSheetId="9" hidden="1">#REF!</definedName>
    <definedName name="Debt_Calc2_CapExEnd" localSheetId="2" hidden="1">#REF!</definedName>
    <definedName name="Debt_Calc2_CapExEnd" localSheetId="4" hidden="1">#REF!</definedName>
    <definedName name="Debt_Calc2_CapExEnd" hidden="1">#REF!</definedName>
    <definedName name="Debt_Calc2_Draw" localSheetId="3" hidden="1">#REF!</definedName>
    <definedName name="Debt_Calc2_Draw" localSheetId="9" hidden="1">#REF!</definedName>
    <definedName name="Debt_Calc2_Draw" localSheetId="2" hidden="1">#REF!</definedName>
    <definedName name="Debt_Calc2_Draw" localSheetId="4" hidden="1">#REF!</definedName>
    <definedName name="Debt_Calc2_Draw" hidden="1">#REF!</definedName>
    <definedName name="Debt_Calc2_End" localSheetId="3" hidden="1">#REF!</definedName>
    <definedName name="Debt_Calc2_End" localSheetId="9" hidden="1">#REF!</definedName>
    <definedName name="Debt_Calc2_End" localSheetId="2" hidden="1">#REF!</definedName>
    <definedName name="Debt_Calc2_End" localSheetId="4" hidden="1">#REF!</definedName>
    <definedName name="Debt_Calc2_End" hidden="1">#REF!</definedName>
    <definedName name="Debt_Calc2_InitialBalance" localSheetId="3" hidden="1">#REF!</definedName>
    <definedName name="Debt_Calc2_InitialBalance" localSheetId="9" hidden="1">#REF!</definedName>
    <definedName name="Debt_Calc2_InitialBalance" localSheetId="2" hidden="1">#REF!</definedName>
    <definedName name="Debt_Calc2_InitialBalance" localSheetId="4" hidden="1">#REF!</definedName>
    <definedName name="Debt_Calc2_InitialBalance" hidden="1">#REF!</definedName>
    <definedName name="Debt_Calc2_IO" localSheetId="3" hidden="1">#REF!</definedName>
    <definedName name="Debt_Calc2_IO" localSheetId="9" hidden="1">#REF!</definedName>
    <definedName name="Debt_Calc2_IO" localSheetId="2" hidden="1">#REF!</definedName>
    <definedName name="Debt_Calc2_IO" localSheetId="4" hidden="1">#REF!</definedName>
    <definedName name="Debt_Calc2_IO" hidden="1">#REF!</definedName>
    <definedName name="Debt_Calc2_IsPrepaid" localSheetId="3" hidden="1">#REF!</definedName>
    <definedName name="Debt_Calc2_IsPrepaid" localSheetId="9" hidden="1">#REF!</definedName>
    <definedName name="Debt_Calc2_IsPrepaid" localSheetId="2" hidden="1">#REF!</definedName>
    <definedName name="Debt_Calc2_IsPrepaid" localSheetId="4" hidden="1">#REF!</definedName>
    <definedName name="Debt_Calc2_IsPrepaid" hidden="1">#REF!</definedName>
    <definedName name="Debt_Calc2_IsRefied" localSheetId="3" hidden="1">#REF!</definedName>
    <definedName name="Debt_Calc2_IsRefied" localSheetId="9" hidden="1">#REF!</definedName>
    <definedName name="Debt_Calc2_IsRefied" localSheetId="2" hidden="1">#REF!</definedName>
    <definedName name="Debt_Calc2_IsRefied" localSheetId="4" hidden="1">#REF!</definedName>
    <definedName name="Debt_Calc2_IsRefied" hidden="1">#REF!</definedName>
    <definedName name="Debt_Calc2_Maturity" localSheetId="3" hidden="1">#REF!</definedName>
    <definedName name="Debt_Calc2_Maturity" localSheetId="9" hidden="1">#REF!</definedName>
    <definedName name="Debt_Calc2_Maturity" localSheetId="2" hidden="1">#REF!</definedName>
    <definedName name="Debt_Calc2_Maturity" localSheetId="4" hidden="1">#REF!</definedName>
    <definedName name="Debt_Calc2_Maturity" hidden="1">#REF!</definedName>
    <definedName name="Debt_Calc2_Start" localSheetId="3" hidden="1">#REF!</definedName>
    <definedName name="Debt_Calc2_Start" localSheetId="9" hidden="1">#REF!</definedName>
    <definedName name="Debt_Calc2_Start" localSheetId="2" hidden="1">#REF!</definedName>
    <definedName name="Debt_Calc2_Start" localSheetId="4" hidden="1">#REF!</definedName>
    <definedName name="Debt_Calc2_Start" hidden="1">#REF!</definedName>
    <definedName name="Debt_Calc2_Term" localSheetId="3" hidden="1">#REF!</definedName>
    <definedName name="Debt_Calc2_Term" localSheetId="9" hidden="1">#REF!</definedName>
    <definedName name="Debt_Calc2_Term" localSheetId="2" hidden="1">#REF!</definedName>
    <definedName name="Debt_Calc2_Term" localSheetId="4" hidden="1">#REF!</definedName>
    <definedName name="Debt_Calc2_Term" hidden="1">#REF!</definedName>
    <definedName name="Debt_Calc2_Year" localSheetId="3" hidden="1">#REF!</definedName>
    <definedName name="Debt_Calc2_Year" localSheetId="9" hidden="1">#REF!</definedName>
    <definedName name="Debt_Calc2_Year" localSheetId="2" hidden="1">#REF!</definedName>
    <definedName name="Debt_Calc2_Year" localSheetId="4" hidden="1">#REF!</definedName>
    <definedName name="Debt_Calc2_Year" hidden="1">#REF!</definedName>
    <definedName name="Debt_Calc3_Amort" localSheetId="3" hidden="1">#REF!</definedName>
    <definedName name="Debt_Calc3_Amort" localSheetId="9" hidden="1">#REF!</definedName>
    <definedName name="Debt_Calc3_Amort" localSheetId="2" hidden="1">#REF!</definedName>
    <definedName name="Debt_Calc3_Amort" localSheetId="4" hidden="1">#REF!</definedName>
    <definedName name="Debt_Calc3_Amort" hidden="1">#REF!</definedName>
    <definedName name="Debt_Calc3_CapExEnd" localSheetId="3" hidden="1">#REF!</definedName>
    <definedName name="Debt_Calc3_CapExEnd" localSheetId="9" hidden="1">#REF!</definedName>
    <definedName name="Debt_Calc3_CapExEnd" localSheetId="2" hidden="1">#REF!</definedName>
    <definedName name="Debt_Calc3_CapExEnd" localSheetId="4" hidden="1">#REF!</definedName>
    <definedName name="Debt_Calc3_CapExEnd" hidden="1">#REF!</definedName>
    <definedName name="Debt_Calc3_Draw" localSheetId="3" hidden="1">#REF!</definedName>
    <definedName name="Debt_Calc3_Draw" localSheetId="9" hidden="1">#REF!</definedName>
    <definedName name="Debt_Calc3_Draw" localSheetId="2" hidden="1">#REF!</definedName>
    <definedName name="Debt_Calc3_Draw" localSheetId="4" hidden="1">#REF!</definedName>
    <definedName name="Debt_Calc3_Draw" hidden="1">#REF!</definedName>
    <definedName name="Debt_Calc3_End" localSheetId="3" hidden="1">#REF!</definedName>
    <definedName name="Debt_Calc3_End" localSheetId="9" hidden="1">#REF!</definedName>
    <definedName name="Debt_Calc3_End" localSheetId="2" hidden="1">#REF!</definedName>
    <definedName name="Debt_Calc3_End" localSheetId="4" hidden="1">#REF!</definedName>
    <definedName name="Debt_Calc3_End" hidden="1">#REF!</definedName>
    <definedName name="Debt_Calc3_InitialBalance" localSheetId="3" hidden="1">#REF!</definedName>
    <definedName name="Debt_Calc3_InitialBalance" localSheetId="9" hidden="1">#REF!</definedName>
    <definedName name="Debt_Calc3_InitialBalance" localSheetId="2" hidden="1">#REF!</definedName>
    <definedName name="Debt_Calc3_InitialBalance" localSheetId="4" hidden="1">#REF!</definedName>
    <definedName name="Debt_Calc3_InitialBalance" hidden="1">#REF!</definedName>
    <definedName name="Debt_Calc3_IO" localSheetId="3" hidden="1">#REF!</definedName>
    <definedName name="Debt_Calc3_IO" localSheetId="9" hidden="1">#REF!</definedName>
    <definedName name="Debt_Calc3_IO" localSheetId="2" hidden="1">#REF!</definedName>
    <definedName name="Debt_Calc3_IO" localSheetId="4" hidden="1">#REF!</definedName>
    <definedName name="Debt_Calc3_IO" hidden="1">#REF!</definedName>
    <definedName name="Debt_Calc3_IsPrepaid" localSheetId="3" hidden="1">#REF!</definedName>
    <definedName name="Debt_Calc3_IsPrepaid" localSheetId="9" hidden="1">#REF!</definedName>
    <definedName name="Debt_Calc3_IsPrepaid" localSheetId="2" hidden="1">#REF!</definedName>
    <definedName name="Debt_Calc3_IsPrepaid" localSheetId="4" hidden="1">#REF!</definedName>
    <definedName name="Debt_Calc3_IsPrepaid" hidden="1">#REF!</definedName>
    <definedName name="Debt_Calc3_Maturity" localSheetId="3" hidden="1">#REF!</definedName>
    <definedName name="Debt_Calc3_Maturity" localSheetId="9" hidden="1">#REF!</definedName>
    <definedName name="Debt_Calc3_Maturity" localSheetId="2" hidden="1">#REF!</definedName>
    <definedName name="Debt_Calc3_Maturity" localSheetId="4" hidden="1">#REF!</definedName>
    <definedName name="Debt_Calc3_Maturity" hidden="1">#REF!</definedName>
    <definedName name="Debt_Calc3_Refi1" localSheetId="3" hidden="1">#REF!</definedName>
    <definedName name="Debt_Calc3_Refi1" localSheetId="9" hidden="1">#REF!</definedName>
    <definedName name="Debt_Calc3_Refi1" localSheetId="2" hidden="1">#REF!</definedName>
    <definedName name="Debt_Calc3_Refi1" localSheetId="4" hidden="1">#REF!</definedName>
    <definedName name="Debt_Calc3_Refi1" hidden="1">#REF!</definedName>
    <definedName name="Debt_Calc3_Refi2" localSheetId="3" hidden="1">#REF!</definedName>
    <definedName name="Debt_Calc3_Refi2" localSheetId="9" hidden="1">#REF!</definedName>
    <definedName name="Debt_Calc3_Refi2" localSheetId="2" hidden="1">#REF!</definedName>
    <definedName name="Debt_Calc3_Refi2" localSheetId="4" hidden="1">#REF!</definedName>
    <definedName name="Debt_Calc3_Refi2" hidden="1">#REF!</definedName>
    <definedName name="Debt_Calc3_Start" localSheetId="3" hidden="1">#REF!</definedName>
    <definedName name="Debt_Calc3_Start" localSheetId="9" hidden="1">#REF!</definedName>
    <definedName name="Debt_Calc3_Start" localSheetId="2" hidden="1">#REF!</definedName>
    <definedName name="Debt_Calc3_Start" localSheetId="4" hidden="1">#REF!</definedName>
    <definedName name="Debt_Calc3_Start" hidden="1">#REF!</definedName>
    <definedName name="Debt_Calc3_Term" localSheetId="3" hidden="1">#REF!</definedName>
    <definedName name="Debt_Calc3_Term" localSheetId="9" hidden="1">#REF!</definedName>
    <definedName name="Debt_Calc3_Term" localSheetId="2" hidden="1">#REF!</definedName>
    <definedName name="Debt_Calc3_Term" localSheetId="4" hidden="1">#REF!</definedName>
    <definedName name="Debt_Calc3_Term" hidden="1">#REF!</definedName>
    <definedName name="Debt_CalcType2" localSheetId="3" hidden="1">#REF!</definedName>
    <definedName name="Debt_CalcType2" localSheetId="9" hidden="1">#REF!</definedName>
    <definedName name="Debt_CalcType2" localSheetId="2" hidden="1">#REF!</definedName>
    <definedName name="Debt_CalcType2" localSheetId="4" hidden="1">#REF!</definedName>
    <definedName name="Debt_CalcType2" hidden="1">#REF!</definedName>
    <definedName name="Debt_CalcType3" localSheetId="3" hidden="1">#REF!</definedName>
    <definedName name="Debt_CalcType3" localSheetId="9" hidden="1">#REF!</definedName>
    <definedName name="Debt_CalcType3" localSheetId="2" hidden="1">#REF!</definedName>
    <definedName name="Debt_CalcType3" localSheetId="4" hidden="1">#REF!</definedName>
    <definedName name="Debt_CalcType3" hidden="1">#REF!</definedName>
    <definedName name="Debt_CalcType4" localSheetId="3" hidden="1">#REF!</definedName>
    <definedName name="Debt_CalcType4" localSheetId="9" hidden="1">#REF!</definedName>
    <definedName name="Debt_CalcType4" localSheetId="2" hidden="1">#REF!</definedName>
    <definedName name="Debt_CalcType4" localSheetId="4" hidden="1">#REF!</definedName>
    <definedName name="Debt_CalcType4" hidden="1">#REF!</definedName>
    <definedName name="Debt_CalcType5" localSheetId="3" hidden="1">#REF!</definedName>
    <definedName name="Debt_CalcType5" localSheetId="9" hidden="1">#REF!</definedName>
    <definedName name="Debt_CalcType5" localSheetId="2" hidden="1">#REF!</definedName>
    <definedName name="Debt_CalcType5" localSheetId="4" hidden="1">#REF!</definedName>
    <definedName name="Debt_CalcType5" hidden="1">#REF!</definedName>
    <definedName name="Debt_CalcTypes" localSheetId="3" hidden="1">#REF!</definedName>
    <definedName name="Debt_CalcTypes" localSheetId="9" hidden="1">#REF!</definedName>
    <definedName name="Debt_CalcTypes" localSheetId="2" hidden="1">#REF!</definedName>
    <definedName name="Debt_CalcTypes" localSheetId="4" hidden="1">#REF!</definedName>
    <definedName name="Debt_CalcTypes" hidden="1">#REF!</definedName>
    <definedName name="Debt_FundType1" localSheetId="3" hidden="1">#REF!</definedName>
    <definedName name="Debt_FundType1" localSheetId="9" hidden="1">#REF!</definedName>
    <definedName name="Debt_FundType1" localSheetId="2" hidden="1">#REF!</definedName>
    <definedName name="Debt_FundType1" localSheetId="4" hidden="1">#REF!</definedName>
    <definedName name="Debt_FundType1" hidden="1">#REF!</definedName>
    <definedName name="Debt_FundType2" localSheetId="3" hidden="1">#REF!</definedName>
    <definedName name="Debt_FundType2" localSheetId="9" hidden="1">#REF!</definedName>
    <definedName name="Debt_FundType2" localSheetId="2" hidden="1">#REF!</definedName>
    <definedName name="Debt_FundType2" localSheetId="4" hidden="1">#REF!</definedName>
    <definedName name="Debt_FundType2" hidden="1">#REF!</definedName>
    <definedName name="Debt_FundType3" localSheetId="3" hidden="1">#REF!</definedName>
    <definedName name="Debt_FundType3" localSheetId="9" hidden="1">#REF!</definedName>
    <definedName name="Debt_FundType3" localSheetId="2" hidden="1">#REF!</definedName>
    <definedName name="Debt_FundType3" localSheetId="4" hidden="1">#REF!</definedName>
    <definedName name="Debt_FundType3" hidden="1">#REF!</definedName>
    <definedName name="Debt_FundTypes" localSheetId="3" hidden="1">#REF!</definedName>
    <definedName name="Debt_FundTypes" localSheetId="9" hidden="1">#REF!</definedName>
    <definedName name="Debt_FundTypes" localSheetId="2" hidden="1">#REF!</definedName>
    <definedName name="Debt_FundTypes" localSheetId="4" hidden="1">#REF!</definedName>
    <definedName name="Debt_FundTypes" hidden="1">#REF!</definedName>
    <definedName name="DEBT_InitialBalance" localSheetId="3" hidden="1">#REF!</definedName>
    <definedName name="DEBT_InitialBalance" localSheetId="9" hidden="1">#REF!</definedName>
    <definedName name="DEBT_InitialBalance" localSheetId="2" hidden="1">#REF!</definedName>
    <definedName name="DEBT_InitialBalance" localSheetId="4" hidden="1">#REF!</definedName>
    <definedName name="DEBT_InitialBalance" hidden="1">#REF!</definedName>
    <definedName name="Debt_InitialBOPBalance" localSheetId="3" hidden="1">#REF!</definedName>
    <definedName name="Debt_InitialBOPBalance" localSheetId="9" hidden="1">#REF!</definedName>
    <definedName name="Debt_InitialBOPBalance" localSheetId="2" hidden="1">#REF!</definedName>
    <definedName name="Debt_InitialBOPBalance" localSheetId="4" hidden="1">#REF!</definedName>
    <definedName name="Debt_InitialBOPBalance" hidden="1">#REF!</definedName>
    <definedName name="DEBT_InitialCapital" localSheetId="3" hidden="1">#REF!</definedName>
    <definedName name="DEBT_InitialCapital" localSheetId="9" hidden="1">#REF!</definedName>
    <definedName name="DEBT_InitialCapital" localSheetId="2" hidden="1">#REF!</definedName>
    <definedName name="DEBT_InitialCapital" localSheetId="4" hidden="1">#REF!</definedName>
    <definedName name="DEBT_InitialCapital" hidden="1">#REF!</definedName>
    <definedName name="DEBT_InitialFunding" localSheetId="3" hidden="1">#REF!</definedName>
    <definedName name="DEBT_InitialFunding" localSheetId="9" hidden="1">#REF!</definedName>
    <definedName name="DEBT_InitialFunding" localSheetId="2" hidden="1">#REF!</definedName>
    <definedName name="DEBT_InitialFunding" localSheetId="4" hidden="1">#REF!</definedName>
    <definedName name="DEBT_InitialFunding" hidden="1">#REF!</definedName>
    <definedName name="DEBT_InitialInterest" localSheetId="3" hidden="1">#REF!</definedName>
    <definedName name="DEBT_InitialInterest" localSheetId="9" hidden="1">#REF!</definedName>
    <definedName name="DEBT_InitialInterest" localSheetId="2" hidden="1">#REF!</definedName>
    <definedName name="DEBT_InitialInterest" localSheetId="4" hidden="1">#REF!</definedName>
    <definedName name="DEBT_InitialInterest" hidden="1">#REF!</definedName>
    <definedName name="Debt_InitialLoanFee" localSheetId="3" hidden="1">#REF!</definedName>
    <definedName name="Debt_InitialLoanFee" localSheetId="9" hidden="1">#REF!</definedName>
    <definedName name="Debt_InitialLoanFee" localSheetId="2" hidden="1">#REF!</definedName>
    <definedName name="Debt_InitialLoanFee" localSheetId="4" hidden="1">#REF!</definedName>
    <definedName name="Debt_InitialLoanFee" hidden="1">#REF!</definedName>
    <definedName name="DEBT_InitialMaturity" localSheetId="3" hidden="1">#REF!</definedName>
    <definedName name="DEBT_InitialMaturity" localSheetId="9" hidden="1">#REF!</definedName>
    <definedName name="DEBT_InitialMaturity" localSheetId="2" hidden="1">#REF!</definedName>
    <definedName name="DEBT_InitialMaturity" localSheetId="4" hidden="1">#REF!</definedName>
    <definedName name="DEBT_InitialMaturity" hidden="1">#REF!</definedName>
    <definedName name="Debt_InitialPrepaymentFee" localSheetId="3" hidden="1">#REF!</definedName>
    <definedName name="Debt_InitialPrepaymentFee" localSheetId="9" hidden="1">#REF!</definedName>
    <definedName name="Debt_InitialPrepaymentFee" localSheetId="2" hidden="1">#REF!</definedName>
    <definedName name="Debt_InitialPrepaymentFee" localSheetId="4" hidden="1">#REF!</definedName>
    <definedName name="Debt_InitialPrepaymentFee" hidden="1">#REF!</definedName>
    <definedName name="DEBT_InitialPrincipal" localSheetId="3" hidden="1">#REF!</definedName>
    <definedName name="DEBT_InitialPrincipal" localSheetId="9" hidden="1">#REF!</definedName>
    <definedName name="DEBT_InitialPrincipal" localSheetId="2" hidden="1">#REF!</definedName>
    <definedName name="DEBT_InitialPrincipal" localSheetId="4" hidden="1">#REF!</definedName>
    <definedName name="DEBT_InitialPrincipal" hidden="1">#REF!</definedName>
    <definedName name="DEBT_InitialRefi" localSheetId="3" hidden="1">#REF!</definedName>
    <definedName name="DEBT_InitialRefi" localSheetId="9" hidden="1">#REF!</definedName>
    <definedName name="DEBT_InitialRefi" localSheetId="2" hidden="1">#REF!</definedName>
    <definedName name="DEBT_InitialRefi" localSheetId="4" hidden="1">#REF!</definedName>
    <definedName name="DEBT_InitialRefi" hidden="1">#REF!</definedName>
    <definedName name="Debt_InitialSeniorBalance" localSheetId="3" hidden="1">#REF!</definedName>
    <definedName name="Debt_InitialSeniorBalance" localSheetId="9" hidden="1">#REF!</definedName>
    <definedName name="Debt_InitialSeniorBalance" localSheetId="2" hidden="1">#REF!</definedName>
    <definedName name="Debt_InitialSeniorBalance" localSheetId="4" hidden="1">#REF!</definedName>
    <definedName name="Debt_InitialSeniorBalance" hidden="1">#REF!</definedName>
    <definedName name="Debt_InitialSeniorBOPBalance" localSheetId="3" hidden="1">#REF!</definedName>
    <definedName name="Debt_InitialSeniorBOPBalance" localSheetId="9" hidden="1">#REF!</definedName>
    <definedName name="Debt_InitialSeniorBOPBalance" localSheetId="2" hidden="1">#REF!</definedName>
    <definedName name="Debt_InitialSeniorBOPBalance" localSheetId="4" hidden="1">#REF!</definedName>
    <definedName name="Debt_InitialSeniorBOPBalance" hidden="1">#REF!</definedName>
    <definedName name="Debt_InitialSeniorInterest" localSheetId="3" hidden="1">#REF!</definedName>
    <definedName name="Debt_InitialSeniorInterest" localSheetId="9" hidden="1">#REF!</definedName>
    <definedName name="Debt_InitialSeniorInterest" localSheetId="2" hidden="1">#REF!</definedName>
    <definedName name="Debt_InitialSeniorInterest" localSheetId="4" hidden="1">#REF!</definedName>
    <definedName name="Debt_InitialSeniorInterest" hidden="1">#REF!</definedName>
    <definedName name="Debt_InitialSeniorPrincipal" localSheetId="3" hidden="1">#REF!</definedName>
    <definedName name="Debt_InitialSeniorPrincipal" localSheetId="9" hidden="1">#REF!</definedName>
    <definedName name="Debt_InitialSeniorPrincipal" localSheetId="2" hidden="1">#REF!</definedName>
    <definedName name="Debt_InitialSeniorPrincipal" localSheetId="4" hidden="1">#REF!</definedName>
    <definedName name="Debt_InitialSeniorPrincipal" hidden="1">#REF!</definedName>
    <definedName name="Debt_Label1_Amort" localSheetId="3" hidden="1">#REF!</definedName>
    <definedName name="Debt_Label1_Amort" localSheetId="9" hidden="1">#REF!</definedName>
    <definedName name="Debt_Label1_Amort" localSheetId="2" hidden="1">#REF!</definedName>
    <definedName name="Debt_Label1_Amort" localSheetId="4" hidden="1">#REF!</definedName>
    <definedName name="Debt_Label1_Amort" hidden="1">#REF!</definedName>
    <definedName name="Debt_Label1_Amount" localSheetId="3" hidden="1">#REF!</definedName>
    <definedName name="Debt_Label1_Amount" localSheetId="9" hidden="1">#REF!</definedName>
    <definedName name="Debt_Label1_Amount" localSheetId="2" hidden="1">#REF!</definedName>
    <definedName name="Debt_Label1_Amount" localSheetId="4" hidden="1">#REF!</definedName>
    <definedName name="Debt_Label1_Amount" hidden="1">#REF!</definedName>
    <definedName name="Debt_Label1_InitialRate" localSheetId="3" hidden="1">#REF!</definedName>
    <definedName name="Debt_Label1_InitialRate" localSheetId="9" hidden="1">#REF!</definedName>
    <definedName name="Debt_Label1_InitialRate" localSheetId="2" hidden="1">#REF!</definedName>
    <definedName name="Debt_Label1_InitialRate" localSheetId="4" hidden="1">#REF!</definedName>
    <definedName name="Debt_Label1_InitialRate" hidden="1">#REF!</definedName>
    <definedName name="Debt_Label1_IO" localSheetId="3" hidden="1">#REF!</definedName>
    <definedName name="Debt_Label1_IO" localSheetId="9" hidden="1">#REF!</definedName>
    <definedName name="Debt_Label1_IO" localSheetId="2" hidden="1">#REF!</definedName>
    <definedName name="Debt_Label1_IO" localSheetId="4" hidden="1">#REF!</definedName>
    <definedName name="Debt_Label1_IO" hidden="1">#REF!</definedName>
    <definedName name="Debt_Label1_Maturity" localSheetId="3" hidden="1">#REF!</definedName>
    <definedName name="Debt_Label1_Maturity" localSheetId="9" hidden="1">#REF!</definedName>
    <definedName name="Debt_Label1_Maturity" localSheetId="2" hidden="1">#REF!</definedName>
    <definedName name="Debt_Label1_Maturity" localSheetId="4" hidden="1">#REF!</definedName>
    <definedName name="Debt_Label1_Maturity" hidden="1">#REF!</definedName>
    <definedName name="Debt_Label1_Percent" localSheetId="3" hidden="1">#REF!</definedName>
    <definedName name="Debt_Label1_Percent" localSheetId="9" hidden="1">#REF!</definedName>
    <definedName name="Debt_Label1_Percent" localSheetId="2" hidden="1">#REF!</definedName>
    <definedName name="Debt_Label1_Percent" localSheetId="4" hidden="1">#REF!</definedName>
    <definedName name="Debt_Label1_Percent" hidden="1">#REF!</definedName>
    <definedName name="Debt_Label1_Term" localSheetId="3" hidden="1">#REF!</definedName>
    <definedName name="Debt_Label1_Term" localSheetId="9" hidden="1">#REF!</definedName>
    <definedName name="Debt_Label1_Term" localSheetId="2" hidden="1">#REF!</definedName>
    <definedName name="Debt_Label1_Term" localSheetId="4" hidden="1">#REF!</definedName>
    <definedName name="Debt_Label1_Term" hidden="1">#REF!</definedName>
    <definedName name="Debt_Label1_Value" localSheetId="3" hidden="1">#REF!</definedName>
    <definedName name="Debt_Label1_Value" localSheetId="9" hidden="1">#REF!</definedName>
    <definedName name="Debt_Label1_Value" localSheetId="2" hidden="1">#REF!</definedName>
    <definedName name="Debt_Label1_Value" localSheetId="4" hidden="1">#REF!</definedName>
    <definedName name="Debt_Label1_Value" hidden="1">#REF!</definedName>
    <definedName name="Debt_Label2_Amort" localSheetId="3" hidden="1">#REF!</definedName>
    <definedName name="Debt_Label2_Amort" localSheetId="9" hidden="1">#REF!</definedName>
    <definedName name="Debt_Label2_Amort" localSheetId="2" hidden="1">#REF!</definedName>
    <definedName name="Debt_Label2_Amort" localSheetId="4" hidden="1">#REF!</definedName>
    <definedName name="Debt_Label2_Amort" hidden="1">#REF!</definedName>
    <definedName name="Debt_Label2_Amount" localSheetId="3" hidden="1">#REF!</definedName>
    <definedName name="Debt_Label2_Amount" localSheetId="9" hidden="1">#REF!</definedName>
    <definedName name="Debt_Label2_Amount" localSheetId="2" hidden="1">#REF!</definedName>
    <definedName name="Debt_Label2_Amount" localSheetId="4" hidden="1">#REF!</definedName>
    <definedName name="Debt_Label2_Amount" hidden="1">#REF!</definedName>
    <definedName name="Debt_Label2_InitialRate" localSheetId="3" hidden="1">#REF!</definedName>
    <definedName name="Debt_Label2_InitialRate" localSheetId="9" hidden="1">#REF!</definedName>
    <definedName name="Debt_Label2_InitialRate" localSheetId="2" hidden="1">#REF!</definedName>
    <definedName name="Debt_Label2_InitialRate" localSheetId="4" hidden="1">#REF!</definedName>
    <definedName name="Debt_Label2_InitialRate" hidden="1">#REF!</definedName>
    <definedName name="Debt_Label2_IO" localSheetId="3" hidden="1">#REF!</definedName>
    <definedName name="Debt_Label2_IO" localSheetId="9" hidden="1">#REF!</definedName>
    <definedName name="Debt_Label2_IO" localSheetId="2" hidden="1">#REF!</definedName>
    <definedName name="Debt_Label2_IO" localSheetId="4" hidden="1">#REF!</definedName>
    <definedName name="Debt_Label2_IO" hidden="1">#REF!</definedName>
    <definedName name="Debt_Label2_Maturity" localSheetId="3" hidden="1">#REF!</definedName>
    <definedName name="Debt_Label2_Maturity" localSheetId="9" hidden="1">#REF!</definedName>
    <definedName name="Debt_Label2_Maturity" localSheetId="2" hidden="1">#REF!</definedName>
    <definedName name="Debt_Label2_Maturity" localSheetId="4" hidden="1">#REF!</definedName>
    <definedName name="Debt_Label2_Maturity" hidden="1">#REF!</definedName>
    <definedName name="Debt_Label2_Percent" localSheetId="3" hidden="1">#REF!</definedName>
    <definedName name="Debt_Label2_Percent" localSheetId="9" hidden="1">#REF!</definedName>
    <definedName name="Debt_Label2_Percent" localSheetId="2" hidden="1">#REF!</definedName>
    <definedName name="Debt_Label2_Percent" localSheetId="4" hidden="1">#REF!</definedName>
    <definedName name="Debt_Label2_Percent" hidden="1">#REF!</definedName>
    <definedName name="Debt_Label2_Term" localSheetId="3" hidden="1">#REF!</definedName>
    <definedName name="Debt_Label2_Term" localSheetId="9" hidden="1">#REF!</definedName>
    <definedName name="Debt_Label2_Term" localSheetId="2" hidden="1">#REF!</definedName>
    <definedName name="Debt_Label2_Term" localSheetId="4" hidden="1">#REF!</definedName>
    <definedName name="Debt_Label2_Term" hidden="1">#REF!</definedName>
    <definedName name="Debt_Label2_Value" localSheetId="3" hidden="1">#REF!</definedName>
    <definedName name="Debt_Label2_Value" localSheetId="9" hidden="1">#REF!</definedName>
    <definedName name="Debt_Label2_Value" localSheetId="2" hidden="1">#REF!</definedName>
    <definedName name="Debt_Label2_Value" localSheetId="4" hidden="1">#REF!</definedName>
    <definedName name="Debt_Label2_Value" hidden="1">#REF!</definedName>
    <definedName name="Debt_Label3_Amort" localSheetId="3" hidden="1">#REF!</definedName>
    <definedName name="Debt_Label3_Amort" localSheetId="9" hidden="1">#REF!</definedName>
    <definedName name="Debt_Label3_Amort" localSheetId="2" hidden="1">#REF!</definedName>
    <definedName name="Debt_Label3_Amort" localSheetId="4" hidden="1">#REF!</definedName>
    <definedName name="Debt_Label3_Amort" hidden="1">#REF!</definedName>
    <definedName name="Debt_Label3_Amount" localSheetId="3" hidden="1">#REF!</definedName>
    <definedName name="Debt_Label3_Amount" localSheetId="9" hidden="1">#REF!</definedName>
    <definedName name="Debt_Label3_Amount" localSheetId="2" hidden="1">#REF!</definedName>
    <definedName name="Debt_Label3_Amount" localSheetId="4" hidden="1">#REF!</definedName>
    <definedName name="Debt_Label3_Amount" hidden="1">#REF!</definedName>
    <definedName name="Debt_Label3_InitialRate" localSheetId="3" hidden="1">#REF!</definedName>
    <definedName name="Debt_Label3_InitialRate" localSheetId="9" hidden="1">#REF!</definedName>
    <definedName name="Debt_Label3_InitialRate" localSheetId="2" hidden="1">#REF!</definedName>
    <definedName name="Debt_Label3_InitialRate" localSheetId="4" hidden="1">#REF!</definedName>
    <definedName name="Debt_Label3_InitialRate" hidden="1">#REF!</definedName>
    <definedName name="Debt_Label3_IO" localSheetId="3" hidden="1">#REF!</definedName>
    <definedName name="Debt_Label3_IO" localSheetId="9" hidden="1">#REF!</definedName>
    <definedName name="Debt_Label3_IO" localSheetId="2" hidden="1">#REF!</definedName>
    <definedName name="Debt_Label3_IO" localSheetId="4" hidden="1">#REF!</definedName>
    <definedName name="Debt_Label3_IO" hidden="1">#REF!</definedName>
    <definedName name="Debt_Label3_Maturity" localSheetId="3" hidden="1">#REF!</definedName>
    <definedName name="Debt_Label3_Maturity" localSheetId="9" hidden="1">#REF!</definedName>
    <definedName name="Debt_Label3_Maturity" localSheetId="2" hidden="1">#REF!</definedName>
    <definedName name="Debt_Label3_Maturity" localSheetId="4" hidden="1">#REF!</definedName>
    <definedName name="Debt_Label3_Maturity" hidden="1">#REF!</definedName>
    <definedName name="Debt_Label3_Percent" localSheetId="3" hidden="1">#REF!</definedName>
    <definedName name="Debt_Label3_Percent" localSheetId="9" hidden="1">#REF!</definedName>
    <definedName name="Debt_Label3_Percent" localSheetId="2" hidden="1">#REF!</definedName>
    <definedName name="Debt_Label3_Percent" localSheetId="4" hidden="1">#REF!</definedName>
    <definedName name="Debt_Label3_Percent" hidden="1">#REF!</definedName>
    <definedName name="Debt_Label3_Term" localSheetId="3" hidden="1">#REF!</definedName>
    <definedName name="Debt_Label3_Term" localSheetId="9" hidden="1">#REF!</definedName>
    <definedName name="Debt_Label3_Term" localSheetId="2" hidden="1">#REF!</definedName>
    <definedName name="Debt_Label3_Term" localSheetId="4" hidden="1">#REF!</definedName>
    <definedName name="Debt_Label3_Term" hidden="1">#REF!</definedName>
    <definedName name="Debt_Label3_Value" localSheetId="3" hidden="1">#REF!</definedName>
    <definedName name="Debt_Label3_Value" localSheetId="9" hidden="1">#REF!</definedName>
    <definedName name="Debt_Label3_Value" localSheetId="2" hidden="1">#REF!</definedName>
    <definedName name="Debt_Label3_Value" localSheetId="4" hidden="1">#REF!</definedName>
    <definedName name="Debt_Label3_Value" hidden="1">#REF!</definedName>
    <definedName name="Debt_LoanType1" localSheetId="3" hidden="1">#REF!</definedName>
    <definedName name="Debt_LoanType1" localSheetId="9" hidden="1">#REF!</definedName>
    <definedName name="Debt_LoanType1" localSheetId="2" hidden="1">#REF!</definedName>
    <definedName name="Debt_LoanType1" localSheetId="4" hidden="1">#REF!</definedName>
    <definedName name="Debt_LoanType1" hidden="1">#REF!</definedName>
    <definedName name="Debt_LoanType2" localSheetId="3" hidden="1">#REF!</definedName>
    <definedName name="Debt_LoanType2" localSheetId="9" hidden="1">#REF!</definedName>
    <definedName name="Debt_LoanType2" localSheetId="2" hidden="1">#REF!</definedName>
    <definedName name="Debt_LoanType2" localSheetId="4" hidden="1">#REF!</definedName>
    <definedName name="Debt_LoanType2" hidden="1">#REF!</definedName>
    <definedName name="Debt_LoanType4" localSheetId="3" hidden="1">#REF!</definedName>
    <definedName name="Debt_LoanType4" localSheetId="9" hidden="1">#REF!</definedName>
    <definedName name="Debt_LoanType4" localSheetId="2" hidden="1">#REF!</definedName>
    <definedName name="Debt_LoanType4" localSheetId="4" hidden="1">#REF!</definedName>
    <definedName name="Debt_LoanType4" hidden="1">#REF!</definedName>
    <definedName name="Debt_LoanTypes" localSheetId="3" hidden="1">#REF!</definedName>
    <definedName name="Debt_LoanTypes" localSheetId="9" hidden="1">#REF!</definedName>
    <definedName name="Debt_LoanTypes" localSheetId="2" hidden="1">#REF!</definedName>
    <definedName name="Debt_LoanTypes" localSheetId="4" hidden="1">#REF!</definedName>
    <definedName name="Debt_LoanTypes" hidden="1">#REF!</definedName>
    <definedName name="DEBT_PaymentType1" localSheetId="3" hidden="1">#REF!</definedName>
    <definedName name="DEBT_PaymentType1" localSheetId="9" hidden="1">#REF!</definedName>
    <definedName name="DEBT_PaymentType1" localSheetId="2" hidden="1">#REF!</definedName>
    <definedName name="DEBT_PaymentType1" localSheetId="4" hidden="1">#REF!</definedName>
    <definedName name="DEBT_PaymentType1" hidden="1">#REF!</definedName>
    <definedName name="DEBT_PaymentType5" localSheetId="3" hidden="1">#REF!</definedName>
    <definedName name="DEBT_PaymentType5" localSheetId="9" hidden="1">#REF!</definedName>
    <definedName name="DEBT_PaymentType5" localSheetId="2" hidden="1">#REF!</definedName>
    <definedName name="DEBT_PaymentType5" localSheetId="4" hidden="1">#REF!</definedName>
    <definedName name="DEBT_PaymentType5" hidden="1">#REF!</definedName>
    <definedName name="DEBT_PaymentTypes" localSheetId="3" hidden="1">#REF!</definedName>
    <definedName name="DEBT_PaymentTypes" localSheetId="9" hidden="1">#REF!</definedName>
    <definedName name="DEBT_PaymentTypes" localSheetId="2" hidden="1">#REF!</definedName>
    <definedName name="DEBT_PaymentTypes" localSheetId="4" hidden="1">#REF!</definedName>
    <definedName name="DEBT_PaymentTypes" hidden="1">#REF!</definedName>
    <definedName name="Debt_PurchaseRange" hidden="1">0</definedName>
    <definedName name="Debt_RefiTypes" localSheetId="3" hidden="1">#REF!</definedName>
    <definedName name="Debt_RefiTypes" localSheetId="9" hidden="1">#REF!</definedName>
    <definedName name="Debt_RefiTypes" localSheetId="2" hidden="1">#REF!</definedName>
    <definedName name="Debt_RefiTypes" localSheetId="4" hidden="1">#REF!</definedName>
    <definedName name="Debt_RefiTypes" hidden="1">#REF!</definedName>
    <definedName name="Debt_Show1_Amort" localSheetId="3" hidden="1">#REF!</definedName>
    <definedName name="Debt_Show1_Amort" localSheetId="9" hidden="1">#REF!</definedName>
    <definedName name="Debt_Show1_Amort" localSheetId="2" hidden="1">#REF!</definedName>
    <definedName name="Debt_Show1_Amort" localSheetId="4" hidden="1">#REF!</definedName>
    <definedName name="Debt_Show1_Amort" hidden="1">#REF!</definedName>
    <definedName name="Debt_Show1_AmortHC" localSheetId="3" hidden="1">#REF!</definedName>
    <definedName name="Debt_Show1_AmortHC" localSheetId="9" hidden="1">#REF!</definedName>
    <definedName name="Debt_Show1_AmortHC" localSheetId="2" hidden="1">#REF!</definedName>
    <definedName name="Debt_Show1_AmortHC" localSheetId="4" hidden="1">#REF!</definedName>
    <definedName name="Debt_Show1_AmortHC" hidden="1">#REF!</definedName>
    <definedName name="Debt_Show1_Amount" localSheetId="3" hidden="1">#REF!</definedName>
    <definedName name="Debt_Show1_Amount" localSheetId="9" hidden="1">#REF!</definedName>
    <definedName name="Debt_Show1_Amount" localSheetId="2" hidden="1">#REF!</definedName>
    <definedName name="Debt_Show1_Amount" localSheetId="4" hidden="1">#REF!</definedName>
    <definedName name="Debt_Show1_Amount" hidden="1">#REF!</definedName>
    <definedName name="Debt_Show1_CapEx" localSheetId="3" hidden="1">#REF!</definedName>
    <definedName name="Debt_Show1_CapEx" localSheetId="9" hidden="1">#REF!</definedName>
    <definedName name="Debt_Show1_CapEx" localSheetId="2" hidden="1">#REF!</definedName>
    <definedName name="Debt_Show1_CapEx" localSheetId="4" hidden="1">#REF!</definedName>
    <definedName name="Debt_Show1_CapEx" hidden="1">#REF!</definedName>
    <definedName name="Debt_Show1_FundDate" localSheetId="3" hidden="1">#REF!</definedName>
    <definedName name="Debt_Show1_FundDate" localSheetId="9" hidden="1">#REF!</definedName>
    <definedName name="Debt_Show1_FundDate" localSheetId="2" hidden="1">#REF!</definedName>
    <definedName name="Debt_Show1_FundDate" localSheetId="4" hidden="1">#REF!</definedName>
    <definedName name="Debt_Show1_FundDate" hidden="1">#REF!</definedName>
    <definedName name="Debt_Show1_FundMethod" localSheetId="3" hidden="1">#REF!</definedName>
    <definedName name="Debt_Show1_FundMethod" localSheetId="9" hidden="1">#REF!</definedName>
    <definedName name="Debt_Show1_FundMethod" localSheetId="2" hidden="1">#REF!</definedName>
    <definedName name="Debt_Show1_FundMethod" localSheetId="4" hidden="1">#REF!</definedName>
    <definedName name="Debt_Show1_FundMethod" hidden="1">#REF!</definedName>
    <definedName name="Debt_Show1_FundPercent" localSheetId="3" hidden="1">#REF!</definedName>
    <definedName name="Debt_Show1_FundPercent" localSheetId="9" hidden="1">#REF!</definedName>
    <definedName name="Debt_Show1_FundPercent" localSheetId="2" hidden="1">#REF!</definedName>
    <definedName name="Debt_Show1_FundPercent" localSheetId="4" hidden="1">#REF!</definedName>
    <definedName name="Debt_Show1_FundPercent" hidden="1">#REF!</definedName>
    <definedName name="Debt_Show1_FundPoints" localSheetId="3" hidden="1">#REF!</definedName>
    <definedName name="Debt_Show1_FundPoints" localSheetId="9" hidden="1">#REF!</definedName>
    <definedName name="Debt_Show1_FundPoints" localSheetId="2" hidden="1">#REF!</definedName>
    <definedName name="Debt_Show1_FundPoints" localSheetId="4" hidden="1">#REF!</definedName>
    <definedName name="Debt_Show1_FundPoints" hidden="1">#REF!</definedName>
    <definedName name="Debt_Show1_Loan" localSheetId="3" hidden="1">#REF!</definedName>
    <definedName name="Debt_Show1_Loan" localSheetId="9" hidden="1">#REF!</definedName>
    <definedName name="Debt_Show1_Loan" localSheetId="2" hidden="1">#REF!</definedName>
    <definedName name="Debt_Show1_Loan" localSheetId="4" hidden="1">#REF!</definedName>
    <definedName name="Debt_Show1_Loan" hidden="1">#REF!</definedName>
    <definedName name="Debt_Show1_Rate" localSheetId="3" hidden="1">#REF!</definedName>
    <definedName name="Debt_Show1_Rate" localSheetId="9" hidden="1">#REF!</definedName>
    <definedName name="Debt_Show1_Rate" localSheetId="2" hidden="1">#REF!</definedName>
    <definedName name="Debt_Show1_Rate" localSheetId="4" hidden="1">#REF!</definedName>
    <definedName name="Debt_Show1_Rate" hidden="1">#REF!</definedName>
    <definedName name="Debt_Show1_Spread" localSheetId="3" hidden="1">#REF!</definedName>
    <definedName name="Debt_Show1_Spread" localSheetId="9" hidden="1">#REF!</definedName>
    <definedName name="Debt_Show1_Spread" localSheetId="2" hidden="1">#REF!</definedName>
    <definedName name="Debt_Show1_Spread" localSheetId="4" hidden="1">#REF!</definedName>
    <definedName name="Debt_Show1_Spread" hidden="1">#REF!</definedName>
    <definedName name="Debt_Show2_Amort" localSheetId="3" hidden="1">#REF!</definedName>
    <definedName name="Debt_Show2_Amort" localSheetId="9" hidden="1">#REF!</definedName>
    <definedName name="Debt_Show2_Amort" localSheetId="2" hidden="1">#REF!</definedName>
    <definedName name="Debt_Show2_Amort" localSheetId="4" hidden="1">#REF!</definedName>
    <definedName name="Debt_Show2_Amort" hidden="1">#REF!</definedName>
    <definedName name="Debt_Show2_AmortHC" localSheetId="3" hidden="1">#REF!</definedName>
    <definedName name="Debt_Show2_AmortHC" localSheetId="9" hidden="1">#REF!</definedName>
    <definedName name="Debt_Show2_AmortHC" localSheetId="2" hidden="1">#REF!</definedName>
    <definedName name="Debt_Show2_AmortHC" localSheetId="4" hidden="1">#REF!</definedName>
    <definedName name="Debt_Show2_AmortHC" hidden="1">#REF!</definedName>
    <definedName name="Debt_Show2_Amount" localSheetId="3" hidden="1">#REF!</definedName>
    <definedName name="Debt_Show2_Amount" localSheetId="9" hidden="1">#REF!</definedName>
    <definedName name="Debt_Show2_Amount" localSheetId="2" hidden="1">#REF!</definedName>
    <definedName name="Debt_Show2_Amount" localSheetId="4" hidden="1">#REF!</definedName>
    <definedName name="Debt_Show2_Amount" hidden="1">#REF!</definedName>
    <definedName name="Debt_Show2_CapEx" localSheetId="3" hidden="1">#REF!</definedName>
    <definedName name="Debt_Show2_CapEx" localSheetId="9" hidden="1">#REF!</definedName>
    <definedName name="Debt_Show2_CapEx" localSheetId="2" hidden="1">#REF!</definedName>
    <definedName name="Debt_Show2_CapEx" localSheetId="4" hidden="1">#REF!</definedName>
    <definedName name="Debt_Show2_CapEx" hidden="1">#REF!</definedName>
    <definedName name="Debt_Show2_FundDate" localSheetId="3" hidden="1">#REF!</definedName>
    <definedName name="Debt_Show2_FundDate" localSheetId="9" hidden="1">#REF!</definedName>
    <definedName name="Debt_Show2_FundDate" localSheetId="2" hidden="1">#REF!</definedName>
    <definedName name="Debt_Show2_FundDate" localSheetId="4" hidden="1">#REF!</definedName>
    <definedName name="Debt_Show2_FundDate" hidden="1">#REF!</definedName>
    <definedName name="Debt_Show2_FundMethod" localSheetId="3" hidden="1">#REF!</definedName>
    <definedName name="Debt_Show2_FundMethod" localSheetId="9" hidden="1">#REF!</definedName>
    <definedName name="Debt_Show2_FundMethod" localSheetId="2" hidden="1">#REF!</definedName>
    <definedName name="Debt_Show2_FundMethod" localSheetId="4" hidden="1">#REF!</definedName>
    <definedName name="Debt_Show2_FundMethod" hidden="1">#REF!</definedName>
    <definedName name="Debt_Show2_FundPercent" localSheetId="3" hidden="1">#REF!</definedName>
    <definedName name="Debt_Show2_FundPercent" localSheetId="9" hidden="1">#REF!</definedName>
    <definedName name="Debt_Show2_FundPercent" localSheetId="2" hidden="1">#REF!</definedName>
    <definedName name="Debt_Show2_FundPercent" localSheetId="4" hidden="1">#REF!</definedName>
    <definedName name="Debt_Show2_FundPercent" hidden="1">#REF!</definedName>
    <definedName name="Debt_Show2_FundPoints" localSheetId="3" hidden="1">#REF!</definedName>
    <definedName name="Debt_Show2_FundPoints" localSheetId="9" hidden="1">#REF!</definedName>
    <definedName name="Debt_Show2_FundPoints" localSheetId="2" hidden="1">#REF!</definedName>
    <definedName name="Debt_Show2_FundPoints" localSheetId="4" hidden="1">#REF!</definedName>
    <definedName name="Debt_Show2_FundPoints" hidden="1">#REF!</definedName>
    <definedName name="Debt_Show2_Loan" localSheetId="3" hidden="1">#REF!</definedName>
    <definedName name="Debt_Show2_Loan" localSheetId="9" hidden="1">#REF!</definedName>
    <definedName name="Debt_Show2_Loan" localSheetId="2" hidden="1">#REF!</definedName>
    <definedName name="Debt_Show2_Loan" localSheetId="4" hidden="1">#REF!</definedName>
    <definedName name="Debt_Show2_Loan" hidden="1">#REF!</definedName>
    <definedName name="Debt_Show2_Rate" localSheetId="3" hidden="1">#REF!</definedName>
    <definedName name="Debt_Show2_Rate" localSheetId="9" hidden="1">#REF!</definedName>
    <definedName name="Debt_Show2_Rate" localSheetId="2" hidden="1">#REF!</definedName>
    <definedName name="Debt_Show2_Rate" localSheetId="4" hidden="1">#REF!</definedName>
    <definedName name="Debt_Show2_Rate" hidden="1">#REF!</definedName>
    <definedName name="Debt_Show2_Spread" localSheetId="3" hidden="1">#REF!</definedName>
    <definedName name="Debt_Show2_Spread" localSheetId="9" hidden="1">#REF!</definedName>
    <definedName name="Debt_Show2_Spread" localSheetId="2" hidden="1">#REF!</definedName>
    <definedName name="Debt_Show2_Spread" localSheetId="4" hidden="1">#REF!</definedName>
    <definedName name="Debt_Show2_Spread" hidden="1">#REF!</definedName>
    <definedName name="Debt_Show3_Amort" localSheetId="3" hidden="1">#REF!</definedName>
    <definedName name="Debt_Show3_Amort" localSheetId="9" hidden="1">#REF!</definedName>
    <definedName name="Debt_Show3_Amort" localSheetId="2" hidden="1">#REF!</definedName>
    <definedName name="Debt_Show3_Amort" localSheetId="4" hidden="1">#REF!</definedName>
    <definedName name="Debt_Show3_Amort" hidden="1">#REF!</definedName>
    <definedName name="Debt_Show3_AmortHC" localSheetId="3" hidden="1">#REF!</definedName>
    <definedName name="Debt_Show3_AmortHC" localSheetId="9" hidden="1">#REF!</definedName>
    <definedName name="Debt_Show3_AmortHC" localSheetId="2" hidden="1">#REF!</definedName>
    <definedName name="Debt_Show3_AmortHC" localSheetId="4" hidden="1">#REF!</definedName>
    <definedName name="Debt_Show3_AmortHC" hidden="1">#REF!</definedName>
    <definedName name="Debt_Show3_Amount" localSheetId="3" hidden="1">#REF!</definedName>
    <definedName name="Debt_Show3_Amount" localSheetId="9" hidden="1">#REF!</definedName>
    <definedName name="Debt_Show3_Amount" localSheetId="2" hidden="1">#REF!</definedName>
    <definedName name="Debt_Show3_Amount" localSheetId="4" hidden="1">#REF!</definedName>
    <definedName name="Debt_Show3_Amount" hidden="1">#REF!</definedName>
    <definedName name="Debt_Show3_CapEx" localSheetId="3" hidden="1">#REF!</definedName>
    <definedName name="Debt_Show3_CapEx" localSheetId="9" hidden="1">#REF!</definedName>
    <definedName name="Debt_Show3_CapEx" localSheetId="2" hidden="1">#REF!</definedName>
    <definedName name="Debt_Show3_CapEx" localSheetId="4" hidden="1">#REF!</definedName>
    <definedName name="Debt_Show3_CapEx" hidden="1">#REF!</definedName>
    <definedName name="Debt_Show3_FundDate" localSheetId="3" hidden="1">#REF!</definedName>
    <definedName name="Debt_Show3_FundDate" localSheetId="9" hidden="1">#REF!</definedName>
    <definedName name="Debt_Show3_FundDate" localSheetId="2" hidden="1">#REF!</definedName>
    <definedName name="Debt_Show3_FundDate" localSheetId="4" hidden="1">#REF!</definedName>
    <definedName name="Debt_Show3_FundDate" hidden="1">#REF!</definedName>
    <definedName name="Debt_Show3_FundMethod" localSheetId="3" hidden="1">#REF!</definedName>
    <definedName name="Debt_Show3_FundMethod" localSheetId="9" hidden="1">#REF!</definedName>
    <definedName name="Debt_Show3_FundMethod" localSheetId="2" hidden="1">#REF!</definedName>
    <definedName name="Debt_Show3_FundMethod" localSheetId="4" hidden="1">#REF!</definedName>
    <definedName name="Debt_Show3_FundMethod" hidden="1">#REF!</definedName>
    <definedName name="Debt_Show3_FundPercent" localSheetId="3" hidden="1">#REF!</definedName>
    <definedName name="Debt_Show3_FundPercent" localSheetId="9" hidden="1">#REF!</definedName>
    <definedName name="Debt_Show3_FundPercent" localSheetId="2" hidden="1">#REF!</definedName>
    <definedName name="Debt_Show3_FundPercent" localSheetId="4" hidden="1">#REF!</definedName>
    <definedName name="Debt_Show3_FundPercent" hidden="1">#REF!</definedName>
    <definedName name="Debt_Show3_FundPoints" localSheetId="3" hidden="1">#REF!</definedName>
    <definedName name="Debt_Show3_FundPoints" localSheetId="9" hidden="1">#REF!</definedName>
    <definedName name="Debt_Show3_FundPoints" localSheetId="2" hidden="1">#REF!</definedName>
    <definedName name="Debt_Show3_FundPoints" localSheetId="4" hidden="1">#REF!</definedName>
    <definedName name="Debt_Show3_FundPoints" hidden="1">#REF!</definedName>
    <definedName name="Debt_Show3_Loan" localSheetId="3" hidden="1">#REF!</definedName>
    <definedName name="Debt_Show3_Loan" localSheetId="9" hidden="1">#REF!</definedName>
    <definedName name="Debt_Show3_Loan" localSheetId="2" hidden="1">#REF!</definedName>
    <definedName name="Debt_Show3_Loan" localSheetId="4" hidden="1">#REF!</definedName>
    <definedName name="Debt_Show3_Loan" hidden="1">#REF!</definedName>
    <definedName name="Debt_Show3_Rate" localSheetId="3" hidden="1">#REF!</definedName>
    <definedName name="Debt_Show3_Rate" localSheetId="9" hidden="1">#REF!</definedName>
    <definedName name="Debt_Show3_Rate" localSheetId="2" hidden="1">#REF!</definedName>
    <definedName name="Debt_Show3_Rate" localSheetId="4" hidden="1">#REF!</definedName>
    <definedName name="Debt_Show3_Rate" hidden="1">#REF!</definedName>
    <definedName name="Debt_Show3_Refi" localSheetId="3" hidden="1">#REF!</definedName>
    <definedName name="Debt_Show3_Refi" localSheetId="9" hidden="1">#REF!</definedName>
    <definedName name="Debt_Show3_Refi" localSheetId="2" hidden="1">#REF!</definedName>
    <definedName name="Debt_Show3_Refi" localSheetId="4" hidden="1">#REF!</definedName>
    <definedName name="Debt_Show3_Refi" hidden="1">#REF!</definedName>
    <definedName name="Debt_Show3_Refi1" localSheetId="3" hidden="1">#REF!</definedName>
    <definedName name="Debt_Show3_Refi1" localSheetId="9" hidden="1">#REF!</definedName>
    <definedName name="Debt_Show3_Refi1" localSheetId="2" hidden="1">#REF!</definedName>
    <definedName name="Debt_Show3_Refi1" localSheetId="4" hidden="1">#REF!</definedName>
    <definedName name="Debt_Show3_Refi1" hidden="1">#REF!</definedName>
    <definedName name="Debt_Show3_Refi2" localSheetId="3" hidden="1">#REF!</definedName>
    <definedName name="Debt_Show3_Refi2" localSheetId="9" hidden="1">#REF!</definedName>
    <definedName name="Debt_Show3_Refi2" localSheetId="2" hidden="1">#REF!</definedName>
    <definedName name="Debt_Show3_Refi2" localSheetId="4" hidden="1">#REF!</definedName>
    <definedName name="Debt_Show3_Refi2" hidden="1">#REF!</definedName>
    <definedName name="Debt_Show3_Spread" localSheetId="3" hidden="1">#REF!</definedName>
    <definedName name="Debt_Show3_Spread" localSheetId="9" hidden="1">#REF!</definedName>
    <definedName name="Debt_Show3_Spread" localSheetId="2" hidden="1">#REF!</definedName>
    <definedName name="Debt_Show3_Spread" localSheetId="4" hidden="1">#REF!</definedName>
    <definedName name="Debt_Show3_Spread" hidden="1">#REF!</definedName>
    <definedName name="Debt_SubordinationType2" localSheetId="3" hidden="1">#REF!</definedName>
    <definedName name="Debt_SubordinationType2" localSheetId="9" hidden="1">#REF!</definedName>
    <definedName name="Debt_SubordinationType2" localSheetId="2" hidden="1">#REF!</definedName>
    <definedName name="Debt_SubordinationType2" localSheetId="4" hidden="1">#REF!</definedName>
    <definedName name="Debt_SubordinationType2" hidden="1">#REF!</definedName>
    <definedName name="Debt_SubordinationTypes" localSheetId="3" hidden="1">#REF!</definedName>
    <definedName name="Debt_SubordinationTypes" localSheetId="9" hidden="1">#REF!</definedName>
    <definedName name="Debt_SubordinationTypes" localSheetId="2" hidden="1">#REF!</definedName>
    <definedName name="Debt_SubordinationTypes" localSheetId="4" hidden="1">#REF!</definedName>
    <definedName name="Debt_SubordinationTypes" hidden="1">#REF!</definedName>
    <definedName name="Debt_Yes" localSheetId="3" hidden="1">#REF!</definedName>
    <definedName name="Debt_Yes" localSheetId="9" hidden="1">#REF!</definedName>
    <definedName name="Debt_Yes" localSheetId="2" hidden="1">#REF!</definedName>
    <definedName name="Debt_Yes" localSheetId="4" hidden="1">#REF!</definedName>
    <definedName name="Debt_Yes" hidden="1">#REF!</definedName>
    <definedName name="Debt_YesNo" localSheetId="3" hidden="1">#REF!</definedName>
    <definedName name="Debt_YesNo" localSheetId="9" hidden="1">#REF!</definedName>
    <definedName name="Debt_YesNo" localSheetId="2" hidden="1">#REF!</definedName>
    <definedName name="Debt_YesNo" localSheetId="4" hidden="1">#REF!</definedName>
    <definedName name="Debt_YesNo" hidden="1">#REF!</definedName>
    <definedName name="DeleteBonus">[1]!DeleteBonus</definedName>
    <definedName name="deleteme" localSheetId="3" hidden="1">{"schedule",#N/A,FALSE,"Sum Op's";"input area",#N/A,FALSE,"Sum Op's"}</definedName>
    <definedName name="deleteme" localSheetId="6" hidden="1">{"schedule",#N/A,FALSE,"Sum Op's";"input area",#N/A,FALSE,"Sum Op's"}</definedName>
    <definedName name="deleteme" localSheetId="9" hidden="1">{"schedule",#N/A,FALSE,"Sum Op's";"input area",#N/A,FALSE,"Sum Op's"}</definedName>
    <definedName name="deleteme" localSheetId="2" hidden="1">{"schedule",#N/A,FALSE,"Sum Op's";"input area",#N/A,FALSE,"Sum Op's"}</definedName>
    <definedName name="deleteme" localSheetId="4" hidden="1">{"schedule",#N/A,FALSE,"Sum Op's";"input area",#N/A,FALSE,"Sum Op's"}</definedName>
    <definedName name="deleteme" localSheetId="0" hidden="1">{"schedule",#N/A,FALSE,"Sum Op's";"input area",#N/A,FALSE,"Sum Op's"}</definedName>
    <definedName name="deleteme" hidden="1">{"schedule",#N/A,FALSE,"Sum Op's";"input area",#N/A,FALSE,"Sum Op's"}</definedName>
    <definedName name="deleteme1" localSheetId="3" hidden="1">{"schedule",#N/A,FALSE,"Sum Op's";"input area",#N/A,FALSE,"Sum Op's"}</definedName>
    <definedName name="deleteme1" localSheetId="6" hidden="1">{"schedule",#N/A,FALSE,"Sum Op's";"input area",#N/A,FALSE,"Sum Op's"}</definedName>
    <definedName name="deleteme1" localSheetId="9" hidden="1">{"schedule",#N/A,FALSE,"Sum Op's";"input area",#N/A,FALSE,"Sum Op's"}</definedName>
    <definedName name="deleteme1" localSheetId="2" hidden="1">{"schedule",#N/A,FALSE,"Sum Op's";"input area",#N/A,FALSE,"Sum Op's"}</definedName>
    <definedName name="deleteme1" localSheetId="4" hidden="1">{"schedule",#N/A,FALSE,"Sum Op's";"input area",#N/A,FALSE,"Sum Op's"}</definedName>
    <definedName name="deleteme1" localSheetId="0" hidden="1">{"schedule",#N/A,FALSE,"Sum Op's";"input area",#N/A,FALSE,"Sum Op's"}</definedName>
    <definedName name="deleteme1" hidden="1">{"schedule",#N/A,FALSE,"Sum Op's";"input area",#N/A,FALSE,"Sum Op's"}</definedName>
    <definedName name="Depreciation_Amortization">#REF!</definedName>
    <definedName name="des" localSheetId="0" hidden="1">{#N/A,#N/A,FALSE,"el.det";#N/A,#N/A,FALSE,"mu.det";#N/A,#N/A,FALSE,"ug.det";#N/A,#N/A,FALSE,"ex.det";#N/A,#N/A,FALSE,"lux.det";#N/A,#N/A,FALSE,"custom.lot";#N/A,#N/A,FALSE,"condo.att";#N/A,#N/A,FALSE,"el.att";#N/A,#N/A,FALSE,"mu.att";#N/A,#N/A,FALSE,"ex.att";#N/A,#N/A,FALSE,"lux.att";#N/A,#N/A,FALSE,"all.by.village"}</definedName>
    <definedName name="des" hidden="1">{#N/A,#N/A,FALSE,"el.det";#N/A,#N/A,FALSE,"mu.det";#N/A,#N/A,FALSE,"ug.det";#N/A,#N/A,FALSE,"ex.det";#N/A,#N/A,FALSE,"lux.det";#N/A,#N/A,FALSE,"custom.lot";#N/A,#N/A,FALSE,"condo.att";#N/A,#N/A,FALSE,"el.att";#N/A,#N/A,FALSE,"mu.att";#N/A,#N/A,FALSE,"ex.att";#N/A,#N/A,FALSE,"lux.att";#N/A,#N/A,FALSE,"all.by.village"}</definedName>
    <definedName name="DESC.">#REF!</definedName>
    <definedName name="DESCRIPTION">#REF!</definedName>
    <definedName name="DetailedCosts" localSheetId="0" hidden="1">{"CF",#N/A,FALSE,"Cash Flow";"RET",#N/A,FALSE,"Returns";"NPV",#N/A,FALSE,"Values";"ASMPT",#N/A,FALSE,"Assumptions"}</definedName>
    <definedName name="DetailedCosts" hidden="1">{"CF",#N/A,FALSE,"Cash Flow";"RET",#N/A,FALSE,"Returns";"NPV",#N/A,FALSE,"Values";"ASMPT",#N/A,FALSE,"Assumptions"}</definedName>
    <definedName name="df" localSheetId="3" hidden="1">{"toc1",#N/A,FALSE,"TOC";"cover",#N/A,FALSE,"Cover";"ts1",#N/A,FALSE,"Transaction Summary";"ei3",#N/A,FALSE,"Earnings Impact";"ad3",#N/A,FALSE,"accretion dilution"}</definedName>
    <definedName name="df" localSheetId="9" hidden="1">{"toc1",#N/A,FALSE,"TOC";"cover",#N/A,FALSE,"Cover";"ts1",#N/A,FALSE,"Transaction Summary";"ei3",#N/A,FALSE,"Earnings Impact";"ad3",#N/A,FALSE,"accretion dilution"}</definedName>
    <definedName name="df" localSheetId="2" hidden="1">{"toc1",#N/A,FALSE,"TOC";"cover",#N/A,FALSE,"Cover";"ts1",#N/A,FALSE,"Transaction Summary";"ei3",#N/A,FALSE,"Earnings Impact";"ad3",#N/A,FALSE,"accretion dilution"}</definedName>
    <definedName name="df" localSheetId="4" hidden="1">{"toc1",#N/A,FALSE,"TOC";"cover",#N/A,FALSE,"Cover";"ts1",#N/A,FALSE,"Transaction Summary";"ei3",#N/A,FALSE,"Earnings Impact";"ad3",#N/A,FALSE,"accretion dilution"}</definedName>
    <definedName name="df" localSheetId="0" hidden="1">{"toc1",#N/A,FALSE,"TOC";"cover",#N/A,FALSE,"Cover";"ts1",#N/A,FALSE,"Transaction Summary";"ei3",#N/A,FALSE,"Earnings Impact";"ad3",#N/A,FALSE,"accretion dilution"}</definedName>
    <definedName name="df" hidden="1">{"toc1",#N/A,FALSE,"TOC";"cover",#N/A,FALSE,"Cover";"ts1",#N/A,FALSE,"Transaction Summary";"ei3",#N/A,FALSE,"Earnings Impact";"ad3",#N/A,FALSE,"accretion dilution"}</definedName>
    <definedName name="dfd" localSheetId="0" hidden="1">{#N/A,#N/A,FALSE,"el.det";#N/A,#N/A,FALSE,"mu.det";#N/A,#N/A,FALSE,"ug.det";#N/A,#N/A,FALSE,"ex.det";#N/A,#N/A,FALSE,"lux.det";#N/A,#N/A,FALSE,"custom.lot";#N/A,#N/A,FALSE,"condo.att";#N/A,#N/A,FALSE,"el.att";#N/A,#N/A,FALSE,"mu.att";#N/A,#N/A,FALSE,"ex.att";#N/A,#N/A,FALSE,"lux.att";#N/A,#N/A,FALSE,"all.by.village"}</definedName>
    <definedName name="dfd" hidden="1">{#N/A,#N/A,FALSE,"el.det";#N/A,#N/A,FALSE,"mu.det";#N/A,#N/A,FALSE,"ug.det";#N/A,#N/A,FALSE,"ex.det";#N/A,#N/A,FALSE,"lux.det";#N/A,#N/A,FALSE,"custom.lot";#N/A,#N/A,FALSE,"condo.att";#N/A,#N/A,FALSE,"el.att";#N/A,#N/A,FALSE,"mu.att";#N/A,#N/A,FALSE,"ex.att";#N/A,#N/A,FALSE,"lux.att";#N/A,#N/A,FALSE,"all.by.village"}</definedName>
    <definedName name="dfdf" localSheetId="0" hidden="1">{#N/A,#N/A,FALSE,"el.det";#N/A,#N/A,FALSE,"mu.det";#N/A,#N/A,FALSE,"ug.det";#N/A,#N/A,FALSE,"ex.det";#N/A,#N/A,FALSE,"lux.det";#N/A,#N/A,FALSE,"custom.lot";#N/A,#N/A,FALSE,"condo.att";#N/A,#N/A,FALSE,"el.att";#N/A,#N/A,FALSE,"mu.att";#N/A,#N/A,FALSE,"ex.att";#N/A,#N/A,FALSE,"lux.att";#N/A,#N/A,FALSE,"all.by.village"}</definedName>
    <definedName name="dfdf" hidden="1">{#N/A,#N/A,FALSE,"el.det";#N/A,#N/A,FALSE,"mu.det";#N/A,#N/A,FALSE,"ug.det";#N/A,#N/A,FALSE,"ex.det";#N/A,#N/A,FALSE,"lux.det";#N/A,#N/A,FALSE,"custom.lot";#N/A,#N/A,FALSE,"condo.att";#N/A,#N/A,FALSE,"el.att";#N/A,#N/A,FALSE,"mu.att";#N/A,#N/A,FALSE,"ex.att";#N/A,#N/A,FALSE,"lux.att";#N/A,#N/A,FALSE,"all.by.village"}</definedName>
    <definedName name="dfg" localSheetId="3" hidden="1">{"cover",#N/A,TRUE,"Cover";"toc6",#N/A,TRUE,"TOC";"over",#N/A,TRUE,"Overview";"ts2",#N/A,TRUE,"Det_Trans_Sum";"ei",#N/A,TRUE,"Earnings Impact";"ad",#N/A,TRUE,"accretion dilution";"hg",#N/A,TRUE,"Has-Gets";"pfis",#N/A,TRUE,"Pro Forma Income Statement";"ca",#N/A,TRUE,"Contribution_Analysis";"acq",#N/A,TRUE,"Acquirer";"tar",#N/A,TRUE,"Target"}</definedName>
    <definedName name="dfg" localSheetId="9" hidden="1">{"cover",#N/A,TRUE,"Cover";"toc6",#N/A,TRUE,"TOC";"over",#N/A,TRUE,"Overview";"ts2",#N/A,TRUE,"Det_Trans_Sum";"ei",#N/A,TRUE,"Earnings Impact";"ad",#N/A,TRUE,"accretion dilution";"hg",#N/A,TRUE,"Has-Gets";"pfis",#N/A,TRUE,"Pro Forma Income Statement";"ca",#N/A,TRUE,"Contribution_Analysis";"acq",#N/A,TRUE,"Acquirer";"tar",#N/A,TRUE,"Target"}</definedName>
    <definedName name="dfg" localSheetId="2" hidden="1">{"cover",#N/A,TRUE,"Cover";"toc6",#N/A,TRUE,"TOC";"over",#N/A,TRUE,"Overview";"ts2",#N/A,TRUE,"Det_Trans_Sum";"ei",#N/A,TRUE,"Earnings Impact";"ad",#N/A,TRUE,"accretion dilution";"hg",#N/A,TRUE,"Has-Gets";"pfis",#N/A,TRUE,"Pro Forma Income Statement";"ca",#N/A,TRUE,"Contribution_Analysis";"acq",#N/A,TRUE,"Acquirer";"tar",#N/A,TRUE,"Target"}</definedName>
    <definedName name="dfg" localSheetId="4" hidden="1">{"cover",#N/A,TRUE,"Cover";"toc6",#N/A,TRUE,"TOC";"over",#N/A,TRUE,"Overview";"ts2",#N/A,TRUE,"Det_Trans_Sum";"ei",#N/A,TRUE,"Earnings Impact";"ad",#N/A,TRUE,"accretion dilution";"hg",#N/A,TRUE,"Has-Gets";"pfis",#N/A,TRUE,"Pro Forma Income Statement";"ca",#N/A,TRUE,"Contribution_Analysis";"acq",#N/A,TRUE,"Acquirer";"tar",#N/A,TRUE,"Target"}</definedName>
    <definedName name="dfg" localSheetId="0" hidden="1">{"cover",#N/A,TRUE,"Cover";"toc6",#N/A,TRUE,"TOC";"over",#N/A,TRUE,"Overview";"ts2",#N/A,TRUE,"Det_Trans_Sum";"ei",#N/A,TRUE,"Earnings Impact";"ad",#N/A,TRUE,"accretion dilution";"hg",#N/A,TRUE,"Has-Gets";"pfis",#N/A,TRUE,"Pro Forma Income Statement";"ca",#N/A,TRUE,"Contribution_Analysis";"acq",#N/A,TRUE,"Acquirer";"tar",#N/A,TRUE,"Target"}</definedName>
    <definedName name="dfg" hidden="1">{"cover",#N/A,TRUE,"Cover";"toc6",#N/A,TRUE,"TOC";"over",#N/A,TRUE,"Overview";"ts2",#N/A,TRUE,"Det_Trans_Sum";"ei",#N/A,TRUE,"Earnings Impact";"ad",#N/A,TRUE,"accretion dilution";"hg",#N/A,TRUE,"Has-Gets";"pfis",#N/A,TRUE,"Pro Forma Income Statement";"ca",#N/A,TRUE,"Contribution_Analysis";"acq",#N/A,TRUE,"Acquirer";"tar",#N/A,TRUE,"Target"}</definedName>
    <definedName name="dfgb" localSheetId="0" hidden="1">{#N/A,#N/A,FALSE,"II-2 POP.HH";#N/A,#N/A,FALSE,"II-3 AGE.DIST";#N/A,#N/A,FALSE,"II-4 HH.DIST";#N/A,#N/A,FALSE,"II-5 EMP.INDUS"}</definedName>
    <definedName name="dfgb" hidden="1">{#N/A,#N/A,FALSE,"II-2 POP.HH";#N/A,#N/A,FALSE,"II-3 AGE.DIST";#N/A,#N/A,FALSE,"II-4 HH.DIST";#N/A,#N/A,FALSE,"II-5 EMP.INDUS"}</definedName>
    <definedName name="dfgd" localSheetId="3" hidden="1">{#N/A,#N/A,FALSE,"Cashflow Analysis";#N/A,#N/A,FALSE,"Sensitivity Analysis";#N/A,#N/A,FALSE,"PV";#N/A,#N/A,FALSE,"Pro Forma"}</definedName>
    <definedName name="dfgd" localSheetId="9" hidden="1">{#N/A,#N/A,FALSE,"Cashflow Analysis";#N/A,#N/A,FALSE,"Sensitivity Analysis";#N/A,#N/A,FALSE,"PV";#N/A,#N/A,FALSE,"Pro Forma"}</definedName>
    <definedName name="dfgd" localSheetId="2" hidden="1">{#N/A,#N/A,FALSE,"Cashflow Analysis";#N/A,#N/A,FALSE,"Sensitivity Analysis";#N/A,#N/A,FALSE,"PV";#N/A,#N/A,FALSE,"Pro Forma"}</definedName>
    <definedName name="dfgd" localSheetId="4" hidden="1">{#N/A,#N/A,FALSE,"Cashflow Analysis";#N/A,#N/A,FALSE,"Sensitivity Analysis";#N/A,#N/A,FALSE,"PV";#N/A,#N/A,FALSE,"Pro Forma"}</definedName>
    <definedName name="dfgd" localSheetId="0" hidden="1">{#N/A,#N/A,FALSE,"Cashflow Analysis";#N/A,#N/A,FALSE,"Sensitivity Analysis";#N/A,#N/A,FALSE,"PV";#N/A,#N/A,FALSE,"Pro Forma"}</definedName>
    <definedName name="dfgd" hidden="1">{#N/A,#N/A,FALSE,"Cashflow Analysis";#N/A,#N/A,FALSE,"Sensitivity Analysis";#N/A,#N/A,FALSE,"PV";#N/A,#N/A,FALSE,"Pro Forma"}</definedName>
    <definedName name="dfgsg"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dfgsg"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dfgt" localSheetId="3" hidden="1">{"cover",#N/A,TRUE,"Cover";"toc6",#N/A,TRUE,"TOC";"over",#N/A,TRUE,"Overview";"ts2",#N/A,TRUE,"Det_Trans_Sum";"ei1",#N/A,TRUE,"Earnings Impact";"ad1",#N/A,TRUE,"accretion dilution";"hg1",#N/A,TRUE,"Has-Gets";"pfis1",#N/A,TRUE,"Pro Forma Income Statement";"ca1",#N/A,TRUE,"Contribution_Analysis";"acq1",#N/A,TRUE,"Acquirer";"tar1",#N/A,TRUE,"Target"}</definedName>
    <definedName name="dfgt" localSheetId="9" hidden="1">{"cover",#N/A,TRUE,"Cover";"toc6",#N/A,TRUE,"TOC";"over",#N/A,TRUE,"Overview";"ts2",#N/A,TRUE,"Det_Trans_Sum";"ei1",#N/A,TRUE,"Earnings Impact";"ad1",#N/A,TRUE,"accretion dilution";"hg1",#N/A,TRUE,"Has-Gets";"pfis1",#N/A,TRUE,"Pro Forma Income Statement";"ca1",#N/A,TRUE,"Contribution_Analysis";"acq1",#N/A,TRUE,"Acquirer";"tar1",#N/A,TRUE,"Target"}</definedName>
    <definedName name="dfgt" localSheetId="2" hidden="1">{"cover",#N/A,TRUE,"Cover";"toc6",#N/A,TRUE,"TOC";"over",#N/A,TRUE,"Overview";"ts2",#N/A,TRUE,"Det_Trans_Sum";"ei1",#N/A,TRUE,"Earnings Impact";"ad1",#N/A,TRUE,"accretion dilution";"hg1",#N/A,TRUE,"Has-Gets";"pfis1",#N/A,TRUE,"Pro Forma Income Statement";"ca1",#N/A,TRUE,"Contribution_Analysis";"acq1",#N/A,TRUE,"Acquirer";"tar1",#N/A,TRUE,"Target"}</definedName>
    <definedName name="dfgt" localSheetId="4" hidden="1">{"cover",#N/A,TRUE,"Cover";"toc6",#N/A,TRUE,"TOC";"over",#N/A,TRUE,"Overview";"ts2",#N/A,TRUE,"Det_Trans_Sum";"ei1",#N/A,TRUE,"Earnings Impact";"ad1",#N/A,TRUE,"accretion dilution";"hg1",#N/A,TRUE,"Has-Gets";"pfis1",#N/A,TRUE,"Pro Forma Income Statement";"ca1",#N/A,TRUE,"Contribution_Analysis";"acq1",#N/A,TRUE,"Acquirer";"tar1",#N/A,TRUE,"Target"}</definedName>
    <definedName name="dfgt" localSheetId="0" hidden="1">{"cover",#N/A,TRUE,"Cover";"toc6",#N/A,TRUE,"TOC";"over",#N/A,TRUE,"Overview";"ts2",#N/A,TRUE,"Det_Trans_Sum";"ei1",#N/A,TRUE,"Earnings Impact";"ad1",#N/A,TRUE,"accretion dilution";"hg1",#N/A,TRUE,"Has-Gets";"pfis1",#N/A,TRUE,"Pro Forma Income Statement";"ca1",#N/A,TRUE,"Contribution_Analysis";"acq1",#N/A,TRUE,"Acquirer";"tar1",#N/A,TRUE,"Target"}</definedName>
    <definedName name="dfgt" hidden="1">{"cover",#N/A,TRUE,"Cover";"toc6",#N/A,TRUE,"TOC";"over",#N/A,TRUE,"Overview";"ts2",#N/A,TRUE,"Det_Trans_Sum";"ei1",#N/A,TRUE,"Earnings Impact";"ad1",#N/A,TRUE,"accretion dilution";"hg1",#N/A,TRUE,"Has-Gets";"pfis1",#N/A,TRUE,"Pro Forma Income Statement";"ca1",#N/A,TRUE,"Contribution_Analysis";"acq1",#N/A,TRUE,"Acquirer";"tar1",#N/A,TRUE,"Target"}</definedName>
    <definedName name="dfs" localSheetId="0" hidden="1">{#N/A,#N/A,FALSE,"II-2 POP.HH";#N/A,#N/A,FALSE,"II-3 AGE.DIST";#N/A,#N/A,FALSE,"II-4 HH.DIST";#N/A,#N/A,FALSE,"II-5 EMP.INDUS"}</definedName>
    <definedName name="dfs" hidden="1">{#N/A,#N/A,FALSE,"II-2 POP.HH";#N/A,#N/A,FALSE,"II-3 AGE.DIST";#N/A,#N/A,FALSE,"II-4 HH.DIST";#N/A,#N/A,FALSE,"II-5 EMP.INDUS"}</definedName>
    <definedName name="DiffSellDist">#REF!</definedName>
    <definedName name="DIMES">#REF!</definedName>
    <definedName name="dis" localSheetId="3" hidden="1">{#N/A,#N/A,FALSE,"Cashflow Analysis";#N/A,#N/A,FALSE,"Sensitivity Analysis";#N/A,#N/A,FALSE,"PV";#N/A,#N/A,FALSE,"Pro Forma"}</definedName>
    <definedName name="dis" localSheetId="9" hidden="1">{#N/A,#N/A,FALSE,"Cashflow Analysis";#N/A,#N/A,FALSE,"Sensitivity Analysis";#N/A,#N/A,FALSE,"PV";#N/A,#N/A,FALSE,"Pro Forma"}</definedName>
    <definedName name="dis" localSheetId="2" hidden="1">{#N/A,#N/A,FALSE,"Cashflow Analysis";#N/A,#N/A,FALSE,"Sensitivity Analysis";#N/A,#N/A,FALSE,"PV";#N/A,#N/A,FALSE,"Pro Forma"}</definedName>
    <definedName name="dis" localSheetId="4" hidden="1">{#N/A,#N/A,FALSE,"Cashflow Analysis";#N/A,#N/A,FALSE,"Sensitivity Analysis";#N/A,#N/A,FALSE,"PV";#N/A,#N/A,FALSE,"Pro Forma"}</definedName>
    <definedName name="dis" localSheetId="0" hidden="1">{#N/A,#N/A,FALSE,"Cashflow Analysis";#N/A,#N/A,FALSE,"Sensitivity Analysis";#N/A,#N/A,FALSE,"PV";#N/A,#N/A,FALSE,"Pro Forma"}</definedName>
    <definedName name="dis" hidden="1">{#N/A,#N/A,FALSE,"Cashflow Analysis";#N/A,#N/A,FALSE,"Sensitivity Analysis";#N/A,#N/A,FALSE,"PV";#N/A,#N/A,FALSE,"Pro Forma"}</definedName>
    <definedName name="dis.2" localSheetId="3" hidden="1">{#N/A,#N/A,FALSE,"Cashflow Analysis";#N/A,#N/A,FALSE,"Sensitivity Analysis";#N/A,#N/A,FALSE,"PV";#N/A,#N/A,FALSE,"Pro Forma"}</definedName>
    <definedName name="dis.2" localSheetId="9" hidden="1">{#N/A,#N/A,FALSE,"Cashflow Analysis";#N/A,#N/A,FALSE,"Sensitivity Analysis";#N/A,#N/A,FALSE,"PV";#N/A,#N/A,FALSE,"Pro Forma"}</definedName>
    <definedName name="dis.2" localSheetId="2" hidden="1">{#N/A,#N/A,FALSE,"Cashflow Analysis";#N/A,#N/A,FALSE,"Sensitivity Analysis";#N/A,#N/A,FALSE,"PV";#N/A,#N/A,FALSE,"Pro Forma"}</definedName>
    <definedName name="dis.2" localSheetId="4" hidden="1">{#N/A,#N/A,FALSE,"Cashflow Analysis";#N/A,#N/A,FALSE,"Sensitivity Analysis";#N/A,#N/A,FALSE,"PV";#N/A,#N/A,FALSE,"Pro Forma"}</definedName>
    <definedName name="dis.2" localSheetId="0" hidden="1">{#N/A,#N/A,FALSE,"Cashflow Analysis";#N/A,#N/A,FALSE,"Sensitivity Analysis";#N/A,#N/A,FALSE,"PV";#N/A,#N/A,FALSE,"Pro Forma"}</definedName>
    <definedName name="dis.2" hidden="1">{#N/A,#N/A,FALSE,"Cashflow Analysis";#N/A,#N/A,FALSE,"Sensitivity Analysis";#N/A,#N/A,FALSE,"PV";#N/A,#N/A,FALSE,"Pro Forma"}</definedName>
    <definedName name="discount_rate">#REF!</definedName>
    <definedName name="dispo_date">#REF!</definedName>
    <definedName name="DistPrice">#REF!</definedName>
    <definedName name="DistPriceUnit">#REF!</definedName>
    <definedName name="Dlg_TitleOfProject">"Edit Box 4"</definedName>
    <definedName name="dog" localSheetId="0" hidden="1">{#N/A,#N/A,FALSE,"Exec Sum 10Yr";#N/A,#N/A,FALSE,"Assumptions";#N/A,#N/A,FALSE,"Operating Stmts";#N/A,#N/A,FALSE,"Year One Pro Forma";#N/A,#N/A,FALSE,"Rent Roll Summary";#N/A,#N/A,FALSE,"Market Rent Detail";#N/A,#N/A,FALSE,"Effective Rental Income Detail";#N/A,#N/A,FALSE,"Cash Flow Projections";#N/A,#N/A,FALSE,"Net Residual Value"}</definedName>
    <definedName name="dog" hidden="1">{#N/A,#N/A,FALSE,"Exec Sum 10Yr";#N/A,#N/A,FALSE,"Assumptions";#N/A,#N/A,FALSE,"Operating Stmts";#N/A,#N/A,FALSE,"Year One Pro Forma";#N/A,#N/A,FALSE,"Rent Roll Summary";#N/A,#N/A,FALSE,"Market Rent Detail";#N/A,#N/A,FALSE,"Effective Rental Income Detail";#N/A,#N/A,FALSE,"Cash Flow Projections";#N/A,#N/A,FALSE,"Net Residual Value"}</definedName>
    <definedName name="Download_Range">#REF!</definedName>
    <definedName name="drg" localSheetId="3" hidden="1">{"cover",#N/A,TRUE,"Cover";"toc5",#N/A,TRUE,"TOC";"over",#N/A,TRUE,"Overview";"ts2",#N/A,TRUE,"Det_Trans_Sum";"ei3",#N/A,TRUE,"Earnings Impact";"ad3",#N/A,TRUE,"accretion dilution";"pfis3",#N/A,TRUE,"Pro Forma Income Statement";"ca3",#N/A,TRUE,"Contribution_Analysis";"acq3",#N/A,TRUE,"Acquirer";"tar3",#N/A,TRUE,"Target"}</definedName>
    <definedName name="drg" localSheetId="9" hidden="1">{"cover",#N/A,TRUE,"Cover";"toc5",#N/A,TRUE,"TOC";"over",#N/A,TRUE,"Overview";"ts2",#N/A,TRUE,"Det_Trans_Sum";"ei3",#N/A,TRUE,"Earnings Impact";"ad3",#N/A,TRUE,"accretion dilution";"pfis3",#N/A,TRUE,"Pro Forma Income Statement";"ca3",#N/A,TRUE,"Contribution_Analysis";"acq3",#N/A,TRUE,"Acquirer";"tar3",#N/A,TRUE,"Target"}</definedName>
    <definedName name="drg" localSheetId="2" hidden="1">{"cover",#N/A,TRUE,"Cover";"toc5",#N/A,TRUE,"TOC";"over",#N/A,TRUE,"Overview";"ts2",#N/A,TRUE,"Det_Trans_Sum";"ei3",#N/A,TRUE,"Earnings Impact";"ad3",#N/A,TRUE,"accretion dilution";"pfis3",#N/A,TRUE,"Pro Forma Income Statement";"ca3",#N/A,TRUE,"Contribution_Analysis";"acq3",#N/A,TRUE,"Acquirer";"tar3",#N/A,TRUE,"Target"}</definedName>
    <definedName name="drg" localSheetId="4" hidden="1">{"cover",#N/A,TRUE,"Cover";"toc5",#N/A,TRUE,"TOC";"over",#N/A,TRUE,"Overview";"ts2",#N/A,TRUE,"Det_Trans_Sum";"ei3",#N/A,TRUE,"Earnings Impact";"ad3",#N/A,TRUE,"accretion dilution";"pfis3",#N/A,TRUE,"Pro Forma Income Statement";"ca3",#N/A,TRUE,"Contribution_Analysis";"acq3",#N/A,TRUE,"Acquirer";"tar3",#N/A,TRUE,"Target"}</definedName>
    <definedName name="drg" localSheetId="0" hidden="1">{"cover",#N/A,TRUE,"Cover";"toc5",#N/A,TRUE,"TOC";"over",#N/A,TRUE,"Overview";"ts2",#N/A,TRUE,"Det_Trans_Sum";"ei3",#N/A,TRUE,"Earnings Impact";"ad3",#N/A,TRUE,"accretion dilution";"pfis3",#N/A,TRUE,"Pro Forma Income Statement";"ca3",#N/A,TRUE,"Contribution_Analysis";"acq3",#N/A,TRUE,"Acquirer";"tar3",#N/A,TRUE,"Target"}</definedName>
    <definedName name="drg" hidden="1">{"cover",#N/A,TRUE,"Cover";"toc5",#N/A,TRUE,"TOC";"over",#N/A,TRUE,"Overview";"ts2",#N/A,TRUE,"Det_Trans_Sum";"ei3",#N/A,TRUE,"Earnings Impact";"ad3",#N/A,TRUE,"accretion dilution";"pfis3",#N/A,TRUE,"Pro Forma Income Statement";"ca3",#N/A,TRUE,"Contribution_Analysis";"acq3",#N/A,TRUE,"Acquirer";"tar3",#N/A,TRUE,"Target"}</definedName>
    <definedName name="DRM_EntityName">"Meadowbrook Tower/Mid-Cities"</definedName>
    <definedName name="DropDownList">#REF!:INDEX(#REF!,COUNTIF(#REF!,"?*"))</definedName>
    <definedName name="dsf" localSheetId="0" hidden="1">{#N/A,#N/A,FALSE,"III-1 Sum.Dem";#N/A,#N/A,FALSE,"III-2 RER.Dem.Pop";#N/A,#N/A,FALSE,"III-3 RER.Cap.Pop";#N/A,#N/A,FALSE,"III-4 RER.Dem.TCSS";#N/A,#N/A,FALSE,"III-5 RER.Cap.TCSS";#N/A,#N/A,FALSE,"III-6 Pow.Center.Dem";#N/A,#N/A,FALSE,"III-7 Off.Demand";#N/A,#N/A,FALSE,"III-8 Htl.Dem"}</definedName>
    <definedName name="dsf" hidden="1">{#N/A,#N/A,FALSE,"III-1 Sum.Dem";#N/A,#N/A,FALSE,"III-2 RER.Dem.Pop";#N/A,#N/A,FALSE,"III-3 RER.Cap.Pop";#N/A,#N/A,FALSE,"III-4 RER.Dem.TCSS";#N/A,#N/A,FALSE,"III-5 RER.Cap.TCSS";#N/A,#N/A,FALSE,"III-6 Pow.Center.Dem";#N/A,#N/A,FALSE,"III-7 Off.Demand";#N/A,#N/A,FALSE,"III-8 Htl.Dem"}</definedName>
    <definedName name="dsthdryjcghmcg" localSheetId="0"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dsthdryjcghmcg"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dvd" localSheetId="0" hidden="1">{#N/A,#N/A,FALSE,"el.det";#N/A,#N/A,FALSE,"mu.det";#N/A,#N/A,FALSE,"ug.det";#N/A,#N/A,FALSE,"ex.det";#N/A,#N/A,FALSE,"lux.det";#N/A,#N/A,FALSE,"custom.lot";#N/A,#N/A,FALSE,"condo.att";#N/A,#N/A,FALSE,"el.att";#N/A,#N/A,FALSE,"mu.att";#N/A,#N/A,FALSE,"ex.att";#N/A,#N/A,FALSE,"lux.att";#N/A,#N/A,FALSE,"all.by.village"}</definedName>
    <definedName name="dvd" hidden="1">{#N/A,#N/A,FALSE,"el.det";#N/A,#N/A,FALSE,"mu.det";#N/A,#N/A,FALSE,"ug.det";#N/A,#N/A,FALSE,"ex.det";#N/A,#N/A,FALSE,"lux.det";#N/A,#N/A,FALSE,"custom.lot";#N/A,#N/A,FALSE,"condo.att";#N/A,#N/A,FALSE,"el.att";#N/A,#N/A,FALSE,"mu.att";#N/A,#N/A,FALSE,"ex.att";#N/A,#N/A,FALSE,"lux.att";#N/A,#N/A,FALSE,"all.by.village"}</definedName>
    <definedName name="E">#N/A</definedName>
    <definedName name="EarthSub">#REF!</definedName>
    <definedName name="EarthSub1">#REF!</definedName>
    <definedName name="ee" localSheetId="3" hidden="1">{#N/A,#N/A,FALSE,"OperatingAssumptions"}</definedName>
    <definedName name="ee" localSheetId="6" hidden="1">{#N/A,#N/A,FALSE,"OperatingAssumptions"}</definedName>
    <definedName name="ee" localSheetId="9" hidden="1">{#N/A,#N/A,FALSE,"OperatingAssumptions"}</definedName>
    <definedName name="ee" localSheetId="2" hidden="1">{#N/A,#N/A,FALSE,"OperatingAssumptions"}</definedName>
    <definedName name="ee" localSheetId="4" hidden="1">{#N/A,#N/A,FALSE,"OperatingAssumptions"}</definedName>
    <definedName name="ee" localSheetId="0" hidden="1">{#N/A,#N/A,FALSE,"OperatingAssumptions"}</definedName>
    <definedName name="ee" hidden="1">{#N/A,#N/A,FALSE,"OperatingAssumptions"}</definedName>
    <definedName name="eee" localSheetId="3" hidden="1">{#N/A,#N/A,FALSE,"OperatingAssumptions"}</definedName>
    <definedName name="eee" localSheetId="6" hidden="1">{#N/A,#N/A,FALSE,"OperatingAssumptions"}</definedName>
    <definedName name="eee" localSheetId="9" hidden="1">{#N/A,#N/A,FALSE,"OperatingAssumptions"}</definedName>
    <definedName name="eee" localSheetId="2" hidden="1">{#N/A,#N/A,FALSE,"OperatingAssumptions"}</definedName>
    <definedName name="eee" localSheetId="4" hidden="1">{#N/A,#N/A,FALSE,"OperatingAssumptions"}</definedName>
    <definedName name="eee" localSheetId="0" hidden="1">{#N/A,#N/A,FALSE,"OperatingAssumptions"}</definedName>
    <definedName name="eee" hidden="1">{#N/A,#N/A,FALSE,"OperatingAssumptions"}</definedName>
    <definedName name="eh" localSheetId="3" hidden="1">{"cover",#N/A,TRUE,"Cover";"toc3",#N/A,TRUE,"TOC";"over",#N/A,TRUE,"Overview";"ts2",#N/A,TRUE,"Det_Trans_Sum";"ei2c",#N/A,TRUE,"Earnings Impact";"ad2",#N/A,TRUE,"accretion dilution";"pfis2",#N/A,TRUE,"Pro Forma Income Statement";"acq2c",#N/A,TRUE,"Acquirer";"tar2c",#N/A,TRUE,"Target"}</definedName>
    <definedName name="eh" localSheetId="9" hidden="1">{"cover",#N/A,TRUE,"Cover";"toc3",#N/A,TRUE,"TOC";"over",#N/A,TRUE,"Overview";"ts2",#N/A,TRUE,"Det_Trans_Sum";"ei2c",#N/A,TRUE,"Earnings Impact";"ad2",#N/A,TRUE,"accretion dilution";"pfis2",#N/A,TRUE,"Pro Forma Income Statement";"acq2c",#N/A,TRUE,"Acquirer";"tar2c",#N/A,TRUE,"Target"}</definedName>
    <definedName name="eh" localSheetId="2" hidden="1">{"cover",#N/A,TRUE,"Cover";"toc3",#N/A,TRUE,"TOC";"over",#N/A,TRUE,"Overview";"ts2",#N/A,TRUE,"Det_Trans_Sum";"ei2c",#N/A,TRUE,"Earnings Impact";"ad2",#N/A,TRUE,"accretion dilution";"pfis2",#N/A,TRUE,"Pro Forma Income Statement";"acq2c",#N/A,TRUE,"Acquirer";"tar2c",#N/A,TRUE,"Target"}</definedName>
    <definedName name="eh" localSheetId="4" hidden="1">{"cover",#N/A,TRUE,"Cover";"toc3",#N/A,TRUE,"TOC";"over",#N/A,TRUE,"Overview";"ts2",#N/A,TRUE,"Det_Trans_Sum";"ei2c",#N/A,TRUE,"Earnings Impact";"ad2",#N/A,TRUE,"accretion dilution";"pfis2",#N/A,TRUE,"Pro Forma Income Statement";"acq2c",#N/A,TRUE,"Acquirer";"tar2c",#N/A,TRUE,"Target"}</definedName>
    <definedName name="eh" localSheetId="0" hidden="1">{"cover",#N/A,TRUE,"Cover";"toc3",#N/A,TRUE,"TOC";"over",#N/A,TRUE,"Overview";"ts2",#N/A,TRUE,"Det_Trans_Sum";"ei2c",#N/A,TRUE,"Earnings Impact";"ad2",#N/A,TRUE,"accretion dilution";"pfis2",#N/A,TRUE,"Pro Forma Income Statement";"acq2c",#N/A,TRUE,"Acquirer";"tar2c",#N/A,TRUE,"Target"}</definedName>
    <definedName name="eh" hidden="1">{"cover",#N/A,TRUE,"Cover";"toc3",#N/A,TRUE,"TOC";"over",#N/A,TRUE,"Overview";"ts2",#N/A,TRUE,"Det_Trans_Sum";"ei2c",#N/A,TRUE,"Earnings Impact";"ad2",#N/A,TRUE,"accretion dilution";"pfis2",#N/A,TRUE,"Pro Forma Income Statement";"acq2c",#N/A,TRUE,"Acquirer";"tar2c",#N/A,TRUE,"Target"}</definedName>
    <definedName name="Elephant_1" hidden="1">#REF!</definedName>
    <definedName name="elf" localSheetId="0" hidden="1">{FALSE,FALSE,1.75,1,600,351,FALSE,FALSE,TRUE,TRUE,0,30,#N/A,41,#N/A,9.57777777777778,18.9166666666667,1,FALSE,FALSE,1,TRUE,1,FALSE,100,"Swvu.As._.Is._.Value.","ACwvu.As._.Is._.Value.",1,FALSE,FALSE,1,1,1,1,1,"","",FALSE,FALSE,FALSE,FALSE,1,#N/A,1,1,FALSE,FALSE,FALSE,FALSE,FALSE,FALSE}</definedName>
    <definedName name="elf" hidden="1">{FALSE,FALSE,1.75,1,600,351,FALSE,FALSE,TRUE,TRUE,0,30,#N/A,41,#N/A,9.57777777777778,18.9166666666667,1,FALSE,FALSE,1,TRUE,1,FALSE,100,"Swvu.As._.Is._.Value.","ACwvu.As._.Is._.Value.",1,FALSE,FALSE,1,1,1,1,1,"","",FALSE,FALSE,FALSE,FALSE,1,#N/A,1,1,FALSE,FALSE,FALSE,FALSE,FALSE,FALSE}</definedName>
    <definedName name="ellen" localSheetId="3" hidden="1">{#N/A,#N/A,FALSE,"WATCHDSC";#N/A,#N/A,FALSE,"2LOSSMOD";#N/A,#N/A,FALSE,"2LOSS";#N/A,#N/A,FALSE,"DSC";#N/A,#N/A,FALSE,"OPERAT";#N/A,#N/A,FALSE,"ADJUST";#N/A,#N/A,FALSE,"LEASE EXPIRE"}</definedName>
    <definedName name="ellen" localSheetId="6" hidden="1">{#N/A,#N/A,FALSE,"WATCHDSC";#N/A,#N/A,FALSE,"2LOSSMOD";#N/A,#N/A,FALSE,"2LOSS";#N/A,#N/A,FALSE,"DSC";#N/A,#N/A,FALSE,"OPERAT";#N/A,#N/A,FALSE,"ADJUST";#N/A,#N/A,FALSE,"LEASE EXPIRE"}</definedName>
    <definedName name="ellen" localSheetId="9" hidden="1">{#N/A,#N/A,FALSE,"WATCHDSC";#N/A,#N/A,FALSE,"2LOSSMOD";#N/A,#N/A,FALSE,"2LOSS";#N/A,#N/A,FALSE,"DSC";#N/A,#N/A,FALSE,"OPERAT";#N/A,#N/A,FALSE,"ADJUST";#N/A,#N/A,FALSE,"LEASE EXPIRE"}</definedName>
    <definedName name="ellen" localSheetId="2" hidden="1">{#N/A,#N/A,FALSE,"WATCHDSC";#N/A,#N/A,FALSE,"2LOSSMOD";#N/A,#N/A,FALSE,"2LOSS";#N/A,#N/A,FALSE,"DSC";#N/A,#N/A,FALSE,"OPERAT";#N/A,#N/A,FALSE,"ADJUST";#N/A,#N/A,FALSE,"LEASE EXPIRE"}</definedName>
    <definedName name="ellen" localSheetId="4" hidden="1">{#N/A,#N/A,FALSE,"WATCHDSC";#N/A,#N/A,FALSE,"2LOSSMOD";#N/A,#N/A,FALSE,"2LOSS";#N/A,#N/A,FALSE,"DSC";#N/A,#N/A,FALSE,"OPERAT";#N/A,#N/A,FALSE,"ADJUST";#N/A,#N/A,FALSE,"LEASE EXPIRE"}</definedName>
    <definedName name="ellen" localSheetId="0" hidden="1">{#N/A,#N/A,FALSE,"WATCHDSC";#N/A,#N/A,FALSE,"2LOSSMOD";#N/A,#N/A,FALSE,"2LOSS";#N/A,#N/A,FALSE,"DSC";#N/A,#N/A,FALSE,"OPERAT";#N/A,#N/A,FALSE,"ADJUST";#N/A,#N/A,FALSE,"LEASE EXPIRE"}</definedName>
    <definedName name="ellen" hidden="1">{#N/A,#N/A,FALSE,"WATCHDSC";#N/A,#N/A,FALSE,"2LOSSMOD";#N/A,#N/A,FALSE,"2LOSS";#N/A,#N/A,FALSE,"DSC";#N/A,#N/A,FALSE,"OPERAT";#N/A,#N/A,FALSE,"ADJUST";#N/A,#N/A,FALSE,"LEASE EXPIRE"}</definedName>
    <definedName name="End_Bal">#REF!</definedName>
    <definedName name="Entry">#REF!</definedName>
    <definedName name="EntryDate">#REF!</definedName>
    <definedName name="Envel">#REF!</definedName>
    <definedName name="Equity_Contribution">#REF!</definedName>
    <definedName name="Equity_Share_LP">#REF!</definedName>
    <definedName name="Equity_Share_Sponsor">#REF!</definedName>
    <definedName name="EquityPartner">#REF!</definedName>
    <definedName name="ere" localSheetId="3" hidden="1">{"sheet a",#N/A,FALSE,"A";"2 9 casflow",#N/A,FALSE,"B"}</definedName>
    <definedName name="ere" localSheetId="6" hidden="1">{"sheet a",#N/A,FALSE,"A";"2 9 casflow",#N/A,FALSE,"B"}</definedName>
    <definedName name="ere" localSheetId="9" hidden="1">{"sheet a",#N/A,FALSE,"A";"2 9 casflow",#N/A,FALSE,"B"}</definedName>
    <definedName name="ere" localSheetId="2" hidden="1">{"sheet a",#N/A,FALSE,"A";"2 9 casflow",#N/A,FALSE,"B"}</definedName>
    <definedName name="ere" localSheetId="4" hidden="1">{"sheet a",#N/A,FALSE,"A";"2 9 casflow",#N/A,FALSE,"B"}</definedName>
    <definedName name="ere" localSheetId="0" hidden="1">{"sheet a",#N/A,FALSE,"A";"2 9 casflow",#N/A,FALSE,"B"}</definedName>
    <definedName name="ere" hidden="1">{"sheet a",#N/A,FALSE,"A";"2 9 casflow",#N/A,FALSE,"B"}</definedName>
    <definedName name="eret"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eret"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ErosionSub">#REF!</definedName>
    <definedName name="ErosionSub1">#REF!</definedName>
    <definedName name="ert5t6" localSheetId="3" hidden="1">{"Detail Project Cash Flow",#N/A,TRUE,"Cash Flow Grid";"Financing Calculation",#N/A,TRUE,"Cash Flow Grid"}</definedName>
    <definedName name="ert5t6" localSheetId="6" hidden="1">{"Detail Project Cash Flow",#N/A,TRUE,"Cash Flow Grid";"Financing Calculation",#N/A,TRUE,"Cash Flow Grid"}</definedName>
    <definedName name="ert5t6" localSheetId="9" hidden="1">{"Detail Project Cash Flow",#N/A,TRUE,"Cash Flow Grid";"Financing Calculation",#N/A,TRUE,"Cash Flow Grid"}</definedName>
    <definedName name="ert5t6" localSheetId="2" hidden="1">{"Detail Project Cash Flow",#N/A,TRUE,"Cash Flow Grid";"Financing Calculation",#N/A,TRUE,"Cash Flow Grid"}</definedName>
    <definedName name="ert5t6" localSheetId="4" hidden="1">{"Detail Project Cash Flow",#N/A,TRUE,"Cash Flow Grid";"Financing Calculation",#N/A,TRUE,"Cash Flow Grid"}</definedName>
    <definedName name="ert5t6" localSheetId="0" hidden="1">{"Detail Project Cash Flow",#N/A,TRUE,"Cash Flow Grid";"Financing Calculation",#N/A,TRUE,"Cash Flow Grid"}</definedName>
    <definedName name="ert5t6" hidden="1">{"Detail Project Cash Flow",#N/A,TRUE,"Cash Flow Grid";"Financing Calculation",#N/A,TRUE,"Cash Flow Grid"}</definedName>
    <definedName name="erw" localSheetId="3" hidden="1">{"Detail Project Cash Flow",#N/A,TRUE,"Cash Flow Grid";"Financing Calculation",#N/A,TRUE,"Cash Flow Grid"}</definedName>
    <definedName name="erw" localSheetId="6" hidden="1">{"Detail Project Cash Flow",#N/A,TRUE,"Cash Flow Grid";"Financing Calculation",#N/A,TRUE,"Cash Flow Grid"}</definedName>
    <definedName name="erw" localSheetId="9" hidden="1">{"Detail Project Cash Flow",#N/A,TRUE,"Cash Flow Grid";"Financing Calculation",#N/A,TRUE,"Cash Flow Grid"}</definedName>
    <definedName name="erw" localSheetId="2" hidden="1">{"Detail Project Cash Flow",#N/A,TRUE,"Cash Flow Grid";"Financing Calculation",#N/A,TRUE,"Cash Flow Grid"}</definedName>
    <definedName name="erw" localSheetId="4" hidden="1">{"Detail Project Cash Flow",#N/A,TRUE,"Cash Flow Grid";"Financing Calculation",#N/A,TRUE,"Cash Flow Grid"}</definedName>
    <definedName name="erw" localSheetId="0" hidden="1">{"Detail Project Cash Flow",#N/A,TRUE,"Cash Flow Grid";"Financing Calculation",#N/A,TRUE,"Cash Flow Grid"}</definedName>
    <definedName name="erw" hidden="1">{"Detail Project Cash Flow",#N/A,TRUE,"Cash Flow Grid";"Financing Calculation",#N/A,TRUE,"Cash Flow Grid"}</definedName>
    <definedName name="EV__LASTREFTIME__" hidden="1">38217.374849537</definedName>
    <definedName name="EV__MAXEXPCOLS__" hidden="1">100</definedName>
    <definedName name="EV__MAXEXPROWS__" hidden="1">1000</definedName>
    <definedName name="EV__WBEVMODE__" hidden="1">1</definedName>
    <definedName name="EV__WBREFOPTIONS__" hidden="1">134217728</definedName>
    <definedName name="EV__WBVERSION__" hidden="1">0</definedName>
    <definedName name="exc" localSheetId="0" hidden="1">{"'Assump'!$F$6:$J$6"}</definedName>
    <definedName name="exc" hidden="1">{"'Assump'!$F$6:$J$6"}</definedName>
    <definedName name="execHold">10</definedName>
    <definedName name="EXHIBIT10" localSheetId="0" hidden="1">{#N/A,#N/A,FALSE,"II-2 POP.HH";#N/A,#N/A,FALSE,"II-3 AGE.DIST";#N/A,#N/A,FALSE,"II-4 HH.DIST";#N/A,#N/A,FALSE,"II-5 EMP.INDUS"}</definedName>
    <definedName name="EXHIBIT10" hidden="1">{#N/A,#N/A,FALSE,"II-2 POP.HH";#N/A,#N/A,FALSE,"II-3 AGE.DIST";#N/A,#N/A,FALSE,"II-4 HH.DIST";#N/A,#N/A,FALSE,"II-5 EMP.INDUS"}</definedName>
    <definedName name="exhibit13" localSheetId="0" hidden="1">{#N/A,#N/A,FALSE,"el.det";#N/A,#N/A,FALSE,"mu.det";#N/A,#N/A,FALSE,"ug.det";#N/A,#N/A,FALSE,"ex.det";#N/A,#N/A,FALSE,"lux.det";#N/A,#N/A,FALSE,"custom.lot";#N/A,#N/A,FALSE,"condo.att";#N/A,#N/A,FALSE,"el.att";#N/A,#N/A,FALSE,"mu.att";#N/A,#N/A,FALSE,"ex.att";#N/A,#N/A,FALSE,"lux.att";#N/A,#N/A,FALSE,"all.by.village"}</definedName>
    <definedName name="exhibit13" hidden="1">{#N/A,#N/A,FALSE,"el.det";#N/A,#N/A,FALSE,"mu.det";#N/A,#N/A,FALSE,"ug.det";#N/A,#N/A,FALSE,"ex.det";#N/A,#N/A,FALSE,"lux.det";#N/A,#N/A,FALSE,"custom.lot";#N/A,#N/A,FALSE,"condo.att";#N/A,#N/A,FALSE,"el.att";#N/A,#N/A,FALSE,"mu.att";#N/A,#N/A,FALSE,"ex.att";#N/A,#N/A,FALSE,"lux.att";#N/A,#N/A,FALSE,"all.by.village"}</definedName>
    <definedName name="EXHIBIT3" localSheetId="0" hidden="1">{#N/A,#N/A,FALSE,"el.det";#N/A,#N/A,FALSE,"mu.det";#N/A,#N/A,FALSE,"ug.det";#N/A,#N/A,FALSE,"ex.det";#N/A,#N/A,FALSE,"lux.det";#N/A,#N/A,FALSE,"custom.lot";#N/A,#N/A,FALSE,"condo.att";#N/A,#N/A,FALSE,"el.att";#N/A,#N/A,FALSE,"mu.att";#N/A,#N/A,FALSE,"ex.att";#N/A,#N/A,FALSE,"lux.att";#N/A,#N/A,FALSE,"all.by.village"}</definedName>
    <definedName name="EXHIBIT3" hidden="1">{#N/A,#N/A,FALSE,"el.det";#N/A,#N/A,FALSE,"mu.det";#N/A,#N/A,FALSE,"ug.det";#N/A,#N/A,FALSE,"ex.det";#N/A,#N/A,FALSE,"lux.det";#N/A,#N/A,FALSE,"custom.lot";#N/A,#N/A,FALSE,"condo.att";#N/A,#N/A,FALSE,"el.att";#N/A,#N/A,FALSE,"mu.att";#N/A,#N/A,FALSE,"ex.att";#N/A,#N/A,FALSE,"lux.att";#N/A,#N/A,FALSE,"all.by.village"}</definedName>
    <definedName name="EXHIBIT6" localSheetId="0" hidden="1">{#N/A,#N/A,FALSE,"el.det";#N/A,#N/A,FALSE,"mu.det";#N/A,#N/A,FALSE,"ug.det";#N/A,#N/A,FALSE,"ex.det";#N/A,#N/A,FALSE,"lux.det";#N/A,#N/A,FALSE,"custom.lot";#N/A,#N/A,FALSE,"condo.att";#N/A,#N/A,FALSE,"el.att";#N/A,#N/A,FALSE,"mu.att";#N/A,#N/A,FALSE,"ex.att";#N/A,#N/A,FALSE,"lux.att";#N/A,#N/A,FALSE,"all.by.village"}</definedName>
    <definedName name="EXHIBIT6" hidden="1">{#N/A,#N/A,FALSE,"el.det";#N/A,#N/A,FALSE,"mu.det";#N/A,#N/A,FALSE,"ug.det";#N/A,#N/A,FALSE,"ex.det";#N/A,#N/A,FALSE,"lux.det";#N/A,#N/A,FALSE,"custom.lot";#N/A,#N/A,FALSE,"condo.att";#N/A,#N/A,FALSE,"el.att";#N/A,#N/A,FALSE,"mu.att";#N/A,#N/A,FALSE,"ex.att";#N/A,#N/A,FALSE,"lux.att";#N/A,#N/A,FALSE,"all.by.village"}</definedName>
    <definedName name="EXHIBIT7" localSheetId="0" hidden="1">{#N/A,#N/A,FALSE,"II-2 POP.HH";#N/A,#N/A,FALSE,"II-3 AGE.DIST";#N/A,#N/A,FALSE,"II-4 HH.DIST";#N/A,#N/A,FALSE,"II-5 EMP.INDUS"}</definedName>
    <definedName name="EXHIBIT7" hidden="1">{#N/A,#N/A,FALSE,"II-2 POP.HH";#N/A,#N/A,FALSE,"II-3 AGE.DIST";#N/A,#N/A,FALSE,"II-4 HH.DIST";#N/A,#N/A,FALSE,"II-5 EMP.INDUS"}</definedName>
    <definedName name="EXHIBIT8" localSheetId="0" hidden="1">{#N/A,#N/A,FALSE,"el.det";#N/A,#N/A,FALSE,"mu.det";#N/A,#N/A,FALSE,"ug.det";#N/A,#N/A,FALSE,"ex.det";#N/A,#N/A,FALSE,"lux.det";#N/A,#N/A,FALSE,"custom.lot";#N/A,#N/A,FALSE,"condo.att";#N/A,#N/A,FALSE,"el.att";#N/A,#N/A,FALSE,"mu.att";#N/A,#N/A,FALSE,"ex.att";#N/A,#N/A,FALSE,"lux.att";#N/A,#N/A,FALSE,"all.by.village"}</definedName>
    <definedName name="EXHIBIT8" hidden="1">{#N/A,#N/A,FALSE,"el.det";#N/A,#N/A,FALSE,"mu.det";#N/A,#N/A,FALSE,"ug.det";#N/A,#N/A,FALSE,"ex.det";#N/A,#N/A,FALSE,"lux.det";#N/A,#N/A,FALSE,"custom.lot";#N/A,#N/A,FALSE,"condo.att";#N/A,#N/A,FALSE,"el.att";#N/A,#N/A,FALSE,"mu.att";#N/A,#N/A,FALSE,"ex.att";#N/A,#N/A,FALSE,"lux.att";#N/A,#N/A,FALSE,"all.by.village"}</definedName>
    <definedName name="EXHIBIT9" localSheetId="0" hidden="1">{#N/A,#N/A,FALSE,"III-1 Sum.Dem";#N/A,#N/A,FALSE,"III-2 RER.Dem.Pop";#N/A,#N/A,FALSE,"III-3 RER.Cap.Pop";#N/A,#N/A,FALSE,"III-4 RER.Dem.TCSS";#N/A,#N/A,FALSE,"III-5 RER.Cap.TCSS";#N/A,#N/A,FALSE,"III-6 Pow.Center.Dem";#N/A,#N/A,FALSE,"III-7 Off.Demand";#N/A,#N/A,FALSE,"III-8 Htl.Dem"}</definedName>
    <definedName name="EXHIBIT9" hidden="1">{#N/A,#N/A,FALSE,"III-1 Sum.Dem";#N/A,#N/A,FALSE,"III-2 RER.Dem.Pop";#N/A,#N/A,FALSE,"III-3 RER.Cap.Pop";#N/A,#N/A,FALSE,"III-4 RER.Dem.TCSS";#N/A,#N/A,FALSE,"III-5 RER.Cap.TCSS";#N/A,#N/A,FALSE,"III-6 Pow.Center.Dem";#N/A,#N/A,FALSE,"III-7 Off.Demand";#N/A,#N/A,FALSE,"III-8 Htl.Dem"}</definedName>
    <definedName name="Exhibits" localSheetId="0" hidden="1">{#N/A,#N/A,FALSE,"el.det";#N/A,#N/A,FALSE,"mu.det";#N/A,#N/A,FALSE,"ug.det";#N/A,#N/A,FALSE,"ex.det";#N/A,#N/A,FALSE,"lux.det";#N/A,#N/A,FALSE,"custom.lot";#N/A,#N/A,FALSE,"condo.att";#N/A,#N/A,FALSE,"el.att";#N/A,#N/A,FALSE,"mu.att";#N/A,#N/A,FALSE,"ex.att";#N/A,#N/A,FALSE,"lux.att";#N/A,#N/A,FALSE,"all.by.village"}</definedName>
    <definedName name="Exhibits" hidden="1">{#N/A,#N/A,FALSE,"el.det";#N/A,#N/A,FALSE,"mu.det";#N/A,#N/A,FALSE,"ug.det";#N/A,#N/A,FALSE,"ex.det";#N/A,#N/A,FALSE,"lux.det";#N/A,#N/A,FALSE,"custom.lot";#N/A,#N/A,FALSE,"condo.att";#N/A,#N/A,FALSE,"el.att";#N/A,#N/A,FALSE,"mu.att";#N/A,#N/A,FALSE,"ex.att";#N/A,#N/A,FALSE,"lux.att";#N/A,#N/A,FALSE,"all.by.village"}</definedName>
    <definedName name="ExIrRate">#REF!</definedName>
    <definedName name="Exist_Supp">#REF!</definedName>
    <definedName name="Existing_Loan_Amort.">#REF!</definedName>
    <definedName name="Existing_Loan_Interest">#REF!</definedName>
    <definedName name="Existing_Loan_Periods">#REF!</definedName>
    <definedName name="Existing_Loan_Principal">#REF!</definedName>
    <definedName name="Existing_Supp_Interest">#REF!</definedName>
    <definedName name="Existing_Supp_Periods">#REF!</definedName>
    <definedName name="Existing_Supp_Principal">#REF!</definedName>
    <definedName name="Export_qbftemp_table">#REF!</definedName>
    <definedName name="ExpRowDiff">ROW()-5</definedName>
    <definedName name="ExTerms">#REF!</definedName>
    <definedName name="ExTermsTotalSales">#REF!</definedName>
    <definedName name="ExtnPriceSub">#REF!</definedName>
    <definedName name="ExtnPriceSubH">#REF!</definedName>
    <definedName name="ExtnRatePer">#REF!</definedName>
    <definedName name="Extra_Pay">#REF!</definedName>
    <definedName name="F">#N/A</definedName>
    <definedName name="fd" localSheetId="6" hidden="1">{#N/A,#N/A,FALSE,"II-2 POP.HH";#N/A,#N/A,FALSE,"II-3 AGE.DIST";#N/A,#N/A,FALSE,"II-4 HH.DIST";#N/A,#N/A,FALSE,"II-5 EMP.INDUS"}</definedName>
    <definedName name="fd" hidden="1">#REF!</definedName>
    <definedName name="fdf" localSheetId="3" hidden="1">{"Full Sheet",#N/A,FALSE,"Expense Comparison"}</definedName>
    <definedName name="fdf" localSheetId="6" hidden="1">{"Full Sheet",#N/A,FALSE,"Expense Comparison"}</definedName>
    <definedName name="fdf" localSheetId="9" hidden="1">{"Full Sheet",#N/A,FALSE,"Expense Comparison"}</definedName>
    <definedName name="fdf" localSheetId="2" hidden="1">{"Full Sheet",#N/A,FALSE,"Expense Comparison"}</definedName>
    <definedName name="fdf" localSheetId="4" hidden="1">{"Full Sheet",#N/A,FALSE,"Expense Comparison"}</definedName>
    <definedName name="fdf" localSheetId="0" hidden="1">{"Full Sheet",#N/A,FALSE,"Expense Comparison"}</definedName>
    <definedName name="fdf" hidden="1">{"Full Sheet",#N/A,FALSE,"Expense Comparison"}</definedName>
    <definedName name="fdfd" hidden="1">#REF!</definedName>
    <definedName name="fds" localSheetId="3" hidden="1">{"Annual Cash Flows",#N/A,FALSE,"Annual Summary";"qtrl1",#N/A,FALSE,"QTLY Summary";"qtrl2",#N/A,FALSE,"QTLY Summary";"qtrl3",#N/A,FALSE,"QTLY Summary";"qtrl4",#N/A,FALSE,"QTLY Summary";"qtrl5",#N/A,FALSE,"QTLY Summary";"qtrl6",#N/A,FALSE,"QTLY Summary"}</definedName>
    <definedName name="fds" localSheetId="6" hidden="1">{"Annual Cash Flows",#N/A,FALSE,"Annual Summary";"qtrl1",#N/A,FALSE,"QTLY Summary";"qtrl2",#N/A,FALSE,"QTLY Summary";"qtrl3",#N/A,FALSE,"QTLY Summary";"qtrl4",#N/A,FALSE,"QTLY Summary";"qtrl5",#N/A,FALSE,"QTLY Summary";"qtrl6",#N/A,FALSE,"QTLY Summary"}</definedName>
    <definedName name="fds" localSheetId="9" hidden="1">{"Annual Cash Flows",#N/A,FALSE,"Annual Summary";"qtrl1",#N/A,FALSE,"QTLY Summary";"qtrl2",#N/A,FALSE,"QTLY Summary";"qtrl3",#N/A,FALSE,"QTLY Summary";"qtrl4",#N/A,FALSE,"QTLY Summary";"qtrl5",#N/A,FALSE,"QTLY Summary";"qtrl6",#N/A,FALSE,"QTLY Summary"}</definedName>
    <definedName name="fds" localSheetId="2" hidden="1">{"Annual Cash Flows",#N/A,FALSE,"Annual Summary";"qtrl1",#N/A,FALSE,"QTLY Summary";"qtrl2",#N/A,FALSE,"QTLY Summary";"qtrl3",#N/A,FALSE,"QTLY Summary";"qtrl4",#N/A,FALSE,"QTLY Summary";"qtrl5",#N/A,FALSE,"QTLY Summary";"qtrl6",#N/A,FALSE,"QTLY Summary"}</definedName>
    <definedName name="fds" localSheetId="4" hidden="1">{"Annual Cash Flows",#N/A,FALSE,"Annual Summary";"qtrl1",#N/A,FALSE,"QTLY Summary";"qtrl2",#N/A,FALSE,"QTLY Summary";"qtrl3",#N/A,FALSE,"QTLY Summary";"qtrl4",#N/A,FALSE,"QTLY Summary";"qtrl5",#N/A,FALSE,"QTLY Summary";"qtrl6",#N/A,FALSE,"QTLY Summary"}</definedName>
    <definedName name="fds" localSheetId="0" hidden="1">{"Annual Cash Flows",#N/A,FALSE,"Annual Summary";"qtrl1",#N/A,FALSE,"QTLY Summary";"qtrl2",#N/A,FALSE,"QTLY Summary";"qtrl3",#N/A,FALSE,"QTLY Summary";"qtrl4",#N/A,FALSE,"QTLY Summary";"qtrl5",#N/A,FALSE,"QTLY Summary";"qtrl6",#N/A,FALSE,"QTLY Summary"}</definedName>
    <definedName name="fds" hidden="1">{"Annual Cash Flows",#N/A,FALSE,"Annual Summary";"qtrl1",#N/A,FALSE,"QTLY Summary";"qtrl2",#N/A,FALSE,"QTLY Summary";"qtrl3",#N/A,FALSE,"QTLY Summary";"qtrl4",#N/A,FALSE,"QTLY Summary";"qtrl5",#N/A,FALSE,"QTLY Summary";"qtrl6",#N/A,FALSE,"QTLY Summary"}</definedName>
    <definedName name="fdsfdsa" localSheetId="0" hidden="1">{#N/A,#N/A,FALSE,"II-2 POP.HH";#N/A,#N/A,FALSE,"II-3 AGE.DIST";#N/A,#N/A,FALSE,"II-4 HH.DIST";#N/A,#N/A,FALSE,"II-5 EMP.INDUS"}</definedName>
    <definedName name="fdsfdsa" hidden="1">{#N/A,#N/A,FALSE,"II-2 POP.HH";#N/A,#N/A,FALSE,"II-3 AGE.DIST";#N/A,#N/A,FALSE,"II-4 HH.DIST";#N/A,#N/A,FALSE,"II-5 EMP.INDUS"}</definedName>
    <definedName name="fenchuck" localSheetId="0" hidden="1">{#N/A,#N/A,FALSE,"el.det";#N/A,#N/A,FALSE,"mu.det";#N/A,#N/A,FALSE,"ug.det";#N/A,#N/A,FALSE,"ex.det";#N/A,#N/A,FALSE,"lux.det";#N/A,#N/A,FALSE,"custom.lot";#N/A,#N/A,FALSE,"condo.att";#N/A,#N/A,FALSE,"el.att";#N/A,#N/A,FALSE,"mu.att";#N/A,#N/A,FALSE,"ex.att";#N/A,#N/A,FALSE,"lux.att";#N/A,#N/A,FALSE,"all.by.village"}</definedName>
    <definedName name="fenchuck" hidden="1">{#N/A,#N/A,FALSE,"el.det";#N/A,#N/A,FALSE,"mu.det";#N/A,#N/A,FALSE,"ug.det";#N/A,#N/A,FALSE,"ex.det";#N/A,#N/A,FALSE,"lux.det";#N/A,#N/A,FALSE,"custom.lot";#N/A,#N/A,FALSE,"condo.att";#N/A,#N/A,FALSE,"el.att";#N/A,#N/A,FALSE,"mu.att";#N/A,#N/A,FALSE,"ex.att";#N/A,#N/A,FALSE,"lux.att";#N/A,#N/A,FALSE,"all.by.village"}</definedName>
    <definedName name="ff" localSheetId="3" hidden="1">{#N/A,#N/A,TRUE,"Summary";"AnnualRentRoll",#N/A,TRUE,"RentRoll";#N/A,#N/A,TRUE,"ExitStratigy";#N/A,#N/A,TRUE,"OperatingAssumptions"}</definedName>
    <definedName name="ff" localSheetId="9" hidden="1">{#N/A,#N/A,TRUE,"Summary";"AnnualRentRoll",#N/A,TRUE,"RentRoll";#N/A,#N/A,TRUE,"ExitStratigy";#N/A,#N/A,TRUE,"OperatingAssumptions"}</definedName>
    <definedName name="ff" localSheetId="2" hidden="1">{#N/A,#N/A,TRUE,"Summary";"AnnualRentRoll",#N/A,TRUE,"RentRoll";#N/A,#N/A,TRUE,"ExitStratigy";#N/A,#N/A,TRUE,"OperatingAssumptions"}</definedName>
    <definedName name="ff" localSheetId="4" hidden="1">{#N/A,#N/A,TRUE,"Summary";"AnnualRentRoll",#N/A,TRUE,"RentRoll";#N/A,#N/A,TRUE,"ExitStratigy";#N/A,#N/A,TRUE,"OperatingAssumptions"}</definedName>
    <definedName name="ff" localSheetId="0" hidden="1">{#N/A,#N/A,TRUE,"Summary";"AnnualRentRoll",#N/A,TRUE,"RentRoll";#N/A,#N/A,TRUE,"ExitStratigy";#N/A,#N/A,TRUE,"OperatingAssumptions"}</definedName>
    <definedName name="ff" hidden="1">{#N/A,#N/A,TRUE,"Summary";"AnnualRentRoll",#N/A,TRUE,"RentRoll";#N/A,#N/A,TRUE,"ExitStratigy";#N/A,#N/A,TRUE,"OperatingAssumptions"}</definedName>
    <definedName name="fff" localSheetId="3" hidden="1">{#N/A,#N/A,TRUE,"Summary";"AnnualRentRoll",#N/A,TRUE,"RentRoll";#N/A,#N/A,TRUE,"ExitStratigy";#N/A,#N/A,TRUE,"OperatingAssumptions"}</definedName>
    <definedName name="fff" localSheetId="6" hidden="1">{#N/A,#N/A,TRUE,"Summary";"AnnualRentRoll",#N/A,TRUE,"RentRoll";#N/A,#N/A,TRUE,"ExitStratigy";#N/A,#N/A,TRUE,"OperatingAssumptions"}</definedName>
    <definedName name="fff" localSheetId="9" hidden="1">{#N/A,#N/A,TRUE,"Summary";"AnnualRentRoll",#N/A,TRUE,"RentRoll";#N/A,#N/A,TRUE,"ExitStratigy";#N/A,#N/A,TRUE,"OperatingAssumptions"}</definedName>
    <definedName name="fff" localSheetId="2" hidden="1">{#N/A,#N/A,TRUE,"Summary";"AnnualRentRoll",#N/A,TRUE,"RentRoll";#N/A,#N/A,TRUE,"ExitStratigy";#N/A,#N/A,TRUE,"OperatingAssumptions"}</definedName>
    <definedName name="fff" localSheetId="4" hidden="1">{#N/A,#N/A,TRUE,"Summary";"AnnualRentRoll",#N/A,TRUE,"RentRoll";#N/A,#N/A,TRUE,"ExitStratigy";#N/A,#N/A,TRUE,"OperatingAssumptions"}</definedName>
    <definedName name="fff" localSheetId="0" hidden="1">{#N/A,#N/A,TRUE,"Summary";"AnnualRentRoll",#N/A,TRUE,"RentRoll";#N/A,#N/A,TRUE,"ExitStratigy";#N/A,#N/A,TRUE,"OperatingAssumptions"}</definedName>
    <definedName name="fff" hidden="1">{#N/A,#N/A,TRUE,"Summary";"AnnualRentRoll",#N/A,TRUE,"RentRoll";#N/A,#N/A,TRUE,"ExitStratigy";#N/A,#N/A,TRUE,"OperatingAssumptions"}</definedName>
    <definedName name="ffffff" localSheetId="3" hidden="1">{#N/A,#N/A,FALSE,"Cashflow Analysis";#N/A,#N/A,FALSE,"Sensitivity Analysis";#N/A,#N/A,FALSE,"PV";#N/A,#N/A,FALSE,"Pro Forma"}</definedName>
    <definedName name="ffffff" localSheetId="9" hidden="1">{#N/A,#N/A,FALSE,"Cashflow Analysis";#N/A,#N/A,FALSE,"Sensitivity Analysis";#N/A,#N/A,FALSE,"PV";#N/A,#N/A,FALSE,"Pro Forma"}</definedName>
    <definedName name="ffffff" localSheetId="2" hidden="1">{#N/A,#N/A,FALSE,"Cashflow Analysis";#N/A,#N/A,FALSE,"Sensitivity Analysis";#N/A,#N/A,FALSE,"PV";#N/A,#N/A,FALSE,"Pro Forma"}</definedName>
    <definedName name="ffffff" localSheetId="4" hidden="1">{#N/A,#N/A,FALSE,"Cashflow Analysis";#N/A,#N/A,FALSE,"Sensitivity Analysis";#N/A,#N/A,FALSE,"PV";#N/A,#N/A,FALSE,"Pro Forma"}</definedName>
    <definedName name="ffffff" localSheetId="0" hidden="1">{#N/A,#N/A,FALSE,"Cashflow Analysis";#N/A,#N/A,FALSE,"Sensitivity Analysis";#N/A,#N/A,FALSE,"PV";#N/A,#N/A,FALSE,"Pro Forma"}</definedName>
    <definedName name="ffffff" hidden="1">{#N/A,#N/A,FALSE,"Cashflow Analysis";#N/A,#N/A,FALSE,"Sensitivity Analysis";#N/A,#N/A,FALSE,"PV";#N/A,#N/A,FALSE,"Pro Forma"}</definedName>
    <definedName name="ffffff.2" localSheetId="3" hidden="1">{#N/A,#N/A,FALSE,"Cashflow Analysis";#N/A,#N/A,FALSE,"Sensitivity Analysis";#N/A,#N/A,FALSE,"PV";#N/A,#N/A,FALSE,"Pro Forma"}</definedName>
    <definedName name="ffffff.2" localSheetId="9" hidden="1">{#N/A,#N/A,FALSE,"Cashflow Analysis";#N/A,#N/A,FALSE,"Sensitivity Analysis";#N/A,#N/A,FALSE,"PV";#N/A,#N/A,FALSE,"Pro Forma"}</definedName>
    <definedName name="ffffff.2" localSheetId="2" hidden="1">{#N/A,#N/A,FALSE,"Cashflow Analysis";#N/A,#N/A,FALSE,"Sensitivity Analysis";#N/A,#N/A,FALSE,"PV";#N/A,#N/A,FALSE,"Pro Forma"}</definedName>
    <definedName name="ffffff.2" localSheetId="4" hidden="1">{#N/A,#N/A,FALSE,"Cashflow Analysis";#N/A,#N/A,FALSE,"Sensitivity Analysis";#N/A,#N/A,FALSE,"PV";#N/A,#N/A,FALSE,"Pro Forma"}</definedName>
    <definedName name="ffffff.2" localSheetId="0" hidden="1">{#N/A,#N/A,FALSE,"Cashflow Analysis";#N/A,#N/A,FALSE,"Sensitivity Analysis";#N/A,#N/A,FALSE,"PV";#N/A,#N/A,FALSE,"Pro Forma"}</definedName>
    <definedName name="ffffff.2" hidden="1">{#N/A,#N/A,FALSE,"Cashflow Analysis";#N/A,#N/A,FALSE,"Sensitivity Analysis";#N/A,#N/A,FALSE,"PV";#N/A,#N/A,FALSE,"Pro Forma"}</definedName>
    <definedName name="FGH" localSheetId="0"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FGH"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fghsgh" localSheetId="0" hidden="1">{"CF",#N/A,FALSE,"Cash Flow";"RET",#N/A,FALSE,"Returns";"NPV",#N/A,FALSE,"Values";"ASMPT",#N/A,FALSE,"Assumptions"}</definedName>
    <definedName name="fghsgh" hidden="1">{"CF",#N/A,FALSE,"Cash Flow";"RET",#N/A,FALSE,"Returns";"NPV",#N/A,FALSE,"Values";"ASMPT",#N/A,FALSE,"Assumptions"}</definedName>
    <definedName name="fgr"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gr"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gs"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gs"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h" localSheetId="3"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fh" localSheetId="9"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fh" localSheetId="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fh" localSheetId="4"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fh" localSheetId="0"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fh"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filler" localSheetId="3" hidden="1">{"Annual Cash Flows",#N/A,FALSE,"Annual Summary"}</definedName>
    <definedName name="filler" localSheetId="6" hidden="1">{"Annual Cash Flows",#N/A,FALSE,"Annual Summary"}</definedName>
    <definedName name="filler" localSheetId="9" hidden="1">{"Annual Cash Flows",#N/A,FALSE,"Annual Summary"}</definedName>
    <definedName name="filler" localSheetId="2" hidden="1">{"Annual Cash Flows",#N/A,FALSE,"Annual Summary"}</definedName>
    <definedName name="filler" localSheetId="4" hidden="1">{"Annual Cash Flows",#N/A,FALSE,"Annual Summary"}</definedName>
    <definedName name="filler" localSheetId="0" hidden="1">{"Annual Cash Flows",#N/A,FALSE,"Annual Summary"}</definedName>
    <definedName name="filler" hidden="1">{"Annual Cash Flows",#N/A,FALSE,"Annual Summary"}</definedName>
    <definedName name="filler2" localSheetId="3" hidden="1">{"Assumptions",#N/A,FALSE,"Assumptions"}</definedName>
    <definedName name="filler2" localSheetId="6" hidden="1">{"Assumptions",#N/A,FALSE,"Assumptions"}</definedName>
    <definedName name="filler2" localSheetId="9" hidden="1">{"Assumptions",#N/A,FALSE,"Assumptions"}</definedName>
    <definedName name="filler2" localSheetId="2" hidden="1">{"Assumptions",#N/A,FALSE,"Assumptions"}</definedName>
    <definedName name="filler2" localSheetId="4" hidden="1">{"Assumptions",#N/A,FALSE,"Assumptions"}</definedName>
    <definedName name="filler2" localSheetId="0" hidden="1">{"Assumptions",#N/A,FALSE,"Assumptions"}</definedName>
    <definedName name="filler2" hidden="1">{"Assumptions",#N/A,FALSE,"Assumptions"}</definedName>
    <definedName name="filler3" localSheetId="3" hidden="1">{"Construction Costs",#N/A,FALSE,"Total Costs"}</definedName>
    <definedName name="filler3" localSheetId="6" hidden="1">{"Construction Costs",#N/A,FALSE,"Total Costs"}</definedName>
    <definedName name="filler3" localSheetId="9" hidden="1">{"Construction Costs",#N/A,FALSE,"Total Costs"}</definedName>
    <definedName name="filler3" localSheetId="2" hidden="1">{"Construction Costs",#N/A,FALSE,"Total Costs"}</definedName>
    <definedName name="filler3" localSheetId="4" hidden="1">{"Construction Costs",#N/A,FALSE,"Total Costs"}</definedName>
    <definedName name="filler3" localSheetId="0" hidden="1">{"Construction Costs",#N/A,FALSE,"Total Costs"}</definedName>
    <definedName name="filler3" hidden="1">{"Construction Costs",#N/A,FALSE,"Total Costs"}</definedName>
    <definedName name="final2"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inal2"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inancing_Module_On">#REF!</definedName>
    <definedName name="FinGradSub">#REF!</definedName>
    <definedName name="FinGradSub1">#REF!</definedName>
    <definedName name="FP">#REF!</definedName>
    <definedName name="fqww"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qww"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raNCE" localSheetId="0"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FraNCE"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Freight">#REF!</definedName>
    <definedName name="FreightPer">#REF!</definedName>
    <definedName name="fsf" localSheetId="0" hidden="1">{#N/A,#N/A,FALSE,"pop.hh";#N/A,#N/A,FALSE,"age.dist";#N/A,#N/A,FALSE,"hh.income";#N/A,#N/A,FALSE,"hh.chars"}</definedName>
    <definedName name="fsf" hidden="1">{#N/A,#N/A,FALSE,"pop.hh";#N/A,#N/A,FALSE,"age.dist";#N/A,#N/A,FALSE,"hh.income";#N/A,#N/A,FALSE,"hh.chars"}</definedName>
    <definedName name="FutureLeaseColumn">#REF!</definedName>
    <definedName name="G">#N/A</definedName>
    <definedName name="g_1" localSheetId="3" hidden="1">{"Cover",#N/A,TRUE,"Sheet1";"Value",#N/A,TRUE,"Sheet1";"Sensitivity",#N/A,TRUE,"Sheet1";"Asset CF",#N/A,TRUE,"Sheet1";"Pship NCF",#N/A,TRUE,"Sheet1";"Pship Equity Value",#N/A,TRUE,"Sheet1";"Pship Distributions",#N/A,TRUE,"Sheet1";"JV Splits 1",#N/A,TRUE,"Sheet1";"JV Splits 2",#N/A,TRUE,"Sheet1";"MIR Split 1",#N/A,TRUE,"Sheet1";"Assumptions",#N/A,TRUE,"Sheet1"}</definedName>
    <definedName name="g_1" localSheetId="9" hidden="1">{"Cover",#N/A,TRUE,"Sheet1";"Value",#N/A,TRUE,"Sheet1";"Sensitivity",#N/A,TRUE,"Sheet1";"Asset CF",#N/A,TRUE,"Sheet1";"Pship NCF",#N/A,TRUE,"Sheet1";"Pship Equity Value",#N/A,TRUE,"Sheet1";"Pship Distributions",#N/A,TRUE,"Sheet1";"JV Splits 1",#N/A,TRUE,"Sheet1";"JV Splits 2",#N/A,TRUE,"Sheet1";"MIR Split 1",#N/A,TRUE,"Sheet1";"Assumptions",#N/A,TRUE,"Sheet1"}</definedName>
    <definedName name="g_1" localSheetId="2" hidden="1">{"Cover",#N/A,TRUE,"Sheet1";"Value",#N/A,TRUE,"Sheet1";"Sensitivity",#N/A,TRUE,"Sheet1";"Asset CF",#N/A,TRUE,"Sheet1";"Pship NCF",#N/A,TRUE,"Sheet1";"Pship Equity Value",#N/A,TRUE,"Sheet1";"Pship Distributions",#N/A,TRUE,"Sheet1";"JV Splits 1",#N/A,TRUE,"Sheet1";"JV Splits 2",#N/A,TRUE,"Sheet1";"MIR Split 1",#N/A,TRUE,"Sheet1";"Assumptions",#N/A,TRUE,"Sheet1"}</definedName>
    <definedName name="g_1" localSheetId="4" hidden="1">{"Cover",#N/A,TRUE,"Sheet1";"Value",#N/A,TRUE,"Sheet1";"Sensitivity",#N/A,TRUE,"Sheet1";"Asset CF",#N/A,TRUE,"Sheet1";"Pship NCF",#N/A,TRUE,"Sheet1";"Pship Equity Value",#N/A,TRUE,"Sheet1";"Pship Distributions",#N/A,TRUE,"Sheet1";"JV Splits 1",#N/A,TRUE,"Sheet1";"JV Splits 2",#N/A,TRUE,"Sheet1";"MIR Split 1",#N/A,TRUE,"Sheet1";"Assumptions",#N/A,TRUE,"Sheet1"}</definedName>
    <definedName name="g_1" localSheetId="0" hidden="1">{"Cover",#N/A,TRUE,"Sheet1";"Value",#N/A,TRUE,"Sheet1";"Sensitivity",#N/A,TRUE,"Sheet1";"Asset CF",#N/A,TRUE,"Sheet1";"Pship NCF",#N/A,TRUE,"Sheet1";"Pship Equity Value",#N/A,TRUE,"Sheet1";"Pship Distributions",#N/A,TRUE,"Sheet1";"JV Splits 1",#N/A,TRUE,"Sheet1";"JV Splits 2",#N/A,TRUE,"Sheet1";"MIR Split 1",#N/A,TRUE,"Sheet1";"Assumptions",#N/A,TRUE,"Sheet1"}</definedName>
    <definedName name="g_1" hidden="1">{"Cover",#N/A,TRUE,"Sheet1";"Value",#N/A,TRUE,"Sheet1";"Sensitivity",#N/A,TRUE,"Sheet1";"Asset CF",#N/A,TRUE,"Sheet1";"Pship NCF",#N/A,TRUE,"Sheet1";"Pship Equity Value",#N/A,TRUE,"Sheet1";"Pship Distributions",#N/A,TRUE,"Sheet1";"JV Splits 1",#N/A,TRUE,"Sheet1";"JV Splits 2",#N/A,TRUE,"Sheet1";"MIR Split 1",#N/A,TRUE,"Sheet1";"Assumptions",#N/A,TRUE,"Sheet1"}</definedName>
    <definedName name="g_2" localSheetId="3" hidden="1">{"Cover",#N/A,TRUE,"Sheet1";"Value",#N/A,TRUE,"Sheet1";"Sensitivity",#N/A,TRUE,"Sheet1";"Asset CF",#N/A,TRUE,"Sheet1";"Pship NCF",#N/A,TRUE,"Sheet1";"Pship Equity Value",#N/A,TRUE,"Sheet1";"Pship Distributions",#N/A,TRUE,"Sheet1";"JV Splits 1",#N/A,TRUE,"Sheet1";"JV Splits 2",#N/A,TRUE,"Sheet1";"MIR Split 1",#N/A,TRUE,"Sheet1";"Assumptions",#N/A,TRUE,"Sheet1"}</definedName>
    <definedName name="g_2" localSheetId="9" hidden="1">{"Cover",#N/A,TRUE,"Sheet1";"Value",#N/A,TRUE,"Sheet1";"Sensitivity",#N/A,TRUE,"Sheet1";"Asset CF",#N/A,TRUE,"Sheet1";"Pship NCF",#N/A,TRUE,"Sheet1";"Pship Equity Value",#N/A,TRUE,"Sheet1";"Pship Distributions",#N/A,TRUE,"Sheet1";"JV Splits 1",#N/A,TRUE,"Sheet1";"JV Splits 2",#N/A,TRUE,"Sheet1";"MIR Split 1",#N/A,TRUE,"Sheet1";"Assumptions",#N/A,TRUE,"Sheet1"}</definedName>
    <definedName name="g_2" localSheetId="2" hidden="1">{"Cover",#N/A,TRUE,"Sheet1";"Value",#N/A,TRUE,"Sheet1";"Sensitivity",#N/A,TRUE,"Sheet1";"Asset CF",#N/A,TRUE,"Sheet1";"Pship NCF",#N/A,TRUE,"Sheet1";"Pship Equity Value",#N/A,TRUE,"Sheet1";"Pship Distributions",#N/A,TRUE,"Sheet1";"JV Splits 1",#N/A,TRUE,"Sheet1";"JV Splits 2",#N/A,TRUE,"Sheet1";"MIR Split 1",#N/A,TRUE,"Sheet1";"Assumptions",#N/A,TRUE,"Sheet1"}</definedName>
    <definedName name="g_2" localSheetId="4" hidden="1">{"Cover",#N/A,TRUE,"Sheet1";"Value",#N/A,TRUE,"Sheet1";"Sensitivity",#N/A,TRUE,"Sheet1";"Asset CF",#N/A,TRUE,"Sheet1";"Pship NCF",#N/A,TRUE,"Sheet1";"Pship Equity Value",#N/A,TRUE,"Sheet1";"Pship Distributions",#N/A,TRUE,"Sheet1";"JV Splits 1",#N/A,TRUE,"Sheet1";"JV Splits 2",#N/A,TRUE,"Sheet1";"MIR Split 1",#N/A,TRUE,"Sheet1";"Assumptions",#N/A,TRUE,"Sheet1"}</definedName>
    <definedName name="g_2" localSheetId="0" hidden="1">{"Cover",#N/A,TRUE,"Sheet1";"Value",#N/A,TRUE,"Sheet1";"Sensitivity",#N/A,TRUE,"Sheet1";"Asset CF",#N/A,TRUE,"Sheet1";"Pship NCF",#N/A,TRUE,"Sheet1";"Pship Equity Value",#N/A,TRUE,"Sheet1";"Pship Distributions",#N/A,TRUE,"Sheet1";"JV Splits 1",#N/A,TRUE,"Sheet1";"JV Splits 2",#N/A,TRUE,"Sheet1";"MIR Split 1",#N/A,TRUE,"Sheet1";"Assumptions",#N/A,TRUE,"Sheet1"}</definedName>
    <definedName name="g_2" hidden="1">{"Cover",#N/A,TRUE,"Sheet1";"Value",#N/A,TRUE,"Sheet1";"Sensitivity",#N/A,TRUE,"Sheet1";"Asset CF",#N/A,TRUE,"Sheet1";"Pship NCF",#N/A,TRUE,"Sheet1";"Pship Equity Value",#N/A,TRUE,"Sheet1";"Pship Distributions",#N/A,TRUE,"Sheet1";"JV Splits 1",#N/A,TRUE,"Sheet1";"JV Splits 2",#N/A,TRUE,"Sheet1";"MIR Split 1",#N/A,TRUE,"Sheet1";"Assumptions",#N/A,TRUE,"Sheet1"}</definedName>
    <definedName name="g_3" localSheetId="3" hidden="1">{"Cover",#N/A,TRUE,"Sheet1";"Value",#N/A,TRUE,"Sheet1";"Sensitivity",#N/A,TRUE,"Sheet1";"Asset CF",#N/A,TRUE,"Sheet1";"Pship NCF",#N/A,TRUE,"Sheet1";"Pship Equity Value",#N/A,TRUE,"Sheet1";"Pship Distributions",#N/A,TRUE,"Sheet1";"JV Splits 1",#N/A,TRUE,"Sheet1";"JV Splits 2",#N/A,TRUE,"Sheet1";"MIR Split 1",#N/A,TRUE,"Sheet1";"Assumptions",#N/A,TRUE,"Sheet1"}</definedName>
    <definedName name="g_3" localSheetId="9" hidden="1">{"Cover",#N/A,TRUE,"Sheet1";"Value",#N/A,TRUE,"Sheet1";"Sensitivity",#N/A,TRUE,"Sheet1";"Asset CF",#N/A,TRUE,"Sheet1";"Pship NCF",#N/A,TRUE,"Sheet1";"Pship Equity Value",#N/A,TRUE,"Sheet1";"Pship Distributions",#N/A,TRUE,"Sheet1";"JV Splits 1",#N/A,TRUE,"Sheet1";"JV Splits 2",#N/A,TRUE,"Sheet1";"MIR Split 1",#N/A,TRUE,"Sheet1";"Assumptions",#N/A,TRUE,"Sheet1"}</definedName>
    <definedName name="g_3" localSheetId="2" hidden="1">{"Cover",#N/A,TRUE,"Sheet1";"Value",#N/A,TRUE,"Sheet1";"Sensitivity",#N/A,TRUE,"Sheet1";"Asset CF",#N/A,TRUE,"Sheet1";"Pship NCF",#N/A,TRUE,"Sheet1";"Pship Equity Value",#N/A,TRUE,"Sheet1";"Pship Distributions",#N/A,TRUE,"Sheet1";"JV Splits 1",#N/A,TRUE,"Sheet1";"JV Splits 2",#N/A,TRUE,"Sheet1";"MIR Split 1",#N/A,TRUE,"Sheet1";"Assumptions",#N/A,TRUE,"Sheet1"}</definedName>
    <definedName name="g_3" localSheetId="4" hidden="1">{"Cover",#N/A,TRUE,"Sheet1";"Value",#N/A,TRUE,"Sheet1";"Sensitivity",#N/A,TRUE,"Sheet1";"Asset CF",#N/A,TRUE,"Sheet1";"Pship NCF",#N/A,TRUE,"Sheet1";"Pship Equity Value",#N/A,TRUE,"Sheet1";"Pship Distributions",#N/A,TRUE,"Sheet1";"JV Splits 1",#N/A,TRUE,"Sheet1";"JV Splits 2",#N/A,TRUE,"Sheet1";"MIR Split 1",#N/A,TRUE,"Sheet1";"Assumptions",#N/A,TRUE,"Sheet1"}</definedName>
    <definedName name="g_3" localSheetId="0" hidden="1">{"Cover",#N/A,TRUE,"Sheet1";"Value",#N/A,TRUE,"Sheet1";"Sensitivity",#N/A,TRUE,"Sheet1";"Asset CF",#N/A,TRUE,"Sheet1";"Pship NCF",#N/A,TRUE,"Sheet1";"Pship Equity Value",#N/A,TRUE,"Sheet1";"Pship Distributions",#N/A,TRUE,"Sheet1";"JV Splits 1",#N/A,TRUE,"Sheet1";"JV Splits 2",#N/A,TRUE,"Sheet1";"MIR Split 1",#N/A,TRUE,"Sheet1";"Assumptions",#N/A,TRUE,"Sheet1"}</definedName>
    <definedName name="g_3" hidden="1">{"Cover",#N/A,TRUE,"Sheet1";"Value",#N/A,TRUE,"Sheet1";"Sensitivity",#N/A,TRUE,"Sheet1";"Asset CF",#N/A,TRUE,"Sheet1";"Pship NCF",#N/A,TRUE,"Sheet1";"Pship Equity Value",#N/A,TRUE,"Sheet1";"Pship Distributions",#N/A,TRUE,"Sheet1";"JV Splits 1",#N/A,TRUE,"Sheet1";"JV Splits 2",#N/A,TRUE,"Sheet1";"MIR Split 1",#N/A,TRUE,"Sheet1";"Assumptions",#N/A,TRUE,"Sheet1"}</definedName>
    <definedName name="gegeg" localSheetId="3" hidden="1">{#N/A,#N/A,FALSE,"Cashflow Analysis";#N/A,#N/A,FALSE,"Sensitivity Analysis";#N/A,#N/A,FALSE,"PV";#N/A,#N/A,FALSE,"Pro Forma"}</definedName>
    <definedName name="gegeg" localSheetId="9" hidden="1">{#N/A,#N/A,FALSE,"Cashflow Analysis";#N/A,#N/A,FALSE,"Sensitivity Analysis";#N/A,#N/A,FALSE,"PV";#N/A,#N/A,FALSE,"Pro Forma"}</definedName>
    <definedName name="gegeg" localSheetId="2" hidden="1">{#N/A,#N/A,FALSE,"Cashflow Analysis";#N/A,#N/A,FALSE,"Sensitivity Analysis";#N/A,#N/A,FALSE,"PV";#N/A,#N/A,FALSE,"Pro Forma"}</definedName>
    <definedName name="gegeg" localSheetId="4" hidden="1">{#N/A,#N/A,FALSE,"Cashflow Analysis";#N/A,#N/A,FALSE,"Sensitivity Analysis";#N/A,#N/A,FALSE,"PV";#N/A,#N/A,FALSE,"Pro Forma"}</definedName>
    <definedName name="gegeg" localSheetId="0" hidden="1">{#N/A,#N/A,FALSE,"Cashflow Analysis";#N/A,#N/A,FALSE,"Sensitivity Analysis";#N/A,#N/A,FALSE,"PV";#N/A,#N/A,FALSE,"Pro Forma"}</definedName>
    <definedName name="gegeg" hidden="1">{#N/A,#N/A,FALSE,"Cashflow Analysis";#N/A,#N/A,FALSE,"Sensitivity Analysis";#N/A,#N/A,FALSE,"PV";#N/A,#N/A,FALSE,"Pro Forma"}</definedName>
    <definedName name="gegeg.2" localSheetId="3" hidden="1">{#N/A,#N/A,FALSE,"Cashflow Analysis";#N/A,#N/A,FALSE,"Sensitivity Analysis";#N/A,#N/A,FALSE,"PV";#N/A,#N/A,FALSE,"Pro Forma"}</definedName>
    <definedName name="gegeg.2" localSheetId="9" hidden="1">{#N/A,#N/A,FALSE,"Cashflow Analysis";#N/A,#N/A,FALSE,"Sensitivity Analysis";#N/A,#N/A,FALSE,"PV";#N/A,#N/A,FALSE,"Pro Forma"}</definedName>
    <definedName name="gegeg.2" localSheetId="2" hidden="1">{#N/A,#N/A,FALSE,"Cashflow Analysis";#N/A,#N/A,FALSE,"Sensitivity Analysis";#N/A,#N/A,FALSE,"PV";#N/A,#N/A,FALSE,"Pro Forma"}</definedName>
    <definedName name="gegeg.2" localSheetId="4" hidden="1">{#N/A,#N/A,FALSE,"Cashflow Analysis";#N/A,#N/A,FALSE,"Sensitivity Analysis";#N/A,#N/A,FALSE,"PV";#N/A,#N/A,FALSE,"Pro Forma"}</definedName>
    <definedName name="gegeg.2" localSheetId="0" hidden="1">{#N/A,#N/A,FALSE,"Cashflow Analysis";#N/A,#N/A,FALSE,"Sensitivity Analysis";#N/A,#N/A,FALSE,"PV";#N/A,#N/A,FALSE,"Pro Forma"}</definedName>
    <definedName name="gegeg.2" hidden="1">{#N/A,#N/A,FALSE,"Cashflow Analysis";#N/A,#N/A,FALSE,"Sensitivity Analysis";#N/A,#N/A,FALSE,"PV";#N/A,#N/A,FALSE,"Pro Forma"}</definedName>
    <definedName name="GenSitePrep">#REF!</definedName>
    <definedName name="GenSitePrep1">#REF!</definedName>
    <definedName name="gfh" localSheetId="3" hidden="1">{"toc1",#N/A,FALSE,"TOC";"cover",#N/A,FALSE,"Cover";"ts1",#N/A,FALSE,"Transaction Summary";"ei3",#N/A,FALSE,"Earnings Impact";"ad3",#N/A,FALSE,"accretion dilution"}</definedName>
    <definedName name="gfh" localSheetId="9" hidden="1">{"toc1",#N/A,FALSE,"TOC";"cover",#N/A,FALSE,"Cover";"ts1",#N/A,FALSE,"Transaction Summary";"ei3",#N/A,FALSE,"Earnings Impact";"ad3",#N/A,FALSE,"accretion dilution"}</definedName>
    <definedName name="gfh" localSheetId="2" hidden="1">{"toc1",#N/A,FALSE,"TOC";"cover",#N/A,FALSE,"Cover";"ts1",#N/A,FALSE,"Transaction Summary";"ei3",#N/A,FALSE,"Earnings Impact";"ad3",#N/A,FALSE,"accretion dilution"}</definedName>
    <definedName name="gfh" localSheetId="4" hidden="1">{"toc1",#N/A,FALSE,"TOC";"cover",#N/A,FALSE,"Cover";"ts1",#N/A,FALSE,"Transaction Summary";"ei3",#N/A,FALSE,"Earnings Impact";"ad3",#N/A,FALSE,"accretion dilution"}</definedName>
    <definedName name="gfh" localSheetId="0" hidden="1">{"toc1",#N/A,FALSE,"TOC";"cover",#N/A,FALSE,"Cover";"ts1",#N/A,FALSE,"Transaction Summary";"ei3",#N/A,FALSE,"Earnings Impact";"ad3",#N/A,FALSE,"accretion dilution"}</definedName>
    <definedName name="gfh" hidden="1">{"toc1",#N/A,FALSE,"TOC";"cover",#N/A,FALSE,"Cover";"ts1",#N/A,FALSE,"Transaction Summary";"ei3",#N/A,FALSE,"Earnings Impact";"ad3",#N/A,FALSE,"accretion dilution"}</definedName>
    <definedName name="gg" localSheetId="3" hidden="1">{#N/A,#N/A,FALSE,"PropertyInfo"}</definedName>
    <definedName name="gg" localSheetId="6" hidden="1">{#N/A,#N/A,FALSE,"PropertyInfo"}</definedName>
    <definedName name="gg" localSheetId="9" hidden="1">{#N/A,#N/A,FALSE,"PropertyInfo"}</definedName>
    <definedName name="gg" localSheetId="2" hidden="1">{#N/A,#N/A,FALSE,"PropertyInfo"}</definedName>
    <definedName name="gg" localSheetId="4" hidden="1">{#N/A,#N/A,FALSE,"PropertyInfo"}</definedName>
    <definedName name="gg" localSheetId="0" hidden="1">{#N/A,#N/A,FALSE,"PropertyInfo"}</definedName>
    <definedName name="gg" hidden="1">{#N/A,#N/A,FALSE,"PropertyInfo"}</definedName>
    <definedName name="gg.2" localSheetId="3" hidden="1">{#N/A,#N/A,FALSE,"Cashflow Analysis";#N/A,#N/A,FALSE,"Sensitivity Analysis";#N/A,#N/A,FALSE,"PV";#N/A,#N/A,FALSE,"Pro Forma"}</definedName>
    <definedName name="gg.2" localSheetId="9" hidden="1">{#N/A,#N/A,FALSE,"Cashflow Analysis";#N/A,#N/A,FALSE,"Sensitivity Analysis";#N/A,#N/A,FALSE,"PV";#N/A,#N/A,FALSE,"Pro Forma"}</definedName>
    <definedName name="gg.2" localSheetId="2" hidden="1">{#N/A,#N/A,FALSE,"Cashflow Analysis";#N/A,#N/A,FALSE,"Sensitivity Analysis";#N/A,#N/A,FALSE,"PV";#N/A,#N/A,FALSE,"Pro Forma"}</definedName>
    <definedName name="gg.2" localSheetId="4" hidden="1">{#N/A,#N/A,FALSE,"Cashflow Analysis";#N/A,#N/A,FALSE,"Sensitivity Analysis";#N/A,#N/A,FALSE,"PV";#N/A,#N/A,FALSE,"Pro Forma"}</definedName>
    <definedName name="gg.2" localSheetId="0" hidden="1">{#N/A,#N/A,FALSE,"Cashflow Analysis";#N/A,#N/A,FALSE,"Sensitivity Analysis";#N/A,#N/A,FALSE,"PV";#N/A,#N/A,FALSE,"Pro Forma"}</definedName>
    <definedName name="gg.2" hidden="1">{#N/A,#N/A,FALSE,"Cashflow Analysis";#N/A,#N/A,FALSE,"Sensitivity Analysis";#N/A,#N/A,FALSE,"PV";#N/A,#N/A,FALSE,"Pro Forma"}</definedName>
    <definedName name="ggf"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gf"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gg" localSheetId="3" hidden="1">{#N/A,#N/A,FALSE,"PropertyInfo"}</definedName>
    <definedName name="ggg" localSheetId="6" hidden="1">{#N/A,#N/A,FALSE,"PropertyInfo"}</definedName>
    <definedName name="ggg" localSheetId="9" hidden="1">{#N/A,#N/A,FALSE,"PropertyInfo"}</definedName>
    <definedName name="ggg" localSheetId="2" hidden="1">{#N/A,#N/A,FALSE,"PropertyInfo"}</definedName>
    <definedName name="ggg" localSheetId="4" hidden="1">{#N/A,#N/A,FALSE,"PropertyInfo"}</definedName>
    <definedName name="ggg" localSheetId="0" hidden="1">{#N/A,#N/A,FALSE,"PropertyInfo"}</definedName>
    <definedName name="ggg" hidden="1">{#N/A,#N/A,FALSE,"PropertyInfo"}</definedName>
    <definedName name="gh"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h"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LAcct">#REF!</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goinginrate">#REF!</definedName>
    <definedName name="GolfConstTot">#REF!</definedName>
    <definedName name="GolfConstTot1">#REF!</definedName>
    <definedName name="GotoTrade">#REF!</definedName>
    <definedName name="GPInv">#REF!</definedName>
    <definedName name="GrassingSub">#REF!</definedName>
    <definedName name="GrassingSub1">#REF!</definedName>
    <definedName name="GreenDevSub">#REF!</definedName>
    <definedName name="GreenDevSub1">#REF!</definedName>
    <definedName name="gross_sf">#REF!</definedName>
    <definedName name="GrowinSub">#REF!</definedName>
    <definedName name="GrownSub1">#REF!</definedName>
    <definedName name="Growth_Begin_Month">#REF!</definedName>
    <definedName name="gs" localSheetId="0"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gs"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GSF">#REF!</definedName>
    <definedName name="gss"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ss"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h" localSheetId="3" hidden="1">{#N/A,#N/A,FALSE,"PropertyInfo"}</definedName>
    <definedName name="h" localSheetId="9" hidden="1">{#N/A,#N/A,FALSE,"PropertyInfo"}</definedName>
    <definedName name="h" localSheetId="2" hidden="1">{#N/A,#N/A,FALSE,"PropertyInfo"}</definedName>
    <definedName name="h" localSheetId="4" hidden="1">{#N/A,#N/A,FALSE,"PropertyInfo"}</definedName>
    <definedName name="H">#N/A</definedName>
    <definedName name="Header_Row">ROW(#REF!)</definedName>
    <definedName name="Health">#REF!</definedName>
    <definedName name="hello" localSheetId="3" hidden="1">{#N/A,#N/A,FALSE,"ACQ_GRAPHS";#N/A,#N/A,FALSE,"T_1 GRAPHS";#N/A,#N/A,FALSE,"T_2 GRAPHS";#N/A,#N/A,FALSE,"COMB_GRAPHS"}</definedName>
    <definedName name="hello" localSheetId="9" hidden="1">{#N/A,#N/A,FALSE,"ACQ_GRAPHS";#N/A,#N/A,FALSE,"T_1 GRAPHS";#N/A,#N/A,FALSE,"T_2 GRAPHS";#N/A,#N/A,FALSE,"COMB_GRAPHS"}</definedName>
    <definedName name="hello" localSheetId="2" hidden="1">{#N/A,#N/A,FALSE,"ACQ_GRAPHS";#N/A,#N/A,FALSE,"T_1 GRAPHS";#N/A,#N/A,FALSE,"T_2 GRAPHS";#N/A,#N/A,FALSE,"COMB_GRAPHS"}</definedName>
    <definedName name="hello" localSheetId="4" hidden="1">{#N/A,#N/A,FALSE,"ACQ_GRAPHS";#N/A,#N/A,FALSE,"T_1 GRAPHS";#N/A,#N/A,FALSE,"T_2 GRAPHS";#N/A,#N/A,FALSE,"COMB_GRAPHS"}</definedName>
    <definedName name="hello" localSheetId="0" hidden="1">{#N/A,#N/A,FALSE,"ACQ_GRAPHS";#N/A,#N/A,FALSE,"T_1 GRAPHS";#N/A,#N/A,FALSE,"T_2 GRAPHS";#N/A,#N/A,FALSE,"COMB_GRAPHS"}</definedName>
    <definedName name="hello" hidden="1">{#N/A,#N/A,FALSE,"ACQ_GRAPHS";#N/A,#N/A,FALSE,"T_1 GRAPHS";#N/A,#N/A,FALSE,"T_2 GRAPHS";#N/A,#N/A,FALSE,"COMB_GRAPHS"}</definedName>
    <definedName name="hh" localSheetId="3" hidden="1">{#N/A,#N/A,FALSE,"Summary"}</definedName>
    <definedName name="hh" localSheetId="6" hidden="1">{#N/A,#N/A,FALSE,"Summary"}</definedName>
    <definedName name="hh" localSheetId="9" hidden="1">{#N/A,#N/A,FALSE,"Summary"}</definedName>
    <definedName name="hh" localSheetId="2" hidden="1">{#N/A,#N/A,FALSE,"Summary"}</definedName>
    <definedName name="hh" localSheetId="4" hidden="1">{#N/A,#N/A,FALSE,"Summary"}</definedName>
    <definedName name="hh" localSheetId="0" hidden="1">{#N/A,#N/A,FALSE,"Summary"}</definedName>
    <definedName name="hh" hidden="1">{#N/A,#N/A,FALSE,"Summary"}</definedName>
    <definedName name="hh_income_oc" localSheetId="0" hidden="1">{#N/A,#N/A,FALSE,"II-2 POP.HH";#N/A,#N/A,FALSE,"II-3 AGE.DIST";#N/A,#N/A,FALSE,"II-4 HH.DIST";#N/A,#N/A,FALSE,"II-5 EMP.INDUS"}</definedName>
    <definedName name="hh_income_oc" hidden="1">{#N/A,#N/A,FALSE,"II-2 POP.HH";#N/A,#N/A,FALSE,"II-3 AGE.DIST";#N/A,#N/A,FALSE,"II-4 HH.DIST";#N/A,#N/A,FALSE,"II-5 EMP.INDUS"}</definedName>
    <definedName name="hhh" localSheetId="3" hidden="1">{#N/A,#N/A,FALSE,"Summary"}</definedName>
    <definedName name="hhh" localSheetId="6" hidden="1">{"Outflow 1",#N/A,FALSE,"Outflows-Inflows";"Outflow 2",#N/A,FALSE,"Outflows-Inflows";"Inflow 1",#N/A,FALSE,"Outflows-Inflows";"Inflow 2",#N/A,FALSE,"Outflows-Inflows"}</definedName>
    <definedName name="hhh" localSheetId="9" hidden="1">{#N/A,#N/A,FALSE,"Summary"}</definedName>
    <definedName name="hhh" localSheetId="2" hidden="1">{#N/A,#N/A,FALSE,"Summary"}</definedName>
    <definedName name="hhh" localSheetId="4" hidden="1">{#N/A,#N/A,FALSE,"Summary"}</definedName>
    <definedName name="hhh" localSheetId="0" hidden="1">{#N/A,#N/A,FALSE,"Summary"}</definedName>
    <definedName name="hhh" hidden="1">{#N/A,#N/A,FALSE,"Summary"}</definedName>
    <definedName name="highcap">#REF!</definedName>
    <definedName name="hiks" localSheetId="0" hidden="1">{#N/A,#N/A,FALSE,"II-2 POP.HH";#N/A,#N/A,FALSE,"II-3 AGE.DIST";#N/A,#N/A,FALSE,"II-4 HH.DIST";#N/A,#N/A,FALSE,"II-5 EMP.INDUS"}</definedName>
    <definedName name="hiks" hidden="1">{#N/A,#N/A,FALSE,"II-2 POP.HH";#N/A,#N/A,FALSE,"II-3 AGE.DIST";#N/A,#N/A,FALSE,"II-4 HH.DIST";#N/A,#N/A,FALSE,"II-5 EMP.INDUS"}</definedName>
    <definedName name="HMLkUp" hidden="1">#REF!</definedName>
    <definedName name="hmnxghj" localSheetId="0" hidden="1">{"CF",#N/A,FALSE,"Cash Flow";"RET",#N/A,FALSE,"Returns";"NPV",#N/A,FALSE,"Values";"ASMPT",#N/A,FALSE,"Assumptions"}</definedName>
    <definedName name="hmnxghj" hidden="1">{"CF",#N/A,FALSE,"Cash Flow";"RET",#N/A,FALSE,"Returns";"NPV",#N/A,FALSE,"Values";"ASMPT",#N/A,FALSE,"Assumptions"}</definedName>
    <definedName name="HMSeek" hidden="1">#REF!</definedName>
    <definedName name="hold">#REF!</definedName>
    <definedName name="Home">#REF!</definedName>
    <definedName name="hrt"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hrt"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Ht">#REF!</definedName>
    <definedName name="htm_control" localSheetId="3" hidden="1">{"'monthy'!$A$1:$H$23"}</definedName>
    <definedName name="htm_control" localSheetId="9" hidden="1">{"'monthy'!$A$1:$H$23"}</definedName>
    <definedName name="htm_control" localSheetId="2" hidden="1">{"'monthy'!$A$1:$H$23"}</definedName>
    <definedName name="htm_control" localSheetId="4" hidden="1">{"'monthy'!$A$1:$H$23"}</definedName>
    <definedName name="htm_control" localSheetId="0" hidden="1">{"'monthy'!$A$1:$H$23"}</definedName>
    <definedName name="htm_control" hidden="1">{"'monthy'!$A$1:$H$23"}</definedName>
    <definedName name="html" localSheetId="3" hidden="1">{"'Assump'!$F$6:$J$6"}</definedName>
    <definedName name="html" localSheetId="6" hidden="1">{"'Assump'!$F$6:$J$6"}</definedName>
    <definedName name="html" localSheetId="9" hidden="1">{"'Assump'!$F$6:$J$6"}</definedName>
    <definedName name="html" localSheetId="2" hidden="1">{"'Assump'!$F$6:$J$6"}</definedName>
    <definedName name="html" localSheetId="4" hidden="1">{"'Assump'!$F$6:$J$6"}</definedName>
    <definedName name="html" localSheetId="0" hidden="1">{"'Assump'!$F$6:$J$6"}</definedName>
    <definedName name="html" hidden="1">{"'Assump'!$F$6:$J$6"}</definedName>
    <definedName name="HTML_CodePage" hidden="1">1252</definedName>
    <definedName name="HTML_Control" localSheetId="3" hidden="1">{"'Rent Analysis'!$A$1:$M$45"}</definedName>
    <definedName name="HTML_Control" localSheetId="6" hidden="1">{"'Assump'!$F$6:$J$6"}</definedName>
    <definedName name="HTML_Control" localSheetId="9" hidden="1">{"'Rent Analysis'!$A$1:$M$45"}</definedName>
    <definedName name="HTML_Control" localSheetId="2" hidden="1">{"'Rent Analysis'!$A$1:$M$45"}</definedName>
    <definedName name="HTML_Control" localSheetId="4" hidden="1">{"'Rent Analysis'!$A$1:$M$45"}</definedName>
    <definedName name="HTML_Control" localSheetId="0" hidden="1">{"'Cash Requirements 5F '!$A$1:$AC$48"}</definedName>
    <definedName name="HTML_Control" hidden="1">{"'Cash Requirements 5F '!$A$1:$AC$48"}</definedName>
    <definedName name="HTML_Control2" localSheetId="0" hidden="1">{"'Cash Requirements 5F '!$A$1:$AC$48"}</definedName>
    <definedName name="HTML_Control2" hidden="1">{"'Cash Requirements 5F '!$A$1:$AC$48"}</definedName>
    <definedName name="HTML_Description" hidden="1">""</definedName>
    <definedName name="HTML_Email" localSheetId="3" hidden="1">"parrish@dynexcapital.com"</definedName>
    <definedName name="HTML_Email" localSheetId="9" hidden="1">"parrish@dynexcapital.com"</definedName>
    <definedName name="HTML_Email" localSheetId="2" hidden="1">"parrish@dynexcapital.com"</definedName>
    <definedName name="HTML_Email" localSheetId="4" hidden="1">"parrish@dynexcapital.com"</definedName>
    <definedName name="HTML_Email" hidden="1">""</definedName>
    <definedName name="HTML_Header" localSheetId="3" hidden="1">"Rent Analysis"</definedName>
    <definedName name="HTML_Header" localSheetId="6" hidden="1">"Assump"</definedName>
    <definedName name="HTML_Header" localSheetId="9" hidden="1">"Rent Analysis"</definedName>
    <definedName name="HTML_Header" localSheetId="2" hidden="1">"Rent Analysis"</definedName>
    <definedName name="HTML_Header" localSheetId="4" hidden="1">"Rent Analysis"</definedName>
    <definedName name="HTML_Header" hidden="1">"Cash Requirements 5F"</definedName>
    <definedName name="HTML_LastUpdate" localSheetId="3" hidden="1">"07/19/98"</definedName>
    <definedName name="HTML_LastUpdate" localSheetId="6" hidden="1">"7/24/98"</definedName>
    <definedName name="HTML_LastUpdate" localSheetId="9" hidden="1">"07/19/98"</definedName>
    <definedName name="HTML_LastUpdate" localSheetId="2" hidden="1">"07/19/98"</definedName>
    <definedName name="HTML_LastUpdate" localSheetId="4" hidden="1">"07/19/98"</definedName>
    <definedName name="HTML_LastUpdate" hidden="1">"7/10/00"</definedName>
    <definedName name="HTML_LineAfter" hidden="1">FALSE</definedName>
    <definedName name="HTML_LineBefore" hidden="1">FALSE</definedName>
    <definedName name="HTML_Name" localSheetId="3" hidden="1">"Russell S. Parrish"</definedName>
    <definedName name="HTML_Name" localSheetId="6" hidden="1">"Russell Caplin"</definedName>
    <definedName name="HTML_Name" localSheetId="9" hidden="1">"Russell S. Parrish"</definedName>
    <definedName name="HTML_Name" localSheetId="2" hidden="1">"Russell S. Parrish"</definedName>
    <definedName name="HTML_Name" localSheetId="4" hidden="1">"Russell S. Parrish"</definedName>
    <definedName name="HTML_Name" hidden="1">"ERICK"</definedName>
    <definedName name="HTML_OBDlg2" hidden="1">TRUE</definedName>
    <definedName name="HTML_OBDlg4" hidden="1">TRUE</definedName>
    <definedName name="HTML_OS" hidden="1">0</definedName>
    <definedName name="HTML_PathFile" localSheetId="3" hidden="1">"I:\Village Green Apts\MyHTML.htm"</definedName>
    <definedName name="HTML_PathFile" localSheetId="6" hidden="1">"C:\acg\MyHTML.htm"</definedName>
    <definedName name="HTML_PathFile" localSheetId="9" hidden="1">"I:\Village Green Apts\MyHTML.htm"</definedName>
    <definedName name="HTML_PathFile" localSheetId="2" hidden="1">"I:\Village Green Apts\MyHTML.htm"</definedName>
    <definedName name="HTML_PathFile" localSheetId="4" hidden="1">"I:\Village Green Apts\MyHTML.htm"</definedName>
    <definedName name="HTML_PathFile" hidden="1">"C:\xldata\july2000cash.htm"</definedName>
    <definedName name="HTML_Title" localSheetId="3" hidden="1">"Vill Grn Exec Sum Frwrd Excel"</definedName>
    <definedName name="HTML_Title" localSheetId="6" hidden="1">"ashish"</definedName>
    <definedName name="HTML_Title" localSheetId="9" hidden="1">"Vill Grn Exec Sum Frwrd Excel"</definedName>
    <definedName name="HTML_Title" localSheetId="2" hidden="1">"Vill Grn Exec Sum Frwrd Excel"</definedName>
    <definedName name="HTML_Title" localSheetId="4" hidden="1">"Vill Grn Exec Sum Frwrd Excel"</definedName>
    <definedName name="HTML_Title" hidden="1">"Discover July 2000 Cashflow"</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htmlnew" localSheetId="3" hidden="1">{"'Assump'!$F$6:$J$6"}</definedName>
    <definedName name="htmlnew" localSheetId="6" hidden="1">{"'Assump'!$F$6:$J$6"}</definedName>
    <definedName name="htmlnew" localSheetId="9" hidden="1">{"'Assump'!$F$6:$J$6"}</definedName>
    <definedName name="htmlnew" localSheetId="2" hidden="1">{"'Assump'!$F$6:$J$6"}</definedName>
    <definedName name="htmlnew" localSheetId="4" hidden="1">{"'Assump'!$F$6:$J$6"}</definedName>
    <definedName name="htmlnew" localSheetId="0" hidden="1">{"'Assump'!$F$6:$J$6"}</definedName>
    <definedName name="htmlnew" hidden="1">{"'Assump'!$F$6:$J$6"}</definedName>
    <definedName name="huh" localSheetId="0" hidden="1">{#N/A,#N/A,FALSE,"el.det";#N/A,#N/A,FALSE,"mu.det";#N/A,#N/A,FALSE,"ug.det";#N/A,#N/A,FALSE,"ex.det";#N/A,#N/A,FALSE,"lux.det";#N/A,#N/A,FALSE,"custom.lot";#N/A,#N/A,FALSE,"condo.att";#N/A,#N/A,FALSE,"el.att";#N/A,#N/A,FALSE,"mu.att";#N/A,#N/A,FALSE,"ex.att";#N/A,#N/A,FALSE,"lux.att";#N/A,#N/A,FALSE,"all.by.village"}</definedName>
    <definedName name="huh" hidden="1">{#N/A,#N/A,FALSE,"el.det";#N/A,#N/A,FALSE,"mu.det";#N/A,#N/A,FALSE,"ug.det";#N/A,#N/A,FALSE,"ex.det";#N/A,#N/A,FALSE,"lux.det";#N/A,#N/A,FALSE,"custom.lot";#N/A,#N/A,FALSE,"condo.att";#N/A,#N/A,FALSE,"el.att";#N/A,#N/A,FALSE,"mu.att";#N/A,#N/A,FALSE,"ex.att";#N/A,#N/A,FALSE,"lux.att";#N/A,#N/A,FALSE,"all.by.village"}</definedName>
    <definedName name="I">#N/A</definedName>
    <definedName name="IHMConsultant" hidden="1">#REF!</definedName>
    <definedName name="IHMFirstProjected" hidden="1">#REF!</definedName>
    <definedName name="IHMLastHistoric" hidden="1">#REF!</definedName>
    <definedName name="IHMLocation" hidden="1">#REF!</definedName>
    <definedName name="IHMModelVersion" hidden="1">#REF!</definedName>
    <definedName name="IHMNumRooms" hidden="1">#REF!</definedName>
    <definedName name="IHMPrintCF1" hidden="1">#REF!</definedName>
    <definedName name="IHMPrintMR1" hidden="1">#REF!</definedName>
    <definedName name="IHMPrintMR2" hidden="1">#REF!</definedName>
    <definedName name="IHMPrintPO1" hidden="1">#REF!</definedName>
    <definedName name="IHMPrintPO2" hidden="1">#REF!</definedName>
    <definedName name="IHMPrintPO3" hidden="1">#REF!</definedName>
    <definedName name="IHMPrintPR1" hidden="1">#REF!</definedName>
    <definedName name="IHMPrintVAL1" hidden="1">#REF!</definedName>
    <definedName name="IHMPrintVAL2" hidden="1">#REF!</definedName>
    <definedName name="IHMProjectCity" hidden="1">#REF!</definedName>
    <definedName name="IHMProjectName" hidden="1">#REF!</definedName>
    <definedName name="IHMProjectState" hidden="1">#REF!</definedName>
    <definedName name="IHMPropertyLocation" hidden="1">#REF!</definedName>
    <definedName name="IHMReviewer" hidden="1">#REF!</definedName>
    <definedName name="iiiiiii" localSheetId="0"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iiiiiii"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Input_Ticker1">#REF!</definedName>
    <definedName name="Input_Ticker10">#REF!</definedName>
    <definedName name="Input_Ticker11">#REF!</definedName>
    <definedName name="Input_Ticker12">#REF!</definedName>
    <definedName name="Input_Ticker13">#REF!</definedName>
    <definedName name="Input_Ticker14">#REF!</definedName>
    <definedName name="Input_Ticker15">#REF!</definedName>
    <definedName name="Input_Ticker16">#REF!</definedName>
    <definedName name="Input_Ticker17">#REF!</definedName>
    <definedName name="Input_Ticker18">#REF!</definedName>
    <definedName name="Input_Ticker19">#REF!</definedName>
    <definedName name="Input_Ticker2">#REF!</definedName>
    <definedName name="Input_Ticker20">#REF!</definedName>
    <definedName name="Input_Ticker3">#REF!</definedName>
    <definedName name="Input_Ticker4">#REF!</definedName>
    <definedName name="Input_Ticker5">#REF!</definedName>
    <definedName name="Input_Ticker6">#REF!</definedName>
    <definedName name="Input_Ticker7">#REF!</definedName>
    <definedName name="Input_Ticker8">#REF!</definedName>
    <definedName name="Input_Ticker9">#REF!</definedName>
    <definedName name="Int">#REF!</definedName>
    <definedName name="int_rate">#REF!</definedName>
    <definedName name="Interest_Rate">#REF!</definedName>
    <definedName name="IntroPrintArea" localSheetId="3" hidden="1">#REF!</definedName>
    <definedName name="IntroPrintArea" localSheetId="9" hidden="1">#REF!</definedName>
    <definedName name="IntroPrintArea" localSheetId="2" hidden="1">#REF!</definedName>
    <definedName name="IntroPrintArea" localSheetId="4" hidden="1">#REF!</definedName>
    <definedName name="IntroPrintArea" hidden="1">#REF!</definedName>
    <definedName name="Investment_Name">#REF!</definedName>
    <definedName name="Investment_Period_Months">#REF!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localSheetId="6" hidden="1">"c1449"</definedName>
    <definedName name="IQ_ACCOUNT_CHANGE" hidden="1">"c413"</definedName>
    <definedName name="IQ_ACCOUNTS_PAY" localSheetId="6" hidden="1">"c1343"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localSheetId="6" hidden="1">"c1341"</definedName>
    <definedName name="IQ_ACCRUED_EXP" hidden="1">"c8"</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localSheetId="6" hidden="1">"c1340"</definedName>
    <definedName name="IQ_ACCUM_DEP" hidden="1">"c7"</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localSheetId="6" hidden="1">"c1344"</definedName>
    <definedName name="IQ_ADD_PAID_IN" hidden="1">"c39"</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localSheetId="6" hidden="1">"c1342"</definedName>
    <definedName name="IQ_ALLOW_CONST" hidden="1">"c16"</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localSheetId="6" hidden="1">"c1591"</definedName>
    <definedName name="IQ_AMORTIZATION" hidden="1">"c1471"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localSheetId="6" hidden="1">"c1346"</definedName>
    <definedName name="IQ_AVG_VOLUME" hidden="1">"c65"</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localSheetId="6" hidden="1">"c2133"</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SP" hidden="1">"IQ_BONDRATING_SP"</definedName>
    <definedName name="IQ_BOOK_VALUE" hidden="1">"IQ_BOOK_VALUE"</definedName>
    <definedName name="IQ_BROK_COMISSION" hidden="1">"c98"</definedName>
    <definedName name="IQ_BROK_COMMISSION" hidden="1">"c3514"</definedName>
    <definedName name="IQ_BROKERED_DEPOSITS_FDIC" hidden="1">"c6486"</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localSheetId="6" hidden="1">"c1349"</definedName>
    <definedName name="IQ_BV_OVER_SHARES" hidden="1">"c100"</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localSheetId="6" hidden="1">"c1350"</definedName>
    <definedName name="IQ_CAPITAL_LEASE" hidden="1">"c115"</definedName>
    <definedName name="IQ_CAPITAL_LEASES" hidden="1">"c115"</definedName>
    <definedName name="IQ_CAPITAL_LEASES_TOTAL" hidden="1">"c3031"</definedName>
    <definedName name="IQ_CAPITAL_LEASES_TOTAL_PCT" hidden="1">"c2506"</definedName>
    <definedName name="IQ_CAPITALIZED_INTEREST" localSheetId="3" hidden="1">"c3460"</definedName>
    <definedName name="IQ_CAPITALIZED_INTEREST" localSheetId="9" hidden="1">"c3460"</definedName>
    <definedName name="IQ_CAPITALIZED_INTEREST" localSheetId="2" hidden="1">"c3460"</definedName>
    <definedName name="IQ_CAPITALIZED_INTEREST" localSheetId="4" hidden="1">"c3460"</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localSheetId="6" hidden="1">"c1458"</definedName>
    <definedName name="IQ_CASH" hidden="1">"c118"</definedName>
    <definedName name="IQ_CASH_ACQUIRE_CF" hidden="1">"c1630"</definedName>
    <definedName name="IQ_CASH_CONVERSION" hidden="1">"c117"</definedName>
    <definedName name="IQ_CASH_DIVIDENDS_NET_INCOME_FDIC" hidden="1">"c6738"</definedName>
    <definedName name="IQ_CASH_DUE_BANKS" localSheetId="6" hidden="1">"c1351"</definedName>
    <definedName name="IQ_CASH_DUE_BANKS" hidden="1">"c118"</definedName>
    <definedName name="IQ_CASH_EQUIV" hidden="1">"c118"</definedName>
    <definedName name="IQ_CASH_FINAN" hidden="1">"c119"</definedName>
    <definedName name="IQ_CASH_FLOW_ACT_OR_EST" hidden="1">"c4154"</definedName>
    <definedName name="IQ_CASH_IN_PROCESS_FDIC" hidden="1">"c6386"</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localSheetId="6" hidden="1">"c1355"</definedName>
    <definedName name="IQ_CASH_ST" hidden="1">"c124"</definedName>
    <definedName name="IQ_CASH_ST_INVEST" hidden="1">"c124"</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localSheetId="6" hidden="1">"c1357"</definedName>
    <definedName name="IQ_CHANGES_WORK_CAP" hidden="1">"c161"</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localSheetId="6" hidden="1">"c1358"</definedName>
    <definedName name="IQ_COMMON_STOCK" hidden="1">"c182"</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localSheetId="6" hidden="1">"c1359"</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localSheetId="6" hidden="1">"c1362"</definedName>
    <definedName name="IQ_DAYS_PAY_OUTST" hidden="1">"c274"</definedName>
    <definedName name="IQ_DAYS_PAYABLE_OUT" hidden="1">"c274"</definedName>
    <definedName name="IQ_DAYS_SALES_OUT" hidden="1">"c275"</definedName>
    <definedName name="IQ_DAYS_SALES_OUTST" localSheetId="6" hidden="1">"c1363"</definedName>
    <definedName name="IQ_DAYS_SALES_OUTST" hidden="1">"c275"</definedName>
    <definedName name="IQ_DEBT_ADJ" hidden="1">"c2515"</definedName>
    <definedName name="IQ_DEBT_ADJ_PCT" hidden="1">"c2516"</definedName>
    <definedName name="IQ_DEBT_EQUIV_NET_PBO" hidden="1">"c2938"</definedName>
    <definedName name="IQ_DEBT_EQUIV_OPER_LEASE" hidden="1">"c2935"</definedName>
    <definedName name="IQ_DEF_ACQ_CST" localSheetId="6" hidden="1">"c1364"</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localSheetId="6" hidden="1">"c1365"</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localSheetId="6" hidden="1">"c1447"</definedName>
    <definedName name="IQ_DEFERRED_INC_TAX" hidden="1">"c315"</definedName>
    <definedName name="IQ_DEFERRED_TAXES" localSheetId="6" hidden="1">"c1356"</definedName>
    <definedName name="IQ_DEFERRED_TAXES" hidden="1">"c147"</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localSheetId="6" hidden="1">"c1360"</definedName>
    <definedName name="IQ_DEPRE_AMORT" hidden="1">"c247"</definedName>
    <definedName name="IQ_DEPRE_AMORT_SUPPL" hidden="1">"c1593"</definedName>
    <definedName name="IQ_DEPRE_DEPLE" localSheetId="6" hidden="1">"c1361"</definedName>
    <definedName name="IQ_DEPRE_DEPLE" hidden="1">"c261"</definedName>
    <definedName name="IQ_DEPRE_SUPP" hidden="1">"c1443"</definedName>
    <definedName name="IQ_DERIVATIVES_FDIC" hidden="1">"c6523"</definedName>
    <definedName name="IQ_DESCRIPTION_LONG" localSheetId="6" hidden="1">"c1520"</definedName>
    <definedName name="IQ_DESCRIPTION_LONG" hidden="1">"c322"</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localSheetId="6" hidden="1">"c1367"</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localSheetId="6" hidden="1">"c1366"</definedName>
    <definedName name="IQ_DIVID_SHARE" hidden="1">"c330"</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K" hidden="1">"IQ_EBIT_10K"</definedName>
    <definedName name="IQ_EBIT_10K1"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GROWTH_1" hidden="1">"IQ_EBIT_GROWTH_1"</definedName>
    <definedName name="IQ_EBIT_GROWTH_2" hidden="1">"IQ_EBIT_GROWTH_2"</definedName>
    <definedName name="IQ_EBIT_GW_ACT_OR_EST" hidden="1">"c4306"</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localSheetId="6" hidden="1">"c1369"</definedName>
    <definedName name="IQ_EBIT_OVER_IE" hidden="1">"c360"</definedName>
    <definedName name="IQ_EBIT_SBC_ACT_OR_EST" hidden="1">"c4316"</definedName>
    <definedName name="IQ_EBIT_SBC_GW_ACT_OR_EST" hidden="1">"c4320"</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localSheetId="6" hidden="1">"c1370"</definedName>
    <definedName name="IQ_EBITDA_CAPEX_OVER_TOTAL_IE" hidden="1">"c368"</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ROWTH_1" hidden="1">"IQ_EBITDA_GROWTH_1"</definedName>
    <definedName name="IQ_EBITDA_GROWTH_2" hidden="1">"IQ_EBITDA_GROWTH_2"</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localSheetId="6" hidden="1">"c1371"</definedName>
    <definedName name="IQ_EBITDA_OVER_TOTAL_IE" hidden="1">"c373"</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localSheetId="6" hidden="1">"c1348"</definedName>
    <definedName name="IQ_ENTERPRISE_VALUE" hidden="1">"c84"</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1" hidden="1">"IQ_EPS_EST_1"</definedName>
    <definedName name="IQ_EPS_EST_REUT" hidden="1">"c5453"</definedName>
    <definedName name="IQ_EPS_ESTIMATE" hidden="1">"IQ_EPS_EST"</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NUM_EST_REUT" hidden="1">"c5451"</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localSheetId="6" hidden="1">"c1451"</definedName>
    <definedName name="IQ_EQUITY_AFFIL" hidden="1">"c552"</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localSheetId="6" hidden="1">"c1390"</definedName>
    <definedName name="IQ_EQV_OVER_LTM_PRETAX_INC" hidden="1">"c739"</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REUT" hidden="1">"c5437"</definedName>
    <definedName name="IQ_EST_DATE" hidden="1">"c1634"</definedName>
    <definedName name="IQ_EST_DATE_REUT" hidden="1">"c5438"</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REUT" hidden="1">"c3633"</definedName>
    <definedName name="IQ_EST_EPS_GROWTH_5YR_STDDEV" hidden="1">"c1660"</definedName>
    <definedName name="IQ_EST_EPS_GROWTH_Q_1YR" hidden="1">"c1641"</definedName>
    <definedName name="IQ_EST_EPS_GROWTH_Q_1YR_REUT" hidden="1">"c5410"</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_VENDOR" hidden="1">"c5564"</definedName>
    <definedName name="IQ_ESTIMATED_ASSESSABLE_DEPOSITS_FDIC" hidden="1">"c6490"</definedName>
    <definedName name="IQ_ESTIMATED_INSURED_DEPOSITS_FDIC" hidden="1">"c6491"</definedName>
    <definedName name="IQ_EV_OVER_EMPLOYEE" localSheetId="6" hidden="1">"c1428"</definedName>
    <definedName name="IQ_EV_OVER_EMPLOYEE" hidden="1">"c1225"</definedName>
    <definedName name="IQ_EV_OVER_LTM_EBIT" localSheetId="6" hidden="1">"c1426"</definedName>
    <definedName name="IQ_EV_OVER_LTM_EBIT" hidden="1">"c1221"</definedName>
    <definedName name="IQ_EV_OVER_LTM_EBITDA" localSheetId="6" hidden="1">"c1427"</definedName>
    <definedName name="IQ_EV_OVER_LTM_EBITDA" hidden="1">"c1223"</definedName>
    <definedName name="IQ_EV_OVER_LTM_REVENUE" localSheetId="6" hidden="1">"c1429"</definedName>
    <definedName name="IQ_EV_OVER_LTM_REVENUE" hidden="1">"c1227"</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localSheetId="6" hidden="1">"c1897"</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localSheetId="6" hidden="1">"c1459"</definedName>
    <definedName name="IQ_EXTRA_ITEMS" hidden="1">"c413"</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ADJ_ACT_OR_EST" hidden="1">"c4435"</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HARE_ACT_OR_EST" hidden="1">"c4446"</definedName>
    <definedName name="IQ_FFO_STDDEV_EST" hidden="1">"c422"</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localSheetId="6" hidden="1">"c1405"</definedName>
    <definedName name="IQ_FINANCING_CASH" hidden="1">"c893"</definedName>
    <definedName name="IQ_FINANCING_CASH_SUPPL" localSheetId="6" hidden="1">"c1406"</definedName>
    <definedName name="IQ_FINANCING_CASH_SUPPL" hidden="1">"c899"</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localSheetId="6" hidden="1">"c1376"</definedName>
    <definedName name="IQ_FOREIGN_EXCHANGE" hidden="1">"c451"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localSheetId="6" hidden="1">"c1377"</definedName>
    <definedName name="IQ_GAIN_SALE_ASSETS" hidden="1">"c452"</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localSheetId="6" hidden="1">"c1380"</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localSheetId="6" hidden="1">"c1446"</definedName>
    <definedName name="IQ_GROSS_DIVID" hidden="1">"c192"</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localSheetId="6" hidden="1">"c1378"</definedName>
    <definedName name="IQ_GROSS_PROFIT" hidden="1">"c511"</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 hidden="1">"c1651"</definedName>
    <definedName name="IQ_HIGH_TARGET_PRICE_REUT" hidden="1">"c5317"</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localSheetId="6" hidden="1">"c1395"</definedName>
    <definedName name="IQ_INC_AVAIL_EXCL" hidden="1">"c789"</definedName>
    <definedName name="IQ_INC_AVAIL_INCL" localSheetId="6" hidden="1">"c1396"</definedName>
    <definedName name="IQ_INC_AVAIL_INCL" hidden="1">"c791"</definedName>
    <definedName name="IQ_INC_BEFORE_TAX" localSheetId="6" hidden="1">"c1375"</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localSheetId="6" hidden="1">"c1407"</definedName>
    <definedName name="IQ_INTANGIBLES_NET" hidden="1">"c907"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localSheetId="6" hidden="1">"c1383"</definedName>
    <definedName name="IQ_INTEREST_EXP_NON" hidden="1">"c618"</definedName>
    <definedName name="IQ_INTEREST_EXP_SUPPL" hidden="1">"c1460"</definedName>
    <definedName name="IQ_INTEREST_INC" localSheetId="6" hidden="1">"c1393"</definedName>
    <definedName name="IQ_INTEREST_INC" hidden="1">"c769"</definedName>
    <definedName name="IQ_INTEREST_INC_10K" hidden="1">"IQ_INTEREST_INC_10K"</definedName>
    <definedName name="IQ_INTEREST_INC_10Q" hidden="1">"IQ_INTEREST_INC_10Q"</definedName>
    <definedName name="IQ_INTEREST_INC_10Q1" hidden="1">"IQ_INTEREST_INC_10Q1"</definedName>
    <definedName name="IQ_INTEREST_INC_NON" localSheetId="6" hidden="1">"c1384"</definedName>
    <definedName name="IQ_INTEREST_INC_NON" hidden="1">"c619"</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S_DEBT_NET" localSheetId="6" hidden="1">"c1391"</definedName>
    <definedName name="IQ_ISS_DEBT_NET" hidden="1">"c751"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localSheetId="6" hidden="1">"c1386"</definedName>
    <definedName name="IQ_LOAN_LOSS" hidden="1">"c656"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localSheetId="6" hidden="1">"c1387"</definedName>
    <definedName name="IQ_LONG_TERM_DEBT" hidden="1">"c674"</definedName>
    <definedName name="IQ_LONG_TERM_DEBT_OVER_TOTAL_CAP" localSheetId="6" hidden="1">"c1388"</definedName>
    <definedName name="IQ_LONG_TERM_DEBT_OVER_TOTAL_CAP" hidden="1">"c677"</definedName>
    <definedName name="IQ_LONG_TERM_GROWTH" hidden="1">"c671"</definedName>
    <definedName name="IQ_LONG_TERM_INV" localSheetId="6" hidden="1">"c1389"</definedName>
    <definedName name="IQ_LONG_TERM_INV" hidden="1">"c697"</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localSheetId="6" hidden="1">"c1437"</definedName>
    <definedName name="IQ_LTM_REVENUE_OVER_EMPLOYEES" hidden="1">"c1304"</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localSheetId="6" hidden="1">41688.3822916666</definedName>
    <definedName name="IQ_NAMES_REVISION_DATE_" hidden="1">40592.4196990741</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localSheetId="6" hidden="1">"c1394"</definedName>
    <definedName name="IQ_NET_INC" hidden="1">"c781"</definedName>
    <definedName name="IQ_NET_INC_10K" hidden="1">"IQ_NET_INC_10K"</definedName>
    <definedName name="IQ_NET_INC_10Q" hidden="1">"IQ_NET_INC_10Q"</definedName>
    <definedName name="IQ_NET_INC_10Q1" hidden="1">"IQ_NET_INC_10Q1"</definedName>
    <definedName name="IQ_NET_INC_BEFORE" localSheetId="6" hidden="1">"c1368"</definedName>
    <definedName name="IQ_NET_INC_BEFORE" hidden="1">"c344"</definedName>
    <definedName name="IQ_NET_INC_CF" localSheetId="6" hidden="1">"c1397"</definedName>
    <definedName name="IQ_NET_INC_CF" hidden="1">"c793"</definedName>
    <definedName name="IQ_NET_INC_GROWTH_1" hidden="1">"IQ_NET_INC_GROWTH_1"</definedName>
    <definedName name="IQ_NET_INC_GROWTH_2" hidden="1">"IQ_NET_INC_GROWTH_2"</definedName>
    <definedName name="IQ_NET_INC_MARGIN" localSheetId="6" hidden="1">"c1398"</definedName>
    <definedName name="IQ_NET_INC_MARGIN" hidden="1">"c794"</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localSheetId="6" hidden="1">"c1392"</definedName>
    <definedName name="IQ_NET_INTEREST_INC" hidden="1">"c764"</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GW_ACT_OR_EST" hidden="1">"c4478"</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localSheetId="6" hidden="1">"c1399"</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localSheetId="6" hidden="1">"c1400"</definedName>
    <definedName name="IQ_NON_INTEREST_EXP" hidden="1">"c801"</definedName>
    <definedName name="IQ_NON_INTEREST_INC" localSheetId="6" hidden="1">"c1401"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TRANSACTION_ACCOUNTS_FDIC" hidden="1">"c6552"</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localSheetId="6" hidden="1">"c1423"</definedName>
    <definedName name="IQ_NOTES_PAY" hidden="1">"c1176"</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localSheetId="6" hidden="1">"c1448"</definedName>
    <definedName name="IQ_OPER_INC_MARGIN" hidden="1">"c362"</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localSheetId="6" hidden="1">"c1403"</definedName>
    <definedName name="IQ_OTHER_CURRENT_ASSETS" hidden="1">"c868"</definedName>
    <definedName name="IQ_OTHER_CURRENT_LIAB" localSheetId="6" hidden="1">"c1404"</definedName>
    <definedName name="IQ_OTHER_CURRENT_LIAB" hidden="1">"c877"</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localSheetId="6" hidden="1">"c1408"</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localSheetId="6" hidden="1">"c1409"</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localSheetId="6" hidden="1">"c1453"</definedName>
    <definedName name="IQ_OTHER_NET" hidden="1">"c959"</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localSheetId="6" hidden="1">"c1410"</definedName>
    <definedName name="IQ_OTHER_REVENUE" hidden="1">"c1010"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localSheetId="6" hidden="1">"c2128"</definedName>
    <definedName name="IQ_OUTSTANDING_BS_DATE" hidden="1">"c1022"</definedName>
    <definedName name="IQ_OUTSTANDING_FILING_DATE" localSheetId="6" hidden="1">"c2127"</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localSheetId="6" hidden="1">"c1457"</definedName>
    <definedName name="IQ_PAY_ACCRUED" hidden="1">"c8"</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_INSURED_FDIC" hidden="1">"c6374"</definedName>
    <definedName name="IQ_PERIODDATE" localSheetId="6" hidden="1">"c1414"</definedName>
    <definedName name="IQ_PERIODDATE" hidden="1">"c1034"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localSheetId="6" hidden="1">"c1416"</definedName>
    <definedName name="IQ_PREF_STOCK" hidden="1">"c1052"</definedName>
    <definedName name="IQ_PREF_TOT" localSheetId="6" hidden="1">"c1415"</definedName>
    <definedName name="IQ_PREF_TOT" hidden="1">"c1044"</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localSheetId="6" hidden="1">"c1418"</definedName>
    <definedName name="IQ_PREPAID_EXPEN" hidden="1">"c1068"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CFPS_FWD" hidden="1">"c2237"</definedName>
    <definedName name="IQ_PRICE_OVER_BVPS" localSheetId="6" hidden="1">"c1412"</definedName>
    <definedName name="IQ_PRICE_OVER_BVPS" hidden="1">"c1026"</definedName>
    <definedName name="IQ_PRICE_OVER_EPS_EST" hidden="1">"IQ_PRICE_OVER_EPS_EST"</definedName>
    <definedName name="IQ_PRICE_OVER_EPS_EST_1" hidden="1">"IQ_PRICE_OVER_EPS_EST_1"</definedName>
    <definedName name="IQ_PRICE_OVER_LTM_EPS" localSheetId="6" hidden="1">"c1413"</definedName>
    <definedName name="IQ_PRICE_OVER_LTM_EPS" hidden="1">"c1029"</definedName>
    <definedName name="IQ_PRICE_TARGET" hidden="1">"c82"</definedName>
    <definedName name="IQ_PRICE_TARGET_REUT" hidden="1">"c3631"</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localSheetId="6" hidden="1">"c1452"</definedName>
    <definedName name="IQ_PRO_FORMA_NET_INC" hidden="1">"c795"</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localSheetId="6" hidden="1">"c1379"</definedName>
    <definedName name="IQ_PROPERTY_GROSS" hidden="1">"c518"</definedName>
    <definedName name="IQ_PROPERTY_MGMT_FEE" hidden="1">"c1074"</definedName>
    <definedName name="IQ_PROPERTY_NET" localSheetId="6" hidden="1">"c1402"</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SHARE_ACT_OR_EST" hidden="1">"c4508"</definedName>
    <definedName name="IQ_REDEEM_PREF_STOCK" localSheetId="6" hidden="1">"c1417"</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EARCH_DEV" localSheetId="6" hidden="1">"c1419"</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localSheetId="3" hidden="1">"c2895"</definedName>
    <definedName name="IQ_RETAIL_ACQUIRED_FRANCHISE_STORES" localSheetId="9" hidden="1">"c2895"</definedName>
    <definedName name="IQ_RETAIL_ACQUIRED_FRANCHISE_STORES" localSheetId="2" hidden="1">"c2895"</definedName>
    <definedName name="IQ_RETAIL_ACQUIRED_FRANCHISE_STORES" localSheetId="4" hidden="1">"c2895"</definedName>
    <definedName name="IQ_RETAIL_ACQUIRED_FRANCHISE_STORES" hidden="1">"c2903"</definedName>
    <definedName name="IQ_RETAIL_ACQUIRED_OWNED_STORES" localSheetId="3" hidden="1">"c2903"</definedName>
    <definedName name="IQ_RETAIL_ACQUIRED_OWNED_STORES" localSheetId="9" hidden="1">"c2903"</definedName>
    <definedName name="IQ_RETAIL_ACQUIRED_OWNED_STORES" localSheetId="2" hidden="1">"c2903"</definedName>
    <definedName name="IQ_RETAIL_ACQUIRED_OWNED_STORES" localSheetId="4"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localSheetId="6" hidden="1">"c1420"</definedName>
    <definedName name="IQ_RETAINED_EARN" hidden="1">"c1092"</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localSheetId="6" hidden="1">"c1421"</definedName>
    <definedName name="IQ_RETURN_INVESTMENT" hidden="1">"c1117"</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localSheetId="6" hidden="1">"c1422"</definedName>
    <definedName name="IQ_REVENUE" hidden="1">"c1122"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EST" hidden="1">"c1126"</definedName>
    <definedName name="IQ_REVENUE_EST_1" hidden="1">"IQ_REVENUE_EST_1"</definedName>
    <definedName name="IQ_REVENUE_EST_REUT" hidden="1">"c3634"</definedName>
    <definedName name="IQ_REVENUE_GROWTH_1" hidden="1">"IQ_REVENUE_GROWTH_1"</definedName>
    <definedName name="IQ_REVENUE_GROWTH_2" hidden="1">"IQ_REVENUE_GROWTH_2"</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localSheetId="3" hidden="1">39485.6129282407</definedName>
    <definedName name="IQ_REVISION_DATE_" localSheetId="6" hidden="1">38883.5752314815</definedName>
    <definedName name="IQ_REVISION_DATE_" localSheetId="9" hidden="1">39485.6129282407</definedName>
    <definedName name="IQ_REVISION_DATE_" localSheetId="2" hidden="1">39485.6129282407</definedName>
    <definedName name="IQ_REVISION_DATE_" localSheetId="4" hidden="1">39485.6129282407</definedName>
    <definedName name="IQ_REVISION_DATE_" hidden="1">39125.817037037</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localSheetId="6" hidden="1">"c1347"</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localSheetId="6" hidden="1">"c1425"</definedName>
    <definedName name="IQ_SHORT_TERM_INVEST" hidden="1">"c1197"</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localSheetId="6" hidden="1">"c1455"</definedName>
    <definedName name="IQ_TOTAL_CASH_DIVID" hidden="1">"c1266"</definedName>
    <definedName name="IQ_TOTAL_CASH_FINAN" localSheetId="6" hidden="1">"c1352"</definedName>
    <definedName name="IQ_TOTAL_CASH_FINAN" hidden="1">"c119"</definedName>
    <definedName name="IQ_TOTAL_CASH_INVEST" localSheetId="6" hidden="1">"c1353"</definedName>
    <definedName name="IQ_TOTAL_CASH_INVEST" hidden="1">"c121"</definedName>
    <definedName name="IQ_TOTAL_CASH_OPER" localSheetId="6" hidden="1">"c1354"</definedName>
    <definedName name="IQ_TOTAL_CASH_OPER" hidden="1">"c122"</definedName>
    <definedName name="IQ_TOTAL_CHARGE_OFFS_FDIC" hidden="1">"c6603"</definedName>
    <definedName name="IQ_TOTAL_CHURN" hidden="1">"c2122"</definedName>
    <definedName name="IQ_TOTAL_CL" hidden="1">"c1245"</definedName>
    <definedName name="IQ_TOTAL_COMMON" localSheetId="6" hidden="1">"c1411"</definedName>
    <definedName name="IQ_TOTAL_COMMON" hidden="1">"c1022"</definedName>
    <definedName name="IQ_TOTAL_COMMON_EQUITY" hidden="1">"c1246"</definedName>
    <definedName name="IQ_TOTAL_CURRENT_ASSETS" localSheetId="6" hidden="1">"c1430"</definedName>
    <definedName name="IQ_TOTAL_CURRENT_ASSETS" hidden="1">"c1243"</definedName>
    <definedName name="IQ_TOTAL_CURRENT_LIAB" localSheetId="6" hidden="1">"c1431"</definedName>
    <definedName name="IQ_TOTAL_CURRENT_LIAB" hidden="1">"c1245"</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localSheetId="6" hidden="1">"c1433"</definedName>
    <definedName name="IQ_TOTAL_DEBT_OVER_EBITDA" hidden="1">"c1249"</definedName>
    <definedName name="IQ_TOTAL_DEBT_OVER_TOTAL_BV" localSheetId="6" hidden="1">"c1434"</definedName>
    <definedName name="IQ_TOTAL_DEBT_OVER_TOTAL_BV" hidden="1">"c1250"</definedName>
    <definedName name="IQ_TOTAL_DEBT_OVER_TOTAL_CAP" localSheetId="6" hidden="1">"c1432"</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localSheetId="6" hidden="1">"c2141"</definedName>
    <definedName name="IQ_TOTAL_EMPLOYEE" hidden="1">"c1522"</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localSheetId="6" hidden="1">"c1382"</definedName>
    <definedName name="IQ_TOTAL_INTEREST_EXP" hidden="1">"c591"</definedName>
    <definedName name="IQ_TOTAL_INVENTORY" localSheetId="6" hidden="1">"c1385"</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localSheetId="6" hidden="1">"c1435"</definedName>
    <definedName name="IQ_TOTAL_LIAB_SHAREHOLD" hidden="1">"c1279"</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localSheetId="6" hidden="1">"c1436"</definedName>
    <definedName name="IQ_TOTAL_REVENUE" hidden="1">"c1294"</definedName>
    <definedName name="IQ_TOTAL_RISK_BASED_CAPITAL_RATIO_FDIC" hidden="1">"c6747"</definedName>
    <definedName name="IQ_TOTAL_SECURITIES_FDIC" hidden="1">"c6306"</definedName>
    <definedName name="IQ_TOTAL_SPECIAL" hidden="1">"c1618"</definedName>
    <definedName name="IQ_TOTAL_ST_BORROW" localSheetId="6" hidden="1">"c1424"</definedName>
    <definedName name="IQ_TOTAL_ST_BORROW" hidden="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localSheetId="6" hidden="1">"c1345"</definedName>
    <definedName name="IQ_TRADE_AR" hidden="1">"c40"</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localSheetId="6" hidden="1">"c1438"</definedName>
    <definedName name="IQ_TREASURY_STOCK" hidden="1">"c1311"</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RA1" hidden="1">"$A$2:$A$129"</definedName>
    <definedName name="IQRB1" hidden="1">"$B$2:$B$129"</definedName>
    <definedName name="IQRC1" hidden="1">"$C$2:$C$129"</definedName>
    <definedName name="IRR">#REF!</definedName>
    <definedName name="IrRate">#REF!</definedName>
    <definedName name="IrrigationSub">#REF!</definedName>
    <definedName name="IrrigationSub1">#REF!</definedName>
    <definedName name="IsEdit">#REF!</definedName>
    <definedName name="IsTemplate">#REF!</definedName>
    <definedName name="Iventory" localSheetId="0"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Iventory"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J">#N/A</definedName>
    <definedName name="JobPermitsRatio_Complete_NeedChangeQ16_">#REF!</definedName>
    <definedName name="jokjj" localSheetId="0" hidden="1">{"pg1",#N/A,FALSE,"DC Summ";"pg1",#N/A,FALSE,"Assump";"pg2",#N/A,FALSE,"Assump";"PG3",#N/A,FALSE,"Assump";"pg1",#N/A,FALSE,"DCN1";"page_a",#N/A,FALSE,"DCN2";"page_b",#N/A,FALSE,"DCN2";"PG1",#N/A,FALSE,"DCN3";"PG1",#N/A,FALSE,"DCN4";"PG1",#N/A,FALSE,"DCN5";"pg1",#N/A,FALSE,"DCN6";"PG1",#N/A,FALSE,"DCN7"}</definedName>
    <definedName name="jokjj" hidden="1">{"pg1",#N/A,FALSE,"DC Summ";"pg1",#N/A,FALSE,"Assump";"pg2",#N/A,FALSE,"Assump";"PG3",#N/A,FALSE,"Assump";"pg1",#N/A,FALSE,"DCN1";"page_a",#N/A,FALSE,"DCN2";"page_b",#N/A,FALSE,"DCN2";"PG1",#N/A,FALSE,"DCN3";"PG1",#N/A,FALSE,"DCN4";"PG1",#N/A,FALSE,"DCN5";"pg1",#N/A,FALSE,"DCN6";"PG1",#N/A,FALSE,"DCN7"}</definedName>
    <definedName name="jokjj2" localSheetId="0" hidden="1">{"pg1",#N/A,FALSE,"DC Summ";"pg1",#N/A,FALSE,"Assump";"pg2",#N/A,FALSE,"Assump";"PG3",#N/A,FALSE,"Assump";"pg1",#N/A,FALSE,"DCN1";"page_a",#N/A,FALSE,"DCN2";"page_b",#N/A,FALSE,"DCN2";"PG1",#N/A,FALSE,"DCN3";"PG1",#N/A,FALSE,"DCN4";"PG1",#N/A,FALSE,"DCN5";"pg1",#N/A,FALSE,"DCN6";"PG1",#N/A,FALSE,"DCN7"}</definedName>
    <definedName name="jokjj2" hidden="1">{"pg1",#N/A,FALSE,"DC Summ";"pg1",#N/A,FALSE,"Assump";"pg2",#N/A,FALSE,"Assump";"PG3",#N/A,FALSE,"Assump";"pg1",#N/A,FALSE,"DCN1";"page_a",#N/A,FALSE,"DCN2";"page_b",#N/A,FALSE,"DCN2";"PG1",#N/A,FALSE,"DCN3";"PG1",#N/A,FALSE,"DCN4";"PG1",#N/A,FALSE,"DCN5";"pg1",#N/A,FALSE,"DCN6";"PG1",#N/A,FALSE,"DCN7"}</definedName>
    <definedName name="jpeg" localSheetId="0" hidden="1">{"'Assump'!$F$6:$J$6"}</definedName>
    <definedName name="jpeg" hidden="1">{"'Assump'!$F$6:$J$6"}</definedName>
    <definedName name="junk" hidden="1">#REF!</definedName>
    <definedName name="junk2" hidden="1">#REF!</definedName>
    <definedName name="K">#N/A</definedName>
    <definedName name="karen" localSheetId="0" hidden="1">{"eca",#N/A,TRUE,"E-C1 (R)";"ecb",#N/A,TRUE,"E-C1 (R)"}</definedName>
    <definedName name="karen" hidden="1">{"eca",#N/A,TRUE,"E-C1 (R)";"ecb",#N/A,TRUE,"E-C1 (R)"}</definedName>
    <definedName name="ke" hidden="1">#REF!</definedName>
    <definedName name="khgkjh"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khgkjh"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kj" localSheetId="0" hidden="1">{"CASHFLOW",#N/A,FALSE,"Northpointe"}</definedName>
    <definedName name="kj" hidden="1">{"CASHFLOW",#N/A,FALSE,"Northpointe"}</definedName>
    <definedName name="KK" hidden="1">#REF!</definedName>
    <definedName name="kyd.ChngCell.01." localSheetId="3" hidden="1">#REF!</definedName>
    <definedName name="kyd.ChngCell.01." localSheetId="9" hidden="1">#REF!</definedName>
    <definedName name="kyd.ChngCell.01." localSheetId="2" hidden="1">#REF!</definedName>
    <definedName name="kyd.ChngCell.01." localSheetId="4" hidden="1">#REF!</definedName>
    <definedName name="kyd.ChngCell.01." hidden="1">#REF!</definedName>
    <definedName name="kyd.CounterLimitCell.01." hidden="1">"x"</definedName>
    <definedName name="kyd.Dim.01." localSheetId="6" hidden="1">"tm1serv:company"</definedName>
    <definedName name="kyd.Dim.01." hidden="1">"toad:Company"</definedName>
    <definedName name="kyd.ElementList.01." hidden="1">#REF!</definedName>
    <definedName name="kyd.ElementType.01." localSheetId="6" hidden="1">1</definedName>
    <definedName name="kyd.ElementType.01." hidden="1">3</definedName>
    <definedName name="kyd.ItemType.01." hidden="1">2</definedName>
    <definedName name="kyd.MacroAtEnd." hidden="1">""</definedName>
    <definedName name="kyd.MacroEachCycle." hidden="1">""</definedName>
    <definedName name="kyd.MacroEndOfEachCycle." hidden="1">""</definedName>
    <definedName name="kyd.NumLevels.01." hidden="1">999</definedName>
    <definedName name="kyd.PanicStop." hidden="1">FALSE</definedName>
    <definedName name="kyd.ParentName.01." hidden="1">""</definedName>
    <definedName name="kyd.PreScreenData." hidden="1">FALSE</definedName>
    <definedName name="kyd.PrintParent.01." hidden="1">TRUE</definedName>
    <definedName name="kyd.PrintStdWhen." hidden="1">1</definedName>
    <definedName name="kyd.SaveAsFile." hidden="1">FALSE</definedName>
    <definedName name="kyd.SelectString.01." hidden="1">"*"</definedName>
    <definedName name="kyd.StdSortHide." hidden="1">FALSE</definedName>
    <definedName name="L">#N/A</definedName>
    <definedName name="label">#REF!</definedName>
    <definedName name="LakeLineSub">#REF!</definedName>
    <definedName name="LakeLineSub1">#REF!</definedName>
    <definedName name="LAND">#REF!</definedName>
    <definedName name="LandscapeSub">#REF!</definedName>
    <definedName name="LandscapeSub1">#REF!</definedName>
    <definedName name="lank" hidden="1">#REF!</definedName>
    <definedName name="Last_Row" localSheetId="6">IF(Values_Entered,Header_Row+Number_of_Payments,Header_Row)</definedName>
    <definedName name="Last_Row" localSheetId="2">IF([1]!Values_Entered,Header_Row+[1]!Number_of_Payments,Header_Row)</definedName>
    <definedName name="Last_Row" localSheetId="4">IF([1]!Values_Entered,Header_Row+[1]!Number_of_Payments,Header_Row)</definedName>
    <definedName name="Last_Row" localSheetId="0">IF([1]!Values_Entered,Header_Row+[1]!Number_of_Payments,Header_Row)</definedName>
    <definedName name="Last_Row">IF([1]!Values_Entered,Header_Row+[1]!Number_of_Payments,Header_Row)</definedName>
    <definedName name="LeaseGoto">#REF!</definedName>
    <definedName name="Ledger">#REF!</definedName>
    <definedName name="LIHTC_DEVFEE">#REF!</definedName>
    <definedName name="limcount" localSheetId="6" hidden="1">3</definedName>
    <definedName name="limcount" hidden="1">1</definedName>
    <definedName name="List_Location">OFFSET(#REF!,0,0,93-COUNTIF(#REF!,""),1)</definedName>
    <definedName name="List_Property_Type">OFFSET(#REF!,0,0,1,10-COUNTIF(#REF!,""))</definedName>
    <definedName name="ll" localSheetId="0"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ll"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lll" localSheetId="0" hidden="1">{"Outflow 1",#N/A,FALSE,"Outflows-Inflows";"Outflow 2",#N/A,FALSE,"Outflows-Inflows";"Inflow 1",#N/A,FALSE,"Outflows-Inflows";"Inflow 2",#N/A,FALSE,"Outflows-Inflows"}</definedName>
    <definedName name="lll" hidden="1">{"Outflow 1",#N/A,FALSE,"Outflows-Inflows";"Outflow 2",#N/A,FALSE,"Outflows-Inflows";"Inflow 1",#N/A,FALSE,"Outflows-Inflows";"Inflow 2",#N/A,FALSE,"Outflows-Inflows"}</definedName>
    <definedName name="Loan_Amount">#REF!</definedName>
    <definedName name="Loan_Start">#REF!</definedName>
    <definedName name="Loan_Years">#REF!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#REF!</definedName>
    <definedName name="lockard" localSheetId="0" hidden="1">{#N/A,#N/A,FALSE,"Exec Sum 10Yr";#N/A,#N/A,FALSE,"Assumptions";#N/A,#N/A,FALSE,"Operating Stmts";#N/A,#N/A,FALSE,"Year One Pro Forma";#N/A,#N/A,FALSE,"Rent Roll Summary";#N/A,#N/A,FALSE,"Market Rent Detail";#N/A,#N/A,FALSE,"Effective Rental Income Detail";#N/A,#N/A,FALSE,"Cash Flow Projections";#N/A,#N/A,FALSE,"Net Residual Value"}</definedName>
    <definedName name="lockard" hidden="1">{#N/A,#N/A,FALSE,"Exec Sum 10Yr";#N/A,#N/A,FALSE,"Assumptions";#N/A,#N/A,FALSE,"Operating Stmts";#N/A,#N/A,FALSE,"Year One Pro Forma";#N/A,#N/A,FALSE,"Rent Roll Summary";#N/A,#N/A,FALSE,"Market Rent Detail";#N/A,#N/A,FALSE,"Effective Rental Income Detail";#N/A,#N/A,FALSE,"Cash Flow Projections";#N/A,#N/A,FALSE,"Net Residual Value"}</definedName>
    <definedName name="Lot_Price_Adj">#REF!</definedName>
    <definedName name="LotAdj">#REF!</definedName>
    <definedName name="LOTS">Inputs!$S$7</definedName>
    <definedName name="lowcap">#REF!</definedName>
    <definedName name="LPSTRIP">#REF!</definedName>
    <definedName name="LTC">#REF!</definedName>
    <definedName name="LTV">#REF!</definedName>
    <definedName name="M">#N/A</definedName>
    <definedName name="MarginGoto">#REF!</definedName>
    <definedName name="Mat" localSheetId="0" hidden="1">{#N/A,#N/A,FALSE,"Aging Summary";#N/A,#N/A,FALSE,"Ratio Analysis";#N/A,#N/A,FALSE,"Test 120 Day Accts";#N/A,#N/A,FALSE,"Tickmarks"}</definedName>
    <definedName name="Mat" hidden="1">{#N/A,#N/A,FALSE,"Aging Summary";#N/A,#N/A,FALSE,"Ratio Analysis";#N/A,#N/A,FALSE,"Test 120 Day Accts";#N/A,#N/A,FALSE,"Tickmarks"}</definedName>
    <definedName name="matrix" localSheetId="3"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 localSheetId="9"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 localSheetId="2"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 localSheetId="4"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 localSheetId="0"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CFARLANEFEES">#REF!</definedName>
    <definedName name="MCUwork1" localSheetId="3" hidden="1">{#N/A,#N/A,TRUE,"Summary";#N/A,#N/A,TRUE,"Program Scheme";#N/A,#N/A,TRUE,"Assumptions";#N/A,#N/A,TRUE,"Development Budget &amp; Timing";#N/A,#N/A,TRUE,"Cash Flow";#N/A,#N/A,TRUE,"Cash Flow to Debt &amp; Equity"}</definedName>
    <definedName name="MCUwork1" localSheetId="9" hidden="1">{#N/A,#N/A,TRUE,"Summary";#N/A,#N/A,TRUE,"Program Scheme";#N/A,#N/A,TRUE,"Assumptions";#N/A,#N/A,TRUE,"Development Budget &amp; Timing";#N/A,#N/A,TRUE,"Cash Flow";#N/A,#N/A,TRUE,"Cash Flow to Debt &amp; Equity"}</definedName>
    <definedName name="MCUwork1" localSheetId="2" hidden="1">{#N/A,#N/A,TRUE,"Summary";#N/A,#N/A,TRUE,"Program Scheme";#N/A,#N/A,TRUE,"Assumptions";#N/A,#N/A,TRUE,"Development Budget &amp; Timing";#N/A,#N/A,TRUE,"Cash Flow";#N/A,#N/A,TRUE,"Cash Flow to Debt &amp; Equity"}</definedName>
    <definedName name="MCUwork1" localSheetId="4" hidden="1">{#N/A,#N/A,TRUE,"Summary";#N/A,#N/A,TRUE,"Program Scheme";#N/A,#N/A,TRUE,"Assumptions";#N/A,#N/A,TRUE,"Development Budget &amp; Timing";#N/A,#N/A,TRUE,"Cash Flow";#N/A,#N/A,TRUE,"Cash Flow to Debt &amp; Equity"}</definedName>
    <definedName name="MCUwork1" localSheetId="0" hidden="1">{#N/A,#N/A,TRUE,"Summary";#N/A,#N/A,TRUE,"Program Scheme";#N/A,#N/A,TRUE,"Assumptions";#N/A,#N/A,TRUE,"Development Budget &amp; Timing";#N/A,#N/A,TRUE,"Cash Flow";#N/A,#N/A,TRUE,"Cash Flow to Debt &amp; Equity"}</definedName>
    <definedName name="MCUwork1" hidden="1">{#N/A,#N/A,TRUE,"Summary";#N/A,#N/A,TRUE,"Program Scheme";#N/A,#N/A,TRUE,"Assumptions";#N/A,#N/A,TRUE,"Development Budget &amp; Timing";#N/A,#N/A,TRUE,"Cash Flow";#N/A,#N/A,TRUE,"Cash Flow to Debt &amp; Equity"}</definedName>
    <definedName name="meow" localSheetId="0" hidden="1">{#N/A,#N/A,FALSE,"Pricing Matrix";#N/A,#N/A,FALSE,"Assumptions";#N/A,#N/A,FALSE,"Year One Pro Forma";#N/A,#N/A,FALSE,"Operating Stmts";#N/A,#N/A,FALSE,"Cash Flow Projections";#N/A,#N/A,FALSE,"Rent Roll Summary";#N/A,#N/A,FALSE,"Market Rent Detail";#N/A,#N/A,FALSE,"Effective Rental Income Detail"}</definedName>
    <definedName name="meow" hidden="1">{#N/A,#N/A,FALSE,"Pricing Matrix";#N/A,#N/A,FALSE,"Assumptions";#N/A,#N/A,FALSE,"Year One Pro Forma";#N/A,#N/A,FALSE,"Operating Stmts";#N/A,#N/A,FALSE,"Cash Flow Projections";#N/A,#N/A,FALSE,"Rent Roll Summary";#N/A,#N/A,FALSE,"Market Rent Detail";#N/A,#N/A,FALSE,"Effective Rental Income Detail"}</definedName>
    <definedName name="MEZZ_INTRATE">#REF!</definedName>
    <definedName name="MEZZ_LTC">#REF!</definedName>
    <definedName name="MEZZLTC">#REF!</definedName>
    <definedName name="MF_Module_On">#REF!</definedName>
    <definedName name="MF_Units">#REF!</definedName>
    <definedName name="MILF1" localSheetId="3" hidden="1">{"Annual Deal CF 1",#N/A,TRUE,"Investments";"Annual Deal CF 2",#N/A,TRUE,"Investments";"Annual Deal CF 3",#N/A,TRUE,"Investments";"Annual Deal CF 4",#N/A,TRUE,"Investments";"Annual Deal CF 5",#N/A,TRUE,"Investments";"Annual Deal CF 6",#N/A,TRUE,"Investments";"Annual Deal CF 7",#N/A,TRUE,"Investments"}</definedName>
    <definedName name="MILF1" localSheetId="9" hidden="1">{"Annual Deal CF 1",#N/A,TRUE,"Investments";"Annual Deal CF 2",#N/A,TRUE,"Investments";"Annual Deal CF 3",#N/A,TRUE,"Investments";"Annual Deal CF 4",#N/A,TRUE,"Investments";"Annual Deal CF 5",#N/A,TRUE,"Investments";"Annual Deal CF 6",#N/A,TRUE,"Investments";"Annual Deal CF 7",#N/A,TRUE,"Investments"}</definedName>
    <definedName name="MILF1" localSheetId="2" hidden="1">{"Annual Deal CF 1",#N/A,TRUE,"Investments";"Annual Deal CF 2",#N/A,TRUE,"Investments";"Annual Deal CF 3",#N/A,TRUE,"Investments";"Annual Deal CF 4",#N/A,TRUE,"Investments";"Annual Deal CF 5",#N/A,TRUE,"Investments";"Annual Deal CF 6",#N/A,TRUE,"Investments";"Annual Deal CF 7",#N/A,TRUE,"Investments"}</definedName>
    <definedName name="MILF1" localSheetId="4" hidden="1">{"Annual Deal CF 1",#N/A,TRUE,"Investments";"Annual Deal CF 2",#N/A,TRUE,"Investments";"Annual Deal CF 3",#N/A,TRUE,"Investments";"Annual Deal CF 4",#N/A,TRUE,"Investments";"Annual Deal CF 5",#N/A,TRUE,"Investments";"Annual Deal CF 6",#N/A,TRUE,"Investments";"Annual Deal CF 7",#N/A,TRUE,"Investments"}</definedName>
    <definedName name="MILF1" localSheetId="0" hidden="1">{"Annual Deal CF 1",#N/A,TRUE,"Investments";"Annual Deal CF 2",#N/A,TRUE,"Investments";"Annual Deal CF 3",#N/A,TRUE,"Investments";"Annual Deal CF 4",#N/A,TRUE,"Investments";"Annual Deal CF 5",#N/A,TRUE,"Investments";"Annual Deal CF 6",#N/A,TRUE,"Investments";"Annual Deal CF 7",#N/A,TRUE,"Investments"}</definedName>
    <definedName name="MILF1" hidden="1">{"Annual Deal CF 1",#N/A,TRUE,"Investments";"Annual Deal CF 2",#N/A,TRUE,"Investments";"Annual Deal CF 3",#N/A,TRUE,"Investments";"Annual Deal CF 4",#N/A,TRUE,"Investments";"Annual Deal CF 5",#N/A,TRUE,"Investments";"Annual Deal CF 6",#N/A,TRUE,"Investments";"Annual Deal CF 7",#N/A,TRUE,"Investments"}</definedName>
    <definedName name="MILF1_1" localSheetId="3" hidden="1">{"Annual Deal CF 1",#N/A,TRUE,"Investments";"Annual Deal CF 2",#N/A,TRUE,"Investments";"Annual Deal CF 3",#N/A,TRUE,"Investments";"Annual Deal CF 4",#N/A,TRUE,"Investments";"Annual Deal CF 5",#N/A,TRUE,"Investments";"Annual Deal CF 6",#N/A,TRUE,"Investments";"Annual Deal CF 7",#N/A,TRUE,"Investments"}</definedName>
    <definedName name="MILF1_1" localSheetId="9" hidden="1">{"Annual Deal CF 1",#N/A,TRUE,"Investments";"Annual Deal CF 2",#N/A,TRUE,"Investments";"Annual Deal CF 3",#N/A,TRUE,"Investments";"Annual Deal CF 4",#N/A,TRUE,"Investments";"Annual Deal CF 5",#N/A,TRUE,"Investments";"Annual Deal CF 6",#N/A,TRUE,"Investments";"Annual Deal CF 7",#N/A,TRUE,"Investments"}</definedName>
    <definedName name="MILF1_1" localSheetId="2" hidden="1">{"Annual Deal CF 1",#N/A,TRUE,"Investments";"Annual Deal CF 2",#N/A,TRUE,"Investments";"Annual Deal CF 3",#N/A,TRUE,"Investments";"Annual Deal CF 4",#N/A,TRUE,"Investments";"Annual Deal CF 5",#N/A,TRUE,"Investments";"Annual Deal CF 6",#N/A,TRUE,"Investments";"Annual Deal CF 7",#N/A,TRUE,"Investments"}</definedName>
    <definedName name="MILF1_1" localSheetId="4" hidden="1">{"Annual Deal CF 1",#N/A,TRUE,"Investments";"Annual Deal CF 2",#N/A,TRUE,"Investments";"Annual Deal CF 3",#N/A,TRUE,"Investments";"Annual Deal CF 4",#N/A,TRUE,"Investments";"Annual Deal CF 5",#N/A,TRUE,"Investments";"Annual Deal CF 6",#N/A,TRUE,"Investments";"Annual Deal CF 7",#N/A,TRUE,"Investments"}</definedName>
    <definedName name="MILF1_1" localSheetId="0" hidden="1">{"Annual Deal CF 1",#N/A,TRUE,"Investments";"Annual Deal CF 2",#N/A,TRUE,"Investments";"Annual Deal CF 3",#N/A,TRUE,"Investments";"Annual Deal CF 4",#N/A,TRUE,"Investments";"Annual Deal CF 5",#N/A,TRUE,"Investments";"Annual Deal CF 6",#N/A,TRUE,"Investments";"Annual Deal CF 7",#N/A,TRUE,"Investments"}</definedName>
    <definedName name="MILF1_1" hidden="1">{"Annual Deal CF 1",#N/A,TRUE,"Investments";"Annual Deal CF 2",#N/A,TRUE,"Investments";"Annual Deal CF 3",#N/A,TRUE,"Investments";"Annual Deal CF 4",#N/A,TRUE,"Investments";"Annual Deal CF 5",#N/A,TRUE,"Investments";"Annual Deal CF 6",#N/A,TRUE,"Investments";"Annual Deal CF 7",#N/A,TRUE,"Investments"}</definedName>
    <definedName name="MILF1_2" localSheetId="3" hidden="1">{"Annual Deal CF 1",#N/A,TRUE,"Investments";"Annual Deal CF 2",#N/A,TRUE,"Investments";"Annual Deal CF 3",#N/A,TRUE,"Investments";"Annual Deal CF 4",#N/A,TRUE,"Investments";"Annual Deal CF 5",#N/A,TRUE,"Investments";"Annual Deal CF 6",#N/A,TRUE,"Investments";"Annual Deal CF 7",#N/A,TRUE,"Investments"}</definedName>
    <definedName name="MILF1_2" localSheetId="9" hidden="1">{"Annual Deal CF 1",#N/A,TRUE,"Investments";"Annual Deal CF 2",#N/A,TRUE,"Investments";"Annual Deal CF 3",#N/A,TRUE,"Investments";"Annual Deal CF 4",#N/A,TRUE,"Investments";"Annual Deal CF 5",#N/A,TRUE,"Investments";"Annual Deal CF 6",#N/A,TRUE,"Investments";"Annual Deal CF 7",#N/A,TRUE,"Investments"}</definedName>
    <definedName name="MILF1_2" localSheetId="2" hidden="1">{"Annual Deal CF 1",#N/A,TRUE,"Investments";"Annual Deal CF 2",#N/A,TRUE,"Investments";"Annual Deal CF 3",#N/A,TRUE,"Investments";"Annual Deal CF 4",#N/A,TRUE,"Investments";"Annual Deal CF 5",#N/A,TRUE,"Investments";"Annual Deal CF 6",#N/A,TRUE,"Investments";"Annual Deal CF 7",#N/A,TRUE,"Investments"}</definedName>
    <definedName name="MILF1_2" localSheetId="4" hidden="1">{"Annual Deal CF 1",#N/A,TRUE,"Investments";"Annual Deal CF 2",#N/A,TRUE,"Investments";"Annual Deal CF 3",#N/A,TRUE,"Investments";"Annual Deal CF 4",#N/A,TRUE,"Investments";"Annual Deal CF 5",#N/A,TRUE,"Investments";"Annual Deal CF 6",#N/A,TRUE,"Investments";"Annual Deal CF 7",#N/A,TRUE,"Investments"}</definedName>
    <definedName name="MILF1_2" localSheetId="0" hidden="1">{"Annual Deal CF 1",#N/A,TRUE,"Investments";"Annual Deal CF 2",#N/A,TRUE,"Investments";"Annual Deal CF 3",#N/A,TRUE,"Investments";"Annual Deal CF 4",#N/A,TRUE,"Investments";"Annual Deal CF 5",#N/A,TRUE,"Investments";"Annual Deal CF 6",#N/A,TRUE,"Investments";"Annual Deal CF 7",#N/A,TRUE,"Investments"}</definedName>
    <definedName name="MILF1_2" hidden="1">{"Annual Deal CF 1",#N/A,TRUE,"Investments";"Annual Deal CF 2",#N/A,TRUE,"Investments";"Annual Deal CF 3",#N/A,TRUE,"Investments";"Annual Deal CF 4",#N/A,TRUE,"Investments";"Annual Deal CF 5",#N/A,TRUE,"Investments";"Annual Deal CF 6",#N/A,TRUE,"Investments";"Annual Deal CF 7",#N/A,TRUE,"Investments"}</definedName>
    <definedName name="MILF1_3" localSheetId="3" hidden="1">{"Annual Deal CF 1",#N/A,TRUE,"Investments";"Annual Deal CF 2",#N/A,TRUE,"Investments";"Annual Deal CF 3",#N/A,TRUE,"Investments";"Annual Deal CF 4",#N/A,TRUE,"Investments";"Annual Deal CF 5",#N/A,TRUE,"Investments";"Annual Deal CF 6",#N/A,TRUE,"Investments";"Annual Deal CF 7",#N/A,TRUE,"Investments"}</definedName>
    <definedName name="MILF1_3" localSheetId="9" hidden="1">{"Annual Deal CF 1",#N/A,TRUE,"Investments";"Annual Deal CF 2",#N/A,TRUE,"Investments";"Annual Deal CF 3",#N/A,TRUE,"Investments";"Annual Deal CF 4",#N/A,TRUE,"Investments";"Annual Deal CF 5",#N/A,TRUE,"Investments";"Annual Deal CF 6",#N/A,TRUE,"Investments";"Annual Deal CF 7",#N/A,TRUE,"Investments"}</definedName>
    <definedName name="MILF1_3" localSheetId="2" hidden="1">{"Annual Deal CF 1",#N/A,TRUE,"Investments";"Annual Deal CF 2",#N/A,TRUE,"Investments";"Annual Deal CF 3",#N/A,TRUE,"Investments";"Annual Deal CF 4",#N/A,TRUE,"Investments";"Annual Deal CF 5",#N/A,TRUE,"Investments";"Annual Deal CF 6",#N/A,TRUE,"Investments";"Annual Deal CF 7",#N/A,TRUE,"Investments"}</definedName>
    <definedName name="MILF1_3" localSheetId="4" hidden="1">{"Annual Deal CF 1",#N/A,TRUE,"Investments";"Annual Deal CF 2",#N/A,TRUE,"Investments";"Annual Deal CF 3",#N/A,TRUE,"Investments";"Annual Deal CF 4",#N/A,TRUE,"Investments";"Annual Deal CF 5",#N/A,TRUE,"Investments";"Annual Deal CF 6",#N/A,TRUE,"Investments";"Annual Deal CF 7",#N/A,TRUE,"Investments"}</definedName>
    <definedName name="MILF1_3" localSheetId="0" hidden="1">{"Annual Deal CF 1",#N/A,TRUE,"Investments";"Annual Deal CF 2",#N/A,TRUE,"Investments";"Annual Deal CF 3",#N/A,TRUE,"Investments";"Annual Deal CF 4",#N/A,TRUE,"Investments";"Annual Deal CF 5",#N/A,TRUE,"Investments";"Annual Deal CF 6",#N/A,TRUE,"Investments";"Annual Deal CF 7",#N/A,TRUE,"Investments"}</definedName>
    <definedName name="MILF1_3" hidden="1">{"Annual Deal CF 1",#N/A,TRUE,"Investments";"Annual Deal CF 2",#N/A,TRUE,"Investments";"Annual Deal CF 3",#N/A,TRUE,"Investments";"Annual Deal CF 4",#N/A,TRUE,"Investments";"Annual Deal CF 5",#N/A,TRUE,"Investments";"Annual Deal CF 6",#N/A,TRUE,"Investments";"Annual Deal CF 7",#N/A,TRUE,"Investments"}</definedName>
    <definedName name="MILLERTONFEES">#REF!</definedName>
    <definedName name="mix" localSheetId="0" hidden="1">{#N/A,#N/A,FALSE,"el.det";#N/A,#N/A,FALSE,"mu.det";#N/A,#N/A,FALSE,"ug.det";#N/A,#N/A,FALSE,"ex.det";#N/A,#N/A,FALSE,"lux.det";#N/A,#N/A,FALSE,"custom.lot";#N/A,#N/A,FALSE,"condo.att";#N/A,#N/A,FALSE,"el.att";#N/A,#N/A,FALSE,"mu.att";#N/A,#N/A,FALSE,"ex.att";#N/A,#N/A,FALSE,"lux.att";#N/A,#N/A,FALSE,"all.by.village"}</definedName>
    <definedName name="mix" hidden="1">{#N/A,#N/A,FALSE,"el.det";#N/A,#N/A,FALSE,"mu.det";#N/A,#N/A,FALSE,"ug.det";#N/A,#N/A,FALSE,"ex.det";#N/A,#N/A,FALSE,"lux.det";#N/A,#N/A,FALSE,"custom.lot";#N/A,#N/A,FALSE,"condo.att";#N/A,#N/A,FALSE,"el.att";#N/A,#N/A,FALSE,"mu.att";#N/A,#N/A,FALSE,"ex.att";#N/A,#N/A,FALSE,"lux.att";#N/A,#N/A,FALSE,"all.by.village"}</definedName>
    <definedName name="MKTG">#REF!</definedName>
    <definedName name="MLNK257a43db4dd147c6b2c978c969865ca0" hidden="1">#REF!</definedName>
    <definedName name="MLNK50c48910815f4ac29880d4e9e0df83ed" hidden="1">#REF!</definedName>
    <definedName name="Mon_Cut">#REF!</definedName>
    <definedName name="Monthly_Cutoff">#REF!</definedName>
    <definedName name="mozy" localSheetId="0" hidden="1">{#N/A,#N/A,FALSE,"IPCOVER";#N/A,#N/A,FALSE,"STATEMENT";#N/A,#N/A,FALSE,"MARGIN";#N/A,#N/A,FALSE,"GNS &amp; LSS";#N/A,#N/A,FALSE,"IPREALGL";#N/A,#N/A,FALSE,"SHRTACCT"}</definedName>
    <definedName name="mozy" hidden="1">{#N/A,#N/A,FALSE,"IPCOVER";#N/A,#N/A,FALSE,"STATEMENT";#N/A,#N/A,FALSE,"MARGIN";#N/A,#N/A,FALSE,"GNS &amp; LSS";#N/A,#N/A,FALSE,"IPREALGL";#N/A,#N/A,FALSE,"SHRTACCT"}</definedName>
    <definedName name="N">#N/A</definedName>
    <definedName name="name">#REF!</definedName>
    <definedName name="Name1" localSheetId="3" hidden="1">{"cot1",#N/A,FALSE,"Cottages";"cot2",#N/A,FALSE,"Cottages";"cot3",#N/A,FALSE,"Cottages"}</definedName>
    <definedName name="Name1" localSheetId="6" hidden="1">{"cot1",#N/A,FALSE,"Cottages";"cot2",#N/A,FALSE,"Cottages";"cot3",#N/A,FALSE,"Cottages"}</definedName>
    <definedName name="Name1" localSheetId="9" hidden="1">{"cot1",#N/A,FALSE,"Cottages";"cot2",#N/A,FALSE,"Cottages";"cot3",#N/A,FALSE,"Cottages"}</definedName>
    <definedName name="Name1" localSheetId="2" hidden="1">{"cot1",#N/A,FALSE,"Cottages";"cot2",#N/A,FALSE,"Cottages";"cot3",#N/A,FALSE,"Cottages"}</definedName>
    <definedName name="Name1" localSheetId="4" hidden="1">{"cot1",#N/A,FALSE,"Cottages";"cot2",#N/A,FALSE,"Cottages";"cot3",#N/A,FALSE,"Cottages"}</definedName>
    <definedName name="Name1" localSheetId="0" hidden="1">{"cot1",#N/A,FALSE,"Cottages";"cot2",#N/A,FALSE,"Cottages";"cot3",#N/A,FALSE,"Cottages"}</definedName>
    <definedName name="Name1" hidden="1">{"cot1",#N/A,FALSE,"Cottages";"cot2",#N/A,FALSE,"Cottages";"cot3",#N/A,FALSE,"Cottages"}</definedName>
    <definedName name="nbmvcmnb" localSheetId="3" hidden="1">{#N/A,#N/A,TRUE,"10 Yr Hold";#N/A,#N/A,TRUE,"7 Yr Hold";#N/A,#N/A,TRUE,"5 Yr Hold";#N/A,#N/A,TRUE,"3 Yr Hold"}</definedName>
    <definedName name="nbmvcmnb" localSheetId="9" hidden="1">{#N/A,#N/A,TRUE,"10 Yr Hold";#N/A,#N/A,TRUE,"7 Yr Hold";#N/A,#N/A,TRUE,"5 Yr Hold";#N/A,#N/A,TRUE,"3 Yr Hold"}</definedName>
    <definedName name="nbmvcmnb" localSheetId="2" hidden="1">{#N/A,#N/A,TRUE,"10 Yr Hold";#N/A,#N/A,TRUE,"7 Yr Hold";#N/A,#N/A,TRUE,"5 Yr Hold";#N/A,#N/A,TRUE,"3 Yr Hold"}</definedName>
    <definedName name="nbmvcmnb" localSheetId="4" hidden="1">{#N/A,#N/A,TRUE,"10 Yr Hold";#N/A,#N/A,TRUE,"7 Yr Hold";#N/A,#N/A,TRUE,"5 Yr Hold";#N/A,#N/A,TRUE,"3 Yr Hold"}</definedName>
    <definedName name="nbmvcmnb" localSheetId="0" hidden="1">{#N/A,#N/A,TRUE,"10 Yr Hold";#N/A,#N/A,TRUE,"7 Yr Hold";#N/A,#N/A,TRUE,"5 Yr Hold";#N/A,#N/A,TRUE,"3 Yr Hold"}</definedName>
    <definedName name="nbmvcmnb" hidden="1">{#N/A,#N/A,TRUE,"10 Yr Hold";#N/A,#N/A,TRUE,"7 Yr Hold";#N/A,#N/A,TRUE,"5 Yr Hold";#N/A,#N/A,TRUE,"3 Yr Hold"}</definedName>
    <definedName name="ND_After_Purchase_Interest">#REF!</definedName>
    <definedName name="ND_After_Purchase_Periods">#REF!</definedName>
    <definedName name="ND_After_Purchase_Principal">#REF!</definedName>
    <definedName name="ND_AT_Purchase_Interest">#REF!</definedName>
    <definedName name="ND_AT_Purchase_Period">#REF!</definedName>
    <definedName name="ND_AT_Purchase_Principal">#REF!</definedName>
    <definedName name="Net">#REF!</definedName>
    <definedName name="NetSf">#REF!</definedName>
    <definedName name="new" localSheetId="0" hidden="1">{"CF",#N/A,FALSE,"Cash Flow";"RET",#N/A,FALSE,"Returns";"NPV",#N/A,FALSE,"Values";"ASMPT",#N/A,FALSE,"Assumptions"}</definedName>
    <definedName name="new" hidden="1">{"CF",#N/A,FALSE,"Cash Flow";"RET",#N/A,FALSE,"Returns";"NPV",#N/A,FALSE,"Values";"ASMPT",#N/A,FALSE,"Assumptions"}</definedName>
    <definedName name="New_Supp_Interest">#REF!</definedName>
    <definedName name="New_Supp_Periods">#REF!</definedName>
    <definedName name="New_Supp_Principal">#REF!</definedName>
    <definedName name="newhtml" localSheetId="3" hidden="1">{"'Assump'!$F$6:$J$6"}</definedName>
    <definedName name="newhtml" localSheetId="6" hidden="1">{"'Assump'!$F$6:$J$6"}</definedName>
    <definedName name="newhtml" localSheetId="9" hidden="1">{"'Assump'!$F$6:$J$6"}</definedName>
    <definedName name="newhtml" localSheetId="2" hidden="1">{"'Assump'!$F$6:$J$6"}</definedName>
    <definedName name="newhtml" localSheetId="4" hidden="1">{"'Assump'!$F$6:$J$6"}</definedName>
    <definedName name="newhtml" localSheetId="0" hidden="1">{"'Assump'!$F$6:$J$6"}</definedName>
    <definedName name="newhtml" hidden="1">{"'Assump'!$F$6:$J$6"}</definedName>
    <definedName name="newrange" localSheetId="3" hidden="1">{"Annual Cash Flows",#N/A,FALSE,"Annual Summary"}</definedName>
    <definedName name="newrange" localSheetId="6" hidden="1">{"Annual Cash Flows",#N/A,FALSE,"Annual Summary"}</definedName>
    <definedName name="newrange" localSheetId="9" hidden="1">{"Annual Cash Flows",#N/A,FALSE,"Annual Summary"}</definedName>
    <definedName name="newrange" localSheetId="2" hidden="1">{"Annual Cash Flows",#N/A,FALSE,"Annual Summary"}</definedName>
    <definedName name="newrange" localSheetId="4" hidden="1">{"Annual Cash Flows",#N/A,FALSE,"Annual Summary"}</definedName>
    <definedName name="newrange" localSheetId="0" hidden="1">{"Annual Cash Flows",#N/A,FALSE,"Annual Summary"}</definedName>
    <definedName name="newrange" hidden="1">{"Annual Cash Flows",#N/A,FALSE,"Annual Summary"}</definedName>
    <definedName name="nextup">!A65536</definedName>
    <definedName name="No_of_Units">#REF!</definedName>
    <definedName name="NonAdjust">#REF!</definedName>
    <definedName name="NRA">#REF!</definedName>
    <definedName name="Num_Pmt_Per_Year">#REF!</definedName>
    <definedName name="Number">#REF!</definedName>
    <definedName name="Number_of_Payments" localSheetId="0">MATCH(0.01,End_Bal,-1)+1</definedName>
    <definedName name="Number_of_Payments">MATCH(0.01,End_Bal,-1)+1</definedName>
    <definedName name="Number_of_Units">#REF!</definedName>
    <definedName name="NumberOfUnits">#REF!</definedName>
    <definedName name="NumOfCarGiven">#REF!</definedName>
    <definedName name="NvsAnswerCol">"[MA0610701_PC008.xls]Sheet2!$A$4:$A$7628"</definedName>
    <definedName name="NvsASD">"V2007-09-30"</definedName>
    <definedName name="NvsAutoDrillOk">"VY"</definedName>
    <definedName name="NvsElapsedTime">0.000277777777228039</definedName>
    <definedName name="NvsEndTime">39364.4517824074</definedName>
    <definedName name="NvsInstLang">"VENG"</definedName>
    <definedName name="NvsInstSpec">"%,FPROJECT_ID,VMA0610701"</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PanelBusUnit">"V"</definedName>
    <definedName name="NvsPanelEffdt">"V1999-01-01"</definedName>
    <definedName name="NvsPanelSetid">"V04000"</definedName>
    <definedName name="NvsReqBU">"V04000"</definedName>
    <definedName name="NvsReqBUOnly">"VN"</definedName>
    <definedName name="NvsTransLed">"VN"</definedName>
    <definedName name="NvsTreeASD">"V2007-09-30"</definedName>
    <definedName name="NvsValTbl.RESOURCE_CATEGORY">"PROJ_CATG_TBL"</definedName>
    <definedName name="O">#N/A</definedName>
    <definedName name="OFF_CAP_RATE">#REF!</definedName>
    <definedName name="Office">#REF!</definedName>
    <definedName name="OGRSF">#REF!</definedName>
    <definedName name="okay" localSheetId="3" hidden="1">{#N/A,#N/A,FALSE,"INPUTS";#N/A,#N/A,FALSE,"PROFORMA BSHEET";#N/A,#N/A,FALSE,"COMBINED";#N/A,#N/A,FALSE,"HIGH YIELD";#N/A,#N/A,FALSE,"COMB_GRAPHS"}</definedName>
    <definedName name="okay" localSheetId="9" hidden="1">{#N/A,#N/A,FALSE,"INPUTS";#N/A,#N/A,FALSE,"PROFORMA BSHEET";#N/A,#N/A,FALSE,"COMBINED";#N/A,#N/A,FALSE,"HIGH YIELD";#N/A,#N/A,FALSE,"COMB_GRAPHS"}</definedName>
    <definedName name="okay" localSheetId="2" hidden="1">{#N/A,#N/A,FALSE,"INPUTS";#N/A,#N/A,FALSE,"PROFORMA BSHEET";#N/A,#N/A,FALSE,"COMBINED";#N/A,#N/A,FALSE,"HIGH YIELD";#N/A,#N/A,FALSE,"COMB_GRAPHS"}</definedName>
    <definedName name="okay" localSheetId="4" hidden="1">{#N/A,#N/A,FALSE,"INPUTS";#N/A,#N/A,FALSE,"PROFORMA BSHEET";#N/A,#N/A,FALSE,"COMBINED";#N/A,#N/A,FALSE,"HIGH YIELD";#N/A,#N/A,FALSE,"COMB_GRAPHS"}</definedName>
    <definedName name="okay" localSheetId="0" hidden="1">{#N/A,#N/A,FALSE,"INPUTS";#N/A,#N/A,FALSE,"PROFORMA BSHEET";#N/A,#N/A,FALSE,"COMBINED";#N/A,#N/A,FALSE,"HIGH YIELD";#N/A,#N/A,FALSE,"COMB_GRAPHS"}</definedName>
    <definedName name="okay" hidden="1">{#N/A,#N/A,FALSE,"INPUTS";#N/A,#N/A,FALSE,"PROFORMA BSHEET";#N/A,#N/A,FALSE,"COMBINED";#N/A,#N/A,FALSE,"HIGH YIELD";#N/A,#N/A,FALSE,"COMB_GRAPHS"}</definedName>
    <definedName name="OldDateStamp">#REF!</definedName>
    <definedName name="oldhtl" localSheetId="3" hidden="1">{"'Assump'!$F$6:$J$6"}</definedName>
    <definedName name="oldhtl" localSheetId="6" hidden="1">{"'Assump'!$F$6:$J$6"}</definedName>
    <definedName name="oldhtl" localSheetId="9" hidden="1">{"'Assump'!$F$6:$J$6"}</definedName>
    <definedName name="oldhtl" localSheetId="2" hidden="1">{"'Assump'!$F$6:$J$6"}</definedName>
    <definedName name="oldhtl" localSheetId="4" hidden="1">{"'Assump'!$F$6:$J$6"}</definedName>
    <definedName name="oldhtl" localSheetId="0" hidden="1">{"'Assump'!$F$6:$J$6"}</definedName>
    <definedName name="oldhtl" hidden="1">{"'Assump'!$F$6:$J$6"}</definedName>
    <definedName name="ON">#REF!</definedName>
    <definedName name="one" localSheetId="0" hidden="1">{#N/A,#N/A,FALSE,"II-2 POP.HH";#N/A,#N/A,FALSE,"II-3 AGE.DIST";#N/A,#N/A,FALSE,"II-4 HH.DIST";#N/A,#N/A,FALSE,"II-5 EMP.INDUS"}</definedName>
    <definedName name="one" hidden="1">{#N/A,#N/A,FALSE,"II-2 POP.HH";#N/A,#N/A,FALSE,"II-3 AGE.DIST";#N/A,#N/A,FALSE,"II-4 HH.DIST";#N/A,#N/A,FALSE,"II-5 EMP.INDUS"}</definedName>
    <definedName name="ONRSF">#REF!</definedName>
    <definedName name="Onsite_Offsite_combined_tbl">#REF!</definedName>
    <definedName name="op_start_date">#REF!</definedName>
    <definedName name="Operation_Period_Months">#REF!</definedName>
    <definedName name="Operations_Begin_Date">#REF!</definedName>
    <definedName name="Operations_Begin_Month">#REF!</definedName>
    <definedName name="options">#N/A</definedName>
    <definedName name="ORI_Module_On">#REF!</definedName>
    <definedName name="Other">#REF!</definedName>
    <definedName name="OVERALL" localSheetId="0" hidden="1">{#N/A,#N/A,FALSE,"el.det";#N/A,#N/A,FALSE,"mu.det";#N/A,#N/A,FALSE,"ug.det";#N/A,#N/A,FALSE,"ex.det";#N/A,#N/A,FALSE,"lux.det";#N/A,#N/A,FALSE,"custom.lot";#N/A,#N/A,FALSE,"condo.att";#N/A,#N/A,FALSE,"el.att";#N/A,#N/A,FALSE,"mu.att";#N/A,#N/A,FALSE,"ex.att";#N/A,#N/A,FALSE,"lux.att";#N/A,#N/A,FALSE,"all.by.village"}</definedName>
    <definedName name="OVERALL" hidden="1">{#N/A,#N/A,FALSE,"el.det";#N/A,#N/A,FALSE,"mu.det";#N/A,#N/A,FALSE,"ug.det";#N/A,#N/A,FALSE,"ex.det";#N/A,#N/A,FALSE,"lux.det";#N/A,#N/A,FALSE,"custom.lot";#N/A,#N/A,FALSE,"condo.att";#N/A,#N/A,FALSE,"el.att";#N/A,#N/A,FALSE,"mu.att";#N/A,#N/A,FALSE,"ex.att";#N/A,#N/A,FALSE,"lux.att";#N/A,#N/A,FALSE,"all.by.village"}</definedName>
    <definedName name="OverAllPer">#REF!</definedName>
    <definedName name="OverTrade">#REF!</definedName>
    <definedName name="OverTradeEv">#REF!</definedName>
    <definedName name="P">#N/A</definedName>
    <definedName name="PAGE1">#REF!</definedName>
    <definedName name="PAGE2">#REF!</definedName>
    <definedName name="Param_CumRent" localSheetId="3" hidden="1">#REF!</definedName>
    <definedName name="Param_CumRent" localSheetId="9" hidden="1">#REF!</definedName>
    <definedName name="Param_CumRent" localSheetId="2" hidden="1">#REF!</definedName>
    <definedName name="Param_CumRent" localSheetId="4" hidden="1">#REF!</definedName>
    <definedName name="Param_CumRent" hidden="1">#REF!</definedName>
    <definedName name="Param_CurrentDate" localSheetId="3" hidden="1">#REF!</definedName>
    <definedName name="Param_CurrentDate" localSheetId="9" hidden="1">#REF!</definedName>
    <definedName name="Param_CurrentDate" localSheetId="2" hidden="1">#REF!</definedName>
    <definedName name="Param_CurrentDate" localSheetId="4" hidden="1">#REF!</definedName>
    <definedName name="Param_CurrentDate" hidden="1">#REF!</definedName>
    <definedName name="Param_DRCredit" localSheetId="3" hidden="1">#REF!</definedName>
    <definedName name="Param_DRCredit" localSheetId="9" hidden="1">#REF!</definedName>
    <definedName name="Param_DRCredit" localSheetId="2" hidden="1">#REF!</definedName>
    <definedName name="Param_DRCredit" localSheetId="4" hidden="1">#REF!</definedName>
    <definedName name="Param_DRCredit" hidden="1">#REF!</definedName>
    <definedName name="Param_DRNonCredit" localSheetId="3" hidden="1">#REF!</definedName>
    <definedName name="Param_DRNonCredit" localSheetId="9" hidden="1">#REF!</definedName>
    <definedName name="Param_DRNonCredit" localSheetId="2" hidden="1">#REF!</definedName>
    <definedName name="Param_DRNonCredit" localSheetId="4" hidden="1">#REF!</definedName>
    <definedName name="Param_DRNonCredit" hidden="1">#REF!</definedName>
    <definedName name="Param_IncludeCPI" localSheetId="3" hidden="1">#REF!</definedName>
    <definedName name="Param_IncludeCPI" localSheetId="9" hidden="1">#REF!</definedName>
    <definedName name="Param_IncludeCPI" localSheetId="2" hidden="1">#REF!</definedName>
    <definedName name="Param_IncludeCPI" localSheetId="4" hidden="1">#REF!</definedName>
    <definedName name="Param_IncludeCPI" hidden="1">#REF!</definedName>
    <definedName name="Param_IncludePercentRent" localSheetId="3" hidden="1">#REF!</definedName>
    <definedName name="Param_IncludePercentRent" localSheetId="9" hidden="1">#REF!</definedName>
    <definedName name="Param_IncludePercentRent" localSheetId="2" hidden="1">#REF!</definedName>
    <definedName name="Param_IncludePercentRent" localSheetId="4" hidden="1">#REF!</definedName>
    <definedName name="Param_IncludePercentRent" hidden="1">#REF!</definedName>
    <definedName name="Param_IncludePW" localSheetId="3" hidden="1">#REF!</definedName>
    <definedName name="Param_IncludePW" localSheetId="9" hidden="1">#REF!</definedName>
    <definedName name="Param_IncludePW" localSheetId="2" hidden="1">#REF!</definedName>
    <definedName name="Param_IncludePW" localSheetId="4" hidden="1">#REF!</definedName>
    <definedName name="Param_IncludePW" hidden="1">#REF!</definedName>
    <definedName name="Param_Inclusion" localSheetId="3" hidden="1">#REF!</definedName>
    <definedName name="Param_Inclusion" localSheetId="9" hidden="1">#REF!</definedName>
    <definedName name="Param_Inclusion" localSheetId="2" hidden="1">#REF!</definedName>
    <definedName name="Param_Inclusion" localSheetId="4" hidden="1">#REF!</definedName>
    <definedName name="Param_Inclusion" hidden="1">#REF!</definedName>
    <definedName name="Param_PVAbatement" localSheetId="3" hidden="1">#REF!</definedName>
    <definedName name="Param_PVAbatement" localSheetId="9" hidden="1">#REF!</definedName>
    <definedName name="Param_PVAbatement" localSheetId="2" hidden="1">#REF!</definedName>
    <definedName name="Param_PVAbatement" localSheetId="4" hidden="1">#REF!</definedName>
    <definedName name="Param_PVAbatement" hidden="1">#REF!</definedName>
    <definedName name="Param_SLAbatement" localSheetId="3" hidden="1">#REF!</definedName>
    <definedName name="Param_SLAbatement" localSheetId="9" hidden="1">#REF!</definedName>
    <definedName name="Param_SLAbatement" localSheetId="2" hidden="1">#REF!</definedName>
    <definedName name="Param_SLAbatement" localSheetId="4" hidden="1">#REF!</definedName>
    <definedName name="Param_SLAbatement" hidden="1">#REF!</definedName>
    <definedName name="Param_VacMarket" localSheetId="3" hidden="1">#REF!</definedName>
    <definedName name="Param_VacMarket" localSheetId="9" hidden="1">#REF!</definedName>
    <definedName name="Param_VacMarket" localSheetId="2" hidden="1">#REF!</definedName>
    <definedName name="Param_VacMarket" localSheetId="4" hidden="1">#REF!</definedName>
    <definedName name="Param_VacMarket" hidden="1">#REF!</definedName>
    <definedName name="Param_VacRenew" localSheetId="3" hidden="1">#REF!</definedName>
    <definedName name="Param_VacRenew" localSheetId="9" hidden="1">#REF!</definedName>
    <definedName name="Param_VacRenew" localSheetId="2" hidden="1">#REF!</definedName>
    <definedName name="Param_VacRenew" localSheetId="4" hidden="1">#REF!</definedName>
    <definedName name="Param_VacRenew" hidden="1">#REF!</definedName>
    <definedName name="Param_VacVacate" localSheetId="3" hidden="1">#REF!</definedName>
    <definedName name="Param_VacVacate" localSheetId="9" hidden="1">#REF!</definedName>
    <definedName name="Param_VacVacate" localSheetId="2" hidden="1">#REF!</definedName>
    <definedName name="Param_VacVacate" localSheetId="4" hidden="1">#REF!</definedName>
    <definedName name="Param_VacVacate" hidden="1">#REF!</definedName>
    <definedName name="Parking">#REF!</definedName>
    <definedName name="partialperiod">#REF!</definedName>
    <definedName name="Pay_Num">#REF!</definedName>
    <definedName name="Payment">#REF!</definedName>
    <definedName name="Payment_Date" localSheetId="0">DATE(YEAR([1]!Loan_Start),MONTH([1]!Loan_Start)+Payment_Number,DAY([1]!Loan_Start))</definedName>
    <definedName name="Payment_Date">DATE(YEAR([1]!Loan_Start),MONTH([1]!Loan_Start)+Payment_Number,DAY([1]!Loan_Start))</definedName>
    <definedName name="PayOff">#REF!</definedName>
    <definedName name="PercentBldg">#REF!</definedName>
    <definedName name="Period_Selection">#REF!</definedName>
    <definedName name="Periods">#REF!</definedName>
    <definedName name="perm_loan_fund">#REF!</definedName>
    <definedName name="PermDebt_Funding_Month">#REF!</definedName>
    <definedName name="PermLoanTrigger">#REF!</definedName>
    <definedName name="Phase2">#REF!</definedName>
    <definedName name="phbra">#REF!</definedName>
    <definedName name="PHC">#REF!</definedName>
    <definedName name="phka">#REF!</definedName>
    <definedName name="phrra">#REF!</definedName>
    <definedName name="phrrc">#REF!</definedName>
    <definedName name="PlanName">'Reference Tab'!$A$5:$A$54</definedName>
    <definedName name="points">#REF!</definedName>
    <definedName name="PP">#REF!</definedName>
    <definedName name="ppp">#REF!</definedName>
    <definedName name="PREDEV">#REF!</definedName>
    <definedName name="PREF">#REF!</definedName>
    <definedName name="PREF_COMPOUND">#REF!</definedName>
    <definedName name="Preferred_Return">#REF!</definedName>
    <definedName name="PreparedBy">#REF!</definedName>
    <definedName name="PreviousYear">"Text 9"</definedName>
    <definedName name="price">#REF!</definedName>
    <definedName name="Price_Golf">#REF!</definedName>
    <definedName name="Princ">#REF!</definedName>
    <definedName name="principal">#REF!</definedName>
    <definedName name="Print" localSheetId="3" hidden="1">{#N/A,#N/A,TRUE,"Cover";#N/A,#N/A,TRUE,"Stack";#N/A,#N/A,TRUE,"Cost S";#N/A,#N/A,TRUE,"Financing";#N/A,#N/A,TRUE," CF";#N/A,#N/A,TRUE,"CF Mnthly";#N/A,#N/A,TRUE,"CF assum";#N/A,#N/A,TRUE,"Unit Sales";#N/A,#N/A,TRUE,"REV";#N/A,#N/A,TRUE,"Bdgt Backup"}</definedName>
    <definedName name="Print" localSheetId="6" hidden="1">{#N/A,#N/A,TRUE,"Cover";#N/A,#N/A,TRUE,"Stack";#N/A,#N/A,TRUE,"Cost S";#N/A,#N/A,TRUE,"Financing";#N/A,#N/A,TRUE," CF";#N/A,#N/A,TRUE,"CF Mnthly";#N/A,#N/A,TRUE,"CF assum";#N/A,#N/A,TRUE,"Unit Sales";#N/A,#N/A,TRUE,"REV";#N/A,#N/A,TRUE,"Bdgt Backup"}</definedName>
    <definedName name="Print" localSheetId="9" hidden="1">{#N/A,#N/A,TRUE,"Cover";#N/A,#N/A,TRUE,"Stack";#N/A,#N/A,TRUE,"Cost S";#N/A,#N/A,TRUE,"Financing";#N/A,#N/A,TRUE," CF";#N/A,#N/A,TRUE,"CF Mnthly";#N/A,#N/A,TRUE,"CF assum";#N/A,#N/A,TRUE,"Unit Sales";#N/A,#N/A,TRUE,"REV";#N/A,#N/A,TRUE,"Bdgt Backup"}</definedName>
    <definedName name="Print" localSheetId="2" hidden="1">{#N/A,#N/A,TRUE,"Cover";#N/A,#N/A,TRUE,"Stack";#N/A,#N/A,TRUE,"Cost S";#N/A,#N/A,TRUE,"Financing";#N/A,#N/A,TRUE," CF";#N/A,#N/A,TRUE,"CF Mnthly";#N/A,#N/A,TRUE,"CF assum";#N/A,#N/A,TRUE,"Unit Sales";#N/A,#N/A,TRUE,"REV";#N/A,#N/A,TRUE,"Bdgt Backup"}</definedName>
    <definedName name="Print" localSheetId="4" hidden="1">{#N/A,#N/A,TRUE,"Cover";#N/A,#N/A,TRUE,"Stack";#N/A,#N/A,TRUE,"Cost S";#N/A,#N/A,TRUE,"Financing";#N/A,#N/A,TRUE," CF";#N/A,#N/A,TRUE,"CF Mnthly";#N/A,#N/A,TRUE,"CF assum";#N/A,#N/A,TRUE,"Unit Sales";#N/A,#N/A,TRUE,"REV";#N/A,#N/A,TRUE,"Bdgt Backup"}</definedName>
    <definedName name="Print" localSheetId="0" hidden="1">{#N/A,#N/A,TRUE,"Cover";#N/A,#N/A,TRUE,"Stack";#N/A,#N/A,TRUE,"Cost S";#N/A,#N/A,TRUE,"Financing";#N/A,#N/A,TRUE," CF";#N/A,#N/A,TRUE,"CF Mnthly";#N/A,#N/A,TRUE,"CF assum";#N/A,#N/A,TRUE,"Unit Sales";#N/A,#N/A,TRUE,"REV";#N/A,#N/A,TRUE,"Bdgt Backup"}</definedName>
    <definedName name="Print" hidden="1">{#N/A,#N/A,TRUE,"Cover";#N/A,#N/A,TRUE,"Stack";#N/A,#N/A,TRUE,"Cost S";#N/A,#N/A,TRUE,"Financing";#N/A,#N/A,TRUE," CF";#N/A,#N/A,TRUE,"CF Mnthly";#N/A,#N/A,TRUE,"CF assum";#N/A,#N/A,TRUE,"Unit Sales";#N/A,#N/A,TRUE,"REV";#N/A,#N/A,TRUE,"Bdgt Backup"}</definedName>
    <definedName name="_xlnm.Print_Area" localSheetId="3">'Acquisition Summary'!$B$1:$L$58</definedName>
    <definedName name="_xlnm.Print_Area" localSheetId="2">'Fee Build Dashboard'!$B$1:$K$56</definedName>
    <definedName name="_xlnm.Print_Area" localSheetId="1">Inputs!$A$2:$F$101</definedName>
    <definedName name="_xlnm.Print_Area" localSheetId="4">'Investor Summary'!$B$1:$J$33</definedName>
    <definedName name="_xlnm.Print_Area">#REF!</definedName>
    <definedName name="Print_Area_MI">#REF!</definedName>
    <definedName name="Print_Area1">#REF!</definedName>
    <definedName name="Print_Area2">#REF!</definedName>
    <definedName name="Print_Area3">#REF!</definedName>
    <definedName name="Print_Area4">#REF!</definedName>
    <definedName name="_xlnm.Print_Titles">#REF!</definedName>
    <definedName name="Print_Titles_MI">#REF!</definedName>
    <definedName name="Print2" localSheetId="3" hidden="1">{#N/A,#N/A,FALSE,"Cover";#N/A,#N/A,FALSE,"Stack";#N/A,#N/A,FALSE,"Cost S";#N/A,#N/A,FALSE," CF";#N/A,#N/A,FALSE,"Investor"}</definedName>
    <definedName name="Print2" localSheetId="6" hidden="1">{#N/A,#N/A,FALSE,"Cover";#N/A,#N/A,FALSE,"Stack";#N/A,#N/A,FALSE,"Cost S";#N/A,#N/A,FALSE," CF";#N/A,#N/A,FALSE,"Investor"}</definedName>
    <definedName name="Print2" localSheetId="9" hidden="1">{#N/A,#N/A,FALSE,"Cover";#N/A,#N/A,FALSE,"Stack";#N/A,#N/A,FALSE,"Cost S";#N/A,#N/A,FALSE," CF";#N/A,#N/A,FALSE,"Investor"}</definedName>
    <definedName name="Print2" localSheetId="2" hidden="1">{#N/A,#N/A,FALSE,"Cover";#N/A,#N/A,FALSE,"Stack";#N/A,#N/A,FALSE,"Cost S";#N/A,#N/A,FALSE," CF";#N/A,#N/A,FALSE,"Investor"}</definedName>
    <definedName name="Print2" localSheetId="4" hidden="1">{#N/A,#N/A,FALSE,"Cover";#N/A,#N/A,FALSE,"Stack";#N/A,#N/A,FALSE,"Cost S";#N/A,#N/A,FALSE," CF";#N/A,#N/A,FALSE,"Investor"}</definedName>
    <definedName name="Print2" localSheetId="0" hidden="1">{#N/A,#N/A,FALSE,"Cover";#N/A,#N/A,FALSE,"Stack";#N/A,#N/A,FALSE,"Cost S";#N/A,#N/A,FALSE," CF";#N/A,#N/A,FALSE,"Investor"}</definedName>
    <definedName name="Print2" hidden="1">{#N/A,#N/A,FALSE,"Cover";#N/A,#N/A,FALSE,"Stack";#N/A,#N/A,FALSE,"Cost S";#N/A,#N/A,FALSE," CF";#N/A,#N/A,FALSE,"Investor"}</definedName>
    <definedName name="PrintAreaSD">#REF!:INDEX(#REF!,COUNTA(#REF!))</definedName>
    <definedName name="prntall" localSheetId="0" hidden="1">{#N/A,#N/A,FALSE,"Land";#N/A,#N/A,FALSE,"Cost Analysis";"Summary",#N/A,FALSE,"Equipment"}</definedName>
    <definedName name="prntall" hidden="1">{#N/A,#N/A,FALSE,"Land";#N/A,#N/A,FALSE,"Cost Analysis";"Summary",#N/A,FALSE,"Equipment"}</definedName>
    <definedName name="ProductGroup">#REF!</definedName>
    <definedName name="PROFORMA">#REF!</definedName>
    <definedName name="ProformaTable">#REF!</definedName>
    <definedName name="Project_Address">#REF!</definedName>
    <definedName name="Project_City">#REF!</definedName>
    <definedName name="Project_Name">#REF!</definedName>
    <definedName name="promote" localSheetId="0" hidden="1">{"Investor",#N/A,FALSE,"Model";"Property",#N/A,FALSE,"Model";"Incentive Taxes",#N/A,FALSE,"Model"}</definedName>
    <definedName name="promote" hidden="1">{"Investor",#N/A,FALSE,"Model";"Property",#N/A,FALSE,"Model";"Incentive Taxes",#N/A,FALSE,"Model"}</definedName>
    <definedName name="Promote_Structure">#REF!</definedName>
    <definedName name="promte" localSheetId="3" hidden="1">{"Assumptions",#N/A,FALSE,"Assumptions"}</definedName>
    <definedName name="promte" localSheetId="6" hidden="1">{"Assumptions",#N/A,FALSE,"Assumptions"}</definedName>
    <definedName name="promte" localSheetId="9" hidden="1">{"Assumptions",#N/A,FALSE,"Assumptions"}</definedName>
    <definedName name="promte" localSheetId="2" hidden="1">{"Assumptions",#N/A,FALSE,"Assumptions"}</definedName>
    <definedName name="promte" localSheetId="4" hidden="1">{"Assumptions",#N/A,FALSE,"Assumptions"}</definedName>
    <definedName name="promte" localSheetId="0" hidden="1">{"Assumptions",#N/A,FALSE,"Assumptions"}</definedName>
    <definedName name="promte" hidden="1">{"Assumptions",#N/A,FALSE,"Assumptions"}</definedName>
    <definedName name="Prop_Name">#REF!</definedName>
    <definedName name="Prop_Num">#REF!</definedName>
    <definedName name="Property_List">OFFSET(#REF!,0,0,COUNTA(#REF!)-1,1)</definedName>
    <definedName name="Property_Name">#REF!</definedName>
    <definedName name="Property_Number">#REF!</definedName>
    <definedName name="Property_Type">#REF!</definedName>
    <definedName name="PropertyName">#REF!</definedName>
    <definedName name="PropName">#REF!</definedName>
    <definedName name="PS_RES_CAP_RATE">#REF!</definedName>
    <definedName name="PSDATE">#REF!</definedName>
    <definedName name="PumpSystSub">#REF!</definedName>
    <definedName name="PumpSystSub1">#REF!</definedName>
    <definedName name="purchaseprice">#REF!</definedName>
    <definedName name="Q">#N/A</definedName>
    <definedName name="qq" localSheetId="0" hidden="1">{"ed1",#N/A,TRUE,"E-D";"ed2",#N/A,TRUE,"E-D"}</definedName>
    <definedName name="qq" hidden="1">{"ed1",#N/A,TRUE,"E-D";"ed2",#N/A,TRUE,"E-D"}</definedName>
    <definedName name="Qry_WORKHORSE_REFRESH">#REF!</definedName>
    <definedName name="qtrly_col">#REF!</definedName>
    <definedName name="qtrly_row">#REF!</definedName>
    <definedName name="QTY">#REF!</definedName>
    <definedName name="QTYHeader">#REF!</definedName>
    <definedName name="Quantity1">#REF!</definedName>
    <definedName name="quarterly" localSheetId="0" hidden="1">{"CF",#N/A,FALSE,"Cash Flow";"RET",#N/A,FALSE,"Returns";"NPV",#N/A,FALSE,"Values";"ASMPT",#N/A,FALSE,"Assumptions"}</definedName>
    <definedName name="quarterly" hidden="1">{"CF",#N/A,FALSE,"Cash Flow";"RET",#N/A,FALSE,"Returns";"NPV",#N/A,FALSE,"Values";"ASMPT",#N/A,FALSE,"Assumptions"}</definedName>
    <definedName name="query" localSheetId="0" hidden="1">{"pg1",#N/A,FALSE,"DC Summ";"pg1",#N/A,FALSE,"Assump";"pg2",#N/A,FALSE,"Assump";"PG3",#N/A,FALSE,"Assump";"pg1",#N/A,FALSE,"DCN1";"page_a",#N/A,FALSE,"DCN2";"page_b",#N/A,FALSE,"DCN2";"PG1",#N/A,FALSE,"DCN3";"PG1",#N/A,FALSE,"DCN4";"PG1",#N/A,FALSE,"DCN5";"pg1",#N/A,FALSE,"DCN6";"PG1",#N/A,FALSE,"DCN7"}</definedName>
    <definedName name="query" hidden="1">{"pg1",#N/A,FALSE,"DC Summ";"pg1",#N/A,FALSE,"Assump";"pg2",#N/A,FALSE,"Assump";"PG3",#N/A,FALSE,"Assump";"pg1",#N/A,FALSE,"DCN1";"page_a",#N/A,FALSE,"DCN2";"page_b",#N/A,FALSE,"DCN2";"PG1",#N/A,FALSE,"DCN3";"PG1",#N/A,FALSE,"DCN4";"PG1",#N/A,FALSE,"DCN5";"pg1",#N/A,FALSE,"DCN6";"PG1",#N/A,FALSE,"DCN7"}</definedName>
    <definedName name="question" localSheetId="0" hidden="1">{"CF",#N/A,FALSE,"Cash Flow";"RET",#N/A,FALSE,"Returns";"NPV",#N/A,FALSE,"Values";"ASMPT",#N/A,FALSE,"Assumptions"}</definedName>
    <definedName name="question" hidden="1">{"CF",#N/A,FALSE,"Cash Flow";"RET",#N/A,FALSE,"Returns";"NPV",#N/A,FALSE,"Values";"ASMPT",#N/A,FALSE,"Assumptions"}</definedName>
    <definedName name="qw" localSheetId="3" hidden="1">{"Estimated Proforma (Prelim. Proforma)",#N/A,TRUE,"Prelim. Proforma";"Summary Cash Flow Grid",#N/A,TRUE,"Cash Flow Grid";"Final Proforma (Final Proforma)",#N/A,TRUE,"Final Proforma";"Cash Flow Graph (Cash Flow Graphic)",#N/A,TRUE,"Cash Flow Graphic"}</definedName>
    <definedName name="qw" localSheetId="6" hidden="1">{"Estimated Proforma (Prelim. Proforma)",#N/A,TRUE,"Prelim. Proforma";"Summary Cash Flow Grid",#N/A,TRUE,"Cash Flow Grid";"Final Proforma (Final Proforma)",#N/A,TRUE,"Final Proforma";"Cash Flow Graph (Cash Flow Graphic)",#N/A,TRUE,"Cash Flow Graphic"}</definedName>
    <definedName name="qw" localSheetId="9" hidden="1">{"Estimated Proforma (Prelim. Proforma)",#N/A,TRUE,"Prelim. Proforma";"Summary Cash Flow Grid",#N/A,TRUE,"Cash Flow Grid";"Final Proforma (Final Proforma)",#N/A,TRUE,"Final Proforma";"Cash Flow Graph (Cash Flow Graphic)",#N/A,TRUE,"Cash Flow Graphic"}</definedName>
    <definedName name="qw" localSheetId="2" hidden="1">{"Estimated Proforma (Prelim. Proforma)",#N/A,TRUE,"Prelim. Proforma";"Summary Cash Flow Grid",#N/A,TRUE,"Cash Flow Grid";"Final Proforma (Final Proforma)",#N/A,TRUE,"Final Proforma";"Cash Flow Graph (Cash Flow Graphic)",#N/A,TRUE,"Cash Flow Graphic"}</definedName>
    <definedName name="qw" localSheetId="4" hidden="1">{"Estimated Proforma (Prelim. Proforma)",#N/A,TRUE,"Prelim. Proforma";"Summary Cash Flow Grid",#N/A,TRUE,"Cash Flow Grid";"Final Proforma (Final Proforma)",#N/A,TRUE,"Final Proforma";"Cash Flow Graph (Cash Flow Graphic)",#N/A,TRUE,"Cash Flow Graphic"}</definedName>
    <definedName name="qw" localSheetId="0" hidden="1">{"Estimated Proforma (Prelim. Proforma)",#N/A,TRUE,"Prelim. Proforma";"Summary Cash Flow Grid",#N/A,TRUE,"Cash Flow Grid";"Final Proforma (Final Proforma)",#N/A,TRUE,"Final Proforma";"Cash Flow Graph (Cash Flow Graphic)",#N/A,TRUE,"Cash Flow Graphic"}</definedName>
    <definedName name="qw" hidden="1">{"Estimated Proforma (Prelim. Proforma)",#N/A,TRUE,"Prelim. Proforma";"Summary Cash Flow Grid",#N/A,TRUE,"Cash Flow Grid";"Final Proforma (Final Proforma)",#N/A,TRUE,"Final Proforma";"Cash Flow Graph (Cash Flow Graphic)",#N/A,TRUE,"Cash Flow Graphic"}</definedName>
    <definedName name="qwer" localSheetId="3"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 localSheetId="6"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 localSheetId="9"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 localSheetId="2"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 localSheetId="4"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 localSheetId="0"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Range_Architecture" localSheetId="0">OFFSET(#REF!,0,0,1,Construction_Length)</definedName>
    <definedName name="Range_Architecture">OFFSET(#REF!,0,0,1,Construction_Length)</definedName>
    <definedName name="Range_Construction" localSheetId="0">OFFSET(#REF!,0,0,1,Construction_Length)</definedName>
    <definedName name="Range_Construction">OFFSET(#REF!,0,0,1,Construction_Length)</definedName>
    <definedName name="Range_Cumulative_Spent" localSheetId="0">OFFSET(#REF!,,,1,Construction_Length)</definedName>
    <definedName name="Range_Cumulative_Spent">OFFSET(#REF!,,,1,Construction_Length)</definedName>
    <definedName name="Range_Dates" localSheetId="0">OFFSET(#REF!,0,0,1,Construction_Length)</definedName>
    <definedName name="Range_Dates">OFFSET(#REF!,0,0,1,Construction_Length)</definedName>
    <definedName name="Range_Dates_Monthly">"OFFSET($F$53,,,1,Analysis_End_Month+1)"</definedName>
    <definedName name="Range_Equity_Draws" localSheetId="0">OFFSET(#REF!,0,0,1,Construction_Length)</definedName>
    <definedName name="Range_Equity_Draws">OFFSET(#REF!,0,0,1,Construction_Length)</definedName>
    <definedName name="Range_FFE" localSheetId="0">OFFSET(#REF!,0,0,1,Construction_Length)</definedName>
    <definedName name="Range_FFE">OFFSET(#REF!,0,0,1,Construction_Length)</definedName>
    <definedName name="Range_Interest" localSheetId="0">OFFSET(#REF!,0,0,1,Construction_Length)</definedName>
    <definedName name="Range_Interest">OFFSET(#REF!,0,0,1,Construction_Length)</definedName>
    <definedName name="Range_Land" localSheetId="0">OFFSET(#REF!,0,0,1,Construction_Length)</definedName>
    <definedName name="Range_Land">OFFSET(#REF!,0,0,1,Construction_Length)</definedName>
    <definedName name="Range_Loan_Draws" localSheetId="0">OFFSET(#REF!,0,0,1,Construction_Length)</definedName>
    <definedName name="Range_Loan_Draws">OFFSET(#REF!,0,0,1,Construction_Length)</definedName>
    <definedName name="Range_Other" localSheetId="0">OFFSET(#REF!,0,0,1,Construction_Length)</definedName>
    <definedName name="Range_Other">OFFSET(#REF!,0,0,1,Construction_Length)</definedName>
    <definedName name="Range_Soft" localSheetId="0">OFFSET(#REF!,0,0,1,Construction_Length)</definedName>
    <definedName name="Range_Soft">OFFSET(#REF!,0,0,1,Construction_Length)</definedName>
    <definedName name="Range_TI" localSheetId="0">OFFSET(#REF!,0,0,1,Construction_Length)</definedName>
    <definedName name="Range_TI">OFFSET(#REF!,0,0,1,Construction_Length)</definedName>
    <definedName name="RankPermitsEmployment_EmpByMonth">#REF!</definedName>
    <definedName name="rate_constr_loan">#REF!</definedName>
    <definedName name="RCIII" localSheetId="0" hidden="1">{"ba1",#N/A,TRUE,"B-A";"ba2",#N/A,TRUE,"B-A"}</definedName>
    <definedName name="RCIII" hidden="1">{"ba1",#N/A,TRUE,"B-A";"ba2",#N/A,TRUE,"B-A"}</definedName>
    <definedName name="REAPS_Summary_Query">#REF!</definedName>
    <definedName name="Reconcilation" hidden="1">#REF!</definedName>
    <definedName name="redo" localSheetId="3" hidden="1">{#N/A,#N/A,FALSE,"ACQ_GRAPHS";#N/A,#N/A,FALSE,"T_1 GRAPHS";#N/A,#N/A,FALSE,"T_2 GRAPHS";#N/A,#N/A,FALSE,"COMB_GRAPHS"}</definedName>
    <definedName name="redo" localSheetId="9" hidden="1">{#N/A,#N/A,FALSE,"ACQ_GRAPHS";#N/A,#N/A,FALSE,"T_1 GRAPHS";#N/A,#N/A,FALSE,"T_2 GRAPHS";#N/A,#N/A,FALSE,"COMB_GRAPHS"}</definedName>
    <definedName name="redo" localSheetId="2" hidden="1">{#N/A,#N/A,FALSE,"ACQ_GRAPHS";#N/A,#N/A,FALSE,"T_1 GRAPHS";#N/A,#N/A,FALSE,"T_2 GRAPHS";#N/A,#N/A,FALSE,"COMB_GRAPHS"}</definedName>
    <definedName name="redo" localSheetId="4" hidden="1">{#N/A,#N/A,FALSE,"ACQ_GRAPHS";#N/A,#N/A,FALSE,"T_1 GRAPHS";#N/A,#N/A,FALSE,"T_2 GRAPHS";#N/A,#N/A,FALSE,"COMB_GRAPHS"}</definedName>
    <definedName name="redo" localSheetId="0" hidden="1">{#N/A,#N/A,FALSE,"ACQ_GRAPHS";#N/A,#N/A,FALSE,"T_1 GRAPHS";#N/A,#N/A,FALSE,"T_2 GRAPHS";#N/A,#N/A,FALSE,"COMB_GRAPHS"}</definedName>
    <definedName name="redo" hidden="1">{#N/A,#N/A,FALSE,"ACQ_GRAPHS";#N/A,#N/A,FALSE,"T_1 GRAPHS";#N/A,#N/A,FALSE,"T_2 GRAPHS";#N/A,#N/A,FALSE,"COMB_GRAPHS"}</definedName>
    <definedName name="ReGRSF">#REF!</definedName>
    <definedName name="ReNRSF">#REF!</definedName>
    <definedName name="RENT">#REF!</definedName>
    <definedName name="RentalTrigger">#REF!</definedName>
    <definedName name="RentalUnits">#REF!</definedName>
    <definedName name="RentGrowthMatrix">#REF!</definedName>
    <definedName name="report" localSheetId="3" hidden="1">{#N/A,#N/A,FALSE,"Summary";#N/A,#N/A,FALSE,"Assumptions";#N/A,#N/A,FALSE,"Cash Flow";#N/A,#N/A,FALSE,"Residual Calculation";#N/A,#N/A,FALSE,"Pricing Matrix";#N/A,#N/A,FALSE,"Pricing Matrix II";#N/A,#N/A,FALSE,"Expiration Schedule"}</definedName>
    <definedName name="report" localSheetId="6" hidden="1">{#N/A,#N/A,FALSE,"Summary";#N/A,#N/A,FALSE,"Assumptions";#N/A,#N/A,FALSE,"Cash Flow";#N/A,#N/A,FALSE,"Residual Calculation";#N/A,#N/A,FALSE,"Pricing Matrix";#N/A,#N/A,FALSE,"Pricing Matrix II";#N/A,#N/A,FALSE,"Expiration Schedule"}</definedName>
    <definedName name="report" localSheetId="9" hidden="1">{#N/A,#N/A,FALSE,"Summary";#N/A,#N/A,FALSE,"Assumptions";#N/A,#N/A,FALSE,"Cash Flow";#N/A,#N/A,FALSE,"Residual Calculation";#N/A,#N/A,FALSE,"Pricing Matrix";#N/A,#N/A,FALSE,"Pricing Matrix II";#N/A,#N/A,FALSE,"Expiration Schedule"}</definedName>
    <definedName name="report" localSheetId="2" hidden="1">{#N/A,#N/A,FALSE,"Summary";#N/A,#N/A,FALSE,"Assumptions";#N/A,#N/A,FALSE,"Cash Flow";#N/A,#N/A,FALSE,"Residual Calculation";#N/A,#N/A,FALSE,"Pricing Matrix";#N/A,#N/A,FALSE,"Pricing Matrix II";#N/A,#N/A,FALSE,"Expiration Schedule"}</definedName>
    <definedName name="report" localSheetId="4" hidden="1">{#N/A,#N/A,FALSE,"Summary";#N/A,#N/A,FALSE,"Assumptions";#N/A,#N/A,FALSE,"Cash Flow";#N/A,#N/A,FALSE,"Residual Calculation";#N/A,#N/A,FALSE,"Pricing Matrix";#N/A,#N/A,FALSE,"Pricing Matrix II";#N/A,#N/A,FALSE,"Expiration Schedule"}</definedName>
    <definedName name="report" localSheetId="0" hidden="1">{#N/A,#N/A,FALSE,"Summary";#N/A,#N/A,FALSE,"Assumptions";#N/A,#N/A,FALSE,"Cash Flow";#N/A,#N/A,FALSE,"Residual Calculation";#N/A,#N/A,FALSE,"Pricing Matrix";#N/A,#N/A,FALSE,"Pricing Matrix II";#N/A,#N/A,FALSE,"Expiration Schedule"}</definedName>
    <definedName name="report" hidden="1">{#N/A,#N/A,FALSE,"Summary";#N/A,#N/A,FALSE,"Assumptions";#N/A,#N/A,FALSE,"Cash Flow";#N/A,#N/A,FALSE,"Residual Calculation";#N/A,#N/A,FALSE,"Pricing Matrix";#N/A,#N/A,FALSE,"Pricing Matrix II";#N/A,#N/A,FALSE,"Expiration Schedule"}</definedName>
    <definedName name="RES_CAP_RATE">#REF!</definedName>
    <definedName name="Reside">#REF!</definedName>
    <definedName name="Residu" localSheetId="3" hidden="1">{#N/A,#N/A,TRUE,"Summary";"AnnualRentRoll",#N/A,TRUE,"RentRoll";#N/A,#N/A,TRUE,"ExitStratigy";#N/A,#N/A,TRUE,"OperatingAssumptions"}</definedName>
    <definedName name="Residu" localSheetId="6" hidden="1">{#N/A,#N/A,TRUE,"Summary";"AnnualRentRoll",#N/A,TRUE,"RentRoll";#N/A,#N/A,TRUE,"ExitStratigy";#N/A,#N/A,TRUE,"OperatingAssumptions"}</definedName>
    <definedName name="Residu" localSheetId="9" hidden="1">{#N/A,#N/A,TRUE,"Summary";"AnnualRentRoll",#N/A,TRUE,"RentRoll";#N/A,#N/A,TRUE,"ExitStratigy";#N/A,#N/A,TRUE,"OperatingAssumptions"}</definedName>
    <definedName name="Residu" localSheetId="2" hidden="1">{#N/A,#N/A,TRUE,"Summary";"AnnualRentRoll",#N/A,TRUE,"RentRoll";#N/A,#N/A,TRUE,"ExitStratigy";#N/A,#N/A,TRUE,"OperatingAssumptions"}</definedName>
    <definedName name="Residu" localSheetId="4" hidden="1">{#N/A,#N/A,TRUE,"Summary";"AnnualRentRoll",#N/A,TRUE,"RentRoll";#N/A,#N/A,TRUE,"ExitStratigy";#N/A,#N/A,TRUE,"OperatingAssumptions"}</definedName>
    <definedName name="Residu" localSheetId="0" hidden="1">{#N/A,#N/A,TRUE,"Summary";"AnnualRentRoll",#N/A,TRUE,"RentRoll";#N/A,#N/A,TRUE,"ExitStratigy";#N/A,#N/A,TRUE,"OperatingAssumptions"}</definedName>
    <definedName name="Residu" hidden="1">{#N/A,#N/A,TRUE,"Summary";"AnnualRentRoll",#N/A,TRUE,"RentRoll";#N/A,#N/A,TRUE,"ExitStratigy";#N/A,#N/A,TRUE,"OperatingAssumptions"}</definedName>
    <definedName name="Residual_End_Date">#REF!</definedName>
    <definedName name="Residual_End_Month">#REF!</definedName>
    <definedName name="Residual_Land_Analysis_On?">#REF!</definedName>
    <definedName name="ResortVillager">#REF!</definedName>
    <definedName name="RET_CAP_RATE">#REF!</definedName>
    <definedName name="Retail">#REF!</definedName>
    <definedName name="Reversion_Year">#REF!</definedName>
    <definedName name="RGRSF">#REF!</definedName>
    <definedName name="RIVERSTONEFEES">#REF!</definedName>
    <definedName name="RLAINPUT_DebtLoan1Funding" localSheetId="3" hidden="1">#REF!,#REF!,#REF!</definedName>
    <definedName name="RLAINPUT_DebtLoan1Funding" localSheetId="9" hidden="1">#REF!,#REF!,#REF!</definedName>
    <definedName name="RLAINPUT_DebtLoan1Funding" localSheetId="2" hidden="1">#REF!,#REF!,#REF!</definedName>
    <definedName name="RLAINPUT_DebtLoan1Funding" localSheetId="4" hidden="1">#REF!,#REF!,#REF!</definedName>
    <definedName name="RLAINPUT_DebtLoan1Funding" hidden="1">#REF!,#REF!,#REF!</definedName>
    <definedName name="RLAINPUT_DebtLoan2Funding" localSheetId="3" hidden="1">#REF!,#REF!,#REF!</definedName>
    <definedName name="RLAINPUT_DebtLoan2Funding" localSheetId="9" hidden="1">#REF!,#REF!,#REF!</definedName>
    <definedName name="RLAINPUT_DebtLoan2Funding" localSheetId="2" hidden="1">#REF!,#REF!,#REF!</definedName>
    <definedName name="RLAINPUT_DebtLoan2Funding" localSheetId="4" hidden="1">#REF!,#REF!,#REF!</definedName>
    <definedName name="RLAINPUT_DebtLoan2Funding" hidden="1">#REF!,#REF!,#REF!</definedName>
    <definedName name="RLAINPUT_DebtLoan3Funding" localSheetId="3" hidden="1">#REF!,#REF!,#REF!</definedName>
    <definedName name="RLAINPUT_DebtLoan3Funding" localSheetId="9" hidden="1">#REF!,#REF!,#REF!</definedName>
    <definedName name="RLAINPUT_DebtLoan3Funding" localSheetId="2" hidden="1">#REF!,#REF!,#REF!</definedName>
    <definedName name="RLAINPUT_DebtLoan3Funding" localSheetId="4" hidden="1">#REF!,#REF!,#REF!</definedName>
    <definedName name="RLAINPUT_DebtLoan3Funding" hidden="1">#REF!,#REF!,#REF!</definedName>
    <definedName name="RLAINPUT_EquityCatchUp1" localSheetId="3" hidden="1">#REF!,#REF!</definedName>
    <definedName name="RLAINPUT_EquityCatchUp1" localSheetId="9" hidden="1">#REF!,#REF!</definedName>
    <definedName name="RLAINPUT_EquityCatchUp1" localSheetId="2" hidden="1">#REF!,#REF!</definedName>
    <definedName name="RLAINPUT_EquityCatchUp1" localSheetId="4" hidden="1">#REF!,#REF!</definedName>
    <definedName name="RLAINPUT_EquityCatchUp1" hidden="1">#REF!,#REF!</definedName>
    <definedName name="RLAINPUT_EquityCatchUp2" localSheetId="3" hidden="1">#REF!,#REF!</definedName>
    <definedName name="RLAINPUT_EquityCatchUp2" localSheetId="9" hidden="1">#REF!,#REF!</definedName>
    <definedName name="RLAINPUT_EquityCatchUp2" localSheetId="2" hidden="1">#REF!,#REF!</definedName>
    <definedName name="RLAINPUT_EquityCatchUp2" localSheetId="4" hidden="1">#REF!,#REF!</definedName>
    <definedName name="RLAINPUT_EquityCatchUp2" hidden="1">#REF!,#REF!</definedName>
    <definedName name="RLAINPUT_EquityCatchUp3" localSheetId="3" hidden="1">#REF!,#REF!</definedName>
    <definedName name="RLAINPUT_EquityCatchUp3" localSheetId="9" hidden="1">#REF!,#REF!</definedName>
    <definedName name="RLAINPUT_EquityCatchUp3" localSheetId="2" hidden="1">#REF!,#REF!</definedName>
    <definedName name="RLAINPUT_EquityCatchUp3" localSheetId="4" hidden="1">#REF!,#REF!</definedName>
    <definedName name="RLAINPUT_EquityCatchUp3" hidden="1">#REF!,#REF!</definedName>
    <definedName name="RLAINPUT_EquityInputs" localSheetId="3" hidden="1">#REF!,#REF!,#REF!</definedName>
    <definedName name="RLAINPUT_EquityInputs" localSheetId="9" hidden="1">#REF!,#REF!,#REF!</definedName>
    <definedName name="RLAINPUT_EquityInputs" localSheetId="2" hidden="1">#REF!,#REF!,#REF!</definedName>
    <definedName name="RLAINPUT_EquityInputs" localSheetId="4" hidden="1">#REF!,#REF!,#REF!</definedName>
    <definedName name="RLAINPUT_EquityInputs" hidden="1">#REF!,#REF!,#REF!</definedName>
    <definedName name="RLAINPUT_EquityPartnerNames" localSheetId="3" hidden="1">#REF!,#REF!</definedName>
    <definedName name="RLAINPUT_EquityPartnerNames" localSheetId="9" hidden="1">#REF!,#REF!</definedName>
    <definedName name="RLAINPUT_EquityPartnerNames" localSheetId="2" hidden="1">#REF!,#REF!</definedName>
    <definedName name="RLAINPUT_EquityPartnerNames" localSheetId="4" hidden="1">#REF!,#REF!</definedName>
    <definedName name="RLAINPUT_EquityPartnerNames" hidden="1">#REF!,#REF!</definedName>
    <definedName name="RLAINPUT_EquityRemainder" localSheetId="3" hidden="1">#REF!,#REF!</definedName>
    <definedName name="RLAINPUT_EquityRemainder" localSheetId="9" hidden="1">#REF!,#REF!</definedName>
    <definedName name="RLAINPUT_EquityRemainder" localSheetId="2" hidden="1">#REF!,#REF!</definedName>
    <definedName name="RLAINPUT_EquityRemainder" localSheetId="4" hidden="1">#REF!,#REF!</definedName>
    <definedName name="RLAINPUT_EquityRemainder" hidden="1">#REF!,#REF!</definedName>
    <definedName name="RLAINPUT_EquityTier1" localSheetId="3" hidden="1">#REF!,#REF!</definedName>
    <definedName name="RLAINPUT_EquityTier1" localSheetId="9" hidden="1">#REF!,#REF!</definedName>
    <definedName name="RLAINPUT_EquityTier1" localSheetId="2" hidden="1">#REF!,#REF!</definedName>
    <definedName name="RLAINPUT_EquityTier1" localSheetId="4" hidden="1">#REF!,#REF!</definedName>
    <definedName name="RLAINPUT_EquityTier1" hidden="1">#REF!,#REF!</definedName>
    <definedName name="RLAINPUT_EquityTier2" localSheetId="3" hidden="1">#REF!,#REF!,#REF!</definedName>
    <definedName name="RLAINPUT_EquityTier2" localSheetId="9" hidden="1">#REF!,#REF!,#REF!</definedName>
    <definedName name="RLAINPUT_EquityTier2" localSheetId="2" hidden="1">#REF!,#REF!,#REF!</definedName>
    <definedName name="RLAINPUT_EquityTier2" localSheetId="4" hidden="1">#REF!,#REF!,#REF!</definedName>
    <definedName name="RLAINPUT_EquityTier2" hidden="1">#REF!,#REF!,#REF!</definedName>
    <definedName name="RLAINPUT_EquityTier3" localSheetId="3" hidden="1">#REF!,#REF!,#REF!</definedName>
    <definedName name="RLAINPUT_EquityTier3" localSheetId="9" hidden="1">#REF!,#REF!,#REF!</definedName>
    <definedName name="RLAINPUT_EquityTier3" localSheetId="2" hidden="1">#REF!,#REF!,#REF!</definedName>
    <definedName name="RLAINPUT_EquityTier3" localSheetId="4" hidden="1">#REF!,#REF!,#REF!</definedName>
    <definedName name="RLAINPUT_EquityTier3" hidden="1">#REF!,#REF!,#REF!</definedName>
    <definedName name="RLAINPUT_Loan3Refi" localSheetId="3" hidden="1">#REF!,#REF!,#REF!</definedName>
    <definedName name="RLAINPUT_Loan3Refi" localSheetId="9" hidden="1">#REF!,#REF!,#REF!</definedName>
    <definedName name="RLAINPUT_Loan3Refi" localSheetId="2" hidden="1">#REF!,#REF!,#REF!</definedName>
    <definedName name="RLAINPUT_Loan3Refi" localSheetId="4" hidden="1">#REF!,#REF!,#REF!</definedName>
    <definedName name="RLAINPUT_Loan3Refi" hidden="1">#REF!,#REF!,#REF!</definedName>
    <definedName name="RNRSF">#REF!</definedName>
    <definedName name="robin" localSheetId="0" hidden="1">{"pg1",#N/A,FALSE,"DC Summ";"pg1",#N/A,FALSE,"Assump";"pg2",#N/A,FALSE,"Assump";"PG3",#N/A,FALSE,"Assump";"pg1",#N/A,FALSE,"DCN1";"page_a",#N/A,FALSE,"DCN2";"page_b",#N/A,FALSE,"DCN2";"PG1",#N/A,FALSE,"DCN3";"PG1",#N/A,FALSE,"DCN4";"PG1",#N/A,FALSE,"DCN5";"pg1",#N/A,FALSE,"DCN6";"PG1",#N/A,FALSE,"DCN7"}</definedName>
    <definedName name="robin" hidden="1">{"pg1",#N/A,FALSE,"DC Summ";"pg1",#N/A,FALSE,"Assump";"pg2",#N/A,FALSE,"Assump";"PG3",#N/A,FALSE,"Assump";"pg1",#N/A,FALSE,"DCN1";"page_a",#N/A,FALSE,"DCN2";"page_b",#N/A,FALSE,"DCN2";"PG1",#N/A,FALSE,"DCN3";"PG1",#N/A,FALSE,"DCN4";"PG1",#N/A,FALSE,"DCN5";"pg1",#N/A,FALSE,"DCN6";"PG1",#N/A,FALSE,"DCN7"}</definedName>
    <definedName name="robinconfusion" localSheetId="0" hidden="1">{"pg1",#N/A,FALSE,"DC Summ";"pg1",#N/A,FALSE,"Assump";"pg2",#N/A,FALSE,"Assump";"PG3",#N/A,FALSE,"Assump";"pg1",#N/A,FALSE,"DCN1";"page_a",#N/A,FALSE,"DCN2";"page_b",#N/A,FALSE,"DCN2";"PG1",#N/A,FALSE,"DCN3";"PG1",#N/A,FALSE,"DCN4";"PG1",#N/A,FALSE,"DCN5";"pg1",#N/A,FALSE,"DCN6";"PG1",#N/A,FALSE,"DCN7"}</definedName>
    <definedName name="robinconfusion" hidden="1">{"pg1",#N/A,FALSE,"DC Summ";"pg1",#N/A,FALSE,"Assump";"pg2",#N/A,FALSE,"Assump";"PG3",#N/A,FALSE,"Assump";"pg1",#N/A,FALSE,"DCN1";"page_a",#N/A,FALSE,"DCN2";"page_b",#N/A,FALSE,"DCN2";"PG1",#N/A,FALSE,"DCN3";"PG1",#N/A,FALSE,"DCN4";"PG1",#N/A,FALSE,"DCN5";"pg1",#N/A,FALSE,"DCN6";"PG1",#N/A,FALSE,"DCN7"}</definedName>
    <definedName name="Rooms">#REF!</definedName>
    <definedName name="RPA" localSheetId="3" hidden="1">{#N/A,#N/A,FALSE,"Cashflow Analysis";#N/A,#N/A,FALSE,"Sensitivity Analysis";#N/A,#N/A,FALSE,"PV";#N/A,#N/A,FALSE,"Pro Forma"}</definedName>
    <definedName name="RPA" localSheetId="9" hidden="1">{#N/A,#N/A,FALSE,"Cashflow Analysis";#N/A,#N/A,FALSE,"Sensitivity Analysis";#N/A,#N/A,FALSE,"PV";#N/A,#N/A,FALSE,"Pro Forma"}</definedName>
    <definedName name="RPA" localSheetId="2" hidden="1">{#N/A,#N/A,FALSE,"Cashflow Analysis";#N/A,#N/A,FALSE,"Sensitivity Analysis";#N/A,#N/A,FALSE,"PV";#N/A,#N/A,FALSE,"Pro Forma"}</definedName>
    <definedName name="RPA" localSheetId="4" hidden="1">{#N/A,#N/A,FALSE,"Cashflow Analysis";#N/A,#N/A,FALSE,"Sensitivity Analysis";#N/A,#N/A,FALSE,"PV";#N/A,#N/A,FALSE,"Pro Forma"}</definedName>
    <definedName name="RPA" localSheetId="0" hidden="1">{#N/A,#N/A,FALSE,"Cashflow Analysis";#N/A,#N/A,FALSE,"Sensitivity Analysis";#N/A,#N/A,FALSE,"PV";#N/A,#N/A,FALSE,"Pro Forma"}</definedName>
    <definedName name="RPA" hidden="1">{#N/A,#N/A,FALSE,"Cashflow Analysis";#N/A,#N/A,FALSE,"Sensitivity Analysis";#N/A,#N/A,FALSE,"PV";#N/A,#N/A,FALSE,"Pro Forma"}</definedName>
    <definedName name="RPA.2" localSheetId="3" hidden="1">{#N/A,#N/A,FALSE,"Cashflow Analysis";#N/A,#N/A,FALSE,"Sensitivity Analysis";#N/A,#N/A,FALSE,"PV";#N/A,#N/A,FALSE,"Pro Forma"}</definedName>
    <definedName name="RPA.2" localSheetId="9" hidden="1">{#N/A,#N/A,FALSE,"Cashflow Analysis";#N/A,#N/A,FALSE,"Sensitivity Analysis";#N/A,#N/A,FALSE,"PV";#N/A,#N/A,FALSE,"Pro Forma"}</definedName>
    <definedName name="RPA.2" localSheetId="2" hidden="1">{#N/A,#N/A,FALSE,"Cashflow Analysis";#N/A,#N/A,FALSE,"Sensitivity Analysis";#N/A,#N/A,FALSE,"PV";#N/A,#N/A,FALSE,"Pro Forma"}</definedName>
    <definedName name="RPA.2" localSheetId="4" hidden="1">{#N/A,#N/A,FALSE,"Cashflow Analysis";#N/A,#N/A,FALSE,"Sensitivity Analysis";#N/A,#N/A,FALSE,"PV";#N/A,#N/A,FALSE,"Pro Forma"}</definedName>
    <definedName name="RPA.2" localSheetId="0" hidden="1">{#N/A,#N/A,FALSE,"Cashflow Analysis";#N/A,#N/A,FALSE,"Sensitivity Analysis";#N/A,#N/A,FALSE,"PV";#N/A,#N/A,FALSE,"Pro Forma"}</definedName>
    <definedName name="RPA.2" hidden="1">{#N/A,#N/A,FALSE,"Cashflow Analysis";#N/A,#N/A,FALSE,"Sensitivity Analysis";#N/A,#N/A,FALSE,"PV";#N/A,#N/A,FALSE,"Pro Forma"}</definedName>
    <definedName name="rr" localSheetId="3">'Acquisition Summary'!rr</definedName>
    <definedName name="RR" localSheetId="6">#N/A</definedName>
    <definedName name="rr" localSheetId="9">#N/A</definedName>
    <definedName name="rr" localSheetId="2">'Fee Build Dashboard'!rr</definedName>
    <definedName name="rr" localSheetId="4">'Investor Summary'!rr</definedName>
    <definedName name="rr" localSheetId="0">#N/A</definedName>
    <definedName name="rr">'Common Eq. WF'!rr</definedName>
    <definedName name="rrLast" localSheetId="3">ROW()-ROW(rrFirstRow)-1</definedName>
    <definedName name="rrLast" localSheetId="9">ROW()-ROW(rrFirstRow)-1</definedName>
    <definedName name="rrLast" localSheetId="2">ROW()-ROW(rrFirstRow)-1</definedName>
    <definedName name="rrLast" localSheetId="4">ROW()-ROW(rrFirstRow)-1</definedName>
    <definedName name="rrLast" localSheetId="0">ROW()-ROW(rrFirstRow)-1</definedName>
    <definedName name="rrLast">ROW()-ROW(rrFirstRow)-1</definedName>
    <definedName name="rrr"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rrr"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rtnBeginEnd">#REF!</definedName>
    <definedName name="rtnBillToAss">#REF!</definedName>
    <definedName name="rtrt" localSheetId="3" hidden="1">{"sheet a",#N/A,FALSE,"A";"sheet b 1",#N/A,FALSE,"B";"sheet b 2",#N/A,FALSE,"B"}</definedName>
    <definedName name="rtrt" localSheetId="6" hidden="1">{"sheet a",#N/A,FALSE,"A";"sheet b 1",#N/A,FALSE,"B";"sheet b 2",#N/A,FALSE,"B"}</definedName>
    <definedName name="rtrt" localSheetId="9" hidden="1">{"sheet a",#N/A,FALSE,"A";"sheet b 1",#N/A,FALSE,"B";"sheet b 2",#N/A,FALSE,"B"}</definedName>
    <definedName name="rtrt" localSheetId="2" hidden="1">{"sheet a",#N/A,FALSE,"A";"sheet b 1",#N/A,FALSE,"B";"sheet b 2",#N/A,FALSE,"B"}</definedName>
    <definedName name="rtrt" localSheetId="4" hidden="1">{"sheet a",#N/A,FALSE,"A";"sheet b 1",#N/A,FALSE,"B";"sheet b 2",#N/A,FALSE,"B"}</definedName>
    <definedName name="rtrt" localSheetId="0" hidden="1">{"sheet a",#N/A,FALSE,"A";"sheet b 1",#N/A,FALSE,"B";"sheet b 2",#N/A,FALSE,"B"}</definedName>
    <definedName name="rtrt" hidden="1">{"sheet a",#N/A,FALSE,"A";"sheet b 1",#N/A,FALSE,"B";"sheet b 2",#N/A,FALSE,"B"}</definedName>
    <definedName name="run">#REF!</definedName>
    <definedName name="s" localSheetId="3" hidden="1">{"Output-3Column",#N/A,FALSE,"Output"}</definedName>
    <definedName name="S" localSheetId="6">#N/A</definedName>
    <definedName name="s" localSheetId="9" hidden="1">{"Output-3Column",#N/A,FALSE,"Output"}</definedName>
    <definedName name="s" localSheetId="2" hidden="1">{"Output-3Column",#N/A,FALSE,"Output"}</definedName>
    <definedName name="s" localSheetId="4" hidden="1">{"Output-3Column",#N/A,FALSE,"Output"}</definedName>
    <definedName name="s" localSheetId="0" hidden="1">{"Output-3Column",#N/A,FALSE,"Output"}</definedName>
    <definedName name="s" hidden="1">{"Output-3Column",#N/A,FALSE,"Output"}</definedName>
    <definedName name="saa" localSheetId="3" hidden="1">{"rtn",#N/A,FALSE,"RTN";"tables",#N/A,FALSE,"RTN";"cf",#N/A,FALSE,"CF";"stats",#N/A,FALSE,"Stats";"prop",#N/A,FALSE,"Prop"}</definedName>
    <definedName name="saa" localSheetId="6" hidden="1">{"rtn",#N/A,FALSE,"RTN";"tables",#N/A,FALSE,"RTN";"cf",#N/A,FALSE,"CF";"stats",#N/A,FALSE,"Stats";"prop",#N/A,FALSE,"Prop"}</definedName>
    <definedName name="saa" localSheetId="9" hidden="1">{"rtn",#N/A,FALSE,"RTN";"tables",#N/A,FALSE,"RTN";"cf",#N/A,FALSE,"CF";"stats",#N/A,FALSE,"Stats";"prop",#N/A,FALSE,"Prop"}</definedName>
    <definedName name="saa" localSheetId="2" hidden="1">{"rtn",#N/A,FALSE,"RTN";"tables",#N/A,FALSE,"RTN";"cf",#N/A,FALSE,"CF";"stats",#N/A,FALSE,"Stats";"prop",#N/A,FALSE,"Prop"}</definedName>
    <definedName name="saa" localSheetId="4" hidden="1">{"rtn",#N/A,FALSE,"RTN";"tables",#N/A,FALSE,"RTN";"cf",#N/A,FALSE,"CF";"stats",#N/A,FALSE,"Stats";"prop",#N/A,FALSE,"Prop"}</definedName>
    <definedName name="saa" localSheetId="0" hidden="1">{"rtn",#N/A,FALSE,"RTN";"tables",#N/A,FALSE,"RTN";"cf",#N/A,FALSE,"CF";"stats",#N/A,FALSE,"Stats";"prop",#N/A,FALSE,"Prop"}</definedName>
    <definedName name="saa" hidden="1">{"rtn",#N/A,FALSE,"RTN";"tables",#N/A,FALSE,"RTN";"cf",#N/A,FALSE,"CF";"stats",#N/A,FALSE,"Stats";"prop",#N/A,FALSE,"Prop"}</definedName>
    <definedName name="sadd" localSheetId="3" hidden="1">{"MonthlyRentRoll",#N/A,FALSE,"RentRoll"}</definedName>
    <definedName name="sadd" localSheetId="6" hidden="1">{"MonthlyRentRoll",#N/A,FALSE,"RentRoll"}</definedName>
    <definedName name="sadd" localSheetId="9" hidden="1">{"MonthlyRentRoll",#N/A,FALSE,"RentRoll"}</definedName>
    <definedName name="sadd" localSheetId="2" hidden="1">{"MonthlyRentRoll",#N/A,FALSE,"RentRoll"}</definedName>
    <definedName name="sadd" localSheetId="4" hidden="1">{"MonthlyRentRoll",#N/A,FALSE,"RentRoll"}</definedName>
    <definedName name="sadd" localSheetId="0" hidden="1">{"MonthlyRentRoll",#N/A,FALSE,"RentRoll"}</definedName>
    <definedName name="sadd" hidden="1">{"MonthlyRentRoll",#N/A,FALSE,"RentRoll"}</definedName>
    <definedName name="sadd1" localSheetId="3" hidden="1">{"MonthlyRentRoll",#N/A,FALSE,"RentRoll"}</definedName>
    <definedName name="sadd1" localSheetId="6" hidden="1">{"MonthlyRentRoll",#N/A,FALSE,"RentRoll"}</definedName>
    <definedName name="sadd1" localSheetId="9" hidden="1">{"MonthlyRentRoll",#N/A,FALSE,"RentRoll"}</definedName>
    <definedName name="sadd1" localSheetId="2" hidden="1">{"MonthlyRentRoll",#N/A,FALSE,"RentRoll"}</definedName>
    <definedName name="sadd1" localSheetId="4" hidden="1">{"MonthlyRentRoll",#N/A,FALSE,"RentRoll"}</definedName>
    <definedName name="sadd1" localSheetId="0" hidden="1">{"MonthlyRentRoll",#N/A,FALSE,"RentRoll"}</definedName>
    <definedName name="sadd1" hidden="1">{"MonthlyRentRoll",#N/A,FALSE,"RentRoll"}</definedName>
    <definedName name="sadd2" localSheetId="3" hidden="1">{"MonthlyRentRoll",#N/A,FALSE,"RentRoll"}</definedName>
    <definedName name="sadd2" localSheetId="6" hidden="1">{"MonthlyRentRoll",#N/A,FALSE,"RentRoll"}</definedName>
    <definedName name="sadd2" localSheetId="9" hidden="1">{"MonthlyRentRoll",#N/A,FALSE,"RentRoll"}</definedName>
    <definedName name="sadd2" localSheetId="2" hidden="1">{"MonthlyRentRoll",#N/A,FALSE,"RentRoll"}</definedName>
    <definedName name="sadd2" localSheetId="4" hidden="1">{"MonthlyRentRoll",#N/A,FALSE,"RentRoll"}</definedName>
    <definedName name="sadd2" localSheetId="0" hidden="1">{"MonthlyRentRoll",#N/A,FALSE,"RentRoll"}</definedName>
    <definedName name="sadd2" hidden="1">{"MonthlyRentRoll",#N/A,FALSE,"RentRoll"}</definedName>
    <definedName name="sadd22" localSheetId="0" hidden="1">{"MonthlyRentRoll",#N/A,FALSE,"RentRoll"}</definedName>
    <definedName name="sadd22" hidden="1">{"MonthlyRentRoll",#N/A,FALSE,"RentRoll"}</definedName>
    <definedName name="saddd" localSheetId="3" hidden="1">{"AnnualRentRoll",#N/A,FALSE,"RentRoll"}</definedName>
    <definedName name="saddd" localSheetId="6" hidden="1">{"AnnualRentRoll",#N/A,FALSE,"RentRoll"}</definedName>
    <definedName name="saddd" localSheetId="9" hidden="1">{"AnnualRentRoll",#N/A,FALSE,"RentRoll"}</definedName>
    <definedName name="saddd" localSheetId="2" hidden="1">{"AnnualRentRoll",#N/A,FALSE,"RentRoll"}</definedName>
    <definedName name="saddd" localSheetId="4" hidden="1">{"AnnualRentRoll",#N/A,FALSE,"RentRoll"}</definedName>
    <definedName name="saddd" localSheetId="0" hidden="1">{"AnnualRentRoll",#N/A,FALSE,"RentRoll"}</definedName>
    <definedName name="saddd" hidden="1">{"AnnualRentRoll",#N/A,FALSE,"RentRoll"}</definedName>
    <definedName name="saddd2" localSheetId="3" hidden="1">{"AnnualRentRoll",#N/A,FALSE,"RentRoll"}</definedName>
    <definedName name="saddd2" localSheetId="6" hidden="1">{"AnnualRentRoll",#N/A,FALSE,"RentRoll"}</definedName>
    <definedName name="saddd2" localSheetId="9" hidden="1">{"AnnualRentRoll",#N/A,FALSE,"RentRoll"}</definedName>
    <definedName name="saddd2" localSheetId="2" hidden="1">{"AnnualRentRoll",#N/A,FALSE,"RentRoll"}</definedName>
    <definedName name="saddd2" localSheetId="4" hidden="1">{"AnnualRentRoll",#N/A,FALSE,"RentRoll"}</definedName>
    <definedName name="saddd2" localSheetId="0" hidden="1">{"AnnualRentRoll",#N/A,FALSE,"RentRoll"}</definedName>
    <definedName name="saddd2" hidden="1">{"AnnualRentRoll",#N/A,FALSE,"RentRoll"}</definedName>
    <definedName name="sadddd2" localSheetId="3" hidden="1">{"AnnualRentRoll",#N/A,FALSE,"RentRoll"}</definedName>
    <definedName name="sadddd2" localSheetId="6" hidden="1">{"AnnualRentRoll",#N/A,FALSE,"RentRoll"}</definedName>
    <definedName name="sadddd2" localSheetId="9" hidden="1">{"AnnualRentRoll",#N/A,FALSE,"RentRoll"}</definedName>
    <definedName name="sadddd2" localSheetId="2" hidden="1">{"AnnualRentRoll",#N/A,FALSE,"RentRoll"}</definedName>
    <definedName name="sadddd2" localSheetId="4" hidden="1">{"AnnualRentRoll",#N/A,FALSE,"RentRoll"}</definedName>
    <definedName name="sadddd2" localSheetId="0" hidden="1">{"AnnualRentRoll",#N/A,FALSE,"RentRoll"}</definedName>
    <definedName name="sadddd2" hidden="1">{"AnnualRentRoll",#N/A,FALSE,"RentRoll"}</definedName>
    <definedName name="saddddd" localSheetId="3" hidden="1">{"AnnualRentRoll",#N/A,FALSE,"RentRoll"}</definedName>
    <definedName name="saddddd" localSheetId="6" hidden="1">{"AnnualRentRoll",#N/A,FALSE,"RentRoll"}</definedName>
    <definedName name="saddddd" localSheetId="9" hidden="1">{"AnnualRentRoll",#N/A,FALSE,"RentRoll"}</definedName>
    <definedName name="saddddd" localSheetId="2" hidden="1">{"AnnualRentRoll",#N/A,FALSE,"RentRoll"}</definedName>
    <definedName name="saddddd" localSheetId="4" hidden="1">{"AnnualRentRoll",#N/A,FALSE,"RentRoll"}</definedName>
    <definedName name="saddddd" localSheetId="0" hidden="1">{"AnnualRentRoll",#N/A,FALSE,"RentRoll"}</definedName>
    <definedName name="saddddd" hidden="1">{"AnnualRentRoll",#N/A,FALSE,"RentRoll"}</definedName>
    <definedName name="saddddddd2" localSheetId="3" hidden="1">{#N/A,#N/A,FALSE,"ExitStratigy"}</definedName>
    <definedName name="saddddddd2" localSheetId="6" hidden="1">{#N/A,#N/A,FALSE,"ExitStratigy"}</definedName>
    <definedName name="saddddddd2" localSheetId="9" hidden="1">{#N/A,#N/A,FALSE,"ExitStratigy"}</definedName>
    <definedName name="saddddddd2" localSheetId="2" hidden="1">{#N/A,#N/A,FALSE,"ExitStratigy"}</definedName>
    <definedName name="saddddddd2" localSheetId="4" hidden="1">{#N/A,#N/A,FALSE,"ExitStratigy"}</definedName>
    <definedName name="saddddddd2" localSheetId="0" hidden="1">{#N/A,#N/A,FALSE,"ExitStratigy"}</definedName>
    <definedName name="saddddddd2" hidden="1">{#N/A,#N/A,FALSE,"ExitStratigy"}</definedName>
    <definedName name="sadddddddd" localSheetId="3" hidden="1">{#N/A,#N/A,FALSE,"ExitStratigy"}</definedName>
    <definedName name="sadddddddd" localSheetId="6" hidden="1">{#N/A,#N/A,FALSE,"ExitStratigy"}</definedName>
    <definedName name="sadddddddd" localSheetId="9" hidden="1">{#N/A,#N/A,FALSE,"ExitStratigy"}</definedName>
    <definedName name="sadddddddd" localSheetId="2" hidden="1">{#N/A,#N/A,FALSE,"ExitStratigy"}</definedName>
    <definedName name="sadddddddd" localSheetId="4" hidden="1">{#N/A,#N/A,FALSE,"ExitStratigy"}</definedName>
    <definedName name="sadddddddd" localSheetId="0" hidden="1">{#N/A,#N/A,FALSE,"ExitStratigy"}</definedName>
    <definedName name="sadddddddd" hidden="1">{#N/A,#N/A,FALSE,"ExitStratigy"}</definedName>
    <definedName name="saddddddddd2" localSheetId="3" hidden="1">{#N/A,#N/A,FALSE,"LoanAssumptions"}</definedName>
    <definedName name="saddddddddd2" localSheetId="6" hidden="1">{#N/A,#N/A,FALSE,"LoanAssumptions"}</definedName>
    <definedName name="saddddddddd2" localSheetId="9" hidden="1">{#N/A,#N/A,FALSE,"LoanAssumptions"}</definedName>
    <definedName name="saddddddddd2" localSheetId="2" hidden="1">{#N/A,#N/A,FALSE,"LoanAssumptions"}</definedName>
    <definedName name="saddddddddd2" localSheetId="4" hidden="1">{#N/A,#N/A,FALSE,"LoanAssumptions"}</definedName>
    <definedName name="saddddddddd2" localSheetId="0" hidden="1">{#N/A,#N/A,FALSE,"LoanAssumptions"}</definedName>
    <definedName name="saddddddddd2" hidden="1">{#N/A,#N/A,FALSE,"LoanAssumptions"}</definedName>
    <definedName name="sadddddddddd" localSheetId="3" hidden="1">{#N/A,#N/A,FALSE,"LoanAssumptions"}</definedName>
    <definedName name="sadddddddddd" localSheetId="6" hidden="1">{#N/A,#N/A,FALSE,"LoanAssumptions"}</definedName>
    <definedName name="sadddddddddd" localSheetId="9" hidden="1">{#N/A,#N/A,FALSE,"LoanAssumptions"}</definedName>
    <definedName name="sadddddddddd" localSheetId="2" hidden="1">{#N/A,#N/A,FALSE,"LoanAssumptions"}</definedName>
    <definedName name="sadddddddddd" localSheetId="4" hidden="1">{#N/A,#N/A,FALSE,"LoanAssumptions"}</definedName>
    <definedName name="sadddddddddd" localSheetId="0" hidden="1">{#N/A,#N/A,FALSE,"LoanAssumptions"}</definedName>
    <definedName name="sadddddddddd" hidden="1">{#N/A,#N/A,FALSE,"LoanAssumptions"}</definedName>
    <definedName name="saddddddddddd2" localSheetId="3" hidden="1">{#N/A,#N/A,FALSE,"OperatingAssumptions"}</definedName>
    <definedName name="saddddddddddd2" localSheetId="6" hidden="1">{#N/A,#N/A,FALSE,"OperatingAssumptions"}</definedName>
    <definedName name="saddddddddddd2" localSheetId="9" hidden="1">{#N/A,#N/A,FALSE,"OperatingAssumptions"}</definedName>
    <definedName name="saddddddddddd2" localSheetId="2" hidden="1">{#N/A,#N/A,FALSE,"OperatingAssumptions"}</definedName>
    <definedName name="saddddddddddd2" localSheetId="4" hidden="1">{#N/A,#N/A,FALSE,"OperatingAssumptions"}</definedName>
    <definedName name="saddddddddddd2" localSheetId="0" hidden="1">{#N/A,#N/A,FALSE,"OperatingAssumptions"}</definedName>
    <definedName name="saddddddddddd2" hidden="1">{#N/A,#N/A,FALSE,"OperatingAssumptions"}</definedName>
    <definedName name="saddddddddddddd" localSheetId="3" hidden="1">{#N/A,#N/A,FALSE,"OperatingAssumptions"}</definedName>
    <definedName name="saddddddddddddd" localSheetId="6" hidden="1">{#N/A,#N/A,FALSE,"OperatingAssumptions"}</definedName>
    <definedName name="saddddddddddddd" localSheetId="9" hidden="1">{#N/A,#N/A,FALSE,"OperatingAssumptions"}</definedName>
    <definedName name="saddddddddddddd" localSheetId="2" hidden="1">{#N/A,#N/A,FALSE,"OperatingAssumptions"}</definedName>
    <definedName name="saddddddddddddd" localSheetId="4" hidden="1">{#N/A,#N/A,FALSE,"OperatingAssumptions"}</definedName>
    <definedName name="saddddddddddddd" localSheetId="0" hidden="1">{#N/A,#N/A,FALSE,"OperatingAssumptions"}</definedName>
    <definedName name="saddddddddddddd" hidden="1">{#N/A,#N/A,FALSE,"OperatingAssumptions"}</definedName>
    <definedName name="sadsadsa" localSheetId="3" hidden="1">{"'Assump'!$F$6:$J$6"}</definedName>
    <definedName name="sadsadsa" localSheetId="6" hidden="1">{"'Assump'!$F$6:$J$6"}</definedName>
    <definedName name="sadsadsa" localSheetId="9" hidden="1">{"'Assump'!$F$6:$J$6"}</definedName>
    <definedName name="sadsadsa" localSheetId="2" hidden="1">{"'Assump'!$F$6:$J$6"}</definedName>
    <definedName name="sadsadsa" localSheetId="4" hidden="1">{"'Assump'!$F$6:$J$6"}</definedName>
    <definedName name="sadsadsa" localSheetId="0" hidden="1">{"'Assump'!$F$6:$J$6"}</definedName>
    <definedName name="sadsadsa" hidden="1">{"'Assump'!$F$6:$J$6"}</definedName>
    <definedName name="saf" localSheetId="3"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saf" localSheetId="9"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saf" localSheetId="2"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saf" localSheetId="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saf" localSheetId="0"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saf"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sale_price">#REF!</definedName>
    <definedName name="SALEDATE">#REF!</definedName>
    <definedName name="SalesmanRef">#REF!</definedName>
    <definedName name="SalesPrice" localSheetId="0">'[2]Deal Sheet Inputs'!$I$77</definedName>
    <definedName name="SalesPrice">Inputs!$I$76</definedName>
    <definedName name="SalesRepNum">#REF!</definedName>
    <definedName name="SalesTax">#REF!</definedName>
    <definedName name="SalesTaxPer">#REF!</definedName>
    <definedName name="Sample1">#REF!</definedName>
    <definedName name="saqw" localSheetId="0" hidden="1">{#N/A,#N/A,FALSE,"pop.hh";#N/A,#N/A,FALSE,"age.dist";#N/A,#N/A,FALSE,"hh.income";#N/A,#N/A,FALSE,"hh.chars"}</definedName>
    <definedName name="saqw" hidden="1">{#N/A,#N/A,FALSE,"pop.hh";#N/A,#N/A,FALSE,"age.dist";#N/A,#N/A,FALSE,"hh.income";#N/A,#N/A,FALSE,"hh.chars"}</definedName>
    <definedName name="sas" localSheetId="3" hidden="1">{"Outflow 1",#N/A,FALSE,"Outflows-Inflows";"Outflow 2",#N/A,FALSE,"Outflows-Inflows";"Inflow 1",#N/A,FALSE,"Outflows-Inflows";"Inflow 2",#N/A,FALSE,"Outflows-Inflows"}</definedName>
    <definedName name="sas" localSheetId="6" hidden="1">{"Outflow 1",#N/A,FALSE,"Outflows-Inflows";"Outflow 2",#N/A,FALSE,"Outflows-Inflows";"Inflow 1",#N/A,FALSE,"Outflows-Inflows";"Inflow 2",#N/A,FALSE,"Outflows-Inflows"}</definedName>
    <definedName name="sas" localSheetId="9" hidden="1">{"Outflow 1",#N/A,FALSE,"Outflows-Inflows";"Outflow 2",#N/A,FALSE,"Outflows-Inflows";"Inflow 1",#N/A,FALSE,"Outflows-Inflows";"Inflow 2",#N/A,FALSE,"Outflows-Inflows"}</definedName>
    <definedName name="sas" localSheetId="2" hidden="1">{"Outflow 1",#N/A,FALSE,"Outflows-Inflows";"Outflow 2",#N/A,FALSE,"Outflows-Inflows";"Inflow 1",#N/A,FALSE,"Outflows-Inflows";"Inflow 2",#N/A,FALSE,"Outflows-Inflows"}</definedName>
    <definedName name="sas" localSheetId="4" hidden="1">{"Outflow 1",#N/A,FALSE,"Outflows-Inflows";"Outflow 2",#N/A,FALSE,"Outflows-Inflows";"Inflow 1",#N/A,FALSE,"Outflows-Inflows";"Inflow 2",#N/A,FALSE,"Outflows-Inflows"}</definedName>
    <definedName name="sas" localSheetId="0" hidden="1">{"Outflow 1",#N/A,FALSE,"Outflows-Inflows";"Outflow 2",#N/A,FALSE,"Outflows-Inflows";"Inflow 1",#N/A,FALSE,"Outflows-Inflows";"Inflow 2",#N/A,FALSE,"Outflows-Inflows"}</definedName>
    <definedName name="sas" hidden="1">{"Outflow 1",#N/A,FALSE,"Outflows-Inflows";"Outflow 2",#N/A,FALSE,"Outflows-Inflows";"Inflow 1",#N/A,FALSE,"Outflows-Inflows";"Inflow 2",#N/A,FALSE,"Outflows-Inflows"}</definedName>
    <definedName name="Scenario">#REF!</definedName>
    <definedName name="Sched_Pay">#REF!</definedName>
    <definedName name="Scheduled_Extra_Payments">#REF!</definedName>
    <definedName name="Scheduled_Monthly_Payment">#REF!</definedName>
    <definedName name="Scurve_dist">#REF!</definedName>
    <definedName name="sd" localSheetId="0" hidden="1">{#N/A,#N/A,FALSE,"el.det";#N/A,#N/A,FALSE,"mu.det";#N/A,#N/A,FALSE,"ug.det";#N/A,#N/A,FALSE,"ex.det";#N/A,#N/A,FALSE,"lux.det";#N/A,#N/A,FALSE,"custom.lot";#N/A,#N/A,FALSE,"condo.att";#N/A,#N/A,FALSE,"el.att";#N/A,#N/A,FALSE,"mu.att";#N/A,#N/A,FALSE,"ex.att";#N/A,#N/A,FALSE,"lux.att";#N/A,#N/A,FALSE,"all.by.village"}</definedName>
    <definedName name="sd" hidden="1">{#N/A,#N/A,FALSE,"el.det";#N/A,#N/A,FALSE,"mu.det";#N/A,#N/A,FALSE,"ug.det";#N/A,#N/A,FALSE,"ex.det";#N/A,#N/A,FALSE,"lux.det";#N/A,#N/A,FALSE,"custom.lot";#N/A,#N/A,FALSE,"condo.att";#N/A,#N/A,FALSE,"el.att";#N/A,#N/A,FALSE,"mu.att";#N/A,#N/A,FALSE,"ex.att";#N/A,#N/A,FALSE,"lux.att";#N/A,#N/A,FALSE,"all.by.village"}</definedName>
    <definedName name="SD_1x1_11x1_3_G_9003" hidden="1">#REF!</definedName>
    <definedName name="SD_1x1_2_G_0" hidden="1">#REF!</definedName>
    <definedName name="SD_1x1_3_G_0" hidden="1">#REF!</definedName>
    <definedName name="SD_1x1_62_G_0" hidden="1">#REF!</definedName>
    <definedName name="SD_1x1_6x1_1_B_9000" hidden="1">#REF!</definedName>
    <definedName name="SD_1x1_6x1_10_B_20" hidden="1">#REF!</definedName>
    <definedName name="SD_1x1_6x1_11_B_0" hidden="1">#REF!</definedName>
    <definedName name="SD_1x1_6x1_12_B_0" hidden="1">#REF!</definedName>
    <definedName name="SD_1x1_6x1_13_B_0" hidden="1">#REF!</definedName>
    <definedName name="SD_1x1_6x1_14_B_0" hidden="1">#REF!</definedName>
    <definedName name="SD_1x1_6x1_15_B_0" hidden="1">#REF!</definedName>
    <definedName name="SD_1x1_6x1_16_B_0" hidden="1">#REF!</definedName>
    <definedName name="SD_1x1_6x1_17_B_0" hidden="1">#REF!</definedName>
    <definedName name="SD_1x1_6x1_18_B_0" hidden="1">#REF!</definedName>
    <definedName name="SD_1x1_6x1_19_B_0" hidden="1">#REF!</definedName>
    <definedName name="SD_1x1_6x1_20_B_0" hidden="1">#REF!</definedName>
    <definedName name="SD_1x1_6x1_21_B_0" hidden="1">#REF!</definedName>
    <definedName name="SD_1x1_6x1_22_B_0" hidden="1">#REF!</definedName>
    <definedName name="SD_1x1_6x1_25_B_0" hidden="1">#REF!</definedName>
    <definedName name="SD_1x1_6x1_3_B_0" hidden="1">#REF!</definedName>
    <definedName name="SD_1x1_6x1_4_B_0" hidden="1">#REF!</definedName>
    <definedName name="SD_1x1_6x1_5_B_0" hidden="1">#REF!</definedName>
    <definedName name="SD_1x1_6x1_6_B_0" hidden="1">#REF!</definedName>
    <definedName name="SD_1x1_6x1_7_B_14" hidden="1">#REF!</definedName>
    <definedName name="SD_1x1_6x1_8_B_11" hidden="1">#REF!</definedName>
    <definedName name="SD_1x1_6x1_9_B_0" hidden="1">#REF!</definedName>
    <definedName name="SD_1x1_6x10_1_B_9000" hidden="1">#REF!</definedName>
    <definedName name="SD_1x1_6x10_10_B_20" hidden="1">#REF!</definedName>
    <definedName name="SD_1x1_6x10_11_B_0" hidden="1">#REF!</definedName>
    <definedName name="SD_1x1_6x10_12_B_0" hidden="1">#REF!</definedName>
    <definedName name="SD_1x1_6x10_13_B_0" hidden="1">#REF!</definedName>
    <definedName name="SD_1x1_6x10_14_B_0" hidden="1">#REF!</definedName>
    <definedName name="SD_1x1_6x10_15_B_0" hidden="1">#REF!</definedName>
    <definedName name="SD_1x1_6x10_16_B_0" hidden="1">#REF!</definedName>
    <definedName name="SD_1x1_6x10_17_B_0" hidden="1">#REF!</definedName>
    <definedName name="SD_1x1_6x10_18_B_0" hidden="1">#REF!</definedName>
    <definedName name="SD_1x1_6x10_19_B_0" hidden="1">#REF!</definedName>
    <definedName name="SD_1x1_6x10_20_B_0" hidden="1">#REF!</definedName>
    <definedName name="SD_1x1_6x10_21_B_0" hidden="1">#REF!</definedName>
    <definedName name="SD_1x1_6x10_22_B_0" hidden="1">#REF!</definedName>
    <definedName name="SD_1x1_6x10_25_B_0" hidden="1">#REF!</definedName>
    <definedName name="SD_1x1_6x10_3_B_0" hidden="1">#REF!</definedName>
    <definedName name="SD_1x1_6x10_4_B_0" hidden="1">#REF!</definedName>
    <definedName name="SD_1x1_6x10_5_B_0" hidden="1">#REF!</definedName>
    <definedName name="SD_1x1_6x10_6_B_0" hidden="1">#REF!</definedName>
    <definedName name="SD_1x1_6x10_7_B_14" hidden="1">#REF!</definedName>
    <definedName name="SD_1x1_6x10_8_B_11" hidden="1">#REF!</definedName>
    <definedName name="SD_1x1_6x10_9_B_0" hidden="1">#REF!</definedName>
    <definedName name="SD_1x1_6x11_1_B_9000" hidden="1">#REF!</definedName>
    <definedName name="SD_1x1_6x11_10_B_20" hidden="1">#REF!</definedName>
    <definedName name="SD_1x1_6x11_11_B_0" hidden="1">#REF!</definedName>
    <definedName name="SD_1x1_6x11_12_B_0" hidden="1">#REF!</definedName>
    <definedName name="SD_1x1_6x11_13_B_0" hidden="1">#REF!</definedName>
    <definedName name="SD_1x1_6x11_14_B_0" hidden="1">#REF!</definedName>
    <definedName name="SD_1x1_6x11_15_B_0" hidden="1">#REF!</definedName>
    <definedName name="SD_1x1_6x11_16_B_0" hidden="1">#REF!</definedName>
    <definedName name="SD_1x1_6x11_17_B_0" hidden="1">#REF!</definedName>
    <definedName name="SD_1x1_6x11_18_B_0" hidden="1">#REF!</definedName>
    <definedName name="SD_1x1_6x11_19_B_0" hidden="1">#REF!</definedName>
    <definedName name="SD_1x1_6x11_20_B_0" hidden="1">#REF!</definedName>
    <definedName name="SD_1x1_6x11_21_B_0" hidden="1">#REF!</definedName>
    <definedName name="SD_1x1_6x11_22_B_0" hidden="1">#REF!</definedName>
    <definedName name="SD_1x1_6x11_25_B_0" hidden="1">#REF!</definedName>
    <definedName name="SD_1x1_6x11_3_B_0" hidden="1">#REF!</definedName>
    <definedName name="SD_1x1_6x11_4_B_0" hidden="1">#REF!</definedName>
    <definedName name="SD_1x1_6x11_5_B_0" hidden="1">#REF!</definedName>
    <definedName name="SD_1x1_6x11_6_B_0" hidden="1">#REF!</definedName>
    <definedName name="SD_1x1_6x11_7_B_14" hidden="1">#REF!</definedName>
    <definedName name="SD_1x1_6x11_8_B_11" hidden="1">#REF!</definedName>
    <definedName name="SD_1x1_6x11_9_B_0" hidden="1">#REF!</definedName>
    <definedName name="SD_1x1_6x12_1_B_9000" hidden="1">#REF!</definedName>
    <definedName name="SD_1x1_6x12_10_B_20" hidden="1">#REF!</definedName>
    <definedName name="SD_1x1_6x12_11_B_0" hidden="1">#REF!</definedName>
    <definedName name="SD_1x1_6x12_12_B_0" hidden="1">#REF!</definedName>
    <definedName name="SD_1x1_6x12_13_B_0" hidden="1">#REF!</definedName>
    <definedName name="SD_1x1_6x12_14_B_0" hidden="1">#REF!</definedName>
    <definedName name="SD_1x1_6x12_15_B_0" hidden="1">#REF!</definedName>
    <definedName name="SD_1x1_6x12_16_B_0" hidden="1">#REF!</definedName>
    <definedName name="SD_1x1_6x12_17_B_0" hidden="1">#REF!</definedName>
    <definedName name="SD_1x1_6x12_18_B_0" hidden="1">#REF!</definedName>
    <definedName name="SD_1x1_6x12_19_B_0" hidden="1">#REF!</definedName>
    <definedName name="SD_1x1_6x12_20_B_0" hidden="1">#REF!</definedName>
    <definedName name="SD_1x1_6x12_21_B_0" hidden="1">#REF!</definedName>
    <definedName name="SD_1x1_6x12_22_B_0" hidden="1">#REF!</definedName>
    <definedName name="SD_1x1_6x12_25_B_0" hidden="1">#REF!</definedName>
    <definedName name="SD_1x1_6x12_3_B_0" hidden="1">#REF!</definedName>
    <definedName name="SD_1x1_6x12_4_B_0" hidden="1">#REF!</definedName>
    <definedName name="SD_1x1_6x12_5_B_0" hidden="1">#REF!</definedName>
    <definedName name="SD_1x1_6x12_6_B_0" hidden="1">#REF!</definedName>
    <definedName name="SD_1x1_6x12_7_B_14" hidden="1">#REF!</definedName>
    <definedName name="SD_1x1_6x12_8_B_11" hidden="1">#REF!</definedName>
    <definedName name="SD_1x1_6x12_9_B_0" hidden="1">#REF!</definedName>
    <definedName name="SD_1x1_6x13_1_B_9000" hidden="1">#REF!</definedName>
    <definedName name="SD_1x1_6x13_10_B_20" hidden="1">#REF!</definedName>
    <definedName name="SD_1x1_6x13_11_B_0" hidden="1">#REF!</definedName>
    <definedName name="SD_1x1_6x13_12_B_0" hidden="1">#REF!</definedName>
    <definedName name="SD_1x1_6x13_13_B_0" hidden="1">#REF!</definedName>
    <definedName name="SD_1x1_6x13_14_B_0" hidden="1">#REF!</definedName>
    <definedName name="SD_1x1_6x13_15_B_0" hidden="1">#REF!</definedName>
    <definedName name="SD_1x1_6x13_16_B_0" hidden="1">#REF!</definedName>
    <definedName name="SD_1x1_6x13_17_B_0" hidden="1">#REF!</definedName>
    <definedName name="SD_1x1_6x13_18_B_0" hidden="1">#REF!</definedName>
    <definedName name="SD_1x1_6x13_19_B_0" hidden="1">#REF!</definedName>
    <definedName name="SD_1x1_6x13_20_B_0" hidden="1">#REF!</definedName>
    <definedName name="SD_1x1_6x13_21_B_0" hidden="1">#REF!</definedName>
    <definedName name="SD_1x1_6x13_22_B_0" hidden="1">#REF!</definedName>
    <definedName name="SD_1x1_6x13_25_B_0" hidden="1">#REF!</definedName>
    <definedName name="SD_1x1_6x13_3_B_0" hidden="1">#REF!</definedName>
    <definedName name="SD_1x1_6x13_4_B_0" hidden="1">#REF!</definedName>
    <definedName name="SD_1x1_6x13_5_B_0" hidden="1">#REF!</definedName>
    <definedName name="SD_1x1_6x13_6_B_0" hidden="1">#REF!</definedName>
    <definedName name="SD_1x1_6x13_7_B_14" hidden="1">#REF!</definedName>
    <definedName name="SD_1x1_6x13_8_B_11" hidden="1">#REF!</definedName>
    <definedName name="SD_1x1_6x13_9_B_0" hidden="1">#REF!</definedName>
    <definedName name="SD_1x1_6x14_1_B_9000" hidden="1">#REF!</definedName>
    <definedName name="SD_1x1_6x14_10_B_20" hidden="1">#REF!</definedName>
    <definedName name="SD_1x1_6x14_11_B_0" hidden="1">#REF!</definedName>
    <definedName name="SD_1x1_6x14_12_B_0" hidden="1">#REF!</definedName>
    <definedName name="SD_1x1_6x14_13_B_0" hidden="1">#REF!</definedName>
    <definedName name="SD_1x1_6x14_14_B_0" hidden="1">#REF!</definedName>
    <definedName name="SD_1x1_6x14_15_B_0" hidden="1">#REF!</definedName>
    <definedName name="SD_1x1_6x14_16_B_0" hidden="1">#REF!</definedName>
    <definedName name="SD_1x1_6x14_17_B_0" hidden="1">#REF!</definedName>
    <definedName name="SD_1x1_6x14_18_B_0" hidden="1">#REF!</definedName>
    <definedName name="SD_1x1_6x14_19_B_0" hidden="1">#REF!</definedName>
    <definedName name="SD_1x1_6x14_20_B_0" hidden="1">#REF!</definedName>
    <definedName name="SD_1x1_6x14_21_B_0" hidden="1">#REF!</definedName>
    <definedName name="SD_1x1_6x14_22_B_0" hidden="1">#REF!</definedName>
    <definedName name="SD_1x1_6x14_25_B_0" hidden="1">#REF!</definedName>
    <definedName name="SD_1x1_6x14_3_B_0" hidden="1">#REF!</definedName>
    <definedName name="SD_1x1_6x14_4_B_0" hidden="1">#REF!</definedName>
    <definedName name="SD_1x1_6x14_5_B_0" hidden="1">#REF!</definedName>
    <definedName name="SD_1x1_6x14_6_B_0" hidden="1">#REF!</definedName>
    <definedName name="SD_1x1_6x14_7_B_14" hidden="1">#REF!</definedName>
    <definedName name="SD_1x1_6x14_8_B_11" hidden="1">#REF!</definedName>
    <definedName name="SD_1x1_6x14_9_B_0" hidden="1">#REF!</definedName>
    <definedName name="SD_1x1_6x15_1_B_9000" hidden="1">#REF!</definedName>
    <definedName name="SD_1x1_6x15_10_B_20" hidden="1">#REF!</definedName>
    <definedName name="SD_1x1_6x15_11_B_0" hidden="1">#REF!</definedName>
    <definedName name="SD_1x1_6x15_12_B_0" hidden="1">#REF!</definedName>
    <definedName name="SD_1x1_6x15_13_B_0" hidden="1">#REF!</definedName>
    <definedName name="SD_1x1_6x15_14_B_0" hidden="1">#REF!</definedName>
    <definedName name="SD_1x1_6x15_15_B_0" hidden="1">#REF!</definedName>
    <definedName name="SD_1x1_6x15_16_B_0" hidden="1">#REF!</definedName>
    <definedName name="SD_1x1_6x15_17_B_0" hidden="1">#REF!</definedName>
    <definedName name="SD_1x1_6x15_18_B_0" hidden="1">#REF!</definedName>
    <definedName name="SD_1x1_6x15_19_B_0" hidden="1">#REF!</definedName>
    <definedName name="SD_1x1_6x15_20_B_0" hidden="1">#REF!</definedName>
    <definedName name="SD_1x1_6x15_21_B_0" hidden="1">#REF!</definedName>
    <definedName name="SD_1x1_6x15_22_B_0" hidden="1">#REF!</definedName>
    <definedName name="SD_1x1_6x15_25_B_0" hidden="1">#REF!</definedName>
    <definedName name="SD_1x1_6x15_3_B_0" hidden="1">#REF!</definedName>
    <definedName name="SD_1x1_6x15_4_B_0" hidden="1">#REF!</definedName>
    <definedName name="SD_1x1_6x15_5_B_0" hidden="1">#REF!</definedName>
    <definedName name="SD_1x1_6x15_6_B_0" hidden="1">#REF!</definedName>
    <definedName name="SD_1x1_6x15_7_B_14" hidden="1">#REF!</definedName>
    <definedName name="SD_1x1_6x15_8_B_11" hidden="1">#REF!</definedName>
    <definedName name="SD_1x1_6x15_9_B_0" hidden="1">#REF!</definedName>
    <definedName name="SD_1x1_6x2_1_B_9000" hidden="1">#REF!</definedName>
    <definedName name="SD_1x1_6x2_10_B_20" hidden="1">#REF!</definedName>
    <definedName name="SD_1x1_6x2_11_B_0" hidden="1">#REF!</definedName>
    <definedName name="SD_1x1_6x2_12_B_0" hidden="1">#REF!</definedName>
    <definedName name="SD_1x1_6x2_13_B_0" hidden="1">#REF!</definedName>
    <definedName name="SD_1x1_6x2_14_B_0" hidden="1">#REF!</definedName>
    <definedName name="SD_1x1_6x2_15_B_0" hidden="1">#REF!</definedName>
    <definedName name="SD_1x1_6x2_16_B_0" hidden="1">#REF!</definedName>
    <definedName name="SD_1x1_6x2_17_B_0" hidden="1">#REF!</definedName>
    <definedName name="SD_1x1_6x2_18_B_0" hidden="1">#REF!</definedName>
    <definedName name="SD_1x1_6x2_19_B_0" hidden="1">#REF!</definedName>
    <definedName name="SD_1x1_6x2_20_B_0" hidden="1">#REF!</definedName>
    <definedName name="SD_1x1_6x2_21_B_0" hidden="1">#REF!</definedName>
    <definedName name="SD_1x1_6x2_22_B_0" hidden="1">#REF!</definedName>
    <definedName name="SD_1x1_6x2_25_B_0" hidden="1">#REF!</definedName>
    <definedName name="SD_1x1_6x2_3_B_0" hidden="1">#REF!</definedName>
    <definedName name="SD_1x1_6x2_4_B_0" hidden="1">#REF!</definedName>
    <definedName name="SD_1x1_6x2_5_B_0" hidden="1">#REF!</definedName>
    <definedName name="SD_1x1_6x2_6_B_0" hidden="1">#REF!</definedName>
    <definedName name="SD_1x1_6x2_7_B_14" hidden="1">#REF!</definedName>
    <definedName name="SD_1x1_6x2_8_B_11" hidden="1">#REF!</definedName>
    <definedName name="SD_1x1_6x2_9_B_0" hidden="1">#REF!</definedName>
    <definedName name="SD_1x1_6x3_1_B_9000" hidden="1">#REF!</definedName>
    <definedName name="SD_1x1_6x3_10_B_20" hidden="1">#REF!</definedName>
    <definedName name="SD_1x1_6x3_11_B_0" hidden="1">#REF!</definedName>
    <definedName name="SD_1x1_6x3_12_B_0" hidden="1">#REF!</definedName>
    <definedName name="SD_1x1_6x3_13_B_0" hidden="1">#REF!</definedName>
    <definedName name="SD_1x1_6x3_14_B_0" hidden="1">#REF!</definedName>
    <definedName name="SD_1x1_6x3_15_B_0" hidden="1">#REF!</definedName>
    <definedName name="SD_1x1_6x3_16_B_0" hidden="1">#REF!</definedName>
    <definedName name="SD_1x1_6x3_17_B_0" hidden="1">#REF!</definedName>
    <definedName name="SD_1x1_6x3_18_B_0" hidden="1">#REF!</definedName>
    <definedName name="SD_1x1_6x3_19_B_0" hidden="1">#REF!</definedName>
    <definedName name="SD_1x1_6x3_20_B_0" hidden="1">#REF!</definedName>
    <definedName name="SD_1x1_6x3_21_B_0" hidden="1">#REF!</definedName>
    <definedName name="SD_1x1_6x3_22_B_0" hidden="1">#REF!</definedName>
    <definedName name="SD_1x1_6x3_25_B_0" hidden="1">#REF!</definedName>
    <definedName name="SD_1x1_6x3_3_B_0" hidden="1">#REF!</definedName>
    <definedName name="SD_1x1_6x3_4_B_0" hidden="1">#REF!</definedName>
    <definedName name="SD_1x1_6x3_5_B_0" hidden="1">#REF!</definedName>
    <definedName name="SD_1x1_6x3_6_B_0" hidden="1">#REF!</definedName>
    <definedName name="SD_1x1_6x3_7_B_14" hidden="1">#REF!</definedName>
    <definedName name="SD_1x1_6x3_8_B_11" hidden="1">#REF!</definedName>
    <definedName name="SD_1x1_6x3_9_B_0" hidden="1">#REF!</definedName>
    <definedName name="SD_1x1_6x4_1_B_9000" hidden="1">#REF!</definedName>
    <definedName name="SD_1x1_6x4_10_B_20" hidden="1">#REF!</definedName>
    <definedName name="SD_1x1_6x4_11_B_0" hidden="1">#REF!</definedName>
    <definedName name="SD_1x1_6x4_12_B_0" hidden="1">#REF!</definedName>
    <definedName name="SD_1x1_6x4_13_B_0" hidden="1">#REF!</definedName>
    <definedName name="SD_1x1_6x4_14_B_0" hidden="1">#REF!</definedName>
    <definedName name="SD_1x1_6x4_15_B_0" hidden="1">#REF!</definedName>
    <definedName name="SD_1x1_6x4_16_B_0" hidden="1">#REF!</definedName>
    <definedName name="SD_1x1_6x4_17_B_0" hidden="1">#REF!</definedName>
    <definedName name="SD_1x1_6x4_18_B_0" hidden="1">#REF!</definedName>
    <definedName name="SD_1x1_6x4_19_B_0" hidden="1">#REF!</definedName>
    <definedName name="SD_1x1_6x4_20_B_0" hidden="1">#REF!</definedName>
    <definedName name="SD_1x1_6x4_21_B_0" hidden="1">#REF!</definedName>
    <definedName name="SD_1x1_6x4_22_B_0" hidden="1">#REF!</definedName>
    <definedName name="SD_1x1_6x4_25_B_0" hidden="1">#REF!</definedName>
    <definedName name="SD_1x1_6x4_3_B_0" hidden="1">#REF!</definedName>
    <definedName name="SD_1x1_6x4_4_B_0" hidden="1">#REF!</definedName>
    <definedName name="SD_1x1_6x4_5_B_0" hidden="1">#REF!</definedName>
    <definedName name="SD_1x1_6x4_6_B_0" hidden="1">#REF!</definedName>
    <definedName name="SD_1x1_6x4_7_B_14" hidden="1">#REF!</definedName>
    <definedName name="SD_1x1_6x4_8_B_11" hidden="1">#REF!</definedName>
    <definedName name="SD_1x1_6x4_9_B_0" hidden="1">#REF!</definedName>
    <definedName name="SD_1x1_6x5_1_B_9000" hidden="1">#REF!</definedName>
    <definedName name="SD_1x1_6x5_10_B_20" hidden="1">#REF!</definedName>
    <definedName name="SD_1x1_6x5_11_B_0" hidden="1">#REF!</definedName>
    <definedName name="SD_1x1_6x5_12_B_0" hidden="1">#REF!</definedName>
    <definedName name="SD_1x1_6x5_13_B_0" hidden="1">#REF!</definedName>
    <definedName name="SD_1x1_6x5_14_B_0" hidden="1">#REF!</definedName>
    <definedName name="SD_1x1_6x5_15_B_0" hidden="1">#REF!</definedName>
    <definedName name="SD_1x1_6x5_16_B_0" hidden="1">#REF!</definedName>
    <definedName name="SD_1x1_6x5_17_B_0" hidden="1">#REF!</definedName>
    <definedName name="SD_1x1_6x5_18_B_0" hidden="1">#REF!</definedName>
    <definedName name="SD_1x1_6x5_19_B_0" hidden="1">#REF!</definedName>
    <definedName name="SD_1x1_6x5_20_B_0" hidden="1">#REF!</definedName>
    <definedName name="SD_1x1_6x5_21_B_0" hidden="1">#REF!</definedName>
    <definedName name="SD_1x1_6x5_22_B_0" hidden="1">#REF!</definedName>
    <definedName name="SD_1x1_6x5_25_B_0" hidden="1">#REF!</definedName>
    <definedName name="SD_1x1_6x5_3_B_0" hidden="1">#REF!</definedName>
    <definedName name="SD_1x1_6x5_4_B_0" hidden="1">#REF!</definedName>
    <definedName name="SD_1x1_6x5_5_B_0" hidden="1">#REF!</definedName>
    <definedName name="SD_1x1_6x5_6_B_0" hidden="1">#REF!</definedName>
    <definedName name="SD_1x1_6x5_7_B_14" hidden="1">#REF!</definedName>
    <definedName name="SD_1x1_6x5_8_B_11" hidden="1">#REF!</definedName>
    <definedName name="SD_1x1_6x5_9_B_0" hidden="1">#REF!</definedName>
    <definedName name="SD_1x1_6x6_1_B_9000" hidden="1">#REF!</definedName>
    <definedName name="SD_1x1_6x6_10_B_20" hidden="1">#REF!</definedName>
    <definedName name="SD_1x1_6x6_11_B_0" hidden="1">#REF!</definedName>
    <definedName name="SD_1x1_6x6_12_B_0" hidden="1">#REF!</definedName>
    <definedName name="SD_1x1_6x6_13_B_0" hidden="1">#REF!</definedName>
    <definedName name="SD_1x1_6x6_14_B_0" hidden="1">#REF!</definedName>
    <definedName name="SD_1x1_6x6_15_B_0" hidden="1">#REF!</definedName>
    <definedName name="SD_1x1_6x6_16_B_0" hidden="1">#REF!</definedName>
    <definedName name="SD_1x1_6x6_17_B_0" hidden="1">#REF!</definedName>
    <definedName name="SD_1x1_6x6_18_B_0" hidden="1">#REF!</definedName>
    <definedName name="SD_1x1_6x6_19_B_0" hidden="1">#REF!</definedName>
    <definedName name="SD_1x1_6x6_20_B_0" hidden="1">#REF!</definedName>
    <definedName name="SD_1x1_6x6_21_B_0" hidden="1">#REF!</definedName>
    <definedName name="SD_1x1_6x6_22_B_0" hidden="1">#REF!</definedName>
    <definedName name="SD_1x1_6x6_25_B_0" hidden="1">#REF!</definedName>
    <definedName name="SD_1x1_6x6_3_B_0" hidden="1">#REF!</definedName>
    <definedName name="SD_1x1_6x6_4_B_0" hidden="1">#REF!</definedName>
    <definedName name="SD_1x1_6x6_5_B_0" hidden="1">#REF!</definedName>
    <definedName name="SD_1x1_6x6_6_B_0" hidden="1">#REF!</definedName>
    <definedName name="SD_1x1_6x6_7_B_14" hidden="1">#REF!</definedName>
    <definedName name="SD_1x1_6x6_8_B_11" hidden="1">#REF!</definedName>
    <definedName name="SD_1x1_6x6_9_B_0" hidden="1">#REF!</definedName>
    <definedName name="SD_1x1_6x7_1_B_9000" hidden="1">#REF!</definedName>
    <definedName name="SD_1x1_6x7_10_B_20" hidden="1">#REF!</definedName>
    <definedName name="SD_1x1_6x7_11_B_0" hidden="1">#REF!</definedName>
    <definedName name="SD_1x1_6x7_12_B_0" hidden="1">#REF!</definedName>
    <definedName name="SD_1x1_6x7_13_B_0" hidden="1">#REF!</definedName>
    <definedName name="SD_1x1_6x7_14_B_0" hidden="1">#REF!</definedName>
    <definedName name="SD_1x1_6x7_15_B_0" hidden="1">#REF!</definedName>
    <definedName name="SD_1x1_6x7_16_B_0" hidden="1">#REF!</definedName>
    <definedName name="SD_1x1_6x7_17_B_0" hidden="1">#REF!</definedName>
    <definedName name="SD_1x1_6x7_18_B_0" hidden="1">#REF!</definedName>
    <definedName name="SD_1x1_6x7_19_B_0" hidden="1">#REF!</definedName>
    <definedName name="SD_1x1_6x7_20_B_0" hidden="1">#REF!</definedName>
    <definedName name="SD_1x1_6x7_21_B_0" hidden="1">#REF!</definedName>
    <definedName name="SD_1x1_6x7_22_B_0" hidden="1">#REF!</definedName>
    <definedName name="SD_1x1_6x7_25_B_0" hidden="1">#REF!</definedName>
    <definedName name="SD_1x1_6x7_3_B_0" hidden="1">#REF!</definedName>
    <definedName name="SD_1x1_6x7_4_B_0" hidden="1">#REF!</definedName>
    <definedName name="SD_1x1_6x7_5_B_0" hidden="1">#REF!</definedName>
    <definedName name="SD_1x1_6x7_6_B_0" hidden="1">#REF!</definedName>
    <definedName name="SD_1x1_6x7_7_B_14" hidden="1">#REF!</definedName>
    <definedName name="SD_1x1_6x7_8_B_11" hidden="1">#REF!</definedName>
    <definedName name="SD_1x1_6x7_9_B_0" hidden="1">#REF!</definedName>
    <definedName name="SD_1x1_6x8_1_B_9000" hidden="1">#REF!</definedName>
    <definedName name="SD_1x1_6x8_10_B_20" hidden="1">#REF!</definedName>
    <definedName name="SD_1x1_6x8_11_B_0" hidden="1">#REF!</definedName>
    <definedName name="SD_1x1_6x8_12_B_0" hidden="1">#REF!</definedName>
    <definedName name="SD_1x1_6x8_13_B_0" hidden="1">#REF!</definedName>
    <definedName name="SD_1x1_6x8_14_B_0" hidden="1">#REF!</definedName>
    <definedName name="SD_1x1_6x8_15_B_0" hidden="1">#REF!</definedName>
    <definedName name="SD_1x1_6x8_16_B_0" hidden="1">#REF!</definedName>
    <definedName name="SD_1x1_6x8_17_B_0" hidden="1">#REF!</definedName>
    <definedName name="SD_1x1_6x8_18_B_0" hidden="1">#REF!</definedName>
    <definedName name="SD_1x1_6x8_19_B_0" hidden="1">#REF!</definedName>
    <definedName name="SD_1x1_6x8_20_B_0" hidden="1">#REF!</definedName>
    <definedName name="SD_1x1_6x8_21_B_0" hidden="1">#REF!</definedName>
    <definedName name="SD_1x1_6x8_22_B_0" hidden="1">#REF!</definedName>
    <definedName name="SD_1x1_6x8_25_B_0" hidden="1">#REF!</definedName>
    <definedName name="SD_1x1_6x8_3_B_0" hidden="1">#REF!</definedName>
    <definedName name="SD_1x1_6x8_4_B_0" hidden="1">#REF!</definedName>
    <definedName name="SD_1x1_6x8_5_B_0" hidden="1">#REF!</definedName>
    <definedName name="SD_1x1_6x8_6_B_0" hidden="1">#REF!</definedName>
    <definedName name="SD_1x1_6x8_7_B_14" hidden="1">#REF!</definedName>
    <definedName name="SD_1x1_6x8_8_B_11" hidden="1">#REF!</definedName>
    <definedName name="SD_1x1_6x8_9_B_0" hidden="1">#REF!</definedName>
    <definedName name="SD_1x1_6x9_1_B_9000" hidden="1">#REF!</definedName>
    <definedName name="SD_1x1_6x9_10_B_20" hidden="1">#REF!</definedName>
    <definedName name="SD_1x1_6x9_11_B_0" hidden="1">#REF!</definedName>
    <definedName name="SD_1x1_6x9_12_B_0" hidden="1">#REF!</definedName>
    <definedName name="SD_1x1_6x9_13_B_0" hidden="1">#REF!</definedName>
    <definedName name="SD_1x1_6x9_14_B_0" hidden="1">#REF!</definedName>
    <definedName name="SD_1x1_6x9_15_B_0" hidden="1">#REF!</definedName>
    <definedName name="SD_1x1_6x9_16_B_0" hidden="1">#REF!</definedName>
    <definedName name="SD_1x1_6x9_17_B_0" hidden="1">#REF!</definedName>
    <definedName name="SD_1x1_6x9_18_B_0" hidden="1">#REF!</definedName>
    <definedName name="SD_1x1_6x9_19_B_0" hidden="1">#REF!</definedName>
    <definedName name="SD_1x1_6x9_20_B_0" hidden="1">#REF!</definedName>
    <definedName name="SD_1x1_6x9_21_B_0" hidden="1">#REF!</definedName>
    <definedName name="SD_1x1_6x9_22_B_0" hidden="1">#REF!</definedName>
    <definedName name="SD_1x1_6x9_25_B_0" hidden="1">#REF!</definedName>
    <definedName name="SD_1x1_6x9_3_B_0" hidden="1">#REF!</definedName>
    <definedName name="SD_1x1_6x9_4_B_0" hidden="1">#REF!</definedName>
    <definedName name="SD_1x1_6x9_5_B_0" hidden="1">#REF!</definedName>
    <definedName name="SD_1x1_6x9_6_B_0" hidden="1">#REF!</definedName>
    <definedName name="SD_1x1_6x9_7_B_14" hidden="1">#REF!</definedName>
    <definedName name="SD_1x1_6x9_8_B_11" hidden="1">#REF!</definedName>
    <definedName name="SD_1x1_6x9_9_B_0" hidden="1">#REF!</definedName>
    <definedName name="SD_1x1_8_G_12" hidden="1">#REF!</definedName>
    <definedName name="SD_Dropdown_11_Name" hidden="1">#REF!</definedName>
    <definedName name="SD_Dropdown_14_Name" hidden="1">#REF!</definedName>
    <definedName name="SD_Dropdown_9003_Name" hidden="1">#REF!</definedName>
    <definedName name="SDATE">#REF!</definedName>
    <definedName name="sdcds" localSheetId="3" hidden="1">{"'Assump'!$F$6:$J$6"}</definedName>
    <definedName name="sdcds" localSheetId="6" hidden="1">{"'Assump'!$F$6:$J$6"}</definedName>
    <definedName name="sdcds" localSheetId="9" hidden="1">{"'Assump'!$F$6:$J$6"}</definedName>
    <definedName name="sdcds" localSheetId="2" hidden="1">{"'Assump'!$F$6:$J$6"}</definedName>
    <definedName name="sdcds" localSheetId="4" hidden="1">{"'Assump'!$F$6:$J$6"}</definedName>
    <definedName name="sdcds" localSheetId="0" hidden="1">{"'Assump'!$F$6:$J$6"}</definedName>
    <definedName name="sdcds" hidden="1">{"'Assump'!$F$6:$J$6"}</definedName>
    <definedName name="SDD" localSheetId="0"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DD"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df" localSheetId="3" hidden="1">{#N/A,#N/A,TRUE,"10 Yr Hold";#N/A,#N/A,TRUE,"7 Yr Hold";#N/A,#N/A,TRUE,"5 Yr Hold";#N/A,#N/A,TRUE,"3 Yr Hold"}</definedName>
    <definedName name="sdf" localSheetId="6" hidden="1">{"PROFORMA",#N/A,FALSE,"A";"BIGGER 1",#N/A,FALSE,"B";"BIGGER 2",#N/A,FALSE,"B";"BIGGER 3",#N/A,FALSE,"B";"SMALL CF 1",#N/A,FALSE,"C"}</definedName>
    <definedName name="sdf" localSheetId="9" hidden="1">{#N/A,#N/A,TRUE,"10 Yr Hold";#N/A,#N/A,TRUE,"7 Yr Hold";#N/A,#N/A,TRUE,"5 Yr Hold";#N/A,#N/A,TRUE,"3 Yr Hold"}</definedName>
    <definedName name="sdf" localSheetId="2" hidden="1">{#N/A,#N/A,TRUE,"10 Yr Hold";#N/A,#N/A,TRUE,"7 Yr Hold";#N/A,#N/A,TRUE,"5 Yr Hold";#N/A,#N/A,TRUE,"3 Yr Hold"}</definedName>
    <definedName name="sdf" localSheetId="4" hidden="1">{#N/A,#N/A,TRUE,"10 Yr Hold";#N/A,#N/A,TRUE,"7 Yr Hold";#N/A,#N/A,TRUE,"5 Yr Hold";#N/A,#N/A,TRUE,"3 Yr Hold"}</definedName>
    <definedName name="sdf" localSheetId="0" hidden="1">{"PROFORMA",#N/A,FALSE,"A";"BIGGER 1",#N/A,FALSE,"B";"BIGGER 2",#N/A,FALSE,"B";"BIGGER 3",#N/A,FALSE,"B";"SMALL CF 1",#N/A,FALSE,"C"}</definedName>
    <definedName name="sdf" hidden="1">{"PROFORMA",#N/A,FALSE,"A";"BIGGER 1",#N/A,FALSE,"B";"BIGGER 2",#N/A,FALSE,"B";"BIGGER 3",#N/A,FALSE,"B";"SMALL CF 1",#N/A,FALSE,"C"}</definedName>
    <definedName name="sdfass" localSheetId="3" hidden="1">{"Outflow 1",#N/A,FALSE,"Outflows-Inflows";"Outflow 2",#N/A,FALSE,"Outflows-Inflows";"Inflow 1",#N/A,FALSE,"Outflows-Inflows";"Inflow 2",#N/A,FALSE,"Outflows-Inflows"}</definedName>
    <definedName name="sdfass" localSheetId="6" hidden="1">{"Outflow 1",#N/A,FALSE,"Outflows-Inflows";"Outflow 2",#N/A,FALSE,"Outflows-Inflows";"Inflow 1",#N/A,FALSE,"Outflows-Inflows";"Inflow 2",#N/A,FALSE,"Outflows-Inflows"}</definedName>
    <definedName name="sdfass" localSheetId="9" hidden="1">{"Outflow 1",#N/A,FALSE,"Outflows-Inflows";"Outflow 2",#N/A,FALSE,"Outflows-Inflows";"Inflow 1",#N/A,FALSE,"Outflows-Inflows";"Inflow 2",#N/A,FALSE,"Outflows-Inflows"}</definedName>
    <definedName name="sdfass" localSheetId="2" hidden="1">{"Outflow 1",#N/A,FALSE,"Outflows-Inflows";"Outflow 2",#N/A,FALSE,"Outflows-Inflows";"Inflow 1",#N/A,FALSE,"Outflows-Inflows";"Inflow 2",#N/A,FALSE,"Outflows-Inflows"}</definedName>
    <definedName name="sdfass" localSheetId="4" hidden="1">{"Outflow 1",#N/A,FALSE,"Outflows-Inflows";"Outflow 2",#N/A,FALSE,"Outflows-Inflows";"Inflow 1",#N/A,FALSE,"Outflows-Inflows";"Inflow 2",#N/A,FALSE,"Outflows-Inflows"}</definedName>
    <definedName name="sdfass" localSheetId="0" hidden="1">{"Outflow 1",#N/A,FALSE,"Outflows-Inflows";"Outflow 2",#N/A,FALSE,"Outflows-Inflows";"Inflow 1",#N/A,FALSE,"Outflows-Inflows";"Inflow 2",#N/A,FALSE,"Outflows-Inflows"}</definedName>
    <definedName name="sdfass" hidden="1">{"Outflow 1",#N/A,FALSE,"Outflows-Inflows";"Outflow 2",#N/A,FALSE,"Outflows-Inflows";"Inflow 1",#N/A,FALSE,"Outflows-Inflows";"Inflow 2",#N/A,FALSE,"Outflows-Inflows"}</definedName>
    <definedName name="sdsa"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sdsa"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SEAHAVENFEES">#REF!</definedName>
    <definedName name="SellPriceUnit">#REF!</definedName>
    <definedName name="sencount" hidden="1">2</definedName>
    <definedName name="sf">#REF!</definedName>
    <definedName name="sfghsfgh" localSheetId="0" hidden="1">{"CF",#N/A,FALSE,"Cash Flow";"RET",#N/A,FALSE,"Returns";"NPV",#N/A,FALSE,"Values";"ASMPT",#N/A,FALSE,"Assumptions"}</definedName>
    <definedName name="sfghsfgh" hidden="1">{"CF",#N/A,FALSE,"Cash Flow";"RET",#N/A,FALSE,"Returns";"NPV",#N/A,FALSE,"Values";"ASMPT",#N/A,FALSE,"Assumptions"}</definedName>
    <definedName name="SFH.ALL.SALES">#N/A</definedName>
    <definedName name="SH">#N/A</definedName>
    <definedName name="ShapingSub">#REF!</definedName>
    <definedName name="ShapingSub1">#REF!</definedName>
    <definedName name="Sheet4" localSheetId="0" hidden="1">{#N/A,#N/A,FALSE,"IPCOVER";#N/A,#N/A,FALSE,"STATEMENT";#N/A,#N/A,FALSE,"MARGIN";#N/A,#N/A,FALSE,"GNS &amp; LSS";#N/A,#N/A,FALSE,"IPREALGL";#N/A,#N/A,FALSE,"SHRTACCT"}</definedName>
    <definedName name="Sheet4" hidden="1">{#N/A,#N/A,FALSE,"IPCOVER";#N/A,#N/A,FALSE,"STATEMENT";#N/A,#N/A,FALSE,"MARGIN";#N/A,#N/A,FALSE,"GNS &amp; LSS";#N/A,#N/A,FALSE,"IPREALGL";#N/A,#N/A,FALSE,"SHRTACCT"}</definedName>
    <definedName name="SHF.PROJ.LOT.PREM">#N/A</definedName>
    <definedName name="ShipByLink">#REF!</definedName>
    <definedName name="ShipTo">#REF!</definedName>
    <definedName name="ShipToAddress">#REF!</definedName>
    <definedName name="ShipToCitySt">#REF!</definedName>
    <definedName name="ShipToContact">#REF!</definedName>
    <definedName name="ShipToOrder">#REF!</definedName>
    <definedName name="ShipToOrderRef">#REF!</definedName>
    <definedName name="ShipToPhone">#REF!</definedName>
    <definedName name="ShipToPO">#REF!</definedName>
    <definedName name="ShipToreqDate">#REF!</definedName>
    <definedName name="ShipToZip">#REF!</definedName>
    <definedName name="shit" localSheetId="0" hidden="1">{"'Assump'!$F$6:$J$6"}</definedName>
    <definedName name="shit" hidden="1">{"'Assump'!$F$6:$J$6"}</definedName>
    <definedName name="SITE">#REF!</definedName>
    <definedName name="SLEVI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6"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9"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V">#REF!</definedName>
    <definedName name="SOLVERINPUT">#REF!</definedName>
    <definedName name="SOLVEROUTPUT">#REF!</definedName>
    <definedName name="SOLVERSTRIP">#REF!</definedName>
    <definedName name="spectfdi" localSheetId="3" hidden="1">{"schedule",#N/A,FALSE,"Sum Op's";"input area",#N/A,FALSE,"Sum Op's"}</definedName>
    <definedName name="spectfdi" localSheetId="6" hidden="1">{"schedule",#N/A,FALSE,"Sum Op's";"input area",#N/A,FALSE,"Sum Op's"}</definedName>
    <definedName name="spectfdi" localSheetId="9" hidden="1">{"schedule",#N/A,FALSE,"Sum Op's";"input area",#N/A,FALSE,"Sum Op's"}</definedName>
    <definedName name="spectfdi" localSheetId="2" hidden="1">{"schedule",#N/A,FALSE,"Sum Op's";"input area",#N/A,FALSE,"Sum Op's"}</definedName>
    <definedName name="spectfdi" localSheetId="4" hidden="1">{"schedule",#N/A,FALSE,"Sum Op's";"input area",#N/A,FALSE,"Sum Op's"}</definedName>
    <definedName name="spectfdi" localSheetId="0" hidden="1">{"schedule",#N/A,FALSE,"Sum Op's";"input area",#N/A,FALSE,"Sum Op's"}</definedName>
    <definedName name="spectfdi" hidden="1">{"schedule",#N/A,FALSE,"Sum Op's";"input area",#N/A,FALSE,"Sum Op's"}</definedName>
    <definedName name="SPM" localSheetId="3" hidden="1">{#N/A,#N/A,FALSE,"Cashflow Analysis";#N/A,#N/A,FALSE,"Sensitivity Analysis";#N/A,#N/A,FALSE,"PV";#N/A,#N/A,FALSE,"Pro Forma"}</definedName>
    <definedName name="SPM" localSheetId="9" hidden="1">{#N/A,#N/A,FALSE,"Cashflow Analysis";#N/A,#N/A,FALSE,"Sensitivity Analysis";#N/A,#N/A,FALSE,"PV";#N/A,#N/A,FALSE,"Pro Forma"}</definedName>
    <definedName name="SPM" localSheetId="2" hidden="1">{#N/A,#N/A,FALSE,"Cashflow Analysis";#N/A,#N/A,FALSE,"Sensitivity Analysis";#N/A,#N/A,FALSE,"PV";#N/A,#N/A,FALSE,"Pro Forma"}</definedName>
    <definedName name="SPM" localSheetId="4" hidden="1">{#N/A,#N/A,FALSE,"Cashflow Analysis";#N/A,#N/A,FALSE,"Sensitivity Analysis";#N/A,#N/A,FALSE,"PV";#N/A,#N/A,FALSE,"Pro Forma"}</definedName>
    <definedName name="SPM" localSheetId="0" hidden="1">{#N/A,#N/A,FALSE,"Cashflow Analysis";#N/A,#N/A,FALSE,"Sensitivity Analysis";#N/A,#N/A,FALSE,"PV";#N/A,#N/A,FALSE,"Pro Forma"}</definedName>
    <definedName name="SPM" hidden="1">{#N/A,#N/A,FALSE,"Cashflow Analysis";#N/A,#N/A,FALSE,"Sensitivity Analysis";#N/A,#N/A,FALSE,"PV";#N/A,#N/A,FALSE,"Pro Forma"}</definedName>
    <definedName name="SPM.2" localSheetId="3" hidden="1">{#N/A,#N/A,FALSE,"Cashflow Analysis";#N/A,#N/A,FALSE,"Sensitivity Analysis";#N/A,#N/A,FALSE,"PV";#N/A,#N/A,FALSE,"Pro Forma"}</definedName>
    <definedName name="SPM.2" localSheetId="9" hidden="1">{#N/A,#N/A,FALSE,"Cashflow Analysis";#N/A,#N/A,FALSE,"Sensitivity Analysis";#N/A,#N/A,FALSE,"PV";#N/A,#N/A,FALSE,"Pro Forma"}</definedName>
    <definedName name="SPM.2" localSheetId="2" hidden="1">{#N/A,#N/A,FALSE,"Cashflow Analysis";#N/A,#N/A,FALSE,"Sensitivity Analysis";#N/A,#N/A,FALSE,"PV";#N/A,#N/A,FALSE,"Pro Forma"}</definedName>
    <definedName name="SPM.2" localSheetId="4" hidden="1">{#N/A,#N/A,FALSE,"Cashflow Analysis";#N/A,#N/A,FALSE,"Sensitivity Analysis";#N/A,#N/A,FALSE,"PV";#N/A,#N/A,FALSE,"Pro Forma"}</definedName>
    <definedName name="SPM.2" localSheetId="0" hidden="1">{#N/A,#N/A,FALSE,"Cashflow Analysis";#N/A,#N/A,FALSE,"Sensitivity Analysis";#N/A,#N/A,FALSE,"PV";#N/A,#N/A,FALSE,"Pro Forma"}</definedName>
    <definedName name="SPM.2" hidden="1">{#N/A,#N/A,FALSE,"Cashflow Analysis";#N/A,#N/A,FALSE,"Sensitivity Analysis";#N/A,#N/A,FALSE,"PV";#N/A,#N/A,FALSE,"Pro Forma"}</definedName>
    <definedName name="Sq_Ft">#REF!</definedName>
    <definedName name="SqFtColumn">#REF!</definedName>
    <definedName name="Square_Footage">#REF!</definedName>
    <definedName name="srghs" localSheetId="0" hidden="1">{"CF",#N/A,FALSE,"Cash Flow";"RET",#N/A,FALSE,"Returns";"NPV",#N/A,FALSE,"Values";"ASMPT",#N/A,FALSE,"Assumptions"}</definedName>
    <definedName name="srghs" hidden="1">{"CF",#N/A,FALSE,"Cash Flow";"RET",#N/A,FALSE,"Returns";"NPV",#N/A,FALSE,"Values";"ASMPT",#N/A,FALSE,"Assumptions"}</definedName>
    <definedName name="SS" localSheetId="3" hidden="1">{#N/A,#N/A,TRUE,"base case";#N/A,#N/A,TRUE,"valuation";#N/A,#N/A,TRUE,"sources and uses";#N/A,#N/A,TRUE,"recapitalization";#N/A,#N/A,TRUE,"flowchart";#N/A,#N/A,TRUE,"summary";#N/A,#N/A,TRUE,"sensitivities";#N/A,#N/A,TRUE,"pro forma";#N/A,#N/A,TRUE,"PAC shares"}</definedName>
    <definedName name="SS" localSheetId="9" hidden="1">{#N/A,#N/A,TRUE,"base case";#N/A,#N/A,TRUE,"valuation";#N/A,#N/A,TRUE,"sources and uses";#N/A,#N/A,TRUE,"recapitalization";#N/A,#N/A,TRUE,"flowchart";#N/A,#N/A,TRUE,"summary";#N/A,#N/A,TRUE,"sensitivities";#N/A,#N/A,TRUE,"pro forma";#N/A,#N/A,TRUE,"PAC shares"}</definedName>
    <definedName name="SS" localSheetId="2" hidden="1">{#N/A,#N/A,TRUE,"base case";#N/A,#N/A,TRUE,"valuation";#N/A,#N/A,TRUE,"sources and uses";#N/A,#N/A,TRUE,"recapitalization";#N/A,#N/A,TRUE,"flowchart";#N/A,#N/A,TRUE,"summary";#N/A,#N/A,TRUE,"sensitivities";#N/A,#N/A,TRUE,"pro forma";#N/A,#N/A,TRUE,"PAC shares"}</definedName>
    <definedName name="SS" localSheetId="4" hidden="1">{#N/A,#N/A,TRUE,"base case";#N/A,#N/A,TRUE,"valuation";#N/A,#N/A,TRUE,"sources and uses";#N/A,#N/A,TRUE,"recapitalization";#N/A,#N/A,TRUE,"flowchart";#N/A,#N/A,TRUE,"summary";#N/A,#N/A,TRUE,"sensitivities";#N/A,#N/A,TRUE,"pro forma";#N/A,#N/A,TRUE,"PAC shares"}</definedName>
    <definedName name="SS" localSheetId="0" hidden="1">{#N/A,#N/A,TRUE,"base case";#N/A,#N/A,TRUE,"valuation";#N/A,#N/A,TRUE,"sources and uses";#N/A,#N/A,TRUE,"recapitalization";#N/A,#N/A,TRUE,"flowchart";#N/A,#N/A,TRUE,"summary";#N/A,#N/A,TRUE,"sensitivities";#N/A,#N/A,TRUE,"pro forma";#N/A,#N/A,TRUE,"PAC shares"}</definedName>
    <definedName name="SS" hidden="1">{#N/A,#N/A,TRUE,"base case";#N/A,#N/A,TRUE,"valuation";#N/A,#N/A,TRUE,"sources and uses";#N/A,#N/A,TRUE,"recapitalization";#N/A,#N/A,TRUE,"flowchart";#N/A,#N/A,TRUE,"summary";#N/A,#N/A,TRUE,"sensitivities";#N/A,#N/A,TRUE,"pro forma";#N/A,#N/A,TRUE,"PAC shares"}</definedName>
    <definedName name="SSS" localSheetId="3" hidden="1">{"schedule1",#N/A,FALSE,"Sheet1";"schedule2",#N/A,FALSE,"Sheet1";"schedule3",#N/A,FALSE,"Sheet1";"schedule4",#N/A,FALSE,"Sheet1";"schedule5",#N/A,FALSE,"Sheet1";"schedule6",#N/A,FALSE,"Sheet1"}</definedName>
    <definedName name="SSS" localSheetId="6" hidden="1">{"schedule1",#N/A,FALSE,"Sheet1";"schedule2",#N/A,FALSE,"Sheet1";"schedule3",#N/A,FALSE,"Sheet1";"schedule4",#N/A,FALSE,"Sheet1";"schedule5",#N/A,FALSE,"Sheet1";"schedule6",#N/A,FALSE,"Sheet1"}</definedName>
    <definedName name="SSS" localSheetId="9" hidden="1">{"schedule1",#N/A,FALSE,"Sheet1";"schedule2",#N/A,FALSE,"Sheet1";"schedule3",#N/A,FALSE,"Sheet1";"schedule4",#N/A,FALSE,"Sheet1";"schedule5",#N/A,FALSE,"Sheet1";"schedule6",#N/A,FALSE,"Sheet1"}</definedName>
    <definedName name="SSS" localSheetId="2" hidden="1">{"schedule1",#N/A,FALSE,"Sheet1";"schedule2",#N/A,FALSE,"Sheet1";"schedule3",#N/A,FALSE,"Sheet1";"schedule4",#N/A,FALSE,"Sheet1";"schedule5",#N/A,FALSE,"Sheet1";"schedule6",#N/A,FALSE,"Sheet1"}</definedName>
    <definedName name="SSS" localSheetId="4" hidden="1">{"schedule1",#N/A,FALSE,"Sheet1";"schedule2",#N/A,FALSE,"Sheet1";"schedule3",#N/A,FALSE,"Sheet1";"schedule4",#N/A,FALSE,"Sheet1";"schedule5",#N/A,FALSE,"Sheet1";"schedule6",#N/A,FALSE,"Sheet1"}</definedName>
    <definedName name="SSS" localSheetId="0" hidden="1">{"schedule1",#N/A,FALSE,"Sheet1";"schedule2",#N/A,FALSE,"Sheet1";"schedule3",#N/A,FALSE,"Sheet1";"schedule4",#N/A,FALSE,"Sheet1";"schedule5",#N/A,FALSE,"Sheet1";"schedule6",#N/A,FALSE,"Sheet1"}</definedName>
    <definedName name="SSS" hidden="1">{"schedule1",#N/A,FALSE,"Sheet1";"schedule2",#N/A,FALSE,"Sheet1";"schedule3",#N/A,FALSE,"Sheet1";"schedule4",#N/A,FALSE,"Sheet1";"schedule5",#N/A,FALSE,"Sheet1";"schedule6",#N/A,FALSE,"Sheet1"}</definedName>
    <definedName name="Stabilization_Date">#REF!</definedName>
    <definedName name="Stabilization_Month">#REF!</definedName>
    <definedName name="Stabilized_First_Full_Year">#REF!</definedName>
    <definedName name="Stall">#REF!</definedName>
    <definedName name="START">#REF!</definedName>
    <definedName name="Statements" localSheetId="0" hidden="1">{"CF",#N/A,FALSE,"Cash Flow";"RET",#N/A,FALSE,"Returns";"NPV",#N/A,FALSE,"Values";"ASMPT",#N/A,FALSE,"Assumptions"}</definedName>
    <definedName name="Statements" hidden="1">{"CF",#N/A,FALSE,"Cash Flow";"RET",#N/A,FALSE,"Returns";"NPV",#N/A,FALSE,"Values";"ASMPT",#N/A,FALSE,"Assumptions"}</definedName>
    <definedName name="StormDrainSub">#REF!</definedName>
    <definedName name="StormDrainSub1">#REF!</definedName>
    <definedName name="Stretch">#REF!</definedName>
    <definedName name="Sub_Rehab">#REF!</definedName>
    <definedName name="SubSurfDrainSub">#REF!</definedName>
    <definedName name="SubSurfDrainSub1">#REF!</definedName>
    <definedName name="SubTotal2">#REF!</definedName>
    <definedName name="SumQTY">#REF!</definedName>
    <definedName name="SVP">#REF!</definedName>
    <definedName name="swa" localSheetId="0" hidden="1">{#N/A,#N/A,FALSE,"III-1 Sum.Dem";#N/A,#N/A,FALSE,"III-2 RER.Dem.Pop";#N/A,#N/A,FALSE,"III-3 RER.Cap.Pop";#N/A,#N/A,FALSE,"III-4 RER.Dem.TCSS";#N/A,#N/A,FALSE,"III-5 RER.Cap.TCSS";#N/A,#N/A,FALSE,"III-6 Pow.Center.Dem";#N/A,#N/A,FALSE,"III-7 Off.Demand";#N/A,#N/A,FALSE,"III-8 Htl.Dem"}</definedName>
    <definedName name="swa" hidden="1">{#N/A,#N/A,FALSE,"III-1 Sum.Dem";#N/A,#N/A,FALSE,"III-2 RER.Dem.Pop";#N/A,#N/A,FALSE,"III-3 RER.Cap.Pop";#N/A,#N/A,FALSE,"III-4 RER.Dem.TCSS";#N/A,#N/A,FALSE,"III-5 RER.Cap.TCSS";#N/A,#N/A,FALSE,"III-6 Pow.Center.Dem";#N/A,#N/A,FALSE,"III-7 Off.Demand";#N/A,#N/A,FALSE,"III-8 Htl.Dem"}</definedName>
    <definedName name="T">#N/A</definedName>
    <definedName name="TABLE">#REF!</definedName>
    <definedName name="Table3">#REF!</definedName>
    <definedName name="TableM1">#REF!</definedName>
    <definedName name="TableM2">#REF!</definedName>
    <definedName name="Tables" localSheetId="3" hidden="1">{"sales",#N/A,FALSE,"Sales";"sales existing",#N/A,FALSE,"Sales";"sales rd1",#N/A,FALSE,"Sales";"sales rd2",#N/A,FALSE,"Sales"}</definedName>
    <definedName name="Tables" localSheetId="6" hidden="1">{"sales",#N/A,FALSE,"Sales";"sales existing",#N/A,FALSE,"Sales";"sales rd1",#N/A,FALSE,"Sales";"sales rd2",#N/A,FALSE,"Sales"}</definedName>
    <definedName name="Tables" localSheetId="9" hidden="1">{"sales",#N/A,FALSE,"Sales";"sales existing",#N/A,FALSE,"Sales";"sales rd1",#N/A,FALSE,"Sales";"sales rd2",#N/A,FALSE,"Sales"}</definedName>
    <definedName name="Tables" localSheetId="2" hidden="1">{"sales",#N/A,FALSE,"Sales";"sales existing",#N/A,FALSE,"Sales";"sales rd1",#N/A,FALSE,"Sales";"sales rd2",#N/A,FALSE,"Sales"}</definedName>
    <definedName name="Tables" localSheetId="4" hidden="1">{"sales",#N/A,FALSE,"Sales";"sales existing",#N/A,FALSE,"Sales";"sales rd1",#N/A,FALSE,"Sales";"sales rd2",#N/A,FALSE,"Sales"}</definedName>
    <definedName name="Tables" localSheetId="0" hidden="1">{"sales",#N/A,FALSE,"Sales";"sales existing",#N/A,FALSE,"Sales";"sales rd1",#N/A,FALSE,"Sales";"sales rd2",#N/A,FALSE,"Sales"}</definedName>
    <definedName name="Tables" hidden="1">{"sales",#N/A,FALSE,"Sales";"sales existing",#N/A,FALSE,"Sales";"sales rd1",#N/A,FALSE,"Sales";"sales rd2",#N/A,FALSE,"Sales"}</definedName>
    <definedName name="teat" localSheetId="0" hidden="1">{#N/A,#N/A,FALSE,"IPCOVER";#N/A,#N/A,FALSE,"STATEMENT";#N/A,#N/A,FALSE,"MARGIN";#N/A,#N/A,FALSE,"GNS &amp; LSS";#N/A,#N/A,FALSE,"IPREALGL";#N/A,#N/A,FALSE,"SHRTACCT"}</definedName>
    <definedName name="teat" hidden="1">{#N/A,#N/A,FALSE,"IPCOVER";#N/A,#N/A,FALSE,"STATEMENT";#N/A,#N/A,FALSE,"MARGIN";#N/A,#N/A,FALSE,"GNS &amp; LSS";#N/A,#N/A,FALSE,"IPREALGL";#N/A,#N/A,FALSE,"SHRTACCT"}</definedName>
    <definedName name="TeeConstSub">#REF!</definedName>
    <definedName name="TeeConstSub1">#REF!</definedName>
    <definedName name="temp" localSheetId="0" hidden="1">{#N/A,#N/A,FALSE,"el.det";#N/A,#N/A,FALSE,"mu.det";#N/A,#N/A,FALSE,"ug.det";#N/A,#N/A,FALSE,"ex.det";#N/A,#N/A,FALSE,"lux.det";#N/A,#N/A,FALSE,"custom.lot";#N/A,#N/A,FALSE,"condo.att";#N/A,#N/A,FALSE,"el.att";#N/A,#N/A,FALSE,"mu.att";#N/A,#N/A,FALSE,"ex.att";#N/A,#N/A,FALSE,"lux.att";#N/A,#N/A,FALSE,"all.by.village"}</definedName>
    <definedName name="temp" hidden="1">{#N/A,#N/A,FALSE,"el.det";#N/A,#N/A,FALSE,"mu.det";#N/A,#N/A,FALSE,"ug.det";#N/A,#N/A,FALSE,"ex.det";#N/A,#N/A,FALSE,"lux.det";#N/A,#N/A,FALSE,"custom.lot";#N/A,#N/A,FALSE,"condo.att";#N/A,#N/A,FALSE,"el.att";#N/A,#N/A,FALSE,"mu.att";#N/A,#N/A,FALSE,"ex.att";#N/A,#N/A,FALSE,"lux.att";#N/A,#N/A,FALSE,"all.by.village"}</definedName>
    <definedName name="tenvel">#REF!</definedName>
    <definedName name="term">#REF!</definedName>
    <definedName name="TermsOfSaleOther">#REF!</definedName>
    <definedName name="tes" localSheetId="0" hidden="1">{#N/A,#N/A,FALSE,"el.det";#N/A,#N/A,FALSE,"mu.det";#N/A,#N/A,FALSE,"ug.det";#N/A,#N/A,FALSE,"ex.det";#N/A,#N/A,FALSE,"lux.det";#N/A,#N/A,FALSE,"custom.lot";#N/A,#N/A,FALSE,"condo.att";#N/A,#N/A,FALSE,"el.att";#N/A,#N/A,FALSE,"mu.att";#N/A,#N/A,FALSE,"ex.att";#N/A,#N/A,FALSE,"lux.att";#N/A,#N/A,FALSE,"all.by.village"}</definedName>
    <definedName name="tes" hidden="1">{#N/A,#N/A,FALSE,"el.det";#N/A,#N/A,FALSE,"mu.det";#N/A,#N/A,FALSE,"ug.det";#N/A,#N/A,FALSE,"ex.det";#N/A,#N/A,FALSE,"lux.det";#N/A,#N/A,FALSE,"custom.lot";#N/A,#N/A,FALSE,"condo.att";#N/A,#N/A,FALSE,"el.att";#N/A,#N/A,FALSE,"mu.att";#N/A,#N/A,FALSE,"ex.att";#N/A,#N/A,FALSE,"lux.att";#N/A,#N/A,FALSE,"all.by.village"}</definedName>
    <definedName name="test" localSheetId="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 localSheetId="6" hidden="1">{#N/A,#N/A,FALSE,"Pricing Matrix";#N/A,#N/A,FALSE,"Assumptions";#N/A,#N/A,FALSE,"Year One Pro Forma";#N/A,#N/A,FALSE,"Operating Stmts";#N/A,#N/A,FALSE,"Cash Flow Projections";#N/A,#N/A,FALSE,"Rent Roll Summary";#N/A,#N/A,FALSE,"Market Rent Detail";#N/A,#N/A,FALSE,"Effective Rental Income Detail"}</definedName>
    <definedName name="test" localSheetId="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 localSheetId="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1" hidden="1">#REF!</definedName>
    <definedName name="test2" localSheetId="0" hidden="1">{#N/A,#N/A,FALSE,"Exec Sum 10Yr";#N/A,#N/A,FALSE,"Assumptions";#N/A,#N/A,FALSE,"Operating Stmts";#N/A,#N/A,FALSE,"Year One Pro Forma";#N/A,#N/A,FALSE,"Rent Roll Summary";#N/A,#N/A,FALSE,"Market Rent Detail";#N/A,#N/A,FALSE,"Effective Rental Income Detail";#N/A,#N/A,FALSE,"Cash Flow Projections";#N/A,#N/A,FALSE,"Net Residual Value"}</definedName>
    <definedName name="test2" hidden="1">{#N/A,#N/A,FALSE,"Exec Sum 10Yr";#N/A,#N/A,FALSE,"Assumptions";#N/A,#N/A,FALSE,"Operating Stmts";#N/A,#N/A,FALSE,"Year One Pro Forma";#N/A,#N/A,FALSE,"Rent Roll Summary";#N/A,#N/A,FALSE,"Market Rent Detail";#N/A,#N/A,FALSE,"Effective Rental Income Detail";#N/A,#N/A,FALSE,"Cash Flow Projections";#N/A,#N/A,FALSE,"Net Residual Value"}</definedName>
    <definedName name="test3" localSheetId="0" hidden="1">{FALSE,FALSE,1.75,1,600,351,FALSE,FALSE,TRUE,TRUE,0,30,#N/A,41,#N/A,9.57777777777778,18.9166666666667,1,FALSE,FALSE,1,TRUE,1,FALSE,100,"Swvu.As._.Is._.Value.","ACwvu.As._.Is._.Value.",1,FALSE,FALSE,1,1,1,1,1,"","",FALSE,FALSE,FALSE,FALSE,1,#N/A,1,1,FALSE,FALSE,FALSE,FALSE,FALSE,FALSE}</definedName>
    <definedName name="test3" hidden="1">{FALSE,FALSE,1.75,1,600,351,FALSE,FALSE,TRUE,TRUE,0,30,#N/A,41,#N/A,9.57777777777778,18.9166666666667,1,FALSE,FALSE,1,TRUE,1,FALSE,100,"Swvu.As._.Is._.Value.","ACwvu.As._.Is._.Value.",1,FALSE,FALSE,1,1,1,1,1,"","",FALSE,FALSE,FALSE,FALSE,1,#N/A,1,1,FALSE,FALSE,FALSE,FALSE,FALSE,FALSE}</definedName>
    <definedName name="TGRSF">#REF!</definedName>
    <definedName name="thbra">#REF!</definedName>
    <definedName name="THC">#REF!</definedName>
    <definedName name="thka">#REF!</definedName>
    <definedName name="thrra">#REF!</definedName>
    <definedName name="thrrc">#REF!</definedName>
    <definedName name="tina" localSheetId="3" hidden="1">{"cover",#N/A,TRUE,"Cover";"toc3",#N/A,TRUE,"TOC";"over",#N/A,TRUE,"Overview";"ts2",#N/A,TRUE,"Det_Trans_Sum";"ei1c",#N/A,TRUE,"Earnings Impact";"ad1",#N/A,TRUE,"accretion dilution";"pfis1",#N/A,TRUE,"Pro Forma Income Statement";"acq1c",#N/A,TRUE,"Acquirer";"tar1c",#N/A,TRUE,"Target"}</definedName>
    <definedName name="tina" localSheetId="9" hidden="1">{"cover",#N/A,TRUE,"Cover";"toc3",#N/A,TRUE,"TOC";"over",#N/A,TRUE,"Overview";"ts2",#N/A,TRUE,"Det_Trans_Sum";"ei1c",#N/A,TRUE,"Earnings Impact";"ad1",#N/A,TRUE,"accretion dilution";"pfis1",#N/A,TRUE,"Pro Forma Income Statement";"acq1c",#N/A,TRUE,"Acquirer";"tar1c",#N/A,TRUE,"Target"}</definedName>
    <definedName name="tina" localSheetId="2" hidden="1">{"cover",#N/A,TRUE,"Cover";"toc3",#N/A,TRUE,"TOC";"over",#N/A,TRUE,"Overview";"ts2",#N/A,TRUE,"Det_Trans_Sum";"ei1c",#N/A,TRUE,"Earnings Impact";"ad1",#N/A,TRUE,"accretion dilution";"pfis1",#N/A,TRUE,"Pro Forma Income Statement";"acq1c",#N/A,TRUE,"Acquirer";"tar1c",#N/A,TRUE,"Target"}</definedName>
    <definedName name="tina" localSheetId="4" hidden="1">{"cover",#N/A,TRUE,"Cover";"toc3",#N/A,TRUE,"TOC";"over",#N/A,TRUE,"Overview";"ts2",#N/A,TRUE,"Det_Trans_Sum";"ei1c",#N/A,TRUE,"Earnings Impact";"ad1",#N/A,TRUE,"accretion dilution";"pfis1",#N/A,TRUE,"Pro Forma Income Statement";"acq1c",#N/A,TRUE,"Acquirer";"tar1c",#N/A,TRUE,"Target"}</definedName>
    <definedName name="tina" localSheetId="0" hidden="1">{"cover",#N/A,TRUE,"Cover";"toc3",#N/A,TRUE,"TOC";"over",#N/A,TRUE,"Overview";"ts2",#N/A,TRUE,"Det_Trans_Sum";"ei1c",#N/A,TRUE,"Earnings Impact";"ad1",#N/A,TRUE,"accretion dilution";"pfis1",#N/A,TRUE,"Pro Forma Income Statement";"acq1c",#N/A,TRUE,"Acquirer";"tar1c",#N/A,TRUE,"Target"}</definedName>
    <definedName name="tina" hidden="1">{"cover",#N/A,TRUE,"Cover";"toc3",#N/A,TRUE,"TOC";"over",#N/A,TRUE,"Overview";"ts2",#N/A,TRUE,"Det_Trans_Sum";"ei1c",#N/A,TRUE,"Earnings Impact";"ad1",#N/A,TRUE,"accretion dilution";"pfis1",#N/A,TRUE,"Pro Forma Income Statement";"acq1c",#N/A,TRUE,"Acquirer";"tar1c",#N/A,TRUE,"Target"}</definedName>
    <definedName name="Title">#REF!</definedName>
    <definedName name="TNRSF">#REF!</definedName>
    <definedName name="TNWRE">#REF!</definedName>
    <definedName name="Total_Equity">#REF!</definedName>
    <definedName name="Total_Pay">#REF!</definedName>
    <definedName name="Total_Rent">#REF!</definedName>
    <definedName name="TotalBelowMarg">#REF!</definedName>
    <definedName name="TotalComm">#REF!</definedName>
    <definedName name="TotalCommPer">#REF!</definedName>
    <definedName name="TotalCost">#REF!</definedName>
    <definedName name="TotalEval">#REF!</definedName>
    <definedName name="TotalExtn">#REF!</definedName>
    <definedName name="TotalGiven">#REF!</definedName>
    <definedName name="TotalGivePer">#REF!</definedName>
    <definedName name="totallots" localSheetId="9">#REF!</definedName>
    <definedName name="totallots" localSheetId="2">'Fee Build Dashboard'!$D$8</definedName>
    <definedName name="totallots" localSheetId="4">'Investor Summary'!$C$8</definedName>
    <definedName name="totallots">'Acquisition Summary'!$D$8</definedName>
    <definedName name="TotalUnits">#REF!</definedName>
    <definedName name="TotalWTax">#REF!</definedName>
    <definedName name="Tourall">#REF!</definedName>
    <definedName name="Townhome">#REF!</definedName>
    <definedName name="TradeInAll">#REF!</definedName>
    <definedName name="TradeLessPay">#REF!</definedName>
    <definedName name="TRANS">#REF!</definedName>
    <definedName name="trial" localSheetId="3" hidden="1">{"Outflow 1",#N/A,FALSE,"Outflows-Inflows";"Outflow 2",#N/A,FALSE,"Outflows-Inflows";"Inflow 1",#N/A,FALSE,"Outflows-Inflows";"Inflow 2",#N/A,FALSE,"Outflows-Inflows"}</definedName>
    <definedName name="trial" localSheetId="6" hidden="1">{"Outflow 1",#N/A,FALSE,"Outflows-Inflows";"Outflow 2",#N/A,FALSE,"Outflows-Inflows";"Inflow 1",#N/A,FALSE,"Outflows-Inflows";"Inflow 2",#N/A,FALSE,"Outflows-Inflows"}</definedName>
    <definedName name="trial" localSheetId="9" hidden="1">{"Outflow 1",#N/A,FALSE,"Outflows-Inflows";"Outflow 2",#N/A,FALSE,"Outflows-Inflows";"Inflow 1",#N/A,FALSE,"Outflows-Inflows";"Inflow 2",#N/A,FALSE,"Outflows-Inflows"}</definedName>
    <definedName name="trial" localSheetId="2" hidden="1">{"Outflow 1",#N/A,FALSE,"Outflows-Inflows";"Outflow 2",#N/A,FALSE,"Outflows-Inflows";"Inflow 1",#N/A,FALSE,"Outflows-Inflows";"Inflow 2",#N/A,FALSE,"Outflows-Inflows"}</definedName>
    <definedName name="trial" localSheetId="4" hidden="1">{"Outflow 1",#N/A,FALSE,"Outflows-Inflows";"Outflow 2",#N/A,FALSE,"Outflows-Inflows";"Inflow 1",#N/A,FALSE,"Outflows-Inflows";"Inflow 2",#N/A,FALSE,"Outflows-Inflows"}</definedName>
    <definedName name="trial" localSheetId="0" hidden="1">{"Outflow 1",#N/A,FALSE,"Outflows-Inflows";"Outflow 2",#N/A,FALSE,"Outflows-Inflows";"Inflow 1",#N/A,FALSE,"Outflows-Inflows";"Inflow 2",#N/A,FALSE,"Outflows-Inflows"}</definedName>
    <definedName name="trial" hidden="1">{"Outflow 1",#N/A,FALSE,"Outflows-Inflows";"Outflow 2",#N/A,FALSE,"Outflows-Inflows";"Inflow 1",#N/A,FALSE,"Outflows-Inflows";"Inflow 2",#N/A,FALSE,"Outflows-Inflows"}</definedName>
    <definedName name="TT" localSheetId="0" hidden="1">{#N/A,#N/A,FALSE,"II-2 POP.HH";#N/A,#N/A,FALSE,"II-3 AGE.DIST";#N/A,#N/A,FALSE,"II-4 HH.DIST";#N/A,#N/A,FALSE,"II-5 EMP.INDUS"}</definedName>
    <definedName name="TT" hidden="1">{#N/A,#N/A,FALSE,"II-2 POP.HH";#N/A,#N/A,FALSE,"II-3 AGE.DIST";#N/A,#N/A,FALSE,"II-4 HH.DIST";#N/A,#N/A,FALSE,"II-5 EMP.INDUS"}</definedName>
    <definedName name="ttrrt" localSheetId="0"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ttrrt"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ttt" localSheetId="3" hidden="1">{"Outflow 1",#N/A,FALSE,"Outflows-Inflows";"Outflow 2",#N/A,FALSE,"Outflows-Inflows";"Inflow 1",#N/A,FALSE,"Outflows-Inflows";"Inflow 2",#N/A,FALSE,"Outflows-Inflows"}</definedName>
    <definedName name="ttt" localSheetId="9" hidden="1">{"Outflow 1",#N/A,FALSE,"Outflows-Inflows";"Outflow 2",#N/A,FALSE,"Outflows-Inflows";"Inflow 1",#N/A,FALSE,"Outflows-Inflows";"Inflow 2",#N/A,FALSE,"Outflows-Inflows"}</definedName>
    <definedName name="ttt" localSheetId="2" hidden="1">{"Outflow 1",#N/A,FALSE,"Outflows-Inflows";"Outflow 2",#N/A,FALSE,"Outflows-Inflows";"Inflow 1",#N/A,FALSE,"Outflows-Inflows";"Inflow 2",#N/A,FALSE,"Outflows-Inflows"}</definedName>
    <definedName name="ttt" localSheetId="4" hidden="1">{"Outflow 1",#N/A,FALSE,"Outflows-Inflows";"Outflow 2",#N/A,FALSE,"Outflows-Inflows";"Inflow 1",#N/A,FALSE,"Outflows-Inflows";"Inflow 2",#N/A,FALSE,"Outflows-Inflows"}</definedName>
    <definedName name="ttt" localSheetId="0" hidden="1">{"Outflow 1",#N/A,FALSE,"Outflows-Inflows";"Outflow 2",#N/A,FALSE,"Outflows-Inflows";"Inflow 1",#N/A,FALSE,"Outflows-Inflows";"Inflow 2",#N/A,FALSE,"Outflows-Inflows"}</definedName>
    <definedName name="ttt" hidden="1">{"Outflow 1",#N/A,FALSE,"Outflows-Inflows";"Outflow 2",#N/A,FALSE,"Outflows-Inflows";"Inflow 1",#N/A,FALSE,"Outflows-Inflows";"Inflow 2",#N/A,FALSE,"Outflows-Inflows"}</definedName>
    <definedName name="ttttt" localSheetId="0" hidden="1">{FALSE,FALSE,1.75,1,600,351,FALSE,FALSE,TRUE,TRUE,0,30,#N/A,41,#N/A,9.57777777777778,18.9166666666667,1,FALSE,FALSE,1,TRUE,1,FALSE,100,"Swvu.As._.Is._.Value.","ACwvu.As._.Is._.Value.",1,FALSE,FALSE,1,1,1,1,1,"","",FALSE,FALSE,FALSE,FALSE,1,#N/A,1,1,FALSE,FALSE,FALSE,FALSE,FALSE,FALSE}</definedName>
    <definedName name="ttttt" hidden="1">{FALSE,FALSE,1.75,1,600,351,FALSE,FALSE,TRUE,TRUE,0,30,#N/A,41,#N/A,9.57777777777778,18.9166666666667,1,FALSE,FALSE,1,TRUE,1,FALSE,100,"Swvu.As._.Is._.Value.","ACwvu.As._.Is._.Value.",1,FALSE,FALSE,1,1,1,1,1,"","",FALSE,FALSE,FALSE,FALSE,1,#N/A,1,1,FALSE,FALSE,FALSE,FALSE,FALSE,FALSE}</definedName>
    <definedName name="ttttttt" localSheetId="0" hidden="1">{FALSE,FALSE,1.75,1,600,351,FALSE,FALSE,TRUE,TRUE,0,30,#N/A,41,#N/A,9.57777777777778,18.9166666666667,1,FALSE,FALSE,1,TRUE,1,FALSE,100,"Swvu.As._.Is._.Value.","ACwvu.As._.Is._.Value.",1,FALSE,FALSE,1,1,1,1,1,"","",FALSE,FALSE,FALSE,FALSE,1,#N/A,1,1,FALSE,FALSE,FALSE,FALSE,FALSE,FALSE}</definedName>
    <definedName name="ttttttt" hidden="1">{FALSE,FALSE,1.75,1,600,351,FALSE,FALSE,TRUE,TRUE,0,30,#N/A,41,#N/A,9.57777777777778,18.9166666666667,1,FALSE,FALSE,1,TRUE,1,FALSE,100,"Swvu.As._.Is._.Value.","ACwvu.As._.Is._.Value.",1,FALSE,FALSE,1,1,1,1,1,"","",FALSE,FALSE,FALSE,FALSE,1,#N/A,1,1,FALSE,FALSE,FALSE,FALSE,FALSE,FALSE}</definedName>
    <definedName name="TTTTTTTT" localSheetId="0" hidden="1">{FALSE,FALSE,1.75,1,600,351,FALSE,FALSE,TRUE,TRUE,0,30,#N/A,41,#N/A,9.57777777777778,18.9166666666667,1,FALSE,FALSE,1,TRUE,1,FALSE,100,"Swvu.As._.Is._.Value.","ACwvu.As._.Is._.Value.",1,FALSE,FALSE,1,1,1,1,1,"","",FALSE,FALSE,FALSE,FALSE,1,#N/A,1,1,FALSE,FALSE,FALSE,FALSE,FALSE,FALSE}</definedName>
    <definedName name="TTTTTTTT" hidden="1">{FALSE,FALSE,1.75,1,600,351,FALSE,FALSE,TRUE,TRUE,0,30,#N/A,41,#N/A,9.57777777777778,18.9166666666667,1,FALSE,FALSE,1,TRUE,1,FALSE,100,"Swvu.As._.Is._.Value.","ACwvu.As._.Is._.Value.",1,FALSE,FALSE,1,1,1,1,1,"","",FALSE,FALSE,FALSE,FALSE,1,#N/A,1,1,FALSE,FALSE,FALSE,FALSE,FALSE,FALSE}</definedName>
    <definedName name="tttttttttttttt" localSheetId="0" hidden="1">{FALSE,FALSE,1.75,1,600,351,FALSE,FALSE,TRUE,TRUE,0,30,#N/A,41,#N/A,9.57777777777778,18.9166666666667,1,FALSE,FALSE,1,TRUE,1,FALSE,100,"Swvu.As._.Is._.Value.","ACwvu.As._.Is._.Value.",1,FALSE,FALSE,1,1,1,1,1,"","",FALSE,FALSE,FALSE,FALSE,1,#N/A,1,1,FALSE,FALSE,FALSE,FALSE,FALSE,FALSE}</definedName>
    <definedName name="tttttttttttttt" hidden="1">{FALSE,FALSE,1.75,1,600,351,FALSE,FALSE,TRUE,TRUE,0,30,#N/A,41,#N/A,9.57777777777778,18.9166666666667,1,FALSE,FALSE,1,TRUE,1,FALSE,100,"Swvu.As._.Is._.Value.","ACwvu.As._.Is._.Value.",1,FALSE,FALSE,1,1,1,1,1,"","",FALSE,FALSE,FALSE,FALSE,1,#N/A,1,1,FALSE,FALSE,FALSE,FALSE,FALSE,FALSE}</definedName>
    <definedName name="txtBillTo">#REF!</definedName>
    <definedName name="ubra">#REF!</definedName>
    <definedName name="UC">#REF!</definedName>
    <definedName name="UCRR">#REF!</definedName>
    <definedName name="uka">#REF!</definedName>
    <definedName name="unattached" localSheetId="0" hidden="1">{#N/A,#N/A,FALSE,"el.det";#N/A,#N/A,FALSE,"mu.det";#N/A,#N/A,FALSE,"ug.det";#N/A,#N/A,FALSE,"ex.det";#N/A,#N/A,FALSE,"lux.det";#N/A,#N/A,FALSE,"custom.lot";#N/A,#N/A,FALSE,"condo.att";#N/A,#N/A,FALSE,"el.att";#N/A,#N/A,FALSE,"mu.att";#N/A,#N/A,FALSE,"ex.att";#N/A,#N/A,FALSE,"lux.att";#N/A,#N/A,FALSE,"all.by.village"}</definedName>
    <definedName name="unattached" hidden="1">{#N/A,#N/A,FALSE,"el.det";#N/A,#N/A,FALSE,"mu.det";#N/A,#N/A,FALSE,"ug.det";#N/A,#N/A,FALSE,"ex.det";#N/A,#N/A,FALSE,"lux.det";#N/A,#N/A,FALSE,"custom.lot";#N/A,#N/A,FALSE,"condo.att";#N/A,#N/A,FALSE,"el.att";#N/A,#N/A,FALSE,"mu.att";#N/A,#N/A,FALSE,"ex.att";#N/A,#N/A,FALSE,"lux.att";#N/A,#N/A,FALSE,"all.by.village"}</definedName>
    <definedName name="Union">#REF!</definedName>
    <definedName name="UnitNoColumn">#REF!</definedName>
    <definedName name="UnitPriceSub">#REF!</definedName>
    <definedName name="units">#REF!</definedName>
    <definedName name="Units_RNP">#REF!</definedName>
    <definedName name="UnitsPopulated">#REF!</definedName>
    <definedName name="update" localSheetId="0" hidden="1">{"AnnualRentRoll",#N/A,FALSE,"RentRoll"}</definedName>
    <definedName name="update" hidden="1">{"AnnualRentRoll",#N/A,FALSE,"RentRoll"}</definedName>
    <definedName name="ura">#REF!</definedName>
    <definedName name="UTIL">#REF!</definedName>
    <definedName name="Vacancy">#REF!</definedName>
    <definedName name="Vail" localSheetId="3" hidden="1">{"PVGraph2",#N/A,FALSE,"PV Data"}</definedName>
    <definedName name="Vail" localSheetId="9" hidden="1">{"PVGraph2",#N/A,FALSE,"PV Data"}</definedName>
    <definedName name="Vail" localSheetId="2" hidden="1">{"PVGraph2",#N/A,FALSE,"PV Data"}</definedName>
    <definedName name="Vail" localSheetId="4" hidden="1">{"PVGraph2",#N/A,FALSE,"PV Data"}</definedName>
    <definedName name="Vail" localSheetId="0" hidden="1">{"PVGraph2",#N/A,FALSE,"PV Data"}</definedName>
    <definedName name="Vail" hidden="1">{"PVGraph2",#N/A,FALSE,"PV Data"}</definedName>
    <definedName name="Validation_List">OFFSET(#REF!,,,COUNTIF(#REF!,"?*"))</definedName>
    <definedName name="Value" localSheetId="3" hidden="1">{#N/A,#N/A,FALSE,"Cashflow Analysis";#N/A,#N/A,FALSE,"Sensitivity Analysis";#N/A,#N/A,FALSE,"PV";#N/A,#N/A,FALSE,"Pro Forma"}</definedName>
    <definedName name="Value" localSheetId="9" hidden="1">{#N/A,#N/A,FALSE,"Cashflow Analysis";#N/A,#N/A,FALSE,"Sensitivity Analysis";#N/A,#N/A,FALSE,"PV";#N/A,#N/A,FALSE,"Pro Forma"}</definedName>
    <definedName name="Value" localSheetId="2" hidden="1">{#N/A,#N/A,FALSE,"Cashflow Analysis";#N/A,#N/A,FALSE,"Sensitivity Analysis";#N/A,#N/A,FALSE,"PV";#N/A,#N/A,FALSE,"Pro Forma"}</definedName>
    <definedName name="Value" localSheetId="4" hidden="1">{#N/A,#N/A,FALSE,"Cashflow Analysis";#N/A,#N/A,FALSE,"Sensitivity Analysis";#N/A,#N/A,FALSE,"PV";#N/A,#N/A,FALSE,"Pro Forma"}</definedName>
    <definedName name="Value" localSheetId="0" hidden="1">{#N/A,#N/A,FALSE,"Cashflow Analysis";#N/A,#N/A,FALSE,"Sensitivity Analysis";#N/A,#N/A,FALSE,"PV";#N/A,#N/A,FALSE,"Pro Forma"}</definedName>
    <definedName name="Value" hidden="1">{#N/A,#N/A,FALSE,"Cashflow Analysis";#N/A,#N/A,FALSE,"Sensitivity Analysis";#N/A,#N/A,FALSE,"PV";#N/A,#N/A,FALSE,"Pro Forma"}</definedName>
    <definedName name="Value.2" localSheetId="3" hidden="1">{#N/A,#N/A,FALSE,"Cashflow Analysis";#N/A,#N/A,FALSE,"Sensitivity Analysis";#N/A,#N/A,FALSE,"PV";#N/A,#N/A,FALSE,"Pro Forma"}</definedName>
    <definedName name="Value.2" localSheetId="9" hidden="1">{#N/A,#N/A,FALSE,"Cashflow Analysis";#N/A,#N/A,FALSE,"Sensitivity Analysis";#N/A,#N/A,FALSE,"PV";#N/A,#N/A,FALSE,"Pro Forma"}</definedName>
    <definedName name="Value.2" localSheetId="2" hidden="1">{#N/A,#N/A,FALSE,"Cashflow Analysis";#N/A,#N/A,FALSE,"Sensitivity Analysis";#N/A,#N/A,FALSE,"PV";#N/A,#N/A,FALSE,"Pro Forma"}</definedName>
    <definedName name="Value.2" localSheetId="4" hidden="1">{#N/A,#N/A,FALSE,"Cashflow Analysis";#N/A,#N/A,FALSE,"Sensitivity Analysis";#N/A,#N/A,FALSE,"PV";#N/A,#N/A,FALSE,"Pro Forma"}</definedName>
    <definedName name="Value.2" localSheetId="0" hidden="1">{#N/A,#N/A,FALSE,"Cashflow Analysis";#N/A,#N/A,FALSE,"Sensitivity Analysis";#N/A,#N/A,FALSE,"PV";#N/A,#N/A,FALSE,"Pro Forma"}</definedName>
    <definedName name="Value.2" hidden="1">{#N/A,#N/A,FALSE,"Cashflow Analysis";#N/A,#N/A,FALSE,"Sensitivity Analysis";#N/A,#N/A,FALSE,"PV";#N/A,#N/A,FALSE,"Pro Forma"}</definedName>
    <definedName name="value1" localSheetId="3" hidden="1">{#N/A,#N/A,FALSE,"Cashflow Analysis";#N/A,#N/A,FALSE,"Sensitivity Analysis";#N/A,#N/A,FALSE,"PV";#N/A,#N/A,FALSE,"Pro Forma"}</definedName>
    <definedName name="value1" localSheetId="6" hidden="1">{#N/A,#N/A,FALSE,"Cashflow Analysis";#N/A,#N/A,FALSE,"Sensitivity Analysis";#N/A,#N/A,FALSE,"PV";#N/A,#N/A,FALSE,"Pro Forma"}</definedName>
    <definedName name="value1" localSheetId="9" hidden="1">{#N/A,#N/A,FALSE,"Cashflow Analysis";#N/A,#N/A,FALSE,"Sensitivity Analysis";#N/A,#N/A,FALSE,"PV";#N/A,#N/A,FALSE,"Pro Forma"}</definedName>
    <definedName name="value1" localSheetId="2" hidden="1">{#N/A,#N/A,FALSE,"Cashflow Analysis";#N/A,#N/A,FALSE,"Sensitivity Analysis";#N/A,#N/A,FALSE,"PV";#N/A,#N/A,FALSE,"Pro Forma"}</definedName>
    <definedName name="value1" localSheetId="4" hidden="1">{#N/A,#N/A,FALSE,"Cashflow Analysis";#N/A,#N/A,FALSE,"Sensitivity Analysis";#N/A,#N/A,FALSE,"PV";#N/A,#N/A,FALSE,"Pro Forma"}</definedName>
    <definedName name="value1" localSheetId="0" hidden="1">{#N/A,#N/A,FALSE,"Cashflow Analysis";#N/A,#N/A,FALSE,"Sensitivity Analysis";#N/A,#N/A,FALSE,"PV";#N/A,#N/A,FALSE,"Pro Forma"}</definedName>
    <definedName name="value1" hidden="1">{#N/A,#N/A,FALSE,"Cashflow Analysis";#N/A,#N/A,FALSE,"Sensitivity Analysis";#N/A,#N/A,FALSE,"PV";#N/A,#N/A,FALSE,"Pro Forma"}</definedName>
    <definedName name="value1.2" localSheetId="3" hidden="1">{#N/A,#N/A,FALSE,"Cashflow Analysis";#N/A,#N/A,FALSE,"Sensitivity Analysis";#N/A,#N/A,FALSE,"PV";#N/A,#N/A,FALSE,"Pro Forma"}</definedName>
    <definedName name="value1.2" localSheetId="9" hidden="1">{#N/A,#N/A,FALSE,"Cashflow Analysis";#N/A,#N/A,FALSE,"Sensitivity Analysis";#N/A,#N/A,FALSE,"PV";#N/A,#N/A,FALSE,"Pro Forma"}</definedName>
    <definedName name="value1.2" localSheetId="2" hidden="1">{#N/A,#N/A,FALSE,"Cashflow Analysis";#N/A,#N/A,FALSE,"Sensitivity Analysis";#N/A,#N/A,FALSE,"PV";#N/A,#N/A,FALSE,"Pro Forma"}</definedName>
    <definedName name="value1.2" localSheetId="4" hidden="1">{#N/A,#N/A,FALSE,"Cashflow Analysis";#N/A,#N/A,FALSE,"Sensitivity Analysis";#N/A,#N/A,FALSE,"PV";#N/A,#N/A,FALSE,"Pro Forma"}</definedName>
    <definedName name="value1.2" localSheetId="0" hidden="1">{#N/A,#N/A,FALSE,"Cashflow Analysis";#N/A,#N/A,FALSE,"Sensitivity Analysis";#N/A,#N/A,FALSE,"PV";#N/A,#N/A,FALSE,"Pro Forma"}</definedName>
    <definedName name="value1.2" hidden="1">{#N/A,#N/A,FALSE,"Cashflow Analysis";#N/A,#N/A,FALSE,"Sensitivity Analysis";#N/A,#N/A,FALSE,"PV";#N/A,#N/A,FALSE,"Pro Forma"}</definedName>
    <definedName name="ValueOFExtTerms">#REF!</definedName>
    <definedName name="Values_Entered" localSheetId="0">IF(Loan_Amount*Interest_Rate*Loan_Years*Loan_Start&gt;0,1,0)</definedName>
    <definedName name="Values_Entered">IF(Loan_Amount*Interest_Rate*Loan_Years*Loan_Start&gt;0,1,0)</definedName>
    <definedName name="VDATE">#REF!</definedName>
    <definedName name="Verify" localSheetId="6">#REF!</definedName>
    <definedName name="Verify">1</definedName>
    <definedName name="VINIFERAFEES">#REF!</definedName>
    <definedName name="VISIBLE">#REF!</definedName>
    <definedName name="vvvv" localSheetId="3" hidden="1">{#N/A,#N/A,FALSE,"Cashflow Analysis";#N/A,#N/A,FALSE,"Sensitivity Analysis";#N/A,#N/A,FALSE,"PV";#N/A,#N/A,FALSE,"Pro Forma"}</definedName>
    <definedName name="vvvv" localSheetId="9" hidden="1">{#N/A,#N/A,FALSE,"Cashflow Analysis";#N/A,#N/A,FALSE,"Sensitivity Analysis";#N/A,#N/A,FALSE,"PV";#N/A,#N/A,FALSE,"Pro Forma"}</definedName>
    <definedName name="vvvv" localSheetId="2" hidden="1">{#N/A,#N/A,FALSE,"Cashflow Analysis";#N/A,#N/A,FALSE,"Sensitivity Analysis";#N/A,#N/A,FALSE,"PV";#N/A,#N/A,FALSE,"Pro Forma"}</definedName>
    <definedName name="vvvv" localSheetId="4" hidden="1">{#N/A,#N/A,FALSE,"Cashflow Analysis";#N/A,#N/A,FALSE,"Sensitivity Analysis";#N/A,#N/A,FALSE,"PV";#N/A,#N/A,FALSE,"Pro Forma"}</definedName>
    <definedName name="vvvv" localSheetId="0" hidden="1">{#N/A,#N/A,FALSE,"Cashflow Analysis";#N/A,#N/A,FALSE,"Sensitivity Analysis";#N/A,#N/A,FALSE,"PV";#N/A,#N/A,FALSE,"Pro Forma"}</definedName>
    <definedName name="vvvv" hidden="1">{#N/A,#N/A,FALSE,"Cashflow Analysis";#N/A,#N/A,FALSE,"Sensitivity Analysis";#N/A,#N/A,FALSE,"PV";#N/A,#N/A,FALSE,"Pro Forma"}</definedName>
    <definedName name="VVVV.2" localSheetId="3" hidden="1">{#N/A,#N/A,FALSE,"Cashflow Analysis";#N/A,#N/A,FALSE,"Sensitivity Analysis";#N/A,#N/A,FALSE,"PV";#N/A,#N/A,FALSE,"Pro Forma"}</definedName>
    <definedName name="VVVV.2" localSheetId="9" hidden="1">{#N/A,#N/A,FALSE,"Cashflow Analysis";#N/A,#N/A,FALSE,"Sensitivity Analysis";#N/A,#N/A,FALSE,"PV";#N/A,#N/A,FALSE,"Pro Forma"}</definedName>
    <definedName name="VVVV.2" localSheetId="2" hidden="1">{#N/A,#N/A,FALSE,"Cashflow Analysis";#N/A,#N/A,FALSE,"Sensitivity Analysis";#N/A,#N/A,FALSE,"PV";#N/A,#N/A,FALSE,"Pro Forma"}</definedName>
    <definedName name="VVVV.2" localSheetId="4" hidden="1">{#N/A,#N/A,FALSE,"Cashflow Analysis";#N/A,#N/A,FALSE,"Sensitivity Analysis";#N/A,#N/A,FALSE,"PV";#N/A,#N/A,FALSE,"Pro Forma"}</definedName>
    <definedName name="VVVV.2" localSheetId="0" hidden="1">{#N/A,#N/A,FALSE,"Cashflow Analysis";#N/A,#N/A,FALSE,"Sensitivity Analysis";#N/A,#N/A,FALSE,"PV";#N/A,#N/A,FALSE,"Pro Forma"}</definedName>
    <definedName name="VVVV.2" hidden="1">{#N/A,#N/A,FALSE,"Cashflow Analysis";#N/A,#N/A,FALSE,"Sensitivity Analysis";#N/A,#N/A,FALSE,"PV";#N/A,#N/A,FALSE,"Pro Forma"}</definedName>
    <definedName name="wacko" localSheetId="0" hidden="1">{#N/A,#N/A,FALSE,"el.det";#N/A,#N/A,FALSE,"mu.det";#N/A,#N/A,FALSE,"ug.det";#N/A,#N/A,FALSE,"ex.det";#N/A,#N/A,FALSE,"lux.det";#N/A,#N/A,FALSE,"custom.lot";#N/A,#N/A,FALSE,"condo.att";#N/A,#N/A,FALSE,"el.att";#N/A,#N/A,FALSE,"mu.att";#N/A,#N/A,FALSE,"ex.att";#N/A,#N/A,FALSE,"lux.att";#N/A,#N/A,FALSE,"all.by.village"}</definedName>
    <definedName name="wacko" hidden="1">{#N/A,#N/A,FALSE,"el.det";#N/A,#N/A,FALSE,"mu.det";#N/A,#N/A,FALSE,"ug.det";#N/A,#N/A,FALSE,"ex.det";#N/A,#N/A,FALSE,"lux.det";#N/A,#N/A,FALSE,"custom.lot";#N/A,#N/A,FALSE,"condo.att";#N/A,#N/A,FALSE,"el.att";#N/A,#N/A,FALSE,"mu.att";#N/A,#N/A,FALSE,"ex.att";#N/A,#N/A,FALSE,"lux.att";#N/A,#N/A,FALSE,"all.by.village"}</definedName>
    <definedName name="wde" localSheetId="0" hidden="1">{#N/A,#N/A,FALSE,"II-2 POP.HH";#N/A,#N/A,FALSE,"II-3 AGE.DIST";#N/A,#N/A,FALSE,"II-4 HH.DIST";#N/A,#N/A,FALSE,"II-5 EMP.INDUS"}</definedName>
    <definedName name="wde" hidden="1">{#N/A,#N/A,FALSE,"II-2 POP.HH";#N/A,#N/A,FALSE,"II-3 AGE.DIST";#N/A,#N/A,FALSE,"II-4 HH.DIST";#N/A,#N/A,FALSE,"II-5 EMP.INDUS"}</definedName>
    <definedName name="wenvel">#REF!</definedName>
    <definedName name="wer" localSheetId="3" hidden="1">{"cover",#N/A,TRUE,"Cover";"toc6",#N/A,TRUE,"TOC";"pfis3",#N/A,TRUE,"Overview";"ts2",#N/A,TRUE,"Det_Trans_Sum";"ei2c",#N/A,TRUE,"Earnings Impact";"ad2",#N/A,TRUE,"accretion dilution";"hg2",#N/A,TRUE,"Has-Gets";"pfis2",#N/A,TRUE,"Pro Forma Income Statement";"ca2",#N/A,TRUE,"Contribution_Analysis";"acq2c",#N/A,TRUE,"Acquirer";"tar2c",#N/A,TRUE,"Target"}</definedName>
    <definedName name="wer" localSheetId="9" hidden="1">{"cover",#N/A,TRUE,"Cover";"toc6",#N/A,TRUE,"TOC";"pfis3",#N/A,TRUE,"Overview";"ts2",#N/A,TRUE,"Det_Trans_Sum";"ei2c",#N/A,TRUE,"Earnings Impact";"ad2",#N/A,TRUE,"accretion dilution";"hg2",#N/A,TRUE,"Has-Gets";"pfis2",#N/A,TRUE,"Pro Forma Income Statement";"ca2",#N/A,TRUE,"Contribution_Analysis";"acq2c",#N/A,TRUE,"Acquirer";"tar2c",#N/A,TRUE,"Target"}</definedName>
    <definedName name="wer" localSheetId="2" hidden="1">{"cover",#N/A,TRUE,"Cover";"toc6",#N/A,TRUE,"TOC";"pfis3",#N/A,TRUE,"Overview";"ts2",#N/A,TRUE,"Det_Trans_Sum";"ei2c",#N/A,TRUE,"Earnings Impact";"ad2",#N/A,TRUE,"accretion dilution";"hg2",#N/A,TRUE,"Has-Gets";"pfis2",#N/A,TRUE,"Pro Forma Income Statement";"ca2",#N/A,TRUE,"Contribution_Analysis";"acq2c",#N/A,TRUE,"Acquirer";"tar2c",#N/A,TRUE,"Target"}</definedName>
    <definedName name="wer" localSheetId="4" hidden="1">{"cover",#N/A,TRUE,"Cover";"toc6",#N/A,TRUE,"TOC";"pfis3",#N/A,TRUE,"Overview";"ts2",#N/A,TRUE,"Det_Trans_Sum";"ei2c",#N/A,TRUE,"Earnings Impact";"ad2",#N/A,TRUE,"accretion dilution";"hg2",#N/A,TRUE,"Has-Gets";"pfis2",#N/A,TRUE,"Pro Forma Income Statement";"ca2",#N/A,TRUE,"Contribution_Analysis";"acq2c",#N/A,TRUE,"Acquirer";"tar2c",#N/A,TRUE,"Target"}</definedName>
    <definedName name="wer" localSheetId="0" hidden="1">{"cover",#N/A,TRUE,"Cover";"toc6",#N/A,TRUE,"TOC";"pfis3",#N/A,TRUE,"Overview";"ts2",#N/A,TRUE,"Det_Trans_Sum";"ei2c",#N/A,TRUE,"Earnings Impact";"ad2",#N/A,TRUE,"accretion dilution";"hg2",#N/A,TRUE,"Has-Gets";"pfis2",#N/A,TRUE,"Pro Forma Income Statement";"ca2",#N/A,TRUE,"Contribution_Analysis";"acq2c",#N/A,TRUE,"Acquirer";"tar2c",#N/A,TRUE,"Target"}</definedName>
    <definedName name="wer" hidden="1">{"cover",#N/A,TRUE,"Cover";"toc6",#N/A,TRUE,"TOC";"pfis3",#N/A,TRUE,"Overview";"ts2",#N/A,TRUE,"Det_Trans_Sum";"ei2c",#N/A,TRUE,"Earnings Impact";"ad2",#N/A,TRUE,"accretion dilution";"hg2",#N/A,TRUE,"Has-Gets";"pfis2",#N/A,TRUE,"Pro Forma Income Statement";"ca2",#N/A,TRUE,"Contribution_Analysis";"acq2c",#N/A,TRUE,"Acquirer";"tar2c",#N/A,TRUE,"Target"}</definedName>
    <definedName name="wererwer" localSheetId="3" hidden="1">{"cover",#N/A,TRUE,"Cover";"toc5",#N/A,TRUE,"TOC";"over",#N/A,TRUE,"Overview";"ts2",#N/A,TRUE,"Det_Trans_Sum";"ei",#N/A,TRUE,"Earnings Impact";"ad",#N/A,TRUE,"accretion dilution";"pfis",#N/A,TRUE,"Pro Forma Income Statement";"ca",#N/A,TRUE,"Contribution_Analysis";"acq",#N/A,TRUE,"Acquirer";"tar",#N/A,TRUE,"Target"}</definedName>
    <definedName name="wererwer" localSheetId="9" hidden="1">{"cover",#N/A,TRUE,"Cover";"toc5",#N/A,TRUE,"TOC";"over",#N/A,TRUE,"Overview";"ts2",#N/A,TRUE,"Det_Trans_Sum";"ei",#N/A,TRUE,"Earnings Impact";"ad",#N/A,TRUE,"accretion dilution";"pfis",#N/A,TRUE,"Pro Forma Income Statement";"ca",#N/A,TRUE,"Contribution_Analysis";"acq",#N/A,TRUE,"Acquirer";"tar",#N/A,TRUE,"Target"}</definedName>
    <definedName name="wererwer" localSheetId="2" hidden="1">{"cover",#N/A,TRUE,"Cover";"toc5",#N/A,TRUE,"TOC";"over",#N/A,TRUE,"Overview";"ts2",#N/A,TRUE,"Det_Trans_Sum";"ei",#N/A,TRUE,"Earnings Impact";"ad",#N/A,TRUE,"accretion dilution";"pfis",#N/A,TRUE,"Pro Forma Income Statement";"ca",#N/A,TRUE,"Contribution_Analysis";"acq",#N/A,TRUE,"Acquirer";"tar",#N/A,TRUE,"Target"}</definedName>
    <definedName name="wererwer" localSheetId="4" hidden="1">{"cover",#N/A,TRUE,"Cover";"toc5",#N/A,TRUE,"TOC";"over",#N/A,TRUE,"Overview";"ts2",#N/A,TRUE,"Det_Trans_Sum";"ei",#N/A,TRUE,"Earnings Impact";"ad",#N/A,TRUE,"accretion dilution";"pfis",#N/A,TRUE,"Pro Forma Income Statement";"ca",#N/A,TRUE,"Contribution_Analysis";"acq",#N/A,TRUE,"Acquirer";"tar",#N/A,TRUE,"Target"}</definedName>
    <definedName name="wererwer" localSheetId="0" hidden="1">{"cover",#N/A,TRUE,"Cover";"toc5",#N/A,TRUE,"TOC";"over",#N/A,TRUE,"Overview";"ts2",#N/A,TRUE,"Det_Trans_Sum";"ei",#N/A,TRUE,"Earnings Impact";"ad",#N/A,TRUE,"accretion dilution";"pfis",#N/A,TRUE,"Pro Forma Income Statement";"ca",#N/A,TRUE,"Contribution_Analysis";"acq",#N/A,TRUE,"Acquirer";"tar",#N/A,TRUE,"Target"}</definedName>
    <definedName name="wererwer" hidden="1">{"cover",#N/A,TRUE,"Cover";"toc5",#N/A,TRUE,"TOC";"over",#N/A,TRUE,"Overview";"ts2",#N/A,TRUE,"Det_Trans_Sum";"ei",#N/A,TRUE,"Earnings Impact";"ad",#N/A,TRUE,"accretion dilution";"pfis",#N/A,TRUE,"Pro Forma Income Statement";"ca",#N/A,TRUE,"Contribution_Analysis";"acq",#N/A,TRUE,"Acquirer";"tar",#N/A,TRUE,"Target"}</definedName>
    <definedName name="wern" localSheetId="3" hidden="1">{"cover",#N/A,TRUE,"Cover";"toc6",#N/A,TRUE,"TOC";"over",#N/A,TRUE,"Overview";"ts2",#N/A,TRUE,"Det_Trans_Sum";"ei2",#N/A,TRUE,"Earnings Impact";"ad2",#N/A,TRUE,"accretion dilution";"hg2",#N/A,TRUE,"Has-Gets";"pfis2",#N/A,TRUE,"Pro Forma Income Statement";"ca2",#N/A,TRUE,"Contribution_Analysis";"acq2",#N/A,TRUE,"Acquirer";"tar2",#N/A,TRUE,"Target"}</definedName>
    <definedName name="wern" localSheetId="9" hidden="1">{"cover",#N/A,TRUE,"Cover";"toc6",#N/A,TRUE,"TOC";"over",#N/A,TRUE,"Overview";"ts2",#N/A,TRUE,"Det_Trans_Sum";"ei2",#N/A,TRUE,"Earnings Impact";"ad2",#N/A,TRUE,"accretion dilution";"hg2",#N/A,TRUE,"Has-Gets";"pfis2",#N/A,TRUE,"Pro Forma Income Statement";"ca2",#N/A,TRUE,"Contribution_Analysis";"acq2",#N/A,TRUE,"Acquirer";"tar2",#N/A,TRUE,"Target"}</definedName>
    <definedName name="wern" localSheetId="2" hidden="1">{"cover",#N/A,TRUE,"Cover";"toc6",#N/A,TRUE,"TOC";"over",#N/A,TRUE,"Overview";"ts2",#N/A,TRUE,"Det_Trans_Sum";"ei2",#N/A,TRUE,"Earnings Impact";"ad2",#N/A,TRUE,"accretion dilution";"hg2",#N/A,TRUE,"Has-Gets";"pfis2",#N/A,TRUE,"Pro Forma Income Statement";"ca2",#N/A,TRUE,"Contribution_Analysis";"acq2",#N/A,TRUE,"Acquirer";"tar2",#N/A,TRUE,"Target"}</definedName>
    <definedName name="wern" localSheetId="4" hidden="1">{"cover",#N/A,TRUE,"Cover";"toc6",#N/A,TRUE,"TOC";"over",#N/A,TRUE,"Overview";"ts2",#N/A,TRUE,"Det_Trans_Sum";"ei2",#N/A,TRUE,"Earnings Impact";"ad2",#N/A,TRUE,"accretion dilution";"hg2",#N/A,TRUE,"Has-Gets";"pfis2",#N/A,TRUE,"Pro Forma Income Statement";"ca2",#N/A,TRUE,"Contribution_Analysis";"acq2",#N/A,TRUE,"Acquirer";"tar2",#N/A,TRUE,"Target"}</definedName>
    <definedName name="wern" localSheetId="0" hidden="1">{"cover",#N/A,TRUE,"Cover";"toc6",#N/A,TRUE,"TOC";"over",#N/A,TRUE,"Overview";"ts2",#N/A,TRUE,"Det_Trans_Sum";"ei2",#N/A,TRUE,"Earnings Impact";"ad2",#N/A,TRUE,"accretion dilution";"hg2",#N/A,TRUE,"Has-Gets";"pfis2",#N/A,TRUE,"Pro Forma Income Statement";"ca2",#N/A,TRUE,"Contribution_Analysis";"acq2",#N/A,TRUE,"Acquirer";"tar2",#N/A,TRUE,"Target"}</definedName>
    <definedName name="wern" hidden="1">{"cover",#N/A,TRUE,"Cover";"toc6",#N/A,TRUE,"TOC";"over",#N/A,TRUE,"Overview";"ts2",#N/A,TRUE,"Det_Trans_Sum";"ei2",#N/A,TRUE,"Earnings Impact";"ad2",#N/A,TRUE,"accretion dilution";"hg2",#N/A,TRUE,"Has-Gets";"pfis2",#N/A,TRUE,"Pro Forma Income Statement";"ca2",#N/A,TRUE,"Contribution_Analysis";"acq2",#N/A,TRUE,"Acquirer";"tar2",#N/A,TRUE,"Target"}</definedName>
    <definedName name="west" localSheetId="0" hidden="1">{"data",#N/A,FALSE,"INPUT"}</definedName>
    <definedName name="west" hidden="1">{"data",#N/A,FALSE,"INPUT"}</definedName>
    <definedName name="WESTERRAFEES">#REF!</definedName>
    <definedName name="WHAT" localSheetId="0" hidden="1">{#N/A,#N/A,FALSE,"II-2 POP.HH";#N/A,#N/A,FALSE,"II-3 AGE.DIST";#N/A,#N/A,FALSE,"II-4 HH.DIST";#N/A,#N/A,FALSE,"II-5 EMP.INDUS"}</definedName>
    <definedName name="WHAT" hidden="1">{#N/A,#N/A,FALSE,"II-2 POP.HH";#N/A,#N/A,FALSE,"II-3 AGE.DIST";#N/A,#N/A,FALSE,"II-4 HH.DIST";#N/A,#N/A,FALSE,"II-5 EMP.INDUS"}</definedName>
    <definedName name="what_asdf2" localSheetId="3" hidden="1">{#N/A,#N/A,FALSE,"OperatingAssumptions"}</definedName>
    <definedName name="what_asdf2" localSheetId="6" hidden="1">{#N/A,#N/A,FALSE,"OperatingAssumptions"}</definedName>
    <definedName name="what_asdf2" localSheetId="9" hidden="1">{#N/A,#N/A,FALSE,"OperatingAssumptions"}</definedName>
    <definedName name="what_asdf2" localSheetId="2" hidden="1">{#N/A,#N/A,FALSE,"OperatingAssumptions"}</definedName>
    <definedName name="what_asdf2" localSheetId="4" hidden="1">{#N/A,#N/A,FALSE,"OperatingAssumptions"}</definedName>
    <definedName name="what_asdf2" localSheetId="0" hidden="1">{#N/A,#N/A,FALSE,"OperatingAssumptions"}</definedName>
    <definedName name="what_asdf2" hidden="1">{#N/A,#N/A,FALSE,"OperatingAssumptions"}</definedName>
    <definedName name="what2" localSheetId="0" hidden="1">{#N/A,#N/A,FALSE,"II-2 POP.HH";#N/A,#N/A,FALSE,"II-3 AGE.DIST";#N/A,#N/A,FALSE,"II-4 HH.DIST";#N/A,#N/A,FALSE,"II-5 EMP.INDUS"}</definedName>
    <definedName name="what2" hidden="1">{#N/A,#N/A,FALSE,"II-2 POP.HH";#N/A,#N/A,FALSE,"II-3 AGE.DIST";#N/A,#N/A,FALSE,"II-4 HH.DIST";#N/A,#N/A,FALSE,"II-5 EMP.INDUS"}</definedName>
    <definedName name="wrn.1." localSheetId="3" hidden="1">{"cover",#N/A,TRUE,"Cover";"toc1",#N/A,TRUE,"TOC";"ts1",#N/A,TRUE,"Transaction Summary";"ei",#N/A,TRUE,"Earnings Impact";"ad",#N/A,TRUE,"accretion dilution"}</definedName>
    <definedName name="wrn.1." localSheetId="9" hidden="1">{"cover",#N/A,TRUE,"Cover";"toc1",#N/A,TRUE,"TOC";"ts1",#N/A,TRUE,"Transaction Summary";"ei",#N/A,TRUE,"Earnings Impact";"ad",#N/A,TRUE,"accretion dilution"}</definedName>
    <definedName name="wrn.1." localSheetId="2" hidden="1">{"cover",#N/A,TRUE,"Cover";"toc1",#N/A,TRUE,"TOC";"ts1",#N/A,TRUE,"Transaction Summary";"ei",#N/A,TRUE,"Earnings Impact";"ad",#N/A,TRUE,"accretion dilution"}</definedName>
    <definedName name="wrn.1." localSheetId="4" hidden="1">{"cover",#N/A,TRUE,"Cover";"toc1",#N/A,TRUE,"TOC";"ts1",#N/A,TRUE,"Transaction Summary";"ei",#N/A,TRUE,"Earnings Impact";"ad",#N/A,TRUE,"accretion dilution"}</definedName>
    <definedName name="wrn.1." localSheetId="0" hidden="1">{"cover",#N/A,TRUE,"Cover";"toc1",#N/A,TRUE,"TOC";"ts1",#N/A,TRUE,"Transaction Summary";"ei",#N/A,TRUE,"Earnings Impact";"ad",#N/A,TRUE,"accretion dilution"}</definedName>
    <definedName name="wrn.1." hidden="1">{"cover",#N/A,TRUE,"Cover";"toc1",#N/A,TRUE,"TOC";"ts1",#N/A,TRUE,"Transaction Summary";"ei",#N/A,TRUE,"Earnings Impact";"ad",#N/A,TRUE,"accretion dilution"}</definedName>
    <definedName name="wrn.10." localSheetId="3" hidden="1">{"cover",#N/A,TRUE,"Cover";"toc3",#N/A,TRUE,"TOC";"over",#N/A,TRUE,"Overview";"ts2",#N/A,TRUE,"Det_Trans_Sum";"ei1c",#N/A,TRUE,"Earnings Impact";"ad1",#N/A,TRUE,"accretion dilution";"pfis1",#N/A,TRUE,"Pro Forma Income Statement";"acq1c",#N/A,TRUE,"Acquirer";"tar1c",#N/A,TRUE,"Target"}</definedName>
    <definedName name="wrn.10." localSheetId="9" hidden="1">{"cover",#N/A,TRUE,"Cover";"toc3",#N/A,TRUE,"TOC";"over",#N/A,TRUE,"Overview";"ts2",#N/A,TRUE,"Det_Trans_Sum";"ei1c",#N/A,TRUE,"Earnings Impact";"ad1",#N/A,TRUE,"accretion dilution";"pfis1",#N/A,TRUE,"Pro Forma Income Statement";"acq1c",#N/A,TRUE,"Acquirer";"tar1c",#N/A,TRUE,"Target"}</definedName>
    <definedName name="wrn.10." localSheetId="2" hidden="1">{"cover",#N/A,TRUE,"Cover";"toc3",#N/A,TRUE,"TOC";"over",#N/A,TRUE,"Overview";"ts2",#N/A,TRUE,"Det_Trans_Sum";"ei1c",#N/A,TRUE,"Earnings Impact";"ad1",#N/A,TRUE,"accretion dilution";"pfis1",#N/A,TRUE,"Pro Forma Income Statement";"acq1c",#N/A,TRUE,"Acquirer";"tar1c",#N/A,TRUE,"Target"}</definedName>
    <definedName name="wrn.10." localSheetId="4" hidden="1">{"cover",#N/A,TRUE,"Cover";"toc3",#N/A,TRUE,"TOC";"over",#N/A,TRUE,"Overview";"ts2",#N/A,TRUE,"Det_Trans_Sum";"ei1c",#N/A,TRUE,"Earnings Impact";"ad1",#N/A,TRUE,"accretion dilution";"pfis1",#N/A,TRUE,"Pro Forma Income Statement";"acq1c",#N/A,TRUE,"Acquirer";"tar1c",#N/A,TRUE,"Target"}</definedName>
    <definedName name="wrn.10." localSheetId="0" hidden="1">{"cover",#N/A,TRUE,"Cover";"toc3",#N/A,TRUE,"TOC";"over",#N/A,TRUE,"Overview";"ts2",#N/A,TRUE,"Det_Trans_Sum";"ei1c",#N/A,TRUE,"Earnings Impact";"ad1",#N/A,TRUE,"accretion dilution";"pfis1",#N/A,TRUE,"Pro Forma Income Statement";"acq1c",#N/A,TRUE,"Acquirer";"tar1c",#N/A,TRUE,"Target"}</definedName>
    <definedName name="wrn.10." hidden="1">{"cover",#N/A,TRUE,"Cover";"toc3",#N/A,TRUE,"TOC";"over",#N/A,TRUE,"Overview";"ts2",#N/A,TRUE,"Det_Trans_Sum";"ei1c",#N/A,TRUE,"Earnings Impact";"ad1",#N/A,TRUE,"accretion dilution";"pfis1",#N/A,TRUE,"Pro Forma Income Statement";"acq1c",#N/A,TRUE,"Acquirer";"tar1c",#N/A,TRUE,"Target"}</definedName>
    <definedName name="wrn.105" localSheetId="3"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localSheetId="9"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localSheetId="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localSheetId="4"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localSheetId="0"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1." localSheetId="3" hidden="1">{"cover",#N/A,TRUE,"Cover";"toc3",#N/A,TRUE,"TOC";"over",#N/A,TRUE,"Overview";"ts2",#N/A,TRUE,"Det_Trans_Sum";"ei2c",#N/A,TRUE,"Earnings Impact";"ad2",#N/A,TRUE,"accretion dilution";"pfis2",#N/A,TRUE,"Pro Forma Income Statement";"acq2c",#N/A,TRUE,"Acquirer";"tar2c",#N/A,TRUE,"Target"}</definedName>
    <definedName name="wrn.11." localSheetId="9" hidden="1">{"cover",#N/A,TRUE,"Cover";"toc3",#N/A,TRUE,"TOC";"over",#N/A,TRUE,"Overview";"ts2",#N/A,TRUE,"Det_Trans_Sum";"ei2c",#N/A,TRUE,"Earnings Impact";"ad2",#N/A,TRUE,"accretion dilution";"pfis2",#N/A,TRUE,"Pro Forma Income Statement";"acq2c",#N/A,TRUE,"Acquirer";"tar2c",#N/A,TRUE,"Target"}</definedName>
    <definedName name="wrn.11." localSheetId="2" hidden="1">{"cover",#N/A,TRUE,"Cover";"toc3",#N/A,TRUE,"TOC";"over",#N/A,TRUE,"Overview";"ts2",#N/A,TRUE,"Det_Trans_Sum";"ei2c",#N/A,TRUE,"Earnings Impact";"ad2",#N/A,TRUE,"accretion dilution";"pfis2",#N/A,TRUE,"Pro Forma Income Statement";"acq2c",#N/A,TRUE,"Acquirer";"tar2c",#N/A,TRUE,"Target"}</definedName>
    <definedName name="wrn.11." localSheetId="4" hidden="1">{"cover",#N/A,TRUE,"Cover";"toc3",#N/A,TRUE,"TOC";"over",#N/A,TRUE,"Overview";"ts2",#N/A,TRUE,"Det_Trans_Sum";"ei2c",#N/A,TRUE,"Earnings Impact";"ad2",#N/A,TRUE,"accretion dilution";"pfis2",#N/A,TRUE,"Pro Forma Income Statement";"acq2c",#N/A,TRUE,"Acquirer";"tar2c",#N/A,TRUE,"Target"}</definedName>
    <definedName name="wrn.11." localSheetId="0" hidden="1">{"cover",#N/A,TRUE,"Cover";"toc3",#N/A,TRUE,"TOC";"over",#N/A,TRUE,"Overview";"ts2",#N/A,TRUE,"Det_Trans_Sum";"ei2c",#N/A,TRUE,"Earnings Impact";"ad2",#N/A,TRUE,"accretion dilution";"pfis2",#N/A,TRUE,"Pro Forma Income Statement";"acq2c",#N/A,TRUE,"Acquirer";"tar2c",#N/A,TRUE,"Target"}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2." localSheetId="3" hidden="1">{"cover",#N/A,TRUE,"Cover";"toc3",#N/A,TRUE,"TOC";"over",#N/A,TRUE,"Overview";"ts2",#N/A,TRUE,"Det_Trans_Sum";"ei3c",#N/A,TRUE,"Earnings Impact";"ad3",#N/A,TRUE,"accretion dilution";"pfis3",#N/A,TRUE,"Pro Forma Income Statement";"acq3c",#N/A,TRUE,"Acquirer";"tar3c",#N/A,TRUE,"Target"}</definedName>
    <definedName name="wrn.12." localSheetId="9" hidden="1">{"cover",#N/A,TRUE,"Cover";"toc3",#N/A,TRUE,"TOC";"over",#N/A,TRUE,"Overview";"ts2",#N/A,TRUE,"Det_Trans_Sum";"ei3c",#N/A,TRUE,"Earnings Impact";"ad3",#N/A,TRUE,"accretion dilution";"pfis3",#N/A,TRUE,"Pro Forma Income Statement";"acq3c",#N/A,TRUE,"Acquirer";"tar3c",#N/A,TRUE,"Target"}</definedName>
    <definedName name="wrn.12." localSheetId="2" hidden="1">{"cover",#N/A,TRUE,"Cover";"toc3",#N/A,TRUE,"TOC";"over",#N/A,TRUE,"Overview";"ts2",#N/A,TRUE,"Det_Trans_Sum";"ei3c",#N/A,TRUE,"Earnings Impact";"ad3",#N/A,TRUE,"accretion dilution";"pfis3",#N/A,TRUE,"Pro Forma Income Statement";"acq3c",#N/A,TRUE,"Acquirer";"tar3c",#N/A,TRUE,"Target"}</definedName>
    <definedName name="wrn.12." localSheetId="4" hidden="1">{"cover",#N/A,TRUE,"Cover";"toc3",#N/A,TRUE,"TOC";"over",#N/A,TRUE,"Overview";"ts2",#N/A,TRUE,"Det_Trans_Sum";"ei3c",#N/A,TRUE,"Earnings Impact";"ad3",#N/A,TRUE,"accretion dilution";"pfis3",#N/A,TRUE,"Pro Forma Income Statement";"acq3c",#N/A,TRUE,"Acquirer";"tar3c",#N/A,TRUE,"Target"}</definedName>
    <definedName name="wrn.12." localSheetId="0" hidden="1">{"cover",#N/A,TRUE,"Cover";"toc3",#N/A,TRUE,"TOC";"over",#N/A,TRUE,"Overview";"ts2",#N/A,TRUE,"Det_Trans_Sum";"ei3c",#N/A,TRUE,"Earnings Impact";"ad3",#N/A,TRUE,"accretion dilution";"pfis3",#N/A,TRUE,"Pro Forma Income Statement";"acq3c",#N/A,TRUE,"Acquirer";"tar3c",#N/A,TRUE,"Target"}</definedName>
    <definedName name="wrn.12." hidden="1">{"cover",#N/A,TRUE,"Cover";"toc3",#N/A,TRUE,"TOC";"over",#N/A,TRUE,"Overview";"ts2",#N/A,TRUE,"Det_Trans_Sum";"ei3c",#N/A,TRUE,"Earnings Impact";"ad3",#N/A,TRUE,"accretion dilution";"pfis3",#N/A,TRUE,"Pro Forma Income Statement";"acq3c",#N/A,TRUE,"Acquirer";"tar3c",#N/A,TRUE,"Target"}</definedName>
    <definedName name="wrn.12._.MONTH._.SPREAD." localSheetId="0" hidden="1">{#N/A,#N/A,FALSE,"CPM";#N/A,#N/A,FALSE,"CVI";#N/A,#N/A,FALSE,"RNL";#N/A,#N/A,FALSE,"HAL";#N/A,#N/A,FALSE,"WPL";#N/A,#N/A,FALSE,"RPL";#N/A,#N/A,FALSE,"GVA";#N/A,#N/A,FALSE,"LRJKL";#N/A,#N/A,FALSE,"LPCVI";#N/A,#N/A,FALSE,"RGW and RGW2";#N/A,#N/A,FALSE,"RHL";#N/A,#N/A,FALSE,"HRP";#N/A,#N/A,FALSE,"WPE";#N/A,#N/A,FALSE,"DEL";#N/A,#N/A,FALSE,"PCA";#N/A,#N/A,FALSE,"PBL";#N/A,#N/A,FALSE,"KLL";#N/A,#N/A,FALSE,"RCR";#N/A,#N/A,FALSE,"LRJ#1";#N/A,#N/A,FALSE,"LRJ#2";#N/A,#N/A,FALSE,"OPL"}</definedName>
    <definedName name="wrn.12._.MONTH._.SPREAD." hidden="1">{#N/A,#N/A,FALSE,"CPM";#N/A,#N/A,FALSE,"CVI";#N/A,#N/A,FALSE,"RNL";#N/A,#N/A,FALSE,"HAL";#N/A,#N/A,FALSE,"WPL";#N/A,#N/A,FALSE,"RPL";#N/A,#N/A,FALSE,"GVA";#N/A,#N/A,FALSE,"LRJKL";#N/A,#N/A,FALSE,"LPCVI";#N/A,#N/A,FALSE,"RGW and RGW2";#N/A,#N/A,FALSE,"RHL";#N/A,#N/A,FALSE,"HRP";#N/A,#N/A,FALSE,"WPE";#N/A,#N/A,FALSE,"DEL";#N/A,#N/A,FALSE,"PCA";#N/A,#N/A,FALSE,"PBL";#N/A,#N/A,FALSE,"KLL";#N/A,#N/A,FALSE,"RCR";#N/A,#N/A,FALSE,"LRJ#1";#N/A,#N/A,FALSE,"LRJ#2";#N/A,#N/A,FALSE,"OPL"}</definedName>
    <definedName name="wrn.13." localSheetId="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9"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2"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4"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0"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localSheetId="3"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9"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2"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0"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localSheetId="3"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9"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2"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4"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0"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localSheetId="3"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9"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2"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4"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0"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localSheetId="3" hidden="1">{"cover",#N/A,TRUE,"Cover";"toc5",#N/A,TRUE,"TOC";"over",#N/A,TRUE,"Overview";"ts2",#N/A,TRUE,"Det_Trans_Sum";"eic",#N/A,TRUE,"Earnings Impact";"ad",#N/A,TRUE,"accretion dilution";"pfis",#N/A,TRUE,"Pro Forma Income Statement";"ca",#N/A,TRUE,"Contribution_Analysis";"acqc",#N/A,TRUE,"Acquirer";"tarc",#N/A,TRUE,"Target"}</definedName>
    <definedName name="wrn.17." localSheetId="9" hidden="1">{"cover",#N/A,TRUE,"Cover";"toc5",#N/A,TRUE,"TOC";"over",#N/A,TRUE,"Overview";"ts2",#N/A,TRUE,"Det_Trans_Sum";"eic",#N/A,TRUE,"Earnings Impact";"ad",#N/A,TRUE,"accretion dilution";"pfis",#N/A,TRUE,"Pro Forma Income Statement";"ca",#N/A,TRUE,"Contribution_Analysis";"acqc",#N/A,TRUE,"Acquirer";"tarc",#N/A,TRUE,"Target"}</definedName>
    <definedName name="wrn.17." localSheetId="2" hidden="1">{"cover",#N/A,TRUE,"Cover";"toc5",#N/A,TRUE,"TOC";"over",#N/A,TRUE,"Overview";"ts2",#N/A,TRUE,"Det_Trans_Sum";"eic",#N/A,TRUE,"Earnings Impact";"ad",#N/A,TRUE,"accretion dilution";"pfis",#N/A,TRUE,"Pro Forma Income Statement";"ca",#N/A,TRUE,"Contribution_Analysis";"acqc",#N/A,TRUE,"Acquirer";"tarc",#N/A,TRUE,"Target"}</definedName>
    <definedName name="wrn.17." localSheetId="4" hidden="1">{"cover",#N/A,TRUE,"Cover";"toc5",#N/A,TRUE,"TOC";"over",#N/A,TRUE,"Overview";"ts2",#N/A,TRUE,"Det_Trans_Sum";"eic",#N/A,TRUE,"Earnings Impact";"ad",#N/A,TRUE,"accretion dilution";"pfis",#N/A,TRUE,"Pro Forma Income Statement";"ca",#N/A,TRUE,"Contribution_Analysis";"acqc",#N/A,TRUE,"Acquirer";"tarc",#N/A,TRUE,"Target"}</definedName>
    <definedName name="wrn.17." localSheetId="0" hidden="1">{"cover",#N/A,TRUE,"Cover";"toc5",#N/A,TRUE,"TOC";"over",#N/A,TRUE,"Overview";"ts2",#N/A,TRUE,"Det_Trans_Sum";"eic",#N/A,TRUE,"Earnings Impact";"ad",#N/A,TRUE,"accretion dilution";"pfis",#N/A,TRUE,"Pro Forma Income Statement";"ca",#N/A,TRUE,"Contribution_Analysis";"acqc",#N/A,TRUE,"Acquirer";"tarc",#N/A,TRUE,"Target"}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localSheetId="3" hidden="1">{"cover",#N/A,TRUE,"Cover";"toc5",#N/A,TRUE,"TOC";"over",#N/A,TRUE,"Overview";"ts2",#N/A,TRUE,"Det_Trans_Sum";"ei1c",#N/A,TRUE,"Earnings Impact";"ad1",#N/A,TRUE,"accretion dilution";"pfis1",#N/A,TRUE,"Pro Forma Income Statement";"ca1",#N/A,TRUE,"Contribution_Analysis";"acq1c",#N/A,TRUE,"Acquirer";"tar1c",#N/A,TRUE,"Target"}</definedName>
    <definedName name="wrn.18." localSheetId="9" hidden="1">{"cover",#N/A,TRUE,"Cover";"toc5",#N/A,TRUE,"TOC";"over",#N/A,TRUE,"Overview";"ts2",#N/A,TRUE,"Det_Trans_Sum";"ei1c",#N/A,TRUE,"Earnings Impact";"ad1",#N/A,TRUE,"accretion dilution";"pfis1",#N/A,TRUE,"Pro Forma Income Statement";"ca1",#N/A,TRUE,"Contribution_Analysis";"acq1c",#N/A,TRUE,"Acquirer";"tar1c",#N/A,TRUE,"Target"}</definedName>
    <definedName name="wrn.18." localSheetId="2" hidden="1">{"cover",#N/A,TRUE,"Cover";"toc5",#N/A,TRUE,"TOC";"over",#N/A,TRUE,"Overview";"ts2",#N/A,TRUE,"Det_Trans_Sum";"ei1c",#N/A,TRUE,"Earnings Impact";"ad1",#N/A,TRUE,"accretion dilution";"pfis1",#N/A,TRUE,"Pro Forma Income Statement";"ca1",#N/A,TRUE,"Contribution_Analysis";"acq1c",#N/A,TRUE,"Acquirer";"tar1c",#N/A,TRUE,"Target"}</definedName>
    <definedName name="wrn.18." localSheetId="4" hidden="1">{"cover",#N/A,TRUE,"Cover";"toc5",#N/A,TRUE,"TOC";"over",#N/A,TRUE,"Overview";"ts2",#N/A,TRUE,"Det_Trans_Sum";"ei1c",#N/A,TRUE,"Earnings Impact";"ad1",#N/A,TRUE,"accretion dilution";"pfis1",#N/A,TRUE,"Pro Forma Income Statement";"ca1",#N/A,TRUE,"Contribution_Analysis";"acq1c",#N/A,TRUE,"Acquirer";"tar1c",#N/A,TRUE,"Target"}</definedName>
    <definedName name="wrn.18." localSheetId="0" hidden="1">{"cover",#N/A,TRUE,"Cover";"toc5",#N/A,TRUE,"TOC";"over",#N/A,TRUE,"Overview";"ts2",#N/A,TRUE,"Det_Trans_Sum";"ei1c",#N/A,TRUE,"Earnings Impact";"ad1",#N/A,TRUE,"accretion dilution";"pfis1",#N/A,TRUE,"Pro Forma Income Statement";"ca1",#N/A,TRUE,"Contribution_Analysis";"acq1c",#N/A,TRUE,"Acquirer";"tar1c",#N/A,TRUE,"Target"}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localSheetId="3" hidden="1">{"cover",#N/A,TRUE,"Cover";"toc5",#N/A,TRUE,"TOC";"ts2",#N/A,TRUE,"Det_Trans_Sum";"over",#N/A,TRUE,"Overview";"ei2c",#N/A,TRUE,"Earnings Impact";"ad2",#N/A,TRUE,"accretion dilution";"pfis2",#N/A,TRUE,"Pro Forma Income Statement";"ca2",#N/A,TRUE,"Contribution_Analysis";"acq2c",#N/A,TRUE,"Acquirer";"tar2c",#N/A,TRUE,"Target"}</definedName>
    <definedName name="wrn.19." localSheetId="9" hidden="1">{"cover",#N/A,TRUE,"Cover";"toc5",#N/A,TRUE,"TOC";"ts2",#N/A,TRUE,"Det_Trans_Sum";"over",#N/A,TRUE,"Overview";"ei2c",#N/A,TRUE,"Earnings Impact";"ad2",#N/A,TRUE,"accretion dilution";"pfis2",#N/A,TRUE,"Pro Forma Income Statement";"ca2",#N/A,TRUE,"Contribution_Analysis";"acq2c",#N/A,TRUE,"Acquirer";"tar2c",#N/A,TRUE,"Target"}</definedName>
    <definedName name="wrn.19." localSheetId="2" hidden="1">{"cover",#N/A,TRUE,"Cover";"toc5",#N/A,TRUE,"TOC";"ts2",#N/A,TRUE,"Det_Trans_Sum";"over",#N/A,TRUE,"Overview";"ei2c",#N/A,TRUE,"Earnings Impact";"ad2",#N/A,TRUE,"accretion dilution";"pfis2",#N/A,TRUE,"Pro Forma Income Statement";"ca2",#N/A,TRUE,"Contribution_Analysis";"acq2c",#N/A,TRUE,"Acquirer";"tar2c",#N/A,TRUE,"Target"}</definedName>
    <definedName name="wrn.19." localSheetId="4" hidden="1">{"cover",#N/A,TRUE,"Cover";"toc5",#N/A,TRUE,"TOC";"ts2",#N/A,TRUE,"Det_Trans_Sum";"over",#N/A,TRUE,"Overview";"ei2c",#N/A,TRUE,"Earnings Impact";"ad2",#N/A,TRUE,"accretion dilution";"pfis2",#N/A,TRUE,"Pro Forma Income Statement";"ca2",#N/A,TRUE,"Contribution_Analysis";"acq2c",#N/A,TRUE,"Acquirer";"tar2c",#N/A,TRUE,"Target"}</definedName>
    <definedName name="wrn.19." localSheetId="0" hidden="1">{"cover",#N/A,TRUE,"Cover";"toc5",#N/A,TRUE,"TOC";"ts2",#N/A,TRUE,"Det_Trans_Sum";"over",#N/A,TRUE,"Overview";"ei2c",#N/A,TRUE,"Earnings Impact";"ad2",#N/A,TRUE,"accretion dilution";"pfis2",#N/A,TRUE,"Pro Forma Income Statement";"ca2",#N/A,TRUE,"Contribution_Analysis";"acq2c",#N/A,TRUE,"Acquirer";"tar2c",#N/A,TRUE,"Target"}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95._.Analysis." localSheetId="3" hidden="1">{#N/A,#N/A,FALSE,"1995 Rev &amp; Exp"}</definedName>
    <definedName name="wrn.1995._.Analysis." localSheetId="6" hidden="1">{#N/A,#N/A,FALSE,"1995 Rev &amp; Exp"}</definedName>
    <definedName name="wrn.1995._.Analysis." localSheetId="9" hidden="1">{#N/A,#N/A,FALSE,"1995 Rev &amp; Exp"}</definedName>
    <definedName name="wrn.1995._.Analysis." localSheetId="2" hidden="1">{#N/A,#N/A,FALSE,"1995 Rev &amp; Exp"}</definedName>
    <definedName name="wrn.1995._.Analysis." localSheetId="4" hidden="1">{#N/A,#N/A,FALSE,"1995 Rev &amp; Exp"}</definedName>
    <definedName name="wrn.1995._.Analysis." localSheetId="0" hidden="1">{#N/A,#N/A,FALSE,"1995 Rev &amp; Exp"}</definedName>
    <definedName name="wrn.1995._.Analysis." hidden="1">{#N/A,#N/A,FALSE,"1995 Rev &amp; Exp"}</definedName>
    <definedName name="wrn.2" localSheetId="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 localSheetId="6"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 localSheetId="9"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 localSheetId="2"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 localSheetId="4"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 localSheetId="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 localSheetId="3" hidden="1">{"cover",#N/A,TRUE,"Cover";"toc1",#N/A,TRUE,"TOC";"ts1",#N/A,TRUE,"Transaction Summary";"ei1",#N/A,TRUE,"Earnings Impact";"ad1",#N/A,TRUE,"accretion dilution"}</definedName>
    <definedName name="wrn.2." localSheetId="9" hidden="1">{"cover",#N/A,TRUE,"Cover";"toc1",#N/A,TRUE,"TOC";"ts1",#N/A,TRUE,"Transaction Summary";"ei1",#N/A,TRUE,"Earnings Impact";"ad1",#N/A,TRUE,"accretion dilution"}</definedName>
    <definedName name="wrn.2." localSheetId="2" hidden="1">{"cover",#N/A,TRUE,"Cover";"toc1",#N/A,TRUE,"TOC";"ts1",#N/A,TRUE,"Transaction Summary";"ei1",#N/A,TRUE,"Earnings Impact";"ad1",#N/A,TRUE,"accretion dilution"}</definedName>
    <definedName name="wrn.2." localSheetId="4" hidden="1">{"cover",#N/A,TRUE,"Cover";"toc1",#N/A,TRUE,"TOC";"ts1",#N/A,TRUE,"Transaction Summary";"ei1",#N/A,TRUE,"Earnings Impact";"ad1",#N/A,TRUE,"accretion dilution"}</definedName>
    <definedName name="wrn.2." localSheetId="0" hidden="1">{"cover",#N/A,TRUE,"Cover";"toc1",#N/A,TRUE,"TOC";"ts1",#N/A,TRUE,"Transaction Summary";"ei1",#N/A,TRUE,"Earnings Impact";"ad1",#N/A,TRUE,"accretion dilution"}</definedName>
    <definedName name="wrn.2." hidden="1">{"cover",#N/A,TRUE,"Cover";"toc1",#N/A,TRUE,"TOC";"ts1",#N/A,TRUE,"Transaction Summary";"ei1",#N/A,TRUE,"Earnings Impact";"ad1",#N/A,TRUE,"accretion dilution"}</definedName>
    <definedName name="wrn.2._.pagers." localSheetId="3" hidden="1">{"Cover",#N/A,FALSE,"Cover";"Summary",#N/A,FALSE,"Summarpage"}</definedName>
    <definedName name="wrn.2._.pagers." localSheetId="9" hidden="1">{"Cover",#N/A,FALSE,"Cover";"Summary",#N/A,FALSE,"Summarpage"}</definedName>
    <definedName name="wrn.2._.pagers." localSheetId="2" hidden="1">{"Cover",#N/A,FALSE,"Cover";"Summary",#N/A,FALSE,"Summarpage"}</definedName>
    <definedName name="wrn.2._.pagers." localSheetId="4" hidden="1">{"Cover",#N/A,FALSE,"Cover";"Summary",#N/A,FALSE,"Summarpage"}</definedName>
    <definedName name="wrn.2._.pagers." localSheetId="0" hidden="1">{"Cover",#N/A,FALSE,"Cover";"Summary",#N/A,FALSE,"Summarpage"}</definedName>
    <definedName name="wrn.2._.pagers." hidden="1">{"Cover",#N/A,FALSE,"Cover";"Summary",#N/A,FALSE,"Summarpage"}</definedName>
    <definedName name="wrn.20." localSheetId="3" hidden="1">{"cover",#N/A,TRUE,"Cover";"toc5",#N/A,TRUE,"TOC";"over",#N/A,TRUE,"Overview";"ts2",#N/A,TRUE,"Det_Trans_Sum";"ei3c",#N/A,TRUE,"Earnings Impact";"ad3",#N/A,TRUE,"accretion dilution";"pfis3",#N/A,TRUE,"Pro Forma Income Statement";"ca3",#N/A,TRUE,"Contribution_Analysis";"acq3c",#N/A,TRUE,"Acquirer";"tar3c",#N/A,TRUE,"Target"}</definedName>
    <definedName name="wrn.20." localSheetId="9" hidden="1">{"cover",#N/A,TRUE,"Cover";"toc5",#N/A,TRUE,"TOC";"over",#N/A,TRUE,"Overview";"ts2",#N/A,TRUE,"Det_Trans_Sum";"ei3c",#N/A,TRUE,"Earnings Impact";"ad3",#N/A,TRUE,"accretion dilution";"pfis3",#N/A,TRUE,"Pro Forma Income Statement";"ca3",#N/A,TRUE,"Contribution_Analysis";"acq3c",#N/A,TRUE,"Acquirer";"tar3c",#N/A,TRUE,"Target"}</definedName>
    <definedName name="wrn.20." localSheetId="2" hidden="1">{"cover",#N/A,TRUE,"Cover";"toc5",#N/A,TRUE,"TOC";"over",#N/A,TRUE,"Overview";"ts2",#N/A,TRUE,"Det_Trans_Sum";"ei3c",#N/A,TRUE,"Earnings Impact";"ad3",#N/A,TRUE,"accretion dilution";"pfis3",#N/A,TRUE,"Pro Forma Income Statement";"ca3",#N/A,TRUE,"Contribution_Analysis";"acq3c",#N/A,TRUE,"Acquirer";"tar3c",#N/A,TRUE,"Target"}</definedName>
    <definedName name="wrn.20." localSheetId="4" hidden="1">{"cover",#N/A,TRUE,"Cover";"toc5",#N/A,TRUE,"TOC";"over",#N/A,TRUE,"Overview";"ts2",#N/A,TRUE,"Det_Trans_Sum";"ei3c",#N/A,TRUE,"Earnings Impact";"ad3",#N/A,TRUE,"accretion dilution";"pfis3",#N/A,TRUE,"Pro Forma Income Statement";"ca3",#N/A,TRUE,"Contribution_Analysis";"acq3c",#N/A,TRUE,"Acquirer";"tar3c",#N/A,TRUE,"Target"}</definedName>
    <definedName name="wrn.20." localSheetId="0" hidden="1">{"cover",#N/A,TRUE,"Cover";"toc5",#N/A,TRUE,"TOC";"over",#N/A,TRUE,"Overview";"ts2",#N/A,TRUE,"Det_Trans_Sum";"ei3c",#N/A,TRUE,"Earnings Impact";"ad3",#N/A,TRUE,"accretion dilution";"pfis3",#N/A,TRUE,"Pro Forma Income Statement";"ca3",#N/A,TRUE,"Contribution_Analysis";"acq3c",#N/A,TRUE,"Acquirer";"tar3c",#N/A,TRUE,"Target"}</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_.year._.alt" localSheetId="3"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alt" localSheetId="9"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alt" localSheetId="2"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alt" localSheetId="4"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alt" localSheetId="0"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alt"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full." localSheetId="3"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full." localSheetId="9"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full." localSheetId="2"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full." localSheetId="4"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full." localSheetId="0"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full."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13." localSheetId="3" hidden="1">{"PG4",#N/A,FALSE,"Page4";"PG3",#N/A,FALSE,"Page 3";"PG2",#N/A,FALSE,"Page 2";"PG1",#N/A,FALSE,"2013HUD, pg1"}</definedName>
    <definedName name="wrn.2013." localSheetId="9" hidden="1">{"PG4",#N/A,FALSE,"Page4";"PG3",#N/A,FALSE,"Page 3";"PG2",#N/A,FALSE,"Page 2";"PG1",#N/A,FALSE,"2013HUD, pg1"}</definedName>
    <definedName name="wrn.2013." localSheetId="2" hidden="1">{"PG4",#N/A,FALSE,"Page4";"PG3",#N/A,FALSE,"Page 3";"PG2",#N/A,FALSE,"Page 2";"PG1",#N/A,FALSE,"2013HUD, pg1"}</definedName>
    <definedName name="wrn.2013." localSheetId="4" hidden="1">{"PG4",#N/A,FALSE,"Page4";"PG3",#N/A,FALSE,"Page 3";"PG2",#N/A,FALSE,"Page 2";"PG1",#N/A,FALSE,"2013HUD, pg1"}</definedName>
    <definedName name="wrn.2013." localSheetId="0" hidden="1">{"PG4",#N/A,FALSE,"Page4";"PG3",#N/A,FALSE,"Page 3";"PG2",#N/A,FALSE,"Page 2";"PG1",#N/A,FALSE,"2013HUD, pg1"}</definedName>
    <definedName name="wrn.2013." hidden="1">{"PG4",#N/A,FALSE,"Page4";"PG3",#N/A,FALSE,"Page 3";"PG2",#N/A,FALSE,"Page 2";"PG1",#N/A,FALSE,"2013HUD, pg1"}</definedName>
    <definedName name="wrn.2013._.All." localSheetId="3" hidden="1">{"Page4",#N/A,FALSE,"Page4";"Page3",#N/A,FALSE,"Page 3";"Page2",#N/A,FALSE,"Page 2";"Page1",#N/A,FALSE,"2013HUD, pg1"}</definedName>
    <definedName name="wrn.2013._.All." localSheetId="9" hidden="1">{"Page4",#N/A,FALSE,"Page4";"Page3",#N/A,FALSE,"Page 3";"Page2",#N/A,FALSE,"Page 2";"Page1",#N/A,FALSE,"2013HUD, pg1"}</definedName>
    <definedName name="wrn.2013._.All." localSheetId="2" hidden="1">{"Page4",#N/A,FALSE,"Page4";"Page3",#N/A,FALSE,"Page 3";"Page2",#N/A,FALSE,"Page 2";"Page1",#N/A,FALSE,"2013HUD, pg1"}</definedName>
    <definedName name="wrn.2013._.All." localSheetId="4" hidden="1">{"Page4",#N/A,FALSE,"Page4";"Page3",#N/A,FALSE,"Page 3";"Page2",#N/A,FALSE,"Page 2";"Page1",#N/A,FALSE,"2013HUD, pg1"}</definedName>
    <definedName name="wrn.2013._.All." localSheetId="0" hidden="1">{"Page4",#N/A,FALSE,"Page4";"Page3",#N/A,FALSE,"Page 3";"Page2",#N/A,FALSE,"Page 2";"Page1",#N/A,FALSE,"2013HUD, pg1"}</definedName>
    <definedName name="wrn.2013._.All." hidden="1">{"Page4",#N/A,FALSE,"Page4";"Page3",#N/A,FALSE,"Page 3";"Page2",#N/A,FALSE,"Page 2";"Page1",#N/A,FALSE,"2013HUD, pg1"}</definedName>
    <definedName name="wrn.2013._.Report." localSheetId="3" hidden="1">{#N/A,#N/A,FALSE,"2013HUD, pg1";#N/A,#N/A,FALSE,"Page 2";#N/A,#N/A,FALSE,"Page 3";#N/A,#N/A,FALSE,"Page4"}</definedName>
    <definedName name="wrn.2013._.Report." localSheetId="9" hidden="1">{#N/A,#N/A,FALSE,"2013HUD, pg1";#N/A,#N/A,FALSE,"Page 2";#N/A,#N/A,FALSE,"Page 3";#N/A,#N/A,FALSE,"Page4"}</definedName>
    <definedName name="wrn.2013._.Report." localSheetId="2" hidden="1">{#N/A,#N/A,FALSE,"2013HUD, pg1";#N/A,#N/A,FALSE,"Page 2";#N/A,#N/A,FALSE,"Page 3";#N/A,#N/A,FALSE,"Page4"}</definedName>
    <definedName name="wrn.2013._.Report." localSheetId="4" hidden="1">{#N/A,#N/A,FALSE,"2013HUD, pg1";#N/A,#N/A,FALSE,"Page 2";#N/A,#N/A,FALSE,"Page 3";#N/A,#N/A,FALSE,"Page4"}</definedName>
    <definedName name="wrn.2013._.Report." localSheetId="0" hidden="1">{#N/A,#N/A,FALSE,"2013HUD, pg1";#N/A,#N/A,FALSE,"Page 2";#N/A,#N/A,FALSE,"Page 3";#N/A,#N/A,FALSE,"Page4"}</definedName>
    <definedName name="wrn.2013._.Report." hidden="1">{#N/A,#N/A,FALSE,"2013HUD, pg1";#N/A,#N/A,FALSE,"Page 2";#N/A,#N/A,FALSE,"Page 3";#N/A,#N/A,FALSE,"Page4"}</definedName>
    <definedName name="wrn.21." localSheetId="3"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9"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2"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4"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0" hidden="1">{"cover",#N/A,TRUE,"Cover";"toc6",#N/A,TRUE,"TOC";"over",#N/A,TRUE,"Overview";"ts2",#N/A,TRUE,"Det_Trans_Sum";"eic",#N/A,TRUE,"Earnings Impact";"ad",#N/A,TRUE,"accretion dilution";"hg",#N/A,TRUE,"Has-Gets";"pfis",#N/A,TRUE,"Pro Forma Income Statement";"ca",#N/A,TRUE,"Contribution_Analysis";"acqc",#N/A,TRUE,"Acquirer";"tarc",#N/A,TRUE,"Target"}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localSheetId="3"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9"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4"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0"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localSheetId="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9"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2"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4"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0"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localSheetId="3"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9"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2"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0"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localSheetId="3" hidden="1">{"cover",#N/A,TRUE,"Cover";"toc3",#N/A,TRUE,"TOC";"over",#N/A,TRUE,"Overview";"ts2",#N/A,TRUE,"Det_Trans_Sum";"ei",#N/A,TRUE,"Earnings Impact";"ad",#N/A,TRUE,"accretion dilution";"pfis",#N/A,TRUE,"Pro Forma Income Statement";"acq",#N/A,TRUE,"Acquirer";"tar",#N/A,TRUE,"Target"}</definedName>
    <definedName name="wrn.25." localSheetId="9" hidden="1">{"cover",#N/A,TRUE,"Cover";"toc3",#N/A,TRUE,"TOC";"over",#N/A,TRUE,"Overview";"ts2",#N/A,TRUE,"Det_Trans_Sum";"ei",#N/A,TRUE,"Earnings Impact";"ad",#N/A,TRUE,"accretion dilution";"pfis",#N/A,TRUE,"Pro Forma Income Statement";"acq",#N/A,TRUE,"Acquirer";"tar",#N/A,TRUE,"Target"}</definedName>
    <definedName name="wrn.25." localSheetId="2" hidden="1">{"cover",#N/A,TRUE,"Cover";"toc3",#N/A,TRUE,"TOC";"over",#N/A,TRUE,"Overview";"ts2",#N/A,TRUE,"Det_Trans_Sum";"ei",#N/A,TRUE,"Earnings Impact";"ad",#N/A,TRUE,"accretion dilution";"pfis",#N/A,TRUE,"Pro Forma Income Statement";"acq",#N/A,TRUE,"Acquirer";"tar",#N/A,TRUE,"Target"}</definedName>
    <definedName name="wrn.25." localSheetId="4" hidden="1">{"cover",#N/A,TRUE,"Cover";"toc3",#N/A,TRUE,"TOC";"over",#N/A,TRUE,"Overview";"ts2",#N/A,TRUE,"Det_Trans_Sum";"ei",#N/A,TRUE,"Earnings Impact";"ad",#N/A,TRUE,"accretion dilution";"pfis",#N/A,TRUE,"Pro Forma Income Statement";"acq",#N/A,TRUE,"Acquirer";"tar",#N/A,TRUE,"Target"}</definedName>
    <definedName name="wrn.25." localSheetId="0" hidden="1">{"cover",#N/A,TRUE,"Cover";"toc3",#N/A,TRUE,"TOC";"over",#N/A,TRUE,"Overview";"ts2",#N/A,TRUE,"Det_Trans_Sum";"ei",#N/A,TRUE,"Earnings Impact";"ad",#N/A,TRUE,"accretion dilution";"pfis",#N/A,TRUE,"Pro Forma Income Statement";"acq",#N/A,TRUE,"Acquirer";"tar",#N/A,TRUE,"Target"}</definedName>
    <definedName name="wrn.25." hidden="1">{"cover",#N/A,TRUE,"Cover";"toc3",#N/A,TRUE,"TOC";"over",#N/A,TRUE,"Overview";"ts2",#N/A,TRUE,"Det_Trans_Sum";"ei",#N/A,TRUE,"Earnings Impact";"ad",#N/A,TRUE,"accretion dilution";"pfis",#N/A,TRUE,"Pro Forma Income Statement";"acq",#N/A,TRUE,"Acquirer";"tar",#N/A,TRUE,"Target"}</definedName>
    <definedName name="wrn.26." localSheetId="3" hidden="1">{"cover",#N/A,TRUE,"Cover";"toc3",#N/A,TRUE,"TOC";"over",#N/A,TRUE,"Overview";"ts2",#N/A,TRUE,"Det_Trans_Sum";"ei1",#N/A,TRUE,"Earnings Impact";"ad1",#N/A,TRUE,"accretion dilution";"pfis1",#N/A,TRUE,"Pro Forma Income Statement";"acq1",#N/A,TRUE,"Acquirer";"tar1",#N/A,TRUE,"Target"}</definedName>
    <definedName name="wrn.26." localSheetId="9" hidden="1">{"cover",#N/A,TRUE,"Cover";"toc3",#N/A,TRUE,"TOC";"over",#N/A,TRUE,"Overview";"ts2",#N/A,TRUE,"Det_Trans_Sum";"ei1",#N/A,TRUE,"Earnings Impact";"ad1",#N/A,TRUE,"accretion dilution";"pfis1",#N/A,TRUE,"Pro Forma Income Statement";"acq1",#N/A,TRUE,"Acquirer";"tar1",#N/A,TRUE,"Target"}</definedName>
    <definedName name="wrn.26." localSheetId="2" hidden="1">{"cover",#N/A,TRUE,"Cover";"toc3",#N/A,TRUE,"TOC";"over",#N/A,TRUE,"Overview";"ts2",#N/A,TRUE,"Det_Trans_Sum";"ei1",#N/A,TRUE,"Earnings Impact";"ad1",#N/A,TRUE,"accretion dilution";"pfis1",#N/A,TRUE,"Pro Forma Income Statement";"acq1",#N/A,TRUE,"Acquirer";"tar1",#N/A,TRUE,"Target"}</definedName>
    <definedName name="wrn.26." localSheetId="4" hidden="1">{"cover",#N/A,TRUE,"Cover";"toc3",#N/A,TRUE,"TOC";"over",#N/A,TRUE,"Overview";"ts2",#N/A,TRUE,"Det_Trans_Sum";"ei1",#N/A,TRUE,"Earnings Impact";"ad1",#N/A,TRUE,"accretion dilution";"pfis1",#N/A,TRUE,"Pro Forma Income Statement";"acq1",#N/A,TRUE,"Acquirer";"tar1",#N/A,TRUE,"Target"}</definedName>
    <definedName name="wrn.26." localSheetId="0" hidden="1">{"cover",#N/A,TRUE,"Cover";"toc3",#N/A,TRUE,"TOC";"over",#N/A,TRUE,"Overview";"ts2",#N/A,TRUE,"Det_Trans_Sum";"ei1",#N/A,TRUE,"Earnings Impact";"ad1",#N/A,TRUE,"accretion dilution";"pfis1",#N/A,TRUE,"Pro Forma Income Statement";"acq1",#N/A,TRUE,"Acquirer";"tar1",#N/A,TRUE,"Target"}</definedName>
    <definedName name="wrn.26." hidden="1">{"cover",#N/A,TRUE,"Cover";"toc3",#N/A,TRUE,"TOC";"over",#N/A,TRUE,"Overview";"ts2",#N/A,TRUE,"Det_Trans_Sum";"ei1",#N/A,TRUE,"Earnings Impact";"ad1",#N/A,TRUE,"accretion dilution";"pfis1",#N/A,TRUE,"Pro Forma Income Statement";"acq1",#N/A,TRUE,"Acquirer";"tar1",#N/A,TRUE,"Target"}</definedName>
    <definedName name="wrn.27." localSheetId="3" hidden="1">{"cover",#N/A,TRUE,"Cover";"toc3",#N/A,TRUE,"TOC";"over",#N/A,TRUE,"Overview";"ts2",#N/A,TRUE,"Det_Trans_Sum";"ei2",#N/A,TRUE,"Earnings Impact";"ad2",#N/A,TRUE,"accretion dilution";"pfis2",#N/A,TRUE,"Pro Forma Income Statement";"acq2",#N/A,TRUE,"Acquirer";"tar2",#N/A,TRUE,"Target"}</definedName>
    <definedName name="wrn.27." localSheetId="9" hidden="1">{"cover",#N/A,TRUE,"Cover";"toc3",#N/A,TRUE,"TOC";"over",#N/A,TRUE,"Overview";"ts2",#N/A,TRUE,"Det_Trans_Sum";"ei2",#N/A,TRUE,"Earnings Impact";"ad2",#N/A,TRUE,"accretion dilution";"pfis2",#N/A,TRUE,"Pro Forma Income Statement";"acq2",#N/A,TRUE,"Acquirer";"tar2",#N/A,TRUE,"Target"}</definedName>
    <definedName name="wrn.27." localSheetId="2" hidden="1">{"cover",#N/A,TRUE,"Cover";"toc3",#N/A,TRUE,"TOC";"over",#N/A,TRUE,"Overview";"ts2",#N/A,TRUE,"Det_Trans_Sum";"ei2",#N/A,TRUE,"Earnings Impact";"ad2",#N/A,TRUE,"accretion dilution";"pfis2",#N/A,TRUE,"Pro Forma Income Statement";"acq2",#N/A,TRUE,"Acquirer";"tar2",#N/A,TRUE,"Target"}</definedName>
    <definedName name="wrn.27." localSheetId="4" hidden="1">{"cover",#N/A,TRUE,"Cover";"toc3",#N/A,TRUE,"TOC";"over",#N/A,TRUE,"Overview";"ts2",#N/A,TRUE,"Det_Trans_Sum";"ei2",#N/A,TRUE,"Earnings Impact";"ad2",#N/A,TRUE,"accretion dilution";"pfis2",#N/A,TRUE,"Pro Forma Income Statement";"acq2",#N/A,TRUE,"Acquirer";"tar2",#N/A,TRUE,"Target"}</definedName>
    <definedName name="wrn.27." localSheetId="0" hidden="1">{"cover",#N/A,TRUE,"Cover";"toc3",#N/A,TRUE,"TOC";"over",#N/A,TRUE,"Overview";"ts2",#N/A,TRUE,"Det_Trans_Sum";"ei2",#N/A,TRUE,"Earnings Impact";"ad2",#N/A,TRUE,"accretion dilution";"pfis2",#N/A,TRUE,"Pro Forma Income Statement";"acq2",#N/A,TRUE,"Acquirer";"tar2",#N/A,TRUE,"Target"}</definedName>
    <definedName name="wrn.27." hidden="1">{"cover",#N/A,TRUE,"Cover";"toc3",#N/A,TRUE,"TOC";"over",#N/A,TRUE,"Overview";"ts2",#N/A,TRUE,"Det_Trans_Sum";"ei2",#N/A,TRUE,"Earnings Impact";"ad2",#N/A,TRUE,"accretion dilution";"pfis2",#N/A,TRUE,"Pro Forma Income Statement";"acq2",#N/A,TRUE,"Acquirer";"tar2",#N/A,TRUE,"Target"}</definedName>
    <definedName name="wrn.2701all." localSheetId="3" hidden="1">{#N/A,#N/A,FALSE,"T&amp;E (2)";#N/A,#N/A,FALSE,"R&amp;E SUM";#N/A,#N/A,FALSE,"R&amp;E MONTH";#N/A,#N/A,FALSE,"R&amp;E YEAR";#N/A,#N/A,FALSE,"T&amp;E (1)";#N/A,#N/A,FALSE,"T&amp;E SUM"}</definedName>
    <definedName name="wrn.2701all." localSheetId="6" hidden="1">{#N/A,#N/A,FALSE,"T&amp;E (2)";#N/A,#N/A,FALSE,"R&amp;E SUM";#N/A,#N/A,FALSE,"R&amp;E MONTH";#N/A,#N/A,FALSE,"R&amp;E YEAR";#N/A,#N/A,FALSE,"T&amp;E (1)";#N/A,#N/A,FALSE,"T&amp;E SUM"}</definedName>
    <definedName name="wrn.2701all." localSheetId="9" hidden="1">{#N/A,#N/A,FALSE,"T&amp;E (2)";#N/A,#N/A,FALSE,"R&amp;E SUM";#N/A,#N/A,FALSE,"R&amp;E MONTH";#N/A,#N/A,FALSE,"R&amp;E YEAR";#N/A,#N/A,FALSE,"T&amp;E (1)";#N/A,#N/A,FALSE,"T&amp;E SUM"}</definedName>
    <definedName name="wrn.2701all." localSheetId="2" hidden="1">{#N/A,#N/A,FALSE,"T&amp;E (2)";#N/A,#N/A,FALSE,"R&amp;E SUM";#N/A,#N/A,FALSE,"R&amp;E MONTH";#N/A,#N/A,FALSE,"R&amp;E YEAR";#N/A,#N/A,FALSE,"T&amp;E (1)";#N/A,#N/A,FALSE,"T&amp;E SUM"}</definedName>
    <definedName name="wrn.2701all." localSheetId="4" hidden="1">{#N/A,#N/A,FALSE,"T&amp;E (2)";#N/A,#N/A,FALSE,"R&amp;E SUM";#N/A,#N/A,FALSE,"R&amp;E MONTH";#N/A,#N/A,FALSE,"R&amp;E YEAR";#N/A,#N/A,FALSE,"T&amp;E (1)";#N/A,#N/A,FALSE,"T&amp;E SUM"}</definedName>
    <definedName name="wrn.2701all." localSheetId="0" hidden="1">{#N/A,#N/A,FALSE,"T&amp;E (2)";#N/A,#N/A,FALSE,"R&amp;E SUM";#N/A,#N/A,FALSE,"R&amp;E MONTH";#N/A,#N/A,FALSE,"R&amp;E YEAR";#N/A,#N/A,FALSE,"T&amp;E (1)";#N/A,#N/A,FALSE,"T&amp;E SUM"}</definedName>
    <definedName name="wrn.2701all." hidden="1">{#N/A,#N/A,FALSE,"T&amp;E (2)";#N/A,#N/A,FALSE,"R&amp;E SUM";#N/A,#N/A,FALSE,"R&amp;E MONTH";#N/A,#N/A,FALSE,"R&amp;E YEAR";#N/A,#N/A,FALSE,"T&amp;E (1)";#N/A,#N/A,FALSE,"T&amp;E SUM"}</definedName>
    <definedName name="wrn.2703all." localSheetId="3" hidden="1">{#N/A,#N/A,FALSE,"R&amp;E SUM";#N/A,#N/A,FALSE,"R&amp;E MONTH";#N/A,#N/A,FALSE,"R&amp;E YEAR";#N/A,#N/A,FALSE,"SREV (1)";#N/A,#N/A,FALSE,"SREV(2)";#N/A,#N/A,FALSE,"SREV(3)";#N/A,#N/A,FALSE,"SREV(4)";#N/A,#N/A,FALSE,"OREV (1)";#N/A,#N/A,FALSE,"T&amp;E SUM";#N/A,#N/A,FALSE,"T&amp;E (1)"}</definedName>
    <definedName name="wrn.2703all." localSheetId="6" hidden="1">{#N/A,#N/A,FALSE,"R&amp;E SUM";#N/A,#N/A,FALSE,"R&amp;E MONTH";#N/A,#N/A,FALSE,"R&amp;E YEAR";#N/A,#N/A,FALSE,"SREV (1)";#N/A,#N/A,FALSE,"SREV(2)";#N/A,#N/A,FALSE,"SREV(3)";#N/A,#N/A,FALSE,"SREV(4)";#N/A,#N/A,FALSE,"OREV (1)";#N/A,#N/A,FALSE,"T&amp;E SUM";#N/A,#N/A,FALSE,"T&amp;E (1)"}</definedName>
    <definedName name="wrn.2703all." localSheetId="9" hidden="1">{#N/A,#N/A,FALSE,"R&amp;E SUM";#N/A,#N/A,FALSE,"R&amp;E MONTH";#N/A,#N/A,FALSE,"R&amp;E YEAR";#N/A,#N/A,FALSE,"SREV (1)";#N/A,#N/A,FALSE,"SREV(2)";#N/A,#N/A,FALSE,"SREV(3)";#N/A,#N/A,FALSE,"SREV(4)";#N/A,#N/A,FALSE,"OREV (1)";#N/A,#N/A,FALSE,"T&amp;E SUM";#N/A,#N/A,FALSE,"T&amp;E (1)"}</definedName>
    <definedName name="wrn.2703all." localSheetId="2" hidden="1">{#N/A,#N/A,FALSE,"R&amp;E SUM";#N/A,#N/A,FALSE,"R&amp;E MONTH";#N/A,#N/A,FALSE,"R&amp;E YEAR";#N/A,#N/A,FALSE,"SREV (1)";#N/A,#N/A,FALSE,"SREV(2)";#N/A,#N/A,FALSE,"SREV(3)";#N/A,#N/A,FALSE,"SREV(4)";#N/A,#N/A,FALSE,"OREV (1)";#N/A,#N/A,FALSE,"T&amp;E SUM";#N/A,#N/A,FALSE,"T&amp;E (1)"}</definedName>
    <definedName name="wrn.2703all." localSheetId="4" hidden="1">{#N/A,#N/A,FALSE,"R&amp;E SUM";#N/A,#N/A,FALSE,"R&amp;E MONTH";#N/A,#N/A,FALSE,"R&amp;E YEAR";#N/A,#N/A,FALSE,"SREV (1)";#N/A,#N/A,FALSE,"SREV(2)";#N/A,#N/A,FALSE,"SREV(3)";#N/A,#N/A,FALSE,"SREV(4)";#N/A,#N/A,FALSE,"OREV (1)";#N/A,#N/A,FALSE,"T&amp;E SUM";#N/A,#N/A,FALSE,"T&amp;E (1)"}</definedName>
    <definedName name="wrn.2703all." localSheetId="0" hidden="1">{#N/A,#N/A,FALSE,"R&amp;E SUM";#N/A,#N/A,FALSE,"R&amp;E MONTH";#N/A,#N/A,FALSE,"R&amp;E YEAR";#N/A,#N/A,FALSE,"SREV (1)";#N/A,#N/A,FALSE,"SREV(2)";#N/A,#N/A,FALSE,"SREV(3)";#N/A,#N/A,FALSE,"SREV(4)";#N/A,#N/A,FALSE,"OREV (1)";#N/A,#N/A,FALSE,"T&amp;E SUM";#N/A,#N/A,FALSE,"T&amp;E (1)"}</definedName>
    <definedName name="wrn.2703all." hidden="1">{#N/A,#N/A,FALSE,"R&amp;E SUM";#N/A,#N/A,FALSE,"R&amp;E MONTH";#N/A,#N/A,FALSE,"R&amp;E YEAR";#N/A,#N/A,FALSE,"SREV (1)";#N/A,#N/A,FALSE,"SREV(2)";#N/A,#N/A,FALSE,"SREV(3)";#N/A,#N/A,FALSE,"SREV(4)";#N/A,#N/A,FALSE,"OREV (1)";#N/A,#N/A,FALSE,"T&amp;E SUM";#N/A,#N/A,FALSE,"T&amp;E (1)"}</definedName>
    <definedName name="wrn.2705all." localSheetId="3" hidden="1">{#N/A,#N/A,FALSE,"R&amp;E SUM";#N/A,#N/A,FALSE,"R&amp;E MONTH";#N/A,#N/A,FALSE,"R&amp;E YEAR";#N/A,#N/A,FALSE,"OREV (1)";#N/A,#N/A,FALSE,"OREV (2)"}</definedName>
    <definedName name="wrn.2705all." localSheetId="6" hidden="1">{#N/A,#N/A,FALSE,"R&amp;E SUM";#N/A,#N/A,FALSE,"R&amp;E MONTH";#N/A,#N/A,FALSE,"R&amp;E YEAR";#N/A,#N/A,FALSE,"OREV (1)";#N/A,#N/A,FALSE,"OREV (2)"}</definedName>
    <definedName name="wrn.2705all." localSheetId="9" hidden="1">{#N/A,#N/A,FALSE,"R&amp;E SUM";#N/A,#N/A,FALSE,"R&amp;E MONTH";#N/A,#N/A,FALSE,"R&amp;E YEAR";#N/A,#N/A,FALSE,"OREV (1)";#N/A,#N/A,FALSE,"OREV (2)"}</definedName>
    <definedName name="wrn.2705all." localSheetId="2" hidden="1">{#N/A,#N/A,FALSE,"R&amp;E SUM";#N/A,#N/A,FALSE,"R&amp;E MONTH";#N/A,#N/A,FALSE,"R&amp;E YEAR";#N/A,#N/A,FALSE,"OREV (1)";#N/A,#N/A,FALSE,"OREV (2)"}</definedName>
    <definedName name="wrn.2705all." localSheetId="4" hidden="1">{#N/A,#N/A,FALSE,"R&amp;E SUM";#N/A,#N/A,FALSE,"R&amp;E MONTH";#N/A,#N/A,FALSE,"R&amp;E YEAR";#N/A,#N/A,FALSE,"OREV (1)";#N/A,#N/A,FALSE,"OREV (2)"}</definedName>
    <definedName name="wrn.2705all." localSheetId="0" hidden="1">{#N/A,#N/A,FALSE,"R&amp;E SUM";#N/A,#N/A,FALSE,"R&amp;E MONTH";#N/A,#N/A,FALSE,"R&amp;E YEAR";#N/A,#N/A,FALSE,"OREV (1)";#N/A,#N/A,FALSE,"OREV (2)"}</definedName>
    <definedName name="wrn.2705all." hidden="1">{#N/A,#N/A,FALSE,"R&amp;E SUM";#N/A,#N/A,FALSE,"R&amp;E MONTH";#N/A,#N/A,FALSE,"R&amp;E YEAR";#N/A,#N/A,FALSE,"OREV (1)";#N/A,#N/A,FALSE,"OREV (2)"}</definedName>
    <definedName name="wrn.2706all." localSheetId="3" hidden="1">{#N/A,#N/A,FALSE,"R&amp;E SUM";#N/A,#N/A,FALSE,"R&amp;E MONTH";#N/A,#N/A,FALSE,"R&amp;E YEAR";#N/A,#N/A,FALSE,"SREV (1)";#N/A,#N/A,FALSE,"OREV (1)"}</definedName>
    <definedName name="wrn.2706all." localSheetId="6" hidden="1">{#N/A,#N/A,FALSE,"R&amp;E SUM";#N/A,#N/A,FALSE,"R&amp;E MONTH";#N/A,#N/A,FALSE,"R&amp;E YEAR";#N/A,#N/A,FALSE,"SREV (1)";#N/A,#N/A,FALSE,"OREV (1)"}</definedName>
    <definedName name="wrn.2706all." localSheetId="9" hidden="1">{#N/A,#N/A,FALSE,"R&amp;E SUM";#N/A,#N/A,FALSE,"R&amp;E MONTH";#N/A,#N/A,FALSE,"R&amp;E YEAR";#N/A,#N/A,FALSE,"SREV (1)";#N/A,#N/A,FALSE,"OREV (1)"}</definedName>
    <definedName name="wrn.2706all." localSheetId="2" hidden="1">{#N/A,#N/A,FALSE,"R&amp;E SUM";#N/A,#N/A,FALSE,"R&amp;E MONTH";#N/A,#N/A,FALSE,"R&amp;E YEAR";#N/A,#N/A,FALSE,"SREV (1)";#N/A,#N/A,FALSE,"OREV (1)"}</definedName>
    <definedName name="wrn.2706all." localSheetId="4" hidden="1">{#N/A,#N/A,FALSE,"R&amp;E SUM";#N/A,#N/A,FALSE,"R&amp;E MONTH";#N/A,#N/A,FALSE,"R&amp;E YEAR";#N/A,#N/A,FALSE,"SREV (1)";#N/A,#N/A,FALSE,"OREV (1)"}</definedName>
    <definedName name="wrn.2706all." localSheetId="0" hidden="1">{#N/A,#N/A,FALSE,"R&amp;E SUM";#N/A,#N/A,FALSE,"R&amp;E MONTH";#N/A,#N/A,FALSE,"R&amp;E YEAR";#N/A,#N/A,FALSE,"SREV (1)";#N/A,#N/A,FALSE,"OREV (1)"}</definedName>
    <definedName name="wrn.2706all." hidden="1">{#N/A,#N/A,FALSE,"R&amp;E SUM";#N/A,#N/A,FALSE,"R&amp;E MONTH";#N/A,#N/A,FALSE,"R&amp;E YEAR";#N/A,#N/A,FALSE,"SREV (1)";#N/A,#N/A,FALSE,"OREV (1)"}</definedName>
    <definedName name="wrn.2707all." localSheetId="3" hidden="1">{#N/A,#N/A,FALSE,"R&amp;E SUM";#N/A,#N/A,FALSE,"R&amp;E MONTH";#N/A,#N/A,FALSE,"R&amp;E YEAR";#N/A,#N/A,FALSE,"SREV (1)";#N/A,#N/A,FALSE,"SREV(2)";#N/A,#N/A,FALSE,"OREV (1)";#N/A,#N/A,FALSE,"rent"}</definedName>
    <definedName name="wrn.2707all." localSheetId="6" hidden="1">{#N/A,#N/A,FALSE,"R&amp;E SUM";#N/A,#N/A,FALSE,"R&amp;E MONTH";#N/A,#N/A,FALSE,"R&amp;E YEAR";#N/A,#N/A,FALSE,"SREV (1)";#N/A,#N/A,FALSE,"SREV(2)";#N/A,#N/A,FALSE,"OREV (1)";#N/A,#N/A,FALSE,"rent"}</definedName>
    <definedName name="wrn.2707all." localSheetId="9" hidden="1">{#N/A,#N/A,FALSE,"R&amp;E SUM";#N/A,#N/A,FALSE,"R&amp;E MONTH";#N/A,#N/A,FALSE,"R&amp;E YEAR";#N/A,#N/A,FALSE,"SREV (1)";#N/A,#N/A,FALSE,"SREV(2)";#N/A,#N/A,FALSE,"OREV (1)";#N/A,#N/A,FALSE,"rent"}</definedName>
    <definedName name="wrn.2707all." localSheetId="2" hidden="1">{#N/A,#N/A,FALSE,"R&amp;E SUM";#N/A,#N/A,FALSE,"R&amp;E MONTH";#N/A,#N/A,FALSE,"R&amp;E YEAR";#N/A,#N/A,FALSE,"SREV (1)";#N/A,#N/A,FALSE,"SREV(2)";#N/A,#N/A,FALSE,"OREV (1)";#N/A,#N/A,FALSE,"rent"}</definedName>
    <definedName name="wrn.2707all." localSheetId="4" hidden="1">{#N/A,#N/A,FALSE,"R&amp;E SUM";#N/A,#N/A,FALSE,"R&amp;E MONTH";#N/A,#N/A,FALSE,"R&amp;E YEAR";#N/A,#N/A,FALSE,"SREV (1)";#N/A,#N/A,FALSE,"SREV(2)";#N/A,#N/A,FALSE,"OREV (1)";#N/A,#N/A,FALSE,"rent"}</definedName>
    <definedName name="wrn.2707all." localSheetId="0" hidden="1">{#N/A,#N/A,FALSE,"R&amp;E SUM";#N/A,#N/A,FALSE,"R&amp;E MONTH";#N/A,#N/A,FALSE,"R&amp;E YEAR";#N/A,#N/A,FALSE,"SREV (1)";#N/A,#N/A,FALSE,"SREV(2)";#N/A,#N/A,FALSE,"OREV (1)";#N/A,#N/A,FALSE,"rent"}</definedName>
    <definedName name="wrn.2707all." hidden="1">{#N/A,#N/A,FALSE,"R&amp;E SUM";#N/A,#N/A,FALSE,"R&amp;E MONTH";#N/A,#N/A,FALSE,"R&amp;E YEAR";#N/A,#N/A,FALSE,"SREV (1)";#N/A,#N/A,FALSE,"SREV(2)";#N/A,#N/A,FALSE,"OREV (1)";#N/A,#N/A,FALSE,"rent"}</definedName>
    <definedName name="wrn.2711all." localSheetId="3" hidden="1">{#N/A,#N/A,FALSE,"R&amp;E SUM";#N/A,#N/A,FALSE,"R&amp;E MONTH";#N/A,#N/A,FALSE,"R&amp;E YEAR";#N/A,#N/A,FALSE,"OREV (1)";#N/A,#N/A,FALSE,"OREV (2)"}</definedName>
    <definedName name="wrn.2711all." localSheetId="6" hidden="1">{#N/A,#N/A,FALSE,"R&amp;E SUM";#N/A,#N/A,FALSE,"R&amp;E MONTH";#N/A,#N/A,FALSE,"R&amp;E YEAR";#N/A,#N/A,FALSE,"OREV (1)";#N/A,#N/A,FALSE,"OREV (2)"}</definedName>
    <definedName name="wrn.2711all." localSheetId="9" hidden="1">{#N/A,#N/A,FALSE,"R&amp;E SUM";#N/A,#N/A,FALSE,"R&amp;E MONTH";#N/A,#N/A,FALSE,"R&amp;E YEAR";#N/A,#N/A,FALSE,"OREV (1)";#N/A,#N/A,FALSE,"OREV (2)"}</definedName>
    <definedName name="wrn.2711all." localSheetId="2" hidden="1">{#N/A,#N/A,FALSE,"R&amp;E SUM";#N/A,#N/A,FALSE,"R&amp;E MONTH";#N/A,#N/A,FALSE,"R&amp;E YEAR";#N/A,#N/A,FALSE,"OREV (1)";#N/A,#N/A,FALSE,"OREV (2)"}</definedName>
    <definedName name="wrn.2711all." localSheetId="4" hidden="1">{#N/A,#N/A,FALSE,"R&amp;E SUM";#N/A,#N/A,FALSE,"R&amp;E MONTH";#N/A,#N/A,FALSE,"R&amp;E YEAR";#N/A,#N/A,FALSE,"OREV (1)";#N/A,#N/A,FALSE,"OREV (2)"}</definedName>
    <definedName name="wrn.2711all." localSheetId="0" hidden="1">{#N/A,#N/A,FALSE,"R&amp;E SUM";#N/A,#N/A,FALSE,"R&amp;E MONTH";#N/A,#N/A,FALSE,"R&amp;E YEAR";#N/A,#N/A,FALSE,"OREV (1)";#N/A,#N/A,FALSE,"OREV (2)"}</definedName>
    <definedName name="wrn.2711all." hidden="1">{#N/A,#N/A,FALSE,"R&amp;E SUM";#N/A,#N/A,FALSE,"R&amp;E MONTH";#N/A,#N/A,FALSE,"R&amp;E YEAR";#N/A,#N/A,FALSE,"OREV (1)";#N/A,#N/A,FALSE,"OREV (2)"}</definedName>
    <definedName name="wrn.28." localSheetId="3" hidden="1">{"cover",#N/A,TRUE,"Cover";"toc3",#N/A,TRUE,"TOC";"over",#N/A,TRUE,"Overview";"ts2",#N/A,TRUE,"Det_Trans_Sum";"ei3",#N/A,TRUE,"Earnings Impact";"ad3",#N/A,TRUE,"accretion dilution";"pfis3",#N/A,TRUE,"Pro Forma Income Statement";"acq3",#N/A,TRUE,"Acquirer";"tar3",#N/A,TRUE,"Target"}</definedName>
    <definedName name="wrn.28." localSheetId="9" hidden="1">{"cover",#N/A,TRUE,"Cover";"toc3",#N/A,TRUE,"TOC";"over",#N/A,TRUE,"Overview";"ts2",#N/A,TRUE,"Det_Trans_Sum";"ei3",#N/A,TRUE,"Earnings Impact";"ad3",#N/A,TRUE,"accretion dilution";"pfis3",#N/A,TRUE,"Pro Forma Income Statement";"acq3",#N/A,TRUE,"Acquirer";"tar3",#N/A,TRUE,"Target"}</definedName>
    <definedName name="wrn.28." localSheetId="2" hidden="1">{"cover",#N/A,TRUE,"Cover";"toc3",#N/A,TRUE,"TOC";"over",#N/A,TRUE,"Overview";"ts2",#N/A,TRUE,"Det_Trans_Sum";"ei3",#N/A,TRUE,"Earnings Impact";"ad3",#N/A,TRUE,"accretion dilution";"pfis3",#N/A,TRUE,"Pro Forma Income Statement";"acq3",#N/A,TRUE,"Acquirer";"tar3",#N/A,TRUE,"Target"}</definedName>
    <definedName name="wrn.28." localSheetId="4" hidden="1">{"cover",#N/A,TRUE,"Cover";"toc3",#N/A,TRUE,"TOC";"over",#N/A,TRUE,"Overview";"ts2",#N/A,TRUE,"Det_Trans_Sum";"ei3",#N/A,TRUE,"Earnings Impact";"ad3",#N/A,TRUE,"accretion dilution";"pfis3",#N/A,TRUE,"Pro Forma Income Statement";"acq3",#N/A,TRUE,"Acquirer";"tar3",#N/A,TRUE,"Target"}</definedName>
    <definedName name="wrn.28." localSheetId="0" hidden="1">{"cover",#N/A,TRUE,"Cover";"toc3",#N/A,TRUE,"TOC";"over",#N/A,TRUE,"Overview";"ts2",#N/A,TRUE,"Det_Trans_Sum";"ei3",#N/A,TRUE,"Earnings Impact";"ad3",#N/A,TRUE,"accretion dilution";"pfis3",#N/A,TRUE,"Pro Forma Income Statement";"acq3",#N/A,TRUE,"Acquirer";"tar3",#N/A,TRUE,"Target"}</definedName>
    <definedName name="wrn.28." hidden="1">{"cover",#N/A,TRUE,"Cover";"toc3",#N/A,TRUE,"TOC";"over",#N/A,TRUE,"Overview";"ts2",#N/A,TRUE,"Det_Trans_Sum";"ei3",#N/A,TRUE,"Earnings Impact";"ad3",#N/A,TRUE,"accretion dilution";"pfis3",#N/A,TRUE,"Pro Forma Income Statement";"acq3",#N/A,TRUE,"Acquirer";"tar3",#N/A,TRUE,"Target"}</definedName>
    <definedName name="wrn.29." localSheetId="3"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2"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4"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0"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localSheetId="3" hidden="1">{"cover",#N/A,TRUE,"Cover";"toc1",#N/A,TRUE,"TOC";"ts1",#N/A,TRUE,"Transaction Summary";"ei2",#N/A,TRUE,"Earnings Impact";"ad2",#N/A,TRUE,"accretion dilution"}</definedName>
    <definedName name="wrn.3." localSheetId="9" hidden="1">{"cover",#N/A,TRUE,"Cover";"toc1",#N/A,TRUE,"TOC";"ts1",#N/A,TRUE,"Transaction Summary";"ei2",#N/A,TRUE,"Earnings Impact";"ad2",#N/A,TRUE,"accretion dilution"}</definedName>
    <definedName name="wrn.3." localSheetId="2" hidden="1">{"cover",#N/A,TRUE,"Cover";"toc1",#N/A,TRUE,"TOC";"ts1",#N/A,TRUE,"Transaction Summary";"ei2",#N/A,TRUE,"Earnings Impact";"ad2",#N/A,TRUE,"accretion dilution"}</definedName>
    <definedName name="wrn.3." localSheetId="4" hidden="1">{"cover",#N/A,TRUE,"Cover";"toc1",#N/A,TRUE,"TOC";"ts1",#N/A,TRUE,"Transaction Summary";"ei2",#N/A,TRUE,"Earnings Impact";"ad2",#N/A,TRUE,"accretion dilution"}</definedName>
    <definedName name="wrn.3." localSheetId="0" hidden="1">{"cover",#N/A,TRUE,"Cover";"toc1",#N/A,TRUE,"TOC";"ts1",#N/A,TRUE,"Transaction Summary";"ei2",#N/A,TRUE,"Earnings Impact";"ad2",#N/A,TRUE,"accretion dilution"}</definedName>
    <definedName name="wrn.3." hidden="1">{"cover",#N/A,TRUE,"Cover";"toc1",#N/A,TRUE,"TOC";"ts1",#N/A,TRUE,"Transaction Summary";"ei2",#N/A,TRUE,"Earnings Impact";"ad2",#N/A,TRUE,"accretion dilution"}</definedName>
    <definedName name="wrn.3._.Year._.Model._.Investor." localSheetId="0" hidden="1">{#N/A,#N/A,FALSE,"Assumptions";"Investor Year 1",#N/A,FALSE,"Investor";"Investor Year 2",#N/A,FALSE,"Investor";"Investor Year 3",#N/A,FALSE,"Investor";"Investor 3 Year Total",#N/A,FALSE,"Investor"}</definedName>
    <definedName name="wrn.3._.Year._.Model._.Investor." hidden="1">{#N/A,#N/A,FALSE,"Assumptions";"Investor Year 1",#N/A,FALSE,"Investor";"Investor Year 2",#N/A,FALSE,"Investor";"Investor Year 3",#N/A,FALSE,"Investor";"Investor 3 Year Total",#N/A,FALSE,"Investor"}</definedName>
    <definedName name="wrn.3._.Year._.Model._.Summary." localSheetId="0" hidden="1">{#N/A,#N/A,TRUE,"Assumptions";"Summary Year 1",#N/A,TRUE,"Summary";"Summary Year 2",#N/A,TRUE,"Summary";"Summary Year 3",#N/A,TRUE,"Summary";"Summary 3 Year Total",#N/A,TRUE,"Summary"}</definedName>
    <definedName name="wrn.3._.Year._.Model._.Summary." hidden="1">{#N/A,#N/A,TRUE,"Assumptions";"Summary Year 1",#N/A,TRUE,"Summary";"Summary Year 2",#N/A,TRUE,"Summary";"Summary Year 3",#N/A,TRUE,"Summary";"Summary 3 Year Total",#N/A,TRUE,"Summary"}</definedName>
    <definedName name="wrn.30." localSheetId="3"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9"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2"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4"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localSheetId="3"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9"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2"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4"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0"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localSheetId="3"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9"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4"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0"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localSheetId="3" hidden="1">{"cover",#N/A,TRUE,"Cover";"toc5",#N/A,TRUE,"TOC";"over",#N/A,TRUE,"Overview";"ts2",#N/A,TRUE,"Det_Trans_Sum";"ei",#N/A,TRUE,"Earnings Impact";"ad",#N/A,TRUE,"accretion dilution";"pfis",#N/A,TRUE,"Pro Forma Income Statement";"ca",#N/A,TRUE,"Contribution_Analysis";"acq",#N/A,TRUE,"Acquirer";"tar",#N/A,TRUE,"Target"}</definedName>
    <definedName name="wrn.33." localSheetId="9" hidden="1">{"cover",#N/A,TRUE,"Cover";"toc5",#N/A,TRUE,"TOC";"over",#N/A,TRUE,"Overview";"ts2",#N/A,TRUE,"Det_Trans_Sum";"ei",#N/A,TRUE,"Earnings Impact";"ad",#N/A,TRUE,"accretion dilution";"pfis",#N/A,TRUE,"Pro Forma Income Statement";"ca",#N/A,TRUE,"Contribution_Analysis";"acq",#N/A,TRUE,"Acquirer";"tar",#N/A,TRUE,"Target"}</definedName>
    <definedName name="wrn.33." localSheetId="2" hidden="1">{"cover",#N/A,TRUE,"Cover";"toc5",#N/A,TRUE,"TOC";"over",#N/A,TRUE,"Overview";"ts2",#N/A,TRUE,"Det_Trans_Sum";"ei",#N/A,TRUE,"Earnings Impact";"ad",#N/A,TRUE,"accretion dilution";"pfis",#N/A,TRUE,"Pro Forma Income Statement";"ca",#N/A,TRUE,"Contribution_Analysis";"acq",#N/A,TRUE,"Acquirer";"tar",#N/A,TRUE,"Target"}</definedName>
    <definedName name="wrn.33." localSheetId="4" hidden="1">{"cover",#N/A,TRUE,"Cover";"toc5",#N/A,TRUE,"TOC";"over",#N/A,TRUE,"Overview";"ts2",#N/A,TRUE,"Det_Trans_Sum";"ei",#N/A,TRUE,"Earnings Impact";"ad",#N/A,TRUE,"accretion dilution";"pfis",#N/A,TRUE,"Pro Forma Income Statement";"ca",#N/A,TRUE,"Contribution_Analysis";"acq",#N/A,TRUE,"Acquirer";"tar",#N/A,TRUE,"Target"}</definedName>
    <definedName name="wrn.33." localSheetId="0" hidden="1">{"cover",#N/A,TRUE,"Cover";"toc5",#N/A,TRUE,"TOC";"over",#N/A,TRUE,"Overview";"ts2",#N/A,TRUE,"Det_Trans_Sum";"ei",#N/A,TRUE,"Earnings Impact";"ad",#N/A,TRUE,"accretion dilution";"pfis",#N/A,TRUE,"Pro Forma Income Statement";"ca",#N/A,TRUE,"Contribution_Analysis";"acq",#N/A,TRUE,"Acquirer";"tar",#N/A,TRUE,"Target"}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localSheetId="3" hidden="1">{"cover",#N/A,TRUE,"Cover";"toc5",#N/A,TRUE,"TOC";"over",#N/A,TRUE,"Overview";"ts2",#N/A,TRUE,"Det_Trans_Sum";"ei1",#N/A,TRUE,"Earnings Impact";"ad1",#N/A,TRUE,"accretion dilution";"pfis1",#N/A,TRUE,"Pro Forma Income Statement";"ca1",#N/A,TRUE,"Contribution_Analysis";"acq1",#N/A,TRUE,"Acquirer";"tar1",#N/A,TRUE,"Target"}</definedName>
    <definedName name="wrn.34." localSheetId="9" hidden="1">{"cover",#N/A,TRUE,"Cover";"toc5",#N/A,TRUE,"TOC";"over",#N/A,TRUE,"Overview";"ts2",#N/A,TRUE,"Det_Trans_Sum";"ei1",#N/A,TRUE,"Earnings Impact";"ad1",#N/A,TRUE,"accretion dilution";"pfis1",#N/A,TRUE,"Pro Forma Income Statement";"ca1",#N/A,TRUE,"Contribution_Analysis";"acq1",#N/A,TRUE,"Acquirer";"tar1",#N/A,TRUE,"Target"}</definedName>
    <definedName name="wrn.34." localSheetId="2" hidden="1">{"cover",#N/A,TRUE,"Cover";"toc5",#N/A,TRUE,"TOC";"over",#N/A,TRUE,"Overview";"ts2",#N/A,TRUE,"Det_Trans_Sum";"ei1",#N/A,TRUE,"Earnings Impact";"ad1",#N/A,TRUE,"accretion dilution";"pfis1",#N/A,TRUE,"Pro Forma Income Statement";"ca1",#N/A,TRUE,"Contribution_Analysis";"acq1",#N/A,TRUE,"Acquirer";"tar1",#N/A,TRUE,"Target"}</definedName>
    <definedName name="wrn.34." localSheetId="4" hidden="1">{"cover",#N/A,TRUE,"Cover";"toc5",#N/A,TRUE,"TOC";"over",#N/A,TRUE,"Overview";"ts2",#N/A,TRUE,"Det_Trans_Sum";"ei1",#N/A,TRUE,"Earnings Impact";"ad1",#N/A,TRUE,"accretion dilution";"pfis1",#N/A,TRUE,"Pro Forma Income Statement";"ca1",#N/A,TRUE,"Contribution_Analysis";"acq1",#N/A,TRUE,"Acquirer";"tar1",#N/A,TRUE,"Target"}</definedName>
    <definedName name="wrn.34." localSheetId="0" hidden="1">{"cover",#N/A,TRUE,"Cover";"toc5",#N/A,TRUE,"TOC";"over",#N/A,TRUE,"Overview";"ts2",#N/A,TRUE,"Det_Trans_Sum";"ei1",#N/A,TRUE,"Earnings Impact";"ad1",#N/A,TRUE,"accretion dilution";"pfis1",#N/A,TRUE,"Pro Forma Income Statement";"ca1",#N/A,TRUE,"Contribution_Analysis";"acq1",#N/A,TRUE,"Acquirer";"tar1",#N/A,TRUE,"Target"}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localSheetId="3" hidden="1">{"cover",#N/A,TRUE,"Cover";"toc5",#N/A,TRUE,"TOC";"over",#N/A,TRUE,"Overview";"ts2",#N/A,TRUE,"Det_Trans_Sum";"ei2",#N/A,TRUE,"Earnings Impact";"ad2",#N/A,TRUE,"accretion dilution";"pfis2",#N/A,TRUE,"Pro Forma Income Statement";"ca2",#N/A,TRUE,"Contribution_Analysis";"acq2",#N/A,TRUE,"Acquirer";"tar2",#N/A,TRUE,"Target"}</definedName>
    <definedName name="wrn.35." localSheetId="9" hidden="1">{"cover",#N/A,TRUE,"Cover";"toc5",#N/A,TRUE,"TOC";"over",#N/A,TRUE,"Overview";"ts2",#N/A,TRUE,"Det_Trans_Sum";"ei2",#N/A,TRUE,"Earnings Impact";"ad2",#N/A,TRUE,"accretion dilution";"pfis2",#N/A,TRUE,"Pro Forma Income Statement";"ca2",#N/A,TRUE,"Contribution_Analysis";"acq2",#N/A,TRUE,"Acquirer";"tar2",#N/A,TRUE,"Target"}</definedName>
    <definedName name="wrn.35." localSheetId="2" hidden="1">{"cover",#N/A,TRUE,"Cover";"toc5",#N/A,TRUE,"TOC";"over",#N/A,TRUE,"Overview";"ts2",#N/A,TRUE,"Det_Trans_Sum";"ei2",#N/A,TRUE,"Earnings Impact";"ad2",#N/A,TRUE,"accretion dilution";"pfis2",#N/A,TRUE,"Pro Forma Income Statement";"ca2",#N/A,TRUE,"Contribution_Analysis";"acq2",#N/A,TRUE,"Acquirer";"tar2",#N/A,TRUE,"Target"}</definedName>
    <definedName name="wrn.35." localSheetId="4" hidden="1">{"cover",#N/A,TRUE,"Cover";"toc5",#N/A,TRUE,"TOC";"over",#N/A,TRUE,"Overview";"ts2",#N/A,TRUE,"Det_Trans_Sum";"ei2",#N/A,TRUE,"Earnings Impact";"ad2",#N/A,TRUE,"accretion dilution";"pfis2",#N/A,TRUE,"Pro Forma Income Statement";"ca2",#N/A,TRUE,"Contribution_Analysis";"acq2",#N/A,TRUE,"Acquirer";"tar2",#N/A,TRUE,"Target"}</definedName>
    <definedName name="wrn.35." localSheetId="0" hidden="1">{"cover",#N/A,TRUE,"Cover";"toc5",#N/A,TRUE,"TOC";"over",#N/A,TRUE,"Overview";"ts2",#N/A,TRUE,"Det_Trans_Sum";"ei2",#N/A,TRUE,"Earnings Impact";"ad2",#N/A,TRUE,"accretion dilution";"pfis2",#N/A,TRUE,"Pro Forma Income Statement";"ca2",#N/A,TRUE,"Contribution_Analysis";"acq2",#N/A,TRUE,"Acquirer";"tar2",#N/A,TRUE,"Target"}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localSheetId="3" hidden="1">{"cover",#N/A,TRUE,"Cover";"toc5",#N/A,TRUE,"TOC";"over",#N/A,TRUE,"Overview";"ts2",#N/A,TRUE,"Det_Trans_Sum";"ei3",#N/A,TRUE,"Earnings Impact";"ad3",#N/A,TRUE,"accretion dilution";"pfis3",#N/A,TRUE,"Pro Forma Income Statement";"ca3",#N/A,TRUE,"Contribution_Analysis";"acq3",#N/A,TRUE,"Acquirer";"tar3",#N/A,TRUE,"Target"}</definedName>
    <definedName name="wrn.36." localSheetId="9" hidden="1">{"cover",#N/A,TRUE,"Cover";"toc5",#N/A,TRUE,"TOC";"over",#N/A,TRUE,"Overview";"ts2",#N/A,TRUE,"Det_Trans_Sum";"ei3",#N/A,TRUE,"Earnings Impact";"ad3",#N/A,TRUE,"accretion dilution";"pfis3",#N/A,TRUE,"Pro Forma Income Statement";"ca3",#N/A,TRUE,"Contribution_Analysis";"acq3",#N/A,TRUE,"Acquirer";"tar3",#N/A,TRUE,"Target"}</definedName>
    <definedName name="wrn.36." localSheetId="2" hidden="1">{"cover",#N/A,TRUE,"Cover";"toc5",#N/A,TRUE,"TOC";"over",#N/A,TRUE,"Overview";"ts2",#N/A,TRUE,"Det_Trans_Sum";"ei3",#N/A,TRUE,"Earnings Impact";"ad3",#N/A,TRUE,"accretion dilution";"pfis3",#N/A,TRUE,"Pro Forma Income Statement";"ca3",#N/A,TRUE,"Contribution_Analysis";"acq3",#N/A,TRUE,"Acquirer";"tar3",#N/A,TRUE,"Target"}</definedName>
    <definedName name="wrn.36." localSheetId="4" hidden="1">{"cover",#N/A,TRUE,"Cover";"toc5",#N/A,TRUE,"TOC";"over",#N/A,TRUE,"Overview";"ts2",#N/A,TRUE,"Det_Trans_Sum";"ei3",#N/A,TRUE,"Earnings Impact";"ad3",#N/A,TRUE,"accretion dilution";"pfis3",#N/A,TRUE,"Pro Forma Income Statement";"ca3",#N/A,TRUE,"Contribution_Analysis";"acq3",#N/A,TRUE,"Acquirer";"tar3",#N/A,TRUE,"Target"}</definedName>
    <definedName name="wrn.36." localSheetId="0" hidden="1">{"cover",#N/A,TRUE,"Cover";"toc5",#N/A,TRUE,"TOC";"over",#N/A,TRUE,"Overview";"ts2",#N/A,TRUE,"Det_Trans_Sum";"ei3",#N/A,TRUE,"Earnings Impact";"ad3",#N/A,TRUE,"accretion dilution";"pfis3",#N/A,TRUE,"Pro Forma Income Statement";"ca3",#N/A,TRUE,"Contribution_Analysis";"acq3",#N/A,TRUE,"Acquirer";"tar3",#N/A,TRUE,"Target"}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localSheetId="3"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9"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2"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4"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0" hidden="1">{"cover",#N/A,TRUE,"Cover";"toc6",#N/A,TRUE,"TOC";"over",#N/A,TRUE,"Overview";"ts2",#N/A,TRUE,"Det_Trans_Sum";"ei",#N/A,TRUE,"Earnings Impact";"ad",#N/A,TRUE,"accretion dilution";"hg",#N/A,TRUE,"Has-Gets";"pfis",#N/A,TRUE,"Pro Forma Income Statement";"ca",#N/A,TRUE,"Contribution_Analysis";"acq",#N/A,TRUE,"Acquirer";"tar",#N/A,TRUE,"Target"}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localSheetId="3"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9"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2"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4"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0" hidden="1">{"cover",#N/A,TRUE,"Cover";"toc6",#N/A,TRUE,"TOC";"over",#N/A,TRUE,"Overview";"ts2",#N/A,TRUE,"Det_Trans_Sum";"ei1",#N/A,TRUE,"Earnings Impact";"ad1",#N/A,TRUE,"accretion dilution";"hg1",#N/A,TRUE,"Has-Gets";"pfis1",#N/A,TRUE,"Pro Forma Income Statement";"ca1",#N/A,TRUE,"Contribution_Analysis";"acq1",#N/A,TRUE,"Acquirer";"tar1",#N/A,TRUE,"Target"}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localSheetId="3"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9"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2"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4"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0" hidden="1">{"cover",#N/A,TRUE,"Cover";"toc6",#N/A,TRUE,"TOC";"over",#N/A,TRUE,"Overview";"ts2",#N/A,TRUE,"Det_Trans_Sum";"ei2",#N/A,TRUE,"Earnings Impact";"ad2",#N/A,TRUE,"accretion dilution";"hg2",#N/A,TRUE,"Has-Gets";"pfis2",#N/A,TRUE,"Pro Forma Income Statement";"ca2",#N/A,TRUE,"Contribution_Analysis";"acq2",#N/A,TRUE,"Acquirer";"tar2",#N/A,TRUE,"Target"}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yr.CF." localSheetId="3" hidden="1">{"assume",#N/A,FALSE,"K&amp;20th Month CF";"MoCF",#N/A,FALSE,"K&amp;20th Month CF";"AnCF",#N/A,FALSE,"K&amp;20th Month CF"}</definedName>
    <definedName name="wrn.3yr.CF." localSheetId="6" hidden="1">{"assume",#N/A,FALSE,"K&amp;20th Month CF";"MoCF",#N/A,FALSE,"K&amp;20th Month CF";"AnCF",#N/A,FALSE,"K&amp;20th Month CF"}</definedName>
    <definedName name="wrn.3yr.CF." localSheetId="9" hidden="1">{"assume",#N/A,FALSE,"K&amp;20th Month CF";"MoCF",#N/A,FALSE,"K&amp;20th Month CF";"AnCF",#N/A,FALSE,"K&amp;20th Month CF"}</definedName>
    <definedName name="wrn.3yr.CF." localSheetId="2" hidden="1">{"assume",#N/A,FALSE,"K&amp;20th Month CF";"MoCF",#N/A,FALSE,"K&amp;20th Month CF";"AnCF",#N/A,FALSE,"K&amp;20th Month CF"}</definedName>
    <definedName name="wrn.3yr.CF." localSheetId="4" hidden="1">{"assume",#N/A,FALSE,"K&amp;20th Month CF";"MoCF",#N/A,FALSE,"K&amp;20th Month CF";"AnCF",#N/A,FALSE,"K&amp;20th Month CF"}</definedName>
    <definedName name="wrn.3yr.CF." localSheetId="0" hidden="1">{"assume",#N/A,FALSE,"K&amp;20th Month CF";"MoCF",#N/A,FALSE,"K&amp;20th Month CF";"AnCF",#N/A,FALSE,"K&amp;20th Month CF"}</definedName>
    <definedName name="wrn.3yr.CF." hidden="1">{"assume",#N/A,FALSE,"K&amp;20th Month CF";"MoCF",#N/A,FALSE,"K&amp;20th Month CF";"AnCF",#N/A,FALSE,"K&amp;20th Month CF"}</definedName>
    <definedName name="wrn.4." localSheetId="3" hidden="1">{"toc1",#N/A,FALSE,"TOC";"cover",#N/A,FALSE,"Cover";"ts1",#N/A,FALSE,"Transaction Summary";"ei3",#N/A,FALSE,"Earnings Impact";"ad3",#N/A,FALSE,"accretion dilution"}</definedName>
    <definedName name="wrn.4." localSheetId="9" hidden="1">{"toc1",#N/A,FALSE,"TOC";"cover",#N/A,FALSE,"Cover";"ts1",#N/A,FALSE,"Transaction Summary";"ei3",#N/A,FALSE,"Earnings Impact";"ad3",#N/A,FALSE,"accretion dilution"}</definedName>
    <definedName name="wrn.4." localSheetId="2" hidden="1">{"toc1",#N/A,FALSE,"TOC";"cover",#N/A,FALSE,"Cover";"ts1",#N/A,FALSE,"Transaction Summary";"ei3",#N/A,FALSE,"Earnings Impact";"ad3",#N/A,FALSE,"accretion dilution"}</definedName>
    <definedName name="wrn.4." localSheetId="4" hidden="1">{"toc1",#N/A,FALSE,"TOC";"cover",#N/A,FALSE,"Cover";"ts1",#N/A,FALSE,"Transaction Summary";"ei3",#N/A,FALSE,"Earnings Impact";"ad3",#N/A,FALSE,"accretion dilution"}</definedName>
    <definedName name="wrn.4." localSheetId="0" hidden="1">{"toc1",#N/A,FALSE,"TOC";"cover",#N/A,FALSE,"Cover";"ts1",#N/A,FALSE,"Transaction Summary";"ei3",#N/A,FALSE,"Earnings Impact";"ad3",#N/A,FALSE,"accretion dilution"}</definedName>
    <definedName name="wrn.4." hidden="1">{"toc1",#N/A,FALSE,"TOC";"cover",#N/A,FALSE,"Cover";"ts1",#N/A,FALSE,"Transaction Summary";"ei3",#N/A,FALSE,"Earnings Impact";"ad3",#N/A,FALSE,"accretion dilution"}</definedName>
    <definedName name="wrn.4._.Year._.Model._.Investor." localSheetId="0" hidden="1">{#N/A,#N/A,FALSE,"Assumptions";"Investor Year 1",#N/A,FALSE,"Investor";"Investor Year 2",#N/A,FALSE,"Investor";"Investor Year 3",#N/A,FALSE,"Investor";"Investor Year 4",#N/A,FALSE,"Investor";"Investor 4 Year Total",#N/A,FALSE,"Investor"}</definedName>
    <definedName name="wrn.4._.Year._.Model._.Investor." hidden="1">{#N/A,#N/A,FALSE,"Assumptions";"Investor Year 1",#N/A,FALSE,"Investor";"Investor Year 2",#N/A,FALSE,"Investor";"Investor Year 3",#N/A,FALSE,"Investor";"Investor Year 4",#N/A,FALSE,"Investor";"Investor 4 Year Total",#N/A,FALSE,"Investor"}</definedName>
    <definedName name="wrn.4._.Year._.Model._.Summary." localSheetId="0" hidden="1">{#N/A,#N/A,TRUE,"Assumptions";"Summary Year 1",#N/A,TRUE,"Summary";"Summary Year 2",#N/A,TRUE,"Summary";"Summary Year 3",#N/A,TRUE,"Summary";"Summary Year 4",#N/A,TRUE,"Summary";"Summary 4 Year Total",#N/A,TRUE,"Summary"}</definedName>
    <definedName name="wrn.4._.Year._.Model._.Summary." hidden="1">{#N/A,#N/A,TRUE,"Assumptions";"Summary Year 1",#N/A,TRUE,"Summary";"Summary Year 2",#N/A,TRUE,"Summary";"Summary Year 3",#N/A,TRUE,"Summary";"Summary Year 4",#N/A,TRUE,"Summary";"Summary 4 Year Total",#N/A,TRUE,"Summary"}</definedName>
    <definedName name="wrn.40." localSheetId="3"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9"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2"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4"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0" hidden="1">{"cover",#N/A,TRUE,"Cover";"toc6",#N/A,TRUE,"TOC";"over",#N/A,TRUE,"Overview";"ts2",#N/A,TRUE,"Det_Trans_Sum";"ei3",#N/A,TRUE,"Earnings Impact";"ad3",#N/A,TRUE,"accretion dilution";"hg3",#N/A,TRUE,"Has-Gets";"pfis3",#N/A,TRUE,"Pro Forma Income Statement";"ca3",#N/A,TRUE,"Contribution_Analysis";"acq3",#N/A,TRUE,"Acquirer";"tar3",#N/A,TRUE,"Target"}</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localSheetId="3" hidden="1">{"cover",#N/A,TRUE,"Cover";"toc7",#N/A,TRUE,"TOC";"over",#N/A,TRUE,"Overview";"ts2",#N/A,TRUE,"Det_Trans_Sum";"eic",#N/A,TRUE,"Earnings Impact";"ad",#N/A,TRUE,"accretion dilution";"pfis",#N/A,TRUE,"Pro Forma Income Statement";"profba",#N/A,TRUE,"Pro Forma Balance Sheet";"acqc",#N/A,TRUE,"Acquirer";"tarc",#N/A,TRUE,"Target"}</definedName>
    <definedName name="wrn.41." localSheetId="9" hidden="1">{"cover",#N/A,TRUE,"Cover";"toc7",#N/A,TRUE,"TOC";"over",#N/A,TRUE,"Overview";"ts2",#N/A,TRUE,"Det_Trans_Sum";"eic",#N/A,TRUE,"Earnings Impact";"ad",#N/A,TRUE,"accretion dilution";"pfis",#N/A,TRUE,"Pro Forma Income Statement";"profba",#N/A,TRUE,"Pro Forma Balance Sheet";"acqc",#N/A,TRUE,"Acquirer";"tarc",#N/A,TRUE,"Target"}</definedName>
    <definedName name="wrn.41." localSheetId="2" hidden="1">{"cover",#N/A,TRUE,"Cover";"toc7",#N/A,TRUE,"TOC";"over",#N/A,TRUE,"Overview";"ts2",#N/A,TRUE,"Det_Trans_Sum";"eic",#N/A,TRUE,"Earnings Impact";"ad",#N/A,TRUE,"accretion dilution";"pfis",#N/A,TRUE,"Pro Forma Income Statement";"profba",#N/A,TRUE,"Pro Forma Balance Sheet";"acqc",#N/A,TRUE,"Acquirer";"tarc",#N/A,TRUE,"Target"}</definedName>
    <definedName name="wrn.41." localSheetId="4" hidden="1">{"cover",#N/A,TRUE,"Cover";"toc7",#N/A,TRUE,"TOC";"over",#N/A,TRUE,"Overview";"ts2",#N/A,TRUE,"Det_Trans_Sum";"eic",#N/A,TRUE,"Earnings Impact";"ad",#N/A,TRUE,"accretion dilution";"pfis",#N/A,TRUE,"Pro Forma Income Statement";"profba",#N/A,TRUE,"Pro Forma Balance Sheet";"acqc",#N/A,TRUE,"Acquirer";"tarc",#N/A,TRUE,"Target"}</definedName>
    <definedName name="wrn.41." localSheetId="0" hidden="1">{"cover",#N/A,TRUE,"Cover";"toc7",#N/A,TRUE,"TOC";"over",#N/A,TRUE,"Overview";"ts2",#N/A,TRUE,"Det_Trans_Sum";"eic",#N/A,TRUE,"Earnings Impact";"ad",#N/A,TRUE,"accretion dilution";"pfis",#N/A,TRUE,"Pro Forma Income Statement";"profba",#N/A,TRUE,"Pro Forma Balance Sheet";"acqc",#N/A,TRUE,"Acquirer";"tarc",#N/A,TRUE,"Target"}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localSheetId="3"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9"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2"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4"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0" hidden="1">{"cover",#N/A,TRUE,"Cover";"toc7",#N/A,TRUE,"TOC";"over",#N/A,TRUE,"Overview";"ts2",#N/A,TRUE,"Det_Trans_Sum";"ei1c",#N/A,TRUE,"Earnings Impact";"ad1",#N/A,TRUE,"accretion dilution";"pfis1",#N/A,TRUE,"Pro Forma Income Statement";"profba",#N/A,TRUE,"Pro Forma Balance Sheet";"acq1c",#N/A,TRUE,"Acquirer";"tar1c",#N/A,TRUE,"Target"}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localSheetId="3"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9"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2"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4"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0" hidden="1">{"cover",#N/A,TRUE,"Cover";"toc7",#N/A,TRUE,"TOC";"over",#N/A,TRUE,"Overview";"ts2",#N/A,TRUE,"Det_Trans_Sum";"ei2c",#N/A,TRUE,"Earnings Impact";"ad2",#N/A,TRUE,"accretion dilution";"pfis2",#N/A,TRUE,"Pro Forma Income Statement";"profba",#N/A,TRUE,"Pro Forma Balance Sheet";"acq2c",#N/A,TRUE,"Acquirer";"tar2c",#N/A,TRUE,"Target"}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localSheetId="3"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9"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2"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4"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0" hidden="1">{"cover",#N/A,TRUE,"Cover";"toc7",#N/A,TRUE,"TOC";"over",#N/A,TRUE,"Overview";"ts2",#N/A,TRUE,"Det_Trans_Sum";"ei3c",#N/A,TRUE,"Earnings Impact";"ad3",#N/A,TRUE,"accretion dilution";"pfis3",#N/A,TRUE,"Pro Forma Income Statement";"profba",#N/A,TRUE,"Pro Forma Balance Sheet";"acq3c",#N/A,TRUE,"Acquirer";"tar3c",#N/A,TRUE,"Target"}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localSheetId="3"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9"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2"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4"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0"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localSheetId="3"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9"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2"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4"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0"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localSheetId="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9"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0"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localSheetId="3"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9"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2"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4"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0"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localSheetId="3"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2"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4"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0"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localSheetId="3" hidden="1">{"cover",#N/A,TRUE,"Cover";"toc2",#N/A,TRUE,"TOC";"ts1",#N/A,TRUE,"Transaction Summary";"ei",#N/A,TRUE,"Earnings Impact";"ad",#N/A,TRUE,"accretion dilution";"hg",#N/A,TRUE,"Has-Gets"}</definedName>
    <definedName name="wrn.5." localSheetId="9" hidden="1">{"cover",#N/A,TRUE,"Cover";"toc2",#N/A,TRUE,"TOC";"ts1",#N/A,TRUE,"Transaction Summary";"ei",#N/A,TRUE,"Earnings Impact";"ad",#N/A,TRUE,"accretion dilution";"hg",#N/A,TRUE,"Has-Gets"}</definedName>
    <definedName name="wrn.5." localSheetId="2" hidden="1">{"cover",#N/A,TRUE,"Cover";"toc2",#N/A,TRUE,"TOC";"ts1",#N/A,TRUE,"Transaction Summary";"ei",#N/A,TRUE,"Earnings Impact";"ad",#N/A,TRUE,"accretion dilution";"hg",#N/A,TRUE,"Has-Gets"}</definedName>
    <definedName name="wrn.5." localSheetId="4" hidden="1">{"cover",#N/A,TRUE,"Cover";"toc2",#N/A,TRUE,"TOC";"ts1",#N/A,TRUE,"Transaction Summary";"ei",#N/A,TRUE,"Earnings Impact";"ad",#N/A,TRUE,"accretion dilution";"hg",#N/A,TRUE,"Has-Gets"}</definedName>
    <definedName name="wrn.5." localSheetId="0" hidden="1">{"cover",#N/A,TRUE,"Cover";"toc2",#N/A,TRUE,"TOC";"ts1",#N/A,TRUE,"Transaction Summary";"ei",#N/A,TRUE,"Earnings Impact";"ad",#N/A,TRUE,"accretion dilution";"hg",#N/A,TRUE,"Has-Gets"}</definedName>
    <definedName name="wrn.5." hidden="1">{"cover",#N/A,TRUE,"Cover";"toc2",#N/A,TRUE,"TOC";"ts1",#N/A,TRUE,"Transaction Summary";"ei",#N/A,TRUE,"Earnings Impact";"ad",#N/A,TRUE,"accretion dilution";"hg",#N/A,TRUE,"Has-Gets"}</definedName>
    <definedName name="wrn.5._.Year._.Model._.Investor." localSheetId="0" hidden="1">{#N/A,#N/A,FALSE,"Assumptions";"Investor Year 1",#N/A,FALSE,"Investor";"Investor Year 2",#N/A,FALSE,"Investor";"Investor Year 3",#N/A,FALSE,"Investor";"Investor Year 4",#N/A,FALSE,"Investor";"Investor Year 5",#N/A,FALSE,"Investor";"Investor 5 Year Total",#N/A,FALSE,"Investor"}</definedName>
    <definedName name="wrn.5._.Year._.Model._.Investor." hidden="1">{#N/A,#N/A,FALSE,"Assumptions";"Investor Year 1",#N/A,FALSE,"Investor";"Investor Year 2",#N/A,FALSE,"Investor";"Investor Year 3",#N/A,FALSE,"Investor";"Investor Year 4",#N/A,FALSE,"Investor";"Investor Year 5",#N/A,FALSE,"Investor";"Investor 5 Year Total",#N/A,FALSE,"Investor"}</definedName>
    <definedName name="wrn.5._.Year._.Model._.Summary." localSheetId="0" hidden="1">{#N/A,#N/A,TRUE,"Assumptions";"Summary Year 1",#N/A,TRUE,"Summary";"Summary Year 2",#N/A,TRUE,"Summary";"Summary Year 3",#N/A,TRUE,"Summary";"Summary Year 4",#N/A,TRUE,"Summary";"Summary Year 5",#N/A,TRUE,"Summary";"Summary 5 Year Total",#N/A,TRUE,"Summary"}</definedName>
    <definedName name="wrn.5._.Year._.Model._.Summary." hidden="1">{#N/A,#N/A,TRUE,"Assumptions";"Summary Year 1",#N/A,TRUE,"Summary";"Summary Year 2",#N/A,TRUE,"Summary";"Summary Year 3",#N/A,TRUE,"Summary";"Summary Year 4",#N/A,TRUE,"Summary";"Summary Year 5",#N/A,TRUE,"Summary";"Summary 5 Year Total",#N/A,TRUE,"Summary"}</definedName>
    <definedName name="wrn.50." localSheetId="3"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9"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2"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4"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localSheetId="3"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9"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2"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4"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0"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localSheetId="3"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9"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4"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0"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localSheetId="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9"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2"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4"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0"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localSheetId="3"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9"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2"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0"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localSheetId="3"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9"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2"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4"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0"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localSheetId="3"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9"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2"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4"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0"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localSheetId="3" hidden="1">{"cover",#N/A,TRUE,"Cover";"toc7",#N/A,TRUE,"TOC";"over",#N/A,TRUE,"Overview";"ts2",#N/A,TRUE,"Det_Trans_Sum";"ei",#N/A,TRUE,"Earnings Impact";"ad",#N/A,TRUE,"accretion dilution";"pfis",#N/A,TRUE,"Pro Forma Income Statement";"profba",#N/A,TRUE,"Pro Forma Balance Sheet";"acq",#N/A,TRUE,"Acquirer";"tar",#N/A,TRUE,"Target"}</definedName>
    <definedName name="wrn.57." localSheetId="9" hidden="1">{"cover",#N/A,TRUE,"Cover";"toc7",#N/A,TRUE,"TOC";"over",#N/A,TRUE,"Overview";"ts2",#N/A,TRUE,"Det_Trans_Sum";"ei",#N/A,TRUE,"Earnings Impact";"ad",#N/A,TRUE,"accretion dilution";"pfis",#N/A,TRUE,"Pro Forma Income Statement";"profba",#N/A,TRUE,"Pro Forma Balance Sheet";"acq",#N/A,TRUE,"Acquirer";"tar",#N/A,TRUE,"Target"}</definedName>
    <definedName name="wrn.57." localSheetId="2" hidden="1">{"cover",#N/A,TRUE,"Cover";"toc7",#N/A,TRUE,"TOC";"over",#N/A,TRUE,"Overview";"ts2",#N/A,TRUE,"Det_Trans_Sum";"ei",#N/A,TRUE,"Earnings Impact";"ad",#N/A,TRUE,"accretion dilution";"pfis",#N/A,TRUE,"Pro Forma Income Statement";"profba",#N/A,TRUE,"Pro Forma Balance Sheet";"acq",#N/A,TRUE,"Acquirer";"tar",#N/A,TRUE,"Target"}</definedName>
    <definedName name="wrn.57." localSheetId="4" hidden="1">{"cover",#N/A,TRUE,"Cover";"toc7",#N/A,TRUE,"TOC";"over",#N/A,TRUE,"Overview";"ts2",#N/A,TRUE,"Det_Trans_Sum";"ei",#N/A,TRUE,"Earnings Impact";"ad",#N/A,TRUE,"accretion dilution";"pfis",#N/A,TRUE,"Pro Forma Income Statement";"profba",#N/A,TRUE,"Pro Forma Balance Sheet";"acq",#N/A,TRUE,"Acquirer";"tar",#N/A,TRUE,"Target"}</definedName>
    <definedName name="wrn.57." localSheetId="0" hidden="1">{"cover",#N/A,TRUE,"Cover";"toc7",#N/A,TRUE,"TOC";"over",#N/A,TRUE,"Overview";"ts2",#N/A,TRUE,"Det_Trans_Sum";"ei",#N/A,TRUE,"Earnings Impact";"ad",#N/A,TRUE,"accretion dilution";"pfis",#N/A,TRUE,"Pro Forma Income Statement";"profba",#N/A,TRUE,"Pro Forma Balance Sheet";"acq",#N/A,TRUE,"Acquirer";"tar",#N/A,TRUE,"Target"}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localSheetId="3"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9"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2"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4"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0" hidden="1">{"cover",#N/A,TRUE,"Cover";"toc7",#N/A,TRUE,"TOC";"over",#N/A,TRUE,"Overview";"ts2",#N/A,TRUE,"Det_Trans_Sum";"ei1",#N/A,TRUE,"Earnings Impact";"ad1",#N/A,TRUE,"accretion dilution";"pfis1",#N/A,TRUE,"Pro Forma Income Statement";"profba",#N/A,TRUE,"Pro Forma Balance Sheet";"acq1",#N/A,TRUE,"Acquirer";"tar1",#N/A,TRUE,"Target"}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localSheetId="3"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9"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2"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4"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0" hidden="1">{"cover",#N/A,TRUE,"Cover";"toc7",#N/A,TRUE,"TOC";"over",#N/A,TRUE,"Overview";"ts2",#N/A,TRUE,"Det_Trans_Sum";"ei2",#N/A,TRUE,"Earnings Impact";"ad2",#N/A,TRUE,"accretion dilution";"pfis2",#N/A,TRUE,"Pro Forma Income Statement";"profba",#N/A,TRUE,"Pro Forma Balance Sheet";"acq2",#N/A,TRUE,"Acquirer";"tar2",#N/A,TRUE,"Target"}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localSheetId="3" hidden="1">{"cover",#N/A,TRUE,"Cover";"toc2",#N/A,TRUE,"TOC";"ts1",#N/A,TRUE,"Transaction Summary";"ei1",#N/A,TRUE,"Earnings Impact";"ad1",#N/A,TRUE,"accretion dilution";"hg1",#N/A,TRUE,"Has-Gets"}</definedName>
    <definedName name="wrn.6." localSheetId="9" hidden="1">{"cover",#N/A,TRUE,"Cover";"toc2",#N/A,TRUE,"TOC";"ts1",#N/A,TRUE,"Transaction Summary";"ei1",#N/A,TRUE,"Earnings Impact";"ad1",#N/A,TRUE,"accretion dilution";"hg1",#N/A,TRUE,"Has-Gets"}</definedName>
    <definedName name="wrn.6." localSheetId="2" hidden="1">{"cover",#N/A,TRUE,"Cover";"toc2",#N/A,TRUE,"TOC";"ts1",#N/A,TRUE,"Transaction Summary";"ei1",#N/A,TRUE,"Earnings Impact";"ad1",#N/A,TRUE,"accretion dilution";"hg1",#N/A,TRUE,"Has-Gets"}</definedName>
    <definedName name="wrn.6." localSheetId="4" hidden="1">{"cover",#N/A,TRUE,"Cover";"toc2",#N/A,TRUE,"TOC";"ts1",#N/A,TRUE,"Transaction Summary";"ei1",#N/A,TRUE,"Earnings Impact";"ad1",#N/A,TRUE,"accretion dilution";"hg1",#N/A,TRUE,"Has-Gets"}</definedName>
    <definedName name="wrn.6." localSheetId="0" hidden="1">{"cover",#N/A,TRUE,"Cover";"toc2",#N/A,TRUE,"TOC";"ts1",#N/A,TRUE,"Transaction Summary";"ei1",#N/A,TRUE,"Earnings Impact";"ad1",#N/A,TRUE,"accretion dilution";"hg1",#N/A,TRUE,"Has-Gets"}</definedName>
    <definedName name="wrn.6." hidden="1">{"cover",#N/A,TRUE,"Cover";"toc2",#N/A,TRUE,"TOC";"ts1",#N/A,TRUE,"Transaction Summary";"ei1",#N/A,TRUE,"Earnings Impact";"ad1",#N/A,TRUE,"accretion dilution";"hg1",#N/A,TRUE,"Has-Gets"}</definedName>
    <definedName name="wrn.60." localSheetId="3"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9"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2"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4"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0" hidden="1">{"cover",#N/A,TRUE,"Cover";"toc7",#N/A,TRUE,"TOC";"over",#N/A,TRUE,"Overview";"ts2",#N/A,TRUE,"Det_Trans_Sum";"ei3",#N/A,TRUE,"Earnings Impact";"ad3",#N/A,TRUE,"accretion dilution";"pfis3",#N/A,TRUE,"Pro Forma Income Statement";"profba",#N/A,TRUE,"Pro Forma Balance Sheet";"acq3",#N/A,TRUE,"Acquirer";"tar3",#N/A,TRUE,"Target"}</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localSheetId="3"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9"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2"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4"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0"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localSheetId="3"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9"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4"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0"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localSheetId="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9"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2"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4"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0"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localSheetId="3"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9"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2"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0"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localSheetId="3"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9"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4"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0"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localSheetId="3"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9"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2"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4"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0"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localSheetId="3"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9"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2"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4"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0"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localSheetId="3"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9"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2"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4"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0"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localSheetId="3"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2"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4"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0"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localSheetId="3" hidden="1">{"cover",#N/A,TRUE,"Cover";"toc2",#N/A,TRUE,"TOC";"ts1",#N/A,TRUE,"Transaction Summary";"ei2c",#N/A,TRUE,"Earnings Impact";"ad2",#N/A,TRUE,"accretion dilution";"hg2",#N/A,TRUE,"Has-Gets"}</definedName>
    <definedName name="wrn.7." localSheetId="9" hidden="1">{"cover",#N/A,TRUE,"Cover";"toc2",#N/A,TRUE,"TOC";"ts1",#N/A,TRUE,"Transaction Summary";"ei2c",#N/A,TRUE,"Earnings Impact";"ad2",#N/A,TRUE,"accretion dilution";"hg2",#N/A,TRUE,"Has-Gets"}</definedName>
    <definedName name="wrn.7." localSheetId="2" hidden="1">{"cover",#N/A,TRUE,"Cover";"toc2",#N/A,TRUE,"TOC";"ts1",#N/A,TRUE,"Transaction Summary";"ei2c",#N/A,TRUE,"Earnings Impact";"ad2",#N/A,TRUE,"accretion dilution";"hg2",#N/A,TRUE,"Has-Gets"}</definedName>
    <definedName name="wrn.7." localSheetId="4" hidden="1">{"cover",#N/A,TRUE,"Cover";"toc2",#N/A,TRUE,"TOC";"ts1",#N/A,TRUE,"Transaction Summary";"ei2c",#N/A,TRUE,"Earnings Impact";"ad2",#N/A,TRUE,"accretion dilution";"hg2",#N/A,TRUE,"Has-Gets"}</definedName>
    <definedName name="wrn.7." localSheetId="0" hidden="1">{"cover",#N/A,TRUE,"Cover";"toc2",#N/A,TRUE,"TOC";"ts1",#N/A,TRUE,"Transaction Summary";"ei2c",#N/A,TRUE,"Earnings Impact";"ad2",#N/A,TRUE,"accretion dilution";"hg2",#N/A,TRUE,"Has-Gets"}</definedName>
    <definedName name="wrn.7." hidden="1">{"cover",#N/A,TRUE,"Cover";"toc2",#N/A,TRUE,"TOC";"ts1",#N/A,TRUE,"Transaction Summary";"ei2c",#N/A,TRUE,"Earnings Impact";"ad2",#N/A,TRUE,"accretion dilution";"hg2",#N/A,TRUE,"Has-Gets"}</definedName>
    <definedName name="wrn.70." localSheetId="3"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9"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2"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4"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localSheetId="3"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9"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2"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4"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0"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localSheetId="3"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9"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4"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0"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8." localSheetId="3" hidden="1">{"cover",#N/A,TRUE,"Cover";"toc2",#N/A,TRUE,"TOC";"ts1",#N/A,TRUE,"Transaction Summary";"ei3",#N/A,TRUE,"Earnings Impact";"ad3",#N/A,TRUE,"accretion dilution";"hg3",#N/A,TRUE,"Has-Gets"}</definedName>
    <definedName name="wrn.8." localSheetId="9" hidden="1">{"cover",#N/A,TRUE,"Cover";"toc2",#N/A,TRUE,"TOC";"ts1",#N/A,TRUE,"Transaction Summary";"ei3",#N/A,TRUE,"Earnings Impact";"ad3",#N/A,TRUE,"accretion dilution";"hg3",#N/A,TRUE,"Has-Gets"}</definedName>
    <definedName name="wrn.8." localSheetId="2" hidden="1">{"cover",#N/A,TRUE,"Cover";"toc2",#N/A,TRUE,"TOC";"ts1",#N/A,TRUE,"Transaction Summary";"ei3",#N/A,TRUE,"Earnings Impact";"ad3",#N/A,TRUE,"accretion dilution";"hg3",#N/A,TRUE,"Has-Gets"}</definedName>
    <definedName name="wrn.8." localSheetId="4" hidden="1">{"cover",#N/A,TRUE,"Cover";"toc2",#N/A,TRUE,"TOC";"ts1",#N/A,TRUE,"Transaction Summary";"ei3",#N/A,TRUE,"Earnings Impact";"ad3",#N/A,TRUE,"accretion dilution";"hg3",#N/A,TRUE,"Has-Gets"}</definedName>
    <definedName name="wrn.8." localSheetId="0" hidden="1">{"cover",#N/A,TRUE,"Cover";"toc2",#N/A,TRUE,"TOC";"ts1",#N/A,TRUE,"Transaction Summary";"ei3",#N/A,TRUE,"Earnings Impact";"ad3",#N/A,TRUE,"accretion dilution";"hg3",#N/A,TRUE,"Has-Gets"}</definedName>
    <definedName name="wrn.8." hidden="1">{"cover",#N/A,TRUE,"Cover";"toc2",#N/A,TRUE,"TOC";"ts1",#N/A,TRUE,"Transaction Summary";"ei3",#N/A,TRUE,"Earnings Impact";"ad3",#N/A,TRUE,"accretion dilution";"hg3",#N/A,TRUE,"Has-Gets"}</definedName>
    <definedName name="wrn.9." localSheetId="3" hidden="1">{"cover",#N/A,TRUE,"Cover";"toc3",#N/A,TRUE,"TOC";"over",#N/A,TRUE,"Overview";"ts2",#N/A,TRUE,"Det_Trans_Sum";"eic",#N/A,TRUE,"Earnings Impact";"ad",#N/A,TRUE,"accretion dilution";"pfis",#N/A,TRUE,"Pro Forma Income Statement";"acqc",#N/A,TRUE,"Acquirer";"tarc",#N/A,TRUE,"Target"}</definedName>
    <definedName name="wrn.9." localSheetId="9" hidden="1">{"cover",#N/A,TRUE,"Cover";"toc3",#N/A,TRUE,"TOC";"over",#N/A,TRUE,"Overview";"ts2",#N/A,TRUE,"Det_Trans_Sum";"eic",#N/A,TRUE,"Earnings Impact";"ad",#N/A,TRUE,"accretion dilution";"pfis",#N/A,TRUE,"Pro Forma Income Statement";"acqc",#N/A,TRUE,"Acquirer";"tarc",#N/A,TRUE,"Target"}</definedName>
    <definedName name="wrn.9." localSheetId="2" hidden="1">{"cover",#N/A,TRUE,"Cover";"toc3",#N/A,TRUE,"TOC";"over",#N/A,TRUE,"Overview";"ts2",#N/A,TRUE,"Det_Trans_Sum";"eic",#N/A,TRUE,"Earnings Impact";"ad",#N/A,TRUE,"accretion dilution";"pfis",#N/A,TRUE,"Pro Forma Income Statement";"acqc",#N/A,TRUE,"Acquirer";"tarc",#N/A,TRUE,"Target"}</definedName>
    <definedName name="wrn.9." localSheetId="4" hidden="1">{"cover",#N/A,TRUE,"Cover";"toc3",#N/A,TRUE,"TOC";"over",#N/A,TRUE,"Overview";"ts2",#N/A,TRUE,"Det_Trans_Sum";"eic",#N/A,TRUE,"Earnings Impact";"ad",#N/A,TRUE,"accretion dilution";"pfis",#N/A,TRUE,"Pro Forma Income Statement";"acqc",#N/A,TRUE,"Acquirer";"tarc",#N/A,TRUE,"Target"}</definedName>
    <definedName name="wrn.9." localSheetId="0" hidden="1">{"cover",#N/A,TRUE,"Cover";"toc3",#N/A,TRUE,"TOC";"over",#N/A,TRUE,"Overview";"ts2",#N/A,TRUE,"Det_Trans_Sum";"eic",#N/A,TRUE,"Earnings Impact";"ad",#N/A,TRUE,"accretion dilution";"pfis",#N/A,TRUE,"Pro Forma Income Statement";"acqc",#N/A,TRUE,"Acquirer";"tarc",#N/A,TRUE,"Target"}</definedName>
    <definedName name="wrn.9." hidden="1">{"cover",#N/A,TRUE,"Cover";"toc3",#N/A,TRUE,"TOC";"over",#N/A,TRUE,"Overview";"ts2",#N/A,TRUE,"Det_Trans_Sum";"eic",#N/A,TRUE,"Earnings Impact";"ad",#N/A,TRUE,"accretion dilution";"pfis",#N/A,TRUE,"Pro Forma Income Statement";"acqc",#N/A,TRUE,"Acquirer";"tarc",#N/A,TRUE,"Target"}</definedName>
    <definedName name="wrn.96126.00._.ValCo.Segmentation." localSheetId="0" hidden="1">{#N/A,#N/A,FALSE,"el.det";#N/A,#N/A,FALSE,"mu.det";#N/A,#N/A,FALSE,"ug.det";#N/A,#N/A,FALSE,"ex.det";#N/A,#N/A,FALSE,"lux.det";#N/A,#N/A,FALSE,"custom.lot";#N/A,#N/A,FALSE,"condo.att";#N/A,#N/A,FALSE,"el.att";#N/A,#N/A,FALSE,"mu.att";#N/A,#N/A,FALSE,"ex.att";#N/A,#N/A,FALSE,"lux.att";#N/A,#N/A,FALSE,"all.by.village"}</definedName>
    <definedName name="wrn.96126.00._.ValCo.Segmentation." hidden="1">{#N/A,#N/A,FALSE,"el.det";#N/A,#N/A,FALSE,"mu.det";#N/A,#N/A,FALSE,"ug.det";#N/A,#N/A,FALSE,"ex.det";#N/A,#N/A,FALSE,"lux.det";#N/A,#N/A,FALSE,"custom.lot";#N/A,#N/A,FALSE,"condo.att";#N/A,#N/A,FALSE,"el.att";#N/A,#N/A,FALSE,"mu.att";#N/A,#N/A,FALSE,"ex.att";#N/A,#N/A,FALSE,"lux.att";#N/A,#N/A,FALSE,"all.by.village"}</definedName>
    <definedName name="wrn.99" localSheetId="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localSheetId="9"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localSheetId="2"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localSheetId="4"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localSheetId="0"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AN." localSheetId="3"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6"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9"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2"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4"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0" hidden="1">{"CREDIT STATISTICS",#N/A,FALSE,"STATS";"CF_AND_IS",#N/A,FALSE,"PLAN";"DEBT SCHEDULE",#N/A,FALSE,"PLAN";"SUBSCRIBERS",#N/A,FALSE,"PLAN";"DETAIL_REV",#N/A,FALSE,"PLAN";"DETAIL_EXPENSE",#N/A,FALSE,"PLAN";"SALES_AND EXP_DRIVERS",#N/A,FALSE,"PLAN";"FIXED ASSETS",#N/A,FALSE,"PLAN";"DEPRECIATION SCHEDULE",#N/A,FALSE,"PLAN"}</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localSheetId="3" hidden="1">{"Cover",#N/A,FALSE,"cover";"Program",#N/A,FALSE,"Program";"Rent Calculation",#N/A,FALSE,"Income Tiers";"Operations - all",#N/A,FALSE,"Operating";"Operations - PHA",#N/A,FALSE,"ACC Operating";"Operations - LIHTC",#N/A,FALSE,"LIHTC Operating";"Operations - market",#N/A,FALSE,"Mkt. Operating";"Dev Budget - commercial &amp; residential",#N/A,FALSE,"Development";"Dev Budget - 221d",#N/A,FALSE,"Development";"Dev Budget - Tax Treatment",#N/A,FALSE,"Development";"S&amp;U",#N/A,FALSE,"Sources";"221(d)3 limits",#N/A,FALSE,"Cost Limits";"TDC Limits",#N/A,FALSE,"Cost Limits";"Equity Schedule",#N/A,FALSE,"Schedule";"Lease-up",#N/A,FALSE,"Lease Up";"Sale Scenario",#N/A,FALSE,"Sale";"IRR",#N/A,FALSE,"LP Return (2)";"Min Gain Analysis",#N/A,FALSE,"Minumum Gain (2)";"Reserves",#N/A,FALSE,"Reserves";"Benefit schedule",#N/A,FALSE,"LP Benefits (2)";"Loss Schedule",#N/A,FALSE,"Loss";"Debt",#N/A,FALSE,"Debt";"Construction CF",#N/A,FALSE,"MonthlyCF";"proforma - 30yr all",#N/A,FALSE,"Proforma";"proforma - 30yr PHA all",#N/A,FALSE,"ACC Proforma";"proforma - 30yr LIHTC",#N/A,FALSE,"LIHTC Proforma";"proforma - 30yr market",#N/A,FALSE,"Market Proforma"}</definedName>
    <definedName name="wrn.All." localSheetId="6" hidden="1">{"Assump",#N/A,FALSE,"Assupmtions";"CAPITAL",#N/A,FALSE,"Cash Flow";"EQUITY",#N/A,FALSE,"Cash Flow";"Rev_Ratio",#N/A,FALSE,"% Total Rev";"AL_Ratio",#N/A,FALSE,"% Asst Lvng+SC";"Loan",#N/A,FALSE,"Loan Amort"}</definedName>
    <definedName name="wrn.ALL." localSheetId="9" hidden="1">{"Cover",#N/A,FALSE,"cover";"Program",#N/A,FALSE,"Program";"Rent Calculation",#N/A,FALSE,"Income Tiers";"Operations - all",#N/A,FALSE,"Operating";"Operations - PHA",#N/A,FALSE,"ACC Operating";"Operations - LIHTC",#N/A,FALSE,"LIHTC Operating";"Operations - market",#N/A,FALSE,"Mkt. Operating";"Dev Budget - commercial &amp; residential",#N/A,FALSE,"Development";"Dev Budget - 221d",#N/A,FALSE,"Development";"Dev Budget - Tax Treatment",#N/A,FALSE,"Development";"S&amp;U",#N/A,FALSE,"Sources";"221(d)3 limits",#N/A,FALSE,"Cost Limits";"TDC Limits",#N/A,FALSE,"Cost Limits";"Equity Schedule",#N/A,FALSE,"Schedule";"Lease-up",#N/A,FALSE,"Lease Up";"Sale Scenario",#N/A,FALSE,"Sale";"IRR",#N/A,FALSE,"LP Return (2)";"Min Gain Analysis",#N/A,FALSE,"Minumum Gain (2)";"Reserves",#N/A,FALSE,"Reserves";"Benefit schedule",#N/A,FALSE,"LP Benefits (2)";"Loss Schedule",#N/A,FALSE,"Loss";"Debt",#N/A,FALSE,"Debt";"Construction CF",#N/A,FALSE,"MonthlyCF";"proforma - 30yr all",#N/A,FALSE,"Proforma";"proforma - 30yr PHA all",#N/A,FALSE,"ACC Proforma";"proforma - 30yr LIHTC",#N/A,FALSE,"LIHTC Proforma";"proforma - 30yr market",#N/A,FALSE,"Market Proforma"}</definedName>
    <definedName name="wrn.ALL." localSheetId="2" hidden="1">{"Cover",#N/A,FALSE,"cover";"Program",#N/A,FALSE,"Program";"Rent Calculation",#N/A,FALSE,"Income Tiers";"Operations - all",#N/A,FALSE,"Operating";"Operations - PHA",#N/A,FALSE,"ACC Operating";"Operations - LIHTC",#N/A,FALSE,"LIHTC Operating";"Operations - market",#N/A,FALSE,"Mkt. Operating";"Dev Budget - commercial &amp; residential",#N/A,FALSE,"Development";"Dev Budget - 221d",#N/A,FALSE,"Development";"Dev Budget - Tax Treatment",#N/A,FALSE,"Development";"S&amp;U",#N/A,FALSE,"Sources";"221(d)3 limits",#N/A,FALSE,"Cost Limits";"TDC Limits",#N/A,FALSE,"Cost Limits";"Equity Schedule",#N/A,FALSE,"Schedule";"Lease-up",#N/A,FALSE,"Lease Up";"Sale Scenario",#N/A,FALSE,"Sale";"IRR",#N/A,FALSE,"LP Return (2)";"Min Gain Analysis",#N/A,FALSE,"Minumum Gain (2)";"Reserves",#N/A,FALSE,"Reserves";"Benefit schedule",#N/A,FALSE,"LP Benefits (2)";"Loss Schedule",#N/A,FALSE,"Loss";"Debt",#N/A,FALSE,"Debt";"Construction CF",#N/A,FALSE,"MonthlyCF";"proforma - 30yr all",#N/A,FALSE,"Proforma";"proforma - 30yr PHA all",#N/A,FALSE,"ACC Proforma";"proforma - 30yr LIHTC",#N/A,FALSE,"LIHTC Proforma";"proforma - 30yr market",#N/A,FALSE,"Market Proforma"}</definedName>
    <definedName name="wrn.ALL." localSheetId="4" hidden="1">{"Cover",#N/A,FALSE,"cover";"Program",#N/A,FALSE,"Program";"Rent Calculation",#N/A,FALSE,"Income Tiers";"Operations - all",#N/A,FALSE,"Operating";"Operations - PHA",#N/A,FALSE,"ACC Operating";"Operations - LIHTC",#N/A,FALSE,"LIHTC Operating";"Operations - market",#N/A,FALSE,"Mkt. Operating";"Dev Budget - commercial &amp; residential",#N/A,FALSE,"Development";"Dev Budget - 221d",#N/A,FALSE,"Development";"Dev Budget - Tax Treatment",#N/A,FALSE,"Development";"S&amp;U",#N/A,FALSE,"Sources";"221(d)3 limits",#N/A,FALSE,"Cost Limits";"TDC Limits",#N/A,FALSE,"Cost Limits";"Equity Schedule",#N/A,FALSE,"Schedule";"Lease-up",#N/A,FALSE,"Lease Up";"Sale Scenario",#N/A,FALSE,"Sale";"IRR",#N/A,FALSE,"LP Return (2)";"Min Gain Analysis",#N/A,FALSE,"Minumum Gain (2)";"Reserves",#N/A,FALSE,"Reserves";"Benefit schedule",#N/A,FALSE,"LP Benefits (2)";"Loss Schedule",#N/A,FALSE,"Loss";"Debt",#N/A,FALSE,"Debt";"Construction CF",#N/A,FALSE,"MonthlyCF";"proforma - 30yr all",#N/A,FALSE,"Proforma";"proforma - 30yr PHA all",#N/A,FALSE,"ACC Proforma";"proforma - 30yr LIHTC",#N/A,FALSE,"LIHTC Proforma";"proforma - 30yr market",#N/A,FALSE,"Market Proforma"}</definedName>
    <definedName name="wrn.ALL." localSheetId="0"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Columns._.Month." localSheetId="3" hidden="1">{#N/A,#N/A,FALSE,"Table M";#N/A,#N/A,FALSE,"Graph-F";"All Fcst Month SumOps",#N/A,FALSE,"SumOps";"All Fcst Month SumExp",#N/A,FALSE,"SumExp";"All Fcst Month ExpDept",#N/A,FALSE,"ExpDept";#N/A,#N/A,FALSE,"SumOps";#N/A,#N/A,FALSE,"SumExp";#N/A,#N/A,FALSE,"ExpDept"}</definedName>
    <definedName name="wrn.All._.Columns._.Month." localSheetId="6" hidden="1">{#N/A,#N/A,FALSE,"Table M";#N/A,#N/A,FALSE,"Graph-F";"All Fcst Month SumOps",#N/A,FALSE,"SumOps";"All Fcst Month SumExp",#N/A,FALSE,"SumExp";"All Fcst Month ExpDept",#N/A,FALSE,"ExpDept";#N/A,#N/A,FALSE,"SumOps";#N/A,#N/A,FALSE,"SumExp";#N/A,#N/A,FALSE,"ExpDept"}</definedName>
    <definedName name="wrn.All._.Columns._.Month." localSheetId="9" hidden="1">{#N/A,#N/A,FALSE,"Table M";#N/A,#N/A,FALSE,"Graph-F";"All Fcst Month SumOps",#N/A,FALSE,"SumOps";"All Fcst Month SumExp",#N/A,FALSE,"SumExp";"All Fcst Month ExpDept",#N/A,FALSE,"ExpDept";#N/A,#N/A,FALSE,"SumOps";#N/A,#N/A,FALSE,"SumExp";#N/A,#N/A,FALSE,"ExpDept"}</definedName>
    <definedName name="wrn.All._.Columns._.Month." localSheetId="2" hidden="1">{#N/A,#N/A,FALSE,"Table M";#N/A,#N/A,FALSE,"Graph-F";"All Fcst Month SumOps",#N/A,FALSE,"SumOps";"All Fcst Month SumExp",#N/A,FALSE,"SumExp";"All Fcst Month ExpDept",#N/A,FALSE,"ExpDept";#N/A,#N/A,FALSE,"SumOps";#N/A,#N/A,FALSE,"SumExp";#N/A,#N/A,FALSE,"ExpDept"}</definedName>
    <definedName name="wrn.All._.Columns._.Month." localSheetId="4" hidden="1">{#N/A,#N/A,FALSE,"Table M";#N/A,#N/A,FALSE,"Graph-F";"All Fcst Month SumOps",#N/A,FALSE,"SumOps";"All Fcst Month SumExp",#N/A,FALSE,"SumExp";"All Fcst Month ExpDept",#N/A,FALSE,"ExpDept";#N/A,#N/A,FALSE,"SumOps";#N/A,#N/A,FALSE,"SumExp";#N/A,#N/A,FALSE,"ExpDept"}</definedName>
    <definedName name="wrn.All._.Columns._.Month." localSheetId="0" hidden="1">{#N/A,#N/A,FALSE,"Table M";#N/A,#N/A,FALSE,"Graph-F";"All Fcst Month SumOps",#N/A,FALSE,"SumOps";"All Fcst Month SumExp",#N/A,FALSE,"SumExp";"All Fcst Month ExpDept",#N/A,FALSE,"ExpDept";#N/A,#N/A,FALSE,"SumOps";#N/A,#N/A,FALSE,"SumExp";#N/A,#N/A,FALSE,"ExpDept"}</definedName>
    <definedName name="wrn.All._.Columns._.Month." hidden="1">{#N/A,#N/A,FALSE,"Table M";#N/A,#N/A,FALSE,"Graph-F";"All Fcst Month SumOps",#N/A,FALSE,"SumOps";"All Fcst Month SumExp",#N/A,FALSE,"SumExp";"All Fcst Month ExpDept",#N/A,FALSE,"ExpDept";#N/A,#N/A,FALSE,"SumOps";#N/A,#N/A,FALSE,"SumExp";#N/A,#N/A,FALSE,"ExpDept"}</definedName>
    <definedName name="wrn.All._.Inputs." localSheetId="3" hidden="1">{#N/A,#N/A,FALSE,"Primary";#N/A,#N/A,FALSE,"Secondary";#N/A,#N/A,FALSE,"Latent";#N/A,#N/A,FALSE,"Demand Inputs";#N/A,#N/A,FALSE,"Supply Addn";#N/A,#N/A,FALSE,"Mkt Pen"}</definedName>
    <definedName name="wrn.All._.Inputs." localSheetId="6" hidden="1">{#N/A,#N/A,FALSE,"Primary";#N/A,#N/A,FALSE,"Secondary";#N/A,#N/A,FALSE,"Latent";#N/A,#N/A,FALSE,"Demand Inputs";#N/A,#N/A,FALSE,"Supply Addn";#N/A,#N/A,FALSE,"Mkt Pen"}</definedName>
    <definedName name="wrn.All._.Inputs." localSheetId="9" hidden="1">{#N/A,#N/A,FALSE,"Primary";#N/A,#N/A,FALSE,"Secondary";#N/A,#N/A,FALSE,"Latent";#N/A,#N/A,FALSE,"Demand Inputs";#N/A,#N/A,FALSE,"Supply Addn";#N/A,#N/A,FALSE,"Mkt Pen"}</definedName>
    <definedName name="wrn.All._.Inputs." localSheetId="2" hidden="1">{#N/A,#N/A,FALSE,"Primary";#N/A,#N/A,FALSE,"Secondary";#N/A,#N/A,FALSE,"Latent";#N/A,#N/A,FALSE,"Demand Inputs";#N/A,#N/A,FALSE,"Supply Addn";#N/A,#N/A,FALSE,"Mkt Pen"}</definedName>
    <definedName name="wrn.All._.Inputs." localSheetId="4" hidden="1">{#N/A,#N/A,FALSE,"Primary";#N/A,#N/A,FALSE,"Secondary";#N/A,#N/A,FALSE,"Latent";#N/A,#N/A,FALSE,"Demand Inputs";#N/A,#N/A,FALSE,"Supply Addn";#N/A,#N/A,FALSE,"Mkt Pen"}</definedName>
    <definedName name="wrn.All._.Inputs." localSheetId="0"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Numbers." localSheetId="3" hidden="1">{"Inputs",#N/A,FALSE,"Inputs";"Sources and Uses",#N/A,FALSE,"S&amp;U";"Summary",#N/A,FALSE,"Summary";"VRDB Current Market",#N/A,FALSE,"VRDB-Cur";"VRDB 5 Year Average",#N/A,FALSE,"VRDB-His";"Fixed Rate Bonds",#N/A,FALSE,"Fixed";"Bank Taxable",#N/A,FALSE,"Bank-Taxable";"Bank Loan Tax Exempt",#N/A,FALSE,"Bank-TE";"Break Even",#N/A,FALSE,"Sensitivity";"Sensitivity",#N/A,FALSE,"Sensitivity"}</definedName>
    <definedName name="wrn.All._.Numbers." localSheetId="9" hidden="1">{"Inputs",#N/A,FALSE,"Inputs";"Sources and Uses",#N/A,FALSE,"S&amp;U";"Summary",#N/A,FALSE,"Summary";"VRDB Current Market",#N/A,FALSE,"VRDB-Cur";"VRDB 5 Year Average",#N/A,FALSE,"VRDB-His";"Fixed Rate Bonds",#N/A,FALSE,"Fixed";"Bank Taxable",#N/A,FALSE,"Bank-Taxable";"Bank Loan Tax Exempt",#N/A,FALSE,"Bank-TE";"Break Even",#N/A,FALSE,"Sensitivity";"Sensitivity",#N/A,FALSE,"Sensitivity"}</definedName>
    <definedName name="wrn.All._.Numbers." localSheetId="2" hidden="1">{"Inputs",#N/A,FALSE,"Inputs";"Sources and Uses",#N/A,FALSE,"S&amp;U";"Summary",#N/A,FALSE,"Summary";"VRDB Current Market",#N/A,FALSE,"VRDB-Cur";"VRDB 5 Year Average",#N/A,FALSE,"VRDB-His";"Fixed Rate Bonds",#N/A,FALSE,"Fixed";"Bank Taxable",#N/A,FALSE,"Bank-Taxable";"Bank Loan Tax Exempt",#N/A,FALSE,"Bank-TE";"Break Even",#N/A,FALSE,"Sensitivity";"Sensitivity",#N/A,FALSE,"Sensitivity"}</definedName>
    <definedName name="wrn.All._.Numbers." localSheetId="4" hidden="1">{"Inputs",#N/A,FALSE,"Inputs";"Sources and Uses",#N/A,FALSE,"S&amp;U";"Summary",#N/A,FALSE,"Summary";"VRDB Current Market",#N/A,FALSE,"VRDB-Cur";"VRDB 5 Year Average",#N/A,FALSE,"VRDB-His";"Fixed Rate Bonds",#N/A,FALSE,"Fixed";"Bank Taxable",#N/A,FALSE,"Bank-Taxable";"Bank Loan Tax Exempt",#N/A,FALSE,"Bank-TE";"Break Even",#N/A,FALSE,"Sensitivity";"Sensitivity",#N/A,FALSE,"Sensitivity"}</definedName>
    <definedName name="wrn.All._.Numbers." localSheetId="0" hidden="1">{"Inputs",#N/A,FALSE,"Inputs";"Sources and Uses",#N/A,FALSE,"S&amp;U";"Summary",#N/A,FALSE,"Summary";"VRDB Current Market",#N/A,FALSE,"VRDB-Cur";"VRDB 5 Year Average",#N/A,FALSE,"VRDB-His";"Fixed Rate Bonds",#N/A,FALSE,"Fixed";"Bank Taxable",#N/A,FALSE,"Bank-Taxable";"Bank Loan Tax Exempt",#N/A,FALSE,"Bank-TE";"Break Even",#N/A,FALSE,"Sensitivity";"Sensitivity",#N/A,FALSE,"Sensitivity"}</definedName>
    <definedName name="wrn.All._.Numbers." hidden="1">{"Inputs",#N/A,FALSE,"Inputs";"Sources and Uses",#N/A,FALSE,"S&amp;U";"Summary",#N/A,FALSE,"Summary";"VRDB Current Market",#N/A,FALSE,"VRDB-Cur";"VRDB 5 Year Average",#N/A,FALSE,"VRDB-His";"Fixed Rate Bonds",#N/A,FALSE,"Fixed";"Bank Taxable",#N/A,FALSE,"Bank-Taxable";"Bank Loan Tax Exempt",#N/A,FALSE,"Bank-TE";"Break Even",#N/A,FALSE,"Sensitivity";"Sensitivity",#N/A,FALSE,"Sensitivity"}</definedName>
    <definedName name="wrn.All._.Numbers2." localSheetId="3" hidden="1">{"Inputs",#N/A,FALSE,"Inputs";"Sources and Uses",#N/A,FALSE,"S&amp;U";"Summary",#N/A,FALSE,"Summary";"VRDB Current Market",#N/A,FALSE,"VRDB-Cur";"VRDB 5 Year Average",#N/A,FALSE,"VRDB-His";"Fixed Rate Bonds",#N/A,FALSE,"Fixed";"Bank Taxable",#N/A,FALSE,"Bank-Taxable";"Bank Loan Tax Exempt",#N/A,FALSE,"Bank-TE";"Break Even",#N/A,FALSE,"Sensitivity";"Sensitivity",#N/A,FALSE,"Sensitivity"}</definedName>
    <definedName name="wrn.All._.Numbers2." localSheetId="9" hidden="1">{"Inputs",#N/A,FALSE,"Inputs";"Sources and Uses",#N/A,FALSE,"S&amp;U";"Summary",#N/A,FALSE,"Summary";"VRDB Current Market",#N/A,FALSE,"VRDB-Cur";"VRDB 5 Year Average",#N/A,FALSE,"VRDB-His";"Fixed Rate Bonds",#N/A,FALSE,"Fixed";"Bank Taxable",#N/A,FALSE,"Bank-Taxable";"Bank Loan Tax Exempt",#N/A,FALSE,"Bank-TE";"Break Even",#N/A,FALSE,"Sensitivity";"Sensitivity",#N/A,FALSE,"Sensitivity"}</definedName>
    <definedName name="wrn.All._.Numbers2." localSheetId="2" hidden="1">{"Inputs",#N/A,FALSE,"Inputs";"Sources and Uses",#N/A,FALSE,"S&amp;U";"Summary",#N/A,FALSE,"Summary";"VRDB Current Market",#N/A,FALSE,"VRDB-Cur";"VRDB 5 Year Average",#N/A,FALSE,"VRDB-His";"Fixed Rate Bonds",#N/A,FALSE,"Fixed";"Bank Taxable",#N/A,FALSE,"Bank-Taxable";"Bank Loan Tax Exempt",#N/A,FALSE,"Bank-TE";"Break Even",#N/A,FALSE,"Sensitivity";"Sensitivity",#N/A,FALSE,"Sensitivity"}</definedName>
    <definedName name="wrn.All._.Numbers2." localSheetId="4" hidden="1">{"Inputs",#N/A,FALSE,"Inputs";"Sources and Uses",#N/A,FALSE,"S&amp;U";"Summary",#N/A,FALSE,"Summary";"VRDB Current Market",#N/A,FALSE,"VRDB-Cur";"VRDB 5 Year Average",#N/A,FALSE,"VRDB-His";"Fixed Rate Bonds",#N/A,FALSE,"Fixed";"Bank Taxable",#N/A,FALSE,"Bank-Taxable";"Bank Loan Tax Exempt",#N/A,FALSE,"Bank-TE";"Break Even",#N/A,FALSE,"Sensitivity";"Sensitivity",#N/A,FALSE,"Sensitivity"}</definedName>
    <definedName name="wrn.All._.Numbers2." localSheetId="0" hidden="1">{"Inputs",#N/A,FALSE,"Inputs";"Sources and Uses",#N/A,FALSE,"S&amp;U";"Summary",#N/A,FALSE,"Summary";"VRDB Current Market",#N/A,FALSE,"VRDB-Cur";"VRDB 5 Year Average",#N/A,FALSE,"VRDB-His";"Fixed Rate Bonds",#N/A,FALSE,"Fixed";"Bank Taxable",#N/A,FALSE,"Bank-Taxable";"Bank Loan Tax Exempt",#N/A,FALSE,"Bank-TE";"Break Even",#N/A,FALSE,"Sensitivity";"Sensitivity",#N/A,FALSE,"Sensitivity"}</definedName>
    <definedName name="wrn.All._.Numbers2." hidden="1">{"Inputs",#N/A,FALSE,"Inputs";"Sources and Uses",#N/A,FALSE,"S&amp;U";"Summary",#N/A,FALSE,"Summary";"VRDB Current Market",#N/A,FALSE,"VRDB-Cur";"VRDB 5 Year Average",#N/A,FALSE,"VRDB-His";"Fixed Rate Bonds",#N/A,FALSE,"Fixed";"Bank Taxable",#N/A,FALSE,"Bank-Taxable";"Bank Loan Tax Exempt",#N/A,FALSE,"Bank-TE";"Break Even",#N/A,FALSE,"Sensitivity";"Sensitivity",#N/A,FALSE,"Sensitivity"}</definedName>
    <definedName name="wrn.All._.Reports." localSheetId="3"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Reports." localSheetId="6"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Reports." localSheetId="9"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Reports." localSheetId="2"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Reports." localSheetId="4"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Reports." localSheetId="0"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Reports."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Schedules." localSheetId="3" hidden="1">{#N/A,#N/A,FALSE,"CF Consolidated 2";#N/A,#N/A,FALSE,"Retail Assump";#N/A,#N/A,FALSE,"CF Retail";#N/A,#N/A,FALSE,"Garage Assumpt 1";#N/A,#N/A,FALSE,"Garage Op Proj";#N/A,#N/A,FALSE,"Hist I&amp;E";#N/A,#N/A,FALSE,"Rent Roll";#N/A,#N/A,FALSE,"RE Taxes";#N/A,#N/A,FALSE,"CAM - BH";#N/A,#N/A,FALSE,"Comm.Condo CAM"}</definedName>
    <definedName name="wrn.All._.Schedules." localSheetId="9" hidden="1">{#N/A,#N/A,FALSE,"CF Consolidated 2";#N/A,#N/A,FALSE,"Retail Assump";#N/A,#N/A,FALSE,"CF Retail";#N/A,#N/A,FALSE,"Garage Assumpt 1";#N/A,#N/A,FALSE,"Garage Op Proj";#N/A,#N/A,FALSE,"Hist I&amp;E";#N/A,#N/A,FALSE,"Rent Roll";#N/A,#N/A,FALSE,"RE Taxes";#N/A,#N/A,FALSE,"CAM - BH";#N/A,#N/A,FALSE,"Comm.Condo CAM"}</definedName>
    <definedName name="wrn.All._.Schedules." localSheetId="2" hidden="1">{#N/A,#N/A,FALSE,"CF Consolidated 2";#N/A,#N/A,FALSE,"Retail Assump";#N/A,#N/A,FALSE,"CF Retail";#N/A,#N/A,FALSE,"Garage Assumpt 1";#N/A,#N/A,FALSE,"Garage Op Proj";#N/A,#N/A,FALSE,"Hist I&amp;E";#N/A,#N/A,FALSE,"Rent Roll";#N/A,#N/A,FALSE,"RE Taxes";#N/A,#N/A,FALSE,"CAM - BH";#N/A,#N/A,FALSE,"Comm.Condo CAM"}</definedName>
    <definedName name="wrn.All._.Schedules." localSheetId="4" hidden="1">{#N/A,#N/A,FALSE,"CF Consolidated 2";#N/A,#N/A,FALSE,"Retail Assump";#N/A,#N/A,FALSE,"CF Retail";#N/A,#N/A,FALSE,"Garage Assumpt 1";#N/A,#N/A,FALSE,"Garage Op Proj";#N/A,#N/A,FALSE,"Hist I&amp;E";#N/A,#N/A,FALSE,"Rent Roll";#N/A,#N/A,FALSE,"RE Taxes";#N/A,#N/A,FALSE,"CAM - BH";#N/A,#N/A,FALSE,"Comm.Condo CAM"}</definedName>
    <definedName name="wrn.All._.Schedules." localSheetId="0" hidden="1">{#N/A,#N/A,FALSE,"CF Consolidated 2";#N/A,#N/A,FALSE,"Retail Assump";#N/A,#N/A,FALSE,"CF Retail";#N/A,#N/A,FALSE,"Garage Assumpt 1";#N/A,#N/A,FALSE,"Garage Op Proj";#N/A,#N/A,FALSE,"Hist I&amp;E";#N/A,#N/A,FALSE,"Rent Roll";#N/A,#N/A,FALSE,"RE Taxes";#N/A,#N/A,FALSE,"CAM - BH";#N/A,#N/A,FALSE,"Comm.Condo CAM"}</definedName>
    <definedName name="wrn.All._.Schedules." hidden="1">{#N/A,#N/A,FALSE,"CF Consolidated 2";#N/A,#N/A,FALSE,"Retail Assump";#N/A,#N/A,FALSE,"CF Retail";#N/A,#N/A,FALSE,"Garage Assumpt 1";#N/A,#N/A,FALSE,"Garage Op Proj";#N/A,#N/A,FALSE,"Hist I&amp;E";#N/A,#N/A,FALSE,"Rent Roll";#N/A,#N/A,FALSE,"RE Taxes";#N/A,#N/A,FALSE,"CAM - BH";#N/A,#N/A,FALSE,"Comm.Condo CAM"}</definedName>
    <definedName name="wrn.All._.Sections." localSheetId="3" hidden="1">{"Data Entry",#N/A,FALSE,"COMPTEMP";"Ratios",#N/A,FALSE,"COMPTEMP";"Aggregate Values",#N/A,FALSE,"COMPTEMP";"Equity Multiples",#N/A,FALSE,"COMPTEMP";"Summary Overview",#N/A,FALSE,"COMPTEMP"}</definedName>
    <definedName name="wrn.All._.Sections." localSheetId="9" hidden="1">{"Data Entry",#N/A,FALSE,"COMPTEMP";"Ratios",#N/A,FALSE,"COMPTEMP";"Aggregate Values",#N/A,FALSE,"COMPTEMP";"Equity Multiples",#N/A,FALSE,"COMPTEMP";"Summary Overview",#N/A,FALSE,"COMPTEMP"}</definedName>
    <definedName name="wrn.All._.Sections." localSheetId="2" hidden="1">{"Data Entry",#N/A,FALSE,"COMPTEMP";"Ratios",#N/A,FALSE,"COMPTEMP";"Aggregate Values",#N/A,FALSE,"COMPTEMP";"Equity Multiples",#N/A,FALSE,"COMPTEMP";"Summary Overview",#N/A,FALSE,"COMPTEMP"}</definedName>
    <definedName name="wrn.All._.Sections." localSheetId="4" hidden="1">{"Data Entry",#N/A,FALSE,"COMPTEMP";"Ratios",#N/A,FALSE,"COMPTEMP";"Aggregate Values",#N/A,FALSE,"COMPTEMP";"Equity Multiples",#N/A,FALSE,"COMPTEMP";"Summary Overview",#N/A,FALSE,"COMPTEMP"}</definedName>
    <definedName name="wrn.All._.Sections." localSheetId="0" hidden="1">{"Data Entry",#N/A,FALSE,"COMPTEMP";"Ratios",#N/A,FALSE,"COMPTEMP";"Aggregate Values",#N/A,FALSE,"COMPTEMP";"Equity Multiples",#N/A,FALSE,"COMPTEMP";"Summary Overview",#N/A,FALSE,"COMPTEMP"}</definedName>
    <definedName name="wrn.All._.Sections." hidden="1">{"Data Entry",#N/A,FALSE,"COMPTEMP";"Ratios",#N/A,FALSE,"COMPTEMP";"Aggregate Values",#N/A,FALSE,"COMPTEMP";"Equity Multiples",#N/A,FALSE,"COMPTEMP";"Summary Overview",#N/A,FALSE,"COMPTEMP"}</definedName>
    <definedName name="wrn.All._1" localSheetId="0" hidden="1">{"Assump",#N/A,FALSE,"Assupmtions";"CAPITAL",#N/A,FALSE,"Cash Flow";"EQUITY",#N/A,FALSE,"Cash Flow";"Rev_Ratio",#N/A,FALSE,"% Total Rev";"AL_Ratio",#N/A,FALSE,"% Asst Lvng+SC";"Loan",#N/A,FALSE,"Loan Amort"}</definedName>
    <definedName name="wrn.All._1" hidden="1">{"Assump",#N/A,FALSE,"Assupmtions";"CAPITAL",#N/A,FALSE,"Cash Flow";"EQUITY",#N/A,FALSE,"Cash Flow";"Rev_Ratio",#N/A,FALSE,"% Total Rev";"AL_Ratio",#N/A,FALSE,"% Asst Lvng+SC";"Loan",#N/A,FALSE,"Loan Amort"}</definedName>
    <definedName name="wrn.All._2" localSheetId="0" hidden="1">{"Assump",#N/A,FALSE,"Assupmtions";"CAPITAL",#N/A,FALSE,"Cash Flow";"EQUITY",#N/A,FALSE,"Cash Flow";"Rev_Ratio",#N/A,FALSE,"% Total Rev";"AL_Ratio",#N/A,FALSE,"% Asst Lvng+SC";"Loan",#N/A,FALSE,"Loan Amort"}</definedName>
    <definedName name="wrn.All._2" hidden="1">{"Assump",#N/A,FALSE,"Assupmtions";"CAPITAL",#N/A,FALSE,"Cash Flow";"EQUITY",#N/A,FALSE,"Cash Flow";"Rev_Ratio",#N/A,FALSE,"% Total Rev";"AL_Ratio",#N/A,FALSE,"% Asst Lvng+SC";"Loan",#N/A,FALSE,"Loan Amort"}</definedName>
    <definedName name="wrn.All._3" localSheetId="0" hidden="1">{"Assump",#N/A,FALSE,"Assupmtions";"CAPITAL",#N/A,FALSE,"Cash Flow";"EQUITY",#N/A,FALSE,"Cash Flow";"Rev_Ratio",#N/A,FALSE,"% Total Rev";"AL_Ratio",#N/A,FALSE,"% Asst Lvng+SC";"Loan",#N/A,FALSE,"Loan Amort"}</definedName>
    <definedName name="wrn.All._3" hidden="1">{"Assump",#N/A,FALSE,"Assupmtions";"CAPITAL",#N/A,FALSE,"Cash Flow";"EQUITY",#N/A,FALSE,"Cash Flow";"Rev_Ratio",#N/A,FALSE,"% Total Rev";"AL_Ratio",#N/A,FALSE,"% Asst Lvng+SC";"Loan",#N/A,FALSE,"Loan Amort"}</definedName>
    <definedName name="wrn.all._a" localSheetId="0" hidden="1">{"Assump",#N/A,FALSE,"Assupmtions";"CAPITAL",#N/A,FALSE,"Cash Flow";"EQUITY",#N/A,FALSE,"Cash Flow";"Rev_Ratio",#N/A,FALSE,"% Total Rev";"AL_Ratio",#N/A,FALSE,"% Asst Lvng+SC";"Loan",#N/A,FALSE,"Loan Amort"}</definedName>
    <definedName name="wrn.all._a" hidden="1">{"Assump",#N/A,FALSE,"Assupmtions";"CAPITAL",#N/A,FALSE,"Cash Flow";"EQUITY",#N/A,FALSE,"Cash Flow";"Rev_Ratio",#N/A,FALSE,"% Total Rev";"AL_Ratio",#N/A,FALSE,"% Asst Lvng+SC";"Loan",#N/A,FALSE,"Loan Amort"}</definedName>
    <definedName name="wrn.all._b" localSheetId="0" hidden="1">{"Assump",#N/A,FALSE,"Assupmtions";"CAPITAL",#N/A,FALSE,"Cash Flow";"EQUITY",#N/A,FALSE,"Cash Flow";"Rev_Ratio",#N/A,FALSE,"% Total Rev";"AL_Ratio",#N/A,FALSE,"% Asst Lvng+SC";"Loan",#N/A,FALSE,"Loan Amort"}</definedName>
    <definedName name="wrn.all._b" hidden="1">{"Assump",#N/A,FALSE,"Assupmtions";"CAPITAL",#N/A,FALSE,"Cash Flow";"EQUITY",#N/A,FALSE,"Cash Flow";"Rev_Ratio",#N/A,FALSE,"% Total Rev";"AL_Ratio",#N/A,FALSE,"% Asst Lvng+SC";"Loan",#N/A,FALSE,"Loan Amort"}</definedName>
    <definedName name="wrn.all._c" localSheetId="0" hidden="1">{"Assump",#N/A,FALSE,"Assupmtions";"CAPITAL",#N/A,FALSE,"Cash Flow";"EQUITY",#N/A,FALSE,"Cash Flow";"Rev_Ratio",#N/A,FALSE,"% Total Rev";"AL_Ratio",#N/A,FALSE,"% Asst Lvng+SC";"Loan",#N/A,FALSE,"Loan Amort"}</definedName>
    <definedName name="wrn.all._c" hidden="1">{"Assump",#N/A,FALSE,"Assupmtions";"CAPITAL",#N/A,FALSE,"Cash Flow";"EQUITY",#N/A,FALSE,"Cash Flow";"Rev_Ratio",#N/A,FALSE,"% Total Rev";"AL_Ratio",#N/A,FALSE,"% Asst Lvng+SC";"Loan",#N/A,FALSE,"Loan Amort"}</definedName>
    <definedName name="wrn.all.2" localSheetId="0" hidden="1">{"Assump",#N/A,FALSE,"Assupmtions";"CAPITAL",#N/A,FALSE,"Cash Flow";"EQUITY",#N/A,FALSE,"Cash Flow";"Rev_Ratio",#N/A,FALSE,"% Total Rev";"AL_Ratio",#N/A,FALSE,"% Asst Lvng+SC";"Loan",#N/A,FALSE,"Loan Amort"}</definedName>
    <definedName name="wrn.all.2" hidden="1">{"Assump",#N/A,FALSE,"Assupmtions";"CAPITAL",#N/A,FALSE,"Cash Flow";"EQUITY",#N/A,FALSE,"Cash Flow";"Rev_Ratio",#N/A,FALSE,"% Total Rev";"AL_Ratio",#N/A,FALSE,"% Asst Lvng+SC";"Loan",#N/A,FALSE,"Loan Amort"}</definedName>
    <definedName name="wrn.All_Print_but_Draw." localSheetId="0" hidden="1">{"pg1",#N/A,FALSE,"DC Summ";"pg1",#N/A,FALSE,"Assump";"pg2",#N/A,FALSE,"Assump";"PG3",#N/A,FALSE,"Assump";"pg1",#N/A,FALSE,"DCN1";"page_a",#N/A,FALSE,"DCN2";"page_b",#N/A,FALSE,"DCN2";"PG1",#N/A,FALSE,"DCN3";"PG1",#N/A,FALSE,"DCN4";"PG1",#N/A,FALSE,"DCN5";"pg1",#N/A,FALSE,"DCN6";"PG1",#N/A,FALSE,"DCN7"}</definedName>
    <definedName name="wrn.All_Print_but_Draw." hidden="1">{"pg1",#N/A,FALSE,"DC Summ";"pg1",#N/A,FALSE,"Assump";"pg2",#N/A,FALSE,"Assump";"PG3",#N/A,FALSE,"Assump";"pg1",#N/A,FALSE,"DCN1";"page_a",#N/A,FALSE,"DCN2";"page_b",#N/A,FALSE,"DCN2";"PG1",#N/A,FALSE,"DCN3";"PG1",#N/A,FALSE,"DCN4";"PG1",#N/A,FALSE,"DCN5";"pg1",#N/A,FALSE,"DCN6";"PG1",#N/A,FALSE,"DCN7"}</definedName>
    <definedName name="wrn.Analysis." localSheetId="3" hidden="1">{#N/A,#N/A,FALSE,"Setup";#N/A,#N/A,FALSE,"Purchase Analysis"}</definedName>
    <definedName name="wrn.Analysis." localSheetId="9" hidden="1">{#N/A,#N/A,FALSE,"Setup";#N/A,#N/A,FALSE,"Purchase Analysis"}</definedName>
    <definedName name="wrn.Analysis." localSheetId="2" hidden="1">{#N/A,#N/A,FALSE,"Setup";#N/A,#N/A,FALSE,"Purchase Analysis"}</definedName>
    <definedName name="wrn.Analysis." localSheetId="4" hidden="1">{#N/A,#N/A,FALSE,"Setup";#N/A,#N/A,FALSE,"Purchase Analysis"}</definedName>
    <definedName name="wrn.Analysis." localSheetId="0" hidden="1">{#N/A,#N/A,FALSE,"Setup";#N/A,#N/A,FALSE,"Purchase Analysis"}</definedName>
    <definedName name="wrn.Analysis." hidden="1">{#N/A,#N/A,FALSE,"Setup";#N/A,#N/A,FALSE,"Purchase Analysis"}</definedName>
    <definedName name="wrn.Annual._.CF._1" localSheetId="3"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1" localSheetId="9"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1" localSheetId="2"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1" localSheetId="4"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1" localSheetId="0"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1"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1_1" localSheetId="3"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1_1" localSheetId="9"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1_1" localSheetId="2"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1_1" localSheetId="4"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1_1" localSheetId="0"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1_1"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1_2" localSheetId="3"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1_2" localSheetId="9"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1_2" localSheetId="2"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1_2" localSheetId="4"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1_2" localSheetId="0"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1_2"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1_3" localSheetId="3"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1_3" localSheetId="9"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1_3" localSheetId="2"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1_3" localSheetId="4"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1_3" localSheetId="0"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1_3"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2" localSheetId="3"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2" localSheetId="9"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2" localSheetId="2"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2" localSheetId="4"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2" localSheetId="0"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2"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3" localSheetId="3"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3" localSheetId="9"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3" localSheetId="2"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3" localSheetId="4"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3" localSheetId="0"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3"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4" localSheetId="3"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4" localSheetId="9"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4" localSheetId="2"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4" localSheetId="4"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4" localSheetId="0" hidden="1">{"Annual Deal CF 1",#N/A,TRUE,"Investments";"Annual Deal CF 2",#N/A,TRUE,"Investments";"Annual Deal CF 3",#N/A,TRUE,"Investments";"Annual Deal CF 4",#N/A,TRUE,"Investments";"Annual Deal CF 5",#N/A,TRUE,"Investments";"Annual Deal CF 6",#N/A,TRUE,"Investments";"Annual Deal CF 7",#N/A,TRUE,"Investments"}</definedName>
    <definedName name="wrn.Annual._.CF._4" hidden="1">{"Annual Deal CF 1",#N/A,TRUE,"Investments";"Annual Deal CF 2",#N/A,TRUE,"Investments";"Annual Deal CF 3",#N/A,TRUE,"Investments";"Annual Deal CF 4",#N/A,TRUE,"Investments";"Annual Deal CF 5",#N/A,TRUE,"Investments";"Annual Deal CF 6",#N/A,TRUE,"Investments";"Annual Deal CF 7",#N/A,TRUE,"Investments"}</definedName>
    <definedName name="wrn.Annual._.Summary." localSheetId="3" hidden="1">{"Annual Cash Flows",#N/A,FALSE,"Annual Summary"}</definedName>
    <definedName name="wrn.Annual._.Summary." localSheetId="6" hidden="1">{"Annual Cash Flows",#N/A,FALSE,"Annual Summary"}</definedName>
    <definedName name="wrn.Annual._.Summary." localSheetId="9" hidden="1">{"Annual Cash Flows",#N/A,FALSE,"Annual Summary"}</definedName>
    <definedName name="wrn.Annual._.Summary." localSheetId="2" hidden="1">{"Annual Cash Flows",#N/A,FALSE,"Annual Summary"}</definedName>
    <definedName name="wrn.Annual._.Summary." localSheetId="4" hidden="1">{"Annual Cash Flows",#N/A,FALSE,"Annual Summary"}</definedName>
    <definedName name="wrn.Annual._.Summary." localSheetId="0" hidden="1">{"Annual Cash Flows",#N/A,FALSE,"Annual Summary"}</definedName>
    <definedName name="wrn.Annual._.Summary." hidden="1">{"Annual Cash Flows",#N/A,FALSE,"Annual Summary"}</definedName>
    <definedName name="wrn.Annual.CF" localSheetId="3" hidden="1">{"Annual Deal CF 1",#N/A,TRUE,"Investments";"Annual Deal CF 2",#N/A,TRUE,"Investments";"Annual Deal CF 3",#N/A,TRUE,"Investments";"Annual Deal CF 4",#N/A,TRUE,"Investments";"Annual Deal CF 5",#N/A,TRUE,"Investments";"Annual Deal CF 6",#N/A,TRUE,"Investments";"Annual Deal CF 7",#N/A,TRUE,"Investments"}</definedName>
    <definedName name="wrn.Annual.CF" localSheetId="9" hidden="1">{"Annual Deal CF 1",#N/A,TRUE,"Investments";"Annual Deal CF 2",#N/A,TRUE,"Investments";"Annual Deal CF 3",#N/A,TRUE,"Investments";"Annual Deal CF 4",#N/A,TRUE,"Investments";"Annual Deal CF 5",#N/A,TRUE,"Investments";"Annual Deal CF 6",#N/A,TRUE,"Investments";"Annual Deal CF 7",#N/A,TRUE,"Investments"}</definedName>
    <definedName name="wrn.Annual.CF" localSheetId="2" hidden="1">{"Annual Deal CF 1",#N/A,TRUE,"Investments";"Annual Deal CF 2",#N/A,TRUE,"Investments";"Annual Deal CF 3",#N/A,TRUE,"Investments";"Annual Deal CF 4",#N/A,TRUE,"Investments";"Annual Deal CF 5",#N/A,TRUE,"Investments";"Annual Deal CF 6",#N/A,TRUE,"Investments";"Annual Deal CF 7",#N/A,TRUE,"Investments"}</definedName>
    <definedName name="wrn.Annual.CF" localSheetId="4" hidden="1">{"Annual Deal CF 1",#N/A,TRUE,"Investments";"Annual Deal CF 2",#N/A,TRUE,"Investments";"Annual Deal CF 3",#N/A,TRUE,"Investments";"Annual Deal CF 4",#N/A,TRUE,"Investments";"Annual Deal CF 5",#N/A,TRUE,"Investments";"Annual Deal CF 6",#N/A,TRUE,"Investments";"Annual Deal CF 7",#N/A,TRUE,"Investments"}</definedName>
    <definedName name="wrn.Annual.CF" localSheetId="0" hidden="1">{"Annual Deal CF 1",#N/A,TRUE,"Investments";"Annual Deal CF 2",#N/A,TRUE,"Investments";"Annual Deal CF 3",#N/A,TRUE,"Investments";"Annual Deal CF 4",#N/A,TRUE,"Investments";"Annual Deal CF 5",#N/A,TRUE,"Investments";"Annual Deal CF 6",#N/A,TRUE,"Investments";"Annual Deal CF 7",#N/A,TRUE,"Investments"}</definedName>
    <definedName name="wrn.Annual.CF"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 localSheetId="3"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 localSheetId="9"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 localSheetId="2"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 localSheetId="4"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 localSheetId="0"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_1" localSheetId="3"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_1" localSheetId="9"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_1" localSheetId="2"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_1" localSheetId="4"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_1" localSheetId="0"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_1"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_2" localSheetId="3"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_2" localSheetId="9"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_2" localSheetId="2"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_2" localSheetId="4"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_2" localSheetId="0"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_2"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_3" localSheetId="3"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_3" localSheetId="9"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_3" localSheetId="2"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_3" localSheetId="4"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_3" localSheetId="0" hidden="1">{"Annual Deal CF 1",#N/A,TRUE,"Investments";"Annual Deal CF 2",#N/A,TRUE,"Investments";"Annual Deal CF 3",#N/A,TRUE,"Investments";"Annual Deal CF 4",#N/A,TRUE,"Investments";"Annual Deal CF 5",#N/A,TRUE,"Investments";"Annual Deal CF 6",#N/A,TRUE,"Investments";"Annual Deal CF 7",#N/A,TRUE,"Investments"}</definedName>
    <definedName name="wrn.Annual.CF_1_3" hidden="1">{"Annual Deal CF 1",#N/A,TRUE,"Investments";"Annual Deal CF 2",#N/A,TRUE,"Investments";"Annual Deal CF 3",#N/A,TRUE,"Investments";"Annual Deal CF 4",#N/A,TRUE,"Investments";"Annual Deal CF 5",#N/A,TRUE,"Investments";"Annual Deal CF 6",#N/A,TRUE,"Investments";"Annual Deal CF 7",#N/A,TRUE,"Investments"}</definedName>
    <definedName name="wrn.Annual.CF_2" localSheetId="3" hidden="1">{"Annual Deal CF 1",#N/A,TRUE,"Investments";"Annual Deal CF 2",#N/A,TRUE,"Investments";"Annual Deal CF 3",#N/A,TRUE,"Investments";"Annual Deal CF 4",#N/A,TRUE,"Investments";"Annual Deal CF 5",#N/A,TRUE,"Investments";"Annual Deal CF 6",#N/A,TRUE,"Investments";"Annual Deal CF 7",#N/A,TRUE,"Investments"}</definedName>
    <definedName name="wrn.Annual.CF_2" localSheetId="9" hidden="1">{"Annual Deal CF 1",#N/A,TRUE,"Investments";"Annual Deal CF 2",#N/A,TRUE,"Investments";"Annual Deal CF 3",#N/A,TRUE,"Investments";"Annual Deal CF 4",#N/A,TRUE,"Investments";"Annual Deal CF 5",#N/A,TRUE,"Investments";"Annual Deal CF 6",#N/A,TRUE,"Investments";"Annual Deal CF 7",#N/A,TRUE,"Investments"}</definedName>
    <definedName name="wrn.Annual.CF_2" localSheetId="2" hidden="1">{"Annual Deal CF 1",#N/A,TRUE,"Investments";"Annual Deal CF 2",#N/A,TRUE,"Investments";"Annual Deal CF 3",#N/A,TRUE,"Investments";"Annual Deal CF 4",#N/A,TRUE,"Investments";"Annual Deal CF 5",#N/A,TRUE,"Investments";"Annual Deal CF 6",#N/A,TRUE,"Investments";"Annual Deal CF 7",#N/A,TRUE,"Investments"}</definedName>
    <definedName name="wrn.Annual.CF_2" localSheetId="4" hidden="1">{"Annual Deal CF 1",#N/A,TRUE,"Investments";"Annual Deal CF 2",#N/A,TRUE,"Investments";"Annual Deal CF 3",#N/A,TRUE,"Investments";"Annual Deal CF 4",#N/A,TRUE,"Investments";"Annual Deal CF 5",#N/A,TRUE,"Investments";"Annual Deal CF 6",#N/A,TRUE,"Investments";"Annual Deal CF 7",#N/A,TRUE,"Investments"}</definedName>
    <definedName name="wrn.Annual.CF_2" localSheetId="0" hidden="1">{"Annual Deal CF 1",#N/A,TRUE,"Investments";"Annual Deal CF 2",#N/A,TRUE,"Investments";"Annual Deal CF 3",#N/A,TRUE,"Investments";"Annual Deal CF 4",#N/A,TRUE,"Investments";"Annual Deal CF 5",#N/A,TRUE,"Investments";"Annual Deal CF 6",#N/A,TRUE,"Investments";"Annual Deal CF 7",#N/A,TRUE,"Investments"}</definedName>
    <definedName name="wrn.Annual.CF_2" hidden="1">{"Annual Deal CF 1",#N/A,TRUE,"Investments";"Annual Deal CF 2",#N/A,TRUE,"Investments";"Annual Deal CF 3",#N/A,TRUE,"Investments";"Annual Deal CF 4",#N/A,TRUE,"Investments";"Annual Deal CF 5",#N/A,TRUE,"Investments";"Annual Deal CF 6",#N/A,TRUE,"Investments";"Annual Deal CF 7",#N/A,TRUE,"Investments"}</definedName>
    <definedName name="wrn.Annual.CF_3" localSheetId="3" hidden="1">{"Annual Deal CF 1",#N/A,TRUE,"Investments";"Annual Deal CF 2",#N/A,TRUE,"Investments";"Annual Deal CF 3",#N/A,TRUE,"Investments";"Annual Deal CF 4",#N/A,TRUE,"Investments";"Annual Deal CF 5",#N/A,TRUE,"Investments";"Annual Deal CF 6",#N/A,TRUE,"Investments";"Annual Deal CF 7",#N/A,TRUE,"Investments"}</definedName>
    <definedName name="wrn.Annual.CF_3" localSheetId="9" hidden="1">{"Annual Deal CF 1",#N/A,TRUE,"Investments";"Annual Deal CF 2",#N/A,TRUE,"Investments";"Annual Deal CF 3",#N/A,TRUE,"Investments";"Annual Deal CF 4",#N/A,TRUE,"Investments";"Annual Deal CF 5",#N/A,TRUE,"Investments";"Annual Deal CF 6",#N/A,TRUE,"Investments";"Annual Deal CF 7",#N/A,TRUE,"Investments"}</definedName>
    <definedName name="wrn.Annual.CF_3" localSheetId="2" hidden="1">{"Annual Deal CF 1",#N/A,TRUE,"Investments";"Annual Deal CF 2",#N/A,TRUE,"Investments";"Annual Deal CF 3",#N/A,TRUE,"Investments";"Annual Deal CF 4",#N/A,TRUE,"Investments";"Annual Deal CF 5",#N/A,TRUE,"Investments";"Annual Deal CF 6",#N/A,TRUE,"Investments";"Annual Deal CF 7",#N/A,TRUE,"Investments"}</definedName>
    <definedName name="wrn.Annual.CF_3" localSheetId="4" hidden="1">{"Annual Deal CF 1",#N/A,TRUE,"Investments";"Annual Deal CF 2",#N/A,TRUE,"Investments";"Annual Deal CF 3",#N/A,TRUE,"Investments";"Annual Deal CF 4",#N/A,TRUE,"Investments";"Annual Deal CF 5",#N/A,TRUE,"Investments";"Annual Deal CF 6",#N/A,TRUE,"Investments";"Annual Deal CF 7",#N/A,TRUE,"Investments"}</definedName>
    <definedName name="wrn.Annual.CF_3" localSheetId="0" hidden="1">{"Annual Deal CF 1",#N/A,TRUE,"Investments";"Annual Deal CF 2",#N/A,TRUE,"Investments";"Annual Deal CF 3",#N/A,TRUE,"Investments";"Annual Deal CF 4",#N/A,TRUE,"Investments";"Annual Deal CF 5",#N/A,TRUE,"Investments";"Annual Deal CF 6",#N/A,TRUE,"Investments";"Annual Deal CF 7",#N/A,TRUE,"Investments"}</definedName>
    <definedName name="wrn.Annual.CF_3" hidden="1">{"Annual Deal CF 1",#N/A,TRUE,"Investments";"Annual Deal CF 2",#N/A,TRUE,"Investments";"Annual Deal CF 3",#N/A,TRUE,"Investments";"Annual Deal CF 4",#N/A,TRUE,"Investments";"Annual Deal CF 5",#N/A,TRUE,"Investments";"Annual Deal CF 6",#N/A,TRUE,"Investments";"Annual Deal CF 7",#N/A,TRUE,"Investments"}</definedName>
    <definedName name="wrn.Annual.CF_4" localSheetId="3" hidden="1">{"Annual Deal CF 1",#N/A,TRUE,"Investments";"Annual Deal CF 2",#N/A,TRUE,"Investments";"Annual Deal CF 3",#N/A,TRUE,"Investments";"Annual Deal CF 4",#N/A,TRUE,"Investments";"Annual Deal CF 5",#N/A,TRUE,"Investments";"Annual Deal CF 6",#N/A,TRUE,"Investments";"Annual Deal CF 7",#N/A,TRUE,"Investments"}</definedName>
    <definedName name="wrn.Annual.CF_4" localSheetId="9" hidden="1">{"Annual Deal CF 1",#N/A,TRUE,"Investments";"Annual Deal CF 2",#N/A,TRUE,"Investments";"Annual Deal CF 3",#N/A,TRUE,"Investments";"Annual Deal CF 4",#N/A,TRUE,"Investments";"Annual Deal CF 5",#N/A,TRUE,"Investments";"Annual Deal CF 6",#N/A,TRUE,"Investments";"Annual Deal CF 7",#N/A,TRUE,"Investments"}</definedName>
    <definedName name="wrn.Annual.CF_4" localSheetId="2" hidden="1">{"Annual Deal CF 1",#N/A,TRUE,"Investments";"Annual Deal CF 2",#N/A,TRUE,"Investments";"Annual Deal CF 3",#N/A,TRUE,"Investments";"Annual Deal CF 4",#N/A,TRUE,"Investments";"Annual Deal CF 5",#N/A,TRUE,"Investments";"Annual Deal CF 6",#N/A,TRUE,"Investments";"Annual Deal CF 7",#N/A,TRUE,"Investments"}</definedName>
    <definedName name="wrn.Annual.CF_4" localSheetId="4" hidden="1">{"Annual Deal CF 1",#N/A,TRUE,"Investments";"Annual Deal CF 2",#N/A,TRUE,"Investments";"Annual Deal CF 3",#N/A,TRUE,"Investments";"Annual Deal CF 4",#N/A,TRUE,"Investments";"Annual Deal CF 5",#N/A,TRUE,"Investments";"Annual Deal CF 6",#N/A,TRUE,"Investments";"Annual Deal CF 7",#N/A,TRUE,"Investments"}</definedName>
    <definedName name="wrn.Annual.CF_4" localSheetId="0" hidden="1">{"Annual Deal CF 1",#N/A,TRUE,"Investments";"Annual Deal CF 2",#N/A,TRUE,"Investments";"Annual Deal CF 3",#N/A,TRUE,"Investments";"Annual Deal CF 4",#N/A,TRUE,"Investments";"Annual Deal CF 5",#N/A,TRUE,"Investments";"Annual Deal CF 6",#N/A,TRUE,"Investments";"Annual Deal CF 7",#N/A,TRUE,"Investments"}</definedName>
    <definedName name="wrn.Annual.CF_4" hidden="1">{"Annual Deal CF 1",#N/A,TRUE,"Investments";"Annual Deal CF 2",#N/A,TRUE,"Investments";"Annual Deal CF 3",#N/A,TRUE,"Investments";"Annual Deal CF 4",#N/A,TRUE,"Investments";"Annual Deal CF 5",#N/A,TRUE,"Investments";"Annual Deal CF 6",#N/A,TRUE,"Investments";"Annual Deal CF 7",#N/A,TRUE,"Investments"}</definedName>
    <definedName name="wrn.AnnualRentRoll" localSheetId="3" hidden="1">{"AnnualRentRoll",#N/A,FALSE,"RentRoll"}</definedName>
    <definedName name="wrn.AnnualRentRoll" localSheetId="6" hidden="1">{"AnnualRentRoll",#N/A,FALSE,"RentRoll"}</definedName>
    <definedName name="wrn.AnnualRentRoll" localSheetId="9" hidden="1">{"AnnualRentRoll",#N/A,FALSE,"RentRoll"}</definedName>
    <definedName name="wrn.AnnualRentRoll" localSheetId="2" hidden="1">{"AnnualRentRoll",#N/A,FALSE,"RentRoll"}</definedName>
    <definedName name="wrn.AnnualRentRoll" localSheetId="4" hidden="1">{"AnnualRentRoll",#N/A,FALSE,"RentRoll"}</definedName>
    <definedName name="wrn.AnnualRentRoll" localSheetId="0" hidden="1">{"AnnualRentRoll",#N/A,FALSE,"RentRoll"}</definedName>
    <definedName name="wrn.AnnualRentRoll" hidden="1">{"AnnualRentRoll",#N/A,FALSE,"RentRoll"}</definedName>
    <definedName name="wrn.AnnualRentRoll." localSheetId="3" hidden="1">{"AnnualRentRoll",#N/A,FALSE,"RentRoll"}</definedName>
    <definedName name="wrn.AnnualRentRoll." localSheetId="6" hidden="1">{"AnnualRentRoll",#N/A,FALSE,"RentRoll"}</definedName>
    <definedName name="wrn.AnnualRentRoll." localSheetId="9" hidden="1">{"AnnualRentRoll",#N/A,FALSE,"RentRoll"}</definedName>
    <definedName name="wrn.AnnualRentRoll." localSheetId="2" hidden="1">{"AnnualRentRoll",#N/A,FALSE,"RentRoll"}</definedName>
    <definedName name="wrn.AnnualRentRoll." localSheetId="4" hidden="1">{"AnnualRentRoll",#N/A,FALSE,"RentRoll"}</definedName>
    <definedName name="wrn.AnnualRentRoll." localSheetId="0" hidden="1">{"AnnualRentRoll",#N/A,FALSE,"RentRoll"}</definedName>
    <definedName name="wrn.AnnualRentRoll." hidden="1">{"AnnualRentRoll",#N/A,FALSE,"RentRoll"}</definedName>
    <definedName name="wrn.annualrentroll2" localSheetId="3" hidden="1">{"AnnualRentRoll",#N/A,FALSE,"RentRoll"}</definedName>
    <definedName name="wrn.annualrentroll2" localSheetId="6" hidden="1">{"AnnualRentRoll",#N/A,FALSE,"RentRoll"}</definedName>
    <definedName name="wrn.annualrentroll2" localSheetId="9" hidden="1">{"AnnualRentRoll",#N/A,FALSE,"RentRoll"}</definedName>
    <definedName name="wrn.annualrentroll2" localSheetId="2" hidden="1">{"AnnualRentRoll",#N/A,FALSE,"RentRoll"}</definedName>
    <definedName name="wrn.annualrentroll2" localSheetId="4" hidden="1">{"AnnualRentRoll",#N/A,FALSE,"RentRoll"}</definedName>
    <definedName name="wrn.annualrentroll2" localSheetId="0" hidden="1">{"AnnualRentRoll",#N/A,FALSE,"RentRoll"}</definedName>
    <definedName name="wrn.annualrentroll2" hidden="1">{"AnnualRentRoll",#N/A,FALSE,"RentRoll"}</definedName>
    <definedName name="wrn.appendix._.c." localSheetId="3" hidden="1">{"interim 20",#N/A,TRUE,"Interim";"landsale 20",#N/A,TRUE,"LandSale";"noi 20",#N/A,TRUE,"NOI";"bldg sale 20",#N/A,TRUE,"BldgSale";"aff hsg",#N/A,TRUE,"AffHsg"}</definedName>
    <definedName name="wrn.appendix._.c." localSheetId="9" hidden="1">{"interim 20",#N/A,TRUE,"Interim";"landsale 20",#N/A,TRUE,"LandSale";"noi 20",#N/A,TRUE,"NOI";"bldg sale 20",#N/A,TRUE,"BldgSale";"aff hsg",#N/A,TRUE,"AffHsg"}</definedName>
    <definedName name="wrn.appendix._.c." localSheetId="2" hidden="1">{"interim 20",#N/A,TRUE,"Interim";"landsale 20",#N/A,TRUE,"LandSale";"noi 20",#N/A,TRUE,"NOI";"bldg sale 20",#N/A,TRUE,"BldgSale";"aff hsg",#N/A,TRUE,"AffHsg"}</definedName>
    <definedName name="wrn.appendix._.c." localSheetId="4" hidden="1">{"interim 20",#N/A,TRUE,"Interim";"landsale 20",#N/A,TRUE,"LandSale";"noi 20",#N/A,TRUE,"NOI";"bldg sale 20",#N/A,TRUE,"BldgSale";"aff hsg",#N/A,TRUE,"AffHsg"}</definedName>
    <definedName name="wrn.appendix._.c." localSheetId="0" hidden="1">{"interim 20",#N/A,TRUE,"Interim";"landsale 20",#N/A,TRUE,"LandSale";"noi 20",#N/A,TRUE,"NOI";"bldg sale 20",#N/A,TRUE,"BldgSale";"aff hsg",#N/A,TRUE,"AffHsg"}</definedName>
    <definedName name="wrn.appendix._.c." hidden="1">{"interim 20",#N/A,TRUE,"Interim";"landsale 20",#N/A,TRUE,"LandSale";"noi 20",#N/A,TRUE,"NOI";"bldg sale 20",#N/A,TRUE,"BldgSale";"aff hsg",#N/A,TRUE,"AffHsg"}</definedName>
    <definedName name="wrn.Appraisal." localSheetId="3" hidden="1">{#N/A,#N/A,FALSE,"APPRAISAL";#N/A,#N/A,FALSE,"APPRAISAL 2";#N/A,#N/A,FALSE,"APPRAISAL 3"}</definedName>
    <definedName name="wrn.Appraisal." localSheetId="6" hidden="1">{#N/A,#N/A,FALSE,"APPRAISAL";#N/A,#N/A,FALSE,"APPRAISAL 2";#N/A,#N/A,FALSE,"APPRAISAL 3"}</definedName>
    <definedName name="wrn.Appraisal." localSheetId="9" hidden="1">{#N/A,#N/A,FALSE,"APPRAISAL";#N/A,#N/A,FALSE,"APPRAISAL 2";#N/A,#N/A,FALSE,"APPRAISAL 3"}</definedName>
    <definedName name="wrn.Appraisal." localSheetId="2" hidden="1">{#N/A,#N/A,FALSE,"APPRAISAL";#N/A,#N/A,FALSE,"APPRAISAL 2";#N/A,#N/A,FALSE,"APPRAISAL 3"}</definedName>
    <definedName name="wrn.Appraisal." localSheetId="4" hidden="1">{#N/A,#N/A,FALSE,"APPRAISAL";#N/A,#N/A,FALSE,"APPRAISAL 2";#N/A,#N/A,FALSE,"APPRAISAL 3"}</definedName>
    <definedName name="wrn.Appraisal." localSheetId="0" hidden="1">{#N/A,#N/A,FALSE,"APPRAISAL";#N/A,#N/A,FALSE,"APPRAISAL 2";#N/A,#N/A,FALSE,"APPRAISAL 3"}</definedName>
    <definedName name="wrn.Appraisal." hidden="1">{#N/A,#N/A,FALSE,"APPRAISAL";#N/A,#N/A,FALSE,"APPRAISAL 2";#N/A,#N/A,FALSE,"APPRAISAL 3"}</definedName>
    <definedName name="wrn.Asia._.Total._.Variance." localSheetId="3" hidden="1">{#N/A,#N/A,FALSE,"Asia"}</definedName>
    <definedName name="wrn.Asia._.Total._.Variance." localSheetId="9" hidden="1">{#N/A,#N/A,FALSE,"Asia"}</definedName>
    <definedName name="wrn.Asia._.Total._.Variance." localSheetId="2" hidden="1">{#N/A,#N/A,FALSE,"Asia"}</definedName>
    <definedName name="wrn.Asia._.Total._.Variance." localSheetId="4" hidden="1">{#N/A,#N/A,FALSE,"Asia"}</definedName>
    <definedName name="wrn.Asia._.Total._.Variance." localSheetId="0" hidden="1">{#N/A,#N/A,FALSE,"Asia"}</definedName>
    <definedName name="wrn.Asia._.Total._.Variance." hidden="1">{#N/A,#N/A,FALSE,"Asia"}</definedName>
    <definedName name="wrn.Asset._.Management." localSheetId="3" hidden="1">{#N/A,#N/A,FALSE,"ASSET MGMT."}</definedName>
    <definedName name="wrn.Asset._.Management." localSheetId="6" hidden="1">{#N/A,#N/A,FALSE,"ASSET MGMT."}</definedName>
    <definedName name="wrn.Asset._.Management." localSheetId="9" hidden="1">{#N/A,#N/A,FALSE,"ASSET MGMT."}</definedName>
    <definedName name="wrn.Asset._.Management." localSheetId="2" hidden="1">{#N/A,#N/A,FALSE,"ASSET MGMT."}</definedName>
    <definedName name="wrn.Asset._.Management." localSheetId="4" hidden="1">{#N/A,#N/A,FALSE,"ASSET MGMT."}</definedName>
    <definedName name="wrn.Asset._.Management." localSheetId="0" hidden="1">{#N/A,#N/A,FALSE,"ASSET MGMT."}</definedName>
    <definedName name="wrn.Asset._.Management." hidden="1">{#N/A,#N/A,FALSE,"ASSET MGMT."}</definedName>
    <definedName name="wrn.Assum.._.and._.Totals._.Inv.." localSheetId="0" hidden="1">{#N/A,#N/A,FALSE,"Assumptions";"Investor 5 Year Total",#N/A,FALSE,"Investor"}</definedName>
    <definedName name="wrn.Assum.._.and._.Totals._.Inv.." hidden="1">{#N/A,#N/A,FALSE,"Assumptions";"Investor 5 Year Total",#N/A,FALSE,"Investor"}</definedName>
    <definedName name="wrn.Assum.._.and._.Totals._.Sum.." localSheetId="0" hidden="1">{#N/A,#N/A,TRUE,"Assumptions";"Summary 5 Year Total",#N/A,TRUE,"Summary"}</definedName>
    <definedName name="wrn.Assum.._.and._.Totals._.Sum.." hidden="1">{#N/A,#N/A,TRUE,"Assumptions";"Summary 5 Year Total",#N/A,TRUE,"Summary"}</definedName>
    <definedName name="wrn.Assumptions." localSheetId="3" hidden="1">{"Assumptions",#N/A,FALSE,"Assumptions"}</definedName>
    <definedName name="wrn.Assumptions." localSheetId="6" hidden="1">{"Assumptions",#N/A,FALSE,"Assumptions"}</definedName>
    <definedName name="wrn.Assumptions." localSheetId="9" hidden="1">{"Assumptions",#N/A,FALSE,"Assumptions"}</definedName>
    <definedName name="wrn.Assumptions." localSheetId="2" hidden="1">{"Assumptions",#N/A,FALSE,"Assumptions"}</definedName>
    <definedName name="wrn.Assumptions." localSheetId="4" hidden="1">{"Assumptions",#N/A,FALSE,"Assumptions"}</definedName>
    <definedName name="wrn.Assumptions." localSheetId="0" hidden="1">{"Assumptions",#N/A,FALSE,"Assumptions"}</definedName>
    <definedName name="wrn.Assumptions." hidden="1">{"Assumptions",#N/A,FALSE,"Assumptions"}</definedName>
    <definedName name="wrn.Atrium." localSheetId="0" hidden="1">{"Atrium-Investor",#N/A,FALSE,"Atrium";"Atrium-Property",#N/A,FALSE,"Atrium"}</definedName>
    <definedName name="wrn.Atrium." hidden="1">{"Atrium-Investor",#N/A,FALSE,"Atrium";"Atrium-Property",#N/A,FALSE,"Atrium"}</definedName>
    <definedName name="wrn.Auto._.Comp." localSheetId="3" hidden="1">{#N/A,#N/A,FALSE,"Sheet1"}</definedName>
    <definedName name="wrn.Auto._.Comp." localSheetId="9" hidden="1">{#N/A,#N/A,FALSE,"Sheet1"}</definedName>
    <definedName name="wrn.Auto._.Comp." localSheetId="2" hidden="1">{#N/A,#N/A,FALSE,"Sheet1"}</definedName>
    <definedName name="wrn.Auto._.Comp." localSheetId="4" hidden="1">{#N/A,#N/A,FALSE,"Sheet1"}</definedName>
    <definedName name="wrn.Auto._.Comp." localSheetId="0" hidden="1">{#N/A,#N/A,FALSE,"Sheet1"}</definedName>
    <definedName name="wrn.Auto._.Comp." hidden="1">{#N/A,#N/A,FALSE,"Sheet1"}</definedName>
    <definedName name="wrn.AVEX._.NCL._.Tower." localSheetId="3" hidden="1">{#N/A,#N/A,FALSE,"North Central Life";#N/A,#N/A,FALSE,"Town Square";#N/A,#N/A,FALSE,"Summary"}</definedName>
    <definedName name="wrn.AVEX._.NCL._.Tower." localSheetId="6" hidden="1">{#N/A,#N/A,FALSE,"North Central Life";#N/A,#N/A,FALSE,"Town Square";#N/A,#N/A,FALSE,"Summary"}</definedName>
    <definedName name="wrn.AVEX._.NCL._.Tower." localSheetId="9" hidden="1">{#N/A,#N/A,FALSE,"North Central Life";#N/A,#N/A,FALSE,"Town Square";#N/A,#N/A,FALSE,"Summary"}</definedName>
    <definedName name="wrn.AVEX._.NCL._.Tower." localSheetId="2" hidden="1">{#N/A,#N/A,FALSE,"North Central Life";#N/A,#N/A,FALSE,"Town Square";#N/A,#N/A,FALSE,"Summary"}</definedName>
    <definedName name="wrn.AVEX._.NCL._.Tower." localSheetId="4" hidden="1">{#N/A,#N/A,FALSE,"North Central Life";#N/A,#N/A,FALSE,"Town Square";#N/A,#N/A,FALSE,"Summary"}</definedName>
    <definedName name="wrn.AVEX._.NCL._.Tower." localSheetId="0" hidden="1">{#N/A,#N/A,FALSE,"North Central Life";#N/A,#N/A,FALSE,"Town Square";#N/A,#N/A,FALSE,"Summary"}</definedName>
    <definedName name="wrn.AVEX._.NCL._.Tower." hidden="1">{#N/A,#N/A,FALSE,"North Central Life";#N/A,#N/A,FALSE,"Town Square";#N/A,#N/A,FALSE,"Summary"}</definedName>
    <definedName name="wrn.BA." localSheetId="0" hidden="1">{"ba1",#N/A,TRUE,"B-A";"ba2",#N/A,TRUE,"B-A"}</definedName>
    <definedName name="wrn.BA." hidden="1">{"ba1",#N/A,TRUE,"B-A";"ba2",#N/A,TRUE,"B-A"}</definedName>
    <definedName name="wrn.Balcor." localSheetId="0"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Balcor."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Bank._.Loan._.Tax._.Exempt." localSheetId="3" hidden="1">{"Bank Loan Tax Exempt",#N/A,FALSE,"Bank-TE"}</definedName>
    <definedName name="wrn.Bank._.Loan._.Tax._.Exempt." localSheetId="9" hidden="1">{"Bank Loan Tax Exempt",#N/A,FALSE,"Bank-TE"}</definedName>
    <definedName name="wrn.Bank._.Loan._.Tax._.Exempt." localSheetId="2" hidden="1">{"Bank Loan Tax Exempt",#N/A,FALSE,"Bank-TE"}</definedName>
    <definedName name="wrn.Bank._.Loan._.Tax._.Exempt." localSheetId="4" hidden="1">{"Bank Loan Tax Exempt",#N/A,FALSE,"Bank-TE"}</definedName>
    <definedName name="wrn.Bank._.Loan._.Tax._.Exempt." localSheetId="0" hidden="1">{"Bank Loan Tax Exempt",#N/A,FALSE,"Bank-TE"}</definedName>
    <definedName name="wrn.Bank._.Loan._.Tax._.Exempt." hidden="1">{"Bank Loan Tax Exempt",#N/A,FALSE,"Bank-TE"}</definedName>
    <definedName name="wrn.Bank._.Loan._.Taxable." localSheetId="3" hidden="1">{"Bank Taxable",#N/A,FALSE,"Bank-Taxable"}</definedName>
    <definedName name="wrn.Bank._.Loan._.Taxable." localSheetId="9" hidden="1">{"Bank Taxable",#N/A,FALSE,"Bank-Taxable"}</definedName>
    <definedName name="wrn.Bank._.Loan._.Taxable." localSheetId="2" hidden="1">{"Bank Taxable",#N/A,FALSE,"Bank-Taxable"}</definedName>
    <definedName name="wrn.Bank._.Loan._.Taxable." localSheetId="4" hidden="1">{"Bank Taxable",#N/A,FALSE,"Bank-Taxable"}</definedName>
    <definedName name="wrn.Bank._.Loan._.Taxable." localSheetId="0" hidden="1">{"Bank Taxable",#N/A,FALSE,"Bank-Taxable"}</definedName>
    <definedName name="wrn.Bank._.Loan._.Taxable." hidden="1">{"Bank Taxable",#N/A,FALSE,"Bank-Taxable"}</definedName>
    <definedName name="wrn.BaseYearDemand." localSheetId="3" hidden="1">{"Base Year Demand",#N/A,FALSE,"Demand-Base Year"}</definedName>
    <definedName name="wrn.BaseYearDemand." localSheetId="6" hidden="1">{"Base Year Demand",#N/A,FALSE,"Demand-Base Year"}</definedName>
    <definedName name="wrn.BaseYearDemand." localSheetId="9" hidden="1">{"Base Year Demand",#N/A,FALSE,"Demand-Base Year"}</definedName>
    <definedName name="wrn.BaseYearDemand." localSheetId="2" hidden="1">{"Base Year Demand",#N/A,FALSE,"Demand-Base Year"}</definedName>
    <definedName name="wrn.BaseYearDemand." localSheetId="4" hidden="1">{"Base Year Demand",#N/A,FALSE,"Demand-Base Year"}</definedName>
    <definedName name="wrn.BaseYearDemand." localSheetId="0" hidden="1">{"Base Year Demand",#N/A,FALSE,"Demand-Base Year"}</definedName>
    <definedName name="wrn.BaseYearDemand." hidden="1">{"Base Year Demand",#N/A,FALSE,"Demand-Base Year"}</definedName>
    <definedName name="wrn.Basic." localSheetId="3" hidden="1">{"Cover Basic",#N/A,FALSE,"cover";"Operations - all",#N/A,FALSE,"Operating";"Dev Budget - detail",#N/A,FALSE,"Development";"Dev Budget - commercial &amp; residential",#N/A,FALSE,"Development";"S&amp;U",#N/A,FALSE,"Sources";"Lease-up",#N/A,FALSE,"Lease Up";"proforma - 30yr all",#N/A,FALSE,"Proforma"}</definedName>
    <definedName name="wrn.Basic." localSheetId="9" hidden="1">{"Cover Basic",#N/A,FALSE,"cover";"Operations - all",#N/A,FALSE,"Operating";"Dev Budget - detail",#N/A,FALSE,"Development";"Dev Budget - commercial &amp; residential",#N/A,FALSE,"Development";"S&amp;U",#N/A,FALSE,"Sources";"Lease-up",#N/A,FALSE,"Lease Up";"proforma - 30yr all",#N/A,FALSE,"Proforma"}</definedName>
    <definedName name="wrn.Basic." localSheetId="2" hidden="1">{"Cover Basic",#N/A,FALSE,"cover";"Operations - all",#N/A,FALSE,"Operating";"Dev Budget - detail",#N/A,FALSE,"Development";"Dev Budget - commercial &amp; residential",#N/A,FALSE,"Development";"S&amp;U",#N/A,FALSE,"Sources";"Lease-up",#N/A,FALSE,"Lease Up";"proforma - 30yr all",#N/A,FALSE,"Proforma"}</definedName>
    <definedName name="wrn.Basic." localSheetId="4" hidden="1">{"Cover Basic",#N/A,FALSE,"cover";"Operations - all",#N/A,FALSE,"Operating";"Dev Budget - detail",#N/A,FALSE,"Development";"Dev Budget - commercial &amp; residential",#N/A,FALSE,"Development";"S&amp;U",#N/A,FALSE,"Sources";"Lease-up",#N/A,FALSE,"Lease Up";"proforma - 30yr all",#N/A,FALSE,"Proforma"}</definedName>
    <definedName name="wrn.Basic." localSheetId="0" hidden="1">{"Cover Basic",#N/A,FALSE,"cover";"Operations - all",#N/A,FALSE,"Operating";"Dev Budget - detail",#N/A,FALSE,"Development";"Dev Budget - commercial &amp; residential",#N/A,FALSE,"Development";"S&amp;U",#N/A,FALSE,"Sources";"Lease-up",#N/A,FALSE,"Lease Up";"proforma - 30yr all",#N/A,FALSE,"Proforma"}</definedName>
    <definedName name="wrn.Basic." hidden="1">{"Cover Basic",#N/A,FALSE,"cover";"Operations - all",#N/A,FALSE,"Operating";"Dev Budget - detail",#N/A,FALSE,"Development";"Dev Budget - commercial &amp; residential",#N/A,FALSE,"Development";"S&amp;U",#N/A,FALSE,"Sources";"Lease-up",#N/A,FALSE,"Lease Up";"proforma - 30yr all",#N/A,FALSE,"Proforma"}</definedName>
    <definedName name="wrn.BIGGER." localSheetId="3" hidden="1">{"PROFORMA",#N/A,FALSE,"A";"BIGGER 1",#N/A,FALSE,"B";"BIGGER 2",#N/A,FALSE,"B";"BIGGER 3",#N/A,FALSE,"B";"SMALL CF 1",#N/A,FALSE,"C"}</definedName>
    <definedName name="wrn.BIGGER." localSheetId="6" hidden="1">{"PROFORMA",#N/A,FALSE,"A";"BIGGER 1",#N/A,FALSE,"B";"BIGGER 2",#N/A,FALSE,"B";"BIGGER 3",#N/A,FALSE,"B";"SMALL CF 1",#N/A,FALSE,"C"}</definedName>
    <definedName name="wrn.BIGGER." localSheetId="9" hidden="1">{"PROFORMA",#N/A,FALSE,"A";"BIGGER 1",#N/A,FALSE,"B";"BIGGER 2",#N/A,FALSE,"B";"BIGGER 3",#N/A,FALSE,"B";"SMALL CF 1",#N/A,FALSE,"C"}</definedName>
    <definedName name="wrn.BIGGER." localSheetId="2" hidden="1">{"PROFORMA",#N/A,FALSE,"A";"BIGGER 1",#N/A,FALSE,"B";"BIGGER 2",#N/A,FALSE,"B";"BIGGER 3",#N/A,FALSE,"B";"SMALL CF 1",#N/A,FALSE,"C"}</definedName>
    <definedName name="wrn.BIGGER." localSheetId="4" hidden="1">{"PROFORMA",#N/A,FALSE,"A";"BIGGER 1",#N/A,FALSE,"B";"BIGGER 2",#N/A,FALSE,"B";"BIGGER 3",#N/A,FALSE,"B";"SMALL CF 1",#N/A,FALSE,"C"}</definedName>
    <definedName name="wrn.BIGGER." localSheetId="0" hidden="1">{"PROFORMA",#N/A,FALSE,"A";"BIGGER 1",#N/A,FALSE,"B";"BIGGER 2",#N/A,FALSE,"B";"BIGGER 3",#N/A,FALSE,"B";"SMALL CF 1",#N/A,FALSE,"C"}</definedName>
    <definedName name="wrn.BIGGER." hidden="1">{"PROFORMA",#N/A,FALSE,"A";"BIGGER 1",#N/A,FALSE,"B";"BIGGER 2",#N/A,FALSE,"B";"BIGGER 3",#N/A,FALSE,"B";"SMALL CF 1",#N/A,FALSE,"C"}</definedName>
    <definedName name="wrn.Binder." localSheetId="0" hidden="1">{"Summary",#N/A,TRUE,"Summary";"Leasing",#N/A,TRUE,"Lease";"Expenses",#N/A,TRUE,"Lease";"Development",#N/A,TRUE,"Development";"CFlow",#N/A,TRUE,"5 Year"}</definedName>
    <definedName name="wrn.Binder." hidden="1">{"Summary",#N/A,TRUE,"Summary";"Leasing",#N/A,TRUE,"Lease";"Expenses",#N/A,TRUE,"Lease";"Development",#N/A,TRUE,"Development";"CFlow",#N/A,TRUE,"5 Year"}</definedName>
    <definedName name="wrn.Birdie." localSheetId="3" hidden="1">{#N/A,#N/A,FALSE,"Trans Summary";#N/A,#N/A,FALSE,"Proforma Five Yr";#N/A,#N/A,FALSE,"Occ and Rate"}</definedName>
    <definedName name="wrn.Birdie." localSheetId="6" hidden="1">{#N/A,#N/A,FALSE,"Trans Summary";#N/A,#N/A,FALSE,"Proforma Five Yr";#N/A,#N/A,FALSE,"Occ and Rate"}</definedName>
    <definedName name="wrn.Birdie." localSheetId="9" hidden="1">{#N/A,#N/A,FALSE,"Trans Summary";#N/A,#N/A,FALSE,"Proforma Five Yr";#N/A,#N/A,FALSE,"Occ and Rate"}</definedName>
    <definedName name="wrn.Birdie." localSheetId="2" hidden="1">{#N/A,#N/A,FALSE,"Trans Summary";#N/A,#N/A,FALSE,"Proforma Five Yr";#N/A,#N/A,FALSE,"Occ and Rate"}</definedName>
    <definedName name="wrn.Birdie." localSheetId="4" hidden="1">{#N/A,#N/A,FALSE,"Trans Summary";#N/A,#N/A,FALSE,"Proforma Five Yr";#N/A,#N/A,FALSE,"Occ and Rate"}</definedName>
    <definedName name="wrn.Birdie." localSheetId="0" hidden="1">{#N/A,#N/A,FALSE,"Trans Summary";#N/A,#N/A,FALSE,"Proforma Five Yr";#N/A,#N/A,FALSE,"Occ and Rate"}</definedName>
    <definedName name="wrn.Birdie." hidden="1">{#N/A,#N/A,FALSE,"Trans Summary";#N/A,#N/A,FALSE,"Proforma Five Yr";#N/A,#N/A,FALSE,"Occ and Rate"}</definedName>
    <definedName name="wrn.BlackWhite." localSheetId="3" hidden="1">{#N/A,#N/A,FALSE,"NNN sum";#N/A,#N/A,FALSE,"10-yr Opt. A Sum";#N/A,#N/A,FALSE,"10-yr Opt A Other Costs";#N/A,#N/A,FALSE,"Purchase Sum";#N/A,#N/A,FALSE,"Purchase Other Costs"}</definedName>
    <definedName name="wrn.BlackWhite." localSheetId="6" hidden="1">{#N/A,#N/A,FALSE,"NNN sum";#N/A,#N/A,FALSE,"10-yr Opt. A Sum";#N/A,#N/A,FALSE,"10-yr Opt A Other Costs";#N/A,#N/A,FALSE,"Purchase Sum";#N/A,#N/A,FALSE,"Purchase Other Costs"}</definedName>
    <definedName name="wrn.BlackWhite." localSheetId="9" hidden="1">{#N/A,#N/A,FALSE,"NNN sum";#N/A,#N/A,FALSE,"10-yr Opt. A Sum";#N/A,#N/A,FALSE,"10-yr Opt A Other Costs";#N/A,#N/A,FALSE,"Purchase Sum";#N/A,#N/A,FALSE,"Purchase Other Costs"}</definedName>
    <definedName name="wrn.BlackWhite." localSheetId="2" hidden="1">{#N/A,#N/A,FALSE,"NNN sum";#N/A,#N/A,FALSE,"10-yr Opt. A Sum";#N/A,#N/A,FALSE,"10-yr Opt A Other Costs";#N/A,#N/A,FALSE,"Purchase Sum";#N/A,#N/A,FALSE,"Purchase Other Costs"}</definedName>
    <definedName name="wrn.BlackWhite." localSheetId="4" hidden="1">{#N/A,#N/A,FALSE,"NNN sum";#N/A,#N/A,FALSE,"10-yr Opt. A Sum";#N/A,#N/A,FALSE,"10-yr Opt A Other Costs";#N/A,#N/A,FALSE,"Purchase Sum";#N/A,#N/A,FALSE,"Purchase Other Costs"}</definedName>
    <definedName name="wrn.BlackWhite." localSheetId="0" hidden="1">{#N/A,#N/A,FALSE,"NNN sum";#N/A,#N/A,FALSE,"10-yr Opt. A Sum";#N/A,#N/A,FALSE,"10-yr Opt A Other Costs";#N/A,#N/A,FALSE,"Purchase Sum";#N/A,#N/A,FALSE,"Purchase Other Costs"}</definedName>
    <definedName name="wrn.BlackWhite." hidden="1">{#N/A,#N/A,FALSE,"NNN sum";#N/A,#N/A,FALSE,"10-yr Opt. A Sum";#N/A,#N/A,FALSE,"10-yr Opt A Other Costs";#N/A,#N/A,FALSE,"Purchase Sum";#N/A,#N/A,FALSE,"Purchase Other Costs"}</definedName>
    <definedName name="wrn.bleu4." localSheetId="3" hidden="1">{#N/A,#N/A,FALSE}</definedName>
    <definedName name="wrn.bleu4." localSheetId="6" hidden="1">{#N/A,#N/A,FALSE}</definedName>
    <definedName name="wrn.bleu4." localSheetId="9" hidden="1">{#N/A,#N/A,FALSE}</definedName>
    <definedName name="wrn.bleu4." localSheetId="2" hidden="1">{#N/A,#N/A,FALSE}</definedName>
    <definedName name="wrn.bleu4." localSheetId="4" hidden="1">{#N/A,#N/A,FALSE}</definedName>
    <definedName name="wrn.bleu4." localSheetId="0" hidden="1">{#N/A,#N/A,FALSE}</definedName>
    <definedName name="wrn.bleu4." hidden="1">{#N/A,#N/A,FALSE}</definedName>
    <definedName name="wrn.Blue._.Book._.Sections." localSheetId="3" hidden="1">{#N/A,#N/A,TRUE,"Summary";#N/A,#N/A,TRUE,"Program Scheme";#N/A,#N/A,TRUE,"Assumptions";#N/A,#N/A,TRUE,"Development Budget &amp; Timing";#N/A,#N/A,TRUE,"Cash Flow";#N/A,#N/A,TRUE,"Cash Flow to Debt &amp; Equity"}</definedName>
    <definedName name="wrn.Blue._.Book._.Sections." localSheetId="6" hidden="1">{#N/A,#N/A,TRUE,"Summary";#N/A,#N/A,TRUE,"Program Scheme";#N/A,#N/A,TRUE,"Assumptions";#N/A,#N/A,TRUE,"Development Budget &amp; Timing";#N/A,#N/A,TRUE,"Cash Flow";#N/A,#N/A,TRUE,"Cash Flow to Debt &amp; Equity"}</definedName>
    <definedName name="wrn.Blue._.Book._.Sections." localSheetId="9" hidden="1">{#N/A,#N/A,TRUE,"Summary";#N/A,#N/A,TRUE,"Program Scheme";#N/A,#N/A,TRUE,"Assumptions";#N/A,#N/A,TRUE,"Development Budget &amp; Timing";#N/A,#N/A,TRUE,"Cash Flow";#N/A,#N/A,TRUE,"Cash Flow to Debt &amp; Equity"}</definedName>
    <definedName name="wrn.Blue._.Book._.Sections." localSheetId="2" hidden="1">{#N/A,#N/A,TRUE,"Summary";#N/A,#N/A,TRUE,"Program Scheme";#N/A,#N/A,TRUE,"Assumptions";#N/A,#N/A,TRUE,"Development Budget &amp; Timing";#N/A,#N/A,TRUE,"Cash Flow";#N/A,#N/A,TRUE,"Cash Flow to Debt &amp; Equity"}</definedName>
    <definedName name="wrn.Blue._.Book._.Sections." localSheetId="4" hidden="1">{#N/A,#N/A,TRUE,"Summary";#N/A,#N/A,TRUE,"Program Scheme";#N/A,#N/A,TRUE,"Assumptions";#N/A,#N/A,TRUE,"Development Budget &amp; Timing";#N/A,#N/A,TRUE,"Cash Flow";#N/A,#N/A,TRUE,"Cash Flow to Debt &amp; Equity"}</definedName>
    <definedName name="wrn.Blue._.Book._.Sections." localSheetId="0" hidden="1">{#N/A,#N/A,TRUE,"Summary";#N/A,#N/A,TRUE,"Program Scheme";#N/A,#N/A,TRUE,"Assumptions";#N/A,#N/A,TRUE,"Development Budget &amp; Timing";#N/A,#N/A,TRUE,"Cash Flow";#N/A,#N/A,TRUE,"Cash Flow to Debt &amp; Equity"}</definedName>
    <definedName name="wrn.Blue._.Book._.Sections." hidden="1">{#N/A,#N/A,TRUE,"Summary";#N/A,#N/A,TRUE,"Program Scheme";#N/A,#N/A,TRUE,"Assumptions";#N/A,#N/A,TRUE,"Development Budget &amp; Timing";#N/A,#N/A,TRUE,"Cash Flow";#N/A,#N/A,TRUE,"Cash Flow to Debt &amp; Equity"}</definedName>
    <definedName name="wrn.BofA." localSheetId="0" hidden="1">{"BofA-Investor",#N/A,FALSE,"BofA Tower";"BofA-Property",#N/A,FALSE,"BofA Tower"}</definedName>
    <definedName name="wrn.BofA." hidden="1">{"BofA-Investor",#N/A,FALSE,"BofA Tower";"BofA-Property",#N/A,FALSE,"BofA Tower"}</definedName>
    <definedName name="wrn.book." localSheetId="3" hidden="1">{"page1",#N/A,FALSE,"net investor returns";"page2",#N/A,FALSE,"net investor returns"}</definedName>
    <definedName name="wrn.book." localSheetId="6" hidden="1">{"page1",#N/A,FALSE,"net investor returns";"page2",#N/A,FALSE,"net investor returns"}</definedName>
    <definedName name="wrn.book." localSheetId="9" hidden="1">{"page1",#N/A,FALSE,"net investor returns";"page2",#N/A,FALSE,"net investor returns"}</definedName>
    <definedName name="wrn.book." localSheetId="2" hidden="1">{"page1",#N/A,FALSE,"net investor returns";"page2",#N/A,FALSE,"net investor returns"}</definedName>
    <definedName name="wrn.book." localSheetId="4" hidden="1">{"page1",#N/A,FALSE,"net investor returns";"page2",#N/A,FALSE,"net investor returns"}</definedName>
    <definedName name="wrn.book." localSheetId="0" hidden="1">{"page1",#N/A,FALSE,"net investor returns";"page2",#N/A,FALSE,"net investor returns"}</definedName>
    <definedName name="wrn.book." hidden="1">{"page1",#N/A,FALSE,"net investor returns";"page2",#N/A,FALSE,"net investor returns"}</definedName>
    <definedName name="wrn.Boston._.1.4._1" localSheetId="3" hidden="1">{"Coversheet",#N/A,TRUE,"Sheet1";"Sensitivity",#N/A,TRUE,"Sheet1";"Value",#N/A,TRUE,"Sheet1";"Asset",#N/A,TRUE,"Sheet1";"Cash+Equity",#N/A,TRUE,"Sheet1";"DCF",#N/A,TRUE,"Sheet1";"Partnership Distribution",#N/A,TRUE,"Sheet1";"Promote1",#N/A,TRUE,"Sheet1";"Promote2",#N/A,TRUE,"Sheet1";"Promote3",#N/A,TRUE,"Sheet1";"Assumptions",#N/A,TRUE,"Sheet1"}</definedName>
    <definedName name="wrn.Boston._.1.4._1" localSheetId="9" hidden="1">{"Coversheet",#N/A,TRUE,"Sheet1";"Sensitivity",#N/A,TRUE,"Sheet1";"Value",#N/A,TRUE,"Sheet1";"Asset",#N/A,TRUE,"Sheet1";"Cash+Equity",#N/A,TRUE,"Sheet1";"DCF",#N/A,TRUE,"Sheet1";"Partnership Distribution",#N/A,TRUE,"Sheet1";"Promote1",#N/A,TRUE,"Sheet1";"Promote2",#N/A,TRUE,"Sheet1";"Promote3",#N/A,TRUE,"Sheet1";"Assumptions",#N/A,TRUE,"Sheet1"}</definedName>
    <definedName name="wrn.Boston._.1.4._1" localSheetId="2" hidden="1">{"Coversheet",#N/A,TRUE,"Sheet1";"Sensitivity",#N/A,TRUE,"Sheet1";"Value",#N/A,TRUE,"Sheet1";"Asset",#N/A,TRUE,"Sheet1";"Cash+Equity",#N/A,TRUE,"Sheet1";"DCF",#N/A,TRUE,"Sheet1";"Partnership Distribution",#N/A,TRUE,"Sheet1";"Promote1",#N/A,TRUE,"Sheet1";"Promote2",#N/A,TRUE,"Sheet1";"Promote3",#N/A,TRUE,"Sheet1";"Assumptions",#N/A,TRUE,"Sheet1"}</definedName>
    <definedName name="wrn.Boston._.1.4._1" localSheetId="4" hidden="1">{"Coversheet",#N/A,TRUE,"Sheet1";"Sensitivity",#N/A,TRUE,"Sheet1";"Value",#N/A,TRUE,"Sheet1";"Asset",#N/A,TRUE,"Sheet1";"Cash+Equity",#N/A,TRUE,"Sheet1";"DCF",#N/A,TRUE,"Sheet1";"Partnership Distribution",#N/A,TRUE,"Sheet1";"Promote1",#N/A,TRUE,"Sheet1";"Promote2",#N/A,TRUE,"Sheet1";"Promote3",#N/A,TRUE,"Sheet1";"Assumptions",#N/A,TRUE,"Sheet1"}</definedName>
    <definedName name="wrn.Boston._.1.4._1" localSheetId="0" hidden="1">{"Coversheet",#N/A,TRUE,"Sheet1";"Sensitivity",#N/A,TRUE,"Sheet1";"Value",#N/A,TRUE,"Sheet1";"Asset",#N/A,TRUE,"Sheet1";"Cash+Equity",#N/A,TRUE,"Sheet1";"DCF",#N/A,TRUE,"Sheet1";"Partnership Distribution",#N/A,TRUE,"Sheet1";"Promote1",#N/A,TRUE,"Sheet1";"Promote2",#N/A,TRUE,"Sheet1";"Promote3",#N/A,TRUE,"Sheet1";"Assumptions",#N/A,TRUE,"Sheet1"}</definedName>
    <definedName name="wrn.Boston._.1.4._1" hidden="1">{"Coversheet",#N/A,TRUE,"Sheet1";"Sensitivity",#N/A,TRUE,"Sheet1";"Value",#N/A,TRUE,"Sheet1";"Asset",#N/A,TRUE,"Sheet1";"Cash+Equity",#N/A,TRUE,"Sheet1";"DCF",#N/A,TRUE,"Sheet1";"Partnership Distribution",#N/A,TRUE,"Sheet1";"Promote1",#N/A,TRUE,"Sheet1";"Promote2",#N/A,TRUE,"Sheet1";"Promote3",#N/A,TRUE,"Sheet1";"Assumptions",#N/A,TRUE,"Sheet1"}</definedName>
    <definedName name="wrn.Boston._.1.4._2" localSheetId="3" hidden="1">{"Coversheet",#N/A,TRUE,"Sheet1";"Sensitivity",#N/A,TRUE,"Sheet1";"Value",#N/A,TRUE,"Sheet1";"Asset",#N/A,TRUE,"Sheet1";"Cash+Equity",#N/A,TRUE,"Sheet1";"DCF",#N/A,TRUE,"Sheet1";"Partnership Distribution",#N/A,TRUE,"Sheet1";"Promote1",#N/A,TRUE,"Sheet1";"Promote2",#N/A,TRUE,"Sheet1";"Promote3",#N/A,TRUE,"Sheet1";"Assumptions",#N/A,TRUE,"Sheet1"}</definedName>
    <definedName name="wrn.Boston._.1.4._2" localSheetId="9" hidden="1">{"Coversheet",#N/A,TRUE,"Sheet1";"Sensitivity",#N/A,TRUE,"Sheet1";"Value",#N/A,TRUE,"Sheet1";"Asset",#N/A,TRUE,"Sheet1";"Cash+Equity",#N/A,TRUE,"Sheet1";"DCF",#N/A,TRUE,"Sheet1";"Partnership Distribution",#N/A,TRUE,"Sheet1";"Promote1",#N/A,TRUE,"Sheet1";"Promote2",#N/A,TRUE,"Sheet1";"Promote3",#N/A,TRUE,"Sheet1";"Assumptions",#N/A,TRUE,"Sheet1"}</definedName>
    <definedName name="wrn.Boston._.1.4._2" localSheetId="2" hidden="1">{"Coversheet",#N/A,TRUE,"Sheet1";"Sensitivity",#N/A,TRUE,"Sheet1";"Value",#N/A,TRUE,"Sheet1";"Asset",#N/A,TRUE,"Sheet1";"Cash+Equity",#N/A,TRUE,"Sheet1";"DCF",#N/A,TRUE,"Sheet1";"Partnership Distribution",#N/A,TRUE,"Sheet1";"Promote1",#N/A,TRUE,"Sheet1";"Promote2",#N/A,TRUE,"Sheet1";"Promote3",#N/A,TRUE,"Sheet1";"Assumptions",#N/A,TRUE,"Sheet1"}</definedName>
    <definedName name="wrn.Boston._.1.4._2" localSheetId="4" hidden="1">{"Coversheet",#N/A,TRUE,"Sheet1";"Sensitivity",#N/A,TRUE,"Sheet1";"Value",#N/A,TRUE,"Sheet1";"Asset",#N/A,TRUE,"Sheet1";"Cash+Equity",#N/A,TRUE,"Sheet1";"DCF",#N/A,TRUE,"Sheet1";"Partnership Distribution",#N/A,TRUE,"Sheet1";"Promote1",#N/A,TRUE,"Sheet1";"Promote2",#N/A,TRUE,"Sheet1";"Promote3",#N/A,TRUE,"Sheet1";"Assumptions",#N/A,TRUE,"Sheet1"}</definedName>
    <definedName name="wrn.Boston._.1.4._2" localSheetId="0" hidden="1">{"Coversheet",#N/A,TRUE,"Sheet1";"Sensitivity",#N/A,TRUE,"Sheet1";"Value",#N/A,TRUE,"Sheet1";"Asset",#N/A,TRUE,"Sheet1";"Cash+Equity",#N/A,TRUE,"Sheet1";"DCF",#N/A,TRUE,"Sheet1";"Partnership Distribution",#N/A,TRUE,"Sheet1";"Promote1",#N/A,TRUE,"Sheet1";"Promote2",#N/A,TRUE,"Sheet1";"Promote3",#N/A,TRUE,"Sheet1";"Assumptions",#N/A,TRUE,"Sheet1"}</definedName>
    <definedName name="wrn.Boston._.1.4._2" hidden="1">{"Coversheet",#N/A,TRUE,"Sheet1";"Sensitivity",#N/A,TRUE,"Sheet1";"Value",#N/A,TRUE,"Sheet1";"Asset",#N/A,TRUE,"Sheet1";"Cash+Equity",#N/A,TRUE,"Sheet1";"DCF",#N/A,TRUE,"Sheet1";"Partnership Distribution",#N/A,TRUE,"Sheet1";"Promote1",#N/A,TRUE,"Sheet1";"Promote2",#N/A,TRUE,"Sheet1";"Promote3",#N/A,TRUE,"Sheet1";"Assumptions",#N/A,TRUE,"Sheet1"}</definedName>
    <definedName name="wrn.Boston._.1.4._3" localSheetId="3" hidden="1">{"Coversheet",#N/A,TRUE,"Sheet1";"Sensitivity",#N/A,TRUE,"Sheet1";"Value",#N/A,TRUE,"Sheet1";"Asset",#N/A,TRUE,"Sheet1";"Cash+Equity",#N/A,TRUE,"Sheet1";"DCF",#N/A,TRUE,"Sheet1";"Partnership Distribution",#N/A,TRUE,"Sheet1";"Promote1",#N/A,TRUE,"Sheet1";"Promote2",#N/A,TRUE,"Sheet1";"Promote3",#N/A,TRUE,"Sheet1";"Assumptions",#N/A,TRUE,"Sheet1"}</definedName>
    <definedName name="wrn.Boston._.1.4._3" localSheetId="9" hidden="1">{"Coversheet",#N/A,TRUE,"Sheet1";"Sensitivity",#N/A,TRUE,"Sheet1";"Value",#N/A,TRUE,"Sheet1";"Asset",#N/A,TRUE,"Sheet1";"Cash+Equity",#N/A,TRUE,"Sheet1";"DCF",#N/A,TRUE,"Sheet1";"Partnership Distribution",#N/A,TRUE,"Sheet1";"Promote1",#N/A,TRUE,"Sheet1";"Promote2",#N/A,TRUE,"Sheet1";"Promote3",#N/A,TRUE,"Sheet1";"Assumptions",#N/A,TRUE,"Sheet1"}</definedName>
    <definedName name="wrn.Boston._.1.4._3" localSheetId="2" hidden="1">{"Coversheet",#N/A,TRUE,"Sheet1";"Sensitivity",#N/A,TRUE,"Sheet1";"Value",#N/A,TRUE,"Sheet1";"Asset",#N/A,TRUE,"Sheet1";"Cash+Equity",#N/A,TRUE,"Sheet1";"DCF",#N/A,TRUE,"Sheet1";"Partnership Distribution",#N/A,TRUE,"Sheet1";"Promote1",#N/A,TRUE,"Sheet1";"Promote2",#N/A,TRUE,"Sheet1";"Promote3",#N/A,TRUE,"Sheet1";"Assumptions",#N/A,TRUE,"Sheet1"}</definedName>
    <definedName name="wrn.Boston._.1.4._3" localSheetId="4" hidden="1">{"Coversheet",#N/A,TRUE,"Sheet1";"Sensitivity",#N/A,TRUE,"Sheet1";"Value",#N/A,TRUE,"Sheet1";"Asset",#N/A,TRUE,"Sheet1";"Cash+Equity",#N/A,TRUE,"Sheet1";"DCF",#N/A,TRUE,"Sheet1";"Partnership Distribution",#N/A,TRUE,"Sheet1";"Promote1",#N/A,TRUE,"Sheet1";"Promote2",#N/A,TRUE,"Sheet1";"Promote3",#N/A,TRUE,"Sheet1";"Assumptions",#N/A,TRUE,"Sheet1"}</definedName>
    <definedName name="wrn.Boston._.1.4._3" localSheetId="0" hidden="1">{"Coversheet",#N/A,TRUE,"Sheet1";"Sensitivity",#N/A,TRUE,"Sheet1";"Value",#N/A,TRUE,"Sheet1";"Asset",#N/A,TRUE,"Sheet1";"Cash+Equity",#N/A,TRUE,"Sheet1";"DCF",#N/A,TRUE,"Sheet1";"Partnership Distribution",#N/A,TRUE,"Sheet1";"Promote1",#N/A,TRUE,"Sheet1";"Promote2",#N/A,TRUE,"Sheet1";"Promote3",#N/A,TRUE,"Sheet1";"Assumptions",#N/A,TRUE,"Sheet1"}</definedName>
    <definedName name="wrn.Boston._.1.4._3" hidden="1">{"Coversheet",#N/A,TRUE,"Sheet1";"Sensitivity",#N/A,TRUE,"Sheet1";"Value",#N/A,TRUE,"Sheet1";"Asset",#N/A,TRUE,"Sheet1";"Cash+Equity",#N/A,TRUE,"Sheet1";"DCF",#N/A,TRUE,"Sheet1";"Partnership Distribution",#N/A,TRUE,"Sheet1";"Promote1",#N/A,TRUE,"Sheet1";"Promote2",#N/A,TRUE,"Sheet1";"Promote3",#N/A,TRUE,"Sheet1";"Assumptions",#N/A,TRUE,"Sheet1"}</definedName>
    <definedName name="wrn.Both._.Outputs." localSheetId="3" hidden="1">{"LTV Output",#N/A,FALSE,"Output";"DCR Output",#N/A,FALSE,"Output"}</definedName>
    <definedName name="wrn.Both._.Outputs." localSheetId="6" hidden="1">{"LTV Output",#N/A,FALSE,"Output";"DCR Output",#N/A,FALSE,"Output"}</definedName>
    <definedName name="wrn.Both._.Outputs." localSheetId="9" hidden="1">{"LTV Output",#N/A,FALSE,"Output";"DCR Output",#N/A,FALSE,"Output"}</definedName>
    <definedName name="wrn.Both._.Outputs." localSheetId="2" hidden="1">{"LTV Output",#N/A,FALSE,"Output";"DCR Output",#N/A,FALSE,"Output"}</definedName>
    <definedName name="wrn.Both._.Outputs." localSheetId="4" hidden="1">{"LTV Output",#N/A,FALSE,"Output";"DCR Output",#N/A,FALSE,"Output"}</definedName>
    <definedName name="wrn.Both._.Outputs." localSheetId="0" hidden="1">{"LTV Output",#N/A,FALSE,"Output";"DCR Output",#N/A,FALSE,"Output"}</definedName>
    <definedName name="wrn.Both._.Outputs." hidden="1">{"LTV Output",#N/A,FALSE,"Output";"DCR Output",#N/A,FALSE,"Output"}</definedName>
    <definedName name="wrn.Both._.Outputs.2" localSheetId="0" hidden="1">{"LTV Output",#N/A,FALSE,"Output";"DCR Output",#N/A,FALSE,"Output"}</definedName>
    <definedName name="wrn.Both._.Outputs.2" hidden="1">{"LTV Output",#N/A,FALSE,"Output";"DCR Output",#N/A,FALSE,"Output"}</definedName>
    <definedName name="wrn.BOV." localSheetId="0" hidden="1">{#N/A,#N/A,FALSE,"Pricing Matrix";#N/A,#N/A,FALSE,"Assumptions";#N/A,#N/A,FALSE,"Year One Pro Forma";#N/A,#N/A,FALSE,"Operating Stmts";#N/A,#N/A,FALSE,"Cash Flow Projections";#N/A,#N/A,FALSE,"Rent Roll Summary";#N/A,#N/A,FALSE,"Market Rent Detail";#N/A,#N/A,FALSE,"Effective Rental Income Detail"}</definedName>
    <definedName name="wrn.BOV." hidden="1">{#N/A,#N/A,FALSE,"Pricing Matrix";#N/A,#N/A,FALSE,"Assumptions";#N/A,#N/A,FALSE,"Year One Pro Forma";#N/A,#N/A,FALSE,"Operating Stmts";#N/A,#N/A,FALSE,"Cash Flow Projections";#N/A,#N/A,FALSE,"Rent Roll Summary";#N/A,#N/A,FALSE,"Market Rent Detail";#N/A,#N/A,FALSE,"Effective Rental Income Detail"}</definedName>
    <definedName name="wrn.Break._.Even._.Analysis." localSheetId="3" hidden="1">{"Break Even",#N/A,FALSE,"Sensitivity"}</definedName>
    <definedName name="wrn.Break._.Even._.Analysis." localSheetId="9" hidden="1">{"Break Even",#N/A,FALSE,"Sensitivity"}</definedName>
    <definedName name="wrn.Break._.Even._.Analysis." localSheetId="2" hidden="1">{"Break Even",#N/A,FALSE,"Sensitivity"}</definedName>
    <definedName name="wrn.Break._.Even._.Analysis." localSheetId="4" hidden="1">{"Break Even",#N/A,FALSE,"Sensitivity"}</definedName>
    <definedName name="wrn.Break._.Even._.Analysis." localSheetId="0" hidden="1">{"Break Even",#N/A,FALSE,"Sensitivity"}</definedName>
    <definedName name="wrn.Break._.Even._.Analysis." hidden="1">{"Break Even",#N/A,FALSE,"Sensitivity"}</definedName>
    <definedName name="wrn.breakup." localSheetId="3" hidden="1">{"comps1",#N/A,FALSE,"Comps Sheet";"comps2",#N/A,FALSE,"Comps Sheet";"comps3",#N/A,FALSE,"Comps Sheet";"comps4",#N/A,FALSE,"Comps Sheet";"comps5",#N/A,FALSE,"Comps Sheet";"comps6",#N/A,FALSE,"Comps Sheet";"ec",#N/A,FALSE,"E&amp;C";"environmental",#N/A,FALSE,"Environmental";"heavy",#N/A,FALSE,"Heavy Const."}</definedName>
    <definedName name="wrn.breakup." localSheetId="9" hidden="1">{"comps1",#N/A,FALSE,"Comps Sheet";"comps2",#N/A,FALSE,"Comps Sheet";"comps3",#N/A,FALSE,"Comps Sheet";"comps4",#N/A,FALSE,"Comps Sheet";"comps5",#N/A,FALSE,"Comps Sheet";"comps6",#N/A,FALSE,"Comps Sheet";"ec",#N/A,FALSE,"E&amp;C";"environmental",#N/A,FALSE,"Environmental";"heavy",#N/A,FALSE,"Heavy Const."}</definedName>
    <definedName name="wrn.breakup." localSheetId="2" hidden="1">{"comps1",#N/A,FALSE,"Comps Sheet";"comps2",#N/A,FALSE,"Comps Sheet";"comps3",#N/A,FALSE,"Comps Sheet";"comps4",#N/A,FALSE,"Comps Sheet";"comps5",#N/A,FALSE,"Comps Sheet";"comps6",#N/A,FALSE,"Comps Sheet";"ec",#N/A,FALSE,"E&amp;C";"environmental",#N/A,FALSE,"Environmental";"heavy",#N/A,FALSE,"Heavy Const."}</definedName>
    <definedName name="wrn.breakup." localSheetId="4" hidden="1">{"comps1",#N/A,FALSE,"Comps Sheet";"comps2",#N/A,FALSE,"Comps Sheet";"comps3",#N/A,FALSE,"Comps Sheet";"comps4",#N/A,FALSE,"Comps Sheet";"comps5",#N/A,FALSE,"Comps Sheet";"comps6",#N/A,FALSE,"Comps Sheet";"ec",#N/A,FALSE,"E&amp;C";"environmental",#N/A,FALSE,"Environmental";"heavy",#N/A,FALSE,"Heavy Const."}</definedName>
    <definedName name="wrn.breakup." localSheetId="0" hidden="1">{"comps1",#N/A,FALSE,"Comps Sheet";"comps2",#N/A,FALSE,"Comps Sheet";"comps3",#N/A,FALSE,"Comps Sheet";"comps4",#N/A,FALSE,"Comps Sheet";"comps5",#N/A,FALSE,"Comps Sheet";"comps6",#N/A,FALSE,"Comps Sheet";"ec",#N/A,FALSE,"E&amp;C";"environmental",#N/A,FALSE,"Environmental";"heavy",#N/A,FALSE,"Heavy Const."}</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Buildups." localSheetId="3" hidden="1">{"ACQ",#N/A,FALSE,"ACQUISITIONS";"ACQF",#N/A,FALSE,"ACQUISITIONS";"PF",#N/A,FALSE,"PROYECTOVILA";"PV",#N/A,FALSE,"PROYECTOVILA";"Fee Dev",#N/A,FALSE,"DEVELOPMENT GROWTH";"gd",#N/A,FALSE,"DEVELOPMENT GROWTH"}</definedName>
    <definedName name="wrn.Buildups." localSheetId="6" hidden="1">{"ACQ",#N/A,FALSE,"ACQUISITIONS";"ACQF",#N/A,FALSE,"ACQUISITIONS";"PF",#N/A,FALSE,"PROYECTOVILA";"PV",#N/A,FALSE,"PROYECTOVILA";"Fee Dev",#N/A,FALSE,"DEVELOPMENT GROWTH";"gd",#N/A,FALSE,"DEVELOPMENT GROWTH"}</definedName>
    <definedName name="wrn.Buildups." localSheetId="9" hidden="1">{"ACQ",#N/A,FALSE,"ACQUISITIONS";"ACQF",#N/A,FALSE,"ACQUISITIONS";"PF",#N/A,FALSE,"PROYECTOVILA";"PV",#N/A,FALSE,"PROYECTOVILA";"Fee Dev",#N/A,FALSE,"DEVELOPMENT GROWTH";"gd",#N/A,FALSE,"DEVELOPMENT GROWTH"}</definedName>
    <definedName name="wrn.Buildups." localSheetId="2" hidden="1">{"ACQ",#N/A,FALSE,"ACQUISITIONS";"ACQF",#N/A,FALSE,"ACQUISITIONS";"PF",#N/A,FALSE,"PROYECTOVILA";"PV",#N/A,FALSE,"PROYECTOVILA";"Fee Dev",#N/A,FALSE,"DEVELOPMENT GROWTH";"gd",#N/A,FALSE,"DEVELOPMENT GROWTH"}</definedName>
    <definedName name="wrn.Buildups." localSheetId="4" hidden="1">{"ACQ",#N/A,FALSE,"ACQUISITIONS";"ACQF",#N/A,FALSE,"ACQUISITIONS";"PF",#N/A,FALSE,"PROYECTOVILA";"PV",#N/A,FALSE,"PROYECTOVILA";"Fee Dev",#N/A,FALSE,"DEVELOPMENT GROWTH";"gd",#N/A,FALSE,"DEVELOPMENT GROWTH"}</definedName>
    <definedName name="wrn.Buildups." localSheetId="0" hidden="1">{"ACQ",#N/A,FALSE,"ACQUISITIONS";"ACQF",#N/A,FALSE,"ACQUISITIONS";"PF",#N/A,FALSE,"PROYECTOVILA";"PV",#N/A,FALSE,"PROYECTOVILA";"Fee Dev",#N/A,FALSE,"DEVELOPMENT GROWTH";"gd",#N/A,FALSE,"DEVELOPMENT GROWTH"}</definedName>
    <definedName name="wrn.Buildups." hidden="1">{"ACQ",#N/A,FALSE,"ACQUISITIONS";"ACQF",#N/A,FALSE,"ACQUISITIONS";"PF",#N/A,FALSE,"PROYECTOVILA";"PV",#N/A,FALSE,"PROYECTOVILA";"Fee Dev",#N/A,FALSE,"DEVELOPMENT GROWTH";"gd",#N/A,FALSE,"DEVELOPMENT GROWTH"}</definedName>
    <definedName name="wrn.Cash._.Flow._.Analysis." localSheetId="3" hidden="1">{"CF",#N/A,FALSE,"Cash Flow";"RET",#N/A,FALSE,"Returns";"NPV",#N/A,FALSE,"Values";"ASMPT",#N/A,FALSE,"Assumptions"}</definedName>
    <definedName name="wrn.Cash._.Flow._.Analysis." localSheetId="6" hidden="1">{"CF",#N/A,FALSE,"Cash Flow";"RET",#N/A,FALSE,"Returns";"NPV",#N/A,FALSE,"Values";"ASMPT",#N/A,FALSE,"Assumptions"}</definedName>
    <definedName name="wrn.Cash._.Flow._.Analysis." localSheetId="9" hidden="1">{"CF",#N/A,FALSE,"Cash Flow";"RET",#N/A,FALSE,"Returns";"NPV",#N/A,FALSE,"Values";"ASMPT",#N/A,FALSE,"Assumptions"}</definedName>
    <definedName name="wrn.Cash._.Flow._.Analysis." localSheetId="2" hidden="1">{"CF",#N/A,FALSE,"Cash Flow";"RET",#N/A,FALSE,"Returns";"NPV",#N/A,FALSE,"Values";"ASMPT",#N/A,FALSE,"Assumptions"}</definedName>
    <definedName name="wrn.Cash._.Flow._.Analysis." localSheetId="4" hidden="1">{"CF",#N/A,FALSE,"Cash Flow";"RET",#N/A,FALSE,"Returns";"NPV",#N/A,FALSE,"Values";"ASMPT",#N/A,FALSE,"Assumptions"}</definedName>
    <definedName name="wrn.Cash._.Flow._.Analysis." localSheetId="0" hidden="1">{"CF",#N/A,FALSE,"Cash Flow";"RET",#N/A,FALSE,"Returns";"NPV",#N/A,FALSE,"Values";"ASMPT",#N/A,FALSE,"Assumptions"}</definedName>
    <definedName name="wrn.Cash._.Flow._.Analysis." hidden="1">{"CF",#N/A,FALSE,"Cash Flow";"RET",#N/A,FALSE,"Returns";"NPV",#N/A,FALSE,"Values";"ASMPT",#N/A,FALSE,"Assumptions"}</definedName>
    <definedName name="wrn.CD." localSheetId="0" hidden="1">{"CD1",#N/A,TRUE,"C-D (R)";"CD2",#N/A,TRUE,"C-D (R)"}</definedName>
    <definedName name="wrn.CD." hidden="1">{"CD1",#N/A,TRUE,"C-D (R)";"CD2",#N/A,TRUE,"C-D (R)"}</definedName>
    <definedName name="wrn.CF." localSheetId="0" hidden="1">{"CAPITAL",#N/A,FALSE,"Cash Flow";"EQUITY",#N/A,FALSE,"Cash Flow"}</definedName>
    <definedName name="wrn.CF." hidden="1">{"CAPITAL",#N/A,FALSE,"Cash Flow";"EQUITY",#N/A,FALSE,"Cash Flow"}</definedName>
    <definedName name="wrn.CF._.Print." localSheetId="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_.Print." localSheetId="6"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_.Print." localSheetId="9"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_.Print." localSheetId="2"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_.Print." localSheetId="4"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_.Print." localSheetId="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_.Print."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_1" localSheetId="0" hidden="1">{"CAPITAL",#N/A,FALSE,"Cash Flow";"EQUITY",#N/A,FALSE,"Cash Flow"}</definedName>
    <definedName name="wrn.CF._1" hidden="1">{"CAPITAL",#N/A,FALSE,"Cash Flow";"EQUITY",#N/A,FALSE,"Cash Flow"}</definedName>
    <definedName name="wrn.CF._2" localSheetId="0" hidden="1">{"CAPITAL",#N/A,FALSE,"Cash Flow";"EQUITY",#N/A,FALSE,"Cash Flow"}</definedName>
    <definedName name="wrn.CF._2" hidden="1">{"CAPITAL",#N/A,FALSE,"Cash Flow";"EQUITY",#N/A,FALSE,"Cash Flow"}</definedName>
    <definedName name="wrn.CF._3" localSheetId="0" hidden="1">{"CAPITAL",#N/A,FALSE,"Cash Flow";"EQUITY",#N/A,FALSE,"Cash Flow"}</definedName>
    <definedName name="wrn.CF._3" hidden="1">{"CAPITAL",#N/A,FALSE,"Cash Flow";"EQUITY",#N/A,FALSE,"Cash Flow"}</definedName>
    <definedName name="wrn.cf._a" localSheetId="0" hidden="1">{"CAPITAL",#N/A,FALSE,"Cash Flow";"EQUITY",#N/A,FALSE,"Cash Flow"}</definedName>
    <definedName name="wrn.cf._a" hidden="1">{"CAPITAL",#N/A,FALSE,"Cash Flow";"EQUITY",#N/A,FALSE,"Cash Flow"}</definedName>
    <definedName name="wrn.cf._b" localSheetId="0" hidden="1">{"CAPITAL",#N/A,FALSE,"Cash Flow";"EQUITY",#N/A,FALSE,"Cash Flow"}</definedName>
    <definedName name="wrn.cf._b" hidden="1">{"CAPITAL",#N/A,FALSE,"Cash Flow";"EQUITY",#N/A,FALSE,"Cash Flow"}</definedName>
    <definedName name="wrn.cf._c" localSheetId="0" hidden="1">{"CAPITAL",#N/A,FALSE,"Cash Flow";"EQUITY",#N/A,FALSE,"Cash Flow"}</definedName>
    <definedName name="wrn.cf._c" hidden="1">{"CAPITAL",#N/A,FALSE,"Cash Flow";"EQUITY",#N/A,FALSE,"Cash Flow"}</definedName>
    <definedName name="wrn.cf.1" localSheetId="0" hidden="1">{"CAPITAL",#N/A,FALSE,"Cash Flow";"EQUITY",#N/A,FALSE,"Cash Flow"}</definedName>
    <definedName name="wrn.cf.1" hidden="1">{"CAPITAL",#N/A,FALSE,"Cash Flow";"EQUITY",#N/A,FALSE,"Cash Flow"}</definedName>
    <definedName name="wrn.CHART." localSheetId="0" hidden="1">{"chart",#N/A,FALSE,"RATE"}</definedName>
    <definedName name="wrn.CHART." hidden="1">{"chart",#N/A,FALSE,"RATE"}</definedName>
    <definedName name="wrn.check." localSheetId="0"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OMBINED." localSheetId="3" hidden="1">{#N/A,#N/A,FALSE,"INPUTS";#N/A,#N/A,FALSE,"PROFORMA BSHEET";#N/A,#N/A,FALSE,"COMBINED";#N/A,#N/A,FALSE,"HIGH YIELD";#N/A,#N/A,FALSE,"COMB_GRAPHS"}</definedName>
    <definedName name="wrn.COMBINED." localSheetId="9" hidden="1">{#N/A,#N/A,FALSE,"INPUTS";#N/A,#N/A,FALSE,"PROFORMA BSHEET";#N/A,#N/A,FALSE,"COMBINED";#N/A,#N/A,FALSE,"HIGH YIELD";#N/A,#N/A,FALSE,"COMB_GRAPHS"}</definedName>
    <definedName name="wrn.COMBINED." localSheetId="2" hidden="1">{#N/A,#N/A,FALSE,"INPUTS";#N/A,#N/A,FALSE,"PROFORMA BSHEET";#N/A,#N/A,FALSE,"COMBINED";#N/A,#N/A,FALSE,"HIGH YIELD";#N/A,#N/A,FALSE,"COMB_GRAPHS"}</definedName>
    <definedName name="wrn.COMBINED." localSheetId="4" hidden="1">{#N/A,#N/A,FALSE,"INPUTS";#N/A,#N/A,FALSE,"PROFORMA BSHEET";#N/A,#N/A,FALSE,"COMBINED";#N/A,#N/A,FALSE,"HIGH YIELD";#N/A,#N/A,FALSE,"COMB_GRAPHS"}</definedName>
    <definedName name="wrn.COMBINED." localSheetId="0" hidden="1">{#N/A,#N/A,FALSE,"INPUTS";#N/A,#N/A,FALSE,"PROFORMA BSHEET";#N/A,#N/A,FALSE,"COMBINED";#N/A,#N/A,FALSE,"HIGH YIELD";#N/A,#N/A,FALSE,"COMB_GRAPHS"}</definedName>
    <definedName name="wrn.COMBINED." hidden="1">{#N/A,#N/A,FALSE,"INPUTS";#N/A,#N/A,FALSE,"PROFORMA BSHEET";#N/A,#N/A,FALSE,"COMBINED";#N/A,#N/A,FALSE,"HIGH YIELD";#N/A,#N/A,FALSE,"COMB_GRAPHS"}</definedName>
    <definedName name="wrn.Complete."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localSheetId="6" hidden="1">{#N/A,#N/A,FALSE,"COVER SHEET";#N/A,#N/A,FALSE,"SECT 1 - SUMM";#N/A,#N/A,FALSE,"SECT 1 - LND PLAN";#N/A,#N/A,FALSE,"SECT 2 - COMBINED QTRLY PROJ CF";#N/A,#N/A,FALSE,"SECT 2 - KUKIO CF";#N/A,#N/A,FALSE,"SECT 2 - MANINI CF";#N/A,#N/A,FALSE,"SECT 5a - CLUB ASSUMPTIONS";#N/A,#N/A,FALSE,"SECT 5 - QTRLY CLUB OPS"}</definedName>
    <definedName name="wrn.Complete." localSheetId="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II._1" localSheetId="3" hidden="1">{"Summary",#N/A,TRUE,"Fund";"Value",#N/A,TRUE,"Fund";"Sensitivity",#N/A,TRUE,"Fund";"Cash_Flows",#N/A,TRUE,"Fund";"Cash/Equity",#N/A,TRUE,"Fund";"DCF/Yield",#N/A,TRUE,"Fund";"Splits 1",#N/A,TRUE,"Fund";"Promote I",#N/A,TRUE,"Fund";"Promote II",#N/A,TRUE,"Fund";"Promote III",#N/A,TRUE,"Fund";"Assumptions",#N/A,TRUE,"Fund"}</definedName>
    <definedName name="wrn.Complete._.II._1" localSheetId="9" hidden="1">{"Summary",#N/A,TRUE,"Fund";"Value",#N/A,TRUE,"Fund";"Sensitivity",#N/A,TRUE,"Fund";"Cash_Flows",#N/A,TRUE,"Fund";"Cash/Equity",#N/A,TRUE,"Fund";"DCF/Yield",#N/A,TRUE,"Fund";"Splits 1",#N/A,TRUE,"Fund";"Promote I",#N/A,TRUE,"Fund";"Promote II",#N/A,TRUE,"Fund";"Promote III",#N/A,TRUE,"Fund";"Assumptions",#N/A,TRUE,"Fund"}</definedName>
    <definedName name="wrn.Complete._.II._1" localSheetId="2" hidden="1">{"Summary",#N/A,TRUE,"Fund";"Value",#N/A,TRUE,"Fund";"Sensitivity",#N/A,TRUE,"Fund";"Cash_Flows",#N/A,TRUE,"Fund";"Cash/Equity",#N/A,TRUE,"Fund";"DCF/Yield",#N/A,TRUE,"Fund";"Splits 1",#N/A,TRUE,"Fund";"Promote I",#N/A,TRUE,"Fund";"Promote II",#N/A,TRUE,"Fund";"Promote III",#N/A,TRUE,"Fund";"Assumptions",#N/A,TRUE,"Fund"}</definedName>
    <definedName name="wrn.Complete._.II._1" localSheetId="4" hidden="1">{"Summary",#N/A,TRUE,"Fund";"Value",#N/A,TRUE,"Fund";"Sensitivity",#N/A,TRUE,"Fund";"Cash_Flows",#N/A,TRUE,"Fund";"Cash/Equity",#N/A,TRUE,"Fund";"DCF/Yield",#N/A,TRUE,"Fund";"Splits 1",#N/A,TRUE,"Fund";"Promote I",#N/A,TRUE,"Fund";"Promote II",#N/A,TRUE,"Fund";"Promote III",#N/A,TRUE,"Fund";"Assumptions",#N/A,TRUE,"Fund"}</definedName>
    <definedName name="wrn.Complete._.II._1" localSheetId="0" hidden="1">{"Summary",#N/A,TRUE,"Fund";"Value",#N/A,TRUE,"Fund";"Sensitivity",#N/A,TRUE,"Fund";"Cash_Flows",#N/A,TRUE,"Fund";"Cash/Equity",#N/A,TRUE,"Fund";"DCF/Yield",#N/A,TRUE,"Fund";"Splits 1",#N/A,TRUE,"Fund";"Promote I",#N/A,TRUE,"Fund";"Promote II",#N/A,TRUE,"Fund";"Promote III",#N/A,TRUE,"Fund";"Assumptions",#N/A,TRUE,"Fund"}</definedName>
    <definedName name="wrn.Complete._.II._1" hidden="1">{"Summary",#N/A,TRUE,"Fund";"Value",#N/A,TRUE,"Fund";"Sensitivity",#N/A,TRUE,"Fund";"Cash_Flows",#N/A,TRUE,"Fund";"Cash/Equity",#N/A,TRUE,"Fund";"DCF/Yield",#N/A,TRUE,"Fund";"Splits 1",#N/A,TRUE,"Fund";"Promote I",#N/A,TRUE,"Fund";"Promote II",#N/A,TRUE,"Fund";"Promote III",#N/A,TRUE,"Fund";"Assumptions",#N/A,TRUE,"Fund"}</definedName>
    <definedName name="wrn.Complete._.II._2" localSheetId="3" hidden="1">{"Summary",#N/A,TRUE,"Fund";"Value",#N/A,TRUE,"Fund";"Sensitivity",#N/A,TRUE,"Fund";"Cash_Flows",#N/A,TRUE,"Fund";"Cash/Equity",#N/A,TRUE,"Fund";"DCF/Yield",#N/A,TRUE,"Fund";"Splits 1",#N/A,TRUE,"Fund";"Promote I",#N/A,TRUE,"Fund";"Promote II",#N/A,TRUE,"Fund";"Promote III",#N/A,TRUE,"Fund";"Assumptions",#N/A,TRUE,"Fund"}</definedName>
    <definedName name="wrn.Complete._.II._2" localSheetId="9" hidden="1">{"Summary",#N/A,TRUE,"Fund";"Value",#N/A,TRUE,"Fund";"Sensitivity",#N/A,TRUE,"Fund";"Cash_Flows",#N/A,TRUE,"Fund";"Cash/Equity",#N/A,TRUE,"Fund";"DCF/Yield",#N/A,TRUE,"Fund";"Splits 1",#N/A,TRUE,"Fund";"Promote I",#N/A,TRUE,"Fund";"Promote II",#N/A,TRUE,"Fund";"Promote III",#N/A,TRUE,"Fund";"Assumptions",#N/A,TRUE,"Fund"}</definedName>
    <definedName name="wrn.Complete._.II._2" localSheetId="2" hidden="1">{"Summary",#N/A,TRUE,"Fund";"Value",#N/A,TRUE,"Fund";"Sensitivity",#N/A,TRUE,"Fund";"Cash_Flows",#N/A,TRUE,"Fund";"Cash/Equity",#N/A,TRUE,"Fund";"DCF/Yield",#N/A,TRUE,"Fund";"Splits 1",#N/A,TRUE,"Fund";"Promote I",#N/A,TRUE,"Fund";"Promote II",#N/A,TRUE,"Fund";"Promote III",#N/A,TRUE,"Fund";"Assumptions",#N/A,TRUE,"Fund"}</definedName>
    <definedName name="wrn.Complete._.II._2" localSheetId="4" hidden="1">{"Summary",#N/A,TRUE,"Fund";"Value",#N/A,TRUE,"Fund";"Sensitivity",#N/A,TRUE,"Fund";"Cash_Flows",#N/A,TRUE,"Fund";"Cash/Equity",#N/A,TRUE,"Fund";"DCF/Yield",#N/A,TRUE,"Fund";"Splits 1",#N/A,TRUE,"Fund";"Promote I",#N/A,TRUE,"Fund";"Promote II",#N/A,TRUE,"Fund";"Promote III",#N/A,TRUE,"Fund";"Assumptions",#N/A,TRUE,"Fund"}</definedName>
    <definedName name="wrn.Complete._.II._2" localSheetId="0" hidden="1">{"Summary",#N/A,TRUE,"Fund";"Value",#N/A,TRUE,"Fund";"Sensitivity",#N/A,TRUE,"Fund";"Cash_Flows",#N/A,TRUE,"Fund";"Cash/Equity",#N/A,TRUE,"Fund";"DCF/Yield",#N/A,TRUE,"Fund";"Splits 1",#N/A,TRUE,"Fund";"Promote I",#N/A,TRUE,"Fund";"Promote II",#N/A,TRUE,"Fund";"Promote III",#N/A,TRUE,"Fund";"Assumptions",#N/A,TRUE,"Fund"}</definedName>
    <definedName name="wrn.Complete._.II._2" hidden="1">{"Summary",#N/A,TRUE,"Fund";"Value",#N/A,TRUE,"Fund";"Sensitivity",#N/A,TRUE,"Fund";"Cash_Flows",#N/A,TRUE,"Fund";"Cash/Equity",#N/A,TRUE,"Fund";"DCF/Yield",#N/A,TRUE,"Fund";"Splits 1",#N/A,TRUE,"Fund";"Promote I",#N/A,TRUE,"Fund";"Promote II",#N/A,TRUE,"Fund";"Promote III",#N/A,TRUE,"Fund";"Assumptions",#N/A,TRUE,"Fund"}</definedName>
    <definedName name="wrn.Complete._.II._3" localSheetId="3" hidden="1">{"Summary",#N/A,TRUE,"Fund";"Value",#N/A,TRUE,"Fund";"Sensitivity",#N/A,TRUE,"Fund";"Cash_Flows",#N/A,TRUE,"Fund";"Cash/Equity",#N/A,TRUE,"Fund";"DCF/Yield",#N/A,TRUE,"Fund";"Splits 1",#N/A,TRUE,"Fund";"Promote I",#N/A,TRUE,"Fund";"Promote II",#N/A,TRUE,"Fund";"Promote III",#N/A,TRUE,"Fund";"Assumptions",#N/A,TRUE,"Fund"}</definedName>
    <definedName name="wrn.Complete._.II._3" localSheetId="9" hidden="1">{"Summary",#N/A,TRUE,"Fund";"Value",#N/A,TRUE,"Fund";"Sensitivity",#N/A,TRUE,"Fund";"Cash_Flows",#N/A,TRUE,"Fund";"Cash/Equity",#N/A,TRUE,"Fund";"DCF/Yield",#N/A,TRUE,"Fund";"Splits 1",#N/A,TRUE,"Fund";"Promote I",#N/A,TRUE,"Fund";"Promote II",#N/A,TRUE,"Fund";"Promote III",#N/A,TRUE,"Fund";"Assumptions",#N/A,TRUE,"Fund"}</definedName>
    <definedName name="wrn.Complete._.II._3" localSheetId="2" hidden="1">{"Summary",#N/A,TRUE,"Fund";"Value",#N/A,TRUE,"Fund";"Sensitivity",#N/A,TRUE,"Fund";"Cash_Flows",#N/A,TRUE,"Fund";"Cash/Equity",#N/A,TRUE,"Fund";"DCF/Yield",#N/A,TRUE,"Fund";"Splits 1",#N/A,TRUE,"Fund";"Promote I",#N/A,TRUE,"Fund";"Promote II",#N/A,TRUE,"Fund";"Promote III",#N/A,TRUE,"Fund";"Assumptions",#N/A,TRUE,"Fund"}</definedName>
    <definedName name="wrn.Complete._.II._3" localSheetId="4" hidden="1">{"Summary",#N/A,TRUE,"Fund";"Value",#N/A,TRUE,"Fund";"Sensitivity",#N/A,TRUE,"Fund";"Cash_Flows",#N/A,TRUE,"Fund";"Cash/Equity",#N/A,TRUE,"Fund";"DCF/Yield",#N/A,TRUE,"Fund";"Splits 1",#N/A,TRUE,"Fund";"Promote I",#N/A,TRUE,"Fund";"Promote II",#N/A,TRUE,"Fund";"Promote III",#N/A,TRUE,"Fund";"Assumptions",#N/A,TRUE,"Fund"}</definedName>
    <definedName name="wrn.Complete._.II._3" localSheetId="0" hidden="1">{"Summary",#N/A,TRUE,"Fund";"Value",#N/A,TRUE,"Fund";"Sensitivity",#N/A,TRUE,"Fund";"Cash_Flows",#N/A,TRUE,"Fund";"Cash/Equity",#N/A,TRUE,"Fund";"DCF/Yield",#N/A,TRUE,"Fund";"Splits 1",#N/A,TRUE,"Fund";"Promote I",#N/A,TRUE,"Fund";"Promote II",#N/A,TRUE,"Fund";"Promote III",#N/A,TRUE,"Fund";"Assumptions",#N/A,TRUE,"Fund"}</definedName>
    <definedName name="wrn.Complete._.II._3" hidden="1">{"Summary",#N/A,TRUE,"Fund";"Value",#N/A,TRUE,"Fund";"Sensitivity",#N/A,TRUE,"Fund";"Cash_Flows",#N/A,TRUE,"Fund";"Cash/Equity",#N/A,TRUE,"Fund";"DCF/Yield",#N/A,TRUE,"Fund";"Splits 1",#N/A,TRUE,"Fund";"Promote I",#N/A,TRUE,"Fund";"Promote II",#N/A,TRUE,"Fund";"Promote III",#N/A,TRUE,"Fund";"Assumptions",#N/A,TRUE,"Fund"}</definedName>
    <definedName name="wrn.Complete._.Review." localSheetId="3" hidden="1">{#N/A,#N/A,FALSE,"Occ and Rate";#N/A,#N/A,FALSE,"PF Input";#N/A,#N/A,FALSE,"Capital Input";#N/A,#N/A,FALSE,"Proforma Five Yr";#N/A,#N/A,FALSE,"Calculations";#N/A,#N/A,FALSE,"Transaction Summary-DTW"}</definedName>
    <definedName name="wrn.Complete._.Review." localSheetId="6" hidden="1">{#N/A,#N/A,FALSE,"Occ and Rate";#N/A,#N/A,FALSE,"PF Input";#N/A,#N/A,FALSE,"Capital Input";#N/A,#N/A,FALSE,"Proforma Five Yr";#N/A,#N/A,FALSE,"Calculations";#N/A,#N/A,FALSE,"Transaction Summary-DTW"}</definedName>
    <definedName name="wrn.Complete._.Review." localSheetId="9" hidden="1">{#N/A,#N/A,FALSE,"Occ and Rate";#N/A,#N/A,FALSE,"PF Input";#N/A,#N/A,FALSE,"Capital Input";#N/A,#N/A,FALSE,"Proforma Five Yr";#N/A,#N/A,FALSE,"Calculations";#N/A,#N/A,FALSE,"Transaction Summary-DTW"}</definedName>
    <definedName name="wrn.Complete._.Review." localSheetId="2" hidden="1">{#N/A,#N/A,FALSE,"Occ and Rate";#N/A,#N/A,FALSE,"PF Input";#N/A,#N/A,FALSE,"Capital Input";#N/A,#N/A,FALSE,"Proforma Five Yr";#N/A,#N/A,FALSE,"Calculations";#N/A,#N/A,FALSE,"Transaction Summary-DTW"}</definedName>
    <definedName name="wrn.Complete._.Review." localSheetId="4" hidden="1">{#N/A,#N/A,FALSE,"Occ and Rate";#N/A,#N/A,FALSE,"PF Input";#N/A,#N/A,FALSE,"Capital Input";#N/A,#N/A,FALSE,"Proforma Five Yr";#N/A,#N/A,FALSE,"Calculations";#N/A,#N/A,FALSE,"Transaction Summary-DTW"}</definedName>
    <definedName name="wrn.Complete._.Review." localSheetId="0" hidden="1">{#N/A,#N/A,FALSE,"Occ and Rate";#N/A,#N/A,FALSE,"PF Input";#N/A,#N/A,FALSE,"Capital Input";#N/A,#N/A,FALSE,"Proforma Five Yr";#N/A,#N/A,FALSE,"Calculations";#N/A,#N/A,FALSE,"Transaction Summary-DTW"}</definedName>
    <definedName name="wrn.Complete._.Review." hidden="1">{#N/A,#N/A,FALSE,"Occ and Rate";#N/A,#N/A,FALSE,"PF Input";#N/A,#N/A,FALSE,"Capital Input";#N/A,#N/A,FALSE,"Proforma Five Yr";#N/A,#N/A,FALSE,"Calculations";#N/A,#N/A,FALSE,"Transaction Summary-DTW"}</definedName>
    <definedName name="wrn.Complete._1" localSheetId="3" hidden="1">{"Summary",#N/A,TRUE,"Sheet1";"Sensitivity",#N/A,TRUE,"Sheet1";"Value",#N/A,TRUE,"Sheet1";"Asset",#N/A,TRUE,"Sheet1";"Cash",#N/A,TRUE,"Sheet1";"Equity",#N/A,TRUE,"Sheet1";"DCF",#N/A,TRUE,"Sheet1";"Splits",#N/A,TRUE,"Sheet1";"Promote1",#N/A,TRUE,"Sheet1";"Promote2",#N/A,TRUE,"Sheet1";"Promote3",#N/A,TRUE,"Sheet1";"Assumptions",#N/A,TRUE,"Sheet1";"Debt",#N/A,TRUE,"Sheet1";"Cash_Flows",#N/A,TRUE,"Sheet3"}</definedName>
    <definedName name="wrn.Complete._1" localSheetId="9" hidden="1">{"Summary",#N/A,TRUE,"Sheet1";"Sensitivity",#N/A,TRUE,"Sheet1";"Value",#N/A,TRUE,"Sheet1";"Asset",#N/A,TRUE,"Sheet1";"Cash",#N/A,TRUE,"Sheet1";"Equity",#N/A,TRUE,"Sheet1";"DCF",#N/A,TRUE,"Sheet1";"Splits",#N/A,TRUE,"Sheet1";"Promote1",#N/A,TRUE,"Sheet1";"Promote2",#N/A,TRUE,"Sheet1";"Promote3",#N/A,TRUE,"Sheet1";"Assumptions",#N/A,TRUE,"Sheet1";"Debt",#N/A,TRUE,"Sheet1";"Cash_Flows",#N/A,TRUE,"Sheet3"}</definedName>
    <definedName name="wrn.Complete._1" localSheetId="2" hidden="1">{"Summary",#N/A,TRUE,"Sheet1";"Sensitivity",#N/A,TRUE,"Sheet1";"Value",#N/A,TRUE,"Sheet1";"Asset",#N/A,TRUE,"Sheet1";"Cash",#N/A,TRUE,"Sheet1";"Equity",#N/A,TRUE,"Sheet1";"DCF",#N/A,TRUE,"Sheet1";"Splits",#N/A,TRUE,"Sheet1";"Promote1",#N/A,TRUE,"Sheet1";"Promote2",#N/A,TRUE,"Sheet1";"Promote3",#N/A,TRUE,"Sheet1";"Assumptions",#N/A,TRUE,"Sheet1";"Debt",#N/A,TRUE,"Sheet1";"Cash_Flows",#N/A,TRUE,"Sheet3"}</definedName>
    <definedName name="wrn.Complete._1" localSheetId="4" hidden="1">{"Summary",#N/A,TRUE,"Sheet1";"Sensitivity",#N/A,TRUE,"Sheet1";"Value",#N/A,TRUE,"Sheet1";"Asset",#N/A,TRUE,"Sheet1";"Cash",#N/A,TRUE,"Sheet1";"Equity",#N/A,TRUE,"Sheet1";"DCF",#N/A,TRUE,"Sheet1";"Splits",#N/A,TRUE,"Sheet1";"Promote1",#N/A,TRUE,"Sheet1";"Promote2",#N/A,TRUE,"Sheet1";"Promote3",#N/A,TRUE,"Sheet1";"Assumptions",#N/A,TRUE,"Sheet1";"Debt",#N/A,TRUE,"Sheet1";"Cash_Flows",#N/A,TRUE,"Sheet3"}</definedName>
    <definedName name="wrn.Complete._1" localSheetId="0" hidden="1">{"Summary",#N/A,TRUE,"Sheet1";"Sensitivity",#N/A,TRUE,"Sheet1";"Value",#N/A,TRUE,"Sheet1";"Asset",#N/A,TRUE,"Sheet1";"Cash",#N/A,TRUE,"Sheet1";"Equity",#N/A,TRUE,"Sheet1";"DCF",#N/A,TRUE,"Sheet1";"Splits",#N/A,TRUE,"Sheet1";"Promote1",#N/A,TRUE,"Sheet1";"Promote2",#N/A,TRUE,"Sheet1";"Promote3",#N/A,TRUE,"Sheet1";"Assumptions",#N/A,TRUE,"Sheet1";"Debt",#N/A,TRUE,"Sheet1";"Cash_Flows",#N/A,TRUE,"Sheet3"}</definedName>
    <definedName name="wrn.Complete._1" hidden="1">{"Summary",#N/A,TRUE,"Sheet1";"Sensitivity",#N/A,TRUE,"Sheet1";"Value",#N/A,TRUE,"Sheet1";"Asset",#N/A,TRUE,"Sheet1";"Cash",#N/A,TRUE,"Sheet1";"Equity",#N/A,TRUE,"Sheet1";"DCF",#N/A,TRUE,"Sheet1";"Splits",#N/A,TRUE,"Sheet1";"Promote1",#N/A,TRUE,"Sheet1";"Promote2",#N/A,TRUE,"Sheet1";"Promote3",#N/A,TRUE,"Sheet1";"Assumptions",#N/A,TRUE,"Sheet1";"Debt",#N/A,TRUE,"Sheet1";"Cash_Flows",#N/A,TRUE,"Sheet3"}</definedName>
    <definedName name="wrn.Complete._2" localSheetId="3" hidden="1">{"Summary",#N/A,TRUE,"Sheet1";"Sensitivity",#N/A,TRUE,"Sheet1";"Value",#N/A,TRUE,"Sheet1";"Asset",#N/A,TRUE,"Sheet1";"Cash",#N/A,TRUE,"Sheet1";"Equity",#N/A,TRUE,"Sheet1";"DCF",#N/A,TRUE,"Sheet1";"Splits",#N/A,TRUE,"Sheet1";"Promote1",#N/A,TRUE,"Sheet1";"Promote2",#N/A,TRUE,"Sheet1";"Promote3",#N/A,TRUE,"Sheet1";"Assumptions",#N/A,TRUE,"Sheet1";"Debt",#N/A,TRUE,"Sheet1";"Cash_Flows",#N/A,TRUE,"Sheet3"}</definedName>
    <definedName name="wrn.Complete._2" localSheetId="9" hidden="1">{"Summary",#N/A,TRUE,"Sheet1";"Sensitivity",#N/A,TRUE,"Sheet1";"Value",#N/A,TRUE,"Sheet1";"Asset",#N/A,TRUE,"Sheet1";"Cash",#N/A,TRUE,"Sheet1";"Equity",#N/A,TRUE,"Sheet1";"DCF",#N/A,TRUE,"Sheet1";"Splits",#N/A,TRUE,"Sheet1";"Promote1",#N/A,TRUE,"Sheet1";"Promote2",#N/A,TRUE,"Sheet1";"Promote3",#N/A,TRUE,"Sheet1";"Assumptions",#N/A,TRUE,"Sheet1";"Debt",#N/A,TRUE,"Sheet1";"Cash_Flows",#N/A,TRUE,"Sheet3"}</definedName>
    <definedName name="wrn.Complete._2" localSheetId="2" hidden="1">{"Summary",#N/A,TRUE,"Sheet1";"Sensitivity",#N/A,TRUE,"Sheet1";"Value",#N/A,TRUE,"Sheet1";"Asset",#N/A,TRUE,"Sheet1";"Cash",#N/A,TRUE,"Sheet1";"Equity",#N/A,TRUE,"Sheet1";"DCF",#N/A,TRUE,"Sheet1";"Splits",#N/A,TRUE,"Sheet1";"Promote1",#N/A,TRUE,"Sheet1";"Promote2",#N/A,TRUE,"Sheet1";"Promote3",#N/A,TRUE,"Sheet1";"Assumptions",#N/A,TRUE,"Sheet1";"Debt",#N/A,TRUE,"Sheet1";"Cash_Flows",#N/A,TRUE,"Sheet3"}</definedName>
    <definedName name="wrn.Complete._2" localSheetId="4" hidden="1">{"Summary",#N/A,TRUE,"Sheet1";"Sensitivity",#N/A,TRUE,"Sheet1";"Value",#N/A,TRUE,"Sheet1";"Asset",#N/A,TRUE,"Sheet1";"Cash",#N/A,TRUE,"Sheet1";"Equity",#N/A,TRUE,"Sheet1";"DCF",#N/A,TRUE,"Sheet1";"Splits",#N/A,TRUE,"Sheet1";"Promote1",#N/A,TRUE,"Sheet1";"Promote2",#N/A,TRUE,"Sheet1";"Promote3",#N/A,TRUE,"Sheet1";"Assumptions",#N/A,TRUE,"Sheet1";"Debt",#N/A,TRUE,"Sheet1";"Cash_Flows",#N/A,TRUE,"Sheet3"}</definedName>
    <definedName name="wrn.Complete._2" localSheetId="0" hidden="1">{"Summary",#N/A,TRUE,"Sheet1";"Sensitivity",#N/A,TRUE,"Sheet1";"Value",#N/A,TRUE,"Sheet1";"Asset",#N/A,TRUE,"Sheet1";"Cash",#N/A,TRUE,"Sheet1";"Equity",#N/A,TRUE,"Sheet1";"DCF",#N/A,TRUE,"Sheet1";"Splits",#N/A,TRUE,"Sheet1";"Promote1",#N/A,TRUE,"Sheet1";"Promote2",#N/A,TRUE,"Sheet1";"Promote3",#N/A,TRUE,"Sheet1";"Assumptions",#N/A,TRUE,"Sheet1";"Debt",#N/A,TRUE,"Sheet1";"Cash_Flows",#N/A,TRUE,"Sheet3"}</definedName>
    <definedName name="wrn.Complete._2" hidden="1">{"Summary",#N/A,TRUE,"Sheet1";"Sensitivity",#N/A,TRUE,"Sheet1";"Value",#N/A,TRUE,"Sheet1";"Asset",#N/A,TRUE,"Sheet1";"Cash",#N/A,TRUE,"Sheet1";"Equity",#N/A,TRUE,"Sheet1";"DCF",#N/A,TRUE,"Sheet1";"Splits",#N/A,TRUE,"Sheet1";"Promote1",#N/A,TRUE,"Sheet1";"Promote2",#N/A,TRUE,"Sheet1";"Promote3",#N/A,TRUE,"Sheet1";"Assumptions",#N/A,TRUE,"Sheet1";"Debt",#N/A,TRUE,"Sheet1";"Cash_Flows",#N/A,TRUE,"Sheet3"}</definedName>
    <definedName name="wrn.Complete._3" localSheetId="3" hidden="1">{"Summary",#N/A,TRUE,"Sheet1";"Sensitivity",#N/A,TRUE,"Sheet1";"Value",#N/A,TRUE,"Sheet1";"Asset",#N/A,TRUE,"Sheet1";"Cash",#N/A,TRUE,"Sheet1";"Equity",#N/A,TRUE,"Sheet1";"DCF",#N/A,TRUE,"Sheet1";"Splits",#N/A,TRUE,"Sheet1";"Promote1",#N/A,TRUE,"Sheet1";"Promote2",#N/A,TRUE,"Sheet1";"Promote3",#N/A,TRUE,"Sheet1";"Assumptions",#N/A,TRUE,"Sheet1";"Debt",#N/A,TRUE,"Sheet1";"Cash_Flows",#N/A,TRUE,"Sheet3"}</definedName>
    <definedName name="wrn.Complete._3" localSheetId="9" hidden="1">{"Summary",#N/A,TRUE,"Sheet1";"Sensitivity",#N/A,TRUE,"Sheet1";"Value",#N/A,TRUE,"Sheet1";"Asset",#N/A,TRUE,"Sheet1";"Cash",#N/A,TRUE,"Sheet1";"Equity",#N/A,TRUE,"Sheet1";"DCF",#N/A,TRUE,"Sheet1";"Splits",#N/A,TRUE,"Sheet1";"Promote1",#N/A,TRUE,"Sheet1";"Promote2",#N/A,TRUE,"Sheet1";"Promote3",#N/A,TRUE,"Sheet1";"Assumptions",#N/A,TRUE,"Sheet1";"Debt",#N/A,TRUE,"Sheet1";"Cash_Flows",#N/A,TRUE,"Sheet3"}</definedName>
    <definedName name="wrn.Complete._3" localSheetId="2" hidden="1">{"Summary",#N/A,TRUE,"Sheet1";"Sensitivity",#N/A,TRUE,"Sheet1";"Value",#N/A,TRUE,"Sheet1";"Asset",#N/A,TRUE,"Sheet1";"Cash",#N/A,TRUE,"Sheet1";"Equity",#N/A,TRUE,"Sheet1";"DCF",#N/A,TRUE,"Sheet1";"Splits",#N/A,TRUE,"Sheet1";"Promote1",#N/A,TRUE,"Sheet1";"Promote2",#N/A,TRUE,"Sheet1";"Promote3",#N/A,TRUE,"Sheet1";"Assumptions",#N/A,TRUE,"Sheet1";"Debt",#N/A,TRUE,"Sheet1";"Cash_Flows",#N/A,TRUE,"Sheet3"}</definedName>
    <definedName name="wrn.Complete._3" localSheetId="4" hidden="1">{"Summary",#N/A,TRUE,"Sheet1";"Sensitivity",#N/A,TRUE,"Sheet1";"Value",#N/A,TRUE,"Sheet1";"Asset",#N/A,TRUE,"Sheet1";"Cash",#N/A,TRUE,"Sheet1";"Equity",#N/A,TRUE,"Sheet1";"DCF",#N/A,TRUE,"Sheet1";"Splits",#N/A,TRUE,"Sheet1";"Promote1",#N/A,TRUE,"Sheet1";"Promote2",#N/A,TRUE,"Sheet1";"Promote3",#N/A,TRUE,"Sheet1";"Assumptions",#N/A,TRUE,"Sheet1";"Debt",#N/A,TRUE,"Sheet1";"Cash_Flows",#N/A,TRUE,"Sheet3"}</definedName>
    <definedName name="wrn.Complete._3" localSheetId="0" hidden="1">{"Summary",#N/A,TRUE,"Sheet1";"Sensitivity",#N/A,TRUE,"Sheet1";"Value",#N/A,TRUE,"Sheet1";"Asset",#N/A,TRUE,"Sheet1";"Cash",#N/A,TRUE,"Sheet1";"Equity",#N/A,TRUE,"Sheet1";"DCF",#N/A,TRUE,"Sheet1";"Splits",#N/A,TRUE,"Sheet1";"Promote1",#N/A,TRUE,"Sheet1";"Promote2",#N/A,TRUE,"Sheet1";"Promote3",#N/A,TRUE,"Sheet1";"Assumptions",#N/A,TRUE,"Sheet1";"Debt",#N/A,TRUE,"Sheet1";"Cash_Flows",#N/A,TRUE,"Sheet3"}</definedName>
    <definedName name="wrn.Complete._3" hidden="1">{"Summary",#N/A,TRUE,"Sheet1";"Sensitivity",#N/A,TRUE,"Sheet1";"Value",#N/A,TRUE,"Sheet1";"Asset",#N/A,TRUE,"Sheet1";"Cash",#N/A,TRUE,"Sheet1";"Equity",#N/A,TRUE,"Sheet1";"DCF",#N/A,TRUE,"Sheet1";"Splits",#N/A,TRUE,"Sheet1";"Promote1",#N/A,TRUE,"Sheet1";"Promote2",#N/A,TRUE,"Sheet1";"Promote3",#N/A,TRUE,"Sheet1";"Assumptions",#N/A,TRUE,"Sheet1";"Debt",#N/A,TRUE,"Sheet1";"Cash_Flows",#N/A,TRUE,"Sheet3"}</definedName>
    <definedName name="wrn.Complete_2._1" localSheetId="3" hidden="1">{"Summary",#N/A,TRUE,"Model";"Value",#N/A,TRUE,"Model";"Sensitivity",#N/A,TRUE,"Model";"Asset",#N/A,TRUE,"Model";"Cash_Flows",#N/A,TRUE,"Cash Flow";"Cash",#N/A,TRUE,"Model";"Equity",#N/A,TRUE,"Model";"DCF",#N/A,TRUE,"Model";"Splits 1",#N/A,TRUE,"Model";"Splits 2",#N/A,TRUE,"Model";"Promote1",#N/A,TRUE,"Model";"Promote2",#N/A,TRUE,"Model";"Promote3",#N/A,TRUE,"Model";"Debt",#N/A,TRUE,"Debt";"Assumptions",#N/A,TRUE,"Model"}</definedName>
    <definedName name="wrn.Complete_2._1" localSheetId="9" hidden="1">{"Summary",#N/A,TRUE,"Model";"Value",#N/A,TRUE,"Model";"Sensitivity",#N/A,TRUE,"Model";"Asset",#N/A,TRUE,"Model";"Cash_Flows",#N/A,TRUE,"Cash Flow";"Cash",#N/A,TRUE,"Model";"Equity",#N/A,TRUE,"Model";"DCF",#N/A,TRUE,"Model";"Splits 1",#N/A,TRUE,"Model";"Splits 2",#N/A,TRUE,"Model";"Promote1",#N/A,TRUE,"Model";"Promote2",#N/A,TRUE,"Model";"Promote3",#N/A,TRUE,"Model";"Debt",#N/A,TRUE,"Debt";"Assumptions",#N/A,TRUE,"Model"}</definedName>
    <definedName name="wrn.Complete_2._1" localSheetId="2" hidden="1">{"Summary",#N/A,TRUE,"Model";"Value",#N/A,TRUE,"Model";"Sensitivity",#N/A,TRUE,"Model";"Asset",#N/A,TRUE,"Model";"Cash_Flows",#N/A,TRUE,"Cash Flow";"Cash",#N/A,TRUE,"Model";"Equity",#N/A,TRUE,"Model";"DCF",#N/A,TRUE,"Model";"Splits 1",#N/A,TRUE,"Model";"Splits 2",#N/A,TRUE,"Model";"Promote1",#N/A,TRUE,"Model";"Promote2",#N/A,TRUE,"Model";"Promote3",#N/A,TRUE,"Model";"Debt",#N/A,TRUE,"Debt";"Assumptions",#N/A,TRUE,"Model"}</definedName>
    <definedName name="wrn.Complete_2._1" localSheetId="4" hidden="1">{"Summary",#N/A,TRUE,"Model";"Value",#N/A,TRUE,"Model";"Sensitivity",#N/A,TRUE,"Model";"Asset",#N/A,TRUE,"Model";"Cash_Flows",#N/A,TRUE,"Cash Flow";"Cash",#N/A,TRUE,"Model";"Equity",#N/A,TRUE,"Model";"DCF",#N/A,TRUE,"Model";"Splits 1",#N/A,TRUE,"Model";"Splits 2",#N/A,TRUE,"Model";"Promote1",#N/A,TRUE,"Model";"Promote2",#N/A,TRUE,"Model";"Promote3",#N/A,TRUE,"Model";"Debt",#N/A,TRUE,"Debt";"Assumptions",#N/A,TRUE,"Model"}</definedName>
    <definedName name="wrn.Complete_2._1" localSheetId="0" hidden="1">{"Summary",#N/A,TRUE,"Model";"Value",#N/A,TRUE,"Model";"Sensitivity",#N/A,TRUE,"Model";"Asset",#N/A,TRUE,"Model";"Cash_Flows",#N/A,TRUE,"Cash Flow";"Cash",#N/A,TRUE,"Model";"Equity",#N/A,TRUE,"Model";"DCF",#N/A,TRUE,"Model";"Splits 1",#N/A,TRUE,"Model";"Splits 2",#N/A,TRUE,"Model";"Promote1",#N/A,TRUE,"Model";"Promote2",#N/A,TRUE,"Model";"Promote3",#N/A,TRUE,"Model";"Debt",#N/A,TRUE,"Debt";"Assumptions",#N/A,TRUE,"Model"}</definedName>
    <definedName name="wrn.Complete_2._1" hidden="1">{"Summary",#N/A,TRUE,"Model";"Value",#N/A,TRUE,"Model";"Sensitivity",#N/A,TRUE,"Model";"Asset",#N/A,TRUE,"Model";"Cash_Flows",#N/A,TRUE,"Cash Flow";"Cash",#N/A,TRUE,"Model";"Equity",#N/A,TRUE,"Model";"DCF",#N/A,TRUE,"Model";"Splits 1",#N/A,TRUE,"Model";"Splits 2",#N/A,TRUE,"Model";"Promote1",#N/A,TRUE,"Model";"Promote2",#N/A,TRUE,"Model";"Promote3",#N/A,TRUE,"Model";"Debt",#N/A,TRUE,"Debt";"Assumptions",#N/A,TRUE,"Model"}</definedName>
    <definedName name="wrn.Complete_2._2" localSheetId="3" hidden="1">{"Summary",#N/A,TRUE,"Model";"Value",#N/A,TRUE,"Model";"Sensitivity",#N/A,TRUE,"Model";"Asset",#N/A,TRUE,"Model";"Cash_Flows",#N/A,TRUE,"Cash Flow";"Cash",#N/A,TRUE,"Model";"Equity",#N/A,TRUE,"Model";"DCF",#N/A,TRUE,"Model";"Splits 1",#N/A,TRUE,"Model";"Splits 2",#N/A,TRUE,"Model";"Promote1",#N/A,TRUE,"Model";"Promote2",#N/A,TRUE,"Model";"Promote3",#N/A,TRUE,"Model";"Debt",#N/A,TRUE,"Debt";"Assumptions",#N/A,TRUE,"Model"}</definedName>
    <definedName name="wrn.Complete_2._2" localSheetId="9" hidden="1">{"Summary",#N/A,TRUE,"Model";"Value",#N/A,TRUE,"Model";"Sensitivity",#N/A,TRUE,"Model";"Asset",#N/A,TRUE,"Model";"Cash_Flows",#N/A,TRUE,"Cash Flow";"Cash",#N/A,TRUE,"Model";"Equity",#N/A,TRUE,"Model";"DCF",#N/A,TRUE,"Model";"Splits 1",#N/A,TRUE,"Model";"Splits 2",#N/A,TRUE,"Model";"Promote1",#N/A,TRUE,"Model";"Promote2",#N/A,TRUE,"Model";"Promote3",#N/A,TRUE,"Model";"Debt",#N/A,TRUE,"Debt";"Assumptions",#N/A,TRUE,"Model"}</definedName>
    <definedName name="wrn.Complete_2._2" localSheetId="2" hidden="1">{"Summary",#N/A,TRUE,"Model";"Value",#N/A,TRUE,"Model";"Sensitivity",#N/A,TRUE,"Model";"Asset",#N/A,TRUE,"Model";"Cash_Flows",#N/A,TRUE,"Cash Flow";"Cash",#N/A,TRUE,"Model";"Equity",#N/A,TRUE,"Model";"DCF",#N/A,TRUE,"Model";"Splits 1",#N/A,TRUE,"Model";"Splits 2",#N/A,TRUE,"Model";"Promote1",#N/A,TRUE,"Model";"Promote2",#N/A,TRUE,"Model";"Promote3",#N/A,TRUE,"Model";"Debt",#N/A,TRUE,"Debt";"Assumptions",#N/A,TRUE,"Model"}</definedName>
    <definedName name="wrn.Complete_2._2" localSheetId="4" hidden="1">{"Summary",#N/A,TRUE,"Model";"Value",#N/A,TRUE,"Model";"Sensitivity",#N/A,TRUE,"Model";"Asset",#N/A,TRUE,"Model";"Cash_Flows",#N/A,TRUE,"Cash Flow";"Cash",#N/A,TRUE,"Model";"Equity",#N/A,TRUE,"Model";"DCF",#N/A,TRUE,"Model";"Splits 1",#N/A,TRUE,"Model";"Splits 2",#N/A,TRUE,"Model";"Promote1",#N/A,TRUE,"Model";"Promote2",#N/A,TRUE,"Model";"Promote3",#N/A,TRUE,"Model";"Debt",#N/A,TRUE,"Debt";"Assumptions",#N/A,TRUE,"Model"}</definedName>
    <definedName name="wrn.Complete_2._2" localSheetId="0" hidden="1">{"Summary",#N/A,TRUE,"Model";"Value",#N/A,TRUE,"Model";"Sensitivity",#N/A,TRUE,"Model";"Asset",#N/A,TRUE,"Model";"Cash_Flows",#N/A,TRUE,"Cash Flow";"Cash",#N/A,TRUE,"Model";"Equity",#N/A,TRUE,"Model";"DCF",#N/A,TRUE,"Model";"Splits 1",#N/A,TRUE,"Model";"Splits 2",#N/A,TRUE,"Model";"Promote1",#N/A,TRUE,"Model";"Promote2",#N/A,TRUE,"Model";"Promote3",#N/A,TRUE,"Model";"Debt",#N/A,TRUE,"Debt";"Assumptions",#N/A,TRUE,"Model"}</definedName>
    <definedName name="wrn.Complete_2._2" hidden="1">{"Summary",#N/A,TRUE,"Model";"Value",#N/A,TRUE,"Model";"Sensitivity",#N/A,TRUE,"Model";"Asset",#N/A,TRUE,"Model";"Cash_Flows",#N/A,TRUE,"Cash Flow";"Cash",#N/A,TRUE,"Model";"Equity",#N/A,TRUE,"Model";"DCF",#N/A,TRUE,"Model";"Splits 1",#N/A,TRUE,"Model";"Splits 2",#N/A,TRUE,"Model";"Promote1",#N/A,TRUE,"Model";"Promote2",#N/A,TRUE,"Model";"Promote3",#N/A,TRUE,"Model";"Debt",#N/A,TRUE,"Debt";"Assumptions",#N/A,TRUE,"Model"}</definedName>
    <definedName name="wrn.Complete_2._3" localSheetId="3" hidden="1">{"Summary",#N/A,TRUE,"Model";"Value",#N/A,TRUE,"Model";"Sensitivity",#N/A,TRUE,"Model";"Asset",#N/A,TRUE,"Model";"Cash_Flows",#N/A,TRUE,"Cash Flow";"Cash",#N/A,TRUE,"Model";"Equity",#N/A,TRUE,"Model";"DCF",#N/A,TRUE,"Model";"Splits 1",#N/A,TRUE,"Model";"Splits 2",#N/A,TRUE,"Model";"Promote1",#N/A,TRUE,"Model";"Promote2",#N/A,TRUE,"Model";"Promote3",#N/A,TRUE,"Model";"Debt",#N/A,TRUE,"Debt";"Assumptions",#N/A,TRUE,"Model"}</definedName>
    <definedName name="wrn.Complete_2._3" localSheetId="9" hidden="1">{"Summary",#N/A,TRUE,"Model";"Value",#N/A,TRUE,"Model";"Sensitivity",#N/A,TRUE,"Model";"Asset",#N/A,TRUE,"Model";"Cash_Flows",#N/A,TRUE,"Cash Flow";"Cash",#N/A,TRUE,"Model";"Equity",#N/A,TRUE,"Model";"DCF",#N/A,TRUE,"Model";"Splits 1",#N/A,TRUE,"Model";"Splits 2",#N/A,TRUE,"Model";"Promote1",#N/A,TRUE,"Model";"Promote2",#N/A,TRUE,"Model";"Promote3",#N/A,TRUE,"Model";"Debt",#N/A,TRUE,"Debt";"Assumptions",#N/A,TRUE,"Model"}</definedName>
    <definedName name="wrn.Complete_2._3" localSheetId="2" hidden="1">{"Summary",#N/A,TRUE,"Model";"Value",#N/A,TRUE,"Model";"Sensitivity",#N/A,TRUE,"Model";"Asset",#N/A,TRUE,"Model";"Cash_Flows",#N/A,TRUE,"Cash Flow";"Cash",#N/A,TRUE,"Model";"Equity",#N/A,TRUE,"Model";"DCF",#N/A,TRUE,"Model";"Splits 1",#N/A,TRUE,"Model";"Splits 2",#N/A,TRUE,"Model";"Promote1",#N/A,TRUE,"Model";"Promote2",#N/A,TRUE,"Model";"Promote3",#N/A,TRUE,"Model";"Debt",#N/A,TRUE,"Debt";"Assumptions",#N/A,TRUE,"Model"}</definedName>
    <definedName name="wrn.Complete_2._3" localSheetId="4" hidden="1">{"Summary",#N/A,TRUE,"Model";"Value",#N/A,TRUE,"Model";"Sensitivity",#N/A,TRUE,"Model";"Asset",#N/A,TRUE,"Model";"Cash_Flows",#N/A,TRUE,"Cash Flow";"Cash",#N/A,TRUE,"Model";"Equity",#N/A,TRUE,"Model";"DCF",#N/A,TRUE,"Model";"Splits 1",#N/A,TRUE,"Model";"Splits 2",#N/A,TRUE,"Model";"Promote1",#N/A,TRUE,"Model";"Promote2",#N/A,TRUE,"Model";"Promote3",#N/A,TRUE,"Model";"Debt",#N/A,TRUE,"Debt";"Assumptions",#N/A,TRUE,"Model"}</definedName>
    <definedName name="wrn.Complete_2._3" localSheetId="0" hidden="1">{"Summary",#N/A,TRUE,"Model";"Value",#N/A,TRUE,"Model";"Sensitivity",#N/A,TRUE,"Model";"Asset",#N/A,TRUE,"Model";"Cash_Flows",#N/A,TRUE,"Cash Flow";"Cash",#N/A,TRUE,"Model";"Equity",#N/A,TRUE,"Model";"DCF",#N/A,TRUE,"Model";"Splits 1",#N/A,TRUE,"Model";"Splits 2",#N/A,TRUE,"Model";"Promote1",#N/A,TRUE,"Model";"Promote2",#N/A,TRUE,"Model";"Promote3",#N/A,TRUE,"Model";"Debt",#N/A,TRUE,"Debt";"Assumptions",#N/A,TRUE,"Model"}</definedName>
    <definedName name="wrn.Complete_2._3" hidden="1">{"Summary",#N/A,TRUE,"Model";"Value",#N/A,TRUE,"Model";"Sensitivity",#N/A,TRUE,"Model";"Asset",#N/A,TRUE,"Model";"Cash_Flows",#N/A,TRUE,"Cash Flow";"Cash",#N/A,TRUE,"Model";"Equity",#N/A,TRUE,"Model";"DCF",#N/A,TRUE,"Model";"Splits 1",#N/A,TRUE,"Model";"Splits 2",#N/A,TRUE,"Model";"Promote1",#N/A,TRUE,"Model";"Promote2",#N/A,TRUE,"Model";"Promote3",#N/A,TRUE,"Model";"Debt",#N/A,TRUE,"Debt";"Assumptions",#N/A,TRUE,"Model"}</definedName>
    <definedName name="wrn.Conference._.Center._.Financials." localSheetId="3" hidden="1">{#N/A,#N/A,FALSE,"Pro Forma";#N/A,#N/A,FALSE,"Project Summary";#N/A,#N/A,FALSE,"Detail Estimate";#N/A,#N/A,FALSE,"Cashflow Schedule"}</definedName>
    <definedName name="wrn.Conference._.Center._.Financials." localSheetId="6" hidden="1">{#N/A,#N/A,FALSE,"Pro Forma";#N/A,#N/A,FALSE,"Project Summary";#N/A,#N/A,FALSE,"Detail Estimate";#N/A,#N/A,FALSE,"Cashflow Schedule"}</definedName>
    <definedName name="wrn.Conference._.Center._.Financials." localSheetId="9" hidden="1">{#N/A,#N/A,FALSE,"Pro Forma";#N/A,#N/A,FALSE,"Project Summary";#N/A,#N/A,FALSE,"Detail Estimate";#N/A,#N/A,FALSE,"Cashflow Schedule"}</definedName>
    <definedName name="wrn.Conference._.Center._.Financials." localSheetId="2" hidden="1">{#N/A,#N/A,FALSE,"Pro Forma";#N/A,#N/A,FALSE,"Project Summary";#N/A,#N/A,FALSE,"Detail Estimate";#N/A,#N/A,FALSE,"Cashflow Schedule"}</definedName>
    <definedName name="wrn.Conference._.Center._.Financials." localSheetId="4" hidden="1">{#N/A,#N/A,FALSE,"Pro Forma";#N/A,#N/A,FALSE,"Project Summary";#N/A,#N/A,FALSE,"Detail Estimate";#N/A,#N/A,FALSE,"Cashflow Schedule"}</definedName>
    <definedName name="wrn.Conference._.Center._.Financials." localSheetId="0" hidden="1">{#N/A,#N/A,FALSE,"Pro Forma";#N/A,#N/A,FALSE,"Project Summary";#N/A,#N/A,FALSE,"Detail Estimate";#N/A,#N/A,FALSE,"Cashflow Schedule"}</definedName>
    <definedName name="wrn.Conference._.Center._.Financials." hidden="1">{#N/A,#N/A,FALSE,"Pro Forma";#N/A,#N/A,FALSE,"Project Summary";#N/A,#N/A,FALSE,"Detail Estimate";#N/A,#N/A,FALSE,"Cashflow Schedule"}</definedName>
    <definedName name="wrn.Construction._.Costs." localSheetId="3" hidden="1">{"Construction Costs",#N/A,FALSE,"Total Costs"}</definedName>
    <definedName name="wrn.Construction._.Costs." localSheetId="6" hidden="1">{"Construction Costs",#N/A,FALSE,"Total Costs"}</definedName>
    <definedName name="wrn.Construction._.Costs." localSheetId="9" hidden="1">{"Construction Costs",#N/A,FALSE,"Total Costs"}</definedName>
    <definedName name="wrn.Construction._.Costs." localSheetId="2" hidden="1">{"Construction Costs",#N/A,FALSE,"Total Costs"}</definedName>
    <definedName name="wrn.Construction._.Costs." localSheetId="4" hidden="1">{"Construction Costs",#N/A,FALSE,"Total Costs"}</definedName>
    <definedName name="wrn.Construction._.Costs." localSheetId="0" hidden="1">{"Construction Costs",#N/A,FALSE,"Total Costs"}</definedName>
    <definedName name="wrn.Construction._.Costs." hidden="1">{"Construction Costs",#N/A,FALSE,"Total Costs"}</definedName>
    <definedName name="wrn.Control._.Sheet." localSheetId="3" hidden="1">{#N/A,#N/A,FALSE,"CONTROL"}</definedName>
    <definedName name="wrn.Control._.Sheet." localSheetId="6" hidden="1">{#N/A,#N/A,FALSE,"CONTROL"}</definedName>
    <definedName name="wrn.Control._.Sheet." localSheetId="9" hidden="1">{#N/A,#N/A,FALSE,"CONTROL"}</definedName>
    <definedName name="wrn.Control._.Sheet." localSheetId="2" hidden="1">{#N/A,#N/A,FALSE,"CONTROL"}</definedName>
    <definedName name="wrn.Control._.Sheet." localSheetId="4" hidden="1">{#N/A,#N/A,FALSE,"CONTROL"}</definedName>
    <definedName name="wrn.Control._.Sheet." localSheetId="0" hidden="1">{#N/A,#N/A,FALSE,"CONTROL"}</definedName>
    <definedName name="wrn.Control._.Sheet." hidden="1">{#N/A,#N/A,FALSE,"CONTROL"}</definedName>
    <definedName name="wrn.Control_A." localSheetId="3" hidden="1">{#N/A,#N/A,FALSE,"Notes";#N/A,#N/A,FALSE,"CFD Summary";#N/A,#N/A,FALSE,"Loan Value";#N/A,#N/A,FALSE,"CashFlowSummary";#N/A,#N/A,FALSE,"InvestorSummary";#N/A,#N/A,FALSE,"RevenueAssumptions";#N/A,#N/A,FALSE,"MasterCostAssmp";#N/A,#N/A,FALSE,"InTractCstAssmp";#N/A,#N/A,FALSE,"LotTakedowns"}</definedName>
    <definedName name="wrn.Control_A." localSheetId="9" hidden="1">{#N/A,#N/A,FALSE,"Notes";#N/A,#N/A,FALSE,"CFD Summary";#N/A,#N/A,FALSE,"Loan Value";#N/A,#N/A,FALSE,"CashFlowSummary";#N/A,#N/A,FALSE,"InvestorSummary";#N/A,#N/A,FALSE,"RevenueAssumptions";#N/A,#N/A,FALSE,"MasterCostAssmp";#N/A,#N/A,FALSE,"InTractCstAssmp";#N/A,#N/A,FALSE,"LotTakedowns"}</definedName>
    <definedName name="wrn.Control_A." localSheetId="2" hidden="1">{#N/A,#N/A,FALSE,"Notes";#N/A,#N/A,FALSE,"CFD Summary";#N/A,#N/A,FALSE,"Loan Value";#N/A,#N/A,FALSE,"CashFlowSummary";#N/A,#N/A,FALSE,"InvestorSummary";#N/A,#N/A,FALSE,"RevenueAssumptions";#N/A,#N/A,FALSE,"MasterCostAssmp";#N/A,#N/A,FALSE,"InTractCstAssmp";#N/A,#N/A,FALSE,"LotTakedowns"}</definedName>
    <definedName name="wrn.Control_A." localSheetId="4" hidden="1">{#N/A,#N/A,FALSE,"Notes";#N/A,#N/A,FALSE,"CFD Summary";#N/A,#N/A,FALSE,"Loan Value";#N/A,#N/A,FALSE,"CashFlowSummary";#N/A,#N/A,FALSE,"InvestorSummary";#N/A,#N/A,FALSE,"RevenueAssumptions";#N/A,#N/A,FALSE,"MasterCostAssmp";#N/A,#N/A,FALSE,"InTractCstAssmp";#N/A,#N/A,FALSE,"LotTakedowns"}</definedName>
    <definedName name="wrn.Control_A." localSheetId="0" hidden="1">{#N/A,#N/A,FALSE,"Notes";#N/A,#N/A,FALSE,"CFD Summary";#N/A,#N/A,FALSE,"Loan Value";#N/A,#N/A,FALSE,"CashFlowSummary";#N/A,#N/A,FALSE,"InvestorSummary";#N/A,#N/A,FALSE,"RevenueAssumptions";#N/A,#N/A,FALSE,"MasterCostAssmp";#N/A,#N/A,FALSE,"InTractCstAssmp";#N/A,#N/A,FALSE,"LotTakedowns"}</definedName>
    <definedName name="wrn.Control_A." hidden="1">{#N/A,#N/A,FALSE,"Notes";#N/A,#N/A,FALSE,"CFD Summary";#N/A,#N/A,FALSE,"Loan Value";#N/A,#N/A,FALSE,"CashFlowSummary";#N/A,#N/A,FALSE,"InvestorSummary";#N/A,#N/A,FALSE,"RevenueAssumptions";#N/A,#N/A,FALSE,"MasterCostAssmp";#N/A,#N/A,FALSE,"InTractCstAssmp";#N/A,#N/A,FALSE,"LotTakedowns"}</definedName>
    <definedName name="wrn.Control_M." localSheetId="3" hidden="1">{#N/A,#N/A,FALSE,"Notes";#N/A,#N/A,FALSE,"CFD Summary";#N/A,#N/A,FALSE,"BaseAssumptions";#N/A,#N/A,FALSE,"RevenueAssumptions";#N/A,#N/A,FALSE,"MasterCostAssmp";#N/A,#N/A,FALSE,"InTractCstAssmp";#N/A,#N/A,FALSE,"LotTakedowns";#N/A,#N/A,FALSE,"CashFlowSummary";#N/A,#N/A,FALSE,"FlowSummary";#N/A,#N/A,FALSE,"SourcesAndUses";#N/A,#N/A,FALSE,"CashDistribute";#N/A,#N/A,FALSE,"InvestorSummary";#N/A,#N/A,FALSE,"AcqDev Loan";#N/A,#N/A,FALSE,"Finance Summary";#N/A,#N/A,FALSE,"Valuation"}</definedName>
    <definedName name="wrn.Control_M." localSheetId="9" hidden="1">{#N/A,#N/A,FALSE,"Notes";#N/A,#N/A,FALSE,"CFD Summary";#N/A,#N/A,FALSE,"BaseAssumptions";#N/A,#N/A,FALSE,"RevenueAssumptions";#N/A,#N/A,FALSE,"MasterCostAssmp";#N/A,#N/A,FALSE,"InTractCstAssmp";#N/A,#N/A,FALSE,"LotTakedowns";#N/A,#N/A,FALSE,"CashFlowSummary";#N/A,#N/A,FALSE,"FlowSummary";#N/A,#N/A,FALSE,"SourcesAndUses";#N/A,#N/A,FALSE,"CashDistribute";#N/A,#N/A,FALSE,"InvestorSummary";#N/A,#N/A,FALSE,"AcqDev Loan";#N/A,#N/A,FALSE,"Finance Summary";#N/A,#N/A,FALSE,"Valuation"}</definedName>
    <definedName name="wrn.Control_M." localSheetId="2" hidden="1">{#N/A,#N/A,FALSE,"Notes";#N/A,#N/A,FALSE,"CFD Summary";#N/A,#N/A,FALSE,"BaseAssumptions";#N/A,#N/A,FALSE,"RevenueAssumptions";#N/A,#N/A,FALSE,"MasterCostAssmp";#N/A,#N/A,FALSE,"InTractCstAssmp";#N/A,#N/A,FALSE,"LotTakedowns";#N/A,#N/A,FALSE,"CashFlowSummary";#N/A,#N/A,FALSE,"FlowSummary";#N/A,#N/A,FALSE,"SourcesAndUses";#N/A,#N/A,FALSE,"CashDistribute";#N/A,#N/A,FALSE,"InvestorSummary";#N/A,#N/A,FALSE,"AcqDev Loan";#N/A,#N/A,FALSE,"Finance Summary";#N/A,#N/A,FALSE,"Valuation"}</definedName>
    <definedName name="wrn.Control_M." localSheetId="4" hidden="1">{#N/A,#N/A,FALSE,"Notes";#N/A,#N/A,FALSE,"CFD Summary";#N/A,#N/A,FALSE,"BaseAssumptions";#N/A,#N/A,FALSE,"RevenueAssumptions";#N/A,#N/A,FALSE,"MasterCostAssmp";#N/A,#N/A,FALSE,"InTractCstAssmp";#N/A,#N/A,FALSE,"LotTakedowns";#N/A,#N/A,FALSE,"CashFlowSummary";#N/A,#N/A,FALSE,"FlowSummary";#N/A,#N/A,FALSE,"SourcesAndUses";#N/A,#N/A,FALSE,"CashDistribute";#N/A,#N/A,FALSE,"InvestorSummary";#N/A,#N/A,FALSE,"AcqDev Loan";#N/A,#N/A,FALSE,"Finance Summary";#N/A,#N/A,FALSE,"Valuation"}</definedName>
    <definedName name="wrn.Control_M." localSheetId="0" hidden="1">{#N/A,#N/A,FALSE,"Notes";#N/A,#N/A,FALSE,"CFD Summary";#N/A,#N/A,FALSE,"BaseAssumptions";#N/A,#N/A,FALSE,"RevenueAssumptions";#N/A,#N/A,FALSE,"MasterCostAssmp";#N/A,#N/A,FALSE,"InTractCstAssmp";#N/A,#N/A,FALSE,"LotTakedowns";#N/A,#N/A,FALSE,"CashFlowSummary";#N/A,#N/A,FALSE,"FlowSummary";#N/A,#N/A,FALSE,"SourcesAndUses";#N/A,#N/A,FALSE,"CashDistribute";#N/A,#N/A,FALSE,"InvestorSummary";#N/A,#N/A,FALSE,"AcqDev Loan";#N/A,#N/A,FALSE,"Finance Summary";#N/A,#N/A,FALSE,"Valuation"}</definedName>
    <definedName name="wrn.Control_M." hidden="1">{#N/A,#N/A,FALSE,"Notes";#N/A,#N/A,FALSE,"CFD Summary";#N/A,#N/A,FALSE,"BaseAssumptions";#N/A,#N/A,FALSE,"RevenueAssumptions";#N/A,#N/A,FALSE,"MasterCostAssmp";#N/A,#N/A,FALSE,"InTractCstAssmp";#N/A,#N/A,FALSE,"LotTakedowns";#N/A,#N/A,FALSE,"CashFlowSummary";#N/A,#N/A,FALSE,"FlowSummary";#N/A,#N/A,FALSE,"SourcesAndUses";#N/A,#N/A,FALSE,"CashDistribute";#N/A,#N/A,FALSE,"InvestorSummary";#N/A,#N/A,FALSE,"AcqDev Loan";#N/A,#N/A,FALSE,"Finance Summary";#N/A,#N/A,FALSE,"Valuation"}</definedName>
    <definedName name="wrn.Converse._1" localSheetId="3" hidden="1">{"Cover",#N/A,TRUE,"Sheet1";"Valuation",#N/A,TRUE,"Sheet1";"Sensitivity",#N/A,TRUE,"Sheet1";"Portfolio CF",#N/A,TRUE,"Sheet1";"Pship NCF",#N/A,TRUE,"Sheet1";"Equity &amp; DCF",#N/A,TRUE,"Sheet1";"Pship Dist 1",#N/A,TRUE,"Sheet1";"Pship Dist 2",#N/A,TRUE,"Sheet1";"Pship Dist 3",#N/A,TRUE,"Sheet1";"MIR Splits 1",#N/A,TRUE,"Sheet1";"MIR Splits 2",#N/A,TRUE,"Sheet1";"MIR Splits 3",#N/A,TRUE,"Sheet1";"Assumptions",#N/A,TRUE,"Sheet1"}</definedName>
    <definedName name="wrn.Converse._1" localSheetId="9" hidden="1">{"Cover",#N/A,TRUE,"Sheet1";"Valuation",#N/A,TRUE,"Sheet1";"Sensitivity",#N/A,TRUE,"Sheet1";"Portfolio CF",#N/A,TRUE,"Sheet1";"Pship NCF",#N/A,TRUE,"Sheet1";"Equity &amp; DCF",#N/A,TRUE,"Sheet1";"Pship Dist 1",#N/A,TRUE,"Sheet1";"Pship Dist 2",#N/A,TRUE,"Sheet1";"Pship Dist 3",#N/A,TRUE,"Sheet1";"MIR Splits 1",#N/A,TRUE,"Sheet1";"MIR Splits 2",#N/A,TRUE,"Sheet1";"MIR Splits 3",#N/A,TRUE,"Sheet1";"Assumptions",#N/A,TRUE,"Sheet1"}</definedName>
    <definedName name="wrn.Converse._1" localSheetId="2" hidden="1">{"Cover",#N/A,TRUE,"Sheet1";"Valuation",#N/A,TRUE,"Sheet1";"Sensitivity",#N/A,TRUE,"Sheet1";"Portfolio CF",#N/A,TRUE,"Sheet1";"Pship NCF",#N/A,TRUE,"Sheet1";"Equity &amp; DCF",#N/A,TRUE,"Sheet1";"Pship Dist 1",#N/A,TRUE,"Sheet1";"Pship Dist 2",#N/A,TRUE,"Sheet1";"Pship Dist 3",#N/A,TRUE,"Sheet1";"MIR Splits 1",#N/A,TRUE,"Sheet1";"MIR Splits 2",#N/A,TRUE,"Sheet1";"MIR Splits 3",#N/A,TRUE,"Sheet1";"Assumptions",#N/A,TRUE,"Sheet1"}</definedName>
    <definedName name="wrn.Converse._1" localSheetId="4" hidden="1">{"Cover",#N/A,TRUE,"Sheet1";"Valuation",#N/A,TRUE,"Sheet1";"Sensitivity",#N/A,TRUE,"Sheet1";"Portfolio CF",#N/A,TRUE,"Sheet1";"Pship NCF",#N/A,TRUE,"Sheet1";"Equity &amp; DCF",#N/A,TRUE,"Sheet1";"Pship Dist 1",#N/A,TRUE,"Sheet1";"Pship Dist 2",#N/A,TRUE,"Sheet1";"Pship Dist 3",#N/A,TRUE,"Sheet1";"MIR Splits 1",#N/A,TRUE,"Sheet1";"MIR Splits 2",#N/A,TRUE,"Sheet1";"MIR Splits 3",#N/A,TRUE,"Sheet1";"Assumptions",#N/A,TRUE,"Sheet1"}</definedName>
    <definedName name="wrn.Converse._1" localSheetId="0" hidden="1">{"Cover",#N/A,TRUE,"Sheet1";"Valuation",#N/A,TRUE,"Sheet1";"Sensitivity",#N/A,TRUE,"Sheet1";"Portfolio CF",#N/A,TRUE,"Sheet1";"Pship NCF",#N/A,TRUE,"Sheet1";"Equity &amp; DCF",#N/A,TRUE,"Sheet1";"Pship Dist 1",#N/A,TRUE,"Sheet1";"Pship Dist 2",#N/A,TRUE,"Sheet1";"Pship Dist 3",#N/A,TRUE,"Sheet1";"MIR Splits 1",#N/A,TRUE,"Sheet1";"MIR Splits 2",#N/A,TRUE,"Sheet1";"MIR Splits 3",#N/A,TRUE,"Sheet1";"Assumptions",#N/A,TRUE,"Sheet1"}</definedName>
    <definedName name="wrn.Converse._1" hidden="1">{"Cover",#N/A,TRUE,"Sheet1";"Valuation",#N/A,TRUE,"Sheet1";"Sensitivity",#N/A,TRUE,"Sheet1";"Portfolio CF",#N/A,TRUE,"Sheet1";"Pship NCF",#N/A,TRUE,"Sheet1";"Equity &amp; DCF",#N/A,TRUE,"Sheet1";"Pship Dist 1",#N/A,TRUE,"Sheet1";"Pship Dist 2",#N/A,TRUE,"Sheet1";"Pship Dist 3",#N/A,TRUE,"Sheet1";"MIR Splits 1",#N/A,TRUE,"Sheet1";"MIR Splits 2",#N/A,TRUE,"Sheet1";"MIR Splits 3",#N/A,TRUE,"Sheet1";"Assumptions",#N/A,TRUE,"Sheet1"}</definedName>
    <definedName name="wrn.Converse._2" localSheetId="3" hidden="1">{"Cover",#N/A,TRUE,"Sheet1";"Valuation",#N/A,TRUE,"Sheet1";"Sensitivity",#N/A,TRUE,"Sheet1";"Portfolio CF",#N/A,TRUE,"Sheet1";"Pship NCF",#N/A,TRUE,"Sheet1";"Equity &amp; DCF",#N/A,TRUE,"Sheet1";"Pship Dist 1",#N/A,TRUE,"Sheet1";"Pship Dist 2",#N/A,TRUE,"Sheet1";"Pship Dist 3",#N/A,TRUE,"Sheet1";"MIR Splits 1",#N/A,TRUE,"Sheet1";"MIR Splits 2",#N/A,TRUE,"Sheet1";"MIR Splits 3",#N/A,TRUE,"Sheet1";"Assumptions",#N/A,TRUE,"Sheet1"}</definedName>
    <definedName name="wrn.Converse._2" localSheetId="9" hidden="1">{"Cover",#N/A,TRUE,"Sheet1";"Valuation",#N/A,TRUE,"Sheet1";"Sensitivity",#N/A,TRUE,"Sheet1";"Portfolio CF",#N/A,TRUE,"Sheet1";"Pship NCF",#N/A,TRUE,"Sheet1";"Equity &amp; DCF",#N/A,TRUE,"Sheet1";"Pship Dist 1",#N/A,TRUE,"Sheet1";"Pship Dist 2",#N/A,TRUE,"Sheet1";"Pship Dist 3",#N/A,TRUE,"Sheet1";"MIR Splits 1",#N/A,TRUE,"Sheet1";"MIR Splits 2",#N/A,TRUE,"Sheet1";"MIR Splits 3",#N/A,TRUE,"Sheet1";"Assumptions",#N/A,TRUE,"Sheet1"}</definedName>
    <definedName name="wrn.Converse._2" localSheetId="2" hidden="1">{"Cover",#N/A,TRUE,"Sheet1";"Valuation",#N/A,TRUE,"Sheet1";"Sensitivity",#N/A,TRUE,"Sheet1";"Portfolio CF",#N/A,TRUE,"Sheet1";"Pship NCF",#N/A,TRUE,"Sheet1";"Equity &amp; DCF",#N/A,TRUE,"Sheet1";"Pship Dist 1",#N/A,TRUE,"Sheet1";"Pship Dist 2",#N/A,TRUE,"Sheet1";"Pship Dist 3",#N/A,TRUE,"Sheet1";"MIR Splits 1",#N/A,TRUE,"Sheet1";"MIR Splits 2",#N/A,TRUE,"Sheet1";"MIR Splits 3",#N/A,TRUE,"Sheet1";"Assumptions",#N/A,TRUE,"Sheet1"}</definedName>
    <definedName name="wrn.Converse._2" localSheetId="4" hidden="1">{"Cover",#N/A,TRUE,"Sheet1";"Valuation",#N/A,TRUE,"Sheet1";"Sensitivity",#N/A,TRUE,"Sheet1";"Portfolio CF",#N/A,TRUE,"Sheet1";"Pship NCF",#N/A,TRUE,"Sheet1";"Equity &amp; DCF",#N/A,TRUE,"Sheet1";"Pship Dist 1",#N/A,TRUE,"Sheet1";"Pship Dist 2",#N/A,TRUE,"Sheet1";"Pship Dist 3",#N/A,TRUE,"Sheet1";"MIR Splits 1",#N/A,TRUE,"Sheet1";"MIR Splits 2",#N/A,TRUE,"Sheet1";"MIR Splits 3",#N/A,TRUE,"Sheet1";"Assumptions",#N/A,TRUE,"Sheet1"}</definedName>
    <definedName name="wrn.Converse._2" localSheetId="0" hidden="1">{"Cover",#N/A,TRUE,"Sheet1";"Valuation",#N/A,TRUE,"Sheet1";"Sensitivity",#N/A,TRUE,"Sheet1";"Portfolio CF",#N/A,TRUE,"Sheet1";"Pship NCF",#N/A,TRUE,"Sheet1";"Equity &amp; DCF",#N/A,TRUE,"Sheet1";"Pship Dist 1",#N/A,TRUE,"Sheet1";"Pship Dist 2",#N/A,TRUE,"Sheet1";"Pship Dist 3",#N/A,TRUE,"Sheet1";"MIR Splits 1",#N/A,TRUE,"Sheet1";"MIR Splits 2",#N/A,TRUE,"Sheet1";"MIR Splits 3",#N/A,TRUE,"Sheet1";"Assumptions",#N/A,TRUE,"Sheet1"}</definedName>
    <definedName name="wrn.Converse._2" hidden="1">{"Cover",#N/A,TRUE,"Sheet1";"Valuation",#N/A,TRUE,"Sheet1";"Sensitivity",#N/A,TRUE,"Sheet1";"Portfolio CF",#N/A,TRUE,"Sheet1";"Pship NCF",#N/A,TRUE,"Sheet1";"Equity &amp; DCF",#N/A,TRUE,"Sheet1";"Pship Dist 1",#N/A,TRUE,"Sheet1";"Pship Dist 2",#N/A,TRUE,"Sheet1";"Pship Dist 3",#N/A,TRUE,"Sheet1";"MIR Splits 1",#N/A,TRUE,"Sheet1";"MIR Splits 2",#N/A,TRUE,"Sheet1";"MIR Splits 3",#N/A,TRUE,"Sheet1";"Assumptions",#N/A,TRUE,"Sheet1"}</definedName>
    <definedName name="wrn.Converse._3" localSheetId="3" hidden="1">{"Cover",#N/A,TRUE,"Sheet1";"Valuation",#N/A,TRUE,"Sheet1";"Sensitivity",#N/A,TRUE,"Sheet1";"Portfolio CF",#N/A,TRUE,"Sheet1";"Pship NCF",#N/A,TRUE,"Sheet1";"Equity &amp; DCF",#N/A,TRUE,"Sheet1";"Pship Dist 1",#N/A,TRUE,"Sheet1";"Pship Dist 2",#N/A,TRUE,"Sheet1";"Pship Dist 3",#N/A,TRUE,"Sheet1";"MIR Splits 1",#N/A,TRUE,"Sheet1";"MIR Splits 2",#N/A,TRUE,"Sheet1";"MIR Splits 3",#N/A,TRUE,"Sheet1";"Assumptions",#N/A,TRUE,"Sheet1"}</definedName>
    <definedName name="wrn.Converse._3" localSheetId="9" hidden="1">{"Cover",#N/A,TRUE,"Sheet1";"Valuation",#N/A,TRUE,"Sheet1";"Sensitivity",#N/A,TRUE,"Sheet1";"Portfolio CF",#N/A,TRUE,"Sheet1";"Pship NCF",#N/A,TRUE,"Sheet1";"Equity &amp; DCF",#N/A,TRUE,"Sheet1";"Pship Dist 1",#N/A,TRUE,"Sheet1";"Pship Dist 2",#N/A,TRUE,"Sheet1";"Pship Dist 3",#N/A,TRUE,"Sheet1";"MIR Splits 1",#N/A,TRUE,"Sheet1";"MIR Splits 2",#N/A,TRUE,"Sheet1";"MIR Splits 3",#N/A,TRUE,"Sheet1";"Assumptions",#N/A,TRUE,"Sheet1"}</definedName>
    <definedName name="wrn.Converse._3" localSheetId="2" hidden="1">{"Cover",#N/A,TRUE,"Sheet1";"Valuation",#N/A,TRUE,"Sheet1";"Sensitivity",#N/A,TRUE,"Sheet1";"Portfolio CF",#N/A,TRUE,"Sheet1";"Pship NCF",#N/A,TRUE,"Sheet1";"Equity &amp; DCF",#N/A,TRUE,"Sheet1";"Pship Dist 1",#N/A,TRUE,"Sheet1";"Pship Dist 2",#N/A,TRUE,"Sheet1";"Pship Dist 3",#N/A,TRUE,"Sheet1";"MIR Splits 1",#N/A,TRUE,"Sheet1";"MIR Splits 2",#N/A,TRUE,"Sheet1";"MIR Splits 3",#N/A,TRUE,"Sheet1";"Assumptions",#N/A,TRUE,"Sheet1"}</definedName>
    <definedName name="wrn.Converse._3" localSheetId="4" hidden="1">{"Cover",#N/A,TRUE,"Sheet1";"Valuation",#N/A,TRUE,"Sheet1";"Sensitivity",#N/A,TRUE,"Sheet1";"Portfolio CF",#N/A,TRUE,"Sheet1";"Pship NCF",#N/A,TRUE,"Sheet1";"Equity &amp; DCF",#N/A,TRUE,"Sheet1";"Pship Dist 1",#N/A,TRUE,"Sheet1";"Pship Dist 2",#N/A,TRUE,"Sheet1";"Pship Dist 3",#N/A,TRUE,"Sheet1";"MIR Splits 1",#N/A,TRUE,"Sheet1";"MIR Splits 2",#N/A,TRUE,"Sheet1";"MIR Splits 3",#N/A,TRUE,"Sheet1";"Assumptions",#N/A,TRUE,"Sheet1"}</definedName>
    <definedName name="wrn.Converse._3" localSheetId="0" hidden="1">{"Cover",#N/A,TRUE,"Sheet1";"Valuation",#N/A,TRUE,"Sheet1";"Sensitivity",#N/A,TRUE,"Sheet1";"Portfolio CF",#N/A,TRUE,"Sheet1";"Pship NCF",#N/A,TRUE,"Sheet1";"Equity &amp; DCF",#N/A,TRUE,"Sheet1";"Pship Dist 1",#N/A,TRUE,"Sheet1";"Pship Dist 2",#N/A,TRUE,"Sheet1";"Pship Dist 3",#N/A,TRUE,"Sheet1";"MIR Splits 1",#N/A,TRUE,"Sheet1";"MIR Splits 2",#N/A,TRUE,"Sheet1";"MIR Splits 3",#N/A,TRUE,"Sheet1";"Assumptions",#N/A,TRUE,"Sheet1"}</definedName>
    <definedName name="wrn.Converse._3" hidden="1">{"Cover",#N/A,TRUE,"Sheet1";"Valuation",#N/A,TRUE,"Sheet1";"Sensitivity",#N/A,TRUE,"Sheet1";"Portfolio CF",#N/A,TRUE,"Sheet1";"Pship NCF",#N/A,TRUE,"Sheet1";"Equity &amp; DCF",#N/A,TRUE,"Sheet1";"Pship Dist 1",#N/A,TRUE,"Sheet1";"Pship Dist 2",#N/A,TRUE,"Sheet1";"Pship Dist 3",#N/A,TRUE,"Sheet1";"MIR Splits 1",#N/A,TRUE,"Sheet1";"MIR Splits 2",#N/A,TRUE,"Sheet1";"MIR Splits 3",#N/A,TRUE,"Sheet1";"Assumptions",#N/A,TRUE,"Sheet1"}</definedName>
    <definedName name="wrn.Cottage._.Summary." localSheetId="3" hidden="1">{"cot1",#N/A,FALSE,"Cottages";"cot2",#N/A,FALSE,"Cottages";"cot3",#N/A,FALSE,"Cottages"}</definedName>
    <definedName name="wrn.Cottage._.Summary." localSheetId="6" hidden="1">{"cot1",#N/A,FALSE,"Cottages";"cot2",#N/A,FALSE,"Cottages";"cot3",#N/A,FALSE,"Cottages"}</definedName>
    <definedName name="wrn.Cottage._.Summary." localSheetId="9" hidden="1">{"cot1",#N/A,FALSE,"Cottages";"cot2",#N/A,FALSE,"Cottages";"cot3",#N/A,FALSE,"Cottages"}</definedName>
    <definedName name="wrn.Cottage._.Summary." localSheetId="2" hidden="1">{"cot1",#N/A,FALSE,"Cottages";"cot2",#N/A,FALSE,"Cottages";"cot3",#N/A,FALSE,"Cottages"}</definedName>
    <definedName name="wrn.Cottage._.Summary." localSheetId="4" hidden="1">{"cot1",#N/A,FALSE,"Cottages";"cot2",#N/A,FALSE,"Cottages";"cot3",#N/A,FALSE,"Cottages"}</definedName>
    <definedName name="wrn.Cottage._.Summary." localSheetId="0" hidden="1">{"cot1",#N/A,FALSE,"Cottages";"cot2",#N/A,FALSE,"Cottages";"cot3",#N/A,FALSE,"Cottages"}</definedName>
    <definedName name="wrn.Cottage._.Summary." hidden="1">{"cot1",#N/A,FALSE,"Cottages";"cot2",#N/A,FALSE,"Cottages";"cot3",#N/A,FALSE,"Cottages"}</definedName>
    <definedName name="wrn.Credit._.Summary." localSheetId="3" hidden="1">{#N/A,#N/A,FALSE,"CREDIT"}</definedName>
    <definedName name="wrn.Credit._.Summary." localSheetId="6" hidden="1">{#N/A,#N/A,FALSE,"CREDIT"}</definedName>
    <definedName name="wrn.Credit._.Summary." localSheetId="9" hidden="1">{#N/A,#N/A,FALSE,"CREDIT"}</definedName>
    <definedName name="wrn.Credit._.Summary." localSheetId="2" hidden="1">{#N/A,#N/A,FALSE,"CREDIT"}</definedName>
    <definedName name="wrn.Credit._.Summary." localSheetId="4" hidden="1">{#N/A,#N/A,FALSE,"CREDIT"}</definedName>
    <definedName name="wrn.Credit._.Summary." localSheetId="0" hidden="1">{#N/A,#N/A,FALSE,"CREDIT"}</definedName>
    <definedName name="wrn.Credit._.Summary." hidden="1">{#N/A,#N/A,FALSE,"CREDIT"}</definedName>
    <definedName name="wrn.cssa." localSheetId="3" hidden="1">{#N/A,#N/A,FALSE,"WATCHDSC";#N/A,#N/A,FALSE,"2LOSSMOD";#N/A,#N/A,FALSE,"2LOSS";#N/A,#N/A,FALSE,"DSC";#N/A,#N/A,FALSE,"OPERAT";#N/A,#N/A,FALSE,"ADJUST";#N/A,#N/A,FALSE,"LEASE EXPIRE"}</definedName>
    <definedName name="wrn.cssa." localSheetId="6" hidden="1">{#N/A,#N/A,FALSE,"WATCHDSC";#N/A,#N/A,FALSE,"2LOSSMOD";#N/A,#N/A,FALSE,"2LOSS";#N/A,#N/A,FALSE,"DSC";#N/A,#N/A,FALSE,"OPERAT";#N/A,#N/A,FALSE,"ADJUST";#N/A,#N/A,FALSE,"LEASE EXPIRE"}</definedName>
    <definedName name="wrn.cssa." localSheetId="9" hidden="1">{#N/A,#N/A,FALSE,"WATCHDSC";#N/A,#N/A,FALSE,"2LOSSMOD";#N/A,#N/A,FALSE,"2LOSS";#N/A,#N/A,FALSE,"DSC";#N/A,#N/A,FALSE,"OPERAT";#N/A,#N/A,FALSE,"ADJUST";#N/A,#N/A,FALSE,"LEASE EXPIRE"}</definedName>
    <definedName name="wrn.cssa." localSheetId="2" hidden="1">{#N/A,#N/A,FALSE,"WATCHDSC";#N/A,#N/A,FALSE,"2LOSSMOD";#N/A,#N/A,FALSE,"2LOSS";#N/A,#N/A,FALSE,"DSC";#N/A,#N/A,FALSE,"OPERAT";#N/A,#N/A,FALSE,"ADJUST";#N/A,#N/A,FALSE,"LEASE EXPIRE"}</definedName>
    <definedName name="wrn.cssa." localSheetId="4" hidden="1">{#N/A,#N/A,FALSE,"WATCHDSC";#N/A,#N/A,FALSE,"2LOSSMOD";#N/A,#N/A,FALSE,"2LOSS";#N/A,#N/A,FALSE,"DSC";#N/A,#N/A,FALSE,"OPERAT";#N/A,#N/A,FALSE,"ADJUST";#N/A,#N/A,FALSE,"LEASE EXPIRE"}</definedName>
    <definedName name="wrn.cssa." localSheetId="0" hidden="1">{#N/A,#N/A,FALSE,"WATCHDSC";#N/A,#N/A,FALSE,"2LOSSMOD";#N/A,#N/A,FALSE,"2LOSS";#N/A,#N/A,FALSE,"DSC";#N/A,#N/A,FALSE,"OPERAT";#N/A,#N/A,FALSE,"ADJUST";#N/A,#N/A,FALSE,"LEASE EXPIRE"}</definedName>
    <definedName name="wrn.cssa." hidden="1">{#N/A,#N/A,FALSE,"WATCHDSC";#N/A,#N/A,FALSE,"2LOSSMOD";#N/A,#N/A,FALSE,"2LOSS";#N/A,#N/A,FALSE,"DSC";#N/A,#N/A,FALSE,"OPERAT";#N/A,#N/A,FALSE,"ADJUST";#N/A,#N/A,FALSE,"LEASE EXPIRE"}</definedName>
    <definedName name="wrn.Ctrl._.A._.Annually." localSheetId="3" hidden="1">{#N/A,#N/A,FALSE,"Notes";"CashFlowSummary Annually",#N/A,FALSE,"CashFlowSummary";"InvestorSummary Annually",#N/A,FALSE,"InvestorSummary";#N/A,#N/A,FALSE,"RevenueAssumptions";"MasterCostAssmp Annually",#N/A,FALSE,"MasterCostAssmp";#N/A,#N/A,FALSE,"InTractCstAssmp";"LotTakedowns Annually",#N/A,FALSE,"LotTakedowns"}</definedName>
    <definedName name="wrn.Ctrl._.A._.Annually." localSheetId="9" hidden="1">{#N/A,#N/A,FALSE,"Notes";"CashFlowSummary Annually",#N/A,FALSE,"CashFlowSummary";"InvestorSummary Annually",#N/A,FALSE,"InvestorSummary";#N/A,#N/A,FALSE,"RevenueAssumptions";"MasterCostAssmp Annually",#N/A,FALSE,"MasterCostAssmp";#N/A,#N/A,FALSE,"InTractCstAssmp";"LotTakedowns Annually",#N/A,FALSE,"LotTakedowns"}</definedName>
    <definedName name="wrn.Ctrl._.A._.Annually." localSheetId="2" hidden="1">{#N/A,#N/A,FALSE,"Notes";"CashFlowSummary Annually",#N/A,FALSE,"CashFlowSummary";"InvestorSummary Annually",#N/A,FALSE,"InvestorSummary";#N/A,#N/A,FALSE,"RevenueAssumptions";"MasterCostAssmp Annually",#N/A,FALSE,"MasterCostAssmp";#N/A,#N/A,FALSE,"InTractCstAssmp";"LotTakedowns Annually",#N/A,FALSE,"LotTakedowns"}</definedName>
    <definedName name="wrn.Ctrl._.A._.Annually." localSheetId="4" hidden="1">{#N/A,#N/A,FALSE,"Notes";"CashFlowSummary Annually",#N/A,FALSE,"CashFlowSummary";"InvestorSummary Annually",#N/A,FALSE,"InvestorSummary";#N/A,#N/A,FALSE,"RevenueAssumptions";"MasterCostAssmp Annually",#N/A,FALSE,"MasterCostAssmp";#N/A,#N/A,FALSE,"InTractCstAssmp";"LotTakedowns Annually",#N/A,FALSE,"LotTakedowns"}</definedName>
    <definedName name="wrn.Ctrl._.A._.Annually." localSheetId="0" hidden="1">{#N/A,#N/A,FALSE,"Notes";"CashFlowSummary Annually",#N/A,FALSE,"CashFlowSummary";"InvestorSummary Annually",#N/A,FALSE,"InvestorSummary";#N/A,#N/A,FALSE,"RevenueAssumptions";"MasterCostAssmp Annually",#N/A,FALSE,"MasterCostAssmp";#N/A,#N/A,FALSE,"InTractCstAssmp";"LotTakedowns Annually",#N/A,FALSE,"LotTakedowns"}</definedName>
    <definedName name="wrn.Ctrl._.A._.Annually." hidden="1">{#N/A,#N/A,FALSE,"Notes";"CashFlowSummary Annually",#N/A,FALSE,"CashFlowSummary";"InvestorSummary Annually",#N/A,FALSE,"InvestorSummary";#N/A,#N/A,FALSE,"RevenueAssumptions";"MasterCostAssmp Annually",#N/A,FALSE,"MasterCostAssmp";#N/A,#N/A,FALSE,"InTractCstAssmp";"LotTakedowns Annually",#N/A,FALSE,"LotTakedowns"}</definedName>
    <definedName name="wrn.Ctrl._.A._.Quarterly." localSheetId="3"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wrn.Ctrl._.A._.Quarterly." localSheetId="9"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wrn.Ctrl._.A._.Quarterly." localSheetId="2"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wrn.Ctrl._.A._.Quarterly." localSheetId="4"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wrn.Ctrl._.A._.Quarterly." localSheetId="0"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wrn.Ctrl._.A._.Quarterly."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wrn.Ctrl._.M." localSheetId="3" hidden="1">{#N/A,#N/A,FALSE,"Notes";#N/A,#N/A,FALSE,"BaseAssumptions";#N/A,#N/A,FALSE,"CFD Summary";#N/A,#N/A,FALSE,"RevenueAssumptions";#N/A,#N/A,FALSE,"MasterCostAssmp";#N/A,#N/A,FALSE,"InTractCstAssmp";#N/A,#N/A,FALSE,"LotTakedowns";#N/A,#N/A,FALSE,"CashFlowSummary";#N/A,#N/A,FALSE,"Loan Value";#N/A,#N/A,FALSE,"AcqDev Loan";#N/A,#N/A,FALSE,"FlowSummary";#N/A,#N/A,FALSE,"SourcesAndUses";#N/A,#N/A,FALSE,"CashDistribute";#N/A,#N/A,FALSE,"InvestorSummary";#N/A,#N/A,FALSE,"Finance Summary";#N/A,#N/A,FALSE,"SourceAndUse";#N/A,#N/A,FALSE,"Valuation"}</definedName>
    <definedName name="wrn.Ctrl._.M." localSheetId="9" hidden="1">{#N/A,#N/A,FALSE,"Notes";#N/A,#N/A,FALSE,"BaseAssumptions";#N/A,#N/A,FALSE,"CFD Summary";#N/A,#N/A,FALSE,"RevenueAssumptions";#N/A,#N/A,FALSE,"MasterCostAssmp";#N/A,#N/A,FALSE,"InTractCstAssmp";#N/A,#N/A,FALSE,"LotTakedowns";#N/A,#N/A,FALSE,"CashFlowSummary";#N/A,#N/A,FALSE,"Loan Value";#N/A,#N/A,FALSE,"AcqDev Loan";#N/A,#N/A,FALSE,"FlowSummary";#N/A,#N/A,FALSE,"SourcesAndUses";#N/A,#N/A,FALSE,"CashDistribute";#N/A,#N/A,FALSE,"InvestorSummary";#N/A,#N/A,FALSE,"Finance Summary";#N/A,#N/A,FALSE,"SourceAndUse";#N/A,#N/A,FALSE,"Valuation"}</definedName>
    <definedName name="wrn.Ctrl._.M." localSheetId="2" hidden="1">{#N/A,#N/A,FALSE,"Notes";#N/A,#N/A,FALSE,"BaseAssumptions";#N/A,#N/A,FALSE,"CFD Summary";#N/A,#N/A,FALSE,"RevenueAssumptions";#N/A,#N/A,FALSE,"MasterCostAssmp";#N/A,#N/A,FALSE,"InTractCstAssmp";#N/A,#N/A,FALSE,"LotTakedowns";#N/A,#N/A,FALSE,"CashFlowSummary";#N/A,#N/A,FALSE,"Loan Value";#N/A,#N/A,FALSE,"AcqDev Loan";#N/A,#N/A,FALSE,"FlowSummary";#N/A,#N/A,FALSE,"SourcesAndUses";#N/A,#N/A,FALSE,"CashDistribute";#N/A,#N/A,FALSE,"InvestorSummary";#N/A,#N/A,FALSE,"Finance Summary";#N/A,#N/A,FALSE,"SourceAndUse";#N/A,#N/A,FALSE,"Valuation"}</definedName>
    <definedName name="wrn.Ctrl._.M." localSheetId="4" hidden="1">{#N/A,#N/A,FALSE,"Notes";#N/A,#N/A,FALSE,"BaseAssumptions";#N/A,#N/A,FALSE,"CFD Summary";#N/A,#N/A,FALSE,"RevenueAssumptions";#N/A,#N/A,FALSE,"MasterCostAssmp";#N/A,#N/A,FALSE,"InTractCstAssmp";#N/A,#N/A,FALSE,"LotTakedowns";#N/A,#N/A,FALSE,"CashFlowSummary";#N/A,#N/A,FALSE,"Loan Value";#N/A,#N/A,FALSE,"AcqDev Loan";#N/A,#N/A,FALSE,"FlowSummary";#N/A,#N/A,FALSE,"SourcesAndUses";#N/A,#N/A,FALSE,"CashDistribute";#N/A,#N/A,FALSE,"InvestorSummary";#N/A,#N/A,FALSE,"Finance Summary";#N/A,#N/A,FALSE,"SourceAndUse";#N/A,#N/A,FALSE,"Valuation"}</definedName>
    <definedName name="wrn.Ctrl._.M." localSheetId="0" hidden="1">{#N/A,#N/A,FALSE,"Notes";#N/A,#N/A,FALSE,"BaseAssumptions";#N/A,#N/A,FALSE,"CFD Summary";#N/A,#N/A,FALSE,"RevenueAssumptions";#N/A,#N/A,FALSE,"MasterCostAssmp";#N/A,#N/A,FALSE,"InTractCstAssmp";#N/A,#N/A,FALSE,"LotTakedowns";#N/A,#N/A,FALSE,"CashFlowSummary";#N/A,#N/A,FALSE,"Loan Value";#N/A,#N/A,FALSE,"AcqDev Loan";#N/A,#N/A,FALSE,"FlowSummary";#N/A,#N/A,FALSE,"SourcesAndUses";#N/A,#N/A,FALSE,"CashDistribute";#N/A,#N/A,FALSE,"InvestorSummary";#N/A,#N/A,FALSE,"Finance Summary";#N/A,#N/A,FALSE,"SourceAndUse";#N/A,#N/A,FALSE,"Valuation"}</definedName>
    <definedName name="wrn.Ctrl._.M." hidden="1">{#N/A,#N/A,FALSE,"Notes";#N/A,#N/A,FALSE,"BaseAssumptions";#N/A,#N/A,FALSE,"CFD Summary";#N/A,#N/A,FALSE,"RevenueAssumptions";#N/A,#N/A,FALSE,"MasterCostAssmp";#N/A,#N/A,FALSE,"InTractCstAssmp";#N/A,#N/A,FALSE,"LotTakedowns";#N/A,#N/A,FALSE,"CashFlowSummary";#N/A,#N/A,FALSE,"Loan Value";#N/A,#N/A,FALSE,"AcqDev Loan";#N/A,#N/A,FALSE,"FlowSummary";#N/A,#N/A,FALSE,"SourcesAndUses";#N/A,#N/A,FALSE,"CashDistribute";#N/A,#N/A,FALSE,"InvestorSummary";#N/A,#N/A,FALSE,"Finance Summary";#N/A,#N/A,FALSE,"SourceAndUse";#N/A,#N/A,FALSE,"Valuation"}</definedName>
    <definedName name="wrn.Ctrl._.M._.Annually." localSheetId="3"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wrn.Ctrl._.M._.Annually." localSheetId="9"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wrn.Ctrl._.M._.Annually." localSheetId="2"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wrn.Ctrl._.M._.Annually." localSheetId="4"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wrn.Ctrl._.M._.Annually." localSheetId="0"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wrn.Ctrl._.M._.Annually."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wrn.Ctrl._.M._.Quarterly." localSheetId="3" hidden="1">{#N/A,#N/A,FALSE,"Notes";#N/A,#N/A,FALSE,"BaseAssumptions";#N/A,#N/A,FALSE,"CFD";#N/A,#N/A,FALSE,"RevenueAssumptions";"MasterCostAssmp Quarterly",#N/A,FALSE,"MasterCostAssmp";"Lot Takedowns Quarterly",#N/A,FALSE,"LotTakedowns";#N/A,#N/A,FALSE,"InTractCstAssmp";"CashFlowSummary Quarterly",#N/A,FALSE,"CashFlowSummary";#N/A,#N/A,FALSE,"Loan Value";"AcqDev Loan Quarterly",#N/A,FALSE,"AcqDev Loan";"Loan #1 Quarterly",#N/A,FALSE,"Loan #1";"Loan #2 Quarterly",#N/A,FALSE,"Loan #2";"Loan #3 Quarterly",#N/A,FALSE,"Loan #3";"Consolidated Loan Quarterly",#N/A,FALSE,"Consolidated Loan";"FlowSummary Quarterly",#N/A,FALSE,"FlowSummary";"SourcesAndUses Quarterly",#N/A,FALSE,"SourcesAndUses";"CashDistribute Quarterly",#N/A,FALSE,"CashDistribute";"InvestorSummary Quarterly",#N/A,FALSE,"InvestorSummary";#N/A,#N/A,FALSE,"Finance Summary";#N/A,#N/A,FALSE,"Valuation"}</definedName>
    <definedName name="wrn.Ctrl._.M._.Quarterly." localSheetId="9" hidden="1">{#N/A,#N/A,FALSE,"Notes";#N/A,#N/A,FALSE,"BaseAssumptions";#N/A,#N/A,FALSE,"CFD";#N/A,#N/A,FALSE,"RevenueAssumptions";"MasterCostAssmp Quarterly",#N/A,FALSE,"MasterCostAssmp";"Lot Takedowns Quarterly",#N/A,FALSE,"LotTakedowns";#N/A,#N/A,FALSE,"InTractCstAssmp";"CashFlowSummary Quarterly",#N/A,FALSE,"CashFlowSummary";#N/A,#N/A,FALSE,"Loan Value";"AcqDev Loan Quarterly",#N/A,FALSE,"AcqDev Loan";"Loan #1 Quarterly",#N/A,FALSE,"Loan #1";"Loan #2 Quarterly",#N/A,FALSE,"Loan #2";"Loan #3 Quarterly",#N/A,FALSE,"Loan #3";"Consolidated Loan Quarterly",#N/A,FALSE,"Consolidated Loan";"FlowSummary Quarterly",#N/A,FALSE,"FlowSummary";"SourcesAndUses Quarterly",#N/A,FALSE,"SourcesAndUses";"CashDistribute Quarterly",#N/A,FALSE,"CashDistribute";"InvestorSummary Quarterly",#N/A,FALSE,"InvestorSummary";#N/A,#N/A,FALSE,"Finance Summary";#N/A,#N/A,FALSE,"Valuation"}</definedName>
    <definedName name="wrn.Ctrl._.M._.Quarterly." localSheetId="2" hidden="1">{#N/A,#N/A,FALSE,"Notes";#N/A,#N/A,FALSE,"BaseAssumptions";#N/A,#N/A,FALSE,"CFD";#N/A,#N/A,FALSE,"RevenueAssumptions";"MasterCostAssmp Quarterly",#N/A,FALSE,"MasterCostAssmp";"Lot Takedowns Quarterly",#N/A,FALSE,"LotTakedowns";#N/A,#N/A,FALSE,"InTractCstAssmp";"CashFlowSummary Quarterly",#N/A,FALSE,"CashFlowSummary";#N/A,#N/A,FALSE,"Loan Value";"AcqDev Loan Quarterly",#N/A,FALSE,"AcqDev Loan";"Loan #1 Quarterly",#N/A,FALSE,"Loan #1";"Loan #2 Quarterly",#N/A,FALSE,"Loan #2";"Loan #3 Quarterly",#N/A,FALSE,"Loan #3";"Consolidated Loan Quarterly",#N/A,FALSE,"Consolidated Loan";"FlowSummary Quarterly",#N/A,FALSE,"FlowSummary";"SourcesAndUses Quarterly",#N/A,FALSE,"SourcesAndUses";"CashDistribute Quarterly",#N/A,FALSE,"CashDistribute";"InvestorSummary Quarterly",#N/A,FALSE,"InvestorSummary";#N/A,#N/A,FALSE,"Finance Summary";#N/A,#N/A,FALSE,"Valuation"}</definedName>
    <definedName name="wrn.Ctrl._.M._.Quarterly." localSheetId="4" hidden="1">{#N/A,#N/A,FALSE,"Notes";#N/A,#N/A,FALSE,"BaseAssumptions";#N/A,#N/A,FALSE,"CFD";#N/A,#N/A,FALSE,"RevenueAssumptions";"MasterCostAssmp Quarterly",#N/A,FALSE,"MasterCostAssmp";"Lot Takedowns Quarterly",#N/A,FALSE,"LotTakedowns";#N/A,#N/A,FALSE,"InTractCstAssmp";"CashFlowSummary Quarterly",#N/A,FALSE,"CashFlowSummary";#N/A,#N/A,FALSE,"Loan Value";"AcqDev Loan Quarterly",#N/A,FALSE,"AcqDev Loan";"Loan #1 Quarterly",#N/A,FALSE,"Loan #1";"Loan #2 Quarterly",#N/A,FALSE,"Loan #2";"Loan #3 Quarterly",#N/A,FALSE,"Loan #3";"Consolidated Loan Quarterly",#N/A,FALSE,"Consolidated Loan";"FlowSummary Quarterly",#N/A,FALSE,"FlowSummary";"SourcesAndUses Quarterly",#N/A,FALSE,"SourcesAndUses";"CashDistribute Quarterly",#N/A,FALSE,"CashDistribute";"InvestorSummary Quarterly",#N/A,FALSE,"InvestorSummary";#N/A,#N/A,FALSE,"Finance Summary";#N/A,#N/A,FALSE,"Valuation"}</definedName>
    <definedName name="wrn.Ctrl._.M._.Quarterly." localSheetId="0" hidden="1">{#N/A,#N/A,FALSE,"Notes";#N/A,#N/A,FALSE,"BaseAssumptions";#N/A,#N/A,FALSE,"CFD";#N/A,#N/A,FALSE,"RevenueAssumptions";"MasterCostAssmp Quarterly",#N/A,FALSE,"MasterCostAssmp";"Lot Takedowns Quarterly",#N/A,FALSE,"LotTakedowns";#N/A,#N/A,FALSE,"InTractCstAssmp";"CashFlowSummary Quarterly",#N/A,FALSE,"CashFlowSummary";#N/A,#N/A,FALSE,"Loan Value";"AcqDev Loan Quarterly",#N/A,FALSE,"AcqDev Loan";"Loan #1 Quarterly",#N/A,FALSE,"Loan #1";"Loan #2 Quarterly",#N/A,FALSE,"Loan #2";"Loan #3 Quarterly",#N/A,FALSE,"Loan #3";"Consolidated Loan Quarterly",#N/A,FALSE,"Consolidated Loan";"FlowSummary Quarterly",#N/A,FALSE,"FlowSummary";"SourcesAndUses Quarterly",#N/A,FALSE,"SourcesAndUses";"CashDistribute Quarterly",#N/A,FALSE,"CashDistribute";"InvestorSummary Quarterly",#N/A,FALSE,"InvestorSummary";#N/A,#N/A,FALSE,"Finance Summary";#N/A,#N/A,FALSE,"Valuation"}</definedName>
    <definedName name="wrn.Ctrl._.M._.Quarterly." hidden="1">{#N/A,#N/A,FALSE,"Notes";#N/A,#N/A,FALSE,"BaseAssumptions";#N/A,#N/A,FALSE,"CFD";#N/A,#N/A,FALSE,"RevenueAssumptions";"MasterCostAssmp Quarterly",#N/A,FALSE,"MasterCostAssmp";"Lot Takedowns Quarterly",#N/A,FALSE,"LotTakedowns";#N/A,#N/A,FALSE,"InTractCstAssmp";"CashFlowSummary Quarterly",#N/A,FALSE,"CashFlowSummary";#N/A,#N/A,FALSE,"Loan Value";"AcqDev Loan Quarterly",#N/A,FALSE,"AcqDev Loan";"Loan #1 Quarterly",#N/A,FALSE,"Loan #1";"Loan #2 Quarterly",#N/A,FALSE,"Loan #2";"Loan #3 Quarterly",#N/A,FALSE,"Loan #3";"Consolidated Loan Quarterly",#N/A,FALSE,"Consolidated Loan";"FlowSummary Quarterly",#N/A,FALSE,"FlowSummary";"SourcesAndUses Quarterly",#N/A,FALSE,"SourcesAndUses";"CashDistribute Quarterly",#N/A,FALSE,"CashDistribute";"InvestorSummary Quarterly",#N/A,FALSE,"InvestorSummary";#N/A,#N/A,FALSE,"Finance Summary";#N/A,#N/A,FALSE,"Valuation"}</definedName>
    <definedName name="wrn.Current._1" localSheetId="3" hidden="1">{"Coversheet",#N/A,TRUE,"Sheet1";"Valuation Summary",#N/A,TRUE,"Sheet1";"Cash Flow Projection",#N/A,TRUE,"Sheet1";"Pship Cash &amp; Equity Value",#N/A,TRUE,"Sheet1";"DCF",#N/A,TRUE,"Sheet1";"Partnership Distributions",#N/A,TRUE,"Sheet1";"MIR/Capital Partner Splits",#N/A,TRUE,"Sheet1";"MIR ROC &amp; Pref (3)",#N/A,TRUE,"Sheet1";"MIR Catchup &amp; Promote (4)",#N/A,TRUE,"Sheet1";"Assumptions",#N/A,TRUE,"Sheet1";"Sensitivity",#N/A,TRUE,"Sheet1";"PropertyPage 1",#N/A,TRUE,"Properties";"PropertyPage 2",#N/A,TRUE,"Properties";"PropertyPage 3",#N/A,TRUE,"Properties"}</definedName>
    <definedName name="wrn.Current._1" localSheetId="9" hidden="1">{"Coversheet",#N/A,TRUE,"Sheet1";"Valuation Summary",#N/A,TRUE,"Sheet1";"Cash Flow Projection",#N/A,TRUE,"Sheet1";"Pship Cash &amp; Equity Value",#N/A,TRUE,"Sheet1";"DCF",#N/A,TRUE,"Sheet1";"Partnership Distributions",#N/A,TRUE,"Sheet1";"MIR/Capital Partner Splits",#N/A,TRUE,"Sheet1";"MIR ROC &amp; Pref (3)",#N/A,TRUE,"Sheet1";"MIR Catchup &amp; Promote (4)",#N/A,TRUE,"Sheet1";"Assumptions",#N/A,TRUE,"Sheet1";"Sensitivity",#N/A,TRUE,"Sheet1";"PropertyPage 1",#N/A,TRUE,"Properties";"PropertyPage 2",#N/A,TRUE,"Properties";"PropertyPage 3",#N/A,TRUE,"Properties"}</definedName>
    <definedName name="wrn.Current._1" localSheetId="2" hidden="1">{"Coversheet",#N/A,TRUE,"Sheet1";"Valuation Summary",#N/A,TRUE,"Sheet1";"Cash Flow Projection",#N/A,TRUE,"Sheet1";"Pship Cash &amp; Equity Value",#N/A,TRUE,"Sheet1";"DCF",#N/A,TRUE,"Sheet1";"Partnership Distributions",#N/A,TRUE,"Sheet1";"MIR/Capital Partner Splits",#N/A,TRUE,"Sheet1";"MIR ROC &amp; Pref (3)",#N/A,TRUE,"Sheet1";"MIR Catchup &amp; Promote (4)",#N/A,TRUE,"Sheet1";"Assumptions",#N/A,TRUE,"Sheet1";"Sensitivity",#N/A,TRUE,"Sheet1";"PropertyPage 1",#N/A,TRUE,"Properties";"PropertyPage 2",#N/A,TRUE,"Properties";"PropertyPage 3",#N/A,TRUE,"Properties"}</definedName>
    <definedName name="wrn.Current._1" localSheetId="4" hidden="1">{"Coversheet",#N/A,TRUE,"Sheet1";"Valuation Summary",#N/A,TRUE,"Sheet1";"Cash Flow Projection",#N/A,TRUE,"Sheet1";"Pship Cash &amp; Equity Value",#N/A,TRUE,"Sheet1";"DCF",#N/A,TRUE,"Sheet1";"Partnership Distributions",#N/A,TRUE,"Sheet1";"MIR/Capital Partner Splits",#N/A,TRUE,"Sheet1";"MIR ROC &amp; Pref (3)",#N/A,TRUE,"Sheet1";"MIR Catchup &amp; Promote (4)",#N/A,TRUE,"Sheet1";"Assumptions",#N/A,TRUE,"Sheet1";"Sensitivity",#N/A,TRUE,"Sheet1";"PropertyPage 1",#N/A,TRUE,"Properties";"PropertyPage 2",#N/A,TRUE,"Properties";"PropertyPage 3",#N/A,TRUE,"Properties"}</definedName>
    <definedName name="wrn.Current._1" localSheetId="0" hidden="1">{"Coversheet",#N/A,TRUE,"Sheet1";"Valuation Summary",#N/A,TRUE,"Sheet1";"Cash Flow Projection",#N/A,TRUE,"Sheet1";"Pship Cash &amp; Equity Value",#N/A,TRUE,"Sheet1";"DCF",#N/A,TRUE,"Sheet1";"Partnership Distributions",#N/A,TRUE,"Sheet1";"MIR/Capital Partner Splits",#N/A,TRUE,"Sheet1";"MIR ROC &amp; Pref (3)",#N/A,TRUE,"Sheet1";"MIR Catchup &amp; Promote (4)",#N/A,TRUE,"Sheet1";"Assumptions",#N/A,TRUE,"Sheet1";"Sensitivity",#N/A,TRUE,"Sheet1";"PropertyPage 1",#N/A,TRUE,"Properties";"PropertyPage 2",#N/A,TRUE,"Properties";"PropertyPage 3",#N/A,TRUE,"Properties"}</definedName>
    <definedName name="wrn.Current._1" hidden="1">{"Coversheet",#N/A,TRUE,"Sheet1";"Valuation Summary",#N/A,TRUE,"Sheet1";"Cash Flow Projection",#N/A,TRUE,"Sheet1";"Pship Cash &amp; Equity Value",#N/A,TRUE,"Sheet1";"DCF",#N/A,TRUE,"Sheet1";"Partnership Distributions",#N/A,TRUE,"Sheet1";"MIR/Capital Partner Splits",#N/A,TRUE,"Sheet1";"MIR ROC &amp; Pref (3)",#N/A,TRUE,"Sheet1";"MIR Catchup &amp; Promote (4)",#N/A,TRUE,"Sheet1";"Assumptions",#N/A,TRUE,"Sheet1";"Sensitivity",#N/A,TRUE,"Sheet1";"PropertyPage 1",#N/A,TRUE,"Properties";"PropertyPage 2",#N/A,TRUE,"Properties";"PropertyPage 3",#N/A,TRUE,"Properties"}</definedName>
    <definedName name="wrn.Current._2" localSheetId="3" hidden="1">{"Coversheet",#N/A,TRUE,"Sheet1";"Valuation Summary",#N/A,TRUE,"Sheet1";"Cash Flow Projection",#N/A,TRUE,"Sheet1";"Pship Cash &amp; Equity Value",#N/A,TRUE,"Sheet1";"DCF",#N/A,TRUE,"Sheet1";"Partnership Distributions",#N/A,TRUE,"Sheet1";"MIR/Capital Partner Splits",#N/A,TRUE,"Sheet1";"MIR ROC &amp; Pref (3)",#N/A,TRUE,"Sheet1";"MIR Catchup &amp; Promote (4)",#N/A,TRUE,"Sheet1";"Assumptions",#N/A,TRUE,"Sheet1";"Sensitivity",#N/A,TRUE,"Sheet1";"PropertyPage 1",#N/A,TRUE,"Properties";"PropertyPage 2",#N/A,TRUE,"Properties";"PropertyPage 3",#N/A,TRUE,"Properties"}</definedName>
    <definedName name="wrn.Current._2" localSheetId="9" hidden="1">{"Coversheet",#N/A,TRUE,"Sheet1";"Valuation Summary",#N/A,TRUE,"Sheet1";"Cash Flow Projection",#N/A,TRUE,"Sheet1";"Pship Cash &amp; Equity Value",#N/A,TRUE,"Sheet1";"DCF",#N/A,TRUE,"Sheet1";"Partnership Distributions",#N/A,TRUE,"Sheet1";"MIR/Capital Partner Splits",#N/A,TRUE,"Sheet1";"MIR ROC &amp; Pref (3)",#N/A,TRUE,"Sheet1";"MIR Catchup &amp; Promote (4)",#N/A,TRUE,"Sheet1";"Assumptions",#N/A,TRUE,"Sheet1";"Sensitivity",#N/A,TRUE,"Sheet1";"PropertyPage 1",#N/A,TRUE,"Properties";"PropertyPage 2",#N/A,TRUE,"Properties";"PropertyPage 3",#N/A,TRUE,"Properties"}</definedName>
    <definedName name="wrn.Current._2" localSheetId="2" hidden="1">{"Coversheet",#N/A,TRUE,"Sheet1";"Valuation Summary",#N/A,TRUE,"Sheet1";"Cash Flow Projection",#N/A,TRUE,"Sheet1";"Pship Cash &amp; Equity Value",#N/A,TRUE,"Sheet1";"DCF",#N/A,TRUE,"Sheet1";"Partnership Distributions",#N/A,TRUE,"Sheet1";"MIR/Capital Partner Splits",#N/A,TRUE,"Sheet1";"MIR ROC &amp; Pref (3)",#N/A,TRUE,"Sheet1";"MIR Catchup &amp; Promote (4)",#N/A,TRUE,"Sheet1";"Assumptions",#N/A,TRUE,"Sheet1";"Sensitivity",#N/A,TRUE,"Sheet1";"PropertyPage 1",#N/A,TRUE,"Properties";"PropertyPage 2",#N/A,TRUE,"Properties";"PropertyPage 3",#N/A,TRUE,"Properties"}</definedName>
    <definedName name="wrn.Current._2" localSheetId="4" hidden="1">{"Coversheet",#N/A,TRUE,"Sheet1";"Valuation Summary",#N/A,TRUE,"Sheet1";"Cash Flow Projection",#N/A,TRUE,"Sheet1";"Pship Cash &amp; Equity Value",#N/A,TRUE,"Sheet1";"DCF",#N/A,TRUE,"Sheet1";"Partnership Distributions",#N/A,TRUE,"Sheet1";"MIR/Capital Partner Splits",#N/A,TRUE,"Sheet1";"MIR ROC &amp; Pref (3)",#N/A,TRUE,"Sheet1";"MIR Catchup &amp; Promote (4)",#N/A,TRUE,"Sheet1";"Assumptions",#N/A,TRUE,"Sheet1";"Sensitivity",#N/A,TRUE,"Sheet1";"PropertyPage 1",#N/A,TRUE,"Properties";"PropertyPage 2",#N/A,TRUE,"Properties";"PropertyPage 3",#N/A,TRUE,"Properties"}</definedName>
    <definedName name="wrn.Current._2" localSheetId="0" hidden="1">{"Coversheet",#N/A,TRUE,"Sheet1";"Valuation Summary",#N/A,TRUE,"Sheet1";"Cash Flow Projection",#N/A,TRUE,"Sheet1";"Pship Cash &amp; Equity Value",#N/A,TRUE,"Sheet1";"DCF",#N/A,TRUE,"Sheet1";"Partnership Distributions",#N/A,TRUE,"Sheet1";"MIR/Capital Partner Splits",#N/A,TRUE,"Sheet1";"MIR ROC &amp; Pref (3)",#N/A,TRUE,"Sheet1";"MIR Catchup &amp; Promote (4)",#N/A,TRUE,"Sheet1";"Assumptions",#N/A,TRUE,"Sheet1";"Sensitivity",#N/A,TRUE,"Sheet1";"PropertyPage 1",#N/A,TRUE,"Properties";"PropertyPage 2",#N/A,TRUE,"Properties";"PropertyPage 3",#N/A,TRUE,"Properties"}</definedName>
    <definedName name="wrn.Current._2" hidden="1">{"Coversheet",#N/A,TRUE,"Sheet1";"Valuation Summary",#N/A,TRUE,"Sheet1";"Cash Flow Projection",#N/A,TRUE,"Sheet1";"Pship Cash &amp; Equity Value",#N/A,TRUE,"Sheet1";"DCF",#N/A,TRUE,"Sheet1";"Partnership Distributions",#N/A,TRUE,"Sheet1";"MIR/Capital Partner Splits",#N/A,TRUE,"Sheet1";"MIR ROC &amp; Pref (3)",#N/A,TRUE,"Sheet1";"MIR Catchup &amp; Promote (4)",#N/A,TRUE,"Sheet1";"Assumptions",#N/A,TRUE,"Sheet1";"Sensitivity",#N/A,TRUE,"Sheet1";"PropertyPage 1",#N/A,TRUE,"Properties";"PropertyPage 2",#N/A,TRUE,"Properties";"PropertyPage 3",#N/A,TRUE,"Properties"}</definedName>
    <definedName name="wrn.Current._3" localSheetId="3" hidden="1">{"Coversheet",#N/A,TRUE,"Sheet1";"Valuation Summary",#N/A,TRUE,"Sheet1";"Cash Flow Projection",#N/A,TRUE,"Sheet1";"Pship Cash &amp; Equity Value",#N/A,TRUE,"Sheet1";"DCF",#N/A,TRUE,"Sheet1";"Partnership Distributions",#N/A,TRUE,"Sheet1";"MIR/Capital Partner Splits",#N/A,TRUE,"Sheet1";"MIR ROC &amp; Pref (3)",#N/A,TRUE,"Sheet1";"MIR Catchup &amp; Promote (4)",#N/A,TRUE,"Sheet1";"Assumptions",#N/A,TRUE,"Sheet1";"Sensitivity",#N/A,TRUE,"Sheet1";"PropertyPage 1",#N/A,TRUE,"Properties";"PropertyPage 2",#N/A,TRUE,"Properties";"PropertyPage 3",#N/A,TRUE,"Properties"}</definedName>
    <definedName name="wrn.Current._3" localSheetId="9" hidden="1">{"Coversheet",#N/A,TRUE,"Sheet1";"Valuation Summary",#N/A,TRUE,"Sheet1";"Cash Flow Projection",#N/A,TRUE,"Sheet1";"Pship Cash &amp; Equity Value",#N/A,TRUE,"Sheet1";"DCF",#N/A,TRUE,"Sheet1";"Partnership Distributions",#N/A,TRUE,"Sheet1";"MIR/Capital Partner Splits",#N/A,TRUE,"Sheet1";"MIR ROC &amp; Pref (3)",#N/A,TRUE,"Sheet1";"MIR Catchup &amp; Promote (4)",#N/A,TRUE,"Sheet1";"Assumptions",#N/A,TRUE,"Sheet1";"Sensitivity",#N/A,TRUE,"Sheet1";"PropertyPage 1",#N/A,TRUE,"Properties";"PropertyPage 2",#N/A,TRUE,"Properties";"PropertyPage 3",#N/A,TRUE,"Properties"}</definedName>
    <definedName name="wrn.Current._3" localSheetId="2" hidden="1">{"Coversheet",#N/A,TRUE,"Sheet1";"Valuation Summary",#N/A,TRUE,"Sheet1";"Cash Flow Projection",#N/A,TRUE,"Sheet1";"Pship Cash &amp; Equity Value",#N/A,TRUE,"Sheet1";"DCF",#N/A,TRUE,"Sheet1";"Partnership Distributions",#N/A,TRUE,"Sheet1";"MIR/Capital Partner Splits",#N/A,TRUE,"Sheet1";"MIR ROC &amp; Pref (3)",#N/A,TRUE,"Sheet1";"MIR Catchup &amp; Promote (4)",#N/A,TRUE,"Sheet1";"Assumptions",#N/A,TRUE,"Sheet1";"Sensitivity",#N/A,TRUE,"Sheet1";"PropertyPage 1",#N/A,TRUE,"Properties";"PropertyPage 2",#N/A,TRUE,"Properties";"PropertyPage 3",#N/A,TRUE,"Properties"}</definedName>
    <definedName name="wrn.Current._3" localSheetId="4" hidden="1">{"Coversheet",#N/A,TRUE,"Sheet1";"Valuation Summary",#N/A,TRUE,"Sheet1";"Cash Flow Projection",#N/A,TRUE,"Sheet1";"Pship Cash &amp; Equity Value",#N/A,TRUE,"Sheet1";"DCF",#N/A,TRUE,"Sheet1";"Partnership Distributions",#N/A,TRUE,"Sheet1";"MIR/Capital Partner Splits",#N/A,TRUE,"Sheet1";"MIR ROC &amp; Pref (3)",#N/A,TRUE,"Sheet1";"MIR Catchup &amp; Promote (4)",#N/A,TRUE,"Sheet1";"Assumptions",#N/A,TRUE,"Sheet1";"Sensitivity",#N/A,TRUE,"Sheet1";"PropertyPage 1",#N/A,TRUE,"Properties";"PropertyPage 2",#N/A,TRUE,"Properties";"PropertyPage 3",#N/A,TRUE,"Properties"}</definedName>
    <definedName name="wrn.Current._3" localSheetId="0" hidden="1">{"Coversheet",#N/A,TRUE,"Sheet1";"Valuation Summary",#N/A,TRUE,"Sheet1";"Cash Flow Projection",#N/A,TRUE,"Sheet1";"Pship Cash &amp; Equity Value",#N/A,TRUE,"Sheet1";"DCF",#N/A,TRUE,"Sheet1";"Partnership Distributions",#N/A,TRUE,"Sheet1";"MIR/Capital Partner Splits",#N/A,TRUE,"Sheet1";"MIR ROC &amp; Pref (3)",#N/A,TRUE,"Sheet1";"MIR Catchup &amp; Promote (4)",#N/A,TRUE,"Sheet1";"Assumptions",#N/A,TRUE,"Sheet1";"Sensitivity",#N/A,TRUE,"Sheet1";"PropertyPage 1",#N/A,TRUE,"Properties";"PropertyPage 2",#N/A,TRUE,"Properties";"PropertyPage 3",#N/A,TRUE,"Properties"}</definedName>
    <definedName name="wrn.Current._3" hidden="1">{"Coversheet",#N/A,TRUE,"Sheet1";"Valuation Summary",#N/A,TRUE,"Sheet1";"Cash Flow Projection",#N/A,TRUE,"Sheet1";"Pship Cash &amp; Equity Value",#N/A,TRUE,"Sheet1";"DCF",#N/A,TRUE,"Sheet1";"Partnership Distributions",#N/A,TRUE,"Sheet1";"MIR/Capital Partner Splits",#N/A,TRUE,"Sheet1";"MIR ROC &amp; Pref (3)",#N/A,TRUE,"Sheet1";"MIR Catchup &amp; Promote (4)",#N/A,TRUE,"Sheet1";"Assumptions",#N/A,TRUE,"Sheet1";"Sensitivity",#N/A,TRUE,"Sheet1";"PropertyPage 1",#N/A,TRUE,"Properties";"PropertyPage 2",#N/A,TRUE,"Properties";"PropertyPage 3",#N/A,TRUE,"Properties"}</definedName>
    <definedName name="wrn.data." localSheetId="3" hidden="1">{"data",#N/A,FALSE,"INPUT"}</definedName>
    <definedName name="wrn.data." localSheetId="6" hidden="1">{"data",#N/A,FALSE,"INPUT"}</definedName>
    <definedName name="wrn.data." localSheetId="9" hidden="1">{"data",#N/A,FALSE,"INPUT"}</definedName>
    <definedName name="wrn.data." localSheetId="2" hidden="1">{"data",#N/A,FALSE,"INPUT"}</definedName>
    <definedName name="wrn.data." localSheetId="4" hidden="1">{"data",#N/A,FALSE,"INPUT"}</definedName>
    <definedName name="wrn.data." localSheetId="0" hidden="1">{"data",#N/A,FALSE,"INPUT"}</definedName>
    <definedName name="wrn.data." hidden="1">{"data",#N/A,FALSE,"INPUT"}</definedName>
    <definedName name="wrn.DCF." localSheetId="0" hidden="1">{#N/A,#N/A,FALSE,"DCF-COM";#N/A,#N/A,FALSE,"VAC-COM"}</definedName>
    <definedName name="wrn.DCF." hidden="1">{#N/A,#N/A,FALSE,"DCF-COM";#N/A,#N/A,FALSE,"VAC-COM"}</definedName>
    <definedName name="wrn.DCR._.Output." localSheetId="3" hidden="1">{"DCR Output",#N/A,FALSE,"Output"}</definedName>
    <definedName name="wrn.DCR._.Output." localSheetId="6" hidden="1">{"DCR Output",#N/A,FALSE,"Output"}</definedName>
    <definedName name="wrn.DCR._.Output." localSheetId="9" hidden="1">{"DCR Output",#N/A,FALSE,"Output"}</definedName>
    <definedName name="wrn.DCR._.Output." localSheetId="2" hidden="1">{"DCR Output",#N/A,FALSE,"Output"}</definedName>
    <definedName name="wrn.DCR._.Output." localSheetId="4" hidden="1">{"DCR Output",#N/A,FALSE,"Output"}</definedName>
    <definedName name="wrn.DCR._.Output." localSheetId="0" hidden="1">{"DCR Output",#N/A,FALSE,"Output"}</definedName>
    <definedName name="wrn.DCR._.Output." hidden="1">{"DCR Output",#N/A,FALSE,"Output"}</definedName>
    <definedName name="wrn.demand." localSheetId="0" hidden="1">{#N/A,#N/A,FALSE,"III-1 Sum.Dem";#N/A,#N/A,FALSE,"III-2 RER.Dem.Pop";#N/A,#N/A,FALSE,"III-3 RER.Cap.Pop";#N/A,#N/A,FALSE,"III-4 RER.Dem.TCSS";#N/A,#N/A,FALSE,"III-5 RER.Cap.TCSS";#N/A,#N/A,FALSE,"III-6 Pow.Center.Dem";#N/A,#N/A,FALSE,"III-7 Off.Demand";#N/A,#N/A,FALSE,"III-8 Htl.Dem"}</definedName>
    <definedName name="wrn.demand." hidden="1">{#N/A,#N/A,FALSE,"III-1 Sum.Dem";#N/A,#N/A,FALSE,"III-2 RER.Dem.Pop";#N/A,#N/A,FALSE,"III-3 RER.Cap.Pop";#N/A,#N/A,FALSE,"III-4 RER.Dem.TCSS";#N/A,#N/A,FALSE,"III-5 RER.Cap.TCSS";#N/A,#N/A,FALSE,"III-6 Pow.Center.Dem";#N/A,#N/A,FALSE,"III-7 Off.Demand";#N/A,#N/A,FALSE,"III-8 Htl.Dem"}</definedName>
    <definedName name="wrn.Demand._.Calcs." localSheetId="3" hidden="1">{#N/A,#N/A,FALSE,"Demand Calcs"}</definedName>
    <definedName name="wrn.Demand._.Calcs." localSheetId="6" hidden="1">{#N/A,#N/A,FALSE,"Demand Calcs"}</definedName>
    <definedName name="wrn.Demand._.Calcs." localSheetId="9" hidden="1">{#N/A,#N/A,FALSE,"Demand Calcs"}</definedName>
    <definedName name="wrn.Demand._.Calcs." localSheetId="2" hidden="1">{#N/A,#N/A,FALSE,"Demand Calcs"}</definedName>
    <definedName name="wrn.Demand._.Calcs." localSheetId="4" hidden="1">{#N/A,#N/A,FALSE,"Demand Calcs"}</definedName>
    <definedName name="wrn.Demand._.Calcs." localSheetId="0" hidden="1">{#N/A,#N/A,FALSE,"Demand Calcs"}</definedName>
    <definedName name="wrn.Demand._.Calcs." hidden="1">{#N/A,#N/A,FALSE,"Demand Calcs"}</definedName>
    <definedName name="wrn.Demand._.Inputs." localSheetId="3" hidden="1">{#N/A,#N/A,FALSE,"Demand Inputs"}</definedName>
    <definedName name="wrn.Demand._.Inputs." localSheetId="6" hidden="1">{#N/A,#N/A,FALSE,"Demand Inputs"}</definedName>
    <definedName name="wrn.Demand._.Inputs." localSheetId="9" hidden="1">{#N/A,#N/A,FALSE,"Demand Inputs"}</definedName>
    <definedName name="wrn.Demand._.Inputs." localSheetId="2" hidden="1">{#N/A,#N/A,FALSE,"Demand Inputs"}</definedName>
    <definedName name="wrn.Demand._.Inputs." localSheetId="4" hidden="1">{#N/A,#N/A,FALSE,"Demand Inputs"}</definedName>
    <definedName name="wrn.Demand._.Inputs." localSheetId="0" hidden="1">{#N/A,#N/A,FALSE,"Demand Inputs"}</definedName>
    <definedName name="wrn.Demand._.Inputs." hidden="1">{#N/A,#N/A,FALSE,"Demand Inputs"}</definedName>
    <definedName name="wrn.demographics." localSheetId="0" hidden="1">{#N/A,#N/A,FALSE,"pop.hh";#N/A,#N/A,FALSE,"age.dist";#N/A,#N/A,FALSE,"hh.income";#N/A,#N/A,FALSE,"hh.chars"}</definedName>
    <definedName name="wrn.demographics." hidden="1">{#N/A,#N/A,FALSE,"pop.hh";#N/A,#N/A,FALSE,"age.dist";#N/A,#N/A,FALSE,"hh.income";#N/A,#N/A,FALSE,"hh.chars"}</definedName>
    <definedName name="wrn.Demos." localSheetId="0" hidden="1">{#N/A,#N/A,FALSE,"II-2 POP.HH";#N/A,#N/A,FALSE,"II-3 AGE.DIST";#N/A,#N/A,FALSE,"II-4 HH.DIST";#N/A,#N/A,FALSE,"II-5 EMP.INDUS"}</definedName>
    <definedName name="wrn.Demos." hidden="1">{#N/A,#N/A,FALSE,"II-2 POP.HH";#N/A,#N/A,FALSE,"II-3 AGE.DIST";#N/A,#N/A,FALSE,"II-4 HH.DIST";#N/A,#N/A,FALSE,"II-5 EMP.INDUS"}</definedName>
    <definedName name="wrn.DEPTS." localSheetId="3" hidden="1">{#N/A,#N/A,FALSE,"2701";#N/A,#N/A,FALSE,"2702";#N/A,#N/A,FALSE,"2703";#N/A,#N/A,FALSE,"2704";#N/A,#N/A,FALSE,"2705";#N/A,#N/A,FALSE,"2706";#N/A,#N/A,FALSE,"2707";#N/A,#N/A,FALSE,"2708";#N/A,#N/A,FALSE,"2709";#N/A,#N/A,FALSE,"2710";#N/A,#N/A,FALSE,"2711";#N/A,#N/A,FALSE,"2712";#N/A,#N/A,FALSE,"2713";#N/A,#N/A,FALSE,"2714";#N/A,#N/A,FALSE,"2715";#N/A,#N/A,FALSE,"2716";#N/A,#N/A,FALSE,"2718";#N/A,#N/A,FALSE,"2719";#N/A,#N/A,FALSE,"ASL"}</definedName>
    <definedName name="wrn.DEPTS." localSheetId="6" hidden="1">{#N/A,#N/A,FALSE,"2701";#N/A,#N/A,FALSE,"2702";#N/A,#N/A,FALSE,"2703";#N/A,#N/A,FALSE,"2704";#N/A,#N/A,FALSE,"2705";#N/A,#N/A,FALSE,"2706";#N/A,#N/A,FALSE,"2707";#N/A,#N/A,FALSE,"2708";#N/A,#N/A,FALSE,"2709";#N/A,#N/A,FALSE,"2710";#N/A,#N/A,FALSE,"2711";#N/A,#N/A,FALSE,"2712";#N/A,#N/A,FALSE,"2713";#N/A,#N/A,FALSE,"2714";#N/A,#N/A,FALSE,"2715";#N/A,#N/A,FALSE,"2716";#N/A,#N/A,FALSE,"2718";#N/A,#N/A,FALSE,"2719";#N/A,#N/A,FALSE,"ASL"}</definedName>
    <definedName name="wrn.DEPTS." localSheetId="9" hidden="1">{#N/A,#N/A,FALSE,"2701";#N/A,#N/A,FALSE,"2702";#N/A,#N/A,FALSE,"2703";#N/A,#N/A,FALSE,"2704";#N/A,#N/A,FALSE,"2705";#N/A,#N/A,FALSE,"2706";#N/A,#N/A,FALSE,"2707";#N/A,#N/A,FALSE,"2708";#N/A,#N/A,FALSE,"2709";#N/A,#N/A,FALSE,"2710";#N/A,#N/A,FALSE,"2711";#N/A,#N/A,FALSE,"2712";#N/A,#N/A,FALSE,"2713";#N/A,#N/A,FALSE,"2714";#N/A,#N/A,FALSE,"2715";#N/A,#N/A,FALSE,"2716";#N/A,#N/A,FALSE,"2718";#N/A,#N/A,FALSE,"2719";#N/A,#N/A,FALSE,"ASL"}</definedName>
    <definedName name="wrn.DEPTS." localSheetId="2" hidden="1">{#N/A,#N/A,FALSE,"2701";#N/A,#N/A,FALSE,"2702";#N/A,#N/A,FALSE,"2703";#N/A,#N/A,FALSE,"2704";#N/A,#N/A,FALSE,"2705";#N/A,#N/A,FALSE,"2706";#N/A,#N/A,FALSE,"2707";#N/A,#N/A,FALSE,"2708";#N/A,#N/A,FALSE,"2709";#N/A,#N/A,FALSE,"2710";#N/A,#N/A,FALSE,"2711";#N/A,#N/A,FALSE,"2712";#N/A,#N/A,FALSE,"2713";#N/A,#N/A,FALSE,"2714";#N/A,#N/A,FALSE,"2715";#N/A,#N/A,FALSE,"2716";#N/A,#N/A,FALSE,"2718";#N/A,#N/A,FALSE,"2719";#N/A,#N/A,FALSE,"ASL"}</definedName>
    <definedName name="wrn.DEPTS." localSheetId="4" hidden="1">{#N/A,#N/A,FALSE,"2701";#N/A,#N/A,FALSE,"2702";#N/A,#N/A,FALSE,"2703";#N/A,#N/A,FALSE,"2704";#N/A,#N/A,FALSE,"2705";#N/A,#N/A,FALSE,"2706";#N/A,#N/A,FALSE,"2707";#N/A,#N/A,FALSE,"2708";#N/A,#N/A,FALSE,"2709";#N/A,#N/A,FALSE,"2710";#N/A,#N/A,FALSE,"2711";#N/A,#N/A,FALSE,"2712";#N/A,#N/A,FALSE,"2713";#N/A,#N/A,FALSE,"2714";#N/A,#N/A,FALSE,"2715";#N/A,#N/A,FALSE,"2716";#N/A,#N/A,FALSE,"2718";#N/A,#N/A,FALSE,"2719";#N/A,#N/A,FALSE,"ASL"}</definedName>
    <definedName name="wrn.DEPTS." localSheetId="0" hidden="1">{#N/A,#N/A,FALSE,"2701";#N/A,#N/A,FALSE,"2702";#N/A,#N/A,FALSE,"2703";#N/A,#N/A,FALSE,"2704";#N/A,#N/A,FALSE,"2705";#N/A,#N/A,FALSE,"2706";#N/A,#N/A,FALSE,"2707";#N/A,#N/A,FALSE,"2708";#N/A,#N/A,FALSE,"2709";#N/A,#N/A,FALSE,"2710";#N/A,#N/A,FALSE,"2711";#N/A,#N/A,FALSE,"2712";#N/A,#N/A,FALSE,"2713";#N/A,#N/A,FALSE,"2714";#N/A,#N/A,FALSE,"2715";#N/A,#N/A,FALSE,"2716";#N/A,#N/A,FALSE,"2718";#N/A,#N/A,FALSE,"2719";#N/A,#N/A,FALSE,"ASL"}</definedName>
    <definedName name="wrn.DEPTS." hidden="1">{#N/A,#N/A,FALSE,"2701";#N/A,#N/A,FALSE,"2702";#N/A,#N/A,FALSE,"2703";#N/A,#N/A,FALSE,"2704";#N/A,#N/A,FALSE,"2705";#N/A,#N/A,FALSE,"2706";#N/A,#N/A,FALSE,"2707";#N/A,#N/A,FALSE,"2708";#N/A,#N/A,FALSE,"2709";#N/A,#N/A,FALSE,"2710";#N/A,#N/A,FALSE,"2711";#N/A,#N/A,FALSE,"2712";#N/A,#N/A,FALSE,"2713";#N/A,#N/A,FALSE,"2714";#N/A,#N/A,FALSE,"2715";#N/A,#N/A,FALSE,"2716";#N/A,#N/A,FALSE,"2718";#N/A,#N/A,FALSE,"2719";#N/A,#N/A,FALSE,"ASL"}</definedName>
    <definedName name="wrn.detail." localSheetId="3" hidden="1">{"detail1",#N/A,FALSE,"Sheet1";"detail2",#N/A,FALSE,"Sheet1";"detail3",#N/A,FALSE,"Sheet1";"detail4",#N/A,FALSE,"Sheet1";"detail5",#N/A,FALSE,"Sheet1";"detail6",#N/A,FALSE,"Sheet1";"detail7",#N/A,FALSE,"Sheet1";"detail8",#N/A,FALSE,"Sheet1";"detail9",#N/A,FALSE,"Sheet1"}</definedName>
    <definedName name="wrn.detail." localSheetId="6" hidden="1">{"detail1",#N/A,FALSE,"Sheet1";"detail2",#N/A,FALSE,"Sheet1";"detail3",#N/A,FALSE,"Sheet1";"detail4",#N/A,FALSE,"Sheet1";"detail5",#N/A,FALSE,"Sheet1";"detail6",#N/A,FALSE,"Sheet1";"detail7",#N/A,FALSE,"Sheet1";"detail8",#N/A,FALSE,"Sheet1";"detail9",#N/A,FALSE,"Sheet1"}</definedName>
    <definedName name="wrn.detail." localSheetId="9" hidden="1">{"detail1",#N/A,FALSE,"Sheet1";"detail2",#N/A,FALSE,"Sheet1";"detail3",#N/A,FALSE,"Sheet1";"detail4",#N/A,FALSE,"Sheet1";"detail5",#N/A,FALSE,"Sheet1";"detail6",#N/A,FALSE,"Sheet1";"detail7",#N/A,FALSE,"Sheet1";"detail8",#N/A,FALSE,"Sheet1";"detail9",#N/A,FALSE,"Sheet1"}</definedName>
    <definedName name="wrn.detail." localSheetId="2" hidden="1">{"detail1",#N/A,FALSE,"Sheet1";"detail2",#N/A,FALSE,"Sheet1";"detail3",#N/A,FALSE,"Sheet1";"detail4",#N/A,FALSE,"Sheet1";"detail5",#N/A,FALSE,"Sheet1";"detail6",#N/A,FALSE,"Sheet1";"detail7",#N/A,FALSE,"Sheet1";"detail8",#N/A,FALSE,"Sheet1";"detail9",#N/A,FALSE,"Sheet1"}</definedName>
    <definedName name="wrn.detail." localSheetId="4" hidden="1">{"detail1",#N/A,FALSE,"Sheet1";"detail2",#N/A,FALSE,"Sheet1";"detail3",#N/A,FALSE,"Sheet1";"detail4",#N/A,FALSE,"Sheet1";"detail5",#N/A,FALSE,"Sheet1";"detail6",#N/A,FALSE,"Sheet1";"detail7",#N/A,FALSE,"Sheet1";"detail8",#N/A,FALSE,"Sheet1";"detail9",#N/A,FALSE,"Sheet1"}</definedName>
    <definedName name="wrn.detail." localSheetId="0" hidden="1">{"Build1",#N/A,FALSE,"Buildup";"Build2",#N/A,FALSE,"Buildup";"Build3",#N/A,FALSE,"Buildup"}</definedName>
    <definedName name="wrn.detail." hidden="1">{"Build1",#N/A,FALSE,"Buildup";"Build2",#N/A,FALSE,"Buildup";"Build3",#N/A,FALSE,"Buildup"}</definedName>
    <definedName name="wrn.Development._.Cost." localSheetId="0" hidden="1">{#N/A,#N/A,FALSE,"Development Cost"}</definedName>
    <definedName name="wrn.Development._.Cost." hidden="1">{#N/A,#N/A,FALSE,"Development Cost"}</definedName>
    <definedName name="wrn.Downside." localSheetId="3" hidden="1">{"Downside",#N/A,FALSE,"Downside"}</definedName>
    <definedName name="wrn.Downside." localSheetId="6" hidden="1">{"Downside",#N/A,FALSE,"Downside"}</definedName>
    <definedName name="wrn.Downside." localSheetId="9" hidden="1">{"Downside",#N/A,FALSE,"Downside"}</definedName>
    <definedName name="wrn.Downside." localSheetId="2" hidden="1">{"Downside",#N/A,FALSE,"Downside"}</definedName>
    <definedName name="wrn.Downside." localSheetId="4" hidden="1">{"Downside",#N/A,FALSE,"Downside"}</definedName>
    <definedName name="wrn.Downside." localSheetId="0" hidden="1">{"Downside",#N/A,FALSE,"Downside"}</definedName>
    <definedName name="wrn.Downside." hidden="1">{"Downside",#N/A,FALSE,"Downside"}</definedName>
    <definedName name="wrn.Draw._.Submittal." localSheetId="3" hidden="1">{#N/A,#N/A,FALSE,"SS(Gross)";#N/A,#N/A,FALSE,"SS(Net)";#N/A,#N/A,FALSE,"Invoice";#N/A,#N/A,FALSE,"G702";#N/A,#N/A,FALSE,"G703"}</definedName>
    <definedName name="wrn.Draw._.Submittal." localSheetId="9" hidden="1">{#N/A,#N/A,FALSE,"SS(Gross)";#N/A,#N/A,FALSE,"SS(Net)";#N/A,#N/A,FALSE,"Invoice";#N/A,#N/A,FALSE,"G702";#N/A,#N/A,FALSE,"G703"}</definedName>
    <definedName name="wrn.Draw._.Submittal." localSheetId="2" hidden="1">{#N/A,#N/A,FALSE,"SS(Gross)";#N/A,#N/A,FALSE,"SS(Net)";#N/A,#N/A,FALSE,"Invoice";#N/A,#N/A,FALSE,"G702";#N/A,#N/A,FALSE,"G703"}</definedName>
    <definedName name="wrn.Draw._.Submittal." localSheetId="4" hidden="1">{#N/A,#N/A,FALSE,"SS(Gross)";#N/A,#N/A,FALSE,"SS(Net)";#N/A,#N/A,FALSE,"Invoice";#N/A,#N/A,FALSE,"G702";#N/A,#N/A,FALSE,"G703"}</definedName>
    <definedName name="wrn.Draw._.Submittal." localSheetId="0" hidden="1">{#N/A,#N/A,FALSE,"SS(Gross)";#N/A,#N/A,FALSE,"SS(Net)";#N/A,#N/A,FALSE,"Invoice";#N/A,#N/A,FALSE,"G702";#N/A,#N/A,FALSE,"G703"}</definedName>
    <definedName name="wrn.Draw._.Submittal." hidden="1">{#N/A,#N/A,FALSE,"SS(Gross)";#N/A,#N/A,FALSE,"SS(Net)";#N/A,#N/A,FALSE,"Invoice";#N/A,#N/A,FALSE,"G702";#N/A,#N/A,FALSE,"G703"}</definedName>
    <definedName name="wrn.EB." localSheetId="0" hidden="1">{"eb1",#N/A,TRUE,"E-B (R)";"eb2",#N/A,TRUE,"E-B (R)"}</definedName>
    <definedName name="wrn.EB." hidden="1">{"eb1",#N/A,TRUE,"E-B (R)";"eb2",#N/A,TRUE,"E-B (R)"}</definedName>
    <definedName name="wrn.EC1." localSheetId="0" hidden="1">{"eca",#N/A,TRUE,"E-C1 (R)";"ecb",#N/A,TRUE,"E-C1 (R)"}</definedName>
    <definedName name="wrn.EC1." hidden="1">{"eca",#N/A,TRUE,"E-C1 (R)";"ecb",#N/A,TRUE,"E-C1 (R)"}</definedName>
    <definedName name="wrn.ED." localSheetId="0" hidden="1">{"ed1",#N/A,TRUE,"E-D";"ed2",#N/A,TRUE,"E-D"}</definedName>
    <definedName name="wrn.ED." hidden="1">{"ed1",#N/A,TRUE,"E-D";"ed2",#N/A,TRUE,"E-D"}</definedName>
    <definedName name="wrn.Engineering." localSheetId="3" hidden="1">{#N/A,#N/A,FALSE,"ENGINEERING"}</definedName>
    <definedName name="wrn.Engineering." localSheetId="6" hidden="1">{#N/A,#N/A,FALSE,"ENGINEERING"}</definedName>
    <definedName name="wrn.Engineering." localSheetId="9" hidden="1">{#N/A,#N/A,FALSE,"ENGINEERING"}</definedName>
    <definedName name="wrn.Engineering." localSheetId="2" hidden="1">{#N/A,#N/A,FALSE,"ENGINEERING"}</definedName>
    <definedName name="wrn.Engineering." localSheetId="4" hidden="1">{#N/A,#N/A,FALSE,"ENGINEERING"}</definedName>
    <definedName name="wrn.Engineering." localSheetId="0" hidden="1">{#N/A,#N/A,FALSE,"ENGINEERING"}</definedName>
    <definedName name="wrn.Engineering." hidden="1">{#N/A,#N/A,FALSE,"ENGINEERING"}</definedName>
    <definedName name="wrn.ENTIRE." localSheetId="0" hidden="1">{#N/A,#N/A,FALSE,"SUMMARY";#N/A,#N/A,FALSE,"LEASING SCHEDULE";#N/A,#N/A,FALSE,"EXPLANATION";#N/A,#N/A,FALSE,"EXPLANATION";#N/A,#N/A,FALSE,"ANALYSIS";#N/A,#N/A,FALSE,"SPREAD";#N/A,#N/A,FALSE,"INCOME";#N/A,#N/A,FALSE,"EXPENSES";#N/A,#N/A,FALSE,"CAPITAL";#N/A,#N/A,FALSE,"DEBT SERVICE"}</definedName>
    <definedName name="wrn.ENTIRE." hidden="1">{#N/A,#N/A,FALSE,"SUMMARY";#N/A,#N/A,FALSE,"LEASING SCHEDULE";#N/A,#N/A,FALSE,"EXPLANATION";#N/A,#N/A,FALSE,"EXPLANATION";#N/A,#N/A,FALSE,"ANALYSIS";#N/A,#N/A,FALSE,"SPREAD";#N/A,#N/A,FALSE,"INCOME";#N/A,#N/A,FALSE,"EXPENSES";#N/A,#N/A,FALSE,"CAPITAL";#N/A,#N/A,FALSE,"DEBT SERVICE"}</definedName>
    <definedName name="wrn.Environmental." localSheetId="3" hidden="1">{#N/A,#N/A,FALSE,"ENVIRONMENTAL"}</definedName>
    <definedName name="wrn.Environmental." localSheetId="6" hidden="1">{#N/A,#N/A,FALSE,"ENVIRONMENTAL"}</definedName>
    <definedName name="wrn.Environmental." localSheetId="9" hidden="1">{#N/A,#N/A,FALSE,"ENVIRONMENTAL"}</definedName>
    <definedName name="wrn.Environmental." localSheetId="2" hidden="1">{#N/A,#N/A,FALSE,"ENVIRONMENTAL"}</definedName>
    <definedName name="wrn.Environmental." localSheetId="4" hidden="1">{#N/A,#N/A,FALSE,"ENVIRONMENTAL"}</definedName>
    <definedName name="wrn.Environmental." localSheetId="0" hidden="1">{#N/A,#N/A,FALSE,"ENVIRONMENTAL"}</definedName>
    <definedName name="wrn.Environmental." hidden="1">{#N/A,#N/A,FALSE,"ENVIRONMENTAL"}</definedName>
    <definedName name="wrn.Executive._.Summary._.Reports." localSheetId="3" hidden="1">{"Estimated Proforma (Prelim. Proforma)",#N/A,TRUE,"Prelim. Proforma";"Summary Cash Flow Grid",#N/A,TRUE,"Cash Flow Grid";"Final Proforma (Final Proforma)",#N/A,TRUE,"Final Proforma";"Cash Flow Graph (Cash Flow Graphic)",#N/A,TRUE,"Cash Flow Graphic"}</definedName>
    <definedName name="wrn.Executive._.Summary._.Reports." localSheetId="6" hidden="1">{"Estimated Proforma (Prelim. Proforma)",#N/A,TRUE,"Prelim. Proforma";"Summary Cash Flow Grid",#N/A,TRUE,"Cash Flow Grid";"Final Proforma (Final Proforma)",#N/A,TRUE,"Final Proforma";"Cash Flow Graph (Cash Flow Graphic)",#N/A,TRUE,"Cash Flow Graphic"}</definedName>
    <definedName name="wrn.Executive._.Summary._.Reports." localSheetId="9" hidden="1">{"Estimated Proforma (Prelim. Proforma)",#N/A,TRUE,"Prelim. Proforma";"Summary Cash Flow Grid",#N/A,TRUE,"Cash Flow Grid";"Final Proforma (Final Proforma)",#N/A,TRUE,"Final Proforma";"Cash Flow Graph (Cash Flow Graphic)",#N/A,TRUE,"Cash Flow Graphic"}</definedName>
    <definedName name="wrn.Executive._.Summary._.Reports." localSheetId="2" hidden="1">{"Estimated Proforma (Prelim. Proforma)",#N/A,TRUE,"Prelim. Proforma";"Summary Cash Flow Grid",#N/A,TRUE,"Cash Flow Grid";"Final Proforma (Final Proforma)",#N/A,TRUE,"Final Proforma";"Cash Flow Graph (Cash Flow Graphic)",#N/A,TRUE,"Cash Flow Graphic"}</definedName>
    <definedName name="wrn.Executive._.Summary._.Reports." localSheetId="4" hidden="1">{"Estimated Proforma (Prelim. Proforma)",#N/A,TRUE,"Prelim. Proforma";"Summary Cash Flow Grid",#N/A,TRUE,"Cash Flow Grid";"Final Proforma (Final Proforma)",#N/A,TRUE,"Final Proforma";"Cash Flow Graph (Cash Flow Graphic)",#N/A,TRUE,"Cash Flow Graphic"}</definedName>
    <definedName name="wrn.Executive._.Summary._.Reports." localSheetId="0" hidden="1">{"Estimated Proforma (Prelim. Proforma)",#N/A,TRUE,"Prelim. Proforma";"Summary Cash Flow Grid",#N/A,TRUE,"Cash Flow Grid";"Final Proforma (Final Proforma)",#N/A,TRUE,"Final Proforma";"Cash Flow Graph (Cash Flow Graphic)",#N/A,TRUE,"Cash Flow Graphic"}</definedName>
    <definedName name="wrn.Executive._.Summary._.Reports." hidden="1">{"Estimated Proforma (Prelim. Proforma)",#N/A,TRUE,"Prelim. Proforma";"Summary Cash Flow Grid",#N/A,TRUE,"Cash Flow Grid";"Final Proforma (Final Proforma)",#N/A,TRUE,"Final Proforma";"Cash Flow Graph (Cash Flow Graphic)",#N/A,TRUE,"Cash Flow Graphic"}</definedName>
    <definedName name="wrn.ExitAndSalesAssumptions." localSheetId="3" hidden="1">{#N/A,#N/A,FALSE,"ExitStratigy"}</definedName>
    <definedName name="wrn.ExitAndSalesAssumptions." localSheetId="6" hidden="1">{#N/A,#N/A,FALSE,"ExitStratigy"}</definedName>
    <definedName name="wrn.ExitAndSalesAssumptions." localSheetId="9" hidden="1">{#N/A,#N/A,FALSE,"ExitStratigy"}</definedName>
    <definedName name="wrn.ExitAndSalesAssumptions." localSheetId="2" hidden="1">{#N/A,#N/A,FALSE,"ExitStratigy"}</definedName>
    <definedName name="wrn.ExitAndSalesAssumptions." localSheetId="4" hidden="1">{#N/A,#N/A,FALSE,"ExitStratigy"}</definedName>
    <definedName name="wrn.ExitAndSalesAssumptions." localSheetId="0" hidden="1">{#N/A,#N/A,FALSE,"ExitStratigy"}</definedName>
    <definedName name="wrn.ExitAndSalesAssumptions." hidden="1">{#N/A,#N/A,FALSE,"ExitStratigy"}</definedName>
    <definedName name="wrn.Fair._.Share._.Calcs." localSheetId="3" hidden="1">{#N/A,#N/A,FALSE,"Fair Share"}</definedName>
    <definedName name="wrn.Fair._.Share._.Calcs." localSheetId="6" hidden="1">{#N/A,#N/A,FALSE,"Fair Share"}</definedName>
    <definedName name="wrn.Fair._.Share._.Calcs." localSheetId="9" hidden="1">{#N/A,#N/A,FALSE,"Fair Share"}</definedName>
    <definedName name="wrn.Fair._.Share._.Calcs." localSheetId="2" hidden="1">{#N/A,#N/A,FALSE,"Fair Share"}</definedName>
    <definedName name="wrn.Fair._.Share._.Calcs." localSheetId="4" hidden="1">{#N/A,#N/A,FALSE,"Fair Share"}</definedName>
    <definedName name="wrn.Fair._.Share._.Calcs." localSheetId="0" hidden="1">{#N/A,#N/A,FALSE,"Fair Share"}</definedName>
    <definedName name="wrn.Fair._.Share._.Calcs." hidden="1">{#N/A,#N/A,FALSE,"Fair Share"}</definedName>
    <definedName name="wrn.FCG." localSheetId="3"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 localSheetId="6"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 localSheetId="9"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 localSheetId="2"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 localSheetId="4"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 localSheetId="0"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eb98." localSheetId="3" hidden="1">{"sheet a",#N/A,FALSE,"A";"2 9 casflow",#N/A,FALSE,"B"}</definedName>
    <definedName name="wrn.Feb98." localSheetId="6" hidden="1">{"sheet a",#N/A,FALSE,"A";"2 9 casflow",#N/A,FALSE,"B"}</definedName>
    <definedName name="wrn.Feb98." localSheetId="9" hidden="1">{"sheet a",#N/A,FALSE,"A";"2 9 casflow",#N/A,FALSE,"B"}</definedName>
    <definedName name="wrn.Feb98." localSheetId="2" hidden="1">{"sheet a",#N/A,FALSE,"A";"2 9 casflow",#N/A,FALSE,"B"}</definedName>
    <definedName name="wrn.Feb98." localSheetId="4" hidden="1">{"sheet a",#N/A,FALSE,"A";"2 9 casflow",#N/A,FALSE,"B"}</definedName>
    <definedName name="wrn.Feb98." localSheetId="0" hidden="1">{"sheet a",#N/A,FALSE,"A";"2 9 casflow",#N/A,FALSE,"B"}</definedName>
    <definedName name="wrn.Feb98." hidden="1">{"sheet a",#N/A,FALSE,"A";"2 9 casflow",#N/A,FALSE,"B"}</definedName>
    <definedName name="wrn.Final." localSheetId="0" hidden="1">{"print",#N/A,TRUE,"jec1";"print",#N/A,TRUE,"jec2";"print",#N/A,TRUE,"jec3";"print",#N/A,TRUE,"jec4";"print",#N/A,TRUE,"jec5";"print",#N/A,TRUE,"jec6";"print",#N/A,TRUE,"jec7";"print",#N/A,TRUE,"jec8";"print",#N/A,TRUE,"jec9";"print",#N/A,TRUE,"jec10";"print",#N/A,TRUE,"jec11";"print",#N/A,TRUE,"jec12";"print",#N/A,TRUE,"jec13";"print",#N/A,TRUE,"jec14";"print",#N/A,TRUE,"jec15";"print",#N/A,TRUE,"jec16";"print",#N/A,TRUE,"jec17";"print",#N/A,TRUE,"jec18"}</definedName>
    <definedName name="wrn.Final." hidden="1">{"print",#N/A,TRUE,"jec1";"print",#N/A,TRUE,"jec2";"print",#N/A,TRUE,"jec3";"print",#N/A,TRUE,"jec4";"print",#N/A,TRUE,"jec5";"print",#N/A,TRUE,"jec6";"print",#N/A,TRUE,"jec7";"print",#N/A,TRUE,"jec8";"print",#N/A,TRUE,"jec9";"print",#N/A,TRUE,"jec10";"print",#N/A,TRUE,"jec11";"print",#N/A,TRUE,"jec12";"print",#N/A,TRUE,"jec13";"print",#N/A,TRUE,"jec14";"print",#N/A,TRUE,"jec15";"print",#N/A,TRUE,"jec16";"print",#N/A,TRUE,"jec17";"print",#N/A,TRUE,"jec18"}</definedName>
    <definedName name="wrn.Final._.Output." localSheetId="3" hidden="1">{#N/A,#N/A,FALSE,"Final Output"}</definedName>
    <definedName name="wrn.Final._.Output." localSheetId="6" hidden="1">{#N/A,#N/A,FALSE,"Final Output"}</definedName>
    <definedName name="wrn.Final._.Output." localSheetId="9" hidden="1">{#N/A,#N/A,FALSE,"Final Output"}</definedName>
    <definedName name="wrn.Final._.Output." localSheetId="2" hidden="1">{#N/A,#N/A,FALSE,"Final Output"}</definedName>
    <definedName name="wrn.Final._.Output." localSheetId="4" hidden="1">{#N/A,#N/A,FALSE,"Final Output"}</definedName>
    <definedName name="wrn.Final._.Output." localSheetId="0" hidden="1">{#N/A,#N/A,FALSE,"Final Output"}</definedName>
    <definedName name="wrn.Final._.Output." hidden="1">{#N/A,#N/A,FALSE,"Final Output"}</definedName>
    <definedName name="wrn.FinalMort." localSheetId="0"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wrn.FinalMort."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wrn.financial._.package." localSheetId="3" hidden="1">{#N/A,#N/A,FALSE,"BALANCE SHEET";#N/A,#N/A,FALSE,"IS";#N/A,#N/A,FALSE,"ISCOMPAR";#N/A,#N/A,FALSE,"ADD RETMAR";#N/A,#N/A,FALSE,"VARIOUS COMP";#N/A,#N/A,FALSE,"RATIOS";#N/A,#N/A,FALSE,"GRAPHS"}</definedName>
    <definedName name="wrn.financial._.package." localSheetId="9" hidden="1">{#N/A,#N/A,FALSE,"BALANCE SHEET";#N/A,#N/A,FALSE,"IS";#N/A,#N/A,FALSE,"ISCOMPAR";#N/A,#N/A,FALSE,"ADD RETMAR";#N/A,#N/A,FALSE,"VARIOUS COMP";#N/A,#N/A,FALSE,"RATIOS";#N/A,#N/A,FALSE,"GRAPHS"}</definedName>
    <definedName name="wrn.financial._.package." localSheetId="2" hidden="1">{#N/A,#N/A,FALSE,"BALANCE SHEET";#N/A,#N/A,FALSE,"IS";#N/A,#N/A,FALSE,"ISCOMPAR";#N/A,#N/A,FALSE,"ADD RETMAR";#N/A,#N/A,FALSE,"VARIOUS COMP";#N/A,#N/A,FALSE,"RATIOS";#N/A,#N/A,FALSE,"GRAPHS"}</definedName>
    <definedName name="wrn.financial._.package." localSheetId="4" hidden="1">{#N/A,#N/A,FALSE,"BALANCE SHEET";#N/A,#N/A,FALSE,"IS";#N/A,#N/A,FALSE,"ISCOMPAR";#N/A,#N/A,FALSE,"ADD RETMAR";#N/A,#N/A,FALSE,"VARIOUS COMP";#N/A,#N/A,FALSE,"RATIOS";#N/A,#N/A,FALSE,"GRAPHS"}</definedName>
    <definedName name="wrn.financial._.package." localSheetId="0" hidden="1">{#N/A,#N/A,FALSE,"BALANCE SHEET";#N/A,#N/A,FALSE,"IS";#N/A,#N/A,FALSE,"ISCOMPAR";#N/A,#N/A,FALSE,"ADD RETMAR";#N/A,#N/A,FALSE,"VARIOUS COMP";#N/A,#N/A,FALSE,"RATIOS";#N/A,#N/A,FALSE,"GRAPHS"}</definedName>
    <definedName name="wrn.financial._.package." hidden="1">{#N/A,#N/A,FALSE,"BALANCE SHEET";#N/A,#N/A,FALSE,"IS";#N/A,#N/A,FALSE,"ISCOMPAR";#N/A,#N/A,FALSE,"ADD RETMAR";#N/A,#N/A,FALSE,"VARIOUS COMP";#N/A,#N/A,FALSE,"RATIOS";#N/A,#N/A,FALSE,"GRAPHS"}</definedName>
    <definedName name="wrn.Financials_long." localSheetId="3" hidden="1">{"IS",#N/A,FALSE,"Financials2 (Expanded)";"bsa",#N/A,FALSE,"Financials2 (Expanded)";"BS",#N/A,FALSE,"Financials2 (Expanded)";"CF",#N/A,FALSE,"Financials2 (Expanded)"}</definedName>
    <definedName name="wrn.Financials_long." localSheetId="6" hidden="1">{"IS",#N/A,FALSE,"Financials2 (Expanded)";"bsa",#N/A,FALSE,"Financials2 (Expanded)";"BS",#N/A,FALSE,"Financials2 (Expanded)";"CF",#N/A,FALSE,"Financials2 (Expanded)"}</definedName>
    <definedName name="wrn.Financials_long." localSheetId="9" hidden="1">{"IS",#N/A,FALSE,"Financials2 (Expanded)";"bsa",#N/A,FALSE,"Financials2 (Expanded)";"BS",#N/A,FALSE,"Financials2 (Expanded)";"CF",#N/A,FALSE,"Financials2 (Expanded)"}</definedName>
    <definedName name="wrn.Financials_long." localSheetId="2" hidden="1">{"IS",#N/A,FALSE,"Financials2 (Expanded)";"bsa",#N/A,FALSE,"Financials2 (Expanded)";"BS",#N/A,FALSE,"Financials2 (Expanded)";"CF",#N/A,FALSE,"Financials2 (Expanded)"}</definedName>
    <definedName name="wrn.Financials_long." localSheetId="4" hidden="1">{"IS",#N/A,FALSE,"Financials2 (Expanded)";"bsa",#N/A,FALSE,"Financials2 (Expanded)";"BS",#N/A,FALSE,"Financials2 (Expanded)";"CF",#N/A,FALSE,"Financials2 (Expanded)"}</definedName>
    <definedName name="wrn.Financials_long." localSheetId="0" hidden="1">{"IS",#N/A,FALSE,"Financials2 (Expanded)";"bsa",#N/A,FALSE,"Financials2 (Expanded)";"BS",#N/A,FALSE,"Financials2 (Expanded)";"CF",#N/A,FALSE,"Financials2 (Expanded)"}</definedName>
    <definedName name="wrn.Financials_long." hidden="1">{"IS",#N/A,FALSE,"Financials2 (Expanded)";"bsa",#N/A,FALSE,"Financials2 (Expanded)";"BS",#N/A,FALSE,"Financials2 (Expanded)";"CF",#N/A,FALSE,"Financials2 (Expanded)"}</definedName>
    <definedName name="wrn.First._.3._.Years._.All._.Sheets." localSheetId="3" hidden="1">{#N/A,#N/A,FALSE,"BaseAssumptions";"MasterCostAssmp_3 Yrs",#N/A,FALSE,"MasterCostAssmp";#N/A,#N/A,FALSE,"InTractCstAssmp";"LotTakedowns_3 Yrs",#N/A,FALSE,"LotTakedowns";"CashFlowSummary_3 Yrs",#N/A,FALSE,"CashFlowSummary";"FlowSummary_3 Yrs",#N/A,FALSE,"FlowSummary";"SourcesAndUses_3 Yrs",#N/A,FALSE,"SourcesAndUses";"CashDistribute_3 Yrs",#N/A,FALSE,"CashDistribute";"InvestorSummary_3 Yrs",#N/A,FALSE,"InvestorSummary";"AcqDev Loan_3 Yrs",#N/A,FALSE,"AcqDev Loan";#N/A,#N/A,FALSE,"Finance Summary";#N/A,#N/A,FALSE,"Valuation"}</definedName>
    <definedName name="wrn.First._.3._.Years._.All._.Sheets." localSheetId="9" hidden="1">{#N/A,#N/A,FALSE,"BaseAssumptions";"MasterCostAssmp_3 Yrs",#N/A,FALSE,"MasterCostAssmp";#N/A,#N/A,FALSE,"InTractCstAssmp";"LotTakedowns_3 Yrs",#N/A,FALSE,"LotTakedowns";"CashFlowSummary_3 Yrs",#N/A,FALSE,"CashFlowSummary";"FlowSummary_3 Yrs",#N/A,FALSE,"FlowSummary";"SourcesAndUses_3 Yrs",#N/A,FALSE,"SourcesAndUses";"CashDistribute_3 Yrs",#N/A,FALSE,"CashDistribute";"InvestorSummary_3 Yrs",#N/A,FALSE,"InvestorSummary";"AcqDev Loan_3 Yrs",#N/A,FALSE,"AcqDev Loan";#N/A,#N/A,FALSE,"Finance Summary";#N/A,#N/A,FALSE,"Valuation"}</definedName>
    <definedName name="wrn.First._.3._.Years._.All._.Sheets." localSheetId="2" hidden="1">{#N/A,#N/A,FALSE,"BaseAssumptions";"MasterCostAssmp_3 Yrs",#N/A,FALSE,"MasterCostAssmp";#N/A,#N/A,FALSE,"InTractCstAssmp";"LotTakedowns_3 Yrs",#N/A,FALSE,"LotTakedowns";"CashFlowSummary_3 Yrs",#N/A,FALSE,"CashFlowSummary";"FlowSummary_3 Yrs",#N/A,FALSE,"FlowSummary";"SourcesAndUses_3 Yrs",#N/A,FALSE,"SourcesAndUses";"CashDistribute_3 Yrs",#N/A,FALSE,"CashDistribute";"InvestorSummary_3 Yrs",#N/A,FALSE,"InvestorSummary";"AcqDev Loan_3 Yrs",#N/A,FALSE,"AcqDev Loan";#N/A,#N/A,FALSE,"Finance Summary";#N/A,#N/A,FALSE,"Valuation"}</definedName>
    <definedName name="wrn.First._.3._.Years._.All._.Sheets." localSheetId="4" hidden="1">{#N/A,#N/A,FALSE,"BaseAssumptions";"MasterCostAssmp_3 Yrs",#N/A,FALSE,"MasterCostAssmp";#N/A,#N/A,FALSE,"InTractCstAssmp";"LotTakedowns_3 Yrs",#N/A,FALSE,"LotTakedowns";"CashFlowSummary_3 Yrs",#N/A,FALSE,"CashFlowSummary";"FlowSummary_3 Yrs",#N/A,FALSE,"FlowSummary";"SourcesAndUses_3 Yrs",#N/A,FALSE,"SourcesAndUses";"CashDistribute_3 Yrs",#N/A,FALSE,"CashDistribute";"InvestorSummary_3 Yrs",#N/A,FALSE,"InvestorSummary";"AcqDev Loan_3 Yrs",#N/A,FALSE,"AcqDev Loan";#N/A,#N/A,FALSE,"Finance Summary";#N/A,#N/A,FALSE,"Valuation"}</definedName>
    <definedName name="wrn.First._.3._.Years._.All._.Sheets." localSheetId="0" hidden="1">{#N/A,#N/A,FALSE,"BaseAssumptions";"MasterCostAssmp_3 Yrs",#N/A,FALSE,"MasterCostAssmp";#N/A,#N/A,FALSE,"InTractCstAssmp";"LotTakedowns_3 Yrs",#N/A,FALSE,"LotTakedowns";"CashFlowSummary_3 Yrs",#N/A,FALSE,"CashFlowSummary";"FlowSummary_3 Yrs",#N/A,FALSE,"FlowSummary";"SourcesAndUses_3 Yrs",#N/A,FALSE,"SourcesAndUses";"CashDistribute_3 Yrs",#N/A,FALSE,"CashDistribute";"InvestorSummary_3 Yrs",#N/A,FALSE,"InvestorSummary";"AcqDev Loan_3 Yrs",#N/A,FALSE,"AcqDev Loan";#N/A,#N/A,FALSE,"Finance Summary";#N/A,#N/A,FALSE,"Valuation"}</definedName>
    <definedName name="wrn.First._.3._.Years._.All._.Sheets." hidden="1">{#N/A,#N/A,FALSE,"BaseAssumptions";"MasterCostAssmp_3 Yrs",#N/A,FALSE,"MasterCostAssmp";#N/A,#N/A,FALSE,"InTractCstAssmp";"LotTakedowns_3 Yrs",#N/A,FALSE,"LotTakedowns";"CashFlowSummary_3 Yrs",#N/A,FALSE,"CashFlowSummary";"FlowSummary_3 Yrs",#N/A,FALSE,"FlowSummary";"SourcesAndUses_3 Yrs",#N/A,FALSE,"SourcesAndUses";"CashDistribute_3 Yrs",#N/A,FALSE,"CashDistribute";"InvestorSummary_3 Yrs",#N/A,FALSE,"InvestorSummary";"AcqDev Loan_3 Yrs",#N/A,FALSE,"AcqDev Loan";#N/A,#N/A,FALSE,"Finance Summary";#N/A,#N/A,FALSE,"Valuation"}</definedName>
    <definedName name="wrn.Fixed._.Rate._.Bonds." localSheetId="3" hidden="1">{"Fixed Rate Bonds",#N/A,FALSE,"Fixed"}</definedName>
    <definedName name="wrn.Fixed._.Rate._.Bonds." localSheetId="9" hidden="1">{"Fixed Rate Bonds",#N/A,FALSE,"Fixed"}</definedName>
    <definedName name="wrn.Fixed._.Rate._.Bonds." localSheetId="2" hidden="1">{"Fixed Rate Bonds",#N/A,FALSE,"Fixed"}</definedName>
    <definedName name="wrn.Fixed._.Rate._.Bonds." localSheetId="4" hidden="1">{"Fixed Rate Bonds",#N/A,FALSE,"Fixed"}</definedName>
    <definedName name="wrn.Fixed._.Rate._.Bonds." localSheetId="0" hidden="1">{"Fixed Rate Bonds",#N/A,FALSE,"Fixed"}</definedName>
    <definedName name="wrn.Fixed._.Rate._.Bonds." hidden="1">{"Fixed Rate Bonds",#N/A,FALSE,"Fixed"}</definedName>
    <definedName name="wrn.Fortress._1" localSheetId="3" hidden="1">{"Summary",#N/A,TRUE,"Sheet1";"Sens",#N/A,TRUE,"Sheet1";"Valuation Summary",#N/A,TRUE,"Sheet1";"Cash Flows and Value",#N/A,TRUE,"Sheet1";"DCF and Yield",#N/A,TRUE,"Sheet1";"JV Structure",#N/A,TRUE,"Sheet1";"Partnership Summary and Cash",#N/A,TRUE,"Sheet1";"Partnership Distributions 1",#N/A,TRUE,"Sheet1";"Partnership Distributions 2",#N/A,TRUE,"Sheet1";"CP Investment Return",#N/A,TRUE,"Sheet1";"Cash Flows Full",#N/A,TRUE,"Sheet2";"Assumptions",#N/A,TRUE,"Sheet1";"RR 1",#N/A,TRUE,"Rent Roll";"RR 2",#N/A,TRUE,"Rent Roll";"RR 3",#N/A,TRUE,"Rent Roll";"RR 4",#N/A,TRUE,"Rent Roll";"RR 5",#N/A,TRUE,"Rent Roll";"RR 6",#N/A,TRUE,"Rent Roll"}</definedName>
    <definedName name="wrn.Fortress._1" localSheetId="9" hidden="1">{"Summary",#N/A,TRUE,"Sheet1";"Sens",#N/A,TRUE,"Sheet1";"Valuation Summary",#N/A,TRUE,"Sheet1";"Cash Flows and Value",#N/A,TRUE,"Sheet1";"DCF and Yield",#N/A,TRUE,"Sheet1";"JV Structure",#N/A,TRUE,"Sheet1";"Partnership Summary and Cash",#N/A,TRUE,"Sheet1";"Partnership Distributions 1",#N/A,TRUE,"Sheet1";"Partnership Distributions 2",#N/A,TRUE,"Sheet1";"CP Investment Return",#N/A,TRUE,"Sheet1";"Cash Flows Full",#N/A,TRUE,"Sheet2";"Assumptions",#N/A,TRUE,"Sheet1";"RR 1",#N/A,TRUE,"Rent Roll";"RR 2",#N/A,TRUE,"Rent Roll";"RR 3",#N/A,TRUE,"Rent Roll";"RR 4",#N/A,TRUE,"Rent Roll";"RR 5",#N/A,TRUE,"Rent Roll";"RR 6",#N/A,TRUE,"Rent Roll"}</definedName>
    <definedName name="wrn.Fortress._1" localSheetId="2" hidden="1">{"Summary",#N/A,TRUE,"Sheet1";"Sens",#N/A,TRUE,"Sheet1";"Valuation Summary",#N/A,TRUE,"Sheet1";"Cash Flows and Value",#N/A,TRUE,"Sheet1";"DCF and Yield",#N/A,TRUE,"Sheet1";"JV Structure",#N/A,TRUE,"Sheet1";"Partnership Summary and Cash",#N/A,TRUE,"Sheet1";"Partnership Distributions 1",#N/A,TRUE,"Sheet1";"Partnership Distributions 2",#N/A,TRUE,"Sheet1";"CP Investment Return",#N/A,TRUE,"Sheet1";"Cash Flows Full",#N/A,TRUE,"Sheet2";"Assumptions",#N/A,TRUE,"Sheet1";"RR 1",#N/A,TRUE,"Rent Roll";"RR 2",#N/A,TRUE,"Rent Roll";"RR 3",#N/A,TRUE,"Rent Roll";"RR 4",#N/A,TRUE,"Rent Roll";"RR 5",#N/A,TRUE,"Rent Roll";"RR 6",#N/A,TRUE,"Rent Roll"}</definedName>
    <definedName name="wrn.Fortress._1" localSheetId="4" hidden="1">{"Summary",#N/A,TRUE,"Sheet1";"Sens",#N/A,TRUE,"Sheet1";"Valuation Summary",#N/A,TRUE,"Sheet1";"Cash Flows and Value",#N/A,TRUE,"Sheet1";"DCF and Yield",#N/A,TRUE,"Sheet1";"JV Structure",#N/A,TRUE,"Sheet1";"Partnership Summary and Cash",#N/A,TRUE,"Sheet1";"Partnership Distributions 1",#N/A,TRUE,"Sheet1";"Partnership Distributions 2",#N/A,TRUE,"Sheet1";"CP Investment Return",#N/A,TRUE,"Sheet1";"Cash Flows Full",#N/A,TRUE,"Sheet2";"Assumptions",#N/A,TRUE,"Sheet1";"RR 1",#N/A,TRUE,"Rent Roll";"RR 2",#N/A,TRUE,"Rent Roll";"RR 3",#N/A,TRUE,"Rent Roll";"RR 4",#N/A,TRUE,"Rent Roll";"RR 5",#N/A,TRUE,"Rent Roll";"RR 6",#N/A,TRUE,"Rent Roll"}</definedName>
    <definedName name="wrn.Fortress._1" localSheetId="0" hidden="1">{"Summary",#N/A,TRUE,"Sheet1";"Sens",#N/A,TRUE,"Sheet1";"Valuation Summary",#N/A,TRUE,"Sheet1";"Cash Flows and Value",#N/A,TRUE,"Sheet1";"DCF and Yield",#N/A,TRUE,"Sheet1";"JV Structure",#N/A,TRUE,"Sheet1";"Partnership Summary and Cash",#N/A,TRUE,"Sheet1";"Partnership Distributions 1",#N/A,TRUE,"Sheet1";"Partnership Distributions 2",#N/A,TRUE,"Sheet1";"CP Investment Return",#N/A,TRUE,"Sheet1";"Cash Flows Full",#N/A,TRUE,"Sheet2";"Assumptions",#N/A,TRUE,"Sheet1";"RR 1",#N/A,TRUE,"Rent Roll";"RR 2",#N/A,TRUE,"Rent Roll";"RR 3",#N/A,TRUE,"Rent Roll";"RR 4",#N/A,TRUE,"Rent Roll";"RR 5",#N/A,TRUE,"Rent Roll";"RR 6",#N/A,TRUE,"Rent Roll"}</definedName>
    <definedName name="wrn.Fortress._1" hidden="1">{"Summary",#N/A,TRUE,"Sheet1";"Sens",#N/A,TRUE,"Sheet1";"Valuation Summary",#N/A,TRUE,"Sheet1";"Cash Flows and Value",#N/A,TRUE,"Sheet1";"DCF and Yield",#N/A,TRUE,"Sheet1";"JV Structure",#N/A,TRUE,"Sheet1";"Partnership Summary and Cash",#N/A,TRUE,"Sheet1";"Partnership Distributions 1",#N/A,TRUE,"Sheet1";"Partnership Distributions 2",#N/A,TRUE,"Sheet1";"CP Investment Return",#N/A,TRUE,"Sheet1";"Cash Flows Full",#N/A,TRUE,"Sheet2";"Assumptions",#N/A,TRUE,"Sheet1";"RR 1",#N/A,TRUE,"Rent Roll";"RR 2",#N/A,TRUE,"Rent Roll";"RR 3",#N/A,TRUE,"Rent Roll";"RR 4",#N/A,TRUE,"Rent Roll";"RR 5",#N/A,TRUE,"Rent Roll";"RR 6",#N/A,TRUE,"Rent Roll"}</definedName>
    <definedName name="wrn.Fortress._2" localSheetId="3" hidden="1">{"Summary",#N/A,TRUE,"Sheet1";"Sens",#N/A,TRUE,"Sheet1";"Valuation Summary",#N/A,TRUE,"Sheet1";"Cash Flows and Value",#N/A,TRUE,"Sheet1";"DCF and Yield",#N/A,TRUE,"Sheet1";"JV Structure",#N/A,TRUE,"Sheet1";"Partnership Summary and Cash",#N/A,TRUE,"Sheet1";"Partnership Distributions 1",#N/A,TRUE,"Sheet1";"Partnership Distributions 2",#N/A,TRUE,"Sheet1";"CP Investment Return",#N/A,TRUE,"Sheet1";"Cash Flows Full",#N/A,TRUE,"Sheet2";"Assumptions",#N/A,TRUE,"Sheet1";"RR 1",#N/A,TRUE,"Rent Roll";"RR 2",#N/A,TRUE,"Rent Roll";"RR 3",#N/A,TRUE,"Rent Roll";"RR 4",#N/A,TRUE,"Rent Roll";"RR 5",#N/A,TRUE,"Rent Roll";"RR 6",#N/A,TRUE,"Rent Roll"}</definedName>
    <definedName name="wrn.Fortress._2" localSheetId="9" hidden="1">{"Summary",#N/A,TRUE,"Sheet1";"Sens",#N/A,TRUE,"Sheet1";"Valuation Summary",#N/A,TRUE,"Sheet1";"Cash Flows and Value",#N/A,TRUE,"Sheet1";"DCF and Yield",#N/A,TRUE,"Sheet1";"JV Structure",#N/A,TRUE,"Sheet1";"Partnership Summary and Cash",#N/A,TRUE,"Sheet1";"Partnership Distributions 1",#N/A,TRUE,"Sheet1";"Partnership Distributions 2",#N/A,TRUE,"Sheet1";"CP Investment Return",#N/A,TRUE,"Sheet1";"Cash Flows Full",#N/A,TRUE,"Sheet2";"Assumptions",#N/A,TRUE,"Sheet1";"RR 1",#N/A,TRUE,"Rent Roll";"RR 2",#N/A,TRUE,"Rent Roll";"RR 3",#N/A,TRUE,"Rent Roll";"RR 4",#N/A,TRUE,"Rent Roll";"RR 5",#N/A,TRUE,"Rent Roll";"RR 6",#N/A,TRUE,"Rent Roll"}</definedName>
    <definedName name="wrn.Fortress._2" localSheetId="2" hidden="1">{"Summary",#N/A,TRUE,"Sheet1";"Sens",#N/A,TRUE,"Sheet1";"Valuation Summary",#N/A,TRUE,"Sheet1";"Cash Flows and Value",#N/A,TRUE,"Sheet1";"DCF and Yield",#N/A,TRUE,"Sheet1";"JV Structure",#N/A,TRUE,"Sheet1";"Partnership Summary and Cash",#N/A,TRUE,"Sheet1";"Partnership Distributions 1",#N/A,TRUE,"Sheet1";"Partnership Distributions 2",#N/A,TRUE,"Sheet1";"CP Investment Return",#N/A,TRUE,"Sheet1";"Cash Flows Full",#N/A,TRUE,"Sheet2";"Assumptions",#N/A,TRUE,"Sheet1";"RR 1",#N/A,TRUE,"Rent Roll";"RR 2",#N/A,TRUE,"Rent Roll";"RR 3",#N/A,TRUE,"Rent Roll";"RR 4",#N/A,TRUE,"Rent Roll";"RR 5",#N/A,TRUE,"Rent Roll";"RR 6",#N/A,TRUE,"Rent Roll"}</definedName>
    <definedName name="wrn.Fortress._2" localSheetId="4" hidden="1">{"Summary",#N/A,TRUE,"Sheet1";"Sens",#N/A,TRUE,"Sheet1";"Valuation Summary",#N/A,TRUE,"Sheet1";"Cash Flows and Value",#N/A,TRUE,"Sheet1";"DCF and Yield",#N/A,TRUE,"Sheet1";"JV Structure",#N/A,TRUE,"Sheet1";"Partnership Summary and Cash",#N/A,TRUE,"Sheet1";"Partnership Distributions 1",#N/A,TRUE,"Sheet1";"Partnership Distributions 2",#N/A,TRUE,"Sheet1";"CP Investment Return",#N/A,TRUE,"Sheet1";"Cash Flows Full",#N/A,TRUE,"Sheet2";"Assumptions",#N/A,TRUE,"Sheet1";"RR 1",#N/A,TRUE,"Rent Roll";"RR 2",#N/A,TRUE,"Rent Roll";"RR 3",#N/A,TRUE,"Rent Roll";"RR 4",#N/A,TRUE,"Rent Roll";"RR 5",#N/A,TRUE,"Rent Roll";"RR 6",#N/A,TRUE,"Rent Roll"}</definedName>
    <definedName name="wrn.Fortress._2" localSheetId="0" hidden="1">{"Summary",#N/A,TRUE,"Sheet1";"Sens",#N/A,TRUE,"Sheet1";"Valuation Summary",#N/A,TRUE,"Sheet1";"Cash Flows and Value",#N/A,TRUE,"Sheet1";"DCF and Yield",#N/A,TRUE,"Sheet1";"JV Structure",#N/A,TRUE,"Sheet1";"Partnership Summary and Cash",#N/A,TRUE,"Sheet1";"Partnership Distributions 1",#N/A,TRUE,"Sheet1";"Partnership Distributions 2",#N/A,TRUE,"Sheet1";"CP Investment Return",#N/A,TRUE,"Sheet1";"Cash Flows Full",#N/A,TRUE,"Sheet2";"Assumptions",#N/A,TRUE,"Sheet1";"RR 1",#N/A,TRUE,"Rent Roll";"RR 2",#N/A,TRUE,"Rent Roll";"RR 3",#N/A,TRUE,"Rent Roll";"RR 4",#N/A,TRUE,"Rent Roll";"RR 5",#N/A,TRUE,"Rent Roll";"RR 6",#N/A,TRUE,"Rent Roll"}</definedName>
    <definedName name="wrn.Fortress._2" hidden="1">{"Summary",#N/A,TRUE,"Sheet1";"Sens",#N/A,TRUE,"Sheet1";"Valuation Summary",#N/A,TRUE,"Sheet1";"Cash Flows and Value",#N/A,TRUE,"Sheet1";"DCF and Yield",#N/A,TRUE,"Sheet1";"JV Structure",#N/A,TRUE,"Sheet1";"Partnership Summary and Cash",#N/A,TRUE,"Sheet1";"Partnership Distributions 1",#N/A,TRUE,"Sheet1";"Partnership Distributions 2",#N/A,TRUE,"Sheet1";"CP Investment Return",#N/A,TRUE,"Sheet1";"Cash Flows Full",#N/A,TRUE,"Sheet2";"Assumptions",#N/A,TRUE,"Sheet1";"RR 1",#N/A,TRUE,"Rent Roll";"RR 2",#N/A,TRUE,"Rent Roll";"RR 3",#N/A,TRUE,"Rent Roll";"RR 4",#N/A,TRUE,"Rent Roll";"RR 5",#N/A,TRUE,"Rent Roll";"RR 6",#N/A,TRUE,"Rent Roll"}</definedName>
    <definedName name="wrn.Fortress._3" localSheetId="3" hidden="1">{"Summary",#N/A,TRUE,"Sheet1";"Sens",#N/A,TRUE,"Sheet1";"Valuation Summary",#N/A,TRUE,"Sheet1";"Cash Flows and Value",#N/A,TRUE,"Sheet1";"DCF and Yield",#N/A,TRUE,"Sheet1";"JV Structure",#N/A,TRUE,"Sheet1";"Partnership Summary and Cash",#N/A,TRUE,"Sheet1";"Partnership Distributions 1",#N/A,TRUE,"Sheet1";"Partnership Distributions 2",#N/A,TRUE,"Sheet1";"CP Investment Return",#N/A,TRUE,"Sheet1";"Cash Flows Full",#N/A,TRUE,"Sheet2";"Assumptions",#N/A,TRUE,"Sheet1";"RR 1",#N/A,TRUE,"Rent Roll";"RR 2",#N/A,TRUE,"Rent Roll";"RR 3",#N/A,TRUE,"Rent Roll";"RR 4",#N/A,TRUE,"Rent Roll";"RR 5",#N/A,TRUE,"Rent Roll";"RR 6",#N/A,TRUE,"Rent Roll"}</definedName>
    <definedName name="wrn.Fortress._3" localSheetId="9" hidden="1">{"Summary",#N/A,TRUE,"Sheet1";"Sens",#N/A,TRUE,"Sheet1";"Valuation Summary",#N/A,TRUE,"Sheet1";"Cash Flows and Value",#N/A,TRUE,"Sheet1";"DCF and Yield",#N/A,TRUE,"Sheet1";"JV Structure",#N/A,TRUE,"Sheet1";"Partnership Summary and Cash",#N/A,TRUE,"Sheet1";"Partnership Distributions 1",#N/A,TRUE,"Sheet1";"Partnership Distributions 2",#N/A,TRUE,"Sheet1";"CP Investment Return",#N/A,TRUE,"Sheet1";"Cash Flows Full",#N/A,TRUE,"Sheet2";"Assumptions",#N/A,TRUE,"Sheet1";"RR 1",#N/A,TRUE,"Rent Roll";"RR 2",#N/A,TRUE,"Rent Roll";"RR 3",#N/A,TRUE,"Rent Roll";"RR 4",#N/A,TRUE,"Rent Roll";"RR 5",#N/A,TRUE,"Rent Roll";"RR 6",#N/A,TRUE,"Rent Roll"}</definedName>
    <definedName name="wrn.Fortress._3" localSheetId="2" hidden="1">{"Summary",#N/A,TRUE,"Sheet1";"Sens",#N/A,TRUE,"Sheet1";"Valuation Summary",#N/A,TRUE,"Sheet1";"Cash Flows and Value",#N/A,TRUE,"Sheet1";"DCF and Yield",#N/A,TRUE,"Sheet1";"JV Structure",#N/A,TRUE,"Sheet1";"Partnership Summary and Cash",#N/A,TRUE,"Sheet1";"Partnership Distributions 1",#N/A,TRUE,"Sheet1";"Partnership Distributions 2",#N/A,TRUE,"Sheet1";"CP Investment Return",#N/A,TRUE,"Sheet1";"Cash Flows Full",#N/A,TRUE,"Sheet2";"Assumptions",#N/A,TRUE,"Sheet1";"RR 1",#N/A,TRUE,"Rent Roll";"RR 2",#N/A,TRUE,"Rent Roll";"RR 3",#N/A,TRUE,"Rent Roll";"RR 4",#N/A,TRUE,"Rent Roll";"RR 5",#N/A,TRUE,"Rent Roll";"RR 6",#N/A,TRUE,"Rent Roll"}</definedName>
    <definedName name="wrn.Fortress._3" localSheetId="4" hidden="1">{"Summary",#N/A,TRUE,"Sheet1";"Sens",#N/A,TRUE,"Sheet1";"Valuation Summary",#N/A,TRUE,"Sheet1";"Cash Flows and Value",#N/A,TRUE,"Sheet1";"DCF and Yield",#N/A,TRUE,"Sheet1";"JV Structure",#N/A,TRUE,"Sheet1";"Partnership Summary and Cash",#N/A,TRUE,"Sheet1";"Partnership Distributions 1",#N/A,TRUE,"Sheet1";"Partnership Distributions 2",#N/A,TRUE,"Sheet1";"CP Investment Return",#N/A,TRUE,"Sheet1";"Cash Flows Full",#N/A,TRUE,"Sheet2";"Assumptions",#N/A,TRUE,"Sheet1";"RR 1",#N/A,TRUE,"Rent Roll";"RR 2",#N/A,TRUE,"Rent Roll";"RR 3",#N/A,TRUE,"Rent Roll";"RR 4",#N/A,TRUE,"Rent Roll";"RR 5",#N/A,TRUE,"Rent Roll";"RR 6",#N/A,TRUE,"Rent Roll"}</definedName>
    <definedName name="wrn.Fortress._3" localSheetId="0" hidden="1">{"Summary",#N/A,TRUE,"Sheet1";"Sens",#N/A,TRUE,"Sheet1";"Valuation Summary",#N/A,TRUE,"Sheet1";"Cash Flows and Value",#N/A,TRUE,"Sheet1";"DCF and Yield",#N/A,TRUE,"Sheet1";"JV Structure",#N/A,TRUE,"Sheet1";"Partnership Summary and Cash",#N/A,TRUE,"Sheet1";"Partnership Distributions 1",#N/A,TRUE,"Sheet1";"Partnership Distributions 2",#N/A,TRUE,"Sheet1";"CP Investment Return",#N/A,TRUE,"Sheet1";"Cash Flows Full",#N/A,TRUE,"Sheet2";"Assumptions",#N/A,TRUE,"Sheet1";"RR 1",#N/A,TRUE,"Rent Roll";"RR 2",#N/A,TRUE,"Rent Roll";"RR 3",#N/A,TRUE,"Rent Roll";"RR 4",#N/A,TRUE,"Rent Roll";"RR 5",#N/A,TRUE,"Rent Roll";"RR 6",#N/A,TRUE,"Rent Roll"}</definedName>
    <definedName name="wrn.Fortress._3" hidden="1">{"Summary",#N/A,TRUE,"Sheet1";"Sens",#N/A,TRUE,"Sheet1";"Valuation Summary",#N/A,TRUE,"Sheet1";"Cash Flows and Value",#N/A,TRUE,"Sheet1";"DCF and Yield",#N/A,TRUE,"Sheet1";"JV Structure",#N/A,TRUE,"Sheet1";"Partnership Summary and Cash",#N/A,TRUE,"Sheet1";"Partnership Distributions 1",#N/A,TRUE,"Sheet1";"Partnership Distributions 2",#N/A,TRUE,"Sheet1";"CP Investment Return",#N/A,TRUE,"Sheet1";"Cash Flows Full",#N/A,TRUE,"Sheet2";"Assumptions",#N/A,TRUE,"Sheet1";"RR 1",#N/A,TRUE,"Rent Roll";"RR 2",#N/A,TRUE,"Rent Roll";"RR 3",#N/A,TRUE,"Rent Roll";"RR 4",#N/A,TRUE,"Rent Roll";"RR 5",#N/A,TRUE,"Rent Roll";"RR 6",#N/A,TRUE,"Rent Roll"}</definedName>
    <definedName name="wrn.FOschedules." localSheetId="3" hidden="1">{"FOschedule1",#N/A,FALSE,"Sheet1";"FOschedule2",#N/A,FALSE,"Sheet1";"FOschedule3",#N/A,FALSE,"Sheet1"}</definedName>
    <definedName name="wrn.FOschedules." localSheetId="6" hidden="1">{"FOschedule1",#N/A,FALSE,"Sheet1";"FOschedule2",#N/A,FALSE,"Sheet1";"FOschedule3",#N/A,FALSE,"Sheet1"}</definedName>
    <definedName name="wrn.FOschedules." localSheetId="9" hidden="1">{"FOschedule1",#N/A,FALSE,"Sheet1";"FOschedule2",#N/A,FALSE,"Sheet1";"FOschedule3",#N/A,FALSE,"Sheet1"}</definedName>
    <definedName name="wrn.FOschedules." localSheetId="2" hidden="1">{"FOschedule1",#N/A,FALSE,"Sheet1";"FOschedule2",#N/A,FALSE,"Sheet1";"FOschedule3",#N/A,FALSE,"Sheet1"}</definedName>
    <definedName name="wrn.FOschedules." localSheetId="4" hidden="1">{"FOschedule1",#N/A,FALSE,"Sheet1";"FOschedule2",#N/A,FALSE,"Sheet1";"FOschedule3",#N/A,FALSE,"Sheet1"}</definedName>
    <definedName name="wrn.FOschedules." localSheetId="0" hidden="1">{"FOschedule1",#N/A,FALSE,"Sheet1";"FOschedule2",#N/A,FALSE,"Sheet1";"FOschedule3",#N/A,FALSE,"Sheet1"}</definedName>
    <definedName name="wrn.FOschedules." hidden="1">{"FOschedule1",#N/A,FALSE,"Sheet1";"FOschedule2",#N/A,FALSE,"Sheet1";"FOschedule3",#N/A,FALSE,"Sheet1"}</definedName>
    <definedName name="wrn.FRI._1" localSheetId="3" hidden="1">{"Cover",#N/A,TRUE,"Sheet1";"2. Value",#N/A,TRUE,"Sheet1";"Sensitivities",#N/A,TRUE,"Sheet1";"3. Porfolio CF",#N/A,TRUE,"Sheet1";"4. NCF",#N/A,TRUE,"Sheet1";"5. DCF",#N/A,TRUE,"Sheet1";"6. Partnership Dist",#N/A,TRUE,"Sheet1";"7. MIR Splits",#N/A,TRUE,"Sheet1";"Assumptions",#N/A,TRUE,"Sheet1"}</definedName>
    <definedName name="wrn.FRI._1" localSheetId="9" hidden="1">{"Cover",#N/A,TRUE,"Sheet1";"2. Value",#N/A,TRUE,"Sheet1";"Sensitivities",#N/A,TRUE,"Sheet1";"3. Porfolio CF",#N/A,TRUE,"Sheet1";"4. NCF",#N/A,TRUE,"Sheet1";"5. DCF",#N/A,TRUE,"Sheet1";"6. Partnership Dist",#N/A,TRUE,"Sheet1";"7. MIR Splits",#N/A,TRUE,"Sheet1";"Assumptions",#N/A,TRUE,"Sheet1"}</definedName>
    <definedName name="wrn.FRI._1" localSheetId="2" hidden="1">{"Cover",#N/A,TRUE,"Sheet1";"2. Value",#N/A,TRUE,"Sheet1";"Sensitivities",#N/A,TRUE,"Sheet1";"3. Porfolio CF",#N/A,TRUE,"Sheet1";"4. NCF",#N/A,TRUE,"Sheet1";"5. DCF",#N/A,TRUE,"Sheet1";"6. Partnership Dist",#N/A,TRUE,"Sheet1";"7. MIR Splits",#N/A,TRUE,"Sheet1";"Assumptions",#N/A,TRUE,"Sheet1"}</definedName>
    <definedName name="wrn.FRI._1" localSheetId="4" hidden="1">{"Cover",#N/A,TRUE,"Sheet1";"2. Value",#N/A,TRUE,"Sheet1";"Sensitivities",#N/A,TRUE,"Sheet1";"3. Porfolio CF",#N/A,TRUE,"Sheet1";"4. NCF",#N/A,TRUE,"Sheet1";"5. DCF",#N/A,TRUE,"Sheet1";"6. Partnership Dist",#N/A,TRUE,"Sheet1";"7. MIR Splits",#N/A,TRUE,"Sheet1";"Assumptions",#N/A,TRUE,"Sheet1"}</definedName>
    <definedName name="wrn.FRI._1" localSheetId="0" hidden="1">{"Cover",#N/A,TRUE,"Sheet1";"2. Value",#N/A,TRUE,"Sheet1";"Sensitivities",#N/A,TRUE,"Sheet1";"3. Porfolio CF",#N/A,TRUE,"Sheet1";"4. NCF",#N/A,TRUE,"Sheet1";"5. DCF",#N/A,TRUE,"Sheet1";"6. Partnership Dist",#N/A,TRUE,"Sheet1";"7. MIR Splits",#N/A,TRUE,"Sheet1";"Assumptions",#N/A,TRUE,"Sheet1"}</definedName>
    <definedName name="wrn.FRI._1" hidden="1">{"Cover",#N/A,TRUE,"Sheet1";"2. Value",#N/A,TRUE,"Sheet1";"Sensitivities",#N/A,TRUE,"Sheet1";"3. Porfolio CF",#N/A,TRUE,"Sheet1";"4. NCF",#N/A,TRUE,"Sheet1";"5. DCF",#N/A,TRUE,"Sheet1";"6. Partnership Dist",#N/A,TRUE,"Sheet1";"7. MIR Splits",#N/A,TRUE,"Sheet1";"Assumptions",#N/A,TRUE,"Sheet1"}</definedName>
    <definedName name="wrn.FRI._2" localSheetId="3" hidden="1">{"Cover",#N/A,TRUE,"Sheet1";"2. Value",#N/A,TRUE,"Sheet1";"Sensitivities",#N/A,TRUE,"Sheet1";"3. Porfolio CF",#N/A,TRUE,"Sheet1";"4. NCF",#N/A,TRUE,"Sheet1";"5. DCF",#N/A,TRUE,"Sheet1";"6. Partnership Dist",#N/A,TRUE,"Sheet1";"7. MIR Splits",#N/A,TRUE,"Sheet1";"Assumptions",#N/A,TRUE,"Sheet1"}</definedName>
    <definedName name="wrn.FRI._2" localSheetId="9" hidden="1">{"Cover",#N/A,TRUE,"Sheet1";"2. Value",#N/A,TRUE,"Sheet1";"Sensitivities",#N/A,TRUE,"Sheet1";"3. Porfolio CF",#N/A,TRUE,"Sheet1";"4. NCF",#N/A,TRUE,"Sheet1";"5. DCF",#N/A,TRUE,"Sheet1";"6. Partnership Dist",#N/A,TRUE,"Sheet1";"7. MIR Splits",#N/A,TRUE,"Sheet1";"Assumptions",#N/A,TRUE,"Sheet1"}</definedName>
    <definedName name="wrn.FRI._2" localSheetId="2" hidden="1">{"Cover",#N/A,TRUE,"Sheet1";"2. Value",#N/A,TRUE,"Sheet1";"Sensitivities",#N/A,TRUE,"Sheet1";"3. Porfolio CF",#N/A,TRUE,"Sheet1";"4. NCF",#N/A,TRUE,"Sheet1";"5. DCF",#N/A,TRUE,"Sheet1";"6. Partnership Dist",#N/A,TRUE,"Sheet1";"7. MIR Splits",#N/A,TRUE,"Sheet1";"Assumptions",#N/A,TRUE,"Sheet1"}</definedName>
    <definedName name="wrn.FRI._2" localSheetId="4" hidden="1">{"Cover",#N/A,TRUE,"Sheet1";"2. Value",#N/A,TRUE,"Sheet1";"Sensitivities",#N/A,TRUE,"Sheet1";"3. Porfolio CF",#N/A,TRUE,"Sheet1";"4. NCF",#N/A,TRUE,"Sheet1";"5. DCF",#N/A,TRUE,"Sheet1";"6. Partnership Dist",#N/A,TRUE,"Sheet1";"7. MIR Splits",#N/A,TRUE,"Sheet1";"Assumptions",#N/A,TRUE,"Sheet1"}</definedName>
    <definedName name="wrn.FRI._2" localSheetId="0" hidden="1">{"Cover",#N/A,TRUE,"Sheet1";"2. Value",#N/A,TRUE,"Sheet1";"Sensitivities",#N/A,TRUE,"Sheet1";"3. Porfolio CF",#N/A,TRUE,"Sheet1";"4. NCF",#N/A,TRUE,"Sheet1";"5. DCF",#N/A,TRUE,"Sheet1";"6. Partnership Dist",#N/A,TRUE,"Sheet1";"7. MIR Splits",#N/A,TRUE,"Sheet1";"Assumptions",#N/A,TRUE,"Sheet1"}</definedName>
    <definedName name="wrn.FRI._2" hidden="1">{"Cover",#N/A,TRUE,"Sheet1";"2. Value",#N/A,TRUE,"Sheet1";"Sensitivities",#N/A,TRUE,"Sheet1";"3. Porfolio CF",#N/A,TRUE,"Sheet1";"4. NCF",#N/A,TRUE,"Sheet1";"5. DCF",#N/A,TRUE,"Sheet1";"6. Partnership Dist",#N/A,TRUE,"Sheet1";"7. MIR Splits",#N/A,TRUE,"Sheet1";"Assumptions",#N/A,TRUE,"Sheet1"}</definedName>
    <definedName name="wrn.FRI._3" localSheetId="3" hidden="1">{"Cover",#N/A,TRUE,"Sheet1";"2. Value",#N/A,TRUE,"Sheet1";"Sensitivities",#N/A,TRUE,"Sheet1";"3. Porfolio CF",#N/A,TRUE,"Sheet1";"4. NCF",#N/A,TRUE,"Sheet1";"5. DCF",#N/A,TRUE,"Sheet1";"6. Partnership Dist",#N/A,TRUE,"Sheet1";"7. MIR Splits",#N/A,TRUE,"Sheet1";"Assumptions",#N/A,TRUE,"Sheet1"}</definedName>
    <definedName name="wrn.FRI._3" localSheetId="9" hidden="1">{"Cover",#N/A,TRUE,"Sheet1";"2. Value",#N/A,TRUE,"Sheet1";"Sensitivities",#N/A,TRUE,"Sheet1";"3. Porfolio CF",#N/A,TRUE,"Sheet1";"4. NCF",#N/A,TRUE,"Sheet1";"5. DCF",#N/A,TRUE,"Sheet1";"6. Partnership Dist",#N/A,TRUE,"Sheet1";"7. MIR Splits",#N/A,TRUE,"Sheet1";"Assumptions",#N/A,TRUE,"Sheet1"}</definedName>
    <definedName name="wrn.FRI._3" localSheetId="2" hidden="1">{"Cover",#N/A,TRUE,"Sheet1";"2. Value",#N/A,TRUE,"Sheet1";"Sensitivities",#N/A,TRUE,"Sheet1";"3. Porfolio CF",#N/A,TRUE,"Sheet1";"4. NCF",#N/A,TRUE,"Sheet1";"5. DCF",#N/A,TRUE,"Sheet1";"6. Partnership Dist",#N/A,TRUE,"Sheet1";"7. MIR Splits",#N/A,TRUE,"Sheet1";"Assumptions",#N/A,TRUE,"Sheet1"}</definedName>
    <definedName name="wrn.FRI._3" localSheetId="4" hidden="1">{"Cover",#N/A,TRUE,"Sheet1";"2. Value",#N/A,TRUE,"Sheet1";"Sensitivities",#N/A,TRUE,"Sheet1";"3. Porfolio CF",#N/A,TRUE,"Sheet1";"4. NCF",#N/A,TRUE,"Sheet1";"5. DCF",#N/A,TRUE,"Sheet1";"6. Partnership Dist",#N/A,TRUE,"Sheet1";"7. MIR Splits",#N/A,TRUE,"Sheet1";"Assumptions",#N/A,TRUE,"Sheet1"}</definedName>
    <definedName name="wrn.FRI._3" localSheetId="0" hidden="1">{"Cover",#N/A,TRUE,"Sheet1";"2. Value",#N/A,TRUE,"Sheet1";"Sensitivities",#N/A,TRUE,"Sheet1";"3. Porfolio CF",#N/A,TRUE,"Sheet1";"4. NCF",#N/A,TRUE,"Sheet1";"5. DCF",#N/A,TRUE,"Sheet1";"6. Partnership Dist",#N/A,TRUE,"Sheet1";"7. MIR Splits",#N/A,TRUE,"Sheet1";"Assumptions",#N/A,TRUE,"Sheet1"}</definedName>
    <definedName name="wrn.FRI._3" hidden="1">{"Cover",#N/A,TRUE,"Sheet1";"2. Value",#N/A,TRUE,"Sheet1";"Sensitivities",#N/A,TRUE,"Sheet1";"3. Porfolio CF",#N/A,TRUE,"Sheet1";"4. NCF",#N/A,TRUE,"Sheet1";"5. DCF",#N/A,TRUE,"Sheet1";"6. Partnership Dist",#N/A,TRUE,"Sheet1";"7. MIR Splits",#N/A,TRUE,"Sheet1";"Assumptions",#N/A,TRUE,"Sheet1"}</definedName>
    <definedName name="wrn.FULL._.COMPARISON." localSheetId="3" hidden="1">{"Full Sheet",#N/A,FALSE,"Expense Comparison"}</definedName>
    <definedName name="wrn.FULL._.COMPARISON." localSheetId="6" hidden="1">{"Full Sheet",#N/A,FALSE,"Expense Comparison"}</definedName>
    <definedName name="wrn.FULL._.COMPARISON." localSheetId="9" hidden="1">{"Full Sheet",#N/A,FALSE,"Expense Comparison"}</definedName>
    <definedName name="wrn.FULL._.COMPARISON." localSheetId="2" hidden="1">{"Full Sheet",#N/A,FALSE,"Expense Comparison"}</definedName>
    <definedName name="wrn.FULL._.COMPARISON." localSheetId="4" hidden="1">{"Full Sheet",#N/A,FALSE,"Expense Comparison"}</definedName>
    <definedName name="wrn.FULL._.COMPARISON." localSheetId="0" hidden="1">{"Full Sheet",#N/A,FALSE,"Expense Comparison"}</definedName>
    <definedName name="wrn.FULL._.COMPARISON." hidden="1">{"Full Sheet",#N/A,FALSE,"Expense Comparison"}</definedName>
    <definedName name="wrn.Full._.Monty." localSheetId="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6"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9"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2"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4"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0"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Presentation." localSheetId="3" hidden="1">{#N/A,#N/A,FALSE,"SUMOPS";#N/A,#N/A,FALSE,"REVCAT";#N/A,#N/A,FALSE,"REV-SUM";#N/A,#N/A,FALSE,"REV-DETAIL";#N/A,#N/A,FALSE,"COS-DETAIL";#N/A,#N/A,FALSE,"PROJ VAR";#N/A,#N/A,FALSE,"C-EXP";#N/A,#N/A,FALSE,"3550";#N/A,#N/A,FALSE,"3551";#N/A,#N/A,FALSE,"3552";#N/A,#N/A,FALSE,"3553";#N/A,#N/A,FALSE,"3554";#N/A,#N/A,FALSE,"3555";#N/A,#N/A,FALSE,"3556";#N/A,#N/A,FALSE,"3557";#N/A,#N/A,FALSE,"3558";#N/A,#N/A,FALSE,"3559";#N/A,#N/A,FALSE,"3560";#N/A,#N/A,FALSE,"3561";#N/A,#N/A,FALSE,"3562";#N/A,#N/A,FALSE,"SUMOPSD";#N/A,#N/A,FALSE,"CASH FLOW"}</definedName>
    <definedName name="wrn.Full._.Presentation." localSheetId="6" hidden="1">{#N/A,#N/A,FALSE,"SUMOPS";#N/A,#N/A,FALSE,"REVCAT";#N/A,#N/A,FALSE,"REV-SUM";#N/A,#N/A,FALSE,"REV-DETAIL";#N/A,#N/A,FALSE,"COS-DETAIL";#N/A,#N/A,FALSE,"PROJ VAR";#N/A,#N/A,FALSE,"C-EXP";#N/A,#N/A,FALSE,"3550";#N/A,#N/A,FALSE,"3551";#N/A,#N/A,FALSE,"3552";#N/A,#N/A,FALSE,"3553";#N/A,#N/A,FALSE,"3554";#N/A,#N/A,FALSE,"3555";#N/A,#N/A,FALSE,"3556";#N/A,#N/A,FALSE,"3557";#N/A,#N/A,FALSE,"3558";#N/A,#N/A,FALSE,"3559";#N/A,#N/A,FALSE,"3560";#N/A,#N/A,FALSE,"3561";#N/A,#N/A,FALSE,"3562";#N/A,#N/A,FALSE,"SUMOPSD";#N/A,#N/A,FALSE,"CASH FLOW"}</definedName>
    <definedName name="wrn.Full._.Presentation." localSheetId="9" hidden="1">{#N/A,#N/A,FALSE,"SUMOPS";#N/A,#N/A,FALSE,"REVCAT";#N/A,#N/A,FALSE,"REV-SUM";#N/A,#N/A,FALSE,"REV-DETAIL";#N/A,#N/A,FALSE,"COS-DETAIL";#N/A,#N/A,FALSE,"PROJ VAR";#N/A,#N/A,FALSE,"C-EXP";#N/A,#N/A,FALSE,"3550";#N/A,#N/A,FALSE,"3551";#N/A,#N/A,FALSE,"3552";#N/A,#N/A,FALSE,"3553";#N/A,#N/A,FALSE,"3554";#N/A,#N/A,FALSE,"3555";#N/A,#N/A,FALSE,"3556";#N/A,#N/A,FALSE,"3557";#N/A,#N/A,FALSE,"3558";#N/A,#N/A,FALSE,"3559";#N/A,#N/A,FALSE,"3560";#N/A,#N/A,FALSE,"3561";#N/A,#N/A,FALSE,"3562";#N/A,#N/A,FALSE,"SUMOPSD";#N/A,#N/A,FALSE,"CASH FLOW"}</definedName>
    <definedName name="wrn.Full._.Presentation." localSheetId="2" hidden="1">{#N/A,#N/A,FALSE,"SUMOPS";#N/A,#N/A,FALSE,"REVCAT";#N/A,#N/A,FALSE,"REV-SUM";#N/A,#N/A,FALSE,"REV-DETAIL";#N/A,#N/A,FALSE,"COS-DETAIL";#N/A,#N/A,FALSE,"PROJ VAR";#N/A,#N/A,FALSE,"C-EXP";#N/A,#N/A,FALSE,"3550";#N/A,#N/A,FALSE,"3551";#N/A,#N/A,FALSE,"3552";#N/A,#N/A,FALSE,"3553";#N/A,#N/A,FALSE,"3554";#N/A,#N/A,FALSE,"3555";#N/A,#N/A,FALSE,"3556";#N/A,#N/A,FALSE,"3557";#N/A,#N/A,FALSE,"3558";#N/A,#N/A,FALSE,"3559";#N/A,#N/A,FALSE,"3560";#N/A,#N/A,FALSE,"3561";#N/A,#N/A,FALSE,"3562";#N/A,#N/A,FALSE,"SUMOPSD";#N/A,#N/A,FALSE,"CASH FLOW"}</definedName>
    <definedName name="wrn.Full._.Presentation." localSheetId="4" hidden="1">{#N/A,#N/A,FALSE,"SUMOPS";#N/A,#N/A,FALSE,"REVCAT";#N/A,#N/A,FALSE,"REV-SUM";#N/A,#N/A,FALSE,"REV-DETAIL";#N/A,#N/A,FALSE,"COS-DETAIL";#N/A,#N/A,FALSE,"PROJ VAR";#N/A,#N/A,FALSE,"C-EXP";#N/A,#N/A,FALSE,"3550";#N/A,#N/A,FALSE,"3551";#N/A,#N/A,FALSE,"3552";#N/A,#N/A,FALSE,"3553";#N/A,#N/A,FALSE,"3554";#N/A,#N/A,FALSE,"3555";#N/A,#N/A,FALSE,"3556";#N/A,#N/A,FALSE,"3557";#N/A,#N/A,FALSE,"3558";#N/A,#N/A,FALSE,"3559";#N/A,#N/A,FALSE,"3560";#N/A,#N/A,FALSE,"3561";#N/A,#N/A,FALSE,"3562";#N/A,#N/A,FALSE,"SUMOPSD";#N/A,#N/A,FALSE,"CASH FLOW"}</definedName>
    <definedName name="wrn.Full._.Presentation." localSheetId="0" hidden="1">{#N/A,#N/A,FALSE,"SUMOPS";#N/A,#N/A,FALSE,"REVCAT";#N/A,#N/A,FALSE,"REV-SUM";#N/A,#N/A,FALSE,"REV-DETAIL";#N/A,#N/A,FALSE,"COS-DETAIL";#N/A,#N/A,FALSE,"PROJ VAR";#N/A,#N/A,FALSE,"C-EXP";#N/A,#N/A,FALSE,"3550";#N/A,#N/A,FALSE,"3551";#N/A,#N/A,FALSE,"3552";#N/A,#N/A,FALSE,"3553";#N/A,#N/A,FALSE,"3554";#N/A,#N/A,FALSE,"3555";#N/A,#N/A,FALSE,"3556";#N/A,#N/A,FALSE,"3557";#N/A,#N/A,FALSE,"3558";#N/A,#N/A,FALSE,"3559";#N/A,#N/A,FALSE,"3560";#N/A,#N/A,FALSE,"3561";#N/A,#N/A,FALSE,"3562";#N/A,#N/A,FALSE,"SUMOPSD";#N/A,#N/A,FALSE,"CASH FLOW"}</definedName>
    <definedName name="wrn.Full._.Presentation." hidden="1">{#N/A,#N/A,FALSE,"SUMOPS";#N/A,#N/A,FALSE,"REVCAT";#N/A,#N/A,FALSE,"REV-SUM";#N/A,#N/A,FALSE,"REV-DETAIL";#N/A,#N/A,FALSE,"COS-DETAIL";#N/A,#N/A,FALSE,"PROJ VAR";#N/A,#N/A,FALSE,"C-EXP";#N/A,#N/A,FALSE,"3550";#N/A,#N/A,FALSE,"3551";#N/A,#N/A,FALSE,"3552";#N/A,#N/A,FALSE,"3553";#N/A,#N/A,FALSE,"3554";#N/A,#N/A,FALSE,"3555";#N/A,#N/A,FALSE,"3556";#N/A,#N/A,FALSE,"3557";#N/A,#N/A,FALSE,"3558";#N/A,#N/A,FALSE,"3559";#N/A,#N/A,FALSE,"3560";#N/A,#N/A,FALSE,"3561";#N/A,#N/A,FALSE,"3562";#N/A,#N/A,FALSE,"SUMOPSD";#N/A,#N/A,FALSE,"CASH FLOW"}</definedName>
    <definedName name="wrn.Full._.Print." localSheetId="3" hidden="1">{"Input Assumptions",#N/A,FALSE,"Summary";"Return Sensitivities",#N/A,FALSE,"Summary";"Project CF &amp; Debt",#N/A,FALSE,"Summary";"Unit Sale Summary",#N/A,FALSE,"Summary";"Sellout Summary",#N/A,FALSE,"Sellout";"Project Pro Forma",#N/A,FALSE,"Summary";"Apt Rental Revenue",#N/A,FALSE,"Summary"}</definedName>
    <definedName name="wrn.Full._.Print." localSheetId="9" hidden="1">{"Input Assumptions",#N/A,FALSE,"Summary";"Return Sensitivities",#N/A,FALSE,"Summary";"Project CF &amp; Debt",#N/A,FALSE,"Summary";"Unit Sale Summary",#N/A,FALSE,"Summary";"Sellout Summary",#N/A,FALSE,"Sellout";"Project Pro Forma",#N/A,FALSE,"Summary";"Apt Rental Revenue",#N/A,FALSE,"Summary"}</definedName>
    <definedName name="wrn.Full._.Print." localSheetId="2" hidden="1">{"Input Assumptions",#N/A,FALSE,"Summary";"Return Sensitivities",#N/A,FALSE,"Summary";"Project CF &amp; Debt",#N/A,FALSE,"Summary";"Unit Sale Summary",#N/A,FALSE,"Summary";"Sellout Summary",#N/A,FALSE,"Sellout";"Project Pro Forma",#N/A,FALSE,"Summary";"Apt Rental Revenue",#N/A,FALSE,"Summary"}</definedName>
    <definedName name="wrn.Full._.Print." localSheetId="4" hidden="1">{"Input Assumptions",#N/A,FALSE,"Summary";"Return Sensitivities",#N/A,FALSE,"Summary";"Project CF &amp; Debt",#N/A,FALSE,"Summary";"Unit Sale Summary",#N/A,FALSE,"Summary";"Sellout Summary",#N/A,FALSE,"Sellout";"Project Pro Forma",#N/A,FALSE,"Summary";"Apt Rental Revenue",#N/A,FALSE,"Summary"}</definedName>
    <definedName name="wrn.Full._.Print." localSheetId="0" hidden="1">{"Input Assumptions",#N/A,FALSE,"Summary";"Return Sensitivities",#N/A,FALSE,"Summary";"Project CF &amp; Debt",#N/A,FALSE,"Summary";"Unit Sale Summary",#N/A,FALSE,"Summary";"Sellout Summary",#N/A,FALSE,"Sellout";"Project Pro Forma",#N/A,FALSE,"Summary";"Apt Rental Revenue",#N/A,FALSE,"Summary"}</definedName>
    <definedName name="wrn.Full._.Print." hidden="1">{"Input Assumptions",#N/A,FALSE,"Summary";"Return Sensitivities",#N/A,FALSE,"Summary";"Project CF &amp; Debt",#N/A,FALSE,"Summary";"Unit Sale Summary",#N/A,FALSE,"Summary";"Sellout Summary",#N/A,FALSE,"Sellout";"Project Pro Forma",#N/A,FALSE,"Summary";"Apt Rental Revenue",#N/A,FALSE,"Summary"}</definedName>
    <definedName name="wrn.full._.report."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6" hidden="1">{#N/A,#N/A,TRUE,"Title Page";#N/A,#N/A,TRUE,"Executive Summary";#N/A,#N/A,TRUE,"Tenant Summary";#N/A,#N/A,TRUE,"Assumptions";#N/A,#N/A,TRUE,"Capitalization Value ";#N/A,#N/A,TRUE,"Value Matrix ";#N/A,#N/A,TRUE,"Leasing Cost";#N/A,#N/A,TRUE,"Expiration Schedule";#N/A,#N/A,TRUE,"Market Rent Adjustment";#N/A,#N/A,TRUE,"Lease Value"}</definedName>
    <definedName name="wrn.full._.report." localSheetId="9"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 localSheetId="3" hidden="1">{"Summary",#N/A,TRUE,"Debt Model";"Sensitivity",#N/A,TRUE,"Debt Model";"Valuation/Asset Cash Flow",#N/A,TRUE,"Debt Model";"Partnership Cash Flow",#N/A,TRUE,"Debt Model";"Equity Value/DCF",#N/A,TRUE,"Debt Model";"Debt Summary",#N/A,TRUE,"Debt Model";"Madison Cash Flow/FX",#N/A,TRUE,"Debt Model";"Promote 1 - Diez",#N/A,TRUE,"Debt Model";"Promote 2 - Diez",#N/A,TRUE,"Debt Model";"Promote 3 - Diez",#N/A,TRUE,"Debt Model"}</definedName>
    <definedName name="wrn.Full._.Report._1" localSheetId="9" hidden="1">{"Summary",#N/A,TRUE,"Debt Model";"Sensitivity",#N/A,TRUE,"Debt Model";"Valuation/Asset Cash Flow",#N/A,TRUE,"Debt Model";"Partnership Cash Flow",#N/A,TRUE,"Debt Model";"Equity Value/DCF",#N/A,TRUE,"Debt Model";"Debt Summary",#N/A,TRUE,"Debt Model";"Madison Cash Flow/FX",#N/A,TRUE,"Debt Model";"Promote 1 - Diez",#N/A,TRUE,"Debt Model";"Promote 2 - Diez",#N/A,TRUE,"Debt Model";"Promote 3 - Diez",#N/A,TRUE,"Debt Model"}</definedName>
    <definedName name="wrn.Full._.Report._1" localSheetId="2" hidden="1">{"Summary",#N/A,TRUE,"Debt Model";"Sensitivity",#N/A,TRUE,"Debt Model";"Valuation/Asset Cash Flow",#N/A,TRUE,"Debt Model";"Partnership Cash Flow",#N/A,TRUE,"Debt Model";"Equity Value/DCF",#N/A,TRUE,"Debt Model";"Debt Summary",#N/A,TRUE,"Debt Model";"Madison Cash Flow/FX",#N/A,TRUE,"Debt Model";"Promote 1 - Diez",#N/A,TRUE,"Debt Model";"Promote 2 - Diez",#N/A,TRUE,"Debt Model";"Promote 3 - Diez",#N/A,TRUE,"Debt Model"}</definedName>
    <definedName name="wrn.Full._.Report._1" localSheetId="4" hidden="1">{"Summary",#N/A,TRUE,"Debt Model";"Sensitivity",#N/A,TRUE,"Debt Model";"Valuation/Asset Cash Flow",#N/A,TRUE,"Debt Model";"Partnership Cash Flow",#N/A,TRUE,"Debt Model";"Equity Value/DCF",#N/A,TRUE,"Debt Model";"Debt Summary",#N/A,TRUE,"Debt Model";"Madison Cash Flow/FX",#N/A,TRUE,"Debt Model";"Promote 1 - Diez",#N/A,TRUE,"Debt Model";"Promote 2 - Diez",#N/A,TRUE,"Debt Model";"Promote 3 - Diez",#N/A,TRUE,"Debt Model"}</definedName>
    <definedName name="wrn.Full._.Report._1" localSheetId="0" hidden="1">{"Summary",#N/A,TRUE,"Debt Model";"Sensitivity",#N/A,TRUE,"Debt Model";"Valuation/Asset Cash Flow",#N/A,TRUE,"Debt Model";"Partnership Cash Flow",#N/A,TRUE,"Debt Model";"Equity Value/DCF",#N/A,TRUE,"Debt Model";"Debt Summary",#N/A,TRUE,"Debt Model";"Madison Cash Flow/FX",#N/A,TRUE,"Debt Model";"Promote 1 - Diez",#N/A,TRUE,"Debt Model";"Promote 2 - Diez",#N/A,TRUE,"Debt Model";"Promote 3 - Diez",#N/A,TRUE,"Debt Model"}</definedName>
    <definedName name="wrn.Full._.Report._1" hidden="1">{"Summary",#N/A,TRUE,"Debt Model";"Sensitivity",#N/A,TRUE,"Debt Model";"Valuation/Asset Cash Flow",#N/A,TRUE,"Debt Model";"Partnership Cash Flow",#N/A,TRUE,"Debt Model";"Equity Value/DCF",#N/A,TRUE,"Debt Model";"Debt Summary",#N/A,TRUE,"Debt Model";"Madison Cash Flow/FX",#N/A,TRUE,"Debt Model";"Promote 1 - Diez",#N/A,TRUE,"Debt Model";"Promote 2 - Diez",#N/A,TRUE,"Debt Model";"Promote 3 - Diez",#N/A,TRUE,"Debt Model"}</definedName>
    <definedName name="wrn.Full._.Report._2" localSheetId="3" hidden="1">{"Summary",#N/A,TRUE,"Debt Model";"Sensitivity",#N/A,TRUE,"Debt Model";"Valuation/Asset Cash Flow",#N/A,TRUE,"Debt Model";"Partnership Cash Flow",#N/A,TRUE,"Debt Model";"Equity Value/DCF",#N/A,TRUE,"Debt Model";"Debt Summary",#N/A,TRUE,"Debt Model";"Madison Cash Flow/FX",#N/A,TRUE,"Debt Model";"Promote 1 - Diez",#N/A,TRUE,"Debt Model";"Promote 2 - Diez",#N/A,TRUE,"Debt Model";"Promote 3 - Diez",#N/A,TRUE,"Debt Model"}</definedName>
    <definedName name="wrn.Full._.Report._2" localSheetId="9" hidden="1">{"Summary",#N/A,TRUE,"Debt Model";"Sensitivity",#N/A,TRUE,"Debt Model";"Valuation/Asset Cash Flow",#N/A,TRUE,"Debt Model";"Partnership Cash Flow",#N/A,TRUE,"Debt Model";"Equity Value/DCF",#N/A,TRUE,"Debt Model";"Debt Summary",#N/A,TRUE,"Debt Model";"Madison Cash Flow/FX",#N/A,TRUE,"Debt Model";"Promote 1 - Diez",#N/A,TRUE,"Debt Model";"Promote 2 - Diez",#N/A,TRUE,"Debt Model";"Promote 3 - Diez",#N/A,TRUE,"Debt Model"}</definedName>
    <definedName name="wrn.Full._.Report._2" localSheetId="2" hidden="1">{"Summary",#N/A,TRUE,"Debt Model";"Sensitivity",#N/A,TRUE,"Debt Model";"Valuation/Asset Cash Flow",#N/A,TRUE,"Debt Model";"Partnership Cash Flow",#N/A,TRUE,"Debt Model";"Equity Value/DCF",#N/A,TRUE,"Debt Model";"Debt Summary",#N/A,TRUE,"Debt Model";"Madison Cash Flow/FX",#N/A,TRUE,"Debt Model";"Promote 1 - Diez",#N/A,TRUE,"Debt Model";"Promote 2 - Diez",#N/A,TRUE,"Debt Model";"Promote 3 - Diez",#N/A,TRUE,"Debt Model"}</definedName>
    <definedName name="wrn.Full._.Report._2" localSheetId="4" hidden="1">{"Summary",#N/A,TRUE,"Debt Model";"Sensitivity",#N/A,TRUE,"Debt Model";"Valuation/Asset Cash Flow",#N/A,TRUE,"Debt Model";"Partnership Cash Flow",#N/A,TRUE,"Debt Model";"Equity Value/DCF",#N/A,TRUE,"Debt Model";"Debt Summary",#N/A,TRUE,"Debt Model";"Madison Cash Flow/FX",#N/A,TRUE,"Debt Model";"Promote 1 - Diez",#N/A,TRUE,"Debt Model";"Promote 2 - Diez",#N/A,TRUE,"Debt Model";"Promote 3 - Diez",#N/A,TRUE,"Debt Model"}</definedName>
    <definedName name="wrn.Full._.Report._2" localSheetId="0" hidden="1">{"Summary",#N/A,TRUE,"Debt Model";"Sensitivity",#N/A,TRUE,"Debt Model";"Valuation/Asset Cash Flow",#N/A,TRUE,"Debt Model";"Partnership Cash Flow",#N/A,TRUE,"Debt Model";"Equity Value/DCF",#N/A,TRUE,"Debt Model";"Debt Summary",#N/A,TRUE,"Debt Model";"Madison Cash Flow/FX",#N/A,TRUE,"Debt Model";"Promote 1 - Diez",#N/A,TRUE,"Debt Model";"Promote 2 - Diez",#N/A,TRUE,"Debt Model";"Promote 3 - Diez",#N/A,TRUE,"Debt Model"}</definedName>
    <definedName name="wrn.Full._.Report._2" hidden="1">{"Summary",#N/A,TRUE,"Debt Model";"Sensitivity",#N/A,TRUE,"Debt Model";"Valuation/Asset Cash Flow",#N/A,TRUE,"Debt Model";"Partnership Cash Flow",#N/A,TRUE,"Debt Model";"Equity Value/DCF",#N/A,TRUE,"Debt Model";"Debt Summary",#N/A,TRUE,"Debt Model";"Madison Cash Flow/FX",#N/A,TRUE,"Debt Model";"Promote 1 - Diez",#N/A,TRUE,"Debt Model";"Promote 2 - Diez",#N/A,TRUE,"Debt Model";"Promote 3 - Diez",#N/A,TRUE,"Debt Model"}</definedName>
    <definedName name="wrn.Full._.Report._3" localSheetId="3" hidden="1">{"Summary",#N/A,TRUE,"Debt Model";"Sensitivity",#N/A,TRUE,"Debt Model";"Valuation/Asset Cash Flow",#N/A,TRUE,"Debt Model";"Partnership Cash Flow",#N/A,TRUE,"Debt Model";"Equity Value/DCF",#N/A,TRUE,"Debt Model";"Debt Summary",#N/A,TRUE,"Debt Model";"Madison Cash Flow/FX",#N/A,TRUE,"Debt Model";"Promote 1 - Diez",#N/A,TRUE,"Debt Model";"Promote 2 - Diez",#N/A,TRUE,"Debt Model";"Promote 3 - Diez",#N/A,TRUE,"Debt Model"}</definedName>
    <definedName name="wrn.Full._.Report._3" localSheetId="9" hidden="1">{"Summary",#N/A,TRUE,"Debt Model";"Sensitivity",#N/A,TRUE,"Debt Model";"Valuation/Asset Cash Flow",#N/A,TRUE,"Debt Model";"Partnership Cash Flow",#N/A,TRUE,"Debt Model";"Equity Value/DCF",#N/A,TRUE,"Debt Model";"Debt Summary",#N/A,TRUE,"Debt Model";"Madison Cash Flow/FX",#N/A,TRUE,"Debt Model";"Promote 1 - Diez",#N/A,TRUE,"Debt Model";"Promote 2 - Diez",#N/A,TRUE,"Debt Model";"Promote 3 - Diez",#N/A,TRUE,"Debt Model"}</definedName>
    <definedName name="wrn.Full._.Report._3" localSheetId="2" hidden="1">{"Summary",#N/A,TRUE,"Debt Model";"Sensitivity",#N/A,TRUE,"Debt Model";"Valuation/Asset Cash Flow",#N/A,TRUE,"Debt Model";"Partnership Cash Flow",#N/A,TRUE,"Debt Model";"Equity Value/DCF",#N/A,TRUE,"Debt Model";"Debt Summary",#N/A,TRUE,"Debt Model";"Madison Cash Flow/FX",#N/A,TRUE,"Debt Model";"Promote 1 - Diez",#N/A,TRUE,"Debt Model";"Promote 2 - Diez",#N/A,TRUE,"Debt Model";"Promote 3 - Diez",#N/A,TRUE,"Debt Model"}</definedName>
    <definedName name="wrn.Full._.Report._3" localSheetId="4" hidden="1">{"Summary",#N/A,TRUE,"Debt Model";"Sensitivity",#N/A,TRUE,"Debt Model";"Valuation/Asset Cash Flow",#N/A,TRUE,"Debt Model";"Partnership Cash Flow",#N/A,TRUE,"Debt Model";"Equity Value/DCF",#N/A,TRUE,"Debt Model";"Debt Summary",#N/A,TRUE,"Debt Model";"Madison Cash Flow/FX",#N/A,TRUE,"Debt Model";"Promote 1 - Diez",#N/A,TRUE,"Debt Model";"Promote 2 - Diez",#N/A,TRUE,"Debt Model";"Promote 3 - Diez",#N/A,TRUE,"Debt Model"}</definedName>
    <definedName name="wrn.Full._.Report._3" localSheetId="0" hidden="1">{"Summary",#N/A,TRUE,"Debt Model";"Sensitivity",#N/A,TRUE,"Debt Model";"Valuation/Asset Cash Flow",#N/A,TRUE,"Debt Model";"Partnership Cash Flow",#N/A,TRUE,"Debt Model";"Equity Value/DCF",#N/A,TRUE,"Debt Model";"Debt Summary",#N/A,TRUE,"Debt Model";"Madison Cash Flow/FX",#N/A,TRUE,"Debt Model";"Promote 1 - Diez",#N/A,TRUE,"Debt Model";"Promote 2 - Diez",#N/A,TRUE,"Debt Model";"Promote 3 - Diez",#N/A,TRUE,"Debt Model"}</definedName>
    <definedName name="wrn.Full._.Report._3" hidden="1">{"Summary",#N/A,TRUE,"Debt Model";"Sensitivity",#N/A,TRUE,"Debt Model";"Valuation/Asset Cash Flow",#N/A,TRUE,"Debt Model";"Partnership Cash Flow",#N/A,TRUE,"Debt Model";"Equity Value/DCF",#N/A,TRUE,"Debt Model";"Debt Summary",#N/A,TRUE,"Debt Model";"Madison Cash Flow/FX",#N/A,TRUE,"Debt Model";"Promote 1 - Diez",#N/A,TRUE,"Debt Model";"Promote 2 - Diez",#N/A,TRUE,"Debt Model";"Promote 3 - Diez",#N/A,TRUE,"Debt Model"}</definedName>
    <definedName name="wrn.Full._.Year." localSheetId="0"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wrn.Full._.Year."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wrn.Full_Template." localSheetId="3"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 localSheetId="6"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 localSheetId="9"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 localSheetId="2"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 localSheetId="4"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 localSheetId="0"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ndus._.33._1" localSheetId="3" hidden="1">{"Summary",#N/A,TRUE,"Fond 33";"Sensitivity",#N/A,TRUE,"Fond 33";"Discount Metrics",#N/A,TRUE,"Fond 33";"Partnership Valuation Summary",#N/A,TRUE,"Fond 33";"Cash Flows",#N/A,TRUE,"Fond 33";"Partnership Net Cash Balance",#N/A,TRUE,"Fond 33";"Equity, DCF &amp; Yield",#N/A,TRUE,"Fond 33";"Partnership Distributions",#N/A,TRUE,"Fond 33";"Splits",#N/A,TRUE,"Fond 33";"MIR Distributions",#N/A,TRUE,"Fond 33";"Assumptions",#N/A,TRUE,"Fond 33"}</definedName>
    <definedName name="wrn.Fundus._.33._1" localSheetId="9" hidden="1">{"Summary",#N/A,TRUE,"Fond 33";"Sensitivity",#N/A,TRUE,"Fond 33";"Discount Metrics",#N/A,TRUE,"Fond 33";"Partnership Valuation Summary",#N/A,TRUE,"Fond 33";"Cash Flows",#N/A,TRUE,"Fond 33";"Partnership Net Cash Balance",#N/A,TRUE,"Fond 33";"Equity, DCF &amp; Yield",#N/A,TRUE,"Fond 33";"Partnership Distributions",#N/A,TRUE,"Fond 33";"Splits",#N/A,TRUE,"Fond 33";"MIR Distributions",#N/A,TRUE,"Fond 33";"Assumptions",#N/A,TRUE,"Fond 33"}</definedName>
    <definedName name="wrn.Fundus._.33._1" localSheetId="2" hidden="1">{"Summary",#N/A,TRUE,"Fond 33";"Sensitivity",#N/A,TRUE,"Fond 33";"Discount Metrics",#N/A,TRUE,"Fond 33";"Partnership Valuation Summary",#N/A,TRUE,"Fond 33";"Cash Flows",#N/A,TRUE,"Fond 33";"Partnership Net Cash Balance",#N/A,TRUE,"Fond 33";"Equity, DCF &amp; Yield",#N/A,TRUE,"Fond 33";"Partnership Distributions",#N/A,TRUE,"Fond 33";"Splits",#N/A,TRUE,"Fond 33";"MIR Distributions",#N/A,TRUE,"Fond 33";"Assumptions",#N/A,TRUE,"Fond 33"}</definedName>
    <definedName name="wrn.Fundus._.33._1" localSheetId="4" hidden="1">{"Summary",#N/A,TRUE,"Fond 33";"Sensitivity",#N/A,TRUE,"Fond 33";"Discount Metrics",#N/A,TRUE,"Fond 33";"Partnership Valuation Summary",#N/A,TRUE,"Fond 33";"Cash Flows",#N/A,TRUE,"Fond 33";"Partnership Net Cash Balance",#N/A,TRUE,"Fond 33";"Equity, DCF &amp; Yield",#N/A,TRUE,"Fond 33";"Partnership Distributions",#N/A,TRUE,"Fond 33";"Splits",#N/A,TRUE,"Fond 33";"MIR Distributions",#N/A,TRUE,"Fond 33";"Assumptions",#N/A,TRUE,"Fond 33"}</definedName>
    <definedName name="wrn.Fundus._.33._1" localSheetId="0" hidden="1">{"Summary",#N/A,TRUE,"Fond 33";"Sensitivity",#N/A,TRUE,"Fond 33";"Discount Metrics",#N/A,TRUE,"Fond 33";"Partnership Valuation Summary",#N/A,TRUE,"Fond 33";"Cash Flows",#N/A,TRUE,"Fond 33";"Partnership Net Cash Balance",#N/A,TRUE,"Fond 33";"Equity, DCF &amp; Yield",#N/A,TRUE,"Fond 33";"Partnership Distributions",#N/A,TRUE,"Fond 33";"Splits",#N/A,TRUE,"Fond 33";"MIR Distributions",#N/A,TRUE,"Fond 33";"Assumptions",#N/A,TRUE,"Fond 33"}</definedName>
    <definedName name="wrn.Fundus._.33._1" hidden="1">{"Summary",#N/A,TRUE,"Fond 33";"Sensitivity",#N/A,TRUE,"Fond 33";"Discount Metrics",#N/A,TRUE,"Fond 33";"Partnership Valuation Summary",#N/A,TRUE,"Fond 33";"Cash Flows",#N/A,TRUE,"Fond 33";"Partnership Net Cash Balance",#N/A,TRUE,"Fond 33";"Equity, DCF &amp; Yield",#N/A,TRUE,"Fond 33";"Partnership Distributions",#N/A,TRUE,"Fond 33";"Splits",#N/A,TRUE,"Fond 33";"MIR Distributions",#N/A,TRUE,"Fond 33";"Assumptions",#N/A,TRUE,"Fond 33"}</definedName>
    <definedName name="wrn.Fundus._.33._2" localSheetId="3" hidden="1">{"Summary",#N/A,TRUE,"Fond 33";"Sensitivity",#N/A,TRUE,"Fond 33";"Discount Metrics",#N/A,TRUE,"Fond 33";"Partnership Valuation Summary",#N/A,TRUE,"Fond 33";"Cash Flows",#N/A,TRUE,"Fond 33";"Partnership Net Cash Balance",#N/A,TRUE,"Fond 33";"Equity, DCF &amp; Yield",#N/A,TRUE,"Fond 33";"Partnership Distributions",#N/A,TRUE,"Fond 33";"Splits",#N/A,TRUE,"Fond 33";"MIR Distributions",#N/A,TRUE,"Fond 33";"Assumptions",#N/A,TRUE,"Fond 33"}</definedName>
    <definedName name="wrn.Fundus._.33._2" localSheetId="9" hidden="1">{"Summary",#N/A,TRUE,"Fond 33";"Sensitivity",#N/A,TRUE,"Fond 33";"Discount Metrics",#N/A,TRUE,"Fond 33";"Partnership Valuation Summary",#N/A,TRUE,"Fond 33";"Cash Flows",#N/A,TRUE,"Fond 33";"Partnership Net Cash Balance",#N/A,TRUE,"Fond 33";"Equity, DCF &amp; Yield",#N/A,TRUE,"Fond 33";"Partnership Distributions",#N/A,TRUE,"Fond 33";"Splits",#N/A,TRUE,"Fond 33";"MIR Distributions",#N/A,TRUE,"Fond 33";"Assumptions",#N/A,TRUE,"Fond 33"}</definedName>
    <definedName name="wrn.Fundus._.33._2" localSheetId="2" hidden="1">{"Summary",#N/A,TRUE,"Fond 33";"Sensitivity",#N/A,TRUE,"Fond 33";"Discount Metrics",#N/A,TRUE,"Fond 33";"Partnership Valuation Summary",#N/A,TRUE,"Fond 33";"Cash Flows",#N/A,TRUE,"Fond 33";"Partnership Net Cash Balance",#N/A,TRUE,"Fond 33";"Equity, DCF &amp; Yield",#N/A,TRUE,"Fond 33";"Partnership Distributions",#N/A,TRUE,"Fond 33";"Splits",#N/A,TRUE,"Fond 33";"MIR Distributions",#N/A,TRUE,"Fond 33";"Assumptions",#N/A,TRUE,"Fond 33"}</definedName>
    <definedName name="wrn.Fundus._.33._2" localSheetId="4" hidden="1">{"Summary",#N/A,TRUE,"Fond 33";"Sensitivity",#N/A,TRUE,"Fond 33";"Discount Metrics",#N/A,TRUE,"Fond 33";"Partnership Valuation Summary",#N/A,TRUE,"Fond 33";"Cash Flows",#N/A,TRUE,"Fond 33";"Partnership Net Cash Balance",#N/A,TRUE,"Fond 33";"Equity, DCF &amp; Yield",#N/A,TRUE,"Fond 33";"Partnership Distributions",#N/A,TRUE,"Fond 33";"Splits",#N/A,TRUE,"Fond 33";"MIR Distributions",#N/A,TRUE,"Fond 33";"Assumptions",#N/A,TRUE,"Fond 33"}</definedName>
    <definedName name="wrn.Fundus._.33._2" localSheetId="0" hidden="1">{"Summary",#N/A,TRUE,"Fond 33";"Sensitivity",#N/A,TRUE,"Fond 33";"Discount Metrics",#N/A,TRUE,"Fond 33";"Partnership Valuation Summary",#N/A,TRUE,"Fond 33";"Cash Flows",#N/A,TRUE,"Fond 33";"Partnership Net Cash Balance",#N/A,TRUE,"Fond 33";"Equity, DCF &amp; Yield",#N/A,TRUE,"Fond 33";"Partnership Distributions",#N/A,TRUE,"Fond 33";"Splits",#N/A,TRUE,"Fond 33";"MIR Distributions",#N/A,TRUE,"Fond 33";"Assumptions",#N/A,TRUE,"Fond 33"}</definedName>
    <definedName name="wrn.Fundus._.33._2" hidden="1">{"Summary",#N/A,TRUE,"Fond 33";"Sensitivity",#N/A,TRUE,"Fond 33";"Discount Metrics",#N/A,TRUE,"Fond 33";"Partnership Valuation Summary",#N/A,TRUE,"Fond 33";"Cash Flows",#N/A,TRUE,"Fond 33";"Partnership Net Cash Balance",#N/A,TRUE,"Fond 33";"Equity, DCF &amp; Yield",#N/A,TRUE,"Fond 33";"Partnership Distributions",#N/A,TRUE,"Fond 33";"Splits",#N/A,TRUE,"Fond 33";"MIR Distributions",#N/A,TRUE,"Fond 33";"Assumptions",#N/A,TRUE,"Fond 33"}</definedName>
    <definedName name="wrn.Fundus._.33._3" localSheetId="3" hidden="1">{"Summary",#N/A,TRUE,"Fond 33";"Sensitivity",#N/A,TRUE,"Fond 33";"Discount Metrics",#N/A,TRUE,"Fond 33";"Partnership Valuation Summary",#N/A,TRUE,"Fond 33";"Cash Flows",#N/A,TRUE,"Fond 33";"Partnership Net Cash Balance",#N/A,TRUE,"Fond 33";"Equity, DCF &amp; Yield",#N/A,TRUE,"Fond 33";"Partnership Distributions",#N/A,TRUE,"Fond 33";"Splits",#N/A,TRUE,"Fond 33";"MIR Distributions",#N/A,TRUE,"Fond 33";"Assumptions",#N/A,TRUE,"Fond 33"}</definedName>
    <definedName name="wrn.Fundus._.33._3" localSheetId="9" hidden="1">{"Summary",#N/A,TRUE,"Fond 33";"Sensitivity",#N/A,TRUE,"Fond 33";"Discount Metrics",#N/A,TRUE,"Fond 33";"Partnership Valuation Summary",#N/A,TRUE,"Fond 33";"Cash Flows",#N/A,TRUE,"Fond 33";"Partnership Net Cash Balance",#N/A,TRUE,"Fond 33";"Equity, DCF &amp; Yield",#N/A,TRUE,"Fond 33";"Partnership Distributions",#N/A,TRUE,"Fond 33";"Splits",#N/A,TRUE,"Fond 33";"MIR Distributions",#N/A,TRUE,"Fond 33";"Assumptions",#N/A,TRUE,"Fond 33"}</definedName>
    <definedName name="wrn.Fundus._.33._3" localSheetId="2" hidden="1">{"Summary",#N/A,TRUE,"Fond 33";"Sensitivity",#N/A,TRUE,"Fond 33";"Discount Metrics",#N/A,TRUE,"Fond 33";"Partnership Valuation Summary",#N/A,TRUE,"Fond 33";"Cash Flows",#N/A,TRUE,"Fond 33";"Partnership Net Cash Balance",#N/A,TRUE,"Fond 33";"Equity, DCF &amp; Yield",#N/A,TRUE,"Fond 33";"Partnership Distributions",#N/A,TRUE,"Fond 33";"Splits",#N/A,TRUE,"Fond 33";"MIR Distributions",#N/A,TRUE,"Fond 33";"Assumptions",#N/A,TRUE,"Fond 33"}</definedName>
    <definedName name="wrn.Fundus._.33._3" localSheetId="4" hidden="1">{"Summary",#N/A,TRUE,"Fond 33";"Sensitivity",#N/A,TRUE,"Fond 33";"Discount Metrics",#N/A,TRUE,"Fond 33";"Partnership Valuation Summary",#N/A,TRUE,"Fond 33";"Cash Flows",#N/A,TRUE,"Fond 33";"Partnership Net Cash Balance",#N/A,TRUE,"Fond 33";"Equity, DCF &amp; Yield",#N/A,TRUE,"Fond 33";"Partnership Distributions",#N/A,TRUE,"Fond 33";"Splits",#N/A,TRUE,"Fond 33";"MIR Distributions",#N/A,TRUE,"Fond 33";"Assumptions",#N/A,TRUE,"Fond 33"}</definedName>
    <definedName name="wrn.Fundus._.33._3" localSheetId="0" hidden="1">{"Summary",#N/A,TRUE,"Fond 33";"Sensitivity",#N/A,TRUE,"Fond 33";"Discount Metrics",#N/A,TRUE,"Fond 33";"Partnership Valuation Summary",#N/A,TRUE,"Fond 33";"Cash Flows",#N/A,TRUE,"Fond 33";"Partnership Net Cash Balance",#N/A,TRUE,"Fond 33";"Equity, DCF &amp; Yield",#N/A,TRUE,"Fond 33";"Partnership Distributions",#N/A,TRUE,"Fond 33";"Splits",#N/A,TRUE,"Fond 33";"MIR Distributions",#N/A,TRUE,"Fond 33";"Assumptions",#N/A,TRUE,"Fond 33"}</definedName>
    <definedName name="wrn.Fundus._.33._3" hidden="1">{"Summary",#N/A,TRUE,"Fond 33";"Sensitivity",#N/A,TRUE,"Fond 33";"Discount Metrics",#N/A,TRUE,"Fond 33";"Partnership Valuation Summary",#N/A,TRUE,"Fond 33";"Cash Flows",#N/A,TRUE,"Fond 33";"Partnership Net Cash Balance",#N/A,TRUE,"Fond 33";"Equity, DCF &amp; Yield",#N/A,TRUE,"Fond 33";"Partnership Distributions",#N/A,TRUE,"Fond 33";"Splits",#N/A,TRUE,"Fond 33";"MIR Distributions",#N/A,TRUE,"Fond 33";"Assumptions",#N/A,TRUE,"Fond 33"}</definedName>
    <definedName name="wrn.Golf._.Summary." localSheetId="3" hidden="1">{"View1",#N/A,FALSE,"Golf";"View2",#N/A,FALSE,"Golf";"View3",#N/A,FALSE,"Golf";"View4",#N/A,FALSE,"Golf";"View5",#N/A,FALSE,"Golf";"View6",#N/A,FALSE,"Golf";"View7",#N/A,FALSE,"Golf";"View8",#N/A,FALSE,"Golf";"View9",#N/A,FALSE,"Golf";"View10",#N/A,FALSE,"Golf";"View11",#N/A,FALSE,"Golf";"View12",#N/A,FALSE,"Golf"}</definedName>
    <definedName name="wrn.Golf._.Summary." localSheetId="6" hidden="1">{"View1",#N/A,FALSE,"Golf";"View2",#N/A,FALSE,"Golf";"View3",#N/A,FALSE,"Golf";"View4",#N/A,FALSE,"Golf";"View5",#N/A,FALSE,"Golf";"View6",#N/A,FALSE,"Golf";"View7",#N/A,FALSE,"Golf";"View8",#N/A,FALSE,"Golf";"View9",#N/A,FALSE,"Golf";"View10",#N/A,FALSE,"Golf";"View11",#N/A,FALSE,"Golf";"View12",#N/A,FALSE,"Golf"}</definedName>
    <definedName name="wrn.Golf._.Summary." localSheetId="9" hidden="1">{"View1",#N/A,FALSE,"Golf";"View2",#N/A,FALSE,"Golf";"View3",#N/A,FALSE,"Golf";"View4",#N/A,FALSE,"Golf";"View5",#N/A,FALSE,"Golf";"View6",#N/A,FALSE,"Golf";"View7",#N/A,FALSE,"Golf";"View8",#N/A,FALSE,"Golf";"View9",#N/A,FALSE,"Golf";"View10",#N/A,FALSE,"Golf";"View11",#N/A,FALSE,"Golf";"View12",#N/A,FALSE,"Golf"}</definedName>
    <definedName name="wrn.Golf._.Summary." localSheetId="2" hidden="1">{"View1",#N/A,FALSE,"Golf";"View2",#N/A,FALSE,"Golf";"View3",#N/A,FALSE,"Golf";"View4",#N/A,FALSE,"Golf";"View5",#N/A,FALSE,"Golf";"View6",#N/A,FALSE,"Golf";"View7",#N/A,FALSE,"Golf";"View8",#N/A,FALSE,"Golf";"View9",#N/A,FALSE,"Golf";"View10",#N/A,FALSE,"Golf";"View11",#N/A,FALSE,"Golf";"View12",#N/A,FALSE,"Golf"}</definedName>
    <definedName name="wrn.Golf._.Summary." localSheetId="4" hidden="1">{"View1",#N/A,FALSE,"Golf";"View2",#N/A,FALSE,"Golf";"View3",#N/A,FALSE,"Golf";"View4",#N/A,FALSE,"Golf";"View5",#N/A,FALSE,"Golf";"View6",#N/A,FALSE,"Golf";"View7",#N/A,FALSE,"Golf";"View8",#N/A,FALSE,"Golf";"View9",#N/A,FALSE,"Golf";"View10",#N/A,FALSE,"Golf";"View11",#N/A,FALSE,"Golf";"View12",#N/A,FALSE,"Golf"}</definedName>
    <definedName name="wrn.Golf._.Summary." localSheetId="0" hidden="1">{"View1",#N/A,FALSE,"Golf";"View2",#N/A,FALSE,"Golf";"View3",#N/A,FALSE,"Golf";"View4",#N/A,FALSE,"Golf";"View5",#N/A,FALSE,"Golf";"View6",#N/A,FALSE,"Golf";"View7",#N/A,FALSE,"Golf";"View8",#N/A,FALSE,"Golf";"View9",#N/A,FALSE,"Golf";"View10",#N/A,FALSE,"Golf";"View11",#N/A,FALSE,"Golf";"View12",#N/A,FALSE,"Golf"}</definedName>
    <definedName name="wrn.Golf._.Summary." hidden="1">{"View1",#N/A,FALSE,"Golf";"View2",#N/A,FALSE,"Golf";"View3",#N/A,FALSE,"Golf";"View4",#N/A,FALSE,"Golf";"View5",#N/A,FALSE,"Golf";"View6",#N/A,FALSE,"Golf";"View7",#N/A,FALSE,"Golf";"View8",#N/A,FALSE,"Golf";"View9",#N/A,FALSE,"Golf";"View10",#N/A,FALSE,"Golf";"View11",#N/A,FALSE,"Golf";"View12",#N/A,FALSE,"Golf"}</definedName>
    <definedName name="wrn.GRAPHS." localSheetId="3" hidden="1">{#N/A,#N/A,FALSE,"ACQ_GRAPHS";#N/A,#N/A,FALSE,"T_1 GRAPHS";#N/A,#N/A,FALSE,"T_2 GRAPHS";#N/A,#N/A,FALSE,"COMB_GRAPHS"}</definedName>
    <definedName name="wrn.GRAPHS." localSheetId="9" hidden="1">{#N/A,#N/A,FALSE,"ACQ_GRAPHS";#N/A,#N/A,FALSE,"T_1 GRAPHS";#N/A,#N/A,FALSE,"T_2 GRAPHS";#N/A,#N/A,FALSE,"COMB_GRAPHS"}</definedName>
    <definedName name="wrn.GRAPHS." localSheetId="2" hidden="1">{#N/A,#N/A,FALSE,"ACQ_GRAPHS";#N/A,#N/A,FALSE,"T_1 GRAPHS";#N/A,#N/A,FALSE,"T_2 GRAPHS";#N/A,#N/A,FALSE,"COMB_GRAPHS"}</definedName>
    <definedName name="wrn.GRAPHS." localSheetId="4" hidden="1">{#N/A,#N/A,FALSE,"ACQ_GRAPHS";#N/A,#N/A,FALSE,"T_1 GRAPHS";#N/A,#N/A,FALSE,"T_2 GRAPHS";#N/A,#N/A,FALSE,"COMB_GRAPHS"}</definedName>
    <definedName name="wrn.GRAPHS." localSheetId="0" hidden="1">{#N/A,#N/A,FALSE,"ACQ_GRAPHS";#N/A,#N/A,FALSE,"T_1 GRAPHS";#N/A,#N/A,FALSE,"T_2 GRAPHS";#N/A,#N/A,FALSE,"COMB_GRAPHS"}</definedName>
    <definedName name="wrn.GRAPHS." hidden="1">{#N/A,#N/A,FALSE,"ACQ_GRAPHS";#N/A,#N/A,FALSE,"T_1 GRAPHS";#N/A,#N/A,FALSE,"T_2 GRAPHS";#N/A,#N/A,FALSE,"COMB_GRAPHS"}</definedName>
    <definedName name="wrn.GSA._.PRINT." localSheetId="3" hidden="1">{#N/A,#N/A,FALSE,"DEV COSTS";#N/A,#N/A,FALSE,"10-YR C. F."}</definedName>
    <definedName name="wrn.GSA._.PRINT." localSheetId="6" hidden="1">{#N/A,#N/A,FALSE,"DEV COSTS";#N/A,#N/A,FALSE,"10-YR C. F."}</definedName>
    <definedName name="wrn.GSA._.PRINT." localSheetId="9" hidden="1">{#N/A,#N/A,FALSE,"DEV COSTS";#N/A,#N/A,FALSE,"10-YR C. F."}</definedName>
    <definedName name="wrn.GSA._.PRINT." localSheetId="2" hidden="1">{#N/A,#N/A,FALSE,"DEV COSTS";#N/A,#N/A,FALSE,"10-YR C. F."}</definedName>
    <definedName name="wrn.GSA._.PRINT." localSheetId="4" hidden="1">{#N/A,#N/A,FALSE,"DEV COSTS";#N/A,#N/A,FALSE,"10-YR C. F."}</definedName>
    <definedName name="wrn.GSA._.PRINT." localSheetId="0" hidden="1">{#N/A,#N/A,FALSE,"DEV COSTS";#N/A,#N/A,FALSE,"10-YR C. F."}</definedName>
    <definedName name="wrn.GSA._.PRINT." hidden="1">{#N/A,#N/A,FALSE,"DEV COSTS";#N/A,#N/A,FALSE,"10-YR C. F."}</definedName>
    <definedName name="wrn.Hightower." localSheetId="0" hidden="1">{"Hightower-Investor",#N/A,FALSE,"Hightower";"Hightower-Property",#N/A,FALSE,"Hightower"}</definedName>
    <definedName name="wrn.Hightower." hidden="1">{"Hightower-Investor",#N/A,FALSE,"Hightower";"Hightower-Property",#N/A,FALSE,"Hightower"}</definedName>
    <definedName name="wrn.Historical._.Analysis." localSheetId="3" hidden="1">{#N/A,#N/A,FALSE,"HISTORICAL REV &amp; EXP"}</definedName>
    <definedName name="wrn.Historical._.Analysis." localSheetId="6" hidden="1">{#N/A,#N/A,FALSE,"HISTORICAL REV &amp; EXP"}</definedName>
    <definedName name="wrn.Historical._.Analysis." localSheetId="9" hidden="1">{#N/A,#N/A,FALSE,"HISTORICAL REV &amp; EXP"}</definedName>
    <definedName name="wrn.Historical._.Analysis." localSheetId="2" hidden="1">{#N/A,#N/A,FALSE,"HISTORICAL REV &amp; EXP"}</definedName>
    <definedName name="wrn.Historical._.Analysis." localSheetId="4" hidden="1">{#N/A,#N/A,FALSE,"HISTORICAL REV &amp; EXP"}</definedName>
    <definedName name="wrn.Historical._.Analysis." localSheetId="0" hidden="1">{#N/A,#N/A,FALSE,"HISTORICAL REV &amp; EXP"}</definedName>
    <definedName name="wrn.Historical._.Analysis." hidden="1">{#N/A,#N/A,FALSE,"HISTORICAL REV &amp; EXP"}</definedName>
    <definedName name="wrn.Hold._.Sell." localSheetId="3" hidden="1">{#N/A,#N/A,FALSE,"13Residual 2007";#N/A,#N/A,FALSE,"14Residual 2008";#N/A,#N/A,FALSE,"15Residual 2009";#N/A,#N/A,FALSE,"16Residual 2010";#N/A,#N/A,FALSE,"17Residual 2011";#N/A,#N/A,FALSE,"18Hold Disposition Matrix";#N/A,#N/A,FALSE,"19Other Disposition Matrix"}</definedName>
    <definedName name="wrn.Hold._.Sell." localSheetId="6" hidden="1">{#N/A,#N/A,FALSE,"13Residual 2007";#N/A,#N/A,FALSE,"14Residual 2008";#N/A,#N/A,FALSE,"15Residual 2009";#N/A,#N/A,FALSE,"16Residual 2010";#N/A,#N/A,FALSE,"17Residual 2011";#N/A,#N/A,FALSE,"18Hold Disposition Matrix";#N/A,#N/A,FALSE,"19Other Disposition Matrix"}</definedName>
    <definedName name="wrn.Hold._.Sell." localSheetId="9" hidden="1">{#N/A,#N/A,FALSE,"13Residual 2007";#N/A,#N/A,FALSE,"14Residual 2008";#N/A,#N/A,FALSE,"15Residual 2009";#N/A,#N/A,FALSE,"16Residual 2010";#N/A,#N/A,FALSE,"17Residual 2011";#N/A,#N/A,FALSE,"18Hold Disposition Matrix";#N/A,#N/A,FALSE,"19Other Disposition Matrix"}</definedName>
    <definedName name="wrn.Hold._.Sell." localSheetId="2" hidden="1">{#N/A,#N/A,FALSE,"13Residual 2007";#N/A,#N/A,FALSE,"14Residual 2008";#N/A,#N/A,FALSE,"15Residual 2009";#N/A,#N/A,FALSE,"16Residual 2010";#N/A,#N/A,FALSE,"17Residual 2011";#N/A,#N/A,FALSE,"18Hold Disposition Matrix";#N/A,#N/A,FALSE,"19Other Disposition Matrix"}</definedName>
    <definedName name="wrn.Hold._.Sell." localSheetId="4" hidden="1">{#N/A,#N/A,FALSE,"13Residual 2007";#N/A,#N/A,FALSE,"14Residual 2008";#N/A,#N/A,FALSE,"15Residual 2009";#N/A,#N/A,FALSE,"16Residual 2010";#N/A,#N/A,FALSE,"17Residual 2011";#N/A,#N/A,FALSE,"18Hold Disposition Matrix";#N/A,#N/A,FALSE,"19Other Disposition Matrix"}</definedName>
    <definedName name="wrn.Hold._.Sell." localSheetId="0" hidden="1">{#N/A,#N/A,FALSE,"13Residual 2007";#N/A,#N/A,FALSE,"14Residual 2008";#N/A,#N/A,FALSE,"15Residual 2009";#N/A,#N/A,FALSE,"16Residual 2010";#N/A,#N/A,FALSE,"17Residual 2011";#N/A,#N/A,FALSE,"18Hold Disposition Matrix";#N/A,#N/A,FALSE,"19Other Disposition Matrix"}</definedName>
    <definedName name="wrn.Hold._.Sell." hidden="1">{#N/A,#N/A,FALSE,"13Residual 2007";#N/A,#N/A,FALSE,"14Residual 2008";#N/A,#N/A,FALSE,"15Residual 2009";#N/A,#N/A,FALSE,"16Residual 2010";#N/A,#N/A,FALSE,"17Residual 2011";#N/A,#N/A,FALSE,"18Hold Disposition Matrix";#N/A,#N/A,FALSE,"19Other Disposition Matrix"}</definedName>
    <definedName name="wrn.Hotel._.and._.Conf._.Center._.Owner._.Returns." localSheetId="3" hidden="1">{#N/A,#N/A,FALSE,"Combined Returns";#N/A,#N/A,FALSE,"Tax Returns";#N/A,#N/A,FALSE,"Cash Returns"}</definedName>
    <definedName name="wrn.Hotel._.and._.Conf._.Center._.Owner._.Returns." localSheetId="6" hidden="1">{#N/A,#N/A,FALSE,"Combined Returns";#N/A,#N/A,FALSE,"Tax Returns";#N/A,#N/A,FALSE,"Cash Returns"}</definedName>
    <definedName name="wrn.Hotel._.and._.Conf._.Center._.Owner._.Returns." localSheetId="9" hidden="1">{#N/A,#N/A,FALSE,"Combined Returns";#N/A,#N/A,FALSE,"Tax Returns";#N/A,#N/A,FALSE,"Cash Returns"}</definedName>
    <definedName name="wrn.Hotel._.and._.Conf._.Center._.Owner._.Returns." localSheetId="2" hidden="1">{#N/A,#N/A,FALSE,"Combined Returns";#N/A,#N/A,FALSE,"Tax Returns";#N/A,#N/A,FALSE,"Cash Returns"}</definedName>
    <definedName name="wrn.Hotel._.and._.Conf._.Center._.Owner._.Returns." localSheetId="4" hidden="1">{#N/A,#N/A,FALSE,"Combined Returns";#N/A,#N/A,FALSE,"Tax Returns";#N/A,#N/A,FALSE,"Cash Returns"}</definedName>
    <definedName name="wrn.Hotel._.and._.Conf._.Center._.Owner._.Returns." localSheetId="0" hidden="1">{#N/A,#N/A,FALSE,"Combined Returns";#N/A,#N/A,FALSE,"Tax Returns";#N/A,#N/A,FALSE,"Cash Returns"}</definedName>
    <definedName name="wrn.Hotel._.and._.Conf._.Center._.Owner._.Returns." hidden="1">{#N/A,#N/A,FALSE,"Combined Returns";#N/A,#N/A,FALSE,"Tax Returns";#N/A,#N/A,FALSE,"Cash Returns"}</definedName>
    <definedName name="wrn.Hotel._.Financials." localSheetId="3" hidden="1">{#N/A,#N/A,FALSE,"Pro Forma";#N/A,#N/A,FALSE,"Project Summary";#N/A,#N/A,FALSE,"Detail Estimate";#N/A,#N/A,FALSE,"Cashflow Schedule"}</definedName>
    <definedName name="wrn.Hotel._.Financials." localSheetId="6" hidden="1">{#N/A,#N/A,FALSE,"Pro Forma";#N/A,#N/A,FALSE,"Project Summary";#N/A,#N/A,FALSE,"Detail Estimate";#N/A,#N/A,FALSE,"Cashflow Schedule"}</definedName>
    <definedName name="wrn.Hotel._.Financials." localSheetId="9" hidden="1">{#N/A,#N/A,FALSE,"Pro Forma";#N/A,#N/A,FALSE,"Project Summary";#N/A,#N/A,FALSE,"Detail Estimate";#N/A,#N/A,FALSE,"Cashflow Schedule"}</definedName>
    <definedName name="wrn.Hotel._.Financials." localSheetId="2" hidden="1">{#N/A,#N/A,FALSE,"Pro Forma";#N/A,#N/A,FALSE,"Project Summary";#N/A,#N/A,FALSE,"Detail Estimate";#N/A,#N/A,FALSE,"Cashflow Schedule"}</definedName>
    <definedName name="wrn.Hotel._.Financials." localSheetId="4" hidden="1">{#N/A,#N/A,FALSE,"Pro Forma";#N/A,#N/A,FALSE,"Project Summary";#N/A,#N/A,FALSE,"Detail Estimate";#N/A,#N/A,FALSE,"Cashflow Schedule"}</definedName>
    <definedName name="wrn.Hotel._.Financials." localSheetId="0" hidden="1">{#N/A,#N/A,FALSE,"Pro Forma";#N/A,#N/A,FALSE,"Project Summary";#N/A,#N/A,FALSE,"Detail Estimate";#N/A,#N/A,FALSE,"Cashflow Schedule"}</definedName>
    <definedName name="wrn.Hotel._.Financials." hidden="1">{#N/A,#N/A,FALSE,"Pro Forma";#N/A,#N/A,FALSE,"Project Summary";#N/A,#N/A,FALSE,"Detail Estimate";#N/A,#N/A,FALSE,"Cashflow Schedule"}</definedName>
    <definedName name="wrn.III." localSheetId="0" hidden="1">{"CASHFLOW",#N/A,FALSE,"Northpointe"}</definedName>
    <definedName name="wrn.III." hidden="1">{"CASHFLOW",#N/A,FALSE,"Northpointe"}</definedName>
    <definedName name="wrn.Income._.Statements." localSheetId="3"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 localSheetId="9"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 localSheetId="2"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 localSheetId="4"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 localSheetId="0"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dex." localSheetId="3" hidden="1">{#N/A,#N/A,FALSE,"INDEX"}</definedName>
    <definedName name="wrn.Index." localSheetId="6" hidden="1">{#N/A,#N/A,FALSE,"INDEX"}</definedName>
    <definedName name="wrn.Index." localSheetId="9" hidden="1">{#N/A,#N/A,FALSE,"INDEX"}</definedName>
    <definedName name="wrn.Index." localSheetId="2" hidden="1">{#N/A,#N/A,FALSE,"INDEX"}</definedName>
    <definedName name="wrn.Index." localSheetId="4" hidden="1">{#N/A,#N/A,FALSE,"INDEX"}</definedName>
    <definedName name="wrn.Index." localSheetId="0" hidden="1">{#N/A,#N/A,FALSE,"INDEX"}</definedName>
    <definedName name="wrn.Index." hidden="1">{#N/A,#N/A,FALSE,"INDEX"}</definedName>
    <definedName name="wrn.INPUT." localSheetId="0" hidden="1">{"input",#N/A,FALSE,"RATE"}</definedName>
    <definedName name="wrn.INPUT." hidden="1">{"input",#N/A,FALSE,"RATE"}</definedName>
    <definedName name="wrn.Inputs." localSheetId="3" hidden="1">{"Inputs",#N/A,FALSE,"Inputs"}</definedName>
    <definedName name="wrn.Inputs." localSheetId="6" hidden="1">{"Inflation-BaseYear",#N/A,FALSE,"Inputs"}</definedName>
    <definedName name="wrn.Inputs." localSheetId="9" hidden="1">{"Inputs",#N/A,FALSE,"Inputs"}</definedName>
    <definedName name="wrn.Inputs." localSheetId="2" hidden="1">{"Inputs",#N/A,FALSE,"Inputs"}</definedName>
    <definedName name="wrn.Inputs." localSheetId="4" hidden="1">{"Inputs",#N/A,FALSE,"Inputs"}</definedName>
    <definedName name="wrn.Inputs." localSheetId="0" hidden="1">{"Inflation-BaseYear",#N/A,FALSE,"Inputs"}</definedName>
    <definedName name="wrn.Inputs." hidden="1">{"Inflation-BaseYear",#N/A,FALSE,"Inputs"}</definedName>
    <definedName name="wrn.Internal._.Detail." localSheetId="0" hidden="1">{"IntDetail",#N/A,FALSE,"Reports";"IntSummary",#N/A,FALSE,"Reports"}</definedName>
    <definedName name="wrn.Internal._.Detail." hidden="1">{"IntDetail",#N/A,FALSE,"Reports";"IntSummary",#N/A,FALSE,"Reports"}</definedName>
    <definedName name="wrn.Investment._.Review." localSheetId="3" hidden="1">{#N/A,#N/A,FALSE,"Proforma Five Yr";#N/A,#N/A,FALSE,"Capital Input";#N/A,#N/A,FALSE,"Calculations";#N/A,#N/A,FALSE,"Transaction Summary-DTW"}</definedName>
    <definedName name="wrn.Investment._.Review." localSheetId="6" hidden="1">{#N/A,#N/A,FALSE,"Proforma Five Yr";#N/A,#N/A,FALSE,"Capital Input";#N/A,#N/A,FALSE,"Calculations";#N/A,#N/A,FALSE,"Transaction Summary-DTW"}</definedName>
    <definedName name="wrn.Investment._.Review." localSheetId="9" hidden="1">{#N/A,#N/A,FALSE,"Proforma Five Yr";#N/A,#N/A,FALSE,"Capital Input";#N/A,#N/A,FALSE,"Calculations";#N/A,#N/A,FALSE,"Transaction Summary-DTW"}</definedName>
    <definedName name="wrn.Investment._.Review." localSheetId="2" hidden="1">{#N/A,#N/A,FALSE,"Proforma Five Yr";#N/A,#N/A,FALSE,"Capital Input";#N/A,#N/A,FALSE,"Calculations";#N/A,#N/A,FALSE,"Transaction Summary-DTW"}</definedName>
    <definedName name="wrn.Investment._.Review." localSheetId="4" hidden="1">{#N/A,#N/A,FALSE,"Proforma Five Yr";#N/A,#N/A,FALSE,"Capital Input";#N/A,#N/A,FALSE,"Calculations";#N/A,#N/A,FALSE,"Transaction Summary-DTW"}</definedName>
    <definedName name="wrn.Investment._.Review." localSheetId="0" hidden="1">{#N/A,#N/A,FALSE,"Proforma Five Yr";#N/A,#N/A,FALSE,"Capital Input";#N/A,#N/A,FALSE,"Calculations";#N/A,#N/A,FALSE,"Transaction Summary-DTW"}</definedName>
    <definedName name="wrn.Investment._.Review." hidden="1">{#N/A,#N/A,FALSE,"Proforma Five Yr";#N/A,#N/A,FALSE,"Capital Input";#N/A,#N/A,FALSE,"Calculations";#N/A,#N/A,FALSE,"Transaction Summary-DTW"}</definedName>
    <definedName name="wrn.Investment._.Summary._.Golf._.Suites." localSheetId="3" hidden="1">{"Preferred Equity IRR",#N/A,FALSE,"PROFORMA";"GP Cash Flow and IRR",#N/A,FALSE,"PROFORMA"}</definedName>
    <definedName name="wrn.Investment._.Summary._.Golf._.Suites." localSheetId="6" hidden="1">{"Preferred Equity IRR",#N/A,FALSE,"PROFORMA";"GP Cash Flow and IRR",#N/A,FALSE,"PROFORMA"}</definedName>
    <definedName name="wrn.Investment._.Summary._.Golf._.Suites." localSheetId="9" hidden="1">{"Preferred Equity IRR",#N/A,FALSE,"PROFORMA";"GP Cash Flow and IRR",#N/A,FALSE,"PROFORMA"}</definedName>
    <definedName name="wrn.Investment._.Summary._.Golf._.Suites." localSheetId="2" hidden="1">{"Preferred Equity IRR",#N/A,FALSE,"PROFORMA";"GP Cash Flow and IRR",#N/A,FALSE,"PROFORMA"}</definedName>
    <definedName name="wrn.Investment._.Summary._.Golf._.Suites." localSheetId="4" hidden="1">{"Preferred Equity IRR",#N/A,FALSE,"PROFORMA";"GP Cash Flow and IRR",#N/A,FALSE,"PROFORMA"}</definedName>
    <definedName name="wrn.Investment._.Summary._.Golf._.Suites." localSheetId="0" hidden="1">{"Preferred Equity IRR",#N/A,FALSE,"PROFORMA";"GP Cash Flow and IRR",#N/A,FALSE,"PROFORMA"}</definedName>
    <definedName name="wrn.Investment._.Summary._.Golf._.Suites." hidden="1">{"Preferred Equity IRR",#N/A,FALSE,"PROFORMA";"GP Cash Flow and IRR",#N/A,FALSE,"PROFORMA"}</definedName>
    <definedName name="wrn.IP._.STOCK._.REPORT." localSheetId="0" hidden="1">{#N/A,#N/A,FALSE,"IPCOVER";#N/A,#N/A,FALSE,"STATEMENT";#N/A,#N/A,FALSE,"MARGIN";#N/A,#N/A,FALSE,"GNS &amp; LSS";#N/A,#N/A,FALSE,"IPREALGL";#N/A,#N/A,FALSE,"SHRTACCT"}</definedName>
    <definedName name="wrn.IP._.STOCK._.REPORT." hidden="1">{#N/A,#N/A,FALSE,"IPCOVER";#N/A,#N/A,FALSE,"STATEMENT";#N/A,#N/A,FALSE,"MARGIN";#N/A,#N/A,FALSE,"GNS &amp; LSS";#N/A,#N/A,FALSE,"IPREALGL";#N/A,#N/A,FALSE,"SHRTACCT"}</definedName>
    <definedName name="wrn.jan._.98." localSheetId="3" hidden="1">{"sheet a",#N/A,FALSE,"A";"sheet b 1",#N/A,FALSE,"B";"sheet b 2",#N/A,FALSE,"B"}</definedName>
    <definedName name="wrn.jan._.98." localSheetId="6" hidden="1">{"sheet a",#N/A,FALSE,"A";"sheet b 1",#N/A,FALSE,"B";"sheet b 2",#N/A,FALSE,"B"}</definedName>
    <definedName name="wrn.jan._.98." localSheetId="9" hidden="1">{"sheet a",#N/A,FALSE,"A";"sheet b 1",#N/A,FALSE,"B";"sheet b 2",#N/A,FALSE,"B"}</definedName>
    <definedName name="wrn.jan._.98." localSheetId="2" hidden="1">{"sheet a",#N/A,FALSE,"A";"sheet b 1",#N/A,FALSE,"B";"sheet b 2",#N/A,FALSE,"B"}</definedName>
    <definedName name="wrn.jan._.98." localSheetId="4" hidden="1">{"sheet a",#N/A,FALSE,"A";"sheet b 1",#N/A,FALSE,"B";"sheet b 2",#N/A,FALSE,"B"}</definedName>
    <definedName name="wrn.jan._.98." localSheetId="0" hidden="1">{"sheet a",#N/A,FALSE,"A";"sheet b 1",#N/A,FALSE,"B";"sheet b 2",#N/A,FALSE,"B"}</definedName>
    <definedName name="wrn.jan._.98." hidden="1">{"sheet a",#N/A,FALSE,"A";"sheet b 1",#N/A,FALSE,"B";"sheet b 2",#N/A,FALSE,"B"}</definedName>
    <definedName name="wrn.Köln._.Model._1" localSheetId="3" hidden="1">{"Summary",#N/A,TRUE,"Model";"Discount Metrics",#N/A,TRUE,"Model";"Partnership Valuation Summary",#N/A,TRUE,"Model";"Sensitivity",#N/A,TRUE,"Model";"Cash Flows",#N/A,TRUE,"Model";"Partnership Equity Value",#N/A,TRUE,"Model";"Equity/DCF/Yield",#N/A,TRUE,"Model";"Distributions/Interest Leverage",#N/A,TRUE,"Model";"Splits",#N/A,TRUE,"Model";"Assumptions",#N/A,TRUE,"Model"}</definedName>
    <definedName name="wrn.Köln._.Model._1" localSheetId="9" hidden="1">{"Summary",#N/A,TRUE,"Model";"Discount Metrics",#N/A,TRUE,"Model";"Partnership Valuation Summary",#N/A,TRUE,"Model";"Sensitivity",#N/A,TRUE,"Model";"Cash Flows",#N/A,TRUE,"Model";"Partnership Equity Value",#N/A,TRUE,"Model";"Equity/DCF/Yield",#N/A,TRUE,"Model";"Distributions/Interest Leverage",#N/A,TRUE,"Model";"Splits",#N/A,TRUE,"Model";"Assumptions",#N/A,TRUE,"Model"}</definedName>
    <definedName name="wrn.Köln._.Model._1" localSheetId="2" hidden="1">{"Summary",#N/A,TRUE,"Model";"Discount Metrics",#N/A,TRUE,"Model";"Partnership Valuation Summary",#N/A,TRUE,"Model";"Sensitivity",#N/A,TRUE,"Model";"Cash Flows",#N/A,TRUE,"Model";"Partnership Equity Value",#N/A,TRUE,"Model";"Equity/DCF/Yield",#N/A,TRUE,"Model";"Distributions/Interest Leverage",#N/A,TRUE,"Model";"Splits",#N/A,TRUE,"Model";"Assumptions",#N/A,TRUE,"Model"}</definedName>
    <definedName name="wrn.Köln._.Model._1" localSheetId="4" hidden="1">{"Summary",#N/A,TRUE,"Model";"Discount Metrics",#N/A,TRUE,"Model";"Partnership Valuation Summary",#N/A,TRUE,"Model";"Sensitivity",#N/A,TRUE,"Model";"Cash Flows",#N/A,TRUE,"Model";"Partnership Equity Value",#N/A,TRUE,"Model";"Equity/DCF/Yield",#N/A,TRUE,"Model";"Distributions/Interest Leverage",#N/A,TRUE,"Model";"Splits",#N/A,TRUE,"Model";"Assumptions",#N/A,TRUE,"Model"}</definedName>
    <definedName name="wrn.Köln._.Model._1" localSheetId="0" hidden="1">{"Summary",#N/A,TRUE,"Model";"Discount Metrics",#N/A,TRUE,"Model";"Partnership Valuation Summary",#N/A,TRUE,"Model";"Sensitivity",#N/A,TRUE,"Model";"Cash Flows",#N/A,TRUE,"Model";"Partnership Equity Value",#N/A,TRUE,"Model";"Equity/DCF/Yield",#N/A,TRUE,"Model";"Distributions/Interest Leverage",#N/A,TRUE,"Model";"Splits",#N/A,TRUE,"Model";"Assumptions",#N/A,TRUE,"Model"}</definedName>
    <definedName name="wrn.Köln._.Model._1" hidden="1">{"Summary",#N/A,TRUE,"Model";"Discount Metrics",#N/A,TRUE,"Model";"Partnership Valuation Summary",#N/A,TRUE,"Model";"Sensitivity",#N/A,TRUE,"Model";"Cash Flows",#N/A,TRUE,"Model";"Partnership Equity Value",#N/A,TRUE,"Model";"Equity/DCF/Yield",#N/A,TRUE,"Model";"Distributions/Interest Leverage",#N/A,TRUE,"Model";"Splits",#N/A,TRUE,"Model";"Assumptions",#N/A,TRUE,"Model"}</definedName>
    <definedName name="wrn.Köln._.Model._2" localSheetId="3" hidden="1">{"Summary",#N/A,TRUE,"Model";"Discount Metrics",#N/A,TRUE,"Model";"Partnership Valuation Summary",#N/A,TRUE,"Model";"Sensitivity",#N/A,TRUE,"Model";"Cash Flows",#N/A,TRUE,"Model";"Partnership Equity Value",#N/A,TRUE,"Model";"Equity/DCF/Yield",#N/A,TRUE,"Model";"Distributions/Interest Leverage",#N/A,TRUE,"Model";"Splits",#N/A,TRUE,"Model";"Assumptions",#N/A,TRUE,"Model"}</definedName>
    <definedName name="wrn.Köln._.Model._2" localSheetId="9" hidden="1">{"Summary",#N/A,TRUE,"Model";"Discount Metrics",#N/A,TRUE,"Model";"Partnership Valuation Summary",#N/A,TRUE,"Model";"Sensitivity",#N/A,TRUE,"Model";"Cash Flows",#N/A,TRUE,"Model";"Partnership Equity Value",#N/A,TRUE,"Model";"Equity/DCF/Yield",#N/A,TRUE,"Model";"Distributions/Interest Leverage",#N/A,TRUE,"Model";"Splits",#N/A,TRUE,"Model";"Assumptions",#N/A,TRUE,"Model"}</definedName>
    <definedName name="wrn.Köln._.Model._2" localSheetId="2" hidden="1">{"Summary",#N/A,TRUE,"Model";"Discount Metrics",#N/A,TRUE,"Model";"Partnership Valuation Summary",#N/A,TRUE,"Model";"Sensitivity",#N/A,TRUE,"Model";"Cash Flows",#N/A,TRUE,"Model";"Partnership Equity Value",#N/A,TRUE,"Model";"Equity/DCF/Yield",#N/A,TRUE,"Model";"Distributions/Interest Leverage",#N/A,TRUE,"Model";"Splits",#N/A,TRUE,"Model";"Assumptions",#N/A,TRUE,"Model"}</definedName>
    <definedName name="wrn.Köln._.Model._2" localSheetId="4" hidden="1">{"Summary",#N/A,TRUE,"Model";"Discount Metrics",#N/A,TRUE,"Model";"Partnership Valuation Summary",#N/A,TRUE,"Model";"Sensitivity",#N/A,TRUE,"Model";"Cash Flows",#N/A,TRUE,"Model";"Partnership Equity Value",#N/A,TRUE,"Model";"Equity/DCF/Yield",#N/A,TRUE,"Model";"Distributions/Interest Leverage",#N/A,TRUE,"Model";"Splits",#N/A,TRUE,"Model";"Assumptions",#N/A,TRUE,"Model"}</definedName>
    <definedName name="wrn.Köln._.Model._2" localSheetId="0" hidden="1">{"Summary",#N/A,TRUE,"Model";"Discount Metrics",#N/A,TRUE,"Model";"Partnership Valuation Summary",#N/A,TRUE,"Model";"Sensitivity",#N/A,TRUE,"Model";"Cash Flows",#N/A,TRUE,"Model";"Partnership Equity Value",#N/A,TRUE,"Model";"Equity/DCF/Yield",#N/A,TRUE,"Model";"Distributions/Interest Leverage",#N/A,TRUE,"Model";"Splits",#N/A,TRUE,"Model";"Assumptions",#N/A,TRUE,"Model"}</definedName>
    <definedName name="wrn.Köln._.Model._2" hidden="1">{"Summary",#N/A,TRUE,"Model";"Discount Metrics",#N/A,TRUE,"Model";"Partnership Valuation Summary",#N/A,TRUE,"Model";"Sensitivity",#N/A,TRUE,"Model";"Cash Flows",#N/A,TRUE,"Model";"Partnership Equity Value",#N/A,TRUE,"Model";"Equity/DCF/Yield",#N/A,TRUE,"Model";"Distributions/Interest Leverage",#N/A,TRUE,"Model";"Splits",#N/A,TRUE,"Model";"Assumptions",#N/A,TRUE,"Model"}</definedName>
    <definedName name="wrn.Köln._.Model._3" localSheetId="3" hidden="1">{"Summary",#N/A,TRUE,"Model";"Discount Metrics",#N/A,TRUE,"Model";"Partnership Valuation Summary",#N/A,TRUE,"Model";"Sensitivity",#N/A,TRUE,"Model";"Cash Flows",#N/A,TRUE,"Model";"Partnership Equity Value",#N/A,TRUE,"Model";"Equity/DCF/Yield",#N/A,TRUE,"Model";"Distributions/Interest Leverage",#N/A,TRUE,"Model";"Splits",#N/A,TRUE,"Model";"Assumptions",#N/A,TRUE,"Model"}</definedName>
    <definedName name="wrn.Köln._.Model._3" localSheetId="9" hidden="1">{"Summary",#N/A,TRUE,"Model";"Discount Metrics",#N/A,TRUE,"Model";"Partnership Valuation Summary",#N/A,TRUE,"Model";"Sensitivity",#N/A,TRUE,"Model";"Cash Flows",#N/A,TRUE,"Model";"Partnership Equity Value",#N/A,TRUE,"Model";"Equity/DCF/Yield",#N/A,TRUE,"Model";"Distributions/Interest Leverage",#N/A,TRUE,"Model";"Splits",#N/A,TRUE,"Model";"Assumptions",#N/A,TRUE,"Model"}</definedName>
    <definedName name="wrn.Köln._.Model._3" localSheetId="2" hidden="1">{"Summary",#N/A,TRUE,"Model";"Discount Metrics",#N/A,TRUE,"Model";"Partnership Valuation Summary",#N/A,TRUE,"Model";"Sensitivity",#N/A,TRUE,"Model";"Cash Flows",#N/A,TRUE,"Model";"Partnership Equity Value",#N/A,TRUE,"Model";"Equity/DCF/Yield",#N/A,TRUE,"Model";"Distributions/Interest Leverage",#N/A,TRUE,"Model";"Splits",#N/A,TRUE,"Model";"Assumptions",#N/A,TRUE,"Model"}</definedName>
    <definedName name="wrn.Köln._.Model._3" localSheetId="4" hidden="1">{"Summary",#N/A,TRUE,"Model";"Discount Metrics",#N/A,TRUE,"Model";"Partnership Valuation Summary",#N/A,TRUE,"Model";"Sensitivity",#N/A,TRUE,"Model";"Cash Flows",#N/A,TRUE,"Model";"Partnership Equity Value",#N/A,TRUE,"Model";"Equity/DCF/Yield",#N/A,TRUE,"Model";"Distributions/Interest Leverage",#N/A,TRUE,"Model";"Splits",#N/A,TRUE,"Model";"Assumptions",#N/A,TRUE,"Model"}</definedName>
    <definedName name="wrn.Köln._.Model._3" localSheetId="0" hidden="1">{"Summary",#N/A,TRUE,"Model";"Discount Metrics",#N/A,TRUE,"Model";"Partnership Valuation Summary",#N/A,TRUE,"Model";"Sensitivity",#N/A,TRUE,"Model";"Cash Flows",#N/A,TRUE,"Model";"Partnership Equity Value",#N/A,TRUE,"Model";"Equity/DCF/Yield",#N/A,TRUE,"Model";"Distributions/Interest Leverage",#N/A,TRUE,"Model";"Splits",#N/A,TRUE,"Model";"Assumptions",#N/A,TRUE,"Model"}</definedName>
    <definedName name="wrn.Köln._.Model._3" hidden="1">{"Summary",#N/A,TRUE,"Model";"Discount Metrics",#N/A,TRUE,"Model";"Partnership Valuation Summary",#N/A,TRUE,"Model";"Sensitivity",#N/A,TRUE,"Model";"Cash Flows",#N/A,TRUE,"Model";"Partnership Equity Value",#N/A,TRUE,"Model";"Equity/DCF/Yield",#N/A,TRUE,"Model";"Distributions/Interest Leverage",#N/A,TRUE,"Model";"Splits",#N/A,TRUE,"Model";"Assumptions",#N/A,TRUE,"Model"}</definedName>
    <definedName name="wrn.Land._.Takedown._.Summary." localSheetId="3" hidden="1">{"land1",#N/A,FALSE,"Land";"land2",#N/A,FALSE,"Land";"land3",#N/A,FALSE,"Land"}</definedName>
    <definedName name="wrn.Land._.Takedown._.Summary." localSheetId="6" hidden="1">{"land1",#N/A,FALSE,"Land";"land2",#N/A,FALSE,"Land";"land3",#N/A,FALSE,"Land"}</definedName>
    <definedName name="wrn.Land._.Takedown._.Summary." localSheetId="9" hidden="1">{"land1",#N/A,FALSE,"Land";"land2",#N/A,FALSE,"Land";"land3",#N/A,FALSE,"Land"}</definedName>
    <definedName name="wrn.Land._.Takedown._.Summary." localSheetId="2" hidden="1">{"land1",#N/A,FALSE,"Land";"land2",#N/A,FALSE,"Land";"land3",#N/A,FALSE,"Land"}</definedName>
    <definedName name="wrn.Land._.Takedown._.Summary." localSheetId="4" hidden="1">{"land1",#N/A,FALSE,"Land";"land2",#N/A,FALSE,"Land";"land3",#N/A,FALSE,"Land"}</definedName>
    <definedName name="wrn.Land._.Takedown._.Summary." localSheetId="0" hidden="1">{"land1",#N/A,FALSE,"Land";"land2",#N/A,FALSE,"Land";"land3",#N/A,FALSE,"Land"}</definedName>
    <definedName name="wrn.Land._.Takedown._.Summary." hidden="1">{"land1",#N/A,FALSE,"Land";"land2",#N/A,FALSE,"Land";"land3",#N/A,FALSE,"Land"}</definedName>
    <definedName name="wrn.Latent._.Demand._.Inputs." localSheetId="3" hidden="1">{#N/A,#N/A,FALSE,"Latent"}</definedName>
    <definedName name="wrn.Latent._.Demand._.Inputs." localSheetId="6" hidden="1">{#N/A,#N/A,FALSE,"Latent"}</definedName>
    <definedName name="wrn.Latent._.Demand._.Inputs." localSheetId="9" hidden="1">{#N/A,#N/A,FALSE,"Latent"}</definedName>
    <definedName name="wrn.Latent._.Demand._.Inputs." localSheetId="2" hidden="1">{#N/A,#N/A,FALSE,"Latent"}</definedName>
    <definedName name="wrn.Latent._.Demand._.Inputs." localSheetId="4" hidden="1">{#N/A,#N/A,FALSE,"Latent"}</definedName>
    <definedName name="wrn.Latent._.Demand._.Inputs." localSheetId="0" hidden="1">{#N/A,#N/A,FALSE,"Latent"}</definedName>
    <definedName name="wrn.Latent._.Demand._.Inputs." hidden="1">{#N/A,#N/A,FALSE,"Latent"}</definedName>
    <definedName name="wrn.Lease._.Rpts." localSheetId="0" hidden="1">{"Lease1",#N/A,FALSE,"Lease";"Lease2",#N/A,FALSE,"Lease";"Lease3",#N/A,FALSE,"Lease";"Dev Costs",#N/A,FALSE,"Development"}</definedName>
    <definedName name="wrn.Lease._.Rpts." hidden="1">{"Lease1",#N/A,FALSE,"Lease";"Lease2",#N/A,FALSE,"Lease";"Lease3",#N/A,FALSE,"Lease";"Dev Costs",#N/A,FALSE,"Development"}</definedName>
    <definedName name="wrn.Leases." localSheetId="3" hidden="1">{#N/A,#N/A,FALSE,"Leases"}</definedName>
    <definedName name="wrn.Leases." localSheetId="6" hidden="1">{#N/A,#N/A,FALSE,"Leases"}</definedName>
    <definedName name="wrn.Leases." localSheetId="9" hidden="1">{#N/A,#N/A,FALSE,"Leases"}</definedName>
    <definedName name="wrn.Leases." localSheetId="2" hidden="1">{#N/A,#N/A,FALSE,"Leases"}</definedName>
    <definedName name="wrn.Leases." localSheetId="4" hidden="1">{#N/A,#N/A,FALSE,"Leases"}</definedName>
    <definedName name="wrn.Leases." localSheetId="0" hidden="1">{#N/A,#N/A,FALSE,"Leases"}</definedName>
    <definedName name="wrn.Leases." hidden="1">{#N/A,#N/A,FALSE,"Leases"}</definedName>
    <definedName name="wrn.Leasing._.Variance." localSheetId="3" hidden="1">{#N/A,#N/A,FALSE,"Leasing 6A"}</definedName>
    <definedName name="wrn.Leasing._.Variance." localSheetId="6" hidden="1">{#N/A,#N/A,FALSE,"Leasing 6A"}</definedName>
    <definedName name="wrn.Leasing._.Variance." localSheetId="9" hidden="1">{#N/A,#N/A,FALSE,"Leasing 6A"}</definedName>
    <definedName name="wrn.Leasing._.Variance." localSheetId="2" hidden="1">{#N/A,#N/A,FALSE,"Leasing 6A"}</definedName>
    <definedName name="wrn.Leasing._.Variance." localSheetId="4" hidden="1">{#N/A,#N/A,FALSE,"Leasing 6A"}</definedName>
    <definedName name="wrn.Leasing._.Variance." localSheetId="0" hidden="1">{#N/A,#N/A,FALSE,"Leasing 6A"}</definedName>
    <definedName name="wrn.Leasing._.Variance." hidden="1">{#N/A,#N/A,FALSE,"Leasing 6A"}</definedName>
    <definedName name="wrn.Lichtin._.Summary._1" localSheetId="3" hidden="1">{"Summary for Lichtin",#N/A,FALSE,"Value Summary"}</definedName>
    <definedName name="wrn.Lichtin._.Summary._1" localSheetId="9" hidden="1">{"Summary for Lichtin",#N/A,FALSE,"Value Summary"}</definedName>
    <definedName name="wrn.Lichtin._.Summary._1" localSheetId="2" hidden="1">{"Summary for Lichtin",#N/A,FALSE,"Value Summary"}</definedName>
    <definedName name="wrn.Lichtin._.Summary._1" localSheetId="4" hidden="1">{"Summary for Lichtin",#N/A,FALSE,"Value Summary"}</definedName>
    <definedName name="wrn.Lichtin._.Summary._1" localSheetId="0" hidden="1">{"Summary for Lichtin",#N/A,FALSE,"Value Summary"}</definedName>
    <definedName name="wrn.Lichtin._.Summary._1" hidden="1">{"Summary for Lichtin",#N/A,FALSE,"Value Summary"}</definedName>
    <definedName name="wrn.Lichtin._.Summary._2" localSheetId="3" hidden="1">{"Summary for Lichtin",#N/A,FALSE,"Value Summary"}</definedName>
    <definedName name="wrn.Lichtin._.Summary._2" localSheetId="9" hidden="1">{"Summary for Lichtin",#N/A,FALSE,"Value Summary"}</definedName>
    <definedName name="wrn.Lichtin._.Summary._2" localSheetId="2" hidden="1">{"Summary for Lichtin",#N/A,FALSE,"Value Summary"}</definedName>
    <definedName name="wrn.Lichtin._.Summary._2" localSheetId="4" hidden="1">{"Summary for Lichtin",#N/A,FALSE,"Value Summary"}</definedName>
    <definedName name="wrn.Lichtin._.Summary._2" localSheetId="0" hidden="1">{"Summary for Lichtin",#N/A,FALSE,"Value Summary"}</definedName>
    <definedName name="wrn.Lichtin._.Summary._2" hidden="1">{"Summary for Lichtin",#N/A,FALSE,"Value Summary"}</definedName>
    <definedName name="wrn.Lichtin._.Summary._3" localSheetId="3" hidden="1">{"Summary for Lichtin",#N/A,FALSE,"Value Summary"}</definedName>
    <definedName name="wrn.Lichtin._.Summary._3" localSheetId="9" hidden="1">{"Summary for Lichtin",#N/A,FALSE,"Value Summary"}</definedName>
    <definedName name="wrn.Lichtin._.Summary._3" localSheetId="2" hidden="1">{"Summary for Lichtin",#N/A,FALSE,"Value Summary"}</definedName>
    <definedName name="wrn.Lichtin._.Summary._3" localSheetId="4" hidden="1">{"Summary for Lichtin",#N/A,FALSE,"Value Summary"}</definedName>
    <definedName name="wrn.Lichtin._.Summary._3" localSheetId="0" hidden="1">{"Summary for Lichtin",#N/A,FALSE,"Value Summary"}</definedName>
    <definedName name="wrn.Lichtin._.Summary._3" hidden="1">{"Summary for Lichtin",#N/A,FALSE,"Value Summary"}</definedName>
    <definedName name="wrn.Loan._.Pricing._.Analysis." localSheetId="3" hidden="1">{#N/A,#N/A,FALSE,"LOAN ANALYSIS"}</definedName>
    <definedName name="wrn.Loan._.Pricing._.Analysis." localSheetId="6" hidden="1">{#N/A,#N/A,FALSE,"LOAN ANALYSIS"}</definedName>
    <definedName name="wrn.Loan._.Pricing._.Analysis." localSheetId="9" hidden="1">{#N/A,#N/A,FALSE,"LOAN ANALYSIS"}</definedName>
    <definedName name="wrn.Loan._.Pricing._.Analysis." localSheetId="2" hidden="1">{#N/A,#N/A,FALSE,"LOAN ANALYSIS"}</definedName>
    <definedName name="wrn.Loan._.Pricing._.Analysis." localSheetId="4" hidden="1">{#N/A,#N/A,FALSE,"LOAN ANALYSIS"}</definedName>
    <definedName name="wrn.Loan._.Pricing._.Analysis." localSheetId="0" hidden="1">{#N/A,#N/A,FALSE,"LOAN ANALYSIS"}</definedName>
    <definedName name="wrn.Loan._.Pricing._.Analysis." hidden="1">{#N/A,#N/A,FALSE,"LOAN ANALYSIS"}</definedName>
    <definedName name="wrn.LoanInformation." localSheetId="3" hidden="1">{#N/A,#N/A,FALSE,"LoanAssumptions"}</definedName>
    <definedName name="wrn.LoanInformation." localSheetId="6" hidden="1">{#N/A,#N/A,FALSE,"LoanAssumptions"}</definedName>
    <definedName name="wrn.LoanInformation." localSheetId="9" hidden="1">{#N/A,#N/A,FALSE,"LoanAssumptions"}</definedName>
    <definedName name="wrn.LoanInformation." localSheetId="2" hidden="1">{#N/A,#N/A,FALSE,"LoanAssumptions"}</definedName>
    <definedName name="wrn.LoanInformation." localSheetId="4" hidden="1">{#N/A,#N/A,FALSE,"LoanAssumptions"}</definedName>
    <definedName name="wrn.LoanInformation." localSheetId="0" hidden="1">{#N/A,#N/A,FALSE,"LoanAssumptions"}</definedName>
    <definedName name="wrn.LoanInformation." hidden="1">{#N/A,#N/A,FALSE,"LoanAssumptions"}</definedName>
    <definedName name="wrn.Lot._.Inventory." localSheetId="3" hidden="1">{"lot inventory",#N/A,FALSE,"Lot List"}</definedName>
    <definedName name="wrn.Lot._.Inventory." localSheetId="6" hidden="1">{"lot inventory",#N/A,FALSE,"Lot List"}</definedName>
    <definedName name="wrn.Lot._.Inventory." localSheetId="9" hidden="1">{"lot inventory",#N/A,FALSE,"Lot List"}</definedName>
    <definedName name="wrn.Lot._.Inventory." localSheetId="2" hidden="1">{"lot inventory",#N/A,FALSE,"Lot List"}</definedName>
    <definedName name="wrn.Lot._.Inventory." localSheetId="4" hidden="1">{"lot inventory",#N/A,FALSE,"Lot List"}</definedName>
    <definedName name="wrn.Lot._.Inventory." localSheetId="0" hidden="1">{"lot inventory",#N/A,FALSE,"Lot List"}</definedName>
    <definedName name="wrn.Lot._.Inventory." hidden="1">{"lot inventory",#N/A,FALSE,"Lot List"}</definedName>
    <definedName name="wrn.Lot._.Summary." localSheetId="3" hidden="1">{"Lot Prices",#N/A,FALSE,"LOTS-PRICING";"lot1",#N/A,FALSE,"Lots";"lot2",#N/A,FALSE,"Lots";"Lot3",#N/A,FALSE,"Lots";"lot4",#N/A,FALSE,"Lots";"lot5",#N/A,FALSE,"Lots";"lot6",#N/A,FALSE,"Lots";"lot7",#N/A,FALSE,"Lots";"lot8",#N/A,FALSE,"Lots";"lot9",#N/A,FALSE,"Lots";"lot10",#N/A,FALSE,"Lots";"lot11",#N/A,FALSE,"Lots";"lot12",#N/A,FALSE,"Lots"}</definedName>
    <definedName name="wrn.Lot._.Summary." localSheetId="6" hidden="1">{"Lot Prices",#N/A,FALSE,"LOTS-PRICING";"lot1",#N/A,FALSE,"Lots";"lot2",#N/A,FALSE,"Lots";"Lot3",#N/A,FALSE,"Lots";"lot4",#N/A,FALSE,"Lots";"lot5",#N/A,FALSE,"Lots";"lot6",#N/A,FALSE,"Lots";"lot7",#N/A,FALSE,"Lots";"lot8",#N/A,FALSE,"Lots";"lot9",#N/A,FALSE,"Lots";"lot10",#N/A,FALSE,"Lots";"lot11",#N/A,FALSE,"Lots";"lot12",#N/A,FALSE,"Lots"}</definedName>
    <definedName name="wrn.Lot._.Summary." localSheetId="9" hidden="1">{"Lot Prices",#N/A,FALSE,"LOTS-PRICING";"lot1",#N/A,FALSE,"Lots";"lot2",#N/A,FALSE,"Lots";"Lot3",#N/A,FALSE,"Lots";"lot4",#N/A,FALSE,"Lots";"lot5",#N/A,FALSE,"Lots";"lot6",#N/A,FALSE,"Lots";"lot7",#N/A,FALSE,"Lots";"lot8",#N/A,FALSE,"Lots";"lot9",#N/A,FALSE,"Lots";"lot10",#N/A,FALSE,"Lots";"lot11",#N/A,FALSE,"Lots";"lot12",#N/A,FALSE,"Lots"}</definedName>
    <definedName name="wrn.Lot._.Summary." localSheetId="2" hidden="1">{"Lot Prices",#N/A,FALSE,"LOTS-PRICING";"lot1",#N/A,FALSE,"Lots";"lot2",#N/A,FALSE,"Lots";"Lot3",#N/A,FALSE,"Lots";"lot4",#N/A,FALSE,"Lots";"lot5",#N/A,FALSE,"Lots";"lot6",#N/A,FALSE,"Lots";"lot7",#N/A,FALSE,"Lots";"lot8",#N/A,FALSE,"Lots";"lot9",#N/A,FALSE,"Lots";"lot10",#N/A,FALSE,"Lots";"lot11",#N/A,FALSE,"Lots";"lot12",#N/A,FALSE,"Lots"}</definedName>
    <definedName name="wrn.Lot._.Summary." localSheetId="4" hidden="1">{"Lot Prices",#N/A,FALSE,"LOTS-PRICING";"lot1",#N/A,FALSE,"Lots";"lot2",#N/A,FALSE,"Lots";"Lot3",#N/A,FALSE,"Lots";"lot4",#N/A,FALSE,"Lots";"lot5",#N/A,FALSE,"Lots";"lot6",#N/A,FALSE,"Lots";"lot7",#N/A,FALSE,"Lots";"lot8",#N/A,FALSE,"Lots";"lot9",#N/A,FALSE,"Lots";"lot10",#N/A,FALSE,"Lots";"lot11",#N/A,FALSE,"Lots";"lot12",#N/A,FALSE,"Lots"}</definedName>
    <definedName name="wrn.Lot._.Summary." localSheetId="0" hidden="1">{"Lot Prices",#N/A,FALSE,"LOTS-PRICING";"lot1",#N/A,FALSE,"Lots";"lot2",#N/A,FALSE,"Lots";"Lot3",#N/A,FALSE,"Lots";"lot4",#N/A,FALSE,"Lots";"lot5",#N/A,FALSE,"Lots";"lot6",#N/A,FALSE,"Lots";"lot7",#N/A,FALSE,"Lots";"lot8",#N/A,FALSE,"Lots";"lot9",#N/A,FALSE,"Lots";"lot10",#N/A,FALSE,"Lots";"lot11",#N/A,FALSE,"Lots";"lot12",#N/A,FALSE,"Lots"}</definedName>
    <definedName name="wrn.Lot._.Summary." hidden="1">{"Lot Prices",#N/A,FALSE,"LOTS-PRICING";"lot1",#N/A,FALSE,"Lots";"lot2",#N/A,FALSE,"Lots";"Lot3",#N/A,FALSE,"Lots";"lot4",#N/A,FALSE,"Lots";"lot5",#N/A,FALSE,"Lots";"lot6",#N/A,FALSE,"Lots";"lot7",#N/A,FALSE,"Lots";"lot8",#N/A,FALSE,"Lots";"lot9",#N/A,FALSE,"Lots";"lot10",#N/A,FALSE,"Lots";"lot11",#N/A,FALSE,"Lots";"lot12",#N/A,FALSE,"Lots"}</definedName>
    <definedName name="wrn.Lower._.Tier._.Analysis." localSheetId="3" hidden="1">{#N/A,#N/A,FALSE,"Summary";#N/A,#N/A,FALSE,"Sources and Uses";#N/A,#N/A,FALSE,"Qualified Basis";#N/A,#N/A,FALSE,"Rent and Unit Mix";#N/A,#N/A,FALSE,"Stabilized";#N/A,#N/A,FALSE,"Proforma Operations";#N/A,#N/A,FALSE,"Lease-Up";#N/A,#N/A,FALSE,"Tax Credit Analysis";#N/A,#N/A,FALSE,"Buyer's IRR";#N/A,#N/A,FALSE,"EP&amp;TCS";#N/A,#N/A,FALSE,"Min. Gain Calc."}</definedName>
    <definedName name="wrn.Lower._.Tier._.Analysis." localSheetId="9" hidden="1">{#N/A,#N/A,FALSE,"Summary";#N/A,#N/A,FALSE,"Sources and Uses";#N/A,#N/A,FALSE,"Qualified Basis";#N/A,#N/A,FALSE,"Rent and Unit Mix";#N/A,#N/A,FALSE,"Stabilized";#N/A,#N/A,FALSE,"Proforma Operations";#N/A,#N/A,FALSE,"Lease-Up";#N/A,#N/A,FALSE,"Tax Credit Analysis";#N/A,#N/A,FALSE,"Buyer's IRR";#N/A,#N/A,FALSE,"EP&amp;TCS";#N/A,#N/A,FALSE,"Min. Gain Calc."}</definedName>
    <definedName name="wrn.Lower._.Tier._.Analysis." localSheetId="2" hidden="1">{#N/A,#N/A,FALSE,"Summary";#N/A,#N/A,FALSE,"Sources and Uses";#N/A,#N/A,FALSE,"Qualified Basis";#N/A,#N/A,FALSE,"Rent and Unit Mix";#N/A,#N/A,FALSE,"Stabilized";#N/A,#N/A,FALSE,"Proforma Operations";#N/A,#N/A,FALSE,"Lease-Up";#N/A,#N/A,FALSE,"Tax Credit Analysis";#N/A,#N/A,FALSE,"Buyer's IRR";#N/A,#N/A,FALSE,"EP&amp;TCS";#N/A,#N/A,FALSE,"Min. Gain Calc."}</definedName>
    <definedName name="wrn.Lower._.Tier._.Analysis." localSheetId="4" hidden="1">{#N/A,#N/A,FALSE,"Summary";#N/A,#N/A,FALSE,"Sources and Uses";#N/A,#N/A,FALSE,"Qualified Basis";#N/A,#N/A,FALSE,"Rent and Unit Mix";#N/A,#N/A,FALSE,"Stabilized";#N/A,#N/A,FALSE,"Proforma Operations";#N/A,#N/A,FALSE,"Lease-Up";#N/A,#N/A,FALSE,"Tax Credit Analysis";#N/A,#N/A,FALSE,"Buyer's IRR";#N/A,#N/A,FALSE,"EP&amp;TCS";#N/A,#N/A,FALSE,"Min. Gain Calc."}</definedName>
    <definedName name="wrn.Lower._.Tier._.Analysis." localSheetId="0" hidden="1">{#N/A,#N/A,FALSE,"Summary";#N/A,#N/A,FALSE,"Sources and Uses";#N/A,#N/A,FALSE,"Qualified Basis";#N/A,#N/A,FALSE,"Rent and Unit Mix";#N/A,#N/A,FALSE,"Stabilized";#N/A,#N/A,FALSE,"Proforma Operations";#N/A,#N/A,FALSE,"Lease-Up";#N/A,#N/A,FALSE,"Tax Credit Analysis";#N/A,#N/A,FALSE,"Buyer's IRR";#N/A,#N/A,FALSE,"EP&amp;TCS";#N/A,#N/A,FALSE,"Min. Gain Calc."}</definedName>
    <definedName name="wrn.Lower._.Tier._.Analysis." hidden="1">{#N/A,#N/A,FALSE,"Summary";#N/A,#N/A,FALSE,"Sources and Uses";#N/A,#N/A,FALSE,"Qualified Basis";#N/A,#N/A,FALSE,"Rent and Unit Mix";#N/A,#N/A,FALSE,"Stabilized";#N/A,#N/A,FALSE,"Proforma Operations";#N/A,#N/A,FALSE,"Lease-Up";#N/A,#N/A,FALSE,"Tax Credit Analysis";#N/A,#N/A,FALSE,"Buyer's IRR";#N/A,#N/A,FALSE,"EP&amp;TCS";#N/A,#N/A,FALSE,"Min. Gain Calc."}</definedName>
    <definedName name="wrn.LTV._.Output." localSheetId="3" hidden="1">{"LTV Output",#N/A,FALSE,"Output"}</definedName>
    <definedName name="wrn.LTV._.Output." localSheetId="6" hidden="1">{"LTV Output",#N/A,FALSE,"Output"}</definedName>
    <definedName name="wrn.LTV._.Output." localSheetId="9" hidden="1">{"LTV Output",#N/A,FALSE,"Output"}</definedName>
    <definedName name="wrn.LTV._.Output." localSheetId="2" hidden="1">{"LTV Output",#N/A,FALSE,"Output"}</definedName>
    <definedName name="wrn.LTV._.Output." localSheetId="4" hidden="1">{"LTV Output",#N/A,FALSE,"Output"}</definedName>
    <definedName name="wrn.LTV._.Output." localSheetId="0" hidden="1">{"LTV Output",#N/A,FALSE,"Output"}</definedName>
    <definedName name="wrn.LTV._.Output." hidden="1">{"LTV Output",#N/A,FALSE,"Output"}</definedName>
    <definedName name="wrn.market." localSheetId="0" hidden="1">{#N/A,#N/A,FALSE,"SUBMKT";#N/A,#N/A,FALSE,"MARKET";#N/A,#N/A,FALSE,"VACANCY";#N/A,#N/A,FALSE,"ABSORB";#N/A,#N/A,FALSE,"SUBLEASE";#N/A,#N/A,FALSE,"CONSTRCT"}</definedName>
    <definedName name="wrn.market." hidden="1">{#N/A,#N/A,FALSE,"SUBMKT";#N/A,#N/A,FALSE,"MARKET";#N/A,#N/A,FALSE,"VACANCY";#N/A,#N/A,FALSE,"ABSORB";#N/A,#N/A,FALSE,"SUBLEASE";#N/A,#N/A,FALSE,"CONSTRCT"}</definedName>
    <definedName name="wrn.Market._.Values." localSheetId="3" hidden="1">{#N/A,#N/A,TRUE,"10 Yr Hold";#N/A,#N/A,TRUE,"7 Yr Hold";#N/A,#N/A,TRUE,"5 Yr Hold";#N/A,#N/A,TRUE,"3 Yr Hold"}</definedName>
    <definedName name="wrn.Market._.Values." localSheetId="6" hidden="1">{#N/A,#N/A,TRUE,"10 Yr Hold";#N/A,#N/A,TRUE,"7 Yr Hold";#N/A,#N/A,TRUE,"5 Yr Hold";#N/A,#N/A,TRUE,"3 Yr Hold"}</definedName>
    <definedName name="wrn.Market._.Values." localSheetId="9" hidden="1">{#N/A,#N/A,TRUE,"10 Yr Hold";#N/A,#N/A,TRUE,"7 Yr Hold";#N/A,#N/A,TRUE,"5 Yr Hold";#N/A,#N/A,TRUE,"3 Yr Hold"}</definedName>
    <definedName name="wrn.Market._.Values." localSheetId="2" hidden="1">{#N/A,#N/A,TRUE,"10 Yr Hold";#N/A,#N/A,TRUE,"7 Yr Hold";#N/A,#N/A,TRUE,"5 Yr Hold";#N/A,#N/A,TRUE,"3 Yr Hold"}</definedName>
    <definedName name="wrn.Market._.Values." localSheetId="4" hidden="1">{#N/A,#N/A,TRUE,"10 Yr Hold";#N/A,#N/A,TRUE,"7 Yr Hold";#N/A,#N/A,TRUE,"5 Yr Hold";#N/A,#N/A,TRUE,"3 Yr Hold"}</definedName>
    <definedName name="wrn.Market._.Values." localSheetId="0" hidden="1">{#N/A,#N/A,TRUE,"10 Yr Hold";#N/A,#N/A,TRUE,"7 Yr Hold";#N/A,#N/A,TRUE,"5 Yr Hold";#N/A,#N/A,TRUE,"3 Yr Hold"}</definedName>
    <definedName name="wrn.Market._.Values." hidden="1">{#N/A,#N/A,TRUE,"10 Yr Hold";#N/A,#N/A,TRUE,"7 Yr Hold";#N/A,#N/A,TRUE,"5 Yr Hold";#N/A,#N/A,TRUE,"3 Yr Hold"}</definedName>
    <definedName name="wrn.Marketing." localSheetId="3" hidden="1">{#N/A,#N/A,FALSE,"2Assumptions";#N/A,#N/A,FALSE,"3Cash Flow";#N/A,#N/A,FALSE,"I&amp;E";#N/A,#N/A,FALSE,"I&amp;E (2)";#N/A,#N/A,FALSE,"10Vacancy Matrix";#N/A,#N/A,FALSE,"11Expiration Schedule"}</definedName>
    <definedName name="wrn.Marketing." localSheetId="6" hidden="1">{#N/A,#N/A,FALSE,"2Assumptions";#N/A,#N/A,FALSE,"3Cash Flow";#N/A,#N/A,FALSE,"I&amp;E";#N/A,#N/A,FALSE,"I&amp;E (2)";#N/A,#N/A,FALSE,"10Vacancy Matrix";#N/A,#N/A,FALSE,"11Expiration Schedule"}</definedName>
    <definedName name="wrn.Marketing." localSheetId="9" hidden="1">{#N/A,#N/A,FALSE,"2Assumptions";#N/A,#N/A,FALSE,"3Cash Flow";#N/A,#N/A,FALSE,"I&amp;E";#N/A,#N/A,FALSE,"I&amp;E (2)";#N/A,#N/A,FALSE,"10Vacancy Matrix";#N/A,#N/A,FALSE,"11Expiration Schedule"}</definedName>
    <definedName name="wrn.Marketing." localSheetId="2" hidden="1">{#N/A,#N/A,FALSE,"2Assumptions";#N/A,#N/A,FALSE,"3Cash Flow";#N/A,#N/A,FALSE,"I&amp;E";#N/A,#N/A,FALSE,"I&amp;E (2)";#N/A,#N/A,FALSE,"10Vacancy Matrix";#N/A,#N/A,FALSE,"11Expiration Schedule"}</definedName>
    <definedName name="wrn.Marketing." localSheetId="4" hidden="1">{#N/A,#N/A,FALSE,"2Assumptions";#N/A,#N/A,FALSE,"3Cash Flow";#N/A,#N/A,FALSE,"I&amp;E";#N/A,#N/A,FALSE,"I&amp;E (2)";#N/A,#N/A,FALSE,"10Vacancy Matrix";#N/A,#N/A,FALSE,"11Expiration Schedule"}</definedName>
    <definedName name="wrn.Marketing." localSheetId="0" hidden="1">{#N/A,#N/A,FALSE,"2Assumptions";#N/A,#N/A,FALSE,"3Cash Flow";#N/A,#N/A,FALSE,"I&amp;E";#N/A,#N/A,FALSE,"I&amp;E (2)";#N/A,#N/A,FALSE,"10Vacancy Matrix";#N/A,#N/A,FALSE,"11Expiration Schedule"}</definedName>
    <definedName name="wrn.Marketing." hidden="1">{#N/A,#N/A,FALSE,"2Assumptions";#N/A,#N/A,FALSE,"3Cash Flow";#N/A,#N/A,FALSE,"I&amp;E";#N/A,#N/A,FALSE,"I&amp;E (2)";#N/A,#N/A,FALSE,"10Vacancy Matrix";#N/A,#N/A,FALSE,"11Expiration Schedule"}</definedName>
    <definedName name="wrn.Master._.Developer._.Cash._.Flow." localSheetId="3" hidden="1">{#N/A,#N/A,FALSE,"Assumptions";#N/A,#N/A,FALSE,"Master Dev P&amp;L"}</definedName>
    <definedName name="wrn.Master._.Developer._.Cash._.Flow." localSheetId="6" hidden="1">{#N/A,#N/A,FALSE,"Assumptions";#N/A,#N/A,FALSE,"Master Dev P&amp;L"}</definedName>
    <definedName name="wrn.Master._.Developer._.Cash._.Flow." localSheetId="9" hidden="1">{#N/A,#N/A,FALSE,"Assumptions";#N/A,#N/A,FALSE,"Master Dev P&amp;L"}</definedName>
    <definedName name="wrn.Master._.Developer._.Cash._.Flow." localSheetId="2" hidden="1">{#N/A,#N/A,FALSE,"Assumptions";#N/A,#N/A,FALSE,"Master Dev P&amp;L"}</definedName>
    <definedName name="wrn.Master._.Developer._.Cash._.Flow." localSheetId="4" hidden="1">{#N/A,#N/A,FALSE,"Assumptions";#N/A,#N/A,FALSE,"Master Dev P&amp;L"}</definedName>
    <definedName name="wrn.Master._.Developer._.Cash._.Flow." localSheetId="0" hidden="1">{#N/A,#N/A,FALSE,"Assumptions";#N/A,#N/A,FALSE,"Master Dev P&amp;L"}</definedName>
    <definedName name="wrn.Master._.Developer._.Cash._.Flow." hidden="1">{#N/A,#N/A,FALSE,"Assumptions";#N/A,#N/A,FALSE,"Master Dev P&amp;L"}</definedName>
    <definedName name="wrn.MATRICES._.and._.CFs." localSheetId="3" hidden="1">{#N/A,#N/A,FALSE,"Assumptions";#N/A,#N/A,FALSE,"Consol CF";#N/A,#N/A,FALSE,"matx B4 DS";#N/A,#N/A,FALSE,"Hacienda CF";#N/A,#N/A,FALSE,"matx B4 DS Hac";#N/A,#N/A,FALSE,"Chabot CF";#N/A,#N/A,FALSE,"matx B4 DS Chabot";#N/A,#N/A,FALSE,"Diablo CF";#N/A,#N/A,FALSE,"matx B4 DS Diablo"}</definedName>
    <definedName name="wrn.MATRICES._.and._.CFs." localSheetId="9" hidden="1">{#N/A,#N/A,FALSE,"Assumptions";#N/A,#N/A,FALSE,"Consol CF";#N/A,#N/A,FALSE,"matx B4 DS";#N/A,#N/A,FALSE,"Hacienda CF";#N/A,#N/A,FALSE,"matx B4 DS Hac";#N/A,#N/A,FALSE,"Chabot CF";#N/A,#N/A,FALSE,"matx B4 DS Chabot";#N/A,#N/A,FALSE,"Diablo CF";#N/A,#N/A,FALSE,"matx B4 DS Diablo"}</definedName>
    <definedName name="wrn.MATRICES._.and._.CFs." localSheetId="2" hidden="1">{#N/A,#N/A,FALSE,"Assumptions";#N/A,#N/A,FALSE,"Consol CF";#N/A,#N/A,FALSE,"matx B4 DS";#N/A,#N/A,FALSE,"Hacienda CF";#N/A,#N/A,FALSE,"matx B4 DS Hac";#N/A,#N/A,FALSE,"Chabot CF";#N/A,#N/A,FALSE,"matx B4 DS Chabot";#N/A,#N/A,FALSE,"Diablo CF";#N/A,#N/A,FALSE,"matx B4 DS Diablo"}</definedName>
    <definedName name="wrn.MATRICES._.and._.CFs." localSheetId="4" hidden="1">{#N/A,#N/A,FALSE,"Assumptions";#N/A,#N/A,FALSE,"Consol CF";#N/A,#N/A,FALSE,"matx B4 DS";#N/A,#N/A,FALSE,"Hacienda CF";#N/A,#N/A,FALSE,"matx B4 DS Hac";#N/A,#N/A,FALSE,"Chabot CF";#N/A,#N/A,FALSE,"matx B4 DS Chabot";#N/A,#N/A,FALSE,"Diablo CF";#N/A,#N/A,FALSE,"matx B4 DS Diablo"}</definedName>
    <definedName name="wrn.MATRICES._.and._.CFs." localSheetId="0" hidden="1">{#N/A,#N/A,FALSE,"Assumptions";#N/A,#N/A,FALSE,"Consol CF";#N/A,#N/A,FALSE,"matx B4 DS";#N/A,#N/A,FALSE,"Hacienda CF";#N/A,#N/A,FALSE,"matx B4 DS Hac";#N/A,#N/A,FALSE,"Chabot CF";#N/A,#N/A,FALSE,"matx B4 DS Chabot";#N/A,#N/A,FALSE,"Diablo CF";#N/A,#N/A,FALSE,"matx B4 DS Diablo"}</definedName>
    <definedName name="wrn.MATRICES._.and._.CFs." hidden="1">{#N/A,#N/A,FALSE,"Assumptions";#N/A,#N/A,FALSE,"Consol CF";#N/A,#N/A,FALSE,"matx B4 DS";#N/A,#N/A,FALSE,"Hacienda CF";#N/A,#N/A,FALSE,"matx B4 DS Hac";#N/A,#N/A,FALSE,"Chabot CF";#N/A,#N/A,FALSE,"matx B4 DS Chabot";#N/A,#N/A,FALSE,"Diablo CF";#N/A,#N/A,FALSE,"matx B4 DS Diablo"}</definedName>
    <definedName name="wrn.MGTSUMRPT." localSheetId="3" hidden="1">{#N/A,#N/A,FALSE,"CONSOLID";#N/A,#N/A,FALSE,"SPS &amp; POST";#N/A,#N/A,FALSE,"STUD-OPS";#N/A,#N/A,FALSE,"SUMOPS";#N/A,#N/A,FALSE,"EXECSUM";#N/A,#N/A,FALSE,"GRAPHS";#N/A,#N/A,FALSE,"REV-STG";#N/A,#N/A,FALSE,"SUMEXP";#N/A,#N/A,FALSE,"Rec-Rev-Mo";#N/A,#N/A,FALSE,"Rec-Rev-YTD";#N/A,#N/A,FALSE,"Rec-Month";#N/A,#N/A,FALSE,"Rec-YTD";#N/A,#N/A,FALSE,"STG-UTIL";#N/A,#N/A,FALSE,"OFFICE REV";#N/A,#N/A,FALSE,"INVENTORY";#N/A,#N/A,FALSE,"M&amp;R-ADMIN";#N/A,#N/A,FALSE,"M&amp;R-TOTAL";#N/A,#N/A,FALSE,"PROP-WARD"}</definedName>
    <definedName name="wrn.MGTSUMRPT." localSheetId="6" hidden="1">{#N/A,#N/A,FALSE,"CONSOLID";#N/A,#N/A,FALSE,"SPS &amp; POST";#N/A,#N/A,FALSE,"STUD-OPS";#N/A,#N/A,FALSE,"SUMOPS";#N/A,#N/A,FALSE,"EXECSUM";#N/A,#N/A,FALSE,"GRAPHS";#N/A,#N/A,FALSE,"REV-STG";#N/A,#N/A,FALSE,"SUMEXP";#N/A,#N/A,FALSE,"Rec-Rev-Mo";#N/A,#N/A,FALSE,"Rec-Rev-YTD";#N/A,#N/A,FALSE,"Rec-Month";#N/A,#N/A,FALSE,"Rec-YTD";#N/A,#N/A,FALSE,"STG-UTIL";#N/A,#N/A,FALSE,"OFFICE REV";#N/A,#N/A,FALSE,"INVENTORY";#N/A,#N/A,FALSE,"M&amp;R-ADMIN";#N/A,#N/A,FALSE,"M&amp;R-TOTAL";#N/A,#N/A,FALSE,"PROP-WARD"}</definedName>
    <definedName name="wrn.MGTSUMRPT." localSheetId="9" hidden="1">{#N/A,#N/A,FALSE,"CONSOLID";#N/A,#N/A,FALSE,"SPS &amp; POST";#N/A,#N/A,FALSE,"STUD-OPS";#N/A,#N/A,FALSE,"SUMOPS";#N/A,#N/A,FALSE,"EXECSUM";#N/A,#N/A,FALSE,"GRAPHS";#N/A,#N/A,FALSE,"REV-STG";#N/A,#N/A,FALSE,"SUMEXP";#N/A,#N/A,FALSE,"Rec-Rev-Mo";#N/A,#N/A,FALSE,"Rec-Rev-YTD";#N/A,#N/A,FALSE,"Rec-Month";#N/A,#N/A,FALSE,"Rec-YTD";#N/A,#N/A,FALSE,"STG-UTIL";#N/A,#N/A,FALSE,"OFFICE REV";#N/A,#N/A,FALSE,"INVENTORY";#N/A,#N/A,FALSE,"M&amp;R-ADMIN";#N/A,#N/A,FALSE,"M&amp;R-TOTAL";#N/A,#N/A,FALSE,"PROP-WARD"}</definedName>
    <definedName name="wrn.MGTSUMRPT." localSheetId="2" hidden="1">{#N/A,#N/A,FALSE,"CONSOLID";#N/A,#N/A,FALSE,"SPS &amp; POST";#N/A,#N/A,FALSE,"STUD-OPS";#N/A,#N/A,FALSE,"SUMOPS";#N/A,#N/A,FALSE,"EXECSUM";#N/A,#N/A,FALSE,"GRAPHS";#N/A,#N/A,FALSE,"REV-STG";#N/A,#N/A,FALSE,"SUMEXP";#N/A,#N/A,FALSE,"Rec-Rev-Mo";#N/A,#N/A,FALSE,"Rec-Rev-YTD";#N/A,#N/A,FALSE,"Rec-Month";#N/A,#N/A,FALSE,"Rec-YTD";#N/A,#N/A,FALSE,"STG-UTIL";#N/A,#N/A,FALSE,"OFFICE REV";#N/A,#N/A,FALSE,"INVENTORY";#N/A,#N/A,FALSE,"M&amp;R-ADMIN";#N/A,#N/A,FALSE,"M&amp;R-TOTAL";#N/A,#N/A,FALSE,"PROP-WARD"}</definedName>
    <definedName name="wrn.MGTSUMRPT." localSheetId="4" hidden="1">{#N/A,#N/A,FALSE,"CONSOLID";#N/A,#N/A,FALSE,"SPS &amp; POST";#N/A,#N/A,FALSE,"STUD-OPS";#N/A,#N/A,FALSE,"SUMOPS";#N/A,#N/A,FALSE,"EXECSUM";#N/A,#N/A,FALSE,"GRAPHS";#N/A,#N/A,FALSE,"REV-STG";#N/A,#N/A,FALSE,"SUMEXP";#N/A,#N/A,FALSE,"Rec-Rev-Mo";#N/A,#N/A,FALSE,"Rec-Rev-YTD";#N/A,#N/A,FALSE,"Rec-Month";#N/A,#N/A,FALSE,"Rec-YTD";#N/A,#N/A,FALSE,"STG-UTIL";#N/A,#N/A,FALSE,"OFFICE REV";#N/A,#N/A,FALSE,"INVENTORY";#N/A,#N/A,FALSE,"M&amp;R-ADMIN";#N/A,#N/A,FALSE,"M&amp;R-TOTAL";#N/A,#N/A,FALSE,"PROP-WARD"}</definedName>
    <definedName name="wrn.MGTSUMRPT." localSheetId="0" hidden="1">{#N/A,#N/A,FALSE,"CONSOLID";#N/A,#N/A,FALSE,"SPS &amp; POST";#N/A,#N/A,FALSE,"STUD-OPS";#N/A,#N/A,FALSE,"SUMOPS";#N/A,#N/A,FALSE,"EXECSUM";#N/A,#N/A,FALSE,"GRAPHS";#N/A,#N/A,FALSE,"REV-STG";#N/A,#N/A,FALSE,"SUMEXP";#N/A,#N/A,FALSE,"Rec-Rev-Mo";#N/A,#N/A,FALSE,"Rec-Rev-YTD";#N/A,#N/A,FALSE,"Rec-Month";#N/A,#N/A,FALSE,"Rec-YTD";#N/A,#N/A,FALSE,"STG-UTIL";#N/A,#N/A,FALSE,"OFFICE REV";#N/A,#N/A,FALSE,"INVENTORY";#N/A,#N/A,FALSE,"M&amp;R-ADMIN";#N/A,#N/A,FALSE,"M&amp;R-TOTAL";#N/A,#N/A,FALSE,"PROP-WARD"}</definedName>
    <definedName name="wrn.MGTSUMRPT." hidden="1">{#N/A,#N/A,FALSE,"CONSOLID";#N/A,#N/A,FALSE,"SPS &amp; POST";#N/A,#N/A,FALSE,"STUD-OPS";#N/A,#N/A,FALSE,"SUMOPS";#N/A,#N/A,FALSE,"EXECSUM";#N/A,#N/A,FALSE,"GRAPHS";#N/A,#N/A,FALSE,"REV-STG";#N/A,#N/A,FALSE,"SUMEXP";#N/A,#N/A,FALSE,"Rec-Rev-Mo";#N/A,#N/A,FALSE,"Rec-Rev-YTD";#N/A,#N/A,FALSE,"Rec-Month";#N/A,#N/A,FALSE,"Rec-YTD";#N/A,#N/A,FALSE,"STG-UTIL";#N/A,#N/A,FALSE,"OFFICE REV";#N/A,#N/A,FALSE,"INVENTORY";#N/A,#N/A,FALSE,"M&amp;R-ADMIN";#N/A,#N/A,FALSE,"M&amp;R-TOTAL";#N/A,#N/A,FALSE,"PROP-WARD"}</definedName>
    <definedName name="wrn.MIRELF._.III._1" localSheetId="3" hidden="1">{"Summary",#N/A,TRUE,"Summary";"Sensitivity",#N/A,TRUE,"Summary";"Partnership Value",#N/A,TRUE,"Summary";"Cash Flows",#N/A,TRUE,"Summary";"Partnership Equity Value",#N/A,TRUE,"Summary";"Waterfall",#N/A,TRUE,"Summary";"MIR Fund Structure",#N/A,TRUE,"Summary";"Assumptions",#N/A,TRUE,"Summary"}</definedName>
    <definedName name="wrn.MIRELF._.III._1" localSheetId="9" hidden="1">{"Summary",#N/A,TRUE,"Summary";"Sensitivity",#N/A,TRUE,"Summary";"Partnership Value",#N/A,TRUE,"Summary";"Cash Flows",#N/A,TRUE,"Summary";"Partnership Equity Value",#N/A,TRUE,"Summary";"Waterfall",#N/A,TRUE,"Summary";"MIR Fund Structure",#N/A,TRUE,"Summary";"Assumptions",#N/A,TRUE,"Summary"}</definedName>
    <definedName name="wrn.MIRELF._.III._1" localSheetId="2" hidden="1">{"Summary",#N/A,TRUE,"Summary";"Sensitivity",#N/A,TRUE,"Summary";"Partnership Value",#N/A,TRUE,"Summary";"Cash Flows",#N/A,TRUE,"Summary";"Partnership Equity Value",#N/A,TRUE,"Summary";"Waterfall",#N/A,TRUE,"Summary";"MIR Fund Structure",#N/A,TRUE,"Summary";"Assumptions",#N/A,TRUE,"Summary"}</definedName>
    <definedName name="wrn.MIRELF._.III._1" localSheetId="4" hidden="1">{"Summary",#N/A,TRUE,"Summary";"Sensitivity",#N/A,TRUE,"Summary";"Partnership Value",#N/A,TRUE,"Summary";"Cash Flows",#N/A,TRUE,"Summary";"Partnership Equity Value",#N/A,TRUE,"Summary";"Waterfall",#N/A,TRUE,"Summary";"MIR Fund Structure",#N/A,TRUE,"Summary";"Assumptions",#N/A,TRUE,"Summary"}</definedName>
    <definedName name="wrn.MIRELF._.III._1" localSheetId="0" hidden="1">{"Summary",#N/A,TRUE,"Summary";"Sensitivity",#N/A,TRUE,"Summary";"Partnership Value",#N/A,TRUE,"Summary";"Cash Flows",#N/A,TRUE,"Summary";"Partnership Equity Value",#N/A,TRUE,"Summary";"Waterfall",#N/A,TRUE,"Summary";"MIR Fund Structure",#N/A,TRUE,"Summary";"Assumptions",#N/A,TRUE,"Summary"}</definedName>
    <definedName name="wrn.MIRELF._.III._1" hidden="1">{"Summary",#N/A,TRUE,"Summary";"Sensitivity",#N/A,TRUE,"Summary";"Partnership Value",#N/A,TRUE,"Summary";"Cash Flows",#N/A,TRUE,"Summary";"Partnership Equity Value",#N/A,TRUE,"Summary";"Waterfall",#N/A,TRUE,"Summary";"MIR Fund Structure",#N/A,TRUE,"Summary";"Assumptions",#N/A,TRUE,"Summary"}</definedName>
    <definedName name="wrn.MIRELF._.III._2" localSheetId="3" hidden="1">{"Summary",#N/A,TRUE,"Summary";"Sensitivity",#N/A,TRUE,"Summary";"Partnership Value",#N/A,TRUE,"Summary";"Cash Flows",#N/A,TRUE,"Summary";"Partnership Equity Value",#N/A,TRUE,"Summary";"Waterfall",#N/A,TRUE,"Summary";"MIR Fund Structure",#N/A,TRUE,"Summary";"Assumptions",#N/A,TRUE,"Summary"}</definedName>
    <definedName name="wrn.MIRELF._.III._2" localSheetId="9" hidden="1">{"Summary",#N/A,TRUE,"Summary";"Sensitivity",#N/A,TRUE,"Summary";"Partnership Value",#N/A,TRUE,"Summary";"Cash Flows",#N/A,TRUE,"Summary";"Partnership Equity Value",#N/A,TRUE,"Summary";"Waterfall",#N/A,TRUE,"Summary";"MIR Fund Structure",#N/A,TRUE,"Summary";"Assumptions",#N/A,TRUE,"Summary"}</definedName>
    <definedName name="wrn.MIRELF._.III._2" localSheetId="2" hidden="1">{"Summary",#N/A,TRUE,"Summary";"Sensitivity",#N/A,TRUE,"Summary";"Partnership Value",#N/A,TRUE,"Summary";"Cash Flows",#N/A,TRUE,"Summary";"Partnership Equity Value",#N/A,TRUE,"Summary";"Waterfall",#N/A,TRUE,"Summary";"MIR Fund Structure",#N/A,TRUE,"Summary";"Assumptions",#N/A,TRUE,"Summary"}</definedName>
    <definedName name="wrn.MIRELF._.III._2" localSheetId="4" hidden="1">{"Summary",#N/A,TRUE,"Summary";"Sensitivity",#N/A,TRUE,"Summary";"Partnership Value",#N/A,TRUE,"Summary";"Cash Flows",#N/A,TRUE,"Summary";"Partnership Equity Value",#N/A,TRUE,"Summary";"Waterfall",#N/A,TRUE,"Summary";"MIR Fund Structure",#N/A,TRUE,"Summary";"Assumptions",#N/A,TRUE,"Summary"}</definedName>
    <definedName name="wrn.MIRELF._.III._2" localSheetId="0" hidden="1">{"Summary",#N/A,TRUE,"Summary";"Sensitivity",#N/A,TRUE,"Summary";"Partnership Value",#N/A,TRUE,"Summary";"Cash Flows",#N/A,TRUE,"Summary";"Partnership Equity Value",#N/A,TRUE,"Summary";"Waterfall",#N/A,TRUE,"Summary";"MIR Fund Structure",#N/A,TRUE,"Summary";"Assumptions",#N/A,TRUE,"Summary"}</definedName>
    <definedName name="wrn.MIRELF._.III._2" hidden="1">{"Summary",#N/A,TRUE,"Summary";"Sensitivity",#N/A,TRUE,"Summary";"Partnership Value",#N/A,TRUE,"Summary";"Cash Flows",#N/A,TRUE,"Summary";"Partnership Equity Value",#N/A,TRUE,"Summary";"Waterfall",#N/A,TRUE,"Summary";"MIR Fund Structure",#N/A,TRUE,"Summary";"Assumptions",#N/A,TRUE,"Summary"}</definedName>
    <definedName name="wrn.MIRELF._.III._3" localSheetId="3" hidden="1">{"Summary",#N/A,TRUE,"Summary";"Sensitivity",#N/A,TRUE,"Summary";"Partnership Value",#N/A,TRUE,"Summary";"Cash Flows",#N/A,TRUE,"Summary";"Partnership Equity Value",#N/A,TRUE,"Summary";"Waterfall",#N/A,TRUE,"Summary";"MIR Fund Structure",#N/A,TRUE,"Summary";"Assumptions",#N/A,TRUE,"Summary"}</definedName>
    <definedName name="wrn.MIRELF._.III._3" localSheetId="9" hidden="1">{"Summary",#N/A,TRUE,"Summary";"Sensitivity",#N/A,TRUE,"Summary";"Partnership Value",#N/A,TRUE,"Summary";"Cash Flows",#N/A,TRUE,"Summary";"Partnership Equity Value",#N/A,TRUE,"Summary";"Waterfall",#N/A,TRUE,"Summary";"MIR Fund Structure",#N/A,TRUE,"Summary";"Assumptions",#N/A,TRUE,"Summary"}</definedName>
    <definedName name="wrn.MIRELF._.III._3" localSheetId="2" hidden="1">{"Summary",#N/A,TRUE,"Summary";"Sensitivity",#N/A,TRUE,"Summary";"Partnership Value",#N/A,TRUE,"Summary";"Cash Flows",#N/A,TRUE,"Summary";"Partnership Equity Value",#N/A,TRUE,"Summary";"Waterfall",#N/A,TRUE,"Summary";"MIR Fund Structure",#N/A,TRUE,"Summary";"Assumptions",#N/A,TRUE,"Summary"}</definedName>
    <definedName name="wrn.MIRELF._.III._3" localSheetId="4" hidden="1">{"Summary",#N/A,TRUE,"Summary";"Sensitivity",#N/A,TRUE,"Summary";"Partnership Value",#N/A,TRUE,"Summary";"Cash Flows",#N/A,TRUE,"Summary";"Partnership Equity Value",#N/A,TRUE,"Summary";"Waterfall",#N/A,TRUE,"Summary";"MIR Fund Structure",#N/A,TRUE,"Summary";"Assumptions",#N/A,TRUE,"Summary"}</definedName>
    <definedName name="wrn.MIRELF._.III._3" localSheetId="0" hidden="1">{"Summary",#N/A,TRUE,"Summary";"Sensitivity",#N/A,TRUE,"Summary";"Partnership Value",#N/A,TRUE,"Summary";"Cash Flows",#N/A,TRUE,"Summary";"Partnership Equity Value",#N/A,TRUE,"Summary";"Waterfall",#N/A,TRUE,"Summary";"MIR Fund Structure",#N/A,TRUE,"Summary";"Assumptions",#N/A,TRUE,"Summary"}</definedName>
    <definedName name="wrn.MIRELF._.III._3" hidden="1">{"Summary",#N/A,TRUE,"Summary";"Sensitivity",#N/A,TRUE,"Summary";"Partnership Value",#N/A,TRUE,"Summary";"Cash Flows",#N/A,TRUE,"Summary";"Partnership Equity Value",#N/A,TRUE,"Summary";"Waterfall",#N/A,TRUE,"Summary";"MIR Fund Structure",#N/A,TRUE,"Summary";"Assumptions",#N/A,TRUE,"Summary"}</definedName>
    <definedName name="wrn.MODEL." localSheetId="3" hidden="1">{"IS",#N/A,FALSE,"Income Statement";"ISR",#N/A,FALSE,"Income Statement Ratios";"BS",#N/A,FALSE,"Balance Sheet";"BSR",#N/A,FALSE,"Balance Sheet Ratios";"CF",#N/A,FALSE,"Cash Flow";"SALES",#N/A,FALSE,"Sales Analysis";"RR",#N/A,FALSE,"Recent Results"}</definedName>
    <definedName name="wrn.MODEL." localSheetId="6" hidden="1">{"IS",#N/A,FALSE,"Income Statement";"ISR",#N/A,FALSE,"Income Statement Ratios";"BS",#N/A,FALSE,"Balance Sheet";"BSR",#N/A,FALSE,"Balance Sheet Ratios";"CF",#N/A,FALSE,"Cash Flow";"SALES",#N/A,FALSE,"Sales Analysis";"RR",#N/A,FALSE,"Recent Results"}</definedName>
    <definedName name="wrn.MODEL." localSheetId="9" hidden="1">{"IS",#N/A,FALSE,"Income Statement";"ISR",#N/A,FALSE,"Income Statement Ratios";"BS",#N/A,FALSE,"Balance Sheet";"BSR",#N/A,FALSE,"Balance Sheet Ratios";"CF",#N/A,FALSE,"Cash Flow";"SALES",#N/A,FALSE,"Sales Analysis";"RR",#N/A,FALSE,"Recent Results"}</definedName>
    <definedName name="wrn.MODEL." localSheetId="2" hidden="1">{"IS",#N/A,FALSE,"Income Statement";"ISR",#N/A,FALSE,"Income Statement Ratios";"BS",#N/A,FALSE,"Balance Sheet";"BSR",#N/A,FALSE,"Balance Sheet Ratios";"CF",#N/A,FALSE,"Cash Flow";"SALES",#N/A,FALSE,"Sales Analysis";"RR",#N/A,FALSE,"Recent Results"}</definedName>
    <definedName name="wrn.MODEL." localSheetId="4" hidden="1">{"IS",#N/A,FALSE,"Income Statement";"ISR",#N/A,FALSE,"Income Statement Ratios";"BS",#N/A,FALSE,"Balance Sheet";"BSR",#N/A,FALSE,"Balance Sheet Ratios";"CF",#N/A,FALSE,"Cash Flow";"SALES",#N/A,FALSE,"Sales Analysis";"RR",#N/A,FALSE,"Recent Results"}</definedName>
    <definedName name="wrn.MODEL." localSheetId="0" hidden="1">{"IS",#N/A,FALSE,"Income Statement";"ISR",#N/A,FALSE,"Income Statement Ratios";"BS",#N/A,FALSE,"Balance Sheet";"BSR",#N/A,FALSE,"Balance Sheet Ratios";"CF",#N/A,FALSE,"Cash Flow";"SALES",#N/A,FALSE,"Sales Analysis";"RR",#N/A,FALSE,"Recent Results"}</definedName>
    <definedName name="wrn.MODEL." hidden="1">{"IS",#N/A,FALSE,"Income Statement";"ISR",#N/A,FALSE,"Income Statement Ratios";"BS",#N/A,FALSE,"Balance Sheet";"BSR",#N/A,FALSE,"Balance Sheet Ratios";"CF",#N/A,FALSE,"Cash Flow";"SALES",#N/A,FALSE,"Sales Analysis";"RR",#N/A,FALSE,"Recent Results"}</definedName>
    <definedName name="wrn.model2." localSheetId="0" hidden="1">{"Investor",#N/A,FALSE,"Model";"Property",#N/A,FALSE,"Model";"Incentive Taxes",#N/A,FALSE,"Model"}</definedName>
    <definedName name="wrn.model2." hidden="1">{"Investor",#N/A,FALSE,"Model";"Property",#N/A,FALSE,"Model";"Incentive Taxes",#N/A,FALSE,"Model"}</definedName>
    <definedName name="wrn.Month." localSheetId="3" hidden="1">{"Month SumOps",#N/A,FALSE,"SumOps";"Month SumGP",#N/A,FALSE,"SumGP";"Month SumExp",#N/A,FALSE,"SumExp";"Month ExpDept",#N/A,FALSE,"ExpDept"}</definedName>
    <definedName name="wrn.Month." localSheetId="6" hidden="1">{"Month SumOps",#N/A,FALSE,"SumOps";"Month SumGP",#N/A,FALSE,"SumGP";"Month SumExp",#N/A,FALSE,"SumExp";"Month ExpDept",#N/A,FALSE,"ExpDept"}</definedName>
    <definedName name="wrn.Month." localSheetId="9" hidden="1">{"Month SumOps",#N/A,FALSE,"SumOps";"Month SumGP",#N/A,FALSE,"SumGP";"Month SumExp",#N/A,FALSE,"SumExp";"Month ExpDept",#N/A,FALSE,"ExpDept"}</definedName>
    <definedName name="wrn.Month." localSheetId="2" hidden="1">{"Month SumOps",#N/A,FALSE,"SumOps";"Month SumGP",#N/A,FALSE,"SumGP";"Month SumExp",#N/A,FALSE,"SumExp";"Month ExpDept",#N/A,FALSE,"ExpDept"}</definedName>
    <definedName name="wrn.Month." localSheetId="4" hidden="1">{"Month SumOps",#N/A,FALSE,"SumOps";"Month SumGP",#N/A,FALSE,"SumGP";"Month SumExp",#N/A,FALSE,"SumExp";"Month ExpDept",#N/A,FALSE,"ExpDept"}</definedName>
    <definedName name="wrn.Month." localSheetId="0" hidden="1">{"Month SumOps",#N/A,FALSE,"SumOps";"Month SumGP",#N/A,FALSE,"SumGP";"Month SumExp",#N/A,FALSE,"SumExp";"Month ExpDept",#N/A,FALSE,"ExpDept"}</definedName>
    <definedName name="wrn.Month." hidden="1">{"Month SumOps",#N/A,FALSE,"SumOps";"Month SumGP",#N/A,FALSE,"SumGP";"Month SumExp",#N/A,FALSE,"SumExp";"Month ExpDept",#N/A,FALSE,"ExpDept"}</definedName>
    <definedName name="wrn.Monthly._.Detail._.Reports." localSheetId="3" hidden="1">{"Detail Project Cash Flow",#N/A,TRUE,"Cash Flow Grid";"Financing Calculation",#N/A,TRUE,"Cash Flow Grid"}</definedName>
    <definedName name="wrn.Monthly._.Detail._.Reports." localSheetId="6" hidden="1">{"Detail Project Cash Flow",#N/A,TRUE,"Cash Flow Grid";"Financing Calculation",#N/A,TRUE,"Cash Flow Grid"}</definedName>
    <definedName name="wrn.Monthly._.Detail._.Reports." localSheetId="9" hidden="1">{"Detail Project Cash Flow",#N/A,TRUE,"Cash Flow Grid";"Financing Calculation",#N/A,TRUE,"Cash Flow Grid"}</definedName>
    <definedName name="wrn.Monthly._.Detail._.Reports." localSheetId="2" hidden="1">{"Detail Project Cash Flow",#N/A,TRUE,"Cash Flow Grid";"Financing Calculation",#N/A,TRUE,"Cash Flow Grid"}</definedName>
    <definedName name="wrn.Monthly._.Detail._.Reports." localSheetId="4" hidden="1">{"Detail Project Cash Flow",#N/A,TRUE,"Cash Flow Grid";"Financing Calculation",#N/A,TRUE,"Cash Flow Grid"}</definedName>
    <definedName name="wrn.Monthly._.Detail._.Reports." localSheetId="0" hidden="1">{"Detail Project Cash Flow",#N/A,TRUE,"Cash Flow Grid";"Financing Calculation",#N/A,TRUE,"Cash Flow Grid"}</definedName>
    <definedName name="wrn.Monthly._.Detail._.Reports." hidden="1">{"Detail Project Cash Flow",#N/A,TRUE,"Cash Flow Grid";"Financing Calculation",#N/A,TRUE,"Cash Flow Grid"}</definedName>
    <definedName name="wrn.monthly._.financial." localSheetId="3" hidden="1">{#N/A,#N/A,FALSE,"SUMMARY 4a";#N/A,#N/A,FALSE,"GBA 4b";#N/A,#N/A,FALSE,"TENANT 4c";#N/A,#N/A,FALSE,"BUDGET DETAIL";#N/A,#N/A,FALSE,"PRO FORMA"}</definedName>
    <definedName name="wrn.monthly._.financial." localSheetId="6" hidden="1">{#N/A,#N/A,FALSE,"SUMMARY 4a";#N/A,#N/A,FALSE,"GBA 4b";#N/A,#N/A,FALSE,"TENANT 4c";#N/A,#N/A,FALSE,"BUDGET DETAIL";#N/A,#N/A,FALSE,"PRO FORMA"}</definedName>
    <definedName name="wrn.monthly._.financial." localSheetId="9" hidden="1">{#N/A,#N/A,FALSE,"SUMMARY 4a";#N/A,#N/A,FALSE,"GBA 4b";#N/A,#N/A,FALSE,"TENANT 4c";#N/A,#N/A,FALSE,"BUDGET DETAIL";#N/A,#N/A,FALSE,"PRO FORMA"}</definedName>
    <definedName name="wrn.monthly._.financial." localSheetId="2" hidden="1">{#N/A,#N/A,FALSE,"SUMMARY 4a";#N/A,#N/A,FALSE,"GBA 4b";#N/A,#N/A,FALSE,"TENANT 4c";#N/A,#N/A,FALSE,"BUDGET DETAIL";#N/A,#N/A,FALSE,"PRO FORMA"}</definedName>
    <definedName name="wrn.monthly._.financial." localSheetId="4" hidden="1">{#N/A,#N/A,FALSE,"SUMMARY 4a";#N/A,#N/A,FALSE,"GBA 4b";#N/A,#N/A,FALSE,"TENANT 4c";#N/A,#N/A,FALSE,"BUDGET DETAIL";#N/A,#N/A,FALSE,"PRO FORMA"}</definedName>
    <definedName name="wrn.monthly._.financial." localSheetId="0" hidden="1">{#N/A,#N/A,FALSE,"SUMMARY 4a";#N/A,#N/A,FALSE,"GBA 4b";#N/A,#N/A,FALSE,"TENANT 4c";#N/A,#N/A,FALSE,"BUDGET DETAIL";#N/A,#N/A,FALSE,"PRO FORMA"}</definedName>
    <definedName name="wrn.monthly._.financial." hidden="1">{#N/A,#N/A,FALSE,"SUMMARY 4a";#N/A,#N/A,FALSE,"GBA 4b";#N/A,#N/A,FALSE,"TENANT 4c";#N/A,#N/A,FALSE,"BUDGET DETAIL";#N/A,#N/A,FALSE,"PRO FORMA"}</definedName>
    <definedName name="wrn.MonthlyRentRoll." localSheetId="3" hidden="1">{"MonthlyRentRoll",#N/A,FALSE,"RentRoll"}</definedName>
    <definedName name="wrn.MonthlyRentRoll." localSheetId="6" hidden="1">{"MonthlyRentRoll",#N/A,FALSE,"RentRoll"}</definedName>
    <definedName name="wrn.MonthlyRentRoll." localSheetId="9" hidden="1">{"MonthlyRentRoll",#N/A,FALSE,"RentRoll"}</definedName>
    <definedName name="wrn.MonthlyRentRoll." localSheetId="2" hidden="1">{"MonthlyRentRoll",#N/A,FALSE,"RentRoll"}</definedName>
    <definedName name="wrn.MonthlyRentRoll." localSheetId="4" hidden="1">{"MonthlyRentRoll",#N/A,FALSE,"RentRoll"}</definedName>
    <definedName name="wrn.MonthlyRentRoll." localSheetId="0" hidden="1">{"MonthlyRentRoll",#N/A,FALSE,"RentRoll"}</definedName>
    <definedName name="wrn.MonthlyRentRoll." hidden="1">{"MonthlyRentRoll",#N/A,FALSE,"RentRoll"}</definedName>
    <definedName name="wrn.NCL._.Tower._.Five._.Year._.Hold." localSheetId="3" hidden="1">{#N/A,#N/A,FALSE,"North Central Life";#N/A,#N/A,FALSE,"Town Square";#N/A,#N/A,FALSE,"Summary"}</definedName>
    <definedName name="wrn.NCL._.Tower._.Five._.Year._.Hold." localSheetId="6" hidden="1">{#N/A,#N/A,FALSE,"North Central Life";#N/A,#N/A,FALSE,"Town Square";#N/A,#N/A,FALSE,"Summary"}</definedName>
    <definedName name="wrn.NCL._.Tower._.Five._.Year._.Hold." localSheetId="9" hidden="1">{#N/A,#N/A,FALSE,"North Central Life";#N/A,#N/A,FALSE,"Town Square";#N/A,#N/A,FALSE,"Summary"}</definedName>
    <definedName name="wrn.NCL._.Tower._.Five._.Year._.Hold." localSheetId="2" hidden="1">{#N/A,#N/A,FALSE,"North Central Life";#N/A,#N/A,FALSE,"Town Square";#N/A,#N/A,FALSE,"Summary"}</definedName>
    <definedName name="wrn.NCL._.Tower._.Five._.Year._.Hold." localSheetId="4" hidden="1">{#N/A,#N/A,FALSE,"North Central Life";#N/A,#N/A,FALSE,"Town Square";#N/A,#N/A,FALSE,"Summary"}</definedName>
    <definedName name="wrn.NCL._.Tower._.Five._.Year._.Hold." localSheetId="0" hidden="1">{#N/A,#N/A,FALSE,"North Central Life";#N/A,#N/A,FALSE,"Town Square";#N/A,#N/A,FALSE,"Summary"}</definedName>
    <definedName name="wrn.NCL._.Tower._.Five._.Year._.Hold." hidden="1">{#N/A,#N/A,FALSE,"North Central Life";#N/A,#N/A,FALSE,"Town Square";#N/A,#N/A,FALSE,"Summary"}</definedName>
    <definedName name="wrn.New._.Report." localSheetId="3" hidden="1">{"Portfolio Analysis",#N/A,FALSE,"Portfolio Analysis";"Asset 1",#N/A,FALSE,"Portfolio Analysis";"Asset 2",#N/A,FALSE,"Portfolio Analysis";"Asset 3",#N/A,FALSE,"Portfolio Analysis";"Rent Roll 1",#N/A,FALSE,"Portfolio Analysis";"Rent Roll 2",#N/A,FALSE,"Portfolio Analysis";"Rent Roll 3",#N/A,FALSE,"Portfolio Analysis"}</definedName>
    <definedName name="wrn.New._.Report." localSheetId="9" hidden="1">{"Portfolio Analysis",#N/A,FALSE,"Portfolio Analysis";"Asset 1",#N/A,FALSE,"Portfolio Analysis";"Asset 2",#N/A,FALSE,"Portfolio Analysis";"Asset 3",#N/A,FALSE,"Portfolio Analysis";"Rent Roll 1",#N/A,FALSE,"Portfolio Analysis";"Rent Roll 2",#N/A,FALSE,"Portfolio Analysis";"Rent Roll 3",#N/A,FALSE,"Portfolio Analysis"}</definedName>
    <definedName name="wrn.New._.Report." localSheetId="2" hidden="1">{"Portfolio Analysis",#N/A,FALSE,"Portfolio Analysis";"Asset 1",#N/A,FALSE,"Portfolio Analysis";"Asset 2",#N/A,FALSE,"Portfolio Analysis";"Asset 3",#N/A,FALSE,"Portfolio Analysis";"Rent Roll 1",#N/A,FALSE,"Portfolio Analysis";"Rent Roll 2",#N/A,FALSE,"Portfolio Analysis";"Rent Roll 3",#N/A,FALSE,"Portfolio Analysis"}</definedName>
    <definedName name="wrn.New._.Report." localSheetId="4" hidden="1">{"Portfolio Analysis",#N/A,FALSE,"Portfolio Analysis";"Asset 1",#N/A,FALSE,"Portfolio Analysis";"Asset 2",#N/A,FALSE,"Portfolio Analysis";"Asset 3",#N/A,FALSE,"Portfolio Analysis";"Rent Roll 1",#N/A,FALSE,"Portfolio Analysis";"Rent Roll 2",#N/A,FALSE,"Portfolio Analysis";"Rent Roll 3",#N/A,FALSE,"Portfolio Analysis"}</definedName>
    <definedName name="wrn.New._.Report." localSheetId="0" hidden="1">{"Portfolio Analysis",#N/A,FALSE,"Portfolio Analysis";"Asset 1",#N/A,FALSE,"Portfolio Analysis";"Asset 2",#N/A,FALSE,"Portfolio Analysis";"Asset 3",#N/A,FALSE,"Portfolio Analysis";"Rent Roll 1",#N/A,FALSE,"Portfolio Analysis";"Rent Roll 2",#N/A,FALSE,"Portfolio Analysis";"Rent Roll 3",#N/A,FALSE,"Portfolio Analysis"}</definedName>
    <definedName name="wrn.New._.Report." hidden="1">{"Portfolio Analysis",#N/A,FALSE,"Portfolio Analysis";"Asset 1",#N/A,FALSE,"Portfolio Analysis";"Asset 2",#N/A,FALSE,"Portfolio Analysis";"Asset 3",#N/A,FALSE,"Portfolio Analysis";"Rent Roll 1",#N/A,FALSE,"Portfolio Analysis";"Rent Roll 2",#N/A,FALSE,"Portfolio Analysis";"Rent Roll 3",#N/A,FALSE,"Portfolio Analysis"}</definedName>
    <definedName name="wrn.Nico." localSheetId="3" hidden="1">{#N/A,#N/A,TRUE,"Cover";#N/A,#N/A,TRUE,"Transaction Summary";#N/A,#N/A,TRUE,"Earnings Impact";#N/A,#N/A,TRUE,"accretion dilution"}</definedName>
    <definedName name="wrn.Nico." localSheetId="9" hidden="1">{#N/A,#N/A,TRUE,"Cover";#N/A,#N/A,TRUE,"Transaction Summary";#N/A,#N/A,TRUE,"Earnings Impact";#N/A,#N/A,TRUE,"accretion dilution"}</definedName>
    <definedName name="wrn.Nico." localSheetId="2" hidden="1">{#N/A,#N/A,TRUE,"Cover";#N/A,#N/A,TRUE,"Transaction Summary";#N/A,#N/A,TRUE,"Earnings Impact";#N/A,#N/A,TRUE,"accretion dilution"}</definedName>
    <definedName name="wrn.Nico." localSheetId="4" hidden="1">{#N/A,#N/A,TRUE,"Cover";#N/A,#N/A,TRUE,"Transaction Summary";#N/A,#N/A,TRUE,"Earnings Impact";#N/A,#N/A,TRUE,"accretion dilution"}</definedName>
    <definedName name="wrn.Nico." localSheetId="0" hidden="1">{#N/A,#N/A,TRUE,"Cover";#N/A,#N/A,TRUE,"Transaction Summary";#N/A,#N/A,TRUE,"Earnings Impact";#N/A,#N/A,TRUE,"accretion dilution"}</definedName>
    <definedName name="wrn.Nico." hidden="1">{#N/A,#N/A,TRUE,"Cover";#N/A,#N/A,TRUE,"Transaction Summary";#N/A,#N/A,TRUE,"Earnings Impact";#N/A,#N/A,TRUE,"accretion dilution"}</definedName>
    <definedName name="wrn.NoAptRR." localSheetId="3" hidden="1">{#N/A,#N/A,FALSE,"AptStabYr";#N/A,#N/A,FALSE,"Hard Costs";#N/A,#N/A,FALSE,"Project Costs ";#N/A,#N/A,FALSE,"Draw M1-18";#N/A,#N/A,FALSE,"LeaseUpHotel";#N/A,#N/A,FALSE,"Apt10YrCF";#N/A,#N/A,FALSE,"Hotel CF";#N/A,#N/A,FALSE,"LeaseUpApt"}</definedName>
    <definedName name="wrn.NoAptRR." localSheetId="6" hidden="1">{#N/A,#N/A,FALSE,"AptStabYr";#N/A,#N/A,FALSE,"Hard Costs";#N/A,#N/A,FALSE,"Project Costs ";#N/A,#N/A,FALSE,"Draw M1-18";#N/A,#N/A,FALSE,"LeaseUpHotel";#N/A,#N/A,FALSE,"Apt10YrCF";#N/A,#N/A,FALSE,"Hotel CF";#N/A,#N/A,FALSE,"LeaseUpApt"}</definedName>
    <definedName name="wrn.NoAptRR." localSheetId="9" hidden="1">{#N/A,#N/A,FALSE,"AptStabYr";#N/A,#N/A,FALSE,"Hard Costs";#N/A,#N/A,FALSE,"Project Costs ";#N/A,#N/A,FALSE,"Draw M1-18";#N/A,#N/A,FALSE,"LeaseUpHotel";#N/A,#N/A,FALSE,"Apt10YrCF";#N/A,#N/A,FALSE,"Hotel CF";#N/A,#N/A,FALSE,"LeaseUpApt"}</definedName>
    <definedName name="wrn.NoAptRR." localSheetId="2" hidden="1">{#N/A,#N/A,FALSE,"AptStabYr";#N/A,#N/A,FALSE,"Hard Costs";#N/A,#N/A,FALSE,"Project Costs ";#N/A,#N/A,FALSE,"Draw M1-18";#N/A,#N/A,FALSE,"LeaseUpHotel";#N/A,#N/A,FALSE,"Apt10YrCF";#N/A,#N/A,FALSE,"Hotel CF";#N/A,#N/A,FALSE,"LeaseUpApt"}</definedName>
    <definedName name="wrn.NoAptRR." localSheetId="4" hidden="1">{#N/A,#N/A,FALSE,"AptStabYr";#N/A,#N/A,FALSE,"Hard Costs";#N/A,#N/A,FALSE,"Project Costs ";#N/A,#N/A,FALSE,"Draw M1-18";#N/A,#N/A,FALSE,"LeaseUpHotel";#N/A,#N/A,FALSE,"Apt10YrCF";#N/A,#N/A,FALSE,"Hotel CF";#N/A,#N/A,FALSE,"LeaseUpApt"}</definedName>
    <definedName name="wrn.NoAptRR." localSheetId="0" hidden="1">{#N/A,#N/A,FALSE,"AptStabYr";#N/A,#N/A,FALSE,"Hard Costs";#N/A,#N/A,FALSE,"Project Costs ";#N/A,#N/A,FALSE,"Draw M1-18";#N/A,#N/A,FALSE,"LeaseUpHotel";#N/A,#N/A,FALSE,"Apt10YrCF";#N/A,#N/A,FALSE,"Hotel CF";#N/A,#N/A,FALSE,"LeaseUpApt"}</definedName>
    <definedName name="wrn.NoAptRR." hidden="1">{#N/A,#N/A,FALSE,"AptStabYr";#N/A,#N/A,FALSE,"Hard Costs";#N/A,#N/A,FALSE,"Project Costs ";#N/A,#N/A,FALSE,"Draw M1-18";#N/A,#N/A,FALSE,"LeaseUpHotel";#N/A,#N/A,FALSE,"Apt10YrCF";#N/A,#N/A,FALSE,"Hotel CF";#N/A,#N/A,FALSE,"LeaseUpApt"}</definedName>
    <definedName name="wrn.NS._1" localSheetId="3" hidden="1">{"NS #1",#N/A,TRUE,"Model";"NS #2",#N/A,TRUE,"Model";"NS #3",#N/A,TRUE,"Model"}</definedName>
    <definedName name="wrn.NS._1" localSheetId="9" hidden="1">{"NS #1",#N/A,TRUE,"Model";"NS #2",#N/A,TRUE,"Model";"NS #3",#N/A,TRUE,"Model"}</definedName>
    <definedName name="wrn.NS._1" localSheetId="2" hidden="1">{"NS #1",#N/A,TRUE,"Model";"NS #2",#N/A,TRUE,"Model";"NS #3",#N/A,TRUE,"Model"}</definedName>
    <definedName name="wrn.NS._1" localSheetId="4" hidden="1">{"NS #1",#N/A,TRUE,"Model";"NS #2",#N/A,TRUE,"Model";"NS #3",#N/A,TRUE,"Model"}</definedName>
    <definedName name="wrn.NS._1" localSheetId="0" hidden="1">{"NS #1",#N/A,TRUE,"Model";"NS #2",#N/A,TRUE,"Model";"NS #3",#N/A,TRUE,"Model"}</definedName>
    <definedName name="wrn.NS._1" hidden="1">{"NS #1",#N/A,TRUE,"Model";"NS #2",#N/A,TRUE,"Model";"NS #3",#N/A,TRUE,"Model"}</definedName>
    <definedName name="wrn.NS._2" localSheetId="3" hidden="1">{"NS #1",#N/A,TRUE,"Model";"NS #2",#N/A,TRUE,"Model";"NS #3",#N/A,TRUE,"Model"}</definedName>
    <definedName name="wrn.NS._2" localSheetId="9" hidden="1">{"NS #1",#N/A,TRUE,"Model";"NS #2",#N/A,TRUE,"Model";"NS #3",#N/A,TRUE,"Model"}</definedName>
    <definedName name="wrn.NS._2" localSheetId="2" hidden="1">{"NS #1",#N/A,TRUE,"Model";"NS #2",#N/A,TRUE,"Model";"NS #3",#N/A,TRUE,"Model"}</definedName>
    <definedName name="wrn.NS._2" localSheetId="4" hidden="1">{"NS #1",#N/A,TRUE,"Model";"NS #2",#N/A,TRUE,"Model";"NS #3",#N/A,TRUE,"Model"}</definedName>
    <definedName name="wrn.NS._2" localSheetId="0" hidden="1">{"NS #1",#N/A,TRUE,"Model";"NS #2",#N/A,TRUE,"Model";"NS #3",#N/A,TRUE,"Model"}</definedName>
    <definedName name="wrn.NS._2" hidden="1">{"NS #1",#N/A,TRUE,"Model";"NS #2",#N/A,TRUE,"Model";"NS #3",#N/A,TRUE,"Model"}</definedName>
    <definedName name="wrn.NS._3" localSheetId="3" hidden="1">{"NS #1",#N/A,TRUE,"Model";"NS #2",#N/A,TRUE,"Model";"NS #3",#N/A,TRUE,"Model"}</definedName>
    <definedName name="wrn.NS._3" localSheetId="9" hidden="1">{"NS #1",#N/A,TRUE,"Model";"NS #2",#N/A,TRUE,"Model";"NS #3",#N/A,TRUE,"Model"}</definedName>
    <definedName name="wrn.NS._3" localSheetId="2" hidden="1">{"NS #1",#N/A,TRUE,"Model";"NS #2",#N/A,TRUE,"Model";"NS #3",#N/A,TRUE,"Model"}</definedName>
    <definedName name="wrn.NS._3" localSheetId="4" hidden="1">{"NS #1",#N/A,TRUE,"Model";"NS #2",#N/A,TRUE,"Model";"NS #3",#N/A,TRUE,"Model"}</definedName>
    <definedName name="wrn.NS._3" localSheetId="0" hidden="1">{"NS #1",#N/A,TRUE,"Model";"NS #2",#N/A,TRUE,"Model";"NS #3",#N/A,TRUE,"Model"}</definedName>
    <definedName name="wrn.NS._3" hidden="1">{"NS #1",#N/A,TRUE,"Model";"NS #2",#N/A,TRUE,"Model";"NS #3",#N/A,TRUE,"Model"}</definedName>
    <definedName name="wrn.Occupancy._.Calcs." localSheetId="3" hidden="1">{#N/A,#N/A,FALSE,"Occ. Calcs"}</definedName>
    <definedName name="wrn.Occupancy._.Calcs." localSheetId="6" hidden="1">{#N/A,#N/A,FALSE,"Occ. Calcs"}</definedName>
    <definedName name="wrn.Occupancy._.Calcs." localSheetId="9" hidden="1">{#N/A,#N/A,FALSE,"Occ. Calcs"}</definedName>
    <definedName name="wrn.Occupancy._.Calcs." localSheetId="2" hidden="1">{#N/A,#N/A,FALSE,"Occ. Calcs"}</definedName>
    <definedName name="wrn.Occupancy._.Calcs." localSheetId="4" hidden="1">{#N/A,#N/A,FALSE,"Occ. Calcs"}</definedName>
    <definedName name="wrn.Occupancy._.Calcs." localSheetId="0" hidden="1">{#N/A,#N/A,FALSE,"Occ. Calcs"}</definedName>
    <definedName name="wrn.Occupancy._.Calcs." hidden="1">{#N/A,#N/A,FALSE,"Occ. Calcs"}</definedName>
    <definedName name="wrn.office." localSheetId="0"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ffice."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ne._.Partner." localSheetId="0" hidden="1">{#N/A,#N/A,FALSE,"graph one partner";#N/A,#N/A,FALSE,"Summary Quick Report";#N/A,#N/A,FALSE,"PROJECT  NPV E93";#N/A,#N/A,FALSE,"Project IRR G93";#N/A,#N/A,FALSE,"GENTRY NPV E94";#N/A,#N/A,FALSE,"Gentry IRR G94";#N/A,#N/A,FALSE,"PARTNER NPV E95";#N/A,#N/A,FALSE,"PARTNER IRR G95";#N/A,#N/A,FALSE,"Input Graphs";#N/A,#N/A,FALSE,"Variables &amp; Summary";#N/A,#N/A,FALSE,"cf one partner";#N/A,#N/A,FALSE,"1 design-constr timing";#N/A,#N/A,FALSE,"5 - construction budget";#N/A,#N/A,FALSE,"6 - residential grading";#N/A,#N/A,FALSE,"7-land takedowns";#N/A,#N/A,FALSE,"8-lear siegler dev rights";#N/A,#N/A,FALSE,"parcel summary"}</definedName>
    <definedName name="wrn.One._.Partner." hidden="1">{#N/A,#N/A,FALSE,"graph one partner";#N/A,#N/A,FALSE,"Summary Quick Report";#N/A,#N/A,FALSE,"PROJECT  NPV E93";#N/A,#N/A,FALSE,"Project IRR G93";#N/A,#N/A,FALSE,"GENTRY NPV E94";#N/A,#N/A,FALSE,"Gentry IRR G94";#N/A,#N/A,FALSE,"PARTNER NPV E95";#N/A,#N/A,FALSE,"PARTNER IRR G95";#N/A,#N/A,FALSE,"Input Graphs";#N/A,#N/A,FALSE,"Variables &amp; Summary";#N/A,#N/A,FALSE,"cf one partner";#N/A,#N/A,FALSE,"1 design-constr timing";#N/A,#N/A,FALSE,"5 - construction budget";#N/A,#N/A,FALSE,"6 - residential grading";#N/A,#N/A,FALSE,"7-land takedowns";#N/A,#N/A,FALSE,"8-lear siegler dev rights";#N/A,#N/A,FALSE,"parcel summary"}</definedName>
    <definedName name="wrn.ontario." localSheetId="3" hidden="1">{"page1",#N/A,FALSE,"sheet 1";"Page2",#N/A,FALSE,"sheet 1";"page3",#N/A,FALSE,"sheet 1";"page4",#N/A,FALSE,"sheet 1"}</definedName>
    <definedName name="wrn.ontario." localSheetId="6" hidden="1">{"page1",#N/A,FALSE,"sheet 1";"Page2",#N/A,FALSE,"sheet 1";"page3",#N/A,FALSE,"sheet 1";"page4",#N/A,FALSE,"sheet 1"}</definedName>
    <definedName name="wrn.ontario." localSheetId="9" hidden="1">{"page1",#N/A,FALSE,"sheet 1";"Page2",#N/A,FALSE,"sheet 1";"page3",#N/A,FALSE,"sheet 1";"page4",#N/A,FALSE,"sheet 1"}</definedName>
    <definedName name="wrn.ontario." localSheetId="2" hidden="1">{"page1",#N/A,FALSE,"sheet 1";"Page2",#N/A,FALSE,"sheet 1";"page3",#N/A,FALSE,"sheet 1";"page4",#N/A,FALSE,"sheet 1"}</definedName>
    <definedName name="wrn.ontario." localSheetId="4" hidden="1">{"page1",#N/A,FALSE,"sheet 1";"Page2",#N/A,FALSE,"sheet 1";"page3",#N/A,FALSE,"sheet 1";"page4",#N/A,FALSE,"sheet 1"}</definedName>
    <definedName name="wrn.ontario." localSheetId="0" hidden="1">{"page1",#N/A,FALSE,"sheet 1";"Page2",#N/A,FALSE,"sheet 1";"page3",#N/A,FALSE,"sheet 1";"page4",#N/A,FALSE,"sheet 1"}</definedName>
    <definedName name="wrn.ontario." hidden="1">{"page1",#N/A,FALSE,"sheet 1";"Page2",#N/A,FALSE,"sheet 1";"page3",#N/A,FALSE,"sheet 1";"page4",#N/A,FALSE,"sheet 1"}</definedName>
    <definedName name="wrn.OperatingAssumtions." localSheetId="3" hidden="1">{#N/A,#N/A,FALSE,"OperatingAssumptions"}</definedName>
    <definedName name="wrn.OperatingAssumtions." localSheetId="6" hidden="1">{#N/A,#N/A,FALSE,"OperatingAssumptions"}</definedName>
    <definedName name="wrn.OperatingAssumtions." localSheetId="9" hidden="1">{#N/A,#N/A,FALSE,"OperatingAssumptions"}</definedName>
    <definedName name="wrn.OperatingAssumtions." localSheetId="2" hidden="1">{#N/A,#N/A,FALSE,"OperatingAssumptions"}</definedName>
    <definedName name="wrn.OperatingAssumtions." localSheetId="4" hidden="1">{#N/A,#N/A,FALSE,"OperatingAssumptions"}</definedName>
    <definedName name="wrn.OperatingAssumtions." localSheetId="0" hidden="1">{#N/A,#N/A,FALSE,"OperatingAssumptions"}</definedName>
    <definedName name="wrn.OperatingAssumtions." hidden="1">{#N/A,#N/A,FALSE,"OperatingAssumptions"}</definedName>
    <definedName name="wrn.Operations._.Review." localSheetId="3" hidden="1">{#N/A,#N/A,FALSE,"Proforma Five Yr";#N/A,#N/A,FALSE,"Occ and Rate";#N/A,#N/A,FALSE,"PF Input";#N/A,#N/A,FALSE,"Hotcomps"}</definedName>
    <definedName name="wrn.Operations._.Review." localSheetId="6" hidden="1">{#N/A,#N/A,FALSE,"Proforma Five Yr";#N/A,#N/A,FALSE,"Occ and Rate";#N/A,#N/A,FALSE,"PF Input";#N/A,#N/A,FALSE,"Hotcomps"}</definedName>
    <definedName name="wrn.Operations._.Review." localSheetId="9" hidden="1">{#N/A,#N/A,FALSE,"Proforma Five Yr";#N/A,#N/A,FALSE,"Occ and Rate";#N/A,#N/A,FALSE,"PF Input";#N/A,#N/A,FALSE,"Hotcomps"}</definedName>
    <definedName name="wrn.Operations._.Review." localSheetId="2" hidden="1">{#N/A,#N/A,FALSE,"Proforma Five Yr";#N/A,#N/A,FALSE,"Occ and Rate";#N/A,#N/A,FALSE,"PF Input";#N/A,#N/A,FALSE,"Hotcomps"}</definedName>
    <definedName name="wrn.Operations._.Review." localSheetId="4" hidden="1">{#N/A,#N/A,FALSE,"Proforma Five Yr";#N/A,#N/A,FALSE,"Occ and Rate";#N/A,#N/A,FALSE,"PF Input";#N/A,#N/A,FALSE,"Hotcomps"}</definedName>
    <definedName name="wrn.Operations._.Review." localSheetId="0" hidden="1">{#N/A,#N/A,FALSE,"Proforma Five Yr";#N/A,#N/A,FALSE,"Occ and Rate";#N/A,#N/A,FALSE,"PF Input";#N/A,#N/A,FALSE,"Hotcomps"}</definedName>
    <definedName name="wrn.Operations._.Review." hidden="1">{#N/A,#N/A,FALSE,"Proforma Five Yr";#N/A,#N/A,FALSE,"Occ and Rate";#N/A,#N/A,FALSE,"PF Input";#N/A,#N/A,FALSE,"Hotcomps"}</definedName>
    <definedName name="wrn.Ops._.Charlie._.Packet." localSheetId="3" hidden="1">{#N/A,#N/A,FALSE,"Proforma Five Yr";#N/A,#N/A,FALSE,"Occ and Rate";#N/A,#N/A,FALSE,"PF Input";#N/A,#N/A,FALSE,"Ops Summary";#N/A,#N/A,FALSE,"Hotcomps"}</definedName>
    <definedName name="wrn.Ops._.Charlie._.Packet." localSheetId="6" hidden="1">{#N/A,#N/A,FALSE,"Proforma Five Yr";#N/A,#N/A,FALSE,"Occ and Rate";#N/A,#N/A,FALSE,"PF Input";#N/A,#N/A,FALSE,"Ops Summary";#N/A,#N/A,FALSE,"Hotcomps"}</definedName>
    <definedName name="wrn.Ops._.Charlie._.Packet." localSheetId="9" hidden="1">{#N/A,#N/A,FALSE,"Proforma Five Yr";#N/A,#N/A,FALSE,"Occ and Rate";#N/A,#N/A,FALSE,"PF Input";#N/A,#N/A,FALSE,"Ops Summary";#N/A,#N/A,FALSE,"Hotcomps"}</definedName>
    <definedName name="wrn.Ops._.Charlie._.Packet." localSheetId="2" hidden="1">{#N/A,#N/A,FALSE,"Proforma Five Yr";#N/A,#N/A,FALSE,"Occ and Rate";#N/A,#N/A,FALSE,"PF Input";#N/A,#N/A,FALSE,"Ops Summary";#N/A,#N/A,FALSE,"Hotcomps"}</definedName>
    <definedName name="wrn.Ops._.Charlie._.Packet." localSheetId="4" hidden="1">{#N/A,#N/A,FALSE,"Proforma Five Yr";#N/A,#N/A,FALSE,"Occ and Rate";#N/A,#N/A,FALSE,"PF Input";#N/A,#N/A,FALSE,"Ops Summary";#N/A,#N/A,FALSE,"Hotcomps"}</definedName>
    <definedName name="wrn.Ops._.Charlie._.Packet." localSheetId="0" hidden="1">{#N/A,#N/A,FALSE,"Proforma Five Yr";#N/A,#N/A,FALSE,"Occ and Rate";#N/A,#N/A,FALSE,"PF Input";#N/A,#N/A,FALSE,"Ops Summary";#N/A,#N/A,FALSE,"Hotcomps"}</definedName>
    <definedName name="wrn.Ops._.Charlie._.Packet." hidden="1">{#N/A,#N/A,FALSE,"Proforma Five Yr";#N/A,#N/A,FALSE,"Occ and Rate";#N/A,#N/A,FALSE,"PF Input";#N/A,#N/A,FALSE,"Ops Summary";#N/A,#N/A,FALSE,"Hotcomps"}</definedName>
    <definedName name="wrn.Output3Column." localSheetId="3" hidden="1">{"Output-3Column",#N/A,FALSE,"Output"}</definedName>
    <definedName name="wrn.Output3Column." localSheetId="6" hidden="1">{"Output-3Column",#N/A,FALSE,"Output"}</definedName>
    <definedName name="wrn.Output3Column." localSheetId="9" hidden="1">{"Output-3Column",#N/A,FALSE,"Output"}</definedName>
    <definedName name="wrn.Output3Column." localSheetId="2" hidden="1">{"Output-3Column",#N/A,FALSE,"Output"}</definedName>
    <definedName name="wrn.Output3Column." localSheetId="4" hidden="1">{"Output-3Column",#N/A,FALSE,"Output"}</definedName>
    <definedName name="wrn.Output3Column." localSheetId="0" hidden="1">{"Output-3Column",#N/A,FALSE,"Output"}</definedName>
    <definedName name="wrn.Output3Column." hidden="1">{"Output-3Column",#N/A,FALSE,"Output"}</definedName>
    <definedName name="wrn.OutputAll." localSheetId="3" hidden="1">{"Output-All",#N/A,FALSE,"Output"}</definedName>
    <definedName name="wrn.OutputAll." localSheetId="6" hidden="1">{"Output-All",#N/A,FALSE,"Output"}</definedName>
    <definedName name="wrn.OutputAll." localSheetId="9" hidden="1">{"Output-All",#N/A,FALSE,"Output"}</definedName>
    <definedName name="wrn.OutputAll." localSheetId="2" hidden="1">{"Output-All",#N/A,FALSE,"Output"}</definedName>
    <definedName name="wrn.OutputAll." localSheetId="4" hidden="1">{"Output-All",#N/A,FALSE,"Output"}</definedName>
    <definedName name="wrn.OutputAll." localSheetId="0" hidden="1">{"Output-All",#N/A,FALSE,"Output"}</definedName>
    <definedName name="wrn.OutputAll." hidden="1">{"Output-All",#N/A,FALSE,"Output"}</definedName>
    <definedName name="wrn.OutputBaseYear." localSheetId="3" hidden="1">{"Output-BaseYear",#N/A,FALSE,"Output"}</definedName>
    <definedName name="wrn.OutputBaseYear." localSheetId="6" hidden="1">{"Output-BaseYear",#N/A,FALSE,"Output"}</definedName>
    <definedName name="wrn.OutputBaseYear." localSheetId="9" hidden="1">{"Output-BaseYear",#N/A,FALSE,"Output"}</definedName>
    <definedName name="wrn.OutputBaseYear." localSheetId="2" hidden="1">{"Output-BaseYear",#N/A,FALSE,"Output"}</definedName>
    <definedName name="wrn.OutputBaseYear." localSheetId="4" hidden="1">{"Output-BaseYear",#N/A,FALSE,"Output"}</definedName>
    <definedName name="wrn.OutputBaseYear." localSheetId="0" hidden="1">{"Output-BaseYear",#N/A,FALSE,"Output"}</definedName>
    <definedName name="wrn.OutputBaseYear." hidden="1">{"Output-BaseYear",#N/A,FALSE,"Output"}</definedName>
    <definedName name="wrn.OutputMin." localSheetId="3" hidden="1">{"Output-Min",#N/A,FALSE,"Output"}</definedName>
    <definedName name="wrn.OutputMin." localSheetId="6" hidden="1">{"Output-Min",#N/A,FALSE,"Output"}</definedName>
    <definedName name="wrn.OutputMin." localSheetId="9" hidden="1">{"Output-Min",#N/A,FALSE,"Output"}</definedName>
    <definedName name="wrn.OutputMin." localSheetId="2" hidden="1">{"Output-Min",#N/A,FALSE,"Output"}</definedName>
    <definedName name="wrn.OutputMin." localSheetId="4" hidden="1">{"Output-Min",#N/A,FALSE,"Output"}</definedName>
    <definedName name="wrn.OutputMin." localSheetId="0" hidden="1">{"Output-Min",#N/A,FALSE,"Output"}</definedName>
    <definedName name="wrn.OutputMin." hidden="1">{"Output-Min",#N/A,FALSE,"Output"}</definedName>
    <definedName name="wrn.OutputPercent." localSheetId="3" hidden="1">{"Output%",#N/A,FALSE,"Output"}</definedName>
    <definedName name="wrn.OutputPercent." localSheetId="6" hidden="1">{"Output%",#N/A,FALSE,"Output"}</definedName>
    <definedName name="wrn.OutputPercent." localSheetId="9" hidden="1">{"Output%",#N/A,FALSE,"Output"}</definedName>
    <definedName name="wrn.OutputPercent." localSheetId="2" hidden="1">{"Output%",#N/A,FALSE,"Output"}</definedName>
    <definedName name="wrn.OutputPercent." localSheetId="4" hidden="1">{"Output%",#N/A,FALSE,"Output"}</definedName>
    <definedName name="wrn.OutputPercent." localSheetId="0" hidden="1">{"Output%",#N/A,FALSE,"Output"}</definedName>
    <definedName name="wrn.OutputPercent." hidden="1">{"Output%",#N/A,FALSE,"Output"}</definedName>
    <definedName name="wrn.p3" localSheetId="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3" localSheetId="6"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3" localSheetId="9"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3" localSheetId="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3" localSheetId="4"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3" localSheetId="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ackage." localSheetId="3"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age." localSheetId="6"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age." localSheetId="9"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age." localSheetId="2"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age." localSheetId="4"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age." localSheetId="0"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age."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ges12." localSheetId="0" hidden="1">{"page1",#N/A,FALSE,"The Sheet!!";"page2",#N/A,FALSE,"The Sheet!!"}</definedName>
    <definedName name="wrn.pages12." hidden="1">{"page1",#N/A,FALSE,"The Sheet!!";"page2",#N/A,FALSE,"The Sheet!!"}</definedName>
    <definedName name="wrn.part" localSheetId="3"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 localSheetId="9"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 localSheetId="2"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 localSheetId="4"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 localSheetId="0"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 localSheetId="3" hidden="1">{#N/A,#N/A,FALSE,"1Summary";#N/A,#N/A,FALSE,"Assumptions";#N/A,#N/A,FALSE,"Rent Roll Summary";#N/A,#N/A,FALSE,"Effective Rental Income Detail";#N/A,#N/A,FALSE,"Cash Flow Projections";#N/A,#N/A,FALSE,"Operating Statement";#N/A,#N/A,FALSE,"Pricing Matrix"}</definedName>
    <definedName name="wrn.Partial." localSheetId="6"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 localSheetId="9" hidden="1">{#N/A,#N/A,FALSE,"1Summary";#N/A,#N/A,FALSE,"Assumptions";#N/A,#N/A,FALSE,"Rent Roll Summary";#N/A,#N/A,FALSE,"Effective Rental Income Detail";#N/A,#N/A,FALSE,"Cash Flow Projections";#N/A,#N/A,FALSE,"Operating Statement";#N/A,#N/A,FALSE,"Pricing Matrix"}</definedName>
    <definedName name="wrn.Partial." localSheetId="2" hidden="1">{#N/A,#N/A,FALSE,"1Summary";#N/A,#N/A,FALSE,"Assumptions";#N/A,#N/A,FALSE,"Rent Roll Summary";#N/A,#N/A,FALSE,"Effective Rental Income Detail";#N/A,#N/A,FALSE,"Cash Flow Projections";#N/A,#N/A,FALSE,"Operating Statement";#N/A,#N/A,FALSE,"Pricing Matrix"}</definedName>
    <definedName name="wrn.Partial." localSheetId="4" hidden="1">{#N/A,#N/A,FALSE,"1Summary";#N/A,#N/A,FALSE,"Assumptions";#N/A,#N/A,FALSE,"Rent Roll Summary";#N/A,#N/A,FALSE,"Effective Rental Income Detail";#N/A,#N/A,FALSE,"Cash Flow Projections";#N/A,#N/A,FALSE,"Operating Statement";#N/A,#N/A,FALSE,"Pricing Matrix"}</definedName>
    <definedName name="wrn.Partial." localSheetId="0"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_Template." localSheetId="3" hidden="1">{#N/A,#N/A,FALSE,"1Summary";#N/A,#N/A,FALSE,"2Assumptions";#N/A,#N/A,FALSE,"3Cash Flow";#N/A,#N/A,FALSE,"6Residual";#N/A,#N/A,FALSE,"AExpiration Schedule"}</definedName>
    <definedName name="wrn.Partial_Template." localSheetId="9" hidden="1">{#N/A,#N/A,FALSE,"1Summary";#N/A,#N/A,FALSE,"2Assumptions";#N/A,#N/A,FALSE,"3Cash Flow";#N/A,#N/A,FALSE,"6Residual";#N/A,#N/A,FALSE,"AExpiration Schedule"}</definedName>
    <definedName name="wrn.Partial_Template." localSheetId="2" hidden="1">{#N/A,#N/A,FALSE,"1Summary";#N/A,#N/A,FALSE,"2Assumptions";#N/A,#N/A,FALSE,"3Cash Flow";#N/A,#N/A,FALSE,"6Residual";#N/A,#N/A,FALSE,"AExpiration Schedule"}</definedName>
    <definedName name="wrn.Partial_Template." localSheetId="4" hidden="1">{#N/A,#N/A,FALSE,"1Summary";#N/A,#N/A,FALSE,"2Assumptions";#N/A,#N/A,FALSE,"3Cash Flow";#N/A,#N/A,FALSE,"6Residual";#N/A,#N/A,FALSE,"AExpiration Schedule"}</definedName>
    <definedName name="wrn.Partial_Template." localSheetId="0" hidden="1">{#N/A,#N/A,FALSE,"1Summary";#N/A,#N/A,FALSE,"2Assumptions";#N/A,#N/A,FALSE,"3Cash Flow";#N/A,#N/A,FALSE,"6Residual";#N/A,#N/A,FALSE,"AExpiration Schedule"}</definedName>
    <definedName name="wrn.Partial_Template." hidden="1">{#N/A,#N/A,FALSE,"1Summary";#N/A,#N/A,FALSE,"2Assumptions";#N/A,#N/A,FALSE,"3Cash Flow";#N/A,#N/A,FALSE,"6Residual";#N/A,#N/A,FALSE,"AExpiration Schedule"}</definedName>
    <definedName name="wrn.Pavilion." localSheetId="0" hidden="1">{"Pavilion-Investor",#N/A,FALSE,"Pavilion";"Pavilion-Property",#N/A,FALSE,"Pavilion"}</definedName>
    <definedName name="wrn.Pavilion." hidden="1">{"Pavilion-Investor",#N/A,FALSE,"Pavilion";"Pavilion-Property",#N/A,FALSE,"Pavilion"}</definedName>
    <definedName name="wrn.Penetration." localSheetId="3" hidden="1">{#N/A,#N/A,FALSE,"Mkt Pen"}</definedName>
    <definedName name="wrn.Penetration." localSheetId="6" hidden="1">{#N/A,#N/A,FALSE,"Mkt Pen"}</definedName>
    <definedName name="wrn.Penetration." localSheetId="9" hidden="1">{#N/A,#N/A,FALSE,"Mkt Pen"}</definedName>
    <definedName name="wrn.Penetration." localSheetId="2" hidden="1">{#N/A,#N/A,FALSE,"Mkt Pen"}</definedName>
    <definedName name="wrn.Penetration." localSheetId="4" hidden="1">{#N/A,#N/A,FALSE,"Mkt Pen"}</definedName>
    <definedName name="wrn.Penetration." localSheetId="0" hidden="1">{#N/A,#N/A,FALSE,"Mkt Pen"}</definedName>
    <definedName name="wrn.Penetration." hidden="1">{#N/A,#N/A,FALSE,"Mkt Pen"}</definedName>
    <definedName name="wrn.PHA._.Proformas." localSheetId="3" hidden="1">{"Proforma - 10y PHA All","all PHA",FALSE,"PHA Proformas";"Proforma - 10yr PHA op sub","op sub",FALSE,"PHA Proformas";"Proforma - 10yr cap only","cap only",FALSE,"PHA Proformas"}</definedName>
    <definedName name="wrn.PHA._.Proformas." localSheetId="9" hidden="1">{"Proforma - 10y PHA All","all PHA",FALSE,"PHA Proformas";"Proforma - 10yr PHA op sub","op sub",FALSE,"PHA Proformas";"Proforma - 10yr cap only","cap only",FALSE,"PHA Proformas"}</definedName>
    <definedName name="wrn.PHA._.Proformas." localSheetId="2" hidden="1">{"Proforma - 10y PHA All","all PHA",FALSE,"PHA Proformas";"Proforma - 10yr PHA op sub","op sub",FALSE,"PHA Proformas";"Proforma - 10yr cap only","cap only",FALSE,"PHA Proformas"}</definedName>
    <definedName name="wrn.PHA._.Proformas." localSheetId="4" hidden="1">{"Proforma - 10y PHA All","all PHA",FALSE,"PHA Proformas";"Proforma - 10yr PHA op sub","op sub",FALSE,"PHA Proformas";"Proforma - 10yr cap only","cap only",FALSE,"PHA Proformas"}</definedName>
    <definedName name="wrn.PHA._.Proformas." localSheetId="0" hidden="1">{"Proforma - 10y PHA All","all PHA",FALSE,"PHA Proformas";"Proforma - 10yr PHA op sub","op sub",FALSE,"PHA Proformas";"Proforma - 10yr cap only","cap only",FALSE,"PHA Proformas"}</definedName>
    <definedName name="wrn.PHA._.Proformas." hidden="1">{"Proforma - 10y PHA All","all PHA",FALSE,"PHA Proformas";"Proforma - 10yr PHA op sub","op sub",FALSE,"PHA Proformas";"Proforma - 10yr cap only","cap only",FALSE,"PHA Proformas"}</definedName>
    <definedName name="wrn.Phase._.I." localSheetId="3" hidden="1">{#N/A,#N/A,FALSE,"Transaction Summary-DTW";#N/A,#N/A,FALSE,"Proforma Five Yr";#N/A,#N/A,FALSE,"Occ and Rate"}</definedName>
    <definedName name="wrn.Phase._.I." localSheetId="6" hidden="1">{#N/A,#N/A,FALSE,"Transaction Summary-DTW";#N/A,#N/A,FALSE,"Proforma Five Yr";#N/A,#N/A,FALSE,"Occ and Rate"}</definedName>
    <definedName name="wrn.Phase._.I." localSheetId="9" hidden="1">{#N/A,#N/A,FALSE,"Transaction Summary-DTW";#N/A,#N/A,FALSE,"Proforma Five Yr";#N/A,#N/A,FALSE,"Occ and Rate"}</definedName>
    <definedName name="wrn.Phase._.I." localSheetId="2" hidden="1">{#N/A,#N/A,FALSE,"Transaction Summary-DTW";#N/A,#N/A,FALSE,"Proforma Five Yr";#N/A,#N/A,FALSE,"Occ and Rate"}</definedName>
    <definedName name="wrn.Phase._.I." localSheetId="4" hidden="1">{#N/A,#N/A,FALSE,"Transaction Summary-DTW";#N/A,#N/A,FALSE,"Proforma Five Yr";#N/A,#N/A,FALSE,"Occ and Rate"}</definedName>
    <definedName name="wrn.Phase._.I." localSheetId="0" hidden="1">{#N/A,#N/A,FALSE,"Transaction Summary-DTW";#N/A,#N/A,FALSE,"Proforma Five Yr";#N/A,#N/A,FALSE,"Occ and Rate"}</definedName>
    <definedName name="wrn.Phase._.I." hidden="1">{#N/A,#N/A,FALSE,"Transaction Summary-DTW";#N/A,#N/A,FALSE,"Proforma Five Yr";#N/A,#N/A,FALSE,"Occ and Rate"}</definedName>
    <definedName name="wrn.Portfolio." localSheetId="3" hidden="1">{#N/A,#N/A,FALSE,"Portfolio Summary";#N/A,#N/A,FALSE,"Portfolio Operating Stmt";#N/A,#N/A,FALSE,"Portfolio Cash Flow"}</definedName>
    <definedName name="wrn.Portfolio." localSheetId="9" hidden="1">{#N/A,#N/A,FALSE,"Portfolio Summary";#N/A,#N/A,FALSE,"Portfolio Operating Stmt";#N/A,#N/A,FALSE,"Portfolio Cash Flow"}</definedName>
    <definedName name="wrn.Portfolio." localSheetId="2" hidden="1">{#N/A,#N/A,FALSE,"Portfolio Summary";#N/A,#N/A,FALSE,"Portfolio Operating Stmt";#N/A,#N/A,FALSE,"Portfolio Cash Flow"}</definedName>
    <definedName name="wrn.Portfolio." localSheetId="4" hidden="1">{#N/A,#N/A,FALSE,"Portfolio Summary";#N/A,#N/A,FALSE,"Portfolio Operating Stmt";#N/A,#N/A,FALSE,"Portfolio Cash Flow"}</definedName>
    <definedName name="wrn.Portfolio." localSheetId="0" hidden="1">{#N/A,#N/A,FALSE,"Portfolio Summary";#N/A,#N/A,FALSE,"Portfolio Operating Stmt";#N/A,#N/A,FALSE,"Portfolio Cash Flow"}</definedName>
    <definedName name="wrn.Portfolio." hidden="1">{#N/A,#N/A,FALSE,"Portfolio Summary";#N/A,#N/A,FALSE,"Portfolio Operating Stmt";#N/A,#N/A,FALSE,"Portfolio Cash Flow"}</definedName>
    <definedName name="wrn.PR_TRIAL_BALANCE." localSheetId="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_TRIAL_BALANCE." localSheetId="6"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_TRIAL_BALANCE." localSheetId="9"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_TRIAL_BALANCE." localSheetId="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_TRIAL_BALANCE." localSheetId="4"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_TRIAL_BALANCE." localSheetId="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_TRIAL_BALANCE."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elist." localSheetId="0" hidden="1">{#N/A,#N/A,FALSE,"rent roll";#N/A,#N/A,FALSE,"I&amp;E";#N/A,#N/A,FALSE,"96noleaseup";#N/A,#N/A,FALSE,"96noleaseup matrix";#N/A,#N/A,FALSE,"leaseup96";#N/A,#N/A,FALSE,"leaseup96 matrix";#N/A,#N/A,FALSE,"Leaseup and Exp."}</definedName>
    <definedName name="wrn.prelist." hidden="1">{#N/A,#N/A,FALSE,"rent roll";#N/A,#N/A,FALSE,"I&amp;E";#N/A,#N/A,FALSE,"96noleaseup";#N/A,#N/A,FALSE,"96noleaseup matrix";#N/A,#N/A,FALSE,"leaseup96";#N/A,#N/A,FALSE,"leaseup96 matrix";#N/A,#N/A,FALSE,"Leaseup and Exp."}</definedName>
    <definedName name="wrn.Presentation." localSheetId="3" hidden="1">{#N/A,#N/A,TRUE,"Summary";"AnnualRentRoll",#N/A,TRUE,"RentRoll";#N/A,#N/A,TRUE,"ExitStratigy";#N/A,#N/A,TRUE,"OperatingAssumptions"}</definedName>
    <definedName name="wrn.Presentation." localSheetId="6" hidden="1">{#N/A,#N/A,TRUE,"Summary";"AnnualRentRoll",#N/A,TRUE,"RentRoll";#N/A,#N/A,TRUE,"ExitStratigy";#N/A,#N/A,TRUE,"OperatingAssumptions"}</definedName>
    <definedName name="wrn.Presentation." localSheetId="9" hidden="1">{#N/A,#N/A,TRUE,"Summary";"AnnualRentRoll",#N/A,TRUE,"RentRoll";#N/A,#N/A,TRUE,"ExitStratigy";#N/A,#N/A,TRUE,"OperatingAssumptions"}</definedName>
    <definedName name="wrn.Presentation." localSheetId="2" hidden="1">{#N/A,#N/A,TRUE,"Summary";"AnnualRentRoll",#N/A,TRUE,"RentRoll";#N/A,#N/A,TRUE,"ExitStratigy";#N/A,#N/A,TRUE,"OperatingAssumptions"}</definedName>
    <definedName name="wrn.Presentation." localSheetId="4" hidden="1">{#N/A,#N/A,TRUE,"Summary";"AnnualRentRoll",#N/A,TRUE,"RentRoll";#N/A,#N/A,TRUE,"ExitStratigy";#N/A,#N/A,TRUE,"OperatingAssumptions"}</definedName>
    <definedName name="wrn.Presentation." localSheetId="0" hidden="1">{#N/A,#N/A,TRUE,"Summary";"AnnualRentRoll",#N/A,TRUE,"RentRoll";#N/A,#N/A,TRUE,"ExitStratigy";#N/A,#N/A,TRUE,"OperatingAssumptions"}</definedName>
    <definedName name="wrn.Presentation." hidden="1">{#N/A,#N/A,TRUE,"Summary";"AnnualRentRoll",#N/A,TRUE,"RentRoll";#N/A,#N/A,TRUE,"ExitStratigy";#N/A,#N/A,TRUE,"OperatingAssumptions"}</definedName>
    <definedName name="wrn.Pricing._.Strategy." localSheetId="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 localSheetId="6"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 localSheetId="9"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 localSheetId="2"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 localSheetId="4"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 localSheetId="0"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mary._.Competition." localSheetId="3" hidden="1">{#N/A,#N/A,FALSE,"Primary"}</definedName>
    <definedName name="wrn.Primary._.Competition." localSheetId="6" hidden="1">{#N/A,#N/A,FALSE,"Primary"}</definedName>
    <definedName name="wrn.Primary._.Competition." localSheetId="9" hidden="1">{#N/A,#N/A,FALSE,"Primary"}</definedName>
    <definedName name="wrn.Primary._.Competition." localSheetId="2" hidden="1">{#N/A,#N/A,FALSE,"Primary"}</definedName>
    <definedName name="wrn.Primary._.Competition." localSheetId="4" hidden="1">{#N/A,#N/A,FALSE,"Primary"}</definedName>
    <definedName name="wrn.Primary._.Competition." localSheetId="0" hidden="1">{#N/A,#N/A,FALSE,"Primary"}</definedName>
    <definedName name="wrn.Primary._.Competition." hidden="1">{#N/A,#N/A,FALSE,"Primary"}</definedName>
    <definedName name="wrn.Print." localSheetId="3" hidden="1">{#N/A,#N/A,TRUE,"Cover";#N/A,#N/A,TRUE,"Stack";#N/A,#N/A,TRUE,"Cost S";#N/A,#N/A,TRUE,"Financing";#N/A,#N/A,TRUE," CF";#N/A,#N/A,TRUE,"CF Mnthly";#N/A,#N/A,TRUE,"CF assum";#N/A,#N/A,TRUE,"Unit Sales";#N/A,#N/A,TRUE,"REV";#N/A,#N/A,TRUE,"Bdgt Backup"}</definedName>
    <definedName name="wrn.print." localSheetId="6" hidden="1">{"page1",#N/A,FALSE,"Sheet1";"page2",#N/A,FALSE,"Sheet1"}</definedName>
    <definedName name="wrn.Print." localSheetId="9" hidden="1">{#N/A,#N/A,TRUE,"Cover";#N/A,#N/A,TRUE,"Stack";#N/A,#N/A,TRUE,"Cost S";#N/A,#N/A,TRUE,"Financing";#N/A,#N/A,TRUE," CF";#N/A,#N/A,TRUE,"CF Mnthly";#N/A,#N/A,TRUE,"CF assum";#N/A,#N/A,TRUE,"Unit Sales";#N/A,#N/A,TRUE,"REV";#N/A,#N/A,TRUE,"Bdgt Backup"}</definedName>
    <definedName name="wrn.Print." localSheetId="11" hidden="1">{#N/A,#N/A,TRUE,"Cover";#N/A,#N/A,TRUE,"Stack";#N/A,#N/A,TRUE,"Cost S";#N/A,#N/A,TRUE,"Financing";#N/A,#N/A,TRUE," CF";#N/A,#N/A,TRUE,"CF Mnthly";#N/A,#N/A,TRUE,"CF assum";#N/A,#N/A,TRUE,"Unit Sales";#N/A,#N/A,TRUE,"REV";#N/A,#N/A,TRUE,"Bdgt Backup"}</definedName>
    <definedName name="wrn.Print." localSheetId="2" hidden="1">{#N/A,#N/A,TRUE,"Cover";#N/A,#N/A,TRUE,"Stack";#N/A,#N/A,TRUE,"Cost S";#N/A,#N/A,TRUE,"Financing";#N/A,#N/A,TRUE," CF";#N/A,#N/A,TRUE,"CF Mnthly";#N/A,#N/A,TRUE,"CF assum";#N/A,#N/A,TRUE,"Unit Sales";#N/A,#N/A,TRUE,"REV";#N/A,#N/A,TRUE,"Bdgt Backup"}</definedName>
    <definedName name="wrn.Print." localSheetId="4" hidden="1">{#N/A,#N/A,TRUE,"Cover";#N/A,#N/A,TRUE,"Stack";#N/A,#N/A,TRUE,"Cost S";#N/A,#N/A,TRUE,"Financing";#N/A,#N/A,TRUE," CF";#N/A,#N/A,TRUE,"CF Mnthly";#N/A,#N/A,TRUE,"CF assum";#N/A,#N/A,TRUE,"Unit Sales";#N/A,#N/A,TRUE,"REV";#N/A,#N/A,TRUE,"Bdgt Backup"}</definedName>
    <definedName name="wrn.Print." localSheetId="0" hidden="1">{#N/A,#N/A,TRUE,"Cover";#N/A,#N/A,TRUE,"Stack";#N/A,#N/A,TRUE,"Cost S";#N/A,#N/A,TRUE,"Financing";#N/A,#N/A,TRUE," CF";#N/A,#N/A,TRUE,"CF Mnthly";#N/A,#N/A,TRUE,"CF assum";#N/A,#N/A,TRUE,"Unit Sales";#N/A,#N/A,TRUE,"REV";#N/A,#N/A,TRUE,"Bdgt Backup"}</definedName>
    <definedName name="wrn.Print." hidden="1">{#N/A,#N/A,TRUE,"Cover";#N/A,#N/A,TRUE,"Stack";#N/A,#N/A,TRUE,"Cost S";#N/A,#N/A,TRUE,"Financing";#N/A,#N/A,TRUE," CF";#N/A,#N/A,TRUE,"CF Mnthly";#N/A,#N/A,TRUE,"CF assum";#N/A,#N/A,TRUE,"Unit Sales";#N/A,#N/A,TRUE,"REV";#N/A,#N/A,TRUE,"Bdgt Backup"}</definedName>
    <definedName name="wrn.Print._.4." localSheetId="3" hidden="1">{"Outflow 1",#N/A,FALSE,"Outflows-Inflows";"Outflow 2",#N/A,FALSE,"Outflows-Inflows";"Inflow 1",#N/A,FALSE,"Outflows-Inflows";"Inflow 2",#N/A,FALSE,"Outflows-Inflows"}</definedName>
    <definedName name="wrn.Print._.4." localSheetId="6" hidden="1">{"Outflow 1",#N/A,FALSE,"Outflows-Inflows";"Outflow 2",#N/A,FALSE,"Outflows-Inflows";"Inflow 1",#N/A,FALSE,"Outflows-Inflows";"Inflow 2",#N/A,FALSE,"Outflows-Inflows"}</definedName>
    <definedName name="wrn.Print._.4." localSheetId="9" hidden="1">{"Outflow 1",#N/A,FALSE,"Outflows-Inflows";"Outflow 2",#N/A,FALSE,"Outflows-Inflows";"Inflow 1",#N/A,FALSE,"Outflows-Inflows";"Inflow 2",#N/A,FALSE,"Outflows-Inflows"}</definedName>
    <definedName name="wrn.Print._.4." localSheetId="2" hidden="1">{"Outflow 1",#N/A,FALSE,"Outflows-Inflows";"Outflow 2",#N/A,FALSE,"Outflows-Inflows";"Inflow 1",#N/A,FALSE,"Outflows-Inflows";"Inflow 2",#N/A,FALSE,"Outflows-Inflows"}</definedName>
    <definedName name="wrn.Print._.4." localSheetId="4" hidden="1">{"Outflow 1",#N/A,FALSE,"Outflows-Inflows";"Outflow 2",#N/A,FALSE,"Outflows-Inflows";"Inflow 1",#N/A,FALSE,"Outflows-Inflows";"Inflow 2",#N/A,FALSE,"Outflows-Inflows"}</definedName>
    <definedName name="wrn.Print._.4." localSheetId="0" hidden="1">{"Outflow 1",#N/A,FALSE,"Outflows-Inflows";"Outflow 2",#N/A,FALSE,"Outflows-Inflows";"Inflow 1",#N/A,FALSE,"Outflows-Inflows";"Inflow 2",#N/A,FALSE,"Outflows-Inflows"}</definedName>
    <definedName name="wrn.Print._.4." hidden="1">{"Outflow 1",#N/A,FALSE,"Outflows-Inflows";"Outflow 2",#N/A,FALSE,"Outflows-Inflows";"Inflow 1",#N/A,FALSE,"Outflows-Inflows";"Inflow 2",#N/A,FALSE,"Outflows-Inflows"}</definedName>
    <definedName name="wrn.Print._.6." localSheetId="3" hidden="1">{"print 1.6",#N/A,FALSE,"Sheet1";"print 2.6",#N/A,FALSE,"Sheet1";"print 3.6",#N/A,FALSE,"Sheet1";"print 4.6",#N/A,FALSE,"Sheet1";"print 5.6",#N/A,FALSE,"Sheet1";"print 6.6",#N/A,FALSE,"Sheet1"}</definedName>
    <definedName name="wrn.Print._.6." localSheetId="6" hidden="1">{"print 1.6",#N/A,FALSE,"Sheet1";"print 2.6",#N/A,FALSE,"Sheet1";"print 3.6",#N/A,FALSE,"Sheet1";"print 4.6",#N/A,FALSE,"Sheet1";"print 5.6",#N/A,FALSE,"Sheet1";"print 6.6",#N/A,FALSE,"Sheet1"}</definedName>
    <definedName name="wrn.Print._.6." localSheetId="9" hidden="1">{"print 1.6",#N/A,FALSE,"Sheet1";"print 2.6",#N/A,FALSE,"Sheet1";"print 3.6",#N/A,FALSE,"Sheet1";"print 4.6",#N/A,FALSE,"Sheet1";"print 5.6",#N/A,FALSE,"Sheet1";"print 6.6",#N/A,FALSE,"Sheet1"}</definedName>
    <definedName name="wrn.Print._.6." localSheetId="2" hidden="1">{"print 1.6",#N/A,FALSE,"Sheet1";"print 2.6",#N/A,FALSE,"Sheet1";"print 3.6",#N/A,FALSE,"Sheet1";"print 4.6",#N/A,FALSE,"Sheet1";"print 5.6",#N/A,FALSE,"Sheet1";"print 6.6",#N/A,FALSE,"Sheet1"}</definedName>
    <definedName name="wrn.Print._.6." localSheetId="4" hidden="1">{"print 1.6",#N/A,FALSE,"Sheet1";"print 2.6",#N/A,FALSE,"Sheet1";"print 3.6",#N/A,FALSE,"Sheet1";"print 4.6",#N/A,FALSE,"Sheet1";"print 5.6",#N/A,FALSE,"Sheet1";"print 6.6",#N/A,FALSE,"Sheet1"}</definedName>
    <definedName name="wrn.Print._.6." localSheetId="0" hidden="1">{"print 1.6",#N/A,FALSE,"Sheet1";"print 2.6",#N/A,FALSE,"Sheet1";"print 3.6",#N/A,FALSE,"Sheet1";"print 4.6",#N/A,FALSE,"Sheet1";"print 5.6",#N/A,FALSE,"Sheet1";"print 6.6",#N/A,FALSE,"Sheet1"}</definedName>
    <definedName name="wrn.Print._.6." hidden="1">{"print 1.6",#N/A,FALSE,"Sheet1";"print 2.6",#N/A,FALSE,"Sheet1";"print 3.6",#N/A,FALSE,"Sheet1";"print 4.6",#N/A,FALSE,"Sheet1";"print 5.6",#N/A,FALSE,"Sheet1";"print 6.6",#N/A,FALSE,"Sheet1"}</definedName>
    <definedName name="wrn.Print._.Acq._.and._.Develop._.Assumptions." localSheetId="0" hidden="1">{"Acquisition and Develop Assumptions",#N/A,FALSE,"Rossmore"}</definedName>
    <definedName name="wrn.Print._.Acq._.and._.Develop._.Assumptions." hidden="1">{"Acquisition and Develop Assumptions",#N/A,FALSE,"Rossmore"}</definedName>
    <definedName name="wrn.Print._.All." localSheetId="3" hidden="1">{"Regency",#N/A,FALSE,"Consolidated";"Laurel",#N/A,FALSE,"Consolidated";"Consolidated Unlevered",#N/A,FALSE,"Consolidated";"Consolidated Levered",#N/A,FALSE,"Consolidated"}</definedName>
    <definedName name="wrn.Print._.All." localSheetId="6" hidden="1">{#N/A,#N/A,FALSE,"I&amp;E";#N/A,#N/A,FALSE,"rent roll";#N/A,#N/A,FALSE,"96noleaseup";#N/A,#N/A,FALSE,"96noleaseup matrix";#N/A,#N/A,FALSE,"leaseup 96";#N/A,#N/A,FALSE,"leaseup 96 matrix";#N/A,#N/A,FALSE,"Leaseup and Exp."}</definedName>
    <definedName name="wrn.Print._.All." localSheetId="9" hidden="1">{"Regency",#N/A,FALSE,"Consolidated";"Laurel",#N/A,FALSE,"Consolidated";"Consolidated Unlevered",#N/A,FALSE,"Consolidated";"Consolidated Levered",#N/A,FALSE,"Consolidated"}</definedName>
    <definedName name="wrn.Print._.All." localSheetId="2" hidden="1">{"Regency",#N/A,FALSE,"Consolidated";"Laurel",#N/A,FALSE,"Consolidated";"Consolidated Unlevered",#N/A,FALSE,"Consolidated";"Consolidated Levered",#N/A,FALSE,"Consolidated"}</definedName>
    <definedName name="wrn.Print._.All." localSheetId="4" hidden="1">{"Regency",#N/A,FALSE,"Consolidated";"Laurel",#N/A,FALSE,"Consolidated";"Consolidated Unlevered",#N/A,FALSE,"Consolidated";"Consolidated Levered",#N/A,FALSE,"Consolidated"}</definedName>
    <definedName name="wrn.Print._.All." localSheetId="0" hidden="1">{"Regency",#N/A,FALSE,"Consolidated";"Laurel",#N/A,FALSE,"Consolidated";"Consolidated Unlevered",#N/A,FALSE,"Consolidated";"Consolidated Levered",#N/A,FALSE,"Consolidated"}</definedName>
    <definedName name="wrn.Print._.All." hidden="1">{"Regency",#N/A,FALSE,"Consolidated";"Laurel",#N/A,FALSE,"Consolidated";"Consolidated Unlevered",#N/A,FALSE,"Consolidated";"Consolidated Levered",#N/A,FALSE,"Consolidated"}</definedName>
    <definedName name="wrn.Print._.All._.Improved._.Sales." localSheetId="0" hidden="1">{#N/A,#N/A,FALSE,"Sale 1";#N/A,#N/A,FALSE,"Sale 2";#N/A,#N/A,FALSE,"Sale 3";#N/A,#N/A,FALSE,"Sale 4";#N/A,#N/A,FALSE,"Sale 5";#N/A,#N/A,FALSE,"Sale 6";#N/A,#N/A,FALSE,"Sale 7";#N/A,#N/A,FALSE,"Sale 8";#N/A,#N/A,FALSE,"Sale 9";#N/A,#N/A,FALSE,"Sale 10";#N/A,#N/A,FALSE,"Sale 11";#N/A,#N/A,FALSE,"Sale 12"}</definedName>
    <definedName name="wrn.Print._.All._.Improved._.Sales." hidden="1">{#N/A,#N/A,FALSE,"Sale 1";#N/A,#N/A,FALSE,"Sale 2";#N/A,#N/A,FALSE,"Sale 3";#N/A,#N/A,FALSE,"Sale 4";#N/A,#N/A,FALSE,"Sale 5";#N/A,#N/A,FALSE,"Sale 6";#N/A,#N/A,FALSE,"Sale 7";#N/A,#N/A,FALSE,"Sale 8";#N/A,#N/A,FALSE,"Sale 9";#N/A,#N/A,FALSE,"Sale 10";#N/A,#N/A,FALSE,"Sale 11";#N/A,#N/A,FALSE,"Sale 12"}</definedName>
    <definedName name="wrn.Print._.All._.Report._.Pages." localSheetId="0"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Report._.Pages."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Reports." localSheetId="0" hidden="1">{"Acquisition and Develop Assumptions",#N/A,FALSE,"Rossmore";"Cash Flows",#N/A,FALSE,"Rossmore";"Unit Rent Analysis",#N/A,FALSE,"Rossmore";"Return Analysis",#N/A,FALSE,"Rossmore";"Joint Venture Analysis",#N/A,FALSE,"Rossmore"}</definedName>
    <definedName name="wrn.Print._.All._.Reports." hidden="1">{"Acquisition and Develop Assumptions",#N/A,FALSE,"Rossmore";"Cash Flows",#N/A,FALSE,"Rossmore";"Unit Rent Analysis",#N/A,FALSE,"Rossmore";"Return Analysis",#N/A,FALSE,"Rossmore";"Joint Venture Analysis",#N/A,FALSE,"Rossmore"}</definedName>
    <definedName name="wrn.Print._.Cash._.Flows." localSheetId="0" hidden="1">{"Cash Flows",#N/A,FALSE,"Rossmore"}</definedName>
    <definedName name="wrn.Print._.Cash._.Flows." hidden="1">{"Cash Flows",#N/A,FALSE,"Rossmore"}</definedName>
    <definedName name="wrn.Print._.Cash._.Flows._.and._.Assumptions." localSheetId="0" hidden="1">{"Cash Flows and Assumptions",#N/A,FALSE,"Rossmore"}</definedName>
    <definedName name="wrn.Print._.Cash._.Flows._.and._.Assumptions." hidden="1">{"Cash Flows and Assumptions",#N/A,FALSE,"Rossmore"}</definedName>
    <definedName name="wrn.Print._.Debt._.Calculations." localSheetId="0" hidden="1">{"Debt Calculations",#N/A,FALSE,"Hillside"}</definedName>
    <definedName name="wrn.Print._.Debt._.Calculations." hidden="1">{"Debt Calculations",#N/A,FALSE,"Hillside"}</definedName>
    <definedName name="wrn.Print._.Entire._.Workbook." localSheetId="3"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 localSheetId="6"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 localSheetId="9"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 localSheetId="2"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 localSheetId="4"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 localSheetId="0"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Inv._.Rec." localSheetId="0" hidden="1">{"Cash Flows",#N/A,FALSE,"Hillside";"Return Analysis",#N/A,FALSE,"Hillside";#N/A,#N/A,FALSE,"Hillside"}</definedName>
    <definedName name="wrn.Print._.Inv._.Rec." hidden="1">{"Cash Flows",#N/A,FALSE,"Hillside";"Return Analysis",#N/A,FALSE,"Hillside";#N/A,#N/A,FALSE,"Hillside"}</definedName>
    <definedName name="wrn.Print._.It." localSheetId="3" hidden="1">{#N/A,#N/A,TRUE,"base case";#N/A,#N/A,TRUE,"valuation";#N/A,#N/A,TRUE,"sources and uses";#N/A,#N/A,TRUE,"recapitalization";#N/A,#N/A,TRUE,"flowchart";#N/A,#N/A,TRUE,"summary";#N/A,#N/A,TRUE,"sensitivities";#N/A,#N/A,TRUE,"pro forma";#N/A,#N/A,TRUE,"PAC shares"}</definedName>
    <definedName name="wrn.Print._.It." localSheetId="6" hidden="1">{#N/A,#N/A,TRUE,"base case";#N/A,#N/A,TRUE,"valuation";#N/A,#N/A,TRUE,"sources and uses";#N/A,#N/A,TRUE,"recapitalization";#N/A,#N/A,TRUE,"flowchart";#N/A,#N/A,TRUE,"summary";#N/A,#N/A,TRUE,"sensitivities";#N/A,#N/A,TRUE,"pro forma";#N/A,#N/A,TRUE,"PAC shares"}</definedName>
    <definedName name="wrn.Print._.It." localSheetId="9" hidden="1">{#N/A,#N/A,TRUE,"base case";#N/A,#N/A,TRUE,"valuation";#N/A,#N/A,TRUE,"sources and uses";#N/A,#N/A,TRUE,"recapitalization";#N/A,#N/A,TRUE,"flowchart";#N/A,#N/A,TRUE,"summary";#N/A,#N/A,TRUE,"sensitivities";#N/A,#N/A,TRUE,"pro forma";#N/A,#N/A,TRUE,"PAC shares"}</definedName>
    <definedName name="wrn.Print._.It." localSheetId="2" hidden="1">{#N/A,#N/A,TRUE,"base case";#N/A,#N/A,TRUE,"valuation";#N/A,#N/A,TRUE,"sources and uses";#N/A,#N/A,TRUE,"recapitalization";#N/A,#N/A,TRUE,"flowchart";#N/A,#N/A,TRUE,"summary";#N/A,#N/A,TRUE,"sensitivities";#N/A,#N/A,TRUE,"pro forma";#N/A,#N/A,TRUE,"PAC shares"}</definedName>
    <definedName name="wrn.Print._.It." localSheetId="4" hidden="1">{#N/A,#N/A,TRUE,"base case";#N/A,#N/A,TRUE,"valuation";#N/A,#N/A,TRUE,"sources and uses";#N/A,#N/A,TRUE,"recapitalization";#N/A,#N/A,TRUE,"flowchart";#N/A,#N/A,TRUE,"summary";#N/A,#N/A,TRUE,"sensitivities";#N/A,#N/A,TRUE,"pro forma";#N/A,#N/A,TRUE,"PAC shares"}</definedName>
    <definedName name="wrn.Print._.It." localSheetId="0" hidden="1">{#N/A,#N/A,TRUE,"base case";#N/A,#N/A,TRUE,"valuation";#N/A,#N/A,TRUE,"sources and uses";#N/A,#N/A,TRUE,"recapitalization";#N/A,#N/A,TRUE,"flowchart";#N/A,#N/A,TRUE,"summary";#N/A,#N/A,TRUE,"sensitivities";#N/A,#N/A,TRUE,"pro forma";#N/A,#N/A,TRUE,"PAC shares"}</definedName>
    <definedName name="wrn.Print._.It." hidden="1">{#N/A,#N/A,TRUE,"base case";#N/A,#N/A,TRUE,"valuation";#N/A,#N/A,TRUE,"sources and uses";#N/A,#N/A,TRUE,"recapitalization";#N/A,#N/A,TRUE,"flowchart";#N/A,#N/A,TRUE,"summary";#N/A,#N/A,TRUE,"sensitivities";#N/A,#N/A,TRUE,"pro forma";#N/A,#N/A,TRUE,"PAC shares"}</definedName>
    <definedName name="wrn.Print._.Joint._.Venture._.Analysis." localSheetId="0" hidden="1">{"Joint Venture Analysis",#N/A,FALSE,"Rossmore"}</definedName>
    <definedName name="wrn.Print._.Joint._.Venture._.Analysis." hidden="1">{"Joint Venture Analysis",#N/A,FALSE,"Rossmore"}</definedName>
    <definedName name="wrn.Print._.Package." localSheetId="0" hidden="1">{#N/A,#N/A,FALSE,"rent roll";#N/A,#N/A,FALSE,"I&amp;E";#N/A,#N/A,FALSE,"Sales";#N/A,#N/A,FALSE,"% rent";#N/A,#N/A,FALSE,"no leasup 96";#N/A,#N/A,FALSE,"96 Cap Matrix No Leaseup";#N/A,#N/A,FALSE,"Proforma (2)";#N/A,#N/A,FALSE,"Proforma Matrix (2)";#N/A,#N/A,FALSE,"Offering Summary";#N/A,#N/A,FALSE,"RE TAX"}</definedName>
    <definedName name="wrn.Print._.Package." hidden="1">{#N/A,#N/A,FALSE,"rent roll";#N/A,#N/A,FALSE,"I&amp;E";#N/A,#N/A,FALSE,"Sales";#N/A,#N/A,FALSE,"% rent";#N/A,#N/A,FALSE,"no leasup 96";#N/A,#N/A,FALSE,"96 Cap Matrix No Leaseup";#N/A,#N/A,FALSE,"Proforma (2)";#N/A,#N/A,FALSE,"Proforma Matrix (2)";#N/A,#N/A,FALSE,"Offering Summary";#N/A,#N/A,FALSE,"RE TAX"}</definedName>
    <definedName name="wrn.Print._.Rent._.Comps." localSheetId="0" hidden="1">{#N/A,#N/A,FALSE,"Rent 1";#N/A,#N/A,FALSE,"Rent 2";#N/A,#N/A,FALSE,"Rent 3";#N/A,#N/A,FALSE,"Rent 4";#N/A,#N/A,FALSE,"Rent 5";#N/A,#N/A,FALSE,"Rent 6";#N/A,#N/A,FALSE,"Rent 7";#N/A,#N/A,FALSE,"Rent 8"}</definedName>
    <definedName name="wrn.Print._.Rent._.Comps." hidden="1">{#N/A,#N/A,FALSE,"Rent 1";#N/A,#N/A,FALSE,"Rent 2";#N/A,#N/A,FALSE,"Rent 3";#N/A,#N/A,FALSE,"Rent 4";#N/A,#N/A,FALSE,"Rent 5";#N/A,#N/A,FALSE,"Rent 6";#N/A,#N/A,FALSE,"Rent 7";#N/A,#N/A,FALSE,"Rent 8"}</definedName>
    <definedName name="wrn.Print._.Report._.Package." localSheetId="0" hidden="1">{"Cash Flows",#N/A,FALSE,"Rossmore";"Return Analysis",#N/A,FALSE,"Rossmore";"Unit Rent Analysis",#N/A,FALSE,"Rossmore"}</definedName>
    <definedName name="wrn.Print._.Report._.Package." hidden="1">{"Cash Flows",#N/A,FALSE,"Rossmore";"Return Analysis",#N/A,FALSE,"Rossmore";"Unit Rent Analysis",#N/A,FALSE,"Rossmore"}</definedName>
    <definedName name="wrn.Print._.Return._.Analysis." localSheetId="0" hidden="1">{"Return Analysis",#N/A,FALSE,"Rossmore"}</definedName>
    <definedName name="wrn.Print._.Return._.Analysis." hidden="1">{"Return Analysis",#N/A,FALSE,"Rossmore"}</definedName>
    <definedName name="wrn.Print._.Summary." localSheetId="3" hidden="1">{"Consolidated Unlevered",#N/A,FALSE,"Consolidated";"Consolidated Levered",#N/A,FALSE,"Consolidated"}</definedName>
    <definedName name="wrn.Print._.Summary." localSheetId="9" hidden="1">{"Consolidated Unlevered",#N/A,FALSE,"Consolidated";"Consolidated Levered",#N/A,FALSE,"Consolidated"}</definedName>
    <definedName name="wrn.Print._.Summary." localSheetId="2" hidden="1">{"Consolidated Unlevered",#N/A,FALSE,"Consolidated";"Consolidated Levered",#N/A,FALSE,"Consolidated"}</definedName>
    <definedName name="wrn.Print._.Summary." localSheetId="4" hidden="1">{"Consolidated Unlevered",#N/A,FALSE,"Consolidated";"Consolidated Levered",#N/A,FALSE,"Consolidated"}</definedName>
    <definedName name="wrn.Print._.Summary." localSheetId="0" hidden="1">{"Consolidated Unlevered",#N/A,FALSE,"Consolidated";"Consolidated Levered",#N/A,FALSE,"Consolidated"}</definedName>
    <definedName name="wrn.Print._.Summary." hidden="1">{"Consolidated Unlevered",#N/A,FALSE,"Consolidated";"Consolidated Levered",#N/A,FALSE,"Consolidated"}</definedName>
    <definedName name="wrn.Print._.Unit._.Rent._.Analysis." localSheetId="0" hidden="1">{"Unit Rent Analysis",#N/A,FALSE,"Rossmore"}</definedName>
    <definedName name="wrn.Print._.Unit._.Rent._.Analysis." hidden="1">{"Unit Rent Analysis",#N/A,FALSE,"Rossmore"}</definedName>
    <definedName name="wrn.Print._.Workbook." localSheetId="3" hidden="1">{#N/A,#N/A,FALSE,"Exec. Summ";#N/A,#N/A,FALSE,"Income";#N/A,#N/A,FALSE,"Expenses";#N/A,#N/A,FALSE,"Loan Options";#N/A,#N/A,FALSE,"Sources &amp; Uses";#N/A,#N/A,FALSE,"Spreadsheet"}</definedName>
    <definedName name="wrn.Print._.Workbook." localSheetId="9" hidden="1">{#N/A,#N/A,FALSE,"Exec. Summ";#N/A,#N/A,FALSE,"Income";#N/A,#N/A,FALSE,"Expenses";#N/A,#N/A,FALSE,"Loan Options";#N/A,#N/A,FALSE,"Sources &amp; Uses";#N/A,#N/A,FALSE,"Spreadsheet"}</definedName>
    <definedName name="wrn.Print._.Workbook." localSheetId="2" hidden="1">{#N/A,#N/A,FALSE,"Exec. Summ";#N/A,#N/A,FALSE,"Income";#N/A,#N/A,FALSE,"Expenses";#N/A,#N/A,FALSE,"Loan Options";#N/A,#N/A,FALSE,"Sources &amp; Uses";#N/A,#N/A,FALSE,"Spreadsheet"}</definedName>
    <definedName name="wrn.Print._.Workbook." localSheetId="4" hidden="1">{#N/A,#N/A,FALSE,"Exec. Summ";#N/A,#N/A,FALSE,"Income";#N/A,#N/A,FALSE,"Expenses";#N/A,#N/A,FALSE,"Loan Options";#N/A,#N/A,FALSE,"Sources &amp; Uses";#N/A,#N/A,FALSE,"Spreadsheet"}</definedName>
    <definedName name="wrn.Print._.Workbook." localSheetId="0" hidden="1">{#N/A,#N/A,FALSE,"Exec. Summ";#N/A,#N/A,FALSE,"Income";#N/A,#N/A,FALSE,"Expenses";#N/A,#N/A,FALSE,"Loan Options";#N/A,#N/A,FALSE,"Sources &amp; Uses";#N/A,#N/A,FALSE,"Spreadsheet"}</definedName>
    <definedName name="wrn.Print._.Workbook." hidden="1">{#N/A,#N/A,FALSE,"Exec. Summ";#N/A,#N/A,FALSE,"Income";#N/A,#N/A,FALSE,"Expenses";#N/A,#N/A,FALSE,"Loan Options";#N/A,#N/A,FALSE,"Sources &amp; Uses";#N/A,#N/A,FALSE,"Spreadsheet"}</definedName>
    <definedName name="wrn.print_all." localSheetId="3" hidden="1">{#N/A,#N/A,FALSE,"property";#N/A,#N/A,FALSE,"tenants";#N/A,#N/A,FALSE,"capital";#N/A,#N/A,FALSE,"summary"}</definedName>
    <definedName name="wrn.print_all." localSheetId="6" hidden="1">{#N/A,#N/A,FALSE,"property";#N/A,#N/A,FALSE,"tenants";#N/A,#N/A,FALSE,"capital";#N/A,#N/A,FALSE,"summary"}</definedName>
    <definedName name="wrn.print_all." localSheetId="9" hidden="1">{#N/A,#N/A,FALSE,"property";#N/A,#N/A,FALSE,"tenants";#N/A,#N/A,FALSE,"capital";#N/A,#N/A,FALSE,"summary"}</definedName>
    <definedName name="wrn.print_all." localSheetId="2" hidden="1">{#N/A,#N/A,FALSE,"property";#N/A,#N/A,FALSE,"tenants";#N/A,#N/A,FALSE,"capital";#N/A,#N/A,FALSE,"summary"}</definedName>
    <definedName name="wrn.print_all." localSheetId="4" hidden="1">{#N/A,#N/A,FALSE,"property";#N/A,#N/A,FALSE,"tenants";#N/A,#N/A,FALSE,"capital";#N/A,#N/A,FALSE,"summary"}</definedName>
    <definedName name="wrn.print_all." localSheetId="0" hidden="1">{#N/A,#N/A,FALSE,"property";#N/A,#N/A,FALSE,"tenants";#N/A,#N/A,FALSE,"capital";#N/A,#N/A,FALSE,"summary"}</definedName>
    <definedName name="wrn.print_all." hidden="1">{#N/A,#N/A,FALSE,"property";#N/A,#N/A,FALSE,"tenants";#N/A,#N/A,FALSE,"capital";#N/A,#N/A,FALSE,"summary"}</definedName>
    <definedName name="wrn.PrintAll." localSheetId="3" hidden="1">{#N/A,#N/A,FALSE,"Broker Sheet";#N/A,#N/A,FALSE,"Exec.Summary";#N/A,#N/A,FALSE,"Argus Cash Flow";#N/A,#N/A,FALSE,"SPF";#N/A,#N/A,FALSE,"RentRoll"}</definedName>
    <definedName name="wrn.PrintAll." localSheetId="6" hidden="1">{#N/A,#N/A,FALSE,"Broker Sheet";#N/A,#N/A,FALSE,"Exec.Summary";#N/A,#N/A,FALSE,"Argus Cash Flow";#N/A,#N/A,FALSE,"SPF";#N/A,#N/A,FALSE,"RentRoll"}</definedName>
    <definedName name="wrn.PrintAll." localSheetId="9" hidden="1">{#N/A,#N/A,FALSE,"Broker Sheet";#N/A,#N/A,FALSE,"Exec.Summary";#N/A,#N/A,FALSE,"Argus Cash Flow";#N/A,#N/A,FALSE,"SPF";#N/A,#N/A,FALSE,"RentRoll"}</definedName>
    <definedName name="wrn.PrintAll." localSheetId="2" hidden="1">{#N/A,#N/A,FALSE,"Broker Sheet";#N/A,#N/A,FALSE,"Exec.Summary";#N/A,#N/A,FALSE,"Argus Cash Flow";#N/A,#N/A,FALSE,"SPF";#N/A,#N/A,FALSE,"RentRoll"}</definedName>
    <definedName name="wrn.PrintAll." localSheetId="4" hidden="1">{#N/A,#N/A,FALSE,"Broker Sheet";#N/A,#N/A,FALSE,"Exec.Summary";#N/A,#N/A,FALSE,"Argus Cash Flow";#N/A,#N/A,FALSE,"SPF";#N/A,#N/A,FALSE,"RentRoll"}</definedName>
    <definedName name="wrn.PrintAll." localSheetId="0" hidden="1">{#N/A,#N/A,FALSE,"Broker Sheet";#N/A,#N/A,FALSE,"Exec.Summary";#N/A,#N/A,FALSE,"Argus Cash Flow";#N/A,#N/A,FALSE,"SPF";#N/A,#N/A,FALSE,"RentRoll"}</definedName>
    <definedName name="wrn.PrintAll." hidden="1">{#N/A,#N/A,FALSE,"Broker Sheet";#N/A,#N/A,FALSE,"Exec.Summary";#N/A,#N/A,FALSE,"Argus Cash Flow";#N/A,#N/A,FALSE,"SPF";#N/A,#N/A,FALSE,"RentRoll"}</definedName>
    <definedName name="wrn.Printing._.the._.Model." localSheetId="3" hidden="1">{#N/A,#N/A,FALSE,"General Assumptions";#N/A,#N/A,FALSE,"Summary of Results";#N/A,#N/A,FALSE,"Waterfall - LFSRI";#N/A,#N/A,FALSE,"Sources &amp; Uses - Output";#N/A,#N/A,FALSE,"Existing Portfolio";#N/A,#N/A,FALSE,"1996 Development Schedule";#N/A,#N/A,FALSE,"New Development";#N/A,#N/A,FALSE,"New Acquisitions";#N/A,#N/A,FALSE,"Land Inventory";#N/A,#N/A,FALSE,"Balance Sheet Dec. 1996";#N/A,#N/A,FALSE,"Balance Sheet - Projected";#N/A,#N/A,FALSE,"Total Cash Flow -- Model";#N/A,#N/A,FALSE,"Total Cash Flow -- Output"}</definedName>
    <definedName name="wrn.Printing._.the._.Model." localSheetId="6" hidden="1">{#N/A,#N/A,FALSE,"General Assumptions";#N/A,#N/A,FALSE,"Summary of Results";#N/A,#N/A,FALSE,"Waterfall - LFSRI";#N/A,#N/A,FALSE,"Sources &amp; Uses - Output";#N/A,#N/A,FALSE,"Existing Portfolio";#N/A,#N/A,FALSE,"1996 Development Schedule";#N/A,#N/A,FALSE,"New Development";#N/A,#N/A,FALSE,"New Acquisitions";#N/A,#N/A,FALSE,"Land Inventory";#N/A,#N/A,FALSE,"Balance Sheet Dec. 1996";#N/A,#N/A,FALSE,"Balance Sheet - Projected";#N/A,#N/A,FALSE,"Total Cash Flow -- Model";#N/A,#N/A,FALSE,"Total Cash Flow -- Output"}</definedName>
    <definedName name="wrn.Printing._.the._.Model." localSheetId="9" hidden="1">{#N/A,#N/A,FALSE,"General Assumptions";#N/A,#N/A,FALSE,"Summary of Results";#N/A,#N/A,FALSE,"Waterfall - LFSRI";#N/A,#N/A,FALSE,"Sources &amp; Uses - Output";#N/A,#N/A,FALSE,"Existing Portfolio";#N/A,#N/A,FALSE,"1996 Development Schedule";#N/A,#N/A,FALSE,"New Development";#N/A,#N/A,FALSE,"New Acquisitions";#N/A,#N/A,FALSE,"Land Inventory";#N/A,#N/A,FALSE,"Balance Sheet Dec. 1996";#N/A,#N/A,FALSE,"Balance Sheet - Projected";#N/A,#N/A,FALSE,"Total Cash Flow -- Model";#N/A,#N/A,FALSE,"Total Cash Flow -- Output"}</definedName>
    <definedName name="wrn.Printing._.the._.Model." localSheetId="2" hidden="1">{#N/A,#N/A,FALSE,"General Assumptions";#N/A,#N/A,FALSE,"Summary of Results";#N/A,#N/A,FALSE,"Waterfall - LFSRI";#N/A,#N/A,FALSE,"Sources &amp; Uses - Output";#N/A,#N/A,FALSE,"Existing Portfolio";#N/A,#N/A,FALSE,"1996 Development Schedule";#N/A,#N/A,FALSE,"New Development";#N/A,#N/A,FALSE,"New Acquisitions";#N/A,#N/A,FALSE,"Land Inventory";#N/A,#N/A,FALSE,"Balance Sheet Dec. 1996";#N/A,#N/A,FALSE,"Balance Sheet - Projected";#N/A,#N/A,FALSE,"Total Cash Flow -- Model";#N/A,#N/A,FALSE,"Total Cash Flow -- Output"}</definedName>
    <definedName name="wrn.Printing._.the._.Model." localSheetId="4" hidden="1">{#N/A,#N/A,FALSE,"General Assumptions";#N/A,#N/A,FALSE,"Summary of Results";#N/A,#N/A,FALSE,"Waterfall - LFSRI";#N/A,#N/A,FALSE,"Sources &amp; Uses - Output";#N/A,#N/A,FALSE,"Existing Portfolio";#N/A,#N/A,FALSE,"1996 Development Schedule";#N/A,#N/A,FALSE,"New Development";#N/A,#N/A,FALSE,"New Acquisitions";#N/A,#N/A,FALSE,"Land Inventory";#N/A,#N/A,FALSE,"Balance Sheet Dec. 1996";#N/A,#N/A,FALSE,"Balance Sheet - Projected";#N/A,#N/A,FALSE,"Total Cash Flow -- Model";#N/A,#N/A,FALSE,"Total Cash Flow -- Output"}</definedName>
    <definedName name="wrn.Printing._.the._.Model." localSheetId="0" hidden="1">{#N/A,#N/A,FALSE,"General Assumptions";#N/A,#N/A,FALSE,"Summary of Results";#N/A,#N/A,FALSE,"Waterfall - LFSRI";#N/A,#N/A,FALSE,"Sources &amp; Uses - Output";#N/A,#N/A,FALSE,"Existing Portfolio";#N/A,#N/A,FALSE,"1996 Development Schedule";#N/A,#N/A,FALSE,"New Development";#N/A,#N/A,FALSE,"New Acquisitions";#N/A,#N/A,FALSE,"Land Inventory";#N/A,#N/A,FALSE,"Balance Sheet Dec. 1996";#N/A,#N/A,FALSE,"Balance Sheet - Projected";#N/A,#N/A,FALSE,"Total Cash Flow -- Model";#N/A,#N/A,FALSE,"Total Cash Flow -- Output"}</definedName>
    <definedName name="wrn.Printing._.the._.Model." hidden="1">{#N/A,#N/A,FALSE,"General Assumptions";#N/A,#N/A,FALSE,"Summary of Results";#N/A,#N/A,FALSE,"Waterfall - LFSRI";#N/A,#N/A,FALSE,"Sources &amp; Uses - Output";#N/A,#N/A,FALSE,"Existing Portfolio";#N/A,#N/A,FALSE,"1996 Development Schedule";#N/A,#N/A,FALSE,"New Development";#N/A,#N/A,FALSE,"New Acquisitions";#N/A,#N/A,FALSE,"Land Inventory";#N/A,#N/A,FALSE,"Balance Sheet Dec. 1996";#N/A,#N/A,FALSE,"Balance Sheet - Projected";#N/A,#N/A,FALSE,"Total Cash Flow -- Model";#N/A,#N/A,FALSE,"Total Cash Flow -- Output"}</definedName>
    <definedName name="wrn.Pro._.Forma." localSheetId="0" hidden="1">{#N/A,#N/A,FALSE,"Assumptions";#N/A,#N/A,FALSE,"Proforma";#N/A,#N/A,FALSE,"Value Matrices";#N/A,#N/A,FALSE,"Graph &amp; Rent Roll"}</definedName>
    <definedName name="wrn.Pro._.Forma." hidden="1">{#N/A,#N/A,FALSE,"Assumptions";#N/A,#N/A,FALSE,"Proforma";#N/A,#N/A,FALSE,"Value Matrices";#N/A,#N/A,FALSE,"Graph &amp; Rent Roll"}</definedName>
    <definedName name="wrn.Proforma." localSheetId="3" hidden="1">{#N/A,#N/A,TRUE,"Summary";#N/A,#N/A,TRUE,"InPlace";#N/A,#N/A,TRUE,"Stable";#N/A,#N/A,TRUE,"RentRoll";#N/A,#N/A,TRUE,"I&amp;E";#N/A,#N/A,TRUE,"Expense Detail";#N/A,#N/A,TRUE,"CAM Recov(InPlace)";#N/A,#N/A,TRUE,"CAM Recov(Stable)";#N/A,#N/A,TRUE,"Tax Recov";#N/A,#N/A,TRUE,"Expiration";#N/A,#N/A,TRUE,"Sales";#N/A,#N/A,TRUE,"Tax"}</definedName>
    <definedName name="wrn.Proforma." localSheetId="6" hidden="1">{#N/A,#N/A,TRUE,"Summary";#N/A,#N/A,TRUE,"InPlace";#N/A,#N/A,TRUE,"Stable";#N/A,#N/A,TRUE,"RentRoll";#N/A,#N/A,TRUE,"I&amp;E";#N/A,#N/A,TRUE,"Expense Detail";#N/A,#N/A,TRUE,"CAM Recov(InPlace)";#N/A,#N/A,TRUE,"CAM Recov(Stable)";#N/A,#N/A,TRUE,"Tax Recov";#N/A,#N/A,TRUE,"Expiration";#N/A,#N/A,TRUE,"Sales";#N/A,#N/A,TRUE,"Tax"}</definedName>
    <definedName name="wrn.Proforma." localSheetId="9" hidden="1">{#N/A,#N/A,TRUE,"Summary";#N/A,#N/A,TRUE,"InPlace";#N/A,#N/A,TRUE,"Stable";#N/A,#N/A,TRUE,"RentRoll";#N/A,#N/A,TRUE,"I&amp;E";#N/A,#N/A,TRUE,"Expense Detail";#N/A,#N/A,TRUE,"CAM Recov(InPlace)";#N/A,#N/A,TRUE,"CAM Recov(Stable)";#N/A,#N/A,TRUE,"Tax Recov";#N/A,#N/A,TRUE,"Expiration";#N/A,#N/A,TRUE,"Sales";#N/A,#N/A,TRUE,"Tax"}</definedName>
    <definedName name="wrn.Proforma." localSheetId="2" hidden="1">{#N/A,#N/A,TRUE,"Summary";#N/A,#N/A,TRUE,"InPlace";#N/A,#N/A,TRUE,"Stable";#N/A,#N/A,TRUE,"RentRoll";#N/A,#N/A,TRUE,"I&amp;E";#N/A,#N/A,TRUE,"Expense Detail";#N/A,#N/A,TRUE,"CAM Recov(InPlace)";#N/A,#N/A,TRUE,"CAM Recov(Stable)";#N/A,#N/A,TRUE,"Tax Recov";#N/A,#N/A,TRUE,"Expiration";#N/A,#N/A,TRUE,"Sales";#N/A,#N/A,TRUE,"Tax"}</definedName>
    <definedName name="wrn.Proforma." localSheetId="4" hidden="1">{#N/A,#N/A,TRUE,"Summary";#N/A,#N/A,TRUE,"InPlace";#N/A,#N/A,TRUE,"Stable";#N/A,#N/A,TRUE,"RentRoll";#N/A,#N/A,TRUE,"I&amp;E";#N/A,#N/A,TRUE,"Expense Detail";#N/A,#N/A,TRUE,"CAM Recov(InPlace)";#N/A,#N/A,TRUE,"CAM Recov(Stable)";#N/A,#N/A,TRUE,"Tax Recov";#N/A,#N/A,TRUE,"Expiration";#N/A,#N/A,TRUE,"Sales";#N/A,#N/A,TRUE,"Tax"}</definedName>
    <definedName name="wrn.Proforma." localSheetId="0" hidden="1">{#N/A,#N/A,TRUE,"Summary";#N/A,#N/A,TRUE,"InPlace";#N/A,#N/A,TRUE,"Stable";#N/A,#N/A,TRUE,"RentRoll";#N/A,#N/A,TRUE,"I&amp;E";#N/A,#N/A,TRUE,"Expense Detail";#N/A,#N/A,TRUE,"CAM Recov(InPlace)";#N/A,#N/A,TRUE,"CAM Recov(Stable)";#N/A,#N/A,TRUE,"Tax Recov";#N/A,#N/A,TRUE,"Expiration";#N/A,#N/A,TRUE,"Sales";#N/A,#N/A,TRUE,"Tax"}</definedName>
    <definedName name="wrn.Proforma." hidden="1">{#N/A,#N/A,TRUE,"Summary";#N/A,#N/A,TRUE,"InPlace";#N/A,#N/A,TRUE,"Stable";#N/A,#N/A,TRUE,"RentRoll";#N/A,#N/A,TRUE,"I&amp;E";#N/A,#N/A,TRUE,"Expense Detail";#N/A,#N/A,TRUE,"CAM Recov(InPlace)";#N/A,#N/A,TRUE,"CAM Recov(Stable)";#N/A,#N/A,TRUE,"Tax Recov";#N/A,#N/A,TRUE,"Expiration";#N/A,#N/A,TRUE,"Sales";#N/A,#N/A,TRUE,"Tax"}</definedName>
    <definedName name="wrn.Proforma._.Review." localSheetId="3" hidden="1">{#N/A,#N/A,FALSE,"Occ and Rate";#N/A,#N/A,FALSE,"PF Input";#N/A,#N/A,FALSE,"Proforma Five Yr";#N/A,#N/A,FALSE,"Hotcomps"}</definedName>
    <definedName name="wrn.Proforma._.Review." localSheetId="6" hidden="1">{#N/A,#N/A,FALSE,"Occ and Rate";#N/A,#N/A,FALSE,"PF Input";#N/A,#N/A,FALSE,"Proforma Five Yr";#N/A,#N/A,FALSE,"Hotcomps"}</definedName>
    <definedName name="wrn.Proforma._.Review." localSheetId="9" hidden="1">{#N/A,#N/A,FALSE,"Occ and Rate";#N/A,#N/A,FALSE,"PF Input";#N/A,#N/A,FALSE,"Proforma Five Yr";#N/A,#N/A,FALSE,"Hotcomps"}</definedName>
    <definedName name="wrn.Proforma._.Review." localSheetId="2" hidden="1">{#N/A,#N/A,FALSE,"Occ and Rate";#N/A,#N/A,FALSE,"PF Input";#N/A,#N/A,FALSE,"Proforma Five Yr";#N/A,#N/A,FALSE,"Hotcomps"}</definedName>
    <definedName name="wrn.Proforma._.Review." localSheetId="4" hidden="1">{#N/A,#N/A,FALSE,"Occ and Rate";#N/A,#N/A,FALSE,"PF Input";#N/A,#N/A,FALSE,"Proforma Five Yr";#N/A,#N/A,FALSE,"Hotcomps"}</definedName>
    <definedName name="wrn.Proforma._.Review." localSheetId="0" hidden="1">{#N/A,#N/A,FALSE,"Occ and Rate";#N/A,#N/A,FALSE,"PF Input";#N/A,#N/A,FALSE,"Proforma Five Yr";#N/A,#N/A,FALSE,"Hotcomps"}</definedName>
    <definedName name="wrn.Proforma._.Review." hidden="1">{#N/A,#N/A,FALSE,"Occ and Rate";#N/A,#N/A,FALSE,"PF Input";#N/A,#N/A,FALSE,"Proforma Five Yr";#N/A,#N/A,FALSE,"Hotcomps"}</definedName>
    <definedName name="wrn.proforma.1" localSheetId="0" hidden="1">{#N/A,#N/A,TRUE,"Invest Sum";#N/A,#N/A,TRUE,"Dev Costs";#N/A,#N/A,TRUE,"PnL 5 Year";#N/A,#N/A,TRUE,"Draw - Constr Period";#N/A,#N/A,TRUE,"Ops - Constr Period";#N/A,#N/A,TRUE,"Ops Yr 1";#N/A,#N/A,TRUE,"Ops Yr 2";#N/A,#N/A,TRUE,"Ops Yr 3 Stabl"}</definedName>
    <definedName name="wrn.proforma.1" hidden="1">{#N/A,#N/A,TRUE,"Invest Sum";#N/A,#N/A,TRUE,"Dev Costs";#N/A,#N/A,TRUE,"PnL 5 Year";#N/A,#N/A,TRUE,"Draw - Constr Period";#N/A,#N/A,TRUE,"Ops - Constr Period";#N/A,#N/A,TRUE,"Ops Yr 1";#N/A,#N/A,TRUE,"Ops Yr 2";#N/A,#N/A,TRUE,"Ops Yr 3 Stabl"}</definedName>
    <definedName name="wrn.Program._.Compliance." localSheetId="3" hidden="1">{#N/A,#N/A,FALSE,"COMPLIANCE"}</definedName>
    <definedName name="wrn.Program._.Compliance." localSheetId="6" hidden="1">{#N/A,#N/A,FALSE,"COMPLIANCE"}</definedName>
    <definedName name="wrn.Program._.Compliance." localSheetId="9" hidden="1">{#N/A,#N/A,FALSE,"COMPLIANCE"}</definedName>
    <definedName name="wrn.Program._.Compliance." localSheetId="2" hidden="1">{#N/A,#N/A,FALSE,"COMPLIANCE"}</definedName>
    <definedName name="wrn.Program._.Compliance." localSheetId="4" hidden="1">{#N/A,#N/A,FALSE,"COMPLIANCE"}</definedName>
    <definedName name="wrn.Program._.Compliance." localSheetId="0" hidden="1">{#N/A,#N/A,FALSE,"COMPLIANCE"}</definedName>
    <definedName name="wrn.Program._.Compliance." hidden="1">{#N/A,#N/A,FALSE,"COMPLIANCE"}</definedName>
    <definedName name="wrn.projection." localSheetId="3"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wrn.projection." localSheetId="9"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wrn.projection." localSheetId="2"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wrn.projection." localSheetId="4"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wrn.projection." localSheetId="0"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wrn.projection."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wrn.Property._.Description." localSheetId="3" hidden="1">{#N/A,#N/A,FALSE,"PROP. DESCRIPTION"}</definedName>
    <definedName name="wrn.Property._.Description." localSheetId="6" hidden="1">{#N/A,#N/A,FALSE,"PROP. DESCRIPTION"}</definedName>
    <definedName name="wrn.Property._.Description." localSheetId="9" hidden="1">{#N/A,#N/A,FALSE,"PROP. DESCRIPTION"}</definedName>
    <definedName name="wrn.Property._.Description." localSheetId="2" hidden="1">{#N/A,#N/A,FALSE,"PROP. DESCRIPTION"}</definedName>
    <definedName name="wrn.Property._.Description." localSheetId="4" hidden="1">{#N/A,#N/A,FALSE,"PROP. DESCRIPTION"}</definedName>
    <definedName name="wrn.Property._.Description." localSheetId="0" hidden="1">{#N/A,#N/A,FALSE,"PROP. DESCRIPTION"}</definedName>
    <definedName name="wrn.Property._.Description." hidden="1">{#N/A,#N/A,FALSE,"PROP. DESCRIPTION"}</definedName>
    <definedName name="wrn.PropertyInformation." localSheetId="3" hidden="1">{#N/A,#N/A,FALSE,"PropertyInfo"}</definedName>
    <definedName name="wrn.PropertyInformation." localSheetId="6" hidden="1">{#N/A,#N/A,FALSE,"PropertyInfo"}</definedName>
    <definedName name="wrn.PropertyInformation." localSheetId="9" hidden="1">{#N/A,#N/A,FALSE,"PropertyInfo"}</definedName>
    <definedName name="wrn.PropertyInformation." localSheetId="2" hidden="1">{#N/A,#N/A,FALSE,"PropertyInfo"}</definedName>
    <definedName name="wrn.PropertyInformation." localSheetId="4" hidden="1">{#N/A,#N/A,FALSE,"PropertyInfo"}</definedName>
    <definedName name="wrn.PropertyInformation." localSheetId="0" hidden="1">{#N/A,#N/A,FALSE,"PropertyInfo"}</definedName>
    <definedName name="wrn.PropertyInformation." hidden="1">{#N/A,#N/A,FALSE,"PropertyInfo"}</definedName>
    <definedName name="wrn.Pulp." localSheetId="3" hidden="1">{"Pulp Production",#N/A,FALSE,"Pulp";"Pulp Earnings",#N/A,FALSE,"Pulp"}</definedName>
    <definedName name="wrn.Pulp." localSheetId="9" hidden="1">{"Pulp Production",#N/A,FALSE,"Pulp";"Pulp Earnings",#N/A,FALSE,"Pulp"}</definedName>
    <definedName name="wrn.Pulp." localSheetId="2" hidden="1">{"Pulp Production",#N/A,FALSE,"Pulp";"Pulp Earnings",#N/A,FALSE,"Pulp"}</definedName>
    <definedName name="wrn.Pulp." localSheetId="4" hidden="1">{"Pulp Production",#N/A,FALSE,"Pulp";"Pulp Earnings",#N/A,FALSE,"Pulp"}</definedName>
    <definedName name="wrn.Pulp." localSheetId="0" hidden="1">{"Pulp Production",#N/A,FALSE,"Pulp";"Pulp Earnings",#N/A,FALSE,"Pulp"}</definedName>
    <definedName name="wrn.Pulp." hidden="1">{"Pulp Production",#N/A,FALSE,"Pulp";"Pulp Earnings",#N/A,FALSE,"Pulp"}</definedName>
    <definedName name="wrn.qtr." localSheetId="3" hidden="1">{"byqtr",#N/A,FALSE,"Worksheet"}</definedName>
    <definedName name="wrn.qtr." localSheetId="6" hidden="1">{"byqtr",#N/A,FALSE,"Worksheet"}</definedName>
    <definedName name="wrn.qtr." localSheetId="9" hidden="1">{"byqtr",#N/A,FALSE,"Worksheet"}</definedName>
    <definedName name="wrn.qtr." localSheetId="2" hidden="1">{"byqtr",#N/A,FALSE,"Worksheet"}</definedName>
    <definedName name="wrn.qtr." localSheetId="4" hidden="1">{"byqtr",#N/A,FALSE,"Worksheet"}</definedName>
    <definedName name="wrn.qtr." localSheetId="0" hidden="1">{"byqtr",#N/A,FALSE,"Worksheet"}</definedName>
    <definedName name="wrn.qtr." hidden="1">{"byqtr",#N/A,FALSE,"Worksheet"}</definedName>
    <definedName name="wrn.Quarterly._.Summary." localSheetId="3" hidden="1">{"qtrl1",#N/A,TRUE,"Annual Summary";"qtrl2",#N/A,TRUE,"Annual Summary";"qtrl3",#N/A,TRUE,"Annual Summary";"qtrl4",#N/A,TRUE,"QTLY Summary";"qtrl5",#N/A,TRUE,"QTLY Summary";"qtrl6",#N/A,TRUE,"QTLY Summary"}</definedName>
    <definedName name="wrn.Quarterly._.Summary." localSheetId="6" hidden="1">{"qtrl1",#N/A,TRUE,"Annual Summary";"qtrl2",#N/A,TRUE,"Annual Summary";"qtrl3",#N/A,TRUE,"Annual Summary";"qtrl4",#N/A,TRUE,"QTLY Summary";"qtrl5",#N/A,TRUE,"QTLY Summary";"qtrl6",#N/A,TRUE,"QTLY Summary"}</definedName>
    <definedName name="wrn.Quarterly._.Summary." localSheetId="9" hidden="1">{"qtrl1",#N/A,TRUE,"Annual Summary";"qtrl2",#N/A,TRUE,"Annual Summary";"qtrl3",#N/A,TRUE,"Annual Summary";"qtrl4",#N/A,TRUE,"QTLY Summary";"qtrl5",#N/A,TRUE,"QTLY Summary";"qtrl6",#N/A,TRUE,"QTLY Summary"}</definedName>
    <definedName name="wrn.Quarterly._.Summary." localSheetId="2" hidden="1">{"qtrl1",#N/A,TRUE,"Annual Summary";"qtrl2",#N/A,TRUE,"Annual Summary";"qtrl3",#N/A,TRUE,"Annual Summary";"qtrl4",#N/A,TRUE,"QTLY Summary";"qtrl5",#N/A,TRUE,"QTLY Summary";"qtrl6",#N/A,TRUE,"QTLY Summary"}</definedName>
    <definedName name="wrn.Quarterly._.Summary." localSheetId="4" hidden="1">{"qtrl1",#N/A,TRUE,"Annual Summary";"qtrl2",#N/A,TRUE,"Annual Summary";"qtrl3",#N/A,TRUE,"Annual Summary";"qtrl4",#N/A,TRUE,"QTLY Summary";"qtrl5",#N/A,TRUE,"QTLY Summary";"qtrl6",#N/A,TRUE,"QTLY Summary"}</definedName>
    <definedName name="wrn.Quarterly._.Summary." localSheetId="0" hidden="1">{"qtrl1",#N/A,TRUE,"Annual Summary";"qtrl2",#N/A,TRUE,"Annual Summary";"qtrl3",#N/A,TRUE,"Annual Summary";"qtrl4",#N/A,TRUE,"QTLY Summary";"qtrl5",#N/A,TRUE,"QTLY Summary";"qtrl6",#N/A,TRUE,"QTLY Summary"}</definedName>
    <definedName name="wrn.Quarterly._.Summary." hidden="1">{"qtrl1",#N/A,TRUE,"Annual Summary";"qtrl2",#N/A,TRUE,"Annual Summary";"qtrl3",#N/A,TRUE,"Annual Summary";"qtrl4",#N/A,TRUE,"QTLY Summary";"qtrl5",#N/A,TRUE,"QTLY Summary";"qtrl6",#N/A,TRUE,"QTLY Summary"}</definedName>
    <definedName name="wrn.Rapport." localSheetId="0" hidden="1">{#N/A,#N/A,FALSE,"SHEET1";#N/A,#N/A,FALSE,"SHEET2";#N/A,#N/A,FALSE,"SHEET3";#N/A,#N/A,FALSE,"SHEET4"}</definedName>
    <definedName name="wrn.Rapport." hidden="1">{#N/A,#N/A,FALSE,"SHEET1";#N/A,#N/A,FALSE,"SHEET2";#N/A,#N/A,FALSE,"SHEET3";#N/A,#N/A,FALSE,"SHEET4"}</definedName>
    <definedName name="wrn.Realis._1" localSheetId="3" hidden="1">{"Realis Cover",#N/A,TRUE,"Sheet1";"R Value",#N/A,TRUE,"Sheet1";"R Sensitivity",#N/A,TRUE,"Sheet1";"R Prop Cash Flow",#N/A,TRUE,"Property Summary";"R Pship CF",#N/A,TRUE,"Sheet1";"R Equity DCF",#N/A,TRUE,"Sheet1";"R Pship Distributions",#N/A,TRUE,"Sheet1";"R MIR Splits",#N/A,TRUE,"Sheet1";"R Assumptions",#N/A,TRUE,"Sheet1"}</definedName>
    <definedName name="wrn.Realis._1" localSheetId="9" hidden="1">{"Realis Cover",#N/A,TRUE,"Sheet1";"R Value",#N/A,TRUE,"Sheet1";"R Sensitivity",#N/A,TRUE,"Sheet1";"R Prop Cash Flow",#N/A,TRUE,"Property Summary";"R Pship CF",#N/A,TRUE,"Sheet1";"R Equity DCF",#N/A,TRUE,"Sheet1";"R Pship Distributions",#N/A,TRUE,"Sheet1";"R MIR Splits",#N/A,TRUE,"Sheet1";"R Assumptions",#N/A,TRUE,"Sheet1"}</definedName>
    <definedName name="wrn.Realis._1" localSheetId="2" hidden="1">{"Realis Cover",#N/A,TRUE,"Sheet1";"R Value",#N/A,TRUE,"Sheet1";"R Sensitivity",#N/A,TRUE,"Sheet1";"R Prop Cash Flow",#N/A,TRUE,"Property Summary";"R Pship CF",#N/A,TRUE,"Sheet1";"R Equity DCF",#N/A,TRUE,"Sheet1";"R Pship Distributions",#N/A,TRUE,"Sheet1";"R MIR Splits",#N/A,TRUE,"Sheet1";"R Assumptions",#N/A,TRUE,"Sheet1"}</definedName>
    <definedName name="wrn.Realis._1" localSheetId="4" hidden="1">{"Realis Cover",#N/A,TRUE,"Sheet1";"R Value",#N/A,TRUE,"Sheet1";"R Sensitivity",#N/A,TRUE,"Sheet1";"R Prop Cash Flow",#N/A,TRUE,"Property Summary";"R Pship CF",#N/A,TRUE,"Sheet1";"R Equity DCF",#N/A,TRUE,"Sheet1";"R Pship Distributions",#N/A,TRUE,"Sheet1";"R MIR Splits",#N/A,TRUE,"Sheet1";"R Assumptions",#N/A,TRUE,"Sheet1"}</definedName>
    <definedName name="wrn.Realis._1" localSheetId="0" hidden="1">{"Realis Cover",#N/A,TRUE,"Sheet1";"R Value",#N/A,TRUE,"Sheet1";"R Sensitivity",#N/A,TRUE,"Sheet1";"R Prop Cash Flow",#N/A,TRUE,"Property Summary";"R Pship CF",#N/A,TRUE,"Sheet1";"R Equity DCF",#N/A,TRUE,"Sheet1";"R Pship Distributions",#N/A,TRUE,"Sheet1";"R MIR Splits",#N/A,TRUE,"Sheet1";"R Assumptions",#N/A,TRUE,"Sheet1"}</definedName>
    <definedName name="wrn.Realis._1" hidden="1">{"Realis Cover",#N/A,TRUE,"Sheet1";"R Value",#N/A,TRUE,"Sheet1";"R Sensitivity",#N/A,TRUE,"Sheet1";"R Prop Cash Flow",#N/A,TRUE,"Property Summary";"R Pship CF",#N/A,TRUE,"Sheet1";"R Equity DCF",#N/A,TRUE,"Sheet1";"R Pship Distributions",#N/A,TRUE,"Sheet1";"R MIR Splits",#N/A,TRUE,"Sheet1";"R Assumptions",#N/A,TRUE,"Sheet1"}</definedName>
    <definedName name="wrn.Realis._2" localSheetId="3" hidden="1">{"Realis Cover",#N/A,TRUE,"Sheet1";"R Value",#N/A,TRUE,"Sheet1";"R Sensitivity",#N/A,TRUE,"Sheet1";"R Prop Cash Flow",#N/A,TRUE,"Property Summary";"R Pship CF",#N/A,TRUE,"Sheet1";"R Equity DCF",#N/A,TRUE,"Sheet1";"R Pship Distributions",#N/A,TRUE,"Sheet1";"R MIR Splits",#N/A,TRUE,"Sheet1";"R Assumptions",#N/A,TRUE,"Sheet1"}</definedName>
    <definedName name="wrn.Realis._2" localSheetId="9" hidden="1">{"Realis Cover",#N/A,TRUE,"Sheet1";"R Value",#N/A,TRUE,"Sheet1";"R Sensitivity",#N/A,TRUE,"Sheet1";"R Prop Cash Flow",#N/A,TRUE,"Property Summary";"R Pship CF",#N/A,TRUE,"Sheet1";"R Equity DCF",#N/A,TRUE,"Sheet1";"R Pship Distributions",#N/A,TRUE,"Sheet1";"R MIR Splits",#N/A,TRUE,"Sheet1";"R Assumptions",#N/A,TRUE,"Sheet1"}</definedName>
    <definedName name="wrn.Realis._2" localSheetId="2" hidden="1">{"Realis Cover",#N/A,TRUE,"Sheet1";"R Value",#N/A,TRUE,"Sheet1";"R Sensitivity",#N/A,TRUE,"Sheet1";"R Prop Cash Flow",#N/A,TRUE,"Property Summary";"R Pship CF",#N/A,TRUE,"Sheet1";"R Equity DCF",#N/A,TRUE,"Sheet1";"R Pship Distributions",#N/A,TRUE,"Sheet1";"R MIR Splits",#N/A,TRUE,"Sheet1";"R Assumptions",#N/A,TRUE,"Sheet1"}</definedName>
    <definedName name="wrn.Realis._2" localSheetId="4" hidden="1">{"Realis Cover",#N/A,TRUE,"Sheet1";"R Value",#N/A,TRUE,"Sheet1";"R Sensitivity",#N/A,TRUE,"Sheet1";"R Prop Cash Flow",#N/A,TRUE,"Property Summary";"R Pship CF",#N/A,TRUE,"Sheet1";"R Equity DCF",#N/A,TRUE,"Sheet1";"R Pship Distributions",#N/A,TRUE,"Sheet1";"R MIR Splits",#N/A,TRUE,"Sheet1";"R Assumptions",#N/A,TRUE,"Sheet1"}</definedName>
    <definedName name="wrn.Realis._2" localSheetId="0" hidden="1">{"Realis Cover",#N/A,TRUE,"Sheet1";"R Value",#N/A,TRUE,"Sheet1";"R Sensitivity",#N/A,TRUE,"Sheet1";"R Prop Cash Flow",#N/A,TRUE,"Property Summary";"R Pship CF",#N/A,TRUE,"Sheet1";"R Equity DCF",#N/A,TRUE,"Sheet1";"R Pship Distributions",#N/A,TRUE,"Sheet1";"R MIR Splits",#N/A,TRUE,"Sheet1";"R Assumptions",#N/A,TRUE,"Sheet1"}</definedName>
    <definedName name="wrn.Realis._2" hidden="1">{"Realis Cover",#N/A,TRUE,"Sheet1";"R Value",#N/A,TRUE,"Sheet1";"R Sensitivity",#N/A,TRUE,"Sheet1";"R Prop Cash Flow",#N/A,TRUE,"Property Summary";"R Pship CF",#N/A,TRUE,"Sheet1";"R Equity DCF",#N/A,TRUE,"Sheet1";"R Pship Distributions",#N/A,TRUE,"Sheet1";"R MIR Splits",#N/A,TRUE,"Sheet1";"R Assumptions",#N/A,TRUE,"Sheet1"}</definedName>
    <definedName name="wrn.Realis._3" localSheetId="3" hidden="1">{"Realis Cover",#N/A,TRUE,"Sheet1";"R Value",#N/A,TRUE,"Sheet1";"R Sensitivity",#N/A,TRUE,"Sheet1";"R Prop Cash Flow",#N/A,TRUE,"Property Summary";"R Pship CF",#N/A,TRUE,"Sheet1";"R Equity DCF",#N/A,TRUE,"Sheet1";"R Pship Distributions",#N/A,TRUE,"Sheet1";"R MIR Splits",#N/A,TRUE,"Sheet1";"R Assumptions",#N/A,TRUE,"Sheet1"}</definedName>
    <definedName name="wrn.Realis._3" localSheetId="9" hidden="1">{"Realis Cover",#N/A,TRUE,"Sheet1";"R Value",#N/A,TRUE,"Sheet1";"R Sensitivity",#N/A,TRUE,"Sheet1";"R Prop Cash Flow",#N/A,TRUE,"Property Summary";"R Pship CF",#N/A,TRUE,"Sheet1";"R Equity DCF",#N/A,TRUE,"Sheet1";"R Pship Distributions",#N/A,TRUE,"Sheet1";"R MIR Splits",#N/A,TRUE,"Sheet1";"R Assumptions",#N/A,TRUE,"Sheet1"}</definedName>
    <definedName name="wrn.Realis._3" localSheetId="2" hidden="1">{"Realis Cover",#N/A,TRUE,"Sheet1";"R Value",#N/A,TRUE,"Sheet1";"R Sensitivity",#N/A,TRUE,"Sheet1";"R Prop Cash Flow",#N/A,TRUE,"Property Summary";"R Pship CF",#N/A,TRUE,"Sheet1";"R Equity DCF",#N/A,TRUE,"Sheet1";"R Pship Distributions",#N/A,TRUE,"Sheet1";"R MIR Splits",#N/A,TRUE,"Sheet1";"R Assumptions",#N/A,TRUE,"Sheet1"}</definedName>
    <definedName name="wrn.Realis._3" localSheetId="4" hidden="1">{"Realis Cover",#N/A,TRUE,"Sheet1";"R Value",#N/A,TRUE,"Sheet1";"R Sensitivity",#N/A,TRUE,"Sheet1";"R Prop Cash Flow",#N/A,TRUE,"Property Summary";"R Pship CF",#N/A,TRUE,"Sheet1";"R Equity DCF",#N/A,TRUE,"Sheet1";"R Pship Distributions",#N/A,TRUE,"Sheet1";"R MIR Splits",#N/A,TRUE,"Sheet1";"R Assumptions",#N/A,TRUE,"Sheet1"}</definedName>
    <definedName name="wrn.Realis._3" localSheetId="0" hidden="1">{"Realis Cover",#N/A,TRUE,"Sheet1";"R Value",#N/A,TRUE,"Sheet1";"R Sensitivity",#N/A,TRUE,"Sheet1";"R Prop Cash Flow",#N/A,TRUE,"Property Summary";"R Pship CF",#N/A,TRUE,"Sheet1";"R Equity DCF",#N/A,TRUE,"Sheet1";"R Pship Distributions",#N/A,TRUE,"Sheet1";"R MIR Splits",#N/A,TRUE,"Sheet1";"R Assumptions",#N/A,TRUE,"Sheet1"}</definedName>
    <definedName name="wrn.Realis._3" hidden="1">{"Realis Cover",#N/A,TRUE,"Sheet1";"R Value",#N/A,TRUE,"Sheet1";"R Sensitivity",#N/A,TRUE,"Sheet1";"R Prop Cash Flow",#N/A,TRUE,"Property Summary";"R Pship CF",#N/A,TRUE,"Sheet1";"R Equity DCF",#N/A,TRUE,"Sheet1";"R Pship Distributions",#N/A,TRUE,"Sheet1";"R MIR Splits",#N/A,TRUE,"Sheet1";"R Assumptions",#N/A,TRUE,"Sheet1"}</definedName>
    <definedName name="wrn.Relevant._.Sections." localSheetId="3" hidden="1">{#N/A,#N/A,FALSE,"Summary";#N/A,#N/A,FALSE,"Program Scheme";#N/A,#N/A,FALSE,"Assumptions";#N/A,#N/A,FALSE,"Development Budget";#N/A,#N/A,FALSE,"Timing";#N/A,#N/A,FALSE,"Development Costs &amp; Revenues";#N/A,#N/A,FALSE,"Cash Flow to Debt &amp; Equity";#N/A,#N/A,FALSE,"Cash Flow to Athena LP"}</definedName>
    <definedName name="wrn.Relevant._.Sections." localSheetId="6" hidden="1">{#N/A,#N/A,FALSE,"Summary";#N/A,#N/A,FALSE,"Program Scheme";#N/A,#N/A,FALSE,"Assumptions";#N/A,#N/A,FALSE,"Development Budget";#N/A,#N/A,FALSE,"Timing";#N/A,#N/A,FALSE,"Development Costs &amp; Revenues";#N/A,#N/A,FALSE,"Cash Flow to Debt &amp; Equity";#N/A,#N/A,FALSE,"Cash Flow to Athena LP"}</definedName>
    <definedName name="wrn.Relevant._.Sections." localSheetId="9" hidden="1">{#N/A,#N/A,FALSE,"Summary";#N/A,#N/A,FALSE,"Program Scheme";#N/A,#N/A,FALSE,"Assumptions";#N/A,#N/A,FALSE,"Development Budget";#N/A,#N/A,FALSE,"Timing";#N/A,#N/A,FALSE,"Development Costs &amp; Revenues";#N/A,#N/A,FALSE,"Cash Flow to Debt &amp; Equity";#N/A,#N/A,FALSE,"Cash Flow to Athena LP"}</definedName>
    <definedName name="wrn.Relevant._.Sections." localSheetId="2" hidden="1">{#N/A,#N/A,FALSE,"Summary";#N/A,#N/A,FALSE,"Program Scheme";#N/A,#N/A,FALSE,"Assumptions";#N/A,#N/A,FALSE,"Development Budget";#N/A,#N/A,FALSE,"Timing";#N/A,#N/A,FALSE,"Development Costs &amp; Revenues";#N/A,#N/A,FALSE,"Cash Flow to Debt &amp; Equity";#N/A,#N/A,FALSE,"Cash Flow to Athena LP"}</definedName>
    <definedName name="wrn.Relevant._.Sections." localSheetId="4" hidden="1">{#N/A,#N/A,FALSE,"Summary";#N/A,#N/A,FALSE,"Program Scheme";#N/A,#N/A,FALSE,"Assumptions";#N/A,#N/A,FALSE,"Development Budget";#N/A,#N/A,FALSE,"Timing";#N/A,#N/A,FALSE,"Development Costs &amp; Revenues";#N/A,#N/A,FALSE,"Cash Flow to Debt &amp; Equity";#N/A,#N/A,FALSE,"Cash Flow to Athena LP"}</definedName>
    <definedName name="wrn.Relevant._.Sections." localSheetId="0" hidden="1">{#N/A,#N/A,FALSE,"Summary";#N/A,#N/A,FALSE,"Program Scheme";#N/A,#N/A,FALSE,"Assumptions";#N/A,#N/A,FALSE,"Development Budget";#N/A,#N/A,FALSE,"Timing";#N/A,#N/A,FALSE,"Development Costs &amp; Revenues";#N/A,#N/A,FALSE,"Cash Flow to Debt &amp; Equity";#N/A,#N/A,FALSE,"Cash Flow to Athena LP"}</definedName>
    <definedName name="wrn.Relevant._.Sections." hidden="1">{#N/A,#N/A,FALSE,"Summary";#N/A,#N/A,FALSE,"Program Scheme";#N/A,#N/A,FALSE,"Assumptions";#N/A,#N/A,FALSE,"Development Budget";#N/A,#N/A,FALSE,"Timing";#N/A,#N/A,FALSE,"Development Costs &amp; Revenues";#N/A,#N/A,FALSE,"Cash Flow to Debt &amp; Equity";#N/A,#N/A,FALSE,"Cash Flow to Athena LP"}</definedName>
    <definedName name="wrn.RentRoll." localSheetId="0" hidden="1">{"CurrentRentRoll",#N/A,FALSE,"Graph &amp; Rent Roll"}</definedName>
    <definedName name="wrn.RentRoll." hidden="1">{"CurrentRentRoll",#N/A,FALSE,"Graph &amp; Rent Roll"}</definedName>
    <definedName name="wrn.Report." localSheetId="3" hidden="1">{#N/A,#N/A,FALSE,"Summary";#N/A,#N/A,FALSE,"Assumptions";#N/A,#N/A,FALSE,"Notes";#N/A,#N/A,FALSE,"Cash Flow";#N/A,#N/A,FALSE,"Eff. Rent Detail";#N/A,#N/A,FALSE,"Residual";#N/A,#N/A,FALSE,"Value Matrix";#N/A,#N/A,FALSE,"Pro Forma";#N/A,#N/A,FALSE,"Historical Op";#N/A,#N/A,FALSE,"Value Comp";#N/A,#N/A,FALSE,"Matrices"}</definedName>
    <definedName name="wrn.Report." localSheetId="6" hidden="1">{#N/A,#N/A,FALSE,"Summary";#N/A,#N/A,FALSE,"Assumptions";#N/A,#N/A,FALSE,"Notes";#N/A,#N/A,FALSE,"Cash Flow";#N/A,#N/A,FALSE,"Eff. Rent Detail";#N/A,#N/A,FALSE,"Residual";#N/A,#N/A,FALSE,"Value Matrix";#N/A,#N/A,FALSE,"Pro Forma";#N/A,#N/A,FALSE,"Historical Op";#N/A,#N/A,FALSE,"Value Comp";#N/A,#N/A,FALSE,"Matrices"}</definedName>
    <definedName name="wrn.Report." localSheetId="9" hidden="1">{#N/A,#N/A,FALSE,"Summary";#N/A,#N/A,FALSE,"Assumptions";#N/A,#N/A,FALSE,"Notes";#N/A,#N/A,FALSE,"Cash Flow";#N/A,#N/A,FALSE,"Eff. Rent Detail";#N/A,#N/A,FALSE,"Residual";#N/A,#N/A,FALSE,"Value Matrix";#N/A,#N/A,FALSE,"Pro Forma";#N/A,#N/A,FALSE,"Historical Op";#N/A,#N/A,FALSE,"Value Comp";#N/A,#N/A,FALSE,"Matrices"}</definedName>
    <definedName name="wrn.Report." localSheetId="2" hidden="1">{#N/A,#N/A,FALSE,"Summary";#N/A,#N/A,FALSE,"Assumptions";#N/A,#N/A,FALSE,"Notes";#N/A,#N/A,FALSE,"Cash Flow";#N/A,#N/A,FALSE,"Eff. Rent Detail";#N/A,#N/A,FALSE,"Residual";#N/A,#N/A,FALSE,"Value Matrix";#N/A,#N/A,FALSE,"Pro Forma";#N/A,#N/A,FALSE,"Historical Op";#N/A,#N/A,FALSE,"Value Comp";#N/A,#N/A,FALSE,"Matrices"}</definedName>
    <definedName name="wrn.Report." localSheetId="4" hidden="1">{#N/A,#N/A,FALSE,"Summary";#N/A,#N/A,FALSE,"Assumptions";#N/A,#N/A,FALSE,"Notes";#N/A,#N/A,FALSE,"Cash Flow";#N/A,#N/A,FALSE,"Eff. Rent Detail";#N/A,#N/A,FALSE,"Residual";#N/A,#N/A,FALSE,"Value Matrix";#N/A,#N/A,FALSE,"Pro Forma";#N/A,#N/A,FALSE,"Historical Op";#N/A,#N/A,FALSE,"Value Comp";#N/A,#N/A,FALSE,"Matrices"}</definedName>
    <definedName name="wrn.Report." localSheetId="0" hidden="1">{#N/A,#N/A,FALSE,"Summary";#N/A,#N/A,FALSE,"Assumptions";#N/A,#N/A,FALSE,"Notes";#N/A,#N/A,FALSE,"Cash Flow";#N/A,#N/A,FALSE,"Eff. Rent Detail";#N/A,#N/A,FALSE,"Residual";#N/A,#N/A,FALSE,"Value Matrix";#N/A,#N/A,FALSE,"Pro Forma";#N/A,#N/A,FALSE,"Historical Op";#N/A,#N/A,FALSE,"Value Comp";#N/A,#N/A,FALSE,"Matrices"}</definedName>
    <definedName name="wrn.Report." hidden="1">{#N/A,#N/A,FALSE,"Summary";#N/A,#N/A,FALSE,"Assumptions";#N/A,#N/A,FALSE,"Notes";#N/A,#N/A,FALSE,"Cash Flow";#N/A,#N/A,FALSE,"Eff. Rent Detail";#N/A,#N/A,FALSE,"Residual";#N/A,#N/A,FALSE,"Value Matrix";#N/A,#N/A,FALSE,"Pro Forma";#N/A,#N/A,FALSE,"Historical Op";#N/A,#N/A,FALSE,"Value Comp";#N/A,#N/A,FALSE,"Matrices"}</definedName>
    <definedName name="wrn.Report._.Tables." localSheetId="3" hidden="1">{"Penetration Analysis",#N/A,FALSE,"Comp.&amp; Market Penet.";"ADR Analysis",#N/A,FALSE,"Comp.&amp; Market Penet.";"New Supply",#N/A,FALSE,"Comp.&amp; Market Penet.";"MArket Occupancy",#N/A,FALSE,"Comp.&amp; Market Penet.";"Primarily Competition",#N/A,FALSE,"Comp.&amp; Market Penet."}</definedName>
    <definedName name="wrn.Report._.Tables." localSheetId="6" hidden="1">{"Penetration Analysis",#N/A,FALSE,"Comp.&amp; Market Penet.";"ADR Analysis",#N/A,FALSE,"Comp.&amp; Market Penet.";"New Supply",#N/A,FALSE,"Comp.&amp; Market Penet.";"MArket Occupancy",#N/A,FALSE,"Comp.&amp; Market Penet.";"Primarily Competition",#N/A,FALSE,"Comp.&amp; Market Penet."}</definedName>
    <definedName name="wrn.Report._.Tables." localSheetId="9" hidden="1">{"Penetration Analysis",#N/A,FALSE,"Comp.&amp; Market Penet.";"ADR Analysis",#N/A,FALSE,"Comp.&amp; Market Penet.";"New Supply",#N/A,FALSE,"Comp.&amp; Market Penet.";"MArket Occupancy",#N/A,FALSE,"Comp.&amp; Market Penet.";"Primarily Competition",#N/A,FALSE,"Comp.&amp; Market Penet."}</definedName>
    <definedName name="wrn.Report._.Tables." localSheetId="2" hidden="1">{"Penetration Analysis",#N/A,FALSE,"Comp.&amp; Market Penet.";"ADR Analysis",#N/A,FALSE,"Comp.&amp; Market Penet.";"New Supply",#N/A,FALSE,"Comp.&amp; Market Penet.";"MArket Occupancy",#N/A,FALSE,"Comp.&amp; Market Penet.";"Primarily Competition",#N/A,FALSE,"Comp.&amp; Market Penet."}</definedName>
    <definedName name="wrn.Report._.Tables." localSheetId="4" hidden="1">{"Penetration Analysis",#N/A,FALSE,"Comp.&amp; Market Penet.";"ADR Analysis",#N/A,FALSE,"Comp.&amp; Market Penet.";"New Supply",#N/A,FALSE,"Comp.&amp; Market Penet.";"MArket Occupancy",#N/A,FALSE,"Comp.&amp; Market Penet.";"Primarily Competition",#N/A,FALSE,"Comp.&amp; Market Penet."}</definedName>
    <definedName name="wrn.Report._.Tables." localSheetId="0" hidden="1">{"Penetration Analysis",#N/A,FALSE,"Comp.&amp; Market Penet.";"ADR Analysis",#N/A,FALSE,"Comp.&amp; Market Penet.";"New Supply",#N/A,FALSE,"Comp.&amp; Market Penet.";"MArket Occupancy",#N/A,FALSE,"Comp.&amp; Market Penet.";"Primarily Competition",#N/A,FALSE,"Comp.&amp; Market Penet."}</definedName>
    <definedName name="wrn.Report._.Tables." hidden="1">{"Penetration Analysis",#N/A,FALSE,"Comp.&amp; Market Penet.";"ADR Analysis",#N/A,FALSE,"Comp.&amp; Market Penet.";"New Supply",#N/A,FALSE,"Comp.&amp; Market Penet.";"MArket Occupancy",#N/A,FALSE,"Comp.&amp; Market Penet.";"Primarily Competition",#N/A,FALSE,"Comp.&amp; Market Penet."}</definedName>
    <definedName name="wrn.Report._1" localSheetId="3" hidden="1">{"Summary",#N/A,FALSE,"Model";"Partnership Value",#N/A,FALSE,"Model";"Cash Flows",#N/A,FALSE,"Model";"Partnership Equity Value",#N/A,FALSE,"Model";"DCF",#N/A,FALSE,"Model";"Waterfall",#N/A,FALSE,"Model";"MIR Fund Structure",#N/A,FALSE,"Model";"Assumptions",#N/A,FALSE,"Model"}</definedName>
    <definedName name="wrn.Report._1" localSheetId="9" hidden="1">{"Summary",#N/A,FALSE,"Model";"Partnership Value",#N/A,FALSE,"Model";"Cash Flows",#N/A,FALSE,"Model";"Partnership Equity Value",#N/A,FALSE,"Model";"DCF",#N/A,FALSE,"Model";"Waterfall",#N/A,FALSE,"Model";"MIR Fund Structure",#N/A,FALSE,"Model";"Assumptions",#N/A,FALSE,"Model"}</definedName>
    <definedName name="wrn.Report._1" localSheetId="2" hidden="1">{"Summary",#N/A,FALSE,"Model";"Partnership Value",#N/A,FALSE,"Model";"Cash Flows",#N/A,FALSE,"Model";"Partnership Equity Value",#N/A,FALSE,"Model";"DCF",#N/A,FALSE,"Model";"Waterfall",#N/A,FALSE,"Model";"MIR Fund Structure",#N/A,FALSE,"Model";"Assumptions",#N/A,FALSE,"Model"}</definedName>
    <definedName name="wrn.Report._1" localSheetId="4" hidden="1">{"Summary",#N/A,FALSE,"Model";"Partnership Value",#N/A,FALSE,"Model";"Cash Flows",#N/A,FALSE,"Model";"Partnership Equity Value",#N/A,FALSE,"Model";"DCF",#N/A,FALSE,"Model";"Waterfall",#N/A,FALSE,"Model";"MIR Fund Structure",#N/A,FALSE,"Model";"Assumptions",#N/A,FALSE,"Model"}</definedName>
    <definedName name="wrn.Report._1" localSheetId="0" hidden="1">{"Summary",#N/A,FALSE,"Model";"Partnership Value",#N/A,FALSE,"Model";"Cash Flows",#N/A,FALSE,"Model";"Partnership Equity Value",#N/A,FALSE,"Model";"DCF",#N/A,FALSE,"Model";"Waterfall",#N/A,FALSE,"Model";"MIR Fund Structure",#N/A,FALSE,"Model";"Assumptions",#N/A,FALSE,"Model"}</definedName>
    <definedName name="wrn.Report._1" hidden="1">{"Summary",#N/A,FALSE,"Model";"Partnership Value",#N/A,FALSE,"Model";"Cash Flows",#N/A,FALSE,"Model";"Partnership Equity Value",#N/A,FALSE,"Model";"DCF",#N/A,FALSE,"Model";"Waterfall",#N/A,FALSE,"Model";"MIR Fund Structure",#N/A,FALSE,"Model";"Assumptions",#N/A,FALSE,"Model"}</definedName>
    <definedName name="wrn.Report._2" localSheetId="3" hidden="1">{"Summary",#N/A,FALSE,"Model";"Partnership Value",#N/A,FALSE,"Model";"Cash Flows",#N/A,FALSE,"Model";"Partnership Equity Value",#N/A,FALSE,"Model";"DCF",#N/A,FALSE,"Model";"Waterfall",#N/A,FALSE,"Model";"MIR Fund Structure",#N/A,FALSE,"Model";"Assumptions",#N/A,FALSE,"Model"}</definedName>
    <definedName name="wrn.Report._2" localSheetId="9" hidden="1">{"Summary",#N/A,FALSE,"Model";"Partnership Value",#N/A,FALSE,"Model";"Cash Flows",#N/A,FALSE,"Model";"Partnership Equity Value",#N/A,FALSE,"Model";"DCF",#N/A,FALSE,"Model";"Waterfall",#N/A,FALSE,"Model";"MIR Fund Structure",#N/A,FALSE,"Model";"Assumptions",#N/A,FALSE,"Model"}</definedName>
    <definedName name="wrn.Report._2" localSheetId="2" hidden="1">{"Summary",#N/A,FALSE,"Model";"Partnership Value",#N/A,FALSE,"Model";"Cash Flows",#N/A,FALSE,"Model";"Partnership Equity Value",#N/A,FALSE,"Model";"DCF",#N/A,FALSE,"Model";"Waterfall",#N/A,FALSE,"Model";"MIR Fund Structure",#N/A,FALSE,"Model";"Assumptions",#N/A,FALSE,"Model"}</definedName>
    <definedName name="wrn.Report._2" localSheetId="4" hidden="1">{"Summary",#N/A,FALSE,"Model";"Partnership Value",#N/A,FALSE,"Model";"Cash Flows",#N/A,FALSE,"Model";"Partnership Equity Value",#N/A,FALSE,"Model";"DCF",#N/A,FALSE,"Model";"Waterfall",#N/A,FALSE,"Model";"MIR Fund Structure",#N/A,FALSE,"Model";"Assumptions",#N/A,FALSE,"Model"}</definedName>
    <definedName name="wrn.Report._2" localSheetId="0" hidden="1">{"Summary",#N/A,FALSE,"Model";"Partnership Value",#N/A,FALSE,"Model";"Cash Flows",#N/A,FALSE,"Model";"Partnership Equity Value",#N/A,FALSE,"Model";"DCF",#N/A,FALSE,"Model";"Waterfall",#N/A,FALSE,"Model";"MIR Fund Structure",#N/A,FALSE,"Model";"Assumptions",#N/A,FALSE,"Model"}</definedName>
    <definedName name="wrn.Report._2" hidden="1">{"Summary",#N/A,FALSE,"Model";"Partnership Value",#N/A,FALSE,"Model";"Cash Flows",#N/A,FALSE,"Model";"Partnership Equity Value",#N/A,FALSE,"Model";"DCF",#N/A,FALSE,"Model";"Waterfall",#N/A,FALSE,"Model";"MIR Fund Structure",#N/A,FALSE,"Model";"Assumptions",#N/A,FALSE,"Model"}</definedName>
    <definedName name="wrn.Report._3" localSheetId="3" hidden="1">{"Summary",#N/A,FALSE,"Model";"Partnership Value",#N/A,FALSE,"Model";"Cash Flows",#N/A,FALSE,"Model";"Partnership Equity Value",#N/A,FALSE,"Model";"DCF",#N/A,FALSE,"Model";"Waterfall",#N/A,FALSE,"Model";"MIR Fund Structure",#N/A,FALSE,"Model";"Assumptions",#N/A,FALSE,"Model"}</definedName>
    <definedName name="wrn.Report._3" localSheetId="9" hidden="1">{"Summary",#N/A,FALSE,"Model";"Partnership Value",#N/A,FALSE,"Model";"Cash Flows",#N/A,FALSE,"Model";"Partnership Equity Value",#N/A,FALSE,"Model";"DCF",#N/A,FALSE,"Model";"Waterfall",#N/A,FALSE,"Model";"MIR Fund Structure",#N/A,FALSE,"Model";"Assumptions",#N/A,FALSE,"Model"}</definedName>
    <definedName name="wrn.Report._3" localSheetId="2" hidden="1">{"Summary",#N/A,FALSE,"Model";"Partnership Value",#N/A,FALSE,"Model";"Cash Flows",#N/A,FALSE,"Model";"Partnership Equity Value",#N/A,FALSE,"Model";"DCF",#N/A,FALSE,"Model";"Waterfall",#N/A,FALSE,"Model";"MIR Fund Structure",#N/A,FALSE,"Model";"Assumptions",#N/A,FALSE,"Model"}</definedName>
    <definedName name="wrn.Report._3" localSheetId="4" hidden="1">{"Summary",#N/A,FALSE,"Model";"Partnership Value",#N/A,FALSE,"Model";"Cash Flows",#N/A,FALSE,"Model";"Partnership Equity Value",#N/A,FALSE,"Model";"DCF",#N/A,FALSE,"Model";"Waterfall",#N/A,FALSE,"Model";"MIR Fund Structure",#N/A,FALSE,"Model";"Assumptions",#N/A,FALSE,"Model"}</definedName>
    <definedName name="wrn.Report._3" localSheetId="0" hidden="1">{"Summary",#N/A,FALSE,"Model";"Partnership Value",#N/A,FALSE,"Model";"Cash Flows",#N/A,FALSE,"Model";"Partnership Equity Value",#N/A,FALSE,"Model";"DCF",#N/A,FALSE,"Model";"Waterfall",#N/A,FALSE,"Model";"MIR Fund Structure",#N/A,FALSE,"Model";"Assumptions",#N/A,FALSE,"Model"}</definedName>
    <definedName name="wrn.Report._3" hidden="1">{"Summary",#N/A,FALSE,"Model";"Partnership Value",#N/A,FALSE,"Model";"Cash Flows",#N/A,FALSE,"Model";"Partnership Equity Value",#N/A,FALSE,"Model";"DCF",#N/A,FALSE,"Model";"Waterfall",#N/A,FALSE,"Model";"MIR Fund Structure",#N/A,FALSE,"Model";"Assumptions",#N/A,FALSE,"Model"}</definedName>
    <definedName name="wrn.RRPROJECT." localSheetId="3" hidden="1">{"MT1",#N/A,FALSE,"RA_SL";"MT2",#N/A,FALSE,"RA_SL";"MT3",#N/A,FALSE,"RA_SL";"MT4",#N/A,FALSE,"RA_SL";"MT5",#N/A,FALSE,"RA_SL";"MT7",#N/A,FALSE,"RA_SL";"MT16",#N/A,FALSE,"RA_SL";"MT17",#N/A,FALSE,"RA_SL";"MT18",#N/A,FALSE,"RA_SL";"MT19",#N/A,FALSE,"RA_SL";"MT20",#N/A,FALSE,"RA_SL";"MT21",#N/A,FALSE,"RA_SL";"MT22",#N/A,FALSE,"RA_SL";"MT23",#N/A,FALSE,"RA_SL";"MT24",#N/A,FALSE,"RA_SL";"MT25",#N/A,FALSE,"RA_SL";"MT26",#N/A,FALSE,"RA_SL";"MT27",#N/A,FALSE,"RA_SL";"MT28",#N/A,FALSE,"RA_SL";"MT29",#N/A,FALSE,"RA_SL"}</definedName>
    <definedName name="wrn.RRPROJECT." localSheetId="6" hidden="1">{"MT1",#N/A,FALSE,"RA_SL";"MT2",#N/A,FALSE,"RA_SL";"MT3",#N/A,FALSE,"RA_SL";"MT4",#N/A,FALSE,"RA_SL";"MT5",#N/A,FALSE,"RA_SL";"MT7",#N/A,FALSE,"RA_SL";"MT16",#N/A,FALSE,"RA_SL";"MT17",#N/A,FALSE,"RA_SL";"MT18",#N/A,FALSE,"RA_SL";"MT19",#N/A,FALSE,"RA_SL";"MT20",#N/A,FALSE,"RA_SL";"MT21",#N/A,FALSE,"RA_SL";"MT22",#N/A,FALSE,"RA_SL";"MT23",#N/A,FALSE,"RA_SL";"MT24",#N/A,FALSE,"RA_SL";"MT25",#N/A,FALSE,"RA_SL";"MT26",#N/A,FALSE,"RA_SL";"MT27",#N/A,FALSE,"RA_SL";"MT28",#N/A,FALSE,"RA_SL";"MT29",#N/A,FALSE,"RA_SL"}</definedName>
    <definedName name="wrn.RRPROJECT." localSheetId="9" hidden="1">{"MT1",#N/A,FALSE,"RA_SL";"MT2",#N/A,FALSE,"RA_SL";"MT3",#N/A,FALSE,"RA_SL";"MT4",#N/A,FALSE,"RA_SL";"MT5",#N/A,FALSE,"RA_SL";"MT7",#N/A,FALSE,"RA_SL";"MT16",#N/A,FALSE,"RA_SL";"MT17",#N/A,FALSE,"RA_SL";"MT18",#N/A,FALSE,"RA_SL";"MT19",#N/A,FALSE,"RA_SL";"MT20",#N/A,FALSE,"RA_SL";"MT21",#N/A,FALSE,"RA_SL";"MT22",#N/A,FALSE,"RA_SL";"MT23",#N/A,FALSE,"RA_SL";"MT24",#N/A,FALSE,"RA_SL";"MT25",#N/A,FALSE,"RA_SL";"MT26",#N/A,FALSE,"RA_SL";"MT27",#N/A,FALSE,"RA_SL";"MT28",#N/A,FALSE,"RA_SL";"MT29",#N/A,FALSE,"RA_SL"}</definedName>
    <definedName name="wrn.RRPROJECT." localSheetId="2" hidden="1">{"MT1",#N/A,FALSE,"RA_SL";"MT2",#N/A,FALSE,"RA_SL";"MT3",#N/A,FALSE,"RA_SL";"MT4",#N/A,FALSE,"RA_SL";"MT5",#N/A,FALSE,"RA_SL";"MT7",#N/A,FALSE,"RA_SL";"MT16",#N/A,FALSE,"RA_SL";"MT17",#N/A,FALSE,"RA_SL";"MT18",#N/A,FALSE,"RA_SL";"MT19",#N/A,FALSE,"RA_SL";"MT20",#N/A,FALSE,"RA_SL";"MT21",#N/A,FALSE,"RA_SL";"MT22",#N/A,FALSE,"RA_SL";"MT23",#N/A,FALSE,"RA_SL";"MT24",#N/A,FALSE,"RA_SL";"MT25",#N/A,FALSE,"RA_SL";"MT26",#N/A,FALSE,"RA_SL";"MT27",#N/A,FALSE,"RA_SL";"MT28",#N/A,FALSE,"RA_SL";"MT29",#N/A,FALSE,"RA_SL"}</definedName>
    <definedName name="wrn.RRPROJECT." localSheetId="4" hidden="1">{"MT1",#N/A,FALSE,"RA_SL";"MT2",#N/A,FALSE,"RA_SL";"MT3",#N/A,FALSE,"RA_SL";"MT4",#N/A,FALSE,"RA_SL";"MT5",#N/A,FALSE,"RA_SL";"MT7",#N/A,FALSE,"RA_SL";"MT16",#N/A,FALSE,"RA_SL";"MT17",#N/A,FALSE,"RA_SL";"MT18",#N/A,FALSE,"RA_SL";"MT19",#N/A,FALSE,"RA_SL";"MT20",#N/A,FALSE,"RA_SL";"MT21",#N/A,FALSE,"RA_SL";"MT22",#N/A,FALSE,"RA_SL";"MT23",#N/A,FALSE,"RA_SL";"MT24",#N/A,FALSE,"RA_SL";"MT25",#N/A,FALSE,"RA_SL";"MT26",#N/A,FALSE,"RA_SL";"MT27",#N/A,FALSE,"RA_SL";"MT28",#N/A,FALSE,"RA_SL";"MT29",#N/A,FALSE,"RA_SL"}</definedName>
    <definedName name="wrn.RRPROJECT." localSheetId="0" hidden="1">{"MT1",#N/A,FALSE,"RA_SL";"MT2",#N/A,FALSE,"RA_SL";"MT3",#N/A,FALSE,"RA_SL";"MT4",#N/A,FALSE,"RA_SL";"MT5",#N/A,FALSE,"RA_SL";"MT7",#N/A,FALSE,"RA_SL";"MT16",#N/A,FALSE,"RA_SL";"MT17",#N/A,FALSE,"RA_SL";"MT18",#N/A,FALSE,"RA_SL";"MT19",#N/A,FALSE,"RA_SL";"MT20",#N/A,FALSE,"RA_SL";"MT21",#N/A,FALSE,"RA_SL";"MT22",#N/A,FALSE,"RA_SL";"MT23",#N/A,FALSE,"RA_SL";"MT24",#N/A,FALSE,"RA_SL";"MT25",#N/A,FALSE,"RA_SL";"MT26",#N/A,FALSE,"RA_SL";"MT27",#N/A,FALSE,"RA_SL";"MT28",#N/A,FALSE,"RA_SL";"MT29",#N/A,FALSE,"RA_SL"}</definedName>
    <definedName name="wrn.RRPROJECT." hidden="1">{"MT1",#N/A,FALSE,"RA_SL";"MT2",#N/A,FALSE,"RA_SL";"MT3",#N/A,FALSE,"RA_SL";"MT4",#N/A,FALSE,"RA_SL";"MT5",#N/A,FALSE,"RA_SL";"MT7",#N/A,FALSE,"RA_SL";"MT16",#N/A,FALSE,"RA_SL";"MT17",#N/A,FALSE,"RA_SL";"MT18",#N/A,FALSE,"RA_SL";"MT19",#N/A,FALSE,"RA_SL";"MT20",#N/A,FALSE,"RA_SL";"MT21",#N/A,FALSE,"RA_SL";"MT22",#N/A,FALSE,"RA_SL";"MT23",#N/A,FALSE,"RA_SL";"MT24",#N/A,FALSE,"RA_SL";"MT25",#N/A,FALSE,"RA_SL";"MT26",#N/A,FALSE,"RA_SL";"MT27",#N/A,FALSE,"RA_SL";"MT28",#N/A,FALSE,"RA_SL";"MT29",#N/A,FALSE,"RA_SL"}</definedName>
    <definedName name="wrn.RRSUMMARY." localSheetId="3" hidden="1">{"RRSUMMARY",#N/A,FALSE,"RA_SL"}</definedName>
    <definedName name="wrn.RRSUMMARY." localSheetId="6" hidden="1">{"RRSUMMARY",#N/A,FALSE,"RA_SL"}</definedName>
    <definedName name="wrn.RRSUMMARY." localSheetId="9" hidden="1">{"RRSUMMARY",#N/A,FALSE,"RA_SL"}</definedName>
    <definedName name="wrn.RRSUMMARY." localSheetId="2" hidden="1">{"RRSUMMARY",#N/A,FALSE,"RA_SL"}</definedName>
    <definedName name="wrn.RRSUMMARY." localSheetId="4" hidden="1">{"RRSUMMARY",#N/A,FALSE,"RA_SL"}</definedName>
    <definedName name="wrn.RRSUMMARY." localSheetId="0" hidden="1">{"RRSUMMARY",#N/A,FALSE,"RA_SL"}</definedName>
    <definedName name="wrn.RRSUMMARY." hidden="1">{"RRSUMMARY",#N/A,FALSE,"RA_SL"}</definedName>
    <definedName name="wrn.RV._.SAR." localSheetId="3" hidden="1">{#N/A,#N/A,FALSE,"COVER";#N/A,#N/A,FALSE,"WEEKLY SUMMARY";"RiverView I",#N/A,FALSE,"EAST TOWER";#N/A,#N/A,FALSE,"WEST TOWER";"Parking",#N/A,FALSE,"EAST TOWER"}</definedName>
    <definedName name="wrn.RV._.SAR." localSheetId="9" hidden="1">{#N/A,#N/A,FALSE,"COVER";#N/A,#N/A,FALSE,"WEEKLY SUMMARY";"RiverView I",#N/A,FALSE,"EAST TOWER";#N/A,#N/A,FALSE,"WEST TOWER";"Parking",#N/A,FALSE,"EAST TOWER"}</definedName>
    <definedName name="wrn.RV._.SAR." localSheetId="2" hidden="1">{#N/A,#N/A,FALSE,"COVER";#N/A,#N/A,FALSE,"WEEKLY SUMMARY";"RiverView I",#N/A,FALSE,"EAST TOWER";#N/A,#N/A,FALSE,"WEST TOWER";"Parking",#N/A,FALSE,"EAST TOWER"}</definedName>
    <definedName name="wrn.RV._.SAR." localSheetId="4" hidden="1">{#N/A,#N/A,FALSE,"COVER";#N/A,#N/A,FALSE,"WEEKLY SUMMARY";"RiverView I",#N/A,FALSE,"EAST TOWER";#N/A,#N/A,FALSE,"WEST TOWER";"Parking",#N/A,FALSE,"EAST TOWER"}</definedName>
    <definedName name="wrn.RV._.SAR." localSheetId="0" hidden="1">{#N/A,#N/A,FALSE,"COVER";#N/A,#N/A,FALSE,"WEEKLY SUMMARY";"RiverView I",#N/A,FALSE,"EAST TOWER";#N/A,#N/A,FALSE,"WEST TOWER";"Parking",#N/A,FALSE,"EAST TOWER"}</definedName>
    <definedName name="wrn.RV._.SAR." hidden="1">{#N/A,#N/A,FALSE,"COVER";#N/A,#N/A,FALSE,"WEEKLY SUMMARY";"RiverView I",#N/A,FALSE,"EAST TOWER";#N/A,#N/A,FALSE,"WEST TOWER";"Parking",#N/A,FALSE,"EAST TOWER"}</definedName>
    <definedName name="wrn.sales." localSheetId="3" hidden="1">{"sales",#N/A,FALSE,"Sales";"sales existing",#N/A,FALSE,"Sales";"sales rd1",#N/A,FALSE,"Sales";"sales rd2",#N/A,FALSE,"Sales"}</definedName>
    <definedName name="wrn.sales." localSheetId="6" hidden="1">{"sales",#N/A,FALSE,"Sales";"sales existing",#N/A,FALSE,"Sales";"sales rd1",#N/A,FALSE,"Sales";"sales rd2",#N/A,FALSE,"Sales"}</definedName>
    <definedName name="wrn.sales." localSheetId="9" hidden="1">{"sales",#N/A,FALSE,"Sales";"sales existing",#N/A,FALSE,"Sales";"sales rd1",#N/A,FALSE,"Sales";"sales rd2",#N/A,FALSE,"Sales"}</definedName>
    <definedName name="wrn.sales." localSheetId="2" hidden="1">{"sales",#N/A,FALSE,"Sales";"sales existing",#N/A,FALSE,"Sales";"sales rd1",#N/A,FALSE,"Sales";"sales rd2",#N/A,FALSE,"Sales"}</definedName>
    <definedName name="wrn.sales." localSheetId="4" hidden="1">{"sales",#N/A,FALSE,"Sales";"sales existing",#N/A,FALSE,"Sales";"sales rd1",#N/A,FALSE,"Sales";"sales rd2",#N/A,FALSE,"Sales"}</definedName>
    <definedName name="wrn.sales." localSheetId="0" hidden="1">{"sales",#N/A,FALSE,"Sales";"sales existing",#N/A,FALSE,"Sales";"sales rd1",#N/A,FALSE,"Sales";"sales rd2",#N/A,FALSE,"Sales"}</definedName>
    <definedName name="wrn.sales." hidden="1">{"sales",#N/A,FALSE,"Sales";"sales existing",#N/A,FALSE,"Sales";"sales rd1",#N/A,FALSE,"Sales";"sales rd2",#N/A,FALSE,"Sales"}</definedName>
    <definedName name="wrn.Scenario." localSheetId="3" hidden="1">{"scen1",#N/A,FALSE,"Scenarios";"scen2",#N/A,FALSE,"Scenarios"}</definedName>
    <definedName name="wrn.Scenario." localSheetId="6" hidden="1">{"scen1",#N/A,FALSE,"Scenarios";"scen2",#N/A,FALSE,"Scenarios"}</definedName>
    <definedName name="wrn.Scenario." localSheetId="9" hidden="1">{"scen1",#N/A,FALSE,"Scenarios";"scen2",#N/A,FALSE,"Scenarios"}</definedName>
    <definedName name="wrn.Scenario." localSheetId="2" hidden="1">{"scen1",#N/A,FALSE,"Scenarios";"scen2",#N/A,FALSE,"Scenarios"}</definedName>
    <definedName name="wrn.Scenario." localSheetId="4" hidden="1">{"scen1",#N/A,FALSE,"Scenarios";"scen2",#N/A,FALSE,"Scenarios"}</definedName>
    <definedName name="wrn.Scenario." localSheetId="0" hidden="1">{"scen1",#N/A,FALSE,"Scenarios";"scen2",#N/A,FALSE,"Scenarios"}</definedName>
    <definedName name="wrn.Scenario." hidden="1">{"scen1",#N/A,FALSE,"Scenarios";"scen2",#N/A,FALSE,"Scenarios"}</definedName>
    <definedName name="wrn.SCHEDULE." localSheetId="0" hidden="1">{"SCHEDULE",#N/A,FALSE,"Fin_sched"}</definedName>
    <definedName name="wrn.SCHEDULE." hidden="1">{"SCHEDULE",#N/A,FALSE,"Fin_sched"}</definedName>
    <definedName name="wrn.schedules." localSheetId="3" hidden="1">{"schedule1",#N/A,FALSE,"Sheet1";"schedule2",#N/A,FALSE,"Sheet1";"schedule3",#N/A,FALSE,"Sheet1";"schedule4",#N/A,FALSE,"Sheet1";"schedule5",#N/A,FALSE,"Sheet1";"schedule6",#N/A,FALSE,"Sheet1"}</definedName>
    <definedName name="wrn.schedules." localSheetId="6" hidden="1">{"schedule1",#N/A,FALSE,"Sheet1";"schedule2",#N/A,FALSE,"Sheet1";"schedule3",#N/A,FALSE,"Sheet1";"schedule4",#N/A,FALSE,"Sheet1";"schedule5",#N/A,FALSE,"Sheet1";"schedule6",#N/A,FALSE,"Sheet1"}</definedName>
    <definedName name="wrn.schedules." localSheetId="9" hidden="1">{"schedule1",#N/A,FALSE,"Sheet1";"schedule2",#N/A,FALSE,"Sheet1";"schedule3",#N/A,FALSE,"Sheet1";"schedule4",#N/A,FALSE,"Sheet1";"schedule5",#N/A,FALSE,"Sheet1";"schedule6",#N/A,FALSE,"Sheet1"}</definedName>
    <definedName name="wrn.schedules." localSheetId="2" hidden="1">{"schedule1",#N/A,FALSE,"Sheet1";"schedule2",#N/A,FALSE,"Sheet1";"schedule3",#N/A,FALSE,"Sheet1";"schedule4",#N/A,FALSE,"Sheet1";"schedule5",#N/A,FALSE,"Sheet1";"schedule6",#N/A,FALSE,"Sheet1"}</definedName>
    <definedName name="wrn.schedules." localSheetId="4" hidden="1">{"schedule1",#N/A,FALSE,"Sheet1";"schedule2",#N/A,FALSE,"Sheet1";"schedule3",#N/A,FALSE,"Sheet1";"schedule4",#N/A,FALSE,"Sheet1";"schedule5",#N/A,FALSE,"Sheet1";"schedule6",#N/A,FALSE,"Sheet1"}</definedName>
    <definedName name="wrn.schedules." localSheetId="0" hidden="1">{"schedule1",#N/A,FALSE,"Sheet1";"schedule2",#N/A,FALSE,"Sheet1";"schedule3",#N/A,FALSE,"Sheet1";"schedule4",#N/A,FALSE,"Sheet1";"schedule5",#N/A,FALSE,"Sheet1";"schedule6",#N/A,FALSE,"Sheet1"}</definedName>
    <definedName name="wrn.schedules." hidden="1">{"schedule1",#N/A,FALSE,"Sheet1";"schedule2",#N/A,FALSE,"Sheet1";"schedule3",#N/A,FALSE,"Sheet1";"schedule4",#N/A,FALSE,"Sheet1";"schedule5",#N/A,FALSE,"Sheet1";"schedule6",#N/A,FALSE,"Sheet1"}</definedName>
    <definedName name="wrn.seafirst." localSheetId="0"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afirst."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condary._.Competition." localSheetId="3" hidden="1">{#N/A,#N/A,FALSE,"Secondary"}</definedName>
    <definedName name="wrn.Secondary._.Competition." localSheetId="6" hidden="1">{#N/A,#N/A,FALSE,"Secondary"}</definedName>
    <definedName name="wrn.Secondary._.Competition." localSheetId="9" hidden="1">{#N/A,#N/A,FALSE,"Secondary"}</definedName>
    <definedName name="wrn.Secondary._.Competition." localSheetId="2" hidden="1">{#N/A,#N/A,FALSE,"Secondary"}</definedName>
    <definedName name="wrn.Secondary._.Competition." localSheetId="4" hidden="1">{#N/A,#N/A,FALSE,"Secondary"}</definedName>
    <definedName name="wrn.Secondary._.Competition." localSheetId="0" hidden="1">{#N/A,#N/A,FALSE,"Secondary"}</definedName>
    <definedName name="wrn.Secondary._.Competition." hidden="1">{#N/A,#N/A,FALSE,"Secondary"}</definedName>
    <definedName name="wrn.Sensitivities." localSheetId="3" hidden="1">{"Sensitivities",#N/A,FALSE,"Consolidated"}</definedName>
    <definedName name="wrn.Sensitivities." localSheetId="9" hidden="1">{"Sensitivities",#N/A,FALSE,"Consolidated"}</definedName>
    <definedName name="wrn.Sensitivities." localSheetId="2" hidden="1">{"Sensitivities",#N/A,FALSE,"Consolidated"}</definedName>
    <definedName name="wrn.Sensitivities." localSheetId="4" hidden="1">{"Sensitivities",#N/A,FALSE,"Consolidated"}</definedName>
    <definedName name="wrn.Sensitivities." localSheetId="0" hidden="1">{"Sensitivities",#N/A,FALSE,"Consolidated"}</definedName>
    <definedName name="wrn.Sensitivities." hidden="1">{"Sensitivities",#N/A,FALSE,"Consolidated"}</definedName>
    <definedName name="wrn.Sensitivity._.Analysis." localSheetId="3" hidden="1">{"Sensitivity",#N/A,FALSE,"Sensitivity"}</definedName>
    <definedName name="wrn.Sensitivity._.Analysis." localSheetId="9" hidden="1">{"Sensitivity",#N/A,FALSE,"Sensitivity"}</definedName>
    <definedName name="wrn.Sensitivity._.Analysis." localSheetId="2" hidden="1">{"Sensitivity",#N/A,FALSE,"Sensitivity"}</definedName>
    <definedName name="wrn.Sensitivity._.Analysis." localSheetId="4" hidden="1">{"Sensitivity",#N/A,FALSE,"Sensitivity"}</definedName>
    <definedName name="wrn.Sensitivity._.Analysis." localSheetId="0" hidden="1">{"Sensitivity",#N/A,FALSE,"Sensitivity"}</definedName>
    <definedName name="wrn.Sensitivity._.Analysis." hidden="1">{"Sensitivity",#N/A,FALSE,"Sensitivity"}</definedName>
    <definedName name="wrn.SHORT." localSheetId="3" hidden="1">{"CREDIT STATISTICS",#N/A,FALSE,"STATS";"CF_AND_IS",#N/A,FALSE,"PLAN";"BALSHEET",#N/A,FALSE,"BALANCE SHEET"}</definedName>
    <definedName name="wrn.SHORT." localSheetId="6" hidden="1">{"CREDIT STATISTICS",#N/A,FALSE,"STATS";"CF_AND_IS",#N/A,FALSE,"PLAN";"BALSHEET",#N/A,FALSE,"BALANCE SHEET"}</definedName>
    <definedName name="wrn.SHORT." localSheetId="9" hidden="1">{"CREDIT STATISTICS",#N/A,FALSE,"STATS";"CF_AND_IS",#N/A,FALSE,"PLAN";"BALSHEET",#N/A,FALSE,"BALANCE SHEET"}</definedName>
    <definedName name="wrn.SHORT." localSheetId="2" hidden="1">{"CREDIT STATISTICS",#N/A,FALSE,"STATS";"CF_AND_IS",#N/A,FALSE,"PLAN";"BALSHEET",#N/A,FALSE,"BALANCE SHEET"}</definedName>
    <definedName name="wrn.SHORT." localSheetId="4" hidden="1">{"CREDIT STATISTICS",#N/A,FALSE,"STATS";"CF_AND_IS",#N/A,FALSE,"PLAN";"BALSHEET",#N/A,FALSE,"BALANCE SHEET"}</definedName>
    <definedName name="wrn.SHORT." localSheetId="0" hidden="1">{"CREDIT STATISTICS",#N/A,FALSE,"STATS";"CF_AND_IS",#N/A,FALSE,"PLAN";"BALSHEET",#N/A,FALSE,"BALANCE SHEET"}</definedName>
    <definedName name="wrn.SHORT." hidden="1">{"CREDIT STATISTICS",#N/A,FALSE,"STATS";"CF_AND_IS",#N/A,FALSE,"PLAN";"BALSHEET",#N/A,FALSE,"BALANCE SHEET"}</definedName>
    <definedName name="wrn.Short._.Form._.Pro._.forma." localSheetId="0" hidden="1">{"Page1_Short_Form",#N/A,TRUE,"Pro Forma";"Page2_Short_Form",#N/A,TRUE,"Pro Forma";"Page3_Short_Form",#N/A,TRUE,"Pro Forma";"Page4_Short_Form",#N/A,TRUE,"Pro Forma"}</definedName>
    <definedName name="wrn.Short._.Form._.Pro._.forma." hidden="1">{"Page1_Short_Form",#N/A,TRUE,"Pro Forma";"Page2_Short_Form",#N/A,TRUE,"Pro Forma";"Page3_Short_Form",#N/A,TRUE,"Pro Forma";"Page4_Short_Form",#N/A,TRUE,"Pro Forma"}</definedName>
    <definedName name="wrn.Short._.Print." localSheetId="3" hidden="1">{#N/A,#N/A,FALSE,"Cover";#N/A,#N/A,FALSE,"Stack";#N/A,#N/A,FALSE,"Cost S";#N/A,#N/A,FALSE," CF";#N/A,#N/A,FALSE,"Investor"}</definedName>
    <definedName name="wrn.Short._.Print." localSheetId="6" hidden="1">{#N/A,#N/A,FALSE,"Cover";#N/A,#N/A,FALSE,"Stack";#N/A,#N/A,FALSE,"Cost S";#N/A,#N/A,FALSE," CF";#N/A,#N/A,FALSE,"Investor"}</definedName>
    <definedName name="wrn.Short._.Print." localSheetId="9" hidden="1">{#N/A,#N/A,FALSE,"Cover";#N/A,#N/A,FALSE,"Stack";#N/A,#N/A,FALSE,"Cost S";#N/A,#N/A,FALSE," CF";#N/A,#N/A,FALSE,"Investor"}</definedName>
    <definedName name="wrn.Short._.Print." localSheetId="11" hidden="1">{#N/A,#N/A,FALSE,"Cover";#N/A,#N/A,FALSE,"Stack";#N/A,#N/A,FALSE,"Cost S";#N/A,#N/A,FALSE," CF";#N/A,#N/A,FALSE,"Investor"}</definedName>
    <definedName name="wrn.Short._.Print." localSheetId="2" hidden="1">{#N/A,#N/A,FALSE,"Cover";#N/A,#N/A,FALSE,"Stack";#N/A,#N/A,FALSE,"Cost S";#N/A,#N/A,FALSE," CF";#N/A,#N/A,FALSE,"Investor"}</definedName>
    <definedName name="wrn.Short._.Print." localSheetId="4" hidden="1">{#N/A,#N/A,FALSE,"Cover";#N/A,#N/A,FALSE,"Stack";#N/A,#N/A,FALSE,"Cost S";#N/A,#N/A,FALSE," CF";#N/A,#N/A,FALSE,"Investor"}</definedName>
    <definedName name="wrn.Short._.Print." localSheetId="0" hidden="1">{#N/A,#N/A,FALSE,"Cover";#N/A,#N/A,FALSE,"Stack";#N/A,#N/A,FALSE,"Cost S";#N/A,#N/A,FALSE," CF";#N/A,#N/A,FALSE,"Investor"}</definedName>
    <definedName name="wrn.Short._.Print." hidden="1">{#N/A,#N/A,FALSE,"Cover";#N/A,#N/A,FALSE,"Stack";#N/A,#N/A,FALSE,"Cost S";#N/A,#N/A,FALSE," CF";#N/A,#N/A,FALSE,"Investor"}</definedName>
    <definedName name="wrn.Sources._.and._.Uses." localSheetId="3" hidden="1">{"Sources and Uses",#N/A,FALSE,"S&amp;U"}</definedName>
    <definedName name="wrn.Sources._.and._.Uses." localSheetId="9" hidden="1">{"Sources and Uses",#N/A,FALSE,"S&amp;U"}</definedName>
    <definedName name="wrn.Sources._.and._.Uses." localSheetId="2" hidden="1">{"Sources and Uses",#N/A,FALSE,"S&amp;U"}</definedName>
    <definedName name="wrn.Sources._.and._.Uses." localSheetId="4" hidden="1">{"Sources and Uses",#N/A,FALSE,"S&amp;U"}</definedName>
    <definedName name="wrn.Sources._.and._.Uses." localSheetId="0" hidden="1">{"Sources and Uses",#N/A,FALSE,"S&amp;U"}</definedName>
    <definedName name="wrn.Sources._.and._.Uses." hidden="1">{"Sources and Uses",#N/A,FALSE,"S&amp;U"}</definedName>
    <definedName name="wrn.SouthTrust." localSheetId="0" hidden="1">{"SouthTrust-Investor",#N/A,FALSE,"SouthTrust";"SouthTrust-Property",#N/A,FALSE,"SouthTrust"}</definedName>
    <definedName name="wrn.SouthTrust." hidden="1">{"SouthTrust-Investor",#N/A,FALSE,"SouthTrust";"SouthTrust-Property",#N/A,FALSE,"SouthTrust"}</definedName>
    <definedName name="wrn.stages." localSheetId="3" hidden="1">{#N/A,#N/A,FALSE,"rev-stg format";#N/A,#N/A,FALSE,"conf-uncnf";#N/A,#N/A,FALSE,"stg-plot";#N/A,#N/A,FALSE,"stg-days"}</definedName>
    <definedName name="wrn.stages." localSheetId="6" hidden="1">{#N/A,#N/A,FALSE,"rev-stg format";#N/A,#N/A,FALSE,"conf-uncnf";#N/A,#N/A,FALSE,"stg-plot";#N/A,#N/A,FALSE,"stg-days"}</definedName>
    <definedName name="wrn.stages." localSheetId="9" hidden="1">{#N/A,#N/A,FALSE,"rev-stg format";#N/A,#N/A,FALSE,"conf-uncnf";#N/A,#N/A,FALSE,"stg-plot";#N/A,#N/A,FALSE,"stg-days"}</definedName>
    <definedName name="wrn.stages." localSheetId="2" hidden="1">{#N/A,#N/A,FALSE,"rev-stg format";#N/A,#N/A,FALSE,"conf-uncnf";#N/A,#N/A,FALSE,"stg-plot";#N/A,#N/A,FALSE,"stg-days"}</definedName>
    <definedName name="wrn.stages." localSheetId="4" hidden="1">{#N/A,#N/A,FALSE,"rev-stg format";#N/A,#N/A,FALSE,"conf-uncnf";#N/A,#N/A,FALSE,"stg-plot";#N/A,#N/A,FALSE,"stg-days"}</definedName>
    <definedName name="wrn.stages." localSheetId="0" hidden="1">{#N/A,#N/A,FALSE,"rev-stg format";#N/A,#N/A,FALSE,"conf-uncnf";#N/A,#N/A,FALSE,"stg-plot";#N/A,#N/A,FALSE,"stg-days"}</definedName>
    <definedName name="wrn.stages." hidden="1">{#N/A,#N/A,FALSE,"rev-stg format";#N/A,#N/A,FALSE,"conf-uncnf";#N/A,#N/A,FALSE,"stg-plot";#N/A,#N/A,FALSE,"stg-days"}</definedName>
    <definedName name="wrn.Staley." localSheetId="0"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wrn.Staley."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wrn.Standard._.Numbers." localSheetId="3" hidden="1">{"Sources and Uses",#N/A,FALSE,"S&amp;U";"Summary",#N/A,FALSE,"Summary";"Fixed Rate Bonds",#N/A,FALSE,"Fixed";"VRDB Current Market",#N/A,FALSE,"VRDB-Cur";"VRDB 5 Year Average",#N/A,FALSE,"VRDB-His";"Bank Taxable",#N/A,FALSE,"Bank-Taxable"}</definedName>
    <definedName name="wrn.Standard._.Numbers." localSheetId="9" hidden="1">{"Sources and Uses",#N/A,FALSE,"S&amp;U";"Summary",#N/A,FALSE,"Summary";"Fixed Rate Bonds",#N/A,FALSE,"Fixed";"VRDB Current Market",#N/A,FALSE,"VRDB-Cur";"VRDB 5 Year Average",#N/A,FALSE,"VRDB-His";"Bank Taxable",#N/A,FALSE,"Bank-Taxable"}</definedName>
    <definedName name="wrn.Standard._.Numbers." localSheetId="2" hidden="1">{"Sources and Uses",#N/A,FALSE,"S&amp;U";"Summary",#N/A,FALSE,"Summary";"Fixed Rate Bonds",#N/A,FALSE,"Fixed";"VRDB Current Market",#N/A,FALSE,"VRDB-Cur";"VRDB 5 Year Average",#N/A,FALSE,"VRDB-His";"Bank Taxable",#N/A,FALSE,"Bank-Taxable"}</definedName>
    <definedName name="wrn.Standard._.Numbers." localSheetId="4" hidden="1">{"Sources and Uses",#N/A,FALSE,"S&amp;U";"Summary",#N/A,FALSE,"Summary";"Fixed Rate Bonds",#N/A,FALSE,"Fixed";"VRDB Current Market",#N/A,FALSE,"VRDB-Cur";"VRDB 5 Year Average",#N/A,FALSE,"VRDB-His";"Bank Taxable",#N/A,FALSE,"Bank-Taxable"}</definedName>
    <definedName name="wrn.Standard._.Numbers." localSheetId="0" hidden="1">{"Sources and Uses",#N/A,FALSE,"S&amp;U";"Summary",#N/A,FALSE,"Summary";"Fixed Rate Bonds",#N/A,FALSE,"Fixed";"VRDB Current Market",#N/A,FALSE,"VRDB-Cur";"VRDB 5 Year Average",#N/A,FALSE,"VRDB-His";"Bank Taxable",#N/A,FALSE,"Bank-Taxable"}</definedName>
    <definedName name="wrn.Standard._.Numbers." hidden="1">{"Sources and Uses",#N/A,FALSE,"S&amp;U";"Summary",#N/A,FALSE,"Summary";"Fixed Rate Bonds",#N/A,FALSE,"Fixed";"VRDB Current Market",#N/A,FALSE,"VRDB-Cur";"VRDB 5 Year Average",#N/A,FALSE,"VRDB-His";"Bank Taxable",#N/A,FALSE,"Bank-Taxable"}</definedName>
    <definedName name="wrn.Standard._.Reports." localSheetId="3" hidden="1">{#N/A,#N/A,FALSE,"Books";#N/A,#N/A,FALSE,"Barge";#N/A,#N/A,FALSE,"Insurance";#N/A,#N/A,FALSE,"Consolidated"}</definedName>
    <definedName name="wrn.Standard._.Reports." localSheetId="9" hidden="1">{#N/A,#N/A,FALSE,"Books";#N/A,#N/A,FALSE,"Barge";#N/A,#N/A,FALSE,"Insurance";#N/A,#N/A,FALSE,"Consolidated"}</definedName>
    <definedName name="wrn.Standard._.Reports." localSheetId="2" hidden="1">{#N/A,#N/A,FALSE,"Books";#N/A,#N/A,FALSE,"Barge";#N/A,#N/A,FALSE,"Insurance";#N/A,#N/A,FALSE,"Consolidated"}</definedName>
    <definedName name="wrn.Standard._.Reports." localSheetId="4" hidden="1">{#N/A,#N/A,FALSE,"Books";#N/A,#N/A,FALSE,"Barge";#N/A,#N/A,FALSE,"Insurance";#N/A,#N/A,FALSE,"Consolidated"}</definedName>
    <definedName name="wrn.Standard._.Reports." localSheetId="0" hidden="1">{#N/A,#N/A,FALSE,"Books";#N/A,#N/A,FALSE,"Barge";#N/A,#N/A,FALSE,"Insurance";#N/A,#N/A,FALSE,"Consolidated"}</definedName>
    <definedName name="wrn.Standard._.Reports." hidden="1">{#N/A,#N/A,FALSE,"Books";#N/A,#N/A,FALSE,"Barge";#N/A,#N/A,FALSE,"Insurance";#N/A,#N/A,FALSE,"Consolidated"}</definedName>
    <definedName name="wrn.Standard._1" localSheetId="3" hidden="1">{"Summary",#N/A,TRUE,"Model";"Value",#N/A,TRUE,"Model";"Sensitivity",#N/A,TRUE,"Model";"Discount",#N/A,TRUE,"Model";"Cash Flows",#N/A,TRUE,"Model";"Equity/DCF/Yield",#N/A,TRUE,"Model";"Splits",#N/A,TRUE,"Model";"Promote I",#N/A,TRUE,"Model";"Promote II",#N/A,TRUE,"Model";"Assumptions",#N/A,TRUE,"Model"}</definedName>
    <definedName name="wrn.Standard._1" localSheetId="9" hidden="1">{"Summary",#N/A,TRUE,"Model";"Value",#N/A,TRUE,"Model";"Sensitivity",#N/A,TRUE,"Model";"Discount",#N/A,TRUE,"Model";"Cash Flows",#N/A,TRUE,"Model";"Equity/DCF/Yield",#N/A,TRUE,"Model";"Splits",#N/A,TRUE,"Model";"Promote I",#N/A,TRUE,"Model";"Promote II",#N/A,TRUE,"Model";"Assumptions",#N/A,TRUE,"Model"}</definedName>
    <definedName name="wrn.Standard._1" localSheetId="2" hidden="1">{"Summary",#N/A,TRUE,"Model";"Value",#N/A,TRUE,"Model";"Sensitivity",#N/A,TRUE,"Model";"Discount",#N/A,TRUE,"Model";"Cash Flows",#N/A,TRUE,"Model";"Equity/DCF/Yield",#N/A,TRUE,"Model";"Splits",#N/A,TRUE,"Model";"Promote I",#N/A,TRUE,"Model";"Promote II",#N/A,TRUE,"Model";"Assumptions",#N/A,TRUE,"Model"}</definedName>
    <definedName name="wrn.Standard._1" localSheetId="4" hidden="1">{"Summary",#N/A,TRUE,"Model";"Value",#N/A,TRUE,"Model";"Sensitivity",#N/A,TRUE,"Model";"Discount",#N/A,TRUE,"Model";"Cash Flows",#N/A,TRUE,"Model";"Equity/DCF/Yield",#N/A,TRUE,"Model";"Splits",#N/A,TRUE,"Model";"Promote I",#N/A,TRUE,"Model";"Promote II",#N/A,TRUE,"Model";"Assumptions",#N/A,TRUE,"Model"}</definedName>
    <definedName name="wrn.Standard._1" localSheetId="0" hidden="1">{"Summary",#N/A,TRUE,"Model";"Value",#N/A,TRUE,"Model";"Sensitivity",#N/A,TRUE,"Model";"Discount",#N/A,TRUE,"Model";"Cash Flows",#N/A,TRUE,"Model";"Equity/DCF/Yield",#N/A,TRUE,"Model";"Splits",#N/A,TRUE,"Model";"Promote I",#N/A,TRUE,"Model";"Promote II",#N/A,TRUE,"Model";"Assumptions",#N/A,TRUE,"Model"}</definedName>
    <definedName name="wrn.Standard._1" hidden="1">{"Summary",#N/A,TRUE,"Model";"Value",#N/A,TRUE,"Model";"Sensitivity",#N/A,TRUE,"Model";"Discount",#N/A,TRUE,"Model";"Cash Flows",#N/A,TRUE,"Model";"Equity/DCF/Yield",#N/A,TRUE,"Model";"Splits",#N/A,TRUE,"Model";"Promote I",#N/A,TRUE,"Model";"Promote II",#N/A,TRUE,"Model";"Assumptions",#N/A,TRUE,"Model"}</definedName>
    <definedName name="wrn.Standard._2" localSheetId="3" hidden="1">{"Summary",#N/A,TRUE,"Model";"Value",#N/A,TRUE,"Model";"Sensitivity",#N/A,TRUE,"Model";"Discount",#N/A,TRUE,"Model";"Cash Flows",#N/A,TRUE,"Model";"Equity/DCF/Yield",#N/A,TRUE,"Model";"Splits",#N/A,TRUE,"Model";"Promote I",#N/A,TRUE,"Model";"Promote II",#N/A,TRUE,"Model";"Assumptions",#N/A,TRUE,"Model"}</definedName>
    <definedName name="wrn.Standard._2" localSheetId="9" hidden="1">{"Summary",#N/A,TRUE,"Model";"Value",#N/A,TRUE,"Model";"Sensitivity",#N/A,TRUE,"Model";"Discount",#N/A,TRUE,"Model";"Cash Flows",#N/A,TRUE,"Model";"Equity/DCF/Yield",#N/A,TRUE,"Model";"Splits",#N/A,TRUE,"Model";"Promote I",#N/A,TRUE,"Model";"Promote II",#N/A,TRUE,"Model";"Assumptions",#N/A,TRUE,"Model"}</definedName>
    <definedName name="wrn.Standard._2" localSheetId="2" hidden="1">{"Summary",#N/A,TRUE,"Model";"Value",#N/A,TRUE,"Model";"Sensitivity",#N/A,TRUE,"Model";"Discount",#N/A,TRUE,"Model";"Cash Flows",#N/A,TRUE,"Model";"Equity/DCF/Yield",#N/A,TRUE,"Model";"Splits",#N/A,TRUE,"Model";"Promote I",#N/A,TRUE,"Model";"Promote II",#N/A,TRUE,"Model";"Assumptions",#N/A,TRUE,"Model"}</definedName>
    <definedName name="wrn.Standard._2" localSheetId="4" hidden="1">{"Summary",#N/A,TRUE,"Model";"Value",#N/A,TRUE,"Model";"Sensitivity",#N/A,TRUE,"Model";"Discount",#N/A,TRUE,"Model";"Cash Flows",#N/A,TRUE,"Model";"Equity/DCF/Yield",#N/A,TRUE,"Model";"Splits",#N/A,TRUE,"Model";"Promote I",#N/A,TRUE,"Model";"Promote II",#N/A,TRUE,"Model";"Assumptions",#N/A,TRUE,"Model"}</definedName>
    <definedName name="wrn.Standard._2" localSheetId="0" hidden="1">{"Summary",#N/A,TRUE,"Model";"Value",#N/A,TRUE,"Model";"Sensitivity",#N/A,TRUE,"Model";"Discount",#N/A,TRUE,"Model";"Cash Flows",#N/A,TRUE,"Model";"Equity/DCF/Yield",#N/A,TRUE,"Model";"Splits",#N/A,TRUE,"Model";"Promote I",#N/A,TRUE,"Model";"Promote II",#N/A,TRUE,"Model";"Assumptions",#N/A,TRUE,"Model"}</definedName>
    <definedName name="wrn.Standard._2" hidden="1">{"Summary",#N/A,TRUE,"Model";"Value",#N/A,TRUE,"Model";"Sensitivity",#N/A,TRUE,"Model";"Discount",#N/A,TRUE,"Model";"Cash Flows",#N/A,TRUE,"Model";"Equity/DCF/Yield",#N/A,TRUE,"Model";"Splits",#N/A,TRUE,"Model";"Promote I",#N/A,TRUE,"Model";"Promote II",#N/A,TRUE,"Model";"Assumptions",#N/A,TRUE,"Model"}</definedName>
    <definedName name="wrn.Standard._3" localSheetId="3" hidden="1">{"Summary",#N/A,TRUE,"Model";"Value",#N/A,TRUE,"Model";"Sensitivity",#N/A,TRUE,"Model";"Discount",#N/A,TRUE,"Model";"Cash Flows",#N/A,TRUE,"Model";"Equity/DCF/Yield",#N/A,TRUE,"Model";"Splits",#N/A,TRUE,"Model";"Promote I",#N/A,TRUE,"Model";"Promote II",#N/A,TRUE,"Model";"Assumptions",#N/A,TRUE,"Model"}</definedName>
    <definedName name="wrn.Standard._3" localSheetId="9" hidden="1">{"Summary",#N/A,TRUE,"Model";"Value",#N/A,TRUE,"Model";"Sensitivity",#N/A,TRUE,"Model";"Discount",#N/A,TRUE,"Model";"Cash Flows",#N/A,TRUE,"Model";"Equity/DCF/Yield",#N/A,TRUE,"Model";"Splits",#N/A,TRUE,"Model";"Promote I",#N/A,TRUE,"Model";"Promote II",#N/A,TRUE,"Model";"Assumptions",#N/A,TRUE,"Model"}</definedName>
    <definedName name="wrn.Standard._3" localSheetId="2" hidden="1">{"Summary",#N/A,TRUE,"Model";"Value",#N/A,TRUE,"Model";"Sensitivity",#N/A,TRUE,"Model";"Discount",#N/A,TRUE,"Model";"Cash Flows",#N/A,TRUE,"Model";"Equity/DCF/Yield",#N/A,TRUE,"Model";"Splits",#N/A,TRUE,"Model";"Promote I",#N/A,TRUE,"Model";"Promote II",#N/A,TRUE,"Model";"Assumptions",#N/A,TRUE,"Model"}</definedName>
    <definedName name="wrn.Standard._3" localSheetId="4" hidden="1">{"Summary",#N/A,TRUE,"Model";"Value",#N/A,TRUE,"Model";"Sensitivity",#N/A,TRUE,"Model";"Discount",#N/A,TRUE,"Model";"Cash Flows",#N/A,TRUE,"Model";"Equity/DCF/Yield",#N/A,TRUE,"Model";"Splits",#N/A,TRUE,"Model";"Promote I",#N/A,TRUE,"Model";"Promote II",#N/A,TRUE,"Model";"Assumptions",#N/A,TRUE,"Model"}</definedName>
    <definedName name="wrn.Standard._3" localSheetId="0" hidden="1">{"Summary",#N/A,TRUE,"Model";"Value",#N/A,TRUE,"Model";"Sensitivity",#N/A,TRUE,"Model";"Discount",#N/A,TRUE,"Model";"Cash Flows",#N/A,TRUE,"Model";"Equity/DCF/Yield",#N/A,TRUE,"Model";"Splits",#N/A,TRUE,"Model";"Promote I",#N/A,TRUE,"Model";"Promote II",#N/A,TRUE,"Model";"Assumptions",#N/A,TRUE,"Model"}</definedName>
    <definedName name="wrn.Standard._3" hidden="1">{"Summary",#N/A,TRUE,"Model";"Value",#N/A,TRUE,"Model";"Sensitivity",#N/A,TRUE,"Model";"Discount",#N/A,TRUE,"Model";"Cash Flows",#N/A,TRUE,"Model";"Equity/DCF/Yield",#N/A,TRUE,"Model";"Splits",#N/A,TRUE,"Model";"Promote I",#N/A,TRUE,"Model";"Promote II",#N/A,TRUE,"Model";"Assumptions",#N/A,TRUE,"Model"}</definedName>
    <definedName name="wrn.Submittal._.Reconciliation._.Schedule." localSheetId="3" hidden="1">{"Submittable Reconciliation Schedule",#N/A,FALSE,"Reconciliation";"GSCP2 PCS 30 Day",#N/A,FALSE,"GSCP2 PCS 30 Day Activity List"}</definedName>
    <definedName name="wrn.Submittal._.Reconciliation._.Schedule." localSheetId="9" hidden="1">{"Submittable Reconciliation Schedule",#N/A,FALSE,"Reconciliation";"GSCP2 PCS 30 Day",#N/A,FALSE,"GSCP2 PCS 30 Day Activity List"}</definedName>
    <definedName name="wrn.Submittal._.Reconciliation._.Schedule." localSheetId="2" hidden="1">{"Submittable Reconciliation Schedule",#N/A,FALSE,"Reconciliation";"GSCP2 PCS 30 Day",#N/A,FALSE,"GSCP2 PCS 30 Day Activity List"}</definedName>
    <definedName name="wrn.Submittal._.Reconciliation._.Schedule." localSheetId="4" hidden="1">{"Submittable Reconciliation Schedule",#N/A,FALSE,"Reconciliation";"GSCP2 PCS 30 Day",#N/A,FALSE,"GSCP2 PCS 30 Day Activity List"}</definedName>
    <definedName name="wrn.Submittal._.Reconciliation._.Schedule." localSheetId="0" hidden="1">{"Submittable Reconciliation Schedule",#N/A,FALSE,"Reconciliation";"GSCP2 PCS 30 Day",#N/A,FALSE,"GSCP2 PCS 30 Day Activity List"}</definedName>
    <definedName name="wrn.Submittal._.Reconciliation._.Schedule." hidden="1">{"Submittable Reconciliation Schedule",#N/A,FALSE,"Reconciliation";"GSCP2 PCS 30 Day",#N/A,FALSE,"GSCP2 PCS 30 Day Activity List"}</definedName>
    <definedName name="wrn.Sugar." localSheetId="0" hidden="1">{"Sugar-Investor",#N/A,FALSE,"Sugar";"Sugar-Property",#N/A,FALSE,"Sugar"}</definedName>
    <definedName name="wrn.Sugar." hidden="1">{"Sugar-Investor",#N/A,FALSE,"Sugar";"Sugar-Property",#N/A,FALSE,"Sugar"}</definedName>
    <definedName name="wrn.sum._.ops." localSheetId="3" hidden="1">{"schedule",#N/A,FALSE,"Sum Op's";"input area",#N/A,FALSE,"Sum Op's"}</definedName>
    <definedName name="wrn.sum._.ops." localSheetId="6" hidden="1">{"schedule",#N/A,FALSE,"Sum Op's";"input area",#N/A,FALSE,"Sum Op's"}</definedName>
    <definedName name="wrn.sum._.ops." localSheetId="9" hidden="1">{"schedule",#N/A,FALSE,"Sum Op's";"input area",#N/A,FALSE,"Sum Op's"}</definedName>
    <definedName name="wrn.sum._.ops." localSheetId="2" hidden="1">{"schedule",#N/A,FALSE,"Sum Op's";"input area",#N/A,FALSE,"Sum Op's"}</definedName>
    <definedName name="wrn.sum._.ops." localSheetId="4" hidden="1">{"schedule",#N/A,FALSE,"Sum Op's";"input area",#N/A,FALSE,"Sum Op's"}</definedName>
    <definedName name="wrn.sum._.ops." localSheetId="0" hidden="1">{"schedule",#N/A,FALSE,"Sum Op's";"input area",#N/A,FALSE,"Sum Op's"}</definedName>
    <definedName name="wrn.sum._.ops." hidden="1">{"schedule",#N/A,FALSE,"Sum Op's";"input area",#N/A,FALSE,"Sum Op's"}</definedName>
    <definedName name="wrn.Summary." localSheetId="3" hidden="1">{#N/A,#N/A,FALSE,"Summary"}</definedName>
    <definedName name="wrn.Summary." localSheetId="6" hidden="1">{#N/A,#N/A,FALSE,"Summary"}</definedName>
    <definedName name="wrn.Summary." localSheetId="9" hidden="1">{#N/A,#N/A,FALSE,"Summary"}</definedName>
    <definedName name="wrn.Summary." localSheetId="2" hidden="1">{#N/A,#N/A,FALSE,"Summary"}</definedName>
    <definedName name="wrn.Summary." localSheetId="4" hidden="1">{#N/A,#N/A,FALSE,"Summary"}</definedName>
    <definedName name="wrn.Summary." localSheetId="0" hidden="1">{#N/A,#N/A,FALSE,"Summary"}</definedName>
    <definedName name="wrn.Summary." hidden="1">{#N/A,#N/A,FALSE,"Summary"}</definedName>
    <definedName name="wrn.Summary._.Overview." localSheetId="3" hidden="1">{#N/A,#N/A,FALSE,"OVERVIEW"}</definedName>
    <definedName name="wrn.Summary._.Overview." localSheetId="6" hidden="1">{#N/A,#N/A,FALSE,"OVERVIEW"}</definedName>
    <definedName name="wrn.Summary._.Overview." localSheetId="9" hidden="1">{#N/A,#N/A,FALSE,"OVERVIEW"}</definedName>
    <definedName name="wrn.Summary._.Overview." localSheetId="2" hidden="1">{#N/A,#N/A,FALSE,"OVERVIEW"}</definedName>
    <definedName name="wrn.Summary._.Overview." localSheetId="4" hidden="1">{#N/A,#N/A,FALSE,"OVERVIEW"}</definedName>
    <definedName name="wrn.Summary._.Overview." localSheetId="0" hidden="1">{#N/A,#N/A,FALSE,"OVERVIEW"}</definedName>
    <definedName name="wrn.Summary._.Overview." hidden="1">{#N/A,#N/A,FALSE,"OVERVIEW"}</definedName>
    <definedName name="wrn.Summary._.Page." localSheetId="3" hidden="1">{"Summary",#N/A,FALSE,"Summary"}</definedName>
    <definedName name="wrn.Summary._.Page." localSheetId="9" hidden="1">{"Summary",#N/A,FALSE,"Summary"}</definedName>
    <definedName name="wrn.Summary._.Page." localSheetId="2" hidden="1">{"Summary",#N/A,FALSE,"Summary"}</definedName>
    <definedName name="wrn.Summary._.Page." localSheetId="4" hidden="1">{"Summary",#N/A,FALSE,"Summary"}</definedName>
    <definedName name="wrn.Summary._.Page." localSheetId="0" hidden="1">{"Summary",#N/A,FALSE,"Summary"}</definedName>
    <definedName name="wrn.Summary._.Page." hidden="1">{"Summary",#N/A,FALSE,"Summary"}</definedName>
    <definedName name="wrn.Summary._.Proforma." localSheetId="0" hidden="1">{#N/A,#N/A,FALSE,"Invest Sum";#N/A,#N/A,FALSE,"Dev Costs";#N/A,#N/A,FALSE,"PnL 5 Year"}</definedName>
    <definedName name="wrn.Summary._.Proforma." hidden="1">{#N/A,#N/A,FALSE,"Invest Sum";#N/A,#N/A,FALSE,"Dev Costs";#N/A,#N/A,FALSE,"PnL 5 Year"}</definedName>
    <definedName name="wrn.summary._.proforma.1" localSheetId="0" hidden="1">{#N/A,#N/A,FALSE,"Invest Sum";#N/A,#N/A,FALSE,"Dev Costs";#N/A,#N/A,FALSE,"PnL 5 Year"}</definedName>
    <definedName name="wrn.summary._.proforma.1" hidden="1">{#N/A,#N/A,FALSE,"Invest Sum";#N/A,#N/A,FALSE,"Dev Costs";#N/A,#N/A,FALSE,"PnL 5 Year"}</definedName>
    <definedName name="wrn.summary._.proforma.2" localSheetId="0" hidden="1">{#N/A,#N/A,FALSE,"Invest Sum";#N/A,#N/A,FALSE,"Dev Costs";#N/A,#N/A,FALSE,"PnL 5 Year"}</definedName>
    <definedName name="wrn.summary._.proforma.2" hidden="1">{#N/A,#N/A,FALSE,"Invest Sum";#N/A,#N/A,FALSE,"Dev Costs";#N/A,#N/A,FALSE,"PnL 5 Year"}</definedName>
    <definedName name="wrn.SUMMARY1." localSheetId="0" hidden="1">{"SUMMARY",#N/A,FALSE,"Fin_sched"}</definedName>
    <definedName name="wrn.SUMMARY1." hidden="1">{"SUMMARY",#N/A,FALSE,"Fin_sched"}</definedName>
    <definedName name="wrn.SUN1." localSheetId="3" hidden="1">{#N/A,#N/A,FALSE,"Assumptions";#N/A,#N/A,FALSE,"office";#N/A,#N/A,FALSE,"monthly"}</definedName>
    <definedName name="wrn.SUN1." localSheetId="6" hidden="1">{#N/A,#N/A,FALSE,"Assumptions";#N/A,#N/A,FALSE,"office";#N/A,#N/A,FALSE,"monthly"}</definedName>
    <definedName name="wrn.SUN1." localSheetId="9" hidden="1">{#N/A,#N/A,FALSE,"Assumptions";#N/A,#N/A,FALSE,"office";#N/A,#N/A,FALSE,"monthly"}</definedName>
    <definedName name="wrn.SUN1." localSheetId="2" hidden="1">{#N/A,#N/A,FALSE,"Assumptions";#N/A,#N/A,FALSE,"office";#N/A,#N/A,FALSE,"monthly"}</definedName>
    <definedName name="wrn.SUN1." localSheetId="4" hidden="1">{#N/A,#N/A,FALSE,"Assumptions";#N/A,#N/A,FALSE,"office";#N/A,#N/A,FALSE,"monthly"}</definedName>
    <definedName name="wrn.SUN1." localSheetId="0" hidden="1">{#N/A,#N/A,FALSE,"Assumptions";#N/A,#N/A,FALSE,"office";#N/A,#N/A,FALSE,"monthly"}</definedName>
    <definedName name="wrn.SUN1." hidden="1">{#N/A,#N/A,FALSE,"Assumptions";#N/A,#N/A,FALSE,"office";#N/A,#N/A,FALSE,"monthly"}</definedName>
    <definedName name="wrn.sun2" localSheetId="0" hidden="1">{#N/A,#N/A,FALSE,"Assumptions";#N/A,#N/A,FALSE,"office";#N/A,#N/A,FALSE,"monthly"}</definedName>
    <definedName name="wrn.sun2" hidden="1">{#N/A,#N/A,FALSE,"Assumptions";#N/A,#N/A,FALSE,"office";#N/A,#N/A,FALSE,"monthly"}</definedName>
    <definedName name="wrn.Supply._.Additions." localSheetId="3" hidden="1">{#N/A,#N/A,FALSE,"Supply Addn"}</definedName>
    <definedName name="wrn.Supply._.Additions." localSheetId="6" hidden="1">{#N/A,#N/A,FALSE,"Supply Addn"}</definedName>
    <definedName name="wrn.Supply._.Additions." localSheetId="9" hidden="1">{#N/A,#N/A,FALSE,"Supply Addn"}</definedName>
    <definedName name="wrn.Supply._.Additions." localSheetId="2" hidden="1">{#N/A,#N/A,FALSE,"Supply Addn"}</definedName>
    <definedName name="wrn.Supply._.Additions." localSheetId="4" hidden="1">{#N/A,#N/A,FALSE,"Supply Addn"}</definedName>
    <definedName name="wrn.Supply._.Additions." localSheetId="0" hidden="1">{#N/A,#N/A,FALSE,"Supply Addn"}</definedName>
    <definedName name="wrn.Supply._.Additions." hidden="1">{#N/A,#N/A,FALSE,"Supply Addn"}</definedName>
    <definedName name="wrn.Supporting._.Schedules." localSheetId="3" hidden="1">{#N/A,#N/A,TRUE,"ACC RENT";#N/A,#N/A,TRUE,"ACCT REC";#N/A,#N/A,TRUE,"RET EARN";#N/A,#N/A,TRUE,"PPE";#N/A,#N/A,TRUE,"TAXES PAY";#N/A,#N/A,TRUE,"WORK CAP";#N/A,#N/A,TRUE,"CASH FLOW";#N/A,#N/A,TRUE,"SERIES A LOAN"}</definedName>
    <definedName name="wrn.Supporting._.Schedules." localSheetId="6" hidden="1">{#N/A,#N/A,TRUE,"ACC RENT";#N/A,#N/A,TRUE,"ACCT REC";#N/A,#N/A,TRUE,"RET EARN";#N/A,#N/A,TRUE,"PPE";#N/A,#N/A,TRUE,"TAXES PAY";#N/A,#N/A,TRUE,"WORK CAP";#N/A,#N/A,TRUE,"CASH FLOW";#N/A,#N/A,TRUE,"SERIES A LOAN"}</definedName>
    <definedName name="wrn.Supporting._.Schedules." localSheetId="9" hidden="1">{#N/A,#N/A,TRUE,"ACC RENT";#N/A,#N/A,TRUE,"ACCT REC";#N/A,#N/A,TRUE,"RET EARN";#N/A,#N/A,TRUE,"PPE";#N/A,#N/A,TRUE,"TAXES PAY";#N/A,#N/A,TRUE,"WORK CAP";#N/A,#N/A,TRUE,"CASH FLOW";#N/A,#N/A,TRUE,"SERIES A LOAN"}</definedName>
    <definedName name="wrn.Supporting._.Schedules." localSheetId="2" hidden="1">{#N/A,#N/A,TRUE,"ACC RENT";#N/A,#N/A,TRUE,"ACCT REC";#N/A,#N/A,TRUE,"RET EARN";#N/A,#N/A,TRUE,"PPE";#N/A,#N/A,TRUE,"TAXES PAY";#N/A,#N/A,TRUE,"WORK CAP";#N/A,#N/A,TRUE,"CASH FLOW";#N/A,#N/A,TRUE,"SERIES A LOAN"}</definedName>
    <definedName name="wrn.Supporting._.Schedules." localSheetId="4" hidden="1">{#N/A,#N/A,TRUE,"ACC RENT";#N/A,#N/A,TRUE,"ACCT REC";#N/A,#N/A,TRUE,"RET EARN";#N/A,#N/A,TRUE,"PPE";#N/A,#N/A,TRUE,"TAXES PAY";#N/A,#N/A,TRUE,"WORK CAP";#N/A,#N/A,TRUE,"CASH FLOW";#N/A,#N/A,TRUE,"SERIES A LOAN"}</definedName>
    <definedName name="wrn.Supporting._.Schedules." localSheetId="0" hidden="1">{#N/A,#N/A,TRUE,"ACC RENT";#N/A,#N/A,TRUE,"ACCT REC";#N/A,#N/A,TRUE,"RET EARN";#N/A,#N/A,TRUE,"PPE";#N/A,#N/A,TRUE,"TAXES PAY";#N/A,#N/A,TRUE,"WORK CAP";#N/A,#N/A,TRUE,"CASH FLOW";#N/A,#N/A,TRUE,"SERIES A LOAN"}</definedName>
    <definedName name="wrn.Supporting._.Schedules." hidden="1">{#N/A,#N/A,TRUE,"ACC RENT";#N/A,#N/A,TRUE,"ACCT REC";#N/A,#N/A,TRUE,"RET EARN";#N/A,#N/A,TRUE,"PPE";#N/A,#N/A,TRUE,"TAXES PAY";#N/A,#N/A,TRUE,"WORK CAP";#N/A,#N/A,TRUE,"CASH FLOW";#N/A,#N/A,TRUE,"SERIES A LOAN"}</definedName>
    <definedName name="wrn.TANASBOURNE._.ONLY." localSheetId="3" hidden="1">{#N/A,#N/A,FALSE,"Expense Comparison"}</definedName>
    <definedName name="wrn.TANASBOURNE._.ONLY." localSheetId="6" hidden="1">{#N/A,#N/A,FALSE,"Expense Comparison"}</definedName>
    <definedName name="wrn.TANASBOURNE._.ONLY." localSheetId="9" hidden="1">{#N/A,#N/A,FALSE,"Expense Comparison"}</definedName>
    <definedName name="wrn.TANASBOURNE._.ONLY." localSheetId="2" hidden="1">{#N/A,#N/A,FALSE,"Expense Comparison"}</definedName>
    <definedName name="wrn.TANASBOURNE._.ONLY." localSheetId="4" hidden="1">{#N/A,#N/A,FALSE,"Expense Comparison"}</definedName>
    <definedName name="wrn.TANASBOURNE._.ONLY." localSheetId="0" hidden="1">{#N/A,#N/A,FALSE,"Expense Comparison"}</definedName>
    <definedName name="wrn.TANASBOURNE._.ONLY." hidden="1">{#N/A,#N/A,FALSE,"Expense Comparison"}</definedName>
    <definedName name="wrn.Template." localSheetId="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 localSheetId="6"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 localSheetId="9"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 localSheetId="2"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 localSheetId="4"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 localSheetId="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nants." localSheetId="3" hidden="1">{#N/A,#N/A,FALSE,"TENANTS"}</definedName>
    <definedName name="wrn.Tenants." localSheetId="6" hidden="1">{#N/A,#N/A,FALSE,"TENANTS"}</definedName>
    <definedName name="wrn.Tenants." localSheetId="9" hidden="1">{#N/A,#N/A,FALSE,"TENANTS"}</definedName>
    <definedName name="wrn.Tenants." localSheetId="2" hidden="1">{#N/A,#N/A,FALSE,"TENANTS"}</definedName>
    <definedName name="wrn.Tenants." localSheetId="4" hidden="1">{#N/A,#N/A,FALSE,"TENANTS"}</definedName>
    <definedName name="wrn.Tenants." localSheetId="0" hidden="1">{#N/A,#N/A,FALSE,"TENANTS"}</definedName>
    <definedName name="wrn.Tenants." hidden="1">{#N/A,#N/A,FALSE,"TENANTS"}</definedName>
    <definedName name="wrn.test." localSheetId="3" hidden="1">{"ADR Analysis",#N/A,FALSE,"Comp.&amp; Market Penet.";"Penetration Analysis",#N/A,FALSE,"Comp.&amp; Market Penet."}</definedName>
    <definedName name="wrn.test." localSheetId="6" hidden="1">{"ADR Analysis",#N/A,FALSE,"Comp.&amp; Market Penet.";"Penetration Analysis",#N/A,FALSE,"Comp.&amp; Market Penet."}</definedName>
    <definedName name="wrn.test." localSheetId="9" hidden="1">{"ADR Analysis",#N/A,FALSE,"Comp.&amp; Market Penet.";"Penetration Analysis",#N/A,FALSE,"Comp.&amp; Market Penet."}</definedName>
    <definedName name="wrn.test." localSheetId="2" hidden="1">{"ADR Analysis",#N/A,FALSE,"Comp.&amp; Market Penet.";"Penetration Analysis",#N/A,FALSE,"Comp.&amp; Market Penet."}</definedName>
    <definedName name="wrn.test." localSheetId="4" hidden="1">{"ADR Analysis",#N/A,FALSE,"Comp.&amp; Market Penet.";"Penetration Analysis",#N/A,FALSE,"Comp.&amp; Market Penet."}</definedName>
    <definedName name="wrn.test." localSheetId="0" hidden="1">{"ADR Analysis",#N/A,FALSE,"Comp.&amp; Market Penet.";"Penetration Analysis",#N/A,FALSE,"Comp.&amp; Market Penet."}</definedName>
    <definedName name="wrn.test." hidden="1">{"ADR Analysis",#N/A,FALSE,"Comp.&amp; Market Penet.";"Penetration Analysis",#N/A,FALSE,"Comp.&amp; Market Penet."}</definedName>
    <definedName name="wrn.test._1" localSheetId="3" hidden="1">{"coverpage",#N/A,TRUE,"Sheet1";"valuation",#N/A,TRUE,"Sheet1"}</definedName>
    <definedName name="wrn.test._1" localSheetId="9" hidden="1">{"coverpage",#N/A,TRUE,"Sheet1";"valuation",#N/A,TRUE,"Sheet1"}</definedName>
    <definedName name="wrn.test._1" localSheetId="2" hidden="1">{"coverpage",#N/A,TRUE,"Sheet1";"valuation",#N/A,TRUE,"Sheet1"}</definedName>
    <definedName name="wrn.test._1" localSheetId="4" hidden="1">{"coverpage",#N/A,TRUE,"Sheet1";"valuation",#N/A,TRUE,"Sheet1"}</definedName>
    <definedName name="wrn.test._1" localSheetId="0" hidden="1">{"coverpage",#N/A,TRUE,"Sheet1";"valuation",#N/A,TRUE,"Sheet1"}</definedName>
    <definedName name="wrn.test._1" hidden="1">{"coverpage",#N/A,TRUE,"Sheet1";"valuation",#N/A,TRUE,"Sheet1"}</definedName>
    <definedName name="wrn.test._2" localSheetId="3" hidden="1">{"coverpage",#N/A,TRUE,"Sheet1";"valuation",#N/A,TRUE,"Sheet1"}</definedName>
    <definedName name="wrn.test._2" localSheetId="9" hidden="1">{"coverpage",#N/A,TRUE,"Sheet1";"valuation",#N/A,TRUE,"Sheet1"}</definedName>
    <definedName name="wrn.test._2" localSheetId="2" hidden="1">{"coverpage",#N/A,TRUE,"Sheet1";"valuation",#N/A,TRUE,"Sheet1"}</definedName>
    <definedName name="wrn.test._2" localSheetId="4" hidden="1">{"coverpage",#N/A,TRUE,"Sheet1";"valuation",#N/A,TRUE,"Sheet1"}</definedName>
    <definedName name="wrn.test._2" localSheetId="0" hidden="1">{"coverpage",#N/A,TRUE,"Sheet1";"valuation",#N/A,TRUE,"Sheet1"}</definedName>
    <definedName name="wrn.test._2" hidden="1">{"coverpage",#N/A,TRUE,"Sheet1";"valuation",#N/A,TRUE,"Sheet1"}</definedName>
    <definedName name="wrn.test._3" localSheetId="3" hidden="1">{"coverpage",#N/A,TRUE,"Sheet1";"valuation",#N/A,TRUE,"Sheet1"}</definedName>
    <definedName name="wrn.test._3" localSheetId="9" hidden="1">{"coverpage",#N/A,TRUE,"Sheet1";"valuation",#N/A,TRUE,"Sheet1"}</definedName>
    <definedName name="wrn.test._3" localSheetId="2" hidden="1">{"coverpage",#N/A,TRUE,"Sheet1";"valuation",#N/A,TRUE,"Sheet1"}</definedName>
    <definedName name="wrn.test._3" localSheetId="4" hidden="1">{"coverpage",#N/A,TRUE,"Sheet1";"valuation",#N/A,TRUE,"Sheet1"}</definedName>
    <definedName name="wrn.test._3" localSheetId="0" hidden="1">{"coverpage",#N/A,TRUE,"Sheet1";"valuation",#N/A,TRUE,"Sheet1"}</definedName>
    <definedName name="wrn.test._3" hidden="1">{"coverpage",#N/A,TRUE,"Sheet1";"valuation",#N/A,TRUE,"Sheet1"}</definedName>
    <definedName name="wrn.The._.Rock." localSheetId="0" hidden="1">{"1",#N/A,TRUE,"1";"2",#N/A,TRUE,"2";"3",#N/A,TRUE,"3";"4",#N/A,TRUE,"4";"5",#N/A,TRUE,"5";"6",#N/A,TRUE,"6";"7",#N/A,TRUE,"7";"8",#N/A,TRUE,"8";"9",#N/A,TRUE,"9";"10",#N/A,TRUE,"10";"11",#N/A,TRUE,"11";"12",#N/A,TRUE,"12";"13",#N/A,TRUE,"13";"14",#N/A,TRUE,"14";"15",#N/A,TRUE,"15";"16",#N/A,TRUE,"16";"17",#N/A,TRUE,"17";"18",#N/A,TRUE,"18";"19",#N/A,TRUE,"19";"20",#N/A,TRUE,"20";"21",#N/A,TRUE,"21";"22",#N/A,TRUE,"22";"23",#N/A,TRUE,"23";"24",#N/A,TRUE,"24";"25",#N/A,TRUE,"25";"26",#N/A,TRUE,"26";"27",#N/A,TRUE,"27";"28",#N/A,TRUE,"28";"29",#N/A,TRUE,"29";"30",#N/A,TRUE,"30";"31",#N/A,TRUE,"31";"32",#N/A,TRUE,"32";"33",#N/A,TRUE,"33";"34",#N/A,TRUE,"34";"35",#N/A,TRUE,"35";"36",#N/A,TRUE,"36";"37",#N/A,TRUE,"37";"38",#N/A,TRUE,"38";"39",#N/A,TRUE,"39";"40",#N/A,TRUE,"40";"41",#N/A,TRUE,"41";"42",#N/A,TRUE,"42";"43",#N/A,TRUE,"43";"44",#N/A,TRUE,"44";"45",#N/A,TRUE,"45";"46",#N/A,TRUE,"46";"47",#N/A,TRUE,"47";"48",#N/A,TRUE,"48";"49",#N/A,TRUE,"49";"50",#N/A,TRUE,"50";"51",#N/A,TRUE,"51"}</definedName>
    <definedName name="wrn.The._.Rock." hidden="1">{"1",#N/A,TRUE,"1";"2",#N/A,TRUE,"2";"3",#N/A,TRUE,"3";"4",#N/A,TRUE,"4";"5",#N/A,TRUE,"5";"6",#N/A,TRUE,"6";"7",#N/A,TRUE,"7";"8",#N/A,TRUE,"8";"9",#N/A,TRUE,"9";"10",#N/A,TRUE,"10";"11",#N/A,TRUE,"11";"12",#N/A,TRUE,"12";"13",#N/A,TRUE,"13";"14",#N/A,TRUE,"14";"15",#N/A,TRUE,"15";"16",#N/A,TRUE,"16";"17",#N/A,TRUE,"17";"18",#N/A,TRUE,"18";"19",#N/A,TRUE,"19";"20",#N/A,TRUE,"20";"21",#N/A,TRUE,"21";"22",#N/A,TRUE,"22";"23",#N/A,TRUE,"23";"24",#N/A,TRUE,"24";"25",#N/A,TRUE,"25";"26",#N/A,TRUE,"26";"27",#N/A,TRUE,"27";"28",#N/A,TRUE,"28";"29",#N/A,TRUE,"29";"30",#N/A,TRUE,"30";"31",#N/A,TRUE,"31";"32",#N/A,TRUE,"32";"33",#N/A,TRUE,"33";"34",#N/A,TRUE,"34";"35",#N/A,TRUE,"35";"36",#N/A,TRUE,"36";"37",#N/A,TRUE,"37";"38",#N/A,TRUE,"38";"39",#N/A,TRUE,"39";"40",#N/A,TRUE,"40";"41",#N/A,TRUE,"41";"42",#N/A,TRUE,"42";"43",#N/A,TRUE,"43";"44",#N/A,TRUE,"44";"45",#N/A,TRUE,"45";"46",#N/A,TRUE,"46";"47",#N/A,TRUE,"47";"48",#N/A,TRUE,"48";"49",#N/A,TRUE,"49";"50",#N/A,TRUE,"50";"51",#N/A,TRUE,"51"}</definedName>
    <definedName name="wrn.TOCHTERMAN." localSheetId="0"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CHTERMAN."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tal." localSheetId="3" hidden="1">{#N/A,#N/A,FALSE,"Exec Sum";#N/A,#N/A,FALSE,"Rent Rate Comp";#N/A,#N/A,FALSE,"Rate, NPV Comp";#N/A,#N/A,FALSE,"Opt A NNN";#N/A,#N/A,FALSE,"15-yr Opt. A Sum";#N/A,#N/A,FALSE,"15-yr Opt A Other Costs";#N/A,#N/A,FALSE,"10-yr Opt. A Sum";#N/A,#N/A,FALSE,"10-yr Opt A Other Costs";#N/A,#N/A,FALSE,"NPV Calc"}</definedName>
    <definedName name="wrn.Total." localSheetId="6" hidden="1">{#N/A,#N/A,FALSE,"Exec Sum";#N/A,#N/A,FALSE,"Rent Rate Comp";#N/A,#N/A,FALSE,"Rate, NPV Comp";#N/A,#N/A,FALSE,"Opt A NNN";#N/A,#N/A,FALSE,"15-yr Opt. A Sum";#N/A,#N/A,FALSE,"15-yr Opt A Other Costs";#N/A,#N/A,FALSE,"10-yr Opt. A Sum";#N/A,#N/A,FALSE,"10-yr Opt A Other Costs";#N/A,#N/A,FALSE,"NPV Calc"}</definedName>
    <definedName name="wrn.Total." localSheetId="9" hidden="1">{#N/A,#N/A,FALSE,"Exec Sum";#N/A,#N/A,FALSE,"Rent Rate Comp";#N/A,#N/A,FALSE,"Rate, NPV Comp";#N/A,#N/A,FALSE,"Opt A NNN";#N/A,#N/A,FALSE,"15-yr Opt. A Sum";#N/A,#N/A,FALSE,"15-yr Opt A Other Costs";#N/A,#N/A,FALSE,"10-yr Opt. A Sum";#N/A,#N/A,FALSE,"10-yr Opt A Other Costs";#N/A,#N/A,FALSE,"NPV Calc"}</definedName>
    <definedName name="wrn.Total." localSheetId="2" hidden="1">{#N/A,#N/A,FALSE,"Exec Sum";#N/A,#N/A,FALSE,"Rent Rate Comp";#N/A,#N/A,FALSE,"Rate, NPV Comp";#N/A,#N/A,FALSE,"Opt A NNN";#N/A,#N/A,FALSE,"15-yr Opt. A Sum";#N/A,#N/A,FALSE,"15-yr Opt A Other Costs";#N/A,#N/A,FALSE,"10-yr Opt. A Sum";#N/A,#N/A,FALSE,"10-yr Opt A Other Costs";#N/A,#N/A,FALSE,"NPV Calc"}</definedName>
    <definedName name="wrn.Total." localSheetId="4" hidden="1">{#N/A,#N/A,FALSE,"Exec Sum";#N/A,#N/A,FALSE,"Rent Rate Comp";#N/A,#N/A,FALSE,"Rate, NPV Comp";#N/A,#N/A,FALSE,"Opt A NNN";#N/A,#N/A,FALSE,"15-yr Opt. A Sum";#N/A,#N/A,FALSE,"15-yr Opt A Other Costs";#N/A,#N/A,FALSE,"10-yr Opt. A Sum";#N/A,#N/A,FALSE,"10-yr Opt A Other Costs";#N/A,#N/A,FALSE,"NPV Calc"}</definedName>
    <definedName name="wrn.Total." localSheetId="0" hidden="1">{#N/A,#N/A,FALSE,"Exec Sum";#N/A,#N/A,FALSE,"Rent Rate Comp";#N/A,#N/A,FALSE,"Rate, NPV Comp";#N/A,#N/A,FALSE,"Opt A NNN";#N/A,#N/A,FALSE,"15-yr Opt. A Sum";#N/A,#N/A,FALSE,"15-yr Opt A Other Costs";#N/A,#N/A,FALSE,"10-yr Opt. A Sum";#N/A,#N/A,FALSE,"10-yr Opt A Other Costs";#N/A,#N/A,FALSE,"NPV Calc"}</definedName>
    <definedName name="wrn.Total." hidden="1">{#N/A,#N/A,FALSE,"Exec Sum";#N/A,#N/A,FALSE,"Rent Rate Comp";#N/A,#N/A,FALSE,"Rate, NPV Comp";#N/A,#N/A,FALSE,"Opt A NNN";#N/A,#N/A,FALSE,"15-yr Opt. A Sum";#N/A,#N/A,FALSE,"15-yr Opt A Other Costs";#N/A,#N/A,FALSE,"10-yr Opt. A Sum";#N/A,#N/A,FALSE,"10-yr Opt A Other Costs";#N/A,#N/A,FALSE,"NPV Calc"}</definedName>
    <definedName name="wrn.TOTAL._.SHEETS." localSheetId="3" hidden="1">{#N/A,#N/A,FALSE,"DEV COSTS";#N/A,#N/A,FALSE,"10-YR C. F."}</definedName>
    <definedName name="wrn.TOTAL._.SHEETS." localSheetId="6" hidden="1">{#N/A,#N/A,FALSE,"DEV COSTS";#N/A,#N/A,FALSE,"10-YR C. F."}</definedName>
    <definedName name="wrn.TOTAL._.SHEETS." localSheetId="9" hidden="1">{#N/A,#N/A,FALSE,"DEV COSTS";#N/A,#N/A,FALSE,"10-YR C. F."}</definedName>
    <definedName name="wrn.TOTAL._.SHEETS." localSheetId="2" hidden="1">{#N/A,#N/A,FALSE,"DEV COSTS";#N/A,#N/A,FALSE,"10-YR C. F."}</definedName>
    <definedName name="wrn.TOTAL._.SHEETS." localSheetId="4" hidden="1">{#N/A,#N/A,FALSE,"DEV COSTS";#N/A,#N/A,FALSE,"10-YR C. F."}</definedName>
    <definedName name="wrn.TOTAL._.SHEETS." localSheetId="0" hidden="1">{#N/A,#N/A,FALSE,"DEV COSTS";#N/A,#N/A,FALSE,"10-YR C. F."}</definedName>
    <definedName name="wrn.TOTAL._.SHEETS." hidden="1">{#N/A,#N/A,FALSE,"DEV COSTS";#N/A,#N/A,FALSE,"10-YR C. F."}</definedName>
    <definedName name="wrn.Tout._.Sauf._.BG." localSheetId="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wnPoint." localSheetId="0" hidden="1">{"Townpoint-Investor",#N/A,FALSE,"TownPoint";"Townpoint-Property",#N/A,FALSE,"TownPoint"}</definedName>
    <definedName name="wrn.TownPoint." hidden="1">{"Townpoint-Investor",#N/A,FALSE,"TownPoint";"Townpoint-Property",#N/A,FALSE,"TownPoint"}</definedName>
    <definedName name="wrn.Tycon._.Model." localSheetId="3" hidden="1">{"rtn",#N/A,FALSE,"RTN";"tables",#N/A,FALSE,"RTN";"cf",#N/A,FALSE,"CF";"stats",#N/A,FALSE,"Stats";"prop",#N/A,FALSE,"Prop"}</definedName>
    <definedName name="wrn.Tycon._.Model." localSheetId="6" hidden="1">{"rtn",#N/A,FALSE,"RTN";"tables",#N/A,FALSE,"RTN";"cf",#N/A,FALSE,"CF";"stats",#N/A,FALSE,"Stats";"prop",#N/A,FALSE,"Prop"}</definedName>
    <definedName name="wrn.Tycon._.Model." localSheetId="9" hidden="1">{"rtn",#N/A,FALSE,"RTN";"tables",#N/A,FALSE,"RTN";"cf",#N/A,FALSE,"CF";"stats",#N/A,FALSE,"Stats";"prop",#N/A,FALSE,"Prop"}</definedName>
    <definedName name="wrn.Tycon._.Model." localSheetId="2" hidden="1">{"rtn",#N/A,FALSE,"RTN";"tables",#N/A,FALSE,"RTN";"cf",#N/A,FALSE,"CF";"stats",#N/A,FALSE,"Stats";"prop",#N/A,FALSE,"Prop"}</definedName>
    <definedName name="wrn.Tycon._.Model." localSheetId="4" hidden="1">{"rtn",#N/A,FALSE,"RTN";"tables",#N/A,FALSE,"RTN";"cf",#N/A,FALSE,"CF";"stats",#N/A,FALSE,"Stats";"prop",#N/A,FALSE,"Prop"}</definedName>
    <definedName name="wrn.Tycon._.Model." localSheetId="0" hidden="1">{"rtn",#N/A,FALSE,"RTN";"tables",#N/A,FALSE,"RTN";"cf",#N/A,FALSE,"CF";"stats",#N/A,FALSE,"Stats";"prop",#N/A,FALSE,"Prop"}</definedName>
    <definedName name="wrn.Tycon._.Model." hidden="1">{"rtn",#N/A,FALSE,"RTN";"tables",#N/A,FALSE,"RTN";"cf",#N/A,FALSE,"CF";"stats",#N/A,FALSE,"Stats";"prop",#N/A,FALSE,"Prop"}</definedName>
    <definedName name="wrn.Upstate._.NY._1" localSheetId="3" hidden="1">{"Summary",#N/A,TRUE,"Main Model";"Sensitivity",#N/A,TRUE,"Main Model";"Partnership Valuation Summary",#N/A,TRUE,"Main Model";"Distributions",#N/A,TRUE,"Main Model";"Cash Flows",#N/A,TRUE,"Main Model";"Partnership Net Cash Flow",#N/A,TRUE,"Main Model";"Partnership Equity Value",#N/A,TRUE,"Main Model";"DCF/Yield",#N/A,TRUE,"Main Model";"JV Structure",#N/A,TRUE,"Main Model";"Splits",#N/A,TRUE,"Main Model";"Discount Metrics",#N/A,TRUE,"Main Model";"Assumptions",#N/A,TRUE,"Main Model";"James Court Cash Flows",#N/A,TRUE,"Main Model";"Maple Manor Cash Flows",#N/A,TRUE,"Main Model";"Timberlane Cash Flows",#N/A,TRUE,"Main Model";"Barbara Manor Cash Flows",#N/A,TRUE,"Main Model";"Chili Gardens Cash Flows",#N/A,TRUE,"Main Model";"Grecian Gardens Cash Flows",#N/A,TRUE,"Main Model";"Northgate Cash Flows",#N/A,TRUE,"Main Model";"Tudor Lane Cash Flows",#N/A,TRUE,"Main Model";"Walden Estates Cash Flows",#N/A,TRUE,"Main Model";"Carriage House Cash Flow",#N/A,TRUE,"Main Model";"Westside Cash Flows",#N/A,TRUE,"Main Model"}</definedName>
    <definedName name="wrn.Upstate._.NY._1" localSheetId="9" hidden="1">{"Summary",#N/A,TRUE,"Main Model";"Sensitivity",#N/A,TRUE,"Main Model";"Partnership Valuation Summary",#N/A,TRUE,"Main Model";"Distributions",#N/A,TRUE,"Main Model";"Cash Flows",#N/A,TRUE,"Main Model";"Partnership Net Cash Flow",#N/A,TRUE,"Main Model";"Partnership Equity Value",#N/A,TRUE,"Main Model";"DCF/Yield",#N/A,TRUE,"Main Model";"JV Structure",#N/A,TRUE,"Main Model";"Splits",#N/A,TRUE,"Main Model";"Discount Metrics",#N/A,TRUE,"Main Model";"Assumptions",#N/A,TRUE,"Main Model";"James Court Cash Flows",#N/A,TRUE,"Main Model";"Maple Manor Cash Flows",#N/A,TRUE,"Main Model";"Timberlane Cash Flows",#N/A,TRUE,"Main Model";"Barbara Manor Cash Flows",#N/A,TRUE,"Main Model";"Chili Gardens Cash Flows",#N/A,TRUE,"Main Model";"Grecian Gardens Cash Flows",#N/A,TRUE,"Main Model";"Northgate Cash Flows",#N/A,TRUE,"Main Model";"Tudor Lane Cash Flows",#N/A,TRUE,"Main Model";"Walden Estates Cash Flows",#N/A,TRUE,"Main Model";"Carriage House Cash Flow",#N/A,TRUE,"Main Model";"Westside Cash Flows",#N/A,TRUE,"Main Model"}</definedName>
    <definedName name="wrn.Upstate._.NY._1" localSheetId="2" hidden="1">{"Summary",#N/A,TRUE,"Main Model";"Sensitivity",#N/A,TRUE,"Main Model";"Partnership Valuation Summary",#N/A,TRUE,"Main Model";"Distributions",#N/A,TRUE,"Main Model";"Cash Flows",#N/A,TRUE,"Main Model";"Partnership Net Cash Flow",#N/A,TRUE,"Main Model";"Partnership Equity Value",#N/A,TRUE,"Main Model";"DCF/Yield",#N/A,TRUE,"Main Model";"JV Structure",#N/A,TRUE,"Main Model";"Splits",#N/A,TRUE,"Main Model";"Discount Metrics",#N/A,TRUE,"Main Model";"Assumptions",#N/A,TRUE,"Main Model";"James Court Cash Flows",#N/A,TRUE,"Main Model";"Maple Manor Cash Flows",#N/A,TRUE,"Main Model";"Timberlane Cash Flows",#N/A,TRUE,"Main Model";"Barbara Manor Cash Flows",#N/A,TRUE,"Main Model";"Chili Gardens Cash Flows",#N/A,TRUE,"Main Model";"Grecian Gardens Cash Flows",#N/A,TRUE,"Main Model";"Northgate Cash Flows",#N/A,TRUE,"Main Model";"Tudor Lane Cash Flows",#N/A,TRUE,"Main Model";"Walden Estates Cash Flows",#N/A,TRUE,"Main Model";"Carriage House Cash Flow",#N/A,TRUE,"Main Model";"Westside Cash Flows",#N/A,TRUE,"Main Model"}</definedName>
    <definedName name="wrn.Upstate._.NY._1" localSheetId="4" hidden="1">{"Summary",#N/A,TRUE,"Main Model";"Sensitivity",#N/A,TRUE,"Main Model";"Partnership Valuation Summary",#N/A,TRUE,"Main Model";"Distributions",#N/A,TRUE,"Main Model";"Cash Flows",#N/A,TRUE,"Main Model";"Partnership Net Cash Flow",#N/A,TRUE,"Main Model";"Partnership Equity Value",#N/A,TRUE,"Main Model";"DCF/Yield",#N/A,TRUE,"Main Model";"JV Structure",#N/A,TRUE,"Main Model";"Splits",#N/A,TRUE,"Main Model";"Discount Metrics",#N/A,TRUE,"Main Model";"Assumptions",#N/A,TRUE,"Main Model";"James Court Cash Flows",#N/A,TRUE,"Main Model";"Maple Manor Cash Flows",#N/A,TRUE,"Main Model";"Timberlane Cash Flows",#N/A,TRUE,"Main Model";"Barbara Manor Cash Flows",#N/A,TRUE,"Main Model";"Chili Gardens Cash Flows",#N/A,TRUE,"Main Model";"Grecian Gardens Cash Flows",#N/A,TRUE,"Main Model";"Northgate Cash Flows",#N/A,TRUE,"Main Model";"Tudor Lane Cash Flows",#N/A,TRUE,"Main Model";"Walden Estates Cash Flows",#N/A,TRUE,"Main Model";"Carriage House Cash Flow",#N/A,TRUE,"Main Model";"Westside Cash Flows",#N/A,TRUE,"Main Model"}</definedName>
    <definedName name="wrn.Upstate._.NY._1" localSheetId="0" hidden="1">{"Summary",#N/A,TRUE,"Main Model";"Sensitivity",#N/A,TRUE,"Main Model";"Partnership Valuation Summary",#N/A,TRUE,"Main Model";"Distributions",#N/A,TRUE,"Main Model";"Cash Flows",#N/A,TRUE,"Main Model";"Partnership Net Cash Flow",#N/A,TRUE,"Main Model";"Partnership Equity Value",#N/A,TRUE,"Main Model";"DCF/Yield",#N/A,TRUE,"Main Model";"JV Structure",#N/A,TRUE,"Main Model";"Splits",#N/A,TRUE,"Main Model";"Discount Metrics",#N/A,TRUE,"Main Model";"Assumptions",#N/A,TRUE,"Main Model";"James Court Cash Flows",#N/A,TRUE,"Main Model";"Maple Manor Cash Flows",#N/A,TRUE,"Main Model";"Timberlane Cash Flows",#N/A,TRUE,"Main Model";"Barbara Manor Cash Flows",#N/A,TRUE,"Main Model";"Chili Gardens Cash Flows",#N/A,TRUE,"Main Model";"Grecian Gardens Cash Flows",#N/A,TRUE,"Main Model";"Northgate Cash Flows",#N/A,TRUE,"Main Model";"Tudor Lane Cash Flows",#N/A,TRUE,"Main Model";"Walden Estates Cash Flows",#N/A,TRUE,"Main Model";"Carriage House Cash Flow",#N/A,TRUE,"Main Model";"Westside Cash Flows",#N/A,TRUE,"Main Model"}</definedName>
    <definedName name="wrn.Upstate._.NY._1" hidden="1">{"Summary",#N/A,TRUE,"Main Model";"Sensitivity",#N/A,TRUE,"Main Model";"Partnership Valuation Summary",#N/A,TRUE,"Main Model";"Distributions",#N/A,TRUE,"Main Model";"Cash Flows",#N/A,TRUE,"Main Model";"Partnership Net Cash Flow",#N/A,TRUE,"Main Model";"Partnership Equity Value",#N/A,TRUE,"Main Model";"DCF/Yield",#N/A,TRUE,"Main Model";"JV Structure",#N/A,TRUE,"Main Model";"Splits",#N/A,TRUE,"Main Model";"Discount Metrics",#N/A,TRUE,"Main Model";"Assumptions",#N/A,TRUE,"Main Model";"James Court Cash Flows",#N/A,TRUE,"Main Model";"Maple Manor Cash Flows",#N/A,TRUE,"Main Model";"Timberlane Cash Flows",#N/A,TRUE,"Main Model";"Barbara Manor Cash Flows",#N/A,TRUE,"Main Model";"Chili Gardens Cash Flows",#N/A,TRUE,"Main Model";"Grecian Gardens Cash Flows",#N/A,TRUE,"Main Model";"Northgate Cash Flows",#N/A,TRUE,"Main Model";"Tudor Lane Cash Flows",#N/A,TRUE,"Main Model";"Walden Estates Cash Flows",#N/A,TRUE,"Main Model";"Carriage House Cash Flow",#N/A,TRUE,"Main Model";"Westside Cash Flows",#N/A,TRUE,"Main Model"}</definedName>
    <definedName name="wrn.Upstate._.NY._2" localSheetId="3" hidden="1">{"Summary",#N/A,TRUE,"Main Model";"Sensitivity",#N/A,TRUE,"Main Model";"Partnership Valuation Summary",#N/A,TRUE,"Main Model";"Distributions",#N/A,TRUE,"Main Model";"Cash Flows",#N/A,TRUE,"Main Model";"Partnership Net Cash Flow",#N/A,TRUE,"Main Model";"Partnership Equity Value",#N/A,TRUE,"Main Model";"DCF/Yield",#N/A,TRUE,"Main Model";"JV Structure",#N/A,TRUE,"Main Model";"Splits",#N/A,TRUE,"Main Model";"Discount Metrics",#N/A,TRUE,"Main Model";"Assumptions",#N/A,TRUE,"Main Model";"James Court Cash Flows",#N/A,TRUE,"Main Model";"Maple Manor Cash Flows",#N/A,TRUE,"Main Model";"Timberlane Cash Flows",#N/A,TRUE,"Main Model";"Barbara Manor Cash Flows",#N/A,TRUE,"Main Model";"Chili Gardens Cash Flows",#N/A,TRUE,"Main Model";"Grecian Gardens Cash Flows",#N/A,TRUE,"Main Model";"Northgate Cash Flows",#N/A,TRUE,"Main Model";"Tudor Lane Cash Flows",#N/A,TRUE,"Main Model";"Walden Estates Cash Flows",#N/A,TRUE,"Main Model";"Carriage House Cash Flow",#N/A,TRUE,"Main Model";"Westside Cash Flows",#N/A,TRUE,"Main Model"}</definedName>
    <definedName name="wrn.Upstate._.NY._2" localSheetId="9" hidden="1">{"Summary",#N/A,TRUE,"Main Model";"Sensitivity",#N/A,TRUE,"Main Model";"Partnership Valuation Summary",#N/A,TRUE,"Main Model";"Distributions",#N/A,TRUE,"Main Model";"Cash Flows",#N/A,TRUE,"Main Model";"Partnership Net Cash Flow",#N/A,TRUE,"Main Model";"Partnership Equity Value",#N/A,TRUE,"Main Model";"DCF/Yield",#N/A,TRUE,"Main Model";"JV Structure",#N/A,TRUE,"Main Model";"Splits",#N/A,TRUE,"Main Model";"Discount Metrics",#N/A,TRUE,"Main Model";"Assumptions",#N/A,TRUE,"Main Model";"James Court Cash Flows",#N/A,TRUE,"Main Model";"Maple Manor Cash Flows",#N/A,TRUE,"Main Model";"Timberlane Cash Flows",#N/A,TRUE,"Main Model";"Barbara Manor Cash Flows",#N/A,TRUE,"Main Model";"Chili Gardens Cash Flows",#N/A,TRUE,"Main Model";"Grecian Gardens Cash Flows",#N/A,TRUE,"Main Model";"Northgate Cash Flows",#N/A,TRUE,"Main Model";"Tudor Lane Cash Flows",#N/A,TRUE,"Main Model";"Walden Estates Cash Flows",#N/A,TRUE,"Main Model";"Carriage House Cash Flow",#N/A,TRUE,"Main Model";"Westside Cash Flows",#N/A,TRUE,"Main Model"}</definedName>
    <definedName name="wrn.Upstate._.NY._2" localSheetId="2" hidden="1">{"Summary",#N/A,TRUE,"Main Model";"Sensitivity",#N/A,TRUE,"Main Model";"Partnership Valuation Summary",#N/A,TRUE,"Main Model";"Distributions",#N/A,TRUE,"Main Model";"Cash Flows",#N/A,TRUE,"Main Model";"Partnership Net Cash Flow",#N/A,TRUE,"Main Model";"Partnership Equity Value",#N/A,TRUE,"Main Model";"DCF/Yield",#N/A,TRUE,"Main Model";"JV Structure",#N/A,TRUE,"Main Model";"Splits",#N/A,TRUE,"Main Model";"Discount Metrics",#N/A,TRUE,"Main Model";"Assumptions",#N/A,TRUE,"Main Model";"James Court Cash Flows",#N/A,TRUE,"Main Model";"Maple Manor Cash Flows",#N/A,TRUE,"Main Model";"Timberlane Cash Flows",#N/A,TRUE,"Main Model";"Barbara Manor Cash Flows",#N/A,TRUE,"Main Model";"Chili Gardens Cash Flows",#N/A,TRUE,"Main Model";"Grecian Gardens Cash Flows",#N/A,TRUE,"Main Model";"Northgate Cash Flows",#N/A,TRUE,"Main Model";"Tudor Lane Cash Flows",#N/A,TRUE,"Main Model";"Walden Estates Cash Flows",#N/A,TRUE,"Main Model";"Carriage House Cash Flow",#N/A,TRUE,"Main Model";"Westside Cash Flows",#N/A,TRUE,"Main Model"}</definedName>
    <definedName name="wrn.Upstate._.NY._2" localSheetId="4" hidden="1">{"Summary",#N/A,TRUE,"Main Model";"Sensitivity",#N/A,TRUE,"Main Model";"Partnership Valuation Summary",#N/A,TRUE,"Main Model";"Distributions",#N/A,TRUE,"Main Model";"Cash Flows",#N/A,TRUE,"Main Model";"Partnership Net Cash Flow",#N/A,TRUE,"Main Model";"Partnership Equity Value",#N/A,TRUE,"Main Model";"DCF/Yield",#N/A,TRUE,"Main Model";"JV Structure",#N/A,TRUE,"Main Model";"Splits",#N/A,TRUE,"Main Model";"Discount Metrics",#N/A,TRUE,"Main Model";"Assumptions",#N/A,TRUE,"Main Model";"James Court Cash Flows",#N/A,TRUE,"Main Model";"Maple Manor Cash Flows",#N/A,TRUE,"Main Model";"Timberlane Cash Flows",#N/A,TRUE,"Main Model";"Barbara Manor Cash Flows",#N/A,TRUE,"Main Model";"Chili Gardens Cash Flows",#N/A,TRUE,"Main Model";"Grecian Gardens Cash Flows",#N/A,TRUE,"Main Model";"Northgate Cash Flows",#N/A,TRUE,"Main Model";"Tudor Lane Cash Flows",#N/A,TRUE,"Main Model";"Walden Estates Cash Flows",#N/A,TRUE,"Main Model";"Carriage House Cash Flow",#N/A,TRUE,"Main Model";"Westside Cash Flows",#N/A,TRUE,"Main Model"}</definedName>
    <definedName name="wrn.Upstate._.NY._2" localSheetId="0" hidden="1">{"Summary",#N/A,TRUE,"Main Model";"Sensitivity",#N/A,TRUE,"Main Model";"Partnership Valuation Summary",#N/A,TRUE,"Main Model";"Distributions",#N/A,TRUE,"Main Model";"Cash Flows",#N/A,TRUE,"Main Model";"Partnership Net Cash Flow",#N/A,TRUE,"Main Model";"Partnership Equity Value",#N/A,TRUE,"Main Model";"DCF/Yield",#N/A,TRUE,"Main Model";"JV Structure",#N/A,TRUE,"Main Model";"Splits",#N/A,TRUE,"Main Model";"Discount Metrics",#N/A,TRUE,"Main Model";"Assumptions",#N/A,TRUE,"Main Model";"James Court Cash Flows",#N/A,TRUE,"Main Model";"Maple Manor Cash Flows",#N/A,TRUE,"Main Model";"Timberlane Cash Flows",#N/A,TRUE,"Main Model";"Barbara Manor Cash Flows",#N/A,TRUE,"Main Model";"Chili Gardens Cash Flows",#N/A,TRUE,"Main Model";"Grecian Gardens Cash Flows",#N/A,TRUE,"Main Model";"Northgate Cash Flows",#N/A,TRUE,"Main Model";"Tudor Lane Cash Flows",#N/A,TRUE,"Main Model";"Walden Estates Cash Flows",#N/A,TRUE,"Main Model";"Carriage House Cash Flow",#N/A,TRUE,"Main Model";"Westside Cash Flows",#N/A,TRUE,"Main Model"}</definedName>
    <definedName name="wrn.Upstate._.NY._2" hidden="1">{"Summary",#N/A,TRUE,"Main Model";"Sensitivity",#N/A,TRUE,"Main Model";"Partnership Valuation Summary",#N/A,TRUE,"Main Model";"Distributions",#N/A,TRUE,"Main Model";"Cash Flows",#N/A,TRUE,"Main Model";"Partnership Net Cash Flow",#N/A,TRUE,"Main Model";"Partnership Equity Value",#N/A,TRUE,"Main Model";"DCF/Yield",#N/A,TRUE,"Main Model";"JV Structure",#N/A,TRUE,"Main Model";"Splits",#N/A,TRUE,"Main Model";"Discount Metrics",#N/A,TRUE,"Main Model";"Assumptions",#N/A,TRUE,"Main Model";"James Court Cash Flows",#N/A,TRUE,"Main Model";"Maple Manor Cash Flows",#N/A,TRUE,"Main Model";"Timberlane Cash Flows",#N/A,TRUE,"Main Model";"Barbara Manor Cash Flows",#N/A,TRUE,"Main Model";"Chili Gardens Cash Flows",#N/A,TRUE,"Main Model";"Grecian Gardens Cash Flows",#N/A,TRUE,"Main Model";"Northgate Cash Flows",#N/A,TRUE,"Main Model";"Tudor Lane Cash Flows",#N/A,TRUE,"Main Model";"Walden Estates Cash Flows",#N/A,TRUE,"Main Model";"Carriage House Cash Flow",#N/A,TRUE,"Main Model";"Westside Cash Flows",#N/A,TRUE,"Main Model"}</definedName>
    <definedName name="wrn.Upstate._.NY._3" localSheetId="3" hidden="1">{"Summary",#N/A,TRUE,"Main Model";"Sensitivity",#N/A,TRUE,"Main Model";"Partnership Valuation Summary",#N/A,TRUE,"Main Model";"Distributions",#N/A,TRUE,"Main Model";"Cash Flows",#N/A,TRUE,"Main Model";"Partnership Net Cash Flow",#N/A,TRUE,"Main Model";"Partnership Equity Value",#N/A,TRUE,"Main Model";"DCF/Yield",#N/A,TRUE,"Main Model";"JV Structure",#N/A,TRUE,"Main Model";"Splits",#N/A,TRUE,"Main Model";"Discount Metrics",#N/A,TRUE,"Main Model";"Assumptions",#N/A,TRUE,"Main Model";"James Court Cash Flows",#N/A,TRUE,"Main Model";"Maple Manor Cash Flows",#N/A,TRUE,"Main Model";"Timberlane Cash Flows",#N/A,TRUE,"Main Model";"Barbara Manor Cash Flows",#N/A,TRUE,"Main Model";"Chili Gardens Cash Flows",#N/A,TRUE,"Main Model";"Grecian Gardens Cash Flows",#N/A,TRUE,"Main Model";"Northgate Cash Flows",#N/A,TRUE,"Main Model";"Tudor Lane Cash Flows",#N/A,TRUE,"Main Model";"Walden Estates Cash Flows",#N/A,TRUE,"Main Model";"Carriage House Cash Flow",#N/A,TRUE,"Main Model";"Westside Cash Flows",#N/A,TRUE,"Main Model"}</definedName>
    <definedName name="wrn.Upstate._.NY._3" localSheetId="9" hidden="1">{"Summary",#N/A,TRUE,"Main Model";"Sensitivity",#N/A,TRUE,"Main Model";"Partnership Valuation Summary",#N/A,TRUE,"Main Model";"Distributions",#N/A,TRUE,"Main Model";"Cash Flows",#N/A,TRUE,"Main Model";"Partnership Net Cash Flow",#N/A,TRUE,"Main Model";"Partnership Equity Value",#N/A,TRUE,"Main Model";"DCF/Yield",#N/A,TRUE,"Main Model";"JV Structure",#N/A,TRUE,"Main Model";"Splits",#N/A,TRUE,"Main Model";"Discount Metrics",#N/A,TRUE,"Main Model";"Assumptions",#N/A,TRUE,"Main Model";"James Court Cash Flows",#N/A,TRUE,"Main Model";"Maple Manor Cash Flows",#N/A,TRUE,"Main Model";"Timberlane Cash Flows",#N/A,TRUE,"Main Model";"Barbara Manor Cash Flows",#N/A,TRUE,"Main Model";"Chili Gardens Cash Flows",#N/A,TRUE,"Main Model";"Grecian Gardens Cash Flows",#N/A,TRUE,"Main Model";"Northgate Cash Flows",#N/A,TRUE,"Main Model";"Tudor Lane Cash Flows",#N/A,TRUE,"Main Model";"Walden Estates Cash Flows",#N/A,TRUE,"Main Model";"Carriage House Cash Flow",#N/A,TRUE,"Main Model";"Westside Cash Flows",#N/A,TRUE,"Main Model"}</definedName>
    <definedName name="wrn.Upstate._.NY._3" localSheetId="2" hidden="1">{"Summary",#N/A,TRUE,"Main Model";"Sensitivity",#N/A,TRUE,"Main Model";"Partnership Valuation Summary",#N/A,TRUE,"Main Model";"Distributions",#N/A,TRUE,"Main Model";"Cash Flows",#N/A,TRUE,"Main Model";"Partnership Net Cash Flow",#N/A,TRUE,"Main Model";"Partnership Equity Value",#N/A,TRUE,"Main Model";"DCF/Yield",#N/A,TRUE,"Main Model";"JV Structure",#N/A,TRUE,"Main Model";"Splits",#N/A,TRUE,"Main Model";"Discount Metrics",#N/A,TRUE,"Main Model";"Assumptions",#N/A,TRUE,"Main Model";"James Court Cash Flows",#N/A,TRUE,"Main Model";"Maple Manor Cash Flows",#N/A,TRUE,"Main Model";"Timberlane Cash Flows",#N/A,TRUE,"Main Model";"Barbara Manor Cash Flows",#N/A,TRUE,"Main Model";"Chili Gardens Cash Flows",#N/A,TRUE,"Main Model";"Grecian Gardens Cash Flows",#N/A,TRUE,"Main Model";"Northgate Cash Flows",#N/A,TRUE,"Main Model";"Tudor Lane Cash Flows",#N/A,TRUE,"Main Model";"Walden Estates Cash Flows",#N/A,TRUE,"Main Model";"Carriage House Cash Flow",#N/A,TRUE,"Main Model";"Westside Cash Flows",#N/A,TRUE,"Main Model"}</definedName>
    <definedName name="wrn.Upstate._.NY._3" localSheetId="4" hidden="1">{"Summary",#N/A,TRUE,"Main Model";"Sensitivity",#N/A,TRUE,"Main Model";"Partnership Valuation Summary",#N/A,TRUE,"Main Model";"Distributions",#N/A,TRUE,"Main Model";"Cash Flows",#N/A,TRUE,"Main Model";"Partnership Net Cash Flow",#N/A,TRUE,"Main Model";"Partnership Equity Value",#N/A,TRUE,"Main Model";"DCF/Yield",#N/A,TRUE,"Main Model";"JV Structure",#N/A,TRUE,"Main Model";"Splits",#N/A,TRUE,"Main Model";"Discount Metrics",#N/A,TRUE,"Main Model";"Assumptions",#N/A,TRUE,"Main Model";"James Court Cash Flows",#N/A,TRUE,"Main Model";"Maple Manor Cash Flows",#N/A,TRUE,"Main Model";"Timberlane Cash Flows",#N/A,TRUE,"Main Model";"Barbara Manor Cash Flows",#N/A,TRUE,"Main Model";"Chili Gardens Cash Flows",#N/A,TRUE,"Main Model";"Grecian Gardens Cash Flows",#N/A,TRUE,"Main Model";"Northgate Cash Flows",#N/A,TRUE,"Main Model";"Tudor Lane Cash Flows",#N/A,TRUE,"Main Model";"Walden Estates Cash Flows",#N/A,TRUE,"Main Model";"Carriage House Cash Flow",#N/A,TRUE,"Main Model";"Westside Cash Flows",#N/A,TRUE,"Main Model"}</definedName>
    <definedName name="wrn.Upstate._.NY._3" localSheetId="0" hidden="1">{"Summary",#N/A,TRUE,"Main Model";"Sensitivity",#N/A,TRUE,"Main Model";"Partnership Valuation Summary",#N/A,TRUE,"Main Model";"Distributions",#N/A,TRUE,"Main Model";"Cash Flows",#N/A,TRUE,"Main Model";"Partnership Net Cash Flow",#N/A,TRUE,"Main Model";"Partnership Equity Value",#N/A,TRUE,"Main Model";"DCF/Yield",#N/A,TRUE,"Main Model";"JV Structure",#N/A,TRUE,"Main Model";"Splits",#N/A,TRUE,"Main Model";"Discount Metrics",#N/A,TRUE,"Main Model";"Assumptions",#N/A,TRUE,"Main Model";"James Court Cash Flows",#N/A,TRUE,"Main Model";"Maple Manor Cash Flows",#N/A,TRUE,"Main Model";"Timberlane Cash Flows",#N/A,TRUE,"Main Model";"Barbara Manor Cash Flows",#N/A,TRUE,"Main Model";"Chili Gardens Cash Flows",#N/A,TRUE,"Main Model";"Grecian Gardens Cash Flows",#N/A,TRUE,"Main Model";"Northgate Cash Flows",#N/A,TRUE,"Main Model";"Tudor Lane Cash Flows",#N/A,TRUE,"Main Model";"Walden Estates Cash Flows",#N/A,TRUE,"Main Model";"Carriage House Cash Flow",#N/A,TRUE,"Main Model";"Westside Cash Flows",#N/A,TRUE,"Main Model"}</definedName>
    <definedName name="wrn.Upstate._.NY._3" hidden="1">{"Summary",#N/A,TRUE,"Main Model";"Sensitivity",#N/A,TRUE,"Main Model";"Partnership Valuation Summary",#N/A,TRUE,"Main Model";"Distributions",#N/A,TRUE,"Main Model";"Cash Flows",#N/A,TRUE,"Main Model";"Partnership Net Cash Flow",#N/A,TRUE,"Main Model";"Partnership Equity Value",#N/A,TRUE,"Main Model";"DCF/Yield",#N/A,TRUE,"Main Model";"JV Structure",#N/A,TRUE,"Main Model";"Splits",#N/A,TRUE,"Main Model";"Discount Metrics",#N/A,TRUE,"Main Model";"Assumptions",#N/A,TRUE,"Main Model";"James Court Cash Flows",#N/A,TRUE,"Main Model";"Maple Manor Cash Flows",#N/A,TRUE,"Main Model";"Timberlane Cash Flows",#N/A,TRUE,"Main Model";"Barbara Manor Cash Flows",#N/A,TRUE,"Main Model";"Chili Gardens Cash Flows",#N/A,TRUE,"Main Model";"Grecian Gardens Cash Flows",#N/A,TRUE,"Main Model";"Northgate Cash Flows",#N/A,TRUE,"Main Model";"Tudor Lane Cash Flows",#N/A,TRUE,"Main Model";"Walden Estates Cash Flows",#N/A,TRUE,"Main Model";"Carriage House Cash Flow",#N/A,TRUE,"Main Model";"Westside Cash Flows",#N/A,TRUE,"Main Model"}</definedName>
    <definedName name="wrn.USSC_Reports." localSheetId="3"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 localSheetId="6"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 localSheetId="9"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 localSheetId="2"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 localSheetId="4"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 localSheetId="0"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VALUATION." localSheetId="3" hidden="1">{#N/A,#N/A,FALSE,"Valuation Assumptions";#N/A,#N/A,FALSE,"Summary";#N/A,#N/A,FALSE,"DCF";#N/A,#N/A,FALSE,"Valuation";#N/A,#N/A,FALSE,"WACC";#N/A,#N/A,FALSE,"UBVH";#N/A,#N/A,FALSE,"Free Cash Flow"}</definedName>
    <definedName name="wrn.VALUATION." localSheetId="9" hidden="1">{#N/A,#N/A,FALSE,"Valuation Assumptions";#N/A,#N/A,FALSE,"Summary";#N/A,#N/A,FALSE,"DCF";#N/A,#N/A,FALSE,"Valuation";#N/A,#N/A,FALSE,"WACC";#N/A,#N/A,FALSE,"UBVH";#N/A,#N/A,FALSE,"Free Cash Flow"}</definedName>
    <definedName name="wrn.VALUATION." localSheetId="2" hidden="1">{#N/A,#N/A,FALSE,"Valuation Assumptions";#N/A,#N/A,FALSE,"Summary";#N/A,#N/A,FALSE,"DCF";#N/A,#N/A,FALSE,"Valuation";#N/A,#N/A,FALSE,"WACC";#N/A,#N/A,FALSE,"UBVH";#N/A,#N/A,FALSE,"Free Cash Flow"}</definedName>
    <definedName name="wrn.VALUATION." localSheetId="4" hidden="1">{#N/A,#N/A,FALSE,"Valuation Assumptions";#N/A,#N/A,FALSE,"Summary";#N/A,#N/A,FALSE,"DCF";#N/A,#N/A,FALSE,"Valuation";#N/A,#N/A,FALSE,"WACC";#N/A,#N/A,FALSE,"UBVH";#N/A,#N/A,FALSE,"Free Cash Flow"}</definedName>
    <definedName name="wrn.VALUATION." localSheetId="0"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alue." localSheetId="3" hidden="1">{#N/A,#N/A,FALSE,"Cashflow Analysis";#N/A,#N/A,FALSE,"Sensitivity Analysis";#N/A,#N/A,FALSE,"PV";#N/A,#N/A,FALSE,"Pro Forma"}</definedName>
    <definedName name="wrn.Value." localSheetId="6" hidden="1">{#N/A,#N/A,FALSE,"Cashflow Analysis";#N/A,#N/A,FALSE,"Sensitivity Analysis";#N/A,#N/A,FALSE,"PV";#N/A,#N/A,FALSE,"Pro Forma"}</definedName>
    <definedName name="wrn.Value." localSheetId="9" hidden="1">{#N/A,#N/A,FALSE,"Cashflow Analysis";#N/A,#N/A,FALSE,"Sensitivity Analysis";#N/A,#N/A,FALSE,"PV";#N/A,#N/A,FALSE,"Pro Forma"}</definedName>
    <definedName name="wrn.Value." localSheetId="2" hidden="1">{#N/A,#N/A,FALSE,"Cashflow Analysis";#N/A,#N/A,FALSE,"Sensitivity Analysis";#N/A,#N/A,FALSE,"PV";#N/A,#N/A,FALSE,"Pro Forma"}</definedName>
    <definedName name="wrn.Value." localSheetId="4" hidden="1">{#N/A,#N/A,FALSE,"Cashflow Analysis";#N/A,#N/A,FALSE,"Sensitivity Analysis";#N/A,#N/A,FALSE,"PV";#N/A,#N/A,FALSE,"Pro Forma"}</definedName>
    <definedName name="wrn.Value." localSheetId="0" hidden="1">{#N/A,#N/A,FALSE,"Cashflow Analysis";#N/A,#N/A,FALSE,"Sensitivity Analysis";#N/A,#N/A,FALSE,"PV";#N/A,#N/A,FALSE,"Pro Forma"}</definedName>
    <definedName name="wrn.Value." hidden="1">{#N/A,#N/A,FALSE,"Cashflow Analysis";#N/A,#N/A,FALSE,"Sensitivity Analysis";#N/A,#N/A,FALSE,"PV";#N/A,#N/A,FALSE,"Pro Forma"}</definedName>
    <definedName name="wrn.Value.2" localSheetId="3" hidden="1">{#N/A,#N/A,FALSE,"Cashflow Analysis";#N/A,#N/A,FALSE,"Sensitivity Analysis";#N/A,#N/A,FALSE,"PV";#N/A,#N/A,FALSE,"Pro Forma"}</definedName>
    <definedName name="wrn.Value.2" localSheetId="9" hidden="1">{#N/A,#N/A,FALSE,"Cashflow Analysis";#N/A,#N/A,FALSE,"Sensitivity Analysis";#N/A,#N/A,FALSE,"PV";#N/A,#N/A,FALSE,"Pro Forma"}</definedName>
    <definedName name="wrn.Value.2" localSheetId="2" hidden="1">{#N/A,#N/A,FALSE,"Cashflow Analysis";#N/A,#N/A,FALSE,"Sensitivity Analysis";#N/A,#N/A,FALSE,"PV";#N/A,#N/A,FALSE,"Pro Forma"}</definedName>
    <definedName name="wrn.Value.2" localSheetId="4" hidden="1">{#N/A,#N/A,FALSE,"Cashflow Analysis";#N/A,#N/A,FALSE,"Sensitivity Analysis";#N/A,#N/A,FALSE,"PV";#N/A,#N/A,FALSE,"Pro Forma"}</definedName>
    <definedName name="wrn.Value.2" localSheetId="0" hidden="1">{#N/A,#N/A,FALSE,"Cashflow Analysis";#N/A,#N/A,FALSE,"Sensitivity Analysis";#N/A,#N/A,FALSE,"PV";#N/A,#N/A,FALSE,"Pro Forma"}</definedName>
    <definedName name="wrn.Value.2" hidden="1">{#N/A,#N/A,FALSE,"Cashflow Analysis";#N/A,#N/A,FALSE,"Sensitivity Analysis";#N/A,#N/A,FALSE,"PV";#N/A,#N/A,FALSE,"Pro Forma"}</definedName>
    <definedName name="wrn.villages." localSheetId="0"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villages."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VRDB._.5._.Year._.Average." localSheetId="3" hidden="1">{"VRDB 5 Year Average",#N/A,FALSE,"VRDB-His"}</definedName>
    <definedName name="wrn.VRDB._.5._.Year._.Average." localSheetId="9" hidden="1">{"VRDB 5 Year Average",#N/A,FALSE,"VRDB-His"}</definedName>
    <definedName name="wrn.VRDB._.5._.Year._.Average." localSheetId="2" hidden="1">{"VRDB 5 Year Average",#N/A,FALSE,"VRDB-His"}</definedName>
    <definedName name="wrn.VRDB._.5._.Year._.Average." localSheetId="4" hidden="1">{"VRDB 5 Year Average",#N/A,FALSE,"VRDB-His"}</definedName>
    <definedName name="wrn.VRDB._.5._.Year._.Average." localSheetId="0" hidden="1">{"VRDB 5 Year Average",#N/A,FALSE,"VRDB-His"}</definedName>
    <definedName name="wrn.VRDB._.5._.Year._.Average." hidden="1">{"VRDB 5 Year Average",#N/A,FALSE,"VRDB-His"}</definedName>
    <definedName name="wrn.VRDB._.Current._.Market." localSheetId="3" hidden="1">{"VRDB Current Market",#N/A,FALSE,"VRDB-Cur"}</definedName>
    <definedName name="wrn.VRDB._.Current._.Market." localSheetId="9" hidden="1">{"VRDB Current Market",#N/A,FALSE,"VRDB-Cur"}</definedName>
    <definedName name="wrn.VRDB._.Current._.Market." localSheetId="2" hidden="1">{"VRDB Current Market",#N/A,FALSE,"VRDB-Cur"}</definedName>
    <definedName name="wrn.VRDB._.Current._.Market." localSheetId="4" hidden="1">{"VRDB Current Market",#N/A,FALSE,"VRDB-Cur"}</definedName>
    <definedName name="wrn.VRDB._.Current._.Market." localSheetId="0" hidden="1">{"VRDB Current Market",#N/A,FALSE,"VRDB-Cur"}</definedName>
    <definedName name="wrn.VRDB._.Current._.Market." hidden="1">{"VRDB Current Market",#N/A,FALSE,"VRDB-Cur"}</definedName>
    <definedName name="wrn.Vs.._.Bud._.Month." localSheetId="3" hidden="1">{#N/A,#N/A,FALSE,"Graph-B";"Month SumOps",#N/A,FALSE,"SumOps";"Month SumExp",#N/A,FALSE,"SumExp";"Month ExpDept",#N/A,FALSE,"ExpDept"}</definedName>
    <definedName name="wrn.Vs.._.Bud._.Month." localSheetId="6" hidden="1">{#N/A,#N/A,FALSE,"Graph-B";"Month SumOps",#N/A,FALSE,"SumOps";"Month SumExp",#N/A,FALSE,"SumExp";"Month ExpDept",#N/A,FALSE,"ExpDept"}</definedName>
    <definedName name="wrn.Vs.._.Bud._.Month." localSheetId="9" hidden="1">{#N/A,#N/A,FALSE,"Graph-B";"Month SumOps",#N/A,FALSE,"SumOps";"Month SumExp",#N/A,FALSE,"SumExp";"Month ExpDept",#N/A,FALSE,"ExpDept"}</definedName>
    <definedName name="wrn.Vs.._.Bud._.Month." localSheetId="2" hidden="1">{#N/A,#N/A,FALSE,"Graph-B";"Month SumOps",#N/A,FALSE,"SumOps";"Month SumExp",#N/A,FALSE,"SumExp";"Month ExpDept",#N/A,FALSE,"ExpDept"}</definedName>
    <definedName name="wrn.Vs.._.Bud._.Month." localSheetId="4" hidden="1">{#N/A,#N/A,FALSE,"Graph-B";"Month SumOps",#N/A,FALSE,"SumOps";"Month SumExp",#N/A,FALSE,"SumExp";"Month ExpDept",#N/A,FALSE,"ExpDept"}</definedName>
    <definedName name="wrn.Vs.._.Bud._.Month." localSheetId="0" hidden="1">{#N/A,#N/A,FALSE,"Graph-B";"Month SumOps",#N/A,FALSE,"SumOps";"Month SumExp",#N/A,FALSE,"SumExp";"Month ExpDept",#N/A,FALSE,"ExpDept"}</definedName>
    <definedName name="wrn.Vs.._.Bud._.Month." hidden="1">{#N/A,#N/A,FALSE,"Graph-B";"Month SumOps",#N/A,FALSE,"SumOps";"Month SumExp",#N/A,FALSE,"SumExp";"Month ExpDept",#N/A,FALSE,"ExpDept"}</definedName>
    <definedName name="wrn.Vs.._.BudFcst._.Month." localSheetId="3" hidden="1">{"May SumExp",#N/A,FALSE,"SumExp";#N/A,#N/A,FALSE,"Graph-F";"May SumOps",#N/A,FALSE,"SumOps";"May ExpDept",#N/A,FALSE,"ExpDept"}</definedName>
    <definedName name="wrn.Vs.._.BudFcst._.Month." localSheetId="6" hidden="1">{"May SumExp",#N/A,FALSE,"SumExp";#N/A,#N/A,FALSE,"Graph-F";"May SumOps",#N/A,FALSE,"SumOps";"May ExpDept",#N/A,FALSE,"ExpDept"}</definedName>
    <definedName name="wrn.Vs.._.BudFcst._.Month." localSheetId="9" hidden="1">{"May SumExp",#N/A,FALSE,"SumExp";#N/A,#N/A,FALSE,"Graph-F";"May SumOps",#N/A,FALSE,"SumOps";"May ExpDept",#N/A,FALSE,"ExpDept"}</definedName>
    <definedName name="wrn.Vs.._.BudFcst._.Month." localSheetId="2" hidden="1">{"May SumExp",#N/A,FALSE,"SumExp";#N/A,#N/A,FALSE,"Graph-F";"May SumOps",#N/A,FALSE,"SumOps";"May ExpDept",#N/A,FALSE,"ExpDept"}</definedName>
    <definedName name="wrn.Vs.._.BudFcst._.Month." localSheetId="4" hidden="1">{"May SumExp",#N/A,FALSE,"SumExp";#N/A,#N/A,FALSE,"Graph-F";"May SumOps",#N/A,FALSE,"SumOps";"May ExpDept",#N/A,FALSE,"ExpDept"}</definedName>
    <definedName name="wrn.Vs.._.BudFcst._.Month." localSheetId="0" hidden="1">{"May SumExp",#N/A,FALSE,"SumExp";#N/A,#N/A,FALSE,"Graph-F";"May SumOps",#N/A,FALSE,"SumOps";"May ExpDept",#N/A,FALSE,"ExpDept"}</definedName>
    <definedName name="wrn.Vs.._.BudFcst._.Month." hidden="1">{"May SumExp",#N/A,FALSE,"SumExp";#N/A,#N/A,FALSE,"Graph-F";"May SumOps",#N/A,FALSE,"SumOps";"May ExpDept",#N/A,FALSE,"ExpDept"}</definedName>
    <definedName name="wrn.Working._.Party._.List." localSheetId="3" hidden="1">{#N/A,#N/A,FALSE,"Working List"}</definedName>
    <definedName name="wrn.Working._.Party._.List." localSheetId="6" hidden="1">{#N/A,#N/A,FALSE,"Working List"}</definedName>
    <definedName name="wrn.Working._.Party._.List." localSheetId="9" hidden="1">{#N/A,#N/A,FALSE,"Working List"}</definedName>
    <definedName name="wrn.Working._.Party._.List." localSheetId="2" hidden="1">{#N/A,#N/A,FALSE,"Working List"}</definedName>
    <definedName name="wrn.Working._.Party._.List." localSheetId="4" hidden="1">{#N/A,#N/A,FALSE,"Working List"}</definedName>
    <definedName name="wrn.Working._.Party._.List." localSheetId="0" hidden="1">{#N/A,#N/A,FALSE,"Working List"}</definedName>
    <definedName name="wrn.Working._.Party._.List." hidden="1">{#N/A,#N/A,FALSE,"Working List"}</definedName>
    <definedName name="wrn.Year._.End._.APF._.reports." localSheetId="0" hidden="1">{#N/A,#N/A,FALSE,"Summary";#N/A,#N/A,FALSE,"CVI04";#N/A,#N/A,FALSE,"REG04";#N/A,#N/A,FALSE,"HAL04";#N/A,#N/A,FALSE,"WPL04";#N/A,#N/A,FALSE,"RPL04";#N/A,#N/A,FALSE,"GVA04";#N/A,#N/A,FALSE,"LRJKL04";#N/A,#N/A,FALSE,"RGW04";#N/A,#N/A,FALSE,"RHL04sum ";#N/A,#N/A,FALSE,"WPM04sum"}</definedName>
    <definedName name="wrn.Year._.End._.APF._.reports." hidden="1">{#N/A,#N/A,FALSE,"Summary";#N/A,#N/A,FALSE,"CVI04";#N/A,#N/A,FALSE,"REG04";#N/A,#N/A,FALSE,"HAL04";#N/A,#N/A,FALSE,"WPL04";#N/A,#N/A,FALSE,"RPL04";#N/A,#N/A,FALSE,"GVA04";#N/A,#N/A,FALSE,"LRJKL04";#N/A,#N/A,FALSE,"RGW04";#N/A,#N/A,FALSE,"RHL04sum ";#N/A,#N/A,FALSE,"WPM04sum"}</definedName>
    <definedName name="wrn.Yuma." localSheetId="3" hidden="1">{#N/A,#N/A,FALSE,"Project Summary";#N/A,#N/A,FALSE,"Detail Estimate";#N/A,#N/A,FALSE,"Cashflow Schedule";#N/A,#N/A,FALSE,"Pro Forma"}</definedName>
    <definedName name="wrn.Yuma." localSheetId="6" hidden="1">{#N/A,#N/A,FALSE,"Project Summary";#N/A,#N/A,FALSE,"Detail Estimate";#N/A,#N/A,FALSE,"Cashflow Schedule";#N/A,#N/A,FALSE,"Pro Forma"}</definedName>
    <definedName name="wrn.Yuma." localSheetId="9" hidden="1">{#N/A,#N/A,FALSE,"Project Summary";#N/A,#N/A,FALSE,"Detail Estimate";#N/A,#N/A,FALSE,"Cashflow Schedule";#N/A,#N/A,FALSE,"Pro Forma"}</definedName>
    <definedName name="wrn.Yuma." localSheetId="2" hidden="1">{#N/A,#N/A,FALSE,"Project Summary";#N/A,#N/A,FALSE,"Detail Estimate";#N/A,#N/A,FALSE,"Cashflow Schedule";#N/A,#N/A,FALSE,"Pro Forma"}</definedName>
    <definedName name="wrn.Yuma." localSheetId="4" hidden="1">{#N/A,#N/A,FALSE,"Project Summary";#N/A,#N/A,FALSE,"Detail Estimate";#N/A,#N/A,FALSE,"Cashflow Schedule";#N/A,#N/A,FALSE,"Pro Forma"}</definedName>
    <definedName name="wrn.Yuma." localSheetId="0" hidden="1">{#N/A,#N/A,FALSE,"Project Summary";#N/A,#N/A,FALSE,"Detail Estimate";#N/A,#N/A,FALSE,"Cashflow Schedule";#N/A,#N/A,FALSE,"Pro Forma"}</definedName>
    <definedName name="wrn.Yuma." hidden="1">{#N/A,#N/A,FALSE,"Project Summary";#N/A,#N/A,FALSE,"Detail Estimate";#N/A,#N/A,FALSE,"Cashflow Schedule";#N/A,#N/A,FALSE,"Pro Forma"}</definedName>
    <definedName name="wvu.As._.Is._.Value." localSheetId="0" hidden="1">{FALSE,FALSE,1.75,1,600,351,FALSE,FALSE,TRUE,TRUE,0,30,#N/A,41,#N/A,9.57777777777778,18.9166666666667,1,FALSE,FALSE,1,TRUE,1,FALSE,100,"Swvu.As._.Is._.Value.","ACwvu.As._.Is._.Value.",1,FALSE,FALSE,1,1,1,1,1,"","",FALSE,FALSE,FALSE,FALSE,1,#N/A,1,1,FALSE,FALSE,FALSE,FALSE,FALSE,FALSE}</definedName>
    <definedName name="wvu.As._.Is._.Value." hidden="1">{FALSE,FALSE,1.75,1,600,351,FALSE,FALSE,TRUE,TRUE,0,30,#N/A,41,#N/A,9.57777777777778,18.9166666666667,1,FALSE,FALSE,1,TRUE,1,FALSE,100,"Swvu.As._.Is._.Value.","ACwvu.As._.Is._.Value.",1,FALSE,FALSE,1,1,1,1,1,"","",FALSE,FALSE,FALSE,FALSE,1,#N/A,1,1,FALSE,FALSE,FALSE,FALSE,FALSE,FALSE}</definedName>
    <definedName name="wvu.pg2." localSheetId="0" hidden="1">{TRUE,TRUE,-1.25,-15.5,484.5,291,FALSE,TRUE,TRUE,TRUE,0,6,#N/A,170,#N/A,9.66666666666667,25.7692307692308,1,FALSE,FALSE,3,TRUE,1,FALSE,75,"Swvu.pg2.","ACwvu.pg2.",#N/A,FALSE,FALSE,1.5,0.5,0.5,0.5,1,"","",FALSE,FALSE,FALSE,FALSE,1,#N/A,1,1,"=R103C3:R182C10",FALSE,#N/A,"Cwvu.pg2.",FALSE,FALSE,FALSE,1,#N/A,#N/A,FALSE,FALSE,TRUE,TRUE,TRUE}</definedName>
    <definedName name="wvu.pg2." hidden="1">{TRUE,TRUE,-1.25,-15.5,484.5,291,FALSE,TRUE,TRUE,TRUE,0,6,#N/A,170,#N/A,9.66666666666667,25.7692307692308,1,FALSE,FALSE,3,TRUE,1,FALSE,75,"Swvu.pg2.","ACwvu.pg2.",#N/A,FALSE,FALSE,1.5,0.5,0.5,0.5,1,"","",FALSE,FALSE,FALSE,FALSE,1,#N/A,1,1,"=R103C3:R182C10",FALSE,#N/A,"Cwvu.pg2.",FALSE,FALSE,FALSE,1,#N/A,#N/A,FALSE,FALSE,TRUE,TRUE,TRUE}</definedName>
    <definedName name="wvu.PG3." localSheetId="0" hidden="1">{TRUE,TRUE,-1.25,-15.5,484.5,291,FALSE,TRUE,TRUE,TRUE,0,1,#N/A,172,#N/A,9.7047619047619,25.7692307692308,1,FALSE,FALSE,3,TRUE,1,FALSE,75,"Swvu.PG3.","ACwvu.PG3.",#N/A,FALSE,FALSE,1.5,0.5,0.5,0.5,1,"","",FALSE,FALSE,FALSE,FALSE,1,#N/A,1,1,"=R184C3:R264C10",FALSE,#N/A,#N/A,FALSE,FALSE,FALSE,1,#N/A,#N/A,FALSE,FALSE,TRUE,TRUE,TRUE}</definedName>
    <definedName name="wvu.PG3." hidden="1">{TRUE,TRUE,-1.25,-15.5,484.5,291,FALSE,TRUE,TRUE,TRUE,0,1,#N/A,172,#N/A,9.7047619047619,25.7692307692308,1,FALSE,FALSE,3,TRUE,1,FALSE,75,"Swvu.PG3.","ACwvu.PG3.",#N/A,FALSE,FALSE,1.5,0.5,0.5,0.5,1,"","",FALSE,FALSE,FALSE,FALSE,1,#N/A,1,1,"=R184C3:R264C10",FALSE,#N/A,#N/A,FALSE,FALSE,FALSE,1,#N/A,#N/A,FALSE,FALSE,TRUE,TRUE,TRUE}</definedName>
    <definedName name="ww" localSheetId="0"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ww"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x" localSheetId="0" hidden="1">{#N/A,#N/A,FALSE,"WATCHDSC";#N/A,#N/A,FALSE,"2LOSSMOD";#N/A,#N/A,FALSE,"2LOSS";#N/A,#N/A,FALSE,"DSC";#N/A,#N/A,FALSE,"OPERAT";#N/A,#N/A,FALSE,"ADJUST";#N/A,#N/A,FALSE,"LEASE EXPIRE"}</definedName>
    <definedName name="x" hidden="1">{#N/A,#N/A,FALSE,"WATCHDSC";#N/A,#N/A,FALSE,"2LOSSMOD";#N/A,#N/A,FALSE,"2LOSS";#N/A,#N/A,FALSE,"DSC";#N/A,#N/A,FALSE,"OPERAT";#N/A,#N/A,FALSE,"ADJUST";#N/A,#N/A,FALSE,"LEASE EXPIRE"}</definedName>
    <definedName name="xcfghjnhfj" localSheetId="0" hidden="1">{"CF",#N/A,FALSE,"Cash Flow";"RET",#N/A,FALSE,"Returns";"NPV",#N/A,FALSE,"Values";"ASMPT",#N/A,FALSE,"Assumptions"}</definedName>
    <definedName name="xcfghjnhfj" hidden="1">{"CF",#N/A,FALSE,"Cash Flow";"RET",#N/A,FALSE,"Returns";"NPV",#N/A,FALSE,"Values";"ASMPT",#N/A,FALSE,"Assumptions"}</definedName>
    <definedName name="xfgnxfgn" localSheetId="0" hidden="1">{"CF",#N/A,FALSE,"Cash Flow";"RET",#N/A,FALSE,"Returns";"NPV",#N/A,FALSE,"Values";"ASMPT",#N/A,FALSE,"Assumptions"}</definedName>
    <definedName name="xfgnxfgn" hidden="1">{"CF",#N/A,FALSE,"Cash Flow";"RET",#N/A,FALSE,"Returns";"NPV",#N/A,FALSE,"Values";"ASMPT",#N/A,FALSE,"Assumptions"}</definedName>
    <definedName name="XREF_COLUMN_1" hidden="1">#REF!</definedName>
    <definedName name="XRefActiveRow" hidden="1">#REF!</definedName>
    <definedName name="XRefColumnsCount" hidden="1">1</definedName>
    <definedName name="XRefCopy1"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RangeCount" hidden="1">5</definedName>
    <definedName name="xx" localSheetId="0" hidden="1">{"DCR Output",#N/A,FALSE,"Output"}</definedName>
    <definedName name="xx" hidden="1">{"DCR Output",#N/A,FALSE,"Output"}</definedName>
    <definedName name="xxd" localSheetId="3" hidden="1">{#N/A,#N/A,FALSE,"Cashflow Analysis";#N/A,#N/A,FALSE,"Sensitivity Analysis";#N/A,#N/A,FALSE,"PV";#N/A,#N/A,FALSE,"Pro Forma"}</definedName>
    <definedName name="xxd" localSheetId="9" hidden="1">{#N/A,#N/A,FALSE,"Cashflow Analysis";#N/A,#N/A,FALSE,"Sensitivity Analysis";#N/A,#N/A,FALSE,"PV";#N/A,#N/A,FALSE,"Pro Forma"}</definedName>
    <definedName name="xxd" localSheetId="2" hidden="1">{#N/A,#N/A,FALSE,"Cashflow Analysis";#N/A,#N/A,FALSE,"Sensitivity Analysis";#N/A,#N/A,FALSE,"PV";#N/A,#N/A,FALSE,"Pro Forma"}</definedName>
    <definedName name="xxd" localSheetId="4" hidden="1">{#N/A,#N/A,FALSE,"Cashflow Analysis";#N/A,#N/A,FALSE,"Sensitivity Analysis";#N/A,#N/A,FALSE,"PV";#N/A,#N/A,FALSE,"Pro Forma"}</definedName>
    <definedName name="xxd" localSheetId="0" hidden="1">{#N/A,#N/A,FALSE,"Cashflow Analysis";#N/A,#N/A,FALSE,"Sensitivity Analysis";#N/A,#N/A,FALSE,"PV";#N/A,#N/A,FALSE,"Pro Forma"}</definedName>
    <definedName name="xxd" hidden="1">{#N/A,#N/A,FALSE,"Cashflow Analysis";#N/A,#N/A,FALSE,"Sensitivity Analysis";#N/A,#N/A,FALSE,"PV";#N/A,#N/A,FALSE,"Pro Forma"}</definedName>
    <definedName name="xxd.2" localSheetId="3" hidden="1">{#N/A,#N/A,FALSE,"Cashflow Analysis";#N/A,#N/A,FALSE,"Sensitivity Analysis";#N/A,#N/A,FALSE,"PV";#N/A,#N/A,FALSE,"Pro Forma"}</definedName>
    <definedName name="xxd.2" localSheetId="9" hidden="1">{#N/A,#N/A,FALSE,"Cashflow Analysis";#N/A,#N/A,FALSE,"Sensitivity Analysis";#N/A,#N/A,FALSE,"PV";#N/A,#N/A,FALSE,"Pro Forma"}</definedName>
    <definedName name="xxd.2" localSheetId="2" hidden="1">{#N/A,#N/A,FALSE,"Cashflow Analysis";#N/A,#N/A,FALSE,"Sensitivity Analysis";#N/A,#N/A,FALSE,"PV";#N/A,#N/A,FALSE,"Pro Forma"}</definedName>
    <definedName name="xxd.2" localSheetId="4" hidden="1">{#N/A,#N/A,FALSE,"Cashflow Analysis";#N/A,#N/A,FALSE,"Sensitivity Analysis";#N/A,#N/A,FALSE,"PV";#N/A,#N/A,FALSE,"Pro Forma"}</definedName>
    <definedName name="xxd.2" localSheetId="0" hidden="1">{#N/A,#N/A,FALSE,"Cashflow Analysis";#N/A,#N/A,FALSE,"Sensitivity Analysis";#N/A,#N/A,FALSE,"PV";#N/A,#N/A,FALSE,"Pro Forma"}</definedName>
    <definedName name="xxd.2" hidden="1">{#N/A,#N/A,FALSE,"Cashflow Analysis";#N/A,#N/A,FALSE,"Sensitivity Analysis";#N/A,#N/A,FALSE,"PV";#N/A,#N/A,FALSE,"Pro Forma"}</definedName>
    <definedName name="xxx" localSheetId="3" hidden="1">{#N/A,#N/A,FALSE,"ACQ_GRAPHS";#N/A,#N/A,FALSE,"T_1 GRAPHS";#N/A,#N/A,FALSE,"T_2 GRAPHS";#N/A,#N/A,FALSE,"COMB_GRAPHS"}</definedName>
    <definedName name="xxx" localSheetId="9" hidden="1">{#N/A,#N/A,FALSE,"ACQ_GRAPHS";#N/A,#N/A,FALSE,"T_1 GRAPHS";#N/A,#N/A,FALSE,"T_2 GRAPHS";#N/A,#N/A,FALSE,"COMB_GRAPHS"}</definedName>
    <definedName name="xxx" localSheetId="2" hidden="1">{#N/A,#N/A,FALSE,"ACQ_GRAPHS";#N/A,#N/A,FALSE,"T_1 GRAPHS";#N/A,#N/A,FALSE,"T_2 GRAPHS";#N/A,#N/A,FALSE,"COMB_GRAPHS"}</definedName>
    <definedName name="xxx" localSheetId="4" hidden="1">{#N/A,#N/A,FALSE,"ACQ_GRAPHS";#N/A,#N/A,FALSE,"T_1 GRAPHS";#N/A,#N/A,FALSE,"T_2 GRAPHS";#N/A,#N/A,FALSE,"COMB_GRAPHS"}</definedName>
    <definedName name="xxx" localSheetId="0" hidden="1">{#N/A,#N/A,FALSE,"ACQ_GRAPHS";#N/A,#N/A,FALSE,"T_1 GRAPHS";#N/A,#N/A,FALSE,"T_2 GRAPHS";#N/A,#N/A,FALSE,"COMB_GRAPHS"}</definedName>
    <definedName name="xxx" hidden="1">{#N/A,#N/A,FALSE,"ACQ_GRAPHS";#N/A,#N/A,FALSE,"T_1 GRAPHS";#N/A,#N/A,FALSE,"T_2 GRAPHS";#N/A,#N/A,FALSE,"COMB_GRAPHS"}</definedName>
    <definedName name="xxx3" localSheetId="3" hidden="1">{"AnnualRentRoll",#N/A,FALSE,"RentRoll"}</definedName>
    <definedName name="xxx3" localSheetId="6" hidden="1">{"AnnualRentRoll",#N/A,FALSE,"RentRoll"}</definedName>
    <definedName name="xxx3" localSheetId="9" hidden="1">{"AnnualRentRoll",#N/A,FALSE,"RentRoll"}</definedName>
    <definedName name="xxx3" localSheetId="2" hidden="1">{"AnnualRentRoll",#N/A,FALSE,"RentRoll"}</definedName>
    <definedName name="xxx3" localSheetId="4" hidden="1">{"AnnualRentRoll",#N/A,FALSE,"RentRoll"}</definedName>
    <definedName name="xxx3" localSheetId="0" hidden="1">{"AnnualRentRoll",#N/A,FALSE,"RentRoll"}</definedName>
    <definedName name="xxx3" hidden="1">{"AnnualRentRoll",#N/A,FALSE,"RentRoll"}</definedName>
    <definedName name="xxx4" localSheetId="3" hidden="1">{#N/A,#N/A,FALSE,"ExitStratigy"}</definedName>
    <definedName name="xxx4" localSheetId="6" hidden="1">{#N/A,#N/A,FALSE,"ExitStratigy"}</definedName>
    <definedName name="xxx4" localSheetId="9" hidden="1">{#N/A,#N/A,FALSE,"ExitStratigy"}</definedName>
    <definedName name="xxx4" localSheetId="2" hidden="1">{#N/A,#N/A,FALSE,"ExitStratigy"}</definedName>
    <definedName name="xxx4" localSheetId="4" hidden="1">{#N/A,#N/A,FALSE,"ExitStratigy"}</definedName>
    <definedName name="xxx4" localSheetId="0" hidden="1">{#N/A,#N/A,FALSE,"ExitStratigy"}</definedName>
    <definedName name="xxx4" hidden="1">{#N/A,#N/A,FALSE,"ExitStratigy"}</definedName>
    <definedName name="xyz" localSheetId="0" hidden="1">{#N/A,#N/A,FALSE,"ExitStratigy"}</definedName>
    <definedName name="xyz" hidden="1">{#N/A,#N/A,FALSE,"ExitStratigy"}</definedName>
    <definedName name="year">#REF!</definedName>
    <definedName name="Year10Park">#REF!</definedName>
    <definedName name="Year3Park">#REF!</definedName>
    <definedName name="Year4Park">#REF!</definedName>
    <definedName name="Year5Park">#REF!</definedName>
    <definedName name="Year6Park">#REF!</definedName>
    <definedName name="Year7Park">#REF!</definedName>
    <definedName name="Year8Park">#REF!</definedName>
    <definedName name="Year9Park">#REF!</definedName>
    <definedName name="you" localSheetId="0" hidden="1">{"'Assump'!$F$6:$J$6"}</definedName>
    <definedName name="you" hidden="1">{"'Assump'!$F$6:$J$6"}</definedName>
    <definedName name="Young">#REF!</definedName>
    <definedName name="Yr">#REF!</definedName>
    <definedName name="Z_53B97FD7_206F_4E0F_BD6E_C5CE50A4020E_.wvu.Cols" hidden="1">#REF!,#REF!</definedName>
    <definedName name="Z_53B97FD7_206F_4E0F_BD6E_C5CE50A4020E_.wvu.Rows" hidden="1">#REF!,#REF!,#REF!,#REF!,#REF!,#REF!,#REF!,#REF!,#REF!,#REF!,#REF!,#REF!,#REF!,#REF!,#REF!,#REF!,#REF!,#REF!,#REF!,#REF!,#REF!,#REF!,#REF!,#REF!,#REF!,#REF!,#REF!,#REF!,#REF!,#REF!,#REF!,#REF!,#REF!,#REF!,#REF!,#REF!,#REF!,#REF!,#REF!,#REF!,#REF!,#REF!,#REF!,#REF!</definedName>
    <definedName name="Z_80E05628_A34C_4666_9DEC_E528308A36DF_.wvu.Rows" hidden="1">#REF!,#REF!,#REF!,#REF!,#REF!,#REF!,#REF!,#REF!,#REF!,#REF!,#REF!,#REF!,#REF!,#REF!,#REF!,#REF!,#REF!,#REF!</definedName>
    <definedName name="Z_B8D30F00_07A3_48E4_982B_7D435ADE48EE_.wvu.Cols" hidden="1">#REF!,#REF!</definedName>
    <definedName name="Z_B8D30F00_07A3_48E4_982B_7D435ADE48EE_.wvu.PrintArea" hidden="1">#REF!</definedName>
    <definedName name="Z_B8D30F00_07A3_48E4_982B_7D435ADE48EE_.wvu.Rows" hidden="1">#REF!,#REF!,#REF!,#REF!,#REF!,#REF!,#REF!,#REF!,#REF!,#REF!,#REF!,#REF!,#REF!,#REF!,#REF!,#REF!,#REF!,#REF!,#REF!,#REF!,#REF!,#REF!,#REF!,#REF!,#REF!,#REF!,#REF!,#REF!,#REF!,#REF!,#REF!,#REF!,#REF!,#REF!,#REF!,#REF!,#REF!,#REF!,#REF!,#REF!,#REF!,#REF!,#REF!,#REF!</definedName>
    <definedName name="zyz" localSheetId="0" hidden="1">{#N/A,#N/A,FALSE,"Aging Summary";#N/A,#N/A,FALSE,"Ratio Analysis";#N/A,#N/A,FALSE,"Test 120 Day Accts";#N/A,#N/A,FALSE,"Tickmarks"}</definedName>
    <definedName name="zyz" hidden="1">{#N/A,#N/A,FALSE,"Aging Summary";#N/A,#N/A,FALSE,"Ratio Analysis";#N/A,#N/A,FALSE,"Test 120 Day Accts";#N/A,#N/A,FALSE,"Tickmarks"}</definedName>
  </definedNames>
  <calcPr calcId="191028" iterate="1" calcCompleted="0"/>
  <pivotCaches>
    <pivotCache cacheId="1" r:id="rId2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29" l="1"/>
  <c r="C26" i="29" s="1"/>
  <c r="D19" i="29"/>
  <c r="D20" i="29" s="1"/>
  <c r="D28" i="29" s="1"/>
  <c r="D18" i="29"/>
  <c r="C18" i="29"/>
  <c r="D16" i="29"/>
  <c r="D14" i="29"/>
  <c r="C14" i="29" s="1"/>
  <c r="C2" i="29"/>
  <c r="B2" i="29"/>
  <c r="F79" i="1"/>
  <c r="D77" i="1"/>
  <c r="G79" i="1"/>
  <c r="E66" i="1"/>
  <c r="D62" i="1"/>
  <c r="D61" i="1"/>
  <c r="D57" i="1"/>
  <c r="D56" i="1"/>
  <c r="D55" i="1"/>
  <c r="D54" i="1"/>
  <c r="D53" i="1"/>
  <c r="D52" i="1"/>
  <c r="D51" i="1"/>
  <c r="D50" i="1"/>
  <c r="D49" i="1"/>
  <c r="D48" i="1"/>
  <c r="D42" i="1"/>
  <c r="D41" i="1"/>
  <c r="D40" i="1"/>
  <c r="D39" i="1"/>
  <c r="D38" i="1"/>
  <c r="D37" i="1"/>
  <c r="D36" i="1"/>
  <c r="D35" i="1"/>
  <c r="D34" i="1"/>
  <c r="D33" i="1"/>
  <c r="D32" i="1"/>
  <c r="D31" i="1"/>
  <c r="D30" i="1"/>
  <c r="D29" i="1"/>
  <c r="E65" i="1"/>
  <c r="E64" i="1"/>
  <c r="C19" i="29" l="1"/>
  <c r="C20" i="29" s="1"/>
  <c r="C93" i="27"/>
  <c r="C32" i="29" l="1"/>
  <c r="D32" i="29" s="1"/>
  <c r="K11" i="29" s="1"/>
  <c r="K14" i="29" s="1"/>
  <c r="C28" i="29"/>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5" i="5"/>
  <c r="AB102" i="21"/>
  <c r="L40" i="5"/>
  <c r="L41" i="5"/>
  <c r="L42" i="5"/>
  <c r="L43" i="5"/>
  <c r="C22" i="29" l="1"/>
  <c r="Z39" i="21"/>
  <c r="Z40" i="21"/>
  <c r="Z41" i="21"/>
  <c r="Z42" i="21"/>
  <c r="Z43" i="21"/>
  <c r="Z44" i="21"/>
  <c r="Z38" i="21"/>
  <c r="Z28" i="21"/>
  <c r="Z29" i="21"/>
  <c r="Z30" i="21"/>
  <c r="Z31" i="21"/>
  <c r="Z32" i="21"/>
  <c r="Z33" i="21"/>
  <c r="Z34" i="21"/>
  <c r="Z35" i="21"/>
  <c r="Z36" i="21"/>
  <c r="Z27" i="21"/>
  <c r="AB8" i="21"/>
  <c r="AE5" i="21"/>
  <c r="AD5" i="21"/>
  <c r="AC5" i="21"/>
  <c r="AB5" i="21"/>
  <c r="L39" i="5"/>
  <c r="G95" i="18"/>
  <c r="P95" i="18" s="1"/>
  <c r="I95" i="18"/>
  <c r="R95" i="18" s="1"/>
  <c r="K95" i="18"/>
  <c r="T95" i="18" s="1"/>
  <c r="M95" i="18"/>
  <c r="V95" i="18" s="1"/>
  <c r="G96" i="18"/>
  <c r="F22" i="13"/>
  <c r="B22" i="13"/>
  <c r="G14" i="21"/>
  <c r="AB10" i="21" s="1"/>
  <c r="G15" i="21"/>
  <c r="AB11" i="21" s="1"/>
  <c r="G16" i="21"/>
  <c r="AB12" i="21" s="1"/>
  <c r="G17" i="21"/>
  <c r="AB13" i="21" s="1"/>
  <c r="G18" i="21"/>
  <c r="AB14" i="21" s="1"/>
  <c r="G19" i="21"/>
  <c r="AB15" i="21" s="1"/>
  <c r="G20" i="21"/>
  <c r="AB16" i="21" s="1"/>
  <c r="G21" i="21"/>
  <c r="AB17" i="21" s="1"/>
  <c r="G22" i="21"/>
  <c r="AB18" i="21" s="1"/>
  <c r="G23" i="21"/>
  <c r="AB19" i="21" s="1"/>
  <c r="G24" i="21"/>
  <c r="AB20" i="21" s="1"/>
  <c r="G25" i="21"/>
  <c r="AB21" i="21" s="1"/>
  <c r="G26" i="21"/>
  <c r="AB22" i="21" s="1"/>
  <c r="G27" i="21"/>
  <c r="AB23" i="21" s="1"/>
  <c r="G28" i="21"/>
  <c r="AB24" i="21" s="1"/>
  <c r="G29" i="21"/>
  <c r="AB25" i="21" s="1"/>
  <c r="D30" i="21"/>
  <c r="D29" i="21"/>
  <c r="Z25" i="21" s="1"/>
  <c r="D27" i="21"/>
  <c r="Z23" i="21" s="1"/>
  <c r="D25" i="21"/>
  <c r="Z21" i="21" s="1"/>
  <c r="D26" i="21"/>
  <c r="Z22" i="21" s="1"/>
  <c r="D14" i="21"/>
  <c r="Z10" i="21" s="1"/>
  <c r="D15" i="21"/>
  <c r="Z11" i="21" s="1"/>
  <c r="D16" i="21"/>
  <c r="Z12" i="21" s="1"/>
  <c r="D17" i="21"/>
  <c r="Z13" i="21" s="1"/>
  <c r="D18" i="21"/>
  <c r="Z14" i="21" s="1"/>
  <c r="D19" i="21"/>
  <c r="Z15" i="21" s="1"/>
  <c r="D20" i="21"/>
  <c r="Z16" i="21" s="1"/>
  <c r="D21" i="21"/>
  <c r="Z17" i="21" s="1"/>
  <c r="D22" i="21"/>
  <c r="Z18" i="21" s="1"/>
  <c r="D23" i="21"/>
  <c r="Z19" i="21" s="1"/>
  <c r="D24" i="21"/>
  <c r="Z20" i="21" s="1"/>
  <c r="D13" i="21"/>
  <c r="Z9" i="21" s="1"/>
  <c r="D11" i="21"/>
  <c r="P26" i="1"/>
  <c r="C25" i="29" l="1"/>
  <c r="D22" i="29"/>
  <c r="E28" i="29"/>
  <c r="E14" i="29"/>
  <c r="AB6" i="21"/>
  <c r="AB55" i="21"/>
  <c r="AB67" i="21"/>
  <c r="AB79" i="21"/>
  <c r="AB91" i="21"/>
  <c r="AB68" i="21"/>
  <c r="AB80" i="21"/>
  <c r="AB92" i="21"/>
  <c r="AB70" i="21"/>
  <c r="AB82" i="21"/>
  <c r="AB94" i="21"/>
  <c r="AB62" i="21"/>
  <c r="AB86" i="21"/>
  <c r="AB63" i="21"/>
  <c r="AB87" i="21"/>
  <c r="AB64" i="21"/>
  <c r="AB46" i="21"/>
  <c r="AB77" i="21"/>
  <c r="AB54" i="21"/>
  <c r="AB78" i="21"/>
  <c r="AB56" i="21"/>
  <c r="AB76" i="21"/>
  <c r="AB65" i="21"/>
  <c r="AB57" i="21"/>
  <c r="AB69" i="21"/>
  <c r="AB81" i="21"/>
  <c r="AB93" i="21"/>
  <c r="AB58" i="21"/>
  <c r="AB47" i="21"/>
  <c r="AB59" i="21"/>
  <c r="AB71" i="21"/>
  <c r="AB83" i="21"/>
  <c r="AB95" i="21"/>
  <c r="AB60" i="21"/>
  <c r="AB72" i="21"/>
  <c r="AB84" i="21"/>
  <c r="AB96" i="21"/>
  <c r="AB61" i="21"/>
  <c r="AB73" i="21"/>
  <c r="AB85" i="21"/>
  <c r="AB97" i="21"/>
  <c r="AB74" i="21"/>
  <c r="AB98" i="21"/>
  <c r="AB75" i="21"/>
  <c r="AB99" i="21"/>
  <c r="AB52" i="21"/>
  <c r="AB88" i="21"/>
  <c r="AB53" i="21"/>
  <c r="AB89" i="21"/>
  <c r="AB66" i="21"/>
  <c r="AB90" i="21"/>
  <c r="AB48" i="21"/>
  <c r="AB49" i="21"/>
  <c r="AB50" i="21"/>
  <c r="AB51" i="21"/>
  <c r="AE46" i="21"/>
  <c r="AE62" i="21"/>
  <c r="AE78" i="21"/>
  <c r="AE94" i="21"/>
  <c r="AE47" i="21"/>
  <c r="AE63" i="21"/>
  <c r="AE79" i="21"/>
  <c r="AE95" i="21"/>
  <c r="AE84" i="21"/>
  <c r="AE48" i="21"/>
  <c r="AE64" i="21"/>
  <c r="AE80" i="21"/>
  <c r="AE96" i="21"/>
  <c r="AE68" i="21"/>
  <c r="AE60" i="21"/>
  <c r="AE49" i="21"/>
  <c r="AE65" i="21"/>
  <c r="AE81" i="21"/>
  <c r="AE97" i="21"/>
  <c r="AE59" i="21"/>
  <c r="AE50" i="21"/>
  <c r="AE66" i="21"/>
  <c r="AE82" i="21"/>
  <c r="AE98" i="21"/>
  <c r="AE90" i="21"/>
  <c r="AE51" i="21"/>
  <c r="AE67" i="21"/>
  <c r="AE83" i="21"/>
  <c r="AE99" i="21"/>
  <c r="AE75" i="21"/>
  <c r="AE52" i="21"/>
  <c r="AE53" i="21"/>
  <c r="AE69" i="21"/>
  <c r="AE85" i="21"/>
  <c r="AE58" i="21"/>
  <c r="AE76" i="21"/>
  <c r="AE54" i="21"/>
  <c r="AE70" i="21"/>
  <c r="AE86" i="21"/>
  <c r="AE74" i="21"/>
  <c r="AE92" i="21"/>
  <c r="AE55" i="21"/>
  <c r="AE71" i="21"/>
  <c r="AE87" i="21"/>
  <c r="AE89" i="21"/>
  <c r="AE56" i="21"/>
  <c r="AE72" i="21"/>
  <c r="AE88" i="21"/>
  <c r="AE73" i="21"/>
  <c r="AE91" i="21"/>
  <c r="AE57" i="21"/>
  <c r="AE61" i="21"/>
  <c r="AE77" i="21"/>
  <c r="AE93" i="21"/>
  <c r="AD46" i="21"/>
  <c r="AD54" i="21"/>
  <c r="AD62" i="21"/>
  <c r="AD70" i="21"/>
  <c r="AD78" i="21"/>
  <c r="AD86" i="21"/>
  <c r="AD94" i="21"/>
  <c r="AD55" i="21"/>
  <c r="AD71" i="21"/>
  <c r="AD87" i="21"/>
  <c r="AD72" i="21"/>
  <c r="AD88" i="21"/>
  <c r="AD47" i="21"/>
  <c r="AD63" i="21"/>
  <c r="AD79" i="21"/>
  <c r="AD95" i="21"/>
  <c r="AD96" i="21"/>
  <c r="AD56" i="21"/>
  <c r="AD80" i="21"/>
  <c r="AD85" i="21"/>
  <c r="AD48" i="21"/>
  <c r="AD64" i="21"/>
  <c r="AD49" i="21"/>
  <c r="AD65" i="21"/>
  <c r="AD81" i="21"/>
  <c r="AD97" i="21"/>
  <c r="AD76" i="21"/>
  <c r="AD57" i="21"/>
  <c r="AD73" i="21"/>
  <c r="AD89" i="21"/>
  <c r="AD99" i="21"/>
  <c r="AD84" i="21"/>
  <c r="AD93" i="21"/>
  <c r="AD58" i="21"/>
  <c r="AD66" i="21"/>
  <c r="AD82" i="21"/>
  <c r="AD98" i="21"/>
  <c r="AD92" i="21"/>
  <c r="AD50" i="21"/>
  <c r="AD74" i="21"/>
  <c r="AD90" i="21"/>
  <c r="AD60" i="21"/>
  <c r="AD69" i="21"/>
  <c r="AD51" i="21"/>
  <c r="AD67" i="21"/>
  <c r="AD75" i="21"/>
  <c r="AD83" i="21"/>
  <c r="AD68" i="21"/>
  <c r="AD61" i="21"/>
  <c r="AD59" i="21"/>
  <c r="AD91" i="21"/>
  <c r="AD77" i="21"/>
  <c r="AD52" i="21"/>
  <c r="AD53" i="21"/>
  <c r="AC46" i="21"/>
  <c r="AC62" i="21"/>
  <c r="AC78" i="21"/>
  <c r="AC94" i="21"/>
  <c r="AC98" i="21"/>
  <c r="AC57" i="21"/>
  <c r="AC73" i="21"/>
  <c r="AC89" i="21"/>
  <c r="AC71" i="21"/>
  <c r="AC93" i="21"/>
  <c r="AC52" i="21"/>
  <c r="AC68" i="21"/>
  <c r="AC84" i="21"/>
  <c r="AC81" i="21"/>
  <c r="AC88" i="21"/>
  <c r="AC47" i="21"/>
  <c r="AC63" i="21"/>
  <c r="AC79" i="21"/>
  <c r="AC95" i="21"/>
  <c r="AC65" i="21"/>
  <c r="AC77" i="21"/>
  <c r="AC58" i="21"/>
  <c r="AC74" i="21"/>
  <c r="AC90" i="21"/>
  <c r="AC82" i="21"/>
  <c r="AC83" i="21"/>
  <c r="AC53" i="21"/>
  <c r="AC69" i="21"/>
  <c r="AC85" i="21"/>
  <c r="AC97" i="21"/>
  <c r="AC48" i="21"/>
  <c r="AC64" i="21"/>
  <c r="AC80" i="21"/>
  <c r="AC96" i="21"/>
  <c r="AC66" i="21"/>
  <c r="AC51" i="21"/>
  <c r="AC59" i="21"/>
  <c r="AC75" i="21"/>
  <c r="AC91" i="21"/>
  <c r="AC50" i="21"/>
  <c r="AC72" i="21"/>
  <c r="AC54" i="21"/>
  <c r="AC70" i="21"/>
  <c r="AC86" i="21"/>
  <c r="AC55" i="21"/>
  <c r="AC61" i="21"/>
  <c r="AC67" i="21"/>
  <c r="AC49" i="21"/>
  <c r="AC60" i="21"/>
  <c r="AC76" i="21"/>
  <c r="AC92" i="21"/>
  <c r="AC87" i="21"/>
  <c r="AC56" i="21"/>
  <c r="AC99" i="21"/>
  <c r="AC25" i="21"/>
  <c r="AD6" i="21"/>
  <c r="AE6" i="21"/>
  <c r="AC24" i="21"/>
  <c r="AC27" i="21"/>
  <c r="AC39" i="21"/>
  <c r="AC20" i="21"/>
  <c r="AC19" i="21"/>
  <c r="AC14" i="21"/>
  <c r="AC40" i="21"/>
  <c r="AC15" i="21"/>
  <c r="AC13" i="21"/>
  <c r="AC36" i="21"/>
  <c r="AC32" i="21"/>
  <c r="AC31" i="21"/>
  <c r="AC38" i="21"/>
  <c r="AC44" i="21"/>
  <c r="AD34" i="21"/>
  <c r="AD31" i="21"/>
  <c r="AD14" i="21"/>
  <c r="AD13" i="21"/>
  <c r="AD25" i="21"/>
  <c r="AD33" i="21"/>
  <c r="AD17" i="21"/>
  <c r="AD12" i="21"/>
  <c r="AD18" i="21"/>
  <c r="AD29" i="21"/>
  <c r="AD24" i="21"/>
  <c r="AD11" i="21"/>
  <c r="AD35" i="21"/>
  <c r="AD10" i="21"/>
  <c r="AD20" i="21"/>
  <c r="AD19" i="21"/>
  <c r="AD32" i="21"/>
  <c r="AD16" i="21"/>
  <c r="AD23" i="21"/>
  <c r="AD8" i="21"/>
  <c r="AE8" i="21"/>
  <c r="AE20" i="21"/>
  <c r="AE12" i="21"/>
  <c r="AE43" i="21"/>
  <c r="AE17" i="21"/>
  <c r="AE24" i="21"/>
  <c r="AE41" i="21"/>
  <c r="AE34" i="21"/>
  <c r="AE33" i="21"/>
  <c r="AE19" i="21"/>
  <c r="AE25" i="21"/>
  <c r="AE16" i="21"/>
  <c r="AE30" i="21"/>
  <c r="AE32" i="21"/>
  <c r="AE10" i="21"/>
  <c r="AE27" i="21"/>
  <c r="AE29" i="21"/>
  <c r="AE40" i="21"/>
  <c r="AE21" i="21"/>
  <c r="AE13" i="21"/>
  <c r="AE18" i="21"/>
  <c r="AE31" i="21"/>
  <c r="AE23" i="21"/>
  <c r="AE15" i="21"/>
  <c r="AE36" i="21"/>
  <c r="AE38" i="21"/>
  <c r="AE44" i="21"/>
  <c r="AE11" i="21"/>
  <c r="AE42" i="21"/>
  <c r="AE22" i="21"/>
  <c r="AE14" i="21"/>
  <c r="AE35" i="21"/>
  <c r="AE39" i="21"/>
  <c r="AD22" i="21"/>
  <c r="AD15" i="21"/>
  <c r="AD27" i="21"/>
  <c r="AD30" i="21"/>
  <c r="AD21" i="21"/>
  <c r="AD36" i="21"/>
  <c r="AC30" i="21"/>
  <c r="AC12" i="21"/>
  <c r="AC43" i="21"/>
  <c r="AC17" i="21"/>
  <c r="AC29" i="21"/>
  <c r="AC23" i="21"/>
  <c r="AC22" i="21"/>
  <c r="AC34" i="21"/>
  <c r="AC11" i="21"/>
  <c r="AC42" i="21"/>
  <c r="AC16" i="21"/>
  <c r="AC6" i="21"/>
  <c r="AC35" i="21"/>
  <c r="AC21" i="21"/>
  <c r="AC33" i="21"/>
  <c r="AC8" i="21"/>
  <c r="AC18" i="21"/>
  <c r="AC10" i="21"/>
  <c r="AC41" i="21"/>
  <c r="L37" i="5"/>
  <c r="L38" i="5"/>
  <c r="L36" i="5"/>
  <c r="I96" i="18"/>
  <c r="R96" i="18" s="1"/>
  <c r="K96" i="18"/>
  <c r="T96" i="18" s="1"/>
  <c r="M96" i="18"/>
  <c r="V96" i="18" s="1"/>
  <c r="I97" i="18"/>
  <c r="R97" i="18" s="1"/>
  <c r="K97" i="18"/>
  <c r="T97" i="18" s="1"/>
  <c r="M97" i="18"/>
  <c r="I98" i="18"/>
  <c r="R98" i="18" s="1"/>
  <c r="K98" i="18"/>
  <c r="T98" i="18" s="1"/>
  <c r="M98" i="18"/>
  <c r="V98" i="18" s="1"/>
  <c r="I99" i="18"/>
  <c r="R99" i="18" s="1"/>
  <c r="K99" i="18"/>
  <c r="T99" i="18" s="1"/>
  <c r="M99" i="18"/>
  <c r="V99" i="18" s="1"/>
  <c r="I100" i="18"/>
  <c r="R100" i="18" s="1"/>
  <c r="K100" i="18"/>
  <c r="T100" i="18" s="1"/>
  <c r="M100" i="18"/>
  <c r="V100" i="18" s="1"/>
  <c r="I101" i="18"/>
  <c r="R101" i="18" s="1"/>
  <c r="K101" i="18"/>
  <c r="T101" i="18" s="1"/>
  <c r="M101" i="18"/>
  <c r="V101" i="18" s="1"/>
  <c r="I102" i="18"/>
  <c r="R102" i="18" s="1"/>
  <c r="K102" i="18"/>
  <c r="T102" i="18" s="1"/>
  <c r="M102" i="18"/>
  <c r="V102" i="18" s="1"/>
  <c r="I103" i="18"/>
  <c r="R103" i="18" s="1"/>
  <c r="K103" i="18"/>
  <c r="T103" i="18" s="1"/>
  <c r="M103" i="18"/>
  <c r="V103" i="18" s="1"/>
  <c r="I104" i="18"/>
  <c r="R104" i="18" s="1"/>
  <c r="K104" i="18"/>
  <c r="T104" i="18" s="1"/>
  <c r="M104" i="18"/>
  <c r="V104" i="18" s="1"/>
  <c r="I105" i="18"/>
  <c r="R105" i="18" s="1"/>
  <c r="K105" i="18"/>
  <c r="T105" i="18" s="1"/>
  <c r="M105" i="18"/>
  <c r="V105" i="18" s="1"/>
  <c r="I106" i="18"/>
  <c r="R106" i="18" s="1"/>
  <c r="K106" i="18"/>
  <c r="T106" i="18" s="1"/>
  <c r="M106" i="18"/>
  <c r="V106" i="18" s="1"/>
  <c r="I107" i="18"/>
  <c r="R107" i="18" s="1"/>
  <c r="K107" i="18"/>
  <c r="T107" i="18" s="1"/>
  <c r="M107" i="18"/>
  <c r="V107" i="18" s="1"/>
  <c r="I108" i="18"/>
  <c r="R108" i="18" s="1"/>
  <c r="K108" i="18"/>
  <c r="T108" i="18" s="1"/>
  <c r="M108" i="18"/>
  <c r="V108" i="18" s="1"/>
  <c r="I71" i="18"/>
  <c r="R71" i="18" s="1"/>
  <c r="K71" i="18"/>
  <c r="T71" i="18" s="1"/>
  <c r="M71" i="18"/>
  <c r="V71" i="18" s="1"/>
  <c r="I109" i="18"/>
  <c r="R109" i="18" s="1"/>
  <c r="K109" i="18"/>
  <c r="T109" i="18" s="1"/>
  <c r="M109" i="18"/>
  <c r="V109" i="18" s="1"/>
  <c r="I110" i="18"/>
  <c r="R110" i="18" s="1"/>
  <c r="K110" i="18"/>
  <c r="T110" i="18" s="1"/>
  <c r="M110" i="18"/>
  <c r="V110" i="18" s="1"/>
  <c r="G110" i="18"/>
  <c r="P110" i="18" s="1"/>
  <c r="G109" i="18"/>
  <c r="P109" i="18" s="1"/>
  <c r="G71" i="18"/>
  <c r="P71" i="18" s="1"/>
  <c r="G108" i="18"/>
  <c r="P108" i="18" s="1"/>
  <c r="G107" i="18"/>
  <c r="P107" i="18" s="1"/>
  <c r="G106" i="18"/>
  <c r="P106" i="18" s="1"/>
  <c r="G105" i="18"/>
  <c r="P105" i="18" s="1"/>
  <c r="G104" i="18"/>
  <c r="P104" i="18" s="1"/>
  <c r="G103" i="18"/>
  <c r="P103" i="18" s="1"/>
  <c r="G102" i="18"/>
  <c r="P102" i="18" s="1"/>
  <c r="G101" i="18"/>
  <c r="P101" i="18" s="1"/>
  <c r="G100" i="18"/>
  <c r="P100" i="18" s="1"/>
  <c r="G99" i="18"/>
  <c r="P99" i="18" s="1"/>
  <c r="G98" i="18"/>
  <c r="P98" i="18" s="1"/>
  <c r="G97" i="18"/>
  <c r="P97" i="18" s="1"/>
  <c r="P96" i="18"/>
  <c r="F109" i="18"/>
  <c r="B43" i="1"/>
  <c r="D28" i="21" s="1"/>
  <c r="Z24" i="21" s="1"/>
  <c r="D6" i="13"/>
  <c r="C6" i="16"/>
  <c r="I76" i="1"/>
  <c r="D21" i="1"/>
  <c r="D7" i="13"/>
  <c r="C7" i="16"/>
  <c r="C9" i="16"/>
  <c r="B2" i="1"/>
  <c r="C8" i="16"/>
  <c r="D8" i="13"/>
  <c r="J73" i="1"/>
  <c r="J74" i="1"/>
  <c r="J75" i="1"/>
  <c r="J72" i="1"/>
  <c r="L26" i="5"/>
  <c r="D25" i="29" l="1"/>
  <c r="AA97" i="21"/>
  <c r="AA99" i="21"/>
  <c r="AA98" i="21"/>
  <c r="AA6" i="21"/>
  <c r="AC45" i="21"/>
  <c r="AE45" i="21"/>
  <c r="V97" i="18"/>
  <c r="L44" i="5"/>
  <c r="L30" i="5"/>
  <c r="L29" i="5"/>
  <c r="C76" i="1"/>
  <c r="C23" i="24"/>
  <c r="C16" i="24"/>
  <c r="C15" i="24"/>
  <c r="D28" i="1" l="1"/>
  <c r="H16" i="21"/>
  <c r="H26" i="21"/>
  <c r="H22" i="21"/>
  <c r="H17" i="21"/>
  <c r="H18" i="21"/>
  <c r="H20" i="21"/>
  <c r="H24" i="21"/>
  <c r="H27" i="21"/>
  <c r="H15" i="21"/>
  <c r="H23" i="21"/>
  <c r="H19" i="21"/>
  <c r="H29" i="21"/>
  <c r="H14" i="21"/>
  <c r="H28" i="21"/>
  <c r="H21" i="21"/>
  <c r="H25" i="21"/>
  <c r="B3" i="24"/>
  <c r="S16" i="5"/>
  <c r="S15" i="5"/>
  <c r="S12" i="5"/>
  <c r="S11" i="5"/>
  <c r="S10" i="5"/>
  <c r="S8" i="5"/>
  <c r="S7" i="5"/>
  <c r="S6" i="5"/>
  <c r="M94" i="18" l="1"/>
  <c r="K94" i="18"/>
  <c r="G13" i="21"/>
  <c r="I94" i="18"/>
  <c r="G94" i="18"/>
  <c r="P94" i="18" s="1"/>
  <c r="P111" i="18" s="1"/>
  <c r="D45" i="1"/>
  <c r="O19" i="1" s="1"/>
  <c r="G35" i="25"/>
  <c r="H35" i="25"/>
  <c r="D22" i="13" l="1"/>
  <c r="E22" i="13" s="1"/>
  <c r="H19" i="16"/>
  <c r="I19" i="16" s="1"/>
  <c r="E17" i="16"/>
  <c r="G111" i="18"/>
  <c r="AD9" i="21"/>
  <c r="AD26" i="21" s="1"/>
  <c r="AE9" i="21"/>
  <c r="AC9" i="21"/>
  <c r="AC26" i="21" s="1"/>
  <c r="T94" i="18"/>
  <c r="T111" i="18" s="1"/>
  <c r="K111" i="18"/>
  <c r="V94" i="18"/>
  <c r="V111" i="18" s="1"/>
  <c r="M111" i="18"/>
  <c r="G30" i="21"/>
  <c r="AB9" i="21"/>
  <c r="H13" i="21"/>
  <c r="H30" i="21" s="1"/>
  <c r="R94" i="18"/>
  <c r="R111" i="18" s="1"/>
  <c r="I111" i="18"/>
  <c r="R19" i="1"/>
  <c r="Q19" i="1"/>
  <c r="D19" i="1"/>
  <c r="O13" i="1"/>
  <c r="AE26" i="21" l="1"/>
  <c r="AB26" i="21"/>
  <c r="H25" i="25"/>
  <c r="G25" i="25"/>
  <c r="H12" i="25" l="1"/>
  <c r="H13" i="25" s="1"/>
  <c r="G12" i="25"/>
  <c r="G13" i="25" s="1"/>
  <c r="D9" i="13"/>
  <c r="I14" i="13" l="1"/>
  <c r="I13" i="13"/>
  <c r="H43" i="25"/>
  <c r="G43" i="25"/>
  <c r="D55" i="25"/>
  <c r="E54" i="25"/>
  <c r="E53" i="25"/>
  <c r="E52" i="25"/>
  <c r="E51" i="25"/>
  <c r="D48" i="25"/>
  <c r="AB7" i="1"/>
  <c r="AB6" i="1"/>
  <c r="E55" i="25" l="1"/>
  <c r="AB13" i="1"/>
  <c r="AB8" i="1"/>
  <c r="H7" i="20"/>
  <c r="G7" i="20"/>
  <c r="F7" i="20"/>
  <c r="E7" i="20"/>
  <c r="H6" i="20"/>
  <c r="G6" i="20"/>
  <c r="F6" i="20"/>
  <c r="E6" i="20"/>
  <c r="B99" i="1"/>
  <c r="B25" i="13"/>
  <c r="I15" i="13" l="1"/>
  <c r="I19" i="13" s="1"/>
  <c r="D7" i="20" a="1"/>
  <c r="D7" i="20" s="1"/>
  <c r="D6" i="20"/>
  <c r="M82" i="18"/>
  <c r="M72" i="18"/>
  <c r="I82" i="18"/>
  <c r="K72" i="18"/>
  <c r="I72" i="18"/>
  <c r="F81" i="1" l="1"/>
  <c r="F82" i="1"/>
  <c r="L32" i="5"/>
  <c r="L33" i="5"/>
  <c r="L34" i="5"/>
  <c r="F80" i="1" l="1"/>
  <c r="B81" i="1"/>
  <c r="H82" i="1"/>
  <c r="AE101" i="21" s="1"/>
  <c r="H81" i="1"/>
  <c r="AD101" i="21" s="1"/>
  <c r="H80" i="1"/>
  <c r="AC101" i="21" s="1"/>
  <c r="H79" i="1"/>
  <c r="AB101" i="21" s="1"/>
  <c r="F137" i="5"/>
  <c r="F139" i="5"/>
  <c r="AA101" i="21" l="1"/>
  <c r="T72" i="18"/>
  <c r="R72" i="18" l="1"/>
  <c r="E167" i="5"/>
  <c r="E168" i="5"/>
  <c r="O38" i="1"/>
  <c r="D73" i="1"/>
  <c r="D74" i="1"/>
  <c r="D75" i="1"/>
  <c r="K82" i="18" s="1"/>
  <c r="D72" i="1"/>
  <c r="A5" i="5" a="1"/>
  <c r="A5" i="5" s="1"/>
  <c r="L24" i="5" l="1"/>
  <c r="L25" i="5"/>
  <c r="B80" i="1" l="1"/>
  <c r="G81" i="1"/>
  <c r="B82" i="1"/>
  <c r="B79" i="1"/>
  <c r="K84" i="18" l="1"/>
  <c r="AD100" i="21"/>
  <c r="AB100" i="21"/>
  <c r="G80" i="1"/>
  <c r="G82" i="1"/>
  <c r="D9" i="21"/>
  <c r="D8" i="21"/>
  <c r="R17" i="21"/>
  <c r="R16" i="21"/>
  <c r="Q17" i="21"/>
  <c r="Q16" i="21"/>
  <c r="S15" i="21"/>
  <c r="AB40" i="21" s="1"/>
  <c r="M22" i="21"/>
  <c r="AB36" i="21" s="1"/>
  <c r="G6" i="19"/>
  <c r="N5" i="19" s="1"/>
  <c r="M84" i="18" l="1"/>
  <c r="AE100" i="21"/>
  <c r="I84" i="18"/>
  <c r="AC100" i="21"/>
  <c r="G84" i="18"/>
  <c r="F6" i="19"/>
  <c r="M5" i="19" s="1"/>
  <c r="AA100" i="21" l="1"/>
  <c r="C98" i="1"/>
  <c r="C97" i="1"/>
  <c r="D18" i="24" s="1"/>
  <c r="D19" i="24" l="1"/>
  <c r="D98" i="1"/>
  <c r="V72" i="18"/>
  <c r="N5" i="18"/>
  <c r="L5" i="18"/>
  <c r="J5" i="18"/>
  <c r="H5" i="18"/>
  <c r="C4" i="20" l="1"/>
  <c r="L27" i="5" l="1"/>
  <c r="E6" i="19" l="1"/>
  <c r="L5" i="19" s="1"/>
  <c r="D6" i="19"/>
  <c r="C6" i="19" l="1"/>
  <c r="I3" i="19" s="1"/>
  <c r="K5" i="19"/>
  <c r="B3" i="19" l="1"/>
  <c r="J5" i="19"/>
  <c r="G72" i="18"/>
  <c r="P72" i="18" s="1"/>
  <c r="V84" i="18" l="1"/>
  <c r="T84" i="18"/>
  <c r="R84" i="18"/>
  <c r="M5" i="18"/>
  <c r="M6" i="18" s="1"/>
  <c r="K5" i="18"/>
  <c r="I5" i="18"/>
  <c r="K19" i="18" l="1"/>
  <c r="K35" i="18"/>
  <c r="K51" i="18"/>
  <c r="K8" i="18"/>
  <c r="K9" i="18"/>
  <c r="K42" i="18"/>
  <c r="K43" i="18"/>
  <c r="K60" i="18"/>
  <c r="K29" i="18"/>
  <c r="K14" i="18"/>
  <c r="K17" i="18"/>
  <c r="T17" i="18" s="1"/>
  <c r="K34" i="18"/>
  <c r="K20" i="18"/>
  <c r="K36" i="18"/>
  <c r="K52" i="18"/>
  <c r="K24" i="18"/>
  <c r="K57" i="18"/>
  <c r="K27" i="18"/>
  <c r="K12" i="18"/>
  <c r="K13" i="18"/>
  <c r="K15" i="18"/>
  <c r="K48" i="18"/>
  <c r="K50" i="18"/>
  <c r="T50" i="18" s="1"/>
  <c r="K21" i="18"/>
  <c r="K37" i="18"/>
  <c r="K53" i="18"/>
  <c r="K6" i="18"/>
  <c r="K22" i="18"/>
  <c r="K38" i="18"/>
  <c r="K54" i="18"/>
  <c r="K40" i="18"/>
  <c r="K25" i="18"/>
  <c r="K26" i="18"/>
  <c r="K59" i="18"/>
  <c r="K44" i="18"/>
  <c r="K61" i="18"/>
  <c r="K46" i="18"/>
  <c r="K31" i="18"/>
  <c r="K16" i="18"/>
  <c r="K49" i="18"/>
  <c r="K7" i="18"/>
  <c r="K23" i="18"/>
  <c r="K39" i="18"/>
  <c r="K55" i="18"/>
  <c r="K56" i="18"/>
  <c r="K58" i="18"/>
  <c r="K28" i="18"/>
  <c r="K30" i="18"/>
  <c r="K47" i="18"/>
  <c r="K32" i="18"/>
  <c r="K18" i="18"/>
  <c r="K41" i="18"/>
  <c r="K10" i="18"/>
  <c r="K11" i="18"/>
  <c r="K45" i="18"/>
  <c r="K62" i="18"/>
  <c r="K33" i="18"/>
  <c r="I14" i="18"/>
  <c r="I30" i="18"/>
  <c r="I46" i="18"/>
  <c r="I62" i="18"/>
  <c r="I55" i="18"/>
  <c r="I56" i="18"/>
  <c r="I25" i="18"/>
  <c r="I11" i="18"/>
  <c r="I60" i="18"/>
  <c r="I13" i="18"/>
  <c r="I15" i="18"/>
  <c r="I31" i="18"/>
  <c r="I47" i="18"/>
  <c r="I6" i="18"/>
  <c r="I53" i="18"/>
  <c r="I39" i="18"/>
  <c r="I24" i="18"/>
  <c r="I16" i="18"/>
  <c r="I32" i="18"/>
  <c r="I48" i="18"/>
  <c r="I37" i="18"/>
  <c r="I7" i="18"/>
  <c r="I10" i="18"/>
  <c r="I27" i="18"/>
  <c r="I12" i="18"/>
  <c r="I29" i="18"/>
  <c r="I17" i="18"/>
  <c r="I33" i="18"/>
  <c r="I49" i="18"/>
  <c r="I52" i="18"/>
  <c r="I21" i="18"/>
  <c r="I38" i="18"/>
  <c r="I41" i="18"/>
  <c r="I43" i="18"/>
  <c r="I18" i="18"/>
  <c r="I34" i="18"/>
  <c r="I50" i="18"/>
  <c r="I23" i="18"/>
  <c r="I9" i="18"/>
  <c r="I42" i="18"/>
  <c r="I59" i="18"/>
  <c r="I61" i="18"/>
  <c r="I19" i="18"/>
  <c r="I35" i="18"/>
  <c r="I51" i="18"/>
  <c r="I36" i="18"/>
  <c r="I54" i="18"/>
  <c r="I40" i="18"/>
  <c r="I26" i="18"/>
  <c r="I44" i="18"/>
  <c r="I20" i="18"/>
  <c r="I22" i="18"/>
  <c r="I8" i="18"/>
  <c r="I57" i="18"/>
  <c r="I58" i="18"/>
  <c r="I28" i="18"/>
  <c r="I45" i="18"/>
  <c r="M41" i="18"/>
  <c r="M59" i="18"/>
  <c r="M58" i="18"/>
  <c r="T59" i="18"/>
  <c r="M7" i="18"/>
  <c r="M23" i="18"/>
  <c r="M39" i="18"/>
  <c r="M56" i="18"/>
  <c r="M42" i="18"/>
  <c r="M20" i="18"/>
  <c r="M38" i="18"/>
  <c r="M8" i="18"/>
  <c r="M24" i="18"/>
  <c r="M40" i="18"/>
  <c r="M57" i="18"/>
  <c r="M43" i="18"/>
  <c r="M21" i="18"/>
  <c r="M9" i="18"/>
  <c r="M25" i="18"/>
  <c r="M60" i="18"/>
  <c r="M37" i="18"/>
  <c r="M10" i="18"/>
  <c r="M26" i="18"/>
  <c r="M61" i="18"/>
  <c r="M11" i="18"/>
  <c r="M27" i="18"/>
  <c r="M44" i="18"/>
  <c r="M62" i="18"/>
  <c r="M12" i="18"/>
  <c r="M28" i="18"/>
  <c r="M45" i="18"/>
  <c r="M50" i="18"/>
  <c r="M36" i="18"/>
  <c r="M13" i="18"/>
  <c r="M29" i="18"/>
  <c r="M46" i="18"/>
  <c r="M34" i="18"/>
  <c r="M54" i="18"/>
  <c r="M14" i="18"/>
  <c r="M30" i="18"/>
  <c r="M47" i="18"/>
  <c r="M51" i="18"/>
  <c r="M22" i="18"/>
  <c r="M15" i="18"/>
  <c r="M31" i="18"/>
  <c r="M48" i="18"/>
  <c r="M33" i="18"/>
  <c r="M52" i="18"/>
  <c r="M16" i="18"/>
  <c r="M32" i="18"/>
  <c r="M49" i="18"/>
  <c r="M35" i="18"/>
  <c r="M55" i="18"/>
  <c r="M17" i="18"/>
  <c r="M53" i="18"/>
  <c r="M18" i="18"/>
  <c r="M19" i="18"/>
  <c r="Z6" i="18"/>
  <c r="AA6" i="18" s="1"/>
  <c r="Z4" i="18"/>
  <c r="AA4" i="18" s="1"/>
  <c r="Z5" i="18"/>
  <c r="AA5" i="18" s="1"/>
  <c r="F5" i="19"/>
  <c r="F7" i="19" s="1"/>
  <c r="E5" i="19"/>
  <c r="E7" i="19" s="1"/>
  <c r="G5" i="19"/>
  <c r="V5" i="18"/>
  <c r="T5" i="18"/>
  <c r="R5" i="18"/>
  <c r="T34" i="18" l="1"/>
  <c r="T18" i="18"/>
  <c r="R59" i="18"/>
  <c r="R16" i="18"/>
  <c r="V16" i="18"/>
  <c r="V59" i="18"/>
  <c r="V17" i="18"/>
  <c r="T16" i="18"/>
  <c r="T54" i="18"/>
  <c r="R17" i="18"/>
  <c r="N4" i="19"/>
  <c r="G7" i="19"/>
  <c r="H5" i="20"/>
  <c r="M4" i="19"/>
  <c r="G5" i="20"/>
  <c r="F5" i="20"/>
  <c r="L4" i="19"/>
  <c r="M63" i="18"/>
  <c r="I63" i="18"/>
  <c r="G5" i="18"/>
  <c r="L23" i="1"/>
  <c r="D28" i="9"/>
  <c r="D27" i="9"/>
  <c r="D26" i="9"/>
  <c r="G62" i="18" l="1"/>
  <c r="G27" i="18"/>
  <c r="G29" i="18"/>
  <c r="G6" i="18"/>
  <c r="G28" i="18"/>
  <c r="G30" i="18"/>
  <c r="G31" i="18"/>
  <c r="G32" i="18"/>
  <c r="G14" i="18"/>
  <c r="G46" i="18"/>
  <c r="G15" i="18"/>
  <c r="G47" i="18"/>
  <c r="G16" i="18"/>
  <c r="G48" i="18"/>
  <c r="G35" i="18"/>
  <c r="G40" i="18"/>
  <c r="G10" i="18"/>
  <c r="G17" i="18"/>
  <c r="G33" i="18"/>
  <c r="G49" i="18"/>
  <c r="G19" i="18"/>
  <c r="G25" i="18"/>
  <c r="G61" i="18"/>
  <c r="G18" i="18"/>
  <c r="G34" i="18"/>
  <c r="G50" i="18"/>
  <c r="G51" i="18"/>
  <c r="G41" i="18"/>
  <c r="G9" i="18"/>
  <c r="G59" i="18"/>
  <c r="G20" i="18"/>
  <c r="G36" i="18"/>
  <c r="G52" i="18"/>
  <c r="G37" i="18"/>
  <c r="G24" i="18"/>
  <c r="G57" i="18"/>
  <c r="G43" i="18"/>
  <c r="G21" i="18"/>
  <c r="G53" i="18"/>
  <c r="G56" i="18"/>
  <c r="G42" i="18"/>
  <c r="G22" i="18"/>
  <c r="G38" i="18"/>
  <c r="G54" i="18"/>
  <c r="G8" i="18"/>
  <c r="G26" i="18"/>
  <c r="G7" i="18"/>
  <c r="G23" i="18"/>
  <c r="G39" i="18"/>
  <c r="G55" i="18"/>
  <c r="G58" i="18"/>
  <c r="G11" i="18"/>
  <c r="G12" i="18"/>
  <c r="G44" i="18"/>
  <c r="G60" i="18"/>
  <c r="G13" i="18"/>
  <c r="G45" i="18"/>
  <c r="Z3" i="18"/>
  <c r="AA3" i="18" s="1"/>
  <c r="D5" i="19"/>
  <c r="D105" i="1"/>
  <c r="D25" i="24" s="1"/>
  <c r="D104" i="1"/>
  <c r="C27" i="24" s="1"/>
  <c r="E5" i="20" l="1"/>
  <c r="D7" i="19"/>
  <c r="C7" i="19" s="1"/>
  <c r="K4" i="19"/>
  <c r="I85" i="18"/>
  <c r="R85" i="18" s="1"/>
  <c r="K85" i="18"/>
  <c r="T85" i="18" s="1"/>
  <c r="M85" i="18"/>
  <c r="G85" i="18"/>
  <c r="P85" i="18" s="1"/>
  <c r="I80" i="1"/>
  <c r="AC102" i="21" s="1"/>
  <c r="AC103" i="21" s="1"/>
  <c r="I81" i="1"/>
  <c r="I82" i="1"/>
  <c r="AE102" i="21" s="1"/>
  <c r="I79" i="1"/>
  <c r="D6" i="25"/>
  <c r="L5" i="5"/>
  <c r="K86" i="18" l="1"/>
  <c r="T86" i="18" s="1"/>
  <c r="AD102" i="21"/>
  <c r="AD103" i="21" s="1"/>
  <c r="G86" i="18"/>
  <c r="P86" i="18" s="1"/>
  <c r="AB103" i="21"/>
  <c r="E46" i="25"/>
  <c r="E47" i="25"/>
  <c r="O15" i="1"/>
  <c r="R15" i="1" s="1"/>
  <c r="N22" i="21"/>
  <c r="T15" i="21"/>
  <c r="AD40" i="21" s="1"/>
  <c r="AA40" i="21" s="1"/>
  <c r="M86" i="18"/>
  <c r="V86" i="18" s="1"/>
  <c r="J82" i="1"/>
  <c r="E75" i="1" s="1"/>
  <c r="I86" i="18"/>
  <c r="R86" i="18" s="1"/>
  <c r="J80" i="1"/>
  <c r="E73" i="1" s="1"/>
  <c r="F9" i="20"/>
  <c r="H9" i="20"/>
  <c r="E9" i="20"/>
  <c r="V85" i="18"/>
  <c r="D76" i="1"/>
  <c r="D88" i="1"/>
  <c r="K87" i="18" l="1"/>
  <c r="T87" i="18" s="1"/>
  <c r="S19" i="1"/>
  <c r="J19" i="16"/>
  <c r="AA102" i="21"/>
  <c r="AA36" i="21"/>
  <c r="AA24" i="21"/>
  <c r="AA19" i="21"/>
  <c r="AA10" i="21"/>
  <c r="AA21" i="21"/>
  <c r="AA12" i="21"/>
  <c r="AA11" i="21"/>
  <c r="AA20" i="21"/>
  <c r="AA15" i="21"/>
  <c r="AA22" i="21"/>
  <c r="AA18" i="21"/>
  <c r="AA17" i="21"/>
  <c r="AA8" i="21"/>
  <c r="AA23" i="21"/>
  <c r="AA16" i="21"/>
  <c r="AA13" i="21"/>
  <c r="AA25" i="21"/>
  <c r="AA14" i="21"/>
  <c r="AA9" i="21"/>
  <c r="AA26" i="21"/>
  <c r="AA71" i="21"/>
  <c r="AA84" i="21"/>
  <c r="AA73" i="21"/>
  <c r="AA51" i="21"/>
  <c r="AA57" i="21"/>
  <c r="AA74" i="21"/>
  <c r="AA50" i="21"/>
  <c r="AA81" i="21"/>
  <c r="AA54" i="21"/>
  <c r="AA78" i="21"/>
  <c r="AA72" i="21"/>
  <c r="AA55" i="21"/>
  <c r="AA93" i="21"/>
  <c r="AA75" i="21"/>
  <c r="AA52" i="21"/>
  <c r="AA64" i="21"/>
  <c r="AA85" i="21"/>
  <c r="AA53" i="21"/>
  <c r="AA46" i="21"/>
  <c r="AA61" i="21"/>
  <c r="AA91" i="21"/>
  <c r="AA76" i="21"/>
  <c r="AA70" i="21"/>
  <c r="AA88" i="21"/>
  <c r="AA80" i="21"/>
  <c r="AA94" i="21"/>
  <c r="AA69" i="21"/>
  <c r="AA83" i="21"/>
  <c r="AA96" i="21"/>
  <c r="AA77" i="21"/>
  <c r="AA87" i="21"/>
  <c r="AA79" i="21"/>
  <c r="AA63" i="21"/>
  <c r="AA68" i="21"/>
  <c r="AA59" i="21"/>
  <c r="AA82" i="21"/>
  <c r="AA92" i="21"/>
  <c r="AA95" i="21"/>
  <c r="AA90" i="21"/>
  <c r="AA65" i="21"/>
  <c r="AA60" i="21"/>
  <c r="AA86" i="21"/>
  <c r="AA47" i="21"/>
  <c r="AA67" i="21"/>
  <c r="AA58" i="21"/>
  <c r="AA49" i="21"/>
  <c r="AA62" i="21"/>
  <c r="AA66" i="21"/>
  <c r="AA56" i="21"/>
  <c r="S15" i="1"/>
  <c r="E48" i="25"/>
  <c r="P15" i="1"/>
  <c r="Q15" i="1" s="1"/>
  <c r="K17" i="13"/>
  <c r="D18" i="1"/>
  <c r="O16" i="1" s="1"/>
  <c r="G9" i="20"/>
  <c r="M87" i="18"/>
  <c r="V87" i="18" s="1"/>
  <c r="I87" i="18"/>
  <c r="R87" i="18" s="1"/>
  <c r="D9" i="20"/>
  <c r="J16" i="16"/>
  <c r="J17" i="16"/>
  <c r="P5" i="18"/>
  <c r="S16" i="1" l="1"/>
  <c r="D17" i="25"/>
  <c r="L17" i="13"/>
  <c r="D12" i="25"/>
  <c r="E12" i="25" s="1"/>
  <c r="S13" i="1"/>
  <c r="AA5" i="1"/>
  <c r="E20" i="16"/>
  <c r="O14" i="1"/>
  <c r="AC8" i="1"/>
  <c r="G63" i="18"/>
  <c r="D7" i="9" l="1"/>
  <c r="D66" i="9" s="1"/>
  <c r="AA7" i="1"/>
  <c r="AA6" i="1"/>
  <c r="S14" i="1"/>
  <c r="G87" i="18"/>
  <c r="P87" i="18" s="1"/>
  <c r="L12" i="5"/>
  <c r="L35" i="5"/>
  <c r="F25" i="17"/>
  <c r="B25" i="17"/>
  <c r="F24" i="17"/>
  <c r="F23" i="17"/>
  <c r="B23" i="17"/>
  <c r="E22" i="17"/>
  <c r="E17" i="17"/>
  <c r="E16" i="17"/>
  <c r="H9" i="17"/>
  <c r="D9" i="17"/>
  <c r="H8" i="17"/>
  <c r="D8" i="17"/>
  <c r="J7" i="17"/>
  <c r="H7" i="17"/>
  <c r="D7" i="17"/>
  <c r="H6" i="17"/>
  <c r="D6" i="17"/>
  <c r="B1" i="17" s="1"/>
  <c r="AA8" i="1" l="1"/>
  <c r="AC6" i="1" s="1"/>
  <c r="M67" i="18"/>
  <c r="V67" i="18" s="1"/>
  <c r="I67" i="18"/>
  <c r="R67" i="18" s="1"/>
  <c r="K67" i="18"/>
  <c r="T67" i="18" s="1"/>
  <c r="M77" i="18"/>
  <c r="V77" i="18" s="1"/>
  <c r="K77" i="18"/>
  <c r="T77" i="18" s="1"/>
  <c r="I77" i="18"/>
  <c r="R77" i="18" s="1"/>
  <c r="M13" i="21"/>
  <c r="K81" i="18"/>
  <c r="T81" i="18" s="1"/>
  <c r="M81" i="18"/>
  <c r="V81" i="18" s="1"/>
  <c r="I81" i="18"/>
  <c r="S14" i="21"/>
  <c r="M17" i="21"/>
  <c r="M14" i="21"/>
  <c r="J79" i="1"/>
  <c r="E72" i="1" s="1"/>
  <c r="P84" i="18"/>
  <c r="G67" i="18"/>
  <c r="P67" i="18" s="1"/>
  <c r="G77" i="18"/>
  <c r="P77" i="18" s="1"/>
  <c r="G81" i="18"/>
  <c r="P81" i="18" s="1"/>
  <c r="S17" i="5"/>
  <c r="J8" i="17"/>
  <c r="J9" i="17" s="1"/>
  <c r="F26" i="17"/>
  <c r="L13" i="5"/>
  <c r="L14" i="5"/>
  <c r="L18" i="5"/>
  <c r="L19" i="5"/>
  <c r="L28" i="5"/>
  <c r="L6" i="5"/>
  <c r="L8" i="5"/>
  <c r="L15" i="5"/>
  <c r="L20" i="5"/>
  <c r="L9" i="5"/>
  <c r="L16" i="5"/>
  <c r="L21" i="5"/>
  <c r="L31" i="5"/>
  <c r="L10" i="5"/>
  <c r="L17" i="5"/>
  <c r="L22" i="5"/>
  <c r="L11" i="5"/>
  <c r="L23" i="5"/>
  <c r="T14" i="21" l="1"/>
  <c r="AD39" i="21" s="1"/>
  <c r="AB39" i="21"/>
  <c r="AD28" i="21"/>
  <c r="AC28" i="21"/>
  <c r="AE28" i="21"/>
  <c r="N14" i="21"/>
  <c r="AB28" i="21"/>
  <c r="N17" i="21"/>
  <c r="AB31" i="21"/>
  <c r="AA31" i="21" s="1"/>
  <c r="N13" i="21"/>
  <c r="AB27" i="21"/>
  <c r="AA27" i="21" s="1"/>
  <c r="G64" i="18"/>
  <c r="K64" i="18"/>
  <c r="T64" i="18" s="1"/>
  <c r="I64" i="18"/>
  <c r="M64" i="18"/>
  <c r="J81" i="1"/>
  <c r="M21" i="21"/>
  <c r="L7" i="5"/>
  <c r="Q3" i="17"/>
  <c r="S3" i="17"/>
  <c r="T3" i="17"/>
  <c r="U3" i="17"/>
  <c r="AA39" i="21" l="1"/>
  <c r="AE37" i="21"/>
  <c r="AE103" i="21" s="1"/>
  <c r="AA103" i="21" s="1"/>
  <c r="AC37" i="21"/>
  <c r="AD37" i="21"/>
  <c r="AA28" i="21"/>
  <c r="N21" i="21"/>
  <c r="AB35" i="21"/>
  <c r="AA35" i="21" s="1"/>
  <c r="V64" i="18"/>
  <c r="R64" i="18"/>
  <c r="P64" i="18"/>
  <c r="E74" i="1"/>
  <c r="AE104" i="21" l="1"/>
  <c r="AE7" i="21" s="1"/>
  <c r="AC104" i="21"/>
  <c r="AC7" i="21" s="1"/>
  <c r="K65" i="18"/>
  <c r="T65" i="18" s="1"/>
  <c r="M65" i="18"/>
  <c r="V65" i="18" s="1"/>
  <c r="I65" i="18"/>
  <c r="K66" i="18"/>
  <c r="T66" i="18" s="1"/>
  <c r="I66" i="18"/>
  <c r="R66" i="18" s="1"/>
  <c r="M66" i="18"/>
  <c r="V66" i="18" s="1"/>
  <c r="I68" i="18"/>
  <c r="R68" i="18" s="1"/>
  <c r="K68" i="18"/>
  <c r="T68" i="18" s="1"/>
  <c r="M68" i="18"/>
  <c r="V68" i="18" s="1"/>
  <c r="M69" i="18"/>
  <c r="V69" i="18" s="1"/>
  <c r="I69" i="18"/>
  <c r="R69" i="18" s="1"/>
  <c r="K69" i="18"/>
  <c r="T69" i="18" s="1"/>
  <c r="E76" i="1"/>
  <c r="O22" i="1" s="1"/>
  <c r="M16" i="21"/>
  <c r="M15" i="21"/>
  <c r="M19" i="21"/>
  <c r="M18" i="21"/>
  <c r="G66" i="18"/>
  <c r="P66" i="18" s="1"/>
  <c r="G69" i="18"/>
  <c r="P69" i="18" s="1"/>
  <c r="G65" i="18"/>
  <c r="G68" i="18"/>
  <c r="P68" i="18" s="1"/>
  <c r="N15" i="21" l="1"/>
  <c r="AB29" i="21"/>
  <c r="N19" i="21"/>
  <c r="AB33" i="21"/>
  <c r="AA33" i="21" s="1"/>
  <c r="N16" i="21"/>
  <c r="AB30" i="21"/>
  <c r="AA30" i="21" s="1"/>
  <c r="N18" i="21"/>
  <c r="AB32" i="21"/>
  <c r="AA32" i="21" s="1"/>
  <c r="P65" i="18"/>
  <c r="R65" i="18"/>
  <c r="S22" i="1"/>
  <c r="R22" i="1"/>
  <c r="B1" i="16"/>
  <c r="G22" i="16"/>
  <c r="G20" i="16"/>
  <c r="G13" i="16"/>
  <c r="G9" i="16"/>
  <c r="G8" i="16"/>
  <c r="I7" i="16"/>
  <c r="G7" i="16"/>
  <c r="G6" i="16"/>
  <c r="AA29" i="21" l="1"/>
  <c r="M74" i="18" l="1"/>
  <c r="V74" i="18" s="1"/>
  <c r="I74" i="18"/>
  <c r="R74" i="18" s="1"/>
  <c r="K74" i="18"/>
  <c r="T74" i="18" s="1"/>
  <c r="S13" i="21"/>
  <c r="G74" i="18"/>
  <c r="P74" i="18" s="1"/>
  <c r="E39" i="13"/>
  <c r="B1" i="13"/>
  <c r="F29" i="13"/>
  <c r="F27" i="13"/>
  <c r="F26" i="13"/>
  <c r="F25" i="13"/>
  <c r="F28" i="13" l="1"/>
  <c r="F30" i="13" s="1"/>
  <c r="T13" i="21"/>
  <c r="AD38" i="21" s="1"/>
  <c r="AB38" i="21"/>
  <c r="D2" i="9"/>
  <c r="E2" i="9" s="1"/>
  <c r="AA38" i="21" l="1"/>
  <c r="M70" i="18"/>
  <c r="M73" i="18" s="1"/>
  <c r="I70" i="18"/>
  <c r="I73" i="18" s="1"/>
  <c r="K70" i="18"/>
  <c r="K73" i="18" s="1"/>
  <c r="M20" i="21"/>
  <c r="G70" i="18"/>
  <c r="G73" i="18" s="1"/>
  <c r="D58" i="1"/>
  <c r="R14" i="1"/>
  <c r="R13" i="1"/>
  <c r="R16" i="1"/>
  <c r="N20" i="21" l="1"/>
  <c r="N23" i="21" s="1"/>
  <c r="AB34" i="21"/>
  <c r="R70" i="18"/>
  <c r="V70" i="18"/>
  <c r="T70" i="18"/>
  <c r="O20" i="1"/>
  <c r="D15" i="25" s="1"/>
  <c r="M23" i="21"/>
  <c r="R73" i="18"/>
  <c r="Y73" i="18" s="1"/>
  <c r="V73" i="18"/>
  <c r="T73" i="18"/>
  <c r="P70" i="18"/>
  <c r="B27" i="13"/>
  <c r="D95" i="1"/>
  <c r="D16" i="24" s="1"/>
  <c r="AA34" i="21" l="1"/>
  <c r="AB37" i="21"/>
  <c r="S20" i="1"/>
  <c r="H20" i="16"/>
  <c r="I20" i="16" s="1"/>
  <c r="J20" i="16" s="1"/>
  <c r="Q20" i="1"/>
  <c r="D23" i="17"/>
  <c r="E23" i="17" s="1"/>
  <c r="R20" i="1"/>
  <c r="X73" i="18"/>
  <c r="P73" i="18"/>
  <c r="D20" i="17"/>
  <c r="E20" i="17" s="1"/>
  <c r="B4" i="15"/>
  <c r="H32" i="13"/>
  <c r="N16" i="1"/>
  <c r="AA37" i="21" l="1"/>
  <c r="D18" i="17"/>
  <c r="K52" i="13"/>
  <c r="H59" i="13"/>
  <c r="C100" i="1"/>
  <c r="D100" i="1" s="1"/>
  <c r="AD14" i="14"/>
  <c r="AE14" i="14"/>
  <c r="AF14" i="14"/>
  <c r="AG14" i="14"/>
  <c r="AH14" i="14"/>
  <c r="AI14" i="14"/>
  <c r="AJ14" i="14"/>
  <c r="AK14" i="14"/>
  <c r="AL14" i="14"/>
  <c r="AM14" i="14"/>
  <c r="AN14" i="14"/>
  <c r="AO14" i="14"/>
  <c r="AP14" i="14"/>
  <c r="AQ14" i="14"/>
  <c r="AR14" i="14"/>
  <c r="AS14" i="14"/>
  <c r="AT14" i="14"/>
  <c r="AU14" i="14"/>
  <c r="AV14" i="14"/>
  <c r="AW14" i="14"/>
  <c r="AX14" i="14"/>
  <c r="AY14" i="14"/>
  <c r="E18" i="17" l="1"/>
  <c r="D19" i="17"/>
  <c r="P12" i="1"/>
  <c r="Q12" i="1" s="1"/>
  <c r="B108" i="1"/>
  <c r="K63" i="18" s="1"/>
  <c r="P16" i="1"/>
  <c r="F20" i="13" l="1"/>
  <c r="F20" i="17"/>
  <c r="E19" i="17"/>
  <c r="D23" i="9"/>
  <c r="K23" i="9" s="1"/>
  <c r="C23" i="9" s="1"/>
  <c r="E66" i="9"/>
  <c r="F66" i="9"/>
  <c r="G66" i="9"/>
  <c r="H66" i="9"/>
  <c r="I66" i="9"/>
  <c r="J66" i="9"/>
  <c r="K66" i="9"/>
  <c r="L66" i="9"/>
  <c r="M66" i="9"/>
  <c r="N66" i="9"/>
  <c r="O66" i="9"/>
  <c r="P66" i="9"/>
  <c r="Q66" i="9"/>
  <c r="R66" i="9"/>
  <c r="S66" i="9"/>
  <c r="T66" i="9"/>
  <c r="U66" i="9"/>
  <c r="V66" i="9"/>
  <c r="W66" i="9"/>
  <c r="X66" i="9"/>
  <c r="Y66" i="9"/>
  <c r="Z66" i="9"/>
  <c r="AA66" i="9"/>
  <c r="AB66" i="9"/>
  <c r="D62" i="9"/>
  <c r="D61" i="9"/>
  <c r="P36" i="1"/>
  <c r="L14" i="1"/>
  <c r="E1" i="9"/>
  <c r="K7" i="13"/>
  <c r="P37" i="1" l="1"/>
  <c r="L7" i="13" s="1"/>
  <c r="K6" i="17"/>
  <c r="P1" i="17" s="1"/>
  <c r="J6" i="16"/>
  <c r="D63" i="9"/>
  <c r="F1" i="9"/>
  <c r="J59" i="13"/>
  <c r="J61" i="13" s="1"/>
  <c r="L55" i="13"/>
  <c r="A7" i="14"/>
  <c r="J10" i="14"/>
  <c r="K10" i="14"/>
  <c r="L10" i="14"/>
  <c r="M10" i="14"/>
  <c r="N10" i="14"/>
  <c r="O10" i="14"/>
  <c r="J9" i="14"/>
  <c r="K9" i="14"/>
  <c r="L9" i="14"/>
  <c r="M9" i="14"/>
  <c r="N9" i="14"/>
  <c r="O9" i="14"/>
  <c r="AD15" i="14"/>
  <c r="AD20" i="14" s="1"/>
  <c r="AE15" i="14"/>
  <c r="AE21" i="14" s="1"/>
  <c r="AF15" i="14"/>
  <c r="AF21" i="14" s="1"/>
  <c r="AG15" i="14"/>
  <c r="AG21" i="14" s="1"/>
  <c r="AH15" i="14"/>
  <c r="AH21" i="14" s="1"/>
  <c r="AI15" i="14"/>
  <c r="AI20" i="14" s="1"/>
  <c r="AJ15" i="14"/>
  <c r="AJ20" i="14" s="1"/>
  <c r="AK15" i="14"/>
  <c r="AK41" i="14" s="1"/>
  <c r="AL15" i="14"/>
  <c r="AL41" i="14" s="1"/>
  <c r="AM15" i="14"/>
  <c r="AM21" i="14" s="1"/>
  <c r="AN15" i="14"/>
  <c r="AN20" i="14" s="1"/>
  <c r="AO15" i="14"/>
  <c r="AO21" i="14" s="1"/>
  <c r="AP15" i="14"/>
  <c r="AP41" i="14" s="1"/>
  <c r="AQ15" i="14"/>
  <c r="AQ21" i="14" s="1"/>
  <c r="AR15" i="14"/>
  <c r="AR20" i="14" s="1"/>
  <c r="AS15" i="14"/>
  <c r="AS21" i="14" s="1"/>
  <c r="AT15" i="14"/>
  <c r="AT20" i="14" s="1"/>
  <c r="AU15" i="14"/>
  <c r="AU20" i="14" s="1"/>
  <c r="AV15" i="14"/>
  <c r="AV41" i="14" s="1"/>
  <c r="AW15" i="14"/>
  <c r="AW41" i="14" s="1"/>
  <c r="AX15" i="14"/>
  <c r="AX41" i="14" s="1"/>
  <c r="AY15" i="14"/>
  <c r="AY21" i="14" s="1"/>
  <c r="AZ15" i="14"/>
  <c r="AZ21" i="14" s="1"/>
  <c r="BD45" i="14"/>
  <c r="BD29" i="14"/>
  <c r="BD37" i="14" s="1"/>
  <c r="BD33" i="14"/>
  <c r="BD25" i="14"/>
  <c r="BD32" i="14" s="1"/>
  <c r="BD14" i="14"/>
  <c r="E14" i="14"/>
  <c r="D36" i="9"/>
  <c r="D56" i="9" s="1"/>
  <c r="L29" i="1"/>
  <c r="B13" i="13"/>
  <c r="L6" i="1" s="1"/>
  <c r="H9" i="13"/>
  <c r="I8" i="16"/>
  <c r="I9" i="16" s="1"/>
  <c r="L6" i="13"/>
  <c r="H8" i="13"/>
  <c r="H7" i="13"/>
  <c r="H6" i="13"/>
  <c r="L56" i="13"/>
  <c r="L53" i="13"/>
  <c r="H35" i="13"/>
  <c r="D94" i="1"/>
  <c r="D17" i="24" s="1"/>
  <c r="N29" i="1"/>
  <c r="D106" i="1"/>
  <c r="D26" i="24" s="1"/>
  <c r="B29" i="13"/>
  <c r="B20" i="9"/>
  <c r="B32" i="9"/>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A9" i="11"/>
  <c r="A8"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I7" i="11"/>
  <c r="AJ7" i="11"/>
  <c r="AK7" i="11"/>
  <c r="AL7" i="11"/>
  <c r="L28" i="1"/>
  <c r="N14" i="1"/>
  <c r="E166" i="5"/>
  <c r="E165" i="5"/>
  <c r="E164" i="5"/>
  <c r="E163" i="5"/>
  <c r="E162" i="5"/>
  <c r="E161" i="5"/>
  <c r="E160" i="5"/>
  <c r="E159" i="5"/>
  <c r="E158" i="5"/>
  <c r="E157" i="5"/>
  <c r="E156" i="5"/>
  <c r="E155" i="5"/>
  <c r="E154" i="5"/>
  <c r="E153" i="5"/>
  <c r="E152" i="5"/>
  <c r="E151" i="5"/>
  <c r="E150" i="5"/>
  <c r="E149" i="5"/>
  <c r="E148" i="5"/>
  <c r="E147" i="5"/>
  <c r="E146" i="5"/>
  <c r="E145" i="5"/>
  <c r="E144" i="5"/>
  <c r="F136" i="5"/>
  <c r="F135" i="5"/>
  <c r="F134" i="5"/>
  <c r="F133" i="5"/>
  <c r="F132" i="5"/>
  <c r="F131" i="5"/>
  <c r="F130" i="5"/>
  <c r="F129" i="5"/>
  <c r="F128" i="5"/>
  <c r="F127" i="5"/>
  <c r="F126" i="5"/>
  <c r="F125" i="5"/>
  <c r="F124" i="5"/>
  <c r="F123" i="5"/>
  <c r="F122" i="5"/>
  <c r="F121" i="5"/>
  <c r="F120" i="5"/>
  <c r="F119" i="5"/>
  <c r="F118" i="5"/>
  <c r="F117" i="5"/>
  <c r="F116" i="5"/>
  <c r="F115" i="5"/>
  <c r="F114" i="5"/>
  <c r="P38" i="1" l="1"/>
  <c r="P39" i="1" s="1"/>
  <c r="C21" i="24" s="1"/>
  <c r="C28" i="24" s="1"/>
  <c r="B15" i="9"/>
  <c r="B33" i="13"/>
  <c r="K76" i="18"/>
  <c r="M76" i="18"/>
  <c r="I76" i="18"/>
  <c r="R76" i="18" s="1"/>
  <c r="M75" i="18"/>
  <c r="I75" i="18"/>
  <c r="R75" i="18" s="1"/>
  <c r="K75" i="18"/>
  <c r="E3" i="9" a="1"/>
  <c r="E3" i="9" s="1"/>
  <c r="J7" i="16"/>
  <c r="K7" i="17"/>
  <c r="Q1" i="17" s="1"/>
  <c r="R1" i="17" s="1"/>
  <c r="S1" i="17" s="1"/>
  <c r="T1" i="17" s="1"/>
  <c r="U1" i="17" s="1"/>
  <c r="V1" i="17" s="1"/>
  <c r="W1" i="17" s="1"/>
  <c r="X1" i="17" s="1"/>
  <c r="Y1" i="17" s="1"/>
  <c r="Z1" i="17" s="1"/>
  <c r="AA1" i="17" s="1"/>
  <c r="S16" i="21"/>
  <c r="S17" i="21"/>
  <c r="K8" i="13"/>
  <c r="K9" i="13" s="1"/>
  <c r="K54" i="13"/>
  <c r="J53" i="13"/>
  <c r="D8" i="9"/>
  <c r="C8" i="9" s="1"/>
  <c r="Q16" i="1"/>
  <c r="D18" i="13"/>
  <c r="E18" i="13" s="1"/>
  <c r="D6" i="9"/>
  <c r="C6" i="9" s="1"/>
  <c r="P13" i="1"/>
  <c r="D25" i="13"/>
  <c r="E14" i="16" s="1"/>
  <c r="P14" i="1"/>
  <c r="F14" i="14"/>
  <c r="G1" i="9"/>
  <c r="AY20" i="14"/>
  <c r="AY24" i="14" s="1"/>
  <c r="AY30" i="14" s="1"/>
  <c r="AT21" i="14"/>
  <c r="AT29" i="14" s="1"/>
  <c r="AT39" i="14" s="1"/>
  <c r="AL21" i="14"/>
  <c r="AH20" i="14"/>
  <c r="AH29" i="14" s="1"/>
  <c r="AH39" i="14" s="1"/>
  <c r="AU41" i="14"/>
  <c r="AW21" i="14"/>
  <c r="AK20" i="14"/>
  <c r="AT41" i="14"/>
  <c r="AW20" i="14"/>
  <c r="AJ21" i="14"/>
  <c r="AJ24" i="14" s="1"/>
  <c r="AJ30" i="14" s="1"/>
  <c r="AJ41" i="14"/>
  <c r="AV21" i="14"/>
  <c r="AI41" i="14"/>
  <c r="AV20" i="14"/>
  <c r="AI21" i="14"/>
  <c r="AI29" i="14" s="1"/>
  <c r="AI39" i="14" s="1"/>
  <c r="AH41" i="14"/>
  <c r="AU21" i="14"/>
  <c r="AU29" i="14" s="1"/>
  <c r="AU39" i="14" s="1"/>
  <c r="AM20" i="14"/>
  <c r="AM29" i="14" s="1"/>
  <c r="AM39" i="14" s="1"/>
  <c r="AX21" i="14"/>
  <c r="AL20" i="14"/>
  <c r="AX20" i="14"/>
  <c r="AK21" i="14"/>
  <c r="AR41" i="14"/>
  <c r="AF41" i="14"/>
  <c r="AQ20" i="14"/>
  <c r="AQ29" i="14" s="1"/>
  <c r="AQ39" i="14" s="1"/>
  <c r="AE20" i="14"/>
  <c r="AE24" i="14" s="1"/>
  <c r="AE30" i="14" s="1"/>
  <c r="AQ41" i="14"/>
  <c r="AE41" i="14"/>
  <c r="AP21" i="14"/>
  <c r="AD21" i="14"/>
  <c r="AD29" i="14" s="1"/>
  <c r="AD39" i="14" s="1"/>
  <c r="AG20" i="14"/>
  <c r="AG24" i="14" s="1"/>
  <c r="AG30" i="14" s="1"/>
  <c r="AR21" i="14"/>
  <c r="AR29" i="14" s="1"/>
  <c r="AR39" i="14" s="1"/>
  <c r="AF20" i="14"/>
  <c r="AF29" i="14" s="1"/>
  <c r="AF39" i="14" s="1"/>
  <c r="AD41" i="14"/>
  <c r="AP20" i="14"/>
  <c r="AS20" i="14"/>
  <c r="AS29" i="14" s="1"/>
  <c r="AS39" i="14" s="1"/>
  <c r="AO41" i="14"/>
  <c r="AZ20" i="14"/>
  <c r="AZ24" i="14" s="1"/>
  <c r="AZ30" i="14" s="1"/>
  <c r="AO20" i="14"/>
  <c r="AO29" i="14" s="1"/>
  <c r="AO39" i="14" s="1"/>
  <c r="AY41" i="14"/>
  <c r="AM41" i="14"/>
  <c r="AN21" i="14"/>
  <c r="AN29" i="14" s="1"/>
  <c r="AN39" i="14" s="1"/>
  <c r="AG41" i="14"/>
  <c r="AZ41" i="14"/>
  <c r="AN41" i="14"/>
  <c r="AS41" i="14"/>
  <c r="O17" i="1"/>
  <c r="N28" i="1"/>
  <c r="B19" i="9"/>
  <c r="D19" i="13"/>
  <c r="E19" i="13" s="1"/>
  <c r="B32" i="13"/>
  <c r="D20" i="13"/>
  <c r="E20" i="13" s="1"/>
  <c r="M11" i="14"/>
  <c r="J11" i="14"/>
  <c r="N11" i="14"/>
  <c r="K11" i="14"/>
  <c r="D29" i="9"/>
  <c r="L11" i="14"/>
  <c r="O11" i="14"/>
  <c r="T16" i="21" l="1"/>
  <c r="AD41" i="21" s="1"/>
  <c r="AB41" i="21"/>
  <c r="T17" i="21"/>
  <c r="AD42" i="21" s="1"/>
  <c r="AB42" i="21"/>
  <c r="E52" i="9"/>
  <c r="E50" i="9"/>
  <c r="E51" i="9"/>
  <c r="E57" i="9"/>
  <c r="E28" i="9"/>
  <c r="E27" i="9"/>
  <c r="E26" i="9"/>
  <c r="E67" i="1"/>
  <c r="S19" i="21" s="1"/>
  <c r="G75" i="18"/>
  <c r="P75" i="18" s="1"/>
  <c r="T75" i="18"/>
  <c r="V75" i="18"/>
  <c r="G76" i="18"/>
  <c r="P76" i="18" s="1"/>
  <c r="T76" i="18"/>
  <c r="V76" i="18"/>
  <c r="S17" i="1"/>
  <c r="R17" i="1"/>
  <c r="D24" i="17"/>
  <c r="E24" i="17" s="1"/>
  <c r="F19" i="13"/>
  <c r="F19" i="17"/>
  <c r="D21" i="17"/>
  <c r="E21" i="17" s="1"/>
  <c r="P33" i="1"/>
  <c r="F18" i="17"/>
  <c r="O25" i="1"/>
  <c r="H18" i="16"/>
  <c r="I18" i="16" s="1"/>
  <c r="J18" i="16" s="1"/>
  <c r="E25" i="13"/>
  <c r="Q22" i="1"/>
  <c r="Q13" i="1"/>
  <c r="F18" i="13"/>
  <c r="D26" i="13"/>
  <c r="L54" i="13"/>
  <c r="AJ33" i="14" s="1"/>
  <c r="C7" i="9"/>
  <c r="C66" i="9"/>
  <c r="F2" i="9"/>
  <c r="F3" i="9" s="1" a="1"/>
  <c r="F3" i="9" s="1"/>
  <c r="F11" i="9" s="1"/>
  <c r="AY29" i="14"/>
  <c r="AY39" i="14" s="1"/>
  <c r="Q14" i="1"/>
  <c r="P17" i="1"/>
  <c r="D21" i="13"/>
  <c r="D23" i="13" s="1"/>
  <c r="K13" i="13" s="1"/>
  <c r="AE29" i="14"/>
  <c r="AE39" i="14" s="1"/>
  <c r="AQ24" i="14"/>
  <c r="AQ30" i="14" s="1"/>
  <c r="AP29" i="14"/>
  <c r="AP39" i="14" s="1"/>
  <c r="H1" i="9"/>
  <c r="AW24" i="14"/>
  <c r="AW30" i="14" s="1"/>
  <c r="AG29" i="14"/>
  <c r="AG39" i="14" s="1"/>
  <c r="AT24" i="14"/>
  <c r="AT30" i="14" s="1"/>
  <c r="AL29" i="14"/>
  <c r="AL39" i="14" s="1"/>
  <c r="AH24" i="14"/>
  <c r="AH30" i="14" s="1"/>
  <c r="AM24" i="14"/>
  <c r="AM30" i="14" s="1"/>
  <c r="AU24" i="14"/>
  <c r="AJ29" i="14"/>
  <c r="AJ39" i="14" s="1"/>
  <c r="AK24" i="14"/>
  <c r="AX29" i="14"/>
  <c r="AX39" i="14" s="1"/>
  <c r="AS24" i="14"/>
  <c r="AW29" i="14"/>
  <c r="AW39" i="14" s="1"/>
  <c r="AX24" i="14"/>
  <c r="AX30" i="14" s="1"/>
  <c r="AK29" i="14"/>
  <c r="AK39" i="14" s="1"/>
  <c r="AP24" i="14"/>
  <c r="AP30" i="14" s="1"/>
  <c r="AL24" i="14"/>
  <c r="AL30" i="14" s="1"/>
  <c r="AV29" i="14"/>
  <c r="AV39" i="14" s="1"/>
  <c r="AI24" i="14"/>
  <c r="AI30" i="14" s="1"/>
  <c r="AO24" i="14"/>
  <c r="AO30" i="14" s="1"/>
  <c r="AV24" i="14"/>
  <c r="AV30" i="14" s="1"/>
  <c r="AZ29" i="14"/>
  <c r="AZ39" i="14" s="1"/>
  <c r="AD24" i="14"/>
  <c r="AD30" i="14" s="1"/>
  <c r="AR24" i="14"/>
  <c r="AN24" i="14"/>
  <c r="AN30" i="14" s="1"/>
  <c r="AF24" i="14"/>
  <c r="AF30" i="14" s="1"/>
  <c r="AZ40" i="14"/>
  <c r="AA41" i="21" l="1"/>
  <c r="AA42" i="21"/>
  <c r="T19" i="21"/>
  <c r="AD44" i="21" s="1"/>
  <c r="AB44" i="21"/>
  <c r="E26" i="13"/>
  <c r="E13" i="16"/>
  <c r="F21" i="17"/>
  <c r="M80" i="18"/>
  <c r="V80" i="18" s="1"/>
  <c r="K80" i="18"/>
  <c r="T80" i="18" s="1"/>
  <c r="M79" i="18"/>
  <c r="K79" i="18"/>
  <c r="I80" i="18"/>
  <c r="R80" i="18" s="1"/>
  <c r="I79" i="18"/>
  <c r="S18" i="21"/>
  <c r="AB43" i="21" s="1"/>
  <c r="R81" i="18"/>
  <c r="R82" i="18"/>
  <c r="F52" i="9"/>
  <c r="F50" i="9"/>
  <c r="F51" i="9"/>
  <c r="F57" i="9"/>
  <c r="F28" i="9"/>
  <c r="F27" i="9"/>
  <c r="F26" i="9"/>
  <c r="G14" i="14"/>
  <c r="M78" i="18"/>
  <c r="V78" i="18" s="1"/>
  <c r="K78" i="18"/>
  <c r="T78" i="18" s="1"/>
  <c r="I78" i="18"/>
  <c r="R78" i="18" s="1"/>
  <c r="G79" i="18"/>
  <c r="G80" i="18"/>
  <c r="P80" i="18" s="1"/>
  <c r="R25" i="1"/>
  <c r="S25" i="1"/>
  <c r="G78" i="18"/>
  <c r="P78" i="18" s="1"/>
  <c r="N3" i="17"/>
  <c r="E21" i="13"/>
  <c r="E23" i="13" s="1"/>
  <c r="Q17" i="1"/>
  <c r="F21" i="13"/>
  <c r="F23" i="13" s="1"/>
  <c r="AN33" i="14"/>
  <c r="AN34" i="14" s="1"/>
  <c r="AN45" i="14" s="1"/>
  <c r="AN48" i="14" s="1"/>
  <c r="AN52" i="14" s="1"/>
  <c r="AD33" i="14"/>
  <c r="AD34" i="14" s="1"/>
  <c r="AD45" i="14" s="1"/>
  <c r="AX33" i="14"/>
  <c r="AX34" i="14" s="1"/>
  <c r="AX45" i="14" s="1"/>
  <c r="AX48" i="14" s="1"/>
  <c r="AX51" i="14" s="1"/>
  <c r="Q25" i="1"/>
  <c r="AE33" i="14"/>
  <c r="AW33" i="14"/>
  <c r="AW34" i="14" s="1"/>
  <c r="AW45" i="14" s="1"/>
  <c r="AV33" i="14"/>
  <c r="AY33" i="14"/>
  <c r="AY34" i="14" s="1"/>
  <c r="AY45" i="14" s="1"/>
  <c r="AO33" i="14"/>
  <c r="AG33" i="14"/>
  <c r="AL33" i="14"/>
  <c r="AI33" i="14"/>
  <c r="AI34" i="14" s="1"/>
  <c r="AI45" i="14" s="1"/>
  <c r="AI48" i="14" s="1"/>
  <c r="AQ33" i="14"/>
  <c r="AF33" i="14"/>
  <c r="AF34" i="14" s="1"/>
  <c r="AF45" i="14" s="1"/>
  <c r="AP33" i="14"/>
  <c r="AP34" i="14" s="1"/>
  <c r="AP45" i="14" s="1"/>
  <c r="AH33" i="14"/>
  <c r="AU30" i="14"/>
  <c r="AU33" i="14" s="1"/>
  <c r="AU34" i="14" s="1"/>
  <c r="AU45" i="14" s="1"/>
  <c r="AU48" i="14" s="1"/>
  <c r="AU52" i="14" s="1"/>
  <c r="AK30" i="14"/>
  <c r="AK40" i="14" s="1"/>
  <c r="AR30" i="14"/>
  <c r="AR33" i="14" s="1"/>
  <c r="AS30" i="14"/>
  <c r="AS33" i="14" s="1"/>
  <c r="AT33" i="14"/>
  <c r="AM33" i="14"/>
  <c r="AZ33" i="14"/>
  <c r="AZ34" i="14" s="1"/>
  <c r="AZ45" i="14" s="1"/>
  <c r="AZ48" i="14" s="1"/>
  <c r="G2" i="9"/>
  <c r="G3" i="9" s="1" a="1"/>
  <c r="G3" i="9" s="1"/>
  <c r="I1" i="9"/>
  <c r="AD40" i="14"/>
  <c r="AX40" i="14"/>
  <c r="AI40" i="14"/>
  <c r="AN40" i="14"/>
  <c r="AP40" i="14"/>
  <c r="AM40" i="14"/>
  <c r="AE40" i="14"/>
  <c r="AJ40" i="14"/>
  <c r="AT40" i="14"/>
  <c r="AW40" i="14"/>
  <c r="AV40" i="14"/>
  <c r="AF40" i="14"/>
  <c r="AL40" i="14"/>
  <c r="AQ40" i="14"/>
  <c r="AY40" i="14"/>
  <c r="AH40" i="14"/>
  <c r="AO40" i="14"/>
  <c r="AG40" i="14"/>
  <c r="G11" i="9" l="1"/>
  <c r="AA44" i="21"/>
  <c r="AB45" i="21"/>
  <c r="AB104" i="21" s="1"/>
  <c r="N2" i="17"/>
  <c r="R79" i="18"/>
  <c r="I88" i="18"/>
  <c r="V79" i="18"/>
  <c r="M88" i="18"/>
  <c r="P79" i="18"/>
  <c r="T79" i="18"/>
  <c r="K88" i="18"/>
  <c r="L13" i="13"/>
  <c r="S20" i="21"/>
  <c r="T18" i="21"/>
  <c r="G52" i="9"/>
  <c r="G50" i="9"/>
  <c r="G51" i="9"/>
  <c r="G57" i="9"/>
  <c r="G28" i="9"/>
  <c r="G27" i="9"/>
  <c r="G26" i="9"/>
  <c r="H14" i="14"/>
  <c r="AK33" i="14"/>
  <c r="AK34" i="14" s="1"/>
  <c r="AK45" i="14" s="1"/>
  <c r="AK48" i="14" s="1"/>
  <c r="AK52" i="14" s="1"/>
  <c r="AX49" i="14"/>
  <c r="AX53" i="14" s="1"/>
  <c r="AS40" i="14"/>
  <c r="AS34" i="14"/>
  <c r="AS45" i="14" s="1"/>
  <c r="AS48" i="14" s="1"/>
  <c r="AS49" i="14" s="1"/>
  <c r="AS53" i="14" s="1"/>
  <c r="AR40" i="14"/>
  <c r="AR34" i="14"/>
  <c r="AR45" i="14" s="1"/>
  <c r="AR48" i="14" s="1"/>
  <c r="AR49" i="14" s="1"/>
  <c r="AR53" i="14" s="1"/>
  <c r="AU40" i="14"/>
  <c r="AX52" i="14"/>
  <c r="E29" i="9"/>
  <c r="E37" i="9" s="1"/>
  <c r="H2" i="9"/>
  <c r="H3" i="9" s="1" a="1"/>
  <c r="H3" i="9" s="1"/>
  <c r="H11" i="9" s="1"/>
  <c r="J1" i="9"/>
  <c r="AU51" i="14"/>
  <c r="AU49" i="14"/>
  <c r="AU53" i="14" s="1"/>
  <c r="AU54" i="14" s="1"/>
  <c r="AN51" i="14"/>
  <c r="AN49" i="14"/>
  <c r="AN53" i="14" s="1"/>
  <c r="AN54" i="14" s="1"/>
  <c r="AP48" i="14"/>
  <c r="AY48" i="14"/>
  <c r="AF48" i="14"/>
  <c r="AZ52" i="14"/>
  <c r="AZ51" i="14"/>
  <c r="AD48" i="14"/>
  <c r="AV34" i="14"/>
  <c r="AV45" i="14" s="1"/>
  <c r="AH34" i="14"/>
  <c r="AH45" i="14" s="1"/>
  <c r="AT34" i="14"/>
  <c r="AT45" i="14" s="1"/>
  <c r="AM34" i="14"/>
  <c r="AM45" i="14" s="1"/>
  <c r="AG34" i="14"/>
  <c r="AG45" i="14" s="1"/>
  <c r="AQ34" i="14"/>
  <c r="AQ45" i="14" s="1"/>
  <c r="AJ34" i="14"/>
  <c r="AJ45" i="14" s="1"/>
  <c r="AO34" i="14"/>
  <c r="AO45" i="14" s="1"/>
  <c r="AI51" i="14"/>
  <c r="AI52" i="14"/>
  <c r="AW48" i="14"/>
  <c r="AZ49" i="14"/>
  <c r="AZ53" i="14" s="1"/>
  <c r="AL34" i="14"/>
  <c r="AL45" i="14" s="1"/>
  <c r="AI49" i="14"/>
  <c r="AI53" i="14" s="1"/>
  <c r="AE34" i="14"/>
  <c r="AE45" i="14" s="1"/>
  <c r="T20" i="21" l="1"/>
  <c r="AD43" i="21"/>
  <c r="H57" i="9"/>
  <c r="H52" i="9"/>
  <c r="H50" i="9"/>
  <c r="H51" i="9"/>
  <c r="H28" i="9"/>
  <c r="H27" i="9"/>
  <c r="H26" i="9"/>
  <c r="AK49" i="14"/>
  <c r="AK53" i="14" s="1"/>
  <c r="AK54" i="14" s="1"/>
  <c r="AK51" i="14"/>
  <c r="I14" i="14"/>
  <c r="AX54" i="14"/>
  <c r="AS51" i="14"/>
  <c r="AS52" i="14"/>
  <c r="AS54" i="14" s="1"/>
  <c r="I2" i="9"/>
  <c r="I3" i="9" s="1" a="1"/>
  <c r="I3" i="9" s="1"/>
  <c r="I11" i="9" s="1"/>
  <c r="K1" i="9"/>
  <c r="AI54" i="14"/>
  <c r="AZ54" i="14"/>
  <c r="AP51" i="14"/>
  <c r="AP52" i="14"/>
  <c r="AP49" i="14"/>
  <c r="AP53" i="14" s="1"/>
  <c r="AW52" i="14"/>
  <c r="AW51" i="14"/>
  <c r="AW49" i="14"/>
  <c r="AW53" i="14" s="1"/>
  <c r="AT48" i="14"/>
  <c r="AR52" i="14"/>
  <c r="AR54" i="14" s="1"/>
  <c r="AR51" i="14"/>
  <c r="AE48" i="14"/>
  <c r="AE49" i="14" s="1"/>
  <c r="AE53" i="14" s="1"/>
  <c r="AH48" i="14"/>
  <c r="AQ48" i="14"/>
  <c r="AQ49" i="14" s="1"/>
  <c r="AQ53" i="14" s="1"/>
  <c r="AO48" i="14"/>
  <c r="AV48" i="14"/>
  <c r="AV49" i="14" s="1"/>
  <c r="AV53" i="14" s="1"/>
  <c r="AF51" i="14"/>
  <c r="AF52" i="14"/>
  <c r="AL48" i="14"/>
  <c r="AL49" i="14" s="1"/>
  <c r="AL53" i="14" s="1"/>
  <c r="AG48" i="14"/>
  <c r="AG49" i="14" s="1"/>
  <c r="AG53" i="14" s="1"/>
  <c r="AF49" i="14"/>
  <c r="AF53" i="14" s="1"/>
  <c r="AJ48" i="14"/>
  <c r="AD52" i="14"/>
  <c r="AD51" i="14"/>
  <c r="AY52" i="14"/>
  <c r="AY51" i="14"/>
  <c r="AM48" i="14"/>
  <c r="AM49" i="14" s="1"/>
  <c r="AM53" i="14" s="1"/>
  <c r="AD49" i="14"/>
  <c r="AD53" i="14" s="1"/>
  <c r="AY49" i="14"/>
  <c r="AY53" i="14" s="1"/>
  <c r="AA43" i="21" l="1"/>
  <c r="AD45" i="21"/>
  <c r="AB105" i="21"/>
  <c r="I51" i="9"/>
  <c r="I57" i="9"/>
  <c r="I52" i="9"/>
  <c r="I50" i="9"/>
  <c r="I26" i="9"/>
  <c r="I28" i="9"/>
  <c r="I27" i="9"/>
  <c r="J14" i="14"/>
  <c r="J2" i="9"/>
  <c r="J3" i="9" s="1" a="1"/>
  <c r="J3" i="9" s="1"/>
  <c r="J11" i="9" s="1"/>
  <c r="L1" i="9"/>
  <c r="AW54" i="14"/>
  <c r="AP54" i="14"/>
  <c r="AJ52" i="14"/>
  <c r="AJ51" i="14"/>
  <c r="AO51" i="14"/>
  <c r="AO52" i="14"/>
  <c r="AO49" i="14"/>
  <c r="AO53" i="14" s="1"/>
  <c r="AE51" i="14"/>
  <c r="AE52" i="14"/>
  <c r="AE54" i="14" s="1"/>
  <c r="AG52" i="14"/>
  <c r="AG54" i="14" s="1"/>
  <c r="AG51" i="14"/>
  <c r="AQ51" i="14"/>
  <c r="AQ52" i="14"/>
  <c r="AT52" i="14"/>
  <c r="AT51" i="14"/>
  <c r="AL52" i="14"/>
  <c r="AL54" i="14" s="1"/>
  <c r="AL51" i="14"/>
  <c r="AT49" i="14"/>
  <c r="AT53" i="14" s="1"/>
  <c r="AY54" i="14"/>
  <c r="AF54" i="14"/>
  <c r="AD54" i="14"/>
  <c r="AH52" i="14"/>
  <c r="AH51" i="14"/>
  <c r="AM51" i="14"/>
  <c r="AM52" i="14"/>
  <c r="AM54" i="14" s="1"/>
  <c r="AJ49" i="14"/>
  <c r="AJ53" i="14" s="1"/>
  <c r="AV51" i="14"/>
  <c r="AV52" i="14"/>
  <c r="AV54" i="14" s="1"/>
  <c r="AH49" i="14"/>
  <c r="AH53" i="14" s="1"/>
  <c r="AA45" i="21" l="1"/>
  <c r="AA104" i="21" s="1"/>
  <c r="AD104" i="21"/>
  <c r="AD7" i="21" s="1"/>
  <c r="AB7" i="21"/>
  <c r="J51" i="9"/>
  <c r="J57" i="9"/>
  <c r="J52" i="9"/>
  <c r="J50" i="9"/>
  <c r="J26" i="9"/>
  <c r="J28" i="9"/>
  <c r="J27" i="9"/>
  <c r="K14" i="14"/>
  <c r="K2" i="9"/>
  <c r="K3" i="9" s="1" a="1"/>
  <c r="K3" i="9" s="1"/>
  <c r="K11" i="9" s="1"/>
  <c r="M1" i="9"/>
  <c r="H9" i="14"/>
  <c r="AO54" i="14"/>
  <c r="AT54" i="14"/>
  <c r="AH54" i="14"/>
  <c r="AQ54" i="14"/>
  <c r="I10" i="14"/>
  <c r="AJ54" i="14"/>
  <c r="H10" i="14"/>
  <c r="I9" i="14"/>
  <c r="AA89" i="21" l="1"/>
  <c r="AA48" i="21"/>
  <c r="L14" i="14"/>
  <c r="L2" i="9"/>
  <c r="L3" i="9" s="1" a="1"/>
  <c r="L3" i="9" s="1"/>
  <c r="L11" i="9" s="1"/>
  <c r="N1" i="9"/>
  <c r="H11" i="14"/>
  <c r="I11" i="14"/>
  <c r="L27" i="9" l="1"/>
  <c r="M14" i="14"/>
  <c r="M2" i="9"/>
  <c r="M3" i="9" s="1" a="1"/>
  <c r="M3" i="9" s="1"/>
  <c r="M11" i="9" s="1"/>
  <c r="O1" i="9"/>
  <c r="M27" i="9" l="1"/>
  <c r="N14" i="14"/>
  <c r="N2" i="9"/>
  <c r="N3" i="9" s="1" a="1"/>
  <c r="N3" i="9" s="1"/>
  <c r="N11" i="9" s="1"/>
  <c r="P1" i="9"/>
  <c r="N27" i="9" l="1"/>
  <c r="O14" i="14"/>
  <c r="O2" i="9"/>
  <c r="O3" i="9" s="1" a="1"/>
  <c r="O3" i="9" s="1"/>
  <c r="O11" i="9" s="1"/>
  <c r="Q1" i="9"/>
  <c r="O27" i="9" l="1"/>
  <c r="P14" i="14"/>
  <c r="P2" i="9"/>
  <c r="P3" i="9" s="1" a="1"/>
  <c r="P3" i="9" s="1"/>
  <c r="P11" i="9" s="1"/>
  <c r="R1" i="9"/>
  <c r="P57" i="9" l="1"/>
  <c r="P52" i="9"/>
  <c r="P50" i="9"/>
  <c r="P51" i="9"/>
  <c r="P55" i="9" s="1"/>
  <c r="P28" i="9"/>
  <c r="P27" i="9"/>
  <c r="Q14" i="14"/>
  <c r="Q2" i="9"/>
  <c r="Q3" i="9" s="1" a="1"/>
  <c r="Q3" i="9" s="1"/>
  <c r="Q11" i="9" s="1"/>
  <c r="S1" i="9"/>
  <c r="T1" i="9" s="1"/>
  <c r="U1" i="9" s="1"/>
  <c r="V1" i="9" s="1"/>
  <c r="W1" i="9" s="1"/>
  <c r="X1" i="9" s="1"/>
  <c r="Y1" i="9" s="1"/>
  <c r="Z1" i="9" s="1"/>
  <c r="AA1" i="9" s="1"/>
  <c r="AB1" i="9" s="1"/>
  <c r="Q52" i="9" l="1"/>
  <c r="Q50" i="9"/>
  <c r="Q57" i="9"/>
  <c r="Q51" i="9"/>
  <c r="Q55" i="9" s="1"/>
  <c r="Q28" i="9"/>
  <c r="Q27" i="9"/>
  <c r="BD31" i="14"/>
  <c r="BD19" i="14"/>
  <c r="BD24" i="14"/>
  <c r="R14" i="14"/>
  <c r="R2" i="9"/>
  <c r="R3" i="9" s="1" a="1"/>
  <c r="R3" i="9" s="1"/>
  <c r="R11" i="9" s="1"/>
  <c r="R52" i="9" l="1"/>
  <c r="R50" i="9"/>
  <c r="R57" i="9"/>
  <c r="R51" i="9"/>
  <c r="R55" i="9" s="1"/>
  <c r="R28" i="9"/>
  <c r="R27" i="9"/>
  <c r="S14" i="14"/>
  <c r="S2" i="9"/>
  <c r="S3" i="9" s="1" a="1"/>
  <c r="S3" i="9" s="1"/>
  <c r="S11" i="9" s="1"/>
  <c r="S52" i="9" l="1"/>
  <c r="S50" i="9"/>
  <c r="S51" i="9"/>
  <c r="S55" i="9" s="1"/>
  <c r="S57" i="9"/>
  <c r="S28" i="9"/>
  <c r="S27" i="9"/>
  <c r="T14" i="14"/>
  <c r="T2" i="9"/>
  <c r="T3" i="9" s="1" a="1"/>
  <c r="T3" i="9" s="1"/>
  <c r="T11" i="9" s="1"/>
  <c r="T52" i="9" l="1"/>
  <c r="T50" i="9"/>
  <c r="T51" i="9"/>
  <c r="T55" i="9" s="1"/>
  <c r="T57" i="9"/>
  <c r="T28" i="9"/>
  <c r="T27" i="9"/>
  <c r="U14" i="14"/>
  <c r="U2" i="9"/>
  <c r="U3" i="9" s="1" a="1"/>
  <c r="U3" i="9" s="1"/>
  <c r="U11" i="9" s="1"/>
  <c r="U52" i="9" l="1"/>
  <c r="U50" i="9"/>
  <c r="U51" i="9"/>
  <c r="U55" i="9" s="1"/>
  <c r="U57" i="9"/>
  <c r="U28" i="9"/>
  <c r="U27" i="9"/>
  <c r="V14" i="14"/>
  <c r="V2" i="9"/>
  <c r="V3" i="9" s="1" a="1"/>
  <c r="V3" i="9" s="1"/>
  <c r="V11" i="9" s="1"/>
  <c r="V57" i="9" l="1"/>
  <c r="V51" i="9"/>
  <c r="V55" i="9" s="1"/>
  <c r="V52" i="9"/>
  <c r="V50" i="9"/>
  <c r="V27" i="9"/>
  <c r="V28" i="9"/>
  <c r="W14" i="14"/>
  <c r="W2" i="9"/>
  <c r="W3" i="9" s="1" a="1"/>
  <c r="W3" i="9" s="1"/>
  <c r="W11" i="9" s="1"/>
  <c r="W57" i="9" l="1"/>
  <c r="W51" i="9"/>
  <c r="W55" i="9" s="1"/>
  <c r="W52" i="9"/>
  <c r="W50" i="9"/>
  <c r="W27" i="9"/>
  <c r="W28" i="9"/>
  <c r="X14" i="14"/>
  <c r="X2" i="9"/>
  <c r="X3" i="9" s="1" a="1"/>
  <c r="X3" i="9" s="1"/>
  <c r="X11" i="9" s="1"/>
  <c r="X51" i="9" l="1"/>
  <c r="X55" i="9" s="1"/>
  <c r="X57" i="9"/>
  <c r="X52" i="9"/>
  <c r="X50" i="9"/>
  <c r="X27" i="9"/>
  <c r="X28" i="9"/>
  <c r="Y14" i="14"/>
  <c r="Y2" i="9"/>
  <c r="Y3" i="9" s="1" a="1"/>
  <c r="Y3" i="9" s="1"/>
  <c r="Y11" i="9" s="1"/>
  <c r="Y57" i="9" l="1"/>
  <c r="Y52" i="9"/>
  <c r="Y50" i="9"/>
  <c r="Y51" i="9"/>
  <c r="Y55" i="9" s="1"/>
  <c r="Y28" i="9"/>
  <c r="Y27" i="9"/>
  <c r="Z14" i="14"/>
  <c r="Z2" i="9"/>
  <c r="Z3" i="9" s="1" a="1"/>
  <c r="Z3" i="9" s="1"/>
  <c r="Z11" i="9" s="1"/>
  <c r="Z57" i="9" l="1"/>
  <c r="Z52" i="9"/>
  <c r="Z50" i="9"/>
  <c r="Z51" i="9"/>
  <c r="Z55" i="9" s="1"/>
  <c r="Z28" i="9"/>
  <c r="Z27" i="9"/>
  <c r="AA14" i="14"/>
  <c r="AA2" i="9"/>
  <c r="AA3" i="9" s="1" a="1"/>
  <c r="AA3" i="9" s="1"/>
  <c r="AA11" i="9" s="1"/>
  <c r="AA52" i="9" l="1"/>
  <c r="AA50" i="9"/>
  <c r="AA57" i="9"/>
  <c r="AA51" i="9"/>
  <c r="AA55" i="9" s="1"/>
  <c r="AA28" i="9"/>
  <c r="AA27" i="9"/>
  <c r="AB14" i="14"/>
  <c r="AB2" i="9"/>
  <c r="AB3" i="9" s="1" a="1"/>
  <c r="AB3" i="9" s="1"/>
  <c r="AB11" i="9" l="1"/>
  <c r="AD11" i="9"/>
  <c r="E11" i="9" s="1"/>
  <c r="C11" i="9" s="1"/>
  <c r="AB52" i="9"/>
  <c r="AB50" i="9"/>
  <c r="AB57" i="9"/>
  <c r="AB51" i="9"/>
  <c r="AB55" i="9" s="1"/>
  <c r="AB28" i="9"/>
  <c r="AB27" i="9"/>
  <c r="AD20" i="9"/>
  <c r="AD18" i="9"/>
  <c r="AD13" i="9"/>
  <c r="AC14" i="14"/>
  <c r="V3" i="17" l="1"/>
  <c r="S13" i="5" l="1"/>
  <c r="K8" i="17" l="1"/>
  <c r="J8" i="16"/>
  <c r="L8" i="13"/>
  <c r="U18" i="18" l="1"/>
  <c r="U16" i="18"/>
  <c r="U54" i="18"/>
  <c r="U17" i="18"/>
  <c r="S16" i="18"/>
  <c r="U34" i="18"/>
  <c r="S17" i="18"/>
  <c r="F12" i="9"/>
  <c r="F13" i="9"/>
  <c r="J9" i="16"/>
  <c r="O40" i="1"/>
  <c r="L9" i="13"/>
  <c r="K9" i="17"/>
  <c r="W16" i="18" l="1"/>
  <c r="W17" i="18"/>
  <c r="U50" i="18"/>
  <c r="G18" i="9"/>
  <c r="Z26" i="9"/>
  <c r="Z13" i="9"/>
  <c r="Z45" i="9"/>
  <c r="Z67" i="9" s="1"/>
  <c r="Z12" i="9"/>
  <c r="Z20" i="9"/>
  <c r="Z61" i="9" s="1"/>
  <c r="Z18" i="9"/>
  <c r="Z19" i="9"/>
  <c r="AA26" i="9"/>
  <c r="AA45" i="9"/>
  <c r="AA67" i="9" s="1"/>
  <c r="AA13" i="9"/>
  <c r="AA12" i="9"/>
  <c r="AA20" i="9"/>
  <c r="AA61" i="9" s="1"/>
  <c r="AA18" i="9"/>
  <c r="AA19" i="9"/>
  <c r="AA62" i="9" s="1"/>
  <c r="J12" i="9"/>
  <c r="J13" i="9"/>
  <c r="R26" i="9"/>
  <c r="R45" i="9"/>
  <c r="R67" i="9" s="1"/>
  <c r="R12" i="9"/>
  <c r="R13" i="9"/>
  <c r="R18" i="9"/>
  <c r="R20" i="9"/>
  <c r="R61" i="9" s="1"/>
  <c r="R19" i="9"/>
  <c r="R62" i="9" s="1"/>
  <c r="V45" i="9"/>
  <c r="V67" i="9" s="1"/>
  <c r="V13" i="9"/>
  <c r="V20" i="9"/>
  <c r="V61" i="9" s="1"/>
  <c r="V19" i="9"/>
  <c r="V62" i="9" s="1"/>
  <c r="V18" i="9"/>
  <c r="V26" i="9"/>
  <c r="V12" i="9"/>
  <c r="S26" i="9"/>
  <c r="S45" i="9"/>
  <c r="S67" i="9" s="1"/>
  <c r="S12" i="9"/>
  <c r="S13" i="9"/>
  <c r="S20" i="9"/>
  <c r="S61" i="9" s="1"/>
  <c r="S18" i="9"/>
  <c r="S19" i="9"/>
  <c r="J20" i="9"/>
  <c r="J61" i="9" s="1"/>
  <c r="U26" i="9"/>
  <c r="U45" i="9"/>
  <c r="U67" i="9" s="1"/>
  <c r="U12" i="9"/>
  <c r="U13" i="9"/>
  <c r="U20" i="9"/>
  <c r="U61" i="9" s="1"/>
  <c r="U18" i="9"/>
  <c r="U19" i="9"/>
  <c r="U62" i="9" s="1"/>
  <c r="T26" i="9"/>
  <c r="T45" i="9"/>
  <c r="T67" i="9" s="1"/>
  <c r="T12" i="9"/>
  <c r="T13" i="9"/>
  <c r="T18" i="9"/>
  <c r="T20" i="9"/>
  <c r="T61" i="9" s="1"/>
  <c r="T19" i="9"/>
  <c r="T62" i="9" s="1"/>
  <c r="D68" i="1"/>
  <c r="T82" i="18"/>
  <c r="G82" i="18"/>
  <c r="G88" i="18" s="1"/>
  <c r="F29" i="9"/>
  <c r="G13" i="9"/>
  <c r="G12" i="9"/>
  <c r="W26" i="9"/>
  <c r="W45" i="9"/>
  <c r="W67" i="9" s="1"/>
  <c r="W13" i="9"/>
  <c r="W12" i="9"/>
  <c r="W20" i="9"/>
  <c r="W61" i="9" s="1"/>
  <c r="W19" i="9"/>
  <c r="W62" i="9" s="1"/>
  <c r="W18" i="9"/>
  <c r="N26" i="9"/>
  <c r="N20" i="9"/>
  <c r="N61" i="9" s="1"/>
  <c r="N19" i="9"/>
  <c r="N62" i="9" s="1"/>
  <c r="N18" i="9"/>
  <c r="N12" i="9"/>
  <c r="N13" i="9"/>
  <c r="Q26" i="9"/>
  <c r="Q45" i="9"/>
  <c r="Q67" i="9" s="1"/>
  <c r="Q12" i="9"/>
  <c r="Q13" i="9"/>
  <c r="Q18" i="9"/>
  <c r="Q20" i="9"/>
  <c r="Q61" i="9" s="1"/>
  <c r="Q19" i="9"/>
  <c r="Q62" i="9" s="1"/>
  <c r="L20" i="9"/>
  <c r="L61" i="9" s="1"/>
  <c r="L18" i="9"/>
  <c r="L13" i="9"/>
  <c r="L12" i="9"/>
  <c r="E13" i="9"/>
  <c r="AB13" i="9"/>
  <c r="AB20" i="9"/>
  <c r="AB61" i="9" s="1"/>
  <c r="AB26" i="9"/>
  <c r="AC20" i="9"/>
  <c r="AB12" i="9"/>
  <c r="AB18" i="9"/>
  <c r="AB45" i="9"/>
  <c r="AB67" i="9" s="1"/>
  <c r="AB19" i="9"/>
  <c r="M20" i="9"/>
  <c r="M61" i="9" s="1"/>
  <c r="M19" i="9"/>
  <c r="M62" i="9" s="1"/>
  <c r="M18" i="9"/>
  <c r="M13" i="9"/>
  <c r="M12" i="9"/>
  <c r="H12" i="9"/>
  <c r="H13" i="9"/>
  <c r="X26" i="9"/>
  <c r="X45" i="9"/>
  <c r="X67" i="9" s="1"/>
  <c r="X12" i="9"/>
  <c r="X13" i="9"/>
  <c r="X18" i="9"/>
  <c r="X20" i="9"/>
  <c r="X61" i="9" s="1"/>
  <c r="X19" i="9"/>
  <c r="X62" i="9" s="1"/>
  <c r="O26" i="9"/>
  <c r="O20" i="9"/>
  <c r="O61" i="9" s="1"/>
  <c r="O19" i="9"/>
  <c r="O62" i="9" s="1"/>
  <c r="O18" i="9"/>
  <c r="O13" i="9"/>
  <c r="O12" i="9"/>
  <c r="I12" i="9"/>
  <c r="I13" i="9"/>
  <c r="K27" i="9"/>
  <c r="K12" i="9"/>
  <c r="K13" i="9"/>
  <c r="P26" i="9"/>
  <c r="P13" i="9"/>
  <c r="P45" i="9"/>
  <c r="P67" i="9" s="1"/>
  <c r="P12" i="9"/>
  <c r="P18" i="9"/>
  <c r="P20" i="9"/>
  <c r="P61" i="9" s="1"/>
  <c r="P19" i="9"/>
  <c r="Y26" i="9"/>
  <c r="Y45" i="9"/>
  <c r="Y67" i="9" s="1"/>
  <c r="Y13" i="9"/>
  <c r="Y12" i="9"/>
  <c r="Y18" i="9"/>
  <c r="Y20" i="9"/>
  <c r="Y61" i="9" s="1"/>
  <c r="Y19" i="9"/>
  <c r="Y62" i="9" s="1"/>
  <c r="E19" i="9" l="1"/>
  <c r="E62" i="9" s="1"/>
  <c r="O24" i="1"/>
  <c r="H18" i="9"/>
  <c r="K18" i="9"/>
  <c r="K20" i="9"/>
  <c r="K61" i="9" s="1"/>
  <c r="I18" i="9"/>
  <c r="J18" i="9"/>
  <c r="R63" i="9"/>
  <c r="H20" i="9"/>
  <c r="H61" i="9" s="1"/>
  <c r="V21" i="9"/>
  <c r="I20" i="9"/>
  <c r="I61" i="9" s="1"/>
  <c r="V29" i="9"/>
  <c r="V37" i="9" s="1"/>
  <c r="O63" i="9"/>
  <c r="X63" i="9"/>
  <c r="AA63" i="9"/>
  <c r="AA29" i="9"/>
  <c r="AA37" i="9" s="1"/>
  <c r="Q29" i="9"/>
  <c r="Q37" i="9" s="1"/>
  <c r="U21" i="9"/>
  <c r="C27" i="9"/>
  <c r="Y63" i="9"/>
  <c r="E20" i="9"/>
  <c r="E61" i="9" s="1"/>
  <c r="F20" i="9"/>
  <c r="F61" i="9" s="1"/>
  <c r="Y21" i="9"/>
  <c r="G20" i="9"/>
  <c r="G61" i="9" s="1"/>
  <c r="O21" i="9"/>
  <c r="E18" i="9"/>
  <c r="F18" i="9"/>
  <c r="S29" i="9"/>
  <c r="S37" i="9" s="1"/>
  <c r="P29" i="9"/>
  <c r="P37" i="9" s="1"/>
  <c r="N21" i="9"/>
  <c r="V82" i="18"/>
  <c r="M83" i="18"/>
  <c r="R29" i="9"/>
  <c r="R37" i="9" s="1"/>
  <c r="M21" i="9"/>
  <c r="AB29" i="9"/>
  <c r="AB37" i="9" s="1"/>
  <c r="K83" i="18"/>
  <c r="AA49" i="9"/>
  <c r="AB15" i="14"/>
  <c r="AA68" i="9"/>
  <c r="U49" i="9"/>
  <c r="V15" i="14"/>
  <c r="U68" i="9"/>
  <c r="Q21" i="9"/>
  <c r="N63" i="9"/>
  <c r="I83" i="18"/>
  <c r="I29" i="9"/>
  <c r="I37" i="9" s="1"/>
  <c r="C13" i="9"/>
  <c r="Q49" i="9"/>
  <c r="Q68" i="9"/>
  <c r="R15" i="14"/>
  <c r="Y68" i="9"/>
  <c r="Z15" i="14"/>
  <c r="Y49" i="9"/>
  <c r="X21" i="9"/>
  <c r="M63" i="9"/>
  <c r="T63" i="9"/>
  <c r="U29" i="9"/>
  <c r="U37" i="9" s="1"/>
  <c r="Z21" i="9"/>
  <c r="Z62" i="9"/>
  <c r="Z63" i="9" s="1"/>
  <c r="Y15" i="14"/>
  <c r="X68" i="9"/>
  <c r="X49" i="9"/>
  <c r="V63" i="9"/>
  <c r="Y29" i="9"/>
  <c r="Y37" i="9" s="1"/>
  <c r="X29" i="9"/>
  <c r="X37" i="9" s="1"/>
  <c r="G29" i="9"/>
  <c r="G37" i="9" s="1"/>
  <c r="T21" i="9"/>
  <c r="S21" i="9"/>
  <c r="S62" i="9"/>
  <c r="S63" i="9" s="1"/>
  <c r="V68" i="9"/>
  <c r="V49" i="9"/>
  <c r="W15" i="14"/>
  <c r="P21" i="9"/>
  <c r="P62" i="9"/>
  <c r="P63" i="9" s="1"/>
  <c r="T49" i="9"/>
  <c r="T68" i="9"/>
  <c r="U15" i="14"/>
  <c r="AA15" i="14"/>
  <c r="Z68" i="9"/>
  <c r="Z49" i="9"/>
  <c r="AB21" i="9"/>
  <c r="AB62" i="9"/>
  <c r="AB63" i="9" s="1"/>
  <c r="W63" i="9"/>
  <c r="AC15" i="14"/>
  <c r="AB49" i="9"/>
  <c r="AB68" i="9"/>
  <c r="W21" i="9"/>
  <c r="J29" i="9"/>
  <c r="J37" i="9" s="1"/>
  <c r="T29" i="9"/>
  <c r="T37" i="9" s="1"/>
  <c r="Z29" i="9"/>
  <c r="Z37" i="9" s="1"/>
  <c r="P68" i="9"/>
  <c r="Q15" i="14"/>
  <c r="P49" i="9"/>
  <c r="W68" i="9"/>
  <c r="W49" i="9"/>
  <c r="X15" i="14"/>
  <c r="S68" i="9"/>
  <c r="T15" i="14"/>
  <c r="S49" i="9"/>
  <c r="R21" i="9"/>
  <c r="Q63" i="9"/>
  <c r="W29" i="9"/>
  <c r="W37" i="9" s="1"/>
  <c r="P82" i="18"/>
  <c r="G83" i="18"/>
  <c r="G89" i="18" s="1"/>
  <c r="U63" i="9"/>
  <c r="R68" i="9"/>
  <c r="S15" i="14"/>
  <c r="R49" i="9"/>
  <c r="AA21" i="9"/>
  <c r="R24" i="1" l="1"/>
  <c r="H22" i="16"/>
  <c r="I22" i="16" s="1"/>
  <c r="J22" i="16" s="1"/>
  <c r="S24" i="1"/>
  <c r="Q24" i="1"/>
  <c r="AD12" i="9"/>
  <c r="E12" i="9" s="1"/>
  <c r="E21" i="9" s="1"/>
  <c r="D25" i="17"/>
  <c r="D26" i="17" s="1"/>
  <c r="D13" i="17" s="1"/>
  <c r="D27" i="13"/>
  <c r="D28" i="13" s="1"/>
  <c r="C18" i="9"/>
  <c r="C20" i="9"/>
  <c r="S53" i="9"/>
  <c r="Z53" i="9"/>
  <c r="AB53" i="9"/>
  <c r="X53" i="9"/>
  <c r="AA53" i="9"/>
  <c r="V53" i="9"/>
  <c r="K89" i="18"/>
  <c r="T83" i="18"/>
  <c r="P83" i="18"/>
  <c r="X83" i="18"/>
  <c r="R20" i="14"/>
  <c r="R41" i="14"/>
  <c r="R21" i="14"/>
  <c r="I89" i="18"/>
  <c r="R83" i="18"/>
  <c r="T20" i="14"/>
  <c r="T41" i="14"/>
  <c r="T21" i="14"/>
  <c r="P53" i="9"/>
  <c r="Y53" i="9"/>
  <c r="Q21" i="14"/>
  <c r="Q20" i="14"/>
  <c r="Q41" i="14"/>
  <c r="AC41" i="14"/>
  <c r="AC20" i="14"/>
  <c r="AC21" i="14"/>
  <c r="T53" i="9"/>
  <c r="V83" i="18"/>
  <c r="M89" i="18"/>
  <c r="AA21" i="14"/>
  <c r="AA41" i="14"/>
  <c r="AA20" i="14"/>
  <c r="Z20" i="14"/>
  <c r="Z41" i="14"/>
  <c r="Z21" i="14"/>
  <c r="Q53" i="9"/>
  <c r="R53" i="9"/>
  <c r="X21" i="14"/>
  <c r="X41" i="14"/>
  <c r="X20" i="14"/>
  <c r="S41" i="14"/>
  <c r="S21" i="14"/>
  <c r="S20" i="14"/>
  <c r="W20" i="14"/>
  <c r="W41" i="14"/>
  <c r="W21" i="14"/>
  <c r="V21" i="14"/>
  <c r="V41" i="14"/>
  <c r="V20" i="14"/>
  <c r="U20" i="14"/>
  <c r="U21" i="14"/>
  <c r="U41" i="14"/>
  <c r="W53" i="9"/>
  <c r="Y41" i="14"/>
  <c r="Y20" i="14"/>
  <c r="Y21" i="14"/>
  <c r="AB20" i="14"/>
  <c r="AB41" i="14"/>
  <c r="AB21" i="14"/>
  <c r="C61" i="9"/>
  <c r="E63" i="9"/>
  <c r="U53" i="9"/>
  <c r="E16" i="16" l="1"/>
  <c r="E27" i="13"/>
  <c r="E28" i="13" s="1"/>
  <c r="E25" i="17"/>
  <c r="E26" i="17" s="1"/>
  <c r="C12" i="9"/>
  <c r="Y83" i="18"/>
  <c r="W24" i="14"/>
  <c r="W30" i="14" s="1"/>
  <c r="AC24" i="14"/>
  <c r="AC30" i="14" s="1"/>
  <c r="R24" i="14"/>
  <c r="R30" i="14" s="1"/>
  <c r="Z24" i="14"/>
  <c r="Z30" i="14" s="1"/>
  <c r="S24" i="14"/>
  <c r="S30" i="14" s="1"/>
  <c r="AA24" i="14"/>
  <c r="AA30" i="14" s="1"/>
  <c r="Q24" i="14"/>
  <c r="Q30" i="14" s="1"/>
  <c r="Y24" i="14"/>
  <c r="Y30" i="14" s="1"/>
  <c r="AB24" i="14"/>
  <c r="AB30" i="14" s="1"/>
  <c r="V24" i="14"/>
  <c r="V30" i="14" s="1"/>
  <c r="V33" i="14" s="1"/>
  <c r="V34" i="14" s="1"/>
  <c r="V45" i="14" s="1"/>
  <c r="U24" i="14"/>
  <c r="U30" i="14" s="1"/>
  <c r="X24" i="14"/>
  <c r="X30" i="14" s="1"/>
  <c r="S29" i="14"/>
  <c r="S39" i="14" s="1"/>
  <c r="U29" i="14"/>
  <c r="U39" i="14" s="1"/>
  <c r="J15" i="17"/>
  <c r="E13" i="17"/>
  <c r="K15" i="17" s="1"/>
  <c r="Q29" i="14"/>
  <c r="Q39" i="14" s="1"/>
  <c r="V29" i="14"/>
  <c r="V39" i="14" s="1"/>
  <c r="X29" i="14"/>
  <c r="X39" i="14" s="1"/>
  <c r="T24" i="14"/>
  <c r="AB29" i="14"/>
  <c r="AB39" i="14" s="1"/>
  <c r="AC29" i="14"/>
  <c r="AC39" i="14" s="1"/>
  <c r="K26" i="9"/>
  <c r="T29" i="14"/>
  <c r="T39" i="14" s="1"/>
  <c r="W29" i="14"/>
  <c r="W39" i="14" s="1"/>
  <c r="Y29" i="14"/>
  <c r="Y39" i="14" s="1"/>
  <c r="Z29" i="14"/>
  <c r="Z39" i="14" s="1"/>
  <c r="AA29" i="14"/>
  <c r="AA39" i="14" s="1"/>
  <c r="R29" i="14"/>
  <c r="R39" i="14" s="1"/>
  <c r="K14" i="13" l="1"/>
  <c r="M26" i="9"/>
  <c r="L26" i="9"/>
  <c r="V40" i="14"/>
  <c r="T30" i="14"/>
  <c r="Y40" i="14"/>
  <c r="Y33" i="14"/>
  <c r="Y34" i="14" s="1"/>
  <c r="Y45" i="14" s="1"/>
  <c r="Y48" i="14" s="1"/>
  <c r="Y49" i="14" s="1"/>
  <c r="Y53" i="14" s="1"/>
  <c r="S33" i="14"/>
  <c r="S34" i="14" s="1"/>
  <c r="S45" i="14" s="1"/>
  <c r="S48" i="14" s="1"/>
  <c r="S49" i="14" s="1"/>
  <c r="S53" i="14" s="1"/>
  <c r="S40" i="14"/>
  <c r="AC33" i="14"/>
  <c r="AC34" i="14" s="1"/>
  <c r="AC45" i="14" s="1"/>
  <c r="AC40" i="14"/>
  <c r="Z40" i="14"/>
  <c r="Z33" i="14"/>
  <c r="Z34" i="14" s="1"/>
  <c r="Z45" i="14" s="1"/>
  <c r="Z48" i="14" s="1"/>
  <c r="W33" i="14"/>
  <c r="W34" i="14" s="1"/>
  <c r="W45" i="14" s="1"/>
  <c r="W48" i="14" s="1"/>
  <c r="W49" i="14" s="1"/>
  <c r="W53" i="14" s="1"/>
  <c r="W40" i="14"/>
  <c r="Q40" i="14"/>
  <c r="Q33" i="14"/>
  <c r="Q34" i="14" s="1"/>
  <c r="Q45" i="14" s="1"/>
  <c r="X40" i="14"/>
  <c r="X33" i="14"/>
  <c r="X34" i="14" s="1"/>
  <c r="X45" i="14" s="1"/>
  <c r="X48" i="14" s="1"/>
  <c r="X52" i="14" s="1"/>
  <c r="AA40" i="14"/>
  <c r="AA33" i="14"/>
  <c r="AA34" i="14" s="1"/>
  <c r="AA45" i="14" s="1"/>
  <c r="AA48" i="14" s="1"/>
  <c r="V48" i="14"/>
  <c r="V49" i="14" s="1"/>
  <c r="V53" i="14" s="1"/>
  <c r="R33" i="14"/>
  <c r="R34" i="14" s="1"/>
  <c r="R45" i="14" s="1"/>
  <c r="R48" i="14" s="1"/>
  <c r="R40" i="14"/>
  <c r="D89" i="1"/>
  <c r="D85" i="1"/>
  <c r="D29" i="25" s="1"/>
  <c r="D86" i="1"/>
  <c r="AB40" i="14"/>
  <c r="AB33" i="14"/>
  <c r="AB34" i="14" s="1"/>
  <c r="AB45" i="14" s="1"/>
  <c r="AB48" i="14" s="1"/>
  <c r="U40" i="14"/>
  <c r="U33" i="14"/>
  <c r="U34" i="14" s="1"/>
  <c r="U45" i="14" s="1"/>
  <c r="C19" i="24" l="1"/>
  <c r="AC13" i="1"/>
  <c r="D30" i="25"/>
  <c r="E17" i="25"/>
  <c r="L14" i="13"/>
  <c r="E12" i="16"/>
  <c r="O28" i="9"/>
  <c r="O29" i="9" s="1"/>
  <c r="N28" i="9"/>
  <c r="N29" i="9" s="1"/>
  <c r="M28" i="9"/>
  <c r="M29" i="9" s="1"/>
  <c r="L28" i="9"/>
  <c r="L29" i="9" s="1"/>
  <c r="K16" i="13"/>
  <c r="K18" i="13"/>
  <c r="K12" i="13"/>
  <c r="D11" i="25" s="1"/>
  <c r="F17" i="25" s="1"/>
  <c r="J12" i="17"/>
  <c r="K12" i="17" s="1"/>
  <c r="K28" i="9"/>
  <c r="K29" i="9" s="1"/>
  <c r="H29" i="9"/>
  <c r="C26" i="9"/>
  <c r="Y51" i="14"/>
  <c r="W52" i="14"/>
  <c r="W54" i="14" s="1"/>
  <c r="W51" i="14"/>
  <c r="Y52" i="14"/>
  <c r="Y54" i="14" s="1"/>
  <c r="AA49" i="14"/>
  <c r="AA53" i="14" s="1"/>
  <c r="AA52" i="14"/>
  <c r="AA51" i="14"/>
  <c r="AB49" i="14"/>
  <c r="AB53" i="14" s="1"/>
  <c r="AB51" i="14"/>
  <c r="AB52" i="14"/>
  <c r="T40" i="14"/>
  <c r="T33" i="14"/>
  <c r="T34" i="14" s="1"/>
  <c r="T45" i="14" s="1"/>
  <c r="V51" i="14"/>
  <c r="V52" i="14"/>
  <c r="V54" i="14" s="1"/>
  <c r="J13" i="17"/>
  <c r="U48" i="14"/>
  <c r="U49" i="14" s="1"/>
  <c r="U53" i="14" s="1"/>
  <c r="Q48" i="14"/>
  <c r="X49" i="14"/>
  <c r="X53" i="14" s="1"/>
  <c r="X54" i="14" s="1"/>
  <c r="X51" i="14"/>
  <c r="R49" i="14"/>
  <c r="R53" i="14" s="1"/>
  <c r="R51" i="14"/>
  <c r="R52" i="14"/>
  <c r="S51" i="14"/>
  <c r="AC48" i="14"/>
  <c r="AC49" i="14" s="1"/>
  <c r="AC53" i="14" s="1"/>
  <c r="S52" i="14"/>
  <c r="S54" i="14" s="1"/>
  <c r="Z49" i="14"/>
  <c r="Z53" i="14" s="1"/>
  <c r="Z51" i="14"/>
  <c r="Z52" i="14"/>
  <c r="AA10" i="1" l="1"/>
  <c r="AA12" i="1" s="1"/>
  <c r="F12" i="25"/>
  <c r="F15" i="25"/>
  <c r="D34" i="25"/>
  <c r="E34" i="25" s="1"/>
  <c r="D33" i="25"/>
  <c r="D32" i="25"/>
  <c r="E32" i="25" s="1"/>
  <c r="D31" i="25"/>
  <c r="E31" i="25" s="1"/>
  <c r="D22" i="25"/>
  <c r="F22" i="25" s="1"/>
  <c r="D23" i="25"/>
  <c r="E23" i="25" s="1"/>
  <c r="D24" i="25"/>
  <c r="F24" i="25" s="1"/>
  <c r="F11" i="25"/>
  <c r="D13" i="25"/>
  <c r="E11" i="25"/>
  <c r="E13" i="25" s="1"/>
  <c r="E19" i="16"/>
  <c r="K22" i="13"/>
  <c r="L22" i="13" s="1"/>
  <c r="E21" i="16"/>
  <c r="L16" i="13"/>
  <c r="L18" i="13"/>
  <c r="J14" i="13"/>
  <c r="J17" i="13"/>
  <c r="J18" i="13"/>
  <c r="J16" i="13"/>
  <c r="J13" i="13"/>
  <c r="L12" i="13"/>
  <c r="K15" i="13"/>
  <c r="C40" i="13"/>
  <c r="C28" i="9"/>
  <c r="AA54" i="14"/>
  <c r="C29" i="9"/>
  <c r="Z54" i="14"/>
  <c r="AB54" i="14"/>
  <c r="Q52" i="14"/>
  <c r="Q51" i="14"/>
  <c r="Q49" i="14"/>
  <c r="Q53" i="14" s="1"/>
  <c r="AC51" i="14"/>
  <c r="AC52" i="14"/>
  <c r="AC54" i="14" s="1"/>
  <c r="U51" i="14"/>
  <c r="U52" i="14"/>
  <c r="U54" i="14" s="1"/>
  <c r="K13" i="17"/>
  <c r="K14" i="17" s="1"/>
  <c r="K16" i="17" s="1"/>
  <c r="J14" i="17"/>
  <c r="J16" i="17" s="1"/>
  <c r="T48" i="14"/>
  <c r="T49" i="14" s="1"/>
  <c r="T53" i="14" s="1"/>
  <c r="R54" i="14"/>
  <c r="AA11" i="1" l="1"/>
  <c r="AA13" i="1" s="1"/>
  <c r="AC11" i="1" s="1"/>
  <c r="D7" i="25"/>
  <c r="D59" i="25"/>
  <c r="F31" i="25"/>
  <c r="F34" i="25"/>
  <c r="F32" i="25"/>
  <c r="F23" i="25"/>
  <c r="E22" i="25"/>
  <c r="D25" i="25"/>
  <c r="F13" i="25"/>
  <c r="F51" i="25"/>
  <c r="F54" i="25"/>
  <c r="F52" i="25"/>
  <c r="F48" i="25"/>
  <c r="F53" i="25"/>
  <c r="F46" i="25"/>
  <c r="F42" i="25"/>
  <c r="F55" i="25"/>
  <c r="F47" i="25"/>
  <c r="F41" i="25"/>
  <c r="G46" i="25"/>
  <c r="G51" i="25"/>
  <c r="G54" i="25"/>
  <c r="G52" i="25"/>
  <c r="G53" i="25"/>
  <c r="G47" i="25"/>
  <c r="J15" i="13"/>
  <c r="J19" i="13" s="1"/>
  <c r="Z3" i="17"/>
  <c r="AA3" i="17"/>
  <c r="X3" i="17"/>
  <c r="Y3" i="17"/>
  <c r="L15" i="13"/>
  <c r="K19" i="13"/>
  <c r="T51" i="14"/>
  <c r="G9" i="14" s="1"/>
  <c r="T52" i="14"/>
  <c r="R3" i="17"/>
  <c r="W3" i="17"/>
  <c r="Q54" i="14"/>
  <c r="E33" i="25" l="1"/>
  <c r="F33" i="25"/>
  <c r="F25" i="25"/>
  <c r="H46" i="25"/>
  <c r="H52" i="25"/>
  <c r="H53" i="25"/>
  <c r="G48" i="25"/>
  <c r="F59" i="25"/>
  <c r="E59" i="25"/>
  <c r="H51" i="25"/>
  <c r="E29" i="25"/>
  <c r="F29" i="25"/>
  <c r="D35" i="25"/>
  <c r="H54" i="25"/>
  <c r="G55" i="25"/>
  <c r="E15" i="25"/>
  <c r="H47" i="25"/>
  <c r="E24" i="25"/>
  <c r="E25" i="25" s="1"/>
  <c r="F30" i="25"/>
  <c r="E30" i="25"/>
  <c r="L19" i="13"/>
  <c r="T54" i="14"/>
  <c r="G10" i="14"/>
  <c r="G11" i="14" s="1"/>
  <c r="F35" i="25" l="1"/>
  <c r="H48" i="25"/>
  <c r="H55" i="25"/>
  <c r="G18" i="25"/>
  <c r="G19" i="25" s="1"/>
  <c r="G27" i="25" s="1"/>
  <c r="G36" i="25" s="1"/>
  <c r="G44" i="25" s="1"/>
  <c r="G57" i="25" s="1"/>
  <c r="G61" i="25" s="1"/>
  <c r="E35" i="25"/>
  <c r="H18" i="25"/>
  <c r="H19" i="25" s="1"/>
  <c r="H27" i="25" s="1"/>
  <c r="H36" i="25" s="1"/>
  <c r="H44" i="25" s="1"/>
  <c r="H37" i="9"/>
  <c r="H57" i="25" l="1"/>
  <c r="H61" i="25" s="1"/>
  <c r="BD16" i="14"/>
  <c r="F37" i="9" l="1"/>
  <c r="E53" i="9" l="1"/>
  <c r="F53" i="9"/>
  <c r="G53" i="9"/>
  <c r="H53" i="9"/>
  <c r="I53" i="9"/>
  <c r="J53" i="9"/>
  <c r="R34" i="18" l="1"/>
  <c r="R54" i="18"/>
  <c r="R50" i="18"/>
  <c r="R18" i="18"/>
  <c r="R44" i="18" l="1"/>
  <c r="T44" i="18"/>
  <c r="T40" i="18"/>
  <c r="R40" i="18"/>
  <c r="V50" i="18"/>
  <c r="V18" i="18"/>
  <c r="V34" i="18"/>
  <c r="V54" i="18"/>
  <c r="S18" i="18"/>
  <c r="S50" i="18"/>
  <c r="S54" i="18"/>
  <c r="S34" i="18"/>
  <c r="V44" i="18"/>
  <c r="V40" i="18"/>
  <c r="S44" i="18" l="1"/>
  <c r="S40" i="18"/>
  <c r="U40" i="18"/>
  <c r="U44" i="18"/>
  <c r="W54" i="18"/>
  <c r="W34" i="18"/>
  <c r="W18" i="18"/>
  <c r="W50" i="18"/>
  <c r="W40" i="18"/>
  <c r="W44" i="18"/>
  <c r="Q7" i="1" l="1"/>
  <c r="O23" i="1"/>
  <c r="D40" i="13" s="1"/>
  <c r="F76" i="1" l="1"/>
  <c r="F73" i="1" s="1"/>
  <c r="J1" i="18" s="1"/>
  <c r="F1" i="18"/>
  <c r="AD19" i="9"/>
  <c r="L19" i="9" s="1"/>
  <c r="H21" i="16"/>
  <c r="I21" i="16" s="1"/>
  <c r="J21" i="16" s="1"/>
  <c r="S23" i="1"/>
  <c r="Q23" i="1"/>
  <c r="E67" i="19"/>
  <c r="D67" i="19"/>
  <c r="F66" i="19"/>
  <c r="E66" i="19"/>
  <c r="G72" i="19"/>
  <c r="D68" i="19"/>
  <c r="E55" i="19"/>
  <c r="O21" i="1"/>
  <c r="D29" i="13"/>
  <c r="D30" i="13" s="1"/>
  <c r="R23" i="1"/>
  <c r="O26" i="1" l="1"/>
  <c r="G64" i="19"/>
  <c r="E60" i="19"/>
  <c r="F60" i="19"/>
  <c r="G60" i="19"/>
  <c r="J4" i="18"/>
  <c r="R58" i="18" s="1"/>
  <c r="E59" i="19" s="1"/>
  <c r="F72" i="1"/>
  <c r="H72" i="1" s="1"/>
  <c r="F74" i="1"/>
  <c r="G74" i="1" s="1"/>
  <c r="H73" i="1"/>
  <c r="G73" i="1"/>
  <c r="F45" i="19"/>
  <c r="F51" i="19"/>
  <c r="E15" i="16"/>
  <c r="E18" i="16" s="1"/>
  <c r="H19" i="9"/>
  <c r="H62" i="9" s="1"/>
  <c r="H63" i="9" s="1"/>
  <c r="D73" i="19"/>
  <c r="F20" i="19"/>
  <c r="F55" i="19"/>
  <c r="G20" i="19"/>
  <c r="E68" i="19"/>
  <c r="G68" i="19"/>
  <c r="E73" i="19"/>
  <c r="D69" i="19"/>
  <c r="F36" i="19"/>
  <c r="G55" i="19"/>
  <c r="D70" i="19"/>
  <c r="G36" i="19"/>
  <c r="F68" i="19"/>
  <c r="G73" i="19"/>
  <c r="F73" i="19"/>
  <c r="E70" i="19"/>
  <c r="D65" i="19"/>
  <c r="G70" i="19"/>
  <c r="F70" i="19"/>
  <c r="E72" i="19"/>
  <c r="E65" i="19"/>
  <c r="G65" i="19"/>
  <c r="E45" i="19"/>
  <c r="F72" i="19"/>
  <c r="E74" i="19"/>
  <c r="F75" i="1"/>
  <c r="H75" i="1" s="1"/>
  <c r="F65" i="19"/>
  <c r="D66" i="19"/>
  <c r="L62" i="9"/>
  <c r="L63" i="9" s="1"/>
  <c r="L21" i="9"/>
  <c r="F19" i="9"/>
  <c r="F21" i="9" s="1"/>
  <c r="J19" i="9"/>
  <c r="K19" i="9"/>
  <c r="I19" i="9"/>
  <c r="I62" i="9" s="1"/>
  <c r="I63" i="9" s="1"/>
  <c r="G19" i="9"/>
  <c r="D72" i="19"/>
  <c r="D64" i="19"/>
  <c r="F67" i="19"/>
  <c r="F74" i="19"/>
  <c r="F69" i="19"/>
  <c r="E75" i="19"/>
  <c r="G74" i="19"/>
  <c r="E64" i="19"/>
  <c r="F75" i="19"/>
  <c r="G66" i="19"/>
  <c r="G69" i="19"/>
  <c r="G75" i="19"/>
  <c r="G51" i="19"/>
  <c r="F64" i="19"/>
  <c r="G67" i="19"/>
  <c r="E51" i="19"/>
  <c r="E20" i="19"/>
  <c r="D75" i="19"/>
  <c r="E19" i="19"/>
  <c r="G19" i="19"/>
  <c r="E69" i="19"/>
  <c r="F19" i="19"/>
  <c r="E18" i="19"/>
  <c r="E36" i="19"/>
  <c r="F18" i="19"/>
  <c r="G18" i="19"/>
  <c r="D74" i="19"/>
  <c r="G45" i="19"/>
  <c r="R21" i="1"/>
  <c r="S21" i="1"/>
  <c r="D99" i="1"/>
  <c r="Q21" i="1"/>
  <c r="E29" i="13"/>
  <c r="E30" i="13" s="1"/>
  <c r="C29" i="13"/>
  <c r="R49" i="18"/>
  <c r="R45" i="18"/>
  <c r="R52" i="18"/>
  <c r="R43" i="18"/>
  <c r="R48" i="18"/>
  <c r="R32" i="18"/>
  <c r="R60" i="18"/>
  <c r="R19" i="18"/>
  <c r="D16" i="25" l="1"/>
  <c r="H23" i="16"/>
  <c r="I23" i="16" s="1"/>
  <c r="R39" i="18"/>
  <c r="R42" i="18"/>
  <c r="R35" i="18"/>
  <c r="E37" i="19" s="1"/>
  <c r="R24" i="18"/>
  <c r="R14" i="18"/>
  <c r="S14" i="18" s="1"/>
  <c r="R51" i="18"/>
  <c r="S51" i="18" s="1"/>
  <c r="R37" i="18"/>
  <c r="S37" i="18" s="1"/>
  <c r="R22" i="18"/>
  <c r="S22" i="18" s="1"/>
  <c r="R28" i="18"/>
  <c r="E30" i="19" s="1"/>
  <c r="R38" i="18"/>
  <c r="E40" i="19" s="1"/>
  <c r="R53" i="18"/>
  <c r="S53" i="18" s="1"/>
  <c r="R21" i="18"/>
  <c r="E23" i="19" s="1"/>
  <c r="R36" i="18"/>
  <c r="S36" i="18" s="1"/>
  <c r="R62" i="18"/>
  <c r="E63" i="19" s="1"/>
  <c r="R26" i="18"/>
  <c r="S26" i="18" s="1"/>
  <c r="R27" i="18"/>
  <c r="S27" i="18" s="1"/>
  <c r="R41" i="18"/>
  <c r="R20" i="18"/>
  <c r="E22" i="19" s="1"/>
  <c r="R33" i="18"/>
  <c r="E35" i="19" s="1"/>
  <c r="R15" i="18"/>
  <c r="S15" i="18" s="1"/>
  <c r="R29" i="18"/>
  <c r="E31" i="19" s="1"/>
  <c r="R13" i="18"/>
  <c r="E15" i="19" s="1"/>
  <c r="R23" i="18"/>
  <c r="E25" i="19" s="1"/>
  <c r="R11" i="18"/>
  <c r="S11" i="18" s="1"/>
  <c r="R61" i="18"/>
  <c r="S61" i="18" s="1"/>
  <c r="R9" i="18"/>
  <c r="S9" i="18" s="1"/>
  <c r="E16" i="25"/>
  <c r="E18" i="25" s="1"/>
  <c r="E19" i="25" s="1"/>
  <c r="E27" i="25" s="1"/>
  <c r="E36" i="25" s="1"/>
  <c r="D18" i="25"/>
  <c r="D19" i="25" s="1"/>
  <c r="D27" i="25" s="1"/>
  <c r="D36" i="25" s="1"/>
  <c r="F36" i="25" s="1"/>
  <c r="F16" i="25"/>
  <c r="F18" i="25" s="1"/>
  <c r="F19" i="25" s="1"/>
  <c r="F27" i="25" s="1"/>
  <c r="R89" i="18"/>
  <c r="R88" i="18"/>
  <c r="E71" i="19" s="1"/>
  <c r="R55" i="18"/>
  <c r="S55" i="18" s="1"/>
  <c r="R57" i="18"/>
  <c r="E58" i="19" s="1"/>
  <c r="R12" i="18"/>
  <c r="S12" i="18" s="1"/>
  <c r="R46" i="18"/>
  <c r="S46" i="18" s="1"/>
  <c r="R56" i="18"/>
  <c r="S56" i="18" s="1"/>
  <c r="R10" i="18"/>
  <c r="S10" i="18" s="1"/>
  <c r="R30" i="18"/>
  <c r="S30" i="18" s="1"/>
  <c r="R31" i="18"/>
  <c r="S31" i="18" s="1"/>
  <c r="R8" i="18"/>
  <c r="S8" i="18" s="1"/>
  <c r="R25" i="18"/>
  <c r="R7" i="18"/>
  <c r="E9" i="19" s="1"/>
  <c r="R6" i="18"/>
  <c r="S6" i="18" s="1"/>
  <c r="C20" i="24"/>
  <c r="H74" i="1"/>
  <c r="H76" i="1" s="1"/>
  <c r="H1" i="18"/>
  <c r="H4" i="18" s="1"/>
  <c r="R47" i="18"/>
  <c r="G72" i="1"/>
  <c r="L1" i="18"/>
  <c r="L4" i="18" s="1"/>
  <c r="T58" i="18" s="1"/>
  <c r="F59" i="19" s="1"/>
  <c r="H21" i="9"/>
  <c r="F62" i="9"/>
  <c r="F63" i="9" s="1"/>
  <c r="C70" i="19"/>
  <c r="E22" i="16"/>
  <c r="D22" i="16" s="1"/>
  <c r="D18" i="16"/>
  <c r="C73" i="19"/>
  <c r="C68" i="19"/>
  <c r="I21" i="9"/>
  <c r="C66" i="19"/>
  <c r="C65" i="19"/>
  <c r="C19" i="9"/>
  <c r="G75" i="1"/>
  <c r="G62" i="9"/>
  <c r="G63" i="9" s="1"/>
  <c r="N1" i="18"/>
  <c r="N4" i="18" s="1"/>
  <c r="V58" i="18" s="1"/>
  <c r="G59" i="19" s="1"/>
  <c r="C72" i="19"/>
  <c r="G21" i="9"/>
  <c r="K62" i="9"/>
  <c r="K63" i="9" s="1"/>
  <c r="K21" i="9"/>
  <c r="J62" i="9"/>
  <c r="J63" i="9" s="1"/>
  <c r="J21" i="9"/>
  <c r="C74" i="19"/>
  <c r="C67" i="19"/>
  <c r="C75" i="19"/>
  <c r="C64" i="19"/>
  <c r="C69" i="19"/>
  <c r="S35" i="18"/>
  <c r="S39" i="18"/>
  <c r="E41" i="19"/>
  <c r="S43" i="18"/>
  <c r="E44" i="19"/>
  <c r="S26" i="1"/>
  <c r="O33" i="1"/>
  <c r="J12" i="20"/>
  <c r="Q26" i="1"/>
  <c r="Q33" i="1" s="1"/>
  <c r="J23" i="16"/>
  <c r="R26" i="1"/>
  <c r="S49" i="18"/>
  <c r="E50" i="19"/>
  <c r="S24" i="18"/>
  <c r="E26" i="19"/>
  <c r="E21" i="19"/>
  <c r="S19" i="18"/>
  <c r="S48" i="18"/>
  <c r="E49" i="19"/>
  <c r="S60" i="18"/>
  <c r="E61" i="19"/>
  <c r="S32" i="18"/>
  <c r="E34" i="19"/>
  <c r="S52" i="18"/>
  <c r="E53" i="19"/>
  <c r="S45" i="18"/>
  <c r="E46" i="19"/>
  <c r="S42" i="18"/>
  <c r="E43" i="19"/>
  <c r="E16" i="19"/>
  <c r="S29" i="18" l="1"/>
  <c r="E24" i="19"/>
  <c r="S28" i="18"/>
  <c r="S38" i="18"/>
  <c r="E52" i="19"/>
  <c r="S13" i="18"/>
  <c r="E54" i="19"/>
  <c r="L9" i="19"/>
  <c r="S21" i="18"/>
  <c r="E42" i="19"/>
  <c r="E39" i="19"/>
  <c r="E29" i="19"/>
  <c r="S41" i="18"/>
  <c r="E38" i="19"/>
  <c r="S33" i="18"/>
  <c r="E28" i="19"/>
  <c r="E17" i="19"/>
  <c r="S62" i="18"/>
  <c r="S20" i="18"/>
  <c r="T28" i="18"/>
  <c r="U28" i="18" s="1"/>
  <c r="S23" i="18"/>
  <c r="E62" i="19"/>
  <c r="E11" i="19"/>
  <c r="E13" i="19"/>
  <c r="E56" i="19"/>
  <c r="L7" i="19"/>
  <c r="E47" i="19"/>
  <c r="L8" i="19"/>
  <c r="S57" i="18"/>
  <c r="E12" i="19"/>
  <c r="E32" i="19"/>
  <c r="E14" i="19"/>
  <c r="R63" i="18"/>
  <c r="R90" i="18" s="1"/>
  <c r="E33" i="19"/>
  <c r="E57" i="19"/>
  <c r="L6" i="19"/>
  <c r="S25" i="18"/>
  <c r="E8" i="19"/>
  <c r="S7" i="18"/>
  <c r="E27" i="19"/>
  <c r="E10" i="19"/>
  <c r="L10" i="19"/>
  <c r="T30" i="18"/>
  <c r="U30" i="18" s="1"/>
  <c r="T46" i="18"/>
  <c r="U46" i="18" s="1"/>
  <c r="T41" i="18"/>
  <c r="U41" i="18" s="1"/>
  <c r="T53" i="18"/>
  <c r="U53" i="18" s="1"/>
  <c r="T9" i="18"/>
  <c r="U9" i="18" s="1"/>
  <c r="T61" i="18"/>
  <c r="U61" i="18" s="1"/>
  <c r="T51" i="18"/>
  <c r="U51" i="18" s="1"/>
  <c r="T29" i="18"/>
  <c r="F31" i="19" s="1"/>
  <c r="T7" i="18"/>
  <c r="U7" i="18" s="1"/>
  <c r="T57" i="18"/>
  <c r="U57" i="18" s="1"/>
  <c r="T48" i="18"/>
  <c r="U48" i="18" s="1"/>
  <c r="T43" i="18"/>
  <c r="U43" i="18" s="1"/>
  <c r="T52" i="18"/>
  <c r="U52" i="18" s="1"/>
  <c r="T88" i="18"/>
  <c r="F71" i="19" s="1"/>
  <c r="T38" i="18"/>
  <c r="F40" i="19" s="1"/>
  <c r="T36" i="18"/>
  <c r="U36" i="18" s="1"/>
  <c r="T55" i="18"/>
  <c r="U55" i="18" s="1"/>
  <c r="T25" i="18"/>
  <c r="F27" i="19" s="1"/>
  <c r="T21" i="18"/>
  <c r="F23" i="19" s="1"/>
  <c r="T33" i="18"/>
  <c r="U33" i="18" s="1"/>
  <c r="T12" i="18"/>
  <c r="U12" i="18" s="1"/>
  <c r="T23" i="18"/>
  <c r="U23" i="18" s="1"/>
  <c r="T42" i="18"/>
  <c r="F43" i="19" s="1"/>
  <c r="T10" i="18"/>
  <c r="F12" i="19" s="1"/>
  <c r="T24" i="18"/>
  <c r="U24" i="18" s="1"/>
  <c r="T8" i="18"/>
  <c r="F10" i="19" s="1"/>
  <c r="T45" i="18"/>
  <c r="F46" i="19" s="1"/>
  <c r="T6" i="18"/>
  <c r="F8" i="19" s="1"/>
  <c r="T39" i="18"/>
  <c r="U39" i="18" s="1"/>
  <c r="T31" i="18"/>
  <c r="F33" i="19" s="1"/>
  <c r="T37" i="18"/>
  <c r="U37" i="18" s="1"/>
  <c r="T35" i="18"/>
  <c r="U35" i="18" s="1"/>
  <c r="T27" i="18"/>
  <c r="F29" i="19" s="1"/>
  <c r="T20" i="18"/>
  <c r="U20" i="18" s="1"/>
  <c r="T26" i="18"/>
  <c r="U26" i="18" s="1"/>
  <c r="T22" i="18"/>
  <c r="U22" i="18" s="1"/>
  <c r="T89" i="18"/>
  <c r="T13" i="18"/>
  <c r="T19" i="18"/>
  <c r="F21" i="19" s="1"/>
  <c r="T62" i="18"/>
  <c r="U62" i="18" s="1"/>
  <c r="T49" i="18"/>
  <c r="F50" i="19" s="1"/>
  <c r="T60" i="18"/>
  <c r="U60" i="18" s="1"/>
  <c r="T15" i="18"/>
  <c r="U15" i="18" s="1"/>
  <c r="T47" i="18"/>
  <c r="F48" i="19" s="1"/>
  <c r="T56" i="18"/>
  <c r="U56" i="18" s="1"/>
  <c r="T11" i="18"/>
  <c r="U11" i="18" s="1"/>
  <c r="T14" i="18"/>
  <c r="F16" i="19" s="1"/>
  <c r="T32" i="18"/>
  <c r="F34" i="19" s="1"/>
  <c r="P58" i="18"/>
  <c r="D59" i="19" s="1"/>
  <c r="C59" i="19" s="1"/>
  <c r="P59" i="18"/>
  <c r="D60" i="19" s="1"/>
  <c r="C60" i="19" s="1"/>
  <c r="G76" i="1"/>
  <c r="S47" i="18"/>
  <c r="E48" i="19"/>
  <c r="V60" i="18"/>
  <c r="W60" i="18" s="1"/>
  <c r="V26" i="18"/>
  <c r="V30" i="18"/>
  <c r="W30" i="18" s="1"/>
  <c r="V51" i="18"/>
  <c r="W51" i="18" s="1"/>
  <c r="V53" i="18"/>
  <c r="W53" i="18" s="1"/>
  <c r="V32" i="18"/>
  <c r="W32" i="18" s="1"/>
  <c r="V28" i="18"/>
  <c r="G30" i="19" s="1"/>
  <c r="V46" i="18"/>
  <c r="W46" i="18" s="1"/>
  <c r="AA7" i="18"/>
  <c r="V6" i="18"/>
  <c r="G8" i="19" s="1"/>
  <c r="V11" i="18"/>
  <c r="G13" i="19" s="1"/>
  <c r="V25" i="18"/>
  <c r="G27" i="19" s="1"/>
  <c r="V9" i="18"/>
  <c r="W9" i="18" s="1"/>
  <c r="V13" i="18"/>
  <c r="G15" i="19" s="1"/>
  <c r="V36" i="18"/>
  <c r="W36" i="18" s="1"/>
  <c r="V8" i="18"/>
  <c r="G10" i="19" s="1"/>
  <c r="V61" i="18"/>
  <c r="W61" i="18" s="1"/>
  <c r="V43" i="18"/>
  <c r="W43" i="18" s="1"/>
  <c r="V7" i="18"/>
  <c r="W7" i="18" s="1"/>
  <c r="V57" i="18"/>
  <c r="W57" i="18" s="1"/>
  <c r="V41" i="18"/>
  <c r="G42" i="19" s="1"/>
  <c r="V33" i="18"/>
  <c r="W33" i="18" s="1"/>
  <c r="V88" i="18"/>
  <c r="G71" i="19" s="1"/>
  <c r="V55" i="18"/>
  <c r="W55" i="18" s="1"/>
  <c r="V21" i="18"/>
  <c r="G23" i="19" s="1"/>
  <c r="V29" i="18"/>
  <c r="G31" i="19" s="1"/>
  <c r="V12" i="18"/>
  <c r="W12" i="18" s="1"/>
  <c r="V37" i="18"/>
  <c r="G39" i="19" s="1"/>
  <c r="V47" i="18"/>
  <c r="W47" i="18" s="1"/>
  <c r="V35" i="18"/>
  <c r="W35" i="18" s="1"/>
  <c r="V10" i="18"/>
  <c r="G12" i="19" s="1"/>
  <c r="V31" i="18"/>
  <c r="W31" i="18" s="1"/>
  <c r="V19" i="18"/>
  <c r="W19" i="18" s="1"/>
  <c r="V15" i="18"/>
  <c r="G17" i="19" s="1"/>
  <c r="V56" i="18"/>
  <c r="W56" i="18" s="1"/>
  <c r="V27" i="18"/>
  <c r="W27" i="18" s="1"/>
  <c r="V45" i="18"/>
  <c r="W45" i="18" s="1"/>
  <c r="V39" i="18"/>
  <c r="G41" i="19" s="1"/>
  <c r="V42" i="18"/>
  <c r="W42" i="18" s="1"/>
  <c r="V24" i="18"/>
  <c r="W24" i="18" s="1"/>
  <c r="V49" i="18"/>
  <c r="G50" i="19" s="1"/>
  <c r="V48" i="18"/>
  <c r="W48" i="18" s="1"/>
  <c r="V20" i="18"/>
  <c r="W20" i="18" s="1"/>
  <c r="V52" i="18"/>
  <c r="W52" i="18" s="1"/>
  <c r="V22" i="18"/>
  <c r="W22" i="18" s="1"/>
  <c r="V23" i="18"/>
  <c r="W23" i="18" s="1"/>
  <c r="V89" i="18"/>
  <c r="V14" i="18"/>
  <c r="V62" i="18"/>
  <c r="W62" i="18" s="1"/>
  <c r="V38" i="18"/>
  <c r="C62" i="9"/>
  <c r="C63" i="9"/>
  <c r="O3" i="25" s="1"/>
  <c r="D97" i="1"/>
  <c r="D96" i="1" s="1"/>
  <c r="R33" i="1"/>
  <c r="P6" i="18"/>
  <c r="P8" i="18"/>
  <c r="P10" i="18"/>
  <c r="P12" i="18"/>
  <c r="P14" i="18"/>
  <c r="P16" i="18"/>
  <c r="P42" i="18"/>
  <c r="P44" i="18"/>
  <c r="P49" i="18"/>
  <c r="P17" i="18"/>
  <c r="P45" i="18"/>
  <c r="P47" i="18"/>
  <c r="P52" i="18"/>
  <c r="P54" i="18"/>
  <c r="P18" i="18"/>
  <c r="P27" i="18"/>
  <c r="P29" i="18"/>
  <c r="P31" i="18"/>
  <c r="P33" i="18"/>
  <c r="P55" i="18"/>
  <c r="P57" i="18"/>
  <c r="P61" i="18"/>
  <c r="P46" i="18"/>
  <c r="P51" i="18"/>
  <c r="P53" i="18"/>
  <c r="P35" i="18"/>
  <c r="P11" i="18"/>
  <c r="P20" i="18"/>
  <c r="P48" i="18"/>
  <c r="P62" i="18"/>
  <c r="P36" i="18"/>
  <c r="P39" i="18"/>
  <c r="P15" i="18"/>
  <c r="P21" i="18"/>
  <c r="P24" i="18"/>
  <c r="P28" i="18"/>
  <c r="P40" i="18"/>
  <c r="P25" i="18"/>
  <c r="P32" i="18"/>
  <c r="P41" i="18"/>
  <c r="P7" i="18"/>
  <c r="P22" i="18"/>
  <c r="P19" i="18"/>
  <c r="P88" i="18"/>
  <c r="D71" i="19" s="1"/>
  <c r="P23" i="18"/>
  <c r="P43" i="18"/>
  <c r="P9" i="18"/>
  <c r="P37" i="18"/>
  <c r="P30" i="18"/>
  <c r="P38" i="18"/>
  <c r="P26" i="18"/>
  <c r="P56" i="18"/>
  <c r="P50" i="18"/>
  <c r="P60" i="18"/>
  <c r="P13" i="18"/>
  <c r="P34" i="18"/>
  <c r="P89" i="18"/>
  <c r="F30" i="19" l="1"/>
  <c r="R91" i="18"/>
  <c r="R92" i="18"/>
  <c r="S89" i="18"/>
  <c r="L11" i="19"/>
  <c r="R93" i="18" s="1"/>
  <c r="E76" i="19"/>
  <c r="F12" i="20" s="1"/>
  <c r="F54" i="19"/>
  <c r="F11" i="19"/>
  <c r="F32" i="19"/>
  <c r="F62" i="19"/>
  <c r="F42" i="19"/>
  <c r="F47" i="19"/>
  <c r="F52" i="19"/>
  <c r="F58" i="19"/>
  <c r="U29" i="18"/>
  <c r="F9" i="19"/>
  <c r="F49" i="19"/>
  <c r="F56" i="19"/>
  <c r="F53" i="19"/>
  <c r="F44" i="19"/>
  <c r="U8" i="18"/>
  <c r="U21" i="18"/>
  <c r="U25" i="18"/>
  <c r="F38" i="19"/>
  <c r="F57" i="19"/>
  <c r="U38" i="18"/>
  <c r="F14" i="19"/>
  <c r="F35" i="19"/>
  <c r="F25" i="19"/>
  <c r="U27" i="18"/>
  <c r="F26" i="19"/>
  <c r="U6" i="18"/>
  <c r="U47" i="18"/>
  <c r="U42" i="18"/>
  <c r="U10" i="18"/>
  <c r="M9" i="19"/>
  <c r="F37" i="19"/>
  <c r="F17" i="19"/>
  <c r="U32" i="18"/>
  <c r="F41" i="19"/>
  <c r="U14" i="18"/>
  <c r="U45" i="18"/>
  <c r="U31" i="18"/>
  <c r="F39" i="19"/>
  <c r="F13" i="19"/>
  <c r="F24" i="19"/>
  <c r="F28" i="19"/>
  <c r="M7" i="19"/>
  <c r="U49" i="18"/>
  <c r="F22" i="19"/>
  <c r="M6" i="19"/>
  <c r="G61" i="19"/>
  <c r="U13" i="18"/>
  <c r="F15" i="19"/>
  <c r="M10" i="19"/>
  <c r="U19" i="18"/>
  <c r="F61" i="19"/>
  <c r="F63" i="19"/>
  <c r="M8" i="19"/>
  <c r="T63" i="18"/>
  <c r="T90" i="18" s="1"/>
  <c r="G32" i="19"/>
  <c r="G52" i="19"/>
  <c r="O6" i="1"/>
  <c r="O28" i="1" s="1"/>
  <c r="C18" i="24"/>
  <c r="G34" i="19"/>
  <c r="W39" i="18"/>
  <c r="G26" i="19"/>
  <c r="W21" i="18"/>
  <c r="W6" i="18"/>
  <c r="G35" i="19"/>
  <c r="W29" i="18"/>
  <c r="G56" i="19"/>
  <c r="W26" i="18"/>
  <c r="G28" i="19"/>
  <c r="W13" i="18"/>
  <c r="W49" i="18"/>
  <c r="W28" i="18"/>
  <c r="G54" i="19"/>
  <c r="G14" i="19"/>
  <c r="G48" i="19"/>
  <c r="C71" i="19"/>
  <c r="G62" i="19"/>
  <c r="W11" i="18"/>
  <c r="G11" i="19"/>
  <c r="G22" i="19"/>
  <c r="W10" i="18"/>
  <c r="G63" i="19"/>
  <c r="G25" i="19"/>
  <c r="G37" i="19"/>
  <c r="G24" i="19"/>
  <c r="G57" i="19"/>
  <c r="G9" i="19"/>
  <c r="W25" i="18"/>
  <c r="G47" i="19"/>
  <c r="W8" i="18"/>
  <c r="G46" i="19"/>
  <c r="W41" i="18"/>
  <c r="G38" i="19"/>
  <c r="G58" i="19"/>
  <c r="N8" i="19"/>
  <c r="G44" i="19"/>
  <c r="G29" i="19"/>
  <c r="G33" i="19"/>
  <c r="N9" i="19"/>
  <c r="N7" i="19"/>
  <c r="N6" i="19"/>
  <c r="W15" i="18"/>
  <c r="G16" i="19"/>
  <c r="W37" i="18"/>
  <c r="G21" i="19"/>
  <c r="G43" i="19"/>
  <c r="G53" i="19"/>
  <c r="V63" i="18"/>
  <c r="V90" i="18" s="1"/>
  <c r="G49" i="19"/>
  <c r="W14" i="18"/>
  <c r="W38" i="18"/>
  <c r="N10" i="19"/>
  <c r="G40" i="19"/>
  <c r="Q24" i="18"/>
  <c r="D26" i="19"/>
  <c r="Q9" i="18"/>
  <c r="D11" i="19"/>
  <c r="Q36" i="18"/>
  <c r="D38" i="19"/>
  <c r="Q18" i="18"/>
  <c r="D20" i="19"/>
  <c r="C20" i="19" s="1"/>
  <c r="Q21" i="18"/>
  <c r="D23" i="19"/>
  <c r="C23" i="19" s="1"/>
  <c r="D31" i="19"/>
  <c r="C31" i="19" s="1"/>
  <c r="Q29" i="18"/>
  <c r="Q27" i="18"/>
  <c r="D29" i="19"/>
  <c r="Q52" i="18"/>
  <c r="D53" i="19"/>
  <c r="D58" i="19"/>
  <c r="Q57" i="18"/>
  <c r="Q26" i="18"/>
  <c r="D28" i="19"/>
  <c r="Q15" i="18"/>
  <c r="D17" i="19"/>
  <c r="Q43" i="18"/>
  <c r="D44" i="19"/>
  <c r="Q54" i="18"/>
  <c r="D55" i="19"/>
  <c r="C55" i="19" s="1"/>
  <c r="D25" i="19"/>
  <c r="Q23" i="18"/>
  <c r="Q20" i="18"/>
  <c r="K8" i="19"/>
  <c r="D22" i="19"/>
  <c r="Q50" i="18"/>
  <c r="D51" i="19"/>
  <c r="C51" i="19" s="1"/>
  <c r="D56" i="19"/>
  <c r="Q55" i="18"/>
  <c r="Q8" i="18"/>
  <c r="D10" i="19"/>
  <c r="C10" i="19" s="1"/>
  <c r="Q6" i="18"/>
  <c r="P63" i="18"/>
  <c r="P90" i="18" s="1"/>
  <c r="K6" i="19"/>
  <c r="D8" i="19"/>
  <c r="Q62" i="18"/>
  <c r="D63" i="19"/>
  <c r="Q47" i="18"/>
  <c r="D48" i="19"/>
  <c r="D21" i="19"/>
  <c r="Q19" i="18"/>
  <c r="Q11" i="18"/>
  <c r="K7" i="19"/>
  <c r="D13" i="19"/>
  <c r="Q45" i="18"/>
  <c r="D46" i="19"/>
  <c r="Q33" i="18"/>
  <c r="D35" i="19"/>
  <c r="Q39" i="18"/>
  <c r="D41" i="19"/>
  <c r="Q35" i="18"/>
  <c r="D37" i="19"/>
  <c r="Q40" i="18"/>
  <c r="Q14" i="18"/>
  <c r="D16" i="19"/>
  <c r="D40" i="19"/>
  <c r="Q38" i="18"/>
  <c r="K9" i="19"/>
  <c r="Q22" i="18"/>
  <c r="D24" i="19"/>
  <c r="Q17" i="18"/>
  <c r="D19" i="19"/>
  <c r="C19" i="19" s="1"/>
  <c r="Q7" i="18"/>
  <c r="D9" i="19"/>
  <c r="Q53" i="18"/>
  <c r="D54" i="19"/>
  <c r="Q49" i="18"/>
  <c r="D50" i="19"/>
  <c r="C50" i="19" s="1"/>
  <c r="Q56" i="18"/>
  <c r="D57" i="19"/>
  <c r="Q10" i="18"/>
  <c r="D12" i="19"/>
  <c r="C12" i="19" s="1"/>
  <c r="Q37" i="18"/>
  <c r="D39" i="19"/>
  <c r="Q48" i="18"/>
  <c r="D49" i="19"/>
  <c r="D32" i="19"/>
  <c r="Q30" i="18"/>
  <c r="Q34" i="18"/>
  <c r="D36" i="19"/>
  <c r="C36" i="19" s="1"/>
  <c r="D42" i="19"/>
  <c r="Q41" i="18"/>
  <c r="D52" i="19"/>
  <c r="Q51" i="18"/>
  <c r="Q44" i="18"/>
  <c r="D45" i="19"/>
  <c r="C45" i="19" s="1"/>
  <c r="D15" i="19"/>
  <c r="Q13" i="18"/>
  <c r="D34" i="19"/>
  <c r="Q32" i="18"/>
  <c r="Q46" i="18"/>
  <c r="D47" i="19"/>
  <c r="Q42" i="18"/>
  <c r="D43" i="19"/>
  <c r="K10" i="19"/>
  <c r="Q28" i="18"/>
  <c r="D30" i="19"/>
  <c r="C30" i="19" s="1"/>
  <c r="Q12" i="18"/>
  <c r="D14" i="19"/>
  <c r="Q31" i="18"/>
  <c r="D33" i="19"/>
  <c r="D61" i="19"/>
  <c r="Q60" i="18"/>
  <c r="D27" i="19"/>
  <c r="C27" i="19" s="1"/>
  <c r="Q25" i="18"/>
  <c r="D62" i="19"/>
  <c r="Q61" i="18"/>
  <c r="Q16" i="18"/>
  <c r="D18" i="19"/>
  <c r="C18" i="19" s="1"/>
  <c r="V91" i="18" l="1"/>
  <c r="V92" i="18"/>
  <c r="T91" i="18"/>
  <c r="T92" i="18"/>
  <c r="C42" i="19"/>
  <c r="P91" i="18"/>
  <c r="P92" i="18"/>
  <c r="C15" i="19"/>
  <c r="C17" i="19"/>
  <c r="C41" i="19"/>
  <c r="C39" i="19"/>
  <c r="C52" i="19"/>
  <c r="C13" i="19"/>
  <c r="M11" i="19"/>
  <c r="T93" i="18" s="1"/>
  <c r="U89" i="18"/>
  <c r="C61" i="19"/>
  <c r="F76" i="19"/>
  <c r="G12" i="20" s="1"/>
  <c r="C32" i="19"/>
  <c r="C34" i="19"/>
  <c r="C9" i="24"/>
  <c r="C17" i="24" s="1"/>
  <c r="D13" i="13"/>
  <c r="K23" i="13" s="1"/>
  <c r="L23" i="13" s="1"/>
  <c r="J11" i="20"/>
  <c r="C32" i="9"/>
  <c r="H13" i="16"/>
  <c r="I13" i="16" s="1"/>
  <c r="J13" i="16" s="1"/>
  <c r="C26" i="19"/>
  <c r="C28" i="19"/>
  <c r="C35" i="19"/>
  <c r="C56" i="19"/>
  <c r="C54" i="19"/>
  <c r="C22" i="19"/>
  <c r="C11" i="19"/>
  <c r="C48" i="19"/>
  <c r="C14" i="19"/>
  <c r="C62" i="19"/>
  <c r="C63" i="19"/>
  <c r="C25" i="19"/>
  <c r="C57" i="19"/>
  <c r="C47" i="19"/>
  <c r="C24" i="19"/>
  <c r="C37" i="19"/>
  <c r="C9" i="19"/>
  <c r="C33" i="19"/>
  <c r="J8" i="19"/>
  <c r="C29" i="19"/>
  <c r="C49" i="19"/>
  <c r="C58" i="19"/>
  <c r="C38" i="19"/>
  <c r="C46" i="19"/>
  <c r="J9" i="19"/>
  <c r="C21" i="19"/>
  <c r="J7" i="19"/>
  <c r="C16" i="19"/>
  <c r="C43" i="19"/>
  <c r="C44" i="19"/>
  <c r="G76" i="19"/>
  <c r="H12" i="20" s="1"/>
  <c r="N11" i="19"/>
  <c r="V93" i="18" s="1"/>
  <c r="W89" i="18"/>
  <c r="J10" i="19"/>
  <c r="C53" i="19"/>
  <c r="C40" i="19"/>
  <c r="D28" i="17"/>
  <c r="E28" i="17" s="1"/>
  <c r="D15" i="9"/>
  <c r="D32" i="13"/>
  <c r="E32" i="13" s="1"/>
  <c r="P28" i="1"/>
  <c r="R28" i="1"/>
  <c r="S28" i="1"/>
  <c r="Q89" i="18"/>
  <c r="K11" i="19"/>
  <c r="P93" i="18" s="1"/>
  <c r="J6" i="19"/>
  <c r="D76" i="19"/>
  <c r="E12" i="20" s="1"/>
  <c r="C8" i="19"/>
  <c r="E13" i="13" l="1"/>
  <c r="J11" i="19"/>
  <c r="C76" i="19"/>
  <c r="Q28" i="1"/>
  <c r="D21" i="9"/>
  <c r="C15" i="9"/>
  <c r="C21" i="9" s="1"/>
  <c r="D12" i="20"/>
  <c r="K12" i="20" s="1"/>
  <c r="F28" i="17"/>
  <c r="F32" i="13"/>
  <c r="L37" i="9"/>
  <c r="L45" i="9"/>
  <c r="L67" i="9" s="1"/>
  <c r="L50" i="9"/>
  <c r="L51" i="9"/>
  <c r="L55" i="9" s="1"/>
  <c r="L52" i="9"/>
  <c r="L57" i="9"/>
  <c r="L49" i="9" l="1"/>
  <c r="L53" i="9" s="1"/>
  <c r="L68" i="9"/>
  <c r="M15" i="14"/>
  <c r="M21" i="14" s="1"/>
  <c r="M20" i="14" l="1"/>
  <c r="M29" i="14" s="1"/>
  <c r="M39" i="14" s="1"/>
  <c r="M41" i="14"/>
  <c r="M24" i="14" l="1"/>
  <c r="M30" i="14" s="1"/>
  <c r="M33" i="14" l="1"/>
  <c r="M40" i="14"/>
  <c r="M34" i="14" l="1"/>
  <c r="M45" i="14" s="1"/>
  <c r="M48" i="14" l="1"/>
  <c r="M49" i="14" s="1"/>
  <c r="M53" i="14" s="1"/>
  <c r="M52" i="14" l="1"/>
  <c r="M54" i="14" s="1"/>
  <c r="M51" i="14"/>
  <c r="N37" i="9" l="1"/>
  <c r="N45" i="9"/>
  <c r="N67" i="9" s="1"/>
  <c r="N50" i="9"/>
  <c r="N51" i="9"/>
  <c r="N55" i="9" s="1"/>
  <c r="N52" i="9"/>
  <c r="N57" i="9"/>
  <c r="N49" i="9" l="1"/>
  <c r="N53" i="9" s="1"/>
  <c r="N68" i="9"/>
  <c r="O15" i="14"/>
  <c r="O21" i="14" l="1"/>
  <c r="O20" i="14"/>
  <c r="O41" i="14"/>
  <c r="O29" i="14" l="1"/>
  <c r="O39" i="14" s="1"/>
  <c r="O24" i="14"/>
  <c r="O30" i="14" l="1"/>
  <c r="O40" i="14" l="1"/>
  <c r="O33" i="14"/>
  <c r="O34" i="14" s="1"/>
  <c r="O45" i="14" s="1"/>
  <c r="O48" i="14" l="1"/>
  <c r="O49" i="14" s="1"/>
  <c r="O53" i="14" s="1"/>
  <c r="O52" i="14" l="1"/>
  <c r="O54" i="14" s="1"/>
  <c r="O51" i="14"/>
  <c r="O37" i="9"/>
  <c r="O45" i="9"/>
  <c r="O67" i="9" s="1"/>
  <c r="O50" i="9"/>
  <c r="O51" i="9"/>
  <c r="O55" i="9" s="1"/>
  <c r="O52" i="9"/>
  <c r="O57" i="9"/>
  <c r="O49" i="9" l="1"/>
  <c r="O53" i="9" s="1"/>
  <c r="P15" i="14"/>
  <c r="O68" i="9"/>
  <c r="P21" i="14" l="1"/>
  <c r="P20" i="14"/>
  <c r="P41" i="14"/>
  <c r="P29" i="14" l="1"/>
  <c r="P39" i="14" s="1"/>
  <c r="P24" i="14"/>
  <c r="P30" i="14" l="1"/>
  <c r="P40" i="14" l="1"/>
  <c r="P33" i="14"/>
  <c r="P34" i="14" s="1"/>
  <c r="P45" i="14" s="1"/>
  <c r="P48" i="14" l="1"/>
  <c r="P52" i="14" l="1"/>
  <c r="P51" i="14"/>
  <c r="P49" i="14"/>
  <c r="P53" i="14" s="1"/>
  <c r="M37" i="9"/>
  <c r="M45" i="9"/>
  <c r="M67" i="9" s="1"/>
  <c r="M50" i="9"/>
  <c r="M51" i="9"/>
  <c r="M55" i="9" s="1"/>
  <c r="M52" i="9"/>
  <c r="M57" i="9"/>
  <c r="M68" i="9" l="1"/>
  <c r="M49" i="9"/>
  <c r="M53" i="9" s="1"/>
  <c r="N15" i="14"/>
  <c r="P54" i="14"/>
  <c r="N21" i="14" l="1"/>
  <c r="N20" i="14"/>
  <c r="N41" i="14"/>
  <c r="N29" i="14" l="1"/>
  <c r="N39" i="14" s="1"/>
  <c r="N24" i="14"/>
  <c r="N30" i="14" l="1"/>
  <c r="N40" i="14" l="1"/>
  <c r="N33" i="14"/>
  <c r="N34" i="14" s="1"/>
  <c r="N45" i="14" s="1"/>
  <c r="N48" i="14" l="1"/>
  <c r="N49" i="14" s="1"/>
  <c r="N53" i="14" s="1"/>
  <c r="N52" i="14" l="1"/>
  <c r="N54" i="14" s="1"/>
  <c r="N51" i="14"/>
  <c r="E56" i="9" l="1"/>
  <c r="E58" i="9" s="1"/>
  <c r="F56" i="9"/>
  <c r="F58" i="9" s="1"/>
  <c r="G56" i="9"/>
  <c r="G58" i="9" s="1"/>
  <c r="H56" i="9"/>
  <c r="H58" i="9" s="1"/>
  <c r="I56" i="9"/>
  <c r="I58" i="9" s="1"/>
  <c r="J56" i="9"/>
  <c r="J58" i="9" s="1"/>
  <c r="K56" i="9"/>
  <c r="L56" i="9"/>
  <c r="L58" i="9" s="1"/>
  <c r="L70" i="9" s="1"/>
  <c r="M56" i="9"/>
  <c r="M58" i="9" s="1"/>
  <c r="M70" i="9" s="1"/>
  <c r="N56" i="9"/>
  <c r="N58" i="9" s="1"/>
  <c r="N70" i="9" s="1"/>
  <c r="O56" i="9"/>
  <c r="P56" i="9"/>
  <c r="Q56" i="9"/>
  <c r="R56" i="9"/>
  <c r="S56" i="9"/>
  <c r="T56" i="9"/>
  <c r="U56" i="9"/>
  <c r="V56" i="9"/>
  <c r="W56" i="9"/>
  <c r="X56" i="9"/>
  <c r="Y56" i="9"/>
  <c r="Z56" i="9"/>
  <c r="AA56" i="9"/>
  <c r="AB56" i="9"/>
  <c r="AB58" i="9" l="1"/>
  <c r="AB70" i="9" s="1"/>
  <c r="AA58" i="9"/>
  <c r="AA70" i="9" s="1"/>
  <c r="Z58" i="9"/>
  <c r="Z70" i="9" s="1"/>
  <c r="Y58" i="9"/>
  <c r="Y70" i="9" s="1"/>
  <c r="X58" i="9"/>
  <c r="X70" i="9" s="1"/>
  <c r="W58" i="9"/>
  <c r="W70" i="9" s="1"/>
  <c r="V58" i="9"/>
  <c r="V70" i="9" s="1"/>
  <c r="U58" i="9"/>
  <c r="U70" i="9" s="1"/>
  <c r="T58" i="9"/>
  <c r="T70" i="9" s="1"/>
  <c r="S58" i="9"/>
  <c r="S70" i="9" s="1"/>
  <c r="R58" i="9"/>
  <c r="R70" i="9" s="1"/>
  <c r="Q58" i="9"/>
  <c r="Q70" i="9" s="1"/>
  <c r="P58" i="9"/>
  <c r="P70" i="9" s="1"/>
  <c r="O58" i="9"/>
  <c r="O70" i="9" s="1"/>
  <c r="C56" i="9"/>
  <c r="C11" i="24" l="1"/>
  <c r="D55" i="9"/>
  <c r="AC105" i="21" l="1"/>
  <c r="AD105" i="21"/>
  <c r="AE105" i="21" l="1"/>
  <c r="AA105" i="21" s="1"/>
  <c r="AA7" i="21" l="1"/>
  <c r="C13" i="13" l="1"/>
  <c r="F13" i="13"/>
  <c r="C14" i="13"/>
  <c r="D14" i="13"/>
  <c r="E14" i="13"/>
  <c r="F14" i="13"/>
  <c r="D15" i="13"/>
  <c r="E15" i="13"/>
  <c r="F15" i="13"/>
  <c r="C23" i="13"/>
  <c r="K24" i="13"/>
  <c r="L24" i="13"/>
  <c r="K25" i="13"/>
  <c r="L25" i="13"/>
  <c r="K26" i="13"/>
  <c r="L26" i="13"/>
  <c r="K27" i="13"/>
  <c r="L27" i="13"/>
  <c r="C30" i="13"/>
  <c r="K31" i="13"/>
  <c r="L31" i="13"/>
  <c r="K32" i="13"/>
  <c r="L32" i="13"/>
  <c r="D33" i="13"/>
  <c r="E33" i="13"/>
  <c r="F33" i="13"/>
  <c r="K33" i="13"/>
  <c r="C34" i="13"/>
  <c r="D34" i="13"/>
  <c r="E34" i="13"/>
  <c r="F34" i="13"/>
  <c r="J35" i="13"/>
  <c r="K35" i="13"/>
  <c r="L35" i="13"/>
  <c r="D36" i="13"/>
  <c r="E36" i="13"/>
  <c r="F36" i="13"/>
  <c r="K36" i="13"/>
  <c r="L36" i="13"/>
  <c r="E40" i="13"/>
  <c r="F40" i="13"/>
  <c r="D48" i="13"/>
  <c r="D49" i="13"/>
  <c r="D50" i="13"/>
  <c r="K59" i="13"/>
  <c r="K60" i="13"/>
  <c r="K61" i="13"/>
  <c r="O2" i="25"/>
  <c r="O4" i="25"/>
  <c r="O5" i="25"/>
  <c r="D38" i="25"/>
  <c r="E38" i="25"/>
  <c r="F38" i="25"/>
  <c r="D39" i="25"/>
  <c r="E39" i="25"/>
  <c r="F39" i="25"/>
  <c r="D40" i="25"/>
  <c r="E40" i="25"/>
  <c r="F40" i="25"/>
  <c r="D43" i="25"/>
  <c r="E43" i="25"/>
  <c r="F43" i="25"/>
  <c r="D44" i="25"/>
  <c r="E44" i="25"/>
  <c r="F44" i="25"/>
  <c r="D57" i="25"/>
  <c r="E57" i="25"/>
  <c r="F57" i="25"/>
  <c r="D61" i="25"/>
  <c r="E61" i="25"/>
  <c r="F61" i="25"/>
  <c r="D5" i="14"/>
  <c r="E5" i="14"/>
  <c r="D6" i="14"/>
  <c r="E6" i="14"/>
  <c r="D9" i="14"/>
  <c r="E9" i="14"/>
  <c r="F9" i="14"/>
  <c r="D10" i="14"/>
  <c r="E10" i="14"/>
  <c r="F10" i="14"/>
  <c r="D11" i="14"/>
  <c r="E11" i="14"/>
  <c r="F11" i="14"/>
  <c r="E15" i="14"/>
  <c r="F15" i="14"/>
  <c r="G15" i="14"/>
  <c r="H15" i="14"/>
  <c r="I15" i="14"/>
  <c r="J15" i="14"/>
  <c r="K15" i="14"/>
  <c r="L15" i="14"/>
  <c r="F18" i="14"/>
  <c r="G18" i="14"/>
  <c r="H18" i="14"/>
  <c r="I18" i="14"/>
  <c r="J18" i="14"/>
  <c r="K18" i="14"/>
  <c r="L18" i="14"/>
  <c r="M18" i="14"/>
  <c r="N18" i="14"/>
  <c r="O18" i="14"/>
  <c r="P18" i="14"/>
  <c r="Q18" i="14"/>
  <c r="R18" i="14"/>
  <c r="S18" i="14"/>
  <c r="T18" i="14"/>
  <c r="U18" i="14"/>
  <c r="V18" i="14"/>
  <c r="W18" i="14"/>
  <c r="X18" i="14"/>
  <c r="Y18" i="14"/>
  <c r="Z18" i="14"/>
  <c r="AA18" i="14"/>
  <c r="AB18" i="14"/>
  <c r="AC18" i="14"/>
  <c r="AD18" i="14"/>
  <c r="AE18" i="14"/>
  <c r="AF18" i="14"/>
  <c r="AG18" i="14"/>
  <c r="AH18" i="14"/>
  <c r="AI18" i="14"/>
  <c r="AJ18" i="14"/>
  <c r="AK18" i="14"/>
  <c r="AL18" i="14"/>
  <c r="AM18" i="14"/>
  <c r="AN18" i="14"/>
  <c r="AO18" i="14"/>
  <c r="AP18" i="14"/>
  <c r="AQ18" i="14"/>
  <c r="AR18" i="14"/>
  <c r="AS18" i="14"/>
  <c r="AT18" i="14"/>
  <c r="AU18" i="14"/>
  <c r="AV18" i="14"/>
  <c r="AW18" i="14"/>
  <c r="AX18" i="14"/>
  <c r="AY18" i="14"/>
  <c r="AZ18" i="14"/>
  <c r="F19" i="14"/>
  <c r="G19" i="14"/>
  <c r="H19" i="14"/>
  <c r="I19" i="14"/>
  <c r="J19" i="14"/>
  <c r="K19" i="14"/>
  <c r="L19" i="14"/>
  <c r="M19" i="14"/>
  <c r="N19" i="14"/>
  <c r="O19" i="14"/>
  <c r="P19" i="14"/>
  <c r="Q19" i="14"/>
  <c r="R19" i="14"/>
  <c r="S19" i="14"/>
  <c r="T19" i="14"/>
  <c r="U19" i="14"/>
  <c r="V19" i="14"/>
  <c r="W19" i="14"/>
  <c r="X19" i="14"/>
  <c r="Y19" i="14"/>
  <c r="Z19" i="14"/>
  <c r="AA19" i="14"/>
  <c r="AB19" i="14"/>
  <c r="AC19" i="14"/>
  <c r="AD19" i="14"/>
  <c r="AE19" i="14"/>
  <c r="AF19" i="14"/>
  <c r="AG19" i="14"/>
  <c r="AH19" i="14"/>
  <c r="AI19" i="14"/>
  <c r="AJ19" i="14"/>
  <c r="AK19" i="14"/>
  <c r="AL19" i="14"/>
  <c r="AM19" i="14"/>
  <c r="AN19" i="14"/>
  <c r="AO19" i="14"/>
  <c r="AP19" i="14"/>
  <c r="AQ19" i="14"/>
  <c r="AR19" i="14"/>
  <c r="AS19" i="14"/>
  <c r="AT19" i="14"/>
  <c r="AU19" i="14"/>
  <c r="AV19" i="14"/>
  <c r="AW19" i="14"/>
  <c r="AX19" i="14"/>
  <c r="AY19" i="14"/>
  <c r="AZ19" i="14"/>
  <c r="E20" i="14"/>
  <c r="F20" i="14"/>
  <c r="G20" i="14"/>
  <c r="H20" i="14"/>
  <c r="I20" i="14"/>
  <c r="J20" i="14"/>
  <c r="K20" i="14"/>
  <c r="L20" i="14"/>
  <c r="F21" i="14"/>
  <c r="G21" i="14"/>
  <c r="H21" i="14"/>
  <c r="I21" i="14"/>
  <c r="J21" i="14"/>
  <c r="K21" i="14"/>
  <c r="L21" i="14"/>
  <c r="F22" i="14"/>
  <c r="G22" i="14"/>
  <c r="H22" i="14"/>
  <c r="I22" i="14"/>
  <c r="J22" i="14"/>
  <c r="K22" i="14"/>
  <c r="L22" i="14"/>
  <c r="M22" i="14"/>
  <c r="N22" i="14"/>
  <c r="O22" i="14"/>
  <c r="P22" i="14"/>
  <c r="Q22" i="14"/>
  <c r="R22" i="14"/>
  <c r="S22" i="14"/>
  <c r="T22" i="14"/>
  <c r="U22" i="14"/>
  <c r="V22" i="14"/>
  <c r="W22" i="14"/>
  <c r="X22" i="14"/>
  <c r="Y22" i="14"/>
  <c r="Z22" i="14"/>
  <c r="AA22" i="14"/>
  <c r="AB22" i="14"/>
  <c r="AC22" i="14"/>
  <c r="AD22" i="14"/>
  <c r="AE22" i="14"/>
  <c r="AF22" i="14"/>
  <c r="AG22" i="14"/>
  <c r="AH22" i="14"/>
  <c r="AI22" i="14"/>
  <c r="AJ22" i="14"/>
  <c r="AK22" i="14"/>
  <c r="AL22" i="14"/>
  <c r="AM22" i="14"/>
  <c r="AN22" i="14"/>
  <c r="AO22" i="14"/>
  <c r="AP22" i="14"/>
  <c r="AQ22" i="14"/>
  <c r="AR22" i="14"/>
  <c r="AS22" i="14"/>
  <c r="AT22" i="14"/>
  <c r="AU22" i="14"/>
  <c r="AV22" i="14"/>
  <c r="AW22" i="14"/>
  <c r="AX22" i="14"/>
  <c r="AY22" i="14"/>
  <c r="AZ22" i="14"/>
  <c r="F24" i="14"/>
  <c r="G24" i="14"/>
  <c r="H24" i="14"/>
  <c r="I24" i="14"/>
  <c r="J24" i="14"/>
  <c r="K24" i="14"/>
  <c r="L24" i="14"/>
  <c r="F27" i="14"/>
  <c r="G27" i="14"/>
  <c r="H27" i="14"/>
  <c r="I27" i="14"/>
  <c r="J27" i="14"/>
  <c r="K27" i="14"/>
  <c r="L27" i="14"/>
  <c r="M27" i="14"/>
  <c r="N27" i="14"/>
  <c r="O27" i="14"/>
  <c r="P27" i="14"/>
  <c r="Q27" i="14"/>
  <c r="R27" i="14"/>
  <c r="S27" i="14"/>
  <c r="T27" i="14"/>
  <c r="U27" i="14"/>
  <c r="V27" i="14"/>
  <c r="W27" i="14"/>
  <c r="X27" i="14"/>
  <c r="Y27" i="14"/>
  <c r="Z27" i="14"/>
  <c r="AA27" i="14"/>
  <c r="AB27" i="14"/>
  <c r="AC27" i="14"/>
  <c r="AD27" i="14"/>
  <c r="AE27" i="14"/>
  <c r="AF27" i="14"/>
  <c r="AG27" i="14"/>
  <c r="AH27" i="14"/>
  <c r="AI27" i="14"/>
  <c r="AJ27" i="14"/>
  <c r="AK27" i="14"/>
  <c r="AL27" i="14"/>
  <c r="AM27" i="14"/>
  <c r="AN27" i="14"/>
  <c r="AO27" i="14"/>
  <c r="AP27" i="14"/>
  <c r="AQ27" i="14"/>
  <c r="AR27" i="14"/>
  <c r="AS27" i="14"/>
  <c r="AT27" i="14"/>
  <c r="AU27" i="14"/>
  <c r="AV27" i="14"/>
  <c r="AW27" i="14"/>
  <c r="AX27" i="14"/>
  <c r="AY27" i="14"/>
  <c r="AZ27" i="14"/>
  <c r="F28" i="14"/>
  <c r="G28" i="14"/>
  <c r="H28" i="14"/>
  <c r="I28" i="14"/>
  <c r="J28" i="14"/>
  <c r="K28" i="14"/>
  <c r="L28" i="14"/>
  <c r="M28" i="14"/>
  <c r="N28" i="14"/>
  <c r="O28" i="14"/>
  <c r="P28" i="14"/>
  <c r="Q28" i="14"/>
  <c r="R28" i="14"/>
  <c r="S28" i="14"/>
  <c r="T28" i="14"/>
  <c r="U28" i="14"/>
  <c r="V28" i="14"/>
  <c r="W28" i="14"/>
  <c r="X28" i="14"/>
  <c r="Y28" i="14"/>
  <c r="Z28" i="14"/>
  <c r="AA28" i="14"/>
  <c r="AB28" i="14"/>
  <c r="AC28" i="14"/>
  <c r="AD28" i="14"/>
  <c r="AE28" i="14"/>
  <c r="AF28" i="14"/>
  <c r="AG28" i="14"/>
  <c r="AH28" i="14"/>
  <c r="AI28" i="14"/>
  <c r="AJ28" i="14"/>
  <c r="AK28" i="14"/>
  <c r="AL28" i="14"/>
  <c r="AM28" i="14"/>
  <c r="AN28" i="14"/>
  <c r="AO28" i="14"/>
  <c r="AP28" i="14"/>
  <c r="AQ28" i="14"/>
  <c r="AR28" i="14"/>
  <c r="AS28" i="14"/>
  <c r="AT28" i="14"/>
  <c r="AU28" i="14"/>
  <c r="AV28" i="14"/>
  <c r="AW28" i="14"/>
  <c r="AX28" i="14"/>
  <c r="AY28" i="14"/>
  <c r="AZ28" i="14"/>
  <c r="E29" i="14"/>
  <c r="F29" i="14"/>
  <c r="G29" i="14"/>
  <c r="H29" i="14"/>
  <c r="I29" i="14"/>
  <c r="J29" i="14"/>
  <c r="K29" i="14"/>
  <c r="L29" i="14"/>
  <c r="F30" i="14"/>
  <c r="G30" i="14"/>
  <c r="H30" i="14"/>
  <c r="I30" i="14"/>
  <c r="J30" i="14"/>
  <c r="K30" i="14"/>
  <c r="L30" i="14"/>
  <c r="F31" i="14"/>
  <c r="G31" i="14"/>
  <c r="H31" i="14"/>
  <c r="I31" i="14"/>
  <c r="J31" i="14"/>
  <c r="K31" i="14"/>
  <c r="L31" i="14"/>
  <c r="M31" i="14"/>
  <c r="N31" i="14"/>
  <c r="O31" i="14"/>
  <c r="P31" i="14"/>
  <c r="Q31" i="14"/>
  <c r="R31" i="14"/>
  <c r="S31" i="14"/>
  <c r="T31" i="14"/>
  <c r="U31" i="14"/>
  <c r="V31" i="14"/>
  <c r="W31" i="14"/>
  <c r="X31" i="14"/>
  <c r="Y31" i="14"/>
  <c r="Z31" i="14"/>
  <c r="AA31" i="14"/>
  <c r="AB31" i="14"/>
  <c r="AC31" i="14"/>
  <c r="AD31" i="14"/>
  <c r="AE31" i="14"/>
  <c r="AF31" i="14"/>
  <c r="AG31" i="14"/>
  <c r="AH31" i="14"/>
  <c r="AI31" i="14"/>
  <c r="AJ31" i="14"/>
  <c r="AK31" i="14"/>
  <c r="AL31" i="14"/>
  <c r="AM31" i="14"/>
  <c r="AN31" i="14"/>
  <c r="AO31" i="14"/>
  <c r="AP31" i="14"/>
  <c r="AQ31" i="14"/>
  <c r="AR31" i="14"/>
  <c r="AS31" i="14"/>
  <c r="AT31" i="14"/>
  <c r="AU31" i="14"/>
  <c r="AV31" i="14"/>
  <c r="AW31" i="14"/>
  <c r="AX31" i="14"/>
  <c r="AY31" i="14"/>
  <c r="AZ31" i="14"/>
  <c r="F33" i="14"/>
  <c r="G33" i="14"/>
  <c r="H33" i="14"/>
  <c r="I33" i="14"/>
  <c r="J33" i="14"/>
  <c r="K33" i="14"/>
  <c r="L33" i="14"/>
  <c r="F34" i="14"/>
  <c r="G34" i="14"/>
  <c r="H34" i="14"/>
  <c r="I34" i="14"/>
  <c r="J34" i="14"/>
  <c r="K34" i="14"/>
  <c r="L34" i="14"/>
  <c r="F37" i="14"/>
  <c r="G37" i="14"/>
  <c r="H37" i="14"/>
  <c r="I37" i="14"/>
  <c r="J37" i="14"/>
  <c r="K37" i="14"/>
  <c r="L37" i="14"/>
  <c r="M37" i="14"/>
  <c r="N37" i="14"/>
  <c r="O37" i="14"/>
  <c r="P37" i="14"/>
  <c r="Q37" i="14"/>
  <c r="R37" i="14"/>
  <c r="S37" i="14"/>
  <c r="T37" i="14"/>
  <c r="U37" i="14"/>
  <c r="V37" i="14"/>
  <c r="W37" i="14"/>
  <c r="X37" i="14"/>
  <c r="Y37" i="14"/>
  <c r="Z37" i="14"/>
  <c r="AA37" i="14"/>
  <c r="AB37" i="14"/>
  <c r="AC37" i="14"/>
  <c r="AD37" i="14"/>
  <c r="AE37" i="14"/>
  <c r="AF37" i="14"/>
  <c r="AG37" i="14"/>
  <c r="AH37" i="14"/>
  <c r="AI37" i="14"/>
  <c r="AJ37" i="14"/>
  <c r="AK37" i="14"/>
  <c r="AL37" i="14"/>
  <c r="AM37" i="14"/>
  <c r="AN37" i="14"/>
  <c r="AO37" i="14"/>
  <c r="AP37" i="14"/>
  <c r="AQ37" i="14"/>
  <c r="AR37" i="14"/>
  <c r="AS37" i="14"/>
  <c r="AT37" i="14"/>
  <c r="AU37" i="14"/>
  <c r="AV37" i="14"/>
  <c r="AW37" i="14"/>
  <c r="AX37" i="14"/>
  <c r="AY37" i="14"/>
  <c r="AZ37" i="14"/>
  <c r="F38" i="14"/>
  <c r="G38" i="14"/>
  <c r="H38" i="14"/>
  <c r="I38" i="14"/>
  <c r="J38" i="14"/>
  <c r="K38" i="14"/>
  <c r="L38" i="14"/>
  <c r="M38" i="14"/>
  <c r="N38" i="14"/>
  <c r="O38" i="14"/>
  <c r="P38" i="14"/>
  <c r="Q38" i="14"/>
  <c r="R38" i="14"/>
  <c r="S38" i="14"/>
  <c r="T38" i="14"/>
  <c r="U38" i="14"/>
  <c r="V38" i="14"/>
  <c r="W38" i="14"/>
  <c r="X38" i="14"/>
  <c r="Y38" i="14"/>
  <c r="Z38" i="14"/>
  <c r="AA38" i="14"/>
  <c r="AB38" i="14"/>
  <c r="AC38" i="14"/>
  <c r="AD38" i="14"/>
  <c r="AE38" i="14"/>
  <c r="AF38" i="14"/>
  <c r="AG38" i="14"/>
  <c r="AH38" i="14"/>
  <c r="AI38" i="14"/>
  <c r="AJ38" i="14"/>
  <c r="AK38" i="14"/>
  <c r="AL38" i="14"/>
  <c r="AM38" i="14"/>
  <c r="AN38" i="14"/>
  <c r="AO38" i="14"/>
  <c r="AP38" i="14"/>
  <c r="AQ38" i="14"/>
  <c r="AR38" i="14"/>
  <c r="AS38" i="14"/>
  <c r="AT38" i="14"/>
  <c r="AU38" i="14"/>
  <c r="AV38" i="14"/>
  <c r="AW38" i="14"/>
  <c r="AX38" i="14"/>
  <c r="AY38" i="14"/>
  <c r="AZ38" i="14"/>
  <c r="E39" i="14"/>
  <c r="F39" i="14"/>
  <c r="G39" i="14"/>
  <c r="H39" i="14"/>
  <c r="I39" i="14"/>
  <c r="J39" i="14"/>
  <c r="K39" i="14"/>
  <c r="L39" i="14"/>
  <c r="F40" i="14"/>
  <c r="G40" i="14"/>
  <c r="H40" i="14"/>
  <c r="I40" i="14"/>
  <c r="J40" i="14"/>
  <c r="K40" i="14"/>
  <c r="L40" i="14"/>
  <c r="F41" i="14"/>
  <c r="G41" i="14"/>
  <c r="H41" i="14"/>
  <c r="I41" i="14"/>
  <c r="J41" i="14"/>
  <c r="K41" i="14"/>
  <c r="L41" i="14"/>
  <c r="F42" i="14"/>
  <c r="G42" i="14"/>
  <c r="H42" i="14"/>
  <c r="I42" i="14"/>
  <c r="J42" i="14"/>
  <c r="K42" i="14"/>
  <c r="L42" i="14"/>
  <c r="M42" i="14"/>
  <c r="N42" i="14"/>
  <c r="O42" i="14"/>
  <c r="P42" i="14"/>
  <c r="Q42" i="14"/>
  <c r="R42" i="14"/>
  <c r="S42" i="14"/>
  <c r="T42" i="14"/>
  <c r="U42" i="14"/>
  <c r="V42" i="14"/>
  <c r="W42" i="14"/>
  <c r="X42" i="14"/>
  <c r="Y42" i="14"/>
  <c r="Z42" i="14"/>
  <c r="AA42" i="14"/>
  <c r="AB42" i="14"/>
  <c r="AC42" i="14"/>
  <c r="AD42" i="14"/>
  <c r="AE42" i="14"/>
  <c r="AF42" i="14"/>
  <c r="AG42" i="14"/>
  <c r="AH42" i="14"/>
  <c r="AI42" i="14"/>
  <c r="AJ42" i="14"/>
  <c r="AK42" i="14"/>
  <c r="AL42" i="14"/>
  <c r="AM42" i="14"/>
  <c r="AN42" i="14"/>
  <c r="AO42" i="14"/>
  <c r="AP42" i="14"/>
  <c r="AQ42" i="14"/>
  <c r="AR42" i="14"/>
  <c r="AS42" i="14"/>
  <c r="AT42" i="14"/>
  <c r="AU42" i="14"/>
  <c r="AV42" i="14"/>
  <c r="AW42" i="14"/>
  <c r="AX42" i="14"/>
  <c r="AY42" i="14"/>
  <c r="AZ42" i="14"/>
  <c r="F44" i="14"/>
  <c r="F45" i="14"/>
  <c r="G45" i="14"/>
  <c r="H45" i="14"/>
  <c r="I45" i="14"/>
  <c r="J45" i="14"/>
  <c r="K45" i="14"/>
  <c r="L45" i="14"/>
  <c r="F48" i="14"/>
  <c r="G48" i="14"/>
  <c r="H48" i="14"/>
  <c r="I48" i="14"/>
  <c r="J48" i="14"/>
  <c r="K48" i="14"/>
  <c r="L48" i="14"/>
  <c r="F49" i="14"/>
  <c r="G49" i="14"/>
  <c r="H49" i="14"/>
  <c r="I49" i="14"/>
  <c r="J49" i="14"/>
  <c r="K49" i="14"/>
  <c r="L49" i="14"/>
  <c r="E51" i="14"/>
  <c r="F51" i="14"/>
  <c r="G51" i="14"/>
  <c r="H51" i="14"/>
  <c r="I51" i="14"/>
  <c r="J51" i="14"/>
  <c r="K51" i="14"/>
  <c r="L51" i="14"/>
  <c r="E52" i="14"/>
  <c r="F52" i="14"/>
  <c r="G52" i="14"/>
  <c r="H52" i="14"/>
  <c r="I52" i="14"/>
  <c r="J52" i="14"/>
  <c r="K52" i="14"/>
  <c r="L52" i="14"/>
  <c r="F53" i="14"/>
  <c r="G53" i="14"/>
  <c r="H53" i="14"/>
  <c r="I53" i="14"/>
  <c r="J53" i="14"/>
  <c r="K53" i="14"/>
  <c r="L53" i="14"/>
  <c r="E54" i="14"/>
  <c r="F54" i="14"/>
  <c r="G54" i="14"/>
  <c r="H54" i="14"/>
  <c r="I54" i="14"/>
  <c r="J54" i="14"/>
  <c r="K54" i="14"/>
  <c r="L54" i="14"/>
  <c r="E56" i="14"/>
  <c r="F56" i="14"/>
  <c r="G56" i="14"/>
  <c r="H56" i="14"/>
  <c r="I56" i="14"/>
  <c r="J56" i="14"/>
  <c r="K56" i="14"/>
  <c r="L56" i="14"/>
  <c r="M56" i="14"/>
  <c r="N56" i="14"/>
  <c r="O56" i="14"/>
  <c r="P56" i="14"/>
  <c r="Q56" i="14"/>
  <c r="R56" i="14"/>
  <c r="S56" i="14"/>
  <c r="T56" i="14"/>
  <c r="U56" i="14"/>
  <c r="V56" i="14"/>
  <c r="W56" i="14"/>
  <c r="X56" i="14"/>
  <c r="Y56" i="14"/>
  <c r="Z56" i="14"/>
  <c r="AA56" i="14"/>
  <c r="AB56" i="14"/>
  <c r="AC56" i="14"/>
  <c r="AD56" i="14"/>
  <c r="AE56" i="14"/>
  <c r="AF56" i="14"/>
  <c r="AG56" i="14"/>
  <c r="AH56" i="14"/>
  <c r="AI56" i="14"/>
  <c r="AJ56" i="14"/>
  <c r="AK56" i="14"/>
  <c r="AL56" i="14"/>
  <c r="AM56" i="14"/>
  <c r="AN56" i="14"/>
  <c r="AO56" i="14"/>
  <c r="AP56" i="14"/>
  <c r="AQ56" i="14"/>
  <c r="AR56" i="14"/>
  <c r="AS56" i="14"/>
  <c r="AT56" i="14"/>
  <c r="AU56" i="14"/>
  <c r="AV56" i="14"/>
  <c r="AW56" i="14"/>
  <c r="AX56" i="14"/>
  <c r="AY56" i="14"/>
  <c r="AZ56" i="14"/>
  <c r="E60" i="14"/>
  <c r="E61" i="14"/>
  <c r="E62" i="14"/>
  <c r="E63" i="14"/>
  <c r="P3" i="17"/>
  <c r="Q5" i="17"/>
  <c r="C13" i="17"/>
  <c r="F13" i="17"/>
  <c r="C14" i="17"/>
  <c r="D14" i="17"/>
  <c r="E14" i="17"/>
  <c r="F14" i="17"/>
  <c r="D15" i="17"/>
  <c r="E15" i="17"/>
  <c r="F15" i="17"/>
  <c r="J17" i="17"/>
  <c r="K17" i="17"/>
  <c r="J18" i="17"/>
  <c r="K18" i="17"/>
  <c r="K21" i="17"/>
  <c r="K22" i="17"/>
  <c r="D29" i="17"/>
  <c r="E29" i="17"/>
  <c r="F29" i="17"/>
  <c r="D30" i="17"/>
  <c r="E30" i="17"/>
  <c r="F30" i="17"/>
  <c r="D31" i="17"/>
  <c r="E31" i="17"/>
  <c r="F31" i="17"/>
  <c r="D9" i="24"/>
  <c r="C10" i="24"/>
  <c r="D10" i="24"/>
  <c r="D11" i="24"/>
  <c r="C12" i="24"/>
  <c r="D12" i="24"/>
  <c r="C24" i="24"/>
  <c r="C25" i="24"/>
  <c r="C26" i="24"/>
  <c r="N6" i="1"/>
  <c r="P6" i="1"/>
  <c r="Q6" i="1"/>
  <c r="N7" i="1"/>
  <c r="O7" i="1"/>
  <c r="P7" i="1"/>
  <c r="O8" i="1"/>
  <c r="P8" i="1"/>
  <c r="Q8" i="1"/>
  <c r="O29" i="1"/>
  <c r="P29" i="1"/>
  <c r="Q29" i="1"/>
  <c r="R29" i="1"/>
  <c r="S29" i="1"/>
  <c r="O30" i="1"/>
  <c r="P30" i="1"/>
  <c r="Q30" i="1"/>
  <c r="R30" i="1"/>
  <c r="S30" i="1"/>
  <c r="O32" i="1"/>
  <c r="P32" i="1"/>
  <c r="Q32" i="1"/>
  <c r="R32" i="1"/>
  <c r="S32" i="1"/>
  <c r="D107" i="1"/>
  <c r="D108" i="1"/>
  <c r="H14" i="16"/>
  <c r="I14" i="16"/>
  <c r="J14" i="16"/>
  <c r="H15" i="16"/>
  <c r="I15" i="16"/>
  <c r="J15" i="16"/>
  <c r="E23" i="16"/>
  <c r="D24" i="16"/>
  <c r="E24" i="16"/>
  <c r="H24" i="16"/>
  <c r="I24" i="16"/>
  <c r="J24" i="16"/>
  <c r="H25" i="16"/>
  <c r="I25" i="16"/>
  <c r="J25" i="16"/>
  <c r="D29" i="16"/>
  <c r="E29" i="16"/>
  <c r="E30" i="16"/>
  <c r="E31" i="16"/>
  <c r="E32" i="16"/>
  <c r="E33" i="16"/>
  <c r="E34" i="16"/>
  <c r="J11" i="29"/>
  <c r="L11" i="29"/>
  <c r="J12" i="29"/>
  <c r="J13" i="29"/>
  <c r="L13" i="29"/>
  <c r="J14" i="29"/>
  <c r="L14" i="29"/>
  <c r="C24" i="29"/>
  <c r="D24" i="29"/>
  <c r="C27" i="29"/>
  <c r="D27" i="29"/>
  <c r="C30" i="29"/>
  <c r="D30" i="29"/>
  <c r="C31" i="29"/>
  <c r="D31" i="29"/>
  <c r="C34" i="29"/>
  <c r="D34" i="29"/>
  <c r="E33" i="9"/>
  <c r="F33" i="9"/>
  <c r="G33" i="9"/>
  <c r="H33" i="9"/>
  <c r="I33" i="9"/>
  <c r="J33" i="9"/>
  <c r="K33" i="9"/>
  <c r="L33" i="9"/>
  <c r="M33" i="9"/>
  <c r="N33" i="9"/>
  <c r="O33" i="9"/>
  <c r="P33" i="9"/>
  <c r="Q33" i="9"/>
  <c r="R33" i="9"/>
  <c r="S33" i="9"/>
  <c r="T33" i="9"/>
  <c r="U33" i="9"/>
  <c r="V33" i="9"/>
  <c r="W33" i="9"/>
  <c r="X33" i="9"/>
  <c r="Y33" i="9"/>
  <c r="Z33" i="9"/>
  <c r="AA33" i="9"/>
  <c r="AB33" i="9"/>
  <c r="C34" i="9"/>
  <c r="D34" i="9"/>
  <c r="E34" i="9"/>
  <c r="F34" i="9"/>
  <c r="G34" i="9"/>
  <c r="H34" i="9"/>
  <c r="I34" i="9"/>
  <c r="J34" i="9"/>
  <c r="K34" i="9"/>
  <c r="L34" i="9"/>
  <c r="M34" i="9"/>
  <c r="N34" i="9"/>
  <c r="O34" i="9"/>
  <c r="P34" i="9"/>
  <c r="Q34" i="9"/>
  <c r="R34" i="9"/>
  <c r="S34" i="9"/>
  <c r="T34" i="9"/>
  <c r="U34" i="9"/>
  <c r="V34" i="9"/>
  <c r="W34" i="9"/>
  <c r="X34" i="9"/>
  <c r="Y34" i="9"/>
  <c r="Z34" i="9"/>
  <c r="AA34" i="9"/>
  <c r="AB34" i="9"/>
  <c r="C35" i="9"/>
  <c r="E35" i="9"/>
  <c r="F35" i="9"/>
  <c r="G35" i="9"/>
  <c r="H35" i="9"/>
  <c r="I35" i="9"/>
  <c r="J35" i="9"/>
  <c r="K35" i="9"/>
  <c r="L35" i="9"/>
  <c r="M35" i="9"/>
  <c r="N35" i="9"/>
  <c r="O35" i="9"/>
  <c r="P35" i="9"/>
  <c r="Q35" i="9"/>
  <c r="R35" i="9"/>
  <c r="S35" i="9"/>
  <c r="T35" i="9"/>
  <c r="U35" i="9"/>
  <c r="V35" i="9"/>
  <c r="W35" i="9"/>
  <c r="X35" i="9"/>
  <c r="Y35" i="9"/>
  <c r="Z35" i="9"/>
  <c r="AA35" i="9"/>
  <c r="AB35" i="9"/>
  <c r="C36" i="9"/>
  <c r="E36" i="9"/>
  <c r="F36" i="9"/>
  <c r="G36" i="9"/>
  <c r="H36" i="9"/>
  <c r="I36" i="9"/>
  <c r="J36" i="9"/>
  <c r="K36" i="9"/>
  <c r="L36" i="9"/>
  <c r="M36" i="9"/>
  <c r="N36" i="9"/>
  <c r="O36" i="9"/>
  <c r="P36" i="9"/>
  <c r="Q36" i="9"/>
  <c r="R36" i="9"/>
  <c r="S36" i="9"/>
  <c r="T36" i="9"/>
  <c r="U36" i="9"/>
  <c r="V36" i="9"/>
  <c r="W36" i="9"/>
  <c r="X36" i="9"/>
  <c r="Y36" i="9"/>
  <c r="Z36" i="9"/>
  <c r="AA36" i="9"/>
  <c r="AB36" i="9"/>
  <c r="C37" i="9"/>
  <c r="K37" i="9"/>
  <c r="D38" i="9"/>
  <c r="E38" i="9"/>
  <c r="F38" i="9"/>
  <c r="G38" i="9"/>
  <c r="H38" i="9"/>
  <c r="I38" i="9"/>
  <c r="J38" i="9"/>
  <c r="K38" i="9"/>
  <c r="L38" i="9"/>
  <c r="M38" i="9"/>
  <c r="N38" i="9"/>
  <c r="O38" i="9"/>
  <c r="P38" i="9"/>
  <c r="Q38" i="9"/>
  <c r="R38" i="9"/>
  <c r="S38" i="9"/>
  <c r="T38" i="9"/>
  <c r="U38" i="9"/>
  <c r="V38" i="9"/>
  <c r="W38" i="9"/>
  <c r="X38" i="9"/>
  <c r="Y38" i="9"/>
  <c r="Z38" i="9"/>
  <c r="AA38" i="9"/>
  <c r="AB38" i="9"/>
  <c r="D41" i="9"/>
  <c r="E41" i="9"/>
  <c r="F41" i="9"/>
  <c r="G41" i="9"/>
  <c r="H41" i="9"/>
  <c r="I41" i="9"/>
  <c r="J41" i="9"/>
  <c r="K41" i="9"/>
  <c r="L41" i="9"/>
  <c r="M41" i="9"/>
  <c r="N41" i="9"/>
  <c r="O41" i="9"/>
  <c r="P41" i="9"/>
  <c r="Q41" i="9"/>
  <c r="R41" i="9"/>
  <c r="S41" i="9"/>
  <c r="T41" i="9"/>
  <c r="U41" i="9"/>
  <c r="V41" i="9"/>
  <c r="W41" i="9"/>
  <c r="X41" i="9"/>
  <c r="Y41" i="9"/>
  <c r="Z41" i="9"/>
  <c r="AA41" i="9"/>
  <c r="AB41" i="9"/>
  <c r="C42" i="9"/>
  <c r="D42" i="9"/>
  <c r="E42" i="9"/>
  <c r="F42" i="9"/>
  <c r="G42" i="9"/>
  <c r="H42" i="9"/>
  <c r="I42" i="9"/>
  <c r="J42" i="9"/>
  <c r="K42" i="9"/>
  <c r="L42" i="9"/>
  <c r="M42" i="9"/>
  <c r="N42" i="9"/>
  <c r="O42" i="9"/>
  <c r="P42" i="9"/>
  <c r="Q42" i="9"/>
  <c r="R42" i="9"/>
  <c r="S42" i="9"/>
  <c r="T42" i="9"/>
  <c r="U42" i="9"/>
  <c r="V42" i="9"/>
  <c r="W42" i="9"/>
  <c r="X42" i="9"/>
  <c r="Y42" i="9"/>
  <c r="Z42" i="9"/>
  <c r="AA42" i="9"/>
  <c r="AB42" i="9"/>
  <c r="D43" i="9"/>
  <c r="E43" i="9"/>
  <c r="F43" i="9"/>
  <c r="G43" i="9"/>
  <c r="H43" i="9"/>
  <c r="I43" i="9"/>
  <c r="J43" i="9"/>
  <c r="K43" i="9"/>
  <c r="L43" i="9"/>
  <c r="M43" i="9"/>
  <c r="N43" i="9"/>
  <c r="O43" i="9"/>
  <c r="P43" i="9"/>
  <c r="Q43" i="9"/>
  <c r="R43" i="9"/>
  <c r="S43" i="9"/>
  <c r="T43" i="9"/>
  <c r="U43" i="9"/>
  <c r="V43" i="9"/>
  <c r="W43" i="9"/>
  <c r="X43" i="9"/>
  <c r="Y43" i="9"/>
  <c r="Z43" i="9"/>
  <c r="AA43" i="9"/>
  <c r="AB43" i="9"/>
  <c r="C45" i="9"/>
  <c r="D45" i="9"/>
  <c r="E45" i="9"/>
  <c r="F45" i="9"/>
  <c r="G45" i="9"/>
  <c r="H45" i="9"/>
  <c r="I45" i="9"/>
  <c r="J45" i="9"/>
  <c r="K45" i="9"/>
  <c r="C49" i="9"/>
  <c r="D49" i="9"/>
  <c r="K49" i="9"/>
  <c r="C50" i="9"/>
  <c r="K50" i="9"/>
  <c r="C51" i="9"/>
  <c r="K51" i="9"/>
  <c r="C52" i="9"/>
  <c r="K52" i="9"/>
  <c r="C53" i="9"/>
  <c r="D53" i="9"/>
  <c r="K53" i="9"/>
  <c r="K55" i="9"/>
  <c r="C57" i="9"/>
  <c r="D57" i="9"/>
  <c r="K57" i="9"/>
  <c r="C58" i="9"/>
  <c r="D58" i="9"/>
  <c r="K58" i="9"/>
  <c r="C67" i="9"/>
  <c r="D67" i="9"/>
  <c r="E67" i="9"/>
  <c r="F67" i="9"/>
  <c r="G67" i="9"/>
  <c r="H67" i="9"/>
  <c r="I67" i="9"/>
  <c r="J67" i="9"/>
  <c r="K67" i="9"/>
  <c r="C68" i="9"/>
  <c r="D68" i="9"/>
  <c r="E68" i="9"/>
  <c r="F68" i="9"/>
  <c r="G68" i="9"/>
  <c r="H68" i="9"/>
  <c r="I68" i="9"/>
  <c r="J68" i="9"/>
  <c r="K68" i="9"/>
  <c r="C70" i="9"/>
  <c r="D70" i="9"/>
  <c r="E70" i="9"/>
  <c r="F70" i="9"/>
  <c r="G70" i="9"/>
  <c r="H70" i="9"/>
  <c r="I70" i="9"/>
  <c r="J70" i="9"/>
  <c r="K70" i="9"/>
  <c r="D11" i="20"/>
  <c r="E11" i="20"/>
  <c r="F11" i="20"/>
  <c r="G11" i="20"/>
  <c r="H11" i="20"/>
  <c r="K11" i="20"/>
  <c r="D13" i="20"/>
  <c r="E13" i="20"/>
  <c r="F13" i="20"/>
  <c r="G13" i="20"/>
  <c r="H13" i="20"/>
  <c r="J13" i="20"/>
  <c r="K13" i="20"/>
  <c r="D15" i="20"/>
  <c r="E15" i="20"/>
  <c r="F15" i="20"/>
  <c r="G15" i="20"/>
  <c r="H15" i="20"/>
  <c r="J15" i="20"/>
  <c r="K15" i="20"/>
  <c r="D17" i="20"/>
  <c r="E17" i="20"/>
  <c r="F17" i="20"/>
  <c r="G17" i="20"/>
  <c r="H17" i="20"/>
  <c r="J17" i="20"/>
  <c r="K17"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tc={9A2C507F-594B-4DDA-821D-CDF6A7A26F12}</author>
  </authors>
  <commentList>
    <comment ref="B99" authorId="0" shapeId="0" xr:uid="{9A2C507F-594B-4DDA-821D-CDF6A7A26F12}">
      <text>
        <t>[Threaded comment]
Your version of Excel allows you to read this threaded comment; however, any edits to it will get removed if the file is opened in a newer version of Excel. Learn more: https://go.microsoft.com/fwlink/?linkid=870924
Comment:
    Only for Renovo
70% Purchase Price
100% Vertical Construction
Only for SLFI deals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tc={36465F75-BAA4-49D3-BD35-8B38FECDC8B3}</author>
  </authors>
  <commentList>
    <comment ref="I11" authorId="0" shapeId="0" xr:uid="{36465F75-BAA4-49D3-BD35-8B38FECDC8B3}">
      <text>
        <t>[Threaded comment]
Your version of Excel allows you to read this threaded comment; however, any edits to it will get removed if the file is opened in a newer version of Excel. Learn more: https://go.microsoft.com/fwlink/?linkid=870924
Comment:
    Input SFH/TH in Cell D9 to pull correct benchmarks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tc={B8D8CB3B-A067-4E81-8C05-4562904187D5}</author>
    <author/>
    <author>tc={71A45968-BF06-4B3B-B701-95A95BEDB2E7}</author>
    <author>tc={FA5C8DDF-F8A1-413E-B1A5-956E075336BF}</author>
  </authors>
  <commentList>
    <comment ref="H7" authorId="0" shapeId="0" xr:uid="{B8D8CB3B-A067-4E81-8C05-4562904187D5}">
      <text>
        <t>[Threaded comment]
Your version of Excel allows you to read this threaded comment; however, any edits to it will get removed if the file is opened in a newer version of Excel. Learn more: https://go.microsoft.com/fwlink/?linkid=870924
Comment:
    Per Angel- Aspen 3-Story is $21k more</t>
      </text>
    </comment>
    <comment ref="E72" authorId="1" shapeId="0" xr:uid="{00000000-0006-0000-0000-000002000000}">
      <text>
        <r>
          <rPr>
            <sz val="9"/>
            <color rgb="FF000000"/>
            <rFont val="Calibri"/>
            <family val="2"/>
          </rPr>
          <t xml:space="preserve">======
</t>
        </r>
        <r>
          <rPr>
            <sz val="9"/>
            <color rgb="FF000000"/>
            <rFont val="Calibri"/>
            <family val="2"/>
          </rPr>
          <t xml:space="preserve">ID#AAAA3jhonzw
</t>
        </r>
        <r>
          <rPr>
            <sz val="9"/>
            <color rgb="FF000000"/>
            <rFont val="Calibri"/>
            <family val="2"/>
          </rPr>
          <t xml:space="preserve">tc={0A6458BA-1286-484F-9A7F-42EA424F5215}    (2023-08-22 01:36:16)
</t>
        </r>
        <r>
          <rPr>
            <sz val="9"/>
            <color rgb="FF000000"/>
            <rFont val="Calibri"/>
            <family val="2"/>
          </rPr>
          <t xml:space="preserve">[Threaded comment]
</t>
        </r>
        <r>
          <rPr>
            <sz val="9"/>
            <color rgb="FF000000"/>
            <rFont val="Calibri"/>
            <family val="2"/>
          </rPr>
          <t xml:space="preserve">
</t>
        </r>
        <r>
          <rPr>
            <sz val="9"/>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9"/>
            <color rgb="FF000000"/>
            <rFont val="Calibri"/>
            <family val="2"/>
          </rPr>
          <t xml:space="preserve">
</t>
        </r>
        <r>
          <rPr>
            <sz val="9"/>
            <color rgb="FF000000"/>
            <rFont val="Calibri"/>
            <family val="2"/>
          </rPr>
          <t xml:space="preserve">Comment:
</t>
        </r>
        <r>
          <rPr>
            <sz val="9"/>
            <color rgb="FF000000"/>
            <rFont val="Calibri"/>
            <family val="2"/>
          </rPr>
          <t xml:space="preserve">    used to drive formula to LTV</t>
        </r>
      </text>
    </comment>
    <comment ref="B137" authorId="2" shapeId="0" xr:uid="{71A45968-BF06-4B3B-B701-95A95BEDB2E7}">
      <text>
        <t>[Threaded comment]
Your version of Excel allows you to read this threaded comment; however, any edits to it will get removed if the file is opened in a newer version of Excel. Learn more: https://go.microsoft.com/fwlink/?linkid=870924
Comment:
    Could be using any of the following:
-Greenville Water
-ReWa
-MetroConnects
-Blue Ridge Water
Water system dev fees &amp; meter charges are included</t>
      </text>
    </comment>
    <comment ref="B139" authorId="3" shapeId="0" xr:uid="{FA5C8DDF-F8A1-413E-B1A5-956E075336BF}">
      <text>
        <t xml:space="preserve">[Threaded comment]
Your version of Excel allows you to read this threaded comment; however, any edits to it will get removed if the file is opened in a newer version of Excel. Learn more: https://go.microsoft.com/fwlink/?linkid=870924
Comment:
    Could be either:
-Spartanburg Water
-SJWD
Water system dev fees &amp; meter charges are included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<sst xmlns="http://schemas.openxmlformats.org/spreadsheetml/2006/main" count="1830" uniqueCount="978">
  <si>
    <t>Legend</t>
  </si>
  <si>
    <t>All cells need to be filled</t>
  </si>
  <si>
    <t>Vertical Sources &amp; Uses</t>
  </si>
  <si>
    <t>General Data</t>
  </si>
  <si>
    <t>Notes</t>
  </si>
  <si>
    <t>SOURCES</t>
  </si>
  <si>
    <t>Acquistions Breakdown</t>
  </si>
  <si>
    <t>Address</t>
  </si>
  <si>
    <t>241 Willard Street</t>
  </si>
  <si>
    <t xml:space="preserve">Total </t>
  </si>
  <si>
    <t>Cash at Close</t>
  </si>
  <si>
    <t>Remaining</t>
  </si>
  <si>
    <t>Commission</t>
  </si>
  <si>
    <t>City, State, Zip</t>
  </si>
  <si>
    <t xml:space="preserve">Greenville, SC </t>
  </si>
  <si>
    <t>PHC Agent</t>
  </si>
  <si>
    <t>Seller Names</t>
  </si>
  <si>
    <t>Henderson Place LLC</t>
  </si>
  <si>
    <t>Total Required Equity</t>
  </si>
  <si>
    <t>PHC Profit</t>
  </si>
  <si>
    <t>Check</t>
  </si>
  <si>
    <t>Seller Mailing Address</t>
  </si>
  <si>
    <t>Total Sources</t>
  </si>
  <si>
    <t>Total</t>
  </si>
  <si>
    <t>Parcel #</t>
  </si>
  <si>
    <t>Sales Breakdown</t>
  </si>
  <si>
    <t>MLS Listed</t>
  </si>
  <si>
    <t>USES</t>
  </si>
  <si>
    <t>Sale Price</t>
  </si>
  <si>
    <t>Home Type</t>
  </si>
  <si>
    <t>SFH</t>
  </si>
  <si>
    <t>Cost at Close</t>
  </si>
  <si>
    <t>Per Unit</t>
  </si>
  <si>
    <t>Per SF Total</t>
  </si>
  <si>
    <t>Agent</t>
  </si>
  <si>
    <t>Attorney</t>
  </si>
  <si>
    <t>Equity OverSubscription</t>
  </si>
  <si>
    <t>RCR Profit</t>
  </si>
  <si>
    <t>Settlement Date</t>
  </si>
  <si>
    <t>Land Purchase</t>
  </si>
  <si>
    <t xml:space="preserve"> &lt;---Model assumes purchase commission is part of the land purchase price. If seller is not covering, make sure PP is inflated accordingly</t>
  </si>
  <si>
    <t>RCR Total</t>
  </si>
  <si>
    <t>Land Purchase &amp; Closing Costs</t>
  </si>
  <si>
    <t>PHC Fees</t>
  </si>
  <si>
    <t>Contract Purchase Price (Total Project)</t>
  </si>
  <si>
    <t>Closing Costs</t>
  </si>
  <si>
    <t xml:space="preserve">Seller Closing Costs </t>
  </si>
  <si>
    <t>Total Acq Costs</t>
  </si>
  <si>
    <t>Buyer Closing Costs</t>
  </si>
  <si>
    <t>Buyer Commission (RCR/PHC)</t>
  </si>
  <si>
    <t>Acquisitions Due Dilligence &amp; Horizontal Costs</t>
  </si>
  <si>
    <t>Site Specific Costs</t>
  </si>
  <si>
    <t>Due Diligence Fee</t>
  </si>
  <si>
    <t>Applicable</t>
  </si>
  <si>
    <t>Vertical Build</t>
  </si>
  <si>
    <t>Due Diligence Date</t>
  </si>
  <si>
    <t>Sticks &amp; Bricks</t>
  </si>
  <si>
    <t>Due Diligence Check Delivery Method</t>
  </si>
  <si>
    <t>Manual</t>
  </si>
  <si>
    <t>Earnest Money</t>
  </si>
  <si>
    <t>Soft Costs (survey, eng, tap fees, ins, tax, etc.)</t>
  </si>
  <si>
    <t>Earnest Money Delivery Method</t>
  </si>
  <si>
    <t>Wire</t>
  </si>
  <si>
    <t>General Conditions</t>
  </si>
  <si>
    <t>Total Development Costs</t>
  </si>
  <si>
    <t>Subdivision Costs?</t>
  </si>
  <si>
    <t>N/A</t>
  </si>
  <si>
    <t>Grading Lot / Clearing &amp; Hauling</t>
  </si>
  <si>
    <t>Plus Tree clearing</t>
  </si>
  <si>
    <t>Demolition</t>
  </si>
  <si>
    <t>Total Financing Costs</t>
  </si>
  <si>
    <t>Survey - Initial Physical + Plot Plans</t>
  </si>
  <si>
    <t>Survey - Set Pins (Rough Stake)</t>
  </si>
  <si>
    <t>Total Uses</t>
  </si>
  <si>
    <t>Survey - Stake Footings</t>
  </si>
  <si>
    <t>Total Mortgageable Cost</t>
  </si>
  <si>
    <t>UDO Requiremenets</t>
  </si>
  <si>
    <t>LDIRL</t>
  </si>
  <si>
    <t>PROJECT SCHEDULE</t>
  </si>
  <si>
    <t>Temp Drive</t>
  </si>
  <si>
    <t>Purchase Date</t>
  </si>
  <si>
    <t>*If purchase date falls on any day other than the last day of the month, this will round to the end of the month first before adding the add'l construction start delay</t>
  </si>
  <si>
    <t>Erosion Control</t>
  </si>
  <si>
    <t>Construction Start</t>
  </si>
  <si>
    <t>Additional Driveway</t>
  </si>
  <si>
    <t>Construction Complete</t>
  </si>
  <si>
    <t>Driveway Culvert</t>
  </si>
  <si>
    <t>Marketing/Sale Complete</t>
  </si>
  <si>
    <t>Soil Testing</t>
  </si>
  <si>
    <t xml:space="preserve"> TOTAL PROJECT DURATION</t>
  </si>
  <si>
    <t>Heritage Tree Mitigation</t>
  </si>
  <si>
    <t>Portable Toilet</t>
  </si>
  <si>
    <t>Miscellaneous</t>
  </si>
  <si>
    <t>Site Specific</t>
  </si>
  <si>
    <t>Survey Set Pins</t>
  </si>
  <si>
    <t>Stake House</t>
  </si>
  <si>
    <t>Rough &amp; Final Grading</t>
  </si>
  <si>
    <t>Erosion Control Repair</t>
  </si>
  <si>
    <t>Temp Drive Repair</t>
  </si>
  <si>
    <t>Landscaping</t>
  </si>
  <si>
    <t>Flatwork</t>
  </si>
  <si>
    <t>Privacy Fence</t>
  </si>
  <si>
    <t>Total Site Specific</t>
  </si>
  <si>
    <t>Soft Costs</t>
  </si>
  <si>
    <t>Building Permits</t>
  </si>
  <si>
    <t>Engineering</t>
  </si>
  <si>
    <t>Draw Fees</t>
  </si>
  <si>
    <t>Water Tap</t>
  </si>
  <si>
    <t>Greenville, SC</t>
  </si>
  <si>
    <t>Sewer Tap</t>
  </si>
  <si>
    <t>Annual Insurance</t>
  </si>
  <si>
    <t>Annual Property Taxes</t>
  </si>
  <si>
    <t>Total Soft Costs</t>
  </si>
  <si>
    <t>Projected Unit Mix</t>
  </si>
  <si>
    <t>Plan</t>
  </si>
  <si>
    <t># of Units</t>
  </si>
  <si>
    <t>SF</t>
  </si>
  <si>
    <t>Total S&amp;B</t>
  </si>
  <si>
    <t>Builder Profit</t>
  </si>
  <si>
    <t>Total Vertical</t>
  </si>
  <si>
    <t>Estimated List Price</t>
  </si>
  <si>
    <t>ARV</t>
  </si>
  <si>
    <t>Links</t>
  </si>
  <si>
    <t>Atlas II - SC</t>
  </si>
  <si>
    <t>S&amp;B</t>
  </si>
  <si>
    <t>Option Adders</t>
  </si>
  <si>
    <t>Option Package</t>
  </si>
  <si>
    <t>Slab/Crawl</t>
  </si>
  <si>
    <t>Detached Garage</t>
  </si>
  <si>
    <t>Sticks &amp; Bricks (Base)</t>
  </si>
  <si>
    <t>Comfort</t>
  </si>
  <si>
    <t>Slab</t>
  </si>
  <si>
    <t>No</t>
  </si>
  <si>
    <t>Custom S&amp;B per Brix budget on last tab</t>
  </si>
  <si>
    <t>Sales Closing Costs</t>
  </si>
  <si>
    <t>Buyer Commissions (Outside)</t>
  </si>
  <si>
    <t>Sales Commissions / Marketing</t>
  </si>
  <si>
    <t>PHC Fee</t>
  </si>
  <si>
    <t>Incentives</t>
  </si>
  <si>
    <t>Title Recording at Sale</t>
  </si>
  <si>
    <t>Lender Financing</t>
  </si>
  <si>
    <t>Lender</t>
  </si>
  <si>
    <t>Renovo</t>
  </si>
  <si>
    <t>Interest Reserve</t>
  </si>
  <si>
    <t>Yes</t>
  </si>
  <si>
    <t>Origination</t>
  </si>
  <si>
    <t>Rate</t>
  </si>
  <si>
    <t>Loan Amount</t>
  </si>
  <si>
    <t>LTC max</t>
  </si>
  <si>
    <t>LTV max</t>
  </si>
  <si>
    <t>Lot Advance</t>
  </si>
  <si>
    <t>Mezzanine Debt/Equity</t>
  </si>
  <si>
    <t>Investor</t>
  </si>
  <si>
    <t>Red Cedar SLFII</t>
  </si>
  <si>
    <t>Preferred Rate</t>
  </si>
  <si>
    <t>Profit Split</t>
  </si>
  <si>
    <t>Amount</t>
  </si>
  <si>
    <t>Builder Profit $ / Unit</t>
  </si>
  <si>
    <t>Fee Sticks &amp; Bricks / SF</t>
  </si>
  <si>
    <t xml:space="preserve">Project Information </t>
  </si>
  <si>
    <t>Project Timeline / Milestones</t>
  </si>
  <si>
    <t>Month #</t>
  </si>
  <si>
    <t>Date</t>
  </si>
  <si>
    <t>XIRR</t>
  </si>
  <si>
    <t xml:space="preserve">Project Name </t>
  </si>
  <si>
    <t>Plan Name &amp; # of Builds</t>
  </si>
  <si>
    <t>Link to Plans</t>
  </si>
  <si>
    <t>Home Type  &amp; SF</t>
  </si>
  <si>
    <t>Sources/Uses</t>
  </si>
  <si>
    <t>% of Total</t>
  </si>
  <si>
    <t>Amount/Unit</t>
  </si>
  <si>
    <t>Funds at Close</t>
  </si>
  <si>
    <t>Cash at Sale Analysis</t>
  </si>
  <si>
    <t>Sources of Funds</t>
  </si>
  <si>
    <t>Gross Sales Price</t>
  </si>
  <si>
    <t>Construction Loan</t>
  </si>
  <si>
    <t>Less: Sales Commission &amp; Closing Costs</t>
  </si>
  <si>
    <t>Cash Equity</t>
  </si>
  <si>
    <t>Net Sales Proceeds</t>
  </si>
  <si>
    <t>Total Sources of Funds</t>
  </si>
  <si>
    <t>Less: Senior Debt Repayment</t>
  </si>
  <si>
    <t>Net Cash</t>
  </si>
  <si>
    <t>Uses of Funds</t>
  </si>
  <si>
    <t>Less: Upfront Equity</t>
  </si>
  <si>
    <t>Net Profit on Equity</t>
  </si>
  <si>
    <t>Acquisition Fee</t>
  </si>
  <si>
    <t>Return Metrics</t>
  </si>
  <si>
    <t>Return Multiple</t>
  </si>
  <si>
    <t>Loan Origination Fee</t>
  </si>
  <si>
    <t>Estimated Loan Interest</t>
  </si>
  <si>
    <t>Total Uses of Funds</t>
  </si>
  <si>
    <t>**Assumes X LTV / etc.</t>
  </si>
  <si>
    <t>Sales Price Sensitivity</t>
  </si>
  <si>
    <t>Location</t>
  </si>
  <si>
    <t>Amount/Build</t>
  </si>
  <si>
    <t>Profit Analysis</t>
  </si>
  <si>
    <t>Benchmark</t>
  </si>
  <si>
    <t>%</t>
  </si>
  <si>
    <t>Projected Sales Price</t>
  </si>
  <si>
    <t>Less: Total Pad Cost</t>
  </si>
  <si>
    <t>Common Equity</t>
  </si>
  <si>
    <t>Less: Total Direct Vertical</t>
  </si>
  <si>
    <t>Total Homebuilding Sources</t>
  </si>
  <si>
    <t>Direct Profit</t>
  </si>
  <si>
    <t>Less: Closing Costs</t>
  </si>
  <si>
    <t>Less: Incentives</t>
  </si>
  <si>
    <t>Less: Commissions (in-House &amp; Outside)</t>
  </si>
  <si>
    <t>Gross Profit</t>
  </si>
  <si>
    <t>Total Land Acq</t>
  </si>
  <si>
    <t>Total Pad Cost</t>
  </si>
  <si>
    <t>Less: Equity/Mezz Capital Repayment</t>
  </si>
  <si>
    <t>Less: Preferred Return/Mezz Interest Payment</t>
  </si>
  <si>
    <t>Less: Profit Split to LP/Mezz</t>
  </si>
  <si>
    <t>Net Cash to RCH</t>
  </si>
  <si>
    <t>Total Direct Vertical</t>
  </si>
  <si>
    <t>Total Vertical Cost</t>
  </si>
  <si>
    <t>CF Multiple</t>
  </si>
  <si>
    <t>Deal-Level</t>
  </si>
  <si>
    <t>Red Cedar Equity</t>
  </si>
  <si>
    <t>Contribution</t>
  </si>
  <si>
    <t>Total Cash Return</t>
  </si>
  <si>
    <t>Net Cash Return</t>
  </si>
  <si>
    <t>Total Homebuilding Uses</t>
  </si>
  <si>
    <t>RCH Promote</t>
  </si>
  <si>
    <t>% Change</t>
  </si>
  <si>
    <t>Sales Price/Build</t>
  </si>
  <si>
    <t>RCC Profit</t>
  </si>
  <si>
    <t>RCH Profit</t>
  </si>
  <si>
    <t>Monthly Burn Upon Construction Completion</t>
  </si>
  <si>
    <t>Senior Debt</t>
  </si>
  <si>
    <t xml:space="preserve">Preferred Return </t>
  </si>
  <si>
    <t>Total Monthly Burn</t>
  </si>
  <si>
    <t>Common Equity Structure</t>
  </si>
  <si>
    <t>Tier Structure</t>
  </si>
  <si>
    <t>Tier Hurdle</t>
  </si>
  <si>
    <t>RCH</t>
  </si>
  <si>
    <t>Preferred Return</t>
  </si>
  <si>
    <t>Promote</t>
  </si>
  <si>
    <t>Second Hurdle</t>
  </si>
  <si>
    <t>Remainder To Hurdle Three</t>
  </si>
  <si>
    <t>Calculate Waterfall Thru Hurdle:</t>
  </si>
  <si>
    <t>Preferred</t>
  </si>
  <si>
    <t>Ownership</t>
  </si>
  <si>
    <t>RCH Equity</t>
  </si>
  <si>
    <t>Project Location</t>
  </si>
  <si>
    <t>Amount/SF</t>
  </si>
  <si>
    <t>Less: Land Acquisition</t>
  </si>
  <si>
    <t>Less: Site Specific Costs</t>
  </si>
  <si>
    <t>Less: Total Sticks &amp; Bricks</t>
  </si>
  <si>
    <t>Less: Soft Costs</t>
  </si>
  <si>
    <t>Less: Acquisition DD, Horizontal Costs</t>
  </si>
  <si>
    <t>Acquisition &amp; Closing Costs</t>
  </si>
  <si>
    <t>Less: Closing Costs &amp; Incentives</t>
  </si>
  <si>
    <t>Acquisition DD, Horizontal Costs</t>
  </si>
  <si>
    <t>Total Sticks &amp; Bricks</t>
  </si>
  <si>
    <t>Adusted Gross Gross Profit</t>
  </si>
  <si>
    <t>Less: Financing Costs</t>
  </si>
  <si>
    <t>Development Costs</t>
  </si>
  <si>
    <t>Net Sale Proceeds</t>
  </si>
  <si>
    <t>Financing Costs</t>
  </si>
  <si>
    <t>Investor Return Metrics</t>
  </si>
  <si>
    <t>Investor Returns</t>
  </si>
  <si>
    <t>Investment Contribution</t>
  </si>
  <si>
    <t>Accrued Preferred Return</t>
  </si>
  <si>
    <t>Return of Capital</t>
  </si>
  <si>
    <t>Net Return</t>
  </si>
  <si>
    <t>Capital Stack</t>
  </si>
  <si>
    <t>$</t>
  </si>
  <si>
    <t>Senior Loan</t>
  </si>
  <si>
    <t>Mezzanine</t>
  </si>
  <si>
    <t>RC Equity</t>
  </si>
  <si>
    <t>Total Equity</t>
  </si>
  <si>
    <t>Senior Lender</t>
  </si>
  <si>
    <t>LTC</t>
  </si>
  <si>
    <t>LTV</t>
  </si>
  <si>
    <t>Custom Cap (Renovo Only)</t>
  </si>
  <si>
    <t>Term</t>
  </si>
  <si>
    <t>Mezz Equity</t>
  </si>
  <si>
    <t>Investment</t>
  </si>
  <si>
    <t>Target Hold Time</t>
  </si>
  <si>
    <t>Red Cedar Cash Flow</t>
  </si>
  <si>
    <t>Returns</t>
  </si>
  <si>
    <t>Benchmarks</t>
  </si>
  <si>
    <t>RCH Profit Split</t>
  </si>
  <si>
    <t>Actual</t>
  </si>
  <si>
    <t>TH</t>
  </si>
  <si>
    <t>RCC Builder Profit</t>
  </si>
  <si>
    <t>RCH/PHC Fees &amp; Commission</t>
  </si>
  <si>
    <t>RCCP Total Return</t>
  </si>
  <si>
    <t>Closings</t>
  </si>
  <si>
    <t>ASP</t>
  </si>
  <si>
    <t>Revenue:</t>
  </si>
  <si>
    <t>Less: Projected Sales Incentives</t>
  </si>
  <si>
    <t>Revenue</t>
  </si>
  <si>
    <t>Cost Of Sales:</t>
  </si>
  <si>
    <t>Less: Closing &amp; Transaction Costs</t>
  </si>
  <si>
    <t xml:space="preserve">Total Cost of Sales </t>
  </si>
  <si>
    <t>Contribution Profit</t>
  </si>
  <si>
    <t>Indirect Construction Expenses</t>
  </si>
  <si>
    <t>Less: Construction Field Management</t>
  </si>
  <si>
    <t>Less: Office Production Support</t>
  </si>
  <si>
    <t>Less: Warranty</t>
  </si>
  <si>
    <t xml:space="preserve">Total Indirect &amp; Warranty </t>
  </si>
  <si>
    <t>SG&amp;A:</t>
  </si>
  <si>
    <t>Less: Outside Commissions</t>
  </si>
  <si>
    <t>Less: In-House Commissions</t>
  </si>
  <si>
    <t>Less: Advertising</t>
  </si>
  <si>
    <t>Less: Models</t>
  </si>
  <si>
    <t>Less: Other Sales &amp; Marketing Expense</t>
  </si>
  <si>
    <t>G &amp; A</t>
  </si>
  <si>
    <t xml:space="preserve">Total SG&amp;A </t>
  </si>
  <si>
    <t>EBITDA</t>
  </si>
  <si>
    <t>Interest, Depreciation &amp; Amortization:</t>
  </si>
  <si>
    <t>Less: Senior Debt Financing Costs (Orgination &amp; IR)</t>
  </si>
  <si>
    <t>Less: Mezz Pref</t>
  </si>
  <si>
    <t>Less: Mezz Profit Split</t>
  </si>
  <si>
    <t>Less: Depreciation</t>
  </si>
  <si>
    <t>Less: Amortization</t>
  </si>
  <si>
    <t>Total Interest, Depreciation &amp; Amortization</t>
  </si>
  <si>
    <t>EBT From Operations [Pre-Tax Income]</t>
  </si>
  <si>
    <t xml:space="preserve"> Non-Recurring &amp; Other Expenses &amp; (Income):</t>
  </si>
  <si>
    <t>Non-Recurring &amp; Other (Income)</t>
  </si>
  <si>
    <t>Non-Recurring &amp; Other Expenses</t>
  </si>
  <si>
    <t xml:space="preserve"> Non-Recurring &amp; Other Expenses &amp; (Income)</t>
  </si>
  <si>
    <t>Fee Build Expenses &amp; (Income):</t>
  </si>
  <si>
    <t>Fee Build Revenue</t>
  </si>
  <si>
    <t>Fee Build Over/Under Billings</t>
  </si>
  <si>
    <t>Fee Build Cost of Sales</t>
  </si>
  <si>
    <t>Fee Build G&amp;A Allocation</t>
  </si>
  <si>
    <t>Fee Build Expenses &amp; (Income)</t>
  </si>
  <si>
    <t>EBT After Other Expenses &amp; (Income)</t>
  </si>
  <si>
    <t>Taxes</t>
  </si>
  <si>
    <t>Net Income</t>
  </si>
  <si>
    <t>CLOSING</t>
  </si>
  <si>
    <t>Land Closing</t>
  </si>
  <si>
    <t>Purchase Commission (RCR/PHC)</t>
  </si>
  <si>
    <t>Predev &amp; Sitework</t>
  </si>
  <si>
    <t>Vertical Construction</t>
  </si>
  <si>
    <t>Total Development Costs (w/o interest)</t>
  </si>
  <si>
    <t>Equity Over Subscription</t>
  </si>
  <si>
    <t>Sales</t>
  </si>
  <si>
    <t>Less: Title Costs &amp; Commissions</t>
  </si>
  <si>
    <t>Beginning Balance</t>
  </si>
  <si>
    <t>Current Month Draw</t>
  </si>
  <si>
    <t>Interest Accrual</t>
  </si>
  <si>
    <t>Interest Payment</t>
  </si>
  <si>
    <t>Payoff</t>
  </si>
  <si>
    <t>Ending Balance</t>
  </si>
  <si>
    <t>Adjustments</t>
  </si>
  <si>
    <t>Ending Balanace</t>
  </si>
  <si>
    <t>Net CF to Equity Sources</t>
  </si>
  <si>
    <t>Interested Parties Cash Flows</t>
  </si>
  <si>
    <t>Limited Partner/Mezzanine</t>
  </si>
  <si>
    <t>Equity In</t>
  </si>
  <si>
    <t>Preferred Return Payment</t>
  </si>
  <si>
    <t>Total LP Cash Flow</t>
  </si>
  <si>
    <t>Interest Carry Expense</t>
  </si>
  <si>
    <t>Net RCH CF</t>
  </si>
  <si>
    <t>RCC Profits</t>
  </si>
  <si>
    <t>Total to RCC</t>
  </si>
  <si>
    <t>RCR/PHC Profits</t>
  </si>
  <si>
    <t>Purchase Commission</t>
  </si>
  <si>
    <t>Sales Commission</t>
  </si>
  <si>
    <t>Total to RCR</t>
  </si>
  <si>
    <t>Total to RCCP</t>
  </si>
  <si>
    <t xml:space="preserve">
Comps below for Williard and Birnie:
Some are over 1700 sqft, closer to 2000sqft
I think our target is $450k - $475k
Best comps:
109 Gates St (best comp) 1636 sqft $470k
15 Woodlawn $460k (1824 sqft)
15 E 5th st
26 b e main
Old houses sold  in the high $3's</t>
  </si>
  <si>
    <t>109 Gates St (best comp) 1636 sqft $470k</t>
  </si>
  <si>
    <t>15 Woodlawn $460k (1824 sqft)</t>
  </si>
  <si>
    <r>
      <t>15 E 5</t>
    </r>
    <r>
      <rPr>
        <vertAlign val="superscript"/>
        <sz val="11"/>
        <color rgb="FF000000"/>
        <rFont val="Calibri"/>
        <family val="2"/>
        <charset val="1"/>
      </rPr>
      <t>th</t>
    </r>
    <r>
      <rPr>
        <sz val="11"/>
        <color rgb="FF000000"/>
        <rFont val="Calibri"/>
        <family val="2"/>
        <charset val="1"/>
      </rPr>
      <t> st</t>
    </r>
  </si>
  <si>
    <t>26 b e main</t>
  </si>
  <si>
    <t>Old houses sold  in the high $3's</t>
  </si>
  <si>
    <t>COMMON EQUITY WATERFALL</t>
  </si>
  <si>
    <t>Multiple</t>
  </si>
  <si>
    <t xml:space="preserve">Common LP Equity </t>
  </si>
  <si>
    <t>Year 0</t>
  </si>
  <si>
    <t>Common Equity LP Returns</t>
  </si>
  <si>
    <t>Sponsor Total Returns</t>
  </si>
  <si>
    <t>Deal-Level Returns</t>
  </si>
  <si>
    <t>Month Number</t>
  </si>
  <si>
    <t>Exit Year</t>
  </si>
  <si>
    <t>Project Cash Flow After Debt Service</t>
  </si>
  <si>
    <t>Cash Flow to Equity</t>
  </si>
  <si>
    <t>x</t>
  </si>
  <si>
    <t>LP Capital Account Balance</t>
  </si>
  <si>
    <t>Pref Accrual</t>
  </si>
  <si>
    <t>Preferred CF</t>
  </si>
  <si>
    <t>Net Sale Proceeds Payout</t>
  </si>
  <si>
    <t>Ending Capital Account Balance</t>
  </si>
  <si>
    <t>Tier 1</t>
  </si>
  <si>
    <t>Remainder to Tier 1</t>
  </si>
  <si>
    <t>Passthru?</t>
  </si>
  <si>
    <t>Tier 1 CF</t>
  </si>
  <si>
    <t>CF to GP</t>
  </si>
  <si>
    <t>Remainder to Tier 2</t>
  </si>
  <si>
    <t>CF to GP Promote</t>
  </si>
  <si>
    <t>Tier 2 CF</t>
  </si>
  <si>
    <t>Tier 2</t>
  </si>
  <si>
    <t>Remainder to Tier 3</t>
  </si>
  <si>
    <t>Tier 3</t>
  </si>
  <si>
    <t>Remainder to LP</t>
  </si>
  <si>
    <t>Remainder to GP</t>
  </si>
  <si>
    <t>Total To External LP</t>
  </si>
  <si>
    <t>Total to Sponsor LP</t>
  </si>
  <si>
    <t>Total To GP</t>
  </si>
  <si>
    <t>External LP Yield</t>
  </si>
  <si>
    <t>Sponsor Total Yield</t>
  </si>
  <si>
    <t>Total To LP</t>
  </si>
  <si>
    <t>Total to GP Equity</t>
  </si>
  <si>
    <t>Total To GP Promote</t>
  </si>
  <si>
    <t>Cumulative CF to LP</t>
  </si>
  <si>
    <t xml:space="preserve">Common Equity LP Returns </t>
  </si>
  <si>
    <t xml:space="preserve">Profit </t>
  </si>
  <si>
    <t xml:space="preserve">Peak Equity </t>
  </si>
  <si>
    <t>CFX</t>
  </si>
  <si>
    <t>Manual Inputs</t>
  </si>
  <si>
    <t>Estimates</t>
  </si>
  <si>
    <t>Comfort is base house</t>
  </si>
  <si>
    <t>MODEL</t>
  </si>
  <si>
    <t>ACTIVITY</t>
  </si>
  <si>
    <t>Acacia</t>
  </si>
  <si>
    <t>Aspen 2-Story</t>
  </si>
  <si>
    <t>Atlas II</t>
  </si>
  <si>
    <t>Banyan</t>
  </si>
  <si>
    <t>Cherry</t>
  </si>
  <si>
    <t>Dogwood</t>
  </si>
  <si>
    <t>Hazel</t>
  </si>
  <si>
    <t>Holly</t>
  </si>
  <si>
    <t>Elm</t>
  </si>
  <si>
    <t>Lilac</t>
  </si>
  <si>
    <t>Lily</t>
  </si>
  <si>
    <t>Magnolia</t>
  </si>
  <si>
    <t>Spindle</t>
  </si>
  <si>
    <t>Spruce</t>
  </si>
  <si>
    <t>Tulip</t>
  </si>
  <si>
    <t>White Oak</t>
  </si>
  <si>
    <t>Willow</t>
  </si>
  <si>
    <t>Jasmine</t>
  </si>
  <si>
    <t>Palm II</t>
  </si>
  <si>
    <t>Palmetto</t>
  </si>
  <si>
    <t>Palmetto II</t>
  </si>
  <si>
    <t>Linville</t>
  </si>
  <si>
    <t>Bayberry</t>
  </si>
  <si>
    <t>Alder</t>
  </si>
  <si>
    <t>Boxelder</t>
  </si>
  <si>
    <t>Bur Oak</t>
  </si>
  <si>
    <t>Conifer</t>
  </si>
  <si>
    <t>Pinyon</t>
  </si>
  <si>
    <t>Cottonwood</t>
  </si>
  <si>
    <t>Locust</t>
  </si>
  <si>
    <t>Fraser</t>
  </si>
  <si>
    <t>Sycamore</t>
  </si>
  <si>
    <t>Poplar</t>
  </si>
  <si>
    <t>Fig</t>
  </si>
  <si>
    <t>Aspen 3-Story</t>
  </si>
  <si>
    <t>Magnolia - SC</t>
  </si>
  <si>
    <t>Conifer - SC</t>
  </si>
  <si>
    <t>Palmetto II - SC</t>
  </si>
  <si>
    <t>Model</t>
  </si>
  <si>
    <t>SFH/TH</t>
  </si>
  <si>
    <t>Bed</t>
  </si>
  <si>
    <t>Bath</t>
  </si>
  <si>
    <t>Garage</t>
  </si>
  <si>
    <t>Classic</t>
  </si>
  <si>
    <t>Elegance</t>
  </si>
  <si>
    <t>Harmony</t>
  </si>
  <si>
    <t>$/SF Sticks &amp; Bricks</t>
  </si>
  <si>
    <t>Build Time</t>
  </si>
  <si>
    <t>Plans</t>
  </si>
  <si>
    <t>Dumpster</t>
  </si>
  <si>
    <t>TBD</t>
  </si>
  <si>
    <t>Utilities</t>
  </si>
  <si>
    <t>Aspen</t>
  </si>
  <si>
    <t>Portable toilet</t>
  </si>
  <si>
    <t xml:space="preserve">Permit Box </t>
  </si>
  <si>
    <t>Atlas</t>
  </si>
  <si>
    <t>Grading/Lot Clear/Hauling</t>
  </si>
  <si>
    <t>Termite</t>
  </si>
  <si>
    <t>Lumber All Floors</t>
  </si>
  <si>
    <t>Framing Labor</t>
  </si>
  <si>
    <t>Floor Trusses</t>
  </si>
  <si>
    <t>Stairs</t>
  </si>
  <si>
    <t>Roof Trusses</t>
  </si>
  <si>
    <t>I-Joist/EWP</t>
  </si>
  <si>
    <t>Roofing Shingle</t>
  </si>
  <si>
    <t>Roofing Metal</t>
  </si>
  <si>
    <t>Roofing Labor &amp; Material</t>
  </si>
  <si>
    <t>Siding Material</t>
  </si>
  <si>
    <t>Siding Labor</t>
  </si>
  <si>
    <t>Window Material</t>
  </si>
  <si>
    <t>Exterior Door Material</t>
  </si>
  <si>
    <t>Exterior Door Labor</t>
  </si>
  <si>
    <t>Windows Labor</t>
  </si>
  <si>
    <t>1F</t>
  </si>
  <si>
    <t>Garage Door Labor &amp; Material</t>
  </si>
  <si>
    <t>Plumbing Turnkey</t>
  </si>
  <si>
    <t>2F</t>
  </si>
  <si>
    <t>HVAC</t>
  </si>
  <si>
    <t>Electrical Rough &amp; Trim</t>
  </si>
  <si>
    <t>Blower Test</t>
  </si>
  <si>
    <t>Low Voltage/AV</t>
  </si>
  <si>
    <t>Insulation</t>
  </si>
  <si>
    <t>Drywall Material</t>
  </si>
  <si>
    <t>2R</t>
  </si>
  <si>
    <t>Drywall Labor</t>
  </si>
  <si>
    <t>Exterior Paint Labor &amp; Material</t>
  </si>
  <si>
    <t>Interior Paint</t>
  </si>
  <si>
    <t>1R</t>
  </si>
  <si>
    <t>Interior Trim Material</t>
  </si>
  <si>
    <t>Interior Trim Turnkey</t>
  </si>
  <si>
    <t>Door Hardware</t>
  </si>
  <si>
    <t>Shelving</t>
  </si>
  <si>
    <t>Interior Trim Labor</t>
  </si>
  <si>
    <t>Mirrors</t>
  </si>
  <si>
    <t>Bath Accessories</t>
  </si>
  <si>
    <t>Shower Door</t>
  </si>
  <si>
    <t>Countertops</t>
  </si>
  <si>
    <t>CUSTOM</t>
  </si>
  <si>
    <t>Cabinet Labor &amp; Material</t>
  </si>
  <si>
    <t>Tile Labor &amp; Material</t>
  </si>
  <si>
    <t>Light Fixtures</t>
  </si>
  <si>
    <t>Appliances</t>
  </si>
  <si>
    <t>Carpet Labor &amp; Material</t>
  </si>
  <si>
    <t>Hardwood Labor &amp; Material</t>
  </si>
  <si>
    <t>LVP Labor &amp; Material</t>
  </si>
  <si>
    <t>Interior Clean</t>
  </si>
  <si>
    <t>Gutters</t>
  </si>
  <si>
    <t>QI Inspection</t>
  </si>
  <si>
    <t>Deck</t>
  </si>
  <si>
    <t>Interest Account</t>
  </si>
  <si>
    <t>Mailbox</t>
  </si>
  <si>
    <t>Gorilla</t>
  </si>
  <si>
    <t>Pressure Wash</t>
  </si>
  <si>
    <t>Gorilla-15%</t>
  </si>
  <si>
    <t>Foundation</t>
  </si>
  <si>
    <t>Gorilla-18%</t>
  </si>
  <si>
    <t>Sticks &amp; Bricks Subtotal</t>
  </si>
  <si>
    <t>Survey</t>
  </si>
  <si>
    <t>Builders Capital</t>
  </si>
  <si>
    <t>Casa Lending</t>
  </si>
  <si>
    <t>Silt Fence</t>
  </si>
  <si>
    <t>IfundCities</t>
  </si>
  <si>
    <t>Arixa</t>
  </si>
  <si>
    <t>Arixa + Subordinate</t>
  </si>
  <si>
    <t>Lima One</t>
  </si>
  <si>
    <t>Site Specific Subtotal</t>
  </si>
  <si>
    <t>Plymouth</t>
  </si>
  <si>
    <t>Dominion</t>
  </si>
  <si>
    <t>Sewer Septic Permit</t>
  </si>
  <si>
    <t>OZK</t>
  </si>
  <si>
    <t>Water Meter</t>
  </si>
  <si>
    <t>Builder First Lot by Lot</t>
  </si>
  <si>
    <t>Brenance</t>
  </si>
  <si>
    <t>Soft Costs Subtotal</t>
  </si>
  <si>
    <t>Builder First SBA</t>
  </si>
  <si>
    <t>OMB</t>
  </si>
  <si>
    <t>Park National</t>
  </si>
  <si>
    <t xml:space="preserve">United </t>
  </si>
  <si>
    <t>TowneBank</t>
  </si>
  <si>
    <t>Flagstar</t>
  </si>
  <si>
    <t>Mezz Debt</t>
  </si>
  <si>
    <t>Pref</t>
  </si>
  <si>
    <t>Prom</t>
  </si>
  <si>
    <t>Red Cedar SLFI</t>
  </si>
  <si>
    <t>Mukesh</t>
  </si>
  <si>
    <t>Ron Julian</t>
  </si>
  <si>
    <t>Sadler Lots that he is doing is at 22%</t>
  </si>
  <si>
    <t>Mohammed</t>
  </si>
  <si>
    <t>Chen</t>
  </si>
  <si>
    <t>Franklyn</t>
  </si>
  <si>
    <t>Other</t>
  </si>
  <si>
    <t>Miscellaneous Cost</t>
  </si>
  <si>
    <t>Average</t>
  </si>
  <si>
    <t>Survey/Enginnering/LDIRL</t>
  </si>
  <si>
    <t>Perc Test</t>
  </si>
  <si>
    <t>Crawl</t>
  </si>
  <si>
    <t>County</t>
  </si>
  <si>
    <t>Water Meter Size</t>
  </si>
  <si>
    <t>Water Tap Fee</t>
  </si>
  <si>
    <t>Water System Dev. Fee</t>
  </si>
  <si>
    <t>Total Water Fees</t>
  </si>
  <si>
    <t>Meter Charge/Unit</t>
  </si>
  <si>
    <t>None</t>
  </si>
  <si>
    <t>Alexander Co. (NC)</t>
  </si>
  <si>
    <t>3/4"</t>
  </si>
  <si>
    <t>Cabarras Co. (NC)</t>
  </si>
  <si>
    <t>5/8" &amp; 3/4"</t>
  </si>
  <si>
    <t>Catawba Co. (NC)</t>
  </si>
  <si>
    <t>1" or Less</t>
  </si>
  <si>
    <t>Cleveland Co. (NC) - In District</t>
  </si>
  <si>
    <t>Cleveland Co. (NC) - Out of District</t>
  </si>
  <si>
    <t>Davidson Co. (NC)</t>
  </si>
  <si>
    <t>Davie Co. (NC)</t>
  </si>
  <si>
    <t>Forsyth Co. (NC)</t>
  </si>
  <si>
    <t>Gaston Co. (NC)</t>
  </si>
  <si>
    <t>Guilford Co. (NC)</t>
  </si>
  <si>
    <t>Iredell Co. (NC)</t>
  </si>
  <si>
    <t>Lancaster Co. (SC)</t>
  </si>
  <si>
    <t>City of Lexington, NC</t>
  </si>
  <si>
    <t>Lincoln Co. (NC)</t>
  </si>
  <si>
    <t>Mecklenburg Co. (NC)</t>
  </si>
  <si>
    <t>5/8"</t>
  </si>
  <si>
    <t>Rowan Co. (NC)</t>
  </si>
  <si>
    <t>Stanly Co. (NC)</t>
  </si>
  <si>
    <t>Union Co. (NC)</t>
  </si>
  <si>
    <t>York Co. (SC)</t>
  </si>
  <si>
    <t>Town of Clover, SC</t>
  </si>
  <si>
    <t>City of Statesville, NC</t>
  </si>
  <si>
    <t>City of Greenville</t>
  </si>
  <si>
    <t>Spartanburg, SC</t>
  </si>
  <si>
    <t>Sewer Tap Fee</t>
  </si>
  <si>
    <t>Sewer System Dev. Fee</t>
  </si>
  <si>
    <t>Total Sewer Fees</t>
  </si>
  <si>
    <t>Construction Bell-Shaped Curve</t>
  </si>
  <si>
    <t>Monthly Distribution/Allocation (x-axis)</t>
  </si>
  <si>
    <t>Check
(must be 100%)</t>
  </si>
  <si>
    <t>Construction Schedule in months 
(y-axis)</t>
  </si>
  <si>
    <t>Deal Sheet v11.2 - 2024-11-18</t>
  </si>
  <si>
    <t>- Corrected Sales Commissions, Incentives, etc.</t>
  </si>
  <si>
    <t>Create Deal Sheet</t>
  </si>
  <si>
    <t>- Added per unit calcs to Dashboard</t>
  </si>
  <si>
    <t>Pressure test - do we have all site costs included, how much time until we can start vertical?</t>
  </si>
  <si>
    <t>- Removed calculated list price from loan calc</t>
  </si>
  <si>
    <t>Ryan Cox Approval</t>
  </si>
  <si>
    <t>Review with Sales - both model and pricing</t>
  </si>
  <si>
    <t>Deal Sheet v11.3 - 2024-11-27</t>
  </si>
  <si>
    <t>Review with precon/vertical team for vertical capacity</t>
  </si>
  <si>
    <t>- Set template builder profit calc to AUTO w/ 15% floor</t>
  </si>
  <si>
    <t>Jamie Robinson Review</t>
  </si>
  <si>
    <t>- Edited monthly CF to fully fund equity at closing</t>
  </si>
  <si>
    <t>Review with Damon - and then I determine if it needs to get escalated to Jon</t>
  </si>
  <si>
    <t>- Changed formatting on Profit Analysis on Finance Dashboard</t>
  </si>
  <si>
    <t>Send "under contract" email</t>
  </si>
  <si>
    <t>- Added LDRL, LD Plat and Survey Costs to Inputs for #builds&gt;1</t>
  </si>
  <si>
    <t>Send lender package to Jake </t>
  </si>
  <si>
    <t>Deal Sheet v11.4 - 2024-12-4</t>
  </si>
  <si>
    <t>-Updated model costs</t>
  </si>
  <si>
    <t>Deal Sheet v11.5 - 2024-12-17</t>
  </si>
  <si>
    <t>-Updated LTC calc to exclude non-mortgageable costs</t>
  </si>
  <si>
    <t>Deal Sheet v11.6 - 2025-2-24</t>
  </si>
  <si>
    <t>-New Updated Reference sheet</t>
  </si>
  <si>
    <t>- Added Fee Build Calculator</t>
  </si>
  <si>
    <t>- Changed Build Durations to 150d from 120d</t>
  </si>
  <si>
    <t>Deal Sheet v11.7 - 2025-3-11</t>
  </si>
  <si>
    <t>-Added draw fee allowances</t>
  </si>
  <si>
    <t>Deal Sheet v11.8 - 2025-3-14</t>
  </si>
  <si>
    <t>-Schedule of Values (SOV) has directly been implemented</t>
  </si>
  <si>
    <t>Deal Sheet v11.9 - 2025-05-28</t>
  </si>
  <si>
    <t>- Added ability to build multiple plans</t>
  </si>
  <si>
    <t>Deal Sheet v12 - 2025-06-27</t>
  </si>
  <si>
    <t>- Reformatted the finance dashboard</t>
  </si>
  <si>
    <t>Deal Sheet v12.1 - 2025-07.25</t>
  </si>
  <si>
    <t>-Updated format of investor output/finance dashboard</t>
  </si>
  <si>
    <t>-Added CFO Tab for view of deal after gross profit with operating expenses to get a net income</t>
  </si>
  <si>
    <t>-Added SFH/TH benchmarks</t>
  </si>
  <si>
    <t>-Added missing PHC fees collected in the front and back end of the deal</t>
  </si>
  <si>
    <t>-Updated profits of commissions that actually come back to RCCP and excluding agent cuts</t>
  </si>
  <si>
    <t>Deal Sheet v12.3 - 2025-08.20</t>
  </si>
  <si>
    <t>-Renamed Finance Dashboard to Acquisition Summary.  More clear distinction for deal that meets benchmark requirements</t>
  </si>
  <si>
    <t>-Reformatted CFO tab to match a traditional P&amp;L</t>
  </si>
  <si>
    <t>-Created Financing Summary tab to show Captial Stack Details of the deal</t>
  </si>
  <si>
    <t>-Updated pricing details with August 2025 pricing figures</t>
  </si>
  <si>
    <t>Deal Sheet v12.4 - 2025-11.14</t>
  </si>
  <si>
    <t>-Added SC specified models for Greenville team</t>
  </si>
  <si>
    <t>Internal</t>
  </si>
  <si>
    <t>External</t>
  </si>
  <si>
    <t>Margin Per Build</t>
  </si>
  <si>
    <t>Margin</t>
  </si>
  <si>
    <t>Rough Plumbing</t>
  </si>
  <si>
    <t>Final Plumbing</t>
  </si>
  <si>
    <t>Rough HVAC</t>
  </si>
  <si>
    <t>Final HVAC</t>
  </si>
  <si>
    <t>Rough Electrical</t>
  </si>
  <si>
    <t>Final Electrical</t>
  </si>
  <si>
    <t>Mscellaneous</t>
  </si>
  <si>
    <t>Soft Costs from Budget Subtotal</t>
  </si>
  <si>
    <t>Soft Costs + Insurance &amp; Tax Subtotal</t>
  </si>
  <si>
    <t>Upgrade</t>
  </si>
  <si>
    <t>Crawl Space</t>
  </si>
  <si>
    <t>Miscellaneous Subtotal</t>
  </si>
  <si>
    <t>Site Work</t>
  </si>
  <si>
    <t>Acquisitions Due Dilligence &amp; Horizontal Costs Subtotal</t>
  </si>
  <si>
    <t>Milestone</t>
  </si>
  <si>
    <t>Project Aggregate</t>
  </si>
  <si>
    <t>Milestone 1 (Foundation)</t>
  </si>
  <si>
    <t>Square Footage</t>
  </si>
  <si>
    <t>Milestone 2 (Framing &amp; Dried In)</t>
  </si>
  <si>
    <t>Milestone 3 (MEPS &amp; Drywall)</t>
  </si>
  <si>
    <t>Milestone 4 (Trimout)</t>
  </si>
  <si>
    <t>Milestone 5 (Final C/O)</t>
  </si>
  <si>
    <t>Total Costs</t>
  </si>
  <si>
    <t>Projected ARV</t>
  </si>
  <si>
    <t>Purchase Price:</t>
  </si>
  <si>
    <t>Total Loan</t>
  </si>
  <si>
    <t>Construction Loan Reserve:</t>
  </si>
  <si>
    <t>Initial Advance:</t>
  </si>
  <si>
    <t>Interest Reserve:</t>
  </si>
  <si>
    <t>Est Cash-to-Close:</t>
  </si>
  <si>
    <t>PER LOT Vertical Construction Cost</t>
  </si>
  <si>
    <t>Categories</t>
  </si>
  <si>
    <t>Total $/SF</t>
  </si>
  <si>
    <t>Per Lot</t>
  </si>
  <si>
    <t>Sticks &amp; Bricks Total</t>
  </si>
  <si>
    <t>Total Construction Cost</t>
  </si>
  <si>
    <t>Total Plan Cost</t>
  </si>
  <si>
    <t>Sullins Walk Deal Abstract</t>
  </si>
  <si>
    <t>Property Information:</t>
  </si>
  <si>
    <t xml:space="preserve">Property Address: </t>
  </si>
  <si>
    <t xml:space="preserve">Property Type: </t>
  </si>
  <si>
    <t xml:space="preserve">Land </t>
  </si>
  <si>
    <t># of Units/Lots</t>
  </si>
  <si>
    <t>150 lots</t>
  </si>
  <si>
    <t>Proposed Product Type:</t>
  </si>
  <si>
    <t>SF homes</t>
  </si>
  <si>
    <t>Proposed SF of product</t>
  </si>
  <si>
    <t>xxx SF</t>
  </si>
  <si>
    <t>Hyperlinks</t>
  </si>
  <si>
    <t>HUD</t>
  </si>
  <si>
    <t>Verticle Contractor Contract</t>
  </si>
  <si>
    <t>Horizontal Contractor Contract</t>
  </si>
  <si>
    <t xml:space="preserve"> Profit and Loss Agreement</t>
  </si>
  <si>
    <t xml:space="preserve"> Operating agreement for SPE</t>
  </si>
  <si>
    <t>Deal Summary</t>
  </si>
  <si>
    <t>This transaction is a JV structure in a SPE.  Red Cedar Homes is not the Financial Matters Partner in this deal, YADA, YADA, YADA</t>
  </si>
  <si>
    <t xml:space="preserve"> </t>
  </si>
  <si>
    <t>Buyer:</t>
  </si>
  <si>
    <t>Seller:</t>
  </si>
  <si>
    <t>Closing Attorney (Buyer)</t>
  </si>
  <si>
    <t>Red Cedar Homes NC, LLC</t>
  </si>
  <si>
    <t>Seller: XXXXXXXXXX</t>
  </si>
  <si>
    <t xml:space="preserve">Contact: XXXXXX  </t>
  </si>
  <si>
    <t>Contact: xxxxxxx</t>
  </si>
  <si>
    <t>Phone: (555) 987-6543</t>
  </si>
  <si>
    <t>Phone: (555) 123-4567</t>
  </si>
  <si>
    <t>Phone: (555) 111-2222</t>
  </si>
  <si>
    <t>Email: janesmith@xxxxxxxxx</t>
  </si>
  <si>
    <t>Email: johndoe@XXXXXXXX</t>
  </si>
  <si>
    <t>Email: xxxxxxxx@legalexperts.com</t>
  </si>
  <si>
    <t>Financial Details:</t>
  </si>
  <si>
    <t>Subordinate Debt</t>
  </si>
  <si>
    <t>JV Structure</t>
  </si>
  <si>
    <t>Lender: xxxxxxx Bank</t>
  </si>
  <si>
    <t>Lender: xxxxxxxx</t>
  </si>
  <si>
    <t>JV Agreement Date: May 15, 2024</t>
  </si>
  <si>
    <t>Purchase Price: $5,000,000</t>
  </si>
  <si>
    <t>Note Amount: $1,000,000</t>
  </si>
  <si>
    <t>GP: xxxxxxxxx</t>
  </si>
  <si>
    <t>Earnest Money Deposit: $100,000</t>
  </si>
  <si>
    <t>Contact: xxxxxxxxxxx</t>
  </si>
  <si>
    <t>Financing:</t>
  </si>
  <si>
    <t>Phone: (555) 234-5678</t>
  </si>
  <si>
    <t>Email: xxxxxxx@xxxxxx.com</t>
  </si>
  <si>
    <t>Loan Amount: $4,000,000</t>
  </si>
  <si>
    <t>LP: XXXXXXX LLC</t>
  </si>
  <si>
    <t>Interest Rate: 11.5%</t>
  </si>
  <si>
    <t xml:space="preserve">Interest Rate: 15% </t>
  </si>
  <si>
    <t>Release price: $xxxxxxx/Lot</t>
  </si>
  <si>
    <t>Phone: xxxxxxxx</t>
  </si>
  <si>
    <t>Email: xxxxxx@xxxxxxxx.com</t>
  </si>
  <si>
    <t>Attachments (Hyperlinks to files?)</t>
  </si>
  <si>
    <t>JV Structure:</t>
  </si>
  <si>
    <r>
      <t>1.</t>
    </r>
    <r>
      <rPr>
        <sz val="7"/>
        <color theme="1"/>
        <rFont val="Calibri"/>
        <family val="2"/>
      </rPr>
      <t xml:space="preserve">      </t>
    </r>
    <r>
      <rPr>
        <sz val="10"/>
        <color theme="1"/>
        <rFont val="Calibri"/>
        <family val="2"/>
      </rPr>
      <t>Site Map / Plat Map / Survey</t>
    </r>
  </si>
  <si>
    <t>JV Entity Name: xxxxxxxx, LLC</t>
  </si>
  <si>
    <r>
      <t>2.</t>
    </r>
    <r>
      <rPr>
        <sz val="7"/>
        <color theme="1"/>
        <rFont val="Calibri"/>
        <family val="2"/>
      </rPr>
      <t xml:space="preserve">      </t>
    </r>
    <r>
      <rPr>
        <sz val="10"/>
        <color theme="1"/>
        <rFont val="Calibri"/>
        <family val="2"/>
      </rPr>
      <t>Floor Plans</t>
    </r>
  </si>
  <si>
    <t>Ownership Interests:</t>
  </si>
  <si>
    <r>
      <t>3.</t>
    </r>
    <r>
      <rPr>
        <sz val="7"/>
        <color theme="1"/>
        <rFont val="Calibri"/>
        <family val="2"/>
      </rPr>
      <t xml:space="preserve">      </t>
    </r>
    <r>
      <rPr>
        <sz val="10"/>
        <color theme="1"/>
        <rFont val="Calibri"/>
        <family val="2"/>
      </rPr>
      <t>Permits</t>
    </r>
  </si>
  <si>
    <t>xxxxxxxxx.: 60%</t>
  </si>
  <si>
    <r>
      <t>4.</t>
    </r>
    <r>
      <rPr>
        <sz val="7"/>
        <color theme="1"/>
        <rFont val="Calibri"/>
        <family val="2"/>
      </rPr>
      <t xml:space="preserve">      </t>
    </r>
    <r>
      <rPr>
        <sz val="10"/>
        <color theme="1"/>
        <rFont val="Calibri"/>
        <family val="2"/>
      </rPr>
      <t xml:space="preserve">Sales Comps </t>
    </r>
  </si>
  <si>
    <t>xxxxxxxxxx: 40%</t>
  </si>
  <si>
    <r>
      <t>5.</t>
    </r>
    <r>
      <rPr>
        <sz val="7"/>
        <color theme="1"/>
        <rFont val="Calibri"/>
        <family val="2"/>
      </rPr>
      <t xml:space="preserve">      </t>
    </r>
    <r>
      <rPr>
        <sz val="10"/>
        <color theme="1"/>
        <rFont val="Calibri"/>
        <family val="2"/>
      </rPr>
      <t xml:space="preserve">Appraisal </t>
    </r>
  </si>
  <si>
    <t>Capital Contributions:</t>
  </si>
  <si>
    <r>
      <t>6.</t>
    </r>
    <r>
      <rPr>
        <sz val="7"/>
        <color theme="1"/>
        <rFont val="Calibri"/>
        <family val="2"/>
      </rPr>
      <t xml:space="preserve">      </t>
    </r>
    <r>
      <rPr>
        <sz val="10"/>
        <color theme="1"/>
        <rFont val="Calibri"/>
        <family val="2"/>
      </rPr>
      <t>Purchase Sales Agreement (PSA)</t>
    </r>
  </si>
  <si>
    <t>xxxxxxxxx.: $12,000,000</t>
  </si>
  <si>
    <r>
      <t>7.</t>
    </r>
    <r>
      <rPr>
        <sz val="7"/>
        <color theme="1"/>
        <rFont val="Calibri"/>
        <family val="2"/>
      </rPr>
      <t xml:space="preserve">      </t>
    </r>
    <r>
      <rPr>
        <sz val="10"/>
        <color theme="1"/>
        <rFont val="Calibri"/>
        <family val="2"/>
      </rPr>
      <t>SOV / Budget</t>
    </r>
  </si>
  <si>
    <t>xxxxxxxxx: $8,000,000</t>
  </si>
  <si>
    <r>
      <t>8.</t>
    </r>
    <r>
      <rPr>
        <sz val="7"/>
        <color theme="1"/>
        <rFont val="Calibri"/>
        <family val="2"/>
      </rPr>
      <t xml:space="preserve">      </t>
    </r>
    <r>
      <rPr>
        <sz val="10"/>
        <color theme="1"/>
        <rFont val="Calibri"/>
        <family val="2"/>
      </rPr>
      <t>Proforma/Deal Sheet</t>
    </r>
  </si>
  <si>
    <t>Profit Sharing: Profits and losses will be shared in proportion to ownership interests (60/40).</t>
  </si>
  <si>
    <t>9.   Due Diligence list and links to reports</t>
  </si>
  <si>
    <t/>
  </si>
  <si>
    <t>BRIX Data Export</t>
  </si>
  <si>
    <t>RCH-GRNV</t>
  </si>
  <si>
    <t>11/17/2025 11:54:55 AM</t>
  </si>
  <si>
    <t>Project B0001</t>
  </si>
  <si>
    <t>BSE PRJ GRNV</t>
  </si>
  <si>
    <t>R-1555-D</t>
  </si>
  <si>
    <t>Cost</t>
  </si>
  <si>
    <t>ATLAS II</t>
  </si>
  <si>
    <t>Code</t>
  </si>
  <si>
    <t>Description</t>
  </si>
  <si>
    <t>Costs</t>
  </si>
  <si>
    <t>Deal Sheet Grouping</t>
  </si>
  <si>
    <t>Row Labels</t>
  </si>
  <si>
    <t>Sum of Costs</t>
  </si>
  <si>
    <t>1010</t>
  </si>
  <si>
    <t>Building permits</t>
  </si>
  <si>
    <t>1100</t>
  </si>
  <si>
    <t>Inspections - Engineered</t>
  </si>
  <si>
    <t>1200</t>
  </si>
  <si>
    <t>Survey - Plot Plan</t>
  </si>
  <si>
    <t>1210</t>
  </si>
  <si>
    <t>Survey - Stake</t>
  </si>
  <si>
    <t>1220</t>
  </si>
  <si>
    <t>Survey - Pin</t>
  </si>
  <si>
    <t>1230</t>
  </si>
  <si>
    <t>Survey - Check Form</t>
  </si>
  <si>
    <t>1240</t>
  </si>
  <si>
    <t>Survey - As-Built</t>
  </si>
  <si>
    <t>1250</t>
  </si>
  <si>
    <t>Survey - Final</t>
  </si>
  <si>
    <t>1300</t>
  </si>
  <si>
    <t>1510</t>
  </si>
  <si>
    <t>Water/Sewer Meter Fees</t>
  </si>
  <si>
    <t>Corrected</t>
  </si>
  <si>
    <t>1540</t>
  </si>
  <si>
    <t>Gas service</t>
  </si>
  <si>
    <t>1550</t>
  </si>
  <si>
    <t>Electric service</t>
  </si>
  <si>
    <t>1560</t>
  </si>
  <si>
    <t>Water Service</t>
  </si>
  <si>
    <t>(blank)</t>
  </si>
  <si>
    <t>1600</t>
  </si>
  <si>
    <t>Grand Total</t>
  </si>
  <si>
    <t>1650</t>
  </si>
  <si>
    <t>Portable Toilets</t>
  </si>
  <si>
    <t>2005</t>
  </si>
  <si>
    <t>Bench &amp; Balance Grade</t>
  </si>
  <si>
    <t>2020</t>
  </si>
  <si>
    <t>Rough Grade</t>
  </si>
  <si>
    <t>2030</t>
  </si>
  <si>
    <t>Maintenance Grade</t>
  </si>
  <si>
    <t>2040</t>
  </si>
  <si>
    <t>Final Grade</t>
  </si>
  <si>
    <t>2100</t>
  </si>
  <si>
    <t>2150</t>
  </si>
  <si>
    <t>3010</t>
  </si>
  <si>
    <t>4000</t>
  </si>
  <si>
    <t>Termite Treatment</t>
  </si>
  <si>
    <t>4510</t>
  </si>
  <si>
    <t>Lumber - Drop 1</t>
  </si>
  <si>
    <t>4520</t>
  </si>
  <si>
    <t>Lumber - Drop 2</t>
  </si>
  <si>
    <t>4530</t>
  </si>
  <si>
    <t>Lumber - Drop 3</t>
  </si>
  <si>
    <t>4540</t>
  </si>
  <si>
    <t>4560</t>
  </si>
  <si>
    <t>2nd Floor System</t>
  </si>
  <si>
    <t>4580</t>
  </si>
  <si>
    <t>4600</t>
  </si>
  <si>
    <t>Framing Labor - Draw #1</t>
  </si>
  <si>
    <t>4610</t>
  </si>
  <si>
    <t>Framing Labor - Draw #2</t>
  </si>
  <si>
    <t>4680</t>
  </si>
  <si>
    <t>4685</t>
  </si>
  <si>
    <t>4700</t>
  </si>
  <si>
    <t>4750</t>
  </si>
  <si>
    <t>Exterior Doors Labor</t>
  </si>
  <si>
    <t>4755</t>
  </si>
  <si>
    <t>4900</t>
  </si>
  <si>
    <t>Exterior Siding - Material</t>
  </si>
  <si>
    <t>4910</t>
  </si>
  <si>
    <t>Exterior Siding - Labor</t>
  </si>
  <si>
    <t>5000</t>
  </si>
  <si>
    <t>HVAC - Rough</t>
  </si>
  <si>
    <t>5010</t>
  </si>
  <si>
    <t>HVAC - Final</t>
  </si>
  <si>
    <t>5050</t>
  </si>
  <si>
    <t>Blower Door Test</t>
  </si>
  <si>
    <t>5100</t>
  </si>
  <si>
    <t>Electrical - Temp Pole</t>
  </si>
  <si>
    <t>5110</t>
  </si>
  <si>
    <t>Electrical Rough</t>
  </si>
  <si>
    <t>5120</t>
  </si>
  <si>
    <t>Electrical Final</t>
  </si>
  <si>
    <t>5150</t>
  </si>
  <si>
    <t>Electrical - Light Fixtures</t>
  </si>
  <si>
    <t>5200</t>
  </si>
  <si>
    <t>Plumbing - Underground</t>
  </si>
  <si>
    <t>5210</t>
  </si>
  <si>
    <t>Plumbing - Rough</t>
  </si>
  <si>
    <t>5220</t>
  </si>
  <si>
    <t>Plumbing - Final</t>
  </si>
  <si>
    <t>5300</t>
  </si>
  <si>
    <t>Insulation  - Prehang</t>
  </si>
  <si>
    <t>5310</t>
  </si>
  <si>
    <t>Insulation - Batt</t>
  </si>
  <si>
    <t>5315</t>
  </si>
  <si>
    <t>Insulation - Blown</t>
  </si>
  <si>
    <t>5400</t>
  </si>
  <si>
    <t>Drywall - Material</t>
  </si>
  <si>
    <t>5410</t>
  </si>
  <si>
    <t>Drywall - Labor</t>
  </si>
  <si>
    <t>5500</t>
  </si>
  <si>
    <t>5600</t>
  </si>
  <si>
    <t>Install Wall/Floor Tile</t>
  </si>
  <si>
    <t>5602</t>
  </si>
  <si>
    <t>Install Tile Backsplash</t>
  </si>
  <si>
    <t>5700</t>
  </si>
  <si>
    <t>Cabinets Draw 1</t>
  </si>
  <si>
    <t>5702</t>
  </si>
  <si>
    <t>Cabinets Draw 2</t>
  </si>
  <si>
    <t>5810</t>
  </si>
  <si>
    <t>5900</t>
  </si>
  <si>
    <t>Painting - Interior Draw 1</t>
  </si>
  <si>
    <t>5910</t>
  </si>
  <si>
    <t>Painting - Interior Draw 2</t>
  </si>
  <si>
    <t>5920</t>
  </si>
  <si>
    <t>Painting - Exterior</t>
  </si>
  <si>
    <t>6000</t>
  </si>
  <si>
    <t>6100</t>
  </si>
  <si>
    <t>6120</t>
  </si>
  <si>
    <t>6125</t>
  </si>
  <si>
    <t>6140</t>
  </si>
  <si>
    <t>Door Hardware &amp; House Numbers</t>
  </si>
  <si>
    <t>6160</t>
  </si>
  <si>
    <t>6200</t>
  </si>
  <si>
    <t>Vinyl/LVP/SPC Draw 1</t>
  </si>
  <si>
    <t>6202</t>
  </si>
  <si>
    <t>Vinyl/LVP/SPC Draw 2</t>
  </si>
  <si>
    <t>6220</t>
  </si>
  <si>
    <t>Carpet</t>
  </si>
  <si>
    <t>6300</t>
  </si>
  <si>
    <t>Appliances Drop 1 - Range/Hood/Microw/Di</t>
  </si>
  <si>
    <t>6302</t>
  </si>
  <si>
    <t>Appliance Drop 2 – Fridge/Washer/Dryer</t>
  </si>
  <si>
    <t>6500</t>
  </si>
  <si>
    <t>Interior Cleaning - Rough</t>
  </si>
  <si>
    <t>6510</t>
  </si>
  <si>
    <t>Interior Cleaning - Final</t>
  </si>
  <si>
    <t>6520</t>
  </si>
  <si>
    <t>Interior Cleaning - Reclean</t>
  </si>
  <si>
    <t>6530</t>
  </si>
  <si>
    <t>Interior Cleaning - Move In</t>
  </si>
  <si>
    <t>6600</t>
  </si>
  <si>
    <t>Pressure Washing</t>
  </si>
  <si>
    <t>6602</t>
  </si>
  <si>
    <t>Pressure Washing Touch Up</t>
  </si>
  <si>
    <t>6800</t>
  </si>
  <si>
    <t>6900</t>
  </si>
  <si>
    <t>Gutters and Downspouts</t>
  </si>
  <si>
    <t>Fence</t>
  </si>
  <si>
    <t>Direct Costs</t>
  </si>
  <si>
    <t>Included options:</t>
  </si>
  <si>
    <t>00002025-00</t>
  </si>
  <si>
    <t>00003025-00</t>
  </si>
  <si>
    <t>10000030-00</t>
  </si>
  <si>
    <t>10000040-00</t>
  </si>
  <si>
    <t>50000100-00</t>
  </si>
  <si>
    <t>55000202-00</t>
  </si>
  <si>
    <t>75000100-00</t>
  </si>
  <si>
    <t>Lot/Unit Count :</t>
  </si>
  <si>
    <t>LTV :</t>
  </si>
  <si>
    <t>Extension :</t>
  </si>
  <si>
    <t>2 x 6 months x .5%</t>
  </si>
  <si>
    <t>LTC :</t>
  </si>
  <si>
    <t>Guaranty Type :</t>
  </si>
  <si>
    <t>Limited Recourse</t>
  </si>
  <si>
    <t>Origination :</t>
  </si>
  <si>
    <t>Rate :</t>
  </si>
  <si>
    <t>Close</t>
  </si>
  <si>
    <t>Holdback</t>
  </si>
  <si>
    <t>Term :</t>
  </si>
  <si>
    <t>IR + Closing</t>
  </si>
  <si>
    <t>Cash</t>
  </si>
  <si>
    <t>ARV :</t>
  </si>
  <si>
    <t>Lender LTV</t>
  </si>
  <si>
    <t>Land Purchase :</t>
  </si>
  <si>
    <t>Sitework/Horizontal Development :</t>
  </si>
  <si>
    <t>Vertical Construction Reserve :</t>
  </si>
  <si>
    <t>Total Construction :</t>
  </si>
  <si>
    <t>Total Loan:</t>
  </si>
  <si>
    <t>Interest Reserve :</t>
  </si>
  <si>
    <t xml:space="preserve"> Est. Closing Cost :</t>
  </si>
  <si>
    <t>Total Costs :</t>
  </si>
  <si>
    <t>Total Mortgageable Costs :</t>
  </si>
  <si>
    <t>Lender LTC</t>
  </si>
  <si>
    <t>Net Loan after closing costs and IR:</t>
  </si>
  <si>
    <t>Lot Advance :</t>
  </si>
  <si>
    <t>Construction Holdback :</t>
  </si>
  <si>
    <t>Cash required at Close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</si>
</sst>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5" formatCode="&quot;$&quot;#,##0_);\(&quot;$&quot;#,##0\)"/>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0.0%"/>
    <numFmt numFmtId="167" formatCode="[$-409]mmm\ d\,\ yy"/>
    <numFmt numFmtId="168" formatCode="&quot;$&quot;#,##0;[Red]&quot;$&quot;#,##0"/>
    <numFmt numFmtId="169" formatCode="&quot;$&quot;#,##0"/>
    <numFmt numFmtId="170" formatCode="&quot;$&quot;#,##0.00"/>
    <numFmt numFmtId="171" formatCode="#\ &quot;days&quot;"/>
    <numFmt numFmtId="172" formatCode="&quot;Month&quot;\ #,##0"/>
    <numFmt numFmtId="173" formatCode="#\ &quot;month(s)&quot;"/>
    <numFmt numFmtId="174" formatCode="[$-409]mmm\-yy;@"/>
    <numFmt numFmtId="175" formatCode="0.00\x"/>
    <numFmt numFmtId="176" formatCode="&quot;To &quot;0.0%"/>
    <numFmt numFmtId="177" formatCode="&quot;Year&quot;\ ##"/>
    <numFmt numFmtId="178" formatCode="#,##0.0000000000_);\(#,##0.0000000000\)"/>
    <numFmt numFmtId="179" formatCode="0.000000%"/>
    <numFmt numFmtId="180" formatCode="&quot;Month&quot;\ #"/>
    <numFmt numFmtId="181" formatCode="_(* #,##0.0000_);_(* \(#,##0.0000\);_(* &quot;-&quot;??_);_(@_)"/>
    <numFmt numFmtId="182" formatCode="_([$$-409]* #,##0.00_);_([$$-409]* \(#,##0.00\);_([$$-409]* &quot;-&quot;??_);_(@_)"/>
    <numFmt numFmtId="183" formatCode="0.0000000"/>
    <numFmt numFmtId="184" formatCode="m/d/yy;@"/>
  </numFmts>
  <fonts count="125" x14ac:knownFonts="1">
    <font>
      <sz val="9"/>
      <color theme="1"/>
      <name val="Calibri"/>
      <scheme val="minor"/>
    </font>
    <font>
      <sz val="11"/>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sz val="9"/>
      <color theme="1"/>
      <name val="Calibri"/>
      <family val="2"/>
    </font>
    <font>
      <b/>
      <sz val="9"/>
      <color theme="1"/>
      <name val="Calibri"/>
      <family val="2"/>
    </font>
    <font>
      <sz val="10"/>
      <color theme="1"/>
      <name val="Arial"/>
      <family val="2"/>
    </font>
    <font>
      <sz val="9"/>
      <color rgb="FFFF0000"/>
      <name val="Calibri"/>
      <family val="2"/>
    </font>
    <font>
      <b/>
      <sz val="16"/>
      <color theme="1"/>
      <name val="Arial"/>
      <family val="2"/>
    </font>
    <font>
      <b/>
      <sz val="10"/>
      <color theme="1"/>
      <name val="Arial"/>
      <family val="2"/>
    </font>
    <font>
      <sz val="9"/>
      <color theme="1"/>
      <name val="Calibri"/>
      <family val="2"/>
      <scheme val="minor"/>
    </font>
    <font>
      <b/>
      <sz val="11"/>
      <color theme="1"/>
      <name val="Calibri"/>
      <family val="2"/>
      <scheme val="minor"/>
    </font>
    <font>
      <sz val="8"/>
      <name val="Calibri"/>
      <family val="2"/>
      <scheme val="minor"/>
    </font>
    <font>
      <sz val="9"/>
      <color theme="1"/>
      <name val="Calibri"/>
      <family val="2"/>
      <scheme val="minor"/>
    </font>
    <font>
      <b/>
      <sz val="9"/>
      <color theme="1"/>
      <name val="Calibri"/>
      <family val="2"/>
      <scheme val="minor"/>
    </font>
    <font>
      <b/>
      <u/>
      <sz val="9"/>
      <color theme="1"/>
      <name val="Calibri"/>
      <family val="2"/>
      <scheme val="minor"/>
    </font>
    <font>
      <sz val="10"/>
      <name val="Arial"/>
      <family val="2"/>
    </font>
    <font>
      <sz val="10"/>
      <name val="Garamond"/>
      <family val="1"/>
    </font>
    <font>
      <i/>
      <sz val="14"/>
      <name val="Garamond"/>
      <family val="1"/>
    </font>
    <font>
      <b/>
      <u/>
      <sz val="10"/>
      <name val="Garamond"/>
      <family val="1"/>
    </font>
    <font>
      <i/>
      <sz val="10"/>
      <name val="Garamond"/>
      <family val="1"/>
    </font>
    <font>
      <b/>
      <sz val="10"/>
      <color rgb="FF0000FF"/>
      <name val="Garamond"/>
      <family val="1"/>
    </font>
    <font>
      <b/>
      <sz val="10"/>
      <color indexed="10"/>
      <name val="Garamond"/>
      <family val="1"/>
    </font>
    <font>
      <sz val="20"/>
      <name val="Garamond"/>
      <family val="1"/>
    </font>
    <font>
      <b/>
      <sz val="10"/>
      <color theme="0"/>
      <name val="Arial"/>
      <family val="2"/>
    </font>
    <font>
      <sz val="10"/>
      <color theme="0"/>
      <name val="Arial"/>
      <family val="2"/>
    </font>
    <font>
      <sz val="10"/>
      <color theme="4"/>
      <name val="Arial"/>
      <family val="2"/>
    </font>
    <font>
      <i/>
      <u/>
      <sz val="10"/>
      <color theme="1"/>
      <name val="Arial"/>
      <family val="2"/>
    </font>
    <font>
      <b/>
      <sz val="10"/>
      <name val="Arial"/>
      <family val="2"/>
    </font>
    <font>
      <i/>
      <u val="singleAccounting"/>
      <sz val="10"/>
      <color theme="1"/>
      <name val="Arial"/>
      <family val="2"/>
    </font>
    <font>
      <sz val="10"/>
      <color indexed="8"/>
      <name val="Arial"/>
      <family val="2"/>
    </font>
    <font>
      <sz val="12"/>
      <color theme="4"/>
      <name val="Calibri"/>
      <family val="2"/>
      <scheme val="minor"/>
    </font>
    <font>
      <b/>
      <sz val="10"/>
      <color indexed="8"/>
      <name val="Arial"/>
      <family val="2"/>
    </font>
    <font>
      <sz val="10"/>
      <color rgb="FF000000"/>
      <name val="Arial"/>
      <family val="2"/>
    </font>
    <font>
      <sz val="9"/>
      <color rgb="FF000000"/>
      <name val="Calibri"/>
      <family val="2"/>
    </font>
    <font>
      <i/>
      <sz val="10"/>
      <color theme="1"/>
      <name val="Arial"/>
      <family val="2"/>
    </font>
    <font>
      <u/>
      <sz val="10"/>
      <name val="Arial"/>
      <family val="2"/>
    </font>
    <font>
      <b/>
      <i/>
      <u/>
      <sz val="10"/>
      <name val="Arial"/>
      <family val="2"/>
    </font>
    <font>
      <i/>
      <sz val="10"/>
      <name val="Arial"/>
      <family val="2"/>
    </font>
    <font>
      <sz val="11"/>
      <color indexed="8"/>
      <name val="Calibri"/>
      <family val="2"/>
    </font>
    <font>
      <sz val="10"/>
      <color theme="8"/>
      <name val="Arial"/>
      <family val="2"/>
    </font>
    <font>
      <sz val="9"/>
      <color rgb="FF000000"/>
      <name val="Arial"/>
      <family val="2"/>
    </font>
    <font>
      <b/>
      <sz val="13.75"/>
      <color rgb="FF0D0D0D"/>
      <name val="Calibri"/>
      <family val="2"/>
    </font>
    <font>
      <sz val="11"/>
      <color theme="1"/>
      <name val="Calibri"/>
      <family val="2"/>
    </font>
    <font>
      <b/>
      <sz val="8"/>
      <color rgb="FF0D0D0D"/>
      <name val="Calibri"/>
      <family val="2"/>
    </font>
    <font>
      <sz val="8"/>
      <color rgb="FF0D0D0D"/>
      <name val="Calibri"/>
      <family val="2"/>
    </font>
    <font>
      <b/>
      <sz val="9"/>
      <color rgb="FF00B0F0"/>
      <name val="Calibri"/>
      <family val="2"/>
    </font>
    <font>
      <b/>
      <sz val="8"/>
      <name val="Calibri"/>
      <family val="2"/>
    </font>
    <font>
      <b/>
      <sz val="11"/>
      <color theme="1"/>
      <name val="Calibri"/>
      <family val="2"/>
    </font>
    <font>
      <b/>
      <sz val="10"/>
      <color theme="1"/>
      <name val="Calibri"/>
      <family val="2"/>
    </font>
    <font>
      <sz val="10"/>
      <color theme="1"/>
      <name val="Calibri"/>
      <family val="2"/>
    </font>
    <font>
      <sz val="7"/>
      <color theme="1"/>
      <name val="Calibri"/>
      <family val="2"/>
    </font>
    <font>
      <u/>
      <sz val="9"/>
      <color theme="10"/>
      <name val="Calibri"/>
      <family val="2"/>
      <scheme val="minor"/>
    </font>
    <font>
      <u/>
      <sz val="10"/>
      <color theme="10"/>
      <name val="Arial"/>
      <family val="2"/>
    </font>
    <font>
      <b/>
      <sz val="14"/>
      <color theme="1"/>
      <name val="Calibri"/>
      <family val="2"/>
      <scheme val="minor"/>
    </font>
    <font>
      <sz val="12"/>
      <color theme="1"/>
      <name val="Calibri"/>
      <family val="2"/>
    </font>
    <font>
      <b/>
      <sz val="12"/>
      <color theme="1"/>
      <name val="Calibri"/>
      <family val="2"/>
      <scheme val="minor"/>
    </font>
    <font>
      <b/>
      <sz val="14"/>
      <color theme="1"/>
      <name val="Calibri"/>
      <family val="2"/>
    </font>
    <font>
      <b/>
      <sz val="10"/>
      <color theme="1"/>
      <name val="Calibri"/>
      <family val="2"/>
      <scheme val="minor"/>
    </font>
    <font>
      <b/>
      <i/>
      <sz val="9"/>
      <color theme="1"/>
      <name val="Calibri"/>
      <family val="2"/>
      <scheme val="minor"/>
    </font>
    <font>
      <b/>
      <sz val="12"/>
      <color theme="0"/>
      <name val="Aptos Narrow"/>
      <family val="2"/>
    </font>
    <font>
      <sz val="12"/>
      <color theme="1"/>
      <name val="Aptos Narrow"/>
      <family val="2"/>
    </font>
    <font>
      <b/>
      <sz val="12"/>
      <color theme="1"/>
      <name val="Aptos Narrow"/>
      <family val="2"/>
    </font>
    <font>
      <i/>
      <sz val="9"/>
      <color theme="1"/>
      <name val="Calibri"/>
      <family val="2"/>
      <scheme val="minor"/>
    </font>
    <font>
      <b/>
      <sz val="14"/>
      <color theme="0"/>
      <name val="Aptos Narrow"/>
      <family val="2"/>
    </font>
    <font>
      <b/>
      <sz val="10"/>
      <name val="Aptos Narrow"/>
      <family val="2"/>
    </font>
    <font>
      <sz val="10"/>
      <color theme="1"/>
      <name val="Calibri"/>
      <family val="2"/>
      <scheme val="minor"/>
    </font>
    <font>
      <i/>
      <sz val="10"/>
      <color theme="1"/>
      <name val="Calibri"/>
      <family val="2"/>
      <scheme val="minor"/>
    </font>
    <font>
      <b/>
      <sz val="16"/>
      <color theme="1"/>
      <name val="Calibri"/>
      <family val="2"/>
      <scheme val="minor"/>
    </font>
    <font>
      <b/>
      <sz val="10"/>
      <color theme="0"/>
      <name val="Calibri"/>
      <family val="2"/>
      <scheme val="minor"/>
    </font>
    <font>
      <sz val="10"/>
      <color theme="0"/>
      <name val="Calibri"/>
      <family val="2"/>
      <scheme val="minor"/>
    </font>
    <font>
      <sz val="10"/>
      <color rgb="FF222222"/>
      <name val="Calibri"/>
      <family val="2"/>
      <scheme val="minor"/>
    </font>
    <font>
      <sz val="10"/>
      <color rgb="FF000000"/>
      <name val="Calibri"/>
      <family val="2"/>
      <scheme val="minor"/>
    </font>
    <font>
      <sz val="10"/>
      <color rgb="FF0070C0"/>
      <name val="Calibri"/>
      <family val="2"/>
      <scheme val="minor"/>
    </font>
    <font>
      <i/>
      <u/>
      <sz val="10"/>
      <color theme="1"/>
      <name val="Calibri"/>
      <family val="2"/>
      <scheme val="minor"/>
    </font>
    <font>
      <sz val="10"/>
      <color theme="8"/>
      <name val="Calibri"/>
      <family val="2"/>
      <scheme val="minor"/>
    </font>
    <font>
      <sz val="10"/>
      <color rgb="FF5B83CB"/>
      <name val="Calibri"/>
      <family val="2"/>
      <scheme val="minor"/>
    </font>
    <font>
      <u/>
      <sz val="10"/>
      <color theme="1"/>
      <name val="Calibri"/>
      <family val="2"/>
      <scheme val="minor"/>
    </font>
    <font>
      <b/>
      <u/>
      <sz val="10"/>
      <color theme="1"/>
      <name val="Calibri"/>
      <family val="2"/>
      <scheme val="minor"/>
    </font>
    <font>
      <b/>
      <sz val="10"/>
      <color rgb="FF222222"/>
      <name val="Calibri"/>
      <family val="2"/>
      <scheme val="minor"/>
    </font>
    <font>
      <b/>
      <sz val="10"/>
      <name val="Calibri"/>
      <family val="2"/>
      <scheme val="minor"/>
    </font>
    <font>
      <b/>
      <i/>
      <sz val="10"/>
      <color rgb="FF222222"/>
      <name val="Calibri"/>
      <family val="2"/>
      <scheme val="minor"/>
    </font>
    <font>
      <i/>
      <sz val="10"/>
      <color rgb="FF222222"/>
      <name val="Calibri"/>
      <family val="2"/>
      <scheme val="minor"/>
    </font>
    <font>
      <i/>
      <sz val="10"/>
      <name val="Calibri"/>
      <family val="2"/>
      <scheme val="minor"/>
    </font>
    <font>
      <sz val="10"/>
      <name val="Calibri"/>
      <family val="2"/>
      <scheme val="minor"/>
    </font>
    <font>
      <b/>
      <sz val="10"/>
      <color theme="0"/>
      <name val="Calibri"/>
      <family val="2"/>
      <scheme val="major"/>
    </font>
    <font>
      <b/>
      <sz val="11"/>
      <color theme="1"/>
      <name val="Tenorite"/>
    </font>
    <font>
      <b/>
      <sz val="9"/>
      <name val="Aptos Narrow"/>
      <family val="2"/>
    </font>
    <font>
      <b/>
      <sz val="9"/>
      <color theme="1"/>
      <name val="Tenorite"/>
    </font>
    <font>
      <sz val="9"/>
      <name val="Calibri"/>
      <family val="2"/>
      <scheme val="minor"/>
    </font>
    <font>
      <sz val="9"/>
      <color rgb="FF000000"/>
      <name val="Calibri"/>
      <family val="2"/>
      <scheme val="minor"/>
    </font>
    <font>
      <sz val="9"/>
      <color rgb="FF006100"/>
      <name val="Calibri"/>
      <family val="2"/>
      <scheme val="minor"/>
    </font>
    <font>
      <sz val="9"/>
      <color rgb="FFF8F8F8"/>
      <name val="Calibri"/>
      <family val="2"/>
      <scheme val="minor"/>
    </font>
    <font>
      <i/>
      <sz val="9"/>
      <color theme="1"/>
      <name val="Arial"/>
      <family val="2"/>
    </font>
    <font>
      <b/>
      <sz val="9"/>
      <color theme="1"/>
      <name val="Arial"/>
      <family val="2"/>
    </font>
    <font>
      <sz val="10"/>
      <name val="Aptos Narrow"/>
      <family val="2"/>
    </font>
    <font>
      <sz val="9"/>
      <color theme="1"/>
      <name val="Calibri"/>
      <family val="2"/>
      <scheme val="minor"/>
    </font>
    <font>
      <b/>
      <u/>
      <sz val="10"/>
      <name val="Arial"/>
      <family val="2"/>
    </font>
    <font>
      <sz val="12"/>
      <color theme="8"/>
      <name val="Calibri"/>
      <family val="2"/>
      <scheme val="minor"/>
    </font>
    <font>
      <sz val="10"/>
      <color theme="1"/>
      <name val="Arial Narrow"/>
      <family val="2"/>
    </font>
    <font>
      <b/>
      <sz val="10"/>
      <color rgb="FF0070C0"/>
      <name val="Arial Narrow"/>
      <family val="2"/>
    </font>
    <font>
      <b/>
      <sz val="10"/>
      <color theme="0"/>
      <name val="Arial Narrow"/>
      <family val="2"/>
    </font>
    <font>
      <b/>
      <sz val="10"/>
      <color theme="1"/>
      <name val="Arial Narrow"/>
      <family val="2"/>
    </font>
    <font>
      <sz val="11"/>
      <name val="Aptos Narrow"/>
      <family val="2"/>
    </font>
    <font>
      <sz val="10"/>
      <name val="Arial Narrow"/>
      <family val="2"/>
    </font>
    <font>
      <sz val="10"/>
      <color rgb="FF000000"/>
      <name val="Arial Narrow"/>
      <family val="2"/>
    </font>
    <font>
      <b/>
      <sz val="10"/>
      <color rgb="FF000000"/>
      <name val="Arial Narrow"/>
      <family val="2"/>
    </font>
    <font>
      <sz val="11"/>
      <color rgb="FF000000"/>
      <name val="Calibri"/>
      <family val="2"/>
    </font>
    <font>
      <i/>
      <sz val="10"/>
      <name val="Arial Narrow"/>
      <family val="2"/>
    </font>
    <font>
      <b/>
      <sz val="10"/>
      <name val="Arial Narrow"/>
      <family val="2"/>
    </font>
    <font>
      <sz val="9"/>
      <color theme="1"/>
      <name val="Arial Narrow"/>
      <family val="2"/>
    </font>
    <font>
      <b/>
      <sz val="12"/>
      <color theme="1"/>
      <name val="Arial"/>
      <family val="2"/>
    </font>
    <font>
      <u/>
      <sz val="10"/>
      <name val="Calibri"/>
      <family val="2"/>
      <scheme val="minor"/>
    </font>
    <font>
      <b/>
      <sz val="9"/>
      <color rgb="FF000000"/>
      <name val="Calibri"/>
      <family val="2"/>
      <scheme val="minor"/>
    </font>
    <font>
      <b/>
      <sz val="9"/>
      <color theme="0"/>
      <name val="Calibri"/>
      <family val="2"/>
      <scheme val="minor"/>
    </font>
    <font>
      <sz val="12"/>
      <color rgb="FF000000"/>
      <name val="Aptos"/>
      <family val="2"/>
    </font>
    <font>
      <vertAlign val="superscript"/>
      <sz val="11"/>
      <color rgb="FF000000"/>
      <name val="Calibri"/>
      <family val="2"/>
      <charset val="1"/>
    </font>
    <font>
      <sz val="11"/>
      <color rgb="FF000000"/>
      <name val="Calibri"/>
      <family val="2"/>
      <charset val="1"/>
    </font>
    <font>
      <b/>
      <sz val="12"/>
      <color rgb="FF000000"/>
      <name val="Aptos"/>
      <family val="2"/>
    </font>
    <font>
      <b/>
      <sz val="12"/>
      <color rgb="FF000000"/>
      <name val="Aptos"/>
      <family val="2"/>
    </font>
    <font>
      <b/>
      <u/>
      <sz val="11"/>
      <color theme="1"/>
      <name val="Tenorite"/>
    </font>
    <font>
      <sz val="11"/>
      <color theme="1"/>
      <name val="Tenorite"/>
    </font>
    <font>
      <i/>
      <sz val="9"/>
      <color theme="1"/>
      <name val="Tenorite"/>
    </font>
    <font>
      <sz val="11"/>
      <color rgb="FF000000"/>
      <name val="Tenorite"/>
    </font>
  </fonts>
  <fills count="31">
    <fill>
      <patternFill patternType="none"/>
    </fill>
    <fill>
      <patternFill patternType="gray125"/>
    </fill>
    <fill>
      <patternFill patternType="solid">
        <fgColor rgb="FFD8D8D8"/>
        <bgColor rgb="FFD8D8D8"/>
      </patternFill>
    </fill>
    <fill>
      <patternFill patternType="solid">
        <fgColor rgb="FFFFFF00"/>
        <bgColor rgb="FFFFFF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rgb="FF002060"/>
        <bgColor indexed="64"/>
      </patternFill>
    </fill>
    <fill>
      <patternFill patternType="solid">
        <fgColor indexed="9"/>
        <bgColor indexed="64"/>
      </patternFill>
    </fill>
    <fill>
      <patternFill patternType="solid">
        <fgColor rgb="FFFFC7CE"/>
      </patternFill>
    </fill>
    <fill>
      <patternFill patternType="solid">
        <fgColor theme="1"/>
        <bgColor indexed="64"/>
      </patternFill>
    </fill>
    <fill>
      <patternFill patternType="solid">
        <fgColor theme="7"/>
        <bgColor indexed="64"/>
      </patternFill>
    </fill>
    <fill>
      <patternFill patternType="solid">
        <fgColor rgb="FFFFC000"/>
        <bgColor indexed="64"/>
      </patternFill>
    </fill>
    <fill>
      <patternFill patternType="solid">
        <fgColor theme="5"/>
        <bgColor indexed="64"/>
      </patternFill>
    </fill>
    <fill>
      <patternFill patternType="solid">
        <fgColor theme="4" tint="0.79998168889431442"/>
        <bgColor indexed="64"/>
      </patternFill>
    </fill>
    <fill>
      <patternFill patternType="solid">
        <fgColor theme="9" tint="-0.499984740745262"/>
        <bgColor indexed="64"/>
      </patternFill>
    </fill>
    <fill>
      <patternFill patternType="solid">
        <fgColor rgb="FF63A4F7"/>
        <bgColor indexed="64"/>
      </patternFill>
    </fill>
    <fill>
      <patternFill patternType="solid">
        <fgColor theme="7" tint="0.59999389629810485"/>
        <bgColor indexed="64"/>
      </patternFill>
    </fill>
    <fill>
      <patternFill patternType="solid">
        <fgColor theme="2" tint="-0.14999847407452621"/>
        <bgColor indexed="64"/>
      </patternFill>
    </fill>
    <fill>
      <patternFill patternType="solid">
        <fgColor rgb="FF001F60"/>
        <bgColor indexed="64"/>
      </patternFill>
    </fill>
    <fill>
      <patternFill patternType="solid">
        <fgColor theme="9" tint="0.59999389629810485"/>
        <bgColor indexed="64"/>
      </patternFill>
    </fill>
    <fill>
      <patternFill patternType="solid">
        <fgColor rgb="FFD9E1F2"/>
        <bgColor indexed="64"/>
      </patternFill>
    </fill>
    <fill>
      <patternFill patternType="solid">
        <fgColor theme="7" tint="0.79998168889431442"/>
        <bgColor indexed="64"/>
      </patternFill>
    </fill>
    <fill>
      <patternFill patternType="solid">
        <fgColor rgb="FFFFC6C6"/>
        <bgColor indexed="64"/>
      </patternFill>
    </fill>
    <fill>
      <patternFill patternType="solid">
        <fgColor theme="5" tint="0.79998168889431442"/>
        <bgColor indexed="64"/>
      </patternFill>
    </fill>
    <fill>
      <patternFill patternType="solid">
        <fgColor rgb="FFFFFFFF"/>
        <bgColor indexed="64"/>
      </patternFill>
    </fill>
    <fill>
      <patternFill patternType="solid">
        <fgColor theme="2" tint="-4.9989318521683403E-2"/>
        <bgColor indexed="64"/>
      </patternFill>
    </fill>
  </fills>
  <borders count="11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medium">
        <color rgb="FF000000"/>
      </left>
      <right/>
      <top style="medium">
        <color rgb="FF000000"/>
      </top>
      <bottom/>
      <diagonal/>
    </border>
    <border>
      <left/>
      <right/>
      <top style="medium">
        <color rgb="FF000000"/>
      </top>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diagonal/>
    </border>
    <border>
      <left style="thin">
        <color indexed="64"/>
      </left>
      <right style="thick">
        <color indexed="64"/>
      </right>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diagonal/>
    </border>
    <border>
      <left/>
      <right style="thick">
        <color auto="1"/>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thin">
        <color indexed="64"/>
      </right>
      <top style="medium">
        <color indexed="64"/>
      </top>
      <bottom/>
      <diagonal/>
    </border>
    <border>
      <left/>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theme="0" tint="-0.249977111117893"/>
      </right>
      <top/>
      <bottom/>
      <diagonal/>
    </border>
    <border>
      <left/>
      <right/>
      <top/>
      <bottom style="thin">
        <color theme="0" tint="-0.249977111117893"/>
      </bottom>
      <diagonal/>
    </border>
    <border>
      <left style="thin">
        <color theme="0" tint="-0.24994659260841701"/>
      </left>
      <right/>
      <top/>
      <bottom style="thin">
        <color theme="0" tint="-0.249977111117893"/>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medium">
        <color indexed="64"/>
      </bottom>
      <diagonal/>
    </border>
    <border>
      <left/>
      <right style="thick">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ck">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right style="mediumDashed">
        <color indexed="64"/>
      </right>
      <top style="medium">
        <color indexed="64"/>
      </top>
      <bottom style="medium">
        <color indexed="64"/>
      </bottom>
      <diagonal/>
    </border>
    <border>
      <left/>
      <right style="mediumDashed">
        <color indexed="64"/>
      </right>
      <top/>
      <bottom/>
      <diagonal/>
    </border>
    <border>
      <left style="mediumDashDotDot">
        <color auto="1"/>
      </left>
      <right style="mediumDashDotDot">
        <color auto="1"/>
      </right>
      <top style="mediumDashDotDot">
        <color auto="1"/>
      </top>
      <bottom/>
      <diagonal/>
    </border>
    <border>
      <left style="mediumDashDotDot">
        <color auto="1"/>
      </left>
      <right style="mediumDashDotDot">
        <color auto="1"/>
      </right>
      <top/>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right style="thin">
        <color indexed="64"/>
      </right>
      <top/>
      <bottom style="double">
        <color indexed="64"/>
      </bottom>
      <diagonal/>
    </border>
    <border>
      <left/>
      <right/>
      <top style="double">
        <color indexed="64"/>
      </top>
      <bottom style="medium">
        <color indexed="64"/>
      </bottom>
      <diagonal/>
    </border>
    <border>
      <left/>
      <right style="thin">
        <color indexed="64"/>
      </right>
      <top style="double">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thin">
        <color indexed="64"/>
      </left>
      <right/>
      <top/>
      <bottom style="medium">
        <color indexed="64"/>
      </bottom>
      <diagonal/>
    </border>
    <border>
      <left style="thin">
        <color indexed="64"/>
      </left>
      <right/>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double">
        <color indexed="64"/>
      </bottom>
      <diagonal/>
    </border>
    <border>
      <left/>
      <right/>
      <top/>
      <bottom style="mediumDashed">
        <color indexed="64"/>
      </bottom>
      <diagonal/>
    </border>
    <border>
      <left style="medium">
        <color rgb="FF000000"/>
      </left>
      <right style="medium">
        <color rgb="FF000000"/>
      </right>
      <top/>
      <bottom/>
      <diagonal/>
    </border>
    <border>
      <left style="medium">
        <color rgb="FF000000"/>
      </left>
      <right style="medium">
        <color rgb="FF000000"/>
      </right>
      <top/>
      <bottom style="mediumDashed">
        <color indexed="64"/>
      </bottom>
      <diagonal/>
    </border>
    <border>
      <left/>
      <right style="medium">
        <color indexed="64"/>
      </right>
      <top/>
      <bottom style="mediumDashed">
        <color indexed="64"/>
      </bottom>
      <diagonal/>
    </border>
    <border>
      <left style="medium">
        <color rgb="FF000000"/>
      </left>
      <right style="medium">
        <color rgb="FF000000"/>
      </right>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double">
        <color indexed="64"/>
      </top>
      <bottom style="medium">
        <color indexed="64"/>
      </bottom>
      <diagonal/>
    </border>
    <border>
      <left/>
      <right style="medium">
        <color rgb="FF000000"/>
      </right>
      <top style="medium">
        <color indexed="64"/>
      </top>
      <bottom style="thin">
        <color indexed="64"/>
      </bottom>
      <diagonal/>
    </border>
    <border>
      <left/>
      <right style="medium">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thin">
        <color rgb="FF000000"/>
      </right>
      <top/>
      <bottom style="thin">
        <color rgb="FF000000"/>
      </bottom>
      <diagonal/>
    </border>
    <border>
      <left style="mediumDashDotDot">
        <color auto="1"/>
      </left>
      <right style="medium">
        <color indexed="64"/>
      </right>
      <top/>
      <bottom/>
      <diagonal/>
    </border>
    <border>
      <left/>
      <right style="mediumDashDotDot">
        <color auto="1"/>
      </right>
      <top/>
      <bottom style="double">
        <color indexed="64"/>
      </bottom>
      <diagonal/>
    </border>
    <border>
      <left style="mediumDashDotDot">
        <color auto="1"/>
      </left>
      <right style="mediumDashDotDot">
        <color auto="1"/>
      </right>
      <top/>
      <bottom style="double">
        <color indexed="64"/>
      </bottom>
      <diagonal/>
    </border>
    <border>
      <left style="mediumDashDotDot">
        <color auto="1"/>
      </left>
      <right style="medium">
        <color indexed="64"/>
      </right>
      <top/>
      <bottom style="double">
        <color indexed="64"/>
      </bottom>
      <diagonal/>
    </border>
    <border>
      <left style="mediumDashDotDot">
        <color auto="1"/>
      </left>
      <right style="mediumDashDotDot">
        <color auto="1"/>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diagonal/>
    </border>
    <border>
      <left/>
      <right/>
      <top/>
      <bottom style="medium">
        <color rgb="FF000000"/>
      </bottom>
      <diagonal/>
    </border>
    <border>
      <left/>
      <right/>
      <top style="thick">
        <color rgb="FF000000"/>
      </top>
      <bottom/>
      <diagonal/>
    </border>
    <border>
      <left/>
      <right/>
      <top style="double">
        <color auto="1"/>
      </top>
      <bottom/>
      <diagonal/>
    </border>
  </borders>
  <cellStyleXfs count="33">
    <xf numFmtId="0" fontId="0" fillId="0" borderId="0"/>
    <xf numFmtId="44" fontId="11" fillId="0" borderId="0" applyFont="0" applyFill="0" applyBorder="0" applyAlignment="0" applyProtection="0"/>
    <xf numFmtId="43" fontId="14" fillId="0" borderId="0" applyFont="0" applyFill="0" applyBorder="0" applyAlignment="0" applyProtection="0"/>
    <xf numFmtId="9" fontId="14" fillId="0" borderId="0" applyFont="0" applyFill="0" applyBorder="0" applyAlignment="0" applyProtection="0"/>
    <xf numFmtId="0" fontId="17" fillId="0" borderId="2"/>
    <xf numFmtId="9" fontId="17" fillId="0" borderId="2" applyFont="0" applyFill="0" applyBorder="0" applyAlignment="0" applyProtection="0"/>
    <xf numFmtId="0" fontId="17" fillId="0" borderId="2"/>
    <xf numFmtId="0" fontId="7" fillId="0" borderId="2" applyNumberFormat="0" applyFill="0" applyBorder="0" applyAlignment="0" applyProtection="0"/>
    <xf numFmtId="0" fontId="4" fillId="0" borderId="2"/>
    <xf numFmtId="37" fontId="7" fillId="0" borderId="46" applyFont="0" applyFill="0" applyBorder="0" applyProtection="0">
      <alignment horizontal="center"/>
    </xf>
    <xf numFmtId="41" fontId="27" fillId="0" borderId="2" applyFill="0" applyBorder="0" applyAlignment="0" applyProtection="0"/>
    <xf numFmtId="9" fontId="3" fillId="0" borderId="2" applyFont="0" applyFill="0" applyBorder="0" applyAlignment="0" applyProtection="0"/>
    <xf numFmtId="43" fontId="17" fillId="0" borderId="2" applyFont="0" applyFill="0" applyBorder="0" applyAlignment="0" applyProtection="0"/>
    <xf numFmtId="9" fontId="17" fillId="0" borderId="2" applyFont="0" applyFill="0" applyBorder="0" applyAlignment="0" applyProtection="0"/>
    <xf numFmtId="0" fontId="32" fillId="13" borderId="2" applyNumberFormat="0" applyFill="0" applyBorder="0" applyAlignment="0" applyProtection="0"/>
    <xf numFmtId="0" fontId="17" fillId="0" borderId="2"/>
    <xf numFmtId="44" fontId="17" fillId="0" borderId="2" applyFont="0" applyFill="0" applyBorder="0" applyAlignment="0" applyProtection="0"/>
    <xf numFmtId="9" fontId="40" fillId="0" borderId="2" applyFont="0" applyFill="0" applyBorder="0" applyAlignment="0" applyProtection="0"/>
    <xf numFmtId="0" fontId="53" fillId="0" borderId="0" applyNumberFormat="0" applyFill="0" applyBorder="0" applyAlignment="0" applyProtection="0"/>
    <xf numFmtId="9" fontId="11" fillId="0" borderId="2" applyFont="0" applyFill="0" applyBorder="0" applyAlignment="0" applyProtection="0"/>
    <xf numFmtId="0" fontId="2" fillId="0" borderId="2"/>
    <xf numFmtId="0" fontId="97" fillId="0" borderId="2"/>
    <xf numFmtId="0" fontId="53" fillId="0" borderId="2" applyNumberFormat="0" applyFill="0" applyBorder="0" applyAlignment="0" applyProtection="0"/>
    <xf numFmtId="0" fontId="100" fillId="0" borderId="2"/>
    <xf numFmtId="9" fontId="100" fillId="0" borderId="2" applyFont="0" applyFill="0" applyBorder="0" applyAlignment="0" applyProtection="0"/>
    <xf numFmtId="43" fontId="104" fillId="0" borderId="2" applyFont="0" applyFill="0" applyBorder="0" applyAlignment="0" applyProtection="0"/>
    <xf numFmtId="9" fontId="104" fillId="0" borderId="2" applyFont="0" applyFill="0" applyBorder="0" applyAlignment="0" applyProtection="0"/>
    <xf numFmtId="0" fontId="108" fillId="0" borderId="2">
      <alignment horizontal="left" vertical="top"/>
    </xf>
    <xf numFmtId="0" fontId="1" fillId="0" borderId="2"/>
    <xf numFmtId="0" fontId="11" fillId="0" borderId="2"/>
    <xf numFmtId="44" fontId="11" fillId="0" borderId="2" applyFont="0" applyFill="0" applyBorder="0" applyAlignment="0" applyProtection="0"/>
    <xf numFmtId="44" fontId="1" fillId="0" borderId="2" applyFont="0" applyFill="0" applyBorder="0" applyAlignment="0" applyProtection="0"/>
    <xf numFmtId="9" fontId="1" fillId="0" borderId="2" applyFont="0" applyFill="0" applyBorder="0" applyAlignment="0" applyProtection="0"/>
  </cellStyleXfs>
  <cellXfs count="1353">
    <xf numFmtId="0" fontId="0" fillId="0" borderId="0" xfId="0"/>
    <xf numFmtId="0" fontId="5" fillId="0" borderId="0" xfId="0" applyFont="1" applyAlignment="1">
      <alignment vertical="center"/>
    </xf>
    <xf numFmtId="0" fontId="5" fillId="0" borderId="0" xfId="0" applyFont="1"/>
    <xf numFmtId="0" fontId="5" fillId="0" borderId="1" xfId="0" applyFont="1" applyBorder="1" applyAlignment="1">
      <alignment vertical="center"/>
    </xf>
    <xf numFmtId="10" fontId="5" fillId="0" borderId="0" xfId="0" applyNumberFormat="1" applyFont="1" applyAlignment="1">
      <alignment vertical="center"/>
    </xf>
    <xf numFmtId="9" fontId="5" fillId="0" borderId="0" xfId="0" applyNumberFormat="1" applyFont="1" applyAlignment="1">
      <alignment vertical="center"/>
    </xf>
    <xf numFmtId="166" fontId="5" fillId="0" borderId="1" xfId="0" applyNumberFormat="1" applyFont="1" applyBorder="1" applyAlignment="1">
      <alignment vertical="center"/>
    </xf>
    <xf numFmtId="9" fontId="5" fillId="0" borderId="1" xfId="0" applyNumberFormat="1" applyFont="1" applyBorder="1" applyAlignment="1">
      <alignment vertical="center"/>
    </xf>
    <xf numFmtId="0" fontId="6" fillId="0" borderId="0" xfId="0" applyFont="1"/>
    <xf numFmtId="166" fontId="5" fillId="0" borderId="0" xfId="0" applyNumberFormat="1" applyFont="1" applyAlignment="1">
      <alignment vertical="center"/>
    </xf>
    <xf numFmtId="9" fontId="5" fillId="0" borderId="0" xfId="0" applyNumberFormat="1" applyFont="1"/>
    <xf numFmtId="0" fontId="5" fillId="0" borderId="1" xfId="0" applyFont="1" applyBorder="1"/>
    <xf numFmtId="166" fontId="5" fillId="0" borderId="1" xfId="0" applyNumberFormat="1" applyFont="1" applyBorder="1"/>
    <xf numFmtId="164" fontId="5" fillId="3" borderId="1" xfId="0" applyNumberFormat="1" applyFont="1" applyFill="1" applyBorder="1"/>
    <xf numFmtId="164" fontId="5" fillId="0" borderId="1" xfId="0" applyNumberFormat="1" applyFont="1" applyBorder="1"/>
    <xf numFmtId="0" fontId="5" fillId="0" borderId="18" xfId="0" applyFont="1" applyBorder="1" applyAlignment="1">
      <alignment vertical="center"/>
    </xf>
    <xf numFmtId="0" fontId="5" fillId="0" borderId="16" xfId="0" applyFont="1" applyBorder="1" applyAlignment="1">
      <alignment vertical="center"/>
    </xf>
    <xf numFmtId="0" fontId="5" fillId="0" borderId="17" xfId="0" applyFont="1" applyBorder="1" applyAlignment="1">
      <alignment vertical="center"/>
    </xf>
    <xf numFmtId="164" fontId="5" fillId="0" borderId="17" xfId="0" applyNumberFormat="1" applyFont="1" applyBorder="1" applyAlignment="1">
      <alignment vertical="center"/>
    </xf>
    <xf numFmtId="10" fontId="5" fillId="0" borderId="1" xfId="0" applyNumberFormat="1" applyFont="1" applyBorder="1" applyAlignment="1">
      <alignment vertical="center"/>
    </xf>
    <xf numFmtId="0" fontId="5" fillId="4" borderId="1" xfId="0" applyFont="1" applyFill="1" applyBorder="1" applyAlignment="1">
      <alignment vertical="center"/>
    </xf>
    <xf numFmtId="0" fontId="12" fillId="0" borderId="17" xfId="0" applyFont="1" applyBorder="1" applyAlignment="1">
      <alignment horizontal="center" vertical="center" wrapText="1"/>
    </xf>
    <xf numFmtId="164" fontId="12" fillId="0" borderId="17" xfId="1" applyNumberFormat="1" applyFont="1" applyBorder="1" applyAlignment="1">
      <alignment horizontal="center" vertical="center" wrapText="1"/>
    </xf>
    <xf numFmtId="0" fontId="0" fillId="0" borderId="17" xfId="0" applyBorder="1"/>
    <xf numFmtId="170" fontId="0" fillId="0" borderId="17" xfId="0" applyNumberFormat="1" applyBorder="1" applyAlignment="1">
      <alignment horizontal="center"/>
    </xf>
    <xf numFmtId="164" fontId="0" fillId="0" borderId="17" xfId="1" applyNumberFormat="1" applyFont="1" applyBorder="1" applyAlignment="1">
      <alignment horizontal="center"/>
    </xf>
    <xf numFmtId="0" fontId="0" fillId="0" borderId="2" xfId="0" applyBorder="1"/>
    <xf numFmtId="0" fontId="11" fillId="0" borderId="17" xfId="0" applyFont="1" applyBorder="1"/>
    <xf numFmtId="0" fontId="12" fillId="7" borderId="17" xfId="0" applyFont="1" applyFill="1" applyBorder="1" applyAlignment="1">
      <alignment horizontal="center" vertical="center" wrapText="1"/>
    </xf>
    <xf numFmtId="164" fontId="12" fillId="7" borderId="17" xfId="1" applyNumberFormat="1" applyFont="1" applyFill="1" applyBorder="1" applyAlignment="1">
      <alignment horizontal="center" vertical="center" wrapText="1"/>
    </xf>
    <xf numFmtId="0" fontId="5" fillId="7" borderId="1" xfId="0" applyFont="1" applyFill="1" applyBorder="1" applyAlignment="1">
      <alignment vertical="center"/>
    </xf>
    <xf numFmtId="166" fontId="5" fillId="7" borderId="1" xfId="0" applyNumberFormat="1" applyFont="1" applyFill="1" applyBorder="1" applyAlignment="1">
      <alignment vertical="center"/>
    </xf>
    <xf numFmtId="0" fontId="11" fillId="0" borderId="17" xfId="0" applyFont="1" applyBorder="1" applyAlignment="1">
      <alignment horizontal="left" vertical="center" wrapText="1"/>
    </xf>
    <xf numFmtId="164" fontId="0" fillId="6" borderId="17" xfId="0" applyNumberFormat="1" applyFill="1" applyBorder="1"/>
    <xf numFmtId="0" fontId="12" fillId="6" borderId="17" xfId="0" applyFont="1" applyFill="1" applyBorder="1" applyAlignment="1">
      <alignment horizontal="center" wrapText="1"/>
    </xf>
    <xf numFmtId="0" fontId="5" fillId="0" borderId="2" xfId="0" applyFont="1" applyBorder="1"/>
    <xf numFmtId="164" fontId="5" fillId="0" borderId="2" xfId="0" applyNumberFormat="1" applyFont="1" applyBorder="1"/>
    <xf numFmtId="0" fontId="5" fillId="0" borderId="17" xfId="0" applyFont="1" applyBorder="1"/>
    <xf numFmtId="164" fontId="5" fillId="0" borderId="17" xfId="1" applyNumberFormat="1" applyFont="1" applyBorder="1"/>
    <xf numFmtId="44" fontId="5" fillId="0" borderId="17" xfId="1" applyFont="1" applyFill="1" applyBorder="1" applyAlignment="1">
      <alignment vertical="center"/>
    </xf>
    <xf numFmtId="0" fontId="0" fillId="0" borderId="0" xfId="0" applyAlignment="1">
      <alignment horizontal="center"/>
    </xf>
    <xf numFmtId="0" fontId="0" fillId="0" borderId="27" xfId="0" applyBorder="1" applyAlignment="1">
      <alignment horizontal="center"/>
    </xf>
    <xf numFmtId="10" fontId="0" fillId="0" borderId="29" xfId="3" applyNumberFormat="1" applyFont="1" applyBorder="1" applyAlignment="1">
      <alignment horizontal="center"/>
    </xf>
    <xf numFmtId="170" fontId="0" fillId="0" borderId="31" xfId="3" applyNumberFormat="1" applyFont="1" applyBorder="1" applyAlignment="1">
      <alignment horizontal="center"/>
    </xf>
    <xf numFmtId="0" fontId="11" fillId="0" borderId="29" xfId="0" applyFont="1" applyBorder="1" applyAlignment="1">
      <alignment horizontal="center"/>
    </xf>
    <xf numFmtId="0" fontId="5" fillId="0" borderId="1" xfId="0" applyFont="1" applyBorder="1" applyAlignment="1">
      <alignment horizontal="center" vertical="center"/>
    </xf>
    <xf numFmtId="164" fontId="0" fillId="0" borderId="0" xfId="0" applyNumberFormat="1"/>
    <xf numFmtId="10" fontId="0" fillId="0" borderId="29" xfId="3" applyNumberFormat="1" applyFont="1" applyFill="1" applyBorder="1" applyAlignment="1">
      <alignment horizontal="center" vertical="center"/>
    </xf>
    <xf numFmtId="0" fontId="11" fillId="0" borderId="2" xfId="0" applyFont="1" applyBorder="1"/>
    <xf numFmtId="0" fontId="11" fillId="0" borderId="2" xfId="0" applyFont="1" applyBorder="1" applyAlignment="1">
      <alignment horizontal="center"/>
    </xf>
    <xf numFmtId="0" fontId="11" fillId="0" borderId="0" xfId="0" applyFont="1" applyAlignment="1">
      <alignment horizontal="center"/>
    </xf>
    <xf numFmtId="169" fontId="0" fillId="0" borderId="0" xfId="0" applyNumberFormat="1" applyAlignment="1">
      <alignment horizontal="center"/>
    </xf>
    <xf numFmtId="14" fontId="15" fillId="0" borderId="37" xfId="0" applyNumberFormat="1" applyFont="1" applyBorder="1" applyAlignment="1">
      <alignment horizontal="center"/>
    </xf>
    <xf numFmtId="0" fontId="18" fillId="12" borderId="2" xfId="4" applyFont="1" applyFill="1"/>
    <xf numFmtId="0" fontId="19" fillId="12" borderId="2" xfId="4" applyFont="1" applyFill="1"/>
    <xf numFmtId="0" fontId="20" fillId="7" borderId="2" xfId="4" applyFont="1" applyFill="1"/>
    <xf numFmtId="0" fontId="21" fillId="7" borderId="2" xfId="4" applyFont="1" applyFill="1" applyAlignment="1">
      <alignment horizontal="left" vertical="top"/>
    </xf>
    <xf numFmtId="0" fontId="18" fillId="7" borderId="2" xfId="4" applyFont="1" applyFill="1"/>
    <xf numFmtId="0" fontId="18" fillId="12" borderId="2" xfId="4" applyFont="1" applyFill="1" applyAlignment="1">
      <alignment horizontal="center" vertical="top" wrapText="1"/>
    </xf>
    <xf numFmtId="0" fontId="21" fillId="7" borderId="2" xfId="4" applyFont="1" applyFill="1" applyAlignment="1">
      <alignment horizontal="center" vertical="top" wrapText="1"/>
    </xf>
    <xf numFmtId="172" fontId="21" fillId="7" borderId="2" xfId="4" applyNumberFormat="1" applyFont="1" applyFill="1" applyAlignment="1">
      <alignment horizontal="center" vertical="center"/>
    </xf>
    <xf numFmtId="0" fontId="18" fillId="12" borderId="2" xfId="4" applyFont="1" applyFill="1" applyAlignment="1">
      <alignment horizontal="center" vertical="top"/>
    </xf>
    <xf numFmtId="10" fontId="18" fillId="12" borderId="2" xfId="5" applyNumberFormat="1" applyFont="1" applyFill="1" applyAlignment="1">
      <alignment horizontal="center"/>
    </xf>
    <xf numFmtId="0" fontId="21" fillId="7" borderId="19" xfId="6" applyFont="1" applyFill="1" applyBorder="1" applyAlignment="1">
      <alignment horizontal="center"/>
    </xf>
    <xf numFmtId="10" fontId="22" fillId="12" borderId="20" xfId="5" applyNumberFormat="1" applyFont="1" applyFill="1" applyBorder="1"/>
    <xf numFmtId="0" fontId="22" fillId="12" borderId="20" xfId="4" applyFont="1" applyFill="1" applyBorder="1"/>
    <xf numFmtId="0" fontId="22" fillId="12" borderId="21" xfId="4" applyFont="1" applyFill="1" applyBorder="1"/>
    <xf numFmtId="0" fontId="21" fillId="7" borderId="22" xfId="6" applyFont="1" applyFill="1" applyBorder="1" applyAlignment="1">
      <alignment horizontal="center"/>
    </xf>
    <xf numFmtId="10" fontId="22" fillId="12" borderId="2" xfId="5" applyNumberFormat="1" applyFont="1" applyFill="1" applyBorder="1"/>
    <xf numFmtId="0" fontId="22" fillId="12" borderId="2" xfId="4" applyFont="1" applyFill="1"/>
    <xf numFmtId="0" fontId="22" fillId="12" borderId="23" xfId="4" applyFont="1" applyFill="1" applyBorder="1"/>
    <xf numFmtId="10" fontId="22" fillId="12" borderId="23" xfId="5" applyNumberFormat="1" applyFont="1" applyFill="1" applyBorder="1"/>
    <xf numFmtId="10" fontId="23" fillId="12" borderId="2" xfId="5" applyNumberFormat="1" applyFont="1" applyFill="1"/>
    <xf numFmtId="0" fontId="21" fillId="7" borderId="24" xfId="6" applyFont="1" applyFill="1" applyBorder="1" applyAlignment="1">
      <alignment horizontal="center"/>
    </xf>
    <xf numFmtId="10" fontId="22" fillId="12" borderId="25" xfId="5" applyNumberFormat="1" applyFont="1" applyFill="1" applyBorder="1"/>
    <xf numFmtId="10" fontId="22" fillId="12" borderId="26" xfId="5" applyNumberFormat="1" applyFont="1" applyFill="1" applyBorder="1"/>
    <xf numFmtId="0" fontId="18" fillId="12" borderId="2" xfId="6" applyFont="1" applyFill="1"/>
    <xf numFmtId="0" fontId="24" fillId="12" borderId="2" xfId="4" quotePrefix="1" applyFont="1" applyFill="1"/>
    <xf numFmtId="14" fontId="15" fillId="0" borderId="2" xfId="0" applyNumberFormat="1" applyFont="1" applyBorder="1" applyAlignment="1">
      <alignment horizontal="center"/>
    </xf>
    <xf numFmtId="169" fontId="0" fillId="0" borderId="37" xfId="0" applyNumberFormat="1" applyBorder="1" applyAlignment="1">
      <alignment horizontal="center"/>
    </xf>
    <xf numFmtId="169" fontId="15" fillId="0" borderId="0" xfId="0" applyNumberFormat="1" applyFont="1" applyAlignment="1">
      <alignment horizontal="center"/>
    </xf>
    <xf numFmtId="0" fontId="0" fillId="0" borderId="29" xfId="0" applyBorder="1" applyAlignment="1">
      <alignment horizontal="center"/>
    </xf>
    <xf numFmtId="0" fontId="16" fillId="0" borderId="29" xfId="0" applyFont="1" applyBorder="1" applyAlignment="1">
      <alignment horizontal="center"/>
    </xf>
    <xf numFmtId="169" fontId="15" fillId="0" borderId="29" xfId="0" applyNumberFormat="1" applyFont="1" applyBorder="1" applyAlignment="1">
      <alignment horizontal="center"/>
    </xf>
    <xf numFmtId="169" fontId="15" fillId="0" borderId="36" xfId="0" applyNumberFormat="1" applyFont="1" applyBorder="1" applyAlignment="1">
      <alignment horizontal="center"/>
    </xf>
    <xf numFmtId="169" fontId="0" fillId="0" borderId="35" xfId="0" applyNumberFormat="1" applyBorder="1" applyAlignment="1">
      <alignment horizontal="center"/>
    </xf>
    <xf numFmtId="0" fontId="7" fillId="0" borderId="2" xfId="7" applyProtection="1"/>
    <xf numFmtId="0" fontId="25" fillId="14" borderId="19" xfId="7" applyFont="1" applyFill="1" applyBorder="1" applyProtection="1"/>
    <xf numFmtId="0" fontId="10" fillId="14" borderId="20" xfId="7" applyFont="1" applyFill="1" applyBorder="1" applyProtection="1"/>
    <xf numFmtId="0" fontId="10" fillId="14" borderId="21" xfId="7" applyFont="1" applyFill="1" applyBorder="1" applyProtection="1"/>
    <xf numFmtId="0" fontId="10" fillId="0" borderId="2" xfId="7" applyFont="1" applyProtection="1"/>
    <xf numFmtId="0" fontId="7" fillId="14" borderId="20" xfId="7" applyFill="1" applyBorder="1" applyProtection="1"/>
    <xf numFmtId="0" fontId="26" fillId="14" borderId="20" xfId="7" applyFont="1" applyFill="1" applyBorder="1" applyAlignment="1" applyProtection="1">
      <alignment horizontal="center"/>
    </xf>
    <xf numFmtId="0" fontId="26" fillId="14" borderId="21" xfId="7" applyFont="1" applyFill="1" applyBorder="1" applyAlignment="1" applyProtection="1">
      <alignment horizontal="center"/>
    </xf>
    <xf numFmtId="0" fontId="7" fillId="0" borderId="22" xfId="7" applyBorder="1" applyProtection="1"/>
    <xf numFmtId="0" fontId="7" fillId="0" borderId="2" xfId="7" applyBorder="1" applyProtection="1"/>
    <xf numFmtId="0" fontId="7" fillId="0" borderId="2" xfId="7" applyBorder="1" applyAlignment="1" applyProtection="1">
      <alignment horizontal="left"/>
    </xf>
    <xf numFmtId="0" fontId="7" fillId="0" borderId="24" xfId="7" applyBorder="1" applyProtection="1"/>
    <xf numFmtId="0" fontId="7" fillId="0" borderId="25" xfId="7" applyBorder="1" applyProtection="1"/>
    <xf numFmtId="0" fontId="25" fillId="14" borderId="20" xfId="7" applyFont="1" applyFill="1" applyBorder="1" applyAlignment="1" applyProtection="1">
      <alignment horizontal="center"/>
    </xf>
    <xf numFmtId="41" fontId="25" fillId="14" borderId="20" xfId="10" applyFont="1" applyFill="1" applyBorder="1" applyAlignment="1" applyProtection="1">
      <alignment horizontal="center"/>
    </xf>
    <xf numFmtId="0" fontId="28" fillId="0" borderId="22" xfId="7" applyFont="1" applyBorder="1" applyAlignment="1" applyProtection="1">
      <alignment horizontal="left"/>
    </xf>
    <xf numFmtId="0" fontId="10" fillId="0" borderId="2" xfId="7" applyFont="1" applyBorder="1" applyAlignment="1" applyProtection="1">
      <alignment horizontal="center"/>
    </xf>
    <xf numFmtId="41" fontId="10" fillId="0" borderId="2" xfId="10" applyFont="1" applyBorder="1" applyAlignment="1" applyProtection="1">
      <alignment horizontal="center"/>
    </xf>
    <xf numFmtId="0" fontId="7" fillId="0" borderId="22" xfId="7" applyBorder="1" applyAlignment="1" applyProtection="1">
      <alignment vertical="center"/>
    </xf>
    <xf numFmtId="0" fontId="7" fillId="0" borderId="22" xfId="7" applyBorder="1" applyAlignment="1" applyProtection="1">
      <alignment horizontal="left"/>
    </xf>
    <xf numFmtId="10" fontId="7" fillId="0" borderId="2" xfId="11" applyNumberFormat="1" applyFont="1" applyBorder="1" applyAlignment="1" applyProtection="1">
      <alignment horizontal="center"/>
    </xf>
    <xf numFmtId="0" fontId="7" fillId="0" borderId="47" xfId="7" applyBorder="1" applyAlignment="1" applyProtection="1">
      <alignment horizontal="left"/>
    </xf>
    <xf numFmtId="10" fontId="7" fillId="0" borderId="37" xfId="11" applyNumberFormat="1" applyFont="1" applyBorder="1" applyAlignment="1" applyProtection="1">
      <alignment horizontal="center"/>
    </xf>
    <xf numFmtId="0" fontId="10" fillId="0" borderId="22" xfId="7" applyFont="1" applyBorder="1" applyAlignment="1" applyProtection="1">
      <alignment horizontal="left"/>
    </xf>
    <xf numFmtId="0" fontId="10" fillId="0" borderId="2" xfId="7" applyFont="1" applyBorder="1" applyAlignment="1" applyProtection="1">
      <alignment horizontal="left"/>
    </xf>
    <xf numFmtId="0" fontId="7" fillId="0" borderId="23" xfId="7" applyBorder="1" applyProtection="1"/>
    <xf numFmtId="0" fontId="7" fillId="0" borderId="47" xfId="7" applyBorder="1" applyAlignment="1" applyProtection="1">
      <alignment horizontal="left" indent="1"/>
    </xf>
    <xf numFmtId="0" fontId="7" fillId="0" borderId="37" xfId="7" applyBorder="1" applyProtection="1"/>
    <xf numFmtId="41" fontId="7" fillId="0" borderId="2" xfId="10" applyFont="1" applyBorder="1" applyAlignment="1" applyProtection="1"/>
    <xf numFmtId="0" fontId="7" fillId="14" borderId="21" xfId="7" applyFill="1" applyBorder="1" applyProtection="1"/>
    <xf numFmtId="165" fontId="29" fillId="0" borderId="22" xfId="12" applyNumberFormat="1" applyFont="1" applyFill="1" applyBorder="1" applyProtection="1"/>
    <xf numFmtId="165" fontId="30" fillId="0" borderId="2" xfId="12" applyNumberFormat="1" applyFont="1" applyFill="1" applyBorder="1" applyAlignment="1" applyProtection="1">
      <alignment horizontal="center" vertical="center"/>
    </xf>
    <xf numFmtId="37" fontId="30" fillId="0" borderId="23" xfId="12" applyNumberFormat="1" applyFont="1" applyFill="1" applyBorder="1" applyAlignment="1" applyProtection="1">
      <alignment horizontal="center" vertical="center"/>
    </xf>
    <xf numFmtId="49" fontId="17" fillId="0" borderId="22" xfId="12" applyNumberFormat="1" applyFont="1" applyFill="1" applyBorder="1" applyProtection="1"/>
    <xf numFmtId="10" fontId="17" fillId="0" borderId="2" xfId="13" applyNumberFormat="1" applyFont="1" applyFill="1" applyBorder="1" applyAlignment="1" applyProtection="1">
      <alignment horizontal="center"/>
    </xf>
    <xf numFmtId="175" fontId="31" fillId="0" borderId="23" xfId="12" applyNumberFormat="1" applyFont="1" applyFill="1" applyBorder="1" applyAlignment="1" applyProtection="1">
      <alignment horizontal="center"/>
    </xf>
    <xf numFmtId="165" fontId="17" fillId="0" borderId="22" xfId="12" applyNumberFormat="1" applyFont="1" applyFill="1" applyBorder="1" applyProtection="1"/>
    <xf numFmtId="0" fontId="25" fillId="14" borderId="19" xfId="14" applyFont="1" applyFill="1" applyBorder="1" applyAlignment="1">
      <alignment horizontal="left"/>
    </xf>
    <xf numFmtId="165" fontId="26" fillId="14" borderId="20" xfId="12" applyNumberFormat="1" applyFont="1" applyFill="1" applyBorder="1" applyAlignment="1">
      <alignment horizontal="center"/>
    </xf>
    <xf numFmtId="37" fontId="26" fillId="14" borderId="20" xfId="12" applyNumberFormat="1" applyFont="1" applyFill="1" applyBorder="1" applyAlignment="1" applyProtection="1">
      <alignment horizontal="center"/>
      <protection locked="0"/>
    </xf>
    <xf numFmtId="37" fontId="26" fillId="14" borderId="21" xfId="12" applyNumberFormat="1" applyFont="1" applyFill="1" applyBorder="1" applyAlignment="1" applyProtection="1">
      <alignment horizontal="center"/>
      <protection locked="0"/>
    </xf>
    <xf numFmtId="0" fontId="28" fillId="0" borderId="22" xfId="8" applyFont="1" applyBorder="1" applyAlignment="1">
      <alignment horizontal="left"/>
    </xf>
    <xf numFmtId="0" fontId="28" fillId="0" borderId="2" xfId="8" applyFont="1" applyAlignment="1">
      <alignment horizontal="center"/>
    </xf>
    <xf numFmtId="0" fontId="28" fillId="0" borderId="23" xfId="8" applyFont="1" applyBorder="1" applyAlignment="1">
      <alignment horizontal="center"/>
    </xf>
    <xf numFmtId="165" fontId="17" fillId="0" borderId="22" xfId="12" applyNumberFormat="1" applyFont="1" applyFill="1" applyBorder="1"/>
    <xf numFmtId="176" fontId="27" fillId="10" borderId="2" xfId="13" applyNumberFormat="1" applyFont="1" applyFill="1" applyBorder="1" applyAlignment="1" applyProtection="1">
      <alignment horizontal="center" vertical="center"/>
      <protection locked="0"/>
    </xf>
    <xf numFmtId="166" fontId="27" fillId="10" borderId="2" xfId="13" applyNumberFormat="1" applyFont="1" applyFill="1" applyBorder="1" applyAlignment="1" applyProtection="1">
      <alignment horizontal="center" vertical="center"/>
      <protection locked="0"/>
    </xf>
    <xf numFmtId="166" fontId="31" fillId="0" borderId="23" xfId="13" applyNumberFormat="1" applyFont="1" applyFill="1" applyBorder="1" applyAlignment="1" applyProtection="1">
      <alignment horizontal="center"/>
      <protection locked="0"/>
    </xf>
    <xf numFmtId="0" fontId="25" fillId="14" borderId="19" xfId="14" quotePrefix="1" applyFont="1" applyFill="1" applyBorder="1" applyAlignment="1" applyProtection="1">
      <alignment horizontal="left"/>
    </xf>
    <xf numFmtId="0" fontId="7" fillId="14" borderId="20" xfId="7" applyFill="1" applyBorder="1" applyAlignment="1" applyProtection="1">
      <alignment horizontal="center"/>
    </xf>
    <xf numFmtId="0" fontId="10" fillId="0" borderId="23" xfId="7" applyFont="1" applyBorder="1" applyAlignment="1" applyProtection="1">
      <alignment horizontal="center"/>
    </xf>
    <xf numFmtId="176" fontId="27" fillId="0" borderId="2" xfId="13" applyNumberFormat="1" applyFont="1" applyFill="1" applyBorder="1" applyAlignment="1">
      <alignment horizontal="center" vertical="center"/>
    </xf>
    <xf numFmtId="0" fontId="10" fillId="0" borderId="22" xfId="7" applyFont="1" applyBorder="1" applyAlignment="1" applyProtection="1">
      <alignment horizontal="center"/>
    </xf>
    <xf numFmtId="6" fontId="7" fillId="0" borderId="23" xfId="7" applyNumberFormat="1" applyBorder="1" applyAlignment="1" applyProtection="1">
      <alignment horizontal="center"/>
    </xf>
    <xf numFmtId="165" fontId="27" fillId="0" borderId="2" xfId="12" applyNumberFormat="1" applyFont="1" applyFill="1" applyBorder="1" applyAlignment="1" applyProtection="1">
      <alignment horizontal="center"/>
      <protection locked="0"/>
    </xf>
    <xf numFmtId="0" fontId="4" fillId="0" borderId="2" xfId="8" applyAlignment="1">
      <alignment horizontal="center"/>
    </xf>
    <xf numFmtId="0" fontId="4" fillId="0" borderId="23" xfId="8" applyBorder="1"/>
    <xf numFmtId="165" fontId="26" fillId="0" borderId="22" xfId="12" applyNumberFormat="1" applyFont="1" applyFill="1" applyBorder="1"/>
    <xf numFmtId="6" fontId="7" fillId="15" borderId="23" xfId="7" applyNumberFormat="1" applyFill="1" applyBorder="1" applyAlignment="1" applyProtection="1">
      <alignment horizontal="center"/>
    </xf>
    <xf numFmtId="166" fontId="7" fillId="0" borderId="2" xfId="13" applyNumberFormat="1" applyFont="1" applyFill="1" applyBorder="1" applyAlignment="1">
      <alignment horizontal="center"/>
    </xf>
    <xf numFmtId="41" fontId="17" fillId="0" borderId="23" xfId="13" applyNumberFormat="1" applyFont="1" applyFill="1" applyBorder="1"/>
    <xf numFmtId="165" fontId="29" fillId="0" borderId="24" xfId="12" applyNumberFormat="1" applyFont="1" applyFill="1" applyBorder="1"/>
    <xf numFmtId="166" fontId="33" fillId="0" borderId="25" xfId="13" applyNumberFormat="1" applyFont="1" applyFill="1" applyBorder="1" applyAlignment="1">
      <alignment horizontal="center"/>
    </xf>
    <xf numFmtId="41" fontId="33" fillId="0" borderId="26" xfId="12" applyNumberFormat="1" applyFont="1" applyFill="1" applyBorder="1" applyProtection="1">
      <protection locked="0"/>
    </xf>
    <xf numFmtId="0" fontId="7" fillId="0" borderId="22" xfId="7" applyFill="1" applyBorder="1" applyProtection="1"/>
    <xf numFmtId="1" fontId="7" fillId="0" borderId="2" xfId="7" applyNumberFormat="1" applyFill="1" applyBorder="1" applyAlignment="1" applyProtection="1">
      <alignment horizontal="center"/>
    </xf>
    <xf numFmtId="0" fontId="7" fillId="0" borderId="22" xfId="7" applyBorder="1" applyAlignment="1" applyProtection="1">
      <alignment horizontal="left" indent="1"/>
    </xf>
    <xf numFmtId="0" fontId="36" fillId="0" borderId="22" xfId="7" applyFont="1" applyBorder="1" applyAlignment="1" applyProtection="1">
      <alignment horizontal="left"/>
    </xf>
    <xf numFmtId="0" fontId="36" fillId="0" borderId="22" xfId="7" applyFont="1" applyBorder="1" applyAlignment="1" applyProtection="1">
      <alignment horizontal="left" indent="1"/>
    </xf>
    <xf numFmtId="0" fontId="36" fillId="0" borderId="47" xfId="7" applyFont="1" applyBorder="1" applyAlignment="1" applyProtection="1">
      <alignment horizontal="left" indent="1"/>
    </xf>
    <xf numFmtId="0" fontId="10" fillId="0" borderId="2" xfId="7" applyFont="1" applyBorder="1" applyProtection="1"/>
    <xf numFmtId="41" fontId="25" fillId="14" borderId="21" xfId="10" applyFont="1" applyFill="1" applyBorder="1" applyAlignment="1" applyProtection="1">
      <alignment horizontal="right"/>
    </xf>
    <xf numFmtId="41" fontId="10" fillId="0" borderId="23" xfId="10" applyFont="1" applyBorder="1" applyAlignment="1" applyProtection="1">
      <alignment horizontal="center"/>
    </xf>
    <xf numFmtId="37" fontId="7" fillId="0" borderId="2" xfId="7" applyNumberFormat="1" applyBorder="1" applyAlignment="1" applyProtection="1">
      <alignment horizontal="center"/>
    </xf>
    <xf numFmtId="6" fontId="7" fillId="0" borderId="2" xfId="7" applyNumberFormat="1" applyBorder="1" applyAlignment="1" applyProtection="1">
      <alignment horizontal="center"/>
    </xf>
    <xf numFmtId="6" fontId="7" fillId="0" borderId="37" xfId="7" applyNumberFormat="1" applyBorder="1" applyAlignment="1" applyProtection="1">
      <alignment horizontal="center"/>
    </xf>
    <xf numFmtId="165" fontId="29" fillId="0" borderId="2" xfId="12" applyNumberFormat="1" applyFont="1" applyFill="1" applyBorder="1"/>
    <xf numFmtId="165" fontId="29" fillId="0" borderId="2" xfId="12" applyNumberFormat="1" applyFont="1" applyFill="1" applyBorder="1" applyAlignment="1">
      <alignment horizontal="center"/>
    </xf>
    <xf numFmtId="37" fontId="29" fillId="0" borderId="2" xfId="12" applyNumberFormat="1" applyFont="1" applyFill="1" applyBorder="1" applyAlignment="1" applyProtection="1">
      <alignment horizontal="center"/>
      <protection locked="0"/>
    </xf>
    <xf numFmtId="49" fontId="17" fillId="0" borderId="2" xfId="12" applyNumberFormat="1" applyFont="1" applyFill="1" applyBorder="1"/>
    <xf numFmtId="10" fontId="17" fillId="0" borderId="2" xfId="13" applyNumberFormat="1" applyFont="1" applyFill="1" applyBorder="1" applyAlignment="1">
      <alignment horizontal="center"/>
    </xf>
    <xf numFmtId="165" fontId="17" fillId="0" borderId="32" xfId="12" applyNumberFormat="1" applyFont="1" applyFill="1" applyBorder="1"/>
    <xf numFmtId="165" fontId="17" fillId="0" borderId="38" xfId="12" applyNumberFormat="1" applyFont="1" applyFill="1" applyBorder="1"/>
    <xf numFmtId="165" fontId="29" fillId="0" borderId="34" xfId="12" applyNumberFormat="1" applyFont="1" applyFill="1" applyBorder="1"/>
    <xf numFmtId="37" fontId="17" fillId="0" borderId="2" xfId="12" applyNumberFormat="1" applyFont="1" applyFill="1" applyBorder="1" applyAlignment="1" applyProtection="1">
      <alignment horizontal="center"/>
      <protection locked="0"/>
    </xf>
    <xf numFmtId="37" fontId="17" fillId="0" borderId="29" xfId="12" applyNumberFormat="1" applyFont="1" applyFill="1" applyBorder="1" applyAlignment="1" applyProtection="1">
      <alignment horizontal="center"/>
      <protection locked="0"/>
    </xf>
    <xf numFmtId="37" fontId="37" fillId="0" borderId="2" xfId="12" applyNumberFormat="1" applyFont="1" applyFill="1" applyBorder="1" applyAlignment="1" applyProtection="1">
      <alignment horizontal="center"/>
      <protection locked="0"/>
    </xf>
    <xf numFmtId="37" fontId="37" fillId="0" borderId="29" xfId="12" applyNumberFormat="1" applyFont="1" applyFill="1" applyBorder="1" applyAlignment="1" applyProtection="1">
      <alignment horizontal="center"/>
      <protection locked="0"/>
    </xf>
    <xf numFmtId="165" fontId="29" fillId="0" borderId="35" xfId="12" applyNumberFormat="1" applyFont="1" applyFill="1" applyBorder="1"/>
    <xf numFmtId="37" fontId="17" fillId="0" borderId="37" xfId="12" applyNumberFormat="1" applyFont="1" applyFill="1" applyBorder="1" applyAlignment="1" applyProtection="1">
      <alignment horizontal="center"/>
      <protection locked="0"/>
    </xf>
    <xf numFmtId="37" fontId="17" fillId="0" borderId="36" xfId="12" applyNumberFormat="1" applyFont="1" applyFill="1" applyBorder="1" applyAlignment="1" applyProtection="1">
      <alignment horizontal="center"/>
      <protection locked="0"/>
    </xf>
    <xf numFmtId="165" fontId="17" fillId="0" borderId="2" xfId="12" applyNumberFormat="1" applyFont="1" applyFill="1"/>
    <xf numFmtId="165" fontId="38" fillId="0" borderId="2" xfId="12" applyNumberFormat="1" applyFont="1" applyFill="1"/>
    <xf numFmtId="166" fontId="29" fillId="0" borderId="2" xfId="13" applyNumberFormat="1" applyFont="1" applyFill="1" applyBorder="1" applyAlignment="1">
      <alignment horizontal="right"/>
    </xf>
    <xf numFmtId="165" fontId="29" fillId="0" borderId="2" xfId="12" applyNumberFormat="1" applyFont="1" applyFill="1" applyAlignment="1">
      <alignment horizontal="right"/>
    </xf>
    <xf numFmtId="165" fontId="17" fillId="0" borderId="2" xfId="12" applyNumberFormat="1" applyFont="1" applyFill="1" applyBorder="1"/>
    <xf numFmtId="165" fontId="17" fillId="9" borderId="2" xfId="12" applyNumberFormat="1" applyFont="1" applyFill="1"/>
    <xf numFmtId="166" fontId="39" fillId="0" borderId="2" xfId="13" applyNumberFormat="1" applyFont="1" applyFill="1" applyBorder="1" applyAlignment="1">
      <alignment horizontal="right"/>
    </xf>
    <xf numFmtId="0" fontId="10" fillId="9" borderId="22" xfId="7" applyFont="1" applyFill="1" applyBorder="1" applyProtection="1"/>
    <xf numFmtId="9" fontId="7" fillId="0" borderId="2" xfId="7" applyNumberFormat="1" applyProtection="1"/>
    <xf numFmtId="169" fontId="34" fillId="0" borderId="2" xfId="7" applyNumberFormat="1" applyFont="1" applyBorder="1" applyAlignment="1" applyProtection="1">
      <alignment horizontal="center"/>
    </xf>
    <xf numFmtId="169" fontId="34" fillId="15" borderId="2" xfId="7" applyNumberFormat="1" applyFont="1" applyFill="1" applyBorder="1" applyAlignment="1" applyProtection="1">
      <alignment horizontal="center"/>
    </xf>
    <xf numFmtId="9" fontId="7" fillId="0" borderId="22" xfId="7" applyNumberFormat="1" applyBorder="1" applyAlignment="1" applyProtection="1">
      <alignment horizontal="center"/>
    </xf>
    <xf numFmtId="0" fontId="7" fillId="9" borderId="22" xfId="7" applyFill="1" applyBorder="1" applyProtection="1"/>
    <xf numFmtId="0" fontId="7" fillId="9" borderId="2" xfId="7" applyFill="1" applyBorder="1" applyAlignment="1" applyProtection="1">
      <alignment horizontal="center"/>
    </xf>
    <xf numFmtId="0" fontId="10" fillId="5" borderId="24" xfId="7" applyNumberFormat="1" applyFont="1" applyFill="1" applyBorder="1" applyProtection="1"/>
    <xf numFmtId="1" fontId="10" fillId="5" borderId="25" xfId="7" applyNumberFormat="1" applyFont="1" applyFill="1" applyBorder="1" applyAlignment="1" applyProtection="1">
      <alignment horizontal="center"/>
    </xf>
    <xf numFmtId="0" fontId="10" fillId="0" borderId="40" xfId="7" applyFont="1" applyBorder="1" applyAlignment="1" applyProtection="1">
      <alignment horizontal="left" vertical="center"/>
    </xf>
    <xf numFmtId="0" fontId="10" fillId="0" borderId="41" xfId="7" applyFont="1" applyBorder="1" applyAlignment="1" applyProtection="1">
      <alignment horizontal="left" vertical="center"/>
    </xf>
    <xf numFmtId="0" fontId="10" fillId="0" borderId="22" xfId="7" applyFont="1" applyBorder="1" applyAlignment="1" applyProtection="1">
      <alignment horizontal="left" vertical="center"/>
    </xf>
    <xf numFmtId="0" fontId="10" fillId="0" borderId="2" xfId="7" applyFont="1" applyBorder="1" applyAlignment="1" applyProtection="1">
      <alignment vertical="center"/>
    </xf>
    <xf numFmtId="37" fontId="30" fillId="0" borderId="2" xfId="12" applyNumberFormat="1" applyFont="1" applyFill="1" applyBorder="1" applyAlignment="1" applyProtection="1">
      <alignment horizontal="center" vertical="center"/>
    </xf>
    <xf numFmtId="169" fontId="0" fillId="0" borderId="29" xfId="0" applyNumberFormat="1" applyBorder="1" applyAlignment="1">
      <alignment horizontal="center"/>
    </xf>
    <xf numFmtId="41" fontId="7" fillId="0" borderId="23" xfId="7" applyNumberFormat="1" applyBorder="1" applyAlignment="1" applyProtection="1">
      <alignment horizontal="center"/>
    </xf>
    <xf numFmtId="41" fontId="7" fillId="0" borderId="48" xfId="7" applyNumberFormat="1" applyBorder="1" applyAlignment="1" applyProtection="1">
      <alignment horizontal="center"/>
    </xf>
    <xf numFmtId="14" fontId="15" fillId="17" borderId="2" xfId="0" applyNumberFormat="1" applyFont="1" applyFill="1" applyBorder="1" applyAlignment="1">
      <alignment horizontal="center"/>
    </xf>
    <xf numFmtId="0" fontId="15" fillId="0" borderId="29" xfId="0" applyFont="1" applyBorder="1" applyAlignment="1">
      <alignment horizontal="center"/>
    </xf>
    <xf numFmtId="175" fontId="31" fillId="0" borderId="2" xfId="12" applyNumberFormat="1" applyFont="1" applyFill="1" applyBorder="1" applyAlignment="1" applyProtection="1">
      <alignment horizontal="center"/>
    </xf>
    <xf numFmtId="180" fontId="15" fillId="0" borderId="0" xfId="0" applyNumberFormat="1" applyFont="1" applyAlignment="1">
      <alignment horizontal="center"/>
    </xf>
    <xf numFmtId="180" fontId="7" fillId="0" borderId="2" xfId="7" applyNumberFormat="1" applyAlignment="1" applyProtection="1">
      <alignment horizontal="center"/>
    </xf>
    <xf numFmtId="14" fontId="7" fillId="0" borderId="2" xfId="7" applyNumberFormat="1" applyAlignment="1" applyProtection="1">
      <alignment horizontal="center"/>
    </xf>
    <xf numFmtId="169" fontId="0" fillId="0" borderId="2" xfId="0" applyNumberFormat="1" applyBorder="1" applyAlignment="1">
      <alignment horizontal="center"/>
    </xf>
    <xf numFmtId="166" fontId="41" fillId="0" borderId="22" xfId="7" applyNumberFormat="1" applyFont="1" applyBorder="1" applyAlignment="1" applyProtection="1">
      <alignment horizontal="center"/>
    </xf>
    <xf numFmtId="14" fontId="7" fillId="9" borderId="23" xfId="7" applyNumberFormat="1" applyFill="1" applyBorder="1" applyAlignment="1" applyProtection="1">
      <alignment horizontal="center"/>
    </xf>
    <xf numFmtId="14" fontId="7" fillId="0" borderId="23" xfId="7" applyNumberFormat="1" applyFill="1" applyBorder="1" applyAlignment="1" applyProtection="1">
      <alignment horizontal="center"/>
    </xf>
    <xf numFmtId="14" fontId="10" fillId="5" borderId="26" xfId="7" applyNumberFormat="1" applyFont="1" applyFill="1" applyBorder="1" applyAlignment="1" applyProtection="1">
      <alignment horizontal="center"/>
    </xf>
    <xf numFmtId="0" fontId="0" fillId="0" borderId="37" xfId="0" applyBorder="1" applyAlignment="1">
      <alignment horizontal="center"/>
    </xf>
    <xf numFmtId="169" fontId="11" fillId="0" borderId="29" xfId="0" applyNumberFormat="1" applyFont="1" applyBorder="1" applyAlignment="1">
      <alignment horizontal="center"/>
    </xf>
    <xf numFmtId="169" fontId="11" fillId="0" borderId="36" xfId="0" applyNumberFormat="1" applyFont="1" applyBorder="1" applyAlignment="1">
      <alignment horizontal="center"/>
    </xf>
    <xf numFmtId="0" fontId="15" fillId="9" borderId="40" xfId="0" applyFont="1" applyFill="1" applyBorder="1" applyAlignment="1">
      <alignment horizontal="left"/>
    </xf>
    <xf numFmtId="169" fontId="15" fillId="9" borderId="64" xfId="0" applyNumberFormat="1" applyFont="1" applyFill="1" applyBorder="1" applyAlignment="1">
      <alignment horizontal="center"/>
    </xf>
    <xf numFmtId="169" fontId="15" fillId="9" borderId="41" xfId="0" applyNumberFormat="1" applyFont="1" applyFill="1" applyBorder="1" applyAlignment="1">
      <alignment horizontal="center"/>
    </xf>
    <xf numFmtId="169" fontId="15" fillId="9" borderId="42" xfId="0" applyNumberFormat="1" applyFont="1"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15" fillId="0" borderId="22" xfId="0" applyFont="1" applyBorder="1" applyAlignment="1">
      <alignment horizontal="left"/>
    </xf>
    <xf numFmtId="0" fontId="0" fillId="0" borderId="2" xfId="0" applyBorder="1" applyAlignment="1">
      <alignment horizontal="center"/>
    </xf>
    <xf numFmtId="0" fontId="0" fillId="0" borderId="23" xfId="0" applyBorder="1" applyAlignment="1">
      <alignment horizontal="center"/>
    </xf>
    <xf numFmtId="0" fontId="11" fillId="0" borderId="22" xfId="0" applyFont="1" applyBorder="1" applyAlignment="1">
      <alignment horizontal="left" indent="1"/>
    </xf>
    <xf numFmtId="169" fontId="0" fillId="0" borderId="23" xfId="0" applyNumberFormat="1" applyBorder="1" applyAlignment="1">
      <alignment horizontal="center"/>
    </xf>
    <xf numFmtId="0" fontId="11" fillId="0" borderId="47" xfId="0" applyFont="1" applyBorder="1" applyAlignment="1">
      <alignment horizontal="left" indent="1"/>
    </xf>
    <xf numFmtId="169" fontId="0" fillId="0" borderId="48" xfId="0" applyNumberFormat="1" applyBorder="1" applyAlignment="1">
      <alignment horizontal="center"/>
    </xf>
    <xf numFmtId="169" fontId="15" fillId="0" borderId="2" xfId="0" applyNumberFormat="1" applyFont="1" applyBorder="1" applyAlignment="1">
      <alignment horizontal="center"/>
    </xf>
    <xf numFmtId="169" fontId="15" fillId="0" borderId="23" xfId="0" applyNumberFormat="1" applyFont="1" applyBorder="1" applyAlignment="1">
      <alignment horizontal="center"/>
    </xf>
    <xf numFmtId="0" fontId="11" fillId="0" borderId="22" xfId="0" applyFont="1" applyBorder="1" applyAlignment="1">
      <alignment horizontal="left"/>
    </xf>
    <xf numFmtId="0" fontId="0" fillId="0" borderId="22" xfId="0" applyBorder="1" applyAlignment="1">
      <alignment horizontal="center"/>
    </xf>
    <xf numFmtId="0" fontId="11" fillId="0" borderId="22" xfId="0" applyFont="1" applyBorder="1" applyAlignment="1">
      <alignment horizontal="center"/>
    </xf>
    <xf numFmtId="0" fontId="15" fillId="0" borderId="24" xfId="0" applyFont="1" applyBorder="1" applyAlignment="1">
      <alignment horizontal="left"/>
    </xf>
    <xf numFmtId="169" fontId="15" fillId="0" borderId="27" xfId="0" applyNumberFormat="1" applyFont="1" applyBorder="1" applyAlignment="1">
      <alignment horizontal="center"/>
    </xf>
    <xf numFmtId="169" fontId="15" fillId="0" borderId="25" xfId="0" applyNumberFormat="1" applyFont="1" applyBorder="1" applyAlignment="1">
      <alignment horizontal="center"/>
    </xf>
    <xf numFmtId="169" fontId="15" fillId="0" borderId="26" xfId="0" applyNumberFormat="1" applyFont="1" applyBorder="1" applyAlignment="1">
      <alignment horizontal="center"/>
    </xf>
    <xf numFmtId="0" fontId="0" fillId="9" borderId="41" xfId="0" applyFill="1" applyBorder="1" applyAlignment="1">
      <alignment horizontal="center"/>
    </xf>
    <xf numFmtId="0" fontId="0" fillId="9" borderId="42" xfId="0" applyFill="1" applyBorder="1" applyAlignment="1">
      <alignment horizontal="center"/>
    </xf>
    <xf numFmtId="0" fontId="16" fillId="0" borderId="19" xfId="0" applyFont="1" applyBorder="1" applyAlignment="1">
      <alignment horizontal="left"/>
    </xf>
    <xf numFmtId="0" fontId="15" fillId="0" borderId="45" xfId="0" applyFont="1" applyBorder="1" applyAlignment="1">
      <alignment horizontal="center"/>
    </xf>
    <xf numFmtId="14" fontId="0" fillId="0" borderId="20" xfId="0" applyNumberFormat="1" applyBorder="1" applyAlignment="1">
      <alignment horizontal="center"/>
    </xf>
    <xf numFmtId="14" fontId="0" fillId="0" borderId="21" xfId="0" applyNumberFormat="1" applyBorder="1" applyAlignment="1">
      <alignment horizontal="center"/>
    </xf>
    <xf numFmtId="0" fontId="16" fillId="0" borderId="22" xfId="0" applyFont="1" applyBorder="1" applyAlignment="1">
      <alignment horizontal="left"/>
    </xf>
    <xf numFmtId="0" fontId="15" fillId="9" borderId="24" xfId="0" applyFont="1" applyFill="1" applyBorder="1" applyAlignment="1">
      <alignment horizontal="left"/>
    </xf>
    <xf numFmtId="169" fontId="15" fillId="9" borderId="27" xfId="0" applyNumberFormat="1" applyFont="1" applyFill="1" applyBorder="1" applyAlignment="1">
      <alignment horizontal="center"/>
    </xf>
    <xf numFmtId="169" fontId="15" fillId="9" borderId="25" xfId="0" applyNumberFormat="1" applyFont="1" applyFill="1" applyBorder="1" applyAlignment="1">
      <alignment horizontal="center"/>
    </xf>
    <xf numFmtId="169" fontId="15" fillId="9" borderId="26" xfId="0" applyNumberFormat="1" applyFont="1" applyFill="1" applyBorder="1" applyAlignment="1">
      <alignment horizontal="center"/>
    </xf>
    <xf numFmtId="169" fontId="15" fillId="0" borderId="45" xfId="0" applyNumberFormat="1" applyFont="1" applyBorder="1" applyAlignment="1">
      <alignment horizontal="center"/>
    </xf>
    <xf numFmtId="0" fontId="11" fillId="0" borderId="24" xfId="0" applyFont="1" applyBorder="1" applyAlignment="1">
      <alignment horizontal="left" indent="1"/>
    </xf>
    <xf numFmtId="0" fontId="11" fillId="0" borderId="27" xfId="0" applyFont="1" applyBorder="1" applyAlignment="1">
      <alignment horizontal="center"/>
    </xf>
    <xf numFmtId="169" fontId="0" fillId="0" borderId="25" xfId="0" applyNumberFormat="1" applyBorder="1" applyAlignment="1">
      <alignment horizontal="center"/>
    </xf>
    <xf numFmtId="169" fontId="0" fillId="0" borderId="26" xfId="0" applyNumberFormat="1" applyBorder="1" applyAlignment="1">
      <alignment horizontal="center"/>
    </xf>
    <xf numFmtId="0" fontId="0" fillId="0" borderId="45" xfId="0" applyBorder="1" applyAlignment="1">
      <alignment horizontal="center"/>
    </xf>
    <xf numFmtId="0" fontId="11" fillId="0" borderId="47" xfId="0" applyFont="1" applyBorder="1" applyAlignment="1">
      <alignment horizontal="left"/>
    </xf>
    <xf numFmtId="0" fontId="11" fillId="0" borderId="24" xfId="0" applyFont="1" applyBorder="1" applyAlignment="1">
      <alignment horizontal="left"/>
    </xf>
    <xf numFmtId="0" fontId="16" fillId="0" borderId="0" xfId="0" applyFont="1" applyAlignment="1">
      <alignment horizontal="left"/>
    </xf>
    <xf numFmtId="9" fontId="5" fillId="0" borderId="1" xfId="0" applyNumberFormat="1" applyFont="1" applyBorder="1" applyAlignment="1">
      <alignment horizontal="center" vertical="center"/>
    </xf>
    <xf numFmtId="9" fontId="8" fillId="0" borderId="1" xfId="0" applyNumberFormat="1" applyFont="1" applyBorder="1" applyAlignment="1">
      <alignment horizontal="center" vertical="center"/>
    </xf>
    <xf numFmtId="0" fontId="5" fillId="7" borderId="1" xfId="0" applyFont="1" applyFill="1" applyBorder="1" applyAlignment="1">
      <alignment horizontal="center" vertical="center"/>
    </xf>
    <xf numFmtId="10" fontId="5" fillId="0" borderId="1" xfId="0" applyNumberFormat="1" applyFont="1" applyBorder="1" applyAlignment="1">
      <alignment horizontal="center" vertical="center"/>
    </xf>
    <xf numFmtId="0" fontId="15" fillId="0" borderId="22" xfId="0" applyFont="1" applyBorder="1" applyAlignment="1">
      <alignment horizontal="left" indent="1"/>
    </xf>
    <xf numFmtId="0" fontId="11" fillId="0" borderId="22" xfId="0" applyFont="1" applyBorder="1" applyAlignment="1">
      <alignment horizontal="left" indent="2"/>
    </xf>
    <xf numFmtId="0" fontId="11" fillId="0" borderId="47" xfId="0" applyFont="1" applyBorder="1" applyAlignment="1">
      <alignment horizontal="left" indent="2"/>
    </xf>
    <xf numFmtId="0" fontId="0" fillId="0" borderId="22" xfId="0" applyBorder="1" applyAlignment="1">
      <alignment horizontal="left" indent="1"/>
    </xf>
    <xf numFmtId="181" fontId="7" fillId="0" borderId="2" xfId="7" applyNumberFormat="1" applyProtection="1"/>
    <xf numFmtId="0" fontId="10" fillId="0" borderId="24" xfId="7" applyFont="1" applyBorder="1" applyProtection="1"/>
    <xf numFmtId="41" fontId="10" fillId="0" borderId="26" xfId="7" applyNumberFormat="1" applyFont="1" applyBorder="1" applyProtection="1"/>
    <xf numFmtId="165" fontId="17" fillId="16" borderId="24" xfId="12" applyNumberFormat="1" applyFont="1" applyFill="1" applyBorder="1" applyProtection="1"/>
    <xf numFmtId="0" fontId="42" fillId="0" borderId="0" xfId="0" applyFont="1"/>
    <xf numFmtId="0" fontId="7" fillId="14" borderId="21" xfId="7" applyFill="1" applyBorder="1" applyAlignment="1" applyProtection="1">
      <alignment horizontal="center"/>
    </xf>
    <xf numFmtId="0" fontId="7" fillId="0" borderId="47" xfId="7" applyBorder="1" applyProtection="1"/>
    <xf numFmtId="0" fontId="10" fillId="0" borderId="25" xfId="7" applyFont="1" applyBorder="1" applyProtection="1"/>
    <xf numFmtId="0" fontId="17" fillId="0" borderId="22" xfId="12" applyNumberFormat="1" applyFont="1" applyFill="1" applyBorder="1" applyProtection="1"/>
    <xf numFmtId="0" fontId="43" fillId="0" borderId="2" xfId="8" applyFont="1" applyAlignment="1">
      <alignment vertical="center"/>
    </xf>
    <xf numFmtId="0" fontId="44" fillId="0" borderId="2" xfId="8" applyFont="1"/>
    <xf numFmtId="0" fontId="45" fillId="0" borderId="2" xfId="8" applyFont="1" applyAlignment="1">
      <alignment vertical="center"/>
    </xf>
    <xf numFmtId="0" fontId="46" fillId="0" borderId="2" xfId="8" applyFont="1" applyAlignment="1">
      <alignment horizontal="left" vertical="center" indent="1"/>
    </xf>
    <xf numFmtId="0" fontId="47" fillId="0" borderId="2" xfId="8" applyFont="1" applyAlignment="1">
      <alignment horizontal="left" vertical="center" indent="1"/>
    </xf>
    <xf numFmtId="0" fontId="48" fillId="0" borderId="37" xfId="8" applyFont="1" applyBorder="1" applyAlignment="1">
      <alignment vertical="center"/>
    </xf>
    <xf numFmtId="0" fontId="44" fillId="0" borderId="37" xfId="8" applyFont="1" applyBorder="1"/>
    <xf numFmtId="0" fontId="46" fillId="0" borderId="37" xfId="8" applyFont="1" applyBorder="1" applyAlignment="1">
      <alignment horizontal="left" vertical="center" indent="1"/>
    </xf>
    <xf numFmtId="0" fontId="45" fillId="0" borderId="2" xfId="8" applyFont="1" applyAlignment="1">
      <alignment horizontal="left" vertical="center" indent="1"/>
    </xf>
    <xf numFmtId="0" fontId="46" fillId="0" borderId="2" xfId="8" applyFont="1" applyAlignment="1">
      <alignment horizontal="left" vertical="center" indent="2"/>
    </xf>
    <xf numFmtId="0" fontId="46" fillId="0" borderId="37" xfId="8" applyFont="1" applyBorder="1" applyAlignment="1">
      <alignment horizontal="left" vertical="center" indent="2"/>
    </xf>
    <xf numFmtId="0" fontId="45" fillId="0" borderId="37" xfId="8" applyFont="1" applyBorder="1" applyAlignment="1">
      <alignment vertical="center"/>
    </xf>
    <xf numFmtId="0" fontId="49" fillId="0" borderId="2" xfId="8" applyFont="1" applyAlignment="1">
      <alignment horizontal="left" vertical="center" indent="1"/>
    </xf>
    <xf numFmtId="0" fontId="49" fillId="0" borderId="2" xfId="8" applyFont="1"/>
    <xf numFmtId="0" fontId="46" fillId="0" borderId="2" xfId="8" applyFont="1" applyAlignment="1">
      <alignment vertical="center"/>
    </xf>
    <xf numFmtId="0" fontId="44" fillId="0" borderId="2" xfId="8" applyFont="1" applyAlignment="1">
      <alignment horizontal="left" vertical="center" indent="1"/>
    </xf>
    <xf numFmtId="0" fontId="50" fillId="0" borderId="2" xfId="8" applyFont="1" applyAlignment="1">
      <alignment vertical="center"/>
    </xf>
    <xf numFmtId="0" fontId="51" fillId="0" borderId="2" xfId="8" applyFont="1" applyAlignment="1">
      <alignment horizontal="left" vertical="center" indent="6"/>
    </xf>
    <xf numFmtId="0" fontId="51" fillId="6" borderId="2" xfId="8" applyFont="1" applyFill="1" applyAlignment="1">
      <alignment horizontal="left" vertical="center" indent="6"/>
    </xf>
    <xf numFmtId="0" fontId="46" fillId="0" borderId="2" xfId="8" applyFont="1" applyAlignment="1">
      <alignment horizontal="left" vertical="center" indent="3"/>
    </xf>
    <xf numFmtId="41" fontId="7" fillId="0" borderId="2" xfId="7" applyNumberFormat="1" applyBorder="1" applyAlignment="1" applyProtection="1">
      <alignment horizontal="center"/>
    </xf>
    <xf numFmtId="169" fontId="7" fillId="0" borderId="2" xfId="7" applyNumberFormat="1" applyBorder="1" applyAlignment="1" applyProtection="1">
      <alignment horizontal="center"/>
    </xf>
    <xf numFmtId="169" fontId="7" fillId="16" borderId="2" xfId="7" applyNumberFormat="1" applyFill="1" applyBorder="1" applyAlignment="1" applyProtection="1">
      <alignment horizontal="center"/>
    </xf>
    <xf numFmtId="165" fontId="17" fillId="0" borderId="47" xfId="12" applyNumberFormat="1" applyFont="1" applyFill="1" applyBorder="1"/>
    <xf numFmtId="166" fontId="27" fillId="0" borderId="37" xfId="13" applyNumberFormat="1" applyFont="1" applyFill="1" applyBorder="1" applyAlignment="1" applyProtection="1">
      <alignment horizontal="center"/>
      <protection locked="0"/>
    </xf>
    <xf numFmtId="0" fontId="25" fillId="14" borderId="21" xfId="7" applyFont="1" applyFill="1" applyBorder="1" applyAlignment="1" applyProtection="1">
      <alignment horizontal="right"/>
    </xf>
    <xf numFmtId="169" fontId="17" fillId="0" borderId="2" xfId="13" applyNumberFormat="1" applyFont="1" applyFill="1" applyBorder="1" applyProtection="1"/>
    <xf numFmtId="169" fontId="17" fillId="0" borderId="23" xfId="13" applyNumberFormat="1" applyFont="1" applyFill="1" applyBorder="1" applyProtection="1"/>
    <xf numFmtId="169" fontId="17" fillId="16" borderId="25" xfId="13" applyNumberFormat="1" applyFont="1" applyFill="1" applyBorder="1" applyProtection="1"/>
    <xf numFmtId="169" fontId="17" fillId="16" borderId="26" xfId="13" applyNumberFormat="1" applyFont="1" applyFill="1" applyBorder="1" applyProtection="1"/>
    <xf numFmtId="169" fontId="17" fillId="0" borderId="2" xfId="13" applyNumberFormat="1" applyFont="1" applyFill="1" applyBorder="1"/>
    <xf numFmtId="169" fontId="17" fillId="0" borderId="37" xfId="13" applyNumberFormat="1" applyFont="1" applyFill="1" applyBorder="1"/>
    <xf numFmtId="169" fontId="33" fillId="0" borderId="25" xfId="12" applyNumberFormat="1" applyFont="1" applyFill="1" applyBorder="1" applyProtection="1">
      <protection locked="0"/>
    </xf>
    <xf numFmtId="164" fontId="7" fillId="0" borderId="2" xfId="10" applyNumberFormat="1" applyFont="1" applyBorder="1" applyProtection="1"/>
    <xf numFmtId="164" fontId="7" fillId="0" borderId="23" xfId="10" applyNumberFormat="1" applyFont="1" applyBorder="1" applyProtection="1"/>
    <xf numFmtId="164" fontId="7" fillId="0" borderId="37" xfId="10" applyNumberFormat="1" applyFont="1" applyBorder="1" applyProtection="1"/>
    <xf numFmtId="164" fontId="7" fillId="0" borderId="48" xfId="10" applyNumberFormat="1" applyFont="1" applyBorder="1" applyProtection="1"/>
    <xf numFmtId="164" fontId="10" fillId="0" borderId="2" xfId="10" applyNumberFormat="1" applyFont="1" applyBorder="1" applyProtection="1"/>
    <xf numFmtId="164" fontId="10" fillId="0" borderId="23" xfId="10" applyNumberFormat="1" applyFont="1" applyBorder="1" applyProtection="1"/>
    <xf numFmtId="164" fontId="7" fillId="0" borderId="2" xfId="7" applyNumberFormat="1" applyBorder="1" applyProtection="1"/>
    <xf numFmtId="164" fontId="7" fillId="0" borderId="23" xfId="7" applyNumberFormat="1" applyBorder="1" applyProtection="1"/>
    <xf numFmtId="164" fontId="28" fillId="0" borderId="23" xfId="7" applyNumberFormat="1" applyFont="1" applyBorder="1" applyAlignment="1" applyProtection="1">
      <alignment horizontal="right"/>
    </xf>
    <xf numFmtId="164" fontId="10" fillId="0" borderId="2" xfId="10" applyNumberFormat="1" applyFont="1" applyBorder="1" applyAlignment="1" applyProtection="1">
      <alignment vertical="center"/>
    </xf>
    <xf numFmtId="164" fontId="10" fillId="0" borderId="23" xfId="10" applyNumberFormat="1" applyFont="1" applyBorder="1" applyAlignment="1" applyProtection="1">
      <alignment vertical="center"/>
    </xf>
    <xf numFmtId="164" fontId="10" fillId="0" borderId="41" xfId="7" applyNumberFormat="1" applyFont="1" applyBorder="1" applyAlignment="1" applyProtection="1">
      <alignment vertical="center"/>
    </xf>
    <xf numFmtId="164" fontId="10" fillId="0" borderId="42" xfId="7" applyNumberFormat="1" applyFont="1" applyBorder="1" applyAlignment="1" applyProtection="1">
      <alignment vertical="center"/>
    </xf>
    <xf numFmtId="164" fontId="7" fillId="0" borderId="23" xfId="7" applyNumberFormat="1" applyBorder="1" applyAlignment="1" applyProtection="1"/>
    <xf numFmtId="164" fontId="7" fillId="0" borderId="48" xfId="7" applyNumberFormat="1" applyBorder="1" applyAlignment="1" applyProtection="1"/>
    <xf numFmtId="164" fontId="10" fillId="9" borderId="23" xfId="7" applyNumberFormat="1" applyFont="1" applyFill="1" applyBorder="1" applyAlignment="1" applyProtection="1"/>
    <xf numFmtId="166" fontId="41" fillId="0" borderId="24" xfId="7" applyNumberFormat="1" applyFont="1" applyBorder="1" applyAlignment="1" applyProtection="1">
      <alignment horizontal="center" vertical="center"/>
    </xf>
    <xf numFmtId="169" fontId="34" fillId="0" borderId="25" xfId="7" applyNumberFormat="1" applyFont="1" applyBorder="1" applyAlignment="1" applyProtection="1">
      <alignment horizontal="center" vertical="center"/>
    </xf>
    <xf numFmtId="169" fontId="7" fillId="0" borderId="25" xfId="7" applyNumberFormat="1" applyBorder="1" applyAlignment="1" applyProtection="1">
      <alignment horizontal="center" vertical="center"/>
    </xf>
    <xf numFmtId="6" fontId="7" fillId="0" borderId="26" xfId="7" applyNumberFormat="1" applyBorder="1" applyAlignment="1" applyProtection="1">
      <alignment horizontal="center" vertical="center"/>
    </xf>
    <xf numFmtId="41" fontId="10" fillId="0" borderId="2" xfId="7" applyNumberFormat="1" applyFont="1" applyBorder="1" applyProtection="1"/>
    <xf numFmtId="175" fontId="31" fillId="16" borderId="2" xfId="12" applyNumberFormat="1" applyFont="1" applyFill="1" applyBorder="1" applyAlignment="1" applyProtection="1">
      <alignment horizontal="center"/>
    </xf>
    <xf numFmtId="0" fontId="7" fillId="0" borderId="2" xfId="7" applyAlignment="1" applyProtection="1">
      <alignment vertical="center"/>
    </xf>
    <xf numFmtId="166" fontId="41" fillId="0" borderId="22" xfId="7" applyNumberFormat="1" applyFont="1" applyBorder="1" applyAlignment="1" applyProtection="1">
      <alignment horizontal="center" vertical="center"/>
    </xf>
    <xf numFmtId="169" fontId="34" fillId="0" borderId="2" xfId="7" applyNumberFormat="1" applyFont="1" applyBorder="1" applyAlignment="1" applyProtection="1">
      <alignment horizontal="center" vertical="center"/>
    </xf>
    <xf numFmtId="169" fontId="7" fillId="0" borderId="2" xfId="7" applyNumberFormat="1" applyBorder="1" applyAlignment="1" applyProtection="1">
      <alignment horizontal="center" vertical="center"/>
    </xf>
    <xf numFmtId="175" fontId="31" fillId="0" borderId="2" xfId="12" applyNumberFormat="1" applyFont="1" applyFill="1" applyBorder="1" applyAlignment="1" applyProtection="1">
      <alignment horizontal="center" vertical="center"/>
    </xf>
    <xf numFmtId="6" fontId="7" fillId="0" borderId="23" xfId="7" applyNumberFormat="1" applyBorder="1" applyAlignment="1" applyProtection="1">
      <alignment horizontal="center" vertical="center"/>
    </xf>
    <xf numFmtId="49" fontId="17" fillId="15" borderId="22" xfId="12" applyNumberFormat="1" applyFont="1" applyFill="1" applyBorder="1" applyAlignment="1" applyProtection="1">
      <alignment vertical="center"/>
    </xf>
    <xf numFmtId="0" fontId="7" fillId="15" borderId="2" xfId="7" applyFill="1" applyBorder="1" applyAlignment="1" applyProtection="1">
      <alignment vertical="center"/>
    </xf>
    <xf numFmtId="10" fontId="17" fillId="15" borderId="2" xfId="13" applyNumberFormat="1" applyFont="1" applyFill="1" applyBorder="1" applyAlignment="1" applyProtection="1">
      <alignment horizontal="center" vertical="center"/>
    </xf>
    <xf numFmtId="175" fontId="31" fillId="15" borderId="23" xfId="12" applyNumberFormat="1" applyFont="1" applyFill="1" applyBorder="1" applyAlignment="1" applyProtection="1">
      <alignment horizontal="center" vertical="center"/>
    </xf>
    <xf numFmtId="175" fontId="31" fillId="0" borderId="25" xfId="12" applyNumberFormat="1" applyFont="1" applyFill="1" applyBorder="1" applyAlignment="1" applyProtection="1">
      <alignment horizontal="center" vertical="center"/>
    </xf>
    <xf numFmtId="165" fontId="30" fillId="0" borderId="22" xfId="12" applyNumberFormat="1" applyFont="1" applyFill="1" applyBorder="1" applyAlignment="1" applyProtection="1">
      <alignment vertical="center"/>
    </xf>
    <xf numFmtId="0" fontId="36" fillId="0" borderId="22" xfId="7" applyFont="1" applyBorder="1" applyAlignment="1" applyProtection="1">
      <alignment horizontal="left" vertical="center" indent="1"/>
    </xf>
    <xf numFmtId="0" fontId="36" fillId="0" borderId="47" xfId="7" applyFont="1" applyBorder="1" applyAlignment="1" applyProtection="1">
      <alignment horizontal="left" vertical="center" indent="1"/>
    </xf>
    <xf numFmtId="0" fontId="10" fillId="9" borderId="22" xfId="7" applyFont="1" applyFill="1" applyBorder="1" applyAlignment="1" applyProtection="1">
      <alignment horizontal="left"/>
    </xf>
    <xf numFmtId="0" fontId="10" fillId="9" borderId="40" xfId="7" applyFont="1" applyFill="1" applyBorder="1" applyAlignment="1" applyProtection="1">
      <alignment horizontal="left" vertical="center"/>
    </xf>
    <xf numFmtId="169" fontId="7" fillId="0" borderId="2" xfId="10" applyNumberFormat="1" applyFont="1" applyBorder="1" applyProtection="1"/>
    <xf numFmtId="169" fontId="7" fillId="0" borderId="37" xfId="10" applyNumberFormat="1" applyFont="1" applyBorder="1" applyProtection="1"/>
    <xf numFmtId="169" fontId="7" fillId="0" borderId="48" xfId="10" applyNumberFormat="1" applyFont="1" applyBorder="1" applyProtection="1"/>
    <xf numFmtId="169" fontId="10" fillId="9" borderId="2" xfId="10" applyNumberFormat="1" applyFont="1" applyFill="1" applyBorder="1" applyProtection="1"/>
    <xf numFmtId="169" fontId="10" fillId="9" borderId="23" xfId="10" applyNumberFormat="1" applyFont="1" applyFill="1" applyBorder="1" applyProtection="1"/>
    <xf numFmtId="169" fontId="7" fillId="0" borderId="2" xfId="7" applyNumberFormat="1" applyBorder="1" applyProtection="1"/>
    <xf numFmtId="169" fontId="7" fillId="0" borderId="23" xfId="7" applyNumberFormat="1" applyBorder="1" applyProtection="1"/>
    <xf numFmtId="169" fontId="28" fillId="0" borderId="23" xfId="7" applyNumberFormat="1" applyFont="1" applyBorder="1" applyAlignment="1" applyProtection="1">
      <alignment horizontal="right"/>
    </xf>
    <xf numFmtId="169" fontId="10" fillId="0" borderId="2" xfId="10" applyNumberFormat="1" applyFont="1" applyBorder="1" applyProtection="1"/>
    <xf numFmtId="169" fontId="10" fillId="0" borderId="23" xfId="10" applyNumberFormat="1" applyFont="1" applyBorder="1" applyProtection="1"/>
    <xf numFmtId="169" fontId="10" fillId="0" borderId="2" xfId="10" applyNumberFormat="1" applyFont="1" applyBorder="1" applyAlignment="1" applyProtection="1">
      <alignment vertical="center"/>
    </xf>
    <xf numFmtId="169" fontId="10" fillId="0" borderId="23" xfId="10" applyNumberFormat="1" applyFont="1" applyBorder="1" applyAlignment="1" applyProtection="1">
      <alignment vertical="center"/>
    </xf>
    <xf numFmtId="169" fontId="10" fillId="9" borderId="41" xfId="7" applyNumberFormat="1" applyFont="1" applyFill="1" applyBorder="1" applyAlignment="1" applyProtection="1">
      <alignment vertical="center"/>
    </xf>
    <xf numFmtId="169" fontId="10" fillId="9" borderId="42" xfId="7" applyNumberFormat="1" applyFont="1" applyFill="1" applyBorder="1" applyAlignment="1" applyProtection="1">
      <alignment vertical="center"/>
    </xf>
    <xf numFmtId="41" fontId="25" fillId="14" borderId="20" xfId="10" applyFont="1" applyFill="1" applyBorder="1" applyAlignment="1" applyProtection="1">
      <alignment horizontal="right"/>
    </xf>
    <xf numFmtId="165" fontId="7" fillId="0" borderId="22" xfId="12" applyNumberFormat="1" applyFont="1" applyFill="1" applyBorder="1" applyAlignment="1" applyProtection="1">
      <alignment horizontal="left" vertical="center"/>
    </xf>
    <xf numFmtId="165" fontId="17" fillId="0" borderId="22" xfId="12" applyNumberFormat="1" applyFont="1" applyFill="1" applyBorder="1" applyAlignment="1" applyProtection="1">
      <alignment horizontal="left" vertical="center"/>
    </xf>
    <xf numFmtId="0" fontId="7" fillId="0" borderId="2" xfId="7" applyFill="1" applyBorder="1" applyProtection="1"/>
    <xf numFmtId="49" fontId="29" fillId="9" borderId="24" xfId="12" applyNumberFormat="1" applyFont="1" applyFill="1" applyBorder="1" applyProtection="1"/>
    <xf numFmtId="169" fontId="29" fillId="9" borderId="25" xfId="13" applyNumberFormat="1" applyFont="1" applyFill="1" applyBorder="1" applyProtection="1"/>
    <xf numFmtId="165" fontId="17" fillId="0" borderId="47" xfId="12" applyNumberFormat="1" applyFont="1" applyFill="1" applyBorder="1" applyAlignment="1" applyProtection="1">
      <alignment horizontal="left" vertical="center"/>
    </xf>
    <xf numFmtId="169" fontId="17" fillId="0" borderId="37" xfId="13" applyNumberFormat="1" applyFont="1" applyFill="1" applyBorder="1" applyAlignment="1" applyProtection="1">
      <alignment vertical="center"/>
    </xf>
    <xf numFmtId="164" fontId="17" fillId="0" borderId="23" xfId="13" applyNumberFormat="1" applyFont="1" applyFill="1" applyBorder="1" applyAlignment="1" applyProtection="1">
      <alignment horizontal="center"/>
    </xf>
    <xf numFmtId="164" fontId="7" fillId="0" borderId="23" xfId="7" applyNumberFormat="1" applyFill="1" applyBorder="1" applyAlignment="1" applyProtection="1">
      <alignment horizontal="center"/>
    </xf>
    <xf numFmtId="164" fontId="17" fillId="0" borderId="48" xfId="13" applyNumberFormat="1" applyFont="1" applyFill="1" applyBorder="1" applyAlignment="1" applyProtection="1">
      <alignment horizontal="center" vertical="center"/>
    </xf>
    <xf numFmtId="164" fontId="29" fillId="9" borderId="26" xfId="13" applyNumberFormat="1" applyFont="1" applyFill="1" applyBorder="1" applyAlignment="1" applyProtection="1">
      <alignment horizontal="center"/>
    </xf>
    <xf numFmtId="170" fontId="11" fillId="0" borderId="2" xfId="0" applyNumberFormat="1" applyFont="1" applyBorder="1"/>
    <xf numFmtId="169" fontId="36" fillId="0" borderId="2" xfId="10" applyNumberFormat="1" applyFont="1" applyBorder="1" applyProtection="1"/>
    <xf numFmtId="169" fontId="36" fillId="0" borderId="23" xfId="10" applyNumberFormat="1" applyFont="1" applyBorder="1" applyProtection="1"/>
    <xf numFmtId="169" fontId="36" fillId="0" borderId="37" xfId="10" applyNumberFormat="1" applyFont="1" applyBorder="1" applyProtection="1"/>
    <xf numFmtId="169" fontId="36" fillId="0" borderId="48" xfId="10" applyNumberFormat="1" applyFont="1" applyBorder="1" applyProtection="1"/>
    <xf numFmtId="164" fontId="7" fillId="0" borderId="2" xfId="7" applyNumberFormat="1" applyProtection="1"/>
    <xf numFmtId="10" fontId="7" fillId="0" borderId="2" xfId="3" applyNumberFormat="1" applyFont="1" applyBorder="1" applyProtection="1"/>
    <xf numFmtId="0" fontId="11" fillId="0" borderId="0" xfId="0" applyFont="1"/>
    <xf numFmtId="0" fontId="11" fillId="0" borderId="0" xfId="0" quotePrefix="1" applyFont="1"/>
    <xf numFmtId="166" fontId="7" fillId="16" borderId="22" xfId="7" applyNumberFormat="1" applyFill="1" applyBorder="1" applyAlignment="1" applyProtection="1">
      <alignment horizontal="center"/>
    </xf>
    <xf numFmtId="10" fontId="11" fillId="0" borderId="29" xfId="3" applyNumberFormat="1" applyFont="1" applyBorder="1" applyAlignment="1">
      <alignment horizontal="center"/>
    </xf>
    <xf numFmtId="0" fontId="12" fillId="0" borderId="40" xfId="0" applyFont="1" applyBorder="1" applyAlignment="1">
      <alignment horizontal="center"/>
    </xf>
    <xf numFmtId="0" fontId="0" fillId="0" borderId="67" xfId="0" applyBorder="1" applyAlignment="1">
      <alignment horizontal="center"/>
    </xf>
    <xf numFmtId="10" fontId="11" fillId="0" borderId="64" xfId="3" applyNumberFormat="1" applyFont="1" applyBorder="1" applyAlignment="1">
      <alignment horizontal="center"/>
    </xf>
    <xf numFmtId="10" fontId="0" fillId="0" borderId="64" xfId="3" applyNumberFormat="1" applyFont="1" applyBorder="1" applyAlignment="1">
      <alignment horizontal="center"/>
    </xf>
    <xf numFmtId="10" fontId="0" fillId="0" borderId="68" xfId="3" applyNumberFormat="1" applyFont="1" applyBorder="1" applyAlignment="1">
      <alignment horizontal="center"/>
    </xf>
    <xf numFmtId="10" fontId="0" fillId="0" borderId="58" xfId="3" applyNumberFormat="1" applyFont="1" applyBorder="1" applyAlignment="1">
      <alignment horizontal="center"/>
    </xf>
    <xf numFmtId="10" fontId="0" fillId="0" borderId="69" xfId="3" applyNumberFormat="1" applyFont="1" applyBorder="1" applyAlignment="1">
      <alignment horizontal="center"/>
    </xf>
    <xf numFmtId="0" fontId="11" fillId="0" borderId="70" xfId="0" applyFont="1" applyBorder="1" applyAlignment="1">
      <alignment horizontal="center"/>
    </xf>
    <xf numFmtId="170" fontId="0" fillId="0" borderId="43" xfId="3" applyNumberFormat="1" applyFont="1" applyBorder="1" applyAlignment="1">
      <alignment horizontal="center"/>
    </xf>
    <xf numFmtId="0" fontId="5" fillId="0" borderId="71" xfId="0" applyFont="1" applyBorder="1" applyAlignment="1">
      <alignment horizontal="center" vertical="center"/>
    </xf>
    <xf numFmtId="0" fontId="0" fillId="0" borderId="0" xfId="0" applyAlignment="1">
      <alignment horizontal="left"/>
    </xf>
    <xf numFmtId="0" fontId="12" fillId="0" borderId="0" xfId="0" applyFont="1" applyAlignment="1">
      <alignment horizontal="left"/>
    </xf>
    <xf numFmtId="169" fontId="12" fillId="0" borderId="0" xfId="0" applyNumberFormat="1" applyFont="1" applyAlignment="1">
      <alignment horizontal="center"/>
    </xf>
    <xf numFmtId="0" fontId="15" fillId="0" borderId="0" xfId="0" applyFont="1" applyAlignment="1">
      <alignment horizontal="center"/>
    </xf>
    <xf numFmtId="10" fontId="15" fillId="0" borderId="2" xfId="3" applyNumberFormat="1" applyFont="1" applyFill="1" applyBorder="1" applyAlignment="1">
      <alignment horizontal="center"/>
    </xf>
    <xf numFmtId="10" fontId="11" fillId="0" borderId="66" xfId="3" applyNumberFormat="1" applyFont="1" applyBorder="1" applyAlignment="1">
      <alignment horizontal="center"/>
    </xf>
    <xf numFmtId="0" fontId="7" fillId="0" borderId="2" xfId="7" applyFill="1" applyBorder="1" applyAlignment="1" applyProtection="1">
      <alignment horizontal="center"/>
    </xf>
    <xf numFmtId="169" fontId="7" fillId="0" borderId="23" xfId="10" applyNumberFormat="1" applyFont="1" applyBorder="1" applyAlignment="1" applyProtection="1">
      <alignment horizontal="right"/>
    </xf>
    <xf numFmtId="164" fontId="7" fillId="0" borderId="2" xfId="7" applyNumberFormat="1" applyBorder="1" applyAlignment="1" applyProtection="1"/>
    <xf numFmtId="164" fontId="7" fillId="0" borderId="37" xfId="7" applyNumberFormat="1" applyBorder="1" applyAlignment="1" applyProtection="1"/>
    <xf numFmtId="164" fontId="10" fillId="0" borderId="2" xfId="7" applyNumberFormat="1" applyFont="1" applyBorder="1" applyAlignment="1" applyProtection="1"/>
    <xf numFmtId="164" fontId="10" fillId="0" borderId="23" xfId="7" applyNumberFormat="1" applyFont="1" applyBorder="1" applyAlignment="1" applyProtection="1"/>
    <xf numFmtId="0" fontId="10" fillId="0" borderId="52" xfId="7" applyFont="1" applyBorder="1" applyProtection="1"/>
    <xf numFmtId="0" fontId="7" fillId="0" borderId="38" xfId="7" applyBorder="1" applyProtection="1"/>
    <xf numFmtId="164" fontId="10" fillId="0" borderId="38" xfId="7" applyNumberFormat="1" applyFont="1" applyBorder="1" applyAlignment="1" applyProtection="1"/>
    <xf numFmtId="164" fontId="10" fillId="0" borderId="53" xfId="7" applyNumberFormat="1" applyFont="1" applyBorder="1" applyAlignment="1" applyProtection="1"/>
    <xf numFmtId="0" fontId="10" fillId="0" borderId="54" xfId="7" applyFont="1" applyBorder="1" applyProtection="1"/>
    <xf numFmtId="0" fontId="0" fillId="0" borderId="25" xfId="0" applyBorder="1"/>
    <xf numFmtId="164" fontId="10" fillId="0" borderId="55" xfId="7" applyNumberFormat="1" applyFont="1" applyBorder="1" applyAlignment="1" applyProtection="1"/>
    <xf numFmtId="164" fontId="10" fillId="0" borderId="56" xfId="7" applyNumberFormat="1" applyFont="1" applyBorder="1" applyAlignment="1" applyProtection="1"/>
    <xf numFmtId="0" fontId="7" fillId="0" borderId="2" xfId="7" applyAlignment="1" applyProtection="1">
      <alignment horizontal="center"/>
    </xf>
    <xf numFmtId="10" fontId="0" fillId="0" borderId="25" xfId="3" applyNumberFormat="1" applyFont="1" applyBorder="1"/>
    <xf numFmtId="9" fontId="7" fillId="0" borderId="2" xfId="3" applyFont="1" applyBorder="1" applyProtection="1"/>
    <xf numFmtId="9" fontId="7" fillId="0" borderId="23" xfId="0" applyNumberFormat="1" applyFont="1" applyBorder="1" applyAlignment="1">
      <alignment horizontal="center"/>
    </xf>
    <xf numFmtId="0" fontId="7" fillId="0" borderId="24" xfId="7" applyBorder="1" applyAlignment="1" applyProtection="1">
      <alignment vertical="center"/>
    </xf>
    <xf numFmtId="175" fontId="31" fillId="0" borderId="26" xfId="12" applyNumberFormat="1" applyFont="1" applyFill="1" applyBorder="1" applyAlignment="1" applyProtection="1">
      <alignment horizontal="center"/>
    </xf>
    <xf numFmtId="9" fontId="41" fillId="0" borderId="2" xfId="7" applyNumberFormat="1" applyFont="1" applyProtection="1"/>
    <xf numFmtId="169" fontId="7" fillId="0" borderId="2" xfId="7" applyNumberFormat="1" applyProtection="1"/>
    <xf numFmtId="164" fontId="7" fillId="0" borderId="2" xfId="7" applyNumberFormat="1" applyAlignment="1" applyProtection="1">
      <alignment horizontal="right"/>
    </xf>
    <xf numFmtId="0" fontId="3" fillId="0" borderId="2" xfId="0" applyFont="1" applyBorder="1"/>
    <xf numFmtId="169" fontId="3" fillId="0" borderId="2" xfId="0" applyNumberFormat="1" applyFont="1" applyBorder="1" applyAlignment="1">
      <alignment horizontal="center"/>
    </xf>
    <xf numFmtId="0" fontId="56" fillId="0" borderId="2" xfId="0" applyFont="1" applyBorder="1"/>
    <xf numFmtId="0" fontId="58" fillId="0" borderId="40" xfId="0" applyFont="1" applyBorder="1"/>
    <xf numFmtId="169" fontId="55" fillId="0" borderId="41" xfId="0" applyNumberFormat="1" applyFont="1" applyBorder="1" applyAlignment="1">
      <alignment horizontal="center"/>
    </xf>
    <xf numFmtId="170" fontId="0" fillId="0" borderId="0" xfId="0" applyNumberFormat="1"/>
    <xf numFmtId="169" fontId="0" fillId="0" borderId="0" xfId="0" applyNumberFormat="1"/>
    <xf numFmtId="170" fontId="0" fillId="0" borderId="2" xfId="0" applyNumberFormat="1" applyBorder="1"/>
    <xf numFmtId="170" fontId="0" fillId="0" borderId="2" xfId="0" applyNumberFormat="1" applyBorder="1" applyAlignment="1">
      <alignment horizontal="center"/>
    </xf>
    <xf numFmtId="0" fontId="15" fillId="0" borderId="2" xfId="0" applyFont="1" applyBorder="1"/>
    <xf numFmtId="170" fontId="15" fillId="0" borderId="2" xfId="0" applyNumberFormat="1" applyFont="1" applyBorder="1" applyAlignment="1">
      <alignment horizontal="center"/>
    </xf>
    <xf numFmtId="169" fontId="3" fillId="0" borderId="74" xfId="0" applyNumberFormat="1" applyFont="1" applyBorder="1" applyAlignment="1">
      <alignment horizontal="center"/>
    </xf>
    <xf numFmtId="169" fontId="55" fillId="0" borderId="73" xfId="0" applyNumberFormat="1" applyFont="1" applyBorder="1" applyAlignment="1">
      <alignment horizontal="center"/>
    </xf>
    <xf numFmtId="0" fontId="3" fillId="0" borderId="0" xfId="0" applyFont="1"/>
    <xf numFmtId="169" fontId="3" fillId="0" borderId="0" xfId="0" applyNumberFormat="1" applyFont="1" applyAlignment="1">
      <alignment horizontal="center"/>
    </xf>
    <xf numFmtId="169" fontId="55" fillId="0" borderId="0" xfId="0" applyNumberFormat="1" applyFont="1" applyAlignment="1">
      <alignment horizontal="center"/>
    </xf>
    <xf numFmtId="170" fontId="15" fillId="0" borderId="2" xfId="0" applyNumberFormat="1" applyFont="1" applyBorder="1"/>
    <xf numFmtId="170" fontId="0" fillId="18" borderId="2" xfId="0" applyNumberFormat="1" applyFill="1" applyBorder="1" applyAlignment="1">
      <alignment horizontal="center"/>
    </xf>
    <xf numFmtId="170" fontId="0" fillId="18" borderId="75" xfId="0" applyNumberFormat="1" applyFill="1" applyBorder="1" applyAlignment="1">
      <alignment horizontal="center"/>
    </xf>
    <xf numFmtId="170" fontId="0" fillId="18" borderId="76" xfId="0" applyNumberFormat="1" applyFill="1" applyBorder="1" applyAlignment="1">
      <alignment horizontal="center"/>
    </xf>
    <xf numFmtId="0" fontId="15" fillId="0" borderId="2" xfId="0" applyFont="1" applyBorder="1" applyAlignment="1">
      <alignment horizontal="center"/>
    </xf>
    <xf numFmtId="0" fontId="60" fillId="0" borderId="2" xfId="0" applyFont="1" applyBorder="1" applyAlignment="1">
      <alignment horizontal="center"/>
    </xf>
    <xf numFmtId="170" fontId="0" fillId="0" borderId="0" xfId="0" applyNumberFormat="1" applyAlignment="1">
      <alignment horizontal="center"/>
    </xf>
    <xf numFmtId="6" fontId="0" fillId="0" borderId="2" xfId="0" applyNumberFormat="1" applyBorder="1" applyAlignment="1">
      <alignment horizontal="center"/>
    </xf>
    <xf numFmtId="9" fontId="15" fillId="0" borderId="0" xfId="0" applyNumberFormat="1" applyFont="1" applyAlignment="1">
      <alignment horizontal="center"/>
    </xf>
    <xf numFmtId="169" fontId="11" fillId="0" borderId="2" xfId="0" applyNumberFormat="1" applyFont="1" applyBorder="1" applyAlignment="1">
      <alignment horizontal="center"/>
    </xf>
    <xf numFmtId="0" fontId="60" fillId="0" borderId="2" xfId="0" applyFont="1" applyBorder="1"/>
    <xf numFmtId="169" fontId="60" fillId="0" borderId="2" xfId="0" applyNumberFormat="1" applyFont="1" applyBorder="1" applyAlignment="1">
      <alignment horizontal="center"/>
    </xf>
    <xf numFmtId="0" fontId="15" fillId="0" borderId="2" xfId="0" applyFont="1" applyBorder="1" applyAlignment="1">
      <alignment horizontal="left"/>
    </xf>
    <xf numFmtId="169" fontId="5" fillId="0" borderId="0" xfId="0" applyNumberFormat="1" applyFont="1"/>
    <xf numFmtId="169" fontId="3" fillId="0" borderId="0" xfId="0" applyNumberFormat="1" applyFont="1"/>
    <xf numFmtId="9" fontId="0" fillId="0" borderId="0" xfId="3" applyFont="1"/>
    <xf numFmtId="0" fontId="0" fillId="22" borderId="0" xfId="0" applyFill="1"/>
    <xf numFmtId="0" fontId="64" fillId="0" borderId="2" xfId="0" applyFont="1" applyBorder="1"/>
    <xf numFmtId="169" fontId="64" fillId="0" borderId="2" xfId="0" applyNumberFormat="1" applyFont="1" applyBorder="1" applyAlignment="1">
      <alignment horizontal="center"/>
    </xf>
    <xf numFmtId="169" fontId="62" fillId="0" borderId="2" xfId="0" applyNumberFormat="1" applyFont="1" applyBorder="1" applyAlignment="1">
      <alignment horizontal="center"/>
    </xf>
    <xf numFmtId="170" fontId="15" fillId="0" borderId="76" xfId="0" applyNumberFormat="1" applyFont="1" applyBorder="1" applyAlignment="1">
      <alignment horizontal="center"/>
    </xf>
    <xf numFmtId="170" fontId="0" fillId="0" borderId="76" xfId="0" applyNumberFormat="1" applyBorder="1" applyAlignment="1">
      <alignment horizontal="center"/>
    </xf>
    <xf numFmtId="9" fontId="0" fillId="21" borderId="2" xfId="3" applyFont="1" applyFill="1" applyBorder="1" applyAlignment="1">
      <alignment horizontal="center"/>
    </xf>
    <xf numFmtId="9" fontId="64" fillId="21" borderId="2" xfId="3" applyFont="1" applyFill="1" applyBorder="1" applyAlignment="1">
      <alignment horizontal="center"/>
    </xf>
    <xf numFmtId="170" fontId="0" fillId="8" borderId="0" xfId="0" applyNumberFormat="1" applyFill="1"/>
    <xf numFmtId="0" fontId="0" fillId="8" borderId="0" xfId="0" applyFill="1"/>
    <xf numFmtId="0" fontId="0" fillId="8" borderId="0" xfId="0" applyFill="1" applyAlignment="1">
      <alignment horizontal="center"/>
    </xf>
    <xf numFmtId="0" fontId="66" fillId="8" borderId="41" xfId="0" applyFont="1" applyFill="1" applyBorder="1" applyAlignment="1">
      <alignment horizontal="center" wrapText="1"/>
    </xf>
    <xf numFmtId="169" fontId="0" fillId="0" borderId="72" xfId="0" applyNumberFormat="1" applyBorder="1" applyAlignment="1">
      <alignment horizontal="center"/>
    </xf>
    <xf numFmtId="182" fontId="0" fillId="0" borderId="0" xfId="0" applyNumberFormat="1"/>
    <xf numFmtId="0" fontId="67" fillId="0" borderId="2" xfId="0" applyFont="1" applyBorder="1"/>
    <xf numFmtId="0" fontId="67" fillId="0" borderId="2" xfId="0" applyFont="1" applyBorder="1" applyAlignment="1">
      <alignment vertical="center"/>
    </xf>
    <xf numFmtId="169" fontId="67" fillId="0" borderId="2" xfId="0" applyNumberFormat="1" applyFont="1" applyBorder="1"/>
    <xf numFmtId="170" fontId="67" fillId="0" borderId="2" xfId="0" applyNumberFormat="1" applyFont="1" applyBorder="1"/>
    <xf numFmtId="0" fontId="67" fillId="0" borderId="2" xfId="0" quotePrefix="1" applyFont="1" applyBorder="1"/>
    <xf numFmtId="10" fontId="67" fillId="0" borderId="2" xfId="3" applyNumberFormat="1" applyFont="1" applyBorder="1"/>
    <xf numFmtId="0" fontId="67" fillId="0" borderId="0" xfId="0" applyFont="1"/>
    <xf numFmtId="10" fontId="67" fillId="0" borderId="2" xfId="0" applyNumberFormat="1" applyFont="1" applyBorder="1"/>
    <xf numFmtId="1" fontId="67" fillId="0" borderId="2" xfId="0" applyNumberFormat="1" applyFont="1" applyBorder="1"/>
    <xf numFmtId="0" fontId="67" fillId="0" borderId="2" xfId="0" applyFont="1" applyBorder="1" applyAlignment="1">
      <alignment horizontal="center"/>
    </xf>
    <xf numFmtId="0" fontId="59" fillId="0" borderId="0" xfId="0" applyFont="1"/>
    <xf numFmtId="0" fontId="59" fillId="0" borderId="2" xfId="0" applyFont="1" applyBorder="1" applyAlignment="1">
      <alignment horizontal="center" vertical="center"/>
    </xf>
    <xf numFmtId="0" fontId="70" fillId="0" borderId="2" xfId="0" applyFont="1" applyBorder="1" applyAlignment="1">
      <alignment horizontal="center" vertical="center" wrapText="1"/>
    </xf>
    <xf numFmtId="0" fontId="70" fillId="11" borderId="32" xfId="0" applyFont="1" applyFill="1" applyBorder="1" applyAlignment="1">
      <alignment horizontal="left"/>
    </xf>
    <xf numFmtId="0" fontId="71" fillId="11" borderId="38" xfId="0" applyFont="1" applyFill="1" applyBorder="1"/>
    <xf numFmtId="0" fontId="71" fillId="11" borderId="33" xfId="0" applyFont="1" applyFill="1" applyBorder="1"/>
    <xf numFmtId="0" fontId="71" fillId="0" borderId="2" xfId="0" applyFont="1" applyBorder="1"/>
    <xf numFmtId="0" fontId="72" fillId="0" borderId="22" xfId="0" applyFont="1" applyBorder="1" applyAlignment="1">
      <alignment vertical="center" wrapText="1"/>
    </xf>
    <xf numFmtId="0" fontId="72" fillId="0" borderId="2" xfId="0" applyFont="1" applyBorder="1" applyAlignment="1">
      <alignment horizontal="center" vertical="center" wrapText="1"/>
    </xf>
    <xf numFmtId="0" fontId="73" fillId="0" borderId="2" xfId="0" applyFont="1" applyBorder="1" applyAlignment="1" applyProtection="1">
      <alignment vertical="center" wrapText="1"/>
      <protection locked="0"/>
    </xf>
    <xf numFmtId="0" fontId="67" fillId="0" borderId="34" xfId="0" applyFont="1" applyBorder="1"/>
    <xf numFmtId="10" fontId="74" fillId="0" borderId="2" xfId="0" applyNumberFormat="1" applyFont="1" applyBorder="1"/>
    <xf numFmtId="169" fontId="75" fillId="0" borderId="2" xfId="0" applyNumberFormat="1" applyFont="1" applyBorder="1" applyAlignment="1">
      <alignment horizontal="right"/>
    </xf>
    <xf numFmtId="169" fontId="75" fillId="0" borderId="57" xfId="0" applyNumberFormat="1" applyFont="1" applyBorder="1" applyAlignment="1">
      <alignment horizontal="right"/>
    </xf>
    <xf numFmtId="0" fontId="67" fillId="0" borderId="2" xfId="0" applyFont="1" applyBorder="1" applyAlignment="1" applyProtection="1">
      <alignment vertical="center" wrapText="1"/>
      <protection locked="0"/>
    </xf>
    <xf numFmtId="0" fontId="67" fillId="0" borderId="34" xfId="0" applyFont="1" applyBorder="1" applyAlignment="1">
      <alignment horizontal="left" indent="1"/>
    </xf>
    <xf numFmtId="169" fontId="67" fillId="0" borderId="31" xfId="0" applyNumberFormat="1" applyFont="1" applyBorder="1"/>
    <xf numFmtId="0" fontId="67" fillId="0" borderId="2" xfId="0" applyFont="1" applyBorder="1" applyAlignment="1" applyProtection="1">
      <alignment horizontal="center" vertical="center" wrapText="1"/>
      <protection locked="0"/>
    </xf>
    <xf numFmtId="0" fontId="59" fillId="15" borderId="34" xfId="0" applyFont="1" applyFill="1" applyBorder="1" applyAlignment="1">
      <alignment horizontal="left" indent="1"/>
    </xf>
    <xf numFmtId="0" fontId="59" fillId="15" borderId="2" xfId="0" applyFont="1" applyFill="1" applyBorder="1"/>
    <xf numFmtId="10" fontId="67" fillId="15" borderId="2" xfId="3" applyNumberFormat="1" applyFont="1" applyFill="1" applyBorder="1" applyProtection="1"/>
    <xf numFmtId="169" fontId="59" fillId="15" borderId="2" xfId="0" applyNumberFormat="1" applyFont="1" applyFill="1" applyBorder="1"/>
    <xf numFmtId="169" fontId="59" fillId="15" borderId="31" xfId="0" applyNumberFormat="1" applyFont="1" applyFill="1" applyBorder="1"/>
    <xf numFmtId="169" fontId="59" fillId="0" borderId="2" xfId="0" applyNumberFormat="1" applyFont="1" applyBorder="1"/>
    <xf numFmtId="0" fontId="59" fillId="0" borderId="61" xfId="0" applyFont="1" applyBorder="1"/>
    <xf numFmtId="0" fontId="67" fillId="0" borderId="41" xfId="0" applyFont="1" applyBorder="1"/>
    <xf numFmtId="169" fontId="59" fillId="0" borderId="41" xfId="0" applyNumberFormat="1" applyFont="1" applyBorder="1"/>
    <xf numFmtId="169" fontId="59" fillId="0" borderId="58" xfId="0" applyNumberFormat="1" applyFont="1" applyBorder="1"/>
    <xf numFmtId="0" fontId="67" fillId="0" borderId="22" xfId="0" applyFont="1" applyBorder="1" applyAlignment="1">
      <alignment vertical="center" wrapText="1"/>
    </xf>
    <xf numFmtId="0" fontId="67" fillId="0" borderId="2" xfId="0" applyFont="1" applyBorder="1" applyAlignment="1">
      <alignment horizontal="center" vertical="center" wrapText="1"/>
    </xf>
    <xf numFmtId="0" fontId="67" fillId="0" borderId="20" xfId="0" applyFont="1" applyBorder="1"/>
    <xf numFmtId="0" fontId="67" fillId="0" borderId="2" xfId="0" applyFont="1" applyBorder="1" applyProtection="1">
      <protection locked="0"/>
    </xf>
    <xf numFmtId="0" fontId="70" fillId="11" borderId="34" xfId="0" applyFont="1" applyFill="1" applyBorder="1" applyAlignment="1">
      <alignment horizontal="left"/>
    </xf>
    <xf numFmtId="0" fontId="71" fillId="11" borderId="2" xfId="0" applyFont="1" applyFill="1" applyBorder="1"/>
    <xf numFmtId="0" fontId="71" fillId="11" borderId="31" xfId="0" applyFont="1" applyFill="1" applyBorder="1"/>
    <xf numFmtId="0" fontId="72" fillId="0" borderId="24" xfId="0" applyFont="1" applyBorder="1" applyAlignment="1">
      <alignment vertical="center" wrapText="1"/>
    </xf>
    <xf numFmtId="0" fontId="72" fillId="0" borderId="25" xfId="0" applyFont="1" applyBorder="1" applyAlignment="1">
      <alignment horizontal="center" vertical="center" wrapText="1"/>
    </xf>
    <xf numFmtId="169" fontId="75" fillId="0" borderId="31" xfId="0" applyNumberFormat="1" applyFont="1" applyBorder="1" applyAlignment="1">
      <alignment horizontal="right"/>
    </xf>
    <xf numFmtId="169" fontId="75" fillId="0" borderId="31" xfId="0" applyNumberFormat="1" applyFont="1" applyBorder="1" applyAlignment="1">
      <alignment horizontal="center"/>
    </xf>
    <xf numFmtId="0" fontId="59" fillId="0" borderId="34" xfId="0" applyFont="1" applyBorder="1" applyAlignment="1">
      <alignment horizontal="left" indent="1"/>
    </xf>
    <xf numFmtId="0" fontId="70" fillId="0" borderId="2" xfId="0" applyFont="1" applyBorder="1" applyAlignment="1" applyProtection="1">
      <alignment horizontal="center" vertical="center" wrapText="1"/>
      <protection locked="0"/>
    </xf>
    <xf numFmtId="0" fontId="68" fillId="0" borderId="34" xfId="0" applyFont="1" applyBorder="1" applyAlignment="1">
      <alignment horizontal="left" indent="2"/>
    </xf>
    <xf numFmtId="0" fontId="72" fillId="0" borderId="2" xfId="0" applyFont="1" applyBorder="1" applyAlignment="1" applyProtection="1">
      <alignment horizontal="center" vertical="center" wrapText="1"/>
      <protection locked="0"/>
    </xf>
    <xf numFmtId="0" fontId="68" fillId="0" borderId="35" xfId="0" applyFont="1" applyBorder="1" applyAlignment="1">
      <alignment horizontal="left" indent="2"/>
    </xf>
    <xf numFmtId="0" fontId="67" fillId="0" borderId="37" xfId="0" applyFont="1" applyBorder="1"/>
    <xf numFmtId="10" fontId="67" fillId="0" borderId="37" xfId="0" applyNumberFormat="1" applyFont="1" applyBorder="1"/>
    <xf numFmtId="169" fontId="67" fillId="0" borderId="37" xfId="0" applyNumberFormat="1" applyFont="1" applyBorder="1"/>
    <xf numFmtId="169" fontId="67" fillId="0" borderId="59" xfId="0" applyNumberFormat="1" applyFont="1" applyBorder="1"/>
    <xf numFmtId="169" fontId="59" fillId="0" borderId="31" xfId="0" applyNumberFormat="1" applyFont="1" applyBorder="1"/>
    <xf numFmtId="169" fontId="67" fillId="0" borderId="57" xfId="0" applyNumberFormat="1" applyFont="1" applyBorder="1"/>
    <xf numFmtId="0" fontId="67" fillId="0" borderId="31" xfId="0" applyFont="1" applyBorder="1"/>
    <xf numFmtId="0" fontId="75" fillId="0" borderId="34" xfId="0" applyFont="1" applyBorder="1" applyAlignment="1">
      <alignment horizontal="left" indent="2"/>
    </xf>
    <xf numFmtId="0" fontId="78" fillId="0" borderId="2" xfId="0" applyFont="1" applyBorder="1"/>
    <xf numFmtId="169" fontId="79" fillId="0" borderId="2" xfId="0" applyNumberFormat="1" applyFont="1" applyBorder="1"/>
    <xf numFmtId="169" fontId="79" fillId="0" borderId="31" xfId="0" applyNumberFormat="1" applyFont="1" applyBorder="1"/>
    <xf numFmtId="0" fontId="67" fillId="0" borderId="34" xfId="0" applyFont="1" applyBorder="1" applyAlignment="1">
      <alignment horizontal="left" indent="3"/>
    </xf>
    <xf numFmtId="6" fontId="67" fillId="0" borderId="43" xfId="0" applyNumberFormat="1" applyFont="1" applyBorder="1" applyAlignment="1" applyProtection="1">
      <alignment vertical="center" wrapText="1"/>
      <protection locked="0"/>
    </xf>
    <xf numFmtId="6" fontId="67" fillId="0" borderId="2" xfId="0" applyNumberFormat="1" applyFont="1" applyBorder="1" applyAlignment="1" applyProtection="1">
      <alignment vertical="center" wrapText="1"/>
      <protection locked="0"/>
    </xf>
    <xf numFmtId="0" fontId="68" fillId="0" borderId="34" xfId="0" applyFont="1" applyBorder="1" applyAlignment="1">
      <alignment horizontal="left" indent="3"/>
    </xf>
    <xf numFmtId="0" fontId="76" fillId="0" borderId="2" xfId="0" applyFont="1" applyBorder="1"/>
    <xf numFmtId="10" fontId="71" fillId="0" borderId="2" xfId="3" applyNumberFormat="1" applyFont="1" applyBorder="1" applyProtection="1">
      <protection locked="0"/>
    </xf>
    <xf numFmtId="0" fontId="72" fillId="0" borderId="25" xfId="0" applyFont="1" applyBorder="1" applyAlignment="1" applyProtection="1">
      <alignment horizontal="center" vertical="center" wrapText="1"/>
      <protection locked="0"/>
    </xf>
    <xf numFmtId="10" fontId="77" fillId="0" borderId="37" xfId="0" applyNumberFormat="1" applyFont="1" applyBorder="1" applyProtection="1">
      <protection locked="0"/>
    </xf>
    <xf numFmtId="0" fontId="59" fillId="0" borderId="61" xfId="0" applyFont="1" applyBorder="1" applyAlignment="1">
      <alignment horizontal="left"/>
    </xf>
    <xf numFmtId="0" fontId="59" fillId="0" borderId="62" xfId="0" applyFont="1" applyBorder="1" applyAlignment="1">
      <alignment horizontal="left"/>
    </xf>
    <xf numFmtId="0" fontId="67" fillId="0" borderId="63" xfId="0" applyFont="1" applyBorder="1"/>
    <xf numFmtId="169" fontId="59" fillId="0" borderId="63" xfId="0" applyNumberFormat="1" applyFont="1" applyBorder="1"/>
    <xf numFmtId="169" fontId="59" fillId="0" borderId="60" xfId="0" applyNumberFormat="1" applyFont="1" applyBorder="1"/>
    <xf numFmtId="0" fontId="70" fillId="23" borderId="3" xfId="0" applyFont="1" applyFill="1" applyBorder="1" applyAlignment="1">
      <alignment horizontal="left"/>
    </xf>
    <xf numFmtId="0" fontId="70" fillId="23" borderId="4" xfId="0" applyFont="1" applyFill="1" applyBorder="1" applyAlignment="1">
      <alignment horizontal="center"/>
    </xf>
    <xf numFmtId="0" fontId="70" fillId="23" borderId="5" xfId="0" applyFont="1" applyFill="1" applyBorder="1" applyAlignment="1">
      <alignment horizontal="center"/>
    </xf>
    <xf numFmtId="0" fontId="72" fillId="0" borderId="77" xfId="0" applyFont="1" applyBorder="1" applyAlignment="1">
      <alignment vertical="center" wrapText="1"/>
    </xf>
    <xf numFmtId="0" fontId="72" fillId="0" borderId="78" xfId="0" applyFont="1" applyBorder="1" applyAlignment="1">
      <alignment horizontal="center" vertical="center" wrapText="1"/>
    </xf>
    <xf numFmtId="0" fontId="67" fillId="0" borderId="7" xfId="0" applyFont="1" applyBorder="1" applyAlignment="1">
      <alignment horizontal="left"/>
    </xf>
    <xf numFmtId="0" fontId="59" fillId="0" borderId="8" xfId="0" applyFont="1" applyBorder="1"/>
    <xf numFmtId="0" fontId="67" fillId="0" borderId="8" xfId="0" applyFont="1" applyBorder="1" applyAlignment="1">
      <alignment shrinkToFit="1"/>
    </xf>
    <xf numFmtId="14" fontId="67" fillId="2" borderId="9" xfId="0" applyNumberFormat="1" applyFont="1" applyFill="1" applyBorder="1" applyAlignment="1">
      <alignment horizontal="right" shrinkToFit="1"/>
    </xf>
    <xf numFmtId="0" fontId="67" fillId="0" borderId="6" xfId="0" applyFont="1" applyBorder="1" applyAlignment="1">
      <alignment horizontal="left" wrapText="1"/>
    </xf>
    <xf numFmtId="0" fontId="67" fillId="0" borderId="2" xfId="0" applyFont="1" applyBorder="1" applyAlignment="1">
      <alignment horizontal="left" wrapText="1"/>
    </xf>
    <xf numFmtId="0" fontId="80" fillId="0" borderId="24" xfId="0" applyFont="1" applyBorder="1" applyAlignment="1">
      <alignment vertical="center" wrapText="1"/>
    </xf>
    <xf numFmtId="0" fontId="80" fillId="0" borderId="25" xfId="0" applyFont="1" applyBorder="1" applyAlignment="1">
      <alignment horizontal="center" vertical="center" wrapText="1"/>
    </xf>
    <xf numFmtId="0" fontId="67" fillId="0" borderId="6" xfId="0" applyFont="1" applyBorder="1" applyAlignment="1">
      <alignment horizontal="left"/>
    </xf>
    <xf numFmtId="167" fontId="59" fillId="0" borderId="0" xfId="0" applyNumberFormat="1" applyFont="1" applyAlignment="1">
      <alignment horizontal="left"/>
    </xf>
    <xf numFmtId="14" fontId="67" fillId="0" borderId="10" xfId="0" applyNumberFormat="1" applyFont="1" applyBorder="1" applyAlignment="1">
      <alignment horizontal="right" shrinkToFit="1"/>
    </xf>
    <xf numFmtId="0" fontId="82" fillId="0" borderId="22" xfId="0" applyFont="1" applyBorder="1" applyAlignment="1">
      <alignment vertical="center" wrapText="1"/>
    </xf>
    <xf numFmtId="0" fontId="83" fillId="0" borderId="2" xfId="0" applyFont="1" applyBorder="1" applyAlignment="1">
      <alignment horizontal="center" vertical="center" wrapText="1"/>
    </xf>
    <xf numFmtId="6" fontId="84" fillId="0" borderId="2" xfId="0" applyNumberFormat="1" applyFont="1" applyBorder="1" applyAlignment="1" applyProtection="1">
      <alignment horizontal="center" vertical="center" wrapText="1"/>
      <protection locked="0"/>
    </xf>
    <xf numFmtId="6" fontId="76" fillId="0" borderId="2" xfId="0" applyNumberFormat="1" applyFont="1" applyBorder="1" applyAlignment="1" applyProtection="1">
      <alignment horizontal="center" vertical="center" wrapText="1"/>
      <protection locked="0"/>
    </xf>
    <xf numFmtId="167" fontId="59" fillId="0" borderId="0" xfId="0" applyNumberFormat="1" applyFont="1" applyAlignment="1">
      <alignment horizontal="center"/>
    </xf>
    <xf numFmtId="14" fontId="67" fillId="0" borderId="10" xfId="0" applyNumberFormat="1" applyFont="1" applyBorder="1" applyAlignment="1">
      <alignment shrinkToFit="1"/>
    </xf>
    <xf numFmtId="0" fontId="67" fillId="0" borderId="11" xfId="0" applyFont="1" applyBorder="1" applyAlignment="1">
      <alignment horizontal="left"/>
    </xf>
    <xf numFmtId="167" fontId="59" fillId="0" borderId="12" xfId="0" applyNumberFormat="1" applyFont="1" applyBorder="1" applyAlignment="1">
      <alignment horizontal="left"/>
    </xf>
    <xf numFmtId="0" fontId="59" fillId="0" borderId="12" xfId="0" applyFont="1" applyBorder="1"/>
    <xf numFmtId="0" fontId="59" fillId="0" borderId="13" xfId="0" applyFont="1" applyBorder="1" applyAlignment="1">
      <alignment horizontal="left"/>
    </xf>
    <xf numFmtId="0" fontId="59" fillId="0" borderId="14" xfId="0" applyFont="1" applyBorder="1" applyAlignment="1">
      <alignment horizontal="center"/>
    </xf>
    <xf numFmtId="171" fontId="59" fillId="0" borderId="14" xfId="0" applyNumberFormat="1" applyFont="1" applyBorder="1" applyAlignment="1">
      <alignment horizontal="center"/>
    </xf>
    <xf numFmtId="168" fontId="67" fillId="0" borderId="15" xfId="0" applyNumberFormat="1" applyFont="1" applyBorder="1" applyAlignment="1">
      <alignment horizontal="right"/>
    </xf>
    <xf numFmtId="6" fontId="72" fillId="0" borderId="2" xfId="0" applyNumberFormat="1" applyFont="1" applyBorder="1" applyAlignment="1">
      <alignment horizontal="center" vertical="center" wrapText="1"/>
    </xf>
    <xf numFmtId="6" fontId="85" fillId="9" borderId="29" xfId="0" applyNumberFormat="1" applyFont="1" applyFill="1" applyBorder="1" applyAlignment="1" applyProtection="1">
      <alignment vertical="center" wrapText="1"/>
      <protection locked="0"/>
    </xf>
    <xf numFmtId="6" fontId="85" fillId="9" borderId="80" xfId="0" applyNumberFormat="1" applyFont="1" applyFill="1" applyBorder="1" applyAlignment="1" applyProtection="1">
      <alignment vertical="center" wrapText="1"/>
      <protection locked="0"/>
    </xf>
    <xf numFmtId="0" fontId="59" fillId="0" borderId="47" xfId="0" applyFont="1" applyBorder="1" applyAlignment="1">
      <alignment horizontal="center" vertical="center" wrapText="1"/>
    </xf>
    <xf numFmtId="0" fontId="59" fillId="0" borderId="37" xfId="0" applyFont="1" applyBorder="1" applyAlignment="1">
      <alignment horizontal="center" vertical="center" wrapText="1"/>
    </xf>
    <xf numFmtId="0" fontId="59" fillId="0" borderId="37" xfId="0" applyFont="1" applyBorder="1" applyAlignment="1">
      <alignment horizontal="center" vertical="center"/>
    </xf>
    <xf numFmtId="0" fontId="59" fillId="0" borderId="2" xfId="0" applyFont="1" applyBorder="1" applyAlignment="1">
      <alignment horizontal="center" vertical="center" wrapText="1"/>
    </xf>
    <xf numFmtId="3" fontId="85" fillId="0" borderId="2" xfId="0" applyNumberFormat="1" applyFont="1" applyBorder="1" applyAlignment="1" applyProtection="1">
      <alignment horizontal="center" vertical="center" wrapText="1"/>
      <protection locked="0"/>
    </xf>
    <xf numFmtId="169" fontId="67" fillId="0" borderId="2" xfId="0" applyNumberFormat="1" applyFont="1" applyBorder="1" applyAlignment="1">
      <alignment horizontal="center"/>
    </xf>
    <xf numFmtId="6" fontId="72" fillId="0" borderId="2" xfId="0" applyNumberFormat="1" applyFont="1" applyBorder="1" applyAlignment="1" applyProtection="1">
      <alignment horizontal="center" vertical="center" wrapText="1"/>
      <protection locked="0"/>
    </xf>
    <xf numFmtId="3" fontId="85" fillId="0" borderId="78" xfId="0" applyNumberFormat="1" applyFont="1" applyBorder="1" applyAlignment="1" applyProtection="1">
      <alignment horizontal="center" vertical="center" wrapText="1"/>
      <protection locked="0"/>
    </xf>
    <xf numFmtId="169" fontId="67" fillId="0" borderId="78" xfId="0" applyNumberFormat="1" applyFont="1" applyBorder="1" applyAlignment="1">
      <alignment horizontal="center"/>
    </xf>
    <xf numFmtId="3" fontId="80" fillId="0" borderId="25" xfId="0" applyNumberFormat="1" applyFont="1" applyBorder="1" applyAlignment="1">
      <alignment horizontal="center" vertical="center" wrapText="1"/>
    </xf>
    <xf numFmtId="169" fontId="80" fillId="0" borderId="25" xfId="0" applyNumberFormat="1" applyFont="1" applyBorder="1" applyAlignment="1">
      <alignment horizontal="center" vertical="center" wrapText="1"/>
    </xf>
    <xf numFmtId="169" fontId="72" fillId="0" borderId="2" xfId="0" applyNumberFormat="1" applyFont="1" applyBorder="1" applyAlignment="1">
      <alignment horizontal="center" vertical="center" wrapText="1"/>
    </xf>
    <xf numFmtId="0" fontId="81" fillId="0" borderId="2" xfId="0" applyFont="1" applyBorder="1" applyAlignment="1">
      <alignment vertical="center" wrapText="1"/>
    </xf>
    <xf numFmtId="0" fontId="81" fillId="0" borderId="2" xfId="0" applyFont="1" applyBorder="1" applyAlignment="1">
      <alignment horizontal="center" vertical="center" wrapText="1"/>
    </xf>
    <xf numFmtId="166" fontId="76" fillId="0" borderId="2" xfId="0" applyNumberFormat="1" applyFont="1" applyBorder="1" applyAlignment="1" applyProtection="1">
      <alignment horizontal="center" vertical="center" wrapText="1"/>
      <protection locked="0"/>
    </xf>
    <xf numFmtId="6" fontId="85" fillId="0" borderId="2" xfId="0" applyNumberFormat="1" applyFont="1" applyBorder="1" applyAlignment="1">
      <alignment horizontal="center" vertical="center" wrapText="1"/>
    </xf>
    <xf numFmtId="6" fontId="81" fillId="0" borderId="2" xfId="0" applyNumberFormat="1" applyFont="1" applyBorder="1" applyAlignment="1" applyProtection="1">
      <alignment vertical="center" wrapText="1"/>
      <protection locked="0"/>
    </xf>
    <xf numFmtId="0" fontId="85" fillId="0" borderId="22" xfId="0" applyFont="1" applyBorder="1" applyAlignment="1">
      <alignment horizontal="center" vertical="center" wrapText="1"/>
    </xf>
    <xf numFmtId="0" fontId="85" fillId="0" borderId="24" xfId="0" applyFont="1" applyBorder="1" applyAlignment="1">
      <alignment horizontal="center" vertical="center" wrapText="1"/>
    </xf>
    <xf numFmtId="0" fontId="85" fillId="0" borderId="22" xfId="0" applyFont="1" applyBorder="1" applyAlignment="1">
      <alignment vertical="center" wrapText="1"/>
    </xf>
    <xf numFmtId="6" fontId="85" fillId="0" borderId="23" xfId="0" applyNumberFormat="1" applyFont="1" applyBorder="1" applyAlignment="1">
      <alignment horizontal="center" vertical="center" wrapText="1"/>
    </xf>
    <xf numFmtId="165" fontId="67" fillId="0" borderId="2" xfId="0" applyNumberFormat="1" applyFont="1" applyBorder="1" applyAlignment="1" applyProtection="1">
      <alignment vertical="center" wrapText="1"/>
      <protection locked="0"/>
    </xf>
    <xf numFmtId="0" fontId="67" fillId="0" borderId="43" xfId="0" applyFont="1" applyBorder="1" applyAlignment="1" applyProtection="1">
      <alignment horizontal="center" vertical="center" wrapText="1"/>
      <protection locked="0"/>
    </xf>
    <xf numFmtId="0" fontId="76" fillId="0" borderId="29" xfId="0" applyFont="1" applyBorder="1" applyAlignment="1">
      <alignment vertical="center" wrapText="1"/>
    </xf>
    <xf numFmtId="10" fontId="72" fillId="0" borderId="2" xfId="0" applyNumberFormat="1" applyFont="1" applyBorder="1" applyAlignment="1">
      <alignment horizontal="center" vertical="center" wrapText="1"/>
    </xf>
    <xf numFmtId="10" fontId="72" fillId="0" borderId="29" xfId="0" applyNumberFormat="1" applyFont="1" applyBorder="1" applyAlignment="1">
      <alignment horizontal="center" vertical="center" wrapText="1"/>
    </xf>
    <xf numFmtId="0" fontId="67" fillId="0" borderId="43" xfId="0" applyFont="1" applyBorder="1" applyAlignment="1" applyProtection="1">
      <alignment vertical="center"/>
      <protection locked="0"/>
    </xf>
    <xf numFmtId="0" fontId="67" fillId="0" borderId="2" xfId="0" applyFont="1" applyBorder="1" applyAlignment="1" applyProtection="1">
      <alignment vertical="center"/>
      <protection locked="0"/>
    </xf>
    <xf numFmtId="10" fontId="67" fillId="0" borderId="2" xfId="0" applyNumberFormat="1" applyFont="1" applyBorder="1" applyAlignment="1">
      <alignment horizontal="center" vertical="center" wrapText="1"/>
    </xf>
    <xf numFmtId="10" fontId="67" fillId="0" borderId="29" xfId="0" applyNumberFormat="1" applyFont="1" applyBorder="1" applyAlignment="1">
      <alignment horizontal="center" vertical="center" wrapText="1"/>
    </xf>
    <xf numFmtId="0" fontId="72" fillId="7" borderId="22" xfId="0" applyFont="1" applyFill="1" applyBorder="1" applyAlignment="1">
      <alignment vertical="center" wrapText="1"/>
    </xf>
    <xf numFmtId="0" fontId="72" fillId="7" borderId="2" xfId="0" applyFont="1" applyFill="1" applyBorder="1" applyAlignment="1">
      <alignment horizontal="center" vertical="center" wrapText="1"/>
    </xf>
    <xf numFmtId="169" fontId="72" fillId="7" borderId="2" xfId="0" applyNumberFormat="1" applyFont="1" applyFill="1" applyBorder="1" applyAlignment="1">
      <alignment horizontal="center" vertical="center" wrapText="1"/>
    </xf>
    <xf numFmtId="169" fontId="72" fillId="7" borderId="29" xfId="0" applyNumberFormat="1" applyFont="1" applyFill="1" applyBorder="1" applyAlignment="1">
      <alignment horizontal="center" vertical="center" wrapText="1"/>
    </xf>
    <xf numFmtId="6" fontId="73" fillId="0" borderId="43" xfId="0" applyNumberFormat="1" applyFont="1" applyBorder="1" applyAlignment="1" applyProtection="1">
      <alignment horizontal="center" vertical="center" wrapText="1"/>
      <protection locked="0"/>
    </xf>
    <xf numFmtId="6" fontId="73" fillId="0" borderId="2" xfId="0" applyNumberFormat="1" applyFont="1" applyBorder="1" applyAlignment="1" applyProtection="1">
      <alignment horizontal="center" vertical="center" wrapText="1"/>
      <protection locked="0"/>
    </xf>
    <xf numFmtId="9" fontId="72" fillId="0" borderId="2" xfId="0" applyNumberFormat="1" applyFont="1" applyBorder="1" applyAlignment="1">
      <alignment vertical="center" wrapText="1"/>
    </xf>
    <xf numFmtId="169" fontId="72" fillId="0" borderId="2" xfId="1" applyNumberFormat="1" applyFont="1" applyFill="1" applyBorder="1" applyAlignment="1">
      <alignment horizontal="center" vertical="center" wrapText="1"/>
    </xf>
    <xf numFmtId="169" fontId="72" fillId="0" borderId="29" xfId="1" applyNumberFormat="1" applyFont="1" applyFill="1" applyBorder="1" applyAlignment="1">
      <alignment horizontal="center" vertical="center" wrapText="1"/>
    </xf>
    <xf numFmtId="9" fontId="67" fillId="0" borderId="25" xfId="0" applyNumberFormat="1" applyFont="1" applyBorder="1" applyAlignment="1">
      <alignment vertical="center" wrapText="1"/>
    </xf>
    <xf numFmtId="6" fontId="72" fillId="0" borderId="25" xfId="0" applyNumberFormat="1" applyFont="1" applyBorder="1" applyAlignment="1">
      <alignment horizontal="center" vertical="center" wrapText="1"/>
    </xf>
    <xf numFmtId="6" fontId="72" fillId="0" borderId="27" xfId="0" applyNumberFormat="1" applyFont="1" applyBorder="1" applyAlignment="1">
      <alignment horizontal="center" vertical="center" wrapText="1"/>
    </xf>
    <xf numFmtId="6" fontId="73" fillId="0" borderId="44" xfId="0" applyNumberFormat="1" applyFont="1" applyBorder="1" applyAlignment="1" applyProtection="1">
      <alignment horizontal="center" vertical="center" wrapText="1"/>
      <protection locked="0"/>
    </xf>
    <xf numFmtId="0" fontId="67" fillId="0" borderId="2" xfId="0" applyFont="1" applyBorder="1" applyAlignment="1">
      <alignment horizontal="center" vertical="center"/>
    </xf>
    <xf numFmtId="6" fontId="73" fillId="0" borderId="2" xfId="0" applyNumberFormat="1" applyFont="1" applyBorder="1" applyAlignment="1" applyProtection="1">
      <alignment vertical="center" wrapText="1"/>
      <protection locked="0"/>
    </xf>
    <xf numFmtId="0" fontId="76" fillId="0" borderId="45" xfId="0" applyFont="1" applyBorder="1" applyAlignment="1">
      <alignment horizontal="center" vertical="center" wrapText="1"/>
    </xf>
    <xf numFmtId="166" fontId="67" fillId="0" borderId="2" xfId="0" applyNumberFormat="1" applyFont="1" applyBorder="1" applyAlignment="1">
      <alignment horizontal="center" vertical="center" wrapText="1"/>
    </xf>
    <xf numFmtId="166" fontId="67" fillId="0" borderId="29" xfId="0" applyNumberFormat="1" applyFont="1" applyBorder="1" applyAlignment="1">
      <alignment horizontal="center" vertical="center" wrapText="1"/>
    </xf>
    <xf numFmtId="6" fontId="67" fillId="0" borderId="27" xfId="0" applyNumberFormat="1" applyFont="1" applyBorder="1" applyAlignment="1">
      <alignment horizontal="center" vertical="center" wrapText="1"/>
    </xf>
    <xf numFmtId="0" fontId="59" fillId="0" borderId="2" xfId="0" applyFont="1" applyBorder="1" applyAlignment="1">
      <alignment horizontal="left"/>
    </xf>
    <xf numFmtId="10" fontId="59" fillId="0" borderId="2" xfId="0" applyNumberFormat="1" applyFont="1" applyBorder="1" applyAlignment="1">
      <alignment horizontal="center"/>
    </xf>
    <xf numFmtId="0" fontId="86" fillId="11" borderId="40" xfId="0" applyFont="1" applyFill="1" applyBorder="1" applyAlignment="1">
      <alignment horizontal="center" vertical="center" wrapText="1"/>
    </xf>
    <xf numFmtId="0" fontId="86" fillId="11" borderId="41" xfId="0" applyFont="1" applyFill="1" applyBorder="1" applyAlignment="1">
      <alignment horizontal="center" vertical="center" wrapText="1"/>
    </xf>
    <xf numFmtId="0" fontId="86" fillId="11" borderId="42" xfId="0" applyFont="1" applyFill="1" applyBorder="1" applyAlignment="1" applyProtection="1">
      <alignment horizontal="center" vertical="center" wrapText="1"/>
      <protection locked="0"/>
    </xf>
    <xf numFmtId="0" fontId="86" fillId="11" borderId="19" xfId="0" applyFont="1" applyFill="1" applyBorder="1" applyAlignment="1">
      <alignment horizontal="center" vertical="center" wrapText="1"/>
    </xf>
    <xf numFmtId="0" fontId="86" fillId="11" borderId="20" xfId="0" applyFont="1" applyFill="1" applyBorder="1" applyAlignment="1">
      <alignment horizontal="center" vertical="center" wrapText="1"/>
    </xf>
    <xf numFmtId="0" fontId="86" fillId="11" borderId="21" xfId="0" applyFont="1" applyFill="1" applyBorder="1" applyAlignment="1">
      <alignment horizontal="center" vertical="center" wrapText="1"/>
    </xf>
    <xf numFmtId="0" fontId="59" fillId="0" borderId="2" xfId="0" applyFont="1" applyBorder="1"/>
    <xf numFmtId="10" fontId="59" fillId="0" borderId="2" xfId="3" applyNumberFormat="1" applyFont="1" applyBorder="1"/>
    <xf numFmtId="6" fontId="59" fillId="0" borderId="2" xfId="0" applyNumberFormat="1" applyFont="1" applyBorder="1"/>
    <xf numFmtId="0" fontId="0" fillId="0" borderId="23" xfId="0" applyBorder="1"/>
    <xf numFmtId="0" fontId="0" fillId="0" borderId="70" xfId="3" applyNumberFormat="1" applyFont="1" applyBorder="1" applyAlignment="1">
      <alignment horizontal="center"/>
    </xf>
    <xf numFmtId="0" fontId="53" fillId="0" borderId="23" xfId="18" applyNumberFormat="1" applyBorder="1" applyAlignment="1">
      <alignment horizontal="center"/>
    </xf>
    <xf numFmtId="0" fontId="0" fillId="0" borderId="23" xfId="3" applyNumberFormat="1" applyFont="1" applyBorder="1" applyAlignment="1">
      <alignment horizontal="center"/>
    </xf>
    <xf numFmtId="0" fontId="0" fillId="0" borderId="26" xfId="3" applyNumberFormat="1" applyFont="1" applyBorder="1" applyAlignment="1">
      <alignment horizontal="center"/>
    </xf>
    <xf numFmtId="10" fontId="11" fillId="0" borderId="40" xfId="3" applyNumberFormat="1" applyFont="1" applyBorder="1" applyAlignment="1">
      <alignment horizontal="center"/>
    </xf>
    <xf numFmtId="0" fontId="87" fillId="0" borderId="2" xfId="4" applyFont="1" applyAlignment="1">
      <alignment horizontal="right"/>
    </xf>
    <xf numFmtId="0" fontId="15" fillId="0" borderId="83" xfId="0" applyFont="1" applyBorder="1" applyAlignment="1">
      <alignment horizontal="center"/>
    </xf>
    <xf numFmtId="0" fontId="15" fillId="0" borderId="20" xfId="0" applyFont="1" applyBorder="1" applyAlignment="1">
      <alignment horizontal="center" wrapText="1"/>
    </xf>
    <xf numFmtId="0" fontId="64" fillId="0" borderId="84" xfId="0" applyFont="1" applyBorder="1" applyAlignment="1">
      <alignment horizontal="center"/>
    </xf>
    <xf numFmtId="0" fontId="64" fillId="0" borderId="37" xfId="0" applyFont="1" applyBorder="1" applyAlignment="1">
      <alignment horizontal="center"/>
    </xf>
    <xf numFmtId="3" fontId="64" fillId="0" borderId="87" xfId="0" applyNumberFormat="1" applyFont="1" applyBorder="1" applyAlignment="1">
      <alignment horizontal="center"/>
    </xf>
    <xf numFmtId="3" fontId="64" fillId="0" borderId="46" xfId="0" applyNumberFormat="1" applyFont="1" applyBorder="1" applyAlignment="1">
      <alignment horizontal="center"/>
    </xf>
    <xf numFmtId="0" fontId="64" fillId="0" borderId="63" xfId="0" applyFont="1" applyBorder="1" applyAlignment="1">
      <alignment horizontal="center"/>
    </xf>
    <xf numFmtId="0" fontId="64" fillId="0" borderId="88" xfId="0" applyFont="1" applyBorder="1" applyAlignment="1">
      <alignment horizontal="center"/>
    </xf>
    <xf numFmtId="169" fontId="11" fillId="0" borderId="72" xfId="0" applyNumberFormat="1" applyFont="1" applyBorder="1" applyAlignment="1">
      <alignment horizontal="center"/>
    </xf>
    <xf numFmtId="169" fontId="11" fillId="0" borderId="89" xfId="0" applyNumberFormat="1" applyFont="1" applyBorder="1" applyAlignment="1">
      <alignment horizontal="center"/>
    </xf>
    <xf numFmtId="169" fontId="11" fillId="0" borderId="78" xfId="0" applyNumberFormat="1" applyFont="1" applyBorder="1" applyAlignment="1">
      <alignment horizontal="center"/>
    </xf>
    <xf numFmtId="9" fontId="15" fillId="0" borderId="2" xfId="0" applyNumberFormat="1" applyFont="1" applyBorder="1" applyAlignment="1">
      <alignment horizontal="center"/>
    </xf>
    <xf numFmtId="170" fontId="11" fillId="0" borderId="2" xfId="0" applyNumberFormat="1" applyFont="1" applyBorder="1" applyAlignment="1">
      <alignment horizontal="center"/>
    </xf>
    <xf numFmtId="170" fontId="15" fillId="0" borderId="2" xfId="0" applyNumberFormat="1" applyFont="1" applyBorder="1" applyAlignment="1">
      <alignment horizontal="left"/>
    </xf>
    <xf numFmtId="9" fontId="0" fillId="0" borderId="2" xfId="3" applyFont="1" applyFill="1" applyBorder="1" applyAlignment="1">
      <alignment horizontal="center"/>
    </xf>
    <xf numFmtId="9" fontId="64" fillId="0" borderId="2" xfId="3" applyFont="1" applyFill="1" applyBorder="1" applyAlignment="1">
      <alignment horizontal="center"/>
    </xf>
    <xf numFmtId="9" fontId="11" fillId="0" borderId="2" xfId="3" applyFont="1" applyFill="1" applyBorder="1" applyAlignment="1">
      <alignment horizontal="center"/>
    </xf>
    <xf numFmtId="9" fontId="0" fillId="21" borderId="0" xfId="3" applyFont="1" applyFill="1" applyAlignment="1">
      <alignment horizontal="center"/>
    </xf>
    <xf numFmtId="0" fontId="86" fillId="11" borderId="42" xfId="0" applyFont="1" applyFill="1" applyBorder="1" applyAlignment="1">
      <alignment horizontal="center" vertical="center" wrapText="1"/>
    </xf>
    <xf numFmtId="166" fontId="5" fillId="6" borderId="1" xfId="0" applyNumberFormat="1" applyFont="1" applyFill="1" applyBorder="1" applyAlignment="1">
      <alignment vertical="center"/>
    </xf>
    <xf numFmtId="169" fontId="63" fillId="6" borderId="90" xfId="0" applyNumberFormat="1" applyFont="1" applyFill="1" applyBorder="1" applyAlignment="1">
      <alignment horizontal="center"/>
    </xf>
    <xf numFmtId="0" fontId="90" fillId="0" borderId="2" xfId="0" applyFont="1" applyBorder="1"/>
    <xf numFmtId="169" fontId="0" fillId="0" borderId="2" xfId="0" applyNumberFormat="1" applyBorder="1"/>
    <xf numFmtId="169" fontId="62" fillId="0" borderId="91" xfId="0" applyNumberFormat="1" applyFont="1" applyBorder="1" applyAlignment="1">
      <alignment horizontal="center"/>
    </xf>
    <xf numFmtId="169" fontId="63" fillId="6" borderId="92" xfId="0" applyNumberFormat="1" applyFont="1" applyFill="1" applyBorder="1" applyAlignment="1">
      <alignment horizontal="center"/>
    </xf>
    <xf numFmtId="0" fontId="15" fillId="8" borderId="66" xfId="0" applyFont="1" applyFill="1" applyBorder="1" applyAlignment="1">
      <alignment horizontal="center" vertical="center"/>
    </xf>
    <xf numFmtId="0" fontId="15" fillId="8" borderId="41" xfId="0" applyFont="1" applyFill="1" applyBorder="1" applyAlignment="1">
      <alignment horizontal="center" vertical="center"/>
    </xf>
    <xf numFmtId="0" fontId="62" fillId="0" borderId="22" xfId="0" applyFont="1" applyBorder="1" applyAlignment="1">
      <alignment horizontal="center"/>
    </xf>
    <xf numFmtId="169" fontId="62" fillId="0" borderId="23" xfId="0" applyNumberFormat="1" applyFont="1" applyBorder="1" applyAlignment="1">
      <alignment horizontal="center"/>
    </xf>
    <xf numFmtId="169" fontId="63" fillId="6" borderId="93" xfId="0" applyNumberFormat="1" applyFont="1" applyFill="1" applyBorder="1" applyAlignment="1">
      <alignment horizontal="center"/>
    </xf>
    <xf numFmtId="0" fontId="62" fillId="0" borderId="24" xfId="0" applyFont="1" applyBorder="1" applyAlignment="1">
      <alignment horizontal="center"/>
    </xf>
    <xf numFmtId="169" fontId="62" fillId="0" borderId="94" xfId="0" applyNumberFormat="1" applyFont="1" applyBorder="1" applyAlignment="1">
      <alignment horizontal="center"/>
    </xf>
    <xf numFmtId="169" fontId="63" fillId="6" borderId="25" xfId="0" applyNumberFormat="1" applyFont="1" applyFill="1" applyBorder="1" applyAlignment="1">
      <alignment horizontal="center"/>
    </xf>
    <xf numFmtId="169" fontId="63" fillId="6" borderId="26" xfId="0" applyNumberFormat="1" applyFont="1" applyFill="1" applyBorder="1" applyAlignment="1">
      <alignment horizontal="center"/>
    </xf>
    <xf numFmtId="169" fontId="85" fillId="0" borderId="23" xfId="0" applyNumberFormat="1" applyFont="1" applyBorder="1" applyAlignment="1">
      <alignment horizontal="center" vertical="center" wrapText="1"/>
    </xf>
    <xf numFmtId="0" fontId="66" fillId="8" borderId="24" xfId="0" applyFont="1" applyFill="1" applyBorder="1" applyAlignment="1">
      <alignment horizontal="center" wrapText="1"/>
    </xf>
    <xf numFmtId="0" fontId="66" fillId="8" borderId="94" xfId="0" applyFont="1" applyFill="1" applyBorder="1" applyAlignment="1">
      <alignment horizontal="center" wrapText="1"/>
    </xf>
    <xf numFmtId="0" fontId="66" fillId="8" borderId="25" xfId="0" applyFont="1" applyFill="1" applyBorder="1" applyAlignment="1">
      <alignment horizontal="center" wrapText="1"/>
    </xf>
    <xf numFmtId="0" fontId="66" fillId="8" borderId="26" xfId="0" applyFont="1" applyFill="1" applyBorder="1" applyAlignment="1">
      <alignment horizontal="center" wrapText="1"/>
    </xf>
    <xf numFmtId="169" fontId="3" fillId="0" borderId="23" xfId="0" applyNumberFormat="1" applyFont="1" applyBorder="1" applyAlignment="1">
      <alignment horizontal="center"/>
    </xf>
    <xf numFmtId="169" fontId="0" fillId="0" borderId="89" xfId="0" applyNumberFormat="1" applyBorder="1" applyAlignment="1">
      <alignment horizontal="center"/>
    </xf>
    <xf numFmtId="169" fontId="0" fillId="0" borderId="78" xfId="0" applyNumberFormat="1" applyBorder="1" applyAlignment="1">
      <alignment horizontal="center"/>
    </xf>
    <xf numFmtId="0" fontId="93" fillId="0" borderId="2" xfId="0" applyFont="1" applyBorder="1" applyAlignment="1">
      <alignment horizontal="center"/>
    </xf>
    <xf numFmtId="0" fontId="15" fillId="0" borderId="2" xfId="0" applyFont="1" applyBorder="1" applyAlignment="1">
      <alignment horizontal="center" wrapText="1"/>
    </xf>
    <xf numFmtId="0" fontId="11" fillId="0" borderId="19" xfId="0" applyFont="1" applyBorder="1" applyAlignment="1">
      <alignment horizontal="left"/>
    </xf>
    <xf numFmtId="0" fontId="15" fillId="0" borderId="21" xfId="0" applyFont="1" applyBorder="1" applyAlignment="1">
      <alignment horizontal="center" wrapText="1"/>
    </xf>
    <xf numFmtId="0" fontId="64" fillId="0" borderId="47" xfId="0" applyFont="1" applyBorder="1" applyAlignment="1">
      <alignment horizontal="left"/>
    </xf>
    <xf numFmtId="0" fontId="64" fillId="0" borderId="48" xfId="0" applyFont="1" applyBorder="1" applyAlignment="1">
      <alignment horizontal="center"/>
    </xf>
    <xf numFmtId="0" fontId="64" fillId="0" borderId="95" xfId="0" applyFont="1" applyBorder="1" applyAlignment="1">
      <alignment horizontal="left"/>
    </xf>
    <xf numFmtId="3" fontId="64" fillId="0" borderId="96" xfId="0" applyNumberFormat="1" applyFont="1" applyBorder="1" applyAlignment="1">
      <alignment horizontal="center"/>
    </xf>
    <xf numFmtId="0" fontId="0" fillId="0" borderId="22" xfId="0" applyBorder="1"/>
    <xf numFmtId="0" fontId="11" fillId="0" borderId="22" xfId="0" applyFont="1" applyBorder="1"/>
    <xf numFmtId="0" fontId="0" fillId="0" borderId="77" xfId="0" applyBorder="1"/>
    <xf numFmtId="169" fontId="0" fillId="0" borderId="79" xfId="0" applyNumberFormat="1" applyBorder="1" applyAlignment="1">
      <alignment horizontal="center"/>
    </xf>
    <xf numFmtId="0" fontId="57" fillId="20" borderId="24" xfId="0" applyFont="1" applyFill="1" applyBorder="1"/>
    <xf numFmtId="169" fontId="57" fillId="20" borderId="97" xfId="0" applyNumberFormat="1" applyFont="1" applyFill="1" applyBorder="1" applyAlignment="1">
      <alignment horizontal="center"/>
    </xf>
    <xf numFmtId="169" fontId="57" fillId="20" borderId="25" xfId="0" applyNumberFormat="1" applyFont="1" applyFill="1" applyBorder="1" applyAlignment="1">
      <alignment horizontal="center"/>
    </xf>
    <xf numFmtId="169" fontId="57" fillId="20" borderId="26" xfId="0" applyNumberFormat="1" applyFont="1" applyFill="1" applyBorder="1" applyAlignment="1">
      <alignment horizontal="center"/>
    </xf>
    <xf numFmtId="0" fontId="88" fillId="8" borderId="25" xfId="0" quotePrefix="1" applyFont="1" applyFill="1" applyBorder="1" applyAlignment="1">
      <alignment horizontal="center" wrapText="1"/>
    </xf>
    <xf numFmtId="0" fontId="88" fillId="8" borderId="24" xfId="0" applyFont="1" applyFill="1" applyBorder="1" applyAlignment="1">
      <alignment horizontal="center" wrapText="1"/>
    </xf>
    <xf numFmtId="0" fontId="88" fillId="8" borderId="25" xfId="0" applyFont="1" applyFill="1" applyBorder="1" applyAlignment="1">
      <alignment horizontal="center" wrapText="1"/>
    </xf>
    <xf numFmtId="0" fontId="88" fillId="8" borderId="26" xfId="0" quotePrefix="1" applyFont="1" applyFill="1" applyBorder="1" applyAlignment="1">
      <alignment horizontal="center" wrapText="1"/>
    </xf>
    <xf numFmtId="0" fontId="15" fillId="8" borderId="40" xfId="0" applyFont="1" applyFill="1" applyBorder="1" applyAlignment="1">
      <alignment horizontal="right" vertical="center"/>
    </xf>
    <xf numFmtId="0" fontId="15" fillId="8" borderId="42" xfId="0" applyFont="1" applyFill="1" applyBorder="1" applyAlignment="1">
      <alignment horizontal="center" vertical="center"/>
    </xf>
    <xf numFmtId="0" fontId="64" fillId="0" borderId="98" xfId="0" applyFont="1" applyBorder="1" applyAlignment="1">
      <alignment horizontal="right"/>
    </xf>
    <xf numFmtId="0" fontId="64" fillId="0" borderId="99" xfId="0" applyFont="1" applyBorder="1" applyAlignment="1">
      <alignment horizontal="center"/>
    </xf>
    <xf numFmtId="0" fontId="89" fillId="0" borderId="22" xfId="4" applyFont="1" applyBorder="1" applyAlignment="1">
      <alignment horizontal="right"/>
    </xf>
    <xf numFmtId="169" fontId="11" fillId="0" borderId="23" xfId="0" applyNumberFormat="1" applyFont="1" applyBorder="1" applyAlignment="1">
      <alignment horizontal="center"/>
    </xf>
    <xf numFmtId="0" fontId="89" fillId="0" borderId="77" xfId="4" applyFont="1" applyBorder="1" applyAlignment="1">
      <alignment horizontal="right"/>
    </xf>
    <xf numFmtId="0" fontId="89" fillId="20" borderId="24" xfId="4" applyFont="1" applyFill="1" applyBorder="1" applyAlignment="1">
      <alignment horizontal="right"/>
    </xf>
    <xf numFmtId="169" fontId="15" fillId="20" borderId="97" xfId="0" applyNumberFormat="1" applyFont="1" applyFill="1" applyBorder="1" applyAlignment="1">
      <alignment horizontal="center"/>
    </xf>
    <xf numFmtId="169" fontId="15" fillId="20" borderId="25" xfId="0" applyNumberFormat="1" applyFont="1" applyFill="1" applyBorder="1" applyAlignment="1">
      <alignment horizontal="center"/>
    </xf>
    <xf numFmtId="169" fontId="15" fillId="20" borderId="26" xfId="0" applyNumberFormat="1" applyFont="1" applyFill="1" applyBorder="1" applyAlignment="1">
      <alignment horizontal="center"/>
    </xf>
    <xf numFmtId="169" fontId="11" fillId="0" borderId="79" xfId="0" applyNumberFormat="1" applyFont="1" applyBorder="1" applyAlignment="1">
      <alignment horizontal="center"/>
    </xf>
    <xf numFmtId="169" fontId="15" fillId="20" borderId="81" xfId="0" applyNumberFormat="1" applyFont="1" applyFill="1" applyBorder="1" applyAlignment="1">
      <alignment horizontal="center"/>
    </xf>
    <xf numFmtId="170" fontId="15" fillId="0" borderId="0" xfId="0" applyNumberFormat="1" applyFont="1" applyAlignment="1">
      <alignment horizontal="center"/>
    </xf>
    <xf numFmtId="0" fontId="91" fillId="0" borderId="23" xfId="0" applyFont="1" applyBorder="1" applyAlignment="1">
      <alignment horizontal="center"/>
    </xf>
    <xf numFmtId="0" fontId="91" fillId="0" borderId="22" xfId="0" applyFont="1" applyBorder="1"/>
    <xf numFmtId="8" fontId="92" fillId="0" borderId="26" xfId="0" applyNumberFormat="1" applyFont="1" applyBorder="1" applyAlignment="1">
      <alignment horizontal="center"/>
    </xf>
    <xf numFmtId="0" fontId="91" fillId="0" borderId="98" xfId="0" applyFont="1" applyBorder="1"/>
    <xf numFmtId="0" fontId="91" fillId="0" borderId="99" xfId="0" applyFont="1" applyBorder="1"/>
    <xf numFmtId="10" fontId="76" fillId="9" borderId="2" xfId="3" applyNumberFormat="1" applyFont="1" applyFill="1" applyBorder="1" applyAlignment="1" applyProtection="1">
      <alignment horizontal="center" vertical="center" wrapText="1"/>
    </xf>
    <xf numFmtId="0" fontId="76" fillId="9" borderId="2" xfId="0" applyFont="1" applyFill="1" applyBorder="1" applyAlignment="1">
      <alignment horizontal="center" vertical="center" wrapText="1"/>
    </xf>
    <xf numFmtId="0" fontId="80" fillId="24" borderId="24" xfId="0" applyFont="1" applyFill="1" applyBorder="1" applyAlignment="1">
      <alignment vertical="center" wrapText="1"/>
    </xf>
    <xf numFmtId="0" fontId="80" fillId="24" borderId="25" xfId="0" applyFont="1" applyFill="1" applyBorder="1" applyAlignment="1">
      <alignment horizontal="center" vertical="center" wrapText="1"/>
    </xf>
    <xf numFmtId="10" fontId="0" fillId="0" borderId="61" xfId="3" applyNumberFormat="1" applyFont="1" applyBorder="1" applyAlignment="1">
      <alignment horizontal="center"/>
    </xf>
    <xf numFmtId="0" fontId="5" fillId="0" borderId="2" xfId="0" applyFont="1" applyBorder="1" applyAlignment="1">
      <alignment horizontal="center" vertical="center"/>
    </xf>
    <xf numFmtId="0" fontId="5" fillId="0" borderId="2" xfId="0" applyFont="1" applyBorder="1" applyAlignment="1">
      <alignment vertical="center"/>
    </xf>
    <xf numFmtId="169" fontId="0" fillId="0" borderId="34" xfId="3" applyNumberFormat="1" applyFont="1" applyFill="1" applyBorder="1" applyAlignment="1">
      <alignment horizontal="center"/>
    </xf>
    <xf numFmtId="169" fontId="67" fillId="0" borderId="25" xfId="0" applyNumberFormat="1" applyFont="1" applyBorder="1" applyAlignment="1">
      <alignment horizontal="center"/>
    </xf>
    <xf numFmtId="0" fontId="0" fillId="0" borderId="30" xfId="2" applyNumberFormat="1" applyFont="1" applyBorder="1" applyAlignment="1">
      <alignment horizontal="center"/>
    </xf>
    <xf numFmtId="0" fontId="0" fillId="0" borderId="30" xfId="2" applyNumberFormat="1" applyFont="1" applyFill="1" applyBorder="1" applyAlignment="1">
      <alignment horizontal="center"/>
    </xf>
    <xf numFmtId="0" fontId="0" fillId="0" borderId="39" xfId="2" applyNumberFormat="1" applyFont="1" applyFill="1" applyBorder="1" applyAlignment="1">
      <alignment horizontal="center"/>
    </xf>
    <xf numFmtId="0" fontId="5" fillId="0" borderId="65" xfId="0" applyFont="1" applyBorder="1" applyAlignment="1">
      <alignment horizontal="center" vertical="center"/>
    </xf>
    <xf numFmtId="0" fontId="0" fillId="0" borderId="29" xfId="2" applyNumberFormat="1" applyFont="1" applyBorder="1" applyAlignment="1">
      <alignment horizontal="center"/>
    </xf>
    <xf numFmtId="0" fontId="0" fillId="0" borderId="29" xfId="2" applyNumberFormat="1" applyFont="1" applyFill="1" applyBorder="1" applyAlignment="1">
      <alignment horizontal="center"/>
    </xf>
    <xf numFmtId="0" fontId="5" fillId="0" borderId="27" xfId="0" applyFont="1" applyBorder="1" applyAlignment="1">
      <alignment horizontal="center" vertical="center"/>
    </xf>
    <xf numFmtId="164" fontId="0" fillId="0" borderId="2" xfId="1" applyNumberFormat="1" applyFont="1" applyBorder="1" applyAlignment="1">
      <alignment horizontal="center"/>
    </xf>
    <xf numFmtId="164" fontId="0" fillId="0" borderId="2" xfId="0" applyNumberFormat="1" applyBorder="1"/>
    <xf numFmtId="0" fontId="91" fillId="0" borderId="24" xfId="0" applyFont="1" applyBorder="1"/>
    <xf numFmtId="0" fontId="76" fillId="0" borderId="29" xfId="0" applyFont="1" applyBorder="1" applyAlignment="1">
      <alignment horizontal="center" vertical="center" wrapText="1"/>
    </xf>
    <xf numFmtId="169" fontId="11" fillId="0" borderId="37" xfId="0" applyNumberFormat="1" applyFont="1" applyBorder="1" applyAlignment="1">
      <alignment horizontal="center"/>
    </xf>
    <xf numFmtId="169" fontId="11" fillId="0" borderId="48" xfId="0" applyNumberFormat="1" applyFont="1" applyBorder="1" applyAlignment="1">
      <alignment horizontal="center"/>
    </xf>
    <xf numFmtId="183" fontId="67" fillId="0" borderId="2" xfId="0" applyNumberFormat="1" applyFont="1" applyBorder="1"/>
    <xf numFmtId="170" fontId="0" fillId="7" borderId="44" xfId="3" applyNumberFormat="1" applyFont="1" applyFill="1" applyBorder="1" applyAlignment="1">
      <alignment horizontal="center"/>
    </xf>
    <xf numFmtId="0" fontId="59" fillId="0" borderId="2" xfId="0" applyFont="1" applyBorder="1" applyProtection="1">
      <protection locked="0"/>
    </xf>
    <xf numFmtId="169" fontId="80" fillId="0" borderId="25" xfId="3" applyNumberFormat="1" applyFont="1" applyFill="1" applyBorder="1" applyAlignment="1">
      <alignment horizontal="center" vertical="center" wrapText="1"/>
    </xf>
    <xf numFmtId="6" fontId="85" fillId="0" borderId="25" xfId="0" applyNumberFormat="1" applyFont="1" applyBorder="1" applyAlignment="1">
      <alignment horizontal="center" vertical="center" wrapText="1"/>
    </xf>
    <xf numFmtId="6" fontId="72" fillId="0" borderId="25" xfId="0" applyNumberFormat="1" applyFont="1" applyBorder="1" applyAlignment="1" applyProtection="1">
      <alignment horizontal="center" vertical="center" wrapText="1"/>
      <protection locked="0"/>
    </xf>
    <xf numFmtId="0" fontId="59" fillId="0" borderId="48" xfId="0" applyFont="1" applyBorder="1" applyAlignment="1">
      <alignment horizontal="center" vertical="center" wrapText="1"/>
    </xf>
    <xf numFmtId="169" fontId="59" fillId="18" borderId="23" xfId="0" applyNumberFormat="1" applyFont="1" applyFill="1" applyBorder="1" applyAlignment="1">
      <alignment horizontal="center"/>
    </xf>
    <xf numFmtId="169" fontId="59" fillId="18" borderId="26" xfId="0" applyNumberFormat="1" applyFont="1" applyFill="1" applyBorder="1" applyAlignment="1">
      <alignment horizontal="center"/>
    </xf>
    <xf numFmtId="169" fontId="67" fillId="18" borderId="2" xfId="0" applyNumberFormat="1" applyFont="1" applyFill="1" applyBorder="1" applyAlignment="1">
      <alignment horizontal="center"/>
    </xf>
    <xf numFmtId="169" fontId="67" fillId="18" borderId="78" xfId="0" applyNumberFormat="1" applyFont="1" applyFill="1" applyBorder="1" applyAlignment="1">
      <alignment horizontal="center"/>
    </xf>
    <xf numFmtId="169" fontId="80" fillId="18" borderId="25" xfId="0" applyNumberFormat="1" applyFont="1" applyFill="1" applyBorder="1" applyAlignment="1">
      <alignment horizontal="center" vertical="center" wrapText="1"/>
    </xf>
    <xf numFmtId="0" fontId="59" fillId="18" borderId="37" xfId="0" applyFont="1" applyFill="1" applyBorder="1" applyAlignment="1">
      <alignment horizontal="center" vertical="center"/>
    </xf>
    <xf numFmtId="0" fontId="12" fillId="0" borderId="41" xfId="8" applyFont="1" applyBorder="1" applyAlignment="1">
      <alignment horizontal="center"/>
    </xf>
    <xf numFmtId="169" fontId="3" fillId="0" borderId="20" xfId="0" applyNumberFormat="1" applyFont="1" applyBorder="1" applyAlignment="1">
      <alignment horizontal="center"/>
    </xf>
    <xf numFmtId="0" fontId="12" fillId="0" borderId="73" xfId="8" applyFont="1" applyBorder="1" applyAlignment="1">
      <alignment horizontal="center"/>
    </xf>
    <xf numFmtId="6" fontId="81" fillId="24" borderId="81" xfId="0" applyNumberFormat="1" applyFont="1" applyFill="1" applyBorder="1" applyAlignment="1">
      <alignment vertical="center" wrapText="1"/>
    </xf>
    <xf numFmtId="170" fontId="60" fillId="0" borderId="2" xfId="0" applyNumberFormat="1" applyFont="1" applyBorder="1" applyAlignment="1">
      <alignment horizontal="center"/>
    </xf>
    <xf numFmtId="164" fontId="10" fillId="0" borderId="2" xfId="7" applyNumberFormat="1" applyFont="1" applyBorder="1" applyProtection="1"/>
    <xf numFmtId="164" fontId="10" fillId="0" borderId="23" xfId="7" applyNumberFormat="1" applyFont="1" applyBorder="1" applyProtection="1"/>
    <xf numFmtId="0" fontId="36" fillId="0" borderId="22" xfId="7" applyFont="1" applyBorder="1" applyAlignment="1" applyProtection="1">
      <alignment horizontal="left" indent="2"/>
    </xf>
    <xf numFmtId="0" fontId="36" fillId="0" borderId="47" xfId="7" applyFont="1" applyBorder="1" applyAlignment="1" applyProtection="1">
      <alignment horizontal="left" indent="2"/>
    </xf>
    <xf numFmtId="0" fontId="10" fillId="0" borderId="22" xfId="7" applyFont="1" applyBorder="1" applyAlignment="1" applyProtection="1">
      <alignment horizontal="left" indent="1"/>
    </xf>
    <xf numFmtId="0" fontId="10" fillId="9" borderId="40" xfId="7" applyFont="1" applyFill="1" applyBorder="1" applyProtection="1"/>
    <xf numFmtId="164" fontId="10" fillId="9" borderId="41" xfId="7" applyNumberFormat="1" applyFont="1" applyFill="1" applyBorder="1" applyProtection="1"/>
    <xf numFmtId="164" fontId="10" fillId="9" borderId="42" xfId="7" applyNumberFormat="1" applyFont="1" applyFill="1" applyBorder="1" applyProtection="1"/>
    <xf numFmtId="0" fontId="10" fillId="9" borderId="40" xfId="7" applyFont="1" applyFill="1" applyBorder="1" applyAlignment="1" applyProtection="1">
      <alignment horizontal="left"/>
    </xf>
    <xf numFmtId="164" fontId="10" fillId="9" borderId="41" xfId="10" applyNumberFormat="1" applyFont="1" applyFill="1" applyBorder="1" applyProtection="1"/>
    <xf numFmtId="164" fontId="10" fillId="9" borderId="42" xfId="10" applyNumberFormat="1" applyFont="1" applyFill="1" applyBorder="1" applyProtection="1"/>
    <xf numFmtId="164" fontId="10" fillId="9" borderId="41" xfId="10" applyNumberFormat="1" applyFont="1" applyFill="1" applyBorder="1" applyAlignment="1" applyProtection="1">
      <alignment vertical="center"/>
    </xf>
    <xf numFmtId="164" fontId="10" fillId="9" borderId="42" xfId="10" applyNumberFormat="1" applyFont="1" applyFill="1" applyBorder="1" applyAlignment="1" applyProtection="1">
      <alignment vertical="center"/>
    </xf>
    <xf numFmtId="9" fontId="94" fillId="0" borderId="2" xfId="3" applyFont="1" applyBorder="1" applyAlignment="1" applyProtection="1">
      <alignment horizontal="center"/>
    </xf>
    <xf numFmtId="166" fontId="95" fillId="9" borderId="41" xfId="3" applyNumberFormat="1" applyFont="1" applyFill="1" applyBorder="1" applyAlignment="1" applyProtection="1">
      <alignment horizontal="center"/>
    </xf>
    <xf numFmtId="10" fontId="10" fillId="7" borderId="2" xfId="3" applyNumberFormat="1" applyFont="1" applyFill="1" applyBorder="1" applyAlignment="1" applyProtection="1">
      <alignment horizontal="center"/>
    </xf>
    <xf numFmtId="0" fontId="10" fillId="7" borderId="40" xfId="7" applyFont="1" applyFill="1" applyBorder="1" applyAlignment="1" applyProtection="1">
      <alignment horizontal="left"/>
    </xf>
    <xf numFmtId="0" fontId="10" fillId="7" borderId="41" xfId="7" applyFont="1" applyFill="1" applyBorder="1" applyAlignment="1" applyProtection="1">
      <alignment horizontal="left"/>
    </xf>
    <xf numFmtId="164" fontId="10" fillId="7" borderId="41" xfId="10" applyNumberFormat="1" applyFont="1" applyFill="1" applyBorder="1" applyProtection="1"/>
    <xf numFmtId="164" fontId="10" fillId="7" borderId="42" xfId="10" applyNumberFormat="1" applyFont="1" applyFill="1" applyBorder="1" applyProtection="1"/>
    <xf numFmtId="0" fontId="10" fillId="7" borderId="40" xfId="7" applyFont="1" applyFill="1" applyBorder="1" applyAlignment="1" applyProtection="1">
      <alignment horizontal="left" vertical="center"/>
    </xf>
    <xf numFmtId="0" fontId="10" fillId="7" borderId="41" xfId="7" applyFont="1" applyFill="1" applyBorder="1" applyAlignment="1" applyProtection="1">
      <alignment horizontal="left" vertical="center"/>
    </xf>
    <xf numFmtId="164" fontId="10" fillId="7" borderId="41" xfId="7" applyNumberFormat="1" applyFont="1" applyFill="1" applyBorder="1" applyAlignment="1" applyProtection="1">
      <alignment vertical="center"/>
    </xf>
    <xf numFmtId="164" fontId="10" fillId="7" borderId="42" xfId="7" applyNumberFormat="1" applyFont="1" applyFill="1" applyBorder="1" applyAlignment="1" applyProtection="1">
      <alignment vertical="center"/>
    </xf>
    <xf numFmtId="10" fontId="94" fillId="0" borderId="2" xfId="11" applyNumberFormat="1" applyFont="1" applyBorder="1" applyAlignment="1" applyProtection="1">
      <alignment horizontal="center"/>
    </xf>
    <xf numFmtId="164" fontId="36" fillId="0" borderId="2" xfId="10" applyNumberFormat="1" applyFont="1" applyBorder="1" applyProtection="1"/>
    <xf numFmtId="164" fontId="36" fillId="0" borderId="23" xfId="10" applyNumberFormat="1" applyFont="1" applyBorder="1" applyProtection="1"/>
    <xf numFmtId="165" fontId="7" fillId="0" borderId="2" xfId="7" applyNumberFormat="1" applyProtection="1"/>
    <xf numFmtId="6" fontId="96" fillId="8" borderId="25" xfId="0" applyNumberFormat="1" applyFont="1" applyFill="1" applyBorder="1" applyAlignment="1">
      <alignment horizontal="center" wrapText="1"/>
    </xf>
    <xf numFmtId="6" fontId="96" fillId="8" borderId="26" xfId="0" applyNumberFormat="1" applyFont="1" applyFill="1" applyBorder="1" applyAlignment="1">
      <alignment horizontal="center" wrapText="1"/>
    </xf>
    <xf numFmtId="0" fontId="96" fillId="8" borderId="63" xfId="0" applyFont="1" applyFill="1" applyBorder="1" applyAlignment="1">
      <alignment horizontal="center" wrapText="1"/>
    </xf>
    <xf numFmtId="0" fontId="96" fillId="8" borderId="99" xfId="0" applyFont="1" applyFill="1" applyBorder="1" applyAlignment="1">
      <alignment horizontal="center" wrapText="1"/>
    </xf>
    <xf numFmtId="0" fontId="96" fillId="8" borderId="101" xfId="0" applyFont="1" applyFill="1" applyBorder="1" applyAlignment="1">
      <alignment horizontal="center" wrapText="1"/>
    </xf>
    <xf numFmtId="169" fontId="96" fillId="8" borderId="102" xfId="0" applyNumberFormat="1" applyFont="1" applyFill="1" applyBorder="1" applyAlignment="1">
      <alignment horizontal="center" wrapText="1"/>
    </xf>
    <xf numFmtId="0" fontId="62" fillId="8" borderId="97" xfId="0" applyFont="1" applyFill="1" applyBorder="1" applyAlignment="1">
      <alignment horizontal="center"/>
    </xf>
    <xf numFmtId="0" fontId="62" fillId="8" borderId="88" xfId="0" applyFont="1" applyFill="1" applyBorder="1" applyAlignment="1">
      <alignment horizontal="center"/>
    </xf>
    <xf numFmtId="0" fontId="67" fillId="0" borderId="2" xfId="0" applyFont="1" applyBorder="1" applyAlignment="1">
      <alignment horizontal="left" indent="1"/>
    </xf>
    <xf numFmtId="5" fontId="67" fillId="0" borderId="2" xfId="0" applyNumberFormat="1" applyFont="1" applyBorder="1" applyAlignment="1">
      <alignment horizontal="center"/>
    </xf>
    <xf numFmtId="0" fontId="67" fillId="0" borderId="2" xfId="0" applyFont="1" applyBorder="1" applyAlignment="1" applyProtection="1">
      <alignment horizontal="center"/>
      <protection locked="0"/>
    </xf>
    <xf numFmtId="5" fontId="0" fillId="0" borderId="2" xfId="0" applyNumberFormat="1" applyBorder="1" applyAlignment="1">
      <alignment horizontal="center"/>
    </xf>
    <xf numFmtId="166" fontId="0" fillId="0" borderId="2" xfId="3" applyNumberFormat="1" applyFont="1" applyBorder="1" applyAlignment="1">
      <alignment horizontal="center"/>
    </xf>
    <xf numFmtId="0" fontId="0" fillId="0" borderId="24" xfId="0" applyBorder="1" applyAlignment="1">
      <alignment horizontal="center"/>
    </xf>
    <xf numFmtId="166" fontId="0" fillId="0" borderId="25" xfId="3" applyNumberFormat="1" applyFont="1" applyBorder="1" applyAlignment="1">
      <alignment horizontal="center"/>
    </xf>
    <xf numFmtId="43" fontId="7" fillId="0" borderId="2" xfId="7" applyNumberFormat="1" applyProtection="1"/>
    <xf numFmtId="6" fontId="0" fillId="0" borderId="23" xfId="0" applyNumberFormat="1" applyBorder="1" applyAlignment="1">
      <alignment horizontal="center"/>
    </xf>
    <xf numFmtId="6" fontId="0" fillId="0" borderId="26" xfId="0" applyNumberFormat="1" applyBorder="1" applyAlignment="1">
      <alignment horizontal="center"/>
    </xf>
    <xf numFmtId="0" fontId="7" fillId="0" borderId="77" xfId="7" applyBorder="1" applyAlignment="1" applyProtection="1">
      <alignment horizontal="left" indent="1"/>
    </xf>
    <xf numFmtId="0" fontId="25" fillId="14" borderId="20" xfId="7" applyFont="1" applyFill="1" applyBorder="1" applyProtection="1"/>
    <xf numFmtId="0" fontId="7" fillId="9" borderId="2" xfId="7" applyFill="1" applyBorder="1" applyProtection="1"/>
    <xf numFmtId="0" fontId="10" fillId="5" borderId="25" xfId="7" applyNumberFormat="1" applyFont="1" applyFill="1" applyBorder="1" applyProtection="1"/>
    <xf numFmtId="0" fontId="7" fillId="0" borderId="2" xfId="7" applyBorder="1" applyAlignment="1" applyProtection="1">
      <alignment vertical="center"/>
    </xf>
    <xf numFmtId="0" fontId="7" fillId="0" borderId="2" xfId="7" applyBorder="1" applyAlignment="1" applyProtection="1">
      <alignment horizontal="left" indent="1"/>
    </xf>
    <xf numFmtId="0" fontId="7" fillId="0" borderId="37" xfId="7" applyBorder="1" applyAlignment="1" applyProtection="1">
      <alignment horizontal="left" indent="1"/>
    </xf>
    <xf numFmtId="165" fontId="29" fillId="0" borderId="2" xfId="12" applyNumberFormat="1" applyFont="1" applyFill="1" applyBorder="1" applyProtection="1"/>
    <xf numFmtId="49" fontId="17" fillId="0" borderId="2" xfId="12" applyNumberFormat="1" applyFont="1" applyFill="1" applyBorder="1" applyProtection="1"/>
    <xf numFmtId="0" fontId="17" fillId="0" borderId="2" xfId="12" applyNumberFormat="1" applyFont="1" applyFill="1" applyBorder="1" applyProtection="1"/>
    <xf numFmtId="49" fontId="17" fillId="15" borderId="2" xfId="12" applyNumberFormat="1" applyFont="1" applyFill="1" applyBorder="1" applyAlignment="1" applyProtection="1">
      <alignment vertical="center"/>
    </xf>
    <xf numFmtId="165" fontId="30" fillId="0" borderId="2" xfId="12" applyNumberFormat="1" applyFont="1" applyFill="1" applyBorder="1" applyAlignment="1" applyProtection="1">
      <alignment vertical="center"/>
    </xf>
    <xf numFmtId="165" fontId="17" fillId="0" borderId="2" xfId="12" applyNumberFormat="1" applyFont="1" applyFill="1" applyBorder="1" applyProtection="1"/>
    <xf numFmtId="165" fontId="17" fillId="16" borderId="25" xfId="12" applyNumberFormat="1" applyFont="1" applyFill="1" applyBorder="1" applyProtection="1"/>
    <xf numFmtId="0" fontId="25" fillId="14" borderId="20" xfId="14" applyFont="1" applyFill="1" applyBorder="1" applyAlignment="1">
      <alignment horizontal="left"/>
    </xf>
    <xf numFmtId="165" fontId="26" fillId="0" borderId="2" xfId="12" applyNumberFormat="1" applyFont="1" applyFill="1" applyBorder="1"/>
    <xf numFmtId="165" fontId="17" fillId="0" borderId="37" xfId="12" applyNumberFormat="1" applyFont="1" applyFill="1" applyBorder="1"/>
    <xf numFmtId="165" fontId="29" fillId="0" borderId="25" xfId="12" applyNumberFormat="1" applyFont="1" applyFill="1" applyBorder="1"/>
    <xf numFmtId="10" fontId="7" fillId="0" borderId="2" xfId="3" applyNumberFormat="1" applyFont="1" applyBorder="1" applyAlignment="1" applyProtection="1">
      <alignment horizontal="center"/>
    </xf>
    <xf numFmtId="10" fontId="7" fillId="0" borderId="78" xfId="3" applyNumberFormat="1" applyFont="1" applyBorder="1" applyAlignment="1" applyProtection="1">
      <alignment horizontal="center"/>
    </xf>
    <xf numFmtId="169" fontId="7" fillId="0" borderId="78" xfId="7" applyNumberFormat="1" applyBorder="1" applyAlignment="1" applyProtection="1">
      <alignment horizontal="center"/>
    </xf>
    <xf numFmtId="169" fontId="10" fillId="7" borderId="2" xfId="10" applyNumberFormat="1" applyFont="1" applyFill="1" applyBorder="1" applyAlignment="1" applyProtection="1">
      <alignment horizontal="center"/>
    </xf>
    <xf numFmtId="169" fontId="7" fillId="0" borderId="78" xfId="7" applyNumberFormat="1" applyFill="1" applyBorder="1" applyAlignment="1" applyProtection="1">
      <alignment horizontal="center"/>
    </xf>
    <xf numFmtId="0" fontId="25" fillId="14" borderId="21" xfId="7" applyFont="1" applyFill="1" applyBorder="1" applyAlignment="1" applyProtection="1">
      <alignment horizontal="center"/>
    </xf>
    <xf numFmtId="0" fontId="10" fillId="7" borderId="22" xfId="7" applyFont="1" applyFill="1" applyBorder="1" applyAlignment="1" applyProtection="1">
      <alignment horizontal="left"/>
    </xf>
    <xf numFmtId="169" fontId="7" fillId="0" borderId="23" xfId="7" applyNumberFormat="1" applyBorder="1" applyAlignment="1" applyProtection="1">
      <alignment horizontal="center"/>
    </xf>
    <xf numFmtId="169" fontId="7" fillId="0" borderId="79" xfId="7" applyNumberFormat="1" applyBorder="1" applyAlignment="1" applyProtection="1">
      <alignment horizontal="center"/>
    </xf>
    <xf numFmtId="169" fontId="10" fillId="7" borderId="23" xfId="10" applyNumberFormat="1" applyFont="1" applyFill="1" applyBorder="1" applyAlignment="1" applyProtection="1">
      <alignment horizontal="center"/>
    </xf>
    <xf numFmtId="0" fontId="28" fillId="0" borderId="2" xfId="8" applyFont="1" applyAlignment="1">
      <alignment horizontal="left"/>
    </xf>
    <xf numFmtId="10" fontId="7" fillId="0" borderId="2" xfId="3" applyNumberFormat="1" applyFont="1" applyBorder="1" applyAlignment="1" applyProtection="1">
      <alignment horizontal="center" vertical="center"/>
    </xf>
    <xf numFmtId="171" fontId="67" fillId="0" borderId="2" xfId="0" applyNumberFormat="1" applyFont="1" applyBorder="1"/>
    <xf numFmtId="0" fontId="7" fillId="0" borderId="2" xfId="7" quotePrefix="1" applyProtection="1"/>
    <xf numFmtId="0" fontId="17" fillId="0" borderId="2" xfId="15"/>
    <xf numFmtId="0" fontId="29" fillId="0" borderId="2" xfId="7" applyFont="1" applyBorder="1" applyAlignment="1">
      <alignment horizontal="left"/>
    </xf>
    <xf numFmtId="0" fontId="17" fillId="0" borderId="2" xfId="15" applyAlignment="1">
      <alignment horizontal="center"/>
    </xf>
    <xf numFmtId="175" fontId="17" fillId="0" borderId="2" xfId="12" applyNumberFormat="1" applyFont="1" applyFill="1" applyBorder="1" applyAlignment="1" applyProtection="1">
      <alignment horizontal="center"/>
    </xf>
    <xf numFmtId="10" fontId="17" fillId="0" borderId="2" xfId="15" applyNumberFormat="1"/>
    <xf numFmtId="8" fontId="17" fillId="0" borderId="2" xfId="15" applyNumberFormat="1"/>
    <xf numFmtId="37" fontId="17" fillId="4" borderId="2" xfId="12" applyNumberFormat="1" applyFont="1" applyFill="1" applyBorder="1" applyProtection="1"/>
    <xf numFmtId="37" fontId="17" fillId="0" borderId="2" xfId="12" applyNumberFormat="1" applyFont="1" applyFill="1" applyBorder="1" applyProtection="1">
      <protection locked="0"/>
    </xf>
    <xf numFmtId="177" fontId="98" fillId="0" borderId="38" xfId="12" applyNumberFormat="1" applyFont="1" applyFill="1" applyBorder="1" applyAlignment="1" applyProtection="1">
      <alignment horizontal="center"/>
      <protection locked="0"/>
    </xf>
    <xf numFmtId="177" fontId="98" fillId="0" borderId="33" xfId="12" applyNumberFormat="1" applyFont="1" applyFill="1" applyBorder="1" applyAlignment="1" applyProtection="1">
      <alignment horizontal="center"/>
      <protection locked="0"/>
    </xf>
    <xf numFmtId="10" fontId="29" fillId="0" borderId="2" xfId="12" applyNumberFormat="1" applyFont="1" applyFill="1" applyBorder="1" applyAlignment="1" applyProtection="1">
      <alignment horizontal="center"/>
      <protection locked="0"/>
    </xf>
    <xf numFmtId="0" fontId="17" fillId="0" borderId="2" xfId="7" applyFont="1"/>
    <xf numFmtId="10" fontId="98" fillId="0" borderId="2" xfId="12" applyNumberFormat="1" applyFont="1" applyFill="1" applyBorder="1" applyAlignment="1" applyProtection="1">
      <alignment horizontal="center"/>
      <protection locked="0"/>
    </xf>
    <xf numFmtId="10" fontId="29" fillId="0" borderId="37" xfId="12" applyNumberFormat="1" applyFont="1" applyFill="1" applyBorder="1" applyAlignment="1" applyProtection="1">
      <alignment horizontal="center"/>
      <protection locked="0"/>
    </xf>
    <xf numFmtId="178" fontId="17" fillId="0" borderId="2" xfId="15" applyNumberFormat="1"/>
    <xf numFmtId="44" fontId="17" fillId="0" borderId="2" xfId="16" applyFont="1" applyFill="1" applyBorder="1"/>
    <xf numFmtId="0" fontId="29" fillId="0" borderId="2" xfId="15" applyFont="1"/>
    <xf numFmtId="0" fontId="98" fillId="0" borderId="2" xfId="15" applyFont="1" applyAlignment="1">
      <alignment horizontal="center"/>
    </xf>
    <xf numFmtId="37" fontId="29" fillId="0" borderId="38" xfId="12" applyNumberFormat="1" applyFont="1" applyFill="1" applyBorder="1" applyProtection="1">
      <protection locked="0"/>
    </xf>
    <xf numFmtId="37" fontId="29" fillId="0" borderId="49" xfId="12" applyNumberFormat="1" applyFont="1" applyFill="1" applyBorder="1" applyProtection="1">
      <protection locked="0"/>
    </xf>
    <xf numFmtId="37" fontId="29" fillId="0" borderId="2" xfId="12" applyNumberFormat="1" applyFont="1" applyFill="1" applyBorder="1" applyProtection="1">
      <protection locked="0"/>
    </xf>
    <xf numFmtId="169" fontId="17" fillId="0" borderId="2" xfId="15" applyNumberFormat="1" applyAlignment="1">
      <alignment horizontal="center"/>
    </xf>
    <xf numFmtId="166" fontId="29" fillId="0" borderId="49" xfId="13" applyNumberFormat="1" applyFont="1" applyFill="1" applyBorder="1" applyAlignment="1" applyProtection="1">
      <alignment horizontal="left"/>
      <protection locked="0"/>
    </xf>
    <xf numFmtId="179" fontId="17" fillId="0" borderId="2" xfId="13" applyNumberFormat="1" applyFont="1" applyFill="1" applyBorder="1" applyProtection="1">
      <protection locked="0"/>
    </xf>
    <xf numFmtId="37" fontId="17" fillId="0" borderId="49" xfId="12" applyNumberFormat="1" applyFont="1" applyFill="1" applyBorder="1" applyProtection="1">
      <protection locked="0"/>
    </xf>
    <xf numFmtId="37" fontId="17" fillId="9" borderId="49" xfId="12" applyNumberFormat="1" applyFont="1" applyFill="1" applyBorder="1" applyProtection="1">
      <protection locked="0"/>
    </xf>
    <xf numFmtId="37" fontId="17" fillId="9" borderId="2" xfId="12" applyNumberFormat="1" applyFont="1" applyFill="1" applyBorder="1" applyProtection="1">
      <protection locked="0"/>
    </xf>
    <xf numFmtId="0" fontId="17" fillId="0" borderId="49" xfId="15" applyBorder="1"/>
    <xf numFmtId="37" fontId="17" fillId="0" borderId="2" xfId="15" applyNumberFormat="1"/>
    <xf numFmtId="166" fontId="29" fillId="0" borderId="49" xfId="13" applyNumberFormat="1" applyFont="1" applyFill="1" applyBorder="1" applyAlignment="1" applyProtection="1">
      <alignment horizontal="right"/>
      <protection locked="0"/>
    </xf>
    <xf numFmtId="10" fontId="17" fillId="0" borderId="2" xfId="17" applyNumberFormat="1" applyFont="1" applyAlignment="1">
      <alignment horizontal="center"/>
    </xf>
    <xf numFmtId="37" fontId="17" fillId="0" borderId="49" xfId="15" applyNumberFormat="1" applyBorder="1"/>
    <xf numFmtId="0" fontId="17" fillId="0" borderId="50" xfId="15" applyBorder="1"/>
    <xf numFmtId="37" fontId="17" fillId="0" borderId="51" xfId="15" applyNumberFormat="1" applyBorder="1"/>
    <xf numFmtId="37" fontId="17" fillId="0" borderId="50" xfId="15" applyNumberFormat="1" applyBorder="1"/>
    <xf numFmtId="0" fontId="39" fillId="0" borderId="2" xfId="15" applyFont="1"/>
    <xf numFmtId="37" fontId="39" fillId="0" borderId="2" xfId="15" applyNumberFormat="1" applyFont="1"/>
    <xf numFmtId="0" fontId="17" fillId="0" borderId="32" xfId="15" applyBorder="1"/>
    <xf numFmtId="0" fontId="17" fillId="0" borderId="38" xfId="15" applyBorder="1"/>
    <xf numFmtId="37" fontId="17" fillId="0" borderId="33" xfId="15" applyNumberFormat="1" applyBorder="1"/>
    <xf numFmtId="0" fontId="17" fillId="0" borderId="34" xfId="15" applyBorder="1"/>
    <xf numFmtId="37" fontId="17" fillId="0" borderId="29" xfId="15" applyNumberFormat="1" applyBorder="1"/>
    <xf numFmtId="2" fontId="17" fillId="0" borderId="29" xfId="15" applyNumberFormat="1" applyBorder="1"/>
    <xf numFmtId="0" fontId="17" fillId="0" borderId="35" xfId="15" applyBorder="1"/>
    <xf numFmtId="0" fontId="17" fillId="0" borderId="37" xfId="15" applyBorder="1"/>
    <xf numFmtId="10" fontId="17" fillId="0" borderId="36" xfId="11" applyNumberFormat="1" applyFont="1" applyBorder="1"/>
    <xf numFmtId="6" fontId="7" fillId="0" borderId="2" xfId="7" applyNumberFormat="1" applyProtection="1"/>
    <xf numFmtId="174" fontId="25" fillId="14" borderId="37" xfId="12" applyNumberFormat="1" applyFont="1" applyFill="1" applyBorder="1" applyProtection="1">
      <protection locked="0"/>
    </xf>
    <xf numFmtId="174" fontId="25" fillId="14" borderId="46" xfId="12" applyNumberFormat="1" applyFont="1" applyFill="1" applyBorder="1" applyProtection="1">
      <protection locked="0"/>
    </xf>
    <xf numFmtId="165" fontId="25" fillId="14" borderId="37" xfId="12" applyNumberFormat="1" applyFont="1" applyFill="1" applyBorder="1"/>
    <xf numFmtId="0" fontId="7" fillId="0" borderId="47" xfId="7" applyFill="1" applyBorder="1" applyAlignment="1" applyProtection="1">
      <alignment horizontal="left" indent="1"/>
    </xf>
    <xf numFmtId="6" fontId="7" fillId="0" borderId="37" xfId="7" applyNumberFormat="1" applyFill="1" applyBorder="1" applyAlignment="1" applyProtection="1">
      <alignment horizontal="center"/>
    </xf>
    <xf numFmtId="164" fontId="7" fillId="0" borderId="48" xfId="7" applyNumberFormat="1" applyFill="1" applyBorder="1" applyAlignment="1" applyProtection="1"/>
    <xf numFmtId="0" fontId="7" fillId="0" borderId="22" xfId="7" applyBorder="1" applyAlignment="1" applyProtection="1">
      <alignment horizontal="left" vertical="center" indent="1"/>
    </xf>
    <xf numFmtId="0" fontId="7" fillId="0" borderId="47" xfId="7" applyBorder="1" applyAlignment="1" applyProtection="1">
      <alignment horizontal="left" vertical="center" indent="1"/>
    </xf>
    <xf numFmtId="37" fontId="7" fillId="0" borderId="37" xfId="7" applyNumberFormat="1" applyBorder="1" applyAlignment="1" applyProtection="1">
      <alignment horizontal="center"/>
    </xf>
    <xf numFmtId="0" fontId="10" fillId="0" borderId="22" xfId="7" applyFont="1" applyBorder="1" applyAlignment="1" applyProtection="1">
      <alignment vertical="center"/>
    </xf>
    <xf numFmtId="37" fontId="10" fillId="0" borderId="2" xfId="7" applyNumberFormat="1" applyFont="1" applyBorder="1" applyAlignment="1" applyProtection="1">
      <alignment horizontal="center"/>
    </xf>
    <xf numFmtId="0" fontId="10" fillId="0" borderId="95" xfId="7" applyFont="1" applyBorder="1" applyAlignment="1" applyProtection="1">
      <alignment vertical="center"/>
    </xf>
    <xf numFmtId="37" fontId="10" fillId="0" borderId="46" xfId="7" applyNumberFormat="1" applyFont="1" applyBorder="1" applyAlignment="1" applyProtection="1">
      <alignment horizontal="center"/>
    </xf>
    <xf numFmtId="10" fontId="10" fillId="0" borderId="46" xfId="3" applyNumberFormat="1" applyFont="1" applyBorder="1" applyAlignment="1" applyProtection="1">
      <alignment horizontal="center"/>
    </xf>
    <xf numFmtId="164" fontId="10" fillId="0" borderId="96" xfId="7" applyNumberFormat="1" applyFont="1" applyBorder="1" applyAlignment="1" applyProtection="1"/>
    <xf numFmtId="10" fontId="10" fillId="9" borderId="2" xfId="19" applyNumberFormat="1" applyFont="1" applyFill="1" applyBorder="1" applyAlignment="1" applyProtection="1">
      <alignment horizontal="center"/>
    </xf>
    <xf numFmtId="0" fontId="10" fillId="9" borderId="54" xfId="7" applyFont="1" applyFill="1" applyBorder="1" applyProtection="1"/>
    <xf numFmtId="10" fontId="10" fillId="9" borderId="55" xfId="19" applyNumberFormat="1" applyFont="1" applyFill="1" applyBorder="1" applyAlignment="1" applyProtection="1">
      <alignment horizontal="center"/>
    </xf>
    <xf numFmtId="164" fontId="10" fillId="9" borderId="56" xfId="7" applyNumberFormat="1" applyFont="1" applyFill="1" applyBorder="1" applyAlignment="1" applyProtection="1"/>
    <xf numFmtId="0" fontId="5" fillId="4" borderId="104" xfId="0" applyFont="1" applyFill="1" applyBorder="1" applyAlignment="1">
      <alignment vertical="center"/>
    </xf>
    <xf numFmtId="10" fontId="5" fillId="0" borderId="104" xfId="0" applyNumberFormat="1" applyFont="1" applyBorder="1" applyAlignment="1">
      <alignment horizontal="center" vertical="center"/>
    </xf>
    <xf numFmtId="9" fontId="5" fillId="0" borderId="104" xfId="0" applyNumberFormat="1" applyFont="1" applyBorder="1" applyAlignment="1">
      <alignment horizontal="center" vertical="center"/>
    </xf>
    <xf numFmtId="0" fontId="5" fillId="0" borderId="104" xfId="0" applyFont="1" applyBorder="1" applyAlignment="1">
      <alignment horizontal="center" vertical="center"/>
    </xf>
    <xf numFmtId="0" fontId="5" fillId="4" borderId="103" xfId="0" applyFont="1" applyFill="1" applyBorder="1" applyAlignment="1">
      <alignment vertical="center"/>
    </xf>
    <xf numFmtId="10" fontId="5" fillId="0" borderId="103" xfId="0" applyNumberFormat="1" applyFont="1" applyBorder="1" applyAlignment="1">
      <alignment horizontal="center" vertical="center"/>
    </xf>
    <xf numFmtId="9" fontId="5" fillId="0" borderId="103" xfId="0" applyNumberFormat="1" applyFont="1" applyBorder="1" applyAlignment="1">
      <alignment horizontal="center" vertical="center"/>
    </xf>
    <xf numFmtId="0" fontId="5" fillId="0" borderId="103" xfId="0" applyFont="1" applyBorder="1" applyAlignment="1">
      <alignment horizontal="center" vertical="center"/>
    </xf>
    <xf numFmtId="9" fontId="7" fillId="0" borderId="2" xfId="3" applyFont="1" applyBorder="1" applyAlignment="1" applyProtection="1">
      <alignment horizontal="center"/>
    </xf>
    <xf numFmtId="10" fontId="7" fillId="0" borderId="78" xfId="3" applyNumberFormat="1" applyFont="1" applyFill="1" applyBorder="1" applyAlignment="1" applyProtection="1">
      <alignment horizontal="center"/>
    </xf>
    <xf numFmtId="9" fontId="67" fillId="0" borderId="2" xfId="3" applyFont="1" applyBorder="1"/>
    <xf numFmtId="0" fontId="101" fillId="0" borderId="66" xfId="23" applyFont="1" applyBorder="1" applyAlignment="1">
      <alignment horizontal="left"/>
    </xf>
    <xf numFmtId="184" fontId="102" fillId="11" borderId="2" xfId="23" applyNumberFormat="1" applyFont="1" applyFill="1" applyAlignment="1">
      <alignment horizontal="center" vertical="center"/>
    </xf>
    <xf numFmtId="0" fontId="102" fillId="0" borderId="2" xfId="23" applyFont="1" applyAlignment="1">
      <alignment horizontal="center" vertical="center"/>
    </xf>
    <xf numFmtId="0" fontId="103" fillId="4" borderId="2" xfId="23" applyFont="1" applyFill="1" applyAlignment="1">
      <alignment horizontal="center" vertical="center"/>
    </xf>
    <xf numFmtId="5" fontId="100" fillId="4" borderId="2" xfId="25" applyNumberFormat="1" applyFont="1" applyFill="1" applyBorder="1" applyAlignment="1">
      <alignment horizontal="right" vertical="center"/>
    </xf>
    <xf numFmtId="37" fontId="100" fillId="4" borderId="2" xfId="25" applyNumberFormat="1" applyFont="1" applyFill="1" applyBorder="1" applyAlignment="1">
      <alignment horizontal="right" vertical="center"/>
    </xf>
    <xf numFmtId="165" fontId="100" fillId="4" borderId="2" xfId="25" applyNumberFormat="1" applyFont="1" applyFill="1" applyAlignment="1">
      <alignment horizontal="center" vertical="center"/>
    </xf>
    <xf numFmtId="165" fontId="106" fillId="4" borderId="2" xfId="23" applyNumberFormat="1" applyFont="1" applyFill="1" applyAlignment="1">
      <alignment horizontal="left"/>
    </xf>
    <xf numFmtId="165" fontId="107" fillId="25" borderId="2" xfId="23" applyNumberFormat="1" applyFont="1" applyFill="1" applyAlignment="1">
      <alignment horizontal="left"/>
    </xf>
    <xf numFmtId="0" fontId="103" fillId="4" borderId="2" xfId="23" applyFont="1" applyFill="1"/>
    <xf numFmtId="3" fontId="100" fillId="4" borderId="2" xfId="25" applyNumberFormat="1" applyFont="1" applyFill="1" applyBorder="1" applyAlignment="1">
      <alignment horizontal="right" vertical="center"/>
    </xf>
    <xf numFmtId="165" fontId="106" fillId="4" borderId="2" xfId="23" applyNumberFormat="1" applyFont="1" applyFill="1" applyAlignment="1">
      <alignment horizontal="left" indent="3"/>
    </xf>
    <xf numFmtId="37" fontId="100" fillId="4" borderId="2" xfId="25" applyNumberFormat="1" applyFont="1" applyFill="1" applyAlignment="1">
      <alignment horizontal="right" vertical="center"/>
    </xf>
    <xf numFmtId="165" fontId="106" fillId="0" borderId="2" xfId="23" applyNumberFormat="1" applyFont="1" applyAlignment="1">
      <alignment horizontal="left" indent="3"/>
    </xf>
    <xf numFmtId="165" fontId="106" fillId="4" borderId="2" xfId="23" applyNumberFormat="1" applyFont="1" applyFill="1"/>
    <xf numFmtId="0" fontId="109" fillId="4" borderId="2" xfId="23" applyFont="1" applyFill="1" applyAlignment="1">
      <alignment horizontal="left" vertical="center"/>
    </xf>
    <xf numFmtId="166" fontId="100" fillId="4" borderId="2" xfId="24" applyNumberFormat="1" applyFont="1" applyFill="1" applyBorder="1"/>
    <xf numFmtId="165" fontId="106" fillId="0" borderId="2" xfId="23" applyNumberFormat="1" applyFont="1" applyAlignment="1">
      <alignment horizontal="left"/>
    </xf>
    <xf numFmtId="0" fontId="109" fillId="0" borderId="2" xfId="23" applyFont="1" applyAlignment="1">
      <alignment horizontal="left" vertical="center"/>
    </xf>
    <xf numFmtId="166" fontId="100" fillId="0" borderId="2" xfId="24" applyNumberFormat="1" applyFont="1" applyFill="1" applyBorder="1"/>
    <xf numFmtId="0" fontId="73" fillId="0" borderId="34" xfId="0" applyFont="1" applyBorder="1" applyAlignment="1" applyProtection="1">
      <alignment horizontal="center" vertical="center" wrapText="1"/>
      <protection locked="0"/>
    </xf>
    <xf numFmtId="0" fontId="73" fillId="0" borderId="2" xfId="0" applyFont="1" applyBorder="1" applyAlignment="1" applyProtection="1">
      <alignment horizontal="center" vertical="center" wrapText="1"/>
      <protection locked="0"/>
    </xf>
    <xf numFmtId="0" fontId="73" fillId="0" borderId="23" xfId="0" applyFont="1" applyBorder="1" applyAlignment="1" applyProtection="1">
      <alignment horizontal="center" vertical="center" wrapText="1"/>
      <protection locked="0"/>
    </xf>
    <xf numFmtId="165" fontId="103" fillId="4" borderId="2" xfId="23" applyNumberFormat="1" applyFont="1" applyFill="1" applyAlignment="1">
      <alignment horizontal="left"/>
    </xf>
    <xf numFmtId="165" fontId="103" fillId="4" borderId="2" xfId="23" applyNumberFormat="1" applyFont="1" applyFill="1"/>
    <xf numFmtId="165" fontId="107" fillId="4" borderId="2" xfId="23" applyNumberFormat="1" applyFont="1" applyFill="1" applyAlignment="1">
      <alignment horizontal="left"/>
    </xf>
    <xf numFmtId="0" fontId="100" fillId="0" borderId="2" xfId="23"/>
    <xf numFmtId="0" fontId="111" fillId="0" borderId="0" xfId="0" applyFont="1"/>
    <xf numFmtId="0" fontId="100" fillId="0" borderId="2" xfId="23" applyAlignment="1">
      <alignment horizontal="center"/>
    </xf>
    <xf numFmtId="0" fontId="100" fillId="4" borderId="2" xfId="23" applyFill="1"/>
    <xf numFmtId="165" fontId="100" fillId="9" borderId="32" xfId="23" applyNumberFormat="1" applyFill="1" applyBorder="1"/>
    <xf numFmtId="0" fontId="100" fillId="9" borderId="33" xfId="23" applyFill="1" applyBorder="1" applyAlignment="1">
      <alignment horizontal="center" vertical="center"/>
    </xf>
    <xf numFmtId="165" fontId="100" fillId="9" borderId="35" xfId="23" applyNumberFormat="1" applyFill="1" applyBorder="1"/>
    <xf numFmtId="5" fontId="100" fillId="9" borderId="36" xfId="23" applyNumberFormat="1" applyFill="1" applyBorder="1" applyAlignment="1">
      <alignment horizontal="center" vertical="center"/>
    </xf>
    <xf numFmtId="165" fontId="100" fillId="0" borderId="2" xfId="23" applyNumberFormat="1"/>
    <xf numFmtId="37" fontId="100" fillId="0" borderId="2" xfId="23" applyNumberFormat="1" applyAlignment="1">
      <alignment horizontal="center" vertical="center"/>
    </xf>
    <xf numFmtId="165" fontId="100" fillId="4" borderId="2" xfId="23" applyNumberFormat="1" applyFill="1"/>
    <xf numFmtId="37" fontId="100" fillId="4" borderId="2" xfId="23" applyNumberFormat="1" applyFill="1" applyAlignment="1">
      <alignment horizontal="center" vertical="center"/>
    </xf>
    <xf numFmtId="166" fontId="105" fillId="4" borderId="2" xfId="24" applyNumberFormat="1" applyFont="1" applyFill="1"/>
    <xf numFmtId="165" fontId="100" fillId="4" borderId="2" xfId="23" applyNumberFormat="1" applyFill="1" applyAlignment="1">
      <alignment horizontal="left" indent="3"/>
    </xf>
    <xf numFmtId="37" fontId="100" fillId="4" borderId="2" xfId="23" applyNumberFormat="1" applyFill="1" applyAlignment="1">
      <alignment horizontal="right" vertical="center"/>
    </xf>
    <xf numFmtId="165" fontId="100" fillId="0" borderId="2" xfId="23" applyNumberFormat="1" applyAlignment="1">
      <alignment horizontal="left" indent="3"/>
    </xf>
    <xf numFmtId="0" fontId="106" fillId="0" borderId="2" xfId="27" applyFont="1">
      <alignment horizontal="left" vertical="top"/>
    </xf>
    <xf numFmtId="37" fontId="100" fillId="0" borderId="2" xfId="25" applyNumberFormat="1" applyFont="1" applyAlignment="1">
      <alignment horizontal="right" vertical="top"/>
    </xf>
    <xf numFmtId="3" fontId="100" fillId="0" borderId="2" xfId="25" applyNumberFormat="1" applyFont="1" applyAlignment="1">
      <alignment horizontal="right" vertical="top"/>
    </xf>
    <xf numFmtId="5" fontId="107" fillId="25" borderId="46" xfId="25" applyNumberFormat="1" applyFont="1" applyFill="1" applyBorder="1" applyAlignment="1">
      <alignment horizontal="right"/>
    </xf>
    <xf numFmtId="37" fontId="103" fillId="4" borderId="46" xfId="25" applyNumberFormat="1" applyFont="1" applyFill="1" applyBorder="1" applyAlignment="1">
      <alignment horizontal="right" vertical="center"/>
    </xf>
    <xf numFmtId="37" fontId="103" fillId="0" borderId="46" xfId="25" applyNumberFormat="1" applyFont="1" applyBorder="1" applyAlignment="1">
      <alignment horizontal="right" vertical="center"/>
    </xf>
    <xf numFmtId="37" fontId="100" fillId="0" borderId="46" xfId="25" applyNumberFormat="1" applyFont="1" applyBorder="1" applyAlignment="1">
      <alignment horizontal="right" vertical="center"/>
    </xf>
    <xf numFmtId="5" fontId="107" fillId="25" borderId="55" xfId="25" applyNumberFormat="1" applyFont="1" applyFill="1" applyBorder="1" applyAlignment="1">
      <alignment horizontal="right"/>
    </xf>
    <xf numFmtId="10" fontId="105" fillId="0" borderId="2" xfId="24" applyNumberFormat="1" applyFont="1" applyFill="1" applyBorder="1"/>
    <xf numFmtId="10" fontId="100" fillId="4" borderId="2" xfId="23" applyNumberFormat="1" applyFill="1"/>
    <xf numFmtId="10" fontId="110" fillId="0" borderId="46" xfId="24" applyNumberFormat="1" applyFont="1" applyFill="1" applyBorder="1"/>
    <xf numFmtId="10" fontId="107" fillId="25" borderId="46" xfId="26" applyNumberFormat="1" applyFont="1" applyFill="1" applyBorder="1" applyAlignment="1"/>
    <xf numFmtId="10" fontId="105" fillId="0" borderId="46" xfId="24" applyNumberFormat="1" applyFont="1" applyFill="1" applyBorder="1"/>
    <xf numFmtId="10" fontId="105" fillId="4" borderId="2" xfId="24" applyNumberFormat="1" applyFont="1" applyFill="1" applyBorder="1"/>
    <xf numFmtId="10" fontId="100" fillId="4" borderId="2" xfId="23" applyNumberFormat="1" applyFill="1" applyAlignment="1">
      <alignment horizontal="center" vertical="center"/>
    </xf>
    <xf numFmtId="10" fontId="100" fillId="0" borderId="2" xfId="27" applyNumberFormat="1" applyFont="1">
      <alignment horizontal="left" vertical="top"/>
    </xf>
    <xf numFmtId="10" fontId="107" fillId="25" borderId="55" xfId="26" applyNumberFormat="1" applyFont="1" applyFill="1" applyBorder="1" applyAlignment="1"/>
    <xf numFmtId="0" fontId="10" fillId="7" borderId="24" xfId="7" applyFont="1" applyFill="1" applyBorder="1" applyAlignment="1" applyProtection="1">
      <alignment vertical="center"/>
    </xf>
    <xf numFmtId="10" fontId="10" fillId="7" borderId="25" xfId="3" applyNumberFormat="1" applyFont="1" applyFill="1" applyBorder="1" applyAlignment="1" applyProtection="1">
      <alignment horizontal="center" vertical="center"/>
    </xf>
    <xf numFmtId="169" fontId="10" fillId="7" borderId="25" xfId="7" applyNumberFormat="1" applyFont="1" applyFill="1" applyBorder="1" applyAlignment="1" applyProtection="1">
      <alignment horizontal="center"/>
    </xf>
    <xf numFmtId="169" fontId="10" fillId="7" borderId="26" xfId="7" applyNumberFormat="1" applyFont="1" applyFill="1" applyBorder="1" applyAlignment="1" applyProtection="1">
      <alignment horizontal="center"/>
    </xf>
    <xf numFmtId="165" fontId="7" fillId="0" borderId="26" xfId="7" applyNumberFormat="1" applyBorder="1" applyProtection="1"/>
    <xf numFmtId="10" fontId="112" fillId="7" borderId="2" xfId="3" applyNumberFormat="1" applyFont="1" applyFill="1" applyBorder="1" applyAlignment="1" applyProtection="1">
      <alignment horizontal="center"/>
    </xf>
    <xf numFmtId="10" fontId="112" fillId="7" borderId="25" xfId="3" applyNumberFormat="1" applyFont="1" applyFill="1" applyBorder="1" applyAlignment="1" applyProtection="1">
      <alignment horizontal="center"/>
    </xf>
    <xf numFmtId="10" fontId="107" fillId="25" borderId="46" xfId="3" applyNumberFormat="1" applyFont="1" applyFill="1" applyBorder="1" applyAlignment="1">
      <alignment horizontal="right"/>
    </xf>
    <xf numFmtId="10" fontId="105" fillId="26" borderId="2" xfId="24" applyNumberFormat="1" applyFont="1" applyFill="1" applyBorder="1"/>
    <xf numFmtId="10" fontId="105" fillId="26" borderId="46" xfId="24" applyNumberFormat="1" applyFont="1" applyFill="1" applyBorder="1"/>
    <xf numFmtId="9" fontId="0" fillId="0" borderId="0" xfId="3" applyFont="1" applyAlignment="1">
      <alignment horizontal="center"/>
    </xf>
    <xf numFmtId="169" fontId="85" fillId="0" borderId="2" xfId="0" applyNumberFormat="1" applyFont="1" applyBorder="1" applyProtection="1">
      <protection locked="0"/>
    </xf>
    <xf numFmtId="169" fontId="7" fillId="0" borderId="37" xfId="7" applyNumberFormat="1" applyBorder="1" applyAlignment="1" applyProtection="1">
      <alignment horizontal="center"/>
    </xf>
    <xf numFmtId="169" fontId="7" fillId="0" borderId="48" xfId="7" applyNumberFormat="1" applyBorder="1" applyAlignment="1" applyProtection="1">
      <alignment horizontal="center"/>
    </xf>
    <xf numFmtId="169" fontId="10" fillId="0" borderId="25" xfId="7" applyNumberFormat="1" applyFont="1" applyBorder="1" applyAlignment="1" applyProtection="1">
      <alignment horizontal="center"/>
    </xf>
    <xf numFmtId="169" fontId="10" fillId="0" borderId="26" xfId="7" applyNumberFormat="1" applyFont="1" applyBorder="1" applyAlignment="1" applyProtection="1">
      <alignment horizontal="center"/>
    </xf>
    <xf numFmtId="9" fontId="0" fillId="0" borderId="23" xfId="3" applyFont="1" applyBorder="1" applyAlignment="1">
      <alignment horizontal="center"/>
    </xf>
    <xf numFmtId="0" fontId="0" fillId="0" borderId="25" xfId="0" applyBorder="1" applyAlignment="1">
      <alignment horizontal="center"/>
    </xf>
    <xf numFmtId="9" fontId="0" fillId="0" borderId="79" xfId="3" applyFont="1" applyBorder="1" applyAlignment="1">
      <alignment horizontal="center"/>
    </xf>
    <xf numFmtId="9" fontId="0" fillId="0" borderId="26" xfId="3" applyFont="1" applyBorder="1" applyAlignment="1">
      <alignment horizontal="center"/>
    </xf>
    <xf numFmtId="0" fontId="25" fillId="14" borderId="19" xfId="7" applyFont="1" applyFill="1" applyBorder="1" applyAlignment="1" applyProtection="1">
      <alignment horizontal="center"/>
    </xf>
    <xf numFmtId="0" fontId="25" fillId="14" borderId="83" xfId="7" applyFont="1" applyFill="1" applyBorder="1" applyAlignment="1" applyProtection="1">
      <alignment horizontal="center"/>
    </xf>
    <xf numFmtId="0" fontId="7" fillId="0" borderId="22" xfId="7" applyFill="1" applyBorder="1" applyAlignment="1" applyProtection="1">
      <alignment horizontal="center"/>
    </xf>
    <xf numFmtId="0" fontId="11" fillId="0" borderId="77" xfId="0" applyFont="1" applyBorder="1" applyAlignment="1">
      <alignment horizontal="center"/>
    </xf>
    <xf numFmtId="0" fontId="11" fillId="0" borderId="24" xfId="0" applyFont="1" applyBorder="1" applyAlignment="1">
      <alignment horizontal="center"/>
    </xf>
    <xf numFmtId="10" fontId="0" fillId="0" borderId="23" xfId="0" applyNumberFormat="1" applyBorder="1" applyAlignment="1">
      <alignment horizontal="center"/>
    </xf>
    <xf numFmtId="0" fontId="0" fillId="0" borderId="26" xfId="0" applyBorder="1" applyAlignment="1">
      <alignment horizontal="center"/>
    </xf>
    <xf numFmtId="9" fontId="0" fillId="0" borderId="23" xfId="0" applyNumberFormat="1" applyBorder="1" applyAlignment="1">
      <alignment horizontal="center"/>
    </xf>
    <xf numFmtId="9" fontId="0" fillId="0" borderId="2" xfId="3" applyFont="1" applyBorder="1" applyAlignment="1">
      <alignment horizontal="center"/>
    </xf>
    <xf numFmtId="0" fontId="25" fillId="0" borderId="2" xfId="7" applyFont="1" applyFill="1" applyBorder="1" applyAlignment="1" applyProtection="1">
      <alignment horizontal="center"/>
    </xf>
    <xf numFmtId="0" fontId="9" fillId="0" borderId="2" xfId="7" applyFont="1" applyFill="1" applyAlignment="1" applyProtection="1">
      <alignment vertical="center"/>
    </xf>
    <xf numFmtId="0" fontId="67" fillId="21" borderId="2" xfId="0" applyFont="1" applyFill="1" applyBorder="1"/>
    <xf numFmtId="0" fontId="85" fillId="21" borderId="22" xfId="0" applyFont="1" applyFill="1" applyBorder="1" applyAlignment="1" applyProtection="1">
      <alignment horizontal="center" vertical="center" wrapText="1"/>
      <protection locked="0"/>
    </xf>
    <xf numFmtId="0" fontId="85" fillId="21" borderId="2" xfId="0" applyFont="1" applyFill="1" applyBorder="1" applyAlignment="1">
      <alignment horizontal="center" vertical="center" wrapText="1"/>
    </xf>
    <xf numFmtId="0" fontId="85" fillId="21" borderId="77" xfId="0" applyFont="1" applyFill="1" applyBorder="1" applyAlignment="1" applyProtection="1">
      <alignment horizontal="center" vertical="center" wrapText="1"/>
      <protection locked="0"/>
    </xf>
    <xf numFmtId="0" fontId="85" fillId="21" borderId="78" xfId="0" applyFont="1" applyFill="1" applyBorder="1" applyAlignment="1">
      <alignment horizontal="center" vertical="center" wrapText="1"/>
    </xf>
    <xf numFmtId="0" fontId="81" fillId="21" borderId="2" xfId="0" applyFont="1" applyFill="1" applyBorder="1" applyAlignment="1">
      <alignment horizontal="center" vertical="center" wrapText="1"/>
    </xf>
    <xf numFmtId="166" fontId="81" fillId="21" borderId="2" xfId="0" applyNumberFormat="1" applyFont="1" applyFill="1" applyBorder="1" applyAlignment="1" applyProtection="1">
      <alignment horizontal="center" vertical="center" wrapText="1"/>
      <protection locked="0"/>
    </xf>
    <xf numFmtId="6" fontId="81" fillId="21" borderId="2" xfId="0" applyNumberFormat="1" applyFont="1" applyFill="1" applyBorder="1" applyAlignment="1">
      <alignment horizontal="center" vertical="center" wrapText="1"/>
    </xf>
    <xf numFmtId="166" fontId="81" fillId="21" borderId="25" xfId="0" applyNumberFormat="1" applyFont="1" applyFill="1" applyBorder="1" applyAlignment="1" applyProtection="1">
      <alignment horizontal="center" vertical="center" wrapText="1"/>
      <protection locked="0"/>
    </xf>
    <xf numFmtId="6" fontId="81" fillId="21" borderId="25" xfId="0" applyNumberFormat="1" applyFont="1" applyFill="1" applyBorder="1" applyAlignment="1">
      <alignment horizontal="center" vertical="center" wrapText="1"/>
    </xf>
    <xf numFmtId="0" fontId="81" fillId="21" borderId="25" xfId="0" applyFont="1" applyFill="1" applyBorder="1" applyAlignment="1">
      <alignment horizontal="center" vertical="center" wrapText="1"/>
    </xf>
    <xf numFmtId="0" fontId="85" fillId="21" borderId="2" xfId="0" applyFont="1" applyFill="1" applyBorder="1" applyAlignment="1" applyProtection="1">
      <alignment horizontal="center" vertical="center" wrapText="1"/>
      <protection locked="0"/>
    </xf>
    <xf numFmtId="10" fontId="85" fillId="21" borderId="2" xfId="3" applyNumberFormat="1" applyFont="1" applyFill="1" applyBorder="1" applyAlignment="1" applyProtection="1">
      <alignment horizontal="center" vertical="center" wrapText="1"/>
      <protection locked="0"/>
    </xf>
    <xf numFmtId="6" fontId="85" fillId="9" borderId="2" xfId="0" applyNumberFormat="1" applyFont="1" applyFill="1" applyBorder="1" applyAlignment="1" applyProtection="1">
      <alignment vertical="center" wrapText="1"/>
      <protection locked="0"/>
    </xf>
    <xf numFmtId="6" fontId="85" fillId="9" borderId="78" xfId="0" applyNumberFormat="1" applyFont="1" applyFill="1" applyBorder="1" applyAlignment="1" applyProtection="1">
      <alignment vertical="center" wrapText="1"/>
      <protection locked="0"/>
    </xf>
    <xf numFmtId="0" fontId="85" fillId="0" borderId="24" xfId="0" applyFont="1" applyBorder="1" applyAlignment="1">
      <alignment vertical="center" wrapText="1"/>
    </xf>
    <xf numFmtId="169" fontId="85" fillId="0" borderId="26" xfId="0" applyNumberFormat="1" applyFont="1" applyBorder="1" applyAlignment="1">
      <alignment horizontal="center" vertical="center" wrapText="1"/>
    </xf>
    <xf numFmtId="0" fontId="85" fillId="0" borderId="2" xfId="0" applyFont="1" applyBorder="1" applyAlignment="1">
      <alignment horizontal="center" vertical="center" wrapText="1"/>
    </xf>
    <xf numFmtId="0" fontId="85" fillId="21" borderId="20" xfId="0" applyFont="1" applyFill="1" applyBorder="1" applyAlignment="1" applyProtection="1">
      <alignment horizontal="center" vertical="center" wrapText="1"/>
      <protection locked="0"/>
    </xf>
    <xf numFmtId="0" fontId="67" fillId="0" borderId="43" xfId="0" applyFont="1" applyBorder="1" applyAlignment="1" applyProtection="1">
      <alignment vertical="center" wrapText="1"/>
      <protection locked="0"/>
    </xf>
    <xf numFmtId="6" fontId="67" fillId="0" borderId="44" xfId="0" applyNumberFormat="1" applyFont="1" applyBorder="1" applyAlignment="1" applyProtection="1">
      <alignment vertical="center" wrapText="1"/>
      <protection locked="0"/>
    </xf>
    <xf numFmtId="166" fontId="85" fillId="0" borderId="2" xfId="0" applyNumberFormat="1" applyFont="1" applyBorder="1" applyAlignment="1" applyProtection="1">
      <alignment horizontal="center" vertical="center" wrapText="1"/>
      <protection locked="0"/>
    </xf>
    <xf numFmtId="169" fontId="85" fillId="0" borderId="2" xfId="0" applyNumberFormat="1" applyFont="1" applyBorder="1" applyAlignment="1" applyProtection="1">
      <alignment horizontal="center" vertical="center" wrapText="1"/>
      <protection locked="0"/>
    </xf>
    <xf numFmtId="166" fontId="85" fillId="0" borderId="25" xfId="3" applyNumberFormat="1" applyFont="1" applyBorder="1" applyAlignment="1" applyProtection="1">
      <alignment horizontal="center" vertical="center" wrapText="1"/>
      <protection locked="0"/>
    </xf>
    <xf numFmtId="0" fontId="11" fillId="0" borderId="30" xfId="2" applyNumberFormat="1" applyFont="1" applyBorder="1" applyAlignment="1">
      <alignment horizontal="center"/>
    </xf>
    <xf numFmtId="10" fontId="11" fillId="21" borderId="27" xfId="3" applyNumberFormat="1" applyFont="1" applyFill="1" applyBorder="1" applyAlignment="1">
      <alignment horizontal="center" vertical="center"/>
    </xf>
    <xf numFmtId="0" fontId="5" fillId="21" borderId="28" xfId="2" applyNumberFormat="1" applyFont="1" applyFill="1" applyBorder="1" applyAlignment="1">
      <alignment horizontal="center" vertical="center"/>
    </xf>
    <xf numFmtId="169" fontId="5" fillId="21" borderId="28" xfId="0" applyNumberFormat="1" applyFont="1" applyFill="1" applyBorder="1" applyAlignment="1">
      <alignment horizontal="center" vertical="center"/>
    </xf>
    <xf numFmtId="169" fontId="5" fillId="21" borderId="85" xfId="0" applyNumberFormat="1" applyFont="1" applyFill="1" applyBorder="1" applyAlignment="1">
      <alignment horizontal="center" vertical="center"/>
    </xf>
    <xf numFmtId="0" fontId="0" fillId="27" borderId="0" xfId="0" applyFill="1" applyAlignment="1">
      <alignment horizontal="center"/>
    </xf>
    <xf numFmtId="0" fontId="11" fillId="21" borderId="0" xfId="0" applyFont="1" applyFill="1" applyAlignment="1">
      <alignment horizontal="center"/>
    </xf>
    <xf numFmtId="169" fontId="5" fillId="21" borderId="0" xfId="0" applyNumberFormat="1" applyFont="1" applyFill="1" applyAlignment="1">
      <alignment horizontal="center" vertical="center"/>
    </xf>
    <xf numFmtId="0" fontId="11" fillId="0" borderId="39" xfId="2" applyNumberFormat="1" applyFont="1" applyFill="1" applyBorder="1" applyAlignment="1">
      <alignment horizontal="center"/>
    </xf>
    <xf numFmtId="0" fontId="53" fillId="0" borderId="23" xfId="18" applyBorder="1" applyAlignment="1">
      <alignment horizontal="center"/>
    </xf>
    <xf numFmtId="0" fontId="0" fillId="0" borderId="71" xfId="3" applyNumberFormat="1" applyFont="1" applyBorder="1" applyAlignment="1">
      <alignment horizontal="center"/>
    </xf>
    <xf numFmtId="6" fontId="85" fillId="21" borderId="2" xfId="0" applyNumberFormat="1" applyFont="1" applyFill="1" applyBorder="1" applyAlignment="1">
      <alignment horizontal="center" vertical="center" wrapText="1"/>
    </xf>
    <xf numFmtId="0" fontId="67" fillId="0" borderId="26" xfId="0" applyFont="1" applyBorder="1"/>
    <xf numFmtId="6" fontId="85" fillId="21" borderId="78" xfId="0" applyNumberFormat="1" applyFont="1" applyFill="1" applyBorder="1" applyAlignment="1">
      <alignment horizontal="center" vertical="center" wrapText="1"/>
    </xf>
    <xf numFmtId="0" fontId="53" fillId="0" borderId="79" xfId="18" applyBorder="1" applyAlignment="1">
      <alignment horizontal="center"/>
    </xf>
    <xf numFmtId="173" fontId="85" fillId="21" borderId="1" xfId="0" applyNumberFormat="1" applyFont="1" applyFill="1" applyBorder="1" applyAlignment="1" applyProtection="1">
      <alignment horizontal="center" shrinkToFit="1"/>
      <protection locked="0"/>
    </xf>
    <xf numFmtId="0" fontId="85" fillId="2" borderId="1" xfId="2" applyNumberFormat="1" applyFont="1" applyFill="1" applyBorder="1" applyAlignment="1" applyProtection="1">
      <alignment horizontal="center" shrinkToFit="1"/>
    </xf>
    <xf numFmtId="0" fontId="76" fillId="0" borderId="2" xfId="0" applyFont="1" applyBorder="1" applyAlignment="1" applyProtection="1">
      <alignment horizontal="center" vertical="center" wrapText="1"/>
      <protection locked="0"/>
    </xf>
    <xf numFmtId="166" fontId="85" fillId="21" borderId="2" xfId="0" applyNumberFormat="1" applyFont="1" applyFill="1" applyBorder="1" applyAlignment="1" applyProtection="1">
      <alignment horizontal="center" vertical="center" wrapText="1"/>
      <protection locked="0"/>
    </xf>
    <xf numFmtId="0" fontId="85" fillId="21" borderId="2" xfId="0" applyFont="1" applyFill="1" applyBorder="1" applyAlignment="1" applyProtection="1">
      <alignment vertical="center" wrapText="1"/>
      <protection locked="0"/>
    </xf>
    <xf numFmtId="169" fontId="67" fillId="0" borderId="25" xfId="0" applyNumberFormat="1" applyFont="1" applyBorder="1" applyAlignment="1">
      <alignment horizontal="center" vertical="center" wrapText="1"/>
    </xf>
    <xf numFmtId="0" fontId="7" fillId="0" borderId="2" xfId="7" applyBorder="1" applyAlignment="1" applyProtection="1">
      <alignment horizontal="left" indent="3"/>
    </xf>
    <xf numFmtId="169" fontId="85" fillId="21" borderId="2" xfId="0" applyNumberFormat="1" applyFont="1" applyFill="1" applyBorder="1" applyAlignment="1" applyProtection="1">
      <alignment horizontal="center" vertical="center" wrapText="1"/>
      <protection locked="0"/>
    </xf>
    <xf numFmtId="10" fontId="11" fillId="0" borderId="2" xfId="3" applyNumberFormat="1" applyFont="1" applyBorder="1" applyAlignment="1">
      <alignment horizontal="center"/>
    </xf>
    <xf numFmtId="0" fontId="53" fillId="0" borderId="2" xfId="18" applyNumberFormat="1" applyBorder="1" applyAlignment="1">
      <alignment horizontal="center"/>
    </xf>
    <xf numFmtId="0" fontId="53" fillId="0" borderId="2" xfId="18" applyBorder="1" applyAlignment="1">
      <alignment horizontal="center"/>
    </xf>
    <xf numFmtId="0" fontId="0" fillId="0" borderId="2" xfId="3" applyNumberFormat="1" applyFont="1" applyBorder="1" applyAlignment="1">
      <alignment horizontal="center"/>
    </xf>
    <xf numFmtId="0" fontId="67" fillId="0" borderId="25" xfId="0" applyFont="1" applyBorder="1" applyAlignment="1" applyProtection="1">
      <alignment horizontal="center"/>
      <protection locked="0"/>
    </xf>
    <xf numFmtId="0" fontId="67" fillId="0" borderId="26" xfId="0" applyFont="1" applyBorder="1" applyAlignment="1" applyProtection="1">
      <alignment horizontal="center"/>
      <protection locked="0"/>
    </xf>
    <xf numFmtId="0" fontId="72" fillId="0" borderId="2" xfId="0" applyFont="1" applyBorder="1" applyAlignment="1">
      <alignment vertical="center" wrapText="1"/>
    </xf>
    <xf numFmtId="0" fontId="85" fillId="0" borderId="2" xfId="0" applyFont="1" applyBorder="1" applyAlignment="1" applyProtection="1">
      <alignment horizontal="center" vertical="center" wrapText="1"/>
      <protection locked="0"/>
    </xf>
    <xf numFmtId="0" fontId="73" fillId="0" borderId="22" xfId="0" applyFont="1" applyBorder="1"/>
    <xf numFmtId="0" fontId="72" fillId="0" borderId="78" xfId="0" applyFont="1" applyBorder="1" applyAlignment="1" applyProtection="1">
      <alignment horizontal="center" vertical="center" wrapText="1"/>
      <protection locked="0"/>
    </xf>
    <xf numFmtId="6" fontId="67" fillId="0" borderId="2" xfId="0" applyNumberFormat="1" applyFont="1" applyBorder="1"/>
    <xf numFmtId="0" fontId="11" fillId="0" borderId="0" xfId="0" applyFont="1" applyAlignment="1">
      <alignment horizontal="center" vertical="center"/>
    </xf>
    <xf numFmtId="170" fontId="0" fillId="0" borderId="78" xfId="0" applyNumberFormat="1" applyBorder="1" applyAlignment="1">
      <alignment horizontal="center"/>
    </xf>
    <xf numFmtId="0" fontId="0" fillId="0" borderId="78" xfId="0" applyBorder="1" applyAlignment="1">
      <alignment horizontal="center"/>
    </xf>
    <xf numFmtId="0" fontId="11" fillId="0" borderId="0" xfId="0" applyFont="1" applyAlignment="1">
      <alignment horizontal="left"/>
    </xf>
    <xf numFmtId="169" fontId="0" fillId="21" borderId="0" xfId="0" applyNumberFormat="1" applyFill="1" applyAlignment="1">
      <alignment horizontal="center"/>
    </xf>
    <xf numFmtId="0" fontId="82" fillId="0" borderId="2" xfId="0" applyFont="1" applyBorder="1" applyAlignment="1">
      <alignment vertical="center" wrapText="1"/>
    </xf>
    <xf numFmtId="0" fontId="0" fillId="0" borderId="0" xfId="0" applyAlignment="1">
      <alignment wrapText="1"/>
    </xf>
    <xf numFmtId="0" fontId="62" fillId="0" borderId="2" xfId="0" applyFont="1" applyBorder="1" applyAlignment="1">
      <alignment wrapText="1"/>
    </xf>
    <xf numFmtId="0" fontId="0" fillId="0" borderId="2" xfId="0" applyBorder="1" applyAlignment="1">
      <alignment wrapText="1"/>
    </xf>
    <xf numFmtId="0" fontId="15" fillId="0" borderId="19" xfId="0" applyFont="1" applyBorder="1" applyAlignment="1">
      <alignment wrapText="1"/>
    </xf>
    <xf numFmtId="0" fontId="0" fillId="0" borderId="20" xfId="0" applyBorder="1" applyAlignment="1">
      <alignment wrapText="1"/>
    </xf>
    <xf numFmtId="0" fontId="0" fillId="0" borderId="21" xfId="0" applyBorder="1" applyAlignment="1">
      <alignment wrapText="1"/>
    </xf>
    <xf numFmtId="0" fontId="15" fillId="0" borderId="24" xfId="0" applyFont="1" applyBorder="1" applyAlignment="1">
      <alignment wrapText="1"/>
    </xf>
    <xf numFmtId="0" fontId="0" fillId="0" borderId="25" xfId="0" applyBorder="1" applyAlignment="1">
      <alignment wrapText="1"/>
    </xf>
    <xf numFmtId="0" fontId="0" fillId="0" borderId="26" xfId="0" applyBorder="1" applyAlignment="1">
      <alignment wrapText="1"/>
    </xf>
    <xf numFmtId="0" fontId="67" fillId="0" borderId="2" xfId="0" applyFont="1" applyBorder="1" applyAlignment="1">
      <alignment horizontal="center" wrapText="1"/>
    </xf>
    <xf numFmtId="0" fontId="0" fillId="0" borderId="78" xfId="0" applyBorder="1" applyAlignment="1">
      <alignment wrapText="1"/>
    </xf>
    <xf numFmtId="0" fontId="72" fillId="0" borderId="22" xfId="0" applyFont="1" applyBorder="1" applyAlignment="1">
      <alignment vertical="center"/>
    </xf>
    <xf numFmtId="0" fontId="72" fillId="0" borderId="77" xfId="0" applyFont="1" applyBorder="1" applyAlignment="1">
      <alignment vertical="center"/>
    </xf>
    <xf numFmtId="0" fontId="80" fillId="24" borderId="24" xfId="0" applyFont="1" applyFill="1" applyBorder="1" applyAlignment="1">
      <alignment vertical="center"/>
    </xf>
    <xf numFmtId="0" fontId="62" fillId="19" borderId="2" xfId="0" applyFont="1" applyFill="1" applyBorder="1" applyAlignment="1">
      <alignment wrapText="1"/>
    </xf>
    <xf numFmtId="0" fontId="0" fillId="19" borderId="0" xfId="0" applyFill="1" applyAlignment="1">
      <alignment wrapText="1"/>
    </xf>
    <xf numFmtId="6" fontId="81" fillId="24" borderId="25" xfId="0" applyNumberFormat="1" applyFont="1" applyFill="1" applyBorder="1" applyAlignment="1">
      <alignment horizontal="center" vertical="center" wrapText="1"/>
    </xf>
    <xf numFmtId="6" fontId="81" fillId="24" borderId="26" xfId="0" applyNumberFormat="1" applyFont="1" applyFill="1" applyBorder="1" applyAlignment="1">
      <alignment horizontal="center" vertical="center" wrapText="1"/>
    </xf>
    <xf numFmtId="6" fontId="76" fillId="9" borderId="2" xfId="0" applyNumberFormat="1" applyFont="1" applyFill="1" applyBorder="1" applyAlignment="1">
      <alignment horizontal="center" vertical="center" wrapText="1"/>
    </xf>
    <xf numFmtId="6" fontId="76" fillId="9" borderId="23" xfId="0" applyNumberFormat="1" applyFont="1" applyFill="1" applyBorder="1" applyAlignment="1">
      <alignment horizontal="center" vertical="center" wrapText="1"/>
    </xf>
    <xf numFmtId="6" fontId="76" fillId="9" borderId="78" xfId="0" applyNumberFormat="1" applyFont="1" applyFill="1" applyBorder="1" applyAlignment="1">
      <alignment horizontal="center" vertical="center" wrapText="1"/>
    </xf>
    <xf numFmtId="6" fontId="81" fillId="24" borderId="100" xfId="0" applyNumberFormat="1" applyFont="1" applyFill="1" applyBorder="1" applyAlignment="1">
      <alignment horizontal="center" vertical="center" wrapText="1"/>
    </xf>
    <xf numFmtId="6" fontId="76" fillId="9" borderId="79" xfId="0" applyNumberFormat="1" applyFont="1" applyFill="1" applyBorder="1" applyAlignment="1">
      <alignment horizontal="center" vertical="center" wrapText="1"/>
    </xf>
    <xf numFmtId="6" fontId="81" fillId="24" borderId="81" xfId="0" applyNumberFormat="1" applyFont="1" applyFill="1" applyBorder="1" applyAlignment="1">
      <alignment horizontal="center" vertical="center" wrapText="1"/>
    </xf>
    <xf numFmtId="169" fontId="76" fillId="9" borderId="2" xfId="0" applyNumberFormat="1" applyFont="1" applyFill="1" applyBorder="1" applyAlignment="1">
      <alignment horizontal="center" vertical="center" wrapText="1"/>
    </xf>
    <xf numFmtId="0" fontId="114" fillId="0" borderId="19" xfId="0" applyFont="1" applyBorder="1"/>
    <xf numFmtId="0" fontId="0" fillId="0" borderId="20" xfId="0" applyBorder="1"/>
    <xf numFmtId="170" fontId="0" fillId="0" borderId="20" xfId="0" applyNumberFormat="1" applyBorder="1"/>
    <xf numFmtId="170" fontId="0" fillId="0" borderId="105" xfId="0" applyNumberFormat="1" applyBorder="1" applyAlignment="1">
      <alignment horizontal="center"/>
    </xf>
    <xf numFmtId="0" fontId="91" fillId="0" borderId="77" xfId="0" applyFont="1" applyBorder="1"/>
    <xf numFmtId="0" fontId="114" fillId="0" borderId="24" xfId="0" applyFont="1" applyBorder="1"/>
    <xf numFmtId="170" fontId="0" fillId="0" borderId="25" xfId="0" applyNumberFormat="1" applyBorder="1" applyAlignment="1">
      <alignment horizontal="center"/>
    </xf>
    <xf numFmtId="170" fontId="0" fillId="0" borderId="25" xfId="0" applyNumberFormat="1" applyBorder="1"/>
    <xf numFmtId="170" fontId="0" fillId="0" borderId="78" xfId="0" applyNumberFormat="1" applyBorder="1"/>
    <xf numFmtId="170" fontId="0" fillId="0" borderId="107" xfId="0" applyNumberFormat="1" applyBorder="1" applyAlignment="1">
      <alignment horizontal="center"/>
    </xf>
    <xf numFmtId="170" fontId="0" fillId="0" borderId="106" xfId="0" applyNumberFormat="1" applyBorder="1"/>
    <xf numFmtId="0" fontId="0" fillId="0" borderId="78" xfId="0" applyBorder="1"/>
    <xf numFmtId="170" fontId="0" fillId="0" borderId="108" xfId="0" applyNumberFormat="1" applyBorder="1" applyAlignment="1">
      <alignment horizontal="center"/>
    </xf>
    <xf numFmtId="0" fontId="0" fillId="0" borderId="37" xfId="0" applyBorder="1"/>
    <xf numFmtId="170" fontId="0" fillId="0" borderId="37" xfId="0" applyNumberFormat="1" applyBorder="1" applyAlignment="1">
      <alignment horizontal="center"/>
    </xf>
    <xf numFmtId="9" fontId="0" fillId="21" borderId="37" xfId="3" applyFont="1" applyFill="1" applyBorder="1" applyAlignment="1">
      <alignment horizontal="center"/>
    </xf>
    <xf numFmtId="0" fontId="0" fillId="22" borderId="37" xfId="0" applyFill="1" applyBorder="1"/>
    <xf numFmtId="170" fontId="0" fillId="0" borderId="37" xfId="0" applyNumberFormat="1" applyBorder="1"/>
    <xf numFmtId="170" fontId="0" fillId="18" borderId="109" xfId="0" applyNumberFormat="1" applyFill="1" applyBorder="1" applyAlignment="1">
      <alignment horizontal="center"/>
    </xf>
    <xf numFmtId="0" fontId="11" fillId="0" borderId="37" xfId="0" applyFont="1" applyBorder="1"/>
    <xf numFmtId="9" fontId="0" fillId="0" borderId="37" xfId="3" applyFont="1" applyFill="1" applyBorder="1" applyAlignment="1">
      <alignment horizontal="center"/>
    </xf>
    <xf numFmtId="170" fontId="0" fillId="0" borderId="109" xfId="0" applyNumberFormat="1" applyBorder="1" applyAlignment="1">
      <alignment horizontal="center"/>
    </xf>
    <xf numFmtId="0" fontId="15" fillId="0" borderId="37" xfId="0" applyFont="1" applyBorder="1"/>
    <xf numFmtId="170" fontId="15" fillId="0" borderId="37" xfId="0" applyNumberFormat="1" applyFont="1" applyBorder="1" applyAlignment="1">
      <alignment horizontal="center"/>
    </xf>
    <xf numFmtId="9" fontId="15" fillId="0" borderId="37" xfId="3" applyFont="1" applyFill="1" applyBorder="1" applyAlignment="1">
      <alignment horizontal="center"/>
    </xf>
    <xf numFmtId="170" fontId="15" fillId="0" borderId="37" xfId="0" applyNumberFormat="1" applyFont="1" applyBorder="1"/>
    <xf numFmtId="169" fontId="15" fillId="0" borderId="37" xfId="0" applyNumberFormat="1" applyFont="1" applyBorder="1" applyAlignment="1">
      <alignment horizontal="center"/>
    </xf>
    <xf numFmtId="0" fontId="0" fillId="22" borderId="2" xfId="0" applyFill="1" applyBorder="1"/>
    <xf numFmtId="0" fontId="115" fillId="19" borderId="41" xfId="0" applyFont="1" applyFill="1" applyBorder="1" applyAlignment="1">
      <alignment horizontal="center" wrapText="1"/>
    </xf>
    <xf numFmtId="0" fontId="115" fillId="19" borderId="42" xfId="0" applyFont="1" applyFill="1" applyBorder="1" applyAlignment="1">
      <alignment horizontal="center" wrapText="1"/>
    </xf>
    <xf numFmtId="3" fontId="80" fillId="24" borderId="2" xfId="0" applyNumberFormat="1" applyFont="1" applyFill="1" applyBorder="1" applyAlignment="1">
      <alignment horizontal="center" vertical="center" wrapText="1"/>
    </xf>
    <xf numFmtId="3" fontId="80" fillId="24" borderId="23" xfId="0" applyNumberFormat="1" applyFont="1" applyFill="1" applyBorder="1" applyAlignment="1">
      <alignment horizontal="center" vertical="center" wrapText="1"/>
    </xf>
    <xf numFmtId="3" fontId="80" fillId="24" borderId="37" xfId="0" applyNumberFormat="1" applyFont="1" applyFill="1" applyBorder="1" applyAlignment="1">
      <alignment horizontal="center" vertical="center" wrapText="1"/>
    </xf>
    <xf numFmtId="3" fontId="80" fillId="24" borderId="48" xfId="0" applyNumberFormat="1" applyFont="1" applyFill="1" applyBorder="1" applyAlignment="1">
      <alignment horizontal="center" vertical="center" wrapText="1"/>
    </xf>
    <xf numFmtId="0" fontId="115" fillId="19" borderId="66" xfId="0" applyFont="1" applyFill="1" applyBorder="1" applyAlignment="1">
      <alignment horizontal="center" wrapText="1"/>
    </xf>
    <xf numFmtId="0" fontId="115" fillId="19" borderId="40" xfId="0" applyFont="1" applyFill="1" applyBorder="1" applyAlignment="1">
      <alignment horizontal="center" wrapText="1"/>
    </xf>
    <xf numFmtId="0" fontId="80" fillId="24" borderId="22" xfId="0" applyFont="1" applyFill="1" applyBorder="1" applyAlignment="1">
      <alignment horizontal="center" vertical="center" wrapText="1"/>
    </xf>
    <xf numFmtId="0" fontId="80" fillId="24" borderId="47" xfId="0" applyFont="1" applyFill="1" applyBorder="1" applyAlignment="1">
      <alignment horizontal="center" vertical="center" wrapText="1"/>
    </xf>
    <xf numFmtId="0" fontId="72" fillId="0" borderId="22" xfId="0" applyFont="1" applyBorder="1" applyAlignment="1">
      <alignment horizontal="center" vertical="center" wrapText="1"/>
    </xf>
    <xf numFmtId="0" fontId="72" fillId="0" borderId="47" xfId="0" applyFont="1" applyBorder="1" applyAlignment="1">
      <alignment horizontal="center" vertical="center" wrapText="1"/>
    </xf>
    <xf numFmtId="3" fontId="80" fillId="24" borderId="72" xfId="0" applyNumberFormat="1" applyFont="1" applyFill="1" applyBorder="1" applyAlignment="1">
      <alignment horizontal="center" vertical="center" wrapText="1"/>
    </xf>
    <xf numFmtId="3" fontId="80" fillId="24" borderId="84" xfId="0" applyNumberFormat="1" applyFont="1" applyFill="1" applyBorder="1" applyAlignment="1">
      <alignment horizontal="center" vertical="center" wrapText="1"/>
    </xf>
    <xf numFmtId="170" fontId="0" fillId="0" borderId="0" xfId="0" applyNumberFormat="1" applyAlignment="1">
      <alignment wrapText="1"/>
    </xf>
    <xf numFmtId="169" fontId="72" fillId="0" borderId="72" xfId="0" applyNumberFormat="1" applyFont="1" applyBorder="1" applyAlignment="1">
      <alignment horizontal="center" vertical="center"/>
    </xf>
    <xf numFmtId="169" fontId="72" fillId="0" borderId="84" xfId="0" applyNumberFormat="1" applyFont="1" applyBorder="1" applyAlignment="1">
      <alignment horizontal="center" vertical="center"/>
    </xf>
    <xf numFmtId="169" fontId="72" fillId="0" borderId="2" xfId="0" applyNumberFormat="1" applyFont="1" applyBorder="1" applyAlignment="1">
      <alignment horizontal="center" vertical="center"/>
    </xf>
    <xf numFmtId="169" fontId="72" fillId="0" borderId="47" xfId="0" applyNumberFormat="1" applyFont="1" applyBorder="1" applyAlignment="1">
      <alignment horizontal="center" vertical="center"/>
    </xf>
    <xf numFmtId="169" fontId="72" fillId="0" borderId="37" xfId="0" applyNumberFormat="1" applyFont="1" applyBorder="1" applyAlignment="1">
      <alignment horizontal="center" vertical="center"/>
    </xf>
    <xf numFmtId="169" fontId="64" fillId="0" borderId="55" xfId="0" applyNumberFormat="1" applyFont="1" applyBorder="1" applyAlignment="1">
      <alignment horizontal="center"/>
    </xf>
    <xf numFmtId="169" fontId="83" fillId="0" borderId="37" xfId="0" applyNumberFormat="1" applyFont="1" applyBorder="1" applyAlignment="1">
      <alignment horizontal="center" vertical="center"/>
    </xf>
    <xf numFmtId="169" fontId="15" fillId="24" borderId="41" xfId="0" applyNumberFormat="1" applyFont="1" applyFill="1" applyBorder="1" applyAlignment="1">
      <alignment horizontal="center"/>
    </xf>
    <xf numFmtId="169" fontId="15" fillId="24" borderId="42" xfId="0" applyNumberFormat="1" applyFont="1" applyFill="1" applyBorder="1" applyAlignment="1">
      <alignment horizontal="center"/>
    </xf>
    <xf numFmtId="169" fontId="72" fillId="0" borderId="23" xfId="0" applyNumberFormat="1" applyFont="1" applyBorder="1" applyAlignment="1">
      <alignment horizontal="center" vertical="center"/>
    </xf>
    <xf numFmtId="169" fontId="72" fillId="0" borderId="48" xfId="0" applyNumberFormat="1" applyFont="1" applyBorder="1" applyAlignment="1">
      <alignment horizontal="center" vertical="center"/>
    </xf>
    <xf numFmtId="169" fontId="83" fillId="0" borderId="48" xfId="0" applyNumberFormat="1" applyFont="1" applyBorder="1" applyAlignment="1">
      <alignment horizontal="center" vertical="center"/>
    </xf>
    <xf numFmtId="169" fontId="64" fillId="0" borderId="23" xfId="0" applyNumberFormat="1" applyFont="1" applyBorder="1" applyAlignment="1">
      <alignment horizontal="center"/>
    </xf>
    <xf numFmtId="169" fontId="64" fillId="0" borderId="56" xfId="0" applyNumberFormat="1" applyFont="1" applyBorder="1" applyAlignment="1">
      <alignment horizontal="center"/>
    </xf>
    <xf numFmtId="169" fontId="15" fillId="24" borderId="25" xfId="0" applyNumberFormat="1" applyFont="1" applyFill="1" applyBorder="1" applyAlignment="1">
      <alignment horizontal="center"/>
    </xf>
    <xf numFmtId="169" fontId="15" fillId="24" borderId="26" xfId="0" applyNumberFormat="1" applyFont="1" applyFill="1" applyBorder="1" applyAlignment="1">
      <alignment horizontal="center"/>
    </xf>
    <xf numFmtId="0" fontId="64" fillId="0" borderId="47" xfId="0" applyFont="1" applyBorder="1" applyAlignment="1">
      <alignment horizontal="center"/>
    </xf>
    <xf numFmtId="0" fontId="11" fillId="0" borderId="47" xfId="0" applyFont="1" applyBorder="1" applyAlignment="1">
      <alignment horizontal="center"/>
    </xf>
    <xf numFmtId="0" fontId="64" fillId="0" borderId="22" xfId="0" applyFont="1" applyBorder="1" applyAlignment="1">
      <alignment horizontal="center" wrapText="1"/>
    </xf>
    <xf numFmtId="0" fontId="11" fillId="0" borderId="22" xfId="0" applyFont="1" applyBorder="1" applyAlignment="1">
      <alignment horizontal="center" wrapText="1"/>
    </xf>
    <xf numFmtId="0" fontId="11" fillId="0" borderId="47" xfId="0" applyFont="1" applyBorder="1" applyAlignment="1">
      <alignment horizontal="center" wrapText="1"/>
    </xf>
    <xf numFmtId="0" fontId="64" fillId="0" borderId="54" xfId="0" applyFont="1" applyBorder="1" applyAlignment="1">
      <alignment horizontal="center" wrapText="1"/>
    </xf>
    <xf numFmtId="0" fontId="0" fillId="0" borderId="22" xfId="0" applyBorder="1" applyAlignment="1">
      <alignment horizontal="center" wrapText="1"/>
    </xf>
    <xf numFmtId="0" fontId="15" fillId="24" borderId="40" xfId="0" applyFont="1" applyFill="1" applyBorder="1" applyAlignment="1">
      <alignment horizontal="center" wrapText="1"/>
    </xf>
    <xf numFmtId="169" fontId="15" fillId="24" borderId="66" xfId="0" applyNumberFormat="1" applyFont="1" applyFill="1" applyBorder="1" applyAlignment="1">
      <alignment horizontal="center"/>
    </xf>
    <xf numFmtId="0" fontId="15" fillId="24" borderId="24" xfId="0" applyFont="1" applyFill="1" applyBorder="1" applyAlignment="1">
      <alignment horizontal="center" wrapText="1"/>
    </xf>
    <xf numFmtId="169" fontId="83" fillId="0" borderId="110" xfId="0" applyNumberFormat="1" applyFont="1" applyBorder="1" applyAlignment="1">
      <alignment horizontal="center" vertical="center"/>
    </xf>
    <xf numFmtId="169" fontId="15" fillId="24" borderId="97" xfId="0" applyNumberFormat="1" applyFont="1" applyFill="1" applyBorder="1" applyAlignment="1">
      <alignment horizontal="center"/>
    </xf>
    <xf numFmtId="0" fontId="67" fillId="0" borderId="34" xfId="0" applyFont="1" applyBorder="1" applyProtection="1">
      <protection locked="0"/>
    </xf>
    <xf numFmtId="0" fontId="67" fillId="0" borderId="23" xfId="0" applyFont="1" applyBorder="1" applyProtection="1">
      <protection locked="0"/>
    </xf>
    <xf numFmtId="0" fontId="67" fillId="0" borderId="2" xfId="0" applyFont="1" applyBorder="1" applyAlignment="1" applyProtection="1">
      <alignment horizontal="left"/>
      <protection locked="0"/>
    </xf>
    <xf numFmtId="0" fontId="67" fillId="0" borderId="23" xfId="0" applyFont="1" applyBorder="1" applyAlignment="1" applyProtection="1">
      <alignment horizontal="left"/>
      <protection locked="0"/>
    </xf>
    <xf numFmtId="0" fontId="67" fillId="0" borderId="111" xfId="0" applyFont="1" applyBorder="1" applyProtection="1">
      <protection locked="0"/>
    </xf>
    <xf numFmtId="0" fontId="67" fillId="0" borderId="20" xfId="0" applyFont="1" applyBorder="1" applyProtection="1">
      <protection locked="0"/>
    </xf>
    <xf numFmtId="0" fontId="67" fillId="0" borderId="21" xfId="0" applyFont="1" applyBorder="1" applyProtection="1">
      <protection locked="0"/>
    </xf>
    <xf numFmtId="0" fontId="67" fillId="0" borderId="86" xfId="0" applyFont="1" applyBorder="1" applyProtection="1">
      <protection locked="0"/>
    </xf>
    <xf numFmtId="0" fontId="67" fillId="0" borderId="78" xfId="0" applyFont="1" applyBorder="1" applyProtection="1">
      <protection locked="0"/>
    </xf>
    <xf numFmtId="0" fontId="67" fillId="0" borderId="79" xfId="0" applyFont="1" applyBorder="1" applyProtection="1">
      <protection locked="0"/>
    </xf>
    <xf numFmtId="10" fontId="11" fillId="0" borderId="29" xfId="3" applyNumberFormat="1" applyFont="1" applyFill="1" applyBorder="1" applyAlignment="1">
      <alignment horizontal="center" vertical="center"/>
    </xf>
    <xf numFmtId="0" fontId="0" fillId="28" borderId="0" xfId="0" applyFill="1"/>
    <xf numFmtId="9" fontId="0" fillId="28" borderId="0" xfId="3" applyFont="1" applyFill="1"/>
    <xf numFmtId="9" fontId="0" fillId="0" borderId="0" xfId="3" applyFont="1" applyFill="1"/>
    <xf numFmtId="169" fontId="64" fillId="0" borderId="26" xfId="0" applyNumberFormat="1" applyFont="1" applyBorder="1" applyAlignment="1">
      <alignment horizontal="center"/>
    </xf>
    <xf numFmtId="6" fontId="81" fillId="0" borderId="2" xfId="0" applyNumberFormat="1" applyFont="1" applyBorder="1" applyAlignment="1" applyProtection="1">
      <alignment vertical="center"/>
      <protection locked="0"/>
    </xf>
    <xf numFmtId="0" fontId="29" fillId="0" borderId="0" xfId="0" applyFont="1" applyAlignment="1">
      <alignment horizontal="left"/>
    </xf>
    <xf numFmtId="182" fontId="29" fillId="0" borderId="0" xfId="0" applyNumberFormat="1" applyFont="1" applyAlignment="1">
      <alignment horizontal="right"/>
    </xf>
    <xf numFmtId="0" fontId="29" fillId="0" borderId="112" xfId="0" applyFont="1" applyBorder="1" applyAlignment="1">
      <alignment horizontal="left"/>
    </xf>
    <xf numFmtId="182" fontId="29" fillId="0" borderId="112" xfId="0" applyNumberFormat="1" applyFont="1" applyBorder="1" applyAlignment="1">
      <alignment horizontal="right"/>
    </xf>
    <xf numFmtId="0" fontId="29" fillId="0" borderId="8" xfId="0" applyFont="1" applyBorder="1" applyAlignment="1">
      <alignment horizontal="right"/>
    </xf>
    <xf numFmtId="182" fontId="29" fillId="6" borderId="8" xfId="0" applyNumberFormat="1" applyFont="1" applyFill="1" applyBorder="1" applyAlignment="1">
      <alignment horizontal="right"/>
    </xf>
    <xf numFmtId="0" fontId="29" fillId="0" borderId="113" xfId="0" applyFont="1" applyBorder="1" applyAlignment="1">
      <alignment horizontal="left"/>
    </xf>
    <xf numFmtId="182" fontId="29" fillId="0" borderId="113" xfId="0" applyNumberFormat="1" applyFont="1" applyBorder="1" applyAlignment="1">
      <alignment horizontal="right"/>
    </xf>
    <xf numFmtId="0" fontId="0" fillId="0" borderId="0" xfId="0" pivotButton="1"/>
    <xf numFmtId="0" fontId="0" fillId="6" borderId="0" xfId="0" applyFill="1"/>
    <xf numFmtId="182" fontId="0" fillId="6" borderId="0" xfId="0" applyNumberFormat="1" applyFill="1"/>
    <xf numFmtId="169" fontId="67" fillId="6" borderId="2" xfId="0" applyNumberFormat="1" applyFont="1" applyFill="1" applyBorder="1" applyAlignment="1">
      <alignment horizontal="center"/>
    </xf>
    <xf numFmtId="0" fontId="116" fillId="29" borderId="2" xfId="0" applyFont="1" applyFill="1" applyBorder="1" applyAlignment="1">
      <alignment wrapText="1"/>
    </xf>
    <xf numFmtId="0" fontId="118" fillId="29" borderId="0" xfId="0" applyFont="1" applyFill="1" applyAlignment="1">
      <alignment wrapText="1"/>
    </xf>
    <xf numFmtId="0" fontId="85" fillId="21" borderId="29" xfId="0" applyFont="1" applyFill="1" applyBorder="1" applyAlignment="1" applyProtection="1">
      <alignment vertical="center" wrapText="1"/>
      <protection locked="0"/>
    </xf>
    <xf numFmtId="0" fontId="121" fillId="0" borderId="2" xfId="28" applyFont="1" applyAlignment="1">
      <alignment horizontal="right"/>
    </xf>
    <xf numFmtId="0" fontId="122" fillId="0" borderId="2" xfId="28" applyFont="1"/>
    <xf numFmtId="0" fontId="122" fillId="14" borderId="2" xfId="28" applyFont="1" applyFill="1"/>
    <xf numFmtId="0" fontId="87" fillId="0" borderId="2" xfId="28" applyFont="1" applyAlignment="1">
      <alignment horizontal="right"/>
    </xf>
    <xf numFmtId="0" fontId="122" fillId="0" borderId="2" xfId="28" applyFont="1" applyAlignment="1">
      <alignment horizontal="center" vertical="center"/>
    </xf>
    <xf numFmtId="0" fontId="59" fillId="0" borderId="2" xfId="29" applyFont="1"/>
    <xf numFmtId="0" fontId="1" fillId="0" borderId="2" xfId="28"/>
    <xf numFmtId="9" fontId="122" fillId="6" borderId="2" xfId="28" applyNumberFormat="1" applyFont="1" applyFill="1" applyAlignment="1">
      <alignment horizontal="center" vertical="center"/>
    </xf>
    <xf numFmtId="0" fontId="123" fillId="6" borderId="2" xfId="28" applyFont="1" applyFill="1" applyAlignment="1">
      <alignment horizontal="center" vertical="center"/>
    </xf>
    <xf numFmtId="0" fontId="123" fillId="0" borderId="2" xfId="28" applyFont="1" applyAlignment="1">
      <alignment horizontal="center" vertical="center"/>
    </xf>
    <xf numFmtId="0" fontId="123" fillId="14" borderId="2" xfId="28" applyFont="1" applyFill="1" applyAlignment="1">
      <alignment horizontal="center" vertical="center"/>
    </xf>
    <xf numFmtId="10" fontId="122" fillId="6" borderId="2" xfId="28" applyNumberFormat="1" applyFont="1" applyFill="1" applyAlignment="1">
      <alignment horizontal="center" vertical="center"/>
    </xf>
    <xf numFmtId="0" fontId="122" fillId="6" borderId="2" xfId="28" applyFont="1" applyFill="1" applyAlignment="1">
      <alignment horizontal="center" vertical="center"/>
    </xf>
    <xf numFmtId="164" fontId="122" fillId="0" borderId="2" xfId="30" applyNumberFormat="1" applyFont="1" applyBorder="1"/>
    <xf numFmtId="44" fontId="122" fillId="0" borderId="2" xfId="28" applyNumberFormat="1" applyFont="1"/>
    <xf numFmtId="9" fontId="122" fillId="0" borderId="2" xfId="28" applyNumberFormat="1" applyFont="1" applyAlignment="1">
      <alignment horizontal="center" vertical="center"/>
    </xf>
    <xf numFmtId="0" fontId="121" fillId="0" borderId="2" xfId="28" applyFont="1" applyAlignment="1">
      <alignment horizontal="center"/>
    </xf>
    <xf numFmtId="0" fontId="67" fillId="30" borderId="2" xfId="28" applyFont="1" applyFill="1"/>
    <xf numFmtId="164" fontId="122" fillId="9" borderId="2" xfId="30" applyNumberFormat="1" applyFont="1" applyFill="1" applyBorder="1"/>
    <xf numFmtId="0" fontId="87" fillId="0" borderId="2" xfId="28" applyFont="1" applyAlignment="1">
      <alignment horizontal="right" vertical="center"/>
    </xf>
    <xf numFmtId="164" fontId="122" fillId="29" borderId="2" xfId="31" applyNumberFormat="1" applyFont="1" applyFill="1"/>
    <xf numFmtId="164" fontId="122" fillId="0" borderId="2" xfId="31" applyNumberFormat="1" applyFont="1"/>
    <xf numFmtId="166" fontId="122" fillId="0" borderId="2" xfId="32" applyNumberFormat="1" applyFont="1" applyAlignment="1">
      <alignment horizontal="center" vertical="center"/>
    </xf>
    <xf numFmtId="44" fontId="122" fillId="0" borderId="2" xfId="31" applyFont="1" applyAlignment="1">
      <alignment horizontal="center" vertical="center"/>
    </xf>
    <xf numFmtId="44" fontId="122" fillId="14" borderId="2" xfId="31" applyFont="1" applyFill="1"/>
    <xf numFmtId="164" fontId="87" fillId="0" borderId="2" xfId="30" applyNumberFormat="1" applyFont="1" applyBorder="1"/>
    <xf numFmtId="166" fontId="122" fillId="0" borderId="2" xfId="31" applyNumberFormat="1" applyFont="1"/>
    <xf numFmtId="44" fontId="122" fillId="0" borderId="2" xfId="31" applyFont="1"/>
    <xf numFmtId="164" fontId="124" fillId="0" borderId="2" xfId="31" applyNumberFormat="1" applyFont="1" applyBorder="1" applyAlignment="1">
      <alignment horizontal="center"/>
    </xf>
    <xf numFmtId="164" fontId="122" fillId="0" borderId="2" xfId="28" applyNumberFormat="1" applyFont="1"/>
    <xf numFmtId="166" fontId="122" fillId="0" borderId="2" xfId="28" applyNumberFormat="1" applyFont="1"/>
    <xf numFmtId="164" fontId="122" fillId="0" borderId="114" xfId="31" applyNumberFormat="1" applyFont="1" applyBorder="1"/>
    <xf numFmtId="44" fontId="122" fillId="14" borderId="2" xfId="28" applyNumberFormat="1" applyFont="1" applyFill="1"/>
    <xf numFmtId="164" fontId="122" fillId="0" borderId="2" xfId="31" applyNumberFormat="1" applyFont="1" applyBorder="1"/>
    <xf numFmtId="164" fontId="122" fillId="22" borderId="2" xfId="31" applyNumberFormat="1" applyFont="1" applyFill="1"/>
    <xf numFmtId="10" fontId="122" fillId="0" borderId="2" xfId="32" applyNumberFormat="1" applyFont="1" applyAlignment="1">
      <alignment horizontal="center" vertical="center"/>
    </xf>
    <xf numFmtId="166" fontId="122" fillId="0" borderId="2" xfId="32" applyNumberFormat="1" applyFont="1" applyAlignment="1">
      <alignment horizontal="center"/>
    </xf>
    <xf numFmtId="10" fontId="122" fillId="0" borderId="2" xfId="32" applyNumberFormat="1" applyFont="1" applyAlignment="1">
      <alignment horizontal="center"/>
    </xf>
    <xf numFmtId="10" fontId="122" fillId="14" borderId="2" xfId="32" applyNumberFormat="1" applyFont="1" applyFill="1" applyAlignment="1">
      <alignment horizontal="center"/>
    </xf>
    <xf numFmtId="0" fontId="67" fillId="0" borderId="2" xfId="28" applyFont="1"/>
    <xf numFmtId="44" fontId="122" fillId="14" borderId="2" xfId="31" applyFont="1" applyFill="1" applyAlignment="1">
      <alignment horizontal="center" vertical="center"/>
    </xf>
    <xf numFmtId="164" fontId="122" fillId="8" borderId="2" xfId="31" applyNumberFormat="1" applyFont="1" applyFill="1" applyAlignment="1">
      <alignment horizontal="center" vertical="center"/>
    </xf>
    <xf numFmtId="0" fontId="86" fillId="11" borderId="20" xfId="0" applyFont="1" applyFill="1" applyBorder="1" applyAlignment="1" applyProtection="1">
      <alignment horizontal="center" vertical="center" wrapText="1"/>
      <protection locked="0"/>
    </xf>
    <xf numFmtId="0" fontId="86" fillId="11" borderId="21" xfId="0" applyFont="1" applyFill="1" applyBorder="1" applyAlignment="1" applyProtection="1">
      <alignment horizontal="center" vertical="center" wrapText="1"/>
      <protection locked="0"/>
    </xf>
    <xf numFmtId="0" fontId="73" fillId="0" borderId="34" xfId="0" applyFont="1" applyBorder="1" applyAlignment="1" applyProtection="1">
      <alignment horizontal="center" vertical="center" wrapText="1"/>
      <protection locked="0"/>
    </xf>
    <xf numFmtId="0" fontId="73" fillId="0" borderId="2" xfId="0" applyFont="1" applyBorder="1" applyAlignment="1" applyProtection="1">
      <alignment horizontal="center" vertical="center" wrapText="1"/>
      <protection locked="0"/>
    </xf>
    <xf numFmtId="0" fontId="73" fillId="0" borderId="23" xfId="0" applyFont="1" applyBorder="1" applyAlignment="1" applyProtection="1">
      <alignment horizontal="center" vertical="center" wrapText="1"/>
      <protection locked="0"/>
    </xf>
    <xf numFmtId="0" fontId="67" fillId="0" borderId="85" xfId="0" applyFont="1" applyBorder="1" applyAlignment="1" applyProtection="1">
      <alignment horizontal="center"/>
      <protection locked="0"/>
    </xf>
    <xf numFmtId="0" fontId="67" fillId="0" borderId="25" xfId="0" applyFont="1" applyBorder="1" applyAlignment="1" applyProtection="1">
      <alignment horizontal="center"/>
      <protection locked="0"/>
    </xf>
    <xf numFmtId="0" fontId="67" fillId="0" borderId="26" xfId="0" applyFont="1" applyBorder="1" applyAlignment="1" applyProtection="1">
      <alignment horizontal="center"/>
      <protection locked="0"/>
    </xf>
    <xf numFmtId="0" fontId="71" fillId="11" borderId="22" xfId="0" applyFont="1" applyFill="1" applyBorder="1" applyAlignment="1">
      <alignment horizontal="center"/>
    </xf>
    <xf numFmtId="0" fontId="71" fillId="11" borderId="2" xfId="0" applyFont="1" applyFill="1" applyBorder="1" applyAlignment="1">
      <alignment horizontal="center"/>
    </xf>
    <xf numFmtId="0" fontId="71" fillId="11" borderId="23" xfId="0" applyFont="1" applyFill="1" applyBorder="1" applyAlignment="1">
      <alignment horizontal="center"/>
    </xf>
    <xf numFmtId="0" fontId="71" fillId="11" borderId="19" xfId="0" applyFont="1" applyFill="1" applyBorder="1" applyAlignment="1">
      <alignment horizontal="center"/>
    </xf>
    <xf numFmtId="0" fontId="71" fillId="11" borderId="20" xfId="0" applyFont="1" applyFill="1" applyBorder="1" applyAlignment="1">
      <alignment horizontal="center"/>
    </xf>
    <xf numFmtId="0" fontId="71" fillId="11" borderId="21" xfId="0" applyFont="1" applyFill="1" applyBorder="1" applyAlignment="1">
      <alignment horizontal="center"/>
    </xf>
    <xf numFmtId="0" fontId="69" fillId="0" borderId="19" xfId="0" applyFont="1" applyBorder="1" applyAlignment="1">
      <alignment horizontal="center" vertical="center"/>
    </xf>
    <xf numFmtId="0" fontId="69" fillId="0" borderId="20" xfId="0" applyFont="1" applyBorder="1" applyAlignment="1">
      <alignment horizontal="center" vertical="center"/>
    </xf>
    <xf numFmtId="0" fontId="69" fillId="0" borderId="21" xfId="0" applyFont="1" applyBorder="1" applyAlignment="1">
      <alignment horizontal="center" vertical="center"/>
    </xf>
    <xf numFmtId="0" fontId="69" fillId="0" borderId="24" xfId="0" applyFont="1" applyBorder="1" applyAlignment="1">
      <alignment horizontal="center" vertical="center"/>
    </xf>
    <xf numFmtId="0" fontId="69" fillId="0" borderId="25" xfId="0" applyFont="1" applyBorder="1" applyAlignment="1">
      <alignment horizontal="center" vertical="center"/>
    </xf>
    <xf numFmtId="0" fontId="69" fillId="0" borderId="26" xfId="0" applyFont="1" applyBorder="1" applyAlignment="1">
      <alignment horizontal="center" vertical="center"/>
    </xf>
    <xf numFmtId="0" fontId="86" fillId="11" borderId="40" xfId="0" applyFont="1" applyFill="1" applyBorder="1" applyAlignment="1">
      <alignment horizontal="center" vertical="center" wrapText="1"/>
    </xf>
    <xf numFmtId="0" fontId="86" fillId="11" borderId="41" xfId="0" applyFont="1" applyFill="1" applyBorder="1" applyAlignment="1">
      <alignment horizontal="center" vertical="center" wrapText="1"/>
    </xf>
    <xf numFmtId="0" fontId="86" fillId="11" borderId="41" xfId="0" applyFont="1" applyFill="1" applyBorder="1"/>
    <xf numFmtId="0" fontId="85" fillId="21" borderId="2" xfId="0" applyFont="1" applyFill="1" applyBorder="1" applyAlignment="1" applyProtection="1">
      <alignment horizontal="center" vertical="center" wrapText="1"/>
      <protection locked="0"/>
    </xf>
    <xf numFmtId="0" fontId="85" fillId="21" borderId="29" xfId="0" applyFont="1" applyFill="1" applyBorder="1" applyAlignment="1" applyProtection="1">
      <alignment horizontal="center" vertical="center" wrapText="1"/>
      <protection locked="0"/>
    </xf>
    <xf numFmtId="0" fontId="86" fillId="11" borderId="42" xfId="0" applyFont="1" applyFill="1" applyBorder="1" applyAlignment="1">
      <alignment horizontal="center" vertical="center" wrapText="1"/>
    </xf>
    <xf numFmtId="0" fontId="113" fillId="21" borderId="2" xfId="0" applyFont="1" applyFill="1" applyBorder="1" applyAlignment="1" applyProtection="1">
      <alignment horizontal="center"/>
      <protection locked="0"/>
    </xf>
    <xf numFmtId="0" fontId="113" fillId="21" borderId="29" xfId="0" applyFont="1" applyFill="1" applyBorder="1" applyAlignment="1" applyProtection="1">
      <alignment horizontal="center"/>
      <protection locked="0"/>
    </xf>
    <xf numFmtId="0" fontId="69" fillId="0" borderId="2" xfId="0" applyFont="1" applyBorder="1" applyAlignment="1">
      <alignment horizontal="center" vertical="center"/>
    </xf>
    <xf numFmtId="6" fontId="67" fillId="0" borderId="34" xfId="0" applyNumberFormat="1" applyFont="1" applyBorder="1" applyAlignment="1" applyProtection="1">
      <alignment horizontal="left" vertical="center"/>
      <protection locked="0"/>
    </xf>
    <xf numFmtId="6" fontId="67" fillId="0" borderId="2" xfId="0" applyNumberFormat="1" applyFont="1" applyBorder="1" applyAlignment="1" applyProtection="1">
      <alignment horizontal="left" vertical="center"/>
      <protection locked="0"/>
    </xf>
    <xf numFmtId="6" fontId="67" fillId="0" borderId="23" xfId="0" applyNumberFormat="1" applyFont="1" applyBorder="1" applyAlignment="1" applyProtection="1">
      <alignment horizontal="left" vertical="center"/>
      <protection locked="0"/>
    </xf>
    <xf numFmtId="9" fontId="70" fillId="11" borderId="40" xfId="3" applyFont="1" applyFill="1" applyBorder="1" applyAlignment="1">
      <alignment horizontal="center" vertical="center" wrapText="1"/>
    </xf>
    <xf numFmtId="9" fontId="70" fillId="11" borderId="41" xfId="3" applyFont="1" applyFill="1" applyBorder="1" applyAlignment="1">
      <alignment horizontal="center" vertical="center" wrapText="1"/>
    </xf>
    <xf numFmtId="9" fontId="70" fillId="11" borderId="42" xfId="3" applyFont="1" applyFill="1" applyBorder="1" applyAlignment="1">
      <alignment horizontal="center" vertical="center" wrapText="1"/>
    </xf>
    <xf numFmtId="169" fontId="85" fillId="9" borderId="2" xfId="0" applyNumberFormat="1" applyFont="1" applyFill="1" applyBorder="1" applyAlignment="1" applyProtection="1">
      <alignment horizontal="center" vertical="center" wrapText="1"/>
      <protection locked="0"/>
    </xf>
    <xf numFmtId="169" fontId="85" fillId="9" borderId="29" xfId="0" applyNumberFormat="1" applyFont="1" applyFill="1" applyBorder="1" applyAlignment="1" applyProtection="1">
      <alignment horizontal="center" vertical="center" wrapText="1"/>
      <protection locked="0"/>
    </xf>
    <xf numFmtId="14" fontId="85" fillId="21" borderId="2" xfId="0" applyNumberFormat="1" applyFont="1" applyFill="1" applyBorder="1" applyAlignment="1" applyProtection="1">
      <alignment horizontal="center" vertical="center" wrapText="1"/>
      <protection locked="0"/>
    </xf>
    <xf numFmtId="14" fontId="85" fillId="21" borderId="29" xfId="0" applyNumberFormat="1" applyFont="1" applyFill="1" applyBorder="1" applyAlignment="1" applyProtection="1">
      <alignment horizontal="center" vertical="center" wrapText="1"/>
      <protection locked="0"/>
    </xf>
    <xf numFmtId="0" fontId="85" fillId="21" borderId="25" xfId="0" applyFont="1" applyFill="1" applyBorder="1" applyAlignment="1" applyProtection="1">
      <alignment horizontal="center" vertical="center" wrapText="1"/>
      <protection locked="0"/>
    </xf>
    <xf numFmtId="0" fontId="85" fillId="21" borderId="27" xfId="0" applyFont="1" applyFill="1" applyBorder="1" applyAlignment="1" applyProtection="1">
      <alignment horizontal="center" vertical="center" wrapText="1"/>
      <protection locked="0"/>
    </xf>
    <xf numFmtId="0" fontId="67" fillId="0" borderId="34" xfId="0" applyFont="1" applyBorder="1" applyAlignment="1" applyProtection="1">
      <alignment horizontal="left"/>
      <protection locked="0"/>
    </xf>
    <xf numFmtId="0" fontId="67" fillId="0" borderId="2" xfId="0" applyFont="1" applyBorder="1" applyAlignment="1" applyProtection="1">
      <alignment horizontal="left"/>
      <protection locked="0"/>
    </xf>
    <xf numFmtId="0" fontId="67" fillId="0" borderId="23" xfId="0" applyFont="1" applyBorder="1" applyAlignment="1" applyProtection="1">
      <alignment horizontal="left"/>
      <protection locked="0"/>
    </xf>
    <xf numFmtId="0" fontId="67" fillId="0" borderId="85" xfId="0" applyFont="1" applyBorder="1" applyAlignment="1" applyProtection="1">
      <alignment horizontal="left"/>
      <protection locked="0"/>
    </xf>
    <xf numFmtId="0" fontId="67" fillId="0" borderId="25" xfId="0" applyFont="1" applyBorder="1" applyAlignment="1" applyProtection="1">
      <alignment horizontal="left"/>
      <protection locked="0"/>
    </xf>
    <xf numFmtId="0" fontId="67" fillId="0" borderId="26" xfId="0" applyFont="1" applyBorder="1" applyAlignment="1" applyProtection="1">
      <alignment horizontal="left"/>
      <protection locked="0"/>
    </xf>
    <xf numFmtId="6" fontId="85" fillId="9" borderId="2" xfId="0" applyNumberFormat="1" applyFont="1" applyFill="1" applyBorder="1" applyAlignment="1" applyProtection="1">
      <alignment horizontal="center" vertical="center" wrapText="1"/>
      <protection locked="0"/>
    </xf>
    <xf numFmtId="6" fontId="85" fillId="9" borderId="29" xfId="0" applyNumberFormat="1" applyFont="1" applyFill="1" applyBorder="1" applyAlignment="1" applyProtection="1">
      <alignment horizontal="center" vertical="center" wrapText="1"/>
      <protection locked="0"/>
    </xf>
    <xf numFmtId="6" fontId="85" fillId="21" borderId="2" xfId="0" applyNumberFormat="1" applyFont="1" applyFill="1" applyBorder="1" applyAlignment="1" applyProtection="1">
      <alignment horizontal="center" vertical="center" wrapText="1"/>
      <protection locked="0"/>
    </xf>
    <xf numFmtId="6" fontId="85" fillId="21" borderId="29" xfId="0" applyNumberFormat="1" applyFont="1" applyFill="1" applyBorder="1" applyAlignment="1" applyProtection="1">
      <alignment horizontal="center" vertical="center" wrapText="1"/>
      <protection locked="0"/>
    </xf>
    <xf numFmtId="169" fontId="85" fillId="21" borderId="2" xfId="0" applyNumberFormat="1" applyFont="1" applyFill="1" applyBorder="1" applyAlignment="1" applyProtection="1">
      <alignment horizontal="center" vertical="center" wrapText="1"/>
      <protection locked="0"/>
    </xf>
    <xf numFmtId="169" fontId="85" fillId="21" borderId="29" xfId="0" applyNumberFormat="1" applyFont="1" applyFill="1" applyBorder="1" applyAlignment="1" applyProtection="1">
      <alignment horizontal="center" vertical="center" wrapText="1"/>
      <protection locked="0"/>
    </xf>
    <xf numFmtId="9" fontId="70" fillId="11" borderId="41" xfId="3" applyFont="1" applyFill="1" applyBorder="1" applyAlignment="1"/>
    <xf numFmtId="14" fontId="85" fillId="21" borderId="25" xfId="0" applyNumberFormat="1" applyFont="1" applyFill="1" applyBorder="1" applyAlignment="1" applyProtection="1">
      <alignment horizontal="center" vertical="center" wrapText="1"/>
      <protection locked="0"/>
    </xf>
    <xf numFmtId="14" fontId="85" fillId="21" borderId="27" xfId="0" applyNumberFormat="1" applyFont="1" applyFill="1" applyBorder="1" applyAlignment="1" applyProtection="1">
      <alignment horizontal="center" vertical="center" wrapText="1"/>
      <protection locked="0"/>
    </xf>
    <xf numFmtId="0" fontId="70" fillId="11" borderId="40" xfId="0" applyFont="1" applyFill="1" applyBorder="1" applyAlignment="1">
      <alignment horizontal="center" vertical="center" wrapText="1"/>
    </xf>
    <xf numFmtId="0" fontId="70" fillId="11" borderId="41" xfId="0" applyFont="1" applyFill="1" applyBorder="1" applyAlignment="1">
      <alignment horizontal="center" vertical="center" wrapText="1"/>
    </xf>
    <xf numFmtId="0" fontId="70" fillId="11" borderId="41" xfId="0" applyFont="1" applyFill="1" applyBorder="1"/>
    <xf numFmtId="6" fontId="85" fillId="21" borderId="20" xfId="0" applyNumberFormat="1" applyFont="1" applyFill="1" applyBorder="1" applyAlignment="1" applyProtection="1">
      <alignment horizontal="center" vertical="center" wrapText="1"/>
      <protection locked="0"/>
    </xf>
    <xf numFmtId="6" fontId="85" fillId="21" borderId="45" xfId="0" applyNumberFormat="1" applyFont="1" applyFill="1" applyBorder="1" applyAlignment="1" applyProtection="1">
      <alignment horizontal="center" vertical="center" wrapText="1"/>
      <protection locked="0"/>
    </xf>
    <xf numFmtId="6" fontId="85" fillId="21" borderId="78" xfId="0" applyNumberFormat="1" applyFont="1" applyFill="1" applyBorder="1" applyAlignment="1" applyProtection="1">
      <alignment horizontal="center" vertical="center" wrapText="1"/>
      <protection locked="0"/>
    </xf>
    <xf numFmtId="6" fontId="85" fillId="21" borderId="80" xfId="0" applyNumberFormat="1" applyFont="1" applyFill="1" applyBorder="1" applyAlignment="1" applyProtection="1">
      <alignment horizontal="center" vertical="center" wrapText="1"/>
      <protection locked="0"/>
    </xf>
    <xf numFmtId="6" fontId="85" fillId="9" borderId="25" xfId="0" applyNumberFormat="1" applyFont="1" applyFill="1" applyBorder="1" applyAlignment="1" applyProtection="1">
      <alignment horizontal="center" vertical="center" wrapText="1"/>
      <protection locked="0"/>
    </xf>
    <xf numFmtId="6" fontId="81" fillId="0" borderId="81" xfId="0" applyNumberFormat="1" applyFont="1" applyBorder="1" applyAlignment="1" applyProtection="1">
      <alignment horizontal="center" vertical="center" wrapText="1"/>
      <protection locked="0"/>
    </xf>
    <xf numFmtId="6" fontId="81" fillId="0" borderId="82" xfId="0" applyNumberFormat="1" applyFont="1" applyBorder="1" applyAlignment="1" applyProtection="1">
      <alignment horizontal="center" vertical="center" wrapText="1"/>
      <protection locked="0"/>
    </xf>
    <xf numFmtId="6" fontId="85" fillId="9" borderId="20" xfId="0" applyNumberFormat="1" applyFont="1" applyFill="1" applyBorder="1" applyAlignment="1" applyProtection="1">
      <alignment horizontal="center" vertical="center" wrapText="1"/>
      <protection locked="0"/>
    </xf>
    <xf numFmtId="6" fontId="85" fillId="9" borderId="45" xfId="0" applyNumberFormat="1" applyFont="1" applyFill="1" applyBorder="1" applyAlignment="1" applyProtection="1">
      <alignment horizontal="center" vertical="center" wrapText="1"/>
      <protection locked="0"/>
    </xf>
    <xf numFmtId="0" fontId="86" fillId="11" borderId="19" xfId="0" applyFont="1" applyFill="1" applyBorder="1" applyAlignment="1">
      <alignment horizontal="center" vertical="center" wrapText="1"/>
    </xf>
    <xf numFmtId="0" fontId="86" fillId="11" borderId="20" xfId="0" applyFont="1" applyFill="1" applyBorder="1" applyAlignment="1">
      <alignment horizontal="center" vertical="center" wrapText="1"/>
    </xf>
    <xf numFmtId="0" fontId="86" fillId="11" borderId="21" xfId="0" applyFont="1" applyFill="1" applyBorder="1" applyAlignment="1">
      <alignment horizontal="center" vertical="center" wrapText="1"/>
    </xf>
    <xf numFmtId="6" fontId="67" fillId="0" borderId="86" xfId="0" applyNumberFormat="1" applyFont="1" applyBorder="1" applyAlignment="1" applyProtection="1">
      <alignment horizontal="left" vertical="center"/>
      <protection locked="0"/>
    </xf>
    <xf numFmtId="6" fontId="67" fillId="0" borderId="78" xfId="0" applyNumberFormat="1" applyFont="1" applyBorder="1" applyAlignment="1" applyProtection="1">
      <alignment horizontal="left" vertical="center"/>
      <protection locked="0"/>
    </xf>
    <xf numFmtId="6" fontId="67" fillId="0" borderId="79" xfId="0" applyNumberFormat="1" applyFont="1" applyBorder="1" applyAlignment="1" applyProtection="1">
      <alignment horizontal="left" vertical="center"/>
      <protection locked="0"/>
    </xf>
    <xf numFmtId="6" fontId="67" fillId="0" borderId="85" xfId="0" applyNumberFormat="1" applyFont="1" applyBorder="1" applyAlignment="1" applyProtection="1">
      <alignment horizontal="center" vertical="center" wrapText="1"/>
      <protection locked="0"/>
    </xf>
    <xf numFmtId="6" fontId="67" fillId="0" borderId="25" xfId="0" applyNumberFormat="1" applyFont="1" applyBorder="1" applyAlignment="1" applyProtection="1">
      <alignment horizontal="center" vertical="center" wrapText="1"/>
      <protection locked="0"/>
    </xf>
    <xf numFmtId="6" fontId="67" fillId="0" borderId="26" xfId="0" applyNumberFormat="1" applyFont="1" applyBorder="1" applyAlignment="1" applyProtection="1">
      <alignment horizontal="center" vertical="center" wrapText="1"/>
      <protection locked="0"/>
    </xf>
    <xf numFmtId="0" fontId="9" fillId="9" borderId="2" xfId="7" applyFont="1" applyFill="1" applyAlignment="1" applyProtection="1">
      <alignment horizontal="center" vertical="center"/>
    </xf>
    <xf numFmtId="0" fontId="7" fillId="0" borderId="2" xfId="7" applyFill="1" applyBorder="1" applyAlignment="1" applyProtection="1">
      <alignment horizontal="center"/>
    </xf>
    <xf numFmtId="0" fontId="7" fillId="0" borderId="23" xfId="7" applyFill="1" applyBorder="1" applyAlignment="1" applyProtection="1">
      <alignment horizontal="center"/>
    </xf>
    <xf numFmtId="0" fontId="54" fillId="0" borderId="2" xfId="18" applyFont="1" applyFill="1" applyBorder="1" applyAlignment="1" applyProtection="1">
      <alignment horizontal="center"/>
    </xf>
    <xf numFmtId="169" fontId="7" fillId="0" borderId="25" xfId="9" applyNumberFormat="1" applyFont="1" applyBorder="1" applyProtection="1">
      <alignment horizontal="center"/>
    </xf>
    <xf numFmtId="169" fontId="7" fillId="0" borderId="26" xfId="9" applyNumberFormat="1" applyFont="1" applyBorder="1" applyProtection="1">
      <alignment horizontal="center"/>
    </xf>
    <xf numFmtId="0" fontId="17" fillId="0" borderId="2" xfId="18" applyFont="1" applyFill="1" applyBorder="1" applyAlignment="1" applyProtection="1">
      <alignment horizontal="center"/>
    </xf>
    <xf numFmtId="0" fontId="17" fillId="0" borderId="2" xfId="7" applyFont="1" applyFill="1" applyBorder="1" applyAlignment="1" applyProtection="1">
      <alignment horizontal="center"/>
    </xf>
    <xf numFmtId="0" fontId="17" fillId="0" borderId="23" xfId="7" applyFont="1" applyFill="1" applyBorder="1" applyAlignment="1" applyProtection="1">
      <alignment horizontal="center"/>
    </xf>
    <xf numFmtId="0" fontId="99" fillId="0" borderId="25" xfId="0" applyFont="1" applyBorder="1" applyAlignment="1" applyProtection="1">
      <alignment horizontal="center" vertical="center" wrapText="1"/>
      <protection locked="0"/>
    </xf>
    <xf numFmtId="0" fontId="99" fillId="0" borderId="26" xfId="0" applyFont="1" applyBorder="1" applyAlignment="1" applyProtection="1">
      <alignment horizontal="center" vertical="center" wrapText="1"/>
      <protection locked="0"/>
    </xf>
    <xf numFmtId="0" fontId="7" fillId="0" borderId="2" xfId="7" applyFill="1" applyBorder="1" applyAlignment="1" applyProtection="1">
      <alignment horizontal="center" wrapText="1"/>
    </xf>
    <xf numFmtId="0" fontId="7" fillId="0" borderId="23" xfId="7" applyFill="1" applyBorder="1" applyAlignment="1" applyProtection="1">
      <alignment horizontal="center" wrapText="1"/>
    </xf>
    <xf numFmtId="169" fontId="7" fillId="0" borderId="25" xfId="9" applyNumberFormat="1" applyFont="1" applyBorder="1" applyAlignment="1" applyProtection="1">
      <alignment horizontal="center" wrapText="1"/>
    </xf>
    <xf numFmtId="169" fontId="7" fillId="0" borderId="26" xfId="9" applyNumberFormat="1" applyFont="1" applyBorder="1" applyAlignment="1" applyProtection="1">
      <alignment horizontal="center" wrapText="1"/>
    </xf>
    <xf numFmtId="0" fontId="15" fillId="9" borderId="40" xfId="0" applyFont="1" applyFill="1" applyBorder="1" applyAlignment="1">
      <alignment horizontal="center"/>
    </xf>
    <xf numFmtId="0" fontId="15" fillId="9" borderId="64" xfId="0" applyFont="1" applyFill="1" applyBorder="1" applyAlignment="1">
      <alignment horizontal="center"/>
    </xf>
    <xf numFmtId="0" fontId="119" fillId="29" borderId="2" xfId="0" applyFont="1" applyFill="1" applyBorder="1" applyAlignment="1">
      <alignment horizontal="center" vertical="center" wrapText="1"/>
    </xf>
    <xf numFmtId="0" fontId="120" fillId="29" borderId="2" xfId="0" applyFont="1" applyFill="1" applyBorder="1" applyAlignment="1">
      <alignment horizontal="center" vertical="center" wrapText="1"/>
    </xf>
    <xf numFmtId="0" fontId="57" fillId="0" borderId="25" xfId="0" applyFont="1" applyBorder="1" applyAlignment="1">
      <alignment horizontal="center"/>
    </xf>
    <xf numFmtId="0" fontId="11" fillId="8" borderId="0" xfId="0" applyFont="1" applyFill="1" applyAlignment="1">
      <alignment horizontal="center" vertical="center"/>
    </xf>
    <xf numFmtId="0" fontId="15" fillId="0" borderId="40" xfId="0" applyFont="1" applyBorder="1" applyAlignment="1">
      <alignment horizontal="center"/>
    </xf>
    <xf numFmtId="0" fontId="15" fillId="0" borderId="41" xfId="0" applyFont="1" applyBorder="1" applyAlignment="1">
      <alignment horizontal="center"/>
    </xf>
    <xf numFmtId="0" fontId="15" fillId="0" borderId="42" xfId="0" applyFont="1" applyBorder="1" applyAlignment="1">
      <alignment horizontal="center"/>
    </xf>
    <xf numFmtId="0" fontId="65" fillId="19" borderId="40" xfId="0" applyFont="1" applyFill="1" applyBorder="1" applyAlignment="1">
      <alignment horizontal="center"/>
    </xf>
    <xf numFmtId="0" fontId="65" fillId="19" borderId="41" xfId="0" applyFont="1" applyFill="1" applyBorder="1" applyAlignment="1">
      <alignment horizontal="center"/>
    </xf>
    <xf numFmtId="0" fontId="65" fillId="19" borderId="42" xfId="0" applyFont="1" applyFill="1" applyBorder="1" applyAlignment="1">
      <alignment horizontal="center"/>
    </xf>
    <xf numFmtId="0" fontId="61" fillId="19" borderId="24" xfId="0" applyFont="1" applyFill="1" applyBorder="1" applyAlignment="1">
      <alignment horizontal="center"/>
    </xf>
    <xf numFmtId="0" fontId="61" fillId="19" borderId="25" xfId="0" applyFont="1" applyFill="1" applyBorder="1" applyAlignment="1">
      <alignment horizontal="center"/>
    </xf>
    <xf numFmtId="0" fontId="61" fillId="19" borderId="40" xfId="0" applyFont="1" applyFill="1" applyBorder="1" applyAlignment="1">
      <alignment horizontal="center" wrapText="1"/>
    </xf>
    <xf numFmtId="0" fontId="61" fillId="19" borderId="41" xfId="0" applyFont="1" applyFill="1" applyBorder="1" applyAlignment="1">
      <alignment horizontal="center" wrapText="1"/>
    </xf>
    <xf numFmtId="0" fontId="61" fillId="19" borderId="42" xfId="0" applyFont="1" applyFill="1" applyBorder="1" applyAlignment="1">
      <alignment horizontal="center" wrapText="1"/>
    </xf>
    <xf numFmtId="0" fontId="46" fillId="0" borderId="2" xfId="8" applyFont="1" applyAlignment="1">
      <alignment horizontal="center" vertical="center" wrapText="1"/>
    </xf>
  </cellXfs>
  <cellStyles count="33">
    <cellStyle name="ACCT Centered" xfId="9" xr:uid="{B7A01BA4-F597-6945-BB8E-1FF6AB0CBD62}"/>
    <cellStyle name="ACCT Input" xfId="10" xr:uid="{C9C2EFAB-2D1E-C645-B459-FDFC271DC402}"/>
    <cellStyle name="Bad 2" xfId="14" xr:uid="{4A33FD96-A95D-8248-B1AC-03516B175A5D}"/>
    <cellStyle name="Comma" xfId="2" builtinId="3"/>
    <cellStyle name="Comma 2" xfId="25" xr:uid="{9DDB1294-4B35-4E93-9FEB-2CE9EFDEB301}"/>
    <cellStyle name="Comma 2 4" xfId="12" xr:uid="{2541C926-25E8-0842-A9C5-A6ED83F86763}"/>
    <cellStyle name="Currency" xfId="1" builtinId="4"/>
    <cellStyle name="Currency 2" xfId="30" xr:uid="{12E3C010-BE57-4745-8958-510DDB81FF4B}"/>
    <cellStyle name="Currency 2 2" xfId="16" xr:uid="{A8780B91-31CD-334B-886F-AF182565607B}"/>
    <cellStyle name="Currency 2 3" xfId="31" xr:uid="{0CC2A8A5-F223-4C48-9BF5-39DA19057C30}"/>
    <cellStyle name="Hyperlink" xfId="18" builtinId="8"/>
    <cellStyle name="Hyperlink 2" xfId="22" xr:uid="{4C851165-4051-4E67-8E55-FF303C7D6DE2}"/>
    <cellStyle name="Normal" xfId="0" builtinId="0"/>
    <cellStyle name="Normal 2" xfId="4" xr:uid="{D3F1CE42-84D8-408F-B9D2-EA40B4C1A8A1}"/>
    <cellStyle name="Normal 2 2" xfId="7" xr:uid="{F03ED5BD-49C7-A545-B8F6-F661167A2072}"/>
    <cellStyle name="Normal 2 3" xfId="23" xr:uid="{FEFF3826-9573-490F-A759-83A6F735CF3D}"/>
    <cellStyle name="Normal 2 4" xfId="29" xr:uid="{3DDC89FD-B880-4EDD-8D4B-57E4A89E6B60}"/>
    <cellStyle name="Normal 3" xfId="8" xr:uid="{DAB13CDF-0284-2A45-899F-52A7D877ADB8}"/>
    <cellStyle name="Normal 3 2" xfId="20" xr:uid="{A5FF85BB-9CB7-41B3-885A-FFB0B2C1386D}"/>
    <cellStyle name="Normal 3 3" xfId="27" xr:uid="{FD31CF50-D888-4EF6-BEAC-19E3C343C6EA}"/>
    <cellStyle name="Normal 4" xfId="21" xr:uid="{76D49757-9C3D-4A5E-8F16-64C41B3E6FA5}"/>
    <cellStyle name="Normal 4 2" xfId="15" xr:uid="{F2F9F8A2-B162-E249-A406-50CAFCEBD118}"/>
    <cellStyle name="Normal 5" xfId="28" xr:uid="{F889569D-EB09-4834-A884-432B26608A0D}"/>
    <cellStyle name="Normal_Assumptions 2" xfId="6" xr:uid="{0C1BDDFC-6573-41B7-885C-D497202380E2}"/>
    <cellStyle name="Percent" xfId="3" builtinId="5"/>
    <cellStyle name="Percent 11" xfId="17" xr:uid="{FD549CE5-1BF5-FA46-B31C-2A1D8F29E8E8}"/>
    <cellStyle name="Percent 2" xfId="11" xr:uid="{66919DFB-E2DC-DA4A-9433-59EF42234EE4}"/>
    <cellStyle name="Percent 2 2" xfId="24" xr:uid="{06F68F80-2FA9-483A-A4BC-6702A8A825C5}"/>
    <cellStyle name="Percent 2 2 3" xfId="13" xr:uid="{D7E90C1B-4EED-B249-AC82-20660555DD22}"/>
    <cellStyle name="Percent 3" xfId="5" xr:uid="{BCDD1D79-AC8B-4872-9C83-95ED9AC35B0A}"/>
    <cellStyle name="Percent 4" xfId="19" xr:uid="{FCF141BC-1677-4B22-B015-924213477E2C}"/>
    <cellStyle name="Percent 5" xfId="26" xr:uid="{D4CE33EA-D42E-4282-BB1C-2D3E88A7D625}"/>
    <cellStyle name="Percent 6" xfId="32" xr:uid="{1096E05F-8D80-47C1-B0B5-91FE2241BBFB}"/>
  </cellStyles>
  <dxfs count="18">
    <dxf>
      <font>
        <color rgb="FF006100"/>
      </font>
      <fill>
        <patternFill>
          <bgColor rgb="FFC6EFCE"/>
        </patternFill>
      </fill>
    </dxf>
    <dxf>
      <font>
        <b/>
        <i val="0"/>
        <color theme="0"/>
      </font>
      <fill>
        <patternFill>
          <bgColor rgb="FFFF7C80"/>
        </patternFill>
      </fill>
    </dxf>
    <dxf>
      <font>
        <b/>
        <i val="0"/>
        <color theme="0"/>
      </font>
      <fill>
        <patternFill>
          <bgColor theme="9" tint="-0.24994659260841701"/>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theme="7" tint="0.39994506668294322"/>
        </patternFill>
      </fill>
    </dxf>
    <dxf>
      <fill>
        <patternFill>
          <bgColor theme="4" tint="0.39994506668294322"/>
        </patternFill>
      </fill>
    </dxf>
    <dxf>
      <fill>
        <patternFill>
          <bgColor theme="9" tint="0.39994506668294322"/>
        </patternFill>
      </fill>
    </dxf>
    <dxf>
      <font>
        <strike val="0"/>
        <color theme="1"/>
      </font>
      <fill>
        <patternFill>
          <bgColor theme="2"/>
        </patternFill>
      </fill>
    </dxf>
    <dxf>
      <font>
        <color theme="0" tint="-4.9989318521683403E-2"/>
      </font>
      <fill>
        <patternFill>
          <fgColor theme="0" tint="-4.9989318521683403E-2"/>
          <bgColor theme="0" tint="-4.9989318521683403E-2"/>
        </patternFill>
      </fill>
    </dxf>
    <dxf>
      <font>
        <color theme="0" tint="-4.9989318521683403E-2"/>
      </font>
      <fill>
        <patternFill>
          <fgColor theme="0" tint="-4.9989318521683403E-2"/>
          <bgColor theme="0" tint="-4.9989318521683403E-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8"/>
      </font>
    </dxf>
    <dxf>
      <fill>
        <patternFill>
          <bgColor rgb="FFFF0000"/>
        </patternFill>
      </fill>
    </dxf>
    <dxf>
      <font>
        <color rgb="FF9C0006"/>
      </font>
      <fill>
        <patternFill>
          <bgColor rgb="FFFFC7CE"/>
        </patternFill>
      </fill>
    </dxf>
  </dxfs>
  <tableStyles count="0" defaultTableStyle="TableStyleMedium2" defaultPivotStyle="PivotStyleLight16"/>
  <colors>
    <mruColors>
      <color rgb="FF000000"/>
      <color rgb="FF5B83CB"/>
      <color rgb="FFFFFFFF"/>
      <color rgb="FF006600"/>
      <color rgb="FFF8F8F8"/>
      <color rgb="FF001F60"/>
      <color rgb="FFFF7C80"/>
      <color rgb="FFFF9999"/>
      <color rgb="FF00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sharedStrings" Target="sharedStrings.xml"/><Relationship Id="rId30" Type="http://schemas.openxmlformats.org/officeDocument/2006/relationships/calcChain" Target="calcChain.xml"/><Relationship Id="rId8" Type="http://schemas.openxmlformats.org/officeDocument/2006/relationships/worksheet" Target="worksheets/sheet8.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8358208955224024E-2"/>
          <c:y val="5.3811659192825122E-2"/>
          <c:w val="0.75621890547263659"/>
          <c:h val="0.73094170403587666"/>
        </c:manualLayout>
      </c:layout>
      <c:lineChart>
        <c:grouping val="standard"/>
        <c:varyColors val="0"/>
        <c:ser>
          <c:idx val="0"/>
          <c:order val="0"/>
          <c:tx>
            <c:v>4-month schedule</c:v>
          </c:tx>
          <c:marker>
            <c:symbol val="none"/>
          </c:marker>
          <c:val>
            <c:numRef>
              <c:f>'Construction Bell-Shaped Curve'!$C$8:$AL$8</c:f>
              <c:numCache>
                <c:formatCode>0.00%</c:formatCode>
                <c:ptCount val="36"/>
                <c:pt idx="0">
                  <c:v>0.2</c:v>
                </c:pt>
                <c:pt idx="1">
                  <c:v>0.3</c:v>
                </c:pt>
                <c:pt idx="2">
                  <c:v>0.3</c:v>
                </c:pt>
                <c:pt idx="3">
                  <c:v>0.2</c:v>
                </c:pt>
              </c:numCache>
            </c:numRef>
          </c:val>
          <c:smooth val="0"/>
          <c:extLst>
            <c:ext xmlns:c16="http://schemas.microsoft.com/office/drawing/2014/chart" uri="{C3380CC4-5D6E-409C-BE32-E72D297353CC}">
              <c16:uniqueId val="{00000000-D7A1-4A58-8A4E-1218161D4B5E}"/>
            </c:ext>
          </c:extLst>
        </c:ser>
        <c:ser>
          <c:idx val="5"/>
          <c:order val="1"/>
          <c:tx>
            <c:v>8-month schedule</c:v>
          </c:tx>
          <c:marker>
            <c:symbol val="none"/>
          </c:marker>
          <c:val>
            <c:numRef>
              <c:f>'Construction Bell-Shaped Curve'!$C$12:$AL$12</c:f>
              <c:numCache>
                <c:formatCode>0.00%</c:formatCode>
                <c:ptCount val="36"/>
                <c:pt idx="0">
                  <c:v>0.05</c:v>
                </c:pt>
                <c:pt idx="1">
                  <c:v>0.1</c:v>
                </c:pt>
                <c:pt idx="2">
                  <c:v>0.15</c:v>
                </c:pt>
                <c:pt idx="3">
                  <c:v>0.2</c:v>
                </c:pt>
                <c:pt idx="4">
                  <c:v>0.2</c:v>
                </c:pt>
                <c:pt idx="5">
                  <c:v>0.15</c:v>
                </c:pt>
                <c:pt idx="6">
                  <c:v>0.1</c:v>
                </c:pt>
                <c:pt idx="7">
                  <c:v>0.05</c:v>
                </c:pt>
              </c:numCache>
            </c:numRef>
          </c:val>
          <c:smooth val="0"/>
          <c:extLst>
            <c:ext xmlns:c16="http://schemas.microsoft.com/office/drawing/2014/chart" uri="{C3380CC4-5D6E-409C-BE32-E72D297353CC}">
              <c16:uniqueId val="{00000001-D7A1-4A58-8A4E-1218161D4B5E}"/>
            </c:ext>
          </c:extLst>
        </c:ser>
        <c:ser>
          <c:idx val="3"/>
          <c:order val="2"/>
          <c:tx>
            <c:v>12-month schedule</c:v>
          </c:tx>
          <c:marker>
            <c:symbol val="none"/>
          </c:marker>
          <c:val>
            <c:numRef>
              <c:f>'Construction Bell-Shaped Curve'!$C$16:$AL$16</c:f>
              <c:numCache>
                <c:formatCode>0.00%</c:formatCode>
                <c:ptCount val="36"/>
                <c:pt idx="0">
                  <c:v>0.03</c:v>
                </c:pt>
                <c:pt idx="1">
                  <c:v>0.05</c:v>
                </c:pt>
                <c:pt idx="2">
                  <c:v>7.0000000000000007E-2</c:v>
                </c:pt>
                <c:pt idx="3">
                  <c:v>0.1</c:v>
                </c:pt>
                <c:pt idx="4">
                  <c:v>0.12</c:v>
                </c:pt>
                <c:pt idx="5">
                  <c:v>0.13</c:v>
                </c:pt>
                <c:pt idx="6">
                  <c:v>0.13</c:v>
                </c:pt>
                <c:pt idx="7">
                  <c:v>0.12</c:v>
                </c:pt>
                <c:pt idx="8">
                  <c:v>0.1</c:v>
                </c:pt>
                <c:pt idx="9">
                  <c:v>7.0000000000000007E-2</c:v>
                </c:pt>
                <c:pt idx="10">
                  <c:v>0.05</c:v>
                </c:pt>
                <c:pt idx="11">
                  <c:v>0.03</c:v>
                </c:pt>
              </c:numCache>
            </c:numRef>
          </c:val>
          <c:smooth val="0"/>
          <c:extLst>
            <c:ext xmlns:c16="http://schemas.microsoft.com/office/drawing/2014/chart" uri="{C3380CC4-5D6E-409C-BE32-E72D297353CC}">
              <c16:uniqueId val="{00000002-D7A1-4A58-8A4E-1218161D4B5E}"/>
            </c:ext>
          </c:extLst>
        </c:ser>
        <c:ser>
          <c:idx val="2"/>
          <c:order val="3"/>
          <c:tx>
            <c:v>16-month schedule</c:v>
          </c:tx>
          <c:marker>
            <c:symbol val="none"/>
          </c:marker>
          <c:val>
            <c:numRef>
              <c:f>'Construction Bell-Shaped Curve'!$C$20:$AL$20</c:f>
              <c:numCache>
                <c:formatCode>0.00%</c:formatCode>
                <c:ptCount val="36"/>
                <c:pt idx="0">
                  <c:v>0.02</c:v>
                </c:pt>
                <c:pt idx="1">
                  <c:v>0.03</c:v>
                </c:pt>
                <c:pt idx="2">
                  <c:v>0.05</c:v>
                </c:pt>
                <c:pt idx="3">
                  <c:v>0.06</c:v>
                </c:pt>
                <c:pt idx="4">
                  <c:v>7.0000000000000007E-2</c:v>
                </c:pt>
                <c:pt idx="5">
                  <c:v>0.08</c:v>
                </c:pt>
                <c:pt idx="6">
                  <c:v>0.09</c:v>
                </c:pt>
                <c:pt idx="7">
                  <c:v>0.1</c:v>
                </c:pt>
                <c:pt idx="8">
                  <c:v>0.1</c:v>
                </c:pt>
                <c:pt idx="9">
                  <c:v>0.09</c:v>
                </c:pt>
                <c:pt idx="10">
                  <c:v>0.08</c:v>
                </c:pt>
                <c:pt idx="11">
                  <c:v>7.0000000000000007E-2</c:v>
                </c:pt>
                <c:pt idx="12">
                  <c:v>0.06</c:v>
                </c:pt>
                <c:pt idx="13">
                  <c:v>0.05</c:v>
                </c:pt>
                <c:pt idx="14">
                  <c:v>0.03</c:v>
                </c:pt>
                <c:pt idx="15">
                  <c:v>0.02</c:v>
                </c:pt>
              </c:numCache>
            </c:numRef>
          </c:val>
          <c:smooth val="0"/>
          <c:extLst>
            <c:ext xmlns:c16="http://schemas.microsoft.com/office/drawing/2014/chart" uri="{C3380CC4-5D6E-409C-BE32-E72D297353CC}">
              <c16:uniqueId val="{00000003-D7A1-4A58-8A4E-1218161D4B5E}"/>
            </c:ext>
          </c:extLst>
        </c:ser>
        <c:ser>
          <c:idx val="4"/>
          <c:order val="4"/>
          <c:tx>
            <c:v>25-month schedule</c:v>
          </c:tx>
          <c:marker>
            <c:symbol val="none"/>
          </c:marker>
          <c:val>
            <c:numRef>
              <c:f>'Construction Bell-Shaped Curve'!$C$29:$AL$29</c:f>
              <c:numCache>
                <c:formatCode>0.00%</c:formatCode>
                <c:ptCount val="36"/>
                <c:pt idx="0">
                  <c:v>3.205128205128205E-3</c:v>
                </c:pt>
                <c:pt idx="1">
                  <c:v>9.6153846153846159E-3</c:v>
                </c:pt>
                <c:pt idx="2">
                  <c:v>1.6025641025641024E-2</c:v>
                </c:pt>
                <c:pt idx="3">
                  <c:v>2.2435897435897436E-2</c:v>
                </c:pt>
                <c:pt idx="4">
                  <c:v>2.8846153846153844E-2</c:v>
                </c:pt>
                <c:pt idx="5">
                  <c:v>3.5256410256410256E-2</c:v>
                </c:pt>
                <c:pt idx="6">
                  <c:v>4.1666666666666671E-2</c:v>
                </c:pt>
                <c:pt idx="7">
                  <c:v>4.8076923076923073E-2</c:v>
                </c:pt>
                <c:pt idx="8">
                  <c:v>5.4487179487179488E-2</c:v>
                </c:pt>
                <c:pt idx="9">
                  <c:v>6.0897435897435889E-2</c:v>
                </c:pt>
                <c:pt idx="10">
                  <c:v>6.7307692307692304E-2</c:v>
                </c:pt>
                <c:pt idx="11">
                  <c:v>7.371794871794872E-2</c:v>
                </c:pt>
                <c:pt idx="12">
                  <c:v>7.6923076923076927E-2</c:v>
                </c:pt>
                <c:pt idx="13">
                  <c:v>7.371794871794872E-2</c:v>
                </c:pt>
                <c:pt idx="14">
                  <c:v>6.7307692307692304E-2</c:v>
                </c:pt>
                <c:pt idx="15">
                  <c:v>6.0897435897435889E-2</c:v>
                </c:pt>
                <c:pt idx="16">
                  <c:v>5.4487179487179488E-2</c:v>
                </c:pt>
                <c:pt idx="17">
                  <c:v>4.8076923076923073E-2</c:v>
                </c:pt>
                <c:pt idx="18">
                  <c:v>4.1666666666666671E-2</c:v>
                </c:pt>
                <c:pt idx="19">
                  <c:v>3.5256410256410256E-2</c:v>
                </c:pt>
                <c:pt idx="20">
                  <c:v>2.8846153846153844E-2</c:v>
                </c:pt>
                <c:pt idx="21">
                  <c:v>2.2435897435897436E-2</c:v>
                </c:pt>
                <c:pt idx="22">
                  <c:v>1.6025641025641024E-2</c:v>
                </c:pt>
                <c:pt idx="23">
                  <c:v>9.6153846153846159E-3</c:v>
                </c:pt>
                <c:pt idx="24">
                  <c:v>3.205128205128205E-3</c:v>
                </c:pt>
              </c:numCache>
            </c:numRef>
          </c:val>
          <c:smooth val="0"/>
          <c:extLst>
            <c:ext xmlns:c16="http://schemas.microsoft.com/office/drawing/2014/chart" uri="{C3380CC4-5D6E-409C-BE32-E72D297353CC}">
              <c16:uniqueId val="{00000004-D7A1-4A58-8A4E-1218161D4B5E}"/>
            </c:ext>
          </c:extLst>
        </c:ser>
        <c:ser>
          <c:idx val="1"/>
          <c:order val="5"/>
          <c:tx>
            <c:v>36-month schedule</c:v>
          </c:tx>
          <c:marker>
            <c:symbol val="none"/>
          </c:marker>
          <c:val>
            <c:numRef>
              <c:f>'Construction Bell-Shaped Curve'!$C$40:$AL$40</c:f>
              <c:numCache>
                <c:formatCode>0.00%</c:formatCode>
                <c:ptCount val="36"/>
                <c:pt idx="0">
                  <c:v>2.9239766081871343E-3</c:v>
                </c:pt>
                <c:pt idx="1">
                  <c:v>5.8479532163742687E-3</c:v>
                </c:pt>
                <c:pt idx="2">
                  <c:v>8.771929824561403E-3</c:v>
                </c:pt>
                <c:pt idx="3">
                  <c:v>1.1695906432748537E-2</c:v>
                </c:pt>
                <c:pt idx="4">
                  <c:v>1.4619883040935672E-2</c:v>
                </c:pt>
                <c:pt idx="5">
                  <c:v>1.7543859649122806E-2</c:v>
                </c:pt>
                <c:pt idx="6">
                  <c:v>2.046783625730994E-2</c:v>
                </c:pt>
                <c:pt idx="7">
                  <c:v>2.3391812865497075E-2</c:v>
                </c:pt>
                <c:pt idx="8">
                  <c:v>2.6315789473684209E-2</c:v>
                </c:pt>
                <c:pt idx="9">
                  <c:v>2.9239766081871343E-2</c:v>
                </c:pt>
                <c:pt idx="10">
                  <c:v>3.2163742690058478E-2</c:v>
                </c:pt>
                <c:pt idx="11">
                  <c:v>3.5087719298245612E-2</c:v>
                </c:pt>
                <c:pt idx="12">
                  <c:v>3.8011695906432746E-2</c:v>
                </c:pt>
                <c:pt idx="13">
                  <c:v>4.0935672514619881E-2</c:v>
                </c:pt>
                <c:pt idx="14">
                  <c:v>4.3859649122807015E-2</c:v>
                </c:pt>
                <c:pt idx="15">
                  <c:v>4.6783625730994149E-2</c:v>
                </c:pt>
                <c:pt idx="16">
                  <c:v>4.9707602339181284E-2</c:v>
                </c:pt>
                <c:pt idx="17">
                  <c:v>5.2631578947368418E-2</c:v>
                </c:pt>
                <c:pt idx="18">
                  <c:v>5.2631578947368418E-2</c:v>
                </c:pt>
                <c:pt idx="19">
                  <c:v>4.9707602339181284E-2</c:v>
                </c:pt>
                <c:pt idx="20">
                  <c:v>4.6783625730994149E-2</c:v>
                </c:pt>
                <c:pt idx="21">
                  <c:v>4.3859649122807015E-2</c:v>
                </c:pt>
                <c:pt idx="22">
                  <c:v>4.0935672514619881E-2</c:v>
                </c:pt>
                <c:pt idx="23">
                  <c:v>3.8011695906432746E-2</c:v>
                </c:pt>
                <c:pt idx="24">
                  <c:v>3.5087719298245612E-2</c:v>
                </c:pt>
                <c:pt idx="25">
                  <c:v>3.2163742690058478E-2</c:v>
                </c:pt>
                <c:pt idx="26">
                  <c:v>2.9239766081871343E-2</c:v>
                </c:pt>
                <c:pt idx="27">
                  <c:v>2.6315789473684209E-2</c:v>
                </c:pt>
                <c:pt idx="28">
                  <c:v>2.3391812865497075E-2</c:v>
                </c:pt>
                <c:pt idx="29">
                  <c:v>2.046783625730994E-2</c:v>
                </c:pt>
                <c:pt idx="30">
                  <c:v>1.7543859649122806E-2</c:v>
                </c:pt>
                <c:pt idx="31">
                  <c:v>1.4619883040935672E-2</c:v>
                </c:pt>
                <c:pt idx="32">
                  <c:v>1.1695906432748537E-2</c:v>
                </c:pt>
                <c:pt idx="33">
                  <c:v>8.771929824561403E-3</c:v>
                </c:pt>
                <c:pt idx="34">
                  <c:v>5.8479532163742687E-3</c:v>
                </c:pt>
                <c:pt idx="35">
                  <c:v>2.9239766081871343E-3</c:v>
                </c:pt>
              </c:numCache>
            </c:numRef>
          </c:val>
          <c:smooth val="0"/>
          <c:extLst>
            <c:ext xmlns:c16="http://schemas.microsoft.com/office/drawing/2014/chart" uri="{C3380CC4-5D6E-409C-BE32-E72D297353CC}">
              <c16:uniqueId val="{00000005-D7A1-4A58-8A4E-1218161D4B5E}"/>
            </c:ext>
          </c:extLst>
        </c:ser>
        <c:dLbls>
          <c:showLegendKey val="0"/>
          <c:showVal val="0"/>
          <c:showCatName val="0"/>
          <c:showSerName val="0"/>
          <c:showPercent val="0"/>
          <c:showBubbleSize val="0"/>
        </c:dLbls>
        <c:smooth val="0"/>
        <c:axId val="272165416"/>
        <c:axId val="272167376"/>
      </c:lineChart>
      <c:catAx>
        <c:axId val="272165416"/>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Garamond"/>
                <a:ea typeface="Garamond"/>
                <a:cs typeface="Garamond"/>
              </a:defRPr>
            </a:pPr>
            <a:endParaRPr lang="en-US"/>
          </a:p>
        </c:txPr>
        <c:crossAx val="272167376"/>
        <c:crosses val="autoZero"/>
        <c:auto val="1"/>
        <c:lblAlgn val="ctr"/>
        <c:lblOffset val="100"/>
        <c:noMultiLvlLbl val="0"/>
      </c:catAx>
      <c:valAx>
        <c:axId val="272167376"/>
        <c:scaling>
          <c:orientation val="minMax"/>
        </c:scaling>
        <c:delete val="0"/>
        <c:axPos val="l"/>
        <c:majorGridlines/>
        <c:numFmt formatCode="0.00%" sourceLinked="1"/>
        <c:majorTickMark val="out"/>
        <c:minorTickMark val="none"/>
        <c:tickLblPos val="nextTo"/>
        <c:txPr>
          <a:bodyPr rot="0" vert="horz"/>
          <a:lstStyle/>
          <a:p>
            <a:pPr>
              <a:defRPr sz="1000" b="0" i="0" u="none" strike="noStrike" baseline="0">
                <a:solidFill>
                  <a:srgbClr val="000000"/>
                </a:solidFill>
                <a:latin typeface="Garamond"/>
                <a:ea typeface="Garamond"/>
                <a:cs typeface="Garamond"/>
              </a:defRPr>
            </a:pPr>
            <a:endParaRPr lang="en-US"/>
          </a:p>
        </c:txPr>
        <c:crossAx val="272165416"/>
        <c:crosses val="autoZero"/>
        <c:crossBetween val="between"/>
      </c:valAx>
    </c:plotArea>
    <c:legend>
      <c:legendPos val="r"/>
      <c:layout>
        <c:manualLayout>
          <c:xMode val="edge"/>
          <c:yMode val="edge"/>
          <c:x val="0.81052508036050563"/>
          <c:y val="0.25126222858506325"/>
          <c:w val="0.16730073368192724"/>
          <c:h val="0.46857001266450088"/>
        </c:manualLayout>
      </c:layout>
      <c:overlay val="0"/>
      <c:txPr>
        <a:bodyPr/>
        <a:lstStyle/>
        <a:p>
          <a:pPr>
            <a:defRPr sz="1000" b="0" i="0" u="none" strike="noStrike" baseline="0">
              <a:solidFill>
                <a:srgbClr val="000000"/>
              </a:solidFill>
              <a:latin typeface="Garamond"/>
              <a:ea typeface="Garamond"/>
              <a:cs typeface="Garamond"/>
            </a:defRPr>
          </a:pPr>
          <a:endParaRPr lang="en-US"/>
        </a:p>
      </c:txPr>
    </c:legend>
    <c:plotVisOnly val="1"/>
    <c:dispBlanksAs val="gap"/>
    <c:showDLblsOverMax val="0"/>
  </c:chart>
  <c:txPr>
    <a:bodyPr/>
    <a:lstStyle/>
    <a:p>
      <a:pPr>
        <a:defRPr sz="1000" b="0" i="0" u="none" strike="noStrike" baseline="0">
          <a:solidFill>
            <a:srgbClr val="000000"/>
          </a:solidFill>
          <a:latin typeface="Garamond"/>
          <a:ea typeface="Garamond"/>
          <a:cs typeface="Garamond"/>
        </a:defRPr>
      </a:pPr>
      <a:endParaRPr lang="en-US"/>
    </a:p>
  </c:txPr>
  <c:printSettings>
    <c:headerFooter/>
    <c:pageMargins b="0.75000000000000122" l="0.70000000000000062" r="0.70000000000000062" t="0.75000000000000122"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Current</a:t>
            </a:r>
            <a:r>
              <a:rPr lang="en-US" baseline="0"/>
              <a:t> </a:t>
            </a:r>
            <a:r>
              <a:rPr lang="en-US"/>
              <a:t>Draw</a:t>
            </a:r>
            <a:r>
              <a:rPr lang="en-US" baseline="0"/>
              <a:t> Schedule</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val>
            <c:numLit>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Lit>
          </c:val>
          <c:extLst>
            <c:ext xmlns:c16="http://schemas.microsoft.com/office/drawing/2014/chart" uri="{C3380CC4-5D6E-409C-BE32-E72D297353CC}">
              <c16:uniqueId val="{00000000-EE7F-4884-9223-93F9A43635BD}"/>
            </c:ext>
          </c:extLst>
        </c:ser>
        <c:dLbls>
          <c:showLegendKey val="0"/>
          <c:showVal val="0"/>
          <c:showCatName val="0"/>
          <c:showSerName val="0"/>
          <c:showPercent val="0"/>
          <c:showBubbleSize val="0"/>
        </c:dLbls>
        <c:gapWidth val="355"/>
        <c:overlap val="-70"/>
        <c:axId val="393631512"/>
        <c:axId val="31850632"/>
      </c:barChart>
      <c:catAx>
        <c:axId val="393631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50632"/>
        <c:crosses val="autoZero"/>
        <c:auto val="1"/>
        <c:lblAlgn val="ctr"/>
        <c:lblOffset val="100"/>
        <c:noMultiLvlLbl val="0"/>
      </c:catAx>
      <c:valAx>
        <c:axId val="3185063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631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152400</xdr:colOff>
      <xdr:row>1</xdr:row>
      <xdr:rowOff>8819</xdr:rowOff>
    </xdr:from>
    <xdr:to>
      <xdr:col>2</xdr:col>
      <xdr:colOff>826912</xdr:colOff>
      <xdr:row>2</xdr:row>
      <xdr:rowOff>66604</xdr:rowOff>
    </xdr:to>
    <xdr:pic>
      <xdr:nvPicPr>
        <xdr:cNvPr id="2" name="Picture 1">
          <a:extLst>
            <a:ext uri="{FF2B5EF4-FFF2-40B4-BE49-F238E27FC236}">
              <a16:creationId xmlns:a16="http://schemas.microsoft.com/office/drawing/2014/main" id="{B87332DA-4AC1-5843-81F7-0B19F2C07B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5247" y="176388"/>
          <a:ext cx="2588332" cy="2518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152400</xdr:colOff>
      <xdr:row>1</xdr:row>
      <xdr:rowOff>8819</xdr:rowOff>
    </xdr:from>
    <xdr:to>
      <xdr:col>2</xdr:col>
      <xdr:colOff>950130</xdr:colOff>
      <xdr:row>2</xdr:row>
      <xdr:rowOff>72954</xdr:rowOff>
    </xdr:to>
    <xdr:pic>
      <xdr:nvPicPr>
        <xdr:cNvPr id="2" name="Picture 1">
          <a:extLst>
            <a:ext uri="{FF2B5EF4-FFF2-40B4-BE49-F238E27FC236}">
              <a16:creationId xmlns:a16="http://schemas.microsoft.com/office/drawing/2014/main" id="{E38A7DAF-69DF-6246-B76D-D6C9357E4F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5247" y="176388"/>
          <a:ext cx="2585157" cy="248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1039949</xdr:colOff>
      <xdr:row>28</xdr:row>
      <xdr:rowOff>91569</xdr:rowOff>
    </xdr:from>
    <xdr:to>
      <xdr:col>8</xdr:col>
      <xdr:colOff>854638</xdr:colOff>
      <xdr:row>30</xdr:row>
      <xdr:rowOff>78165</xdr:rowOff>
    </xdr:to>
    <xdr:pic>
      <xdr:nvPicPr>
        <xdr:cNvPr id="2" name="Picture 1">
          <a:extLst>
            <a:ext uri="{FF2B5EF4-FFF2-40B4-BE49-F238E27FC236}">
              <a16:creationId xmlns:a16="http://schemas.microsoft.com/office/drawing/2014/main" id="{DE948C10-A0BA-8C4D-9C2E-4598376DDF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71782" y="5012819"/>
          <a:ext cx="3054248" cy="3464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8</xdr:row>
      <xdr:rowOff>0</xdr:rowOff>
    </xdr:from>
    <xdr:to>
      <xdr:col>20</xdr:col>
      <xdr:colOff>342900</xdr:colOff>
      <xdr:row>16</xdr:row>
      <xdr:rowOff>123825</xdr:rowOff>
    </xdr:to>
    <xdr:pic>
      <xdr:nvPicPr>
        <xdr:cNvPr id="2" name="Picture 1">
          <a:extLst>
            <a:ext uri="{FF2B5EF4-FFF2-40B4-BE49-F238E27FC236}">
              <a16:creationId xmlns:a16="http://schemas.microsoft.com/office/drawing/2014/main" id="{1D7C0DE9-C13E-24C4-F3EE-7F2EB9A98B24}"/>
            </a:ext>
          </a:extLst>
        </xdr:cNvPr>
        <xdr:cNvPicPr>
          <a:picLocks noChangeAspect="1"/>
        </xdr:cNvPicPr>
      </xdr:nvPicPr>
      <xdr:blipFill>
        <a:blip xmlns:r="http://schemas.openxmlformats.org/officeDocument/2006/relationships" r:embed="rId1"/>
        <a:stretch>
          <a:fillRect/>
        </a:stretch>
      </xdr:blipFill>
      <xdr:spPr>
        <a:xfrm>
          <a:off x="9525" y="1219200"/>
          <a:ext cx="11001375" cy="5067300"/>
        </a:xfrm>
        <a:prstGeom prst="rect">
          <a:avLst/>
        </a:prstGeom>
      </xdr:spPr>
    </xdr:pic>
    <xdr:clientData/>
  </xdr:twoCellAnchor>
  <xdr:twoCellAnchor editAs="oneCell">
    <xdr:from>
      <xdr:col>0</xdr:col>
      <xdr:colOff>0</xdr:colOff>
      <xdr:row>42</xdr:row>
      <xdr:rowOff>0</xdr:rowOff>
    </xdr:from>
    <xdr:to>
      <xdr:col>20</xdr:col>
      <xdr:colOff>419100</xdr:colOff>
      <xdr:row>57</xdr:row>
      <xdr:rowOff>95250</xdr:rowOff>
    </xdr:to>
    <xdr:pic>
      <xdr:nvPicPr>
        <xdr:cNvPr id="3" name="Picture 2">
          <a:extLst>
            <a:ext uri="{FF2B5EF4-FFF2-40B4-BE49-F238E27FC236}">
              <a16:creationId xmlns:a16="http://schemas.microsoft.com/office/drawing/2014/main" id="{03AE4A45-2296-D54F-5EE1-63D2ECA318CE}"/>
            </a:ext>
            <a:ext uri="{147F2762-F138-4A5C-976F-8EAC2B608ADB}">
              <a16:predDERef xmlns:a16="http://schemas.microsoft.com/office/drawing/2014/main" pred="{1D7C0DE9-C13E-24C4-F3EE-7F2EB9A98B24}"/>
            </a:ext>
          </a:extLst>
        </xdr:cNvPr>
        <xdr:cNvPicPr>
          <a:picLocks noChangeAspect="1"/>
        </xdr:cNvPicPr>
      </xdr:nvPicPr>
      <xdr:blipFill>
        <a:blip xmlns:r="http://schemas.openxmlformats.org/officeDocument/2006/relationships" r:embed="rId2"/>
        <a:stretch>
          <a:fillRect/>
        </a:stretch>
      </xdr:blipFill>
      <xdr:spPr>
        <a:xfrm>
          <a:off x="0" y="6400800"/>
          <a:ext cx="11087100" cy="23812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15</xdr:col>
      <xdr:colOff>517071</xdr:colOff>
      <xdr:row>41</xdr:row>
      <xdr:rowOff>55789</xdr:rowOff>
    </xdr:from>
    <xdr:to>
      <xdr:col>32</xdr:col>
      <xdr:colOff>14967</xdr:colOff>
      <xdr:row>58</xdr:row>
      <xdr:rowOff>27214</xdr:rowOff>
    </xdr:to>
    <xdr:graphicFrame macro="">
      <xdr:nvGraphicFramePr>
        <xdr:cNvPr id="2" name="Chart 1">
          <a:extLst>
            <a:ext uri="{FF2B5EF4-FFF2-40B4-BE49-F238E27FC236}">
              <a16:creationId xmlns:a16="http://schemas.microsoft.com/office/drawing/2014/main" id="{153C729C-7A55-44AC-B94B-AD0C9A4AC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721176</xdr:colOff>
      <xdr:row>41</xdr:row>
      <xdr:rowOff>54428</xdr:rowOff>
    </xdr:from>
    <xdr:to>
      <xdr:col>12</xdr:col>
      <xdr:colOff>176893</xdr:colOff>
      <xdr:row>60</xdr:row>
      <xdr:rowOff>136072</xdr:rowOff>
    </xdr:to>
    <xdr:graphicFrame macro="">
      <xdr:nvGraphicFramePr>
        <xdr:cNvPr id="3" name="Chart 2">
          <a:extLst>
            <a:ext uri="{FF2B5EF4-FFF2-40B4-BE49-F238E27FC236}">
              <a16:creationId xmlns:a16="http://schemas.microsoft.com/office/drawing/2014/main" id="{1AE2B164-7C02-4B17-AF94-6322BFFDBE22}"/>
            </a:ext>
            <a:ext uri="{147F2762-F138-4A5C-976F-8EAC2B608ADB}">
              <a16:predDERef xmlns:a16="http://schemas.microsoft.com/office/drawing/2014/main" pred="{153C729C-7A55-44AC-B94B-AD0C9A4AC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redcedarcapitalpartners-my.sharepoint.com/personal/dylan_minihane_redcedarco_com/Documents/Documents/Garrett%20Budget%20Page%20example.xlsx" TargetMode="External"/><Relationship Id="rId1" Type="http://schemas.openxmlformats.org/officeDocument/2006/relationships/externalLinkPath" Target="https://redcedarcapitalpartners-my.sharepoint.com/personal/dylan_minihane_redcedarco_com/Documents/Documents/Garrett%20Budget%20Page%20exampl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redcedarcapitalpartners.sharepoint.com/Dropbox%20Migration/Management/Damon%20Jotham%20(CIO)/Lenders/Vertical%20Lender%20-%20Term%20Sheet%20request%20template.xlsx" TargetMode="External"/><Relationship Id="rId1" Type="http://schemas.openxmlformats.org/officeDocument/2006/relationships/externalLinkPath" Target="/Dropbox%20Migration/Management/Damon%20Jotham%20(CIO)/Lenders/Vertical%20Lender%20-%20Term%20Sheet%20request%20templat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redcedarcapitalpartners.sharepoint.com/Dropbox%20Migration/00.%20Projects/01.%20SC/01.%20Active/AQ1004%20-%202%20Henderson%20Dr,%20Travelers%20Rest,%20SC%2029690/06.%20Finance/4A%20&amp;%204%20Henderson%20Drive-Deal%20Sheet.xlsx" TargetMode="External"/><Relationship Id="rId1" Type="http://schemas.openxmlformats.org/officeDocument/2006/relationships/externalLinkPath" Target="/Dropbox%20Migration/00.%20Projects/01.%20SC/01.%20Active/AQ1004%20-%202%20Henderson%20Dr,%20Travelers%20Rest,%20SC%2029690/06.%20Finance/4A%20&amp;%204%20Henderson%20Drive-Deal%20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q Horizontal Costs"/>
      <sheetName val="Garrett Budget Page example"/>
    </sheetNames>
    <definedNames>
      <definedName name="AssetChart" refersTo="#REF!"/>
      <definedName name="DeleteBonus" refersTo="#REF!"/>
      <definedName name="GoAssetChart" refersTo="#REF!"/>
      <definedName name="GoBack" refersTo="#REF!"/>
      <definedName name="GoBalanceSheet" refersTo="#REF!"/>
      <definedName name="GoCashFlow" refersTo="#REF!"/>
      <definedName name="GoData" refersTo="#REF!"/>
      <definedName name="GoIncomeChart" refersTo="#REF!"/>
      <definedName name="Loan_Start" refersTo="#REF!"/>
      <definedName name="Number_of_Payments" refersTo="#REF!"/>
      <definedName name="rrFirstRow"/>
      <definedName name="Values_Entered" refersTo="#REF!"/>
    </defined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ENDER"/>
      <sheetName val="Outputs"/>
      <sheetName val="Deal Sheet Inputs"/>
    </sheetNames>
    <sheetDataSet>
      <sheetData sheetId="0"/>
      <sheetData sheetId="1"/>
      <sheetData sheetId="2">
        <row r="20">
          <cell r="R20">
            <v>14225.5</v>
          </cell>
        </row>
        <row r="77">
          <cell r="C77">
            <v>10</v>
          </cell>
          <cell r="I77">
            <v>544500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ENDER"/>
      <sheetName val="Inputs"/>
      <sheetName val="Fee Build Dashboard"/>
      <sheetName val="Acquisition Summary"/>
      <sheetName val="Investor Summary"/>
      <sheetName val="Financing Summary"/>
      <sheetName val="CFO Summary"/>
      <sheetName val="Monthly CF"/>
      <sheetName val="Comps"/>
      <sheetName val="Common Eq. WF"/>
      <sheetName val="Reference Tab"/>
      <sheetName val="Construction Bell-Shaped Curve"/>
      <sheetName val="Process"/>
      <sheetName val="Internal Budget"/>
      <sheetName val="SOV - External"/>
      <sheetName val="Synopsis"/>
      <sheetName val="Construction Details"/>
      <sheetName val="Deal Abstract"/>
    </sheetNames>
    <sheetDataSet>
      <sheetData sheetId="0"/>
      <sheetData sheetId="1">
        <row r="5">
          <cell r="D5" t="str">
            <v>2, 4-A &amp; 4 Henderson Dr.</v>
          </cell>
        </row>
        <row r="6">
          <cell r="D6" t="str">
            <v>Travelers Rest SC</v>
          </cell>
        </row>
        <row r="18">
          <cell r="D18">
            <v>1875</v>
          </cell>
        </row>
        <row r="29">
          <cell r="O29">
            <v>16596.983152222223</v>
          </cell>
        </row>
        <row r="72">
          <cell r="I72">
            <v>599000</v>
          </cell>
        </row>
      </sheetData>
      <sheetData sheetId="2"/>
      <sheetData sheetId="3">
        <row r="22">
          <cell r="D22">
            <v>19760</v>
          </cell>
        </row>
        <row r="30">
          <cell r="D30">
            <v>282712.35333333333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persons/person.xml><?xml version="1.0" encoding="utf-8"?>
<personList xmlns="http://schemas.microsoft.com/office/spreadsheetml/2018/threadedcomments" xmlns:x="http://schemas.openxmlformats.org/spreadsheetml/2006/main">
  <person displayName="Dylan Minihane" id="{6DCFB2E3-ED59-41F5-B6ED-60058CB10C06}" userId="S::dylan.minihane@redcedarco.com::8f94c401-0e44-4406-857d-17b9f49550a2"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mon Jotham" refreshedDate="46006.579048032407" createdVersion="8" refreshedVersion="8" minRefreshableVersion="3" recordCount="82" xr:uid="{2FC2ECE5-86E2-41CD-8147-530570E13FD9}">
  <cacheSource type="worksheet">
    <worksheetSource ref="B10:D92" sheet="Brix Actual Budget"/>
  </cacheSource>
  <cacheFields count="3">
    <cacheField name="Description" numFmtId="0">
      <sharedItems count="82">
        <s v="Building permits"/>
        <s v="Inspections - Engineered"/>
        <s v="Survey - Plot Plan"/>
        <s v="Survey - Stake"/>
        <s v="Survey - Pin"/>
        <s v="Survey - Check Form"/>
        <s v="Survey - As-Built"/>
        <s v="Survey - Final"/>
        <s v="Soil Testing"/>
        <s v="Water/Sewer Meter Fees"/>
        <s v="Gas service"/>
        <s v="Electric service"/>
        <s v="Water Service"/>
        <s v="Dumpster"/>
        <s v="Portable Toilets"/>
        <s v="Bench &amp; Balance Grade"/>
        <s v="Rough Grade"/>
        <s v="Maintenance Grade"/>
        <s v="Final Grade"/>
        <s v="Temp Drive"/>
        <s v="Erosion Control"/>
        <s v="Foundation"/>
        <s v="Termite Treatment"/>
        <s v="Lumber - Drop 1"/>
        <s v="Lumber - Drop 2"/>
        <s v="Lumber - Drop 3"/>
        <s v="Roof Trusses"/>
        <s v="2nd Floor System"/>
        <s v="Stairs"/>
        <s v="Framing Labor - Draw #1"/>
        <s v="Framing Labor - Draw #2"/>
        <s v="Windows Labor"/>
        <s v="Window Material"/>
        <s v="Roofing Labor &amp; Material"/>
        <s v="Exterior Doors Labor"/>
        <s v="Exterior Door Material"/>
        <s v="Exterior Siding - Material"/>
        <s v="Exterior Siding - Labor"/>
        <s v="HVAC - Rough"/>
        <s v="HVAC - Final"/>
        <s v="Blower Door Test"/>
        <s v="Electrical - Temp Pole"/>
        <s v="Electrical Rough"/>
        <s v="Electrical Final"/>
        <s v="Electrical - Light Fixtures"/>
        <s v="Plumbing - Underground"/>
        <s v="Plumbing - Rough"/>
        <s v="Plumbing - Final"/>
        <s v="Insulation  - Prehang"/>
        <s v="Insulation - Batt"/>
        <s v="Insulation - Blown"/>
        <s v="Drywall - Material"/>
        <s v="Drywall - Labor"/>
        <s v="Flatwork"/>
        <s v="Install Wall/Floor Tile"/>
        <s v="Install Tile Backsplash"/>
        <s v="Cabinets Draw 1"/>
        <s v="Cabinets Draw 2"/>
        <s v="Interior Trim Labor"/>
        <s v="Painting - Interior Draw 1"/>
        <s v="Painting - Interior Draw 2"/>
        <s v="Painting - Exterior"/>
        <s v="Countertops"/>
        <s v="Shelving"/>
        <s v="Mirrors"/>
        <s v="Bath Accessories"/>
        <s v="Door Hardware &amp; House Numbers"/>
        <s v="Shower Door"/>
        <s v="Vinyl/LVP/SPC Draw 1"/>
        <s v="Vinyl/LVP/SPC Draw 2"/>
        <s v="Carpet"/>
        <s v="Appliances Drop 1 - Range/Hood/Microw/Di"/>
        <s v="Appliance Drop 2 – Fridge/Washer/Dryer"/>
        <s v="Interior Cleaning - Rough"/>
        <s v="Interior Cleaning - Final"/>
        <s v="Interior Cleaning - Reclean"/>
        <s v="Interior Cleaning - Move In"/>
        <s v="Pressure Washing"/>
        <s v="Pressure Washing Touch Up"/>
        <s v="Landscaping"/>
        <s v="Gutters and Downspouts"/>
        <s v="Fence"/>
      </sharedItems>
    </cacheField>
    <cacheField name="Costs" numFmtId="182">
      <sharedItems containsSemiMixedTypes="0" containsString="0" containsNumber="1" minValue="0" maxValue="11548.75"/>
    </cacheField>
    <cacheField name="Grouping" numFmtId="0">
      <sharedItems containsBlank="1" count="13">
        <s v="Building Permits"/>
        <s v="Engineering"/>
        <s v="Survey - Initial Physical + Plot Plans"/>
        <s v="Survey - Stake Footings"/>
        <s v="Survey - Set Pins (Rough Stake)"/>
        <s v="Soil Testing"/>
        <m/>
        <s v="S&amp;B"/>
        <s v="Rough &amp; Final Grading"/>
        <s v="Temp Drive"/>
        <s v="Erosion Control"/>
        <s v="Landscaping"/>
        <s v="Privacy Fenc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
  <r>
    <x v="0"/>
    <n v="2050"/>
    <x v="0"/>
  </r>
  <r>
    <x v="1"/>
    <n v="1000"/>
    <x v="1"/>
  </r>
  <r>
    <x v="2"/>
    <n v="200"/>
    <x v="2"/>
  </r>
  <r>
    <x v="3"/>
    <n v="450"/>
    <x v="3"/>
  </r>
  <r>
    <x v="4"/>
    <n v="400"/>
    <x v="4"/>
  </r>
  <r>
    <x v="5"/>
    <n v="425"/>
    <x v="2"/>
  </r>
  <r>
    <x v="6"/>
    <n v="525"/>
    <x v="2"/>
  </r>
  <r>
    <x v="7"/>
    <n v="650"/>
    <x v="2"/>
  </r>
  <r>
    <x v="8"/>
    <n v="200"/>
    <x v="5"/>
  </r>
  <r>
    <x v="9"/>
    <n v="7500"/>
    <x v="6"/>
  </r>
  <r>
    <x v="10"/>
    <n v="200"/>
    <x v="7"/>
  </r>
  <r>
    <x v="11"/>
    <n v="200"/>
    <x v="7"/>
  </r>
  <r>
    <x v="12"/>
    <n v="200"/>
    <x v="7"/>
  </r>
  <r>
    <x v="13"/>
    <n v="3500"/>
    <x v="7"/>
  </r>
  <r>
    <x v="14"/>
    <n v="875"/>
    <x v="7"/>
  </r>
  <r>
    <x v="15"/>
    <n v="450"/>
    <x v="8"/>
  </r>
  <r>
    <x v="16"/>
    <n v="400"/>
    <x v="8"/>
  </r>
  <r>
    <x v="17"/>
    <n v="400"/>
    <x v="8"/>
  </r>
  <r>
    <x v="18"/>
    <n v="450"/>
    <x v="8"/>
  </r>
  <r>
    <x v="19"/>
    <n v="500"/>
    <x v="9"/>
  </r>
  <r>
    <x v="20"/>
    <n v="2000"/>
    <x v="10"/>
  </r>
  <r>
    <x v="21"/>
    <n v="11548.75"/>
    <x v="7"/>
  </r>
  <r>
    <x v="22"/>
    <n v="185"/>
    <x v="7"/>
  </r>
  <r>
    <x v="23"/>
    <n v="7638.72"/>
    <x v="7"/>
  </r>
  <r>
    <x v="24"/>
    <n v="0"/>
    <x v="7"/>
  </r>
  <r>
    <x v="25"/>
    <n v="0"/>
    <x v="7"/>
  </r>
  <r>
    <x v="26"/>
    <n v="2392.25"/>
    <x v="7"/>
  </r>
  <r>
    <x v="27"/>
    <n v="2756.72"/>
    <x v="7"/>
  </r>
  <r>
    <x v="28"/>
    <n v="573.82000000000005"/>
    <x v="7"/>
  </r>
  <r>
    <x v="29"/>
    <n v="6720.3"/>
    <x v="7"/>
  </r>
  <r>
    <x v="30"/>
    <n v="746.7"/>
    <x v="7"/>
  </r>
  <r>
    <x v="31"/>
    <n v="330"/>
    <x v="7"/>
  </r>
  <r>
    <x v="32"/>
    <n v="2729.75"/>
    <x v="7"/>
  </r>
  <r>
    <x v="33"/>
    <n v="3270.45"/>
    <x v="7"/>
  </r>
  <r>
    <x v="34"/>
    <n v="120"/>
    <x v="7"/>
  </r>
  <r>
    <x v="35"/>
    <n v="1112.3900000000001"/>
    <x v="7"/>
  </r>
  <r>
    <x v="36"/>
    <n v="9501.3799999999992"/>
    <x v="7"/>
  </r>
  <r>
    <x v="37"/>
    <n v="5400.91"/>
    <x v="7"/>
  </r>
  <r>
    <x v="38"/>
    <n v="5775"/>
    <x v="7"/>
  </r>
  <r>
    <x v="39"/>
    <n v="2475"/>
    <x v="7"/>
  </r>
  <r>
    <x v="40"/>
    <n v="275"/>
    <x v="7"/>
  </r>
  <r>
    <x v="41"/>
    <n v="150"/>
    <x v="7"/>
  </r>
  <r>
    <x v="42"/>
    <n v="3672"/>
    <x v="7"/>
  </r>
  <r>
    <x v="43"/>
    <n v="2518"/>
    <x v="7"/>
  </r>
  <r>
    <x v="44"/>
    <n v="1087.43"/>
    <x v="7"/>
  </r>
  <r>
    <x v="45"/>
    <n v="3294.6"/>
    <x v="7"/>
  </r>
  <r>
    <x v="46"/>
    <n v="3294.6"/>
    <x v="7"/>
  </r>
  <r>
    <x v="47"/>
    <n v="4392.8"/>
    <x v="7"/>
  </r>
  <r>
    <x v="48"/>
    <n v="150"/>
    <x v="7"/>
  </r>
  <r>
    <x v="49"/>
    <n v="1850"/>
    <x v="7"/>
  </r>
  <r>
    <x v="50"/>
    <n v="800"/>
    <x v="7"/>
  </r>
  <r>
    <x v="51"/>
    <n v="3181.59"/>
    <x v="7"/>
  </r>
  <r>
    <x v="52"/>
    <n v="3783.96"/>
    <x v="7"/>
  </r>
  <r>
    <x v="53"/>
    <n v="2145"/>
    <x v="7"/>
  </r>
  <r>
    <x v="54"/>
    <n v="3037.5"/>
    <x v="7"/>
  </r>
  <r>
    <x v="55"/>
    <n v="658"/>
    <x v="7"/>
  </r>
  <r>
    <x v="56"/>
    <n v="2400"/>
    <x v="7"/>
  </r>
  <r>
    <x v="57"/>
    <n v="4378.54"/>
    <x v="7"/>
  </r>
  <r>
    <x v="58"/>
    <n v="5451"/>
    <x v="7"/>
  </r>
  <r>
    <x v="59"/>
    <n v="1418.38"/>
    <x v="7"/>
  </r>
  <r>
    <x v="60"/>
    <n v="1418.38"/>
    <x v="7"/>
  </r>
  <r>
    <x v="61"/>
    <n v="180"/>
    <x v="7"/>
  </r>
  <r>
    <x v="62"/>
    <n v="4414"/>
    <x v="7"/>
  </r>
  <r>
    <x v="63"/>
    <n v="259.2"/>
    <x v="7"/>
  </r>
  <r>
    <x v="64"/>
    <n v="689.96"/>
    <x v="7"/>
  </r>
  <r>
    <x v="65"/>
    <n v="228.18"/>
    <x v="7"/>
  </r>
  <r>
    <x v="66"/>
    <n v="451.21"/>
    <x v="7"/>
  </r>
  <r>
    <x v="67"/>
    <n v="690"/>
    <x v="7"/>
  </r>
  <r>
    <x v="68"/>
    <n v="1700"/>
    <x v="7"/>
  </r>
  <r>
    <x v="69"/>
    <n v="3853.27"/>
    <x v="7"/>
  </r>
  <r>
    <x v="70"/>
    <n v="472"/>
    <x v="7"/>
  </r>
  <r>
    <x v="71"/>
    <n v="826.41"/>
    <x v="7"/>
  </r>
  <r>
    <x v="72"/>
    <n v="773.56"/>
    <x v="7"/>
  </r>
  <r>
    <x v="73"/>
    <n v="157"/>
    <x v="7"/>
  </r>
  <r>
    <x v="74"/>
    <n v="219.8"/>
    <x v="7"/>
  </r>
  <r>
    <x v="75"/>
    <n v="90"/>
    <x v="7"/>
  </r>
  <r>
    <x v="76"/>
    <n v="115"/>
    <x v="7"/>
  </r>
  <r>
    <x v="77"/>
    <n v="175"/>
    <x v="7"/>
  </r>
  <r>
    <x v="78"/>
    <n v="95"/>
    <x v="7"/>
  </r>
  <r>
    <x v="79"/>
    <n v="2500"/>
    <x v="11"/>
  </r>
  <r>
    <x v="80"/>
    <n v="720"/>
    <x v="7"/>
  </r>
  <r>
    <x v="81"/>
    <n v="8000"/>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02FCEF-7FC1-48C1-B594-1BDDAA4991C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0:J24" firstHeaderRow="1" firstDataRow="1" firstDataCol="1"/>
  <pivotFields count="3">
    <pivotField showAll="0">
      <items count="83">
        <item x="27"/>
        <item x="72"/>
        <item x="71"/>
        <item x="65"/>
        <item x="15"/>
        <item x="40"/>
        <item x="0"/>
        <item x="56"/>
        <item x="57"/>
        <item x="70"/>
        <item x="62"/>
        <item x="66"/>
        <item x="52"/>
        <item x="51"/>
        <item x="13"/>
        <item x="11"/>
        <item x="44"/>
        <item x="41"/>
        <item x="43"/>
        <item x="42"/>
        <item x="20"/>
        <item x="35"/>
        <item x="34"/>
        <item x="37"/>
        <item x="36"/>
        <item x="81"/>
        <item x="18"/>
        <item x="53"/>
        <item x="21"/>
        <item x="29"/>
        <item x="30"/>
        <item x="10"/>
        <item x="80"/>
        <item x="39"/>
        <item x="38"/>
        <item x="1"/>
        <item x="55"/>
        <item x="54"/>
        <item x="48"/>
        <item x="49"/>
        <item x="50"/>
        <item x="74"/>
        <item x="76"/>
        <item x="75"/>
        <item x="73"/>
        <item x="58"/>
        <item x="79"/>
        <item x="23"/>
        <item x="24"/>
        <item x="25"/>
        <item x="17"/>
        <item x="64"/>
        <item x="61"/>
        <item x="59"/>
        <item x="60"/>
        <item x="47"/>
        <item x="46"/>
        <item x="45"/>
        <item x="14"/>
        <item x="77"/>
        <item x="78"/>
        <item x="26"/>
        <item x="33"/>
        <item x="16"/>
        <item x="63"/>
        <item x="67"/>
        <item x="8"/>
        <item x="28"/>
        <item x="6"/>
        <item x="5"/>
        <item x="7"/>
        <item x="4"/>
        <item x="2"/>
        <item x="3"/>
        <item x="19"/>
        <item x="22"/>
        <item x="68"/>
        <item x="69"/>
        <item x="12"/>
        <item x="9"/>
        <item x="32"/>
        <item x="31"/>
        <item t="default"/>
      </items>
    </pivotField>
    <pivotField dataField="1" numFmtId="182" showAll="0"/>
    <pivotField axis="axisRow" showAll="0">
      <items count="14">
        <item x="0"/>
        <item x="1"/>
        <item x="10"/>
        <item x="11"/>
        <item x="12"/>
        <item x="8"/>
        <item x="7"/>
        <item x="5"/>
        <item x="2"/>
        <item x="4"/>
        <item x="3"/>
        <item x="9"/>
        <item x="6"/>
        <item t="default"/>
      </items>
    </pivotField>
  </pivotFields>
  <rowFields count="1">
    <field x="2"/>
  </rowFields>
  <rowItems count="14">
    <i>
      <x/>
    </i>
    <i>
      <x v="1"/>
    </i>
    <i>
      <x v="2"/>
    </i>
    <i>
      <x v="3"/>
    </i>
    <i>
      <x v="4"/>
    </i>
    <i>
      <x v="5"/>
    </i>
    <i>
      <x v="6"/>
    </i>
    <i>
      <x v="7"/>
    </i>
    <i>
      <x v="8"/>
    </i>
    <i>
      <x v="9"/>
    </i>
    <i>
      <x v="10"/>
    </i>
    <i>
      <x v="11"/>
    </i>
    <i>
      <x v="12"/>
    </i>
    <i t="grand">
      <x/>
    </i>
  </rowItems>
  <colItems count="1">
    <i/>
  </colItems>
  <dataFields count="1">
    <dataField name="Sum of Costs" fld="1" baseField="0" baseItem="0" numFmtId="18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99" dT="2025-07-09T20:28:49.18" personId="{6DCFB2E3-ED59-41F5-B6ED-60058CB10C06}" id="{9A2C507F-594B-4DDA-821D-CDF6A7A26F12}">
    <text>Only for Renovo
70% Purchase Price
100% Vertical Construction
Only for SLFI deals</text>
  </threadedComment>
</ThreadedComments>
</file>

<file path=xl/threadedComments/threadedComment2.xml><?xml version="1.0" encoding="utf-8"?>
<ThreadedComments xmlns="http://schemas.microsoft.com/office/spreadsheetml/2018/threadedcomments" xmlns:x="http://schemas.openxmlformats.org/spreadsheetml/2006/main">
  <threadedComment ref="I11" dT="2025-08-11T18:41:12.68" personId="{6DCFB2E3-ED59-41F5-B6ED-60058CB10C06}" id="{36465F75-BAA4-49D3-BD35-8B38FECDC8B3}">
    <text>Input SFH/TH in Cell D9 to pull correct benchmarks</text>
  </threadedComment>
</ThreadedComments>
</file>

<file path=xl/threadedComments/threadedComment3.xml><?xml version="1.0" encoding="utf-8"?>
<ThreadedComments xmlns="http://schemas.microsoft.com/office/spreadsheetml/2018/threadedcomments" xmlns:x="http://schemas.openxmlformats.org/spreadsheetml/2006/main">
  <threadedComment ref="H7" dT="2025-01-28T18:51:09.20" personId="{6DCFB2E3-ED59-41F5-B6ED-60058CB10C06}" id="{B8D8CB3B-A067-4E81-8C05-4562904187D5}">
    <text>Per Angel- Aspen 3-Story is $21k more</text>
  </threadedComment>
  <threadedComment ref="B137" dT="2025-05-29T18:34:26.50" personId="{6DCFB2E3-ED59-41F5-B6ED-60058CB10C06}" id="{71A45968-BF06-4B3B-B701-95A95BEDB2E7}">
    <text>Could be using any of the following:
-Greenville Water
-ReWa
-MetroConnects
-Blue Ridge Water
Water system dev fees &amp; meter charges are included</text>
  </threadedComment>
  <threadedComment ref="B139" dT="2025-05-29T18:34:46.09" personId="{6DCFB2E3-ED59-41F5-B6ED-60058CB10C06}" id="{FA5C8DDF-F8A1-413E-B1A5-956E075336BF}">
    <text xml:space="preserve">Could be either:
-Spartanburg Water
-SJWD
Water system dev fees &amp; meter charges are included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3" Type="http://schemas.openxmlformats.org/officeDocument/2006/relationships/hyperlink" Target="../../../../../../:f:/g/Et-Nzr9EAgxOoEvYSmSL0lMB1UlOJsFpMkSAWdlaqQGKuA?e=YHpBP0" TargetMode="External"/><Relationship Id="rId18" Type="http://schemas.openxmlformats.org/officeDocument/2006/relationships/hyperlink" Target="../../../../../../:f:/g/EsuQmnNhdAxKpEnwJROXxT0BY4iuy0jA-kQn6O4ifl05lg?e=U9wyZn" TargetMode="External"/><Relationship Id="rId26" Type="http://schemas.openxmlformats.org/officeDocument/2006/relationships/hyperlink" Target="../../../../../../:b:/g/Ec6mLlnsuNpOjat59lfRSO0B96mDlD5boo7Ud_VlJ0BjOw?e=5ChE2z" TargetMode="External"/><Relationship Id="rId3" Type="http://schemas.openxmlformats.org/officeDocument/2006/relationships/hyperlink" Target="../../../../../../:f:/g/Em6ku1fGt5hPnA0y-C_hgDsBy2UqVgpcnHXkdxh4D--PGw?e=0iAdJQ" TargetMode="External"/><Relationship Id="rId21" Type="http://schemas.openxmlformats.org/officeDocument/2006/relationships/hyperlink" Target="../../../../../../:f:/g/Et_gcjlLv2RKqr55bPdCJk8BtOeiLei3RGLkyiwNKcMOEA?e=mxQRS8" TargetMode="External"/><Relationship Id="rId34" Type="http://schemas.microsoft.com/office/2017/10/relationships/threadedComment" Target="../threadedComments/threadedComment3.xml"/><Relationship Id="rId7" Type="http://schemas.openxmlformats.org/officeDocument/2006/relationships/hyperlink" Target="../../../../../../:f:/g/EgAL1N6l3HZAvMbC8Gl_7ksBrBg-y0NIteT2cJS2b9VKyQ?e=TWX7TX" TargetMode="External"/><Relationship Id="rId12" Type="http://schemas.openxmlformats.org/officeDocument/2006/relationships/hyperlink" Target="../../../../../../:f:/g/ElFvzb_GlK5OjzRgFMhhFPYBYmIjgAAECf0f-qv8jTvzYQ?e=1OpEIZ" TargetMode="External"/><Relationship Id="rId17" Type="http://schemas.openxmlformats.org/officeDocument/2006/relationships/hyperlink" Target="../../../../../../:f:/g/ErVLdMHfwTVIg_NB-SenTBgBifeYGfv5Odk6neXzC8WBPA?e=TJkcwS" TargetMode="External"/><Relationship Id="rId25" Type="http://schemas.openxmlformats.org/officeDocument/2006/relationships/hyperlink" Target="../../../../../../:f:/g/EgUKEjm7PS5EqVefABpNM1cBLORWoBWFWgmkLPlOIPpd8Q?e=3i242N" TargetMode="External"/><Relationship Id="rId33" Type="http://schemas.openxmlformats.org/officeDocument/2006/relationships/comments" Target="../comments3.xml"/><Relationship Id="rId2" Type="http://schemas.openxmlformats.org/officeDocument/2006/relationships/hyperlink" Target="../../../../../../:f:/g/Em6ku1fGt5hPnA0y-C_hgDsBy2UqVgpcnHXkdxh4D--PGw?e=0iAdJQ" TargetMode="External"/><Relationship Id="rId16" Type="http://schemas.openxmlformats.org/officeDocument/2006/relationships/hyperlink" Target="../../../../../../:f:/g/EsiRwU-D_fZBhiucGy3jLVMBgDclWAivOE20k-b02_JPiw?e=liIh3v" TargetMode="External"/><Relationship Id="rId20" Type="http://schemas.openxmlformats.org/officeDocument/2006/relationships/hyperlink" Target="../../../../../../:f:/g/EmbpDZ74lkJFsDjQi3v36hYBcP7GesHtEjLfWJsrA2tiWA?e=Emrcrp" TargetMode="External"/><Relationship Id="rId29" Type="http://schemas.openxmlformats.org/officeDocument/2006/relationships/hyperlink" Target="../../../../../../:f:/g/EunppFJbw_5EgQCkrVsU1roB3PDx-RbYHgfOe9lNvQmEnQ?e=DYgd2J" TargetMode="External"/><Relationship Id="rId1" Type="http://schemas.openxmlformats.org/officeDocument/2006/relationships/hyperlink" Target="../../../../../../:f:/g/Ej_dmwaeqG1IokvAJVwf55AB7yWAhYpMB0DddwOKsIa9KQ?e=YX22PA" TargetMode="External"/><Relationship Id="rId6" Type="http://schemas.openxmlformats.org/officeDocument/2006/relationships/hyperlink" Target="../../../../../../:f:/g/EsjGHJ_1nyJBr9P-iLHzoucB2NlQo5nbQZFxonuvp6Is9A?e=VswhtH" TargetMode="External"/><Relationship Id="rId11" Type="http://schemas.openxmlformats.org/officeDocument/2006/relationships/hyperlink" Target="../../../../../../:f:/g/EjhQap6jje5HsULV89_wTrIBiIx_21v1TlkWpz7PEto8zQ?e=6LMFDw" TargetMode="External"/><Relationship Id="rId24" Type="http://schemas.openxmlformats.org/officeDocument/2006/relationships/hyperlink" Target="../../../../../../:f:/g/ErfqeTRhreFHrACDHOgNRE8Be52PtZ6PVrqjbJKwJnlkZA?e=A0HVvq" TargetMode="External"/><Relationship Id="rId32" Type="http://schemas.openxmlformats.org/officeDocument/2006/relationships/vmlDrawing" Target="../drawings/vmlDrawing3.vml"/><Relationship Id="rId5" Type="http://schemas.openxmlformats.org/officeDocument/2006/relationships/hyperlink" Target="../../../../../../:f:/g/EjJnYYQKfdxJgQYWx9lMdlwBpVG1R5pJpUoNbCfiYbidGA?e=KROYh2" TargetMode="External"/><Relationship Id="rId15" Type="http://schemas.openxmlformats.org/officeDocument/2006/relationships/hyperlink" Target="../../../../../../:f:/g/ErfZGvvsgoRHkosiumb4PZsBuNuGjj_FzYbXnFNVGKnrsw?e=0xmGzI" TargetMode="External"/><Relationship Id="rId23" Type="http://schemas.openxmlformats.org/officeDocument/2006/relationships/hyperlink" Target="../../../../../../:f:/g/Es1B2ojs0iVJi-dwMZWjekwBwJEC5DvBmGwp_oAsOMJpxA?e=Eencs9" TargetMode="External"/><Relationship Id="rId28" Type="http://schemas.openxmlformats.org/officeDocument/2006/relationships/hyperlink" Target="../../../../../../:f:/g/Eu0NxpXCyqBKuK-bY7GqOjQB5Y2YdUYz7InsQqRIpcRkag?e=BIbNNI" TargetMode="External"/><Relationship Id="rId10" Type="http://schemas.openxmlformats.org/officeDocument/2006/relationships/hyperlink" Target="../../../../../../:f:/g/Elhn5n88yDNMk_e61AxM8HYBS09jZDxGuvMCM4vx7DgCCw?e=3gODDZ" TargetMode="External"/><Relationship Id="rId19" Type="http://schemas.openxmlformats.org/officeDocument/2006/relationships/hyperlink" Target="../../../../../../:f:/g/Erfy4Y_rtK5JgPrSha4OZCUB9jCN2cg2Zcrgz98jmvbTsw?e=0PiNGc" TargetMode="External"/><Relationship Id="rId31" Type="http://schemas.openxmlformats.org/officeDocument/2006/relationships/printerSettings" Target="../printerSettings/printerSettings7.bin"/><Relationship Id="rId4" Type="http://schemas.openxmlformats.org/officeDocument/2006/relationships/hyperlink" Target="../../../../../../:f:/g/Er9jvAzUFRFCtBDHXPKcXA0BO9hFsafFnh12OrOU94kqog?e=iL12LI" TargetMode="External"/><Relationship Id="rId9" Type="http://schemas.openxmlformats.org/officeDocument/2006/relationships/hyperlink" Target="../../../../../../:f:/g/Ei70ZEM5tW9LloeKDbQhcfQBR-_pOe3EEZZzmzYcuy9nzw?e=epoWSR" TargetMode="External"/><Relationship Id="rId14" Type="http://schemas.openxmlformats.org/officeDocument/2006/relationships/hyperlink" Target="../../../../../../:f:/g/Enhf6996J8FImXe0IR5IeBwB6Fi5ecb96V0nnyUuADV3GA?e=t9CCUu" TargetMode="External"/><Relationship Id="rId22" Type="http://schemas.openxmlformats.org/officeDocument/2006/relationships/hyperlink" Target="../../../../../../:f:/g/EgnQKLOB2CFIm1Z4MH171a0Bu5O8UPr1HhJlEvSS-lsbMQ?e=KL7U0O" TargetMode="External"/><Relationship Id="rId27" Type="http://schemas.openxmlformats.org/officeDocument/2006/relationships/hyperlink" Target="../../../../../../:b:/g/ETtk74EUxa5Hvi-fUXs0VL8B1qP28THo-82l25SPP4MXXw?e=kAdkeB" TargetMode="External"/><Relationship Id="rId30" Type="http://schemas.openxmlformats.org/officeDocument/2006/relationships/hyperlink" Target="../../../../../../:b:/g/ESJVje5FnQlFjSIeedkZKP0BKY-4DjdfXSmlLyb7w1mIJw?e=ugYchx" TargetMode="External"/><Relationship Id="rId8" Type="http://schemas.openxmlformats.org/officeDocument/2006/relationships/hyperlink" Target="../../../../../../:f:/g/Em4jf9ZPZqpDl7KurVQO-J0BPWPwjnd1rNhhzK9AoU-B3Q?e=bqq1Ug"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00117-46B3-45C4-B9A6-3D1CC4288337}">
  <dimension ref="B2:L37"/>
  <sheetViews>
    <sheetView showGridLines="0" workbookViewId="0">
      <pane xSplit="2" ySplit="2" topLeftCell="C3" activePane="bottomRight" state="frozen"/>
      <selection pane="topRight" activeCell="D1" sqref="D1"/>
      <selection pane="bottomLeft" activeCell="A3" sqref="A3"/>
      <selection pane="bottomRight" activeCell="G1" sqref="G1:H1048576"/>
    </sheetView>
  </sheetViews>
  <sheetFormatPr defaultColWidth="11.33203125" defaultRowHeight="14" x14ac:dyDescent="0.3"/>
  <cols>
    <col min="1" max="1" width="3.6640625" style="1202" customWidth="1"/>
    <col min="2" max="2" width="38.88671875" style="1204" bestFit="1" customWidth="1"/>
    <col min="3" max="4" width="18.33203125" style="1202" bestFit="1" customWidth="1"/>
    <col min="5" max="5" width="18" style="1202" bestFit="1" customWidth="1"/>
    <col min="6" max="6" width="18" style="1202" customWidth="1"/>
    <col min="7" max="7" width="5.109375" style="1203" customWidth="1"/>
    <col min="8" max="8" width="14.6640625" style="1202" bestFit="1" customWidth="1"/>
    <col min="9" max="9" width="14.6640625" style="1202" customWidth="1"/>
    <col min="10" max="12" width="16.33203125" style="1202" bestFit="1" customWidth="1"/>
    <col min="13" max="16384" width="11.33203125" style="1202"/>
  </cols>
  <sheetData>
    <row r="2" spans="2:12" x14ac:dyDescent="0.3">
      <c r="B2" s="1201" t="str">
        <f>[3]Inputs!D5</f>
        <v>2, 4-A &amp; 4 Henderson Dr.</v>
      </c>
      <c r="C2" s="1202" t="str">
        <f>[3]Inputs!D6</f>
        <v>Travelers Rest SC</v>
      </c>
    </row>
    <row r="4" spans="2:12" x14ac:dyDescent="0.3">
      <c r="B4" s="1204" t="s">
        <v>948</v>
      </c>
      <c r="C4" s="1205">
        <v>5</v>
      </c>
      <c r="H4" s="1206"/>
      <c r="I4" s="1206"/>
    </row>
    <row r="5" spans="2:12" ht="14.5" x14ac:dyDescent="0.35">
      <c r="H5" s="1207"/>
      <c r="I5" s="1207"/>
    </row>
    <row r="6" spans="2:12" ht="14.5" x14ac:dyDescent="0.35">
      <c r="B6" s="1204" t="s">
        <v>949</v>
      </c>
      <c r="C6" s="1208">
        <v>0.7</v>
      </c>
      <c r="D6" s="1204" t="s">
        <v>950</v>
      </c>
      <c r="E6" s="1209" t="s">
        <v>951</v>
      </c>
      <c r="F6" s="1210"/>
      <c r="G6" s="1211"/>
      <c r="H6" s="1207"/>
      <c r="I6" s="1207"/>
    </row>
    <row r="7" spans="2:12" ht="14.5" x14ac:dyDescent="0.35">
      <c r="B7" s="1204" t="s">
        <v>952</v>
      </c>
      <c r="C7" s="1208">
        <v>0.9</v>
      </c>
      <c r="D7" s="1204" t="s">
        <v>953</v>
      </c>
      <c r="E7" s="1209" t="s">
        <v>954</v>
      </c>
      <c r="F7" s="1210"/>
      <c r="G7" s="1211"/>
      <c r="H7" s="1207"/>
      <c r="I7" s="1207"/>
    </row>
    <row r="8" spans="2:12" ht="14.5" x14ac:dyDescent="0.35">
      <c r="H8" s="1207"/>
      <c r="I8" s="1207"/>
    </row>
    <row r="9" spans="2:12" ht="14.5" x14ac:dyDescent="0.35">
      <c r="B9" s="1204" t="s">
        <v>955</v>
      </c>
      <c r="C9" s="1212">
        <v>0.01</v>
      </c>
      <c r="H9" s="1207"/>
      <c r="I9" s="1207"/>
    </row>
    <row r="10" spans="2:12" ht="14.5" x14ac:dyDescent="0.35">
      <c r="B10" s="1204" t="s">
        <v>956</v>
      </c>
      <c r="C10" s="1212">
        <v>9.2499999999999999E-2</v>
      </c>
      <c r="H10" s="1207"/>
      <c r="I10" s="1207"/>
      <c r="J10" s="1202" t="s">
        <v>957</v>
      </c>
      <c r="K10" s="1202" t="s">
        <v>958</v>
      </c>
      <c r="L10" s="1202" t="s">
        <v>23</v>
      </c>
    </row>
    <row r="11" spans="2:12" ht="14.5" x14ac:dyDescent="0.35">
      <c r="B11" s="1204" t="s">
        <v>959</v>
      </c>
      <c r="C11" s="1213">
        <v>18</v>
      </c>
      <c r="H11" s="1207" t="s">
        <v>141</v>
      </c>
      <c r="I11" s="1207" t="s">
        <v>150</v>
      </c>
      <c r="J11" s="1214">
        <f ca="1">D31</f>
        <v>59933.530334444484</v>
      </c>
      <c r="K11" s="1214">
        <f>D32</f>
        <v>302472.35333333333</v>
      </c>
      <c r="L11" s="1214">
        <f ca="1">J11+K11+J12</f>
        <v>384725.11800000002</v>
      </c>
    </row>
    <row r="12" spans="2:12" ht="14.5" x14ac:dyDescent="0.35">
      <c r="C12" s="1215"/>
      <c r="D12" s="1216"/>
      <c r="H12" s="1207"/>
      <c r="I12" s="1202" t="s">
        <v>960</v>
      </c>
      <c r="J12" s="1214">
        <f ca="1">D24+D25+D26</f>
        <v>22319.234332222222</v>
      </c>
      <c r="K12" s="1214"/>
      <c r="L12" s="1214"/>
    </row>
    <row r="13" spans="2:12" x14ac:dyDescent="0.3">
      <c r="D13" s="1217" t="s">
        <v>32</v>
      </c>
      <c r="H13" s="1218" t="s">
        <v>961</v>
      </c>
      <c r="I13" s="1218"/>
      <c r="J13" s="1219">
        <f ca="1">D34</f>
        <v>65066.469665555516</v>
      </c>
      <c r="K13" s="1219"/>
      <c r="L13" s="1219">
        <f ca="1">J13+K13</f>
        <v>65066.469665555516</v>
      </c>
    </row>
    <row r="14" spans="2:12" s="1222" customFormat="1" x14ac:dyDescent="0.3">
      <c r="B14" s="1220" t="s">
        <v>962</v>
      </c>
      <c r="C14" s="1221">
        <f>D14*C4</f>
        <v>2995000</v>
      </c>
      <c r="D14" s="1222">
        <f>[3]Inputs!I72</f>
        <v>599000</v>
      </c>
      <c r="E14" s="1223">
        <f>C22/C14</f>
        <v>0.64227899499165275</v>
      </c>
      <c r="F14" s="1224" t="s">
        <v>963</v>
      </c>
      <c r="G14" s="1225"/>
      <c r="H14" s="1202"/>
      <c r="I14" s="1202"/>
      <c r="J14" s="1226">
        <f ca="1">SUM(J11:J13)</f>
        <v>147319.23433222223</v>
      </c>
      <c r="K14" s="1226">
        <f>SUM(K11:K13)</f>
        <v>302472.35333333333</v>
      </c>
      <c r="L14" s="1226">
        <f ca="1">SUM(L11:L13)</f>
        <v>449791.58766555553</v>
      </c>
    </row>
    <row r="15" spans="2:12" s="1222" customFormat="1" x14ac:dyDescent="0.3">
      <c r="B15" s="1220"/>
      <c r="E15" s="1227"/>
      <c r="F15" s="1228"/>
      <c r="G15" s="1225"/>
      <c r="H15" s="1202"/>
      <c r="I15" s="1202"/>
    </row>
    <row r="16" spans="2:12" x14ac:dyDescent="0.3">
      <c r="B16" s="1204" t="s">
        <v>964</v>
      </c>
      <c r="C16" s="1229">
        <v>625000</v>
      </c>
      <c r="D16" s="1230">
        <f>C16/$C$4</f>
        <v>125000</v>
      </c>
      <c r="E16" s="1231"/>
    </row>
    <row r="17" spans="2:9" s="1222" customFormat="1" x14ac:dyDescent="0.3">
      <c r="B17" s="1204"/>
      <c r="C17" s="1229"/>
      <c r="D17" s="1230"/>
      <c r="E17" s="1231"/>
      <c r="F17" s="1202"/>
      <c r="G17" s="1203"/>
      <c r="H17" s="1202"/>
      <c r="I17" s="1202"/>
    </row>
    <row r="18" spans="2:9" s="1222" customFormat="1" x14ac:dyDescent="0.3">
      <c r="B18" s="1204" t="s">
        <v>965</v>
      </c>
      <c r="C18" s="1222">
        <f>D18*C4</f>
        <v>98800</v>
      </c>
      <c r="D18" s="1222">
        <f>'[3]Acquisition Summary'!D22</f>
        <v>19760</v>
      </c>
      <c r="E18" s="1227"/>
      <c r="F18" s="1228"/>
      <c r="G18" s="1225"/>
      <c r="H18" s="1202"/>
      <c r="I18" s="1202"/>
    </row>
    <row r="19" spans="2:9" s="1222" customFormat="1" ht="14.5" thickBot="1" x14ac:dyDescent="0.35">
      <c r="B19" s="1204" t="s">
        <v>966</v>
      </c>
      <c r="C19" s="1222">
        <f>D19*C4</f>
        <v>1413561.7666666666</v>
      </c>
      <c r="D19" s="1222">
        <f>'[3]Acquisition Summary'!D30</f>
        <v>282712.35333333333</v>
      </c>
      <c r="E19" s="1227"/>
      <c r="F19" s="1228"/>
      <c r="G19" s="1225"/>
      <c r="H19" s="1202"/>
      <c r="I19" s="1202"/>
    </row>
    <row r="20" spans="2:9" s="1222" customFormat="1" ht="14.5" thickTop="1" x14ac:dyDescent="0.3">
      <c r="B20" s="1204" t="s">
        <v>967</v>
      </c>
      <c r="C20" s="1232">
        <f>C19+C18</f>
        <v>1512361.7666666666</v>
      </c>
      <c r="D20" s="1232">
        <f>D19+D18</f>
        <v>302472.35333333333</v>
      </c>
      <c r="E20" s="1231"/>
      <c r="F20" s="1215"/>
      <c r="G20" s="1233"/>
      <c r="H20" s="1202"/>
      <c r="I20" s="1202"/>
    </row>
    <row r="21" spans="2:9" s="1222" customFormat="1" x14ac:dyDescent="0.3">
      <c r="B21" s="1204"/>
      <c r="C21" s="1234"/>
      <c r="D21" s="1234"/>
      <c r="E21" s="1231"/>
      <c r="F21" s="1215"/>
      <c r="G21" s="1233"/>
      <c r="H21" s="1202"/>
      <c r="I21" s="1202"/>
    </row>
    <row r="22" spans="2:9" s="1222" customFormat="1" x14ac:dyDescent="0.3">
      <c r="B22" s="1204" t="s">
        <v>968</v>
      </c>
      <c r="C22" s="1235">
        <f>MIN((C14*C6),C28*C7)</f>
        <v>1923625.59</v>
      </c>
      <c r="D22" s="1230">
        <f>C22/$C$4</f>
        <v>384725.11800000002</v>
      </c>
      <c r="E22" s="1202"/>
      <c r="F22" s="1202"/>
      <c r="G22" s="1203"/>
      <c r="H22" s="1202"/>
      <c r="I22" s="1202"/>
    </row>
    <row r="23" spans="2:9" s="1222" customFormat="1" x14ac:dyDescent="0.3">
      <c r="B23" s="1204"/>
      <c r="C23" s="1230"/>
      <c r="D23" s="1230"/>
      <c r="E23" s="1202"/>
      <c r="F23" s="1202"/>
      <c r="G23" s="1203"/>
      <c r="H23" s="1202"/>
      <c r="I23" s="1202"/>
    </row>
    <row r="24" spans="2:9" s="1222" customFormat="1" x14ac:dyDescent="0.3">
      <c r="B24" s="1204" t="s">
        <v>969</v>
      </c>
      <c r="C24" s="1235">
        <f ca="1">D24*$C$4</f>
        <v>82984.915761111115</v>
      </c>
      <c r="D24" s="1230">
        <f ca="1">[3]Inputs!O29</f>
        <v>16596.983152222223</v>
      </c>
      <c r="E24" s="1202"/>
      <c r="F24" s="1202"/>
      <c r="G24" s="1203"/>
      <c r="H24" s="1202"/>
      <c r="I24" s="1202"/>
    </row>
    <row r="25" spans="2:9" x14ac:dyDescent="0.3">
      <c r="B25" s="1204" t="s">
        <v>955</v>
      </c>
      <c r="C25" s="1230">
        <f>C22*C9</f>
        <v>19236.2559</v>
      </c>
      <c r="D25" s="1230">
        <f>C25/$C$4</f>
        <v>3847.2511800000002</v>
      </c>
    </row>
    <row r="26" spans="2:9" ht="14.5" x14ac:dyDescent="0.35">
      <c r="B26" s="1204" t="s">
        <v>970</v>
      </c>
      <c r="C26" s="1230">
        <f>D26*C4</f>
        <v>9375</v>
      </c>
      <c r="D26" s="1230">
        <f>[3]Inputs!D18</f>
        <v>1875</v>
      </c>
      <c r="E26" s="1236"/>
      <c r="H26" s="1207"/>
      <c r="I26" s="1207"/>
    </row>
    <row r="27" spans="2:9" ht="14.5" x14ac:dyDescent="0.35">
      <c r="B27" s="1204" t="s">
        <v>971</v>
      </c>
      <c r="C27" s="1230">
        <f ca="1">C28+C25+C26+C24</f>
        <v>2248957.9383277781</v>
      </c>
      <c r="D27" s="1230">
        <f ca="1">C27/$C$4</f>
        <v>449791.58766555565</v>
      </c>
      <c r="E27" s="1236"/>
      <c r="H27" s="1207"/>
      <c r="I27" s="1207"/>
    </row>
    <row r="28" spans="2:9" s="1222" customFormat="1" x14ac:dyDescent="0.3">
      <c r="B28" s="1220" t="s">
        <v>972</v>
      </c>
      <c r="C28" s="1222">
        <f>C20+C16</f>
        <v>2137361.7666666666</v>
      </c>
      <c r="D28" s="1222">
        <f>D20+D16</f>
        <v>427472.35333333333</v>
      </c>
      <c r="E28" s="1237">
        <f>C22/C28</f>
        <v>0.9</v>
      </c>
      <c r="F28" s="1238" t="s">
        <v>973</v>
      </c>
      <c r="G28" s="1239"/>
      <c r="H28" s="1202"/>
      <c r="I28" s="1202"/>
    </row>
    <row r="29" spans="2:9" x14ac:dyDescent="0.3">
      <c r="C29" s="1230"/>
      <c r="D29" s="1230"/>
      <c r="E29" s="1236"/>
      <c r="H29" s="1240"/>
      <c r="I29" s="1240"/>
    </row>
    <row r="30" spans="2:9" s="1222" customFormat="1" x14ac:dyDescent="0.3">
      <c r="B30" s="1204" t="s">
        <v>974</v>
      </c>
      <c r="C30" s="1222">
        <f ca="1">C22-C24-C25-C26</f>
        <v>1812029.418338889</v>
      </c>
      <c r="D30" s="1222">
        <f ca="1">D22-D24-D25-D26</f>
        <v>362405.88366777776</v>
      </c>
      <c r="E30" s="1236"/>
      <c r="F30" s="1224"/>
      <c r="G30" s="1241"/>
      <c r="H30" s="1240"/>
      <c r="I30" s="1240"/>
    </row>
    <row r="31" spans="2:9" s="1222" customFormat="1" x14ac:dyDescent="0.3">
      <c r="B31" s="1220" t="s">
        <v>975</v>
      </c>
      <c r="C31" s="1235">
        <f ca="1">C30-C32</f>
        <v>299667.65167222242</v>
      </c>
      <c r="D31" s="1230">
        <f ca="1">C31/$C$4</f>
        <v>59933.530334444484</v>
      </c>
      <c r="E31" s="1228"/>
      <c r="F31" s="1228"/>
      <c r="G31" s="1225"/>
      <c r="H31" s="1202"/>
      <c r="I31" s="1202"/>
    </row>
    <row r="32" spans="2:9" s="1222" customFormat="1" x14ac:dyDescent="0.3">
      <c r="B32" s="1204" t="s">
        <v>976</v>
      </c>
      <c r="C32" s="1235">
        <f>C20</f>
        <v>1512361.7666666666</v>
      </c>
      <c r="D32" s="1230">
        <f>C32/$C$4</f>
        <v>302472.35333333333</v>
      </c>
      <c r="E32" s="1228"/>
      <c r="F32" s="1228"/>
      <c r="G32" s="1225"/>
      <c r="H32" s="1202"/>
      <c r="I32" s="1202"/>
    </row>
    <row r="33" spans="2:9" s="1222" customFormat="1" x14ac:dyDescent="0.3">
      <c r="B33" s="1220"/>
      <c r="C33" s="1228"/>
      <c r="D33" s="1230"/>
      <c r="E33" s="1228"/>
      <c r="F33" s="1228"/>
      <c r="G33" s="1225"/>
      <c r="H33" s="1202"/>
      <c r="I33" s="1202"/>
    </row>
    <row r="34" spans="2:9" s="1222" customFormat="1" x14ac:dyDescent="0.3">
      <c r="B34" s="1220" t="s">
        <v>977</v>
      </c>
      <c r="C34" s="1242">
        <f ca="1">C28-C30</f>
        <v>325332.34832777758</v>
      </c>
      <c r="D34" s="1230">
        <f ca="1">C34/$C$4</f>
        <v>65066.469665555516</v>
      </c>
      <c r="E34" s="1228"/>
      <c r="F34" s="1228"/>
      <c r="G34" s="1225"/>
      <c r="H34" s="1202"/>
      <c r="I34" s="1202"/>
    </row>
    <row r="35" spans="2:9" x14ac:dyDescent="0.3">
      <c r="B35" s="1220"/>
      <c r="C35" s="1228"/>
      <c r="D35" s="1230"/>
      <c r="E35" s="1228"/>
      <c r="F35" s="1228"/>
      <c r="G35" s="1225"/>
    </row>
    <row r="36" spans="2:9" x14ac:dyDescent="0.3">
      <c r="C36" s="1228"/>
      <c r="D36" s="1228"/>
      <c r="E36" s="1228"/>
      <c r="F36" s="1228"/>
      <c r="G36" s="1225"/>
    </row>
    <row r="37" spans="2:9" x14ac:dyDescent="0.3">
      <c r="C37" s="1228"/>
      <c r="D37" s="1228"/>
      <c r="E37" s="1228"/>
      <c r="F37" s="1228"/>
      <c r="G37" s="1225"/>
    </row>
  </sheetData>
  <conditionalFormatting sqref="C34">
    <cfRule type="cellIs" dxfId="17" priority="1" operator="lessThan">
      <formula>0</formula>
    </cfRule>
    <cfRule type="expression" dxfId="16" priority="2">
      <formula>"&lt;0"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B1:AD108"/>
  <sheetViews>
    <sheetView showGridLines="0" tabSelected="1" topLeftCell="A9" zoomScale="98" zoomScaleNormal="98" zoomScaleSheetLayoutView="125" workbookViewId="0">
      <selection activeCell="F72" sqref="F72"/>
    </sheetView>
  </sheetViews>
  <sheetFormatPr defaultColWidth="14.44140625" defaultRowHeight="13" x14ac:dyDescent="0.3"/>
  <cols>
    <col min="1" max="1" width="1.44140625" style="467" customWidth="1"/>
    <col min="2" max="2" width="42.77734375" style="467" bestFit="1" customWidth="1"/>
    <col min="3" max="3" width="15" style="476" bestFit="1" customWidth="1"/>
    <col min="4" max="4" width="23.77734375" style="467" bestFit="1" customWidth="1"/>
    <col min="5" max="5" width="15.33203125" style="476" bestFit="1" customWidth="1"/>
    <col min="6" max="6" width="20.77734375" style="467" bestFit="1" customWidth="1"/>
    <col min="7" max="7" width="20.44140625" style="467" bestFit="1" customWidth="1"/>
    <col min="8" max="8" width="29.33203125" style="467" bestFit="1" customWidth="1"/>
    <col min="9" max="9" width="25.33203125" style="467" bestFit="1" customWidth="1"/>
    <col min="10" max="10" width="13.44140625" style="467" bestFit="1" customWidth="1"/>
    <col min="11" max="11" width="10" style="467" customWidth="1"/>
    <col min="12" max="12" width="53.77734375" style="467" bestFit="1" customWidth="1"/>
    <col min="13" max="13" width="8.6640625" style="467" bestFit="1" customWidth="1"/>
    <col min="14" max="14" width="8.33203125" style="467" bestFit="1" customWidth="1"/>
    <col min="15" max="15" width="14.109375" style="467" bestFit="1" customWidth="1"/>
    <col min="16" max="16" width="16.109375" style="467" bestFit="1" customWidth="1"/>
    <col min="17" max="17" width="16.109375" style="467" customWidth="1"/>
    <col min="18" max="18" width="14.109375" style="467" bestFit="1" customWidth="1"/>
    <col min="19" max="19" width="15.33203125" style="467" bestFit="1" customWidth="1"/>
    <col min="20" max="20" width="139.33203125" style="467" bestFit="1" customWidth="1"/>
    <col min="21" max="21" width="9" style="467" bestFit="1" customWidth="1"/>
    <col min="22" max="22" width="10.44140625" style="467" bestFit="1" customWidth="1"/>
    <col min="23" max="23" width="12.44140625" style="467" bestFit="1" customWidth="1"/>
    <col min="24" max="24" width="14.44140625" style="467" bestFit="1" customWidth="1"/>
    <col min="25" max="25" width="19.109375" style="467" bestFit="1" customWidth="1"/>
    <col min="26" max="26" width="13.109375" style="467" bestFit="1" customWidth="1"/>
    <col min="27" max="27" width="11.33203125" style="467" bestFit="1" customWidth="1"/>
    <col min="28" max="28" width="8" style="467" bestFit="1" customWidth="1"/>
    <col min="29" max="29" width="9.44140625" style="467" bestFit="1" customWidth="1"/>
    <col min="30" max="16384" width="14.44140625" style="467"/>
  </cols>
  <sheetData>
    <row r="1" spans="2:30" ht="13.5" thickBot="1" x14ac:dyDescent="0.35">
      <c r="H1" s="467" t="s">
        <v>0</v>
      </c>
      <c r="I1" s="1010" t="s">
        <v>1</v>
      </c>
    </row>
    <row r="2" spans="2:30" x14ac:dyDescent="0.3">
      <c r="B2" s="1257" t="str">
        <f>D5 &amp; " - Deal Sheet Inputs"</f>
        <v>241 Willard Street - Deal Sheet Inputs</v>
      </c>
      <c r="C2" s="1258"/>
      <c r="D2" s="1258"/>
      <c r="E2" s="1258"/>
      <c r="F2" s="1258"/>
      <c r="G2" s="1258"/>
      <c r="H2" s="1258"/>
      <c r="I2" s="1258"/>
      <c r="J2" s="1259"/>
      <c r="K2" s="478"/>
      <c r="L2" s="1271" t="s">
        <v>2</v>
      </c>
      <c r="M2" s="1271"/>
      <c r="N2" s="1271"/>
      <c r="O2" s="1271"/>
      <c r="P2" s="1271"/>
      <c r="Q2" s="1271"/>
      <c r="R2" s="1271"/>
      <c r="S2" s="1271"/>
    </row>
    <row r="3" spans="2:30" ht="13.5" thickBot="1" x14ac:dyDescent="0.35">
      <c r="B3" s="1260"/>
      <c r="C3" s="1261"/>
      <c r="D3" s="1261"/>
      <c r="E3" s="1261"/>
      <c r="F3" s="1261"/>
      <c r="G3" s="1261"/>
      <c r="H3" s="1261"/>
      <c r="I3" s="1261"/>
      <c r="J3" s="1262"/>
      <c r="K3" s="478"/>
      <c r="L3" s="1271"/>
      <c r="M3" s="1271"/>
      <c r="N3" s="1271"/>
      <c r="O3" s="1271"/>
      <c r="P3" s="1271"/>
      <c r="Q3" s="1271"/>
      <c r="R3" s="1271"/>
      <c r="S3" s="1271"/>
    </row>
    <row r="4" spans="2:30" ht="13.5" thickBot="1" x14ac:dyDescent="0.35">
      <c r="B4" s="1263" t="s">
        <v>3</v>
      </c>
      <c r="C4" s="1264"/>
      <c r="D4" s="1265"/>
      <c r="E4" s="1265"/>
      <c r="F4" s="1264" t="s">
        <v>4</v>
      </c>
      <c r="G4" s="1264"/>
      <c r="H4" s="1264"/>
      <c r="I4" s="1264"/>
      <c r="J4" s="1268"/>
      <c r="K4" s="479"/>
      <c r="L4" s="480" t="s">
        <v>5</v>
      </c>
      <c r="M4" s="481"/>
      <c r="N4" s="481"/>
      <c r="O4" s="481"/>
      <c r="P4" s="481"/>
      <c r="Q4" s="482"/>
      <c r="R4" s="483"/>
      <c r="S4" s="468"/>
      <c r="T4" s="468"/>
      <c r="Z4" s="1254" t="s">
        <v>6</v>
      </c>
      <c r="AA4" s="1255"/>
      <c r="AB4" s="1255"/>
      <c r="AC4" s="1256"/>
      <c r="AD4" s="483"/>
    </row>
    <row r="5" spans="2:30" x14ac:dyDescent="0.3">
      <c r="B5" s="484" t="s">
        <v>7</v>
      </c>
      <c r="C5" s="485"/>
      <c r="D5" s="1269" t="s">
        <v>8</v>
      </c>
      <c r="E5" s="1269"/>
      <c r="F5" s="1245"/>
      <c r="G5" s="1246"/>
      <c r="H5" s="1246"/>
      <c r="I5" s="1246"/>
      <c r="J5" s="1247"/>
      <c r="K5" s="486"/>
      <c r="L5" s="487"/>
      <c r="N5" s="488"/>
      <c r="O5" s="489" t="s">
        <v>9</v>
      </c>
      <c r="P5" s="490" t="s">
        <v>10</v>
      </c>
      <c r="Q5" s="490" t="s">
        <v>11</v>
      </c>
      <c r="R5" s="489"/>
      <c r="U5" s="468"/>
      <c r="V5" s="468"/>
      <c r="W5" s="468"/>
      <c r="X5" s="468"/>
      <c r="Z5" s="231" t="s">
        <v>12</v>
      </c>
      <c r="AA5" s="804">
        <f>D19</f>
        <v>0</v>
      </c>
      <c r="AB5" s="222"/>
      <c r="AC5" s="223"/>
      <c r="AD5" s="222"/>
    </row>
    <row r="6" spans="2:30" x14ac:dyDescent="0.3">
      <c r="B6" s="484" t="s">
        <v>13</v>
      </c>
      <c r="C6" s="485"/>
      <c r="D6" s="1269" t="s">
        <v>14</v>
      </c>
      <c r="E6" s="1270"/>
      <c r="F6" s="940"/>
      <c r="G6" s="941"/>
      <c r="H6" s="941"/>
      <c r="I6" s="941"/>
      <c r="J6" s="942"/>
      <c r="K6" s="486"/>
      <c r="L6" s="492" t="str">
        <f>+'Acquisition Summary'!B13</f>
        <v>Renovo Loan</v>
      </c>
      <c r="N6" s="474">
        <f ca="1">+O6/O8</f>
        <v>0.84722064789831908</v>
      </c>
      <c r="O6" s="469">
        <f>+D96*buildcount</f>
        <v>267728.87866666669</v>
      </c>
      <c r="P6" s="493">
        <f ca="1">+IF(M23="Manual",P32-O7,D100)</f>
        <v>76999.999999999985</v>
      </c>
      <c r="Q6" s="493">
        <f ca="1">+IF(M23="Manual",Q32,O6-P6)</f>
        <v>190728.87866666669</v>
      </c>
      <c r="R6" s="469"/>
      <c r="Z6" s="231" t="s">
        <v>15</v>
      </c>
      <c r="AA6" s="804">
        <f>$AA$5*AB6</f>
        <v>0</v>
      </c>
      <c r="AB6" s="805">
        <f>1/3</f>
        <v>0.33333333333333331</v>
      </c>
      <c r="AC6" s="223" t="b">
        <f>AC8=AA8</f>
        <v>1</v>
      </c>
      <c r="AD6" s="222"/>
    </row>
    <row r="7" spans="2:30" x14ac:dyDescent="0.3">
      <c r="B7" s="484" t="s">
        <v>16</v>
      </c>
      <c r="C7" s="485"/>
      <c r="D7" s="1266" t="s">
        <v>17</v>
      </c>
      <c r="E7" s="1267"/>
      <c r="F7" s="1245"/>
      <c r="G7" s="1246"/>
      <c r="H7" s="1246"/>
      <c r="I7" s="1246"/>
      <c r="J7" s="1247"/>
      <c r="K7" s="491"/>
      <c r="L7" s="495" t="s">
        <v>18</v>
      </c>
      <c r="M7" s="496"/>
      <c r="N7" s="497">
        <f ca="1">+O7/O8</f>
        <v>0.15277935210168098</v>
      </c>
      <c r="O7" s="498">
        <f ca="1">+O32-O6</f>
        <v>48279.565332916682</v>
      </c>
      <c r="P7" s="499">
        <f ca="1">+IF(M23="Manual",O7,P32-P6)</f>
        <v>48279.565332916682</v>
      </c>
      <c r="Q7" s="499">
        <f>+IF(M23="Manual",0,O7-P7)</f>
        <v>0</v>
      </c>
      <c r="R7" s="500"/>
      <c r="Z7" s="231" t="s">
        <v>19</v>
      </c>
      <c r="AA7" s="804">
        <f>$AA$5*AB7</f>
        <v>0</v>
      </c>
      <c r="AB7" s="805">
        <f>2/3</f>
        <v>0.66666666666666663</v>
      </c>
      <c r="AC7" s="223" t="s">
        <v>20</v>
      </c>
    </row>
    <row r="8" spans="2:30" ht="13.5" thickBot="1" x14ac:dyDescent="0.35">
      <c r="B8" s="484" t="s">
        <v>21</v>
      </c>
      <c r="C8" s="485"/>
      <c r="D8" s="1266"/>
      <c r="E8" s="1267"/>
      <c r="F8" s="1245"/>
      <c r="G8" s="1246"/>
      <c r="H8" s="1246"/>
      <c r="I8" s="1246"/>
      <c r="J8" s="1247"/>
      <c r="K8" s="494"/>
      <c r="L8" s="501" t="s">
        <v>22</v>
      </c>
      <c r="M8" s="502"/>
      <c r="N8" s="502"/>
      <c r="O8" s="503">
        <f ca="1">+O7+O6</f>
        <v>316008.44399958337</v>
      </c>
      <c r="P8" s="504">
        <f ca="1">SUM(P6:P7)</f>
        <v>125279.56533291667</v>
      </c>
      <c r="Q8" s="504">
        <f ca="1">SUM(Q6:Q7)</f>
        <v>190728.87866666669</v>
      </c>
      <c r="R8" s="500"/>
      <c r="Z8" s="231" t="s">
        <v>23</v>
      </c>
      <c r="AA8" s="207">
        <f>SUM(AA6:AA7)</f>
        <v>0</v>
      </c>
      <c r="AB8" s="805">
        <f>SUM(AB6:AB7)</f>
        <v>1</v>
      </c>
      <c r="AC8" s="809">
        <f>Inputs!D19</f>
        <v>0</v>
      </c>
      <c r="AD8" s="222"/>
    </row>
    <row r="9" spans="2:30" x14ac:dyDescent="0.3">
      <c r="B9" s="484" t="s">
        <v>24</v>
      </c>
      <c r="C9" s="485"/>
      <c r="D9" s="1053">
        <v>54000404100</v>
      </c>
      <c r="E9" s="1200"/>
      <c r="F9" s="1245"/>
      <c r="G9" s="1246"/>
      <c r="H9" s="1246"/>
      <c r="I9" s="1246"/>
      <c r="J9" s="1247"/>
      <c r="K9" s="491"/>
      <c r="L9" s="487"/>
      <c r="P9" s="507"/>
      <c r="Q9" s="507"/>
      <c r="Z9" s="1251" t="s">
        <v>25</v>
      </c>
      <c r="AA9" s="1252"/>
      <c r="AB9" s="1252"/>
      <c r="AC9" s="1253"/>
      <c r="AD9" s="483"/>
    </row>
    <row r="10" spans="2:30" x14ac:dyDescent="0.3">
      <c r="B10" s="505" t="s">
        <v>26</v>
      </c>
      <c r="C10" s="506"/>
      <c r="D10" s="1266"/>
      <c r="E10" s="1267"/>
      <c r="F10" s="1245"/>
      <c r="G10" s="1246"/>
      <c r="H10" s="1246"/>
      <c r="I10" s="1246"/>
      <c r="J10" s="1247"/>
      <c r="K10" s="491"/>
      <c r="L10" s="509" t="s">
        <v>27</v>
      </c>
      <c r="M10" s="510"/>
      <c r="N10" s="510"/>
      <c r="O10" s="510"/>
      <c r="P10" s="511"/>
      <c r="Q10" s="511"/>
      <c r="R10" s="511"/>
      <c r="S10" s="511"/>
      <c r="Z10" s="231" t="s">
        <v>28</v>
      </c>
      <c r="AA10" s="804">
        <f>'Investor Summary'!E12</f>
        <v>450000</v>
      </c>
      <c r="AB10" s="222"/>
      <c r="AC10" s="223"/>
      <c r="AD10" s="222"/>
    </row>
    <row r="11" spans="2:30" x14ac:dyDescent="0.3">
      <c r="B11" s="505" t="s">
        <v>29</v>
      </c>
      <c r="C11" s="506"/>
      <c r="D11" s="1266" t="s">
        <v>30</v>
      </c>
      <c r="E11" s="1267"/>
      <c r="F11" s="940"/>
      <c r="G11" s="941"/>
      <c r="H11" s="941"/>
      <c r="I11" s="941"/>
      <c r="J11" s="942"/>
      <c r="K11" s="508"/>
      <c r="L11" s="487"/>
      <c r="N11" s="488"/>
      <c r="O11" s="489" t="s">
        <v>9</v>
      </c>
      <c r="P11" s="514" t="s">
        <v>31</v>
      </c>
      <c r="Q11" s="514" t="s">
        <v>11</v>
      </c>
      <c r="R11" s="515" t="s">
        <v>32</v>
      </c>
      <c r="S11" s="514" t="s">
        <v>33</v>
      </c>
      <c r="V11" s="469"/>
      <c r="Z11" s="231" t="s">
        <v>34</v>
      </c>
      <c r="AA11" s="804">
        <f>$AA$10*AB11</f>
        <v>6750</v>
      </c>
      <c r="AB11" s="805">
        <v>1.4999999999999999E-2</v>
      </c>
      <c r="AC11" s="223" t="b">
        <f>AC13=AA13</f>
        <v>1</v>
      </c>
      <c r="AD11" s="222"/>
    </row>
    <row r="12" spans="2:30" x14ac:dyDescent="0.3">
      <c r="B12" s="484" t="s">
        <v>35</v>
      </c>
      <c r="C12" s="485"/>
      <c r="D12" s="1266"/>
      <c r="E12" s="1267"/>
      <c r="F12" s="1245"/>
      <c r="G12" s="1246"/>
      <c r="H12" s="1246"/>
      <c r="I12" s="1246"/>
      <c r="J12" s="1247"/>
      <c r="K12" s="508"/>
      <c r="L12" s="516" t="s">
        <v>36</v>
      </c>
      <c r="O12" s="990">
        <v>0</v>
      </c>
      <c r="P12" s="493">
        <f>+O12</f>
        <v>0</v>
      </c>
      <c r="Q12" s="493">
        <f>+O12-P12</f>
        <v>0</v>
      </c>
      <c r="R12" s="493"/>
      <c r="S12" s="493"/>
      <c r="Z12" s="231" t="s">
        <v>37</v>
      </c>
      <c r="AA12" s="804">
        <f>$AA$10*AB12</f>
        <v>4500</v>
      </c>
      <c r="AB12" s="805">
        <v>0.01</v>
      </c>
      <c r="AC12" s="223" t="s">
        <v>20</v>
      </c>
    </row>
    <row r="13" spans="2:30" ht="13.5" thickBot="1" x14ac:dyDescent="0.35">
      <c r="B13" s="512" t="s">
        <v>38</v>
      </c>
      <c r="C13" s="513"/>
      <c r="D13" s="1297">
        <v>46081</v>
      </c>
      <c r="E13" s="1298"/>
      <c r="F13" s="1248"/>
      <c r="G13" s="1249"/>
      <c r="H13" s="1249"/>
      <c r="I13" s="1249"/>
      <c r="J13" s="1250"/>
      <c r="K13" s="508"/>
      <c r="L13" s="518" t="s">
        <v>39</v>
      </c>
      <c r="O13" s="469">
        <f>D16</f>
        <v>110000</v>
      </c>
      <c r="P13" s="493">
        <f>+O13</f>
        <v>110000</v>
      </c>
      <c r="Q13" s="493">
        <f>+O13-P13</f>
        <v>0</v>
      </c>
      <c r="R13" s="493">
        <f t="shared" ref="R13:R26" si="0">O13/buildcount</f>
        <v>110000</v>
      </c>
      <c r="S13" s="493">
        <f>(O13/$D$76)/buildcount</f>
        <v>70.785070785070786</v>
      </c>
      <c r="T13" s="467" t="s">
        <v>40</v>
      </c>
      <c r="U13" s="469"/>
      <c r="Z13" s="806" t="s">
        <v>41</v>
      </c>
      <c r="AA13" s="251">
        <f>SUM(AA11:AA12)</f>
        <v>11250</v>
      </c>
      <c r="AB13" s="807">
        <f>SUM(AB11:AB12)</f>
        <v>2.5000000000000001E-2</v>
      </c>
      <c r="AC13" s="810">
        <f>Inputs!D86</f>
        <v>11250</v>
      </c>
      <c r="AD13" s="222"/>
    </row>
    <row r="14" spans="2:30" ht="13" customHeight="1" thickBot="1" x14ac:dyDescent="0.35">
      <c r="F14" s="508"/>
      <c r="G14" s="508"/>
      <c r="H14" s="508"/>
      <c r="I14" s="508"/>
      <c r="J14" s="508"/>
      <c r="K14" s="517"/>
      <c r="L14" s="518" t="str">
        <f>+B19</f>
        <v>Buyer Commission (RCR/PHC)</v>
      </c>
      <c r="N14" s="474">
        <f>+C19</f>
        <v>0</v>
      </c>
      <c r="O14" s="469">
        <f>+D19</f>
        <v>0</v>
      </c>
      <c r="P14" s="493">
        <f>+O14</f>
        <v>0</v>
      </c>
      <c r="Q14" s="493">
        <f t="shared" ref="Q14:Q26" si="1">+O14-P14</f>
        <v>0</v>
      </c>
      <c r="R14" s="493">
        <f t="shared" si="0"/>
        <v>0</v>
      </c>
      <c r="S14" s="493">
        <f>(O14/$D$76)/buildcount</f>
        <v>0</v>
      </c>
    </row>
    <row r="15" spans="2:30" ht="15.75" customHeight="1" thickBot="1" x14ac:dyDescent="0.35">
      <c r="B15" s="1299" t="s">
        <v>42</v>
      </c>
      <c r="C15" s="1300"/>
      <c r="D15" s="1301"/>
      <c r="E15" s="1301"/>
      <c r="F15" s="1243" t="s">
        <v>4</v>
      </c>
      <c r="G15" s="1243"/>
      <c r="H15" s="1243"/>
      <c r="I15" s="1243"/>
      <c r="J15" s="1244"/>
      <c r="K15" s="508"/>
      <c r="L15" s="518" t="s">
        <v>43</v>
      </c>
      <c r="N15" s="474"/>
      <c r="O15" s="469">
        <f>D20</f>
        <v>0</v>
      </c>
      <c r="P15" s="493">
        <f>+O15</f>
        <v>0</v>
      </c>
      <c r="Q15" s="493">
        <f t="shared" ref="Q15" si="2">+O15-P15</f>
        <v>0</v>
      </c>
      <c r="R15" s="493">
        <f t="shared" ref="R15" si="3">O15/buildcount</f>
        <v>0</v>
      </c>
      <c r="S15" s="493">
        <f>(O15/$D$76)/buildcount</f>
        <v>0</v>
      </c>
    </row>
    <row r="16" spans="2:30" x14ac:dyDescent="0.3">
      <c r="B16" s="484" t="s">
        <v>44</v>
      </c>
      <c r="C16" s="519"/>
      <c r="D16" s="1292">
        <v>110000</v>
      </c>
      <c r="E16" s="1293"/>
      <c r="F16" s="1284"/>
      <c r="G16" s="1285"/>
      <c r="H16" s="1285"/>
      <c r="I16" s="1285"/>
      <c r="J16" s="1286"/>
      <c r="K16" s="508"/>
      <c r="L16" s="520" t="s">
        <v>45</v>
      </c>
      <c r="M16" s="521"/>
      <c r="N16" s="522">
        <f>+C18</f>
        <v>1.4999999999999999E-2</v>
      </c>
      <c r="O16" s="523">
        <f>+(D17+D18+(D21*(C21="Nonapplicable")))</f>
        <v>1650</v>
      </c>
      <c r="P16" s="524">
        <f>+O16</f>
        <v>1650</v>
      </c>
      <c r="Q16" s="524">
        <f t="shared" si="1"/>
        <v>0</v>
      </c>
      <c r="R16" s="524">
        <f t="shared" si="0"/>
        <v>1650</v>
      </c>
      <c r="S16" s="524">
        <f>(O16/$D$76)/buildcount</f>
        <v>1.0617760617760619</v>
      </c>
    </row>
    <row r="17" spans="2:24" x14ac:dyDescent="0.3">
      <c r="B17" s="484" t="s">
        <v>46</v>
      </c>
      <c r="C17" s="1051"/>
      <c r="D17" s="1292">
        <v>0</v>
      </c>
      <c r="E17" s="1293"/>
      <c r="F17" s="1284"/>
      <c r="G17" s="1285"/>
      <c r="H17" s="1285"/>
      <c r="I17" s="1285"/>
      <c r="J17" s="1286"/>
      <c r="K17" s="508"/>
      <c r="L17" s="516" t="s">
        <v>47</v>
      </c>
      <c r="O17" s="500">
        <f>+SUBTOTAL(9,O13:O16)</f>
        <v>111650</v>
      </c>
      <c r="P17" s="525">
        <f>+SUBTOTAL(9,P13:P16)</f>
        <v>111650</v>
      </c>
      <c r="Q17" s="525">
        <f t="shared" si="1"/>
        <v>0</v>
      </c>
      <c r="R17" s="525">
        <f t="shared" si="0"/>
        <v>111650</v>
      </c>
      <c r="S17" s="526">
        <f>(O17/$D$76)/buildcount</f>
        <v>71.846846846846844</v>
      </c>
    </row>
    <row r="18" spans="2:24" x14ac:dyDescent="0.3">
      <c r="B18" s="484" t="s">
        <v>48</v>
      </c>
      <c r="C18" s="1052">
        <v>1.4999999999999999E-2</v>
      </c>
      <c r="D18" s="1278">
        <f>+D16*C18</f>
        <v>1650</v>
      </c>
      <c r="E18" s="1279"/>
      <c r="F18" s="1284"/>
      <c r="G18" s="1285"/>
      <c r="H18" s="1285"/>
      <c r="I18" s="1285"/>
      <c r="J18" s="1286"/>
      <c r="K18" s="508"/>
      <c r="L18" s="487"/>
      <c r="P18" s="527"/>
      <c r="Q18" s="527"/>
      <c r="R18" s="527"/>
      <c r="S18" s="527"/>
    </row>
    <row r="19" spans="2:24" x14ac:dyDescent="0.3">
      <c r="B19" s="505" t="s">
        <v>49</v>
      </c>
      <c r="C19" s="1052">
        <v>0</v>
      </c>
      <c r="D19" s="1290">
        <f>D16*C19</f>
        <v>0</v>
      </c>
      <c r="E19" s="1291"/>
      <c r="F19" s="1284"/>
      <c r="G19" s="1285"/>
      <c r="H19" s="1285"/>
      <c r="I19" s="1285"/>
      <c r="J19" s="1286"/>
      <c r="K19" s="508"/>
      <c r="L19" s="518" t="s">
        <v>50</v>
      </c>
      <c r="O19" s="1067">
        <f>D45*buildcount</f>
        <v>6850</v>
      </c>
      <c r="P19" s="493">
        <v>0</v>
      </c>
      <c r="Q19" s="493">
        <f>+O19-P19</f>
        <v>6850</v>
      </c>
      <c r="R19" s="493">
        <f t="shared" ref="R19" si="4">O19/buildcount</f>
        <v>6850</v>
      </c>
      <c r="S19" s="493">
        <f t="shared" ref="S19:S26" si="5">(O19/$D$76)/buildcount</f>
        <v>4.4079794079794077</v>
      </c>
    </row>
    <row r="20" spans="2:24" x14ac:dyDescent="0.3">
      <c r="B20" s="505" t="s">
        <v>43</v>
      </c>
      <c r="C20" s="1032"/>
      <c r="D20" s="1278"/>
      <c r="E20" s="1279"/>
      <c r="F20" s="1284"/>
      <c r="G20" s="1285"/>
      <c r="H20" s="1285"/>
      <c r="I20" s="1285"/>
      <c r="J20" s="1286"/>
      <c r="K20" s="508"/>
      <c r="L20" s="518" t="s">
        <v>51</v>
      </c>
      <c r="O20" s="469">
        <f>D58*buildcount</f>
        <v>12200</v>
      </c>
      <c r="P20" s="493">
        <v>0</v>
      </c>
      <c r="Q20" s="493">
        <f>+O20-P20</f>
        <v>12200</v>
      </c>
      <c r="R20" s="493">
        <f t="shared" si="0"/>
        <v>12200</v>
      </c>
      <c r="S20" s="493">
        <f t="shared" si="5"/>
        <v>7.8507078507078507</v>
      </c>
      <c r="T20" s="469"/>
      <c r="X20" s="471"/>
    </row>
    <row r="21" spans="2:24" x14ac:dyDescent="0.3">
      <c r="B21" s="484" t="s">
        <v>52</v>
      </c>
      <c r="C21" s="1053" t="s">
        <v>53</v>
      </c>
      <c r="D21" s="1278">
        <f>IF(C21="Applicable",500,0)</f>
        <v>500</v>
      </c>
      <c r="E21" s="1279"/>
      <c r="F21" s="1284"/>
      <c r="G21" s="1285"/>
      <c r="H21" s="1285"/>
      <c r="I21" s="1285"/>
      <c r="J21" s="1286"/>
      <c r="K21" s="508"/>
      <c r="L21" s="528" t="s">
        <v>54</v>
      </c>
      <c r="M21" s="529"/>
      <c r="N21" s="529"/>
      <c r="O21" s="530">
        <f>+SUBTOTAL(9,O22:O23)</f>
        <v>160462.212</v>
      </c>
      <c r="P21" s="531">
        <v>0</v>
      </c>
      <c r="Q21" s="531">
        <f t="shared" si="1"/>
        <v>160462.212</v>
      </c>
      <c r="R21" s="531">
        <f t="shared" si="0"/>
        <v>160462.212</v>
      </c>
      <c r="S21" s="531">
        <f t="shared" si="5"/>
        <v>103.25753667953668</v>
      </c>
      <c r="T21" s="470"/>
    </row>
    <row r="22" spans="2:24" x14ac:dyDescent="0.3">
      <c r="B22" s="484" t="s">
        <v>55</v>
      </c>
      <c r="C22" s="519"/>
      <c r="D22" s="1280">
        <v>46037</v>
      </c>
      <c r="E22" s="1281"/>
      <c r="F22" s="1284"/>
      <c r="G22" s="1285"/>
      <c r="H22" s="1285"/>
      <c r="I22" s="1285"/>
      <c r="J22" s="1286"/>
      <c r="K22" s="508"/>
      <c r="L22" s="532" t="s">
        <v>56</v>
      </c>
      <c r="O22" s="469">
        <f>E76</f>
        <v>133718.51</v>
      </c>
      <c r="P22" s="493">
        <v>0</v>
      </c>
      <c r="Q22" s="493">
        <f t="shared" si="1"/>
        <v>133718.51</v>
      </c>
      <c r="R22" s="493">
        <f t="shared" si="0"/>
        <v>133718.51</v>
      </c>
      <c r="S22" s="493">
        <f t="shared" si="5"/>
        <v>86.047947232947237</v>
      </c>
      <c r="T22" s="472"/>
      <c r="U22" s="919"/>
    </row>
    <row r="23" spans="2:24" x14ac:dyDescent="0.3">
      <c r="B23" s="484" t="s">
        <v>57</v>
      </c>
      <c r="C23" s="519"/>
      <c r="D23" s="1266" t="s">
        <v>20</v>
      </c>
      <c r="E23" s="1267"/>
      <c r="F23" s="1284"/>
      <c r="G23" s="1285"/>
      <c r="H23" s="1285"/>
      <c r="I23" s="1285"/>
      <c r="J23" s="1286"/>
      <c r="K23" s="508"/>
      <c r="L23" s="535" t="str">
        <f>+F71</f>
        <v>Builder Profit</v>
      </c>
      <c r="M23" s="536" t="s">
        <v>58</v>
      </c>
      <c r="N23" s="537">
        <v>0.2</v>
      </c>
      <c r="O23" s="469">
        <f>IF(M23="Manual",O22*N23,IFERROR(MAX(0.15*O22,(Q6-SUM(Q20,Q22,Q24,Q25))),0))</f>
        <v>26743.702000000005</v>
      </c>
      <c r="P23" s="493">
        <v>0</v>
      </c>
      <c r="Q23" s="493">
        <f t="shared" si="1"/>
        <v>26743.702000000005</v>
      </c>
      <c r="R23" s="493">
        <f t="shared" si="0"/>
        <v>26743.702000000005</v>
      </c>
      <c r="S23" s="493">
        <f t="shared" si="5"/>
        <v>17.209589446589451</v>
      </c>
    </row>
    <row r="24" spans="2:24" x14ac:dyDescent="0.3">
      <c r="B24" s="484" t="s">
        <v>59</v>
      </c>
      <c r="C24" s="519"/>
      <c r="D24" s="1294">
        <v>1000</v>
      </c>
      <c r="E24" s="1295"/>
      <c r="F24" s="1284"/>
      <c r="G24" s="1285"/>
      <c r="H24" s="1285"/>
      <c r="I24" s="1285"/>
      <c r="J24" s="1286"/>
      <c r="K24" s="534"/>
      <c r="L24" s="518" t="s">
        <v>60</v>
      </c>
      <c r="O24" s="469">
        <f>D68*buildcount</f>
        <v>11216.666666666666</v>
      </c>
      <c r="P24" s="493">
        <v>0</v>
      </c>
      <c r="Q24" s="493">
        <f t="shared" si="1"/>
        <v>11216.666666666666</v>
      </c>
      <c r="R24" s="493">
        <f t="shared" si="0"/>
        <v>11216.666666666666</v>
      </c>
      <c r="S24" s="493">
        <f t="shared" si="5"/>
        <v>7.2179322179322174</v>
      </c>
    </row>
    <row r="25" spans="2:24" ht="13.5" thickBot="1" x14ac:dyDescent="0.35">
      <c r="B25" s="512" t="s">
        <v>61</v>
      </c>
      <c r="C25" s="538"/>
      <c r="D25" s="1282" t="s">
        <v>62</v>
      </c>
      <c r="E25" s="1283"/>
      <c r="F25" s="1287"/>
      <c r="G25" s="1288"/>
      <c r="H25" s="1288"/>
      <c r="I25" s="1288"/>
      <c r="J25" s="1289"/>
      <c r="K25" s="534"/>
      <c r="L25" s="520" t="s">
        <v>63</v>
      </c>
      <c r="M25" s="521"/>
      <c r="N25" s="539">
        <v>0</v>
      </c>
      <c r="O25" s="523">
        <f>+O22*N25</f>
        <v>0</v>
      </c>
      <c r="P25" s="524">
        <v>0</v>
      </c>
      <c r="Q25" s="524">
        <f t="shared" si="1"/>
        <v>0</v>
      </c>
      <c r="R25" s="524">
        <f t="shared" si="0"/>
        <v>0</v>
      </c>
      <c r="S25" s="524">
        <f t="shared" si="5"/>
        <v>0</v>
      </c>
      <c r="U25" s="469"/>
    </row>
    <row r="26" spans="2:24" ht="13.5" thickBot="1" x14ac:dyDescent="0.35">
      <c r="B26" s="1063"/>
      <c r="C26" s="519"/>
      <c r="D26" s="1064"/>
      <c r="E26" s="1064"/>
      <c r="F26" s="803"/>
      <c r="G26" s="803"/>
      <c r="H26" s="803"/>
      <c r="I26" s="803"/>
      <c r="J26" s="803"/>
      <c r="K26" s="534"/>
      <c r="L26" s="516" t="s">
        <v>64</v>
      </c>
      <c r="O26" s="500">
        <f>+O21+O20+O24+O25+O19</f>
        <v>190728.87866666666</v>
      </c>
      <c r="P26" s="525">
        <f>+P21+P20+P24+P25+P19</f>
        <v>0</v>
      </c>
      <c r="Q26" s="525">
        <f t="shared" si="1"/>
        <v>190728.87866666666</v>
      </c>
      <c r="R26" s="525">
        <f t="shared" si="0"/>
        <v>190728.87866666666</v>
      </c>
      <c r="S26" s="525">
        <f t="shared" si="5"/>
        <v>122.73415615615615</v>
      </c>
      <c r="U26" s="469"/>
    </row>
    <row r="27" spans="2:24" ht="13.5" thickBot="1" x14ac:dyDescent="0.35">
      <c r="B27" s="1275" t="s">
        <v>50</v>
      </c>
      <c r="C27" s="1276"/>
      <c r="D27" s="1296"/>
      <c r="E27" s="1296"/>
      <c r="F27" s="1275"/>
      <c r="G27" s="1276"/>
      <c r="H27" s="1276"/>
      <c r="I27" s="1276"/>
      <c r="J27" s="1277"/>
      <c r="K27" s="534"/>
      <c r="L27" s="516"/>
      <c r="O27" s="500"/>
      <c r="P27" s="525"/>
      <c r="Q27" s="525"/>
      <c r="R27" s="525"/>
      <c r="S27" s="525"/>
    </row>
    <row r="28" spans="2:24" x14ac:dyDescent="0.3">
      <c r="B28" s="484" t="s">
        <v>65</v>
      </c>
      <c r="C28" s="1021" t="s">
        <v>66</v>
      </c>
      <c r="D28" s="1290">
        <f>+IF(C28="applicable", (725+1100+500+1200)/buildcount,0)</f>
        <v>0</v>
      </c>
      <c r="E28" s="1291"/>
      <c r="F28" s="1174"/>
      <c r="G28" s="1175"/>
      <c r="H28" s="1175"/>
      <c r="I28" s="1175"/>
      <c r="J28" s="1176"/>
      <c r="K28" s="534"/>
      <c r="L28" s="518" t="str">
        <f>+D92 &amp; " Loan Origination"</f>
        <v>Renovo Loan Origination</v>
      </c>
      <c r="N28" s="474">
        <f>+D94</f>
        <v>0.01</v>
      </c>
      <c r="O28" s="469">
        <f>+N28*O6</f>
        <v>2677.288786666667</v>
      </c>
      <c r="P28" s="493">
        <f>+O28</f>
        <v>2677.288786666667</v>
      </c>
      <c r="Q28" s="493">
        <f>+O28-P28</f>
        <v>0</v>
      </c>
      <c r="R28" s="493">
        <f>O28/buildcount</f>
        <v>2677.288786666667</v>
      </c>
      <c r="S28" s="493">
        <f>(O28/$D$76)/buildcount</f>
        <v>1.7228370570570573</v>
      </c>
      <c r="T28" s="470"/>
    </row>
    <row r="29" spans="2:24" x14ac:dyDescent="0.3">
      <c r="B29" s="484" t="s">
        <v>67</v>
      </c>
      <c r="C29" s="1064"/>
      <c r="D29" s="1292">
        <f>SUMIF('Brix Actual Budget'!D:D,Inputs!B29,'Brix Actual Budget'!C:C)+1500</f>
        <v>1500</v>
      </c>
      <c r="E29" s="1293"/>
      <c r="F29" s="1170" t="s">
        <v>68</v>
      </c>
      <c r="G29" s="508"/>
      <c r="H29" s="508"/>
      <c r="I29" s="508"/>
      <c r="J29" s="1171"/>
      <c r="K29" s="534"/>
      <c r="L29" s="520" t="str">
        <f>+IF(D93="Yes","Interest Reserve","Interest Carry Expense")</f>
        <v>Interest Reserve</v>
      </c>
      <c r="M29" s="521"/>
      <c r="N29" s="522">
        <f>+D95</f>
        <v>0.10249999999999999</v>
      </c>
      <c r="O29" s="523">
        <f ca="1">+IFERROR(SUM('Monthly CF'!D35:AB35),0)</f>
        <v>10952.276546249999</v>
      </c>
      <c r="P29" s="524">
        <f ca="1">+IF(D93="Yes",O29,0)</f>
        <v>10952.276546249999</v>
      </c>
      <c r="Q29" s="524">
        <f ca="1">+O29-P29</f>
        <v>0</v>
      </c>
      <c r="R29" s="524">
        <f ca="1">O29/buildcount</f>
        <v>10952.276546249999</v>
      </c>
      <c r="S29" s="524">
        <f ca="1">(O29/$D$76)/buildcount</f>
        <v>7.0477970053088796</v>
      </c>
    </row>
    <row r="30" spans="2:24" x14ac:dyDescent="0.3">
      <c r="B30" s="484" t="s">
        <v>69</v>
      </c>
      <c r="C30" s="519"/>
      <c r="D30" s="1292">
        <f>SUMIF('Brix Actual Budget'!D:D,Inputs!B30,'Brix Actual Budget'!C:C)</f>
        <v>0</v>
      </c>
      <c r="E30" s="1293"/>
      <c r="F30" s="1170"/>
      <c r="G30" s="508"/>
      <c r="H30" s="508"/>
      <c r="I30" s="508"/>
      <c r="J30" s="1171"/>
      <c r="K30" s="534"/>
      <c r="L30" s="516" t="s">
        <v>70</v>
      </c>
      <c r="O30" s="500">
        <f ca="1">+SUBTOTAL(9,O28:O29)</f>
        <v>13629.565332916667</v>
      </c>
      <c r="P30" s="525">
        <f ca="1">+SUBTOTAL(9,P28:P29)</f>
        <v>13629.565332916667</v>
      </c>
      <c r="Q30" s="525">
        <f ca="1">+O30-P30</f>
        <v>0</v>
      </c>
      <c r="R30" s="525">
        <f ca="1">O30/buildcount</f>
        <v>13629.565332916667</v>
      </c>
      <c r="S30" s="525">
        <f ca="1">(O30/$D$76)/buildcount</f>
        <v>8.7706340623659376</v>
      </c>
    </row>
    <row r="31" spans="2:24" ht="13.5" thickBot="1" x14ac:dyDescent="0.35">
      <c r="B31" s="1065" t="s">
        <v>71</v>
      </c>
      <c r="C31" s="519"/>
      <c r="D31" s="1290">
        <f>SUMIF('Brix Actual Budget'!D:D,Inputs!B31,'Brix Actual Budget'!C:C)</f>
        <v>1800</v>
      </c>
      <c r="E31" s="1291"/>
      <c r="F31" s="1272"/>
      <c r="G31" s="1273"/>
      <c r="H31" s="1273"/>
      <c r="I31" s="1273"/>
      <c r="J31" s="1274"/>
      <c r="K31" s="534"/>
      <c r="L31" s="487"/>
      <c r="P31" s="527"/>
      <c r="Q31" s="527"/>
      <c r="R31" s="527"/>
      <c r="S31" s="527"/>
    </row>
    <row r="32" spans="2:24" ht="13.5" thickBot="1" x14ac:dyDescent="0.35">
      <c r="B32" s="1065" t="s">
        <v>72</v>
      </c>
      <c r="C32" s="519"/>
      <c r="D32" s="1290">
        <f>SUMIF('Brix Actual Budget'!D:D,Inputs!B32,'Brix Actual Budget'!C:C)</f>
        <v>400</v>
      </c>
      <c r="E32" s="1291"/>
      <c r="F32" s="1272"/>
      <c r="G32" s="1273"/>
      <c r="H32" s="1273"/>
      <c r="I32" s="1273"/>
      <c r="J32" s="1274"/>
      <c r="K32" s="534"/>
      <c r="L32" s="540" t="s">
        <v>73</v>
      </c>
      <c r="M32" s="502"/>
      <c r="N32" s="502"/>
      <c r="O32" s="503">
        <f ca="1">+O17+O26+O30</f>
        <v>316008.44399958337</v>
      </c>
      <c r="P32" s="504">
        <f ca="1">+P17+P26+P30</f>
        <v>125279.56533291667</v>
      </c>
      <c r="Q32" s="504">
        <f ca="1">+O32-P32</f>
        <v>190728.87866666669</v>
      </c>
      <c r="R32" s="504">
        <f ca="1">O32/buildcount</f>
        <v>316008.44399958337</v>
      </c>
      <c r="S32" s="504">
        <f ca="1">(O32/$D$76)/buildcount</f>
        <v>203.35163706536898</v>
      </c>
    </row>
    <row r="33" spans="2:23" x14ac:dyDescent="0.3">
      <c r="B33" s="1065" t="s">
        <v>74</v>
      </c>
      <c r="C33" s="519"/>
      <c r="D33" s="1290">
        <f>SUMIF('Brix Actual Budget'!D:D,Inputs!B33,'Brix Actual Budget'!C:C)</f>
        <v>450</v>
      </c>
      <c r="E33" s="1291"/>
      <c r="F33" s="1272"/>
      <c r="G33" s="1273"/>
      <c r="H33" s="1273"/>
      <c r="I33" s="1273"/>
      <c r="J33" s="1274"/>
      <c r="K33" s="534"/>
      <c r="L33" s="541" t="s">
        <v>75</v>
      </c>
      <c r="M33" s="542"/>
      <c r="N33" s="542"/>
      <c r="O33" s="543">
        <f>+O13+O26</f>
        <v>300728.87866666669</v>
      </c>
      <c r="P33" s="544">
        <f>+P13+P26</f>
        <v>110000</v>
      </c>
      <c r="Q33" s="544">
        <f>+Q13+Q26</f>
        <v>190728.87866666666</v>
      </c>
      <c r="R33" s="544">
        <f>O33/buildcount</f>
        <v>300728.87866666669</v>
      </c>
      <c r="S33" s="544"/>
    </row>
    <row r="34" spans="2:23" ht="13.5" thickBot="1" x14ac:dyDescent="0.35">
      <c r="B34" s="1065" t="s">
        <v>76</v>
      </c>
      <c r="C34" s="519"/>
      <c r="D34" s="1290">
        <f>SUMIF('Brix Actual Budget'!D:D,Inputs!B34,'Brix Actual Budget'!C:C)</f>
        <v>0</v>
      </c>
      <c r="E34" s="1291"/>
      <c r="F34" s="1272"/>
      <c r="G34" s="1273"/>
      <c r="H34" s="1273"/>
      <c r="I34" s="1273"/>
      <c r="J34" s="1274"/>
      <c r="K34" s="534"/>
    </row>
    <row r="35" spans="2:23" ht="13.5" thickBot="1" x14ac:dyDescent="0.35">
      <c r="B35" s="1065" t="s">
        <v>77</v>
      </c>
      <c r="C35" s="519"/>
      <c r="D35" s="1290">
        <f>SUMIF('Brix Actual Budget'!D:D,Inputs!B35,'Brix Actual Budget'!C:C)</f>
        <v>0</v>
      </c>
      <c r="E35" s="1291"/>
      <c r="F35" s="1272"/>
      <c r="G35" s="1273"/>
      <c r="H35" s="1273"/>
      <c r="I35" s="1273"/>
      <c r="J35" s="1274"/>
      <c r="K35" s="534"/>
      <c r="L35" s="545" t="s">
        <v>78</v>
      </c>
      <c r="M35" s="546"/>
      <c r="N35" s="546"/>
      <c r="O35" s="546"/>
      <c r="P35" s="547"/>
      <c r="T35" s="555"/>
    </row>
    <row r="36" spans="2:23" x14ac:dyDescent="0.3">
      <c r="B36" s="1065" t="s">
        <v>79</v>
      </c>
      <c r="C36" s="519"/>
      <c r="D36" s="1290">
        <f>SUMIF('Brix Actual Budget'!D:D,Inputs!B36,'Brix Actual Budget'!C:C)</f>
        <v>500</v>
      </c>
      <c r="E36" s="1291"/>
      <c r="F36" s="1272"/>
      <c r="G36" s="1273"/>
      <c r="H36" s="1273"/>
      <c r="I36" s="1273"/>
      <c r="J36" s="1274"/>
      <c r="K36" s="534"/>
      <c r="L36" s="550" t="s">
        <v>80</v>
      </c>
      <c r="M36" s="551"/>
      <c r="N36" s="551"/>
      <c r="O36" s="552"/>
      <c r="P36" s="553">
        <f>Inputs!D13</f>
        <v>46081</v>
      </c>
      <c r="Q36" s="558" t="s">
        <v>81</v>
      </c>
      <c r="R36" s="555"/>
      <c r="S36" s="555"/>
      <c r="T36" s="555"/>
    </row>
    <row r="37" spans="2:23" x14ac:dyDescent="0.3">
      <c r="B37" s="1065" t="s">
        <v>82</v>
      </c>
      <c r="C37" s="519"/>
      <c r="D37" s="1290">
        <f>SUMIF('Brix Actual Budget'!D:D,Inputs!B37,'Brix Actual Budget'!C:C)</f>
        <v>2000</v>
      </c>
      <c r="E37" s="1291"/>
      <c r="F37" s="1272"/>
      <c r="G37" s="1273"/>
      <c r="H37" s="1273"/>
      <c r="I37" s="1273"/>
      <c r="J37" s="1274"/>
      <c r="K37" s="534"/>
      <c r="L37" s="558" t="s">
        <v>83</v>
      </c>
      <c r="M37" s="559"/>
      <c r="N37" s="477"/>
      <c r="O37" s="1049">
        <v>1</v>
      </c>
      <c r="P37" s="560">
        <f>+EDATE(P36,O37)+1</f>
        <v>46110</v>
      </c>
      <c r="Q37" s="554"/>
      <c r="R37" s="555"/>
      <c r="S37" s="555"/>
      <c r="T37" s="555"/>
    </row>
    <row r="38" spans="2:23" x14ac:dyDescent="0.3">
      <c r="B38" s="1065" t="s">
        <v>84</v>
      </c>
      <c r="C38" s="519"/>
      <c r="D38" s="1292">
        <f>SUMIF('Brix Actual Budget'!D:D,Inputs!B38,'Brix Actual Budget'!C:C)</f>
        <v>0</v>
      </c>
      <c r="E38" s="1293"/>
      <c r="F38" s="1170"/>
      <c r="G38" s="508"/>
      <c r="H38" s="508"/>
      <c r="I38" s="508"/>
      <c r="J38" s="1171"/>
      <c r="K38" s="534"/>
      <c r="L38" s="558" t="s">
        <v>85</v>
      </c>
      <c r="M38" s="565"/>
      <c r="N38" s="477"/>
      <c r="O38" s="1050">
        <f>_xlfn.XLOOKUP(B72,'Reference Tab'!B5:B44,'Reference Tab'!M5:M44)</f>
        <v>150</v>
      </c>
      <c r="P38" s="566">
        <f>+P37+O38</f>
        <v>46260</v>
      </c>
      <c r="Q38" s="554"/>
      <c r="R38" s="555"/>
      <c r="S38" s="555"/>
      <c r="T38" s="555"/>
    </row>
    <row r="39" spans="2:23" x14ac:dyDescent="0.3">
      <c r="B39" s="1065" t="s">
        <v>86</v>
      </c>
      <c r="C39" s="519"/>
      <c r="D39" s="1292">
        <f>SUMIF('Brix Actual Budget'!D:D,Inputs!B39,'Brix Actual Budget'!C:C)</f>
        <v>0</v>
      </c>
      <c r="E39" s="1293"/>
      <c r="F39" s="1170"/>
      <c r="G39" s="508"/>
      <c r="H39" s="508"/>
      <c r="I39" s="508"/>
      <c r="J39" s="1171"/>
      <c r="K39" s="534"/>
      <c r="L39" s="567" t="s">
        <v>87</v>
      </c>
      <c r="M39" s="568"/>
      <c r="N39" s="569"/>
      <c r="O39" s="1049">
        <v>1</v>
      </c>
      <c r="P39" s="560">
        <f>+P38+(O39*30)</f>
        <v>46290</v>
      </c>
      <c r="Q39" s="554"/>
      <c r="R39" s="555"/>
      <c r="S39" s="555"/>
    </row>
    <row r="40" spans="2:23" ht="13.5" thickBot="1" x14ac:dyDescent="0.35">
      <c r="B40" s="1065" t="s">
        <v>88</v>
      </c>
      <c r="C40" s="519"/>
      <c r="D40" s="1292">
        <f>SUMIF('Brix Actual Budget'!D:D,Inputs!B40,'Brix Actual Budget'!C:C)</f>
        <v>200</v>
      </c>
      <c r="E40" s="1293"/>
      <c r="F40" s="1170"/>
      <c r="G40" s="508"/>
      <c r="H40" s="508"/>
      <c r="I40" s="508"/>
      <c r="J40" s="1171"/>
      <c r="K40" s="534"/>
      <c r="L40" s="570" t="s">
        <v>89</v>
      </c>
      <c r="M40" s="571"/>
      <c r="N40" s="571"/>
      <c r="O40" s="572">
        <f>+P39-P36</f>
        <v>209</v>
      </c>
      <c r="P40" s="573"/>
    </row>
    <row r="41" spans="2:23" x14ac:dyDescent="0.3">
      <c r="B41" s="1065" t="s">
        <v>90</v>
      </c>
      <c r="C41" s="519"/>
      <c r="D41" s="1290">
        <f>SUMIF('Brix Actual Budget'!D:D,Inputs!B41,'Brix Actual Budget'!C:C)</f>
        <v>0</v>
      </c>
      <c r="E41" s="1290"/>
      <c r="F41" s="1170"/>
      <c r="G41" s="508"/>
      <c r="H41" s="508"/>
      <c r="I41" s="508"/>
      <c r="J41" s="1171"/>
      <c r="K41" s="534"/>
      <c r="O41" s="841"/>
    </row>
    <row r="42" spans="2:23" ht="19" customHeight="1" x14ac:dyDescent="0.3">
      <c r="B42" s="1065" t="s">
        <v>91</v>
      </c>
      <c r="C42" s="519"/>
      <c r="D42" s="1290">
        <f>SUMIF('Brix Actual Budget'!D:D,Inputs!B42,'Brix Actual Budget'!C:C)</f>
        <v>0</v>
      </c>
      <c r="E42" s="1291"/>
      <c r="F42" s="1170"/>
      <c r="G42" s="508"/>
      <c r="H42" s="508"/>
      <c r="I42" s="508"/>
      <c r="J42" s="1171"/>
      <c r="K42" s="534"/>
      <c r="L42"/>
      <c r="M42"/>
      <c r="N42"/>
      <c r="O42"/>
      <c r="P42"/>
      <c r="Q42"/>
      <c r="R42"/>
      <c r="S42"/>
      <c r="T42"/>
    </row>
    <row r="43" spans="2:23" x14ac:dyDescent="0.3">
      <c r="B43" s="484" t="str">
        <f>IF(D64="Gaston Co. (NC)","As-Built Survey (Gaston County Only)","")</f>
        <v/>
      </c>
      <c r="C43" s="519"/>
      <c r="D43" s="1292"/>
      <c r="E43" s="1293"/>
      <c r="F43" s="1170"/>
      <c r="G43" s="508"/>
      <c r="H43" s="508"/>
      <c r="I43" s="508"/>
      <c r="J43" s="1171"/>
      <c r="K43" s="534"/>
      <c r="L43" s="26"/>
      <c r="M43"/>
      <c r="N43"/>
      <c r="O43"/>
      <c r="P43"/>
      <c r="Q43"/>
      <c r="R43"/>
      <c r="S43"/>
      <c r="T43"/>
    </row>
    <row r="44" spans="2:23" ht="13.5" thickBot="1" x14ac:dyDescent="0.35">
      <c r="B44" s="548" t="s">
        <v>92</v>
      </c>
      <c r="C44" s="1066"/>
      <c r="D44" s="1304"/>
      <c r="E44" s="1305"/>
      <c r="F44" s="1177"/>
      <c r="G44" s="1178"/>
      <c r="H44" s="1178"/>
      <c r="I44" s="1178"/>
      <c r="J44" s="1179"/>
      <c r="K44" s="534"/>
      <c r="L44" s="26"/>
      <c r="M44"/>
      <c r="N44"/>
      <c r="O44"/>
      <c r="P44"/>
      <c r="Q44"/>
      <c r="R44"/>
      <c r="S44"/>
      <c r="T44"/>
    </row>
    <row r="45" spans="2:23" ht="14" thickTop="1" thickBot="1" x14ac:dyDescent="0.35">
      <c r="B45" s="512" t="s">
        <v>23</v>
      </c>
      <c r="C45" s="538"/>
      <c r="D45" s="1306">
        <f>SUM(D28:E44)</f>
        <v>6850</v>
      </c>
      <c r="E45" s="1306"/>
      <c r="F45" s="1061"/>
      <c r="G45" s="1061"/>
      <c r="H45" s="1061"/>
      <c r="I45" s="1061"/>
      <c r="J45" s="1062"/>
      <c r="K45" s="534"/>
      <c r="L45" s="1063"/>
      <c r="M45"/>
      <c r="N45"/>
      <c r="O45"/>
      <c r="P45"/>
      <c r="Q45"/>
      <c r="R45"/>
      <c r="S45"/>
      <c r="T45"/>
    </row>
    <row r="46" spans="2:23" ht="13.5" thickBot="1" x14ac:dyDescent="0.35">
      <c r="B46" s="1063"/>
      <c r="C46" s="519"/>
      <c r="D46" s="1064"/>
      <c r="E46" s="1064"/>
      <c r="F46" s="803"/>
      <c r="G46" s="803"/>
      <c r="H46" s="803"/>
      <c r="I46" s="803"/>
      <c r="J46" s="803"/>
      <c r="K46" s="534"/>
      <c r="L46" s="26"/>
      <c r="M46"/>
      <c r="N46"/>
      <c r="O46"/>
      <c r="P46"/>
      <c r="Q46"/>
      <c r="R46"/>
      <c r="S46"/>
      <c r="T46"/>
    </row>
    <row r="47" spans="2:23" ht="13.5" thickBot="1" x14ac:dyDescent="0.35">
      <c r="B47" s="1263" t="s">
        <v>93</v>
      </c>
      <c r="C47" s="1264"/>
      <c r="D47" s="1264"/>
      <c r="E47" s="1264"/>
      <c r="F47" s="1243" t="s">
        <v>4</v>
      </c>
      <c r="G47" s="1243"/>
      <c r="H47" s="1243"/>
      <c r="I47" s="1243"/>
      <c r="J47" s="1244"/>
      <c r="K47" s="517"/>
      <c r="L47" s="26"/>
      <c r="M47"/>
      <c r="N47"/>
      <c r="O47"/>
      <c r="P47"/>
      <c r="Q47"/>
      <c r="R47"/>
      <c r="S47"/>
      <c r="T47"/>
    </row>
    <row r="48" spans="2:23" x14ac:dyDescent="0.3">
      <c r="B48" s="484" t="s">
        <v>69</v>
      </c>
      <c r="C48" s="485"/>
      <c r="D48" s="1302">
        <f>SUMIF('Brix Actual Budget'!D:D,Inputs!B48,'Brix Actual Budget'!C:C)</f>
        <v>0</v>
      </c>
      <c r="E48" s="1303"/>
      <c r="F48" s="1272"/>
      <c r="G48" s="1273"/>
      <c r="H48" s="1273"/>
      <c r="I48" s="1273"/>
      <c r="J48" s="1274"/>
      <c r="K48" s="534"/>
      <c r="L48" s="26"/>
      <c r="M48"/>
      <c r="N48"/>
      <c r="O48"/>
      <c r="P48"/>
      <c r="Q48"/>
      <c r="R48"/>
      <c r="S48"/>
      <c r="T48"/>
      <c r="V48" s="474"/>
      <c r="W48" s="474"/>
    </row>
    <row r="49" spans="2:23" x14ac:dyDescent="0.3">
      <c r="B49" s="484" t="s">
        <v>94</v>
      </c>
      <c r="C49" s="485"/>
      <c r="D49" s="1290">
        <f>SUMIF('Brix Actual Budget'!D:D,Inputs!B49,'Brix Actual Budget'!C:C)</f>
        <v>0</v>
      </c>
      <c r="E49" s="1291"/>
      <c r="F49" s="1272"/>
      <c r="G49" s="1273"/>
      <c r="H49" s="1273"/>
      <c r="I49" s="1273"/>
      <c r="J49" s="1274"/>
      <c r="K49" s="534"/>
      <c r="L49"/>
      <c r="M49"/>
      <c r="N49"/>
      <c r="O49"/>
      <c r="P49"/>
      <c r="Q49"/>
      <c r="R49"/>
      <c r="S49"/>
      <c r="T49"/>
    </row>
    <row r="50" spans="2:23" x14ac:dyDescent="0.3">
      <c r="B50" s="484" t="s">
        <v>95</v>
      </c>
      <c r="C50" s="485"/>
      <c r="D50" s="1290">
        <f>SUMIF('Brix Actual Budget'!D:D,Inputs!B50,'Brix Actual Budget'!C:C)</f>
        <v>0</v>
      </c>
      <c r="E50" s="1291"/>
      <c r="F50" s="1272"/>
      <c r="G50" s="1273"/>
      <c r="H50" s="1273"/>
      <c r="I50" s="1273"/>
      <c r="J50" s="1274"/>
      <c r="K50" s="534"/>
      <c r="L50"/>
      <c r="M50"/>
      <c r="N50"/>
      <c r="O50"/>
      <c r="P50"/>
      <c r="Q50"/>
      <c r="R50"/>
      <c r="S50"/>
      <c r="T50"/>
      <c r="W50" s="475"/>
    </row>
    <row r="51" spans="2:23" x14ac:dyDescent="0.3">
      <c r="B51" s="484" t="s">
        <v>96</v>
      </c>
      <c r="C51" s="485"/>
      <c r="D51" s="1290">
        <f>SUMIF('Brix Actual Budget'!D:D,Inputs!B51,'Brix Actual Budget'!C:C)</f>
        <v>1700</v>
      </c>
      <c r="E51" s="1291"/>
      <c r="F51" s="1272"/>
      <c r="G51" s="1273"/>
      <c r="H51" s="1273"/>
      <c r="I51" s="1273"/>
      <c r="J51" s="1274"/>
      <c r="K51" s="534"/>
      <c r="L51"/>
      <c r="M51"/>
      <c r="N51"/>
      <c r="O51"/>
      <c r="P51"/>
      <c r="Q51"/>
      <c r="R51"/>
      <c r="S51"/>
      <c r="T51"/>
      <c r="U51" s="475"/>
    </row>
    <row r="52" spans="2:23" x14ac:dyDescent="0.3">
      <c r="B52" s="484" t="s">
        <v>97</v>
      </c>
      <c r="C52" s="485"/>
      <c r="D52" s="1290">
        <f>SUMIF('Brix Actual Budget'!D:D,Inputs!B52,'Brix Actual Budget'!C:C)</f>
        <v>0</v>
      </c>
      <c r="E52" s="1291"/>
      <c r="F52" s="1272"/>
      <c r="G52" s="1273"/>
      <c r="H52" s="1273"/>
      <c r="I52" s="1273"/>
      <c r="J52" s="1274"/>
      <c r="K52" s="534"/>
      <c r="L52"/>
      <c r="M52"/>
      <c r="N52"/>
      <c r="O52"/>
      <c r="P52"/>
      <c r="Q52"/>
      <c r="R52"/>
      <c r="S52"/>
      <c r="T52"/>
      <c r="U52" s="475"/>
      <c r="V52" s="475"/>
      <c r="W52" s="475"/>
    </row>
    <row r="53" spans="2:23" x14ac:dyDescent="0.3">
      <c r="B53" s="484" t="s">
        <v>98</v>
      </c>
      <c r="C53" s="485"/>
      <c r="D53" s="1290">
        <f>SUMIF('Brix Actual Budget'!D:D,Inputs!B53,'Brix Actual Budget'!C:C)</f>
        <v>0</v>
      </c>
      <c r="E53" s="1291"/>
      <c r="F53" s="1272"/>
      <c r="G53" s="1273"/>
      <c r="H53" s="1273"/>
      <c r="I53" s="1273"/>
      <c r="J53" s="1274"/>
      <c r="K53" s="534"/>
      <c r="L53"/>
      <c r="M53"/>
      <c r="N53"/>
      <c r="O53"/>
      <c r="P53"/>
      <c r="Q53"/>
      <c r="R53"/>
      <c r="S53"/>
      <c r="T53"/>
      <c r="U53" s="475"/>
      <c r="W53" s="475"/>
    </row>
    <row r="54" spans="2:23" x14ac:dyDescent="0.3">
      <c r="B54" s="484" t="s">
        <v>99</v>
      </c>
      <c r="C54" s="485"/>
      <c r="D54" s="1290">
        <f>SUMIF('Brix Actual Budget'!D:D,Inputs!B54,'Brix Actual Budget'!C:C)</f>
        <v>2500</v>
      </c>
      <c r="E54" s="1291"/>
      <c r="F54" s="1272"/>
      <c r="G54" s="1273"/>
      <c r="H54" s="1273"/>
      <c r="I54" s="1273"/>
      <c r="J54" s="1274"/>
      <c r="K54" s="534"/>
      <c r="L54"/>
      <c r="M54"/>
      <c r="N54"/>
      <c r="O54"/>
      <c r="P54"/>
      <c r="Q54"/>
      <c r="R54"/>
      <c r="S54"/>
      <c r="T54"/>
    </row>
    <row r="55" spans="2:23" x14ac:dyDescent="0.3">
      <c r="B55" s="484" t="s">
        <v>100</v>
      </c>
      <c r="C55" s="485"/>
      <c r="D55" s="1290">
        <f>SUMIF('Brix Actual Budget'!D:D,Inputs!B55,'Brix Actual Budget'!C:C)</f>
        <v>0</v>
      </c>
      <c r="E55" s="1291"/>
      <c r="F55" s="1272"/>
      <c r="G55" s="1273"/>
      <c r="H55" s="1273"/>
      <c r="I55" s="1273"/>
      <c r="J55" s="1274"/>
      <c r="K55" s="534"/>
      <c r="L55"/>
      <c r="M55"/>
      <c r="N55"/>
      <c r="O55"/>
      <c r="P55"/>
      <c r="Q55"/>
      <c r="R55"/>
      <c r="S55"/>
      <c r="T55"/>
    </row>
    <row r="56" spans="2:23" ht="17.149999999999999" customHeight="1" x14ac:dyDescent="0.3">
      <c r="B56" s="1065" t="s">
        <v>101</v>
      </c>
      <c r="C56" s="519"/>
      <c r="D56" s="1292">
        <f>SUMIF('Brix Actual Budget'!D:D,Inputs!B56,'Brix Actual Budget'!C:C)</f>
        <v>8000</v>
      </c>
      <c r="E56" s="1293"/>
      <c r="F56" s="1172"/>
      <c r="G56" s="1172"/>
      <c r="H56" s="1172"/>
      <c r="I56" s="1172"/>
      <c r="J56" s="1173"/>
      <c r="K56" s="534"/>
      <c r="L56"/>
      <c r="M56"/>
      <c r="N56"/>
      <c r="O56"/>
      <c r="P56"/>
      <c r="Q56"/>
      <c r="R56"/>
      <c r="S56"/>
      <c r="T56"/>
    </row>
    <row r="57" spans="2:23" ht="13.5" thickBot="1" x14ac:dyDescent="0.35">
      <c r="B57" s="548" t="s">
        <v>92</v>
      </c>
      <c r="C57" s="549"/>
      <c r="D57" s="1304">
        <f>SUMIF('Brix Actual Budget'!D:D,Inputs!B57,'Brix Actual Budget'!C:C)</f>
        <v>0</v>
      </c>
      <c r="E57" s="1305"/>
      <c r="F57" s="1314"/>
      <c r="G57" s="1315"/>
      <c r="H57" s="1315"/>
      <c r="I57" s="1315"/>
      <c r="J57" s="1316"/>
      <c r="L57"/>
      <c r="M57"/>
      <c r="N57"/>
      <c r="O57"/>
      <c r="P57"/>
      <c r="Q57"/>
      <c r="R57"/>
      <c r="S57"/>
      <c r="T57"/>
    </row>
    <row r="58" spans="2:23" ht="14" thickTop="1" thickBot="1" x14ac:dyDescent="0.35">
      <c r="B58" s="556" t="s">
        <v>102</v>
      </c>
      <c r="C58" s="557"/>
      <c r="D58" s="1307">
        <f>SUM(D48:D57)</f>
        <v>12200</v>
      </c>
      <c r="E58" s="1308"/>
      <c r="F58" s="1317"/>
      <c r="G58" s="1318"/>
      <c r="H58" s="1318"/>
      <c r="I58" s="1318"/>
      <c r="J58" s="1319"/>
      <c r="K58" s="534"/>
      <c r="L58"/>
      <c r="M58"/>
      <c r="N58"/>
      <c r="O58"/>
      <c r="P58"/>
      <c r="Q58"/>
      <c r="R58"/>
      <c r="S58"/>
      <c r="T58"/>
    </row>
    <row r="59" spans="2:23" ht="13.5" thickBot="1" x14ac:dyDescent="0.35">
      <c r="B59" s="561"/>
      <c r="C59" s="562"/>
      <c r="D59" s="563"/>
      <c r="E59" s="564"/>
      <c r="F59" s="534"/>
      <c r="G59" s="534"/>
      <c r="H59" s="534"/>
      <c r="I59" s="534"/>
      <c r="J59" s="534"/>
      <c r="K59" s="534"/>
      <c r="L59"/>
      <c r="M59"/>
      <c r="N59"/>
      <c r="O59"/>
      <c r="P59"/>
      <c r="Q59"/>
      <c r="R59"/>
      <c r="S59"/>
      <c r="T59"/>
    </row>
    <row r="60" spans="2:23" ht="13.5" thickBot="1" x14ac:dyDescent="0.35">
      <c r="B60" s="1263" t="s">
        <v>103</v>
      </c>
      <c r="C60" s="1264"/>
      <c r="D60" s="1264"/>
      <c r="E60" s="1264"/>
      <c r="F60" s="1243" t="s">
        <v>4</v>
      </c>
      <c r="G60" s="1243"/>
      <c r="H60" s="1243"/>
      <c r="I60" s="1243"/>
      <c r="J60" s="1244"/>
      <c r="K60" s="517"/>
    </row>
    <row r="61" spans="2:23" x14ac:dyDescent="0.3">
      <c r="B61" s="484" t="s">
        <v>104</v>
      </c>
      <c r="C61" s="485"/>
      <c r="D61" s="1309">
        <f>SUMIF('Brix Actual Budget'!D:D,Inputs!B61,'Brix Actual Budget'!C:C)</f>
        <v>2050</v>
      </c>
      <c r="E61" s="1310"/>
      <c r="F61" s="1272"/>
      <c r="G61" s="1273"/>
      <c r="H61" s="1273"/>
      <c r="I61" s="1273"/>
      <c r="J61" s="1274"/>
      <c r="K61" s="534"/>
      <c r="L61" s="801"/>
      <c r="N61" s="476"/>
      <c r="O61" s="802"/>
      <c r="P61" s="802"/>
    </row>
    <row r="62" spans="2:23" x14ac:dyDescent="0.3">
      <c r="B62" s="484" t="s">
        <v>105</v>
      </c>
      <c r="D62" s="1290">
        <f>SUMIF('Brix Actual Budget'!D:D,Inputs!B62,'Brix Actual Budget'!C:C)</f>
        <v>1000</v>
      </c>
      <c r="E62" s="1291"/>
      <c r="F62" s="1272"/>
      <c r="G62" s="1273"/>
      <c r="H62" s="1273"/>
      <c r="I62" s="1273"/>
      <c r="J62" s="1274"/>
      <c r="K62" s="534"/>
    </row>
    <row r="63" spans="2:23" x14ac:dyDescent="0.3">
      <c r="B63" s="484" t="s">
        <v>106</v>
      </c>
      <c r="C63" s="485"/>
      <c r="D63" s="1294">
        <v>0</v>
      </c>
      <c r="E63" s="1295"/>
      <c r="F63" s="1272"/>
      <c r="G63" s="1273"/>
      <c r="H63" s="1273"/>
      <c r="I63" s="1273"/>
      <c r="J63" s="1274"/>
      <c r="K63" s="534"/>
    </row>
    <row r="64" spans="2:23" x14ac:dyDescent="0.3">
      <c r="B64" s="484" t="s">
        <v>107</v>
      </c>
      <c r="C64" s="1022">
        <v>1</v>
      </c>
      <c r="D64" s="1021" t="s">
        <v>108</v>
      </c>
      <c r="E64" s="574">
        <f>VLOOKUP(D64,'Reference Tab'!$B$114:$G$139,5,FALSE)*C64</f>
        <v>6000</v>
      </c>
      <c r="F64" s="1272"/>
      <c r="G64" s="1273"/>
      <c r="H64" s="1273"/>
      <c r="I64" s="1273"/>
      <c r="J64" s="1274"/>
      <c r="K64" s="534"/>
    </row>
    <row r="65" spans="2:17" x14ac:dyDescent="0.3">
      <c r="B65" s="484" t="s">
        <v>109</v>
      </c>
      <c r="C65" s="1022">
        <v>1</v>
      </c>
      <c r="D65" s="1021" t="s">
        <v>108</v>
      </c>
      <c r="E65" s="574">
        <f>VLOOKUP(D65,'Reference Tab'!$B$144:$E$168,4,FALSE)*C65</f>
        <v>1500</v>
      </c>
      <c r="F65" s="1272"/>
      <c r="G65" s="1273"/>
      <c r="H65" s="1273"/>
      <c r="I65" s="1273"/>
      <c r="J65" s="1274"/>
      <c r="K65" s="534"/>
    </row>
    <row r="66" spans="2:17" x14ac:dyDescent="0.3">
      <c r="B66" s="484" t="s">
        <v>110</v>
      </c>
      <c r="C66" s="485"/>
      <c r="D66" s="1023">
        <v>500</v>
      </c>
      <c r="E66" s="575">
        <f>(D66/12)*'Acquisition Summary'!$K$9</f>
        <v>333.33333333333331</v>
      </c>
      <c r="F66" s="1272"/>
      <c r="G66" s="1273"/>
      <c r="H66" s="1273"/>
      <c r="I66" s="1273"/>
      <c r="J66" s="1274"/>
      <c r="K66" s="534"/>
    </row>
    <row r="67" spans="2:17" ht="13.5" thickBot="1" x14ac:dyDescent="0.35">
      <c r="B67" s="548" t="s">
        <v>111</v>
      </c>
      <c r="C67" s="549"/>
      <c r="D67" s="1024">
        <v>500</v>
      </c>
      <c r="E67" s="576">
        <f>(D67/12)*'Acquisition Summary'!$K$9</f>
        <v>333.33333333333331</v>
      </c>
      <c r="F67" s="1314"/>
      <c r="G67" s="1315"/>
      <c r="H67" s="1315"/>
      <c r="I67" s="1315"/>
      <c r="J67" s="1316"/>
      <c r="K67" s="491"/>
    </row>
    <row r="68" spans="2:17" ht="14" thickTop="1" thickBot="1" x14ac:dyDescent="0.35">
      <c r="B68" s="556" t="s">
        <v>112</v>
      </c>
      <c r="C68" s="557"/>
      <c r="D68" s="1307">
        <f>+(E65+E64+D63+D61+D62+(SUM(D66,D67)/12*'Acquisition Summary'!K9))</f>
        <v>11216.666666666666</v>
      </c>
      <c r="E68" s="1307"/>
      <c r="F68" s="1317"/>
      <c r="G68" s="1318"/>
      <c r="H68" s="1318"/>
      <c r="I68" s="1318"/>
      <c r="J68" s="1319"/>
      <c r="K68" s="491"/>
    </row>
    <row r="69" spans="2:17" ht="13.5" thickBot="1" x14ac:dyDescent="0.35">
      <c r="F69" s="749"/>
      <c r="G69" s="508"/>
      <c r="H69" s="508"/>
      <c r="I69" s="508"/>
      <c r="J69" s="508"/>
      <c r="K69" s="508"/>
    </row>
    <row r="70" spans="2:17" x14ac:dyDescent="0.3">
      <c r="B70" s="1311" t="s">
        <v>113</v>
      </c>
      <c r="C70" s="1312"/>
      <c r="D70" s="1312"/>
      <c r="E70" s="1312"/>
      <c r="F70" s="1312"/>
      <c r="G70" s="1312"/>
      <c r="H70" s="1312"/>
      <c r="I70" s="1312"/>
      <c r="J70" s="1313"/>
      <c r="K70" s="473"/>
    </row>
    <row r="71" spans="2:17" x14ac:dyDescent="0.3">
      <c r="B71" s="577" t="s">
        <v>114</v>
      </c>
      <c r="C71" s="578" t="s">
        <v>115</v>
      </c>
      <c r="D71" s="578" t="s">
        <v>116</v>
      </c>
      <c r="E71" s="759" t="s">
        <v>117</v>
      </c>
      <c r="F71" s="579" t="s">
        <v>118</v>
      </c>
      <c r="G71" s="579" t="s">
        <v>119</v>
      </c>
      <c r="H71" s="579" t="s">
        <v>120</v>
      </c>
      <c r="I71" s="578" t="s">
        <v>121</v>
      </c>
      <c r="J71" s="753" t="s">
        <v>122</v>
      </c>
      <c r="K71" s="580"/>
    </row>
    <row r="72" spans="2:17" x14ac:dyDescent="0.3">
      <c r="B72" s="1011" t="s">
        <v>123</v>
      </c>
      <c r="C72" s="1012">
        <v>1</v>
      </c>
      <c r="D72" s="581">
        <f>IFERROR(_xlfn.XLOOKUP(B72,'Reference Tab'!$B$5:$B$44,'Reference Tab'!$D$5:$D$44),"")</f>
        <v>1554</v>
      </c>
      <c r="E72" s="756">
        <f>IFERROR(J79*C72,0)</f>
        <v>133718.51</v>
      </c>
      <c r="F72" s="582">
        <f>+IFERROR($F$76*(E72/$E$76),)</f>
        <v>26743.702000000005</v>
      </c>
      <c r="G72" s="582">
        <f>+E72+F72</f>
        <v>160462.212</v>
      </c>
      <c r="H72" s="582">
        <f>IF(ISBLANK(B72),"",IFERROR(($R$17+$R$20+F79+$R$24+G79+F72/C72)*(1+0.333334),0))</f>
        <v>394038.70190814137</v>
      </c>
      <c r="I72" s="1045">
        <v>450000</v>
      </c>
      <c r="J72" s="1043" t="str">
        <f>HYPERLINK(_xlfn.XLOOKUP(B72,'Reference Tab'!B:B,'Reference Tab'!N:N))</f>
        <v/>
      </c>
      <c r="K72" s="582"/>
    </row>
    <row r="73" spans="2:17" x14ac:dyDescent="0.3">
      <c r="B73" s="1011"/>
      <c r="C73" s="1012"/>
      <c r="D73" s="581" t="str">
        <f>IFERROR(_xlfn.XLOOKUP(B73,'Reference Tab'!$B$5:$B$44,'Reference Tab'!$D$5:$D$44),"")</f>
        <v/>
      </c>
      <c r="E73" s="756">
        <f>IFERROR(J80*C73,0)</f>
        <v>0</v>
      </c>
      <c r="F73" s="582">
        <f>+IFERROR($F$76*(E73/$E$76),)</f>
        <v>0</v>
      </c>
      <c r="G73" s="582">
        <f t="shared" ref="G73:G75" si="6">+E73+F73</f>
        <v>0</v>
      </c>
      <c r="H73" s="582" t="str">
        <f>IF(ISBLANK(B73),"",IFERROR(($R$17+$R$20+F80+$R$24+G80+F73/C73)*(1+0.333334),0))</f>
        <v/>
      </c>
      <c r="I73" s="1045"/>
      <c r="J73" s="1043" t="str">
        <f>HYPERLINK(_xlfn.XLOOKUP(B73,'Reference Tab'!B:B,'Reference Tab'!N:N))</f>
        <v/>
      </c>
      <c r="K73" s="582"/>
      <c r="L73" s="801"/>
      <c r="O73" s="469"/>
      <c r="P73" s="469"/>
    </row>
    <row r="74" spans="2:17" x14ac:dyDescent="0.3">
      <c r="B74" s="1011"/>
      <c r="C74" s="1012"/>
      <c r="D74" s="581" t="str">
        <f>IFERROR(_xlfn.XLOOKUP(B74,'Reference Tab'!$B$5:$B$44,'Reference Tab'!$D$5:$D$44),"")</f>
        <v/>
      </c>
      <c r="E74" s="756">
        <f t="shared" ref="E74:E75" si="7">IFERROR(J81*C74,0)</f>
        <v>0</v>
      </c>
      <c r="F74" s="582">
        <f>+IFERROR($F$76*(E74/$E$76),)</f>
        <v>0</v>
      </c>
      <c r="G74" s="582">
        <f t="shared" si="6"/>
        <v>0</v>
      </c>
      <c r="H74" s="582" t="str">
        <f>IF(ISBLANK(B74),"",IFERROR(($R$17+$R$20+F81+$R$24+G81+F74/C74)*(1+0.333334),0))</f>
        <v/>
      </c>
      <c r="I74" s="1045"/>
      <c r="J74" s="1043" t="str">
        <f>HYPERLINK(_xlfn.XLOOKUP(B74,'Reference Tab'!B:B,'Reference Tab'!N:N))</f>
        <v/>
      </c>
      <c r="K74" s="582"/>
      <c r="L74" s="801"/>
      <c r="O74" s="469"/>
      <c r="P74" s="469"/>
    </row>
    <row r="75" spans="2:17" ht="13.5" thickBot="1" x14ac:dyDescent="0.35">
      <c r="B75" s="1013"/>
      <c r="C75" s="1014"/>
      <c r="D75" s="584" t="str">
        <f>IFERROR(_xlfn.XLOOKUP(B75,'Reference Tab'!$B$5:$B$44,'Reference Tab'!$D$5:$D$44),"")</f>
        <v/>
      </c>
      <c r="E75" s="757">
        <f t="shared" si="7"/>
        <v>0</v>
      </c>
      <c r="F75" s="585">
        <f>+IFERROR($F$76*(E75/$E$76),)</f>
        <v>0</v>
      </c>
      <c r="G75" s="585">
        <f t="shared" si="6"/>
        <v>0</v>
      </c>
      <c r="H75" s="585" t="str">
        <f>IF(ISBLANK(B75),"",IFERROR(($R$17+$R$20+F82+$R$24+G82+F75/C75)*(1+0.333334),0))</f>
        <v/>
      </c>
      <c r="I75" s="1047"/>
      <c r="J75" s="1048" t="str">
        <f>HYPERLINK(_xlfn.XLOOKUP(B75,'Reference Tab'!B:B,'Reference Tab'!N:N))</f>
        <v/>
      </c>
      <c r="K75" s="582"/>
      <c r="L75" s="801"/>
      <c r="O75" s="469"/>
      <c r="P75" s="469"/>
    </row>
    <row r="76" spans="2:17" ht="14" thickTop="1" thickBot="1" x14ac:dyDescent="0.35">
      <c r="B76" s="556" t="s">
        <v>23</v>
      </c>
      <c r="C76" s="557">
        <f>SUM(C72:C75)</f>
        <v>1</v>
      </c>
      <c r="D76" s="586">
        <f>SUMPRODUCT(C72:C75,D72:D75)/SUM(C72:C75)</f>
        <v>1554</v>
      </c>
      <c r="E76" s="758">
        <f>SUM(E72:E75)</f>
        <v>133718.51</v>
      </c>
      <c r="F76" s="750">
        <f>O23</f>
        <v>26743.702000000005</v>
      </c>
      <c r="G76" s="750">
        <f>SUM(G72:G75)</f>
        <v>160462.212</v>
      </c>
      <c r="H76" s="587">
        <f>SUMPRODUCT(C72:C75,H72:H75)/SUM(C72:C75)</f>
        <v>394038.70190814137</v>
      </c>
      <c r="I76" s="587">
        <f>SUMPRODUCT(C72:C75,I72:I75)/SUM(C72:C75)</f>
        <v>450000</v>
      </c>
      <c r="J76" s="1046"/>
      <c r="K76" s="588"/>
      <c r="L76" s="801"/>
      <c r="O76" s="469"/>
      <c r="P76" s="469"/>
    </row>
    <row r="77" spans="2:17" ht="13.5" thickBot="1" x14ac:dyDescent="0.35">
      <c r="B77" s="589" t="s">
        <v>124</v>
      </c>
      <c r="C77" s="590"/>
      <c r="D77" s="1290">
        <f>SUMIF('Brix Actual Budget'!D:D,Inputs!B77,'Brix Actual Budget'!C:C)</f>
        <v>133718.51</v>
      </c>
      <c r="E77" s="1291"/>
      <c r="F77" s="593"/>
      <c r="G77" s="593"/>
      <c r="H77" s="593"/>
      <c r="I77" s="593"/>
      <c r="J77" s="593"/>
      <c r="K77" s="593"/>
      <c r="Q77" s="473"/>
    </row>
    <row r="78" spans="2:17" ht="26.5" thickBot="1" x14ac:dyDescent="0.35">
      <c r="B78" s="628" t="s">
        <v>125</v>
      </c>
      <c r="C78" s="629" t="s">
        <v>126</v>
      </c>
      <c r="D78" s="629" t="s">
        <v>127</v>
      </c>
      <c r="E78" s="629" t="s">
        <v>128</v>
      </c>
      <c r="F78" s="629" t="s">
        <v>129</v>
      </c>
      <c r="G78" s="629" t="s">
        <v>126</v>
      </c>
      <c r="H78" s="629" t="s">
        <v>127</v>
      </c>
      <c r="I78" s="629" t="s">
        <v>128</v>
      </c>
      <c r="J78" s="662" t="s">
        <v>117</v>
      </c>
      <c r="K78" s="593"/>
      <c r="Q78" s="473"/>
    </row>
    <row r="79" spans="2:17" x14ac:dyDescent="0.3">
      <c r="B79" s="594" t="str">
        <f>IF(ISBLANK(B72),"",B72)</f>
        <v>Atlas II - SC</v>
      </c>
      <c r="C79" s="1015" t="s">
        <v>130</v>
      </c>
      <c r="D79" s="1016" t="s">
        <v>131</v>
      </c>
      <c r="E79" s="1017" t="s">
        <v>132</v>
      </c>
      <c r="F79" s="1197">
        <f>D77</f>
        <v>133718.51</v>
      </c>
      <c r="G79" s="592">
        <f>IFERROR(INDEX('Reference Tab'!$B$4:$N$44,MATCH(Inputs!B79,'Reference Tab'!$B$4:$B$44,0),MATCH(Inputs!C79,'Reference Tab'!$B$4:$N$4,0)),0)</f>
        <v>0</v>
      </c>
      <c r="H79" s="583">
        <f>IF(ISBLANK(D79),0,VLOOKUP(D79,'Reference Tab'!$C$110:$D$111,2,0))</f>
        <v>0</v>
      </c>
      <c r="I79" s="582">
        <f>IF(E79="Yes",30000,0)</f>
        <v>0</v>
      </c>
      <c r="J79" s="754">
        <f>SUM(F79:I79)</f>
        <v>133718.51</v>
      </c>
      <c r="K79" s="1185" t="s">
        <v>133</v>
      </c>
      <c r="Q79" s="473"/>
    </row>
    <row r="80" spans="2:17" x14ac:dyDescent="0.3">
      <c r="B80" s="594" t="str">
        <f t="shared" ref="B80:B82" si="8">IF(ISBLANK(B73),"",B73)</f>
        <v/>
      </c>
      <c r="C80" s="1015" t="s">
        <v>130</v>
      </c>
      <c r="D80" s="1016" t="s">
        <v>131</v>
      </c>
      <c r="E80" s="1017" t="s">
        <v>132</v>
      </c>
      <c r="F80" s="582">
        <f>IFERROR(_xlfn.XLOOKUP(Inputs!B73,'Reference Tab'!$B$4:$B$44,'Reference Tab'!$H$4:$H$44),0)</f>
        <v>0</v>
      </c>
      <c r="G80" s="592">
        <f>IFERROR(INDEX('Reference Tab'!$B$4:$N$44,MATCH(Inputs!B80,'Reference Tab'!$B$4:$B$44,0),MATCH(Inputs!C80,'Reference Tab'!$B$4:$N$4,0)),0)</f>
        <v>0</v>
      </c>
      <c r="H80" s="583">
        <f>IF(ISBLANK(D80),0,VLOOKUP(D80,'Reference Tab'!$C$110:$D$111,2,0))</f>
        <v>0</v>
      </c>
      <c r="I80" s="582">
        <f>IF(E80="Yes",30000,0)</f>
        <v>0</v>
      </c>
      <c r="J80" s="754">
        <f t="shared" ref="J80:J82" si="9">SUM(F80:I80)</f>
        <v>0</v>
      </c>
      <c r="K80" s="593"/>
      <c r="Q80" s="473"/>
    </row>
    <row r="81" spans="2:16" x14ac:dyDescent="0.3">
      <c r="B81" s="594" t="str">
        <f t="shared" si="8"/>
        <v/>
      </c>
      <c r="C81" s="1015" t="s">
        <v>130</v>
      </c>
      <c r="D81" s="1016" t="s">
        <v>131</v>
      </c>
      <c r="E81" s="1017" t="s">
        <v>132</v>
      </c>
      <c r="F81" s="582">
        <f>IFERROR(_xlfn.XLOOKUP(Inputs!B74,'Reference Tab'!$B$4:$B$44,'Reference Tab'!$H$4:$H$44),0)</f>
        <v>0</v>
      </c>
      <c r="G81" s="592">
        <f>IFERROR(INDEX('Reference Tab'!$B$4:$N$44,MATCH(Inputs!B81,'Reference Tab'!$B$4:$B$44,0),MATCH(Inputs!C81,'Reference Tab'!$B$4:$N$4,0)),0)</f>
        <v>0</v>
      </c>
      <c r="H81" s="583">
        <f>IF(ISBLANK(D81),0,VLOOKUP(D81,'Reference Tab'!$C$110:$D$111,2,0))</f>
        <v>0</v>
      </c>
      <c r="I81" s="582">
        <f>IF(E81="Yes",30000,0)</f>
        <v>0</v>
      </c>
      <c r="J81" s="754">
        <f t="shared" si="9"/>
        <v>0</v>
      </c>
      <c r="K81" s="593"/>
    </row>
    <row r="82" spans="2:16" ht="13.5" thickBot="1" x14ac:dyDescent="0.35">
      <c r="B82" s="595" t="str">
        <f t="shared" si="8"/>
        <v/>
      </c>
      <c r="C82" s="1020" t="s">
        <v>130</v>
      </c>
      <c r="D82" s="1018" t="s">
        <v>131</v>
      </c>
      <c r="E82" s="1019" t="s">
        <v>132</v>
      </c>
      <c r="F82" s="733">
        <f>IFERROR(_xlfn.XLOOKUP(Inputs!B75,'Reference Tab'!$B$4:$B$44,'Reference Tab'!$H$4:$H$44),0)</f>
        <v>0</v>
      </c>
      <c r="G82" s="751">
        <f>IFERROR(INDEX('Reference Tab'!$B$4:$N$44,MATCH(Inputs!B82,'Reference Tab'!$B$4:$B$44,0),MATCH(Inputs!C82,'Reference Tab'!$B$4:$N$4,0)),0)</f>
        <v>0</v>
      </c>
      <c r="H82" s="752">
        <f>IF(ISBLANK(D82),0,VLOOKUP(D82,'Reference Tab'!$C$110:$D$111,2,0))</f>
        <v>0</v>
      </c>
      <c r="I82" s="733">
        <f>IF(E82="Yes",30000,0)</f>
        <v>0</v>
      </c>
      <c r="J82" s="755">
        <f t="shared" si="9"/>
        <v>0</v>
      </c>
      <c r="K82" s="593"/>
      <c r="L82" s="634"/>
      <c r="M82" s="634"/>
      <c r="N82" s="635"/>
      <c r="O82" s="636"/>
      <c r="P82" s="636"/>
    </row>
    <row r="83" spans="2:16" ht="13.5" thickBot="1" x14ac:dyDescent="0.35">
      <c r="B83" s="589"/>
      <c r="C83" s="590"/>
      <c r="D83" s="591"/>
      <c r="E83" s="592"/>
      <c r="F83" s="593"/>
      <c r="G83" s="593"/>
      <c r="H83"/>
      <c r="I83" s="582"/>
      <c r="J83"/>
      <c r="K83" s="593"/>
      <c r="L83" s="801"/>
      <c r="O83" s="469"/>
      <c r="P83" s="469"/>
    </row>
    <row r="84" spans="2:16" x14ac:dyDescent="0.3">
      <c r="B84" s="631" t="s">
        <v>134</v>
      </c>
      <c r="C84" s="632"/>
      <c r="D84" s="633"/>
      <c r="E84" s="592"/>
      <c r="F84" s="593"/>
      <c r="G84" s="593"/>
      <c r="H84" s="593"/>
      <c r="K84" s="593"/>
      <c r="L84" s="801"/>
      <c r="O84" s="469"/>
      <c r="P84" s="469"/>
    </row>
    <row r="85" spans="2:16" x14ac:dyDescent="0.3">
      <c r="B85" s="596" t="s">
        <v>135</v>
      </c>
      <c r="C85" s="1031">
        <v>2.5000000000000001E-2</v>
      </c>
      <c r="D85" s="597">
        <f>+I76*C85*(1+'Acquisition Summary'!$R$1)*C76</f>
        <v>11250</v>
      </c>
      <c r="E85" s="592"/>
      <c r="F85" s="593"/>
      <c r="G85" s="593"/>
      <c r="H85" s="593"/>
      <c r="I85" s="593"/>
      <c r="J85" s="593"/>
      <c r="K85" s="593"/>
      <c r="L85" s="634"/>
      <c r="M85" s="634"/>
      <c r="N85" s="635"/>
      <c r="O85" s="500"/>
      <c r="P85" s="500"/>
    </row>
    <row r="86" spans="2:16" x14ac:dyDescent="0.3">
      <c r="B86" s="596" t="s">
        <v>136</v>
      </c>
      <c r="C86" s="1031">
        <v>2.5000000000000001E-2</v>
      </c>
      <c r="D86" s="597">
        <f>+I76*C86*(1+'Acquisition Summary'!$R$1)*C76</f>
        <v>11250</v>
      </c>
      <c r="E86" s="592"/>
      <c r="F86" s="593"/>
      <c r="G86" s="593"/>
      <c r="H86" s="593"/>
      <c r="I86" s="593"/>
      <c r="J86" s="593"/>
      <c r="K86" s="593"/>
    </row>
    <row r="87" spans="2:16" x14ac:dyDescent="0.3">
      <c r="B87" s="596" t="s">
        <v>137</v>
      </c>
      <c r="C87" s="1031"/>
      <c r="D87" s="597">
        <v>2500</v>
      </c>
      <c r="E87" s="592"/>
      <c r="F87" s="593"/>
      <c r="G87" s="593"/>
      <c r="H87" s="593"/>
      <c r="I87" s="593"/>
      <c r="J87" s="593"/>
      <c r="K87" s="593"/>
    </row>
    <row r="88" spans="2:16" x14ac:dyDescent="0.3">
      <c r="B88" s="596" t="s">
        <v>138</v>
      </c>
      <c r="C88" s="1056">
        <v>10000</v>
      </c>
      <c r="D88" s="678">
        <f>C76*C88</f>
        <v>10000</v>
      </c>
      <c r="E88" s="592"/>
      <c r="F88" s="593"/>
      <c r="G88" s="593"/>
      <c r="H88" s="593"/>
      <c r="I88" s="593"/>
      <c r="J88"/>
      <c r="K88" s="593"/>
    </row>
    <row r="89" spans="2:16" ht="13.5" thickBot="1" x14ac:dyDescent="0.35">
      <c r="B89" s="1025" t="s">
        <v>139</v>
      </c>
      <c r="C89" s="1033">
        <v>5.0000000000000001E-3</v>
      </c>
      <c r="D89" s="1026">
        <f>+I76*C89*(1+'Acquisition Summary'!$R$1)*C76</f>
        <v>2250</v>
      </c>
      <c r="E89" s="592"/>
      <c r="F89" s="593"/>
      <c r="G89" s="593"/>
      <c r="H89" s="593"/>
      <c r="I89" s="593"/>
      <c r="J89"/>
      <c r="K89" s="593"/>
    </row>
    <row r="90" spans="2:16" ht="13.5" thickBot="1" x14ac:dyDescent="0.35">
      <c r="C90" s="467"/>
      <c r="E90" s="467"/>
      <c r="F90" s="598"/>
      <c r="G90" s="598"/>
      <c r="H90" s="598"/>
      <c r="I90" s="598"/>
      <c r="J90"/>
      <c r="K90" s="598"/>
    </row>
    <row r="91" spans="2:16" ht="13.5" thickBot="1" x14ac:dyDescent="0.35">
      <c r="B91" s="628" t="s">
        <v>140</v>
      </c>
      <c r="C91" s="629"/>
      <c r="D91" s="629"/>
      <c r="E91" s="629"/>
      <c r="F91" s="630" t="s">
        <v>4</v>
      </c>
      <c r="G91" s="517"/>
      <c r="H91" s="517"/>
      <c r="I91" s="517"/>
      <c r="J91"/>
      <c r="K91" s="517"/>
    </row>
    <row r="92" spans="2:16" x14ac:dyDescent="0.3">
      <c r="B92" s="484" t="s">
        <v>141</v>
      </c>
      <c r="C92" s="485"/>
      <c r="D92" s="1021" t="s">
        <v>142</v>
      </c>
      <c r="E92" s="744"/>
      <c r="F92" s="599"/>
      <c r="G92" s="494"/>
      <c r="H92" s="494"/>
      <c r="I92" s="494"/>
      <c r="J92"/>
      <c r="K92" s="494"/>
    </row>
    <row r="93" spans="2:16" x14ac:dyDescent="0.3">
      <c r="B93" s="484" t="s">
        <v>143</v>
      </c>
      <c r="C93" s="485"/>
      <c r="D93" s="1027" t="s">
        <v>144</v>
      </c>
      <c r="E93" s="600"/>
      <c r="F93" s="533"/>
      <c r="G93" s="534"/>
      <c r="H93" s="534"/>
      <c r="I93" s="534"/>
      <c r="J93"/>
      <c r="K93" s="534"/>
    </row>
    <row r="94" spans="2:16" x14ac:dyDescent="0.3">
      <c r="B94" s="484" t="s">
        <v>145</v>
      </c>
      <c r="C94" s="485"/>
      <c r="D94" s="601">
        <f>VLOOKUP($D$92,'Reference Tab'!$B$53:$H$76,2,0)</f>
        <v>0.01</v>
      </c>
      <c r="E94" s="602"/>
      <c r="F94" s="603"/>
      <c r="G94" s="604"/>
      <c r="H94" s="604"/>
      <c r="I94" s="604"/>
      <c r="J94"/>
      <c r="K94" s="604"/>
    </row>
    <row r="95" spans="2:16" x14ac:dyDescent="0.3">
      <c r="B95" s="484" t="s">
        <v>146</v>
      </c>
      <c r="C95" s="485"/>
      <c r="D95" s="605">
        <f>+_xlfn.XLOOKUP(D92,'Reference Tab'!B56:B77,'Reference Tab'!D56:D77)</f>
        <v>0.10249999999999999</v>
      </c>
      <c r="E95" s="606"/>
      <c r="F95" s="533"/>
      <c r="G95" s="534"/>
      <c r="H95" s="534"/>
      <c r="I95" s="534"/>
      <c r="J95" s="534"/>
      <c r="K95" s="534"/>
    </row>
    <row r="96" spans="2:16" x14ac:dyDescent="0.3">
      <c r="B96" s="607" t="s">
        <v>147</v>
      </c>
      <c r="C96" s="608"/>
      <c r="D96" s="609">
        <f>IF(D99&gt;0,MIN(D97:D99,MIN(D97:D98)))</f>
        <v>267728.87866666669</v>
      </c>
      <c r="E96" s="610"/>
      <c r="F96" s="611"/>
      <c r="G96" s="612"/>
      <c r="H96" s="612"/>
      <c r="I96" s="612"/>
      <c r="J96" s="612"/>
      <c r="K96" s="612"/>
    </row>
    <row r="97" spans="2:12" x14ac:dyDescent="0.3">
      <c r="B97" s="484" t="s">
        <v>148</v>
      </c>
      <c r="C97" s="613">
        <f>VLOOKUP($D$92,'Reference Tab'!$B$53:$H$76,4,0)</f>
        <v>0.9</v>
      </c>
      <c r="D97" s="614">
        <f>+IFERROR(C97*O33/C76,)</f>
        <v>270655.99080000003</v>
      </c>
      <c r="E97" s="615"/>
      <c r="F97" s="611"/>
      <c r="G97" s="612"/>
      <c r="H97" s="612"/>
      <c r="I97" s="612"/>
      <c r="J97" s="612"/>
      <c r="K97" s="612"/>
    </row>
    <row r="98" spans="2:12" x14ac:dyDescent="0.3">
      <c r="B98" s="484" t="s">
        <v>149</v>
      </c>
      <c r="C98" s="613">
        <f>VLOOKUP($D$92,'Reference Tab'!$B$54:$G$78,6,0)</f>
        <v>0.7</v>
      </c>
      <c r="D98" s="614">
        <f>C98*I76*(1+'Acquisition Summary'!R1)</f>
        <v>315000</v>
      </c>
      <c r="E98" s="615"/>
      <c r="F98" s="611"/>
      <c r="G98" s="612"/>
      <c r="H98" s="612"/>
      <c r="I98" s="612"/>
      <c r="J98" s="612"/>
      <c r="K98" s="612"/>
    </row>
    <row r="99" spans="2:12" x14ac:dyDescent="0.3">
      <c r="B99" s="484" t="str">
        <f>IF(D92="Renovo","Structured LTC (Custom Cap)","")</f>
        <v>Structured LTC (Custom Cap)</v>
      </c>
      <c r="C99" s="613"/>
      <c r="D99" s="614">
        <f>IF(B99="", "", ((O13*C98)+O26)/buildcount)</f>
        <v>267728.87866666669</v>
      </c>
      <c r="E99" s="615"/>
      <c r="F99" s="611"/>
      <c r="G99" s="612"/>
      <c r="H99" s="612"/>
      <c r="I99" s="612"/>
      <c r="J99" s="612"/>
      <c r="K99" s="612"/>
    </row>
    <row r="100" spans="2:12" ht="13.5" thickBot="1" x14ac:dyDescent="0.35">
      <c r="B100" s="512" t="s">
        <v>150</v>
      </c>
      <c r="C100" s="616">
        <f>+_xlfn.XLOOKUP(D92,'Reference Tab'!B56:B77,'Reference Tab'!F56:F77)</f>
        <v>0.7</v>
      </c>
      <c r="D100" s="617">
        <f>+D16*C100</f>
        <v>77000</v>
      </c>
      <c r="E100" s="618"/>
      <c r="F100" s="619"/>
      <c r="G100" s="612"/>
      <c r="H100" s="612"/>
      <c r="I100" s="612"/>
      <c r="J100" s="612"/>
      <c r="K100" s="612"/>
    </row>
    <row r="101" spans="2:12" ht="13.5" thickBot="1" x14ac:dyDescent="0.35">
      <c r="B101" s="468"/>
      <c r="C101" s="620"/>
      <c r="D101" s="468"/>
      <c r="E101" s="620"/>
      <c r="F101" s="621"/>
      <c r="G101" s="621"/>
      <c r="H101" s="621"/>
      <c r="I101" s="621"/>
      <c r="J101" s="621"/>
      <c r="K101" s="621"/>
    </row>
    <row r="102" spans="2:12" ht="13.5" thickBot="1" x14ac:dyDescent="0.35">
      <c r="B102" s="628" t="s">
        <v>151</v>
      </c>
      <c r="C102" s="629"/>
      <c r="D102" s="629"/>
      <c r="E102" s="629"/>
      <c r="F102" s="630" t="s">
        <v>4</v>
      </c>
      <c r="G102" s="517"/>
      <c r="H102" s="517"/>
      <c r="I102" s="517"/>
      <c r="J102" s="517"/>
      <c r="K102" s="517"/>
    </row>
    <row r="103" spans="2:12" x14ac:dyDescent="0.3">
      <c r="B103" s="484" t="s">
        <v>152</v>
      </c>
      <c r="C103" s="485"/>
      <c r="D103" s="1028" t="s">
        <v>153</v>
      </c>
      <c r="E103" s="622"/>
      <c r="F103" s="599"/>
      <c r="G103" s="494"/>
      <c r="H103" s="494"/>
      <c r="I103" s="494"/>
      <c r="J103" s="494"/>
      <c r="K103" s="494"/>
    </row>
    <row r="104" spans="2:12" x14ac:dyDescent="0.3">
      <c r="B104" s="484" t="s">
        <v>145</v>
      </c>
      <c r="C104" s="485"/>
      <c r="D104" s="623">
        <f>IFERROR(VLOOKUP(D103,'Reference Tab'!$B$81:$E$96,2,0),0)</f>
        <v>0</v>
      </c>
      <c r="E104" s="624"/>
      <c r="F104" s="533"/>
      <c r="G104" s="534"/>
      <c r="H104" s="534"/>
      <c r="I104" s="534"/>
      <c r="J104" s="534"/>
      <c r="K104" s="534"/>
    </row>
    <row r="105" spans="2:12" x14ac:dyDescent="0.3">
      <c r="B105" s="484" t="s">
        <v>154</v>
      </c>
      <c r="C105" s="485"/>
      <c r="D105" s="623">
        <f>IFERROR(VLOOKUP(D103,'Reference Tab'!$B$81:$E$96,3,0),0)</f>
        <v>0.16</v>
      </c>
      <c r="E105" s="624"/>
      <c r="F105" s="533"/>
      <c r="G105" s="534"/>
      <c r="H105" s="534"/>
      <c r="I105" s="534"/>
      <c r="J105" s="534"/>
      <c r="K105" s="534"/>
    </row>
    <row r="106" spans="2:12" x14ac:dyDescent="0.3">
      <c r="B106" s="484" t="s">
        <v>155</v>
      </c>
      <c r="C106" s="485"/>
      <c r="D106" s="623">
        <f>IFERROR(VLOOKUP(D103,'Reference Tab'!$B$81:$E$96,4,0),0)</f>
        <v>0</v>
      </c>
      <c r="E106" s="624"/>
      <c r="F106" s="1029"/>
      <c r="G106" s="491"/>
      <c r="H106" s="491"/>
      <c r="I106" s="491"/>
      <c r="J106" s="491"/>
      <c r="K106" s="491"/>
    </row>
    <row r="107" spans="2:12" ht="13.5" thickBot="1" x14ac:dyDescent="0.35">
      <c r="B107" s="512" t="s">
        <v>156</v>
      </c>
      <c r="C107" s="513"/>
      <c r="D107" s="1054">
        <f ca="1">P7</f>
        <v>48279.565332916682</v>
      </c>
      <c r="E107" s="625"/>
      <c r="F107" s="1030"/>
      <c r="G107" s="534"/>
      <c r="H107" s="534"/>
      <c r="I107" s="534"/>
      <c r="J107" s="534"/>
      <c r="K107" s="534"/>
      <c r="L107" s="747"/>
    </row>
    <row r="108" spans="2:12" x14ac:dyDescent="0.3">
      <c r="B108" s="626" t="str">
        <f>+D103&amp;" IRR"</f>
        <v>Red Cedar SLFII IRR</v>
      </c>
      <c r="C108" s="626"/>
      <c r="D108" s="627">
        <f ca="1">IFERROR(XIRR('Monthly CF'!D53:AB53,'Monthly CF'!D2:AB2),"N/A")</f>
        <v>0.16769096255302432</v>
      </c>
    </row>
  </sheetData>
  <mergeCells count="100">
    <mergeCell ref="F55:J55"/>
    <mergeCell ref="F57:J57"/>
    <mergeCell ref="F58:J58"/>
    <mergeCell ref="D55:E55"/>
    <mergeCell ref="F65:J65"/>
    <mergeCell ref="D63:E63"/>
    <mergeCell ref="D62:E62"/>
    <mergeCell ref="D68:E68"/>
    <mergeCell ref="B70:J70"/>
    <mergeCell ref="F67:J67"/>
    <mergeCell ref="F68:J68"/>
    <mergeCell ref="F66:J66"/>
    <mergeCell ref="F53:J53"/>
    <mergeCell ref="F54:J54"/>
    <mergeCell ref="D53:E53"/>
    <mergeCell ref="D49:E49"/>
    <mergeCell ref="D77:E77"/>
    <mergeCell ref="D54:E54"/>
    <mergeCell ref="D56:E56"/>
    <mergeCell ref="F62:J62"/>
    <mergeCell ref="F63:J63"/>
    <mergeCell ref="F64:J64"/>
    <mergeCell ref="D57:E57"/>
    <mergeCell ref="D58:E58"/>
    <mergeCell ref="F60:J60"/>
    <mergeCell ref="F61:J61"/>
    <mergeCell ref="B60:E60"/>
    <mergeCell ref="D61:E61"/>
    <mergeCell ref="F49:J49"/>
    <mergeCell ref="F50:J50"/>
    <mergeCell ref="F51:J51"/>
    <mergeCell ref="F52:J52"/>
    <mergeCell ref="D50:E50"/>
    <mergeCell ref="D51:E51"/>
    <mergeCell ref="D52:E52"/>
    <mergeCell ref="D28:E28"/>
    <mergeCell ref="D48:E48"/>
    <mergeCell ref="B47:E47"/>
    <mergeCell ref="D34:E34"/>
    <mergeCell ref="D35:E35"/>
    <mergeCell ref="D36:E36"/>
    <mergeCell ref="D37:E37"/>
    <mergeCell ref="D43:E43"/>
    <mergeCell ref="D44:E44"/>
    <mergeCell ref="D45:E45"/>
    <mergeCell ref="D38:E38"/>
    <mergeCell ref="D39:E39"/>
    <mergeCell ref="D40:E40"/>
    <mergeCell ref="D11:E11"/>
    <mergeCell ref="B15:E15"/>
    <mergeCell ref="D18:E18"/>
    <mergeCell ref="D20:E20"/>
    <mergeCell ref="D19:E19"/>
    <mergeCell ref="D23:E23"/>
    <mergeCell ref="D16:E16"/>
    <mergeCell ref="D12:E12"/>
    <mergeCell ref="D13:E13"/>
    <mergeCell ref="D17:E17"/>
    <mergeCell ref="D33:E33"/>
    <mergeCell ref="F36:J36"/>
    <mergeCell ref="F37:J37"/>
    <mergeCell ref="F31:J31"/>
    <mergeCell ref="F32:J32"/>
    <mergeCell ref="F33:J33"/>
    <mergeCell ref="F34:J34"/>
    <mergeCell ref="F35:J35"/>
    <mergeCell ref="D10:E10"/>
    <mergeCell ref="F47:J47"/>
    <mergeCell ref="F48:J48"/>
    <mergeCell ref="F27:J27"/>
    <mergeCell ref="D21:E21"/>
    <mergeCell ref="D22:E22"/>
    <mergeCell ref="D25:E25"/>
    <mergeCell ref="F16:J25"/>
    <mergeCell ref="D41:E41"/>
    <mergeCell ref="D42:E42"/>
    <mergeCell ref="D29:E29"/>
    <mergeCell ref="D24:E24"/>
    <mergeCell ref="B27:E27"/>
    <mergeCell ref="D30:E30"/>
    <mergeCell ref="D31:E31"/>
    <mergeCell ref="D32:E32"/>
    <mergeCell ref="Z4:AC4"/>
    <mergeCell ref="B2:J3"/>
    <mergeCell ref="F5:J5"/>
    <mergeCell ref="F7:J7"/>
    <mergeCell ref="F8:J8"/>
    <mergeCell ref="B4:E4"/>
    <mergeCell ref="D7:E7"/>
    <mergeCell ref="D8:E8"/>
    <mergeCell ref="F4:J4"/>
    <mergeCell ref="D6:E6"/>
    <mergeCell ref="L2:S3"/>
    <mergeCell ref="D5:E5"/>
    <mergeCell ref="F15:J15"/>
    <mergeCell ref="F10:J10"/>
    <mergeCell ref="F12:J12"/>
    <mergeCell ref="F13:J13"/>
    <mergeCell ref="Z9:AC9"/>
    <mergeCell ref="F9:J9"/>
  </mergeCells>
  <conditionalFormatting sqref="N23">
    <cfRule type="expression" dxfId="15" priority="1">
      <formula>$M$23="Manual"</formula>
    </cfRule>
  </conditionalFormatting>
  <dataValidations disablePrompts="1" count="8">
    <dataValidation type="list" allowBlank="1" showInputMessage="1" showErrorMessage="1" sqref="E79:E82" xr:uid="{E9EFC526-3BDF-48B7-81DF-78D8DA08F577}">
      <formula1>"Yes, No"</formula1>
    </dataValidation>
    <dataValidation type="date" operator="greaterThan" allowBlank="1" showErrorMessage="1" sqref="P36" xr:uid="{10D035AB-9BBA-469E-B7F0-20D99060C0D4}">
      <formula1>41275</formula1>
    </dataValidation>
    <dataValidation type="list" showInputMessage="1" showErrorMessage="1" sqref="C21" xr:uid="{0572FDCF-3F5F-094D-B157-F8110820EFF7}">
      <formula1>"Applicable, Nonapplicable"</formula1>
    </dataValidation>
    <dataValidation type="list" allowBlank="1" showInputMessage="1" showErrorMessage="1" sqref="M23" xr:uid="{2BBAE8CD-0B65-B246-B72D-3ED18FF2FC28}">
      <formula1>"Auto, Manual"</formula1>
    </dataValidation>
    <dataValidation type="list" showInputMessage="1" showErrorMessage="1" sqref="C28" xr:uid="{455D43D3-49ED-C74B-83CA-BD80621BD4EA}">
      <formula1>"Applicable, N/A"</formula1>
    </dataValidation>
    <dataValidation type="list" allowBlank="1" showInputMessage="1" showErrorMessage="1" sqref="D79:D82" xr:uid="{190D5DB7-C7F7-4ABC-B6B4-589F8E25CE6C}">
      <formula1>"Slab, Crawl"</formula1>
    </dataValidation>
    <dataValidation type="list" allowBlank="1" showInputMessage="1" showErrorMessage="1" sqref="C79:C82" xr:uid="{FCD8C815-2446-4F4C-9395-D5DDA324BBDE}">
      <formula1>"Comfort, Classic, Elegance, Harmony"</formula1>
    </dataValidation>
    <dataValidation type="list" allowBlank="1" showInputMessage="1" showErrorMessage="1" sqref="D11:E11" xr:uid="{CDCA5CA6-9A39-44C5-BD8E-C5C2E8CE535F}">
      <formula1>"SFH, TH"</formula1>
    </dataValidation>
  </dataValidations>
  <pageMargins left="0.7" right="0.7" top="0.75" bottom="0.75" header="0" footer="0"/>
  <pageSetup scale="71" orientation="portrait" r:id="rId1"/>
  <ignoredErrors>
    <ignoredError sqref="E19 B55:C55 B49:C49 B54:C54 C53 B60:E60 B61:C61 B62:C62 C51 C52 B50:C50 B48:C48 E18 E66:E67 H79:H82 D72:D75" unlockedFormula="1"/>
    <ignoredError sqref="D76" formula="1" unlockedFormula="1"/>
    <ignoredError sqref="F76:H76 J76" formula="1"/>
  </ignoredErrors>
  <legacyDrawing r:id="rId2"/>
  <extLst>
    <ext xmlns:x14="http://schemas.microsoft.com/office/spreadsheetml/2009/9/main" uri="{CCE6A557-97BC-4b89-ADB6-D9C93CAAB3DF}">
      <x14:dataValidations xmlns:xm="http://schemas.microsoft.com/office/excel/2006/main" disablePrompts="1" count="6">
        <x14:dataValidation type="list" allowBlank="1" showErrorMessage="1" xr:uid="{00000000-0002-0000-0000-000003000000}">
          <x14:formula1>
            <xm:f>'Reference Tab'!$B$110:$B$111</xm:f>
          </x14:formula1>
          <xm:sqref>D93</xm:sqref>
        </x14:dataValidation>
        <x14:dataValidation type="list" allowBlank="1" showErrorMessage="1" xr:uid="{00000000-0002-0000-0000-000004000000}">
          <x14:formula1>
            <xm:f>'Reference Tab'!$B$81:$B$96</xm:f>
          </x14:formula1>
          <xm:sqref>D103</xm:sqref>
        </x14:dataValidation>
        <x14:dataValidation type="list" allowBlank="1" showErrorMessage="1" xr:uid="{BE5175DF-AF22-4EEE-A4CA-508D10EB4DA8}">
          <x14:formula1>
            <xm:f>'Reference Tab'!$B$114:$B$139</xm:f>
          </x14:formula1>
          <xm:sqref>D64</xm:sqref>
        </x14:dataValidation>
        <x14:dataValidation type="list" allowBlank="1" showErrorMessage="1" xr:uid="{CBB42909-7DD4-420C-BC68-F2C299FF6184}">
          <x14:formula1>
            <xm:f>'Reference Tab'!$B$144:$B$168</xm:f>
          </x14:formula1>
          <xm:sqref>D65</xm:sqref>
        </x14:dataValidation>
        <x14:dataValidation type="list" allowBlank="1" showErrorMessage="1" xr:uid="{00000000-0002-0000-0000-000002000000}">
          <x14:formula1>
            <xm:f>'Reference Tab'!$B$56:$B$78</xm:f>
          </x14:formula1>
          <xm:sqref>D92</xm:sqref>
        </x14:dataValidation>
        <x14:dataValidation type="list" allowBlank="1" showInputMessage="1" showErrorMessage="1" xr:uid="{30C7E5EC-0DA8-499E-8C99-8C82D373AB41}">
          <x14:formula1>
            <xm:f>'Reference Tab'!$A:$A</xm:f>
          </x14:formula1>
          <xm:sqref>B72:B75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AD576-49DB-0A42-9528-3B0F457E7B23}">
  <sheetPr>
    <tabColor theme="1"/>
    <pageSetUpPr fitToPage="1"/>
  </sheetPr>
  <dimension ref="A1:AB63"/>
  <sheetViews>
    <sheetView showGridLines="0" zoomScale="144" zoomScaleNormal="144" zoomScaleSheetLayoutView="125" workbookViewId="0">
      <selection activeCell="H34" sqref="H34"/>
    </sheetView>
  </sheetViews>
  <sheetFormatPr defaultColWidth="13.77734375" defaultRowHeight="12.5" outlineLevelCol="1" x14ac:dyDescent="0.25"/>
  <cols>
    <col min="1" max="1" width="3.109375" style="86" customWidth="1"/>
    <col min="2" max="2" width="30.109375" style="86" customWidth="1"/>
    <col min="3" max="3" width="18.44140625" style="86" bestFit="1" customWidth="1"/>
    <col min="4" max="4" width="13.44140625" style="86" bestFit="1" customWidth="1"/>
    <col min="5" max="5" width="16.77734375" style="86" customWidth="1"/>
    <col min="6" max="6" width="17.44140625" style="86" bestFit="1" customWidth="1"/>
    <col min="7" max="7" width="3.109375" style="86" customWidth="1"/>
    <col min="8" max="8" width="42.109375" style="86" customWidth="1"/>
    <col min="9" max="9" width="1.44140625" style="86" customWidth="1"/>
    <col min="10" max="10" width="14.44140625" style="86" bestFit="1" customWidth="1"/>
    <col min="11" max="11" width="13.109375" style="86" bestFit="1" customWidth="1"/>
    <col min="12" max="12" width="13.77734375" style="86"/>
    <col min="13" max="13" width="22.44140625" style="86" bestFit="1" customWidth="1"/>
    <col min="14" max="15" width="13.77734375" style="86"/>
    <col min="16" max="27" width="0" style="86" hidden="1" customWidth="1" outlineLevel="1"/>
    <col min="28" max="28" width="13.77734375" style="86" collapsed="1"/>
    <col min="29" max="16384" width="13.77734375" style="86"/>
  </cols>
  <sheetData>
    <row r="1" spans="2:27" x14ac:dyDescent="0.25">
      <c r="B1" s="1320" t="str">
        <f>+ "DEAL SHEET  |  "&amp;D6</f>
        <v>DEAL SHEET  |  241 Willard Street</v>
      </c>
      <c r="C1" s="1320"/>
      <c r="D1" s="1320"/>
      <c r="E1" s="1320"/>
      <c r="F1" s="1320"/>
      <c r="G1" s="1320"/>
      <c r="H1" s="1320"/>
      <c r="I1" s="1320"/>
      <c r="J1" s="1320"/>
      <c r="K1" s="1320"/>
      <c r="M1" s="86" t="s">
        <v>118</v>
      </c>
      <c r="N1" s="418">
        <v>0.4</v>
      </c>
      <c r="P1" s="206">
        <f>+K6</f>
        <v>46081</v>
      </c>
      <c r="Q1" s="206">
        <f>+K7</f>
        <v>46110</v>
      </c>
      <c r="R1" s="206">
        <f>+EOMONTH(Q1,1)</f>
        <v>46142</v>
      </c>
      <c r="S1" s="206">
        <f t="shared" ref="S1:AA1" si="0">+EOMONTH(R1,1)</f>
        <v>46173</v>
      </c>
      <c r="T1" s="206">
        <f t="shared" si="0"/>
        <v>46203</v>
      </c>
      <c r="U1" s="206">
        <f t="shared" si="0"/>
        <v>46234</v>
      </c>
      <c r="V1" s="206">
        <f t="shared" si="0"/>
        <v>46265</v>
      </c>
      <c r="W1" s="206">
        <f t="shared" si="0"/>
        <v>46295</v>
      </c>
      <c r="X1" s="206">
        <f t="shared" si="0"/>
        <v>46326</v>
      </c>
      <c r="Y1" s="206">
        <f t="shared" si="0"/>
        <v>46356</v>
      </c>
      <c r="Z1" s="206">
        <f t="shared" si="0"/>
        <v>46387</v>
      </c>
      <c r="AA1" s="206">
        <f t="shared" si="0"/>
        <v>46418</v>
      </c>
    </row>
    <row r="2" spans="2:27" ht="15" customHeight="1" x14ac:dyDescent="0.25">
      <c r="B2" s="1320"/>
      <c r="C2" s="1320"/>
      <c r="D2" s="1320"/>
      <c r="E2" s="1320"/>
      <c r="F2" s="1320"/>
      <c r="G2" s="1320"/>
      <c r="H2" s="1320"/>
      <c r="I2" s="1320"/>
      <c r="J2" s="1320"/>
      <c r="K2" s="1320"/>
      <c r="M2" s="86" t="s">
        <v>157</v>
      </c>
      <c r="N2" s="420">
        <f>+E24-'Acquisition Summary'!E26</f>
        <v>53487.40399999998</v>
      </c>
      <c r="P2" s="412">
        <v>1</v>
      </c>
      <c r="Q2" s="412">
        <v>2</v>
      </c>
      <c r="R2" s="412">
        <v>3</v>
      </c>
      <c r="S2" s="412">
        <v>4</v>
      </c>
      <c r="T2" s="412">
        <v>5</v>
      </c>
      <c r="U2" s="412">
        <v>6</v>
      </c>
      <c r="V2" s="412">
        <v>7</v>
      </c>
      <c r="W2" s="412">
        <v>8</v>
      </c>
      <c r="X2" s="412">
        <v>9</v>
      </c>
      <c r="Y2" s="412">
        <v>10</v>
      </c>
      <c r="Z2" s="412">
        <v>11</v>
      </c>
      <c r="AA2" s="412">
        <v>12</v>
      </c>
    </row>
    <row r="3" spans="2:27" ht="20.25" customHeight="1" x14ac:dyDescent="0.25">
      <c r="B3" s="1320"/>
      <c r="C3" s="1320"/>
      <c r="D3" s="1320"/>
      <c r="E3" s="1320"/>
      <c r="F3" s="1320"/>
      <c r="G3" s="1320"/>
      <c r="H3" s="1320"/>
      <c r="I3" s="1320"/>
      <c r="J3" s="1320"/>
      <c r="K3" s="1320"/>
      <c r="M3" s="86" t="s">
        <v>158</v>
      </c>
      <c r="N3" s="419" t="e">
        <f>+E24/VLOOKUP(Inputs!#REF!,'Reference Tab'!B4:M44,3,0)</f>
        <v>#REF!</v>
      </c>
      <c r="P3" s="376">
        <f ca="1">-D14</f>
        <v>-69341.823399583343</v>
      </c>
      <c r="Q3" s="376">
        <f>+IF(Q2=$J$9,$J$16,0)</f>
        <v>0</v>
      </c>
      <c r="R3" s="376">
        <f t="shared" ref="R3:AA3" si="1">+IF(R2=$J$9,$J$16,0)</f>
        <v>0</v>
      </c>
      <c r="S3" s="376">
        <f t="shared" si="1"/>
        <v>0</v>
      </c>
      <c r="T3" s="376">
        <f t="shared" si="1"/>
        <v>0</v>
      </c>
      <c r="U3" s="376">
        <f t="shared" si="1"/>
        <v>0</v>
      </c>
      <c r="V3" s="376">
        <f t="shared" si="1"/>
        <v>0</v>
      </c>
      <c r="W3" s="376" t="e">
        <f t="shared" si="1"/>
        <v>#REF!</v>
      </c>
      <c r="X3" s="376">
        <f t="shared" si="1"/>
        <v>0</v>
      </c>
      <c r="Y3" s="376">
        <f t="shared" si="1"/>
        <v>0</v>
      </c>
      <c r="Z3" s="376">
        <f t="shared" si="1"/>
        <v>0</v>
      </c>
      <c r="AA3" s="376">
        <f t="shared" si="1"/>
        <v>0</v>
      </c>
    </row>
    <row r="4" spans="2:27" ht="13" thickBot="1" x14ac:dyDescent="0.3"/>
    <row r="5" spans="2:27" ht="14.25" customHeight="1" x14ac:dyDescent="0.3">
      <c r="B5" s="87" t="s">
        <v>159</v>
      </c>
      <c r="C5" s="88"/>
      <c r="D5" s="88"/>
      <c r="E5" s="88"/>
      <c r="F5" s="89"/>
      <c r="G5" s="90"/>
      <c r="H5" s="87" t="s">
        <v>160</v>
      </c>
      <c r="I5" s="92"/>
      <c r="J5" s="92" t="s">
        <v>161</v>
      </c>
      <c r="K5" s="93" t="s">
        <v>162</v>
      </c>
      <c r="L5" s="206"/>
      <c r="M5" s="206"/>
      <c r="N5" s="206"/>
      <c r="O5" s="206"/>
      <c r="P5" s="86" t="s">
        <v>163</v>
      </c>
      <c r="Q5" s="414" t="e">
        <f ca="1">+XIRR(P3:AA3,P1:AA1)</f>
        <v>#REF!</v>
      </c>
    </row>
    <row r="6" spans="2:27" ht="14.25" customHeight="1" x14ac:dyDescent="0.25">
      <c r="B6" s="94" t="s">
        <v>164</v>
      </c>
      <c r="C6" s="95"/>
      <c r="D6" s="1321" t="str">
        <f>+Inputs!D5</f>
        <v>241 Willard Street</v>
      </c>
      <c r="E6" s="1321"/>
      <c r="F6" s="1322"/>
      <c r="H6" s="189" t="str">
        <f>+Inputs!L36</f>
        <v>Purchase Date</v>
      </c>
      <c r="I6" s="190"/>
      <c r="J6" s="190">
        <v>1</v>
      </c>
      <c r="K6" s="209">
        <f>+Inputs!P36</f>
        <v>46081</v>
      </c>
      <c r="L6" s="205"/>
      <c r="M6" s="205"/>
      <c r="N6" s="205"/>
      <c r="O6" s="205"/>
      <c r="P6" s="205"/>
    </row>
    <row r="7" spans="2:27" ht="14.25" customHeight="1" x14ac:dyDescent="0.25">
      <c r="B7" s="94" t="s">
        <v>165</v>
      </c>
      <c r="C7" s="95"/>
      <c r="D7" s="1321" t="e">
        <f>+Inputs!#REF! &amp; " x " &amp; buildcount</f>
        <v>#REF!</v>
      </c>
      <c r="E7" s="1321"/>
      <c r="F7" s="1322"/>
      <c r="H7" s="150" t="str">
        <f>+Inputs!L37</f>
        <v>Construction Start</v>
      </c>
      <c r="I7" s="398"/>
      <c r="J7" s="398">
        <f>+J6+Inputs!O37</f>
        <v>2</v>
      </c>
      <c r="K7" s="210">
        <f>+Inputs!P37</f>
        <v>46110</v>
      </c>
    </row>
    <row r="8" spans="2:27" ht="14.25" customHeight="1" x14ac:dyDescent="0.25">
      <c r="B8" s="94" t="s">
        <v>166</v>
      </c>
      <c r="C8" s="95"/>
      <c r="D8" s="1323" t="str">
        <f>+IFERROR(HYPERLINK(_xlfn.XLOOKUP(Inputs!#REF!,'Reference Tab'!B6:B35,'Reference Tab'!#REF!),Inputs!#REF! &amp; " Plans"),"Not Available")</f>
        <v>Not Available</v>
      </c>
      <c r="E8" s="1321"/>
      <c r="F8" s="1322"/>
      <c r="H8" s="150" t="str">
        <f>+Inputs!L38</f>
        <v>Construction Complete</v>
      </c>
      <c r="I8" s="151"/>
      <c r="J8" s="151">
        <f>+ROUND(J7+(Inputs!O38/30),)</f>
        <v>7</v>
      </c>
      <c r="K8" s="210">
        <f>+Inputs!P38</f>
        <v>46260</v>
      </c>
    </row>
    <row r="9" spans="2:27" ht="14.25" customHeight="1" thickBot="1" x14ac:dyDescent="0.35">
      <c r="B9" s="97" t="s">
        <v>167</v>
      </c>
      <c r="C9" s="98"/>
      <c r="D9" s="1324" t="e">
        <f>VLOOKUP(Inputs!#REF!,'Reference Tab'!B4:M44,2,0)&amp; " | " &amp; VLOOKUP(Inputs!#REF!,'Reference Tab'!B4:M44,3,0) &amp; " HSF"</f>
        <v>#REF!</v>
      </c>
      <c r="E9" s="1324"/>
      <c r="F9" s="1325"/>
      <c r="H9" s="191" t="str">
        <f>TEXT(Inputs!L39,)</f>
        <v>Marketing/Sale Complete</v>
      </c>
      <c r="I9" s="192"/>
      <c r="J9" s="192">
        <f>+J8+Inputs!O39</f>
        <v>8</v>
      </c>
      <c r="K9" s="211">
        <f>+Inputs!P39</f>
        <v>46290</v>
      </c>
    </row>
    <row r="10" spans="2:27" ht="14.25" customHeight="1" thickBot="1" x14ac:dyDescent="0.3"/>
    <row r="11" spans="2:27" ht="14.25" customHeight="1" x14ac:dyDescent="0.3">
      <c r="B11" s="87" t="s">
        <v>168</v>
      </c>
      <c r="C11" s="99" t="s">
        <v>169</v>
      </c>
      <c r="D11" s="100" t="s">
        <v>156</v>
      </c>
      <c r="E11" s="100" t="s">
        <v>170</v>
      </c>
      <c r="F11" s="157" t="s">
        <v>171</v>
      </c>
      <c r="H11" s="87" t="s">
        <v>172</v>
      </c>
      <c r="I11" s="99"/>
      <c r="J11" s="99" t="s">
        <v>156</v>
      </c>
      <c r="K11" s="299" t="s">
        <v>170</v>
      </c>
    </row>
    <row r="12" spans="2:27" ht="14.25" customHeight="1" x14ac:dyDescent="0.3">
      <c r="B12" s="101" t="s">
        <v>173</v>
      </c>
      <c r="C12" s="102"/>
      <c r="D12" s="103"/>
      <c r="E12" s="103"/>
      <c r="F12" s="158"/>
      <c r="H12" s="104" t="s">
        <v>174</v>
      </c>
      <c r="I12" s="159"/>
      <c r="J12" s="400">
        <f>+Inputs!O43</f>
        <v>0</v>
      </c>
      <c r="K12" s="320">
        <f>+J12/buildcount</f>
        <v>0</v>
      </c>
    </row>
    <row r="13" spans="2:27" ht="14.25" customHeight="1" x14ac:dyDescent="0.25">
      <c r="B13" s="105" t="s">
        <v>175</v>
      </c>
      <c r="C13" s="106">
        <f ca="1">SUM(D13)/D15</f>
        <v>0.79356540520682062</v>
      </c>
      <c r="D13" s="307">
        <f>+(D18*0.7)+(D26*0.9)</f>
        <v>266560.32259999996</v>
      </c>
      <c r="E13" s="307">
        <f t="shared" ref="E13:E30" si="2">+D13/buildcount</f>
        <v>266560.32259999996</v>
      </c>
      <c r="F13" s="308">
        <f ca="1">+F31-F14</f>
        <v>55937.741933333324</v>
      </c>
      <c r="H13" s="112" t="s">
        <v>176</v>
      </c>
      <c r="I13" s="113"/>
      <c r="J13" s="401" t="e">
        <f>+Inputs!O43+Inputs!#REF!</f>
        <v>#REF!</v>
      </c>
      <c r="K13" s="321" t="e">
        <f>+J13/buildcount</f>
        <v>#REF!</v>
      </c>
    </row>
    <row r="14" spans="2:27" ht="14.25" customHeight="1" x14ac:dyDescent="0.3">
      <c r="B14" s="107" t="s">
        <v>177</v>
      </c>
      <c r="C14" s="108">
        <f ca="1">SUM(D14:D14)/D15</f>
        <v>0.20643459479317933</v>
      </c>
      <c r="D14" s="309">
        <f ca="1">+D31-D13</f>
        <v>69341.823399583343</v>
      </c>
      <c r="E14" s="309">
        <f t="shared" ca="1" si="2"/>
        <v>69341.823399583343</v>
      </c>
      <c r="F14" s="310">
        <f ca="1">+D14</f>
        <v>69341.823399583343</v>
      </c>
      <c r="H14" s="109" t="s">
        <v>178</v>
      </c>
      <c r="I14" s="156"/>
      <c r="J14" s="402" t="e">
        <f>+J12+J13</f>
        <v>#REF!</v>
      </c>
      <c r="K14" s="403" t="e">
        <f>+K12+K13</f>
        <v>#REF!</v>
      </c>
    </row>
    <row r="15" spans="2:27" ht="14.25" customHeight="1" x14ac:dyDescent="0.3">
      <c r="B15" s="109" t="s">
        <v>179</v>
      </c>
      <c r="C15" s="110"/>
      <c r="D15" s="311">
        <f ca="1">SUM(D13:D14)</f>
        <v>335902.1459995833</v>
      </c>
      <c r="E15" s="311">
        <f t="shared" ca="1" si="2"/>
        <v>335902.1459995833</v>
      </c>
      <c r="F15" s="312">
        <f ca="1">SUM(F13:F14)</f>
        <v>125279.56533291667</v>
      </c>
      <c r="H15" s="112" t="s">
        <v>180</v>
      </c>
      <c r="I15" s="161"/>
      <c r="J15" s="401">
        <f>-D13</f>
        <v>-266560.32259999996</v>
      </c>
      <c r="K15" s="321">
        <f>-E13</f>
        <v>-266560.32259999996</v>
      </c>
    </row>
    <row r="16" spans="2:27" ht="14.25" customHeight="1" x14ac:dyDescent="0.3">
      <c r="B16" s="94"/>
      <c r="C16" s="95"/>
      <c r="D16" s="313"/>
      <c r="E16" s="313">
        <f t="shared" si="2"/>
        <v>0</v>
      </c>
      <c r="F16" s="314"/>
      <c r="H16" s="404" t="s">
        <v>181</v>
      </c>
      <c r="I16" s="405"/>
      <c r="J16" s="406" t="e">
        <f>+J14+J15</f>
        <v>#REF!</v>
      </c>
      <c r="K16" s="407" t="e">
        <f>+K14+K15</f>
        <v>#REF!</v>
      </c>
    </row>
    <row r="17" spans="2:11" ht="14.25" customHeight="1" x14ac:dyDescent="0.3">
      <c r="B17" s="101" t="s">
        <v>182</v>
      </c>
      <c r="C17" s="95"/>
      <c r="D17" s="313"/>
      <c r="E17" s="313">
        <f t="shared" si="2"/>
        <v>0</v>
      </c>
      <c r="F17" s="315"/>
      <c r="H17" s="112" t="s">
        <v>183</v>
      </c>
      <c r="I17" s="113"/>
      <c r="J17" s="401">
        <f ca="1">-D14</f>
        <v>-69341.823399583343</v>
      </c>
      <c r="K17" s="321">
        <f ca="1">-E14</f>
        <v>-69341.823399583343</v>
      </c>
    </row>
    <row r="18" spans="2:11" ht="14.25" customHeight="1" thickBot="1" x14ac:dyDescent="0.35">
      <c r="B18" s="154" t="s">
        <v>39</v>
      </c>
      <c r="C18" s="95"/>
      <c r="D18" s="307">
        <f>+Inputs!O13</f>
        <v>110000</v>
      </c>
      <c r="E18" s="307">
        <f t="shared" si="2"/>
        <v>110000</v>
      </c>
      <c r="F18" s="308">
        <f>+Inputs!P13</f>
        <v>110000</v>
      </c>
      <c r="H18" s="408" t="s">
        <v>184</v>
      </c>
      <c r="I18" s="413"/>
      <c r="J18" s="410" t="e">
        <f ca="1">+J16+J17</f>
        <v>#REF!</v>
      </c>
      <c r="K18" s="411" t="e">
        <f ca="1">+K16+K17</f>
        <v>#REF!</v>
      </c>
    </row>
    <row r="19" spans="2:11" ht="14.25" customHeight="1" thickBot="1" x14ac:dyDescent="0.35">
      <c r="B19" s="154" t="s">
        <v>185</v>
      </c>
      <c r="C19" s="95"/>
      <c r="D19" s="307">
        <f>+Inputs!O14</f>
        <v>0</v>
      </c>
      <c r="E19" s="307">
        <f t="shared" si="2"/>
        <v>0</v>
      </c>
      <c r="F19" s="308">
        <f>+Inputs!P14</f>
        <v>0</v>
      </c>
      <c r="H19"/>
      <c r="I19"/>
      <c r="J19"/>
      <c r="K19"/>
    </row>
    <row r="20" spans="2:11" ht="14.25" customHeight="1" x14ac:dyDescent="0.3">
      <c r="B20" s="155" t="s">
        <v>45</v>
      </c>
      <c r="C20" s="113"/>
      <c r="D20" s="309">
        <f>+Inputs!O16</f>
        <v>1650</v>
      </c>
      <c r="E20" s="309">
        <f t="shared" si="2"/>
        <v>1650</v>
      </c>
      <c r="F20" s="310">
        <f>+Inputs!P16</f>
        <v>1650</v>
      </c>
      <c r="H20" s="87" t="s">
        <v>186</v>
      </c>
      <c r="I20" s="92"/>
      <c r="J20" s="92"/>
      <c r="K20" s="93"/>
    </row>
    <row r="21" spans="2:11" ht="14.25" customHeight="1" x14ac:dyDescent="0.3">
      <c r="B21" s="109" t="s">
        <v>47</v>
      </c>
      <c r="C21" s="156"/>
      <c r="D21" s="311">
        <f>+Inputs!O17</f>
        <v>111650</v>
      </c>
      <c r="E21" s="311">
        <f t="shared" si="2"/>
        <v>111650</v>
      </c>
      <c r="F21" s="312">
        <f>+Inputs!P17</f>
        <v>111650</v>
      </c>
      <c r="H21" s="104" t="s">
        <v>163</v>
      </c>
      <c r="I21" s="26"/>
      <c r="J21" s="26"/>
      <c r="K21" s="415" t="e">
        <f ca="1">+Q5</f>
        <v>#REF!</v>
      </c>
    </row>
    <row r="22" spans="2:11" ht="14.25" customHeight="1" thickBot="1" x14ac:dyDescent="0.35">
      <c r="B22" s="153"/>
      <c r="C22" s="95"/>
      <c r="D22" s="307"/>
      <c r="E22" s="307">
        <f t="shared" si="2"/>
        <v>0</v>
      </c>
      <c r="F22" s="308"/>
      <c r="H22" s="416" t="s">
        <v>187</v>
      </c>
      <c r="I22" s="409"/>
      <c r="J22" s="409"/>
      <c r="K22" s="417" t="e">
        <f ca="1">+J16/-J17</f>
        <v>#REF!</v>
      </c>
    </row>
    <row r="23" spans="2:11" ht="14.25" customHeight="1" x14ac:dyDescent="0.3">
      <c r="B23" s="154" t="str">
        <f>+Inputs!L20</f>
        <v>Site Specific Costs</v>
      </c>
      <c r="C23" s="95"/>
      <c r="D23" s="307">
        <f>+Inputs!O20</f>
        <v>12200</v>
      </c>
      <c r="E23" s="307">
        <f t="shared" si="2"/>
        <v>12200</v>
      </c>
      <c r="F23" s="308">
        <f>+Inputs!P20</f>
        <v>0</v>
      </c>
      <c r="H23"/>
      <c r="I23"/>
      <c r="J23"/>
      <c r="K23"/>
    </row>
    <row r="24" spans="2:11" ht="14.25" customHeight="1" x14ac:dyDescent="0.3">
      <c r="B24" s="154" t="s">
        <v>56</v>
      </c>
      <c r="C24" s="95"/>
      <c r="D24" s="307">
        <f>+Inputs!O22*(1+N1)</f>
        <v>187205.91399999999</v>
      </c>
      <c r="E24" s="307">
        <f t="shared" si="2"/>
        <v>187205.91399999999</v>
      </c>
      <c r="F24" s="308">
        <f>+Inputs!P22</f>
        <v>0</v>
      </c>
      <c r="H24"/>
      <c r="I24"/>
      <c r="J24"/>
      <c r="K24"/>
    </row>
    <row r="25" spans="2:11" ht="14.25" customHeight="1" x14ac:dyDescent="0.3">
      <c r="B25" s="155" t="str">
        <f>+Inputs!L24</f>
        <v>Soft Costs (survey, eng, tap fees, ins, tax, etc.)</v>
      </c>
      <c r="C25" s="113"/>
      <c r="D25" s="309">
        <f>+Inputs!O24</f>
        <v>11216.666666666666</v>
      </c>
      <c r="E25" s="309">
        <f t="shared" si="2"/>
        <v>11216.666666666666</v>
      </c>
      <c r="F25" s="310">
        <f>+Inputs!P24</f>
        <v>0</v>
      </c>
      <c r="H25"/>
      <c r="I25"/>
      <c r="J25"/>
      <c r="K25"/>
    </row>
    <row r="26" spans="2:11" ht="14.25" customHeight="1" x14ac:dyDescent="0.3">
      <c r="B26" s="109" t="s">
        <v>64</v>
      </c>
      <c r="C26" s="156"/>
      <c r="D26" s="311">
        <f>SUM(D23:D25)</f>
        <v>210622.58066666665</v>
      </c>
      <c r="E26" s="311">
        <f>SUM(E23:E25)</f>
        <v>210622.58066666665</v>
      </c>
      <c r="F26" s="312">
        <f>SUM(F23:F25)</f>
        <v>0</v>
      </c>
      <c r="H26"/>
      <c r="I26"/>
      <c r="J26"/>
      <c r="K26"/>
    </row>
    <row r="27" spans="2:11" ht="14.25" customHeight="1" x14ac:dyDescent="0.3">
      <c r="B27" s="153"/>
      <c r="C27" s="95"/>
      <c r="D27" s="307"/>
      <c r="E27" s="307"/>
      <c r="F27" s="308"/>
      <c r="H27"/>
      <c r="I27"/>
      <c r="J27"/>
      <c r="K27"/>
    </row>
    <row r="28" spans="2:11" ht="14.25" customHeight="1" x14ac:dyDescent="0.3">
      <c r="B28" s="154" t="s">
        <v>188</v>
      </c>
      <c r="C28" s="95"/>
      <c r="D28" s="307">
        <f>+Inputs!O28</f>
        <v>2677.288786666667</v>
      </c>
      <c r="E28" s="307">
        <f t="shared" si="2"/>
        <v>2677.288786666667</v>
      </c>
      <c r="F28" s="308">
        <f>+Inputs!P28</f>
        <v>2677.288786666667</v>
      </c>
    </row>
    <row r="29" spans="2:11" ht="14.25" customHeight="1" x14ac:dyDescent="0.3">
      <c r="B29" s="155" t="s">
        <v>189</v>
      </c>
      <c r="C29" s="113"/>
      <c r="D29" s="309">
        <f ca="1">+Inputs!O29</f>
        <v>10952.276546249999</v>
      </c>
      <c r="E29" s="309">
        <f t="shared" ca="1" si="2"/>
        <v>10952.276546249999</v>
      </c>
      <c r="F29" s="310">
        <f ca="1">+Inputs!P29</f>
        <v>10952.276546249999</v>
      </c>
    </row>
    <row r="30" spans="2:11" ht="14.25" customHeight="1" thickBot="1" x14ac:dyDescent="0.3">
      <c r="B30" s="195" t="s">
        <v>70</v>
      </c>
      <c r="C30" s="196"/>
      <c r="D30" s="316">
        <f ca="1">+Inputs!O30</f>
        <v>13629.565332916667</v>
      </c>
      <c r="E30" s="316">
        <f t="shared" ca="1" si="2"/>
        <v>13629.565332916667</v>
      </c>
      <c r="F30" s="317">
        <f ca="1">SUM(F28:F29)</f>
        <v>13629.565332916667</v>
      </c>
    </row>
    <row r="31" spans="2:11" ht="14.25" customHeight="1" thickBot="1" x14ac:dyDescent="0.3">
      <c r="B31" s="193" t="s">
        <v>190</v>
      </c>
      <c r="C31" s="194"/>
      <c r="D31" s="318">
        <f ca="1">+D21+D26+D30</f>
        <v>335902.1459995833</v>
      </c>
      <c r="E31" s="318">
        <f ca="1">+E21+E26+E30</f>
        <v>335902.1459995833</v>
      </c>
      <c r="F31" s="319">
        <f ca="1">+F30+F26+F21</f>
        <v>125279.56533291667</v>
      </c>
    </row>
    <row r="32" spans="2:11" x14ac:dyDescent="0.25">
      <c r="B32" s="86" t="s">
        <v>191</v>
      </c>
      <c r="D32" s="265"/>
      <c r="E32" s="265"/>
    </row>
    <row r="33" spans="1:12" ht="14.25" customHeight="1" x14ac:dyDescent="0.25">
      <c r="C33" s="96"/>
      <c r="D33" s="114"/>
      <c r="E33" s="114"/>
      <c r="F33" s="114"/>
    </row>
    <row r="34" spans="1:12" ht="14.25" customHeight="1" x14ac:dyDescent="0.3">
      <c r="A34"/>
      <c r="B34"/>
      <c r="C34"/>
      <c r="D34"/>
      <c r="E34"/>
      <c r="F34"/>
    </row>
    <row r="35" spans="1:12" ht="14.25" customHeight="1" x14ac:dyDescent="0.3">
      <c r="A35"/>
      <c r="B35"/>
      <c r="C35"/>
      <c r="D35"/>
      <c r="E35"/>
      <c r="F35"/>
    </row>
    <row r="36" spans="1:12" ht="14.25" customHeight="1" x14ac:dyDescent="0.3">
      <c r="A36"/>
      <c r="B36"/>
      <c r="C36"/>
      <c r="D36"/>
      <c r="E36"/>
      <c r="F36"/>
    </row>
    <row r="37" spans="1:12" ht="14.25" customHeight="1" x14ac:dyDescent="0.3">
      <c r="B37"/>
      <c r="C37"/>
      <c r="D37"/>
      <c r="E37"/>
      <c r="F37"/>
    </row>
    <row r="38" spans="1:12" ht="14.25" customHeight="1" x14ac:dyDescent="0.3">
      <c r="B38"/>
      <c r="C38"/>
      <c r="D38"/>
      <c r="E38"/>
      <c r="F38"/>
    </row>
    <row r="39" spans="1:12" ht="14.25" customHeight="1" x14ac:dyDescent="0.3">
      <c r="B39"/>
      <c r="C39"/>
      <c r="D39"/>
      <c r="E39"/>
      <c r="F39"/>
    </row>
    <row r="40" spans="1:12" s="329" customFormat="1" ht="14.25" customHeight="1" x14ac:dyDescent="0.3">
      <c r="B40"/>
      <c r="C40"/>
      <c r="D40"/>
      <c r="E40"/>
      <c r="F40"/>
    </row>
    <row r="41" spans="1:12" s="329" customFormat="1" ht="14.25" customHeight="1" x14ac:dyDescent="0.3">
      <c r="A41"/>
      <c r="B41"/>
      <c r="C41"/>
      <c r="D41"/>
      <c r="E41"/>
      <c r="F41"/>
      <c r="G41"/>
      <c r="H41"/>
      <c r="I41"/>
      <c r="J41"/>
      <c r="K41"/>
      <c r="L41"/>
    </row>
    <row r="42" spans="1:12" ht="14.25" customHeight="1" x14ac:dyDescent="0.3">
      <c r="A42"/>
      <c r="B42"/>
      <c r="C42"/>
      <c r="D42"/>
      <c r="E42"/>
      <c r="F42"/>
      <c r="G42"/>
      <c r="H42"/>
      <c r="I42"/>
      <c r="J42"/>
      <c r="K42"/>
      <c r="L42"/>
    </row>
    <row r="43" spans="1:12" ht="14.25" customHeight="1" x14ac:dyDescent="0.3">
      <c r="A43"/>
      <c r="B43"/>
      <c r="C43"/>
      <c r="D43"/>
      <c r="E43"/>
      <c r="F43"/>
      <c r="G43"/>
      <c r="H43"/>
      <c r="I43"/>
      <c r="J43"/>
      <c r="K43"/>
      <c r="L43"/>
    </row>
    <row r="44" spans="1:12" ht="14.25" customHeight="1" x14ac:dyDescent="0.3">
      <c r="A44"/>
      <c r="B44"/>
      <c r="C44"/>
      <c r="D44"/>
      <c r="E44"/>
      <c r="F44"/>
      <c r="G44"/>
      <c r="H44"/>
      <c r="I44"/>
      <c r="J44"/>
      <c r="K44"/>
      <c r="L44"/>
    </row>
    <row r="45" spans="1:12" ht="14.25" customHeight="1" x14ac:dyDescent="0.3">
      <c r="A45"/>
      <c r="B45"/>
      <c r="C45"/>
      <c r="D45"/>
      <c r="E45"/>
      <c r="F45"/>
      <c r="G45"/>
      <c r="H45"/>
      <c r="I45"/>
      <c r="J45"/>
      <c r="K45"/>
      <c r="L45"/>
    </row>
    <row r="46" spans="1:12" ht="14.25" customHeight="1" x14ac:dyDescent="0.3">
      <c r="A46"/>
      <c r="B46"/>
      <c r="C46"/>
      <c r="D46"/>
      <c r="E46"/>
      <c r="F46"/>
      <c r="G46"/>
      <c r="H46"/>
      <c r="I46"/>
      <c r="J46"/>
      <c r="K46"/>
      <c r="L46"/>
    </row>
    <row r="47" spans="1:12" ht="14.25" customHeight="1" x14ac:dyDescent="0.3">
      <c r="A47"/>
      <c r="B47"/>
      <c r="C47"/>
      <c r="D47"/>
      <c r="E47"/>
      <c r="F47"/>
      <c r="G47"/>
      <c r="H47"/>
      <c r="I47"/>
      <c r="J47"/>
      <c r="K47"/>
      <c r="L47"/>
    </row>
    <row r="48" spans="1:12" ht="14.25" customHeight="1" x14ac:dyDescent="0.3">
      <c r="A48"/>
      <c r="B48"/>
      <c r="C48"/>
      <c r="D48"/>
      <c r="E48"/>
      <c r="F48"/>
      <c r="G48"/>
      <c r="H48"/>
      <c r="I48"/>
      <c r="J48"/>
      <c r="K48"/>
      <c r="L48"/>
    </row>
    <row r="49" spans="1:12" ht="14.25" customHeight="1" x14ac:dyDescent="0.3">
      <c r="A49"/>
      <c r="B49"/>
      <c r="C49"/>
      <c r="D49"/>
      <c r="E49"/>
      <c r="F49"/>
      <c r="G49"/>
      <c r="H49"/>
      <c r="I49"/>
      <c r="J49"/>
      <c r="K49"/>
      <c r="L49"/>
    </row>
    <row r="50" spans="1:12" ht="13" x14ac:dyDescent="0.3">
      <c r="A50"/>
      <c r="B50"/>
      <c r="C50"/>
      <c r="D50"/>
      <c r="E50"/>
      <c r="F50"/>
      <c r="G50"/>
      <c r="H50"/>
      <c r="I50"/>
      <c r="J50"/>
      <c r="K50"/>
      <c r="L50"/>
    </row>
    <row r="51" spans="1:12" ht="13" x14ac:dyDescent="0.3">
      <c r="A51"/>
      <c r="B51"/>
      <c r="C51"/>
      <c r="D51"/>
      <c r="E51"/>
      <c r="F51"/>
      <c r="G51"/>
      <c r="H51"/>
      <c r="I51"/>
      <c r="J51"/>
      <c r="K51"/>
      <c r="L51"/>
    </row>
    <row r="52" spans="1:12" ht="13" x14ac:dyDescent="0.3">
      <c r="A52"/>
      <c r="B52"/>
      <c r="C52"/>
      <c r="D52"/>
      <c r="E52"/>
      <c r="F52"/>
      <c r="G52"/>
      <c r="H52"/>
      <c r="I52"/>
      <c r="J52"/>
      <c r="K52"/>
      <c r="L52"/>
    </row>
    <row r="53" spans="1:12" ht="13" x14ac:dyDescent="0.3">
      <c r="A53"/>
      <c r="B53"/>
      <c r="C53"/>
      <c r="D53"/>
      <c r="E53"/>
      <c r="F53"/>
      <c r="G53"/>
      <c r="H53"/>
      <c r="I53"/>
      <c r="J53"/>
      <c r="K53"/>
      <c r="L53"/>
    </row>
    <row r="54" spans="1:12" ht="13" x14ac:dyDescent="0.3">
      <c r="A54"/>
      <c r="B54"/>
      <c r="C54"/>
      <c r="D54"/>
      <c r="E54"/>
      <c r="F54"/>
      <c r="G54"/>
      <c r="H54"/>
      <c r="I54"/>
      <c r="J54"/>
      <c r="K54"/>
      <c r="L54"/>
    </row>
    <row r="55" spans="1:12" ht="13" x14ac:dyDescent="0.3">
      <c r="A55"/>
      <c r="B55"/>
      <c r="C55"/>
      <c r="D55"/>
      <c r="E55"/>
      <c r="F55"/>
      <c r="G55"/>
      <c r="H55"/>
      <c r="I55"/>
      <c r="J55"/>
      <c r="K55"/>
      <c r="L55"/>
    </row>
    <row r="56" spans="1:12" ht="13" x14ac:dyDescent="0.3">
      <c r="A56"/>
      <c r="B56"/>
      <c r="C56"/>
      <c r="D56"/>
      <c r="E56"/>
      <c r="F56"/>
      <c r="G56"/>
      <c r="H56"/>
      <c r="I56"/>
      <c r="J56"/>
      <c r="K56"/>
      <c r="L56"/>
    </row>
    <row r="57" spans="1:12" ht="13" x14ac:dyDescent="0.3">
      <c r="A57"/>
      <c r="B57"/>
      <c r="C57"/>
      <c r="D57"/>
      <c r="E57"/>
      <c r="F57"/>
      <c r="G57"/>
      <c r="H57"/>
      <c r="I57"/>
      <c r="J57"/>
      <c r="K57"/>
      <c r="L57"/>
    </row>
    <row r="58" spans="1:12" ht="13" x14ac:dyDescent="0.3">
      <c r="A58"/>
      <c r="B58"/>
      <c r="C58"/>
      <c r="D58"/>
      <c r="E58"/>
      <c r="F58"/>
      <c r="G58"/>
      <c r="H58"/>
      <c r="I58"/>
      <c r="J58"/>
      <c r="K58"/>
      <c r="L58"/>
    </row>
    <row r="59" spans="1:12" ht="13" x14ac:dyDescent="0.3">
      <c r="A59"/>
      <c r="B59"/>
      <c r="C59"/>
      <c r="D59"/>
      <c r="E59"/>
      <c r="F59"/>
      <c r="G59"/>
      <c r="H59"/>
      <c r="I59"/>
      <c r="J59"/>
      <c r="K59"/>
      <c r="L59"/>
    </row>
    <row r="60" spans="1:12" ht="13" x14ac:dyDescent="0.3">
      <c r="A60"/>
      <c r="B60"/>
      <c r="C60"/>
      <c r="D60"/>
      <c r="E60"/>
      <c r="F60"/>
      <c r="G60"/>
      <c r="H60"/>
      <c r="I60"/>
      <c r="J60"/>
      <c r="K60"/>
      <c r="L60"/>
    </row>
    <row r="61" spans="1:12" ht="13" x14ac:dyDescent="0.3">
      <c r="A61"/>
      <c r="B61"/>
      <c r="C61"/>
      <c r="D61"/>
      <c r="E61"/>
      <c r="F61"/>
      <c r="G61"/>
      <c r="H61"/>
      <c r="I61"/>
      <c r="J61"/>
      <c r="K61"/>
      <c r="L61"/>
    </row>
    <row r="62" spans="1:12" ht="13" x14ac:dyDescent="0.3">
      <c r="A62"/>
      <c r="B62"/>
      <c r="C62"/>
      <c r="D62"/>
      <c r="E62"/>
      <c r="F62"/>
      <c r="G62"/>
      <c r="H62"/>
      <c r="I62"/>
      <c r="J62"/>
      <c r="K62"/>
      <c r="L62"/>
    </row>
    <row r="63" spans="1:12" ht="13" x14ac:dyDescent="0.3">
      <c r="A63"/>
      <c r="B63"/>
      <c r="C63"/>
      <c r="D63"/>
      <c r="E63"/>
      <c r="F63"/>
      <c r="G63"/>
      <c r="H63"/>
      <c r="I63"/>
      <c r="J63"/>
      <c r="K63"/>
      <c r="L63"/>
    </row>
  </sheetData>
  <sheetProtection selectLockedCells="1"/>
  <mergeCells count="5">
    <mergeCell ref="B1:K3"/>
    <mergeCell ref="D6:F6"/>
    <mergeCell ref="D7:F7"/>
    <mergeCell ref="D8:F8"/>
    <mergeCell ref="D9:F9"/>
  </mergeCells>
  <pageMargins left="0.7" right="0.7" top="0.75" bottom="0.75" header="0.3" footer="0.3"/>
  <pageSetup scale="66" orientation="landscape" r:id="rId1"/>
  <rowBreaks count="1" manualBreakCount="1">
    <brk id="56" max="16383" man="1"/>
  </rowBreaks>
  <ignoredErrors>
    <ignoredError sqref="K14 J17 J15:K16 K17 E15 E26" formula="1"/>
  </ignoredError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92CB2-4D88-F84B-8BBB-58D4A88EB705}">
  <sheetPr>
    <tabColor rgb="FF000000"/>
    <pageSetUpPr fitToPage="1"/>
  </sheetPr>
  <dimension ref="A1:T62"/>
  <sheetViews>
    <sheetView showGridLines="0" zoomScale="85" zoomScaleNormal="85" zoomScaleSheetLayoutView="125" workbookViewId="0">
      <selection activeCell="D22" sqref="D22"/>
    </sheetView>
  </sheetViews>
  <sheetFormatPr defaultColWidth="13.77734375" defaultRowHeight="12.5" x14ac:dyDescent="0.25"/>
  <cols>
    <col min="1" max="1" width="3.109375" style="86" customWidth="1"/>
    <col min="2" max="2" width="29.44140625" style="86" customWidth="1"/>
    <col min="3" max="3" width="18.77734375" style="86" bestFit="1" customWidth="1"/>
    <col min="4" max="4" width="16.77734375" style="86" bestFit="1" customWidth="1"/>
    <col min="5" max="6" width="17.44140625" style="86" bestFit="1" customWidth="1"/>
    <col min="7" max="7" width="3.109375" style="86" customWidth="1"/>
    <col min="8" max="8" width="44.109375" style="86" customWidth="1"/>
    <col min="9" max="9" width="15" style="86" customWidth="1"/>
    <col min="10" max="10" width="13" style="86" bestFit="1" customWidth="1"/>
    <col min="11" max="11" width="24.44140625" style="86" customWidth="1"/>
    <col min="12" max="12" width="17.44140625" style="86" bestFit="1" customWidth="1"/>
    <col min="13" max="13" width="81.33203125" style="86" customWidth="1"/>
    <col min="14" max="14" width="13.77734375" style="86"/>
    <col min="15" max="15" width="14.6640625" style="86" bestFit="1" customWidth="1"/>
    <col min="16" max="16" width="13.77734375" style="86"/>
    <col min="17" max="17" width="22.44140625" style="86" bestFit="1" customWidth="1"/>
    <col min="18" max="16384" width="13.77734375" style="86"/>
  </cols>
  <sheetData>
    <row r="1" spans="2:20" x14ac:dyDescent="0.25">
      <c r="B1" s="1320" t="str">
        <f>+ "DEAL SHEET  |  "&amp;D6</f>
        <v>DEAL SHEET  |  241 Willard Street</v>
      </c>
      <c r="C1" s="1320"/>
      <c r="D1" s="1320"/>
      <c r="E1" s="1320"/>
      <c r="F1" s="1320"/>
      <c r="G1" s="1320"/>
      <c r="H1" s="1320"/>
      <c r="I1" s="1320"/>
      <c r="J1" s="1320"/>
      <c r="K1" s="1320"/>
      <c r="L1" s="1320"/>
      <c r="Q1" s="86" t="s">
        <v>192</v>
      </c>
      <c r="R1" s="185">
        <v>0</v>
      </c>
    </row>
    <row r="2" spans="2:20" ht="15" customHeight="1" x14ac:dyDescent="0.25">
      <c r="B2" s="1320"/>
      <c r="C2" s="1320"/>
      <c r="D2" s="1320"/>
      <c r="E2" s="1320"/>
      <c r="F2" s="1320"/>
      <c r="G2" s="1320"/>
      <c r="H2" s="1320"/>
      <c r="I2" s="1320"/>
      <c r="J2" s="1320"/>
      <c r="K2" s="1320"/>
      <c r="L2" s="1320"/>
    </row>
    <row r="3" spans="2:20" ht="20.25" customHeight="1" x14ac:dyDescent="0.25">
      <c r="B3" s="1320"/>
      <c r="C3" s="1320"/>
      <c r="D3" s="1320"/>
      <c r="E3" s="1320"/>
      <c r="F3" s="1320"/>
      <c r="G3" s="1320"/>
      <c r="H3" s="1320"/>
      <c r="I3" s="1320"/>
      <c r="J3" s="1320"/>
      <c r="K3" s="1320"/>
      <c r="L3" s="1320"/>
    </row>
    <row r="4" spans="2:20" ht="13" thickBot="1" x14ac:dyDescent="0.3"/>
    <row r="5" spans="2:20" ht="14.25" customHeight="1" x14ac:dyDescent="0.3">
      <c r="B5" s="87" t="s">
        <v>159</v>
      </c>
      <c r="C5" s="88"/>
      <c r="D5" s="88"/>
      <c r="E5" s="88"/>
      <c r="F5" s="89"/>
      <c r="G5" s="90"/>
      <c r="H5" s="87" t="s">
        <v>160</v>
      </c>
      <c r="I5" s="812"/>
      <c r="J5" s="92"/>
      <c r="K5" s="92" t="s">
        <v>161</v>
      </c>
      <c r="L5" s="93" t="s">
        <v>162</v>
      </c>
      <c r="M5" s="206"/>
      <c r="N5" s="206"/>
      <c r="O5" s="206"/>
      <c r="P5" s="206"/>
      <c r="Q5" s="206"/>
      <c r="R5" s="206"/>
      <c r="S5" s="206"/>
      <c r="T5" s="206"/>
    </row>
    <row r="6" spans="2:20" ht="14.25" customHeight="1" x14ac:dyDescent="0.25">
      <c r="B6" s="94" t="s">
        <v>164</v>
      </c>
      <c r="C6" s="95"/>
      <c r="D6" s="1321" t="str">
        <f>IF(ISBLANK(Inputs!D5),"",Inputs!D5)</f>
        <v>241 Willard Street</v>
      </c>
      <c r="E6" s="1321"/>
      <c r="F6" s="1322"/>
      <c r="H6" s="189" t="str">
        <f>+Inputs!L36</f>
        <v>Purchase Date</v>
      </c>
      <c r="I6" s="813"/>
      <c r="J6" s="190"/>
      <c r="K6" s="190">
        <v>1</v>
      </c>
      <c r="L6" s="209">
        <f>+Inputs!P36</f>
        <v>46081</v>
      </c>
      <c r="M6" s="205"/>
      <c r="N6" s="205"/>
      <c r="O6" s="205"/>
      <c r="P6" s="205"/>
      <c r="Q6" s="205"/>
      <c r="R6" s="205"/>
      <c r="S6" s="205"/>
      <c r="T6" s="205"/>
    </row>
    <row r="7" spans="2:20" ht="17.149999999999999" customHeight="1" x14ac:dyDescent="0.25">
      <c r="B7" s="94" t="s">
        <v>165</v>
      </c>
      <c r="C7" s="95"/>
      <c r="D7" s="1321" t="str">
        <f>_xlfn.TEXTJOIN(" | ",TRUE,IF(AND(Inputs!B72&lt;&gt;"",Inputs!C72&lt;&gt;""),Inputs!B72 &amp; " x " &amp; Inputs!C72,""),IF(AND(Inputs!B73&lt;&gt;"",Inputs!C73&lt;&gt;""),Inputs!B73 &amp; " x " &amp; Inputs!C73,""),IF(AND(Inputs!B74&lt;&gt;"",Inputs!C74&lt;&gt;""),Inputs!B74 &amp; " x " &amp; Inputs!C74,""),IF(AND(Inputs!B75&lt;&gt;"",Inputs!C75&lt;&gt;""),Inputs!B75 &amp; " x " &amp; Inputs!C75,""))</f>
        <v>Atlas II - SC x 1</v>
      </c>
      <c r="E7" s="1321"/>
      <c r="F7" s="1322"/>
      <c r="H7" s="150" t="str">
        <f>+Inputs!L37</f>
        <v>Construction Start</v>
      </c>
      <c r="I7" s="362"/>
      <c r="J7" s="398"/>
      <c r="K7" s="398">
        <f>+K6+Inputs!O37</f>
        <v>2</v>
      </c>
      <c r="L7" s="210">
        <f>+Inputs!P37</f>
        <v>46110</v>
      </c>
    </row>
    <row r="8" spans="2:20" ht="14.25" customHeight="1" x14ac:dyDescent="0.25">
      <c r="B8" s="94" t="s">
        <v>193</v>
      </c>
      <c r="C8" s="95"/>
      <c r="D8" s="1326" t="str">
        <f>Inputs!D6</f>
        <v xml:space="preserve">Greenville, SC </v>
      </c>
      <c r="E8" s="1327"/>
      <c r="F8" s="1328"/>
      <c r="H8" s="150" t="str">
        <f>+Inputs!L38</f>
        <v>Construction Complete</v>
      </c>
      <c r="I8" s="362"/>
      <c r="J8" s="151"/>
      <c r="K8" s="151">
        <f>+ROUND(K7+(Inputs!O38/30),)</f>
        <v>7</v>
      </c>
      <c r="L8" s="210">
        <f>+Inputs!P38</f>
        <v>46260</v>
      </c>
    </row>
    <row r="9" spans="2:20" ht="14.25" customHeight="1" thickBot="1" x14ac:dyDescent="0.35">
      <c r="B9" s="97" t="s">
        <v>29</v>
      </c>
      <c r="C9" s="98"/>
      <c r="D9" s="1329" t="str">
        <f>Inputs!D11</f>
        <v>SFH</v>
      </c>
      <c r="E9" s="1329"/>
      <c r="F9" s="1330"/>
      <c r="H9" s="191" t="str">
        <f>TEXT(Inputs!L39,)</f>
        <v>Marketing/Sale Complete</v>
      </c>
      <c r="I9" s="814"/>
      <c r="J9" s="192"/>
      <c r="K9" s="192">
        <f>+K8+Inputs!O39</f>
        <v>8</v>
      </c>
      <c r="L9" s="211">
        <f>+Inputs!P39</f>
        <v>46290</v>
      </c>
    </row>
    <row r="10" spans="2:20" ht="14.25" customHeight="1" thickBot="1" x14ac:dyDescent="0.3"/>
    <row r="11" spans="2:20" ht="14.25" customHeight="1" x14ac:dyDescent="0.3">
      <c r="B11" s="87" t="s">
        <v>168</v>
      </c>
      <c r="C11" s="99" t="s">
        <v>169</v>
      </c>
      <c r="D11" s="100" t="s">
        <v>156</v>
      </c>
      <c r="E11" s="100" t="s">
        <v>194</v>
      </c>
      <c r="F11" s="157" t="s">
        <v>171</v>
      </c>
      <c r="H11" s="87" t="s">
        <v>195</v>
      </c>
      <c r="I11" s="812" t="s">
        <v>196</v>
      </c>
      <c r="J11" s="99" t="s">
        <v>197</v>
      </c>
      <c r="K11" s="99" t="s">
        <v>156</v>
      </c>
      <c r="L11" s="834" t="s">
        <v>170</v>
      </c>
      <c r="M11" s="834" t="s">
        <v>4</v>
      </c>
    </row>
    <row r="12" spans="2:20" ht="14.25" customHeight="1" x14ac:dyDescent="0.3">
      <c r="B12" s="101" t="s">
        <v>173</v>
      </c>
      <c r="C12" s="102"/>
      <c r="D12" s="103"/>
      <c r="E12" s="103"/>
      <c r="F12" s="158"/>
      <c r="H12" s="104" t="s">
        <v>198</v>
      </c>
      <c r="I12" s="840">
        <v>1</v>
      </c>
      <c r="J12" s="917">
        <v>1</v>
      </c>
      <c r="K12" s="295">
        <f>SUM('Monthly CF'!D26:AB26)</f>
        <v>450000</v>
      </c>
      <c r="L12" s="836">
        <f t="shared" ref="L12:L19" si="0">K12/buildcount</f>
        <v>450000</v>
      </c>
      <c r="M12" s="111"/>
    </row>
    <row r="13" spans="2:20" ht="14.25" customHeight="1" x14ac:dyDescent="0.3">
      <c r="B13" s="153" t="str">
        <f>+Inputs!D92&amp; " Loan"</f>
        <v>Renovo Loan</v>
      </c>
      <c r="C13" s="789">
        <f ca="1">SUM(D13)/D15</f>
        <v>0.84722064789831908</v>
      </c>
      <c r="D13" s="790">
        <f>+Inputs!O6</f>
        <v>267728.87866666669</v>
      </c>
      <c r="E13" s="790">
        <f t="shared" ref="E13:E22" si="1">+D13/buildcount</f>
        <v>267728.87866666669</v>
      </c>
      <c r="F13" s="791">
        <f ca="1">+Inputs!P6</f>
        <v>76999.999999999985</v>
      </c>
      <c r="H13" s="152" t="s">
        <v>199</v>
      </c>
      <c r="I13" s="829">
        <f>IF($D$9="SFH",_xlfn.XLOOKUP(H13,'CFO Summary'!C:C,'CFO Summary'!G:G),IF('Acquisition Summary'!$D$9="TH",_xlfn.XLOOKUP('Acquisition Summary'!H13,'CFO Summary'!C:C,'CFO Summary'!H:H)))</f>
        <v>0.23</v>
      </c>
      <c r="J13" s="829">
        <f>K13/$K$12</f>
        <v>0.26333333333333331</v>
      </c>
      <c r="K13" s="295">
        <f>D23</f>
        <v>118500</v>
      </c>
      <c r="L13" s="836">
        <f t="shared" si="0"/>
        <v>118500</v>
      </c>
      <c r="M13" s="111"/>
    </row>
    <row r="14" spans="2:20" ht="14.25" customHeight="1" thickBot="1" x14ac:dyDescent="0.35">
      <c r="B14" s="153" t="s">
        <v>200</v>
      </c>
      <c r="C14" s="789">
        <f ca="1">SUM(D14:D14)/D15</f>
        <v>0.15277935210168098</v>
      </c>
      <c r="D14" s="790">
        <f ca="1">+Inputs!O7</f>
        <v>48279.565332916682</v>
      </c>
      <c r="E14" s="790">
        <f t="shared" ca="1" si="1"/>
        <v>48279.565332916682</v>
      </c>
      <c r="F14" s="791">
        <f ca="1">-'Monthly CF'!D45</f>
        <v>48279.565332916682</v>
      </c>
      <c r="H14" s="811" t="s">
        <v>201</v>
      </c>
      <c r="I14" s="830">
        <f>IF($D$9="SFH",_xlfn.XLOOKUP(H14,'CFO Summary'!C:C,'CFO Summary'!G:G),IF('Acquisition Summary'!$D$9="TH",_xlfn.XLOOKUP('Acquisition Summary'!H14,'CFO Summary'!C:C,'CFO Summary'!H:H)))</f>
        <v>0.5</v>
      </c>
      <c r="J14" s="830">
        <f t="shared" ref="J14:J18" si="2">K14/$K$12</f>
        <v>0.34918928148148148</v>
      </c>
      <c r="K14" s="831">
        <f>D28</f>
        <v>157135.17666666667</v>
      </c>
      <c r="L14" s="837">
        <f t="shared" si="0"/>
        <v>157135.17666666667</v>
      </c>
      <c r="M14" s="111"/>
    </row>
    <row r="15" spans="2:20" ht="16.5" thickTop="1" thickBot="1" x14ac:dyDescent="0.4">
      <c r="B15" s="781" t="s">
        <v>202</v>
      </c>
      <c r="C15" s="782"/>
      <c r="D15" s="783">
        <f ca="1">SUM(D13:D14)</f>
        <v>316008.44399958337</v>
      </c>
      <c r="E15" s="783">
        <f t="shared" ca="1" si="1"/>
        <v>316008.44399958337</v>
      </c>
      <c r="F15" s="784">
        <f ca="1">SUM(F13:F14)</f>
        <v>125279.56533291667</v>
      </c>
      <c r="H15" s="835" t="s">
        <v>203</v>
      </c>
      <c r="I15" s="780">
        <f>I12-I13-I14</f>
        <v>0.27</v>
      </c>
      <c r="J15" s="984">
        <f>J12-J13-J14</f>
        <v>0.38747738518518521</v>
      </c>
      <c r="K15" s="832">
        <f>K12-K13-K14</f>
        <v>174364.82333333333</v>
      </c>
      <c r="L15" s="838">
        <f t="shared" si="0"/>
        <v>174364.82333333333</v>
      </c>
      <c r="M15" s="111"/>
    </row>
    <row r="16" spans="2:20" ht="15.65" customHeight="1" x14ac:dyDescent="0.25">
      <c r="B16" s="94"/>
      <c r="C16" s="95"/>
      <c r="D16" s="313"/>
      <c r="E16" s="313"/>
      <c r="F16" s="314"/>
      <c r="H16" s="152" t="s">
        <v>204</v>
      </c>
      <c r="I16" s="829">
        <v>3.0000000000000001E-3</v>
      </c>
      <c r="J16" s="829">
        <f t="shared" si="2"/>
        <v>5.0000000000000001E-3</v>
      </c>
      <c r="K16" s="295">
        <f>Inputs!D89</f>
        <v>2250</v>
      </c>
      <c r="L16" s="836">
        <f t="shared" si="0"/>
        <v>2250</v>
      </c>
      <c r="M16" s="111"/>
    </row>
    <row r="17" spans="2:16" ht="14.25" customHeight="1" x14ac:dyDescent="0.3">
      <c r="B17" s="101" t="s">
        <v>182</v>
      </c>
      <c r="C17" s="95"/>
      <c r="D17" s="313"/>
      <c r="E17" s="313"/>
      <c r="F17" s="315"/>
      <c r="H17" s="152" t="s">
        <v>205</v>
      </c>
      <c r="I17" s="829">
        <v>1.4999999999999999E-2</v>
      </c>
      <c r="J17" s="829">
        <f t="shared" si="2"/>
        <v>2.2222222222222223E-2</v>
      </c>
      <c r="K17" s="295">
        <f>Inputs!D88</f>
        <v>10000</v>
      </c>
      <c r="L17" s="836">
        <f t="shared" si="0"/>
        <v>10000</v>
      </c>
      <c r="M17" s="111"/>
    </row>
    <row r="18" spans="2:16" ht="14.25" customHeight="1" thickBot="1" x14ac:dyDescent="0.35">
      <c r="B18" s="767" t="s">
        <v>39</v>
      </c>
      <c r="C18" s="95"/>
      <c r="D18" s="307">
        <f>+Inputs!O13</f>
        <v>110000</v>
      </c>
      <c r="E18" s="307">
        <f t="shared" si="1"/>
        <v>110000</v>
      </c>
      <c r="F18" s="308">
        <f>+Inputs!P13</f>
        <v>110000</v>
      </c>
      <c r="H18" s="811" t="s">
        <v>206</v>
      </c>
      <c r="I18" s="830">
        <v>0.05</v>
      </c>
      <c r="J18" s="918">
        <f t="shared" si="2"/>
        <v>0.05</v>
      </c>
      <c r="K18" s="833">
        <f>SUM(Inputs!D85:D86)</f>
        <v>22500</v>
      </c>
      <c r="L18" s="837">
        <f t="shared" si="0"/>
        <v>22500</v>
      </c>
      <c r="M18" s="111"/>
      <c r="O18" s="377"/>
    </row>
    <row r="19" spans="2:16" ht="16.5" thickTop="1" thickBot="1" x14ac:dyDescent="0.4">
      <c r="B19" s="767" t="s">
        <v>185</v>
      </c>
      <c r="C19" s="95"/>
      <c r="D19" s="307">
        <f>+Inputs!O14</f>
        <v>0</v>
      </c>
      <c r="E19" s="307">
        <f t="shared" si="1"/>
        <v>0</v>
      </c>
      <c r="F19" s="308">
        <f>+Inputs!P14</f>
        <v>0</v>
      </c>
      <c r="H19" s="979" t="s">
        <v>207</v>
      </c>
      <c r="I19" s="980">
        <f>I15-I16-I17-I18</f>
        <v>0.20200000000000001</v>
      </c>
      <c r="J19" s="985">
        <f>J15-J16-J17-J18</f>
        <v>0.31025516296296302</v>
      </c>
      <c r="K19" s="981">
        <f>K15-SUM(K16:K18)</f>
        <v>139614.82333333333</v>
      </c>
      <c r="L19" s="982">
        <f t="shared" si="0"/>
        <v>139614.82333333333</v>
      </c>
      <c r="M19" s="983"/>
    </row>
    <row r="20" spans="2:16" ht="14.25" customHeight="1" thickBot="1" x14ac:dyDescent="0.35">
      <c r="B20" s="768" t="s">
        <v>45</v>
      </c>
      <c r="C20" s="113"/>
      <c r="D20" s="309">
        <f>+Inputs!O16</f>
        <v>1650</v>
      </c>
      <c r="E20" s="309">
        <f t="shared" si="1"/>
        <v>1650</v>
      </c>
      <c r="F20" s="310">
        <f>+Inputs!P16</f>
        <v>1650</v>
      </c>
      <c r="O20" s="419"/>
    </row>
    <row r="21" spans="2:16" ht="14.25" customHeight="1" x14ac:dyDescent="0.3">
      <c r="B21" s="769" t="s">
        <v>208</v>
      </c>
      <c r="C21" s="156"/>
      <c r="D21" s="311">
        <f>+Inputs!O17</f>
        <v>111650</v>
      </c>
      <c r="E21" s="311">
        <f t="shared" si="1"/>
        <v>111650</v>
      </c>
      <c r="F21" s="312">
        <f>+Inputs!P17</f>
        <v>111650</v>
      </c>
      <c r="H21" s="87" t="s">
        <v>172</v>
      </c>
      <c r="I21" s="812"/>
      <c r="J21" s="99"/>
      <c r="K21" s="99" t="s">
        <v>156</v>
      </c>
      <c r="L21" s="299" t="s">
        <v>170</v>
      </c>
      <c r="O21" s="889"/>
    </row>
    <row r="22" spans="2:16" ht="14.25" customHeight="1" thickBot="1" x14ac:dyDescent="0.35">
      <c r="B22" s="767" t="str">
        <f>Inputs!L19</f>
        <v>Acquisitions Due Dilligence &amp; Horizontal Costs</v>
      </c>
      <c r="C22" s="156"/>
      <c r="D22" s="307">
        <f>Inputs!O19</f>
        <v>6850</v>
      </c>
      <c r="E22" s="309">
        <f t="shared" si="1"/>
        <v>6850</v>
      </c>
      <c r="F22" s="310">
        <f>+Inputs!P18</f>
        <v>0</v>
      </c>
      <c r="H22" s="104" t="s">
        <v>178</v>
      </c>
      <c r="I22" s="815"/>
      <c r="J22" s="159"/>
      <c r="K22" s="295">
        <f>K12-K16-K17-K18</f>
        <v>415250</v>
      </c>
      <c r="L22" s="836">
        <f>K22/buildcount</f>
        <v>415250</v>
      </c>
      <c r="O22" s="419"/>
    </row>
    <row r="23" spans="2:16" ht="14.25" customHeight="1" thickBot="1" x14ac:dyDescent="0.35">
      <c r="B23" s="770" t="s">
        <v>209</v>
      </c>
      <c r="C23" s="779">
        <f ca="1">+D23/D36</f>
        <v>0.37498997969863185</v>
      </c>
      <c r="D23" s="771">
        <f>+D21+D22</f>
        <v>118500</v>
      </c>
      <c r="E23" s="771">
        <f>+E21+E22</f>
        <v>118500</v>
      </c>
      <c r="F23" s="772">
        <f>+F21+F22</f>
        <v>111650</v>
      </c>
      <c r="H23" s="152" t="s">
        <v>180</v>
      </c>
      <c r="I23" s="816"/>
      <c r="J23" s="160"/>
      <c r="K23" s="295">
        <f>D13</f>
        <v>267728.87866666669</v>
      </c>
      <c r="L23" s="836">
        <f>K23/buildcount</f>
        <v>267728.87866666669</v>
      </c>
    </row>
    <row r="24" spans="2:16" ht="14.25" customHeight="1" x14ac:dyDescent="0.25">
      <c r="B24" s="94"/>
      <c r="C24" s="95"/>
      <c r="D24" s="95"/>
      <c r="E24" s="95"/>
      <c r="F24" s="111"/>
      <c r="H24" s="152" t="s">
        <v>210</v>
      </c>
      <c r="I24" s="816"/>
      <c r="J24" s="160"/>
      <c r="K24" s="295">
        <f ca="1">D14</f>
        <v>48279.565332916682</v>
      </c>
      <c r="L24" s="836">
        <f ca="1">K24/buildcount</f>
        <v>48279.565332916682</v>
      </c>
      <c r="P24" s="792"/>
    </row>
    <row r="25" spans="2:16" ht="14.25" customHeight="1" x14ac:dyDescent="0.3">
      <c r="B25" s="767" t="str">
        <f>+Inputs!L20</f>
        <v>Site Specific Costs</v>
      </c>
      <c r="C25" s="95"/>
      <c r="D25" s="307">
        <f>+Inputs!O20</f>
        <v>12200</v>
      </c>
      <c r="E25" s="307">
        <f>+D25/buildcount</f>
        <v>12200</v>
      </c>
      <c r="F25" s="308">
        <f>+Inputs!P20</f>
        <v>0</v>
      </c>
      <c r="H25" s="152" t="s">
        <v>211</v>
      </c>
      <c r="I25" s="816"/>
      <c r="J25" s="95"/>
      <c r="K25" s="295">
        <f ca="1">'Monthly CF'!C51</f>
        <v>4549.007933590372</v>
      </c>
      <c r="L25" s="836">
        <f ca="1">K25/buildcount</f>
        <v>4549.007933590372</v>
      </c>
    </row>
    <row r="26" spans="2:16" ht="14.25" customHeight="1" x14ac:dyDescent="0.3">
      <c r="B26" s="767" t="s">
        <v>56</v>
      </c>
      <c r="C26" s="95"/>
      <c r="D26" s="307">
        <f>+Inputs!O22</f>
        <v>133718.51</v>
      </c>
      <c r="E26" s="307">
        <f>+D26/buildcount</f>
        <v>133718.51</v>
      </c>
      <c r="F26" s="308">
        <f>+Inputs!P22</f>
        <v>0</v>
      </c>
      <c r="H26" s="112" t="s">
        <v>212</v>
      </c>
      <c r="I26" s="817"/>
      <c r="J26" s="113"/>
      <c r="K26" s="991">
        <f ca="1">'Monthly CF'!C52</f>
        <v>0</v>
      </c>
      <c r="L26" s="992">
        <f ca="1">K26/buildcount</f>
        <v>0</v>
      </c>
    </row>
    <row r="27" spans="2:16" ht="14.25" customHeight="1" thickBot="1" x14ac:dyDescent="0.35">
      <c r="B27" s="768" t="str">
        <f>+Inputs!L24</f>
        <v>Soft Costs (survey, eng, tap fees, ins, tax, etc.)</v>
      </c>
      <c r="C27" s="113"/>
      <c r="D27" s="309">
        <f>+Inputs!O24</f>
        <v>11216.666666666666</v>
      </c>
      <c r="E27" s="309">
        <f>+D27/buildcount</f>
        <v>11216.666666666666</v>
      </c>
      <c r="F27" s="310">
        <f>+Inputs!P24</f>
        <v>0</v>
      </c>
      <c r="H27" s="266" t="s">
        <v>213</v>
      </c>
      <c r="I27" s="272"/>
      <c r="J27" s="98"/>
      <c r="K27" s="993">
        <f ca="1">K22-SUM(K23:K26)</f>
        <v>94692.548066826246</v>
      </c>
      <c r="L27" s="994">
        <f ca="1">L22-SUM(L23:L26)</f>
        <v>94692.548066826246</v>
      </c>
      <c r="O27" s="808"/>
      <c r="P27" s="808"/>
    </row>
    <row r="28" spans="2:16" ht="14.25" customHeight="1" thickBot="1" x14ac:dyDescent="0.35">
      <c r="B28" s="769" t="s">
        <v>214</v>
      </c>
      <c r="C28" s="156"/>
      <c r="D28" s="765">
        <f>D26+D27+D25</f>
        <v>157135.17666666667</v>
      </c>
      <c r="E28" s="765">
        <f>+E26+E27+E25</f>
        <v>157135.17666666667</v>
      </c>
      <c r="F28" s="766">
        <f>+F26+F27+F25</f>
        <v>0</v>
      </c>
    </row>
    <row r="29" spans="2:16" ht="14.25" customHeight="1" thickBot="1" x14ac:dyDescent="0.35">
      <c r="B29" s="767" t="str">
        <f>+Inputs!L23</f>
        <v>Builder Profit</v>
      </c>
      <c r="C29" s="778">
        <f>+D29/D26</f>
        <v>0.2</v>
      </c>
      <c r="D29" s="307">
        <f>+Inputs!O23</f>
        <v>26743.702000000005</v>
      </c>
      <c r="E29" s="307">
        <f>+D29/buildcount</f>
        <v>26743.702000000005</v>
      </c>
      <c r="F29" s="308">
        <f>+Inputs!P23</f>
        <v>0</v>
      </c>
      <c r="H29" s="87" t="s">
        <v>186</v>
      </c>
      <c r="I29" s="812"/>
      <c r="J29" s="91"/>
      <c r="K29" s="91"/>
      <c r="L29" s="115"/>
    </row>
    <row r="30" spans="2:16" ht="14.25" customHeight="1" thickBot="1" x14ac:dyDescent="0.35">
      <c r="B30" s="773" t="s">
        <v>215</v>
      </c>
      <c r="C30" s="779">
        <f ca="1">+D30/D36</f>
        <v>0.58187963694700862</v>
      </c>
      <c r="D30" s="774">
        <f>D28+D29</f>
        <v>183878.87866666669</v>
      </c>
      <c r="E30" s="774">
        <f>+E28+E29</f>
        <v>183878.87866666669</v>
      </c>
      <c r="F30" s="775">
        <f>+F28+F29</f>
        <v>0</v>
      </c>
      <c r="H30" s="116"/>
      <c r="I30" s="818"/>
      <c r="J30" s="362"/>
      <c r="K30" s="117" t="s">
        <v>163</v>
      </c>
      <c r="L30" s="118" t="s">
        <v>216</v>
      </c>
      <c r="M30" s="842"/>
    </row>
    <row r="31" spans="2:16" ht="14.25" customHeight="1" x14ac:dyDescent="0.3">
      <c r="B31" s="154"/>
      <c r="C31" s="95"/>
      <c r="D31" s="307"/>
      <c r="E31" s="307"/>
      <c r="F31" s="308"/>
      <c r="H31" s="119" t="s">
        <v>217</v>
      </c>
      <c r="I31" s="819"/>
      <c r="J31" s="95"/>
      <c r="K31" s="120">
        <f ca="1">+XIRR('Monthly CF'!D45:AB45,'Monthly CF'!D2:AB2)</f>
        <v>5.8419517040252682</v>
      </c>
      <c r="L31" s="121">
        <f ca="1">IFERROR(SUM('Monthly CF'!D45:AB45)/-SUMIF('Monthly CF'!D45:AB45,"&lt;0")+1, "N/A")</f>
        <v>3.0555602627340641</v>
      </c>
      <c r="M31" s="329"/>
      <c r="N31" s="376"/>
    </row>
    <row r="32" spans="2:16" ht="14.25" customHeight="1" x14ac:dyDescent="0.3">
      <c r="B32" s="154" t="str">
        <f>+Inputs!L28</f>
        <v>Renovo Loan Origination</v>
      </c>
      <c r="C32" s="95"/>
      <c r="D32" s="307">
        <f>+Inputs!O28</f>
        <v>2677.288786666667</v>
      </c>
      <c r="E32" s="307">
        <f>+D32/buildcount</f>
        <v>2677.288786666667</v>
      </c>
      <c r="F32" s="308">
        <f>+Inputs!P28</f>
        <v>2677.288786666667</v>
      </c>
      <c r="H32" s="273" t="str">
        <f>Inputs!D103 &amp; " Equity/Mezz"</f>
        <v>Red Cedar SLFII Equity/Mezz</v>
      </c>
      <c r="I32" s="820"/>
      <c r="J32" s="95"/>
      <c r="K32" s="120">
        <f ca="1">+Inputs!D108</f>
        <v>0.16769096255302432</v>
      </c>
      <c r="L32" s="121">
        <f ca="1">+K35/J35</f>
        <v>1.0942222222222222</v>
      </c>
    </row>
    <row r="33" spans="1:14" ht="14.25" customHeight="1" thickBot="1" x14ac:dyDescent="0.35">
      <c r="B33" s="154" t="str">
        <f>+Inputs!L29</f>
        <v>Interest Reserve</v>
      </c>
      <c r="C33" s="95"/>
      <c r="D33" s="307">
        <f ca="1">+Inputs!O29</f>
        <v>10952.276546249999</v>
      </c>
      <c r="E33" s="307">
        <f ca="1">+D33/buildcount</f>
        <v>10952.276546249999</v>
      </c>
      <c r="F33" s="308">
        <f ca="1">+Inputs!P29</f>
        <v>10952.276546249999</v>
      </c>
      <c r="H33" s="335" t="s">
        <v>218</v>
      </c>
      <c r="I33" s="821"/>
      <c r="J33" s="336"/>
      <c r="K33" s="337" t="str">
        <f ca="1">IFERROR(IRR('Monthly CF'!D58:AB58),"N/A")</f>
        <v>N/A</v>
      </c>
      <c r="L33" s="338"/>
      <c r="M33" s="792"/>
    </row>
    <row r="34" spans="1:14" ht="15" thickBot="1" x14ac:dyDescent="0.3">
      <c r="B34" s="344" t="s">
        <v>70</v>
      </c>
      <c r="C34" s="779">
        <f ca="1">+D34/D36</f>
        <v>4.3130383354359467E-2</v>
      </c>
      <c r="D34" s="776">
        <f ca="1">+Inputs!O30</f>
        <v>13629.565332916667</v>
      </c>
      <c r="E34" s="776">
        <f ca="1">+D34/buildcount</f>
        <v>13629.565332916667</v>
      </c>
      <c r="F34" s="777">
        <f ca="1">SUM(F32:F33)</f>
        <v>13629.565332916667</v>
      </c>
      <c r="H34" s="340"/>
      <c r="I34" s="822"/>
      <c r="J34" s="197" t="s">
        <v>219</v>
      </c>
      <c r="K34" s="197" t="s">
        <v>220</v>
      </c>
      <c r="L34" s="118" t="s">
        <v>221</v>
      </c>
    </row>
    <row r="35" spans="1:14" ht="14.25" customHeight="1" thickBot="1" x14ac:dyDescent="0.3">
      <c r="B35" s="94"/>
      <c r="C35" s="95"/>
      <c r="D35" s="95"/>
      <c r="E35" s="95"/>
      <c r="F35" s="111"/>
      <c r="H35" s="122" t="str">
        <f>+H32</f>
        <v>Red Cedar SLFII Equity/Mezz</v>
      </c>
      <c r="I35" s="823"/>
      <c r="J35" s="300">
        <f ca="1">-'Monthly CF'!C49</f>
        <v>48279.565332916682</v>
      </c>
      <c r="K35" s="300">
        <f ca="1">+'Monthly CF'!C53+'Acquisition Summary'!J35</f>
        <v>52828.573266507054</v>
      </c>
      <c r="L35" s="301">
        <f ca="1">+K35-J35</f>
        <v>4549.007933590372</v>
      </c>
    </row>
    <row r="36" spans="1:14" ht="14.25" customHeight="1" thickBot="1" x14ac:dyDescent="0.3">
      <c r="B36" s="785" t="s">
        <v>222</v>
      </c>
      <c r="C36" s="786"/>
      <c r="D36" s="787">
        <f ca="1">+D23+D30+D34</f>
        <v>316008.44399958337</v>
      </c>
      <c r="E36" s="787">
        <f ca="1">+E23+E30+E34</f>
        <v>316008.44399958337</v>
      </c>
      <c r="F36" s="788">
        <f ca="1">+F23+F30+F34</f>
        <v>125279.56533291667</v>
      </c>
      <c r="H36" s="268" t="s">
        <v>223</v>
      </c>
      <c r="I36" s="824"/>
      <c r="J36" s="302">
        <v>0</v>
      </c>
      <c r="K36" s="302">
        <f ca="1">+'Monthly CF'!C58</f>
        <v>94692.548066826261</v>
      </c>
      <c r="L36" s="303">
        <f ca="1">+K36</f>
        <v>94692.548066826261</v>
      </c>
    </row>
    <row r="37" spans="1:14" ht="14.25" customHeight="1" thickBot="1" x14ac:dyDescent="0.35">
      <c r="A37"/>
      <c r="H37" s="823"/>
      <c r="I37" s="823"/>
      <c r="J37" s="300"/>
      <c r="K37" s="300"/>
      <c r="L37" s="300"/>
    </row>
    <row r="38" spans="1:14" ht="14.25" customHeight="1" x14ac:dyDescent="0.3">
      <c r="A38"/>
      <c r="B38" s="134" t="s">
        <v>192</v>
      </c>
      <c r="C38" s="135">
        <v>0</v>
      </c>
      <c r="D38" s="135">
        <v>0</v>
      </c>
      <c r="E38" s="135"/>
      <c r="F38" s="115">
        <v>0</v>
      </c>
      <c r="H38" s="823"/>
      <c r="I38" s="823"/>
      <c r="J38" s="300"/>
      <c r="K38" s="300"/>
      <c r="L38" s="300"/>
      <c r="N38" s="808"/>
    </row>
    <row r="39" spans="1:14" ht="14.25" customHeight="1" x14ac:dyDescent="0.3">
      <c r="A39"/>
      <c r="B39" s="138" t="s">
        <v>224</v>
      </c>
      <c r="C39" s="102" t="s">
        <v>225</v>
      </c>
      <c r="D39" s="102" t="s">
        <v>226</v>
      </c>
      <c r="E39" s="102" t="str">
        <f>+Inputs!D103</f>
        <v>Red Cedar SLFII</v>
      </c>
      <c r="F39" s="136" t="s">
        <v>227</v>
      </c>
      <c r="H39" s="823"/>
      <c r="I39" s="823"/>
      <c r="J39" s="300"/>
      <c r="K39" s="300"/>
      <c r="L39" s="300"/>
      <c r="N39" s="792"/>
    </row>
    <row r="40" spans="1:14" ht="14.25" customHeight="1" x14ac:dyDescent="0.25">
      <c r="B40" s="188">
        <v>0</v>
      </c>
      <c r="C40" s="159">
        <f>+K12/buildcount</f>
        <v>450000</v>
      </c>
      <c r="D40" s="295">
        <f>Inputs!O23</f>
        <v>26743.702000000005</v>
      </c>
      <c r="E40" s="203">
        <f ca="1">+L32</f>
        <v>1.0942222222222222</v>
      </c>
      <c r="F40" s="139">
        <f ca="1">K27</f>
        <v>94692.548066826246</v>
      </c>
      <c r="H40" s="823"/>
      <c r="I40" s="823"/>
      <c r="J40" s="300"/>
      <c r="K40" s="300"/>
      <c r="L40" s="300"/>
      <c r="N40" s="808"/>
    </row>
    <row r="41" spans="1:14" ht="14.25" customHeight="1" x14ac:dyDescent="0.25">
      <c r="B41" s="208">
        <v>0.05</v>
      </c>
      <c r="C41" s="186">
        <f t="dataTable" ref="C41:F45" dt2D="0" dtr="0" r1="R1" ca="1"/>
        <v>472500</v>
      </c>
      <c r="D41" s="295">
        <v>26743.702000000005</v>
      </c>
      <c r="E41" s="203">
        <v>1.0942222222222222</v>
      </c>
      <c r="F41" s="139">
        <v>115955.04806682625</v>
      </c>
      <c r="H41" s="823"/>
      <c r="I41" s="823"/>
      <c r="J41" s="300"/>
      <c r="K41" s="300"/>
      <c r="L41" s="300"/>
    </row>
    <row r="42" spans="1:14" s="329" customFormat="1" ht="14.25" customHeight="1" x14ac:dyDescent="0.25">
      <c r="A42" s="86"/>
      <c r="B42" s="208">
        <v>2.5000000000000001E-2</v>
      </c>
      <c r="C42" s="186">
        <v>461249.99999999994</v>
      </c>
      <c r="D42" s="295">
        <v>26743.702000000005</v>
      </c>
      <c r="E42" s="203">
        <v>1.0942222222222222</v>
      </c>
      <c r="F42" s="139">
        <v>105323.79806682619</v>
      </c>
      <c r="G42" s="86"/>
      <c r="H42" s="823"/>
      <c r="I42" s="823"/>
      <c r="J42" s="300"/>
      <c r="K42" s="300"/>
      <c r="L42" s="300"/>
      <c r="M42" s="86"/>
      <c r="N42" s="86"/>
    </row>
    <row r="43" spans="1:14" s="329" customFormat="1" ht="14.25" customHeight="1" x14ac:dyDescent="0.25">
      <c r="B43" s="380">
        <v>0</v>
      </c>
      <c r="C43" s="187">
        <v>450000</v>
      </c>
      <c r="D43" s="296">
        <v>26743.702000000005</v>
      </c>
      <c r="E43" s="328">
        <v>1.0942222222222222</v>
      </c>
      <c r="F43" s="144">
        <v>94692.548066826246</v>
      </c>
      <c r="G43" s="86"/>
      <c r="H43" s="823"/>
      <c r="I43" s="823"/>
      <c r="J43" s="300"/>
      <c r="K43" s="300"/>
      <c r="L43" s="300"/>
      <c r="M43" s="86"/>
      <c r="N43" s="86"/>
    </row>
    <row r="44" spans="1:14" ht="14.25" customHeight="1" x14ac:dyDescent="0.25">
      <c r="A44" s="329"/>
      <c r="B44" s="330">
        <v>-2.5000000000000001E-2</v>
      </c>
      <c r="C44" s="331">
        <v>438750</v>
      </c>
      <c r="D44" s="332">
        <v>26743.702000000005</v>
      </c>
      <c r="E44" s="333">
        <v>1.0942222222222222</v>
      </c>
      <c r="F44" s="334">
        <v>84061.298066826246</v>
      </c>
      <c r="H44" s="823"/>
      <c r="I44" s="823"/>
      <c r="J44" s="300"/>
      <c r="K44" s="300"/>
      <c r="L44" s="300"/>
    </row>
    <row r="45" spans="1:14" ht="14.25" customHeight="1" thickBot="1" x14ac:dyDescent="0.3">
      <c r="B45" s="323">
        <v>-0.05</v>
      </c>
      <c r="C45" s="324">
        <v>427500</v>
      </c>
      <c r="D45" s="325">
        <v>26743.702000000005</v>
      </c>
      <c r="E45" s="339">
        <v>1.0942222222222222</v>
      </c>
      <c r="F45" s="326">
        <v>73430.048066826246</v>
      </c>
      <c r="G45" s="329"/>
      <c r="H45" s="823"/>
      <c r="I45" s="823"/>
      <c r="J45" s="300"/>
      <c r="K45" s="300"/>
      <c r="L45" s="300"/>
    </row>
    <row r="46" spans="1:14" ht="14.25" customHeight="1" thickBot="1" x14ac:dyDescent="0.3">
      <c r="G46" s="329"/>
      <c r="H46" s="823"/>
      <c r="I46" s="823"/>
      <c r="J46" s="300"/>
      <c r="K46" s="300"/>
      <c r="L46" s="300"/>
    </row>
    <row r="47" spans="1:14" ht="14.25" customHeight="1" x14ac:dyDescent="0.3">
      <c r="B47" s="134" t="s">
        <v>228</v>
      </c>
      <c r="C47" s="135"/>
      <c r="D47" s="270"/>
      <c r="E47"/>
    </row>
    <row r="48" spans="1:14" ht="14.25" customHeight="1" x14ac:dyDescent="0.25">
      <c r="B48" s="94" t="s">
        <v>229</v>
      </c>
      <c r="C48" s="95"/>
      <c r="D48" s="199">
        <f ca="1">_xlfn.XLOOKUP(K8,'Monthly CF'!D1:AB1,'Monthly CF'!D35:AB35)</f>
        <v>2286.8508386111112</v>
      </c>
      <c r="E48" s="294"/>
      <c r="M48" s="329"/>
    </row>
    <row r="49" spans="2:14" ht="14.25" customHeight="1" x14ac:dyDescent="0.25">
      <c r="B49" s="271" t="s">
        <v>230</v>
      </c>
      <c r="C49" s="113"/>
      <c r="D49" s="200">
        <f ca="1">D14*J53/12</f>
        <v>643.72753777222249</v>
      </c>
      <c r="E49" s="294"/>
      <c r="M49" s="329"/>
    </row>
    <row r="50" spans="2:14" ht="14.25" customHeight="1" thickBot="1" x14ac:dyDescent="0.35">
      <c r="B50" s="266" t="s">
        <v>231</v>
      </c>
      <c r="C50" s="272"/>
      <c r="D50" s="267">
        <f ca="1">SUM(D48:D49)</f>
        <v>2930.5783763833338</v>
      </c>
      <c r="E50" s="327"/>
    </row>
    <row r="51" spans="2:14" ht="14.25" hidden="1" customHeight="1" x14ac:dyDescent="0.3">
      <c r="H51" s="123" t="s">
        <v>232</v>
      </c>
      <c r="I51" s="825"/>
      <c r="J51" s="124"/>
      <c r="K51" s="125"/>
      <c r="L51" s="126"/>
    </row>
    <row r="52" spans="2:14" ht="13" hidden="1" x14ac:dyDescent="0.3">
      <c r="H52" s="127" t="s">
        <v>233</v>
      </c>
      <c r="I52" s="839"/>
      <c r="J52" s="128" t="s">
        <v>234</v>
      </c>
      <c r="K52" s="128" t="str">
        <f>+H32</f>
        <v>Red Cedar SLFII Equity/Mezz</v>
      </c>
      <c r="L52" s="129" t="s">
        <v>235</v>
      </c>
    </row>
    <row r="53" spans="2:14" hidden="1" x14ac:dyDescent="0.25">
      <c r="H53" s="130" t="s">
        <v>236</v>
      </c>
      <c r="I53" s="181"/>
      <c r="J53" s="131">
        <f>+IF(OR(Inputs!D103="RCH",Inputs!D103=""),100,Inputs!D105)</f>
        <v>0.16</v>
      </c>
      <c r="K53" s="132">
        <v>1</v>
      </c>
      <c r="L53" s="133">
        <f>1-K53</f>
        <v>0</v>
      </c>
    </row>
    <row r="54" spans="2:14" hidden="1" x14ac:dyDescent="0.25">
      <c r="H54" s="130" t="s">
        <v>237</v>
      </c>
      <c r="I54" s="181"/>
      <c r="J54" s="131"/>
      <c r="K54" s="132">
        <f>+Inputs!D106</f>
        <v>0</v>
      </c>
      <c r="L54" s="133">
        <f>1-K54</f>
        <v>1</v>
      </c>
    </row>
    <row r="55" spans="2:14" hidden="1" x14ac:dyDescent="0.25">
      <c r="H55" s="130" t="s">
        <v>238</v>
      </c>
      <c r="I55" s="181"/>
      <c r="J55" s="131">
        <v>0.55000000000000004</v>
      </c>
      <c r="K55" s="132">
        <v>0.1</v>
      </c>
      <c r="L55" s="133">
        <f>1-K55</f>
        <v>0.9</v>
      </c>
      <c r="N55" s="329"/>
    </row>
    <row r="56" spans="2:14" hidden="1" x14ac:dyDescent="0.25">
      <c r="H56" s="130" t="s">
        <v>239</v>
      </c>
      <c r="I56" s="181"/>
      <c r="J56" s="137"/>
      <c r="K56" s="132">
        <v>0.05</v>
      </c>
      <c r="L56" s="133">
        <f>1-K56</f>
        <v>0.95</v>
      </c>
      <c r="N56" s="329"/>
    </row>
    <row r="57" spans="2:14" ht="14.5" hidden="1" x14ac:dyDescent="0.35">
      <c r="H57" s="130" t="s">
        <v>240</v>
      </c>
      <c r="I57" s="181"/>
      <c r="J57" s="140" t="s">
        <v>241</v>
      </c>
      <c r="K57" s="141"/>
      <c r="L57" s="142"/>
    </row>
    <row r="58" spans="2:14" ht="13" hidden="1" x14ac:dyDescent="0.3">
      <c r="H58" s="143"/>
      <c r="I58" s="826"/>
      <c r="J58" s="128" t="s">
        <v>242</v>
      </c>
      <c r="K58" s="128" t="s">
        <v>219</v>
      </c>
      <c r="L58" s="129"/>
    </row>
    <row r="59" spans="2:14" hidden="1" x14ac:dyDescent="0.25">
      <c r="H59" s="130" t="str">
        <f>+H32</f>
        <v>Red Cedar SLFII Equity/Mezz</v>
      </c>
      <c r="I59" s="181"/>
      <c r="J59" s="145">
        <f>1-SUM(J60:J60)</f>
        <v>1</v>
      </c>
      <c r="K59" s="304">
        <f ca="1">+J59*D14</f>
        <v>48279.565332916682</v>
      </c>
      <c r="L59" s="146"/>
    </row>
    <row r="60" spans="2:14" hidden="1" x14ac:dyDescent="0.25">
      <c r="H60" s="297" t="s">
        <v>243</v>
      </c>
      <c r="I60" s="827"/>
      <c r="J60" s="298">
        <v>0</v>
      </c>
      <c r="K60" s="305">
        <f ca="1">+J60*D14</f>
        <v>0</v>
      </c>
      <c r="L60" s="146"/>
    </row>
    <row r="61" spans="2:14" ht="13.5" hidden="1" thickBot="1" x14ac:dyDescent="0.35">
      <c r="H61" s="147" t="s">
        <v>23</v>
      </c>
      <c r="I61" s="828"/>
      <c r="J61" s="148">
        <f>SUM(J59:J60)</f>
        <v>1</v>
      </c>
      <c r="K61" s="306">
        <f ca="1">SUM(K59:K60)</f>
        <v>48279.565332916682</v>
      </c>
      <c r="L61" s="149"/>
    </row>
    <row r="62" spans="2:14" hidden="1" x14ac:dyDescent="0.25"/>
  </sheetData>
  <sheetProtection selectLockedCells="1"/>
  <mergeCells count="5">
    <mergeCell ref="B1:L3"/>
    <mergeCell ref="D6:F6"/>
    <mergeCell ref="D7:F7"/>
    <mergeCell ref="D8:F8"/>
    <mergeCell ref="D9:F9"/>
  </mergeCells>
  <conditionalFormatting sqref="J15">
    <cfRule type="cellIs" dxfId="14" priority="3" operator="lessThan">
      <formula>$I$15</formula>
    </cfRule>
    <cfRule type="cellIs" dxfId="13" priority="4" operator="greaterThan">
      <formula>$I$15</formula>
    </cfRule>
  </conditionalFormatting>
  <conditionalFormatting sqref="J19">
    <cfRule type="cellIs" dxfId="12" priority="1" operator="lessThan">
      <formula>$I$19</formula>
    </cfRule>
    <cfRule type="cellIs" dxfId="11" priority="2" operator="greaterThan">
      <formula>$I$19</formula>
    </cfRule>
  </conditionalFormatting>
  <conditionalFormatting sqref="J54 J55:L56">
    <cfRule type="expression" dxfId="10" priority="8">
      <formula>$J$57="Preferred"</formula>
    </cfRule>
  </conditionalFormatting>
  <conditionalFormatting sqref="J55 K56:L56">
    <cfRule type="expression" dxfId="9" priority="10">
      <formula>$J$57="First Hurdle"</formula>
    </cfRule>
  </conditionalFormatting>
  <dataValidations disablePrompts="1" count="1">
    <dataValidation type="list" allowBlank="1" showInputMessage="1" showErrorMessage="1" sqref="J57" xr:uid="{CE163A3D-026A-0B42-91BE-D5F4D17B3151}">
      <formula1>"Preferred, First Hurdle, Second Hurdle"</formula1>
    </dataValidation>
  </dataValidations>
  <pageMargins left="0.7" right="0.7" top="0.75" bottom="0.75" header="0.3" footer="0.3"/>
  <pageSetup scale="66" orientation="landscape" r:id="rId1"/>
  <rowBreaks count="1" manualBreakCount="1">
    <brk id="58" max="16383" man="1"/>
  </rowBreaks>
  <ignoredErrors>
    <ignoredError sqref="F29 D29 E29 E15" 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3" stopIfTrue="1" id="{474BF244-6301-D146-9116-7C09263FF7A7}">
            <xm:f>Inputs!$D$103&lt;&gt;"RCH"</xm:f>
            <x14:dxf>
              <font>
                <strike val="0"/>
                <color theme="1"/>
              </font>
              <fill>
                <patternFill>
                  <bgColor theme="2"/>
                </patternFill>
              </fill>
            </x14:dxf>
          </x14:cfRule>
          <xm:sqref>J53:K54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3D888-94F7-E74C-80CF-E09B549C7C4A}">
  <sheetPr>
    <tabColor rgb="FF000000"/>
    <pageSetUpPr fitToPage="1"/>
  </sheetPr>
  <dimension ref="A1:R51"/>
  <sheetViews>
    <sheetView showGridLines="0" topLeftCell="A9" zoomScale="90" zoomScaleNormal="90" zoomScaleSheetLayoutView="125" workbookViewId="0">
      <selection activeCell="G38" sqref="G38"/>
    </sheetView>
  </sheetViews>
  <sheetFormatPr defaultColWidth="13.77734375" defaultRowHeight="12.5" x14ac:dyDescent="0.25"/>
  <cols>
    <col min="1" max="1" width="3.109375" style="86" customWidth="1"/>
    <col min="2" max="2" width="30.109375" style="86" customWidth="1"/>
    <col min="3" max="3" width="13.44140625" style="86" customWidth="1"/>
    <col min="4" max="4" width="11.77734375" style="86" customWidth="1"/>
    <col min="5" max="5" width="19.44140625" style="86" customWidth="1"/>
    <col min="6" max="6" width="3.109375" style="86" customWidth="1"/>
    <col min="7" max="7" width="42.109375" style="86" customWidth="1"/>
    <col min="8" max="8" width="14.6640625" style="86" bestFit="1" customWidth="1"/>
    <col min="9" max="9" width="16.44140625" style="86" bestFit="1" customWidth="1"/>
    <col min="10" max="10" width="13.44140625" style="86" bestFit="1" customWidth="1"/>
    <col min="11" max="14" width="13.77734375" style="86"/>
    <col min="15" max="15" width="22.44140625" style="86" bestFit="1" customWidth="1"/>
    <col min="16" max="16384" width="13.77734375" style="86"/>
  </cols>
  <sheetData>
    <row r="1" spans="2:18" x14ac:dyDescent="0.25">
      <c r="B1" s="1320" t="str">
        <f>+ "INVESTMENT DEAL SHEET  |  "&amp;C6</f>
        <v>INVESTMENT DEAL SHEET  |  241 Willard Street</v>
      </c>
      <c r="C1" s="1320"/>
      <c r="D1" s="1320"/>
      <c r="E1" s="1320"/>
      <c r="F1" s="1320"/>
      <c r="G1" s="1320"/>
      <c r="H1" s="1320"/>
      <c r="I1" s="1320"/>
      <c r="J1" s="1320"/>
      <c r="P1" s="185"/>
    </row>
    <row r="2" spans="2:18" ht="15" customHeight="1" x14ac:dyDescent="0.25">
      <c r="B2" s="1320"/>
      <c r="C2" s="1320"/>
      <c r="D2" s="1320"/>
      <c r="E2" s="1320"/>
      <c r="F2" s="1320"/>
      <c r="G2" s="1320"/>
      <c r="H2" s="1320"/>
      <c r="I2" s="1320"/>
      <c r="J2" s="1320"/>
    </row>
    <row r="3" spans="2:18" ht="20.25" customHeight="1" x14ac:dyDescent="0.25">
      <c r="B3" s="1320"/>
      <c r="C3" s="1320"/>
      <c r="D3" s="1320"/>
      <c r="E3" s="1320"/>
      <c r="F3" s="1320"/>
      <c r="G3" s="1320"/>
      <c r="H3" s="1320"/>
      <c r="I3" s="1320"/>
      <c r="J3" s="1320"/>
    </row>
    <row r="4" spans="2:18" ht="13" thickBot="1" x14ac:dyDescent="0.3"/>
    <row r="5" spans="2:18" ht="14.25" customHeight="1" x14ac:dyDescent="0.3">
      <c r="B5" s="87" t="s">
        <v>159</v>
      </c>
      <c r="C5" s="88"/>
      <c r="D5" s="88"/>
      <c r="E5" s="89"/>
      <c r="F5" s="90"/>
      <c r="G5" s="87" t="s">
        <v>160</v>
      </c>
      <c r="H5" s="92"/>
      <c r="I5" s="92" t="s">
        <v>161</v>
      </c>
      <c r="J5" s="93" t="s">
        <v>162</v>
      </c>
      <c r="K5" s="206"/>
      <c r="L5" s="206"/>
      <c r="M5" s="206"/>
      <c r="N5" s="206"/>
      <c r="O5" s="206"/>
      <c r="P5" s="206"/>
      <c r="Q5" s="206"/>
      <c r="R5" s="206"/>
    </row>
    <row r="6" spans="2:18" ht="14.25" customHeight="1" x14ac:dyDescent="0.25">
      <c r="B6" s="94" t="s">
        <v>164</v>
      </c>
      <c r="C6" s="1321" t="str">
        <f>IF(ISBLANK(Inputs!D5),"",Inputs!D5)</f>
        <v>241 Willard Street</v>
      </c>
      <c r="D6" s="1321"/>
      <c r="E6" s="1322"/>
      <c r="G6" s="189" t="str">
        <f>+Inputs!L36</f>
        <v>Purchase Date</v>
      </c>
      <c r="H6" s="190"/>
      <c r="I6" s="190">
        <v>1</v>
      </c>
      <c r="J6" s="209">
        <f>+Inputs!P36</f>
        <v>46081</v>
      </c>
      <c r="K6" s="205"/>
      <c r="L6" s="205"/>
      <c r="M6" s="205"/>
      <c r="N6" s="205"/>
      <c r="O6" s="205"/>
      <c r="P6" s="205"/>
      <c r="Q6" s="205"/>
      <c r="R6" s="205"/>
    </row>
    <row r="7" spans="2:18" ht="29.25" customHeight="1" x14ac:dyDescent="0.25">
      <c r="B7" s="94" t="s">
        <v>165</v>
      </c>
      <c r="C7" s="1331" t="str">
        <f>_xlfn.TEXTJOIN(" | ",TRUE,IF(AND(Inputs!B72&lt;&gt;"",Inputs!C72&lt;&gt;""),Inputs!B72 &amp; " x " &amp; Inputs!C72,""),IF(AND(Inputs!B73&lt;&gt;"",Inputs!C73&lt;&gt;""),Inputs!B73 &amp; " x " &amp; Inputs!C73,""),IF(AND(Inputs!B74&lt;&gt;"",Inputs!C74&lt;&gt;""),Inputs!B74 &amp; " x " &amp; Inputs!C74,""),IF(AND(Inputs!B75&lt;&gt;"",Inputs!C75&lt;&gt;""),Inputs!B75 &amp; " x " &amp; Inputs!C75,""))</f>
        <v>Atlas II - SC x 1</v>
      </c>
      <c r="D7" s="1331"/>
      <c r="E7" s="1332"/>
      <c r="G7" s="150" t="str">
        <f>+Inputs!L37</f>
        <v>Construction Start</v>
      </c>
      <c r="H7" s="398"/>
      <c r="I7" s="398">
        <f>+I6+Inputs!O37</f>
        <v>2</v>
      </c>
      <c r="J7" s="210">
        <f>+Inputs!P37</f>
        <v>46110</v>
      </c>
    </row>
    <row r="8" spans="2:18" ht="14.25" customHeight="1" x14ac:dyDescent="0.25">
      <c r="B8" s="94" t="s">
        <v>244</v>
      </c>
      <c r="C8" s="1321" t="str">
        <f>Inputs!D6</f>
        <v xml:space="preserve">Greenville, SC </v>
      </c>
      <c r="D8" s="1321"/>
      <c r="E8" s="1322"/>
      <c r="G8" s="150" t="str">
        <f>+Inputs!L38</f>
        <v>Construction Complete</v>
      </c>
      <c r="H8" s="151"/>
      <c r="I8" s="151">
        <f>+ROUND(I7+(Inputs!O38/30),)</f>
        <v>7</v>
      </c>
      <c r="J8" s="210">
        <f>+Inputs!P38</f>
        <v>46260</v>
      </c>
    </row>
    <row r="9" spans="2:18" ht="30" customHeight="1" thickBot="1" x14ac:dyDescent="0.35">
      <c r="B9" s="97" t="s">
        <v>167</v>
      </c>
      <c r="C9" s="1333" t="str">
        <f>_xlfn.TEXTJOIN(" | ",TRUE,
 IF(Inputs!B72&lt;&gt;"",Inputs!B72 &amp; ", " &amp; _xlfn.XLOOKUP(Inputs!B72,'Reference Tab'!B:B,'Reference Tab'!D:D,""),""),
 IF(Inputs!B73&lt;&gt;"",Inputs!B73 &amp; ", " &amp; _xlfn.XLOOKUP(Inputs!B73,'Reference Tab'!B:B,'Reference Tab'!D:D,""),""),
 IF(Inputs!B74&lt;&gt;"",Inputs!B74 &amp; ", " &amp; _xlfn.XLOOKUP(Inputs!B74,'Reference Tab'!B:B,'Reference Tab'!D:D,""),""),
 IF(Inputs!B75&lt;&gt;"",Inputs!B75 &amp; ", " &amp; _xlfn.XLOOKUP(Inputs!B75,'Reference Tab'!B:B,'Reference Tab'!D:D,""),""))</f>
        <v>Atlas II - SC, 1554</v>
      </c>
      <c r="D9" s="1333"/>
      <c r="E9" s="1334"/>
      <c r="G9" s="191" t="str">
        <f>TEXT(Inputs!L39,)</f>
        <v>Marketing/Sale Complete</v>
      </c>
      <c r="H9" s="192"/>
      <c r="I9" s="192">
        <f>+I8+Inputs!O39</f>
        <v>8</v>
      </c>
      <c r="J9" s="211">
        <f>+Inputs!P39</f>
        <v>46290</v>
      </c>
    </row>
    <row r="10" spans="2:18" ht="14.25" customHeight="1" thickBot="1" x14ac:dyDescent="0.3"/>
    <row r="11" spans="2:18" ht="14.25" customHeight="1" x14ac:dyDescent="0.3">
      <c r="B11" s="87" t="s">
        <v>195</v>
      </c>
      <c r="C11" s="99"/>
      <c r="D11" s="99" t="s">
        <v>197</v>
      </c>
      <c r="E11" s="299" t="s">
        <v>156</v>
      </c>
      <c r="G11" s="87" t="s">
        <v>168</v>
      </c>
      <c r="H11" s="359" t="s">
        <v>156</v>
      </c>
      <c r="I11" s="359" t="s">
        <v>194</v>
      </c>
      <c r="J11" s="157" t="s">
        <v>245</v>
      </c>
    </row>
    <row r="12" spans="2:18" ht="14.25" customHeight="1" x14ac:dyDescent="0.3">
      <c r="B12" s="899" t="s">
        <v>198</v>
      </c>
      <c r="C12" s="900"/>
      <c r="D12" s="900"/>
      <c r="E12" s="403">
        <f>SUM('Monthly CF'!D26:AB26)</f>
        <v>450000</v>
      </c>
      <c r="G12" s="101" t="s">
        <v>173</v>
      </c>
      <c r="H12" s="103"/>
      <c r="I12" s="103"/>
      <c r="J12" s="158"/>
    </row>
    <row r="13" spans="2:18" ht="14.25" customHeight="1" x14ac:dyDescent="0.25">
      <c r="B13" s="152" t="s">
        <v>246</v>
      </c>
      <c r="C13" s="95"/>
      <c r="D13" s="95"/>
      <c r="E13" s="314">
        <f>'Acquisition Summary'!D21</f>
        <v>111650</v>
      </c>
      <c r="G13" s="105" t="str">
        <f>+Inputs!D92&amp; " Loan"</f>
        <v>Renovo Loan</v>
      </c>
      <c r="H13" s="345">
        <f>+Inputs!O6</f>
        <v>267728.87866666669</v>
      </c>
      <c r="I13" s="345">
        <f>+H13/buildcount</f>
        <v>267728.87866666669</v>
      </c>
      <c r="J13" s="399">
        <f>I13/Inputs!$D$76</f>
        <v>172.28370570570573</v>
      </c>
    </row>
    <row r="14" spans="2:18" ht="14.25" customHeight="1" x14ac:dyDescent="0.25">
      <c r="B14" s="152" t="s">
        <v>247</v>
      </c>
      <c r="C14" s="95"/>
      <c r="D14" s="95"/>
      <c r="E14" s="314">
        <f>'Acquisition Summary'!D25</f>
        <v>12200</v>
      </c>
      <c r="G14" s="107" t="s">
        <v>200</v>
      </c>
      <c r="H14" s="346">
        <f ca="1">+Inputs!O7</f>
        <v>48279.565332916682</v>
      </c>
      <c r="I14" s="346">
        <f ca="1">+H14/buildcount</f>
        <v>48279.565332916682</v>
      </c>
      <c r="J14" s="347">
        <f ca="1">I14/Inputs!$D$76</f>
        <v>31.067931359663245</v>
      </c>
    </row>
    <row r="15" spans="2:18" ht="14.25" customHeight="1" x14ac:dyDescent="0.3">
      <c r="B15" s="152" t="s">
        <v>248</v>
      </c>
      <c r="C15" s="95"/>
      <c r="D15" s="95"/>
      <c r="E15" s="314">
        <f>'Acquisition Summary'!D26+'Acquisition Summary'!D29</f>
        <v>160462.212</v>
      </c>
      <c r="G15" s="343" t="s">
        <v>179</v>
      </c>
      <c r="H15" s="348">
        <f ca="1">SUM(H13:H14)</f>
        <v>316008.44399958337</v>
      </c>
      <c r="I15" s="348">
        <f ca="1">+H15/buildcount</f>
        <v>316008.44399958337</v>
      </c>
      <c r="J15" s="349">
        <f ca="1">I15/Inputs!$D$76</f>
        <v>203.35163706536898</v>
      </c>
    </row>
    <row r="16" spans="2:18" ht="14.25" customHeight="1" x14ac:dyDescent="0.25">
      <c r="B16" s="152" t="s">
        <v>249</v>
      </c>
      <c r="C16" s="95"/>
      <c r="D16" s="95"/>
      <c r="E16" s="314">
        <f>'Acquisition Summary'!D27-'Acquisition Summary'!D31</f>
        <v>11216.666666666666</v>
      </c>
      <c r="G16" s="94"/>
      <c r="H16" s="350"/>
      <c r="I16" s="350"/>
      <c r="J16" s="351">
        <f>I16/Inputs!$D$76</f>
        <v>0</v>
      </c>
    </row>
    <row r="17" spans="2:12" ht="14.25" customHeight="1" x14ac:dyDescent="0.3">
      <c r="B17" s="893" t="s">
        <v>250</v>
      </c>
      <c r="C17" s="894"/>
      <c r="D17" s="894"/>
      <c r="E17" s="895">
        <f>Inputs!O19</f>
        <v>6850</v>
      </c>
      <c r="G17" s="101" t="s">
        <v>182</v>
      </c>
      <c r="H17" s="350"/>
      <c r="I17" s="350"/>
      <c r="J17" s="352">
        <f>I17/Inputs!$D$76</f>
        <v>0</v>
      </c>
      <c r="L17" s="376"/>
    </row>
    <row r="18" spans="2:12" ht="14.25" customHeight="1" x14ac:dyDescent="0.3">
      <c r="B18" s="901" t="s">
        <v>203</v>
      </c>
      <c r="C18" s="902"/>
      <c r="D18" s="903">
        <f>E18/E12</f>
        <v>0.32804693629629628</v>
      </c>
      <c r="E18" s="904">
        <f>E12-SUM(E13:E17)</f>
        <v>147621.12133333331</v>
      </c>
      <c r="G18" s="109" t="s">
        <v>251</v>
      </c>
      <c r="H18" s="353">
        <f>+Inputs!O17</f>
        <v>111650</v>
      </c>
      <c r="I18" s="353">
        <f t="shared" ref="I18" si="0">+H18/buildcount</f>
        <v>111650</v>
      </c>
      <c r="J18" s="354">
        <f>I18/Inputs!$D$76</f>
        <v>71.846846846846844</v>
      </c>
    </row>
    <row r="19" spans="2:12" ht="14.25" customHeight="1" x14ac:dyDescent="0.3">
      <c r="B19" s="896" t="s">
        <v>252</v>
      </c>
      <c r="C19" s="159"/>
      <c r="D19" s="159"/>
      <c r="E19" s="320">
        <f>'Acquisition Summary'!K16</f>
        <v>2250</v>
      </c>
      <c r="G19" s="154" t="s">
        <v>253</v>
      </c>
      <c r="H19" s="372">
        <f>Inputs!O19</f>
        <v>6850</v>
      </c>
      <c r="I19" s="372">
        <f>H19/buildcount</f>
        <v>6850</v>
      </c>
      <c r="J19" s="373">
        <f>I19/Inputs!$D$76</f>
        <v>4.4079794079794077</v>
      </c>
    </row>
    <row r="20" spans="2:12" ht="14.25" customHeight="1" x14ac:dyDescent="0.3">
      <c r="B20" s="896" t="s">
        <v>205</v>
      </c>
      <c r="C20" s="95"/>
      <c r="D20" s="95"/>
      <c r="E20" s="320">
        <f>'Acquisition Summary'!K17</f>
        <v>10000</v>
      </c>
      <c r="G20" s="154" t="str">
        <f>+Inputs!L20</f>
        <v>Site Specific Costs</v>
      </c>
      <c r="H20" s="372">
        <f>+Inputs!O20</f>
        <v>12200</v>
      </c>
      <c r="I20" s="372">
        <f t="shared" ref="I20:I22" si="1">+H20/buildcount</f>
        <v>12200</v>
      </c>
      <c r="J20" s="373">
        <f>I20/Inputs!$D$76</f>
        <v>7.8507078507078507</v>
      </c>
    </row>
    <row r="21" spans="2:12" ht="14.25" customHeight="1" x14ac:dyDescent="0.3">
      <c r="B21" s="897" t="s">
        <v>206</v>
      </c>
      <c r="C21" s="898"/>
      <c r="D21" s="898"/>
      <c r="E21" s="321">
        <f>'Acquisition Summary'!K18</f>
        <v>22500</v>
      </c>
      <c r="G21" s="341" t="s">
        <v>254</v>
      </c>
      <c r="H21" s="372">
        <f>+Inputs!O22+Inputs!O23</f>
        <v>160462.212</v>
      </c>
      <c r="I21" s="372">
        <f>+H21/buildcount</f>
        <v>160462.212</v>
      </c>
      <c r="J21" s="373">
        <f>I21/Inputs!$D$76</f>
        <v>103.25753667953668</v>
      </c>
    </row>
    <row r="22" spans="2:12" ht="14.25" customHeight="1" x14ac:dyDescent="0.3">
      <c r="B22" s="184" t="s">
        <v>255</v>
      </c>
      <c r="C22" s="905"/>
      <c r="D22" s="905">
        <f>E22/E12</f>
        <v>0.25082471407407403</v>
      </c>
      <c r="E22" s="322">
        <f>E18-SUM(E19:E21)</f>
        <v>112871.12133333331</v>
      </c>
      <c r="G22" s="342" t="str">
        <f>+Inputs!L24</f>
        <v>Soft Costs (survey, eng, tap fees, ins, tax, etc.)</v>
      </c>
      <c r="H22" s="374">
        <f>+Inputs!O24</f>
        <v>11216.666666666666</v>
      </c>
      <c r="I22" s="374">
        <f t="shared" si="1"/>
        <v>11216.666666666666</v>
      </c>
      <c r="J22" s="375">
        <f>I22/Inputs!$D$76</f>
        <v>7.2179322179322174</v>
      </c>
    </row>
    <row r="23" spans="2:12" ht="14.25" customHeight="1" x14ac:dyDescent="0.3">
      <c r="B23" s="112" t="s">
        <v>256</v>
      </c>
      <c r="C23" s="898"/>
      <c r="D23" s="898"/>
      <c r="E23" s="321">
        <f ca="1">'Acquisition Summary'!D34</f>
        <v>13629.565332916667</v>
      </c>
      <c r="G23" s="109" t="s">
        <v>257</v>
      </c>
      <c r="H23" s="353">
        <f>+Inputs!O26</f>
        <v>190728.87866666666</v>
      </c>
      <c r="I23" s="353">
        <f>+H23/buildcount</f>
        <v>190728.87866666666</v>
      </c>
      <c r="J23" s="354">
        <f>I23/Inputs!$D$76</f>
        <v>122.73415615615615</v>
      </c>
    </row>
    <row r="24" spans="2:12" ht="14.25" customHeight="1" thickBot="1" x14ac:dyDescent="0.35">
      <c r="B24" s="906" t="s">
        <v>258</v>
      </c>
      <c r="C24" s="907"/>
      <c r="D24" s="907">
        <f ca="1">E24/E12</f>
        <v>0.220536791112037</v>
      </c>
      <c r="E24" s="908">
        <f ca="1">E22-E23</f>
        <v>99241.556000416647</v>
      </c>
      <c r="G24" s="195" t="s">
        <v>259</v>
      </c>
      <c r="H24" s="355">
        <f ca="1">+Inputs!O30</f>
        <v>13629.565332916667</v>
      </c>
      <c r="I24" s="355">
        <f ca="1">+H24/buildcount</f>
        <v>13629.565332916667</v>
      </c>
      <c r="J24" s="356">
        <f ca="1">I24/Inputs!$D$76</f>
        <v>8.7706340623659376</v>
      </c>
    </row>
    <row r="25" spans="2:12" ht="14.25" customHeight="1" thickBot="1" x14ac:dyDescent="0.3">
      <c r="G25" s="344" t="s">
        <v>190</v>
      </c>
      <c r="H25" s="357">
        <f ca="1">+H24+H23+H18</f>
        <v>316008.44399958331</v>
      </c>
      <c r="I25" s="357">
        <f ca="1">+H25/buildcount</f>
        <v>316008.44399958331</v>
      </c>
      <c r="J25" s="358">
        <f ca="1">I25/Inputs!$D$76</f>
        <v>203.35163706536892</v>
      </c>
    </row>
    <row r="26" spans="2:12" ht="14.25" customHeight="1" thickBot="1" x14ac:dyDescent="0.3"/>
    <row r="27" spans="2:12" ht="13" x14ac:dyDescent="0.3">
      <c r="B27" s="87" t="s">
        <v>260</v>
      </c>
      <c r="C27" s="91"/>
      <c r="D27" s="91"/>
      <c r="E27" s="115"/>
    </row>
    <row r="28" spans="2:12" ht="14.25" customHeight="1" x14ac:dyDescent="0.3">
      <c r="B28" s="116"/>
      <c r="C28" s="95"/>
      <c r="D28" s="117" t="s">
        <v>163</v>
      </c>
      <c r="E28" s="118" t="s">
        <v>216</v>
      </c>
    </row>
    <row r="29" spans="2:12" ht="14.25" customHeight="1" x14ac:dyDescent="0.25">
      <c r="B29" s="273" t="s">
        <v>261</v>
      </c>
      <c r="C29" s="95"/>
      <c r="D29" s="120">
        <f ca="1">Inputs!D108</f>
        <v>0.16769096255302432</v>
      </c>
      <c r="E29" s="121">
        <f ca="1">'Acquisition Summary'!L32</f>
        <v>1.0942222222222222</v>
      </c>
    </row>
    <row r="30" spans="2:12" ht="14.25" customHeight="1" x14ac:dyDescent="0.25">
      <c r="B30" s="360" t="s">
        <v>262</v>
      </c>
      <c r="C30" s="197"/>
      <c r="D30" s="197"/>
      <c r="E30" s="367">
        <f ca="1">-'Acquisition Summary'!K59</f>
        <v>-48279.565332916682</v>
      </c>
    </row>
    <row r="31" spans="2:12" ht="14.25" customHeight="1" x14ac:dyDescent="0.25">
      <c r="B31" s="361" t="s">
        <v>263</v>
      </c>
      <c r="C31" s="300"/>
      <c r="D31" s="300"/>
      <c r="E31" s="367">
        <f ca="1">'Monthly CF'!C51</f>
        <v>4549.007933590372</v>
      </c>
    </row>
    <row r="32" spans="2:12" ht="14.25" customHeight="1" x14ac:dyDescent="0.25">
      <c r="B32" s="361" t="s">
        <v>264</v>
      </c>
      <c r="C32" s="362"/>
      <c r="D32" s="362"/>
      <c r="E32" s="368">
        <f ca="1">-E30</f>
        <v>48279.565332916682</v>
      </c>
    </row>
    <row r="33" spans="1:11" ht="14.25" customHeight="1" x14ac:dyDescent="0.25">
      <c r="B33" s="365" t="s">
        <v>155</v>
      </c>
      <c r="C33" s="366"/>
      <c r="D33" s="366"/>
      <c r="E33" s="369">
        <f ca="1">'Monthly CF'!C52</f>
        <v>0</v>
      </c>
    </row>
    <row r="34" spans="1:11" s="329" customFormat="1" ht="14.25" customHeight="1" thickBot="1" x14ac:dyDescent="0.35">
      <c r="A34" s="86"/>
      <c r="B34" s="363" t="s">
        <v>265</v>
      </c>
      <c r="C34" s="364"/>
      <c r="D34" s="364"/>
      <c r="E34" s="370">
        <f ca="1">SUM(E30:E33)</f>
        <v>4549.007933590372</v>
      </c>
      <c r="F34" s="86"/>
      <c r="G34" s="86"/>
      <c r="H34" s="86"/>
      <c r="I34" s="86"/>
      <c r="J34" s="86"/>
      <c r="K34" s="86"/>
    </row>
    <row r="35" spans="1:11" s="329" customFormat="1" ht="14.25" customHeight="1" x14ac:dyDescent="0.25">
      <c r="A35" s="86"/>
      <c r="B35" s="86"/>
      <c r="C35" s="86"/>
      <c r="D35" s="86"/>
      <c r="E35" s="86"/>
      <c r="F35" s="86"/>
    </row>
    <row r="36" spans="1:11" ht="14.25" customHeight="1" x14ac:dyDescent="0.25">
      <c r="G36" s="329"/>
      <c r="H36" s="329"/>
      <c r="I36" s="329"/>
      <c r="J36" s="329"/>
      <c r="K36" s="329"/>
    </row>
    <row r="37" spans="1:11" ht="14.25" customHeight="1" x14ac:dyDescent="0.3">
      <c r="A37"/>
    </row>
    <row r="38" spans="1:11" ht="14.25" customHeight="1" x14ac:dyDescent="0.3">
      <c r="A38"/>
      <c r="F38"/>
    </row>
    <row r="39" spans="1:11" ht="14.25" customHeight="1" x14ac:dyDescent="0.3">
      <c r="A39"/>
      <c r="F39"/>
    </row>
    <row r="40" spans="1:11" ht="14.25" customHeight="1" x14ac:dyDescent="0.3">
      <c r="A40"/>
      <c r="F40"/>
    </row>
    <row r="41" spans="1:11" ht="14.25" customHeight="1" x14ac:dyDescent="0.3">
      <c r="A41"/>
      <c r="F41"/>
      <c r="G41"/>
      <c r="H41"/>
      <c r="I41"/>
      <c r="J41"/>
    </row>
    <row r="42" spans="1:11" ht="14.25" customHeight="1" x14ac:dyDescent="0.3">
      <c r="A42"/>
      <c r="F42"/>
      <c r="G42"/>
      <c r="H42"/>
      <c r="I42"/>
      <c r="J42"/>
    </row>
    <row r="43" spans="1:11" ht="14.25" customHeight="1" x14ac:dyDescent="0.3">
      <c r="A43"/>
      <c r="F43"/>
      <c r="G43"/>
      <c r="H43"/>
      <c r="I43"/>
      <c r="J43"/>
    </row>
    <row r="44" spans="1:11" ht="13" x14ac:dyDescent="0.3">
      <c r="A44"/>
      <c r="B44" s="329"/>
      <c r="C44" s="329"/>
      <c r="D44" s="329"/>
      <c r="E44" s="329"/>
      <c r="F44"/>
      <c r="G44"/>
      <c r="H44"/>
      <c r="I44"/>
      <c r="J44"/>
    </row>
    <row r="45" spans="1:11" ht="13" x14ac:dyDescent="0.3">
      <c r="A45"/>
      <c r="B45" s="329"/>
      <c r="C45" s="329"/>
      <c r="D45" s="329"/>
      <c r="E45" s="329"/>
      <c r="F45"/>
      <c r="G45"/>
      <c r="H45"/>
      <c r="I45"/>
      <c r="J45"/>
    </row>
    <row r="46" spans="1:11" ht="13" x14ac:dyDescent="0.3">
      <c r="A46"/>
      <c r="F46"/>
      <c r="G46"/>
      <c r="H46"/>
      <c r="I46"/>
      <c r="J46"/>
    </row>
    <row r="47" spans="1:11" ht="13" x14ac:dyDescent="0.3">
      <c r="A47"/>
      <c r="F47"/>
      <c r="G47"/>
      <c r="H47"/>
      <c r="I47"/>
      <c r="J47"/>
    </row>
    <row r="48" spans="1:11" ht="13" x14ac:dyDescent="0.3">
      <c r="F48"/>
      <c r="G48"/>
      <c r="H48"/>
      <c r="I48"/>
      <c r="J48"/>
    </row>
    <row r="49" spans="7:10" ht="13" x14ac:dyDescent="0.3">
      <c r="G49"/>
      <c r="H49"/>
      <c r="I49"/>
      <c r="J49"/>
    </row>
    <row r="50" spans="7:10" ht="13" x14ac:dyDescent="0.3">
      <c r="G50"/>
      <c r="H50"/>
      <c r="I50"/>
      <c r="J50"/>
    </row>
    <row r="51" spans="7:10" ht="13" x14ac:dyDescent="0.3">
      <c r="G51"/>
      <c r="H51"/>
      <c r="I51"/>
      <c r="J51"/>
    </row>
  </sheetData>
  <sheetProtection selectLockedCells="1"/>
  <mergeCells count="5">
    <mergeCell ref="B1:J3"/>
    <mergeCell ref="C6:E6"/>
    <mergeCell ref="C7:E7"/>
    <mergeCell ref="C8:E8"/>
    <mergeCell ref="C9:E9"/>
  </mergeCells>
  <pageMargins left="0.7" right="0.7" top="0.75" bottom="0.75" header="0.3" footer="0.3"/>
  <pageSetup scale="89" orientation="landscape" r:id="rId1"/>
  <rowBreaks count="1" manualBreakCount="1">
    <brk id="50"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00A7C-2A3D-4CE6-9A07-22EE8A6F79BD}">
  <sheetPr>
    <tabColor rgb="FF002060"/>
  </sheetPr>
  <dimension ref="B3:H44"/>
  <sheetViews>
    <sheetView showGridLines="0" workbookViewId="0">
      <selection activeCell="B65" sqref="B65"/>
    </sheetView>
  </sheetViews>
  <sheetFormatPr defaultColWidth="9.33203125" defaultRowHeight="12" x14ac:dyDescent="0.3"/>
  <cols>
    <col min="1" max="1" width="9.33203125" style="40"/>
    <col min="2" max="2" width="27.77734375" style="40" bestFit="1" customWidth="1"/>
    <col min="3" max="3" width="18.109375" style="40" bestFit="1" customWidth="1"/>
    <col min="4" max="4" width="7.109375" style="40" bestFit="1" customWidth="1"/>
    <col min="5" max="5" width="7.109375" style="40" customWidth="1"/>
    <col min="6" max="6" width="31.33203125" style="40" bestFit="1" customWidth="1"/>
    <col min="7" max="7" width="18.109375" style="40" bestFit="1" customWidth="1"/>
    <col min="8" max="8" width="11.109375" style="40" bestFit="1" customWidth="1"/>
    <col min="9" max="16384" width="9.33203125" style="40"/>
  </cols>
  <sheetData>
    <row r="3" spans="2:8" ht="12" customHeight="1" x14ac:dyDescent="0.3">
      <c r="B3" s="1320" t="str">
        <f>Inputs!D5 &amp; " - Financing Summary"</f>
        <v>241 Willard Street - Financing Summary</v>
      </c>
      <c r="C3" s="1320"/>
      <c r="D3" s="1320"/>
      <c r="E3" s="1009"/>
      <c r="F3" s="1009"/>
      <c r="G3" s="1009"/>
      <c r="H3" s="1009"/>
    </row>
    <row r="4" spans="2:8" ht="12" customHeight="1" x14ac:dyDescent="0.3">
      <c r="B4" s="1320"/>
      <c r="C4" s="1320"/>
      <c r="D4" s="1320"/>
      <c r="E4" s="1009"/>
      <c r="F4" s="1009"/>
      <c r="G4" s="1009"/>
      <c r="H4" s="1009"/>
    </row>
    <row r="5" spans="2:8" ht="12" customHeight="1" x14ac:dyDescent="0.3">
      <c r="B5" s="1320"/>
      <c r="C5" s="1320"/>
      <c r="D5" s="1320"/>
      <c r="E5" s="1009"/>
      <c r="F5" s="1009"/>
      <c r="G5" s="1009"/>
      <c r="H5" s="1009"/>
    </row>
    <row r="6" spans="2:8" x14ac:dyDescent="0.3">
      <c r="B6" s="50"/>
    </row>
    <row r="7" spans="2:8" ht="12.5" thickBot="1" x14ac:dyDescent="0.35"/>
    <row r="8" spans="2:8" ht="13" x14ac:dyDescent="0.3">
      <c r="B8" s="999" t="s">
        <v>266</v>
      </c>
      <c r="C8" s="999" t="s">
        <v>267</v>
      </c>
      <c r="D8" s="1000" t="s">
        <v>197</v>
      </c>
      <c r="F8" s="1008"/>
      <c r="G8" s="1008"/>
      <c r="H8" s="1008"/>
    </row>
    <row r="9" spans="2:8" ht="13" x14ac:dyDescent="0.3">
      <c r="B9" s="232" t="s">
        <v>268</v>
      </c>
      <c r="C9" s="207">
        <f>Inputs!D96</f>
        <v>267728.87866666669</v>
      </c>
      <c r="D9" s="995">
        <f ca="1">C9/$C$12</f>
        <v>0.84722064789831908</v>
      </c>
      <c r="E9" s="50"/>
      <c r="F9" s="398"/>
      <c r="G9" s="207"/>
      <c r="H9" s="207"/>
    </row>
    <row r="10" spans="2:8" ht="13" x14ac:dyDescent="0.3">
      <c r="B10" s="232" t="s">
        <v>269</v>
      </c>
      <c r="C10" s="207">
        <f ca="1">IF(Inputs!D103="RCH",0,Inputs!D107)</f>
        <v>48279.565332916682</v>
      </c>
      <c r="D10" s="995">
        <f ca="1">C10/$C$12</f>
        <v>0.15277935210168098</v>
      </c>
      <c r="E10" s="50"/>
      <c r="F10" s="398"/>
      <c r="G10" s="207"/>
      <c r="H10" s="207"/>
    </row>
    <row r="11" spans="2:8" ht="13.5" thickBot="1" x14ac:dyDescent="0.35">
      <c r="B11" s="1002" t="s">
        <v>270</v>
      </c>
      <c r="C11" s="685">
        <f>IF(Inputs!D103="RCH",Inputs!D107,0)</f>
        <v>0</v>
      </c>
      <c r="D11" s="997">
        <f ca="1">C11/$C$12</f>
        <v>0</v>
      </c>
      <c r="F11" s="398"/>
      <c r="G11" s="207"/>
      <c r="H11" s="207"/>
    </row>
    <row r="12" spans="2:8" ht="14" thickTop="1" thickBot="1" x14ac:dyDescent="0.35">
      <c r="B12" s="1003" t="s">
        <v>271</v>
      </c>
      <c r="C12" s="251">
        <f ca="1">SUM(C9:C11)</f>
        <v>316008.44399958337</v>
      </c>
      <c r="D12" s="998">
        <f ca="1">SUM(D9:D11)</f>
        <v>1</v>
      </c>
      <c r="E12" s="50"/>
      <c r="F12" s="398"/>
      <c r="G12" s="207"/>
      <c r="H12" s="207"/>
    </row>
    <row r="13" spans="2:8" ht="13" x14ac:dyDescent="0.3">
      <c r="B13" s="398"/>
      <c r="E13" s="50"/>
      <c r="F13" s="443"/>
      <c r="G13" s="443"/>
    </row>
    <row r="14" spans="2:8" ht="12.5" thickBot="1" x14ac:dyDescent="0.35">
      <c r="E14" s="50"/>
      <c r="F14" s="443"/>
      <c r="G14" s="443"/>
    </row>
    <row r="15" spans="2:8" ht="13" x14ac:dyDescent="0.3">
      <c r="B15" s="999" t="s">
        <v>272</v>
      </c>
      <c r="C15" s="999" t="str">
        <f>Inputs!D92</f>
        <v>Renovo</v>
      </c>
      <c r="D15" s="1000" t="s">
        <v>197</v>
      </c>
    </row>
    <row r="16" spans="2:8" ht="13" x14ac:dyDescent="0.3">
      <c r="B16" s="1001" t="s">
        <v>143</v>
      </c>
      <c r="C16" s="222" t="str">
        <f>Inputs!D93</f>
        <v>Yes</v>
      </c>
      <c r="D16" s="1004">
        <f>Inputs!D95</f>
        <v>0.10249999999999999</v>
      </c>
    </row>
    <row r="17" spans="2:6" x14ac:dyDescent="0.3">
      <c r="B17" s="232" t="s">
        <v>145</v>
      </c>
      <c r="C17" s="207">
        <f>C9*D17</f>
        <v>2677.288786666667</v>
      </c>
      <c r="D17" s="1004">
        <f>Inputs!D94</f>
        <v>0.01</v>
      </c>
    </row>
    <row r="18" spans="2:6" x14ac:dyDescent="0.3">
      <c r="B18" s="232" t="s">
        <v>273</v>
      </c>
      <c r="C18" s="207">
        <f>Inputs!D97</f>
        <v>270655.99080000003</v>
      </c>
      <c r="D18" s="1006">
        <f>Inputs!C97</f>
        <v>0.9</v>
      </c>
    </row>
    <row r="19" spans="2:6" x14ac:dyDescent="0.3">
      <c r="B19" s="232" t="s">
        <v>274</v>
      </c>
      <c r="C19" s="207">
        <f>Inputs!D98</f>
        <v>315000</v>
      </c>
      <c r="D19" s="1006">
        <f>Inputs!C98</f>
        <v>0.7</v>
      </c>
    </row>
    <row r="20" spans="2:6" x14ac:dyDescent="0.3">
      <c r="B20" s="232" t="s">
        <v>275</v>
      </c>
      <c r="C20" s="207">
        <f>Inputs!D99</f>
        <v>267728.87866666669</v>
      </c>
      <c r="D20" s="223"/>
    </row>
    <row r="21" spans="2:6" ht="12.5" thickBot="1" x14ac:dyDescent="0.35">
      <c r="B21" s="1003" t="s">
        <v>276</v>
      </c>
      <c r="C21" s="996" t="str">
        <f>DATEDIF(Inputs!P36,Inputs!P39,"M")&amp;" MONTHS"</f>
        <v>6 MONTHS</v>
      </c>
      <c r="D21" s="1005"/>
    </row>
    <row r="22" spans="2:6" ht="12.5" thickBot="1" x14ac:dyDescent="0.35">
      <c r="B22" s="49"/>
      <c r="C22" s="222"/>
      <c r="D22" s="222"/>
    </row>
    <row r="23" spans="2:6" ht="13" x14ac:dyDescent="0.3">
      <c r="B23" s="999" t="s">
        <v>277</v>
      </c>
      <c r="C23" s="99" t="str">
        <f>Inputs!D103</f>
        <v>Red Cedar SLFII</v>
      </c>
      <c r="D23" s="834" t="s">
        <v>197</v>
      </c>
      <c r="F23" s="50"/>
    </row>
    <row r="24" spans="2:6" x14ac:dyDescent="0.3">
      <c r="B24" s="232" t="s">
        <v>278</v>
      </c>
      <c r="C24" s="207">
        <f ca="1">C10</f>
        <v>48279.565332916682</v>
      </c>
      <c r="D24" s="223"/>
    </row>
    <row r="25" spans="2:6" x14ac:dyDescent="0.3">
      <c r="B25" s="232" t="s">
        <v>236</v>
      </c>
      <c r="C25" s="207">
        <f ca="1">'Acquisition Summary'!K25</f>
        <v>4549.007933590372</v>
      </c>
      <c r="D25" s="995">
        <f>Inputs!D105</f>
        <v>0.16</v>
      </c>
    </row>
    <row r="26" spans="2:6" x14ac:dyDescent="0.3">
      <c r="B26" s="232" t="s">
        <v>155</v>
      </c>
      <c r="C26" s="207">
        <f ca="1">'Acquisition Summary'!K26</f>
        <v>0</v>
      </c>
      <c r="D26" s="995">
        <f>Inputs!D106</f>
        <v>0</v>
      </c>
    </row>
    <row r="27" spans="2:6" x14ac:dyDescent="0.3">
      <c r="B27" s="232" t="s">
        <v>145</v>
      </c>
      <c r="C27" s="1007">
        <f>Inputs!D104</f>
        <v>0</v>
      </c>
      <c r="D27" s="223"/>
    </row>
    <row r="28" spans="2:6" ht="12.5" thickBot="1" x14ac:dyDescent="0.35">
      <c r="B28" s="1003" t="s">
        <v>279</v>
      </c>
      <c r="C28" s="996" t="str">
        <f>C21</f>
        <v>6 MONTHS</v>
      </c>
      <c r="D28" s="1005"/>
    </row>
    <row r="39" spans="3:4" x14ac:dyDescent="0.3">
      <c r="D39" s="989"/>
    </row>
    <row r="42" spans="3:4" x14ac:dyDescent="0.3">
      <c r="C42" s="443"/>
    </row>
    <row r="43" spans="3:4" x14ac:dyDescent="0.3">
      <c r="C43" s="443"/>
    </row>
    <row r="44" spans="3:4" x14ac:dyDescent="0.3">
      <c r="C44" s="443"/>
    </row>
  </sheetData>
  <mergeCells count="1">
    <mergeCell ref="B3:D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9C82E-629D-4C1F-87BD-5FDE0A99FAB1}">
  <sheetPr>
    <tabColor rgb="FF002060"/>
  </sheetPr>
  <dimension ref="C1:O63"/>
  <sheetViews>
    <sheetView showGridLines="0" zoomScale="110" zoomScaleNormal="110" workbookViewId="0">
      <pane xSplit="3" ySplit="8" topLeftCell="D22" activePane="bottomRight" state="frozen"/>
      <selection pane="topRight" activeCell="B65" sqref="B65"/>
      <selection pane="bottomLeft" activeCell="B65" sqref="B65"/>
      <selection pane="bottomRight" activeCell="C16" sqref="C16"/>
    </sheetView>
  </sheetViews>
  <sheetFormatPr defaultColWidth="8.6640625" defaultRowHeight="13" x14ac:dyDescent="0.3"/>
  <cols>
    <col min="1" max="1" width="2" style="946" customWidth="1"/>
    <col min="2" max="2" width="2.44140625" style="946" customWidth="1"/>
    <col min="3" max="3" width="51.33203125" style="946" bestFit="1" customWidth="1"/>
    <col min="4" max="4" width="11" style="946" bestFit="1" customWidth="1"/>
    <col min="5" max="5" width="9.44140625" style="946" bestFit="1" customWidth="1"/>
    <col min="6" max="6" width="8.44140625" style="946" bestFit="1" customWidth="1"/>
    <col min="7" max="7" width="9.44140625" style="946" bestFit="1" customWidth="1"/>
    <col min="8" max="8" width="8.44140625" style="946" bestFit="1" customWidth="1"/>
    <col min="9" max="9" width="7.44140625" style="946" bestFit="1" customWidth="1"/>
    <col min="10" max="13" width="8.6640625" style="946"/>
    <col min="14" max="14" width="27.77734375" style="946" bestFit="1" customWidth="1"/>
    <col min="15" max="15" width="9.6640625" style="946" bestFit="1" customWidth="1"/>
    <col min="16" max="16384" width="8.6640625" style="946"/>
  </cols>
  <sheetData>
    <row r="1" spans="3:15" ht="13.5" thickBot="1" x14ac:dyDescent="0.35">
      <c r="C1" s="947"/>
      <c r="N1" s="999" t="s">
        <v>280</v>
      </c>
      <c r="O1" s="1000" t="s">
        <v>281</v>
      </c>
    </row>
    <row r="2" spans="3:15" ht="13.5" thickBot="1" x14ac:dyDescent="0.35">
      <c r="C2" s="920"/>
      <c r="G2" s="946" t="s">
        <v>282</v>
      </c>
      <c r="N2" s="232" t="s">
        <v>283</v>
      </c>
      <c r="O2" s="225">
        <f ca="1">'Monthly CF'!C58</f>
        <v>94692.548066826261</v>
      </c>
    </row>
    <row r="3" spans="3:15" s="948" customFormat="1" ht="12" customHeight="1" x14ac:dyDescent="0.3">
      <c r="F3" s="921" t="s">
        <v>284</v>
      </c>
      <c r="G3" s="921" t="s">
        <v>30</v>
      </c>
      <c r="H3" s="921" t="s">
        <v>285</v>
      </c>
      <c r="N3" s="232" t="s">
        <v>286</v>
      </c>
      <c r="O3" s="225">
        <f>'Monthly CF'!C63</f>
        <v>26743.702000000005</v>
      </c>
    </row>
    <row r="4" spans="3:15" ht="13.5" thickBot="1" x14ac:dyDescent="0.35">
      <c r="D4" s="921" t="s">
        <v>23</v>
      </c>
      <c r="E4" s="921" t="s">
        <v>32</v>
      </c>
      <c r="F4" s="921" t="s">
        <v>197</v>
      </c>
      <c r="G4" s="921" t="s">
        <v>197</v>
      </c>
      <c r="H4" s="921" t="s">
        <v>197</v>
      </c>
      <c r="N4" s="1002" t="s">
        <v>287</v>
      </c>
      <c r="O4" s="697">
        <f ca="1">'Monthly CF'!C68</f>
        <v>4500</v>
      </c>
    </row>
    <row r="5" spans="3:15" ht="14" thickTop="1" thickBot="1" x14ac:dyDescent="0.35">
      <c r="D5" s="922"/>
      <c r="E5" s="922"/>
      <c r="F5" s="922"/>
      <c r="N5" s="1003" t="s">
        <v>288</v>
      </c>
      <c r="O5" s="252">
        <f ca="1">SUM(O2:O4)</f>
        <v>125936.25006682627</v>
      </c>
    </row>
    <row r="6" spans="3:15" s="949" customFormat="1" x14ac:dyDescent="0.3">
      <c r="C6" s="950" t="s">
        <v>289</v>
      </c>
      <c r="D6" s="951">
        <f>buildcount</f>
        <v>1</v>
      </c>
    </row>
    <row r="7" spans="3:15" s="949" customFormat="1" ht="13" customHeight="1" x14ac:dyDescent="0.3">
      <c r="C7" s="952" t="s">
        <v>290</v>
      </c>
      <c r="D7" s="953">
        <f>IFERROR(D13/D6, "")</f>
        <v>440000</v>
      </c>
    </row>
    <row r="8" spans="3:15" ht="6" customHeight="1" x14ac:dyDescent="0.3">
      <c r="C8" s="954"/>
      <c r="D8" s="955"/>
    </row>
    <row r="9" spans="3:15" s="949" customFormat="1" ht="6" customHeight="1" x14ac:dyDescent="0.3">
      <c r="C9" s="956"/>
      <c r="D9" s="923"/>
    </row>
    <row r="10" spans="3:15" s="949" customFormat="1" ht="13" customHeight="1" x14ac:dyDescent="0.3">
      <c r="C10" s="943" t="s">
        <v>291</v>
      </c>
      <c r="D10" s="957"/>
      <c r="E10" s="958"/>
      <c r="F10" s="958"/>
    </row>
    <row r="11" spans="3:15" s="949" customFormat="1" ht="13" customHeight="1" x14ac:dyDescent="0.3">
      <c r="C11" s="959" t="s">
        <v>198</v>
      </c>
      <c r="D11" s="924">
        <f>'Acquisition Summary'!K12</f>
        <v>450000</v>
      </c>
      <c r="E11" s="924">
        <f>IFERROR(D11/D$6, 0)</f>
        <v>450000</v>
      </c>
      <c r="F11" s="970">
        <f>D11/D11</f>
        <v>1</v>
      </c>
      <c r="G11" s="970">
        <v>1</v>
      </c>
      <c r="H11" s="970">
        <v>1</v>
      </c>
    </row>
    <row r="12" spans="3:15" s="949" customFormat="1" ht="13" customHeight="1" x14ac:dyDescent="0.3">
      <c r="C12" s="959" t="s">
        <v>292</v>
      </c>
      <c r="D12" s="925">
        <f>'Acquisition Summary'!K17</f>
        <v>10000</v>
      </c>
      <c r="E12" s="925">
        <f>IFERROR(D12/D$6, 0)</f>
        <v>10000</v>
      </c>
      <c r="F12" s="970">
        <f>IFERROR(D12/D$11, "")</f>
        <v>2.2222222222222223E-2</v>
      </c>
      <c r="G12" s="987">
        <f>0.001</f>
        <v>1E-3</v>
      </c>
      <c r="H12" s="987">
        <f>0.001</f>
        <v>1E-3</v>
      </c>
    </row>
    <row r="13" spans="3:15" s="929" customFormat="1" ht="13" customHeight="1" x14ac:dyDescent="0.3">
      <c r="C13" s="943" t="s">
        <v>293</v>
      </c>
      <c r="D13" s="966">
        <f>D11-D12</f>
        <v>440000</v>
      </c>
      <c r="E13" s="966">
        <f>E11-E12</f>
        <v>440000</v>
      </c>
      <c r="F13" s="972">
        <f>F11-F12</f>
        <v>0.97777777777777775</v>
      </c>
      <c r="G13" s="972">
        <f>G11-G12</f>
        <v>0.999</v>
      </c>
      <c r="H13" s="972">
        <f>H11-H12</f>
        <v>0.999</v>
      </c>
    </row>
    <row r="14" spans="3:15" s="949" customFormat="1" ht="13" customHeight="1" x14ac:dyDescent="0.3">
      <c r="C14" s="944" t="s">
        <v>294</v>
      </c>
      <c r="D14" s="960"/>
      <c r="E14" s="926"/>
      <c r="F14" s="970"/>
      <c r="G14" s="970"/>
      <c r="H14" s="970"/>
    </row>
    <row r="15" spans="3:15" s="949" customFormat="1" ht="13" customHeight="1" x14ac:dyDescent="0.3">
      <c r="C15" s="961" t="s">
        <v>199</v>
      </c>
      <c r="D15" s="925">
        <f>Inputs!O13+Inputs!O14+Inputs!O15+Inputs!O20</f>
        <v>122200</v>
      </c>
      <c r="E15" s="925">
        <f>IFERROR(D15/D$6, 0)</f>
        <v>122200</v>
      </c>
      <c r="F15" s="970">
        <f>IFERROR(D15/D$11, "")</f>
        <v>0.27155555555555555</v>
      </c>
      <c r="G15" s="970">
        <v>0.23</v>
      </c>
      <c r="H15" s="970">
        <v>0.3</v>
      </c>
    </row>
    <row r="16" spans="3:15" s="949" customFormat="1" ht="13" customHeight="1" x14ac:dyDescent="0.3">
      <c r="C16" s="1055" t="s">
        <v>201</v>
      </c>
      <c r="D16" s="925">
        <f>Inputs!O26-Inputs!O20</f>
        <v>178528.87866666666</v>
      </c>
      <c r="E16" s="925">
        <f>IFERROR(D16/D$6, 0)</f>
        <v>178528.87866666666</v>
      </c>
      <c r="F16" s="970">
        <f t="shared" ref="F16" si="0">IFERROR(D16/D$11, "")</f>
        <v>0.39673084148148147</v>
      </c>
      <c r="G16" s="970">
        <v>0.5</v>
      </c>
      <c r="H16" s="970">
        <v>0.43</v>
      </c>
    </row>
    <row r="17" spans="3:9" s="949" customFormat="1" ht="13" customHeight="1" x14ac:dyDescent="0.3">
      <c r="C17" s="961" t="s">
        <v>295</v>
      </c>
      <c r="D17" s="925">
        <f>Inputs!O16</f>
        <v>1650</v>
      </c>
      <c r="E17" s="925">
        <f>IFERROR(D17/D$6, 0)</f>
        <v>1650</v>
      </c>
      <c r="F17" s="970">
        <f>IFERROR(D17/D$11, "")</f>
        <v>3.6666666666666666E-3</v>
      </c>
      <c r="G17" s="970">
        <v>3.0000000000000001E-3</v>
      </c>
      <c r="H17" s="970">
        <v>3.0000000000000001E-3</v>
      </c>
    </row>
    <row r="18" spans="3:9" s="929" customFormat="1" ht="13" customHeight="1" x14ac:dyDescent="0.3">
      <c r="C18" s="945" t="s">
        <v>296</v>
      </c>
      <c r="D18" s="966">
        <f>SUM(D15:D17)</f>
        <v>302378.87866666669</v>
      </c>
      <c r="E18" s="966">
        <f>SUM(E15:E17)</f>
        <v>302378.87866666669</v>
      </c>
      <c r="F18" s="972">
        <f>SUM(F15:F17)</f>
        <v>0.67195306370370367</v>
      </c>
      <c r="G18" s="972">
        <f>SUM(G15:G17)</f>
        <v>0.73299999999999998</v>
      </c>
      <c r="H18" s="972">
        <f>SUM(H15:H17)</f>
        <v>0.73299999999999998</v>
      </c>
    </row>
    <row r="19" spans="3:9" s="949" customFormat="1" ht="13" customHeight="1" x14ac:dyDescent="0.3">
      <c r="C19" s="928" t="s">
        <v>297</v>
      </c>
      <c r="D19" s="965">
        <f>D13-D18</f>
        <v>137621.12133333331</v>
      </c>
      <c r="E19" s="965">
        <f>E13-E18</f>
        <v>137621.12133333331</v>
      </c>
      <c r="F19" s="973">
        <f>F13-F18</f>
        <v>0.30582471407407408</v>
      </c>
      <c r="G19" s="973">
        <f>G13-G18</f>
        <v>0.26600000000000001</v>
      </c>
      <c r="H19" s="973">
        <f>H13-H18</f>
        <v>0.26600000000000001</v>
      </c>
    </row>
    <row r="20" spans="3:9" s="949" customFormat="1" ht="6" customHeight="1" x14ac:dyDescent="0.3">
      <c r="C20" s="961"/>
      <c r="D20" s="925"/>
      <c r="E20" s="925"/>
      <c r="F20" s="970"/>
      <c r="G20" s="970"/>
      <c r="H20" s="970"/>
    </row>
    <row r="21" spans="3:9" s="949" customFormat="1" x14ac:dyDescent="0.3">
      <c r="C21" s="956" t="s">
        <v>298</v>
      </c>
      <c r="D21" s="925"/>
      <c r="E21" s="925"/>
      <c r="F21" s="970"/>
      <c r="G21" s="970"/>
      <c r="H21" s="970"/>
    </row>
    <row r="22" spans="3:9" s="949" customFormat="1" x14ac:dyDescent="0.3">
      <c r="C22" s="959" t="s">
        <v>299</v>
      </c>
      <c r="D22" s="925">
        <f>$D$11*G22</f>
        <v>9900</v>
      </c>
      <c r="E22" s="925">
        <f t="shared" ref="E22:E23" si="1">IFERROR(D22/D$6, 0)</f>
        <v>9900</v>
      </c>
      <c r="F22" s="970">
        <f>D22/$D$11</f>
        <v>2.1999999999999999E-2</v>
      </c>
      <c r="G22" s="987">
        <v>2.1999999999999999E-2</v>
      </c>
      <c r="H22" s="987">
        <v>2.1999999999999999E-2</v>
      </c>
    </row>
    <row r="23" spans="3:9" s="949" customFormat="1" x14ac:dyDescent="0.3">
      <c r="C23" s="959" t="s">
        <v>300</v>
      </c>
      <c r="D23" s="925">
        <f t="shared" ref="D23:D24" si="2">$D$11*G23</f>
        <v>2700</v>
      </c>
      <c r="E23" s="925">
        <f t="shared" si="1"/>
        <v>2700</v>
      </c>
      <c r="F23" s="970">
        <f t="shared" ref="F23:F24" si="3">D23/$D$11</f>
        <v>6.0000000000000001E-3</v>
      </c>
      <c r="G23" s="987">
        <v>6.0000000000000001E-3</v>
      </c>
      <c r="H23" s="987">
        <v>6.0000000000000001E-3</v>
      </c>
    </row>
    <row r="24" spans="3:9" s="949" customFormat="1" ht="13" customHeight="1" x14ac:dyDescent="0.3">
      <c r="C24" s="961" t="s">
        <v>301</v>
      </c>
      <c r="D24" s="925">
        <f t="shared" si="2"/>
        <v>1575</v>
      </c>
      <c r="E24" s="925">
        <f>IFERROR(D24/D$6, 0)</f>
        <v>1575</v>
      </c>
      <c r="F24" s="970">
        <f t="shared" si="3"/>
        <v>3.5000000000000001E-3</v>
      </c>
      <c r="G24" s="987">
        <v>3.5000000000000001E-3</v>
      </c>
      <c r="H24" s="987">
        <v>3.5000000000000001E-3</v>
      </c>
    </row>
    <row r="25" spans="3:9" s="949" customFormat="1" ht="13" customHeight="1" x14ac:dyDescent="0.3">
      <c r="C25" s="945" t="s">
        <v>302</v>
      </c>
      <c r="D25" s="966">
        <f>SUM(D22:D24)</f>
        <v>14175</v>
      </c>
      <c r="E25" s="966">
        <f>SUM(E22:E24)</f>
        <v>14175</v>
      </c>
      <c r="F25" s="972">
        <f>SUM(F22:F24)</f>
        <v>3.15E-2</v>
      </c>
      <c r="G25" s="972">
        <f>SUM(G22:G24)</f>
        <v>3.15E-2</v>
      </c>
      <c r="H25" s="972">
        <f>SUM(H22:H24)</f>
        <v>3.15E-2</v>
      </c>
      <c r="I25" s="971"/>
    </row>
    <row r="26" spans="3:9" s="949" customFormat="1" ht="6" customHeight="1" x14ac:dyDescent="0.3">
      <c r="C26" s="956"/>
      <c r="D26" s="925"/>
      <c r="E26" s="930"/>
      <c r="F26" s="975"/>
      <c r="G26" s="975"/>
      <c r="H26" s="975"/>
    </row>
    <row r="27" spans="3:9" s="949" customFormat="1" ht="13" customHeight="1" x14ac:dyDescent="0.3">
      <c r="C27" s="928" t="s">
        <v>207</v>
      </c>
      <c r="D27" s="965">
        <f>D19-D25</f>
        <v>123446.12133333331</v>
      </c>
      <c r="E27" s="965">
        <f>E19-E25</f>
        <v>123446.12133333331</v>
      </c>
      <c r="F27" s="986">
        <f>F19-F25</f>
        <v>0.27432471407407411</v>
      </c>
      <c r="G27" s="973">
        <f>G19-G25</f>
        <v>0.23450000000000001</v>
      </c>
      <c r="H27" s="973">
        <f>H19-H25</f>
        <v>0.23450000000000001</v>
      </c>
    </row>
    <row r="28" spans="3:9" s="949" customFormat="1" ht="13" customHeight="1" x14ac:dyDescent="0.3">
      <c r="C28" s="945" t="s">
        <v>303</v>
      </c>
      <c r="D28" s="932"/>
      <c r="E28" s="926"/>
      <c r="F28" s="970"/>
      <c r="G28" s="970"/>
      <c r="H28" s="970"/>
    </row>
    <row r="29" spans="3:9" s="949" customFormat="1" ht="13" customHeight="1" x14ac:dyDescent="0.3">
      <c r="C29" s="933" t="s">
        <v>304</v>
      </c>
      <c r="D29" s="925">
        <f>Inputs!D85</f>
        <v>11250</v>
      </c>
      <c r="E29" s="925">
        <f>IFERROR(D29/D$6, 0)</f>
        <v>11250</v>
      </c>
      <c r="F29" s="970">
        <f>IFERROR(D29/D$13, "")</f>
        <v>2.556818181818182E-2</v>
      </c>
      <c r="G29" s="970">
        <v>2.5000000000000001E-2</v>
      </c>
      <c r="H29" s="970">
        <v>2.5000000000000001E-2</v>
      </c>
    </row>
    <row r="30" spans="3:9" s="949" customFormat="1" ht="13" customHeight="1" x14ac:dyDescent="0.3">
      <c r="C30" s="933" t="s">
        <v>305</v>
      </c>
      <c r="D30" s="925">
        <f>Inputs!D86</f>
        <v>11250</v>
      </c>
      <c r="E30" s="925">
        <f>IFERROR(D30/D$6, 0)</f>
        <v>11250</v>
      </c>
      <c r="F30" s="970">
        <f>IFERROR(D30/D$13, "")</f>
        <v>2.556818181818182E-2</v>
      </c>
      <c r="G30" s="970">
        <v>2.5000000000000001E-2</v>
      </c>
      <c r="H30" s="970">
        <v>2.5000000000000001E-2</v>
      </c>
    </row>
    <row r="31" spans="3:9" s="949" customFormat="1" ht="13" customHeight="1" x14ac:dyDescent="0.3">
      <c r="C31" s="933" t="s">
        <v>306</v>
      </c>
      <c r="D31" s="925">
        <f>$D$11*G31</f>
        <v>5400</v>
      </c>
      <c r="E31" s="925">
        <f t="shared" ref="E31:E34" si="4">IFERROR(D31/D$6, 0)</f>
        <v>5400</v>
      </c>
      <c r="F31" s="970">
        <f t="shared" ref="F31:F34" si="5">IFERROR(D31/D$13, "")</f>
        <v>1.2272727272727272E-2</v>
      </c>
      <c r="G31" s="987">
        <v>1.2E-2</v>
      </c>
      <c r="H31" s="987">
        <v>1.2E-2</v>
      </c>
    </row>
    <row r="32" spans="3:9" s="949" customFormat="1" ht="13" customHeight="1" x14ac:dyDescent="0.3">
      <c r="C32" s="933" t="s">
        <v>307</v>
      </c>
      <c r="D32" s="925">
        <f t="shared" ref="D32:D34" si="6">$D$11*G32</f>
        <v>0</v>
      </c>
      <c r="E32" s="925">
        <f t="shared" si="4"/>
        <v>0</v>
      </c>
      <c r="F32" s="970">
        <f t="shared" si="5"/>
        <v>0</v>
      </c>
      <c r="G32" s="987">
        <v>0</v>
      </c>
      <c r="H32" s="987">
        <v>0</v>
      </c>
    </row>
    <row r="33" spans="3:8" s="949" customFormat="1" ht="13" customHeight="1" x14ac:dyDescent="0.3">
      <c r="C33" s="933" t="s">
        <v>308</v>
      </c>
      <c r="D33" s="925">
        <f t="shared" si="6"/>
        <v>1350</v>
      </c>
      <c r="E33" s="925">
        <f t="shared" si="4"/>
        <v>1350</v>
      </c>
      <c r="F33" s="970">
        <f t="shared" si="5"/>
        <v>3.068181818181818E-3</v>
      </c>
      <c r="G33" s="987">
        <v>3.0000000000000001E-3</v>
      </c>
      <c r="H33" s="987">
        <v>3.0000000000000001E-3</v>
      </c>
    </row>
    <row r="34" spans="3:8" s="949" customFormat="1" ht="13" customHeight="1" x14ac:dyDescent="0.3">
      <c r="C34" s="933" t="s">
        <v>309</v>
      </c>
      <c r="D34" s="925">
        <f t="shared" si="6"/>
        <v>20250</v>
      </c>
      <c r="E34" s="925">
        <f t="shared" si="4"/>
        <v>20250</v>
      </c>
      <c r="F34" s="970">
        <f t="shared" si="5"/>
        <v>4.6022727272727271E-2</v>
      </c>
      <c r="G34" s="987">
        <v>4.4999999999999998E-2</v>
      </c>
      <c r="H34" s="987">
        <v>4.4999999999999998E-2</v>
      </c>
    </row>
    <row r="35" spans="3:8" s="929" customFormat="1" ht="13" customHeight="1" x14ac:dyDescent="0.3">
      <c r="C35" s="944" t="s">
        <v>310</v>
      </c>
      <c r="D35" s="966">
        <f>SUM(D29:D34)</f>
        <v>49500</v>
      </c>
      <c r="E35" s="966">
        <f>SUM(E29:E34)</f>
        <v>49500</v>
      </c>
      <c r="F35" s="972">
        <f>SUM(F29:F34)</f>
        <v>0.1125</v>
      </c>
      <c r="G35" s="972">
        <f t="shared" ref="G35:H35" si="7">SUM(G29:G34)</f>
        <v>0.11</v>
      </c>
      <c r="H35" s="972">
        <f t="shared" si="7"/>
        <v>0.11</v>
      </c>
    </row>
    <row r="36" spans="3:8" s="949" customFormat="1" ht="13" customHeight="1" x14ac:dyDescent="0.3">
      <c r="C36" s="928" t="s">
        <v>311</v>
      </c>
      <c r="D36" s="965">
        <f>D27-D35</f>
        <v>73946.121333333314</v>
      </c>
      <c r="E36" s="965">
        <f>E27-E35</f>
        <v>73946.121333333314</v>
      </c>
      <c r="F36" s="973">
        <f>IFERROR(D36/D$13, "")</f>
        <v>0.16805936666666663</v>
      </c>
      <c r="G36" s="973">
        <f>G27-G35</f>
        <v>0.12450000000000001</v>
      </c>
      <c r="H36" s="973">
        <f>H27-H35</f>
        <v>0.12450000000000001</v>
      </c>
    </row>
    <row r="37" spans="3:8" s="949" customFormat="1" ht="13" customHeight="1" x14ac:dyDescent="0.3">
      <c r="C37" s="945" t="s">
        <v>312</v>
      </c>
      <c r="D37" s="932"/>
      <c r="E37" s="926"/>
      <c r="F37" s="976"/>
      <c r="G37" s="976"/>
      <c r="H37" s="976"/>
    </row>
    <row r="38" spans="3:8" s="949" customFormat="1" ht="13" customHeight="1" x14ac:dyDescent="0.3">
      <c r="C38" s="933" t="s">
        <v>313</v>
      </c>
      <c r="D38" s="932">
        <f ca="1">Inputs!O30</f>
        <v>13629.565332916667</v>
      </c>
      <c r="E38" s="926">
        <f ca="1">D38/$D$6</f>
        <v>13629.565332916667</v>
      </c>
      <c r="F38" s="970">
        <f t="shared" ref="F38:F40" ca="1" si="8">IFERROR(D38/D$13, "")</f>
        <v>3.097628484753788E-2</v>
      </c>
      <c r="H38" s="976"/>
    </row>
    <row r="39" spans="3:8" s="949" customFormat="1" ht="13" customHeight="1" x14ac:dyDescent="0.3">
      <c r="C39" s="933" t="s">
        <v>314</v>
      </c>
      <c r="D39" s="932">
        <f ca="1">'Acquisition Summary'!K25</f>
        <v>4549.007933590372</v>
      </c>
      <c r="E39" s="926">
        <f t="shared" ref="E39:E40" ca="1" si="9">D39/$D$6</f>
        <v>4549.007933590372</v>
      </c>
      <c r="F39" s="970">
        <f t="shared" ca="1" si="8"/>
        <v>1.0338654394523573E-2</v>
      </c>
      <c r="H39" s="976"/>
    </row>
    <row r="40" spans="3:8" s="949" customFormat="1" ht="13" customHeight="1" x14ac:dyDescent="0.3">
      <c r="C40" s="933" t="s">
        <v>315</v>
      </c>
      <c r="D40" s="932">
        <f ca="1">'Acquisition Summary'!L26</f>
        <v>0</v>
      </c>
      <c r="E40" s="926">
        <f t="shared" ca="1" si="9"/>
        <v>0</v>
      </c>
      <c r="F40" s="970">
        <f t="shared" ca="1" si="8"/>
        <v>0</v>
      </c>
      <c r="G40" s="976"/>
      <c r="H40" s="976"/>
    </row>
    <row r="41" spans="3:8" s="949" customFormat="1" ht="13" customHeight="1" x14ac:dyDescent="0.3">
      <c r="C41" s="933" t="s">
        <v>316</v>
      </c>
      <c r="D41" s="925"/>
      <c r="E41" s="925"/>
      <c r="F41" s="970">
        <f>IFERROR(D41/D$13, "")</f>
        <v>0</v>
      </c>
      <c r="G41" s="987">
        <v>0</v>
      </c>
      <c r="H41" s="987">
        <v>0</v>
      </c>
    </row>
    <row r="42" spans="3:8" s="949" customFormat="1" ht="13" customHeight="1" x14ac:dyDescent="0.3">
      <c r="C42" s="933" t="s">
        <v>317</v>
      </c>
      <c r="D42" s="925"/>
      <c r="E42" s="925"/>
      <c r="F42" s="970">
        <f>IFERROR(D42/D$13, "")</f>
        <v>0</v>
      </c>
      <c r="G42" s="987">
        <v>0</v>
      </c>
      <c r="H42" s="987">
        <v>0</v>
      </c>
    </row>
    <row r="43" spans="3:8" s="929" customFormat="1" ht="14.25" customHeight="1" x14ac:dyDescent="0.3">
      <c r="C43" s="945" t="s">
        <v>318</v>
      </c>
      <c r="D43" s="967">
        <f ca="1">SUM(D38:D42)</f>
        <v>18178.573266507039</v>
      </c>
      <c r="E43" s="967">
        <f ca="1">SUM(E38:E42)</f>
        <v>18178.573266507039</v>
      </c>
      <c r="F43" s="972">
        <f ca="1">IFERROR(D43/D$13,"")</f>
        <v>4.1314939242061449E-2</v>
      </c>
      <c r="G43" s="972">
        <f>SUM(G41:G42)</f>
        <v>0</v>
      </c>
      <c r="H43" s="972">
        <f>SUM(H41:H42)</f>
        <v>0</v>
      </c>
    </row>
    <row r="44" spans="3:8" s="949" customFormat="1" ht="13" customHeight="1" x14ac:dyDescent="0.3">
      <c r="C44" s="928" t="s">
        <v>319</v>
      </c>
      <c r="D44" s="965">
        <f ca="1">D36-D43</f>
        <v>55767.548066826275</v>
      </c>
      <c r="E44" s="965">
        <f ca="1">E36-E43</f>
        <v>55767.548066826275</v>
      </c>
      <c r="F44" s="973">
        <f ca="1">IFERROR(D44/D$13, "")</f>
        <v>0.12674442742460518</v>
      </c>
      <c r="G44" s="973">
        <f>G36-G43</f>
        <v>0.12450000000000001</v>
      </c>
      <c r="H44" s="973">
        <f>H36-H43</f>
        <v>0.12450000000000001</v>
      </c>
    </row>
    <row r="45" spans="3:8" s="949" customFormat="1" ht="13" customHeight="1" x14ac:dyDescent="0.3">
      <c r="C45" s="927" t="s">
        <v>320</v>
      </c>
      <c r="D45" s="932"/>
      <c r="E45" s="926"/>
      <c r="F45" s="975"/>
      <c r="G45" s="975"/>
      <c r="H45" s="975"/>
    </row>
    <row r="46" spans="3:8" s="949" customFormat="1" ht="13" customHeight="1" x14ac:dyDescent="0.3">
      <c r="C46" s="931" t="s">
        <v>321</v>
      </c>
      <c r="D46" s="925">
        <v>0</v>
      </c>
      <c r="E46" s="925">
        <f>IFERROR(D46/D$6, 0)</f>
        <v>0</v>
      </c>
      <c r="F46" s="970">
        <f t="shared" ref="F46:H47" si="10">IFERROR(D46/D$13, "")</f>
        <v>0</v>
      </c>
      <c r="G46" s="987">
        <f t="shared" si="10"/>
        <v>0</v>
      </c>
      <c r="H46" s="987">
        <f t="shared" si="10"/>
        <v>0</v>
      </c>
    </row>
    <row r="47" spans="3:8" s="949" customFormat="1" ht="13" customHeight="1" x14ac:dyDescent="0.3">
      <c r="C47" s="931" t="s">
        <v>322</v>
      </c>
      <c r="D47" s="925">
        <v>0</v>
      </c>
      <c r="E47" s="925">
        <f>IFERROR(D47/D$6, 0)</f>
        <v>0</v>
      </c>
      <c r="F47" s="970">
        <f t="shared" si="10"/>
        <v>0</v>
      </c>
      <c r="G47" s="987">
        <f t="shared" si="10"/>
        <v>0</v>
      </c>
      <c r="H47" s="987">
        <f t="shared" si="10"/>
        <v>0</v>
      </c>
    </row>
    <row r="48" spans="3:8" s="949" customFormat="1" ht="13" customHeight="1" x14ac:dyDescent="0.3">
      <c r="C48" s="927" t="s">
        <v>323</v>
      </c>
      <c r="D48" s="968">
        <f>SUM(D46:D47)</f>
        <v>0</v>
      </c>
      <c r="E48" s="968">
        <f>SUM(E46:E47)</f>
        <v>0</v>
      </c>
      <c r="F48" s="974">
        <f>IFERROR(D48/D$13,"")</f>
        <v>0</v>
      </c>
      <c r="G48" s="988">
        <f>SUM(G46:G47)</f>
        <v>0</v>
      </c>
      <c r="H48" s="988">
        <f>SUM(H46:H47)</f>
        <v>0</v>
      </c>
    </row>
    <row r="49" spans="3:8" s="949" customFormat="1" ht="6" customHeight="1" x14ac:dyDescent="0.3">
      <c r="C49" s="931"/>
      <c r="D49" s="932"/>
      <c r="E49" s="932"/>
      <c r="F49" s="975"/>
      <c r="G49" s="975"/>
      <c r="H49" s="975"/>
    </row>
    <row r="50" spans="3:8" s="949" customFormat="1" ht="13" customHeight="1" x14ac:dyDescent="0.3">
      <c r="C50" s="956" t="s">
        <v>324</v>
      </c>
      <c r="D50" s="932"/>
      <c r="E50" s="932"/>
      <c r="F50" s="970"/>
      <c r="G50" s="970"/>
      <c r="H50" s="970"/>
    </row>
    <row r="51" spans="3:8" s="949" customFormat="1" ht="13" customHeight="1" x14ac:dyDescent="0.3">
      <c r="C51" s="959" t="s">
        <v>325</v>
      </c>
      <c r="D51" s="925">
        <v>0</v>
      </c>
      <c r="E51" s="925">
        <f>IFERROR(D51/#REF!, 0)</f>
        <v>0</v>
      </c>
      <c r="F51" s="970">
        <f t="shared" ref="F51:G54" si="11">IFERROR(D51/D$13, "")</f>
        <v>0</v>
      </c>
      <c r="G51" s="987">
        <f t="shared" si="11"/>
        <v>0</v>
      </c>
      <c r="H51" s="987">
        <f t="shared" ref="H51:H54" si="12">IFERROR(F51/F$13, "")</f>
        <v>0</v>
      </c>
    </row>
    <row r="52" spans="3:8" s="949" customFormat="1" ht="13" customHeight="1" x14ac:dyDescent="0.3">
      <c r="C52" s="959" t="s">
        <v>326</v>
      </c>
      <c r="D52" s="925">
        <v>0</v>
      </c>
      <c r="E52" s="925">
        <f>IFERROR(D52/#REF!, 0)</f>
        <v>0</v>
      </c>
      <c r="F52" s="970">
        <f t="shared" si="11"/>
        <v>0</v>
      </c>
      <c r="G52" s="987">
        <f t="shared" si="11"/>
        <v>0</v>
      </c>
      <c r="H52" s="987">
        <f t="shared" si="12"/>
        <v>0</v>
      </c>
    </row>
    <row r="53" spans="3:8" s="949" customFormat="1" ht="13" customHeight="1" x14ac:dyDescent="0.3">
      <c r="C53" s="959" t="s">
        <v>327</v>
      </c>
      <c r="D53" s="925">
        <v>0</v>
      </c>
      <c r="E53" s="925">
        <f>IFERROR(D53/#REF!, 0)</f>
        <v>0</v>
      </c>
      <c r="F53" s="970">
        <f t="shared" si="11"/>
        <v>0</v>
      </c>
      <c r="G53" s="987">
        <f t="shared" si="11"/>
        <v>0</v>
      </c>
      <c r="H53" s="987">
        <f t="shared" si="12"/>
        <v>0</v>
      </c>
    </row>
    <row r="54" spans="3:8" s="949" customFormat="1" ht="13" customHeight="1" x14ac:dyDescent="0.3">
      <c r="C54" s="959" t="s">
        <v>328</v>
      </c>
      <c r="D54" s="925">
        <v>0</v>
      </c>
      <c r="E54" s="925">
        <f>IFERROR(D54/#REF!, 0)</f>
        <v>0</v>
      </c>
      <c r="F54" s="970">
        <f t="shared" si="11"/>
        <v>0</v>
      </c>
      <c r="G54" s="987">
        <f t="shared" si="11"/>
        <v>0</v>
      </c>
      <c r="H54" s="987">
        <f t="shared" si="12"/>
        <v>0</v>
      </c>
    </row>
    <row r="55" spans="3:8" s="949" customFormat="1" ht="13" customHeight="1" x14ac:dyDescent="0.3">
      <c r="C55" s="956" t="s">
        <v>329</v>
      </c>
      <c r="D55" s="968">
        <f>SUM(D51:D54)</f>
        <v>0</v>
      </c>
      <c r="E55" s="968">
        <f>SUM(E51:E54)</f>
        <v>0</v>
      </c>
      <c r="F55" s="974">
        <f>IFERROR(D55/D$13,"")</f>
        <v>0</v>
      </c>
      <c r="G55" s="988">
        <f>SUM(G51:G54)</f>
        <v>0</v>
      </c>
      <c r="H55" s="988">
        <f>SUM(H51:H54)</f>
        <v>0</v>
      </c>
    </row>
    <row r="56" spans="3:8" s="949" customFormat="1" ht="6" customHeight="1" x14ac:dyDescent="0.3">
      <c r="C56" s="927"/>
      <c r="D56" s="932"/>
      <c r="E56" s="926"/>
      <c r="F56" s="975"/>
      <c r="G56" s="975"/>
      <c r="H56" s="975"/>
    </row>
    <row r="57" spans="3:8" s="949" customFormat="1" ht="13" customHeight="1" x14ac:dyDescent="0.3">
      <c r="C57" s="928" t="s">
        <v>330</v>
      </c>
      <c r="D57" s="965">
        <f ca="1">D44-D48-D55</f>
        <v>55767.548066826275</v>
      </c>
      <c r="E57" s="965">
        <f ca="1">IFERROR(D57/(D6+#REF!),0)</f>
        <v>0</v>
      </c>
      <c r="F57" s="973">
        <f ca="1">IFERROR(D57/D$13, "")</f>
        <v>0.12674442742460518</v>
      </c>
      <c r="G57" s="973">
        <f>G44-G48-G55</f>
        <v>0.12450000000000001</v>
      </c>
      <c r="H57" s="973">
        <f>H44-H48-H55</f>
        <v>0.12450000000000001</v>
      </c>
    </row>
    <row r="58" spans="3:8" s="949" customFormat="1" ht="6" customHeight="1" x14ac:dyDescent="0.3">
      <c r="C58" s="931"/>
      <c r="D58" s="932"/>
      <c r="E58" s="926"/>
      <c r="F58" s="975"/>
      <c r="G58" s="975"/>
      <c r="H58" s="975"/>
    </row>
    <row r="59" spans="3:8" s="949" customFormat="1" ht="13" customHeight="1" x14ac:dyDescent="0.3">
      <c r="C59" s="934" t="s">
        <v>331</v>
      </c>
      <c r="D59" s="925">
        <f>0.0525*D13</f>
        <v>23100</v>
      </c>
      <c r="E59" s="925">
        <f>IFERROR(D59/D$6, 0)</f>
        <v>23100</v>
      </c>
      <c r="F59" s="970">
        <f>IFERROR(D59/D$13, "")</f>
        <v>5.2499999999999998E-2</v>
      </c>
      <c r="G59" s="987">
        <v>0</v>
      </c>
      <c r="H59" s="987">
        <v>0</v>
      </c>
    </row>
    <row r="60" spans="3:8" s="962" customFormat="1" ht="6" customHeight="1" x14ac:dyDescent="0.3">
      <c r="D60" s="963"/>
      <c r="E60" s="964"/>
      <c r="F60" s="977"/>
      <c r="G60" s="977"/>
      <c r="H60" s="977"/>
    </row>
    <row r="61" spans="3:8" s="949" customFormat="1" ht="13" customHeight="1" thickBot="1" x14ac:dyDescent="0.35">
      <c r="C61" s="928" t="s">
        <v>332</v>
      </c>
      <c r="D61" s="969">
        <f ca="1">D57-D59</f>
        <v>32667.548066826275</v>
      </c>
      <c r="E61" s="969">
        <f ca="1">IFERROR(D61/(D6+#REF!),0)</f>
        <v>0</v>
      </c>
      <c r="F61" s="978">
        <f ca="1">IFERROR(D61/D$13, "")</f>
        <v>7.4244427424605172E-2</v>
      </c>
      <c r="G61" s="978">
        <f>G57-G59</f>
        <v>0.12450000000000001</v>
      </c>
      <c r="H61" s="978">
        <f>H57-H59</f>
        <v>0.12450000000000001</v>
      </c>
    </row>
    <row r="62" spans="3:8" s="949" customFormat="1" ht="6" customHeight="1" x14ac:dyDescent="0.3">
      <c r="C62" s="927"/>
      <c r="D62" s="935"/>
      <c r="E62" s="936"/>
      <c r="F62" s="936"/>
    </row>
    <row r="63" spans="3:8" ht="13" customHeight="1" x14ac:dyDescent="0.3">
      <c r="C63" s="937"/>
      <c r="D63" s="938"/>
      <c r="F63" s="939"/>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1B508-A67F-4CA5-88AD-07CE062F3C3E}">
  <sheetPr>
    <tabColor rgb="FF002060"/>
  </sheetPr>
  <dimension ref="B1:AD73"/>
  <sheetViews>
    <sheetView showGridLines="0" zoomScale="85" zoomScaleNormal="85" workbookViewId="0">
      <pane xSplit="3" ySplit="3" topLeftCell="D4" activePane="bottomRight" state="frozen"/>
      <selection pane="topRight" activeCell="B65" sqref="B65"/>
      <selection pane="bottomLeft" activeCell="B65" sqref="B65"/>
      <selection pane="bottomRight" activeCell="J3" sqref="J3"/>
    </sheetView>
  </sheetViews>
  <sheetFormatPr defaultColWidth="9.44140625" defaultRowHeight="12" x14ac:dyDescent="0.3"/>
  <cols>
    <col min="1" max="1" width="1.77734375" style="40" customWidth="1"/>
    <col min="2" max="2" width="32.44140625" style="40" bestFit="1" customWidth="1"/>
    <col min="3" max="3" width="12.44140625" style="81" bestFit="1" customWidth="1"/>
    <col min="4" max="4" width="12" style="40" bestFit="1" customWidth="1"/>
    <col min="5" max="5" width="11.109375" style="40" bestFit="1" customWidth="1"/>
    <col min="6" max="9" width="12.6640625" style="40" bestFit="1" customWidth="1"/>
    <col min="10" max="10" width="11.109375" style="40" bestFit="1" customWidth="1"/>
    <col min="11" max="11" width="11.6640625" style="40" bestFit="1" customWidth="1"/>
    <col min="12" max="13" width="9.77734375" style="40" bestFit="1" customWidth="1"/>
    <col min="14" max="15" width="10.77734375" style="40" bestFit="1" customWidth="1"/>
    <col min="16" max="16" width="9.77734375" style="40" bestFit="1" customWidth="1"/>
    <col min="17" max="24" width="9" style="40" bestFit="1" customWidth="1"/>
    <col min="25" max="28" width="9.77734375" style="40" bestFit="1" customWidth="1"/>
    <col min="29" max="29" width="9.44140625" style="40"/>
    <col min="30" max="30" width="16" style="40" customWidth="1"/>
    <col min="31" max="16384" width="9.44140625" style="40"/>
  </cols>
  <sheetData>
    <row r="1" spans="2:30" x14ac:dyDescent="0.3">
      <c r="D1" s="204">
        <v>1</v>
      </c>
      <c r="E1" s="204">
        <f>+D1+1</f>
        <v>2</v>
      </c>
      <c r="F1" s="204">
        <f t="shared" ref="F1:AB1" si="0">+E1+1</f>
        <v>3</v>
      </c>
      <c r="G1" s="204">
        <f t="shared" si="0"/>
        <v>4</v>
      </c>
      <c r="H1" s="204">
        <f t="shared" si="0"/>
        <v>5</v>
      </c>
      <c r="I1" s="204">
        <f t="shared" si="0"/>
        <v>6</v>
      </c>
      <c r="J1" s="204">
        <f t="shared" si="0"/>
        <v>7</v>
      </c>
      <c r="K1" s="204">
        <f t="shared" si="0"/>
        <v>8</v>
      </c>
      <c r="L1" s="204">
        <f t="shared" si="0"/>
        <v>9</v>
      </c>
      <c r="M1" s="204">
        <f t="shared" si="0"/>
        <v>10</v>
      </c>
      <c r="N1" s="204">
        <f t="shared" si="0"/>
        <v>11</v>
      </c>
      <c r="O1" s="204">
        <f t="shared" si="0"/>
        <v>12</v>
      </c>
      <c r="P1" s="204">
        <f t="shared" si="0"/>
        <v>13</v>
      </c>
      <c r="Q1" s="204">
        <f t="shared" si="0"/>
        <v>14</v>
      </c>
      <c r="R1" s="204">
        <f t="shared" si="0"/>
        <v>15</v>
      </c>
      <c r="S1" s="204">
        <f t="shared" si="0"/>
        <v>16</v>
      </c>
      <c r="T1" s="204">
        <f t="shared" si="0"/>
        <v>17</v>
      </c>
      <c r="U1" s="204">
        <f t="shared" si="0"/>
        <v>18</v>
      </c>
      <c r="V1" s="204">
        <f t="shared" si="0"/>
        <v>19</v>
      </c>
      <c r="W1" s="204">
        <f t="shared" si="0"/>
        <v>20</v>
      </c>
      <c r="X1" s="204">
        <f t="shared" si="0"/>
        <v>21</v>
      </c>
      <c r="Y1" s="204">
        <f t="shared" si="0"/>
        <v>22</v>
      </c>
      <c r="Z1" s="204">
        <f t="shared" si="0"/>
        <v>23</v>
      </c>
      <c r="AA1" s="204">
        <f t="shared" si="0"/>
        <v>24</v>
      </c>
      <c r="AB1" s="204">
        <f t="shared" si="0"/>
        <v>25</v>
      </c>
    </row>
    <row r="2" spans="2:30" x14ac:dyDescent="0.3">
      <c r="D2" s="52">
        <f>+Inputs!D13</f>
        <v>46081</v>
      </c>
      <c r="E2" s="52">
        <f>+EDATE(D2,1)</f>
        <v>46109</v>
      </c>
      <c r="F2" s="52">
        <f t="shared" ref="F2:AB2" si="1">+EDATE(E2,1)</f>
        <v>46140</v>
      </c>
      <c r="G2" s="52">
        <f t="shared" si="1"/>
        <v>46170</v>
      </c>
      <c r="H2" s="52">
        <f t="shared" si="1"/>
        <v>46201</v>
      </c>
      <c r="I2" s="52">
        <f t="shared" si="1"/>
        <v>46231</v>
      </c>
      <c r="J2" s="52">
        <f t="shared" si="1"/>
        <v>46262</v>
      </c>
      <c r="K2" s="52">
        <f t="shared" si="1"/>
        <v>46293</v>
      </c>
      <c r="L2" s="52">
        <f t="shared" si="1"/>
        <v>46323</v>
      </c>
      <c r="M2" s="52">
        <f t="shared" si="1"/>
        <v>46354</v>
      </c>
      <c r="N2" s="52">
        <f t="shared" si="1"/>
        <v>46384</v>
      </c>
      <c r="O2" s="52">
        <f t="shared" si="1"/>
        <v>46415</v>
      </c>
      <c r="P2" s="52">
        <f t="shared" si="1"/>
        <v>46446</v>
      </c>
      <c r="Q2" s="52">
        <f t="shared" si="1"/>
        <v>46474</v>
      </c>
      <c r="R2" s="52">
        <f t="shared" si="1"/>
        <v>46505</v>
      </c>
      <c r="S2" s="52">
        <f t="shared" si="1"/>
        <v>46535</v>
      </c>
      <c r="T2" s="52">
        <f t="shared" si="1"/>
        <v>46566</v>
      </c>
      <c r="U2" s="52">
        <f t="shared" si="1"/>
        <v>46596</v>
      </c>
      <c r="V2" s="52">
        <f t="shared" si="1"/>
        <v>46627</v>
      </c>
      <c r="W2" s="52">
        <f t="shared" si="1"/>
        <v>46658</v>
      </c>
      <c r="X2" s="52">
        <f t="shared" si="1"/>
        <v>46688</v>
      </c>
      <c r="Y2" s="52">
        <f t="shared" si="1"/>
        <v>46719</v>
      </c>
      <c r="Z2" s="52">
        <f t="shared" si="1"/>
        <v>46749</v>
      </c>
      <c r="AA2" s="52">
        <f t="shared" si="1"/>
        <v>46780</v>
      </c>
      <c r="AB2" s="52">
        <f t="shared" si="1"/>
        <v>46811</v>
      </c>
    </row>
    <row r="3" spans="2:30" x14ac:dyDescent="0.3">
      <c r="D3" s="201" t="s">
        <v>333</v>
      </c>
      <c r="E3" s="78" t="str" cm="1">
        <f t="array" ref="E3">+IF(AND(E2&gt;Inputs!$P$36,E2&lt;Inputs!P37),"PREDEV",IF(AND(E2&gt;Inputs!$P$37,E2&lt;=Inputs!$P$38),"VERTICAL",IF(AND(E2&gt;=Inputs!$P$39,$D$3:D3&lt;&gt;"SALE"),"SALE","")))</f>
        <v>PREDEV</v>
      </c>
      <c r="F3" s="78" t="str" cm="1">
        <f t="array" ref="F3">+IF(AND(F2&gt;Inputs!$P$36,F2&lt;Inputs!Q37),"PREDEV",IF(AND(F2&gt;Inputs!$P$37,F2&lt;=Inputs!$P$38),"VERTICAL",IF(AND(F2&gt;=Inputs!$P$39,$D$3:E3&lt;&gt;"SALE"),"SALE","")))</f>
        <v>VERTICAL</v>
      </c>
      <c r="G3" s="78" t="str" cm="1">
        <f t="array" ref="G3">+IF(AND(G2&gt;Inputs!$P$36,G2&lt;Inputs!R37),"PREDEV",IF(AND(G2&gt;Inputs!$P$37,G2&lt;=Inputs!$P$38),"VERTICAL",IF(AND(G2&gt;=Inputs!$P$39,$D$3:F3&lt;&gt;"SALE"),"SALE","")))</f>
        <v>VERTICAL</v>
      </c>
      <c r="H3" s="78" t="str" cm="1">
        <f t="array" ref="H3">+IF(AND(H2&gt;Inputs!$P$36,H2&lt;Inputs!S37),"PREDEV",IF(AND(H2&gt;Inputs!$P$37,H2&lt;=Inputs!$P$38),"VERTICAL",IF(AND(H2&gt;=Inputs!$P$39,$D$3:G3&lt;&gt;"SALE"),"SALE","")))</f>
        <v>VERTICAL</v>
      </c>
      <c r="I3" s="78" t="str" cm="1">
        <f t="array" ref="I3">+IF(AND(I2&gt;Inputs!$P$36,I2&lt;Inputs!T36),"PREDEV",IF(AND(I2&gt;Inputs!$P$37,I2&lt;=Inputs!$P$38),"VERTICAL",IF(AND(I2&gt;=Inputs!$P$39,$D$3:H3&lt;&gt;"SALE"),"SALE","")))</f>
        <v>VERTICAL</v>
      </c>
      <c r="J3" s="78" t="str" cm="1">
        <f t="array" ref="J3">+IF(AND(J2&gt;Inputs!$P$36,J2&lt;Inputs!U35),"PREDEV",IF(AND(J2&gt;Inputs!$P$37,J2&lt;=Inputs!$P$38),"VERTICAL",IF(AND(J2&gt;=Inputs!$P$39,$D$3:I3&lt;&gt;"SALE"),"SALE","")))</f>
        <v/>
      </c>
      <c r="K3" s="78" t="str" cm="1">
        <f t="array" ref="K3">+IF(AND(K2&gt;Inputs!$P$36,K2&lt;Inputs!V34),"PREDEV",IF(AND(K2&gt;Inputs!$P$37,K2&lt;=Inputs!$P$38),"VERTICAL",IF(AND(K2&gt;=Inputs!$P$39,$D$3:J3&lt;&gt;"SALE"),"SALE","")))</f>
        <v>SALE</v>
      </c>
      <c r="L3" s="78" t="str" cm="1">
        <f t="array" ref="L3">+IF(AND(L2&gt;Inputs!$P$36,L2&lt;Inputs!W34),"PREDEV",IF(AND(L2&gt;Inputs!$P$37,L2&lt;=Inputs!$P$38),"VERTICAL",IF(AND(L2&gt;=Inputs!$P$39,$D$3:K3&lt;&gt;"SALE"),"SALE","")))</f>
        <v/>
      </c>
      <c r="M3" s="78" t="str" cm="1">
        <f t="array" ref="M3">+IF(AND(M2&gt;Inputs!$P$36,M2&lt;Inputs!X34),"PREDEV",IF(AND(M2&gt;Inputs!$P$37,M2&lt;=Inputs!$P$38),"VERTICAL",IF(AND(M2&gt;=Inputs!$P$39,$D$3:L3&lt;&gt;"SALE"),"SALE","")))</f>
        <v/>
      </c>
      <c r="N3" s="78" t="str" cm="1">
        <f t="array" ref="N3">+IF(AND(N2&gt;Inputs!$P$36,N2&lt;Inputs!Y36),"PREDEV",IF(AND(N2&gt;Inputs!$P$37,N2&lt;=Inputs!$P$38),"VERTICAL",IF(AND(N2&gt;=Inputs!$P$39,$D$3:M3&lt;&gt;"SALE"),"SALE","")))</f>
        <v/>
      </c>
      <c r="O3" s="78" t="str" cm="1">
        <f t="array" ref="O3">+IF(AND(O2&gt;Inputs!$P$36,O2&lt;Inputs!Z36),"PREDEV",IF(AND(O2&gt;Inputs!$P$37,O2&lt;=Inputs!$P$38),"VERTICAL",IF(AND(O2&gt;=Inputs!$P$39,$D$3:N3&lt;&gt;"SALE"),"SALE","")))</f>
        <v/>
      </c>
      <c r="P3" s="78" t="str" cm="1">
        <f t="array" ref="P3">+IF(AND(P2&gt;Inputs!$P$36,P2&lt;Inputs!AA36),"PREDEV",IF(AND(P2&gt;Inputs!$P$37,P2&lt;=Inputs!$P$38),"VERTICAL",IF(AND(P2&gt;=Inputs!$P$39,$D$3:O3&lt;&gt;"SALE"),"SALE","")))</f>
        <v/>
      </c>
      <c r="Q3" s="78" t="str" cm="1">
        <f t="array" ref="Q3">+IF(AND(Q2&gt;Inputs!$P$36,Q2&lt;Inputs!AB36),"PREDEV",IF(AND(Q2&gt;Inputs!$P$37,Q2&lt;=Inputs!$P$38),"VERTICAL",IF(AND(Q2&gt;=Inputs!$P$39,$D$3:P3&lt;&gt;"SALE"),"SALE","")))</f>
        <v/>
      </c>
      <c r="R3" s="78" t="str" cm="1">
        <f t="array" ref="R3">+IF(AND(R2&gt;Inputs!$P$36,R2&lt;Inputs!AC36),"PREDEV",IF(AND(R2&gt;Inputs!$P$37,R2&lt;=Inputs!$P$38),"VERTICAL",IF(AND(R2&gt;=Inputs!$P$39,$D$3:Q3&lt;&gt;"SALE"),"SALE","")))</f>
        <v/>
      </c>
      <c r="S3" s="78" t="str" cm="1">
        <f t="array" ref="S3">+IF(AND(S2&gt;Inputs!$P$36,S2&lt;Inputs!AD36),"PREDEV",IF(AND(S2&gt;Inputs!$P$37,S2&lt;=Inputs!$P$38),"VERTICAL",IF(AND(S2&gt;=Inputs!$P$39,$D$3:R3&lt;&gt;"SALE"),"SALE","")))</f>
        <v/>
      </c>
      <c r="T3" s="78" t="str" cm="1">
        <f t="array" ref="T3">+IF(AND(T2&gt;Inputs!$P$36,T2&lt;Inputs!AE36),"PREDEV",IF(AND(T2&gt;Inputs!$P$37,T2&lt;=Inputs!$P$38),"VERTICAL",IF(AND(T2&gt;=Inputs!$P$39,$D$3:S3&lt;&gt;"SALE"),"SALE","")))</f>
        <v/>
      </c>
      <c r="U3" s="78" t="str" cm="1">
        <f t="array" ref="U3">+IF(AND(U2&gt;Inputs!$P$36,U2&lt;Inputs!AF35),"PREDEV",IF(AND(U2&gt;Inputs!$P$37,U2&lt;=Inputs!$P$38),"VERTICAL",IF(AND(U2&gt;=Inputs!$P$39,$D$3:T3&lt;&gt;"SALE"),"SALE","")))</f>
        <v/>
      </c>
      <c r="V3" s="78" t="str" cm="1">
        <f t="array" ref="V3">+IF(AND(V2&gt;Inputs!$P$36,V2&lt;Inputs!AG35),"PREDEV",IF(AND(V2&gt;Inputs!$P$37,V2&lt;=Inputs!$P$38),"VERTICAL",IF(AND(V2&gt;=Inputs!$P$39,$D$3:U3&lt;&gt;"SALE"),"SALE","")))</f>
        <v/>
      </c>
      <c r="W3" s="78" t="str" cm="1">
        <f t="array" ref="W3">+IF(AND(W2&gt;Inputs!$P$36,W2&lt;Inputs!AH35),"PREDEV",IF(AND(W2&gt;Inputs!$P$37,W2&lt;=Inputs!$P$38),"VERTICAL",IF(AND(W2&gt;=Inputs!$P$39,$D$3:V3&lt;&gt;"SALE"),"SALE","")))</f>
        <v/>
      </c>
      <c r="X3" s="78" t="str" cm="1">
        <f t="array" ref="X3">+IF(AND(X2&gt;Inputs!$P$36,X2&lt;Inputs!AI35),"PREDEV",IF(AND(X2&gt;Inputs!$P$37,X2&lt;=Inputs!$P$38),"VERTICAL",IF(AND(X2&gt;=Inputs!$P$39,$D$3:W3&lt;&gt;"SALE"),"SALE","")))</f>
        <v/>
      </c>
      <c r="Y3" s="78" t="str" cm="1">
        <f t="array" ref="Y3">+IF(AND(Y2&gt;Inputs!$P$36,Y2&lt;Inputs!AJ35),"PREDEV",IF(AND(Y2&gt;Inputs!$P$37,Y2&lt;=Inputs!$P$38),"VERTICAL",IF(AND(Y2&gt;=Inputs!$P$39,$D$3:X3&lt;&gt;"SALE"),"SALE","")))</f>
        <v/>
      </c>
      <c r="Z3" s="78" t="str" cm="1">
        <f t="array" ref="Z3">+IF(AND(Z2&gt;Inputs!$P$36,Z2&lt;Inputs!AK35),"PREDEV",IF(AND(Z2&gt;Inputs!$P$37,Z2&lt;=Inputs!$P$38),"VERTICAL",IF(AND(Z2&gt;=Inputs!$P$39,$D$3:Y3&lt;&gt;"SALE"),"SALE","")))</f>
        <v/>
      </c>
      <c r="AA3" s="78" t="str" cm="1">
        <f t="array" ref="AA3">+IF(AND(AA2&gt;Inputs!$P$36,AA2&lt;Inputs!AL35),"PREDEV",IF(AND(AA2&gt;Inputs!$P$37,AA2&lt;=Inputs!$P$38),"VERTICAL",IF(AND(AA2&gt;=Inputs!$P$39,$D$3:Z3&lt;&gt;"SALE"),"SALE","")))</f>
        <v/>
      </c>
      <c r="AB3" s="78" t="str" cm="1">
        <f t="array" ref="AB3">+IF(AND(AB2&gt;Inputs!$P$36,AB2&lt;Inputs!AM35),"PREDEV",IF(AND(AB2&gt;Inputs!$P$37,AB2&lt;=Inputs!$P$38),"VERTICAL",IF(AND(AB2&gt;=Inputs!$P$39,$D$3:AA3&lt;&gt;"SALE"),"SALE","")))</f>
        <v/>
      </c>
    </row>
    <row r="4" spans="2:30" ht="12.5" thickBot="1" x14ac:dyDescent="0.35">
      <c r="C4" s="82" t="s">
        <v>23</v>
      </c>
      <c r="D4" s="78"/>
      <c r="E4" s="78"/>
      <c r="F4" s="78"/>
      <c r="G4" s="78"/>
      <c r="H4" s="78"/>
      <c r="I4" s="78"/>
      <c r="J4" s="78"/>
      <c r="K4" s="78"/>
      <c r="L4" s="78"/>
      <c r="M4" s="78"/>
      <c r="N4" s="78"/>
      <c r="O4" s="78"/>
      <c r="P4" s="78"/>
      <c r="Q4" s="78"/>
      <c r="R4" s="78"/>
      <c r="S4" s="78"/>
      <c r="T4" s="78"/>
      <c r="U4" s="78"/>
      <c r="V4" s="78"/>
      <c r="W4" s="78"/>
      <c r="X4" s="78"/>
      <c r="Y4" s="78"/>
      <c r="Z4" s="78"/>
      <c r="AA4" s="78"/>
      <c r="AB4" s="78"/>
    </row>
    <row r="5" spans="2:30" x14ac:dyDescent="0.3">
      <c r="B5" s="239" t="s">
        <v>334</v>
      </c>
      <c r="C5" s="240"/>
      <c r="D5" s="241"/>
      <c r="E5" s="241"/>
      <c r="F5" s="241"/>
      <c r="G5" s="241"/>
      <c r="H5" s="241"/>
      <c r="I5" s="241"/>
      <c r="J5" s="241"/>
      <c r="K5" s="241"/>
      <c r="L5" s="241"/>
      <c r="M5" s="241"/>
      <c r="N5" s="241"/>
      <c r="O5" s="241"/>
      <c r="P5" s="241"/>
      <c r="Q5" s="241"/>
      <c r="R5" s="241"/>
      <c r="S5" s="241"/>
      <c r="T5" s="241"/>
      <c r="U5" s="241"/>
      <c r="V5" s="241"/>
      <c r="W5" s="241"/>
      <c r="X5" s="241"/>
      <c r="Y5" s="241"/>
      <c r="Z5" s="241"/>
      <c r="AA5" s="241"/>
      <c r="AB5" s="242"/>
    </row>
    <row r="6" spans="2:30" x14ac:dyDescent="0.3">
      <c r="B6" s="224" t="s">
        <v>39</v>
      </c>
      <c r="C6" s="83">
        <f>+SUM(D6:AB6)</f>
        <v>110000</v>
      </c>
      <c r="D6" s="207">
        <f>Inputs!O13</f>
        <v>110000</v>
      </c>
      <c r="E6" s="207">
        <v>0</v>
      </c>
      <c r="F6" s="207">
        <v>0</v>
      </c>
      <c r="G6" s="207">
        <v>0</v>
      </c>
      <c r="H6" s="207">
        <v>0</v>
      </c>
      <c r="I6" s="207">
        <v>0</v>
      </c>
      <c r="J6" s="207">
        <v>0</v>
      </c>
      <c r="K6" s="207">
        <v>0</v>
      </c>
      <c r="L6" s="207">
        <v>0</v>
      </c>
      <c r="M6" s="207">
        <v>0</v>
      </c>
      <c r="N6" s="207">
        <v>0</v>
      </c>
      <c r="O6" s="207">
        <v>0</v>
      </c>
      <c r="P6" s="207">
        <v>0</v>
      </c>
      <c r="Q6" s="207">
        <v>0</v>
      </c>
      <c r="R6" s="207">
        <v>0</v>
      </c>
      <c r="S6" s="207">
        <v>0</v>
      </c>
      <c r="T6" s="207">
        <v>0</v>
      </c>
      <c r="U6" s="207">
        <v>0</v>
      </c>
      <c r="V6" s="207">
        <v>0</v>
      </c>
      <c r="W6" s="207">
        <v>0</v>
      </c>
      <c r="X6" s="207">
        <v>0</v>
      </c>
      <c r="Y6" s="207">
        <v>0</v>
      </c>
      <c r="Z6" s="207">
        <v>0</v>
      </c>
      <c r="AA6" s="207">
        <v>0</v>
      </c>
      <c r="AB6" s="225">
        <v>0</v>
      </c>
    </row>
    <row r="7" spans="2:30" x14ac:dyDescent="0.3">
      <c r="B7" s="224" t="s">
        <v>335</v>
      </c>
      <c r="C7" s="83">
        <f t="shared" ref="C7:C20" si="2">+SUM(D7:AB7)</f>
        <v>0</v>
      </c>
      <c r="D7" s="207">
        <f>Inputs!O14+Inputs!D20</f>
        <v>0</v>
      </c>
      <c r="E7" s="207">
        <v>0</v>
      </c>
      <c r="F7" s="207">
        <v>0</v>
      </c>
      <c r="G7" s="207">
        <v>0</v>
      </c>
      <c r="H7" s="207">
        <v>0</v>
      </c>
      <c r="I7" s="207">
        <v>0</v>
      </c>
      <c r="J7" s="207">
        <v>0</v>
      </c>
      <c r="K7" s="207">
        <v>0</v>
      </c>
      <c r="L7" s="207">
        <v>0</v>
      </c>
      <c r="M7" s="207">
        <v>0</v>
      </c>
      <c r="N7" s="207">
        <v>0</v>
      </c>
      <c r="O7" s="207">
        <v>0</v>
      </c>
      <c r="P7" s="207">
        <v>0</v>
      </c>
      <c r="Q7" s="207">
        <v>0</v>
      </c>
      <c r="R7" s="207">
        <v>0</v>
      </c>
      <c r="S7" s="207">
        <v>0</v>
      </c>
      <c r="T7" s="207">
        <v>0</v>
      </c>
      <c r="U7" s="207">
        <v>0</v>
      </c>
      <c r="V7" s="207">
        <v>0</v>
      </c>
      <c r="W7" s="207">
        <v>0</v>
      </c>
      <c r="X7" s="207">
        <v>0</v>
      </c>
      <c r="Y7" s="207">
        <v>0</v>
      </c>
      <c r="Z7" s="207">
        <v>0</v>
      </c>
      <c r="AA7" s="207">
        <v>0</v>
      </c>
      <c r="AB7" s="225">
        <v>0</v>
      </c>
    </row>
    <row r="8" spans="2:30" x14ac:dyDescent="0.3">
      <c r="B8" s="224" t="s">
        <v>45</v>
      </c>
      <c r="C8" s="83">
        <f t="shared" si="2"/>
        <v>1650</v>
      </c>
      <c r="D8" s="207">
        <f>Inputs!O16</f>
        <v>1650</v>
      </c>
      <c r="E8" s="207">
        <v>0</v>
      </c>
      <c r="F8" s="207">
        <v>0</v>
      </c>
      <c r="G8" s="207">
        <v>0</v>
      </c>
      <c r="H8" s="207">
        <v>0</v>
      </c>
      <c r="I8" s="207">
        <v>0</v>
      </c>
      <c r="J8" s="207">
        <v>0</v>
      </c>
      <c r="K8" s="207">
        <v>0</v>
      </c>
      <c r="L8" s="207">
        <v>0</v>
      </c>
      <c r="M8" s="207">
        <v>0</v>
      </c>
      <c r="N8" s="207">
        <v>0</v>
      </c>
      <c r="O8" s="207">
        <v>0</v>
      </c>
      <c r="P8" s="207">
        <v>0</v>
      </c>
      <c r="Q8" s="207">
        <v>0</v>
      </c>
      <c r="R8" s="207">
        <v>0</v>
      </c>
      <c r="S8" s="207">
        <v>0</v>
      </c>
      <c r="T8" s="207">
        <v>0</v>
      </c>
      <c r="U8" s="207">
        <v>0</v>
      </c>
      <c r="V8" s="207">
        <v>0</v>
      </c>
      <c r="W8" s="207">
        <v>0</v>
      </c>
      <c r="X8" s="207">
        <v>0</v>
      </c>
      <c r="Y8" s="207">
        <v>0</v>
      </c>
      <c r="Z8" s="207">
        <v>0</v>
      </c>
      <c r="AA8" s="207">
        <v>0</v>
      </c>
      <c r="AB8" s="225">
        <v>0</v>
      </c>
    </row>
    <row r="9" spans="2:30" x14ac:dyDescent="0.3">
      <c r="B9" s="231"/>
      <c r="C9" s="83"/>
      <c r="D9" s="222"/>
      <c r="E9" s="222"/>
      <c r="F9" s="222"/>
      <c r="G9" s="222"/>
      <c r="H9" s="222"/>
      <c r="I9" s="222"/>
      <c r="J9" s="222"/>
      <c r="K9" s="222"/>
      <c r="L9" s="222"/>
      <c r="M9" s="222"/>
      <c r="N9" s="222"/>
      <c r="O9" s="222"/>
      <c r="P9" s="222"/>
      <c r="Q9" s="222"/>
      <c r="R9" s="222"/>
      <c r="S9" s="222"/>
      <c r="T9" s="222"/>
      <c r="U9" s="222"/>
      <c r="V9" s="222"/>
      <c r="W9" s="222"/>
      <c r="X9" s="222"/>
      <c r="Y9" s="222"/>
      <c r="Z9" s="222"/>
      <c r="AA9" s="222"/>
      <c r="AB9" s="223"/>
    </row>
    <row r="10" spans="2:30" x14ac:dyDescent="0.3">
      <c r="B10" s="243" t="s">
        <v>336</v>
      </c>
      <c r="C10" s="83"/>
      <c r="D10" s="222"/>
      <c r="E10" s="222"/>
      <c r="F10" s="222"/>
      <c r="G10" s="222"/>
      <c r="H10" s="222"/>
      <c r="I10" s="222"/>
      <c r="J10" s="222"/>
      <c r="K10" s="222"/>
      <c r="L10" s="222"/>
      <c r="M10" s="222"/>
      <c r="N10" s="222"/>
      <c r="O10" s="222"/>
      <c r="P10" s="222"/>
      <c r="Q10" s="222"/>
      <c r="R10" s="222"/>
      <c r="S10" s="222"/>
      <c r="T10" s="222"/>
      <c r="U10" s="222"/>
      <c r="V10" s="222"/>
      <c r="W10" s="222"/>
      <c r="X10" s="222"/>
      <c r="Y10" s="222"/>
      <c r="Z10" s="222"/>
      <c r="AA10" s="222"/>
      <c r="AB10" s="223"/>
    </row>
    <row r="11" spans="2:30" x14ac:dyDescent="0.3">
      <c r="B11" s="224" t="s">
        <v>50</v>
      </c>
      <c r="C11" s="83">
        <f t="shared" si="2"/>
        <v>6850</v>
      </c>
      <c r="D11" s="222">
        <v>0</v>
      </c>
      <c r="E11" s="207">
        <f>+IF(E$3="PREDEV",$AD11,0)</f>
        <v>6850</v>
      </c>
      <c r="F11" s="207">
        <f t="shared" ref="F11:AB11" si="3">+IF(F$3="PREDEV",$AD11,0)</f>
        <v>0</v>
      </c>
      <c r="G11" s="207">
        <f t="shared" si="3"/>
        <v>0</v>
      </c>
      <c r="H11" s="207">
        <f t="shared" si="3"/>
        <v>0</v>
      </c>
      <c r="I11" s="207">
        <f t="shared" si="3"/>
        <v>0</v>
      </c>
      <c r="J11" s="207">
        <f t="shared" si="3"/>
        <v>0</v>
      </c>
      <c r="K11" s="207">
        <f t="shared" si="3"/>
        <v>0</v>
      </c>
      <c r="L11" s="207">
        <f t="shared" si="3"/>
        <v>0</v>
      </c>
      <c r="M11" s="207">
        <f t="shared" si="3"/>
        <v>0</v>
      </c>
      <c r="N11" s="207">
        <f t="shared" si="3"/>
        <v>0</v>
      </c>
      <c r="O11" s="207">
        <f t="shared" si="3"/>
        <v>0</v>
      </c>
      <c r="P11" s="207">
        <f t="shared" si="3"/>
        <v>0</v>
      </c>
      <c r="Q11" s="207">
        <f t="shared" si="3"/>
        <v>0</v>
      </c>
      <c r="R11" s="207">
        <f t="shared" si="3"/>
        <v>0</v>
      </c>
      <c r="S11" s="207">
        <f t="shared" si="3"/>
        <v>0</v>
      </c>
      <c r="T11" s="207">
        <f t="shared" si="3"/>
        <v>0</v>
      </c>
      <c r="U11" s="207">
        <f t="shared" si="3"/>
        <v>0</v>
      </c>
      <c r="V11" s="207">
        <f t="shared" si="3"/>
        <v>0</v>
      </c>
      <c r="W11" s="207">
        <f t="shared" si="3"/>
        <v>0</v>
      </c>
      <c r="X11" s="207">
        <f t="shared" si="3"/>
        <v>0</v>
      </c>
      <c r="Y11" s="207">
        <f t="shared" si="3"/>
        <v>0</v>
      </c>
      <c r="Z11" s="207">
        <f t="shared" si="3"/>
        <v>0</v>
      </c>
      <c r="AA11" s="207">
        <f t="shared" si="3"/>
        <v>0</v>
      </c>
      <c r="AB11" s="225">
        <f t="shared" si="3"/>
        <v>0</v>
      </c>
      <c r="AD11" s="40">
        <f>Inputs!O19/COUNTIF($D$3:$AB$3,"PREDEV")</f>
        <v>6850</v>
      </c>
    </row>
    <row r="12" spans="2:30" x14ac:dyDescent="0.3">
      <c r="B12" s="224" t="s">
        <v>103</v>
      </c>
      <c r="C12" s="83">
        <f t="shared" si="2"/>
        <v>11216.666666666666</v>
      </c>
      <c r="D12" s="207">
        <v>0</v>
      </c>
      <c r="E12" s="207">
        <f>+IF(E$3="PREDEV",$AD12,0)</f>
        <v>11216.666666666666</v>
      </c>
      <c r="F12" s="207">
        <f t="shared" ref="F12:AB13" si="4">+IF(F$3="PREDEV",$AD12,0)</f>
        <v>0</v>
      </c>
      <c r="G12" s="207">
        <f t="shared" si="4"/>
        <v>0</v>
      </c>
      <c r="H12" s="207">
        <f t="shared" si="4"/>
        <v>0</v>
      </c>
      <c r="I12" s="207">
        <f t="shared" si="4"/>
        <v>0</v>
      </c>
      <c r="J12" s="207">
        <f t="shared" si="4"/>
        <v>0</v>
      </c>
      <c r="K12" s="207">
        <f t="shared" si="4"/>
        <v>0</v>
      </c>
      <c r="L12" s="207">
        <f t="shared" si="4"/>
        <v>0</v>
      </c>
      <c r="M12" s="207">
        <f t="shared" si="4"/>
        <v>0</v>
      </c>
      <c r="N12" s="207">
        <f t="shared" si="4"/>
        <v>0</v>
      </c>
      <c r="O12" s="207">
        <f t="shared" si="4"/>
        <v>0</v>
      </c>
      <c r="P12" s="207">
        <f t="shared" si="4"/>
        <v>0</v>
      </c>
      <c r="Q12" s="207">
        <f t="shared" si="4"/>
        <v>0</v>
      </c>
      <c r="R12" s="207">
        <f t="shared" si="4"/>
        <v>0</v>
      </c>
      <c r="S12" s="207">
        <f t="shared" si="4"/>
        <v>0</v>
      </c>
      <c r="T12" s="207">
        <f t="shared" si="4"/>
        <v>0</v>
      </c>
      <c r="U12" s="207">
        <f t="shared" si="4"/>
        <v>0</v>
      </c>
      <c r="V12" s="207">
        <f t="shared" si="4"/>
        <v>0</v>
      </c>
      <c r="W12" s="207">
        <f t="shared" si="4"/>
        <v>0</v>
      </c>
      <c r="X12" s="207">
        <f t="shared" si="4"/>
        <v>0</v>
      </c>
      <c r="Y12" s="207">
        <f t="shared" si="4"/>
        <v>0</v>
      </c>
      <c r="Z12" s="207">
        <f t="shared" si="4"/>
        <v>0</v>
      </c>
      <c r="AA12" s="207">
        <f t="shared" si="4"/>
        <v>0</v>
      </c>
      <c r="AB12" s="225">
        <f t="shared" si="4"/>
        <v>0</v>
      </c>
      <c r="AD12" s="40">
        <f>Inputs!O24/COUNTIF($D$3:$AB$3,"PREDEV")</f>
        <v>11216.666666666666</v>
      </c>
    </row>
    <row r="13" spans="2:30" x14ac:dyDescent="0.3">
      <c r="B13" s="224" t="s">
        <v>93</v>
      </c>
      <c r="C13" s="83">
        <f t="shared" si="2"/>
        <v>12200</v>
      </c>
      <c r="D13" s="207">
        <v>0</v>
      </c>
      <c r="E13" s="207">
        <f>+IF(E$3="PREDEV",$AD13,0)</f>
        <v>12200</v>
      </c>
      <c r="F13" s="207">
        <f t="shared" si="4"/>
        <v>0</v>
      </c>
      <c r="G13" s="207">
        <f t="shared" si="4"/>
        <v>0</v>
      </c>
      <c r="H13" s="207">
        <f t="shared" si="4"/>
        <v>0</v>
      </c>
      <c r="I13" s="207">
        <f t="shared" si="4"/>
        <v>0</v>
      </c>
      <c r="J13" s="207">
        <f t="shared" si="4"/>
        <v>0</v>
      </c>
      <c r="K13" s="207">
        <f t="shared" si="4"/>
        <v>0</v>
      </c>
      <c r="L13" s="207">
        <f t="shared" si="4"/>
        <v>0</v>
      </c>
      <c r="M13" s="207">
        <f t="shared" si="4"/>
        <v>0</v>
      </c>
      <c r="N13" s="207">
        <f t="shared" si="4"/>
        <v>0</v>
      </c>
      <c r="O13" s="207">
        <f t="shared" si="4"/>
        <v>0</v>
      </c>
      <c r="P13" s="207">
        <f t="shared" si="4"/>
        <v>0</v>
      </c>
      <c r="Q13" s="207">
        <f t="shared" si="4"/>
        <v>0</v>
      </c>
      <c r="R13" s="207">
        <f t="shared" si="4"/>
        <v>0</v>
      </c>
      <c r="S13" s="207">
        <f t="shared" si="4"/>
        <v>0</v>
      </c>
      <c r="T13" s="207">
        <f t="shared" si="4"/>
        <v>0</v>
      </c>
      <c r="U13" s="207">
        <f t="shared" si="4"/>
        <v>0</v>
      </c>
      <c r="V13" s="207">
        <f t="shared" si="4"/>
        <v>0</v>
      </c>
      <c r="W13" s="207">
        <f t="shared" si="4"/>
        <v>0</v>
      </c>
      <c r="X13" s="207">
        <f t="shared" si="4"/>
        <v>0</v>
      </c>
      <c r="Y13" s="207">
        <f t="shared" si="4"/>
        <v>0</v>
      </c>
      <c r="Z13" s="207">
        <f t="shared" si="4"/>
        <v>0</v>
      </c>
      <c r="AA13" s="207">
        <f t="shared" si="4"/>
        <v>0</v>
      </c>
      <c r="AB13" s="225">
        <f t="shared" si="4"/>
        <v>0</v>
      </c>
      <c r="AD13" s="51">
        <f>Inputs!O20/COUNTIF($D$3:$AB$3,"PREDEV")</f>
        <v>12200</v>
      </c>
    </row>
    <row r="14" spans="2:30" x14ac:dyDescent="0.3">
      <c r="B14" s="224"/>
      <c r="C14" s="83"/>
      <c r="D14" s="222"/>
      <c r="E14" s="207"/>
      <c r="F14" s="222"/>
      <c r="G14" s="222"/>
      <c r="H14" s="222"/>
      <c r="I14" s="222"/>
      <c r="J14" s="222"/>
      <c r="K14" s="222"/>
      <c r="L14" s="222"/>
      <c r="M14" s="222"/>
      <c r="N14" s="222"/>
      <c r="O14" s="222"/>
      <c r="P14" s="222"/>
      <c r="Q14" s="222"/>
      <c r="R14" s="222"/>
      <c r="S14" s="222"/>
      <c r="T14" s="222"/>
      <c r="U14" s="222"/>
      <c r="V14" s="222"/>
      <c r="W14" s="222"/>
      <c r="X14" s="222"/>
      <c r="Y14" s="222"/>
      <c r="Z14" s="222"/>
      <c r="AA14" s="222"/>
      <c r="AB14" s="225"/>
      <c r="AD14" s="51"/>
    </row>
    <row r="15" spans="2:30" x14ac:dyDescent="0.3">
      <c r="B15" s="243" t="str">
        <f>+Inputs!L28</f>
        <v>Renovo Loan Origination</v>
      </c>
      <c r="C15" s="83">
        <f t="shared" si="2"/>
        <v>2677.288786666667</v>
      </c>
      <c r="D15" s="207">
        <f>Inputs!O28</f>
        <v>2677.288786666667</v>
      </c>
      <c r="E15" s="207">
        <v>0</v>
      </c>
      <c r="F15" s="207">
        <v>0</v>
      </c>
      <c r="G15" s="207">
        <v>0</v>
      </c>
      <c r="H15" s="207">
        <v>0</v>
      </c>
      <c r="I15" s="207">
        <v>0</v>
      </c>
      <c r="J15" s="207">
        <v>0</v>
      </c>
      <c r="K15" s="207">
        <v>0</v>
      </c>
      <c r="L15" s="207">
        <v>0</v>
      </c>
      <c r="M15" s="207">
        <v>0</v>
      </c>
      <c r="N15" s="207">
        <v>0</v>
      </c>
      <c r="O15" s="207">
        <v>0</v>
      </c>
      <c r="P15" s="207">
        <v>0</v>
      </c>
      <c r="Q15" s="207">
        <v>0</v>
      </c>
      <c r="R15" s="207">
        <v>0</v>
      </c>
      <c r="S15" s="207">
        <v>0</v>
      </c>
      <c r="T15" s="207">
        <v>0</v>
      </c>
      <c r="U15" s="207">
        <v>0</v>
      </c>
      <c r="V15" s="207">
        <v>0</v>
      </c>
      <c r="W15" s="207">
        <v>0</v>
      </c>
      <c r="X15" s="207">
        <v>0</v>
      </c>
      <c r="Y15" s="207">
        <v>0</v>
      </c>
      <c r="Z15" s="207">
        <v>0</v>
      </c>
      <c r="AA15" s="207">
        <v>0</v>
      </c>
      <c r="AB15" s="225">
        <v>0</v>
      </c>
      <c r="AD15" s="51"/>
    </row>
    <row r="16" spans="2:30" x14ac:dyDescent="0.3">
      <c r="B16" s="231"/>
      <c r="C16" s="83"/>
      <c r="D16" s="222"/>
      <c r="E16" s="222"/>
      <c r="F16" s="222"/>
      <c r="G16" s="222"/>
      <c r="H16" s="222"/>
      <c r="I16" s="222"/>
      <c r="J16" s="222"/>
      <c r="K16" s="222"/>
      <c r="L16" s="222"/>
      <c r="M16" s="222"/>
      <c r="N16" s="222"/>
      <c r="O16" s="222"/>
      <c r="P16" s="222"/>
      <c r="Q16" s="222"/>
      <c r="R16" s="222"/>
      <c r="S16" s="222"/>
      <c r="T16" s="222"/>
      <c r="U16" s="222"/>
      <c r="V16" s="222"/>
      <c r="W16" s="222"/>
      <c r="X16" s="222"/>
      <c r="Y16" s="222"/>
      <c r="Z16" s="222"/>
      <c r="AA16" s="222"/>
      <c r="AB16" s="223"/>
    </row>
    <row r="17" spans="2:30" x14ac:dyDescent="0.3">
      <c r="B17" s="243" t="s">
        <v>337</v>
      </c>
      <c r="C17" s="83"/>
      <c r="D17" s="222"/>
      <c r="E17" s="222"/>
      <c r="F17" s="222"/>
      <c r="G17" s="222"/>
      <c r="H17" s="222"/>
      <c r="I17" s="222"/>
      <c r="J17" s="222"/>
      <c r="K17" s="222"/>
      <c r="L17" s="222"/>
      <c r="M17" s="222"/>
      <c r="N17" s="222"/>
      <c r="O17" s="222"/>
      <c r="P17" s="222"/>
      <c r="Q17" s="222"/>
      <c r="R17" s="222"/>
      <c r="S17" s="222"/>
      <c r="T17" s="222"/>
      <c r="U17" s="222"/>
      <c r="V17" s="222"/>
      <c r="W17" s="222"/>
      <c r="X17" s="222"/>
      <c r="Y17" s="222"/>
      <c r="Z17" s="222"/>
      <c r="AA17" s="222"/>
      <c r="AB17" s="223"/>
    </row>
    <row r="18" spans="2:30" x14ac:dyDescent="0.3">
      <c r="B18" s="224" t="s">
        <v>54</v>
      </c>
      <c r="C18" s="83">
        <f t="shared" si="2"/>
        <v>133718.51</v>
      </c>
      <c r="D18" s="207">
        <v>0</v>
      </c>
      <c r="E18" s="207">
        <f t="shared" ref="E18:AB18" si="5">+IF(E3="VERTICAL",$AD$18,0)</f>
        <v>0</v>
      </c>
      <c r="F18" s="207">
        <f t="shared" si="5"/>
        <v>33429.627500000002</v>
      </c>
      <c r="G18" s="207">
        <f t="shared" si="5"/>
        <v>33429.627500000002</v>
      </c>
      <c r="H18" s="207">
        <f t="shared" si="5"/>
        <v>33429.627500000002</v>
      </c>
      <c r="I18" s="207">
        <f t="shared" si="5"/>
        <v>33429.627500000002</v>
      </c>
      <c r="J18" s="207">
        <f t="shared" si="5"/>
        <v>0</v>
      </c>
      <c r="K18" s="207">
        <f t="shared" si="5"/>
        <v>0</v>
      </c>
      <c r="L18" s="207">
        <f t="shared" si="5"/>
        <v>0</v>
      </c>
      <c r="M18" s="207">
        <f t="shared" si="5"/>
        <v>0</v>
      </c>
      <c r="N18" s="207">
        <f t="shared" si="5"/>
        <v>0</v>
      </c>
      <c r="O18" s="207">
        <f t="shared" si="5"/>
        <v>0</v>
      </c>
      <c r="P18" s="207">
        <f t="shared" si="5"/>
        <v>0</v>
      </c>
      <c r="Q18" s="207">
        <f t="shared" si="5"/>
        <v>0</v>
      </c>
      <c r="R18" s="207">
        <f t="shared" si="5"/>
        <v>0</v>
      </c>
      <c r="S18" s="207">
        <f t="shared" si="5"/>
        <v>0</v>
      </c>
      <c r="T18" s="207">
        <f t="shared" si="5"/>
        <v>0</v>
      </c>
      <c r="U18" s="207">
        <f t="shared" si="5"/>
        <v>0</v>
      </c>
      <c r="V18" s="207">
        <f t="shared" si="5"/>
        <v>0</v>
      </c>
      <c r="W18" s="207">
        <f t="shared" si="5"/>
        <v>0</v>
      </c>
      <c r="X18" s="207">
        <f t="shared" si="5"/>
        <v>0</v>
      </c>
      <c r="Y18" s="207">
        <f t="shared" si="5"/>
        <v>0</v>
      </c>
      <c r="Z18" s="207">
        <f t="shared" si="5"/>
        <v>0</v>
      </c>
      <c r="AA18" s="207">
        <f t="shared" si="5"/>
        <v>0</v>
      </c>
      <c r="AB18" s="225">
        <f t="shared" si="5"/>
        <v>0</v>
      </c>
      <c r="AD18" s="51">
        <f>Inputs!O22/COUNTIF($D$3:$AB$3,"VERTICAL")</f>
        <v>33429.627500000002</v>
      </c>
    </row>
    <row r="19" spans="2:30" x14ac:dyDescent="0.3">
      <c r="B19" s="224" t="str">
        <f>+Inputs!L23</f>
        <v>Builder Profit</v>
      </c>
      <c r="C19" s="83">
        <f t="shared" si="2"/>
        <v>26743.702000000005</v>
      </c>
      <c r="D19" s="207">
        <v>0</v>
      </c>
      <c r="E19" s="207">
        <f>+IF(E$3="VERTICAL",$AD19,0)</f>
        <v>0</v>
      </c>
      <c r="F19" s="207">
        <f t="shared" ref="F19:AB20" si="6">+IF(F$3="VERTICAL",$AD19,0)</f>
        <v>6685.9255000000012</v>
      </c>
      <c r="G19" s="207">
        <f t="shared" si="6"/>
        <v>6685.9255000000012</v>
      </c>
      <c r="H19" s="207">
        <f t="shared" si="6"/>
        <v>6685.9255000000012</v>
      </c>
      <c r="I19" s="207">
        <f t="shared" si="6"/>
        <v>6685.9255000000012</v>
      </c>
      <c r="J19" s="207">
        <f t="shared" si="6"/>
        <v>0</v>
      </c>
      <c r="K19" s="207">
        <f t="shared" si="6"/>
        <v>0</v>
      </c>
      <c r="L19" s="207">
        <f t="shared" si="6"/>
        <v>0</v>
      </c>
      <c r="M19" s="207">
        <f t="shared" si="6"/>
        <v>0</v>
      </c>
      <c r="N19" s="207">
        <f t="shared" si="6"/>
        <v>0</v>
      </c>
      <c r="O19" s="207">
        <f t="shared" si="6"/>
        <v>0</v>
      </c>
      <c r="P19" s="207">
        <f t="shared" si="6"/>
        <v>0</v>
      </c>
      <c r="Q19" s="207">
        <f t="shared" si="6"/>
        <v>0</v>
      </c>
      <c r="R19" s="207">
        <f t="shared" si="6"/>
        <v>0</v>
      </c>
      <c r="S19" s="207">
        <f t="shared" si="6"/>
        <v>0</v>
      </c>
      <c r="T19" s="207">
        <f t="shared" si="6"/>
        <v>0</v>
      </c>
      <c r="U19" s="207">
        <f t="shared" si="6"/>
        <v>0</v>
      </c>
      <c r="V19" s="207">
        <f t="shared" si="6"/>
        <v>0</v>
      </c>
      <c r="W19" s="207">
        <f t="shared" si="6"/>
        <v>0</v>
      </c>
      <c r="X19" s="207">
        <f t="shared" si="6"/>
        <v>0</v>
      </c>
      <c r="Y19" s="207">
        <f t="shared" si="6"/>
        <v>0</v>
      </c>
      <c r="Z19" s="207">
        <f t="shared" si="6"/>
        <v>0</v>
      </c>
      <c r="AA19" s="207">
        <f t="shared" si="6"/>
        <v>0</v>
      </c>
      <c r="AB19" s="225">
        <f t="shared" si="6"/>
        <v>0</v>
      </c>
      <c r="AD19" s="51">
        <f>Inputs!O23/COUNTIF($D$3:$AB$3,"VERTICAL")</f>
        <v>6685.9255000000012</v>
      </c>
    </row>
    <row r="20" spans="2:30" x14ac:dyDescent="0.3">
      <c r="B20" s="226" t="str">
        <f>+Inputs!L25</f>
        <v>General Conditions</v>
      </c>
      <c r="C20" s="84">
        <f t="shared" si="2"/>
        <v>0</v>
      </c>
      <c r="D20" s="79">
        <v>0</v>
      </c>
      <c r="E20" s="79">
        <f>+IF(E$3="VERTICAL",$AD20,0)</f>
        <v>0</v>
      </c>
      <c r="F20" s="79">
        <f t="shared" si="6"/>
        <v>0</v>
      </c>
      <c r="G20" s="79">
        <f t="shared" si="6"/>
        <v>0</v>
      </c>
      <c r="H20" s="79">
        <f t="shared" si="6"/>
        <v>0</v>
      </c>
      <c r="I20" s="79">
        <f t="shared" si="6"/>
        <v>0</v>
      </c>
      <c r="J20" s="79">
        <f t="shared" si="6"/>
        <v>0</v>
      </c>
      <c r="K20" s="79">
        <f t="shared" si="6"/>
        <v>0</v>
      </c>
      <c r="L20" s="79">
        <f t="shared" si="6"/>
        <v>0</v>
      </c>
      <c r="M20" s="79">
        <f t="shared" si="6"/>
        <v>0</v>
      </c>
      <c r="N20" s="79">
        <f t="shared" si="6"/>
        <v>0</v>
      </c>
      <c r="O20" s="79">
        <f t="shared" si="6"/>
        <v>0</v>
      </c>
      <c r="P20" s="79">
        <f t="shared" si="6"/>
        <v>0</v>
      </c>
      <c r="Q20" s="79">
        <f t="shared" si="6"/>
        <v>0</v>
      </c>
      <c r="R20" s="79">
        <f t="shared" si="6"/>
        <v>0</v>
      </c>
      <c r="S20" s="79">
        <f t="shared" si="6"/>
        <v>0</v>
      </c>
      <c r="T20" s="79">
        <f t="shared" si="6"/>
        <v>0</v>
      </c>
      <c r="U20" s="79">
        <f t="shared" si="6"/>
        <v>0</v>
      </c>
      <c r="V20" s="79">
        <f t="shared" si="6"/>
        <v>0</v>
      </c>
      <c r="W20" s="79">
        <f t="shared" si="6"/>
        <v>0</v>
      </c>
      <c r="X20" s="79">
        <f t="shared" si="6"/>
        <v>0</v>
      </c>
      <c r="Y20" s="79">
        <f t="shared" si="6"/>
        <v>0</v>
      </c>
      <c r="Z20" s="79">
        <f t="shared" si="6"/>
        <v>0</v>
      </c>
      <c r="AA20" s="79">
        <f t="shared" si="6"/>
        <v>0</v>
      </c>
      <c r="AB20" s="227">
        <f t="shared" si="6"/>
        <v>0</v>
      </c>
      <c r="AC20" s="40" t="str">
        <f>+IF(AND(AC3="VERTICAL",AB3="PREDEV"),-Inputs!$O$25,"")</f>
        <v/>
      </c>
      <c r="AD20" s="51">
        <f>Inputs!O25/COUNTIF($D$3:$AB$3,"VERTICAL")</f>
        <v>0</v>
      </c>
    </row>
    <row r="21" spans="2:30" ht="12.5" thickBot="1" x14ac:dyDescent="0.35">
      <c r="B21" s="244" t="s">
        <v>338</v>
      </c>
      <c r="C21" s="245">
        <f t="shared" ref="C21:AB21" si="7">SUM(C6:C20)</f>
        <v>305056.16745333333</v>
      </c>
      <c r="D21" s="246">
        <f t="shared" si="7"/>
        <v>114327.28878666667</v>
      </c>
      <c r="E21" s="246">
        <f t="shared" si="7"/>
        <v>30266.666666666664</v>
      </c>
      <c r="F21" s="246">
        <f t="shared" si="7"/>
        <v>40115.553</v>
      </c>
      <c r="G21" s="246">
        <f t="shared" si="7"/>
        <v>40115.553</v>
      </c>
      <c r="H21" s="246">
        <f t="shared" si="7"/>
        <v>40115.553</v>
      </c>
      <c r="I21" s="246">
        <f t="shared" si="7"/>
        <v>40115.553</v>
      </c>
      <c r="J21" s="246">
        <f t="shared" si="7"/>
        <v>0</v>
      </c>
      <c r="K21" s="246">
        <f t="shared" si="7"/>
        <v>0</v>
      </c>
      <c r="L21" s="246">
        <f t="shared" si="7"/>
        <v>0</v>
      </c>
      <c r="M21" s="246">
        <f t="shared" si="7"/>
        <v>0</v>
      </c>
      <c r="N21" s="246">
        <f t="shared" si="7"/>
        <v>0</v>
      </c>
      <c r="O21" s="246">
        <f t="shared" si="7"/>
        <v>0</v>
      </c>
      <c r="P21" s="246">
        <f t="shared" si="7"/>
        <v>0</v>
      </c>
      <c r="Q21" s="246">
        <f t="shared" si="7"/>
        <v>0</v>
      </c>
      <c r="R21" s="246">
        <f t="shared" si="7"/>
        <v>0</v>
      </c>
      <c r="S21" s="246">
        <f t="shared" si="7"/>
        <v>0</v>
      </c>
      <c r="T21" s="246">
        <f t="shared" si="7"/>
        <v>0</v>
      </c>
      <c r="U21" s="246">
        <f t="shared" si="7"/>
        <v>0</v>
      </c>
      <c r="V21" s="246">
        <f t="shared" si="7"/>
        <v>0</v>
      </c>
      <c r="W21" s="246">
        <f t="shared" si="7"/>
        <v>0</v>
      </c>
      <c r="X21" s="246">
        <f t="shared" si="7"/>
        <v>0</v>
      </c>
      <c r="Y21" s="246">
        <f t="shared" si="7"/>
        <v>0</v>
      </c>
      <c r="Z21" s="246">
        <f t="shared" si="7"/>
        <v>0</v>
      </c>
      <c r="AA21" s="246">
        <f t="shared" si="7"/>
        <v>0</v>
      </c>
      <c r="AB21" s="247">
        <f t="shared" si="7"/>
        <v>0</v>
      </c>
      <c r="AC21" s="80"/>
    </row>
    <row r="23" spans="2:30" x14ac:dyDescent="0.3">
      <c r="B23" s="256" t="s">
        <v>339</v>
      </c>
      <c r="C23" s="198">
        <f>SUM(D23:K23)</f>
        <v>0</v>
      </c>
      <c r="D23" s="51">
        <f>-Inputs!P12</f>
        <v>0</v>
      </c>
      <c r="E23" s="51">
        <v>0</v>
      </c>
      <c r="F23" s="51">
        <v>0</v>
      </c>
      <c r="G23" s="51">
        <v>0</v>
      </c>
      <c r="H23" s="51">
        <v>0</v>
      </c>
      <c r="I23" s="51">
        <v>0</v>
      </c>
      <c r="J23" s="51">
        <v>0</v>
      </c>
      <c r="K23" s="51">
        <f>-D23</f>
        <v>0</v>
      </c>
    </row>
    <row r="24" spans="2:30" ht="12.5" thickBot="1" x14ac:dyDescent="0.35"/>
    <row r="25" spans="2:30" x14ac:dyDescent="0.3">
      <c r="B25" s="239" t="s">
        <v>340</v>
      </c>
      <c r="C25" s="240"/>
      <c r="D25" s="219"/>
      <c r="E25" s="219"/>
      <c r="F25" s="219"/>
      <c r="G25" s="219"/>
      <c r="H25" s="219"/>
      <c r="I25" s="219"/>
      <c r="J25" s="219"/>
      <c r="K25" s="219"/>
      <c r="L25" s="219"/>
      <c r="M25" s="219"/>
      <c r="N25" s="219"/>
      <c r="O25" s="219"/>
      <c r="P25" s="219"/>
      <c r="Q25" s="219"/>
      <c r="R25" s="219"/>
      <c r="S25" s="219"/>
      <c r="T25" s="219"/>
      <c r="U25" s="219"/>
      <c r="V25" s="219"/>
      <c r="W25" s="219"/>
      <c r="X25" s="219"/>
      <c r="Y25" s="219"/>
      <c r="Z25" s="219"/>
      <c r="AA25" s="219"/>
      <c r="AB25" s="220"/>
    </row>
    <row r="26" spans="2:30" x14ac:dyDescent="0.3">
      <c r="B26" s="224" t="s">
        <v>174</v>
      </c>
      <c r="C26" s="83">
        <f>+SUM(D26:AB26)</f>
        <v>450000</v>
      </c>
      <c r="D26" s="207" t="str">
        <f>+IF(D3="SALE",Inputs!$I$76*buildcount*(1+'Acquisition Summary'!$R$1),"")</f>
        <v/>
      </c>
      <c r="E26" s="207" t="str">
        <f>+IF(E3="SALE",Inputs!$I$76*buildcount*(1+'Acquisition Summary'!$R$1),"")</f>
        <v/>
      </c>
      <c r="F26" s="207" t="str">
        <f>+IF(F3="SALE",Inputs!$I$76*buildcount*(1+'Acquisition Summary'!$R$1),"")</f>
        <v/>
      </c>
      <c r="G26" s="207" t="str">
        <f>+IF(G3="SALE",Inputs!$I$76*buildcount*(1+'Acquisition Summary'!$R$1),"")</f>
        <v/>
      </c>
      <c r="H26" s="207" t="str">
        <f>+IF(H3="SALE",Inputs!$I$76*buildcount*(1+'Acquisition Summary'!$R$1),"")</f>
        <v/>
      </c>
      <c r="I26" s="207" t="str">
        <f>+IF(I3="SALE",Inputs!$I$76*buildcount*(1+'Acquisition Summary'!$R$1),"")</f>
        <v/>
      </c>
      <c r="J26" s="207" t="str">
        <f>+IF(J3="SALE",Inputs!$I$76*buildcount*(1+'Acquisition Summary'!$R$1),"")</f>
        <v/>
      </c>
      <c r="K26" s="207">
        <f>+IF(K3="SALE",Inputs!$I$76*buildcount*(1+'Acquisition Summary'!$R$1),"")</f>
        <v>450000</v>
      </c>
      <c r="L26" s="207" t="str">
        <f>+IF(L3="SALE",Inputs!$I$76*buildcount*(1+'Acquisition Summary'!$R$1),"")</f>
        <v/>
      </c>
      <c r="M26" s="207" t="str">
        <f>+IF(M3="SALE",Inputs!$I$76*buildcount*(1+'Acquisition Summary'!$R$1),"")</f>
        <v/>
      </c>
      <c r="N26" s="207" t="str">
        <f>+IF(N3="SALE",Inputs!$I$76*buildcount*(1+'Acquisition Summary'!$R$1),"")</f>
        <v/>
      </c>
      <c r="O26" s="207" t="str">
        <f>+IF(O3="SALE",Inputs!$I$76*buildcount*(1+'Acquisition Summary'!$R$1),"")</f>
        <v/>
      </c>
      <c r="P26" s="207" t="str">
        <f>+IF(P3="SALE",Inputs!$I$76*buildcount*(1+'Acquisition Summary'!$R$1),"")</f>
        <v/>
      </c>
      <c r="Q26" s="207" t="str">
        <f>+IF(Q3="SALE",Inputs!$I$76*buildcount*(1+'Acquisition Summary'!$R$1),"")</f>
        <v/>
      </c>
      <c r="R26" s="207" t="str">
        <f>+IF(R3="SALE",Inputs!$I$76*buildcount*(1+'Acquisition Summary'!$R$1),"")</f>
        <v/>
      </c>
      <c r="S26" s="207" t="str">
        <f>+IF(S3="SALE",Inputs!$I$76*buildcount*(1+'Acquisition Summary'!$R$1),"")</f>
        <v/>
      </c>
      <c r="T26" s="207" t="str">
        <f>+IF(T3="SALE",Inputs!$I$76*buildcount*(1+'Acquisition Summary'!$R$1),"")</f>
        <v/>
      </c>
      <c r="U26" s="207" t="str">
        <f>+IF(U3="SALE",Inputs!$I$76*buildcount*(1+'Acquisition Summary'!$R$1),"")</f>
        <v/>
      </c>
      <c r="V26" s="207" t="str">
        <f>+IF(V3="SALE",Inputs!$I$76*buildcount*(1+'Acquisition Summary'!$R$1),"")</f>
        <v/>
      </c>
      <c r="W26" s="207" t="str">
        <f>+IF(W3="SALE",Inputs!$I$76*buildcount*(1+'Acquisition Summary'!$R$1),"")</f>
        <v/>
      </c>
      <c r="X26" s="207" t="str">
        <f>+IF(X3="SALE",Inputs!$I$76*buildcount*(1+'Acquisition Summary'!$R$1),"")</f>
        <v/>
      </c>
      <c r="Y26" s="207" t="str">
        <f>+IF(Y3="SALE",Inputs!$I$76*buildcount*(1+'Acquisition Summary'!$R$1),"")</f>
        <v/>
      </c>
      <c r="Z26" s="207" t="str">
        <f>+IF(Z3="SALE",Inputs!$I$76*buildcount*(1+'Acquisition Summary'!$R$1),"")</f>
        <v/>
      </c>
      <c r="AA26" s="207" t="str">
        <f>+IF(AA3="SALE",Inputs!$I$76*buildcount*(1+'Acquisition Summary'!$R$1),"")</f>
        <v/>
      </c>
      <c r="AB26" s="225" t="str">
        <f>+IF(AB3="SALE",Inputs!$I$76*buildcount*(1+'Acquisition Summary'!$R$1),"")</f>
        <v/>
      </c>
    </row>
    <row r="27" spans="2:30" x14ac:dyDescent="0.3">
      <c r="B27" s="224" t="s">
        <v>205</v>
      </c>
      <c r="C27" s="83">
        <f t="shared" ref="C27:C29" si="8">+SUM(D27:AB27)</f>
        <v>-10000</v>
      </c>
      <c r="D27" s="207" t="str">
        <f>+IF(D3="SALE",-Inputs!$D$88,"")</f>
        <v/>
      </c>
      <c r="E27" s="207" t="str">
        <f>+IF(E3="SALE",-Inputs!$D$88,"")</f>
        <v/>
      </c>
      <c r="F27" s="207" t="str">
        <f>+IF(F3="SALE",-Inputs!$D$88,"")</f>
        <v/>
      </c>
      <c r="G27" s="207" t="str">
        <f>+IF(G3="SALE",-Inputs!$D$88,"")</f>
        <v/>
      </c>
      <c r="H27" s="207" t="str">
        <f>+IF(H3="SALE",-Inputs!$D$88,"")</f>
        <v/>
      </c>
      <c r="I27" s="207" t="str">
        <f>+IF(I3="SALE",-Inputs!$D$88,"")</f>
        <v/>
      </c>
      <c r="J27" s="207" t="str">
        <f>+IF(J3="SALE",-Inputs!$D$88,"")</f>
        <v/>
      </c>
      <c r="K27" s="207">
        <f>+IF(K3="SALE",-Inputs!$D$88,"")</f>
        <v>-10000</v>
      </c>
      <c r="L27" s="207" t="str">
        <f>+IF(L3="SALE",-Inputs!$D$88,"")</f>
        <v/>
      </c>
      <c r="M27" s="207" t="str">
        <f>+IF(M3="SALE",-Inputs!$D$88,"")</f>
        <v/>
      </c>
      <c r="N27" s="207" t="str">
        <f>+IF(N3="SALE",-Inputs!$D$88,"")</f>
        <v/>
      </c>
      <c r="O27" s="207" t="str">
        <f>+IF(O3="SALE",-Inputs!$D$88,"")</f>
        <v/>
      </c>
      <c r="P27" s="207" t="str">
        <f>+IF(P3="SALE",-Inputs!$D$88,"")</f>
        <v/>
      </c>
      <c r="Q27" s="207" t="str">
        <f>+IF(Q3="SALE",-Inputs!$D$88,"")</f>
        <v/>
      </c>
      <c r="R27" s="207" t="str">
        <f>+IF(R3="SALE",-Inputs!$D$88,"")</f>
        <v/>
      </c>
      <c r="S27" s="207" t="str">
        <f>+IF(S3="SALE",-Inputs!$D$88,"")</f>
        <v/>
      </c>
      <c r="T27" s="207" t="str">
        <f>+IF(T3="SALE",-Inputs!$D$88,"")</f>
        <v/>
      </c>
      <c r="U27" s="207" t="str">
        <f>+IF(U3="SALE",-Inputs!$D$88,"")</f>
        <v/>
      </c>
      <c r="V27" s="207" t="str">
        <f>+IF(V3="SALE",-Inputs!$D$88,"")</f>
        <v/>
      </c>
      <c r="W27" s="207" t="str">
        <f>+IF(W3="SALE",-Inputs!$D$88,"")</f>
        <v/>
      </c>
      <c r="X27" s="207" t="str">
        <f>+IF(X3="SALE",-Inputs!$D$88,"")</f>
        <v/>
      </c>
      <c r="Y27" s="207" t="str">
        <f>+IF(Y3="SALE",-Inputs!$D$88,"")</f>
        <v/>
      </c>
      <c r="Z27" s="207" t="str">
        <f>+IF(Z3="SALE",-Inputs!$D$88,"")</f>
        <v/>
      </c>
      <c r="AA27" s="207" t="str">
        <f>+IF(AA3="SALE",-Inputs!$D$88,"")</f>
        <v/>
      </c>
      <c r="AB27" s="225" t="str">
        <f>+IF(AB3="SALE",-Inputs!$D$88,"")</f>
        <v/>
      </c>
    </row>
    <row r="28" spans="2:30" x14ac:dyDescent="0.3">
      <c r="B28" s="226" t="s">
        <v>341</v>
      </c>
      <c r="C28" s="84">
        <f t="shared" si="8"/>
        <v>-24750</v>
      </c>
      <c r="D28" s="85" t="str">
        <f>IF(D3="SALE",-Inputs!$D$89,"")</f>
        <v/>
      </c>
      <c r="E28" s="79" t="str">
        <f>IF(E3="SALE",-Inputs!$D$89-Inputs!$D$85-Inputs!$D$86,"")</f>
        <v/>
      </c>
      <c r="F28" s="79" t="str">
        <f>IF(F3="SALE",-Inputs!$D$89-Inputs!$D$85-Inputs!$D$86,"")</f>
        <v/>
      </c>
      <c r="G28" s="79" t="str">
        <f>IF(G3="SALE",-Inputs!$D$89-Inputs!$D$85-Inputs!$D$86,"")</f>
        <v/>
      </c>
      <c r="H28" s="79" t="str">
        <f>IF(H3="SALE",-Inputs!$D$89-Inputs!$D$85-Inputs!$D$86,"")</f>
        <v/>
      </c>
      <c r="I28" s="79" t="str">
        <f>IF(I3="SALE",-Inputs!$D$89-Inputs!$D$85-Inputs!$D$86,"")</f>
        <v/>
      </c>
      <c r="J28" s="79" t="str">
        <f>IF(J3="SALE",-Inputs!$D$89-Inputs!$D$85-Inputs!$D$86,"")</f>
        <v/>
      </c>
      <c r="K28" s="79">
        <f>IF(K3="SALE",-Inputs!$D$89-Inputs!$D$85-Inputs!$D$86,"")</f>
        <v>-24750</v>
      </c>
      <c r="L28" s="79" t="str">
        <f>IF(L3="SALE",-Inputs!$D$89-Inputs!$D$85-Inputs!$D$86,"")</f>
        <v/>
      </c>
      <c r="M28" s="79" t="str">
        <f>IF(M3="SALE",-Inputs!$D$89-Inputs!$D$85-Inputs!$D$86,"")</f>
        <v/>
      </c>
      <c r="N28" s="79" t="str">
        <f>IF(N3="SALE",-Inputs!$D$89-Inputs!$D$85-Inputs!$D$86,"")</f>
        <v/>
      </c>
      <c r="O28" s="79" t="str">
        <f>IF(O3="SALE",-Inputs!$D$89-Inputs!$D$85-Inputs!$D$86,"")</f>
        <v/>
      </c>
      <c r="P28" s="79" t="str">
        <f>IF(P3="SALE",-Inputs!$D$89-Inputs!$D$85-Inputs!$D$86,"")</f>
        <v/>
      </c>
      <c r="Q28" s="79" t="str">
        <f>IF(Q3="SALE",-Inputs!$D$89-Inputs!$D$85-Inputs!$D$86,"")</f>
        <v/>
      </c>
      <c r="R28" s="79" t="str">
        <f>IF(R3="SALE",-Inputs!$D$89-Inputs!$D$85-Inputs!$D$86,"")</f>
        <v/>
      </c>
      <c r="S28" s="79" t="str">
        <f>IF(S3="SALE",-Inputs!$D$89-Inputs!$D$85-Inputs!$D$86,"")</f>
        <v/>
      </c>
      <c r="T28" s="79" t="str">
        <f>IF(T3="SALE",-Inputs!$D$89-Inputs!$D$85-Inputs!$D$86,"")</f>
        <v/>
      </c>
      <c r="U28" s="79" t="str">
        <f>IF(U3="SALE",-Inputs!$D$89-Inputs!$D$85-Inputs!$D$86,"")</f>
        <v/>
      </c>
      <c r="V28" s="79" t="str">
        <f>IF(V3="SALE",-Inputs!$D$89-Inputs!$D$85-Inputs!$D$86,"")</f>
        <v/>
      </c>
      <c r="W28" s="79" t="str">
        <f>IF(W3="SALE",-Inputs!$D$89-Inputs!$D$85-Inputs!$D$86,"")</f>
        <v/>
      </c>
      <c r="X28" s="79" t="str">
        <f>IF(X3="SALE",-Inputs!$D$89-Inputs!$D$85-Inputs!$D$86,"")</f>
        <v/>
      </c>
      <c r="Y28" s="79" t="str">
        <f>IF(Y3="SALE",-Inputs!$D$89-Inputs!$D$85-Inputs!$D$86,"")</f>
        <v/>
      </c>
      <c r="Z28" s="79" t="str">
        <f>IF(Z3="SALE",-Inputs!$D$89-Inputs!$D$85-Inputs!$D$86,"")</f>
        <v/>
      </c>
      <c r="AA28" s="79" t="str">
        <f>IF(AA3="SALE",-Inputs!$D$89-Inputs!$D$85-Inputs!$D$86,"")</f>
        <v/>
      </c>
      <c r="AB28" s="227" t="str">
        <f>IF(AB3="SALE",-Inputs!$D$89-Inputs!$D$85-Inputs!$D$86,"")</f>
        <v/>
      </c>
      <c r="AC28" s="51"/>
    </row>
    <row r="29" spans="2:30" ht="12.75" customHeight="1" thickBot="1" x14ac:dyDescent="0.35">
      <c r="B29" s="233" t="s">
        <v>178</v>
      </c>
      <c r="C29" s="234">
        <f t="shared" si="8"/>
        <v>415250</v>
      </c>
      <c r="D29" s="235">
        <f t="shared" ref="D29:AB29" si="9">SUM(D26:D28)</f>
        <v>0</v>
      </c>
      <c r="E29" s="235">
        <f t="shared" si="9"/>
        <v>0</v>
      </c>
      <c r="F29" s="235">
        <f t="shared" si="9"/>
        <v>0</v>
      </c>
      <c r="G29" s="235">
        <f t="shared" si="9"/>
        <v>0</v>
      </c>
      <c r="H29" s="235">
        <f t="shared" si="9"/>
        <v>0</v>
      </c>
      <c r="I29" s="235">
        <f t="shared" si="9"/>
        <v>0</v>
      </c>
      <c r="J29" s="235">
        <f t="shared" si="9"/>
        <v>0</v>
      </c>
      <c r="K29" s="235">
        <f t="shared" si="9"/>
        <v>415250</v>
      </c>
      <c r="L29" s="235">
        <f t="shared" si="9"/>
        <v>0</v>
      </c>
      <c r="M29" s="235">
        <f t="shared" si="9"/>
        <v>0</v>
      </c>
      <c r="N29" s="235">
        <f t="shared" si="9"/>
        <v>0</v>
      </c>
      <c r="O29" s="235">
        <f t="shared" si="9"/>
        <v>0</v>
      </c>
      <c r="P29" s="235">
        <f t="shared" si="9"/>
        <v>0</v>
      </c>
      <c r="Q29" s="235">
        <f t="shared" si="9"/>
        <v>0</v>
      </c>
      <c r="R29" s="235">
        <f t="shared" si="9"/>
        <v>0</v>
      </c>
      <c r="S29" s="235">
        <f t="shared" si="9"/>
        <v>0</v>
      </c>
      <c r="T29" s="235">
        <f t="shared" si="9"/>
        <v>0</v>
      </c>
      <c r="U29" s="235">
        <f t="shared" si="9"/>
        <v>0</v>
      </c>
      <c r="V29" s="235">
        <f t="shared" si="9"/>
        <v>0</v>
      </c>
      <c r="W29" s="235">
        <f t="shared" si="9"/>
        <v>0</v>
      </c>
      <c r="X29" s="235">
        <f t="shared" si="9"/>
        <v>0</v>
      </c>
      <c r="Y29" s="235">
        <f t="shared" si="9"/>
        <v>0</v>
      </c>
      <c r="Z29" s="235">
        <f t="shared" si="9"/>
        <v>0</v>
      </c>
      <c r="AA29" s="235">
        <f t="shared" si="9"/>
        <v>0</v>
      </c>
      <c r="AB29" s="236">
        <f t="shared" si="9"/>
        <v>0</v>
      </c>
    </row>
    <row r="30" spans="2:30" ht="12.75" customHeight="1" x14ac:dyDescent="0.3">
      <c r="B30" s="50"/>
    </row>
    <row r="31" spans="2:30" ht="12.5" thickBot="1" x14ac:dyDescent="0.35"/>
    <row r="32" spans="2:30" x14ac:dyDescent="0.3">
      <c r="B32" s="239" t="str">
        <f>+Inputs!D92 &amp;" Vertical Loan"</f>
        <v>Renovo Vertical Loan</v>
      </c>
      <c r="C32" s="248">
        <f>+Inputs!O6</f>
        <v>267728.87866666669</v>
      </c>
      <c r="D32" s="219"/>
      <c r="E32" s="219"/>
      <c r="F32" s="219"/>
      <c r="G32" s="219"/>
      <c r="H32" s="219"/>
      <c r="I32" s="219"/>
      <c r="J32" s="219"/>
      <c r="K32" s="219"/>
      <c r="L32" s="219"/>
      <c r="M32" s="219"/>
      <c r="N32" s="219"/>
      <c r="O32" s="219"/>
      <c r="P32" s="219"/>
      <c r="Q32" s="219"/>
      <c r="R32" s="219"/>
      <c r="S32" s="219"/>
      <c r="T32" s="219"/>
      <c r="U32" s="219"/>
      <c r="V32" s="219"/>
      <c r="W32" s="219"/>
      <c r="X32" s="219"/>
      <c r="Y32" s="219"/>
      <c r="Z32" s="219"/>
      <c r="AA32" s="219"/>
      <c r="AB32" s="220"/>
    </row>
    <row r="33" spans="2:28" x14ac:dyDescent="0.3">
      <c r="B33" s="224" t="s">
        <v>342</v>
      </c>
      <c r="C33" s="44"/>
      <c r="D33" s="207">
        <v>0</v>
      </c>
      <c r="E33" s="207">
        <f ca="1">+D38</f>
        <v>76999.999999999985</v>
      </c>
      <c r="F33" s="207">
        <f t="shared" ref="F33:J33" ca="1" si="10">+E38</f>
        <v>107266.66666666666</v>
      </c>
      <c r="G33" s="207">
        <f t="shared" ca="1" si="10"/>
        <v>147382.21966666664</v>
      </c>
      <c r="H33" s="207">
        <f t="shared" ca="1" si="10"/>
        <v>187497.77266666666</v>
      </c>
      <c r="I33" s="207">
        <f t="shared" ca="1" si="10"/>
        <v>227613.32566666667</v>
      </c>
      <c r="J33" s="207">
        <f t="shared" ca="1" si="10"/>
        <v>267728.87866666669</v>
      </c>
      <c r="K33" s="207">
        <f t="shared" ref="K33:AB33" ca="1" si="11">+J38</f>
        <v>267728.87866666669</v>
      </c>
      <c r="L33" s="207">
        <f t="shared" ca="1" si="11"/>
        <v>0</v>
      </c>
      <c r="M33" s="207">
        <f ca="1">+L38</f>
        <v>0</v>
      </c>
      <c r="N33" s="207">
        <f t="shared" ca="1" si="11"/>
        <v>0</v>
      </c>
      <c r="O33" s="207">
        <f t="shared" ca="1" si="11"/>
        <v>0</v>
      </c>
      <c r="P33" s="207">
        <f t="shared" ca="1" si="11"/>
        <v>0</v>
      </c>
      <c r="Q33" s="207">
        <f t="shared" ca="1" si="11"/>
        <v>0</v>
      </c>
      <c r="R33" s="207">
        <f t="shared" ca="1" si="11"/>
        <v>0</v>
      </c>
      <c r="S33" s="207">
        <f t="shared" ca="1" si="11"/>
        <v>0</v>
      </c>
      <c r="T33" s="207">
        <f t="shared" ca="1" si="11"/>
        <v>0</v>
      </c>
      <c r="U33" s="207">
        <f t="shared" ca="1" si="11"/>
        <v>0</v>
      </c>
      <c r="V33" s="207">
        <f t="shared" ca="1" si="11"/>
        <v>0</v>
      </c>
      <c r="W33" s="207">
        <f t="shared" ca="1" si="11"/>
        <v>0</v>
      </c>
      <c r="X33" s="207">
        <f t="shared" ca="1" si="11"/>
        <v>0</v>
      </c>
      <c r="Y33" s="207">
        <f t="shared" ca="1" si="11"/>
        <v>0</v>
      </c>
      <c r="Z33" s="207">
        <f t="shared" ca="1" si="11"/>
        <v>0</v>
      </c>
      <c r="AA33" s="207">
        <f t="shared" ca="1" si="11"/>
        <v>0</v>
      </c>
      <c r="AB33" s="225">
        <f t="shared" ca="1" si="11"/>
        <v>0</v>
      </c>
    </row>
    <row r="34" spans="2:28" x14ac:dyDescent="0.3">
      <c r="B34" s="224" t="s">
        <v>343</v>
      </c>
      <c r="C34" s="83">
        <f ca="1">+SUM(D34:AB34)</f>
        <v>267728.87866666669</v>
      </c>
      <c r="D34" s="207">
        <f ca="1">+Inputs!P6</f>
        <v>76999.999999999985</v>
      </c>
      <c r="E34" s="207">
        <f ca="1">+MIN(E21,$C$32-E33)</f>
        <v>30266.666666666664</v>
      </c>
      <c r="F34" s="207">
        <f t="shared" ref="F34:AB34" ca="1" si="12">+MIN(F21,$C$32-F33)</f>
        <v>40115.553</v>
      </c>
      <c r="G34" s="207">
        <f t="shared" ca="1" si="12"/>
        <v>40115.553</v>
      </c>
      <c r="H34" s="207">
        <f t="shared" ca="1" si="12"/>
        <v>40115.553</v>
      </c>
      <c r="I34" s="207">
        <f t="shared" ca="1" si="12"/>
        <v>40115.553</v>
      </c>
      <c r="J34" s="207">
        <f t="shared" ca="1" si="12"/>
        <v>0</v>
      </c>
      <c r="K34" s="207">
        <f t="shared" ca="1" si="12"/>
        <v>0</v>
      </c>
      <c r="L34" s="207">
        <f t="shared" ca="1" si="12"/>
        <v>0</v>
      </c>
      <c r="M34" s="207">
        <f t="shared" ca="1" si="12"/>
        <v>0</v>
      </c>
      <c r="N34" s="207">
        <f t="shared" ca="1" si="12"/>
        <v>0</v>
      </c>
      <c r="O34" s="207">
        <f t="shared" ca="1" si="12"/>
        <v>0</v>
      </c>
      <c r="P34" s="207">
        <f t="shared" ca="1" si="12"/>
        <v>0</v>
      </c>
      <c r="Q34" s="207">
        <f t="shared" ca="1" si="12"/>
        <v>0</v>
      </c>
      <c r="R34" s="207">
        <f t="shared" ca="1" si="12"/>
        <v>0</v>
      </c>
      <c r="S34" s="207">
        <f t="shared" ca="1" si="12"/>
        <v>0</v>
      </c>
      <c r="T34" s="207">
        <f t="shared" ca="1" si="12"/>
        <v>0</v>
      </c>
      <c r="U34" s="207">
        <f t="shared" ca="1" si="12"/>
        <v>0</v>
      </c>
      <c r="V34" s="207">
        <f t="shared" ca="1" si="12"/>
        <v>0</v>
      </c>
      <c r="W34" s="207">
        <f t="shared" ca="1" si="12"/>
        <v>0</v>
      </c>
      <c r="X34" s="207">
        <f t="shared" ca="1" si="12"/>
        <v>0</v>
      </c>
      <c r="Y34" s="207">
        <f t="shared" ca="1" si="12"/>
        <v>0</v>
      </c>
      <c r="Z34" s="207">
        <f t="shared" ca="1" si="12"/>
        <v>0</v>
      </c>
      <c r="AA34" s="207">
        <f t="shared" ca="1" si="12"/>
        <v>0</v>
      </c>
      <c r="AB34" s="225">
        <f t="shared" ca="1" si="12"/>
        <v>0</v>
      </c>
    </row>
    <row r="35" spans="2:28" x14ac:dyDescent="0.3">
      <c r="B35" s="224" t="s">
        <v>344</v>
      </c>
      <c r="C35" s="83">
        <f t="shared" ref="C35:C37" ca="1" si="13">+SUM(D35:AB35)</f>
        <v>10952.276546249999</v>
      </c>
      <c r="D35" s="207">
        <v>0</v>
      </c>
      <c r="E35" s="207">
        <f ca="1">+E33*Inputs!$N$29/12</f>
        <v>657.70833333333314</v>
      </c>
      <c r="F35" s="207">
        <f ca="1">+F33*Inputs!$N$29/12</f>
        <v>916.23611111111097</v>
      </c>
      <c r="G35" s="207">
        <f ca="1">+G33*Inputs!$N$29/12</f>
        <v>1258.8897929861107</v>
      </c>
      <c r="H35" s="207">
        <f ca="1">+H33*Inputs!$N$29/12</f>
        <v>1601.5434748611108</v>
      </c>
      <c r="I35" s="207">
        <f ca="1">+I33*Inputs!$N$29/12</f>
        <v>1944.1971567361109</v>
      </c>
      <c r="J35" s="207">
        <f ca="1">+J33*Inputs!$N$29/12</f>
        <v>2286.8508386111112</v>
      </c>
      <c r="K35" s="207">
        <f ca="1">+K33*Inputs!$N$29/12</f>
        <v>2286.8508386111112</v>
      </c>
      <c r="L35" s="207">
        <f ca="1">+L33*Inputs!$N$29/12</f>
        <v>0</v>
      </c>
      <c r="M35" s="207">
        <f ca="1">+M33*Inputs!$N$29/12</f>
        <v>0</v>
      </c>
      <c r="N35" s="207">
        <f ca="1">+N33*Inputs!$N$29/12</f>
        <v>0</v>
      </c>
      <c r="O35" s="207">
        <f ca="1">+O33*Inputs!$N$29/12</f>
        <v>0</v>
      </c>
      <c r="P35" s="207">
        <f ca="1">+P33*Inputs!$N$29/12</f>
        <v>0</v>
      </c>
      <c r="Q35" s="207">
        <f ca="1">+Q33*Inputs!$N$29/12</f>
        <v>0</v>
      </c>
      <c r="R35" s="207">
        <f ca="1">+R33*Inputs!$N$29/12</f>
        <v>0</v>
      </c>
      <c r="S35" s="207">
        <f ca="1">+S33*Inputs!$N$29/12</f>
        <v>0</v>
      </c>
      <c r="T35" s="207">
        <f ca="1">+T33*Inputs!$N$29/12</f>
        <v>0</v>
      </c>
      <c r="U35" s="207">
        <f ca="1">+U33*Inputs!$N$29/12</f>
        <v>0</v>
      </c>
      <c r="V35" s="207">
        <f ca="1">+V33*Inputs!$N$29/12</f>
        <v>0</v>
      </c>
      <c r="W35" s="207">
        <f ca="1">+W33*Inputs!$N$29/12</f>
        <v>0</v>
      </c>
      <c r="X35" s="207">
        <f ca="1">+X33*Inputs!$N$29/12</f>
        <v>0</v>
      </c>
      <c r="Y35" s="207">
        <f ca="1">+Y33*Inputs!$N$29/12</f>
        <v>0</v>
      </c>
      <c r="Z35" s="207">
        <f ca="1">+Z33*Inputs!$N$29/12</f>
        <v>0</v>
      </c>
      <c r="AA35" s="207">
        <f ca="1">+AA33*Inputs!$N$29/12</f>
        <v>0</v>
      </c>
      <c r="AB35" s="225">
        <f ca="1">+AB33*Inputs!$N$29/12</f>
        <v>0</v>
      </c>
    </row>
    <row r="36" spans="2:28" x14ac:dyDescent="0.3">
      <c r="B36" s="224" t="s">
        <v>345</v>
      </c>
      <c r="C36" s="83">
        <f t="shared" ca="1" si="13"/>
        <v>-10952.276546249999</v>
      </c>
      <c r="D36" s="207">
        <f>-D35</f>
        <v>0</v>
      </c>
      <c r="E36" s="207">
        <f ca="1">-E35</f>
        <v>-657.70833333333314</v>
      </c>
      <c r="F36" s="207">
        <f t="shared" ref="F36:AB36" ca="1" si="14">-F35</f>
        <v>-916.23611111111097</v>
      </c>
      <c r="G36" s="207">
        <f t="shared" ca="1" si="14"/>
        <v>-1258.8897929861107</v>
      </c>
      <c r="H36" s="207">
        <f t="shared" ca="1" si="14"/>
        <v>-1601.5434748611108</v>
      </c>
      <c r="I36" s="207">
        <f t="shared" ca="1" si="14"/>
        <v>-1944.1971567361109</v>
      </c>
      <c r="J36" s="207">
        <f t="shared" ca="1" si="14"/>
        <v>-2286.8508386111112</v>
      </c>
      <c r="K36" s="207">
        <f t="shared" ca="1" si="14"/>
        <v>-2286.8508386111112</v>
      </c>
      <c r="L36" s="207">
        <f t="shared" ca="1" si="14"/>
        <v>0</v>
      </c>
      <c r="M36" s="207">
        <f t="shared" ca="1" si="14"/>
        <v>0</v>
      </c>
      <c r="N36" s="207">
        <f t="shared" ca="1" si="14"/>
        <v>0</v>
      </c>
      <c r="O36" s="207">
        <f t="shared" ca="1" si="14"/>
        <v>0</v>
      </c>
      <c r="P36" s="207">
        <f t="shared" ca="1" si="14"/>
        <v>0</v>
      </c>
      <c r="Q36" s="207">
        <f t="shared" ca="1" si="14"/>
        <v>0</v>
      </c>
      <c r="R36" s="207">
        <f t="shared" ca="1" si="14"/>
        <v>0</v>
      </c>
      <c r="S36" s="207">
        <f t="shared" ca="1" si="14"/>
        <v>0</v>
      </c>
      <c r="T36" s="207">
        <f t="shared" ca="1" si="14"/>
        <v>0</v>
      </c>
      <c r="U36" s="207">
        <f t="shared" ca="1" si="14"/>
        <v>0</v>
      </c>
      <c r="V36" s="207">
        <f t="shared" ca="1" si="14"/>
        <v>0</v>
      </c>
      <c r="W36" s="207">
        <f t="shared" ca="1" si="14"/>
        <v>0</v>
      </c>
      <c r="X36" s="207">
        <f t="shared" ca="1" si="14"/>
        <v>0</v>
      </c>
      <c r="Y36" s="207">
        <f t="shared" ca="1" si="14"/>
        <v>0</v>
      </c>
      <c r="Z36" s="207">
        <f t="shared" ca="1" si="14"/>
        <v>0</v>
      </c>
      <c r="AA36" s="207">
        <f t="shared" ca="1" si="14"/>
        <v>0</v>
      </c>
      <c r="AB36" s="225">
        <f t="shared" ca="1" si="14"/>
        <v>0</v>
      </c>
    </row>
    <row r="37" spans="2:28" x14ac:dyDescent="0.3">
      <c r="B37" s="226" t="s">
        <v>346</v>
      </c>
      <c r="C37" s="84">
        <f t="shared" ca="1" si="13"/>
        <v>-267728.87866666669</v>
      </c>
      <c r="D37" s="79">
        <v>0</v>
      </c>
      <c r="E37" s="79">
        <f t="shared" ref="E37:AB37" si="15">-IF(E29&gt;0,MIN(SUM(E33:E36),E29),0)</f>
        <v>0</v>
      </c>
      <c r="F37" s="79">
        <f t="shared" si="15"/>
        <v>0</v>
      </c>
      <c r="G37" s="79">
        <f t="shared" si="15"/>
        <v>0</v>
      </c>
      <c r="H37" s="79">
        <f t="shared" si="15"/>
        <v>0</v>
      </c>
      <c r="I37" s="79">
        <f t="shared" si="15"/>
        <v>0</v>
      </c>
      <c r="J37" s="79">
        <f t="shared" si="15"/>
        <v>0</v>
      </c>
      <c r="K37" s="79">
        <f t="shared" ca="1" si="15"/>
        <v>-267728.87866666669</v>
      </c>
      <c r="L37" s="79">
        <f t="shared" si="15"/>
        <v>0</v>
      </c>
      <c r="M37" s="79">
        <f t="shared" si="15"/>
        <v>0</v>
      </c>
      <c r="N37" s="79">
        <f t="shared" si="15"/>
        <v>0</v>
      </c>
      <c r="O37" s="79">
        <f t="shared" si="15"/>
        <v>0</v>
      </c>
      <c r="P37" s="79">
        <f t="shared" si="15"/>
        <v>0</v>
      </c>
      <c r="Q37" s="79">
        <f t="shared" si="15"/>
        <v>0</v>
      </c>
      <c r="R37" s="79">
        <f t="shared" si="15"/>
        <v>0</v>
      </c>
      <c r="S37" s="79">
        <f t="shared" si="15"/>
        <v>0</v>
      </c>
      <c r="T37" s="79">
        <f t="shared" si="15"/>
        <v>0</v>
      </c>
      <c r="U37" s="79">
        <f t="shared" si="15"/>
        <v>0</v>
      </c>
      <c r="V37" s="79">
        <f t="shared" si="15"/>
        <v>0</v>
      </c>
      <c r="W37" s="79">
        <f t="shared" si="15"/>
        <v>0</v>
      </c>
      <c r="X37" s="79">
        <f t="shared" si="15"/>
        <v>0</v>
      </c>
      <c r="Y37" s="79">
        <f t="shared" si="15"/>
        <v>0</v>
      </c>
      <c r="Z37" s="79">
        <f t="shared" si="15"/>
        <v>0</v>
      </c>
      <c r="AA37" s="79">
        <f t="shared" si="15"/>
        <v>0</v>
      </c>
      <c r="AB37" s="227">
        <f t="shared" si="15"/>
        <v>0</v>
      </c>
    </row>
    <row r="38" spans="2:28" ht="12.5" thickBot="1" x14ac:dyDescent="0.35">
      <c r="B38" s="249" t="s">
        <v>347</v>
      </c>
      <c r="C38" s="250"/>
      <c r="D38" s="251">
        <f ca="1">SUM(D33:D37)</f>
        <v>76999.999999999985</v>
      </c>
      <c r="E38" s="251">
        <f ca="1">SUM(E33:E37)</f>
        <v>107266.66666666666</v>
      </c>
      <c r="F38" s="251">
        <f t="shared" ref="F38:J38" ca="1" si="16">SUM(F33:F37)</f>
        <v>147382.21966666664</v>
      </c>
      <c r="G38" s="251">
        <f t="shared" ca="1" si="16"/>
        <v>187497.77266666666</v>
      </c>
      <c r="H38" s="251">
        <f t="shared" ca="1" si="16"/>
        <v>227613.32566666667</v>
      </c>
      <c r="I38" s="251">
        <f t="shared" ca="1" si="16"/>
        <v>267728.87866666669</v>
      </c>
      <c r="J38" s="251">
        <f t="shared" ca="1" si="16"/>
        <v>267728.87866666669</v>
      </c>
      <c r="K38" s="251">
        <f t="shared" ref="K38" ca="1" si="17">SUM(K33:K37)</f>
        <v>0</v>
      </c>
      <c r="L38" s="251">
        <f t="shared" ref="L38" ca="1" si="18">SUM(L33:L37)</f>
        <v>0</v>
      </c>
      <c r="M38" s="251">
        <f t="shared" ref="M38" ca="1" si="19">SUM(M33:M37)</f>
        <v>0</v>
      </c>
      <c r="N38" s="251">
        <f t="shared" ref="N38" ca="1" si="20">SUM(N33:N37)</f>
        <v>0</v>
      </c>
      <c r="O38" s="251">
        <f t="shared" ref="O38" ca="1" si="21">SUM(O33:O37)</f>
        <v>0</v>
      </c>
      <c r="P38" s="251">
        <f t="shared" ref="P38" ca="1" si="22">SUM(P33:P37)</f>
        <v>0</v>
      </c>
      <c r="Q38" s="251">
        <f t="shared" ref="Q38" ca="1" si="23">SUM(Q33:Q37)</f>
        <v>0</v>
      </c>
      <c r="R38" s="251">
        <f t="shared" ref="R38" ca="1" si="24">SUM(R33:R37)</f>
        <v>0</v>
      </c>
      <c r="S38" s="251">
        <f t="shared" ref="S38" ca="1" si="25">SUM(S33:S37)</f>
        <v>0</v>
      </c>
      <c r="T38" s="251">
        <f t="shared" ref="T38" ca="1" si="26">SUM(T33:T37)</f>
        <v>0</v>
      </c>
      <c r="U38" s="251">
        <f t="shared" ref="U38" ca="1" si="27">SUM(U33:U37)</f>
        <v>0</v>
      </c>
      <c r="V38" s="251">
        <f t="shared" ref="V38" ca="1" si="28">SUM(V33:V37)</f>
        <v>0</v>
      </c>
      <c r="W38" s="251">
        <f t="shared" ref="W38" ca="1" si="29">SUM(W33:W37)</f>
        <v>0</v>
      </c>
      <c r="X38" s="251">
        <f t="shared" ref="X38" ca="1" si="30">SUM(X33:X37)</f>
        <v>0</v>
      </c>
      <c r="Y38" s="251">
        <f t="shared" ref="Y38" ca="1" si="31">SUM(Y33:Y37)</f>
        <v>0</v>
      </c>
      <c r="Z38" s="251">
        <f t="shared" ref="Z38" ca="1" si="32">SUM(Z33:Z37)</f>
        <v>0</v>
      </c>
      <c r="AA38" s="251">
        <f t="shared" ref="AA38" ca="1" si="33">SUM(AA33:AA37)</f>
        <v>0</v>
      </c>
      <c r="AB38" s="252">
        <f t="shared" ref="AB38" ca="1" si="34">SUM(AB33:AB37)</f>
        <v>0</v>
      </c>
    </row>
    <row r="39" spans="2:28" ht="12.5" thickBot="1" x14ac:dyDescent="0.35"/>
    <row r="40" spans="2:28" x14ac:dyDescent="0.3">
      <c r="B40" s="239" t="s">
        <v>143</v>
      </c>
      <c r="C40" s="253"/>
      <c r="D40" s="219"/>
      <c r="E40" s="219"/>
      <c r="F40" s="219"/>
      <c r="G40" s="219"/>
      <c r="H40" s="219"/>
      <c r="I40" s="219"/>
      <c r="J40" s="219"/>
      <c r="K40" s="219"/>
      <c r="L40" s="219"/>
      <c r="M40" s="219"/>
      <c r="N40" s="219"/>
      <c r="O40" s="219"/>
      <c r="P40" s="219"/>
      <c r="Q40" s="219"/>
      <c r="R40" s="219"/>
      <c r="S40" s="219"/>
      <c r="T40" s="219"/>
      <c r="U40" s="219"/>
      <c r="V40" s="219"/>
      <c r="W40" s="219"/>
      <c r="X40" s="219"/>
      <c r="Y40" s="219"/>
      <c r="Z40" s="219"/>
      <c r="AA40" s="219"/>
      <c r="AB40" s="220"/>
    </row>
    <row r="41" spans="2:28" x14ac:dyDescent="0.3">
      <c r="B41" s="230" t="s">
        <v>342</v>
      </c>
      <c r="C41" s="198"/>
      <c r="D41" s="207">
        <f ca="1">+IF(Inputs!$D$93="Yes",Inputs!$O$29,0)</f>
        <v>10952.276546249999</v>
      </c>
      <c r="E41" s="207">
        <f ca="1">+D43</f>
        <v>10952.276546249999</v>
      </c>
      <c r="F41" s="207">
        <f t="shared" ref="F41:AB41" ca="1" si="35">+E43</f>
        <v>10294.568212916665</v>
      </c>
      <c r="G41" s="207">
        <f t="shared" ca="1" si="35"/>
        <v>9378.332101805554</v>
      </c>
      <c r="H41" s="207">
        <f t="shared" ca="1" si="35"/>
        <v>8119.4423088194435</v>
      </c>
      <c r="I41" s="207">
        <f t="shared" ca="1" si="35"/>
        <v>6517.8988339583329</v>
      </c>
      <c r="J41" s="207">
        <f t="shared" ca="1" si="35"/>
        <v>4573.7016772222223</v>
      </c>
      <c r="K41" s="207">
        <f t="shared" ca="1" si="35"/>
        <v>2286.8508386111112</v>
      </c>
      <c r="L41" s="207">
        <f t="shared" ca="1" si="35"/>
        <v>0</v>
      </c>
      <c r="M41" s="207">
        <f t="shared" ca="1" si="35"/>
        <v>0</v>
      </c>
      <c r="N41" s="207">
        <f t="shared" ca="1" si="35"/>
        <v>0</v>
      </c>
      <c r="O41" s="207">
        <f t="shared" ca="1" si="35"/>
        <v>0</v>
      </c>
      <c r="P41" s="207">
        <f t="shared" ca="1" si="35"/>
        <v>0</v>
      </c>
      <c r="Q41" s="207">
        <f t="shared" ca="1" si="35"/>
        <v>0</v>
      </c>
      <c r="R41" s="207">
        <f t="shared" ca="1" si="35"/>
        <v>0</v>
      </c>
      <c r="S41" s="207">
        <f t="shared" ca="1" si="35"/>
        <v>0</v>
      </c>
      <c r="T41" s="207">
        <f t="shared" ca="1" si="35"/>
        <v>0</v>
      </c>
      <c r="U41" s="207">
        <f t="shared" ca="1" si="35"/>
        <v>0</v>
      </c>
      <c r="V41" s="207">
        <f t="shared" ca="1" si="35"/>
        <v>0</v>
      </c>
      <c r="W41" s="207">
        <f t="shared" ca="1" si="35"/>
        <v>0</v>
      </c>
      <c r="X41" s="207">
        <f t="shared" ca="1" si="35"/>
        <v>0</v>
      </c>
      <c r="Y41" s="207">
        <f t="shared" ca="1" si="35"/>
        <v>0</v>
      </c>
      <c r="Z41" s="207">
        <f t="shared" ca="1" si="35"/>
        <v>0</v>
      </c>
      <c r="AA41" s="207">
        <f t="shared" ca="1" si="35"/>
        <v>0</v>
      </c>
      <c r="AB41" s="225">
        <f t="shared" ca="1" si="35"/>
        <v>0</v>
      </c>
    </row>
    <row r="42" spans="2:28" x14ac:dyDescent="0.3">
      <c r="B42" s="254" t="s">
        <v>348</v>
      </c>
      <c r="C42" s="84">
        <f t="shared" ref="C42" ca="1" si="36">+SUM(D42:AB42)</f>
        <v>-10952.276546249999</v>
      </c>
      <c r="D42" s="79">
        <f t="shared" ref="D42:AB42" ca="1" si="37">-MIN(D35,D41)</f>
        <v>0</v>
      </c>
      <c r="E42" s="79">
        <f t="shared" ca="1" si="37"/>
        <v>-657.70833333333314</v>
      </c>
      <c r="F42" s="79">
        <f t="shared" ca="1" si="37"/>
        <v>-916.23611111111097</v>
      </c>
      <c r="G42" s="79">
        <f t="shared" ca="1" si="37"/>
        <v>-1258.8897929861107</v>
      </c>
      <c r="H42" s="79">
        <f t="shared" ca="1" si="37"/>
        <v>-1601.5434748611108</v>
      </c>
      <c r="I42" s="79">
        <f t="shared" ca="1" si="37"/>
        <v>-1944.1971567361109</v>
      </c>
      <c r="J42" s="79">
        <f t="shared" ca="1" si="37"/>
        <v>-2286.8508386111112</v>
      </c>
      <c r="K42" s="79">
        <f t="shared" ca="1" si="37"/>
        <v>-2286.8508386111112</v>
      </c>
      <c r="L42" s="79">
        <f t="shared" ca="1" si="37"/>
        <v>0</v>
      </c>
      <c r="M42" s="79">
        <f t="shared" ca="1" si="37"/>
        <v>0</v>
      </c>
      <c r="N42" s="79">
        <f t="shared" ca="1" si="37"/>
        <v>0</v>
      </c>
      <c r="O42" s="79">
        <f t="shared" ca="1" si="37"/>
        <v>0</v>
      </c>
      <c r="P42" s="79">
        <f t="shared" ca="1" si="37"/>
        <v>0</v>
      </c>
      <c r="Q42" s="79">
        <f t="shared" ca="1" si="37"/>
        <v>0</v>
      </c>
      <c r="R42" s="79">
        <f t="shared" ca="1" si="37"/>
        <v>0</v>
      </c>
      <c r="S42" s="79">
        <f t="shared" ca="1" si="37"/>
        <v>0</v>
      </c>
      <c r="T42" s="79">
        <f t="shared" ca="1" si="37"/>
        <v>0</v>
      </c>
      <c r="U42" s="79">
        <f t="shared" ca="1" si="37"/>
        <v>0</v>
      </c>
      <c r="V42" s="79">
        <f t="shared" ca="1" si="37"/>
        <v>0</v>
      </c>
      <c r="W42" s="79">
        <f t="shared" ca="1" si="37"/>
        <v>0</v>
      </c>
      <c r="X42" s="79">
        <f t="shared" ca="1" si="37"/>
        <v>0</v>
      </c>
      <c r="Y42" s="79">
        <f t="shared" ca="1" si="37"/>
        <v>0</v>
      </c>
      <c r="Z42" s="79">
        <f t="shared" ca="1" si="37"/>
        <v>0</v>
      </c>
      <c r="AA42" s="79">
        <f t="shared" ca="1" si="37"/>
        <v>0</v>
      </c>
      <c r="AB42" s="227">
        <f t="shared" ca="1" si="37"/>
        <v>0</v>
      </c>
    </row>
    <row r="43" spans="2:28" ht="12.5" thickBot="1" x14ac:dyDescent="0.35">
      <c r="B43" s="255" t="s">
        <v>349</v>
      </c>
      <c r="C43" s="41"/>
      <c r="D43" s="251">
        <f ca="1">SUM(D41:D42)</f>
        <v>10952.276546249999</v>
      </c>
      <c r="E43" s="251">
        <f t="shared" ref="E43:AB43" ca="1" si="38">SUM(E41:E42)</f>
        <v>10294.568212916665</v>
      </c>
      <c r="F43" s="251">
        <f t="shared" ca="1" si="38"/>
        <v>9378.332101805554</v>
      </c>
      <c r="G43" s="251">
        <f t="shared" ca="1" si="38"/>
        <v>8119.4423088194435</v>
      </c>
      <c r="H43" s="251">
        <f t="shared" ca="1" si="38"/>
        <v>6517.8988339583329</v>
      </c>
      <c r="I43" s="251">
        <f t="shared" ca="1" si="38"/>
        <v>4573.7016772222223</v>
      </c>
      <c r="J43" s="251">
        <f t="shared" ca="1" si="38"/>
        <v>2286.8508386111112</v>
      </c>
      <c r="K43" s="251">
        <f t="shared" ca="1" si="38"/>
        <v>0</v>
      </c>
      <c r="L43" s="251">
        <f t="shared" ca="1" si="38"/>
        <v>0</v>
      </c>
      <c r="M43" s="251">
        <f t="shared" ca="1" si="38"/>
        <v>0</v>
      </c>
      <c r="N43" s="251">
        <f t="shared" ca="1" si="38"/>
        <v>0</v>
      </c>
      <c r="O43" s="251">
        <f t="shared" ca="1" si="38"/>
        <v>0</v>
      </c>
      <c r="P43" s="251">
        <f t="shared" ca="1" si="38"/>
        <v>0</v>
      </c>
      <c r="Q43" s="251">
        <f t="shared" ca="1" si="38"/>
        <v>0</v>
      </c>
      <c r="R43" s="251">
        <f t="shared" ca="1" si="38"/>
        <v>0</v>
      </c>
      <c r="S43" s="251">
        <f t="shared" ca="1" si="38"/>
        <v>0</v>
      </c>
      <c r="T43" s="251">
        <f t="shared" ca="1" si="38"/>
        <v>0</v>
      </c>
      <c r="U43" s="251">
        <f t="shared" ca="1" si="38"/>
        <v>0</v>
      </c>
      <c r="V43" s="251">
        <f t="shared" ca="1" si="38"/>
        <v>0</v>
      </c>
      <c r="W43" s="251">
        <f t="shared" ca="1" si="38"/>
        <v>0</v>
      </c>
      <c r="X43" s="251">
        <f t="shared" ca="1" si="38"/>
        <v>0</v>
      </c>
      <c r="Y43" s="251">
        <f t="shared" ca="1" si="38"/>
        <v>0</v>
      </c>
      <c r="Z43" s="251">
        <f t="shared" ca="1" si="38"/>
        <v>0</v>
      </c>
      <c r="AA43" s="251">
        <f t="shared" ca="1" si="38"/>
        <v>0</v>
      </c>
      <c r="AB43" s="252">
        <f t="shared" ca="1" si="38"/>
        <v>0</v>
      </c>
    </row>
    <row r="44" spans="2:28" ht="12.5" thickBot="1" x14ac:dyDescent="0.35">
      <c r="B44" s="50"/>
    </row>
    <row r="45" spans="2:28" ht="12.5" thickBot="1" x14ac:dyDescent="0.35">
      <c r="B45" s="215" t="s">
        <v>350</v>
      </c>
      <c r="C45" s="216">
        <f t="shared" ref="C45" ca="1" si="39">+SUM(D45:AB45)</f>
        <v>99241.556000416633</v>
      </c>
      <c r="D45" s="217">
        <f ca="1">-Inputs!O7</f>
        <v>-48279.565332916682</v>
      </c>
      <c r="E45" s="217">
        <f ca="1">-E21+E29+E34-E35-E42+E37+E23</f>
        <v>0</v>
      </c>
      <c r="F45" s="217">
        <f t="shared" ref="F45:J45" ca="1" si="40">-F21+F29+F34-F35-F42+F37+F23</f>
        <v>0</v>
      </c>
      <c r="G45" s="217">
        <f t="shared" ca="1" si="40"/>
        <v>0</v>
      </c>
      <c r="H45" s="217">
        <f t="shared" ca="1" si="40"/>
        <v>0</v>
      </c>
      <c r="I45" s="217">
        <f t="shared" ca="1" si="40"/>
        <v>0</v>
      </c>
      <c r="J45" s="217">
        <f t="shared" ca="1" si="40"/>
        <v>0</v>
      </c>
      <c r="K45" s="217">
        <f ca="1">-K21+K29+K34-K35-K42+K37+K23</f>
        <v>147521.12133333331</v>
      </c>
      <c r="L45" s="217">
        <f t="shared" ref="L45:AB45" si="41">IF(L3="SALE",-L21+L29+L34-L35-L42+L37+L23,0)</f>
        <v>0</v>
      </c>
      <c r="M45" s="217">
        <f t="shared" si="41"/>
        <v>0</v>
      </c>
      <c r="N45" s="217">
        <f t="shared" si="41"/>
        <v>0</v>
      </c>
      <c r="O45" s="217">
        <f t="shared" si="41"/>
        <v>0</v>
      </c>
      <c r="P45" s="217">
        <f t="shared" si="41"/>
        <v>0</v>
      </c>
      <c r="Q45" s="217">
        <f t="shared" si="41"/>
        <v>0</v>
      </c>
      <c r="R45" s="217">
        <f t="shared" si="41"/>
        <v>0</v>
      </c>
      <c r="S45" s="217">
        <f t="shared" si="41"/>
        <v>0</v>
      </c>
      <c r="T45" s="217">
        <f t="shared" si="41"/>
        <v>0</v>
      </c>
      <c r="U45" s="217">
        <f t="shared" si="41"/>
        <v>0</v>
      </c>
      <c r="V45" s="217">
        <f t="shared" si="41"/>
        <v>0</v>
      </c>
      <c r="W45" s="217">
        <f t="shared" si="41"/>
        <v>0</v>
      </c>
      <c r="X45" s="217">
        <f t="shared" si="41"/>
        <v>0</v>
      </c>
      <c r="Y45" s="217">
        <f t="shared" si="41"/>
        <v>0</v>
      </c>
      <c r="Z45" s="217">
        <f t="shared" si="41"/>
        <v>0</v>
      </c>
      <c r="AA45" s="217">
        <f t="shared" si="41"/>
        <v>0</v>
      </c>
      <c r="AB45" s="218">
        <f t="shared" si="41"/>
        <v>0</v>
      </c>
    </row>
    <row r="46" spans="2:28" ht="12.5" thickBot="1" x14ac:dyDescent="0.35">
      <c r="K46" s="51"/>
    </row>
    <row r="47" spans="2:28" ht="12.5" thickBot="1" x14ac:dyDescent="0.35">
      <c r="B47" s="1335" t="s">
        <v>351</v>
      </c>
      <c r="C47" s="1336"/>
      <c r="D47" s="237"/>
      <c r="E47" s="237"/>
      <c r="F47" s="237"/>
      <c r="G47" s="237"/>
      <c r="H47" s="237"/>
      <c r="I47" s="237"/>
      <c r="J47" s="237"/>
      <c r="K47" s="237"/>
      <c r="L47" s="237"/>
      <c r="M47" s="237"/>
      <c r="N47" s="237"/>
      <c r="O47" s="237"/>
      <c r="P47" s="237"/>
      <c r="Q47" s="237"/>
      <c r="R47" s="237"/>
      <c r="S47" s="237"/>
      <c r="T47" s="237"/>
      <c r="U47" s="237"/>
      <c r="V47" s="237"/>
      <c r="W47" s="237"/>
      <c r="X47" s="237"/>
      <c r="Y47" s="237"/>
      <c r="Z47" s="237"/>
      <c r="AA47" s="237"/>
      <c r="AB47" s="238"/>
    </row>
    <row r="48" spans="2:28" x14ac:dyDescent="0.3">
      <c r="B48" s="221" t="s">
        <v>352</v>
      </c>
      <c r="D48" s="222"/>
      <c r="E48" s="222"/>
      <c r="F48" s="222"/>
      <c r="G48" s="222"/>
      <c r="H48" s="222"/>
      <c r="I48" s="222"/>
      <c r="J48" s="222"/>
      <c r="K48" s="222"/>
      <c r="L48" s="222"/>
      <c r="M48" s="222"/>
      <c r="N48" s="222"/>
      <c r="O48" s="222"/>
      <c r="P48" s="222"/>
      <c r="Q48" s="222"/>
      <c r="R48" s="222"/>
      <c r="S48" s="222"/>
      <c r="T48" s="222"/>
      <c r="U48" s="222"/>
      <c r="V48" s="222"/>
      <c r="W48" s="222"/>
      <c r="X48" s="222"/>
      <c r="Y48" s="222"/>
      <c r="Z48" s="222"/>
      <c r="AA48" s="222"/>
      <c r="AB48" s="223"/>
    </row>
    <row r="49" spans="2:28" x14ac:dyDescent="0.3">
      <c r="B49" s="224" t="s">
        <v>353</v>
      </c>
      <c r="C49" s="213">
        <f t="shared" ref="C49:C52" ca="1" si="42">+SUM(D49:AB49)</f>
        <v>-48279.565332916682</v>
      </c>
      <c r="D49" s="207">
        <f ca="1">-IF(Inputs!D103&lt;&gt;"RCH", Inputs!D107, 0)</f>
        <v>-48279.565332916682</v>
      </c>
      <c r="E49" s="207">
        <v>0</v>
      </c>
      <c r="F49" s="207">
        <v>0</v>
      </c>
      <c r="G49" s="207">
        <v>0</v>
      </c>
      <c r="H49" s="207">
        <v>0</v>
      </c>
      <c r="I49" s="207">
        <v>0</v>
      </c>
      <c r="J49" s="207">
        <v>0</v>
      </c>
      <c r="K49" s="207">
        <f t="shared" ref="K49:AB49" ca="1" si="43">+IF(K45&lt;0,K45,0)</f>
        <v>0</v>
      </c>
      <c r="L49" s="207">
        <f t="shared" si="43"/>
        <v>0</v>
      </c>
      <c r="M49" s="207">
        <f t="shared" si="43"/>
        <v>0</v>
      </c>
      <c r="N49" s="207">
        <f t="shared" si="43"/>
        <v>0</v>
      </c>
      <c r="O49" s="207">
        <f t="shared" si="43"/>
        <v>0</v>
      </c>
      <c r="P49" s="207">
        <f t="shared" si="43"/>
        <v>0</v>
      </c>
      <c r="Q49" s="207">
        <f t="shared" si="43"/>
        <v>0</v>
      </c>
      <c r="R49" s="207">
        <f t="shared" si="43"/>
        <v>0</v>
      </c>
      <c r="S49" s="207">
        <f t="shared" si="43"/>
        <v>0</v>
      </c>
      <c r="T49" s="207">
        <f t="shared" si="43"/>
        <v>0</v>
      </c>
      <c r="U49" s="207">
        <f t="shared" si="43"/>
        <v>0</v>
      </c>
      <c r="V49" s="207">
        <f t="shared" si="43"/>
        <v>0</v>
      </c>
      <c r="W49" s="207">
        <f t="shared" si="43"/>
        <v>0</v>
      </c>
      <c r="X49" s="207">
        <f t="shared" si="43"/>
        <v>0</v>
      </c>
      <c r="Y49" s="207">
        <f t="shared" si="43"/>
        <v>0</v>
      </c>
      <c r="Z49" s="207">
        <f t="shared" si="43"/>
        <v>0</v>
      </c>
      <c r="AA49" s="207">
        <f t="shared" si="43"/>
        <v>0</v>
      </c>
      <c r="AB49" s="225">
        <f t="shared" si="43"/>
        <v>0</v>
      </c>
    </row>
    <row r="50" spans="2:28" x14ac:dyDescent="0.3">
      <c r="B50" s="224" t="s">
        <v>264</v>
      </c>
      <c r="C50" s="213">
        <f ca="1">+SUM(D50:AB50)</f>
        <v>48279.565332916682</v>
      </c>
      <c r="D50" s="222"/>
      <c r="E50" s="207">
        <f t="shared" ref="E50:AB50" si="44">+IF(E3="SALE",-$C$49,)</f>
        <v>0</v>
      </c>
      <c r="F50" s="207">
        <f t="shared" si="44"/>
        <v>0</v>
      </c>
      <c r="G50" s="207">
        <f t="shared" si="44"/>
        <v>0</v>
      </c>
      <c r="H50" s="207">
        <f t="shared" si="44"/>
        <v>0</v>
      </c>
      <c r="I50" s="207">
        <f t="shared" si="44"/>
        <v>0</v>
      </c>
      <c r="J50" s="207">
        <f t="shared" si="44"/>
        <v>0</v>
      </c>
      <c r="K50" s="207">
        <f t="shared" ca="1" si="44"/>
        <v>48279.565332916682</v>
      </c>
      <c r="L50" s="207">
        <f t="shared" si="44"/>
        <v>0</v>
      </c>
      <c r="M50" s="207">
        <f t="shared" si="44"/>
        <v>0</v>
      </c>
      <c r="N50" s="207">
        <f t="shared" si="44"/>
        <v>0</v>
      </c>
      <c r="O50" s="207">
        <f t="shared" si="44"/>
        <v>0</v>
      </c>
      <c r="P50" s="207">
        <f t="shared" si="44"/>
        <v>0</v>
      </c>
      <c r="Q50" s="207">
        <f t="shared" si="44"/>
        <v>0</v>
      </c>
      <c r="R50" s="207">
        <f t="shared" si="44"/>
        <v>0</v>
      </c>
      <c r="S50" s="207">
        <f t="shared" si="44"/>
        <v>0</v>
      </c>
      <c r="T50" s="207">
        <f t="shared" si="44"/>
        <v>0</v>
      </c>
      <c r="U50" s="207">
        <f t="shared" si="44"/>
        <v>0</v>
      </c>
      <c r="V50" s="207">
        <f t="shared" si="44"/>
        <v>0</v>
      </c>
      <c r="W50" s="207">
        <f t="shared" si="44"/>
        <v>0</v>
      </c>
      <c r="X50" s="207">
        <f t="shared" si="44"/>
        <v>0</v>
      </c>
      <c r="Y50" s="207">
        <f t="shared" si="44"/>
        <v>0</v>
      </c>
      <c r="Z50" s="207">
        <f t="shared" si="44"/>
        <v>0</v>
      </c>
      <c r="AA50" s="207">
        <f t="shared" si="44"/>
        <v>0</v>
      </c>
      <c r="AB50" s="225">
        <f t="shared" si="44"/>
        <v>0</v>
      </c>
    </row>
    <row r="51" spans="2:28" x14ac:dyDescent="0.3">
      <c r="B51" s="224" t="s">
        <v>354</v>
      </c>
      <c r="C51" s="213">
        <f t="shared" ca="1" si="42"/>
        <v>4549.007933590372</v>
      </c>
      <c r="D51" s="207"/>
      <c r="E51" s="207">
        <f>+IF(E3="SALE",-$C$49*Inputs!$D$105/12*((E2-#REF!)/30),)</f>
        <v>0</v>
      </c>
      <c r="F51" s="207">
        <f>+IF(F3="SALE",-$C$49*Inputs!$D$105/12*((F2-#REF!)/30),)</f>
        <v>0</v>
      </c>
      <c r="G51" s="207">
        <f>+IF(G3="SALE",-$C$49*Inputs!$D$105/12*((G2-#REF!)/30),)</f>
        <v>0</v>
      </c>
      <c r="H51" s="207">
        <f>+IF(H3="SALE",-$C$49*Inputs!$D$105/12*((H2-A2)/30),)</f>
        <v>0</v>
      </c>
      <c r="I51" s="207">
        <f>+IF(I3="SALE",-$C$49*Inputs!$D$105/12*((I2-B2)/30),)</f>
        <v>0</v>
      </c>
      <c r="J51" s="207">
        <f>+IF(J3="SALE",-$C$49*Inputs!$D$105/12*((J2-C2)/30),)</f>
        <v>0</v>
      </c>
      <c r="K51" s="207">
        <f ca="1">+IF(K3="SALE",-$C$49*Inputs!$D$105/12*((K2-D2)/30),)</f>
        <v>4549.007933590372</v>
      </c>
      <c r="L51" s="207">
        <f>+IF(L3="SALE",-$C$49*Inputs!$D$105/12*((L2-E2)/30),)</f>
        <v>0</v>
      </c>
      <c r="M51" s="207">
        <f>+IF(M3="SALE",-$C$49*Inputs!$D$105/12*((M2-F2)/30),)</f>
        <v>0</v>
      </c>
      <c r="N51" s="207">
        <f>+IF(N3="SALE",-$C$49*Inputs!$D$105/12*((N2-G2)/30),)</f>
        <v>0</v>
      </c>
      <c r="O51" s="207">
        <f>+IF(O3="SALE",-$C$49*Inputs!$D$105/12*((O2-H2)/30),)</f>
        <v>0</v>
      </c>
      <c r="P51" s="207">
        <f>+IF(P3="SALE",-$C$49*Inputs!$D$105/12*((P2-I2)/30),)</f>
        <v>0</v>
      </c>
      <c r="Q51" s="207">
        <f>+IF(Q3="SALE",-$C$49*Inputs!$D$105/12*((Q2-J2)/30),)</f>
        <v>0</v>
      </c>
      <c r="R51" s="207">
        <f>+IF(R3="SALE",-$C$49*Inputs!$D$105/12*((R2-K2)/30),)</f>
        <v>0</v>
      </c>
      <c r="S51" s="207">
        <f>+IF(S3="SALE",-$C$49*Inputs!$D$105/12*((S2-L2)/30),)</f>
        <v>0</v>
      </c>
      <c r="T51" s="207">
        <f>+IF(T3="SALE",-$C$49*Inputs!$D$105/12*((T2-M2)/30),)</f>
        <v>0</v>
      </c>
      <c r="U51" s="207">
        <f>+IF(U3="SALE",-$C$49*Inputs!$D$105/12*((U2-N2)/30),)</f>
        <v>0</v>
      </c>
      <c r="V51" s="207">
        <f>+IF(V3="SALE",-$C$49*Inputs!$D$105/12*((V2-O2)/30),)</f>
        <v>0</v>
      </c>
      <c r="W51" s="207">
        <f>+IF(W3="SALE",-$C$49*Inputs!$D$105/12*((W2-P2)/30),)</f>
        <v>0</v>
      </c>
      <c r="X51" s="207">
        <f>+IF(X3="SALE",-$C$49*Inputs!$D$105/12*((X2-Q2)/30),)</f>
        <v>0</v>
      </c>
      <c r="Y51" s="207">
        <f>+IF(Y3="SALE",-$C$49*Inputs!$D$105/12*((Y2-R2)/30),)</f>
        <v>0</v>
      </c>
      <c r="Z51" s="207">
        <f>+IF(Z3="SALE",-$C$49*Inputs!$D$105/12*((Z2-S2)/30),)</f>
        <v>0</v>
      </c>
      <c r="AA51" s="207">
        <f>+IF(AA3="SALE",-$C$49*Inputs!$D$105/12*((AA2-T2)/30),)</f>
        <v>0</v>
      </c>
      <c r="AB51" s="225">
        <f>+IF(AB3="SALE",-$C$49*Inputs!$D$105/12*((AB2-U2)/30),)</f>
        <v>0</v>
      </c>
    </row>
    <row r="52" spans="2:28" x14ac:dyDescent="0.3">
      <c r="B52" s="226" t="s">
        <v>237</v>
      </c>
      <c r="C52" s="214">
        <f t="shared" ca="1" si="42"/>
        <v>0</v>
      </c>
      <c r="D52" s="212"/>
      <c r="E52" s="79">
        <f>+IF(E3="SALE",(E45-E50-E51+#REF!)*Inputs!$D$106,)</f>
        <v>0</v>
      </c>
      <c r="F52" s="79">
        <f>+IF(F3="SALE",(F45-F50-F51+#REF!)*Inputs!$D$106,)</f>
        <v>0</v>
      </c>
      <c r="G52" s="79">
        <f>+IF(G3="SALE",(G45-G50-G51+#REF!)*Inputs!$D$106,)</f>
        <v>0</v>
      </c>
      <c r="H52" s="79">
        <f>+IF(H3="SALE",(H45-H50-H51+#REF!)*Inputs!$D$106,)</f>
        <v>0</v>
      </c>
      <c r="I52" s="79">
        <f>+IF(I3="SALE",(I45-I50-I51+A56)*Inputs!$D$106,)</f>
        <v>0</v>
      </c>
      <c r="J52" s="79">
        <f>+IF(J3="SALE",(J45-J50-J51+B56)*Inputs!$D$106,)</f>
        <v>0</v>
      </c>
      <c r="K52" s="79">
        <f ca="1">+IF(K3="SALE",(K45-K50-K51+C56)*Inputs!$D$106,)</f>
        <v>0</v>
      </c>
      <c r="L52" s="79">
        <f>+IF(L3="SALE",(L45-L50-L51+D56)*Inputs!$D$106,)</f>
        <v>0</v>
      </c>
      <c r="M52" s="79">
        <f>+IF(M3="SALE",(M45-M50-M51+E56)*Inputs!$D$106,)</f>
        <v>0</v>
      </c>
      <c r="N52" s="79">
        <f>+IF(N3="SALE",(N45-N50-N51+F56)*Inputs!$D$106,)</f>
        <v>0</v>
      </c>
      <c r="O52" s="79">
        <f>+IF(O3="SALE",(O45-O50-O51+G56)*Inputs!$D$106,)</f>
        <v>0</v>
      </c>
      <c r="P52" s="79">
        <f>+IF(P3="SALE",(P45-P50-P51+H56)*Inputs!$D$106,)</f>
        <v>0</v>
      </c>
      <c r="Q52" s="79">
        <f>+IF(Q3="SALE",(Q45-Q50-Q51+I56)*Inputs!$D$106,)</f>
        <v>0</v>
      </c>
      <c r="R52" s="79">
        <f>+IF(R3="SALE",(R45-R50-R51+J56)*Inputs!$D$106,)</f>
        <v>0</v>
      </c>
      <c r="S52" s="79">
        <f>+IF(S3="SALE",(S45-S50-S51+K56)*Inputs!$D$106,)</f>
        <v>0</v>
      </c>
      <c r="T52" s="79">
        <f>+IF(T3="SALE",(T45-T50-T51+L56)*Inputs!$D$106,)</f>
        <v>0</v>
      </c>
      <c r="U52" s="79">
        <f>+IF(U3="SALE",(U45-U50-U51+M56)*Inputs!$D$106,)</f>
        <v>0</v>
      </c>
      <c r="V52" s="79">
        <f>+IF(V3="SALE",(V45-V50-V51+N56)*Inputs!$D$106,)</f>
        <v>0</v>
      </c>
      <c r="W52" s="79">
        <f>+IF(W3="SALE",(W45-W50-W51+O56)*Inputs!$D$106,)</f>
        <v>0</v>
      </c>
      <c r="X52" s="79">
        <f>+IF(X3="SALE",(X45-X50-X51+P56)*Inputs!$D$106,)</f>
        <v>0</v>
      </c>
      <c r="Y52" s="79">
        <f>+IF(Y3="SALE",(Y45-Y50-Y51+Q56)*Inputs!$D$106,)</f>
        <v>0</v>
      </c>
      <c r="Z52" s="79">
        <f>+IF(Z3="SALE",(Z45-Z50-Z51+R56)*Inputs!$D$106,)</f>
        <v>0</v>
      </c>
      <c r="AA52" s="79">
        <f>+IF(AA3="SALE",(AA45-AA50-AA51+S56)*Inputs!$D$106,)</f>
        <v>0</v>
      </c>
      <c r="AB52" s="227">
        <f>+IF(AB3="SALE",(AB45-AB50-AB51+T56)*Inputs!$D$106,)</f>
        <v>0</v>
      </c>
    </row>
    <row r="53" spans="2:28" x14ac:dyDescent="0.3">
      <c r="B53" s="221" t="s">
        <v>355</v>
      </c>
      <c r="C53" s="83">
        <f ca="1">+SUM(D53:AB53)</f>
        <v>4549.007933590372</v>
      </c>
      <c r="D53" s="228">
        <f t="shared" ref="D53:AB53" ca="1" si="45">SUM(D49:D52)</f>
        <v>-48279.565332916682</v>
      </c>
      <c r="E53" s="228">
        <f t="shared" si="45"/>
        <v>0</v>
      </c>
      <c r="F53" s="228">
        <f t="shared" si="45"/>
        <v>0</v>
      </c>
      <c r="G53" s="228">
        <f t="shared" si="45"/>
        <v>0</v>
      </c>
      <c r="H53" s="228">
        <f t="shared" si="45"/>
        <v>0</v>
      </c>
      <c r="I53" s="228">
        <f t="shared" si="45"/>
        <v>0</v>
      </c>
      <c r="J53" s="228">
        <f t="shared" si="45"/>
        <v>0</v>
      </c>
      <c r="K53" s="228">
        <f ca="1">SUM(K49:K52)</f>
        <v>52828.573266507054</v>
      </c>
      <c r="L53" s="228">
        <f t="shared" si="45"/>
        <v>0</v>
      </c>
      <c r="M53" s="228">
        <f t="shared" si="45"/>
        <v>0</v>
      </c>
      <c r="N53" s="228">
        <f t="shared" si="45"/>
        <v>0</v>
      </c>
      <c r="O53" s="228">
        <f t="shared" si="45"/>
        <v>0</v>
      </c>
      <c r="P53" s="228">
        <f t="shared" si="45"/>
        <v>0</v>
      </c>
      <c r="Q53" s="228">
        <f t="shared" si="45"/>
        <v>0</v>
      </c>
      <c r="R53" s="228">
        <f t="shared" si="45"/>
        <v>0</v>
      </c>
      <c r="S53" s="228">
        <f t="shared" si="45"/>
        <v>0</v>
      </c>
      <c r="T53" s="228">
        <f t="shared" si="45"/>
        <v>0</v>
      </c>
      <c r="U53" s="228">
        <f t="shared" si="45"/>
        <v>0</v>
      </c>
      <c r="V53" s="228">
        <f t="shared" si="45"/>
        <v>0</v>
      </c>
      <c r="W53" s="228">
        <f t="shared" si="45"/>
        <v>0</v>
      </c>
      <c r="X53" s="228">
        <f t="shared" si="45"/>
        <v>0</v>
      </c>
      <c r="Y53" s="228">
        <f t="shared" si="45"/>
        <v>0</v>
      </c>
      <c r="Z53" s="228">
        <f t="shared" si="45"/>
        <v>0</v>
      </c>
      <c r="AA53" s="228">
        <f t="shared" si="45"/>
        <v>0</v>
      </c>
      <c r="AB53" s="229">
        <f t="shared" si="45"/>
        <v>0</v>
      </c>
    </row>
    <row r="54" spans="2:28" x14ac:dyDescent="0.3">
      <c r="B54" s="230"/>
      <c r="D54" s="222"/>
      <c r="E54" s="222"/>
      <c r="F54" s="222"/>
      <c r="G54" s="222"/>
      <c r="H54" s="222"/>
      <c r="I54" s="222"/>
      <c r="J54" s="222"/>
      <c r="K54" s="207"/>
      <c r="L54" s="222"/>
      <c r="M54" s="222"/>
      <c r="N54" s="222"/>
      <c r="O54" s="222"/>
      <c r="P54" s="222"/>
      <c r="Q54" s="222"/>
      <c r="R54" s="222"/>
      <c r="S54" s="222"/>
      <c r="T54" s="222"/>
      <c r="U54" s="222"/>
      <c r="V54" s="222"/>
      <c r="W54" s="222"/>
      <c r="X54" s="222"/>
      <c r="Y54" s="222"/>
      <c r="Z54" s="222"/>
      <c r="AA54" s="222"/>
      <c r="AB54" s="223"/>
    </row>
    <row r="55" spans="2:28" x14ac:dyDescent="0.3">
      <c r="B55" s="230" t="s">
        <v>353</v>
      </c>
      <c r="D55" s="207">
        <f>-IF(Inputs!D103="RCH",Inputs!D107,0)</f>
        <v>0</v>
      </c>
      <c r="E55" s="207">
        <v>0</v>
      </c>
      <c r="F55" s="207">
        <v>0</v>
      </c>
      <c r="G55" s="207">
        <v>0</v>
      </c>
      <c r="H55" s="207">
        <v>0</v>
      </c>
      <c r="I55" s="207">
        <v>0</v>
      </c>
      <c r="J55" s="207">
        <v>0</v>
      </c>
      <c r="K55" s="207">
        <f t="shared" ref="K55:AB55" ca="1" si="46">+IF(K51&lt;0,K51,0)</f>
        <v>0</v>
      </c>
      <c r="L55" s="207">
        <f t="shared" si="46"/>
        <v>0</v>
      </c>
      <c r="M55" s="207">
        <f t="shared" si="46"/>
        <v>0</v>
      </c>
      <c r="N55" s="207">
        <f t="shared" si="46"/>
        <v>0</v>
      </c>
      <c r="O55" s="207">
        <f t="shared" si="46"/>
        <v>0</v>
      </c>
      <c r="P55" s="207">
        <f t="shared" si="46"/>
        <v>0</v>
      </c>
      <c r="Q55" s="207">
        <f t="shared" si="46"/>
        <v>0</v>
      </c>
      <c r="R55" s="207">
        <f t="shared" si="46"/>
        <v>0</v>
      </c>
      <c r="S55" s="207">
        <f t="shared" si="46"/>
        <v>0</v>
      </c>
      <c r="T55" s="207">
        <f t="shared" si="46"/>
        <v>0</v>
      </c>
      <c r="U55" s="207">
        <f t="shared" si="46"/>
        <v>0</v>
      </c>
      <c r="V55" s="207">
        <f t="shared" si="46"/>
        <v>0</v>
      </c>
      <c r="W55" s="207">
        <f t="shared" si="46"/>
        <v>0</v>
      </c>
      <c r="X55" s="207">
        <f t="shared" si="46"/>
        <v>0</v>
      </c>
      <c r="Y55" s="207">
        <f t="shared" si="46"/>
        <v>0</v>
      </c>
      <c r="Z55" s="207">
        <f t="shared" si="46"/>
        <v>0</v>
      </c>
      <c r="AA55" s="207">
        <f t="shared" si="46"/>
        <v>0</v>
      </c>
      <c r="AB55" s="225">
        <f t="shared" si="46"/>
        <v>0</v>
      </c>
    </row>
    <row r="56" spans="2:28" x14ac:dyDescent="0.3">
      <c r="B56" s="224" t="s">
        <v>356</v>
      </c>
      <c r="C56" s="198">
        <f>SUM(D56:AB56)</f>
        <v>0</v>
      </c>
      <c r="D56" s="207">
        <f>+IF(Inputs!$D$93="No",'Monthly CF'!D36,0)</f>
        <v>0</v>
      </c>
      <c r="E56" s="207">
        <f>+IF(Inputs!$D$93="No",'Monthly CF'!E36,0)</f>
        <v>0</v>
      </c>
      <c r="F56" s="207">
        <f>+IF(Inputs!$D$93="No",'Monthly CF'!F36,0)</f>
        <v>0</v>
      </c>
      <c r="G56" s="207">
        <f>+IF(Inputs!$D$93="No",'Monthly CF'!G36,0)</f>
        <v>0</v>
      </c>
      <c r="H56" s="207">
        <f>+IF(Inputs!$D$93="No",'Monthly CF'!H36,0)</f>
        <v>0</v>
      </c>
      <c r="I56" s="207">
        <f>+IF(Inputs!$D$93="No",'Monthly CF'!I36,0)</f>
        <v>0</v>
      </c>
      <c r="J56" s="207">
        <f>+IF(Inputs!$D$93="No",'Monthly CF'!J36,0)</f>
        <v>0</v>
      </c>
      <c r="K56" s="207">
        <f>+IF(Inputs!$D$93="No",'Monthly CF'!K36,0)</f>
        <v>0</v>
      </c>
      <c r="L56" s="207">
        <f>+IF(Inputs!$D$93="No",'Monthly CF'!L36,0)</f>
        <v>0</v>
      </c>
      <c r="M56" s="207">
        <f>+IF(Inputs!$D$93="No",'Monthly CF'!M36,0)</f>
        <v>0</v>
      </c>
      <c r="N56" s="207">
        <f>+IF(Inputs!$D$93="No",'Monthly CF'!N36,0)</f>
        <v>0</v>
      </c>
      <c r="O56" s="207">
        <f>+IF(Inputs!$D$93="No",'Monthly CF'!O36,0)</f>
        <v>0</v>
      </c>
      <c r="P56" s="207">
        <f>+IF(Inputs!$D$93="No",'Monthly CF'!P36,0)</f>
        <v>0</v>
      </c>
      <c r="Q56" s="207">
        <f>+IF(Inputs!$D$93="No",'Monthly CF'!Q36,0)</f>
        <v>0</v>
      </c>
      <c r="R56" s="207">
        <f>+IF(Inputs!$D$93="No",'Monthly CF'!R36,0)</f>
        <v>0</v>
      </c>
      <c r="S56" s="207">
        <f>+IF(Inputs!$D$93="No",'Monthly CF'!S36,0)</f>
        <v>0</v>
      </c>
      <c r="T56" s="207">
        <f>+IF(Inputs!$D$93="No",'Monthly CF'!T36,0)</f>
        <v>0</v>
      </c>
      <c r="U56" s="207">
        <f>+IF(Inputs!$D$93="No",'Monthly CF'!U36,0)</f>
        <v>0</v>
      </c>
      <c r="V56" s="207">
        <f>+IF(Inputs!$D$93="No",'Monthly CF'!V36,0)</f>
        <v>0</v>
      </c>
      <c r="W56" s="207">
        <f>+IF(Inputs!$D$93="No",'Monthly CF'!W36,0)</f>
        <v>0</v>
      </c>
      <c r="X56" s="207">
        <f>+IF(Inputs!$D$93="No",'Monthly CF'!X36,0)</f>
        <v>0</v>
      </c>
      <c r="Y56" s="207">
        <f>+IF(Inputs!$D$93="No",'Monthly CF'!Y36,0)</f>
        <v>0</v>
      </c>
      <c r="Z56" s="207">
        <f>+IF(Inputs!$D$93="No",'Monthly CF'!Z36,0)</f>
        <v>0</v>
      </c>
      <c r="AA56" s="207">
        <f>+IF(Inputs!$D$93="No",'Monthly CF'!AA36,0)</f>
        <v>0</v>
      </c>
      <c r="AB56" s="225">
        <f>+IF(Inputs!$D$93="No",'Monthly CF'!AB36,0)</f>
        <v>0</v>
      </c>
    </row>
    <row r="57" spans="2:28" x14ac:dyDescent="0.3">
      <c r="B57" s="226" t="s">
        <v>223</v>
      </c>
      <c r="C57" s="214">
        <f ca="1">SUM(D57:AB57)</f>
        <v>94692.548066826261</v>
      </c>
      <c r="D57" s="745">
        <f ca="1">+IF(D45&gt;0,'Acquisition Summary'!#REF!,0)</f>
        <v>0</v>
      </c>
      <c r="E57" s="745">
        <f t="shared" ref="E57:AB57" si="47">+IF(E3="SALE", E45-E53,)</f>
        <v>0</v>
      </c>
      <c r="F57" s="745">
        <f t="shared" si="47"/>
        <v>0</v>
      </c>
      <c r="G57" s="745">
        <f t="shared" si="47"/>
        <v>0</v>
      </c>
      <c r="H57" s="745">
        <f t="shared" si="47"/>
        <v>0</v>
      </c>
      <c r="I57" s="745">
        <f t="shared" si="47"/>
        <v>0</v>
      </c>
      <c r="J57" s="745">
        <f t="shared" si="47"/>
        <v>0</v>
      </c>
      <c r="K57" s="745">
        <f ca="1">+IF(K3="SALE", K45-K53,)</f>
        <v>94692.548066826261</v>
      </c>
      <c r="L57" s="745">
        <f t="shared" si="47"/>
        <v>0</v>
      </c>
      <c r="M57" s="745">
        <f t="shared" si="47"/>
        <v>0</v>
      </c>
      <c r="N57" s="745">
        <f t="shared" si="47"/>
        <v>0</v>
      </c>
      <c r="O57" s="745">
        <f t="shared" si="47"/>
        <v>0</v>
      </c>
      <c r="P57" s="745">
        <f t="shared" si="47"/>
        <v>0</v>
      </c>
      <c r="Q57" s="745">
        <f t="shared" si="47"/>
        <v>0</v>
      </c>
      <c r="R57" s="745">
        <f t="shared" si="47"/>
        <v>0</v>
      </c>
      <c r="S57" s="745">
        <f t="shared" si="47"/>
        <v>0</v>
      </c>
      <c r="T57" s="745">
        <f t="shared" si="47"/>
        <v>0</v>
      </c>
      <c r="U57" s="745">
        <f t="shared" si="47"/>
        <v>0</v>
      </c>
      <c r="V57" s="745">
        <f t="shared" si="47"/>
        <v>0</v>
      </c>
      <c r="W57" s="745">
        <f t="shared" si="47"/>
        <v>0</v>
      </c>
      <c r="X57" s="745">
        <f t="shared" si="47"/>
        <v>0</v>
      </c>
      <c r="Y57" s="745">
        <f t="shared" si="47"/>
        <v>0</v>
      </c>
      <c r="Z57" s="745">
        <f t="shared" si="47"/>
        <v>0</v>
      </c>
      <c r="AA57" s="745">
        <f t="shared" si="47"/>
        <v>0</v>
      </c>
      <c r="AB57" s="746">
        <f t="shared" si="47"/>
        <v>0</v>
      </c>
    </row>
    <row r="58" spans="2:28" x14ac:dyDescent="0.3">
      <c r="B58" s="221" t="s">
        <v>357</v>
      </c>
      <c r="C58" s="83">
        <f ca="1">SUM(D58:AB58)</f>
        <v>94692.548066826261</v>
      </c>
      <c r="D58" s="228">
        <f ca="1">SUM(D55:D57)</f>
        <v>0</v>
      </c>
      <c r="E58" s="228">
        <f t="shared" ref="E58:AB58" si="48">SUM(E55:E57)</f>
        <v>0</v>
      </c>
      <c r="F58" s="228">
        <f t="shared" si="48"/>
        <v>0</v>
      </c>
      <c r="G58" s="228">
        <f t="shared" si="48"/>
        <v>0</v>
      </c>
      <c r="H58" s="228">
        <f t="shared" si="48"/>
        <v>0</v>
      </c>
      <c r="I58" s="228">
        <f t="shared" si="48"/>
        <v>0</v>
      </c>
      <c r="J58" s="228">
        <f t="shared" si="48"/>
        <v>0</v>
      </c>
      <c r="K58" s="228">
        <f t="shared" ca="1" si="48"/>
        <v>94692.548066826261</v>
      </c>
      <c r="L58" s="228">
        <f t="shared" si="48"/>
        <v>0</v>
      </c>
      <c r="M58" s="228">
        <f t="shared" si="48"/>
        <v>0</v>
      </c>
      <c r="N58" s="228">
        <f t="shared" si="48"/>
        <v>0</v>
      </c>
      <c r="O58" s="228">
        <f t="shared" si="48"/>
        <v>0</v>
      </c>
      <c r="P58" s="228">
        <f t="shared" si="48"/>
        <v>0</v>
      </c>
      <c r="Q58" s="228">
        <f t="shared" si="48"/>
        <v>0</v>
      </c>
      <c r="R58" s="228">
        <f t="shared" si="48"/>
        <v>0</v>
      </c>
      <c r="S58" s="228">
        <f t="shared" si="48"/>
        <v>0</v>
      </c>
      <c r="T58" s="228">
        <f t="shared" si="48"/>
        <v>0</v>
      </c>
      <c r="U58" s="228">
        <f t="shared" si="48"/>
        <v>0</v>
      </c>
      <c r="V58" s="228">
        <f t="shared" si="48"/>
        <v>0</v>
      </c>
      <c r="W58" s="228">
        <f t="shared" si="48"/>
        <v>0</v>
      </c>
      <c r="X58" s="228">
        <f t="shared" si="48"/>
        <v>0</v>
      </c>
      <c r="Y58" s="228">
        <f t="shared" si="48"/>
        <v>0</v>
      </c>
      <c r="Z58" s="228">
        <f t="shared" si="48"/>
        <v>0</v>
      </c>
      <c r="AA58" s="228">
        <f t="shared" si="48"/>
        <v>0</v>
      </c>
      <c r="AB58" s="229">
        <f t="shared" si="48"/>
        <v>0</v>
      </c>
    </row>
    <row r="59" spans="2:28" x14ac:dyDescent="0.3">
      <c r="B59" s="221"/>
      <c r="C59" s="202"/>
      <c r="D59" s="222"/>
      <c r="E59" s="222"/>
      <c r="F59" s="222"/>
      <c r="G59" s="222"/>
      <c r="H59" s="222"/>
      <c r="I59" s="222"/>
      <c r="J59" s="222"/>
      <c r="K59" s="222"/>
      <c r="L59" s="222"/>
      <c r="M59" s="222"/>
      <c r="N59" s="222"/>
      <c r="O59" s="222"/>
      <c r="P59" s="222"/>
      <c r="Q59" s="222"/>
      <c r="R59" s="222"/>
      <c r="S59" s="222"/>
      <c r="T59" s="222"/>
      <c r="U59" s="222"/>
      <c r="V59" s="222"/>
      <c r="W59" s="222"/>
      <c r="X59" s="222"/>
      <c r="Y59" s="222"/>
      <c r="Z59" s="222"/>
      <c r="AA59" s="222"/>
      <c r="AB59" s="223"/>
    </row>
    <row r="60" spans="2:28" x14ac:dyDescent="0.3">
      <c r="B60" s="261" t="s">
        <v>358</v>
      </c>
      <c r="C60" s="44"/>
      <c r="D60" s="207"/>
      <c r="E60" s="207"/>
      <c r="F60" s="207"/>
      <c r="G60" s="207"/>
      <c r="H60" s="49"/>
      <c r="I60" s="222"/>
      <c r="J60" s="222"/>
      <c r="K60" s="222"/>
      <c r="L60" s="222"/>
      <c r="M60" s="222"/>
      <c r="N60" s="222"/>
      <c r="O60" s="222"/>
      <c r="P60" s="222"/>
      <c r="Q60" s="222"/>
      <c r="R60" s="222"/>
      <c r="S60" s="222"/>
      <c r="T60" s="222"/>
      <c r="U60" s="222"/>
      <c r="V60" s="222"/>
      <c r="W60" s="222"/>
      <c r="X60" s="222"/>
      <c r="Y60" s="222"/>
      <c r="Z60" s="222"/>
      <c r="AA60" s="222"/>
      <c r="AB60" s="223"/>
    </row>
    <row r="61" spans="2:28" x14ac:dyDescent="0.3">
      <c r="B61" s="262" t="s">
        <v>63</v>
      </c>
      <c r="C61" s="213">
        <f t="shared" ref="C61:C63" si="49">+SUM(D61:AB61)</f>
        <v>0</v>
      </c>
      <c r="D61" s="207">
        <f t="shared" ref="D61:AB61" si="50">+D20</f>
        <v>0</v>
      </c>
      <c r="E61" s="207">
        <f t="shared" si="50"/>
        <v>0</v>
      </c>
      <c r="F61" s="207">
        <f t="shared" si="50"/>
        <v>0</v>
      </c>
      <c r="G61" s="207">
        <f t="shared" si="50"/>
        <v>0</v>
      </c>
      <c r="H61" s="207">
        <f t="shared" si="50"/>
        <v>0</v>
      </c>
      <c r="I61" s="207">
        <f t="shared" si="50"/>
        <v>0</v>
      </c>
      <c r="J61" s="207">
        <f t="shared" si="50"/>
        <v>0</v>
      </c>
      <c r="K61" s="207">
        <f t="shared" si="50"/>
        <v>0</v>
      </c>
      <c r="L61" s="207">
        <f t="shared" si="50"/>
        <v>0</v>
      </c>
      <c r="M61" s="207">
        <f t="shared" si="50"/>
        <v>0</v>
      </c>
      <c r="N61" s="207">
        <f t="shared" si="50"/>
        <v>0</v>
      </c>
      <c r="O61" s="207">
        <f t="shared" si="50"/>
        <v>0</v>
      </c>
      <c r="P61" s="207">
        <f t="shared" si="50"/>
        <v>0</v>
      </c>
      <c r="Q61" s="207">
        <f t="shared" si="50"/>
        <v>0</v>
      </c>
      <c r="R61" s="207">
        <f t="shared" si="50"/>
        <v>0</v>
      </c>
      <c r="S61" s="207">
        <f t="shared" si="50"/>
        <v>0</v>
      </c>
      <c r="T61" s="207">
        <f t="shared" si="50"/>
        <v>0</v>
      </c>
      <c r="U61" s="207">
        <f t="shared" si="50"/>
        <v>0</v>
      </c>
      <c r="V61" s="207">
        <f t="shared" si="50"/>
        <v>0</v>
      </c>
      <c r="W61" s="207">
        <f t="shared" si="50"/>
        <v>0</v>
      </c>
      <c r="X61" s="207">
        <f t="shared" si="50"/>
        <v>0</v>
      </c>
      <c r="Y61" s="207">
        <f t="shared" si="50"/>
        <v>0</v>
      </c>
      <c r="Z61" s="207">
        <f t="shared" si="50"/>
        <v>0</v>
      </c>
      <c r="AA61" s="207">
        <f t="shared" si="50"/>
        <v>0</v>
      </c>
      <c r="AB61" s="225">
        <f t="shared" si="50"/>
        <v>0</v>
      </c>
    </row>
    <row r="62" spans="2:28" x14ac:dyDescent="0.3">
      <c r="B62" s="263" t="s">
        <v>118</v>
      </c>
      <c r="C62" s="214">
        <f t="shared" si="49"/>
        <v>26743.702000000005</v>
      </c>
      <c r="D62" s="79">
        <f t="shared" ref="D62:AB62" si="51">+D19</f>
        <v>0</v>
      </c>
      <c r="E62" s="79">
        <f t="shared" si="51"/>
        <v>0</v>
      </c>
      <c r="F62" s="79">
        <f t="shared" si="51"/>
        <v>6685.9255000000012</v>
      </c>
      <c r="G62" s="79">
        <f t="shared" si="51"/>
        <v>6685.9255000000012</v>
      </c>
      <c r="H62" s="79">
        <f t="shared" si="51"/>
        <v>6685.9255000000012</v>
      </c>
      <c r="I62" s="79">
        <f t="shared" si="51"/>
        <v>6685.9255000000012</v>
      </c>
      <c r="J62" s="79">
        <f t="shared" si="51"/>
        <v>0</v>
      </c>
      <c r="K62" s="79">
        <f t="shared" si="51"/>
        <v>0</v>
      </c>
      <c r="L62" s="79">
        <f t="shared" si="51"/>
        <v>0</v>
      </c>
      <c r="M62" s="79">
        <f t="shared" si="51"/>
        <v>0</v>
      </c>
      <c r="N62" s="79">
        <f t="shared" si="51"/>
        <v>0</v>
      </c>
      <c r="O62" s="79">
        <f t="shared" si="51"/>
        <v>0</v>
      </c>
      <c r="P62" s="79">
        <f t="shared" si="51"/>
        <v>0</v>
      </c>
      <c r="Q62" s="79">
        <f t="shared" si="51"/>
        <v>0</v>
      </c>
      <c r="R62" s="79">
        <f t="shared" si="51"/>
        <v>0</v>
      </c>
      <c r="S62" s="79">
        <f t="shared" si="51"/>
        <v>0</v>
      </c>
      <c r="T62" s="79">
        <f t="shared" si="51"/>
        <v>0</v>
      </c>
      <c r="U62" s="79">
        <f t="shared" si="51"/>
        <v>0</v>
      </c>
      <c r="V62" s="79">
        <f t="shared" si="51"/>
        <v>0</v>
      </c>
      <c r="W62" s="79">
        <f t="shared" si="51"/>
        <v>0</v>
      </c>
      <c r="X62" s="79">
        <f t="shared" si="51"/>
        <v>0</v>
      </c>
      <c r="Y62" s="79">
        <f t="shared" si="51"/>
        <v>0</v>
      </c>
      <c r="Z62" s="79">
        <f t="shared" si="51"/>
        <v>0</v>
      </c>
      <c r="AA62" s="79">
        <f t="shared" si="51"/>
        <v>0</v>
      </c>
      <c r="AB62" s="227">
        <f t="shared" si="51"/>
        <v>0</v>
      </c>
    </row>
    <row r="63" spans="2:28" x14ac:dyDescent="0.3">
      <c r="B63" s="261" t="s">
        <v>359</v>
      </c>
      <c r="C63" s="83">
        <f t="shared" si="49"/>
        <v>26743.702000000005</v>
      </c>
      <c r="D63" s="228">
        <f>SUM(D61:D62)</f>
        <v>0</v>
      </c>
      <c r="E63" s="228">
        <f t="shared" ref="E63:AB63" si="52">SUM(E61:E62)</f>
        <v>0</v>
      </c>
      <c r="F63" s="228">
        <f t="shared" si="52"/>
        <v>6685.9255000000012</v>
      </c>
      <c r="G63" s="228">
        <f t="shared" si="52"/>
        <v>6685.9255000000012</v>
      </c>
      <c r="H63" s="228">
        <f t="shared" si="52"/>
        <v>6685.9255000000012</v>
      </c>
      <c r="I63" s="228">
        <f t="shared" si="52"/>
        <v>6685.9255000000012</v>
      </c>
      <c r="J63" s="228">
        <f t="shared" si="52"/>
        <v>0</v>
      </c>
      <c r="K63" s="228">
        <f t="shared" si="52"/>
        <v>0</v>
      </c>
      <c r="L63" s="228">
        <f t="shared" si="52"/>
        <v>0</v>
      </c>
      <c r="M63" s="228">
        <f t="shared" si="52"/>
        <v>0</v>
      </c>
      <c r="N63" s="228">
        <f t="shared" si="52"/>
        <v>0</v>
      </c>
      <c r="O63" s="228">
        <f t="shared" si="52"/>
        <v>0</v>
      </c>
      <c r="P63" s="228">
        <f t="shared" si="52"/>
        <v>0</v>
      </c>
      <c r="Q63" s="228">
        <f t="shared" si="52"/>
        <v>0</v>
      </c>
      <c r="R63" s="228">
        <f t="shared" si="52"/>
        <v>0</v>
      </c>
      <c r="S63" s="228">
        <f t="shared" si="52"/>
        <v>0</v>
      </c>
      <c r="T63" s="228">
        <f t="shared" si="52"/>
        <v>0</v>
      </c>
      <c r="U63" s="228">
        <f t="shared" si="52"/>
        <v>0</v>
      </c>
      <c r="V63" s="228">
        <f t="shared" si="52"/>
        <v>0</v>
      </c>
      <c r="W63" s="228">
        <f t="shared" si="52"/>
        <v>0</v>
      </c>
      <c r="X63" s="228">
        <f t="shared" si="52"/>
        <v>0</v>
      </c>
      <c r="Y63" s="228">
        <f t="shared" si="52"/>
        <v>0</v>
      </c>
      <c r="Z63" s="228">
        <f t="shared" si="52"/>
        <v>0</v>
      </c>
      <c r="AA63" s="228">
        <f t="shared" si="52"/>
        <v>0</v>
      </c>
      <c r="AB63" s="229">
        <f t="shared" si="52"/>
        <v>0</v>
      </c>
    </row>
    <row r="64" spans="2:28" x14ac:dyDescent="0.3">
      <c r="B64" s="264"/>
      <c r="D64" s="222"/>
      <c r="E64" s="222"/>
      <c r="F64" s="222"/>
      <c r="G64" s="222"/>
      <c r="H64" s="222"/>
      <c r="I64" s="222"/>
      <c r="J64" s="222"/>
      <c r="K64" s="222"/>
      <c r="L64" s="222"/>
      <c r="M64" s="222"/>
      <c r="N64" s="222"/>
      <c r="O64" s="222"/>
      <c r="P64" s="222"/>
      <c r="Q64" s="222"/>
      <c r="R64" s="222"/>
      <c r="S64" s="222"/>
      <c r="T64" s="222"/>
      <c r="U64" s="222"/>
      <c r="V64" s="222"/>
      <c r="W64" s="222"/>
      <c r="X64" s="222"/>
      <c r="Y64" s="222"/>
      <c r="Z64" s="222"/>
      <c r="AA64" s="222"/>
      <c r="AB64" s="223"/>
    </row>
    <row r="65" spans="2:28" x14ac:dyDescent="0.3">
      <c r="B65" s="261" t="s">
        <v>360</v>
      </c>
      <c r="D65" s="222"/>
      <c r="E65" s="222"/>
      <c r="F65" s="222"/>
      <c r="G65" s="222"/>
      <c r="H65" s="222"/>
      <c r="I65" s="222"/>
      <c r="J65" s="222"/>
      <c r="K65" s="222"/>
      <c r="L65" s="222"/>
      <c r="M65" s="222"/>
      <c r="N65" s="222"/>
      <c r="O65" s="222"/>
      <c r="P65" s="222"/>
      <c r="Q65" s="222"/>
      <c r="R65" s="222"/>
      <c r="S65" s="222"/>
      <c r="T65" s="222"/>
      <c r="U65" s="222"/>
      <c r="V65" s="222"/>
      <c r="W65" s="222"/>
      <c r="X65" s="222"/>
      <c r="Y65" s="222"/>
      <c r="Z65" s="222"/>
      <c r="AA65" s="222"/>
      <c r="AB65" s="223"/>
    </row>
    <row r="66" spans="2:28" x14ac:dyDescent="0.3">
      <c r="B66" s="262" t="s">
        <v>361</v>
      </c>
      <c r="C66" s="213">
        <f t="shared" ref="C66:C68" si="53">+SUM(D66:AB66)</f>
        <v>0</v>
      </c>
      <c r="D66" s="207">
        <f>+D7</f>
        <v>0</v>
      </c>
      <c r="E66" s="207">
        <f t="shared" ref="E66:AB66" si="54">+E7</f>
        <v>0</v>
      </c>
      <c r="F66" s="207">
        <f t="shared" si="54"/>
        <v>0</v>
      </c>
      <c r="G66" s="207">
        <f t="shared" si="54"/>
        <v>0</v>
      </c>
      <c r="H66" s="207">
        <f t="shared" si="54"/>
        <v>0</v>
      </c>
      <c r="I66" s="207">
        <f t="shared" si="54"/>
        <v>0</v>
      </c>
      <c r="J66" s="207">
        <f t="shared" si="54"/>
        <v>0</v>
      </c>
      <c r="K66" s="207">
        <f t="shared" si="54"/>
        <v>0</v>
      </c>
      <c r="L66" s="207">
        <f t="shared" si="54"/>
        <v>0</v>
      </c>
      <c r="M66" s="207">
        <f t="shared" si="54"/>
        <v>0</v>
      </c>
      <c r="N66" s="207">
        <f t="shared" si="54"/>
        <v>0</v>
      </c>
      <c r="O66" s="207">
        <f t="shared" si="54"/>
        <v>0</v>
      </c>
      <c r="P66" s="207">
        <f t="shared" si="54"/>
        <v>0</v>
      </c>
      <c r="Q66" s="207">
        <f t="shared" si="54"/>
        <v>0</v>
      </c>
      <c r="R66" s="207">
        <f t="shared" si="54"/>
        <v>0</v>
      </c>
      <c r="S66" s="207">
        <f t="shared" si="54"/>
        <v>0</v>
      </c>
      <c r="T66" s="207">
        <f t="shared" si="54"/>
        <v>0</v>
      </c>
      <c r="U66" s="207">
        <f t="shared" si="54"/>
        <v>0</v>
      </c>
      <c r="V66" s="207">
        <f t="shared" si="54"/>
        <v>0</v>
      </c>
      <c r="W66" s="207">
        <f t="shared" si="54"/>
        <v>0</v>
      </c>
      <c r="X66" s="207">
        <f t="shared" si="54"/>
        <v>0</v>
      </c>
      <c r="Y66" s="207">
        <f t="shared" si="54"/>
        <v>0</v>
      </c>
      <c r="Z66" s="207">
        <f t="shared" si="54"/>
        <v>0</v>
      </c>
      <c r="AA66" s="207">
        <f t="shared" si="54"/>
        <v>0</v>
      </c>
      <c r="AB66" s="225">
        <f t="shared" si="54"/>
        <v>0</v>
      </c>
    </row>
    <row r="67" spans="2:28" x14ac:dyDescent="0.3">
      <c r="B67" s="263" t="s">
        <v>362</v>
      </c>
      <c r="C67" s="214">
        <f t="shared" ca="1" si="53"/>
        <v>4500</v>
      </c>
      <c r="D67" s="79">
        <f ca="1">+IF(D45&gt;0,Inputs!$AA$12,0)</f>
        <v>0</v>
      </c>
      <c r="E67" s="79">
        <f ca="1">+IF(E45&gt;0,Inputs!$AA$12,0)</f>
        <v>0</v>
      </c>
      <c r="F67" s="79">
        <f ca="1">+IF(F45&gt;0,Inputs!$AA$12,0)</f>
        <v>0</v>
      </c>
      <c r="G67" s="79">
        <f ca="1">+IF(G45&gt;0,Inputs!$AA$12,0)</f>
        <v>0</v>
      </c>
      <c r="H67" s="79">
        <f ca="1">+IF(H45&gt;0,Inputs!$AA$12,0)</f>
        <v>0</v>
      </c>
      <c r="I67" s="79">
        <f ca="1">+IF(I45&gt;0,Inputs!$AA$12,0)</f>
        <v>0</v>
      </c>
      <c r="J67" s="79">
        <f ca="1">+IF(J45&gt;0,Inputs!$AA$12,0)</f>
        <v>0</v>
      </c>
      <c r="K67" s="79">
        <f ca="1">+IF(K45&gt;0,Inputs!$AA$12,0)</f>
        <v>4500</v>
      </c>
      <c r="L67" s="79">
        <f>+IF(L45&gt;0,Inputs!$AA$12,0)</f>
        <v>0</v>
      </c>
      <c r="M67" s="79">
        <f>+IF(M45&gt;0,Inputs!$AA$12,0)</f>
        <v>0</v>
      </c>
      <c r="N67" s="79">
        <f>+IF(N45&gt;0,Inputs!$AA$12,0)</f>
        <v>0</v>
      </c>
      <c r="O67" s="79">
        <f>+IF(O45&gt;0,Inputs!$AA$12,0)</f>
        <v>0</v>
      </c>
      <c r="P67" s="79">
        <f>+IF(P45&gt;0,Inputs!$AA$12,0)</f>
        <v>0</v>
      </c>
      <c r="Q67" s="79">
        <f>+IF(Q45&gt;0,Inputs!$AA$12,0)</f>
        <v>0</v>
      </c>
      <c r="R67" s="79">
        <f>+IF(R45&gt;0,Inputs!$AA$12,0)</f>
        <v>0</v>
      </c>
      <c r="S67" s="79">
        <f>+IF(S45&gt;0,Inputs!$AA$12,0)</f>
        <v>0</v>
      </c>
      <c r="T67" s="79">
        <f>+IF(T45&gt;0,Inputs!$AA$12,0)</f>
        <v>0</v>
      </c>
      <c r="U67" s="79">
        <f>+IF(U45&gt;0,Inputs!$AA$12,0)</f>
        <v>0</v>
      </c>
      <c r="V67" s="79">
        <f>+IF(V45&gt;0,Inputs!$AA$12,0)</f>
        <v>0</v>
      </c>
      <c r="W67" s="79">
        <f>+IF(W45&gt;0,Inputs!$AA$12,0)</f>
        <v>0</v>
      </c>
      <c r="X67" s="79">
        <f>+IF(X45&gt;0,Inputs!$AA$12,0)</f>
        <v>0</v>
      </c>
      <c r="Y67" s="79">
        <f>+IF(Y45&gt;0,Inputs!$AA$12,0)</f>
        <v>0</v>
      </c>
      <c r="Z67" s="79">
        <f>+IF(Z45&gt;0,Inputs!$AA$12,0)</f>
        <v>0</v>
      </c>
      <c r="AA67" s="79">
        <f>+IF(AA45&gt;0,Inputs!$AA$12,0)</f>
        <v>0</v>
      </c>
      <c r="AB67" s="227">
        <f>+IF(AB45&gt;0,Inputs!$AA$12,0)</f>
        <v>0</v>
      </c>
    </row>
    <row r="68" spans="2:28" x14ac:dyDescent="0.3">
      <c r="B68" s="261" t="s">
        <v>363</v>
      </c>
      <c r="C68" s="83">
        <f t="shared" ca="1" si="53"/>
        <v>4500</v>
      </c>
      <c r="D68" s="228">
        <f ca="1">SUM(D66:D67)</f>
        <v>0</v>
      </c>
      <c r="E68" s="228">
        <f t="shared" ref="E68:AB68" ca="1" si="55">SUM(E66:E67)</f>
        <v>0</v>
      </c>
      <c r="F68" s="228">
        <f t="shared" ca="1" si="55"/>
        <v>0</v>
      </c>
      <c r="G68" s="228">
        <f t="shared" ca="1" si="55"/>
        <v>0</v>
      </c>
      <c r="H68" s="228">
        <f t="shared" ca="1" si="55"/>
        <v>0</v>
      </c>
      <c r="I68" s="228">
        <f t="shared" ca="1" si="55"/>
        <v>0</v>
      </c>
      <c r="J68" s="228">
        <f t="shared" ca="1" si="55"/>
        <v>0</v>
      </c>
      <c r="K68" s="228">
        <f t="shared" ca="1" si="55"/>
        <v>4500</v>
      </c>
      <c r="L68" s="228">
        <f t="shared" si="55"/>
        <v>0</v>
      </c>
      <c r="M68" s="228">
        <f t="shared" si="55"/>
        <v>0</v>
      </c>
      <c r="N68" s="228">
        <f t="shared" si="55"/>
        <v>0</v>
      </c>
      <c r="O68" s="228">
        <f t="shared" si="55"/>
        <v>0</v>
      </c>
      <c r="P68" s="228">
        <f t="shared" si="55"/>
        <v>0</v>
      </c>
      <c r="Q68" s="228">
        <f t="shared" si="55"/>
        <v>0</v>
      </c>
      <c r="R68" s="228">
        <f t="shared" si="55"/>
        <v>0</v>
      </c>
      <c r="S68" s="228">
        <f t="shared" si="55"/>
        <v>0</v>
      </c>
      <c r="T68" s="228">
        <f t="shared" si="55"/>
        <v>0</v>
      </c>
      <c r="U68" s="228">
        <f t="shared" si="55"/>
        <v>0</v>
      </c>
      <c r="V68" s="228">
        <f t="shared" si="55"/>
        <v>0</v>
      </c>
      <c r="W68" s="228">
        <f t="shared" si="55"/>
        <v>0</v>
      </c>
      <c r="X68" s="228">
        <f t="shared" si="55"/>
        <v>0</v>
      </c>
      <c r="Y68" s="228">
        <f t="shared" si="55"/>
        <v>0</v>
      </c>
      <c r="Z68" s="228">
        <f t="shared" si="55"/>
        <v>0</v>
      </c>
      <c r="AA68" s="228">
        <f t="shared" si="55"/>
        <v>0</v>
      </c>
      <c r="AB68" s="229">
        <f t="shared" si="55"/>
        <v>0</v>
      </c>
    </row>
    <row r="69" spans="2:28" x14ac:dyDescent="0.3">
      <c r="B69" s="232"/>
      <c r="D69" s="222"/>
      <c r="E69" s="222"/>
      <c r="F69" s="222"/>
      <c r="G69" s="222"/>
      <c r="H69" s="222"/>
      <c r="I69" s="222"/>
      <c r="J69" s="222"/>
      <c r="K69" s="222"/>
      <c r="L69" s="222"/>
      <c r="M69" s="222"/>
      <c r="N69" s="222"/>
      <c r="O69" s="222"/>
      <c r="P69" s="222"/>
      <c r="Q69" s="222"/>
      <c r="R69" s="222"/>
      <c r="S69" s="222"/>
      <c r="T69" s="222"/>
      <c r="U69" s="222"/>
      <c r="V69" s="222"/>
      <c r="W69" s="222"/>
      <c r="X69" s="222"/>
      <c r="Y69" s="222"/>
      <c r="Z69" s="222"/>
      <c r="AA69" s="222"/>
      <c r="AB69" s="223"/>
    </row>
    <row r="70" spans="2:28" ht="12.5" thickBot="1" x14ac:dyDescent="0.35">
      <c r="B70" s="233" t="s">
        <v>364</v>
      </c>
      <c r="C70" s="234">
        <f ca="1">+SUM(D70:AB70)</f>
        <v>125936.25006682627</v>
      </c>
      <c r="D70" s="235">
        <f ca="1">+D68+D63+D58</f>
        <v>0</v>
      </c>
      <c r="E70" s="235">
        <f t="shared" ref="E70:AB70" ca="1" si="56">+E68+E63+E58</f>
        <v>0</v>
      </c>
      <c r="F70" s="235">
        <f t="shared" ca="1" si="56"/>
        <v>6685.9255000000012</v>
      </c>
      <c r="G70" s="235">
        <f t="shared" ca="1" si="56"/>
        <v>6685.9255000000012</v>
      </c>
      <c r="H70" s="235">
        <f t="shared" ca="1" si="56"/>
        <v>6685.9255000000012</v>
      </c>
      <c r="I70" s="235">
        <f t="shared" ca="1" si="56"/>
        <v>6685.9255000000012</v>
      </c>
      <c r="J70" s="235">
        <f t="shared" ca="1" si="56"/>
        <v>0</v>
      </c>
      <c r="K70" s="235">
        <f t="shared" ca="1" si="56"/>
        <v>99192.548066826261</v>
      </c>
      <c r="L70" s="235">
        <f t="shared" si="56"/>
        <v>0</v>
      </c>
      <c r="M70" s="235">
        <f t="shared" si="56"/>
        <v>0</v>
      </c>
      <c r="N70" s="235">
        <f t="shared" si="56"/>
        <v>0</v>
      </c>
      <c r="O70" s="235">
        <f t="shared" si="56"/>
        <v>0</v>
      </c>
      <c r="P70" s="235">
        <f t="shared" si="56"/>
        <v>0</v>
      </c>
      <c r="Q70" s="235">
        <f t="shared" si="56"/>
        <v>0</v>
      </c>
      <c r="R70" s="235">
        <f t="shared" si="56"/>
        <v>0</v>
      </c>
      <c r="S70" s="235">
        <f t="shared" si="56"/>
        <v>0</v>
      </c>
      <c r="T70" s="235">
        <f t="shared" si="56"/>
        <v>0</v>
      </c>
      <c r="U70" s="235">
        <f t="shared" si="56"/>
        <v>0</v>
      </c>
      <c r="V70" s="235">
        <f t="shared" si="56"/>
        <v>0</v>
      </c>
      <c r="W70" s="235">
        <f t="shared" si="56"/>
        <v>0</v>
      </c>
      <c r="X70" s="235">
        <f t="shared" si="56"/>
        <v>0</v>
      </c>
      <c r="Y70" s="235">
        <f t="shared" si="56"/>
        <v>0</v>
      </c>
      <c r="Z70" s="235">
        <f t="shared" si="56"/>
        <v>0</v>
      </c>
      <c r="AA70" s="235">
        <f t="shared" si="56"/>
        <v>0</v>
      </c>
      <c r="AB70" s="236">
        <f t="shared" si="56"/>
        <v>0</v>
      </c>
    </row>
    <row r="71" spans="2:28" x14ac:dyDescent="0.3">
      <c r="B71" s="50"/>
    </row>
    <row r="72" spans="2:28" x14ac:dyDescent="0.3">
      <c r="D72" s="51"/>
      <c r="E72" s="51"/>
      <c r="F72" s="51"/>
      <c r="G72" s="51"/>
      <c r="H72" s="51"/>
      <c r="I72" s="51"/>
      <c r="J72" s="51"/>
      <c r="K72" s="51"/>
    </row>
    <row r="73" spans="2:28" x14ac:dyDescent="0.3">
      <c r="C73" s="198"/>
      <c r="D73" s="51"/>
      <c r="E73" s="51"/>
      <c r="F73" s="51"/>
      <c r="G73" s="51"/>
      <c r="H73" s="51"/>
      <c r="I73" s="51"/>
      <c r="J73" s="51"/>
      <c r="K73" s="51"/>
    </row>
  </sheetData>
  <mergeCells count="1">
    <mergeCell ref="B47:C47"/>
  </mergeCells>
  <phoneticPr fontId="13" type="noConversion"/>
  <conditionalFormatting sqref="E3:AB3">
    <cfRule type="expression" dxfId="7" priority="1">
      <formula>E$3="SALE"</formula>
    </cfRule>
    <cfRule type="expression" dxfId="6" priority="2" stopIfTrue="1">
      <formula>E$3="VERTICAL"</formula>
    </cfRule>
    <cfRule type="expression" dxfId="5" priority="3" stopIfTrue="1">
      <formula>E$3="PREDEV"</formula>
    </cfRule>
  </conditionalFormatting>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C3510-6AAC-479F-A008-1D861F3FB7A3}">
  <dimension ref="A1:U14"/>
  <sheetViews>
    <sheetView showGridLines="0" workbookViewId="0">
      <selection sqref="A1:U8"/>
    </sheetView>
  </sheetViews>
  <sheetFormatPr defaultRowHeight="12" x14ac:dyDescent="0.3"/>
  <sheetData>
    <row r="1" spans="1:21" x14ac:dyDescent="0.3">
      <c r="A1" s="1337" t="s">
        <v>365</v>
      </c>
      <c r="B1" s="1338"/>
      <c r="C1" s="1338"/>
      <c r="D1" s="1338"/>
      <c r="E1" s="1338"/>
      <c r="F1" s="1338"/>
      <c r="G1" s="1338"/>
      <c r="H1" s="1338"/>
      <c r="I1" s="1338"/>
      <c r="J1" s="1338"/>
      <c r="K1" s="1338"/>
      <c r="L1" s="1338"/>
      <c r="M1" s="1338"/>
      <c r="N1" s="1338"/>
      <c r="O1" s="1338"/>
      <c r="P1" s="1338"/>
      <c r="Q1" s="1338"/>
      <c r="R1" s="1338"/>
      <c r="S1" s="1338"/>
      <c r="T1" s="1338"/>
      <c r="U1" s="1338"/>
    </row>
    <row r="2" spans="1:21" x14ac:dyDescent="0.3">
      <c r="A2" s="1338"/>
      <c r="B2" s="1338"/>
      <c r="C2" s="1338"/>
      <c r="D2" s="1338"/>
      <c r="E2" s="1338"/>
      <c r="F2" s="1338"/>
      <c r="G2" s="1338"/>
      <c r="H2" s="1338"/>
      <c r="I2" s="1338"/>
      <c r="J2" s="1338"/>
      <c r="K2" s="1338"/>
      <c r="L2" s="1338"/>
      <c r="M2" s="1338"/>
      <c r="N2" s="1338"/>
      <c r="O2" s="1338"/>
      <c r="P2" s="1338"/>
      <c r="Q2" s="1338"/>
      <c r="R2" s="1338"/>
      <c r="S2" s="1338"/>
      <c r="T2" s="1338"/>
      <c r="U2" s="1338"/>
    </row>
    <row r="3" spans="1:21" ht="108" customHeight="1" x14ac:dyDescent="0.3">
      <c r="A3" s="1338"/>
      <c r="B3" s="1338"/>
      <c r="C3" s="1338"/>
      <c r="D3" s="1338"/>
      <c r="E3" s="1338"/>
      <c r="F3" s="1338"/>
      <c r="G3" s="1338"/>
      <c r="H3" s="1338"/>
      <c r="I3" s="1338"/>
      <c r="J3" s="1338"/>
      <c r="K3" s="1338"/>
      <c r="L3" s="1338"/>
      <c r="M3" s="1338"/>
      <c r="N3" s="1338"/>
      <c r="O3" s="1338"/>
      <c r="P3" s="1338"/>
      <c r="Q3" s="1338"/>
      <c r="R3" s="1338"/>
      <c r="S3" s="1338"/>
      <c r="T3" s="1338"/>
      <c r="U3" s="1338"/>
    </row>
    <row r="4" spans="1:21" ht="15.75" customHeight="1" x14ac:dyDescent="0.3">
      <c r="A4" s="1338"/>
      <c r="B4" s="1338"/>
      <c r="C4" s="1338"/>
      <c r="D4" s="1338"/>
      <c r="E4" s="1338"/>
      <c r="F4" s="1338"/>
      <c r="G4" s="1338"/>
      <c r="H4" s="1338"/>
      <c r="I4" s="1338"/>
      <c r="J4" s="1338"/>
      <c r="K4" s="1338"/>
      <c r="L4" s="1338"/>
      <c r="M4" s="1338"/>
      <c r="N4" s="1338"/>
      <c r="O4" s="1338"/>
      <c r="P4" s="1338"/>
      <c r="Q4" s="1338"/>
      <c r="R4" s="1338"/>
      <c r="S4" s="1338"/>
      <c r="T4" s="1338"/>
      <c r="U4" s="1338"/>
    </row>
    <row r="5" spans="1:21" x14ac:dyDescent="0.3">
      <c r="A5" s="1338"/>
      <c r="B5" s="1338"/>
      <c r="C5" s="1338"/>
      <c r="D5" s="1338"/>
      <c r="E5" s="1338"/>
      <c r="F5" s="1338"/>
      <c r="G5" s="1338"/>
      <c r="H5" s="1338"/>
      <c r="I5" s="1338"/>
      <c r="J5" s="1338"/>
      <c r="K5" s="1338"/>
      <c r="L5" s="1338"/>
      <c r="M5" s="1338"/>
      <c r="N5" s="1338"/>
      <c r="O5" s="1338"/>
      <c r="P5" s="1338"/>
      <c r="Q5" s="1338"/>
      <c r="R5" s="1338"/>
      <c r="S5" s="1338"/>
      <c r="T5" s="1338"/>
      <c r="U5" s="1338"/>
    </row>
    <row r="6" spans="1:21" ht="15.75" customHeight="1" x14ac:dyDescent="0.3">
      <c r="A6" s="1338"/>
      <c r="B6" s="1338"/>
      <c r="C6" s="1338"/>
      <c r="D6" s="1338"/>
      <c r="E6" s="1338"/>
      <c r="F6" s="1338"/>
      <c r="G6" s="1338"/>
      <c r="H6" s="1338"/>
      <c r="I6" s="1338"/>
      <c r="J6" s="1338"/>
      <c r="K6" s="1338"/>
      <c r="L6" s="1338"/>
      <c r="M6" s="1338"/>
      <c r="N6" s="1338"/>
      <c r="O6" s="1338"/>
      <c r="P6" s="1338"/>
      <c r="Q6" s="1338"/>
      <c r="R6" s="1338"/>
      <c r="S6" s="1338"/>
      <c r="T6" s="1338"/>
      <c r="U6" s="1338"/>
    </row>
    <row r="7" spans="1:21" x14ac:dyDescent="0.3">
      <c r="A7" s="1338"/>
      <c r="B7" s="1338"/>
      <c r="C7" s="1338"/>
      <c r="D7" s="1338"/>
      <c r="E7" s="1338"/>
      <c r="F7" s="1338"/>
      <c r="G7" s="1338"/>
      <c r="H7" s="1338"/>
      <c r="I7" s="1338"/>
      <c r="J7" s="1338"/>
      <c r="K7" s="1338"/>
      <c r="L7" s="1338"/>
      <c r="M7" s="1338"/>
      <c r="N7" s="1338"/>
      <c r="O7" s="1338"/>
      <c r="P7" s="1338"/>
      <c r="Q7" s="1338"/>
      <c r="R7" s="1338"/>
      <c r="S7" s="1338"/>
      <c r="T7" s="1338"/>
      <c r="U7" s="1338"/>
    </row>
    <row r="8" spans="1:21" ht="15.75" customHeight="1" x14ac:dyDescent="0.3">
      <c r="A8" s="1338"/>
      <c r="B8" s="1338"/>
      <c r="C8" s="1338"/>
      <c r="D8" s="1338"/>
      <c r="E8" s="1338"/>
      <c r="F8" s="1338"/>
      <c r="G8" s="1338"/>
      <c r="H8" s="1338"/>
      <c r="I8" s="1338"/>
      <c r="J8" s="1338"/>
      <c r="K8" s="1338"/>
      <c r="L8" s="1338"/>
      <c r="M8" s="1338"/>
      <c r="N8" s="1338"/>
      <c r="O8" s="1338"/>
      <c r="P8" s="1338"/>
      <c r="Q8" s="1338"/>
      <c r="R8" s="1338"/>
      <c r="S8" s="1338"/>
      <c r="T8" s="1338"/>
      <c r="U8" s="1338"/>
    </row>
    <row r="9" spans="1:21" ht="128" x14ac:dyDescent="0.4">
      <c r="A9" s="1198" t="s">
        <v>366</v>
      </c>
    </row>
    <row r="10" spans="1:21" ht="96" x14ac:dyDescent="0.4">
      <c r="A10" s="1198" t="s">
        <v>367</v>
      </c>
    </row>
    <row r="11" spans="1:21" ht="31" x14ac:dyDescent="0.35">
      <c r="A11" s="1199" t="s">
        <v>368</v>
      </c>
    </row>
    <row r="12" spans="1:21" ht="29" x14ac:dyDescent="0.35">
      <c r="A12" s="1199" t="s">
        <v>369</v>
      </c>
    </row>
    <row r="14" spans="1:21" ht="87" x14ac:dyDescent="0.35">
      <c r="A14" s="1199" t="s">
        <v>370</v>
      </c>
    </row>
  </sheetData>
  <mergeCells count="1">
    <mergeCell ref="A1:U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AC3A9-35E1-D343-9113-D42928B31836}">
  <sheetPr>
    <tabColor theme="1"/>
  </sheetPr>
  <dimension ref="A2:BD63"/>
  <sheetViews>
    <sheetView showGridLines="0" topLeftCell="B12" zoomScaleNormal="100" workbookViewId="0">
      <pane xSplit="3" topLeftCell="E1" activePane="topRight" state="frozen"/>
      <selection activeCell="F14" sqref="F14"/>
      <selection pane="topRight" activeCell="L51" sqref="L51"/>
    </sheetView>
  </sheetViews>
  <sheetFormatPr defaultColWidth="11.109375" defaultRowHeight="12.75" customHeight="1" outlineLevelRow="1" outlineLevelCol="1" x14ac:dyDescent="0.25"/>
  <cols>
    <col min="1" max="1" width="3.109375" style="843" bestFit="1" customWidth="1"/>
    <col min="2" max="2" width="2.109375" style="843" bestFit="1" customWidth="1"/>
    <col min="3" max="3" width="39.77734375" style="843" bestFit="1" customWidth="1"/>
    <col min="4" max="4" width="11.77734375" style="843" bestFit="1" customWidth="1"/>
    <col min="5" max="5" width="11.44140625" style="843" bestFit="1" customWidth="1"/>
    <col min="6" max="6" width="12.44140625" style="843" bestFit="1" customWidth="1"/>
    <col min="7" max="7" width="13.77734375" style="843" bestFit="1" customWidth="1"/>
    <col min="8" max="8" width="15" style="843" bestFit="1" customWidth="1"/>
    <col min="9" max="9" width="16.77734375" style="843" bestFit="1" customWidth="1"/>
    <col min="10" max="10" width="18.109375" style="843" bestFit="1" customWidth="1"/>
    <col min="11" max="11" width="19.44140625" style="843" bestFit="1" customWidth="1"/>
    <col min="12" max="12" width="21.44140625" style="843" bestFit="1" customWidth="1"/>
    <col min="13" max="13" width="22.44140625" style="843" bestFit="1" customWidth="1"/>
    <col min="14" max="14" width="23.77734375" style="843" bestFit="1" customWidth="1"/>
    <col min="15" max="15" width="25.77734375" style="843" bestFit="1" customWidth="1"/>
    <col min="16" max="16" width="27.109375" style="843" bestFit="1" customWidth="1"/>
    <col min="17" max="17" width="28.44140625" style="843" bestFit="1" customWidth="1"/>
    <col min="18" max="18" width="30.44140625" style="843" bestFit="1" customWidth="1"/>
    <col min="19" max="19" width="31.44140625" style="843" bestFit="1" customWidth="1"/>
    <col min="20" max="20" width="32.77734375" style="843" bestFit="1" customWidth="1"/>
    <col min="21" max="21" width="34.77734375" style="843" bestFit="1" customWidth="1"/>
    <col min="22" max="22" width="36" style="843" bestFit="1" customWidth="1"/>
    <col min="23" max="23" width="37.109375" style="843" bestFit="1" customWidth="1"/>
    <col min="24" max="24" width="40.44140625" style="843" bestFit="1" customWidth="1"/>
    <col min="25" max="25" width="41.44140625" style="843" bestFit="1" customWidth="1"/>
    <col min="26" max="26" width="43.44140625" style="843" bestFit="1" customWidth="1"/>
    <col min="27" max="27" width="44.77734375" style="843" bestFit="1" customWidth="1"/>
    <col min="28" max="28" width="46.109375" style="843" bestFit="1" customWidth="1"/>
    <col min="29" max="29" width="48.109375" style="843" bestFit="1" customWidth="1"/>
    <col min="30" max="30" width="49.44140625" style="843" bestFit="1" customWidth="1"/>
    <col min="31" max="31" width="50.44140625" style="843" bestFit="1" customWidth="1"/>
    <col min="32" max="32" width="52.44140625" style="843" bestFit="1" customWidth="1"/>
    <col min="33" max="33" width="53.77734375" style="843" bestFit="1" customWidth="1"/>
    <col min="34" max="34" width="55.109375" style="843" bestFit="1" customWidth="1"/>
    <col min="35" max="35" width="57" style="843" bestFit="1" customWidth="1"/>
    <col min="36" max="36" width="58.44140625" style="843" bestFit="1" customWidth="1"/>
    <col min="37" max="37" width="59.44140625" style="843" bestFit="1" customWidth="1"/>
    <col min="38" max="38" width="61.44140625" style="843" bestFit="1" customWidth="1"/>
    <col min="39" max="39" width="62.77734375" style="843" bestFit="1" customWidth="1"/>
    <col min="40" max="40" width="64" style="843" bestFit="1" customWidth="1"/>
    <col min="41" max="41" width="65.77734375" style="843" bestFit="1" customWidth="1"/>
    <col min="42" max="42" width="67.109375" style="843" bestFit="1" customWidth="1"/>
    <col min="43" max="43" width="68.44140625" style="843" bestFit="1" customWidth="1"/>
    <col min="44" max="44" width="70.44140625" style="843" bestFit="1" customWidth="1"/>
    <col min="45" max="45" width="71.44140625" style="843" bestFit="1" customWidth="1"/>
    <col min="46" max="46" width="72.77734375" style="843" bestFit="1" customWidth="1"/>
    <col min="47" max="47" width="74.77734375" style="843" bestFit="1" customWidth="1"/>
    <col min="48" max="48" width="77.44140625" style="843" bestFit="1" customWidth="1"/>
    <col min="49" max="49" width="79.44140625" style="843" bestFit="1" customWidth="1"/>
    <col min="50" max="50" width="80.44140625" style="843" bestFit="1" customWidth="1"/>
    <col min="51" max="51" width="81.77734375" style="843" bestFit="1" customWidth="1"/>
    <col min="52" max="52" width="83.77734375" style="843" bestFit="1" customWidth="1"/>
    <col min="53" max="53" width="11.109375" style="843"/>
    <col min="54" max="54" width="21.44140625" style="843" bestFit="1" customWidth="1" outlineLevel="1"/>
    <col min="55" max="55" width="11.109375" style="843" customWidth="1" outlineLevel="1"/>
    <col min="56" max="56" width="8" style="845" bestFit="1" customWidth="1" outlineLevel="1"/>
    <col min="57" max="16384" width="11.109375" style="843"/>
  </cols>
  <sheetData>
    <row r="2" spans="1:56" ht="12.75" customHeight="1" x14ac:dyDescent="0.3">
      <c r="C2" s="844" t="s">
        <v>371</v>
      </c>
    </row>
    <row r="4" spans="1:56" ht="12.75" customHeight="1" x14ac:dyDescent="0.3">
      <c r="C4" s="162"/>
      <c r="D4" s="163" t="s">
        <v>163</v>
      </c>
      <c r="E4" s="164" t="s">
        <v>372</v>
      </c>
    </row>
    <row r="5" spans="1:56" ht="12.75" customHeight="1" x14ac:dyDescent="0.25">
      <c r="C5" s="165" t="s">
        <v>217</v>
      </c>
      <c r="D5" s="166">
        <f ca="1">+D11</f>
        <v>5.8419517040252682</v>
      </c>
      <c r="E5" s="846">
        <f ca="1">+IFERROR(SUM(E15:AZ15)/-SUMIF(E15:AZ15,"&lt;0")+1,"N/A")</f>
        <v>3.0555602627340641</v>
      </c>
      <c r="F5" s="847"/>
    </row>
    <row r="6" spans="1:56" ht="12.75" customHeight="1" x14ac:dyDescent="0.25">
      <c r="C6" s="165" t="s">
        <v>373</v>
      </c>
      <c r="D6" s="166">
        <f ca="1">D9</f>
        <v>0.17307671904563904</v>
      </c>
      <c r="E6" s="846">
        <f ca="1">+IFERROR(SUM(E51:AZ51)/-SUMIF(E51:AZ51,"&lt;0")+1,"N/A")</f>
        <v>1.0971507446912574</v>
      </c>
      <c r="H6" s="848"/>
    </row>
    <row r="7" spans="1:56" ht="12.75" customHeight="1" outlineLevel="1" x14ac:dyDescent="0.25">
      <c r="A7" s="849">
        <f>IF('Acquisition Summary'!J57="Preferred",0,IF('Acquisition Summary'!J57="First Hurdle",1,IF('Acquisition Summary'!J57="Second Hurdle",2,3)))</f>
        <v>0</v>
      </c>
      <c r="G7" s="850"/>
      <c r="H7" s="850"/>
      <c r="I7" s="850"/>
      <c r="J7" s="850"/>
      <c r="K7" s="850"/>
      <c r="L7" s="850"/>
    </row>
    <row r="8" spans="1:56" ht="12.75" customHeight="1" outlineLevel="1" x14ac:dyDescent="0.3">
      <c r="C8" s="167"/>
      <c r="D8" s="168"/>
      <c r="E8" s="851" t="s">
        <v>374</v>
      </c>
      <c r="F8" s="851">
        <v>1</v>
      </c>
      <c r="G8" s="851">
        <v>2</v>
      </c>
      <c r="H8" s="851">
        <v>3</v>
      </c>
      <c r="I8" s="851">
        <v>4</v>
      </c>
      <c r="J8" s="851">
        <v>5</v>
      </c>
      <c r="K8" s="851">
        <v>6</v>
      </c>
      <c r="L8" s="851">
        <v>7</v>
      </c>
      <c r="M8" s="851">
        <v>8</v>
      </c>
      <c r="N8" s="851">
        <v>9</v>
      </c>
      <c r="O8" s="852">
        <v>10</v>
      </c>
      <c r="P8" s="170"/>
      <c r="Q8" s="170"/>
    </row>
    <row r="9" spans="1:56" ht="12.75" customHeight="1" outlineLevel="1" x14ac:dyDescent="0.3">
      <c r="C9" s="169" t="s">
        <v>375</v>
      </c>
      <c r="D9" s="853">
        <f ca="1">+IFERROR(XIRR(E51:AZ51,E14:AZ14),"N/A")</f>
        <v>0.17307671904563904</v>
      </c>
      <c r="E9" s="170">
        <f ca="1">+E51</f>
        <v>-48279.565332916682</v>
      </c>
      <c r="F9" s="170">
        <f ca="1">+SUM(OFFSET($F$51,,(F8-1)*12,,12))</f>
        <v>52969.961058379755</v>
      </c>
      <c r="G9" s="170">
        <f t="shared" ref="G9:O9" ca="1" si="0">+SUM(OFFSET($F$51,,(G8-1)*12,,12))</f>
        <v>0</v>
      </c>
      <c r="H9" s="170">
        <f t="shared" ca="1" si="0"/>
        <v>0</v>
      </c>
      <c r="I9" s="170">
        <f t="shared" ca="1" si="0"/>
        <v>0</v>
      </c>
      <c r="J9" s="170">
        <f t="shared" ca="1" si="0"/>
        <v>0</v>
      </c>
      <c r="K9" s="170">
        <f t="shared" ca="1" si="0"/>
        <v>0</v>
      </c>
      <c r="L9" s="170">
        <f t="shared" ca="1" si="0"/>
        <v>0</v>
      </c>
      <c r="M9" s="170">
        <f t="shared" ca="1" si="0"/>
        <v>0</v>
      </c>
      <c r="N9" s="170">
        <f t="shared" ca="1" si="0"/>
        <v>0</v>
      </c>
      <c r="O9" s="171">
        <f t="shared" ca="1" si="0"/>
        <v>0</v>
      </c>
      <c r="P9" s="854"/>
      <c r="Q9" s="854"/>
    </row>
    <row r="10" spans="1:56" ht="12.75" customHeight="1" outlineLevel="1" x14ac:dyDescent="0.3">
      <c r="C10" s="169" t="s">
        <v>376</v>
      </c>
      <c r="D10" s="855" t="str">
        <f ca="1">+IFERROR(IRR(E10:Q10),"N/A")</f>
        <v>N/A</v>
      </c>
      <c r="E10" s="172">
        <f ca="1">+E52</f>
        <v>0</v>
      </c>
      <c r="F10" s="172">
        <f ca="1">+SUM(OFFSET($F$52,,(F8-1)*12,2,12))</f>
        <v>94551.160274953567</v>
      </c>
      <c r="G10" s="172">
        <f t="shared" ref="G10:O10" ca="1" si="1">+SUM(OFFSET($F$52,,(G8-1)*12,2,12))</f>
        <v>0</v>
      </c>
      <c r="H10" s="172">
        <f t="shared" ca="1" si="1"/>
        <v>0</v>
      </c>
      <c r="I10" s="172">
        <f t="shared" ca="1" si="1"/>
        <v>0</v>
      </c>
      <c r="J10" s="172">
        <f t="shared" ca="1" si="1"/>
        <v>0</v>
      </c>
      <c r="K10" s="172">
        <f t="shared" ca="1" si="1"/>
        <v>0</v>
      </c>
      <c r="L10" s="172">
        <f t="shared" ca="1" si="1"/>
        <v>0</v>
      </c>
      <c r="M10" s="172">
        <f t="shared" ca="1" si="1"/>
        <v>0</v>
      </c>
      <c r="N10" s="172">
        <f t="shared" ca="1" si="1"/>
        <v>0</v>
      </c>
      <c r="O10" s="173">
        <f t="shared" ca="1" si="1"/>
        <v>0</v>
      </c>
      <c r="P10" s="854"/>
      <c r="Q10" s="854"/>
    </row>
    <row r="11" spans="1:56" ht="12.75" customHeight="1" outlineLevel="1" x14ac:dyDescent="0.3">
      <c r="C11" s="174" t="s">
        <v>377</v>
      </c>
      <c r="D11" s="856">
        <f ca="1">+XIRR(E15:AZ15,E14:AZ14)</f>
        <v>5.8419517040252682</v>
      </c>
      <c r="E11" s="175">
        <f t="shared" ref="E11:O11" ca="1" si="2">SUM(E9:E10)</f>
        <v>-48279.565332916682</v>
      </c>
      <c r="F11" s="175">
        <f t="shared" ca="1" si="2"/>
        <v>147521.12133333331</v>
      </c>
      <c r="G11" s="175">
        <f t="shared" ca="1" si="2"/>
        <v>0</v>
      </c>
      <c r="H11" s="175">
        <f t="shared" ca="1" si="2"/>
        <v>0</v>
      </c>
      <c r="I11" s="175">
        <f t="shared" ca="1" si="2"/>
        <v>0</v>
      </c>
      <c r="J11" s="175">
        <f t="shared" ca="1" si="2"/>
        <v>0</v>
      </c>
      <c r="K11" s="175">
        <f t="shared" ca="1" si="2"/>
        <v>0</v>
      </c>
      <c r="L11" s="175">
        <f t="shared" ca="1" si="2"/>
        <v>0</v>
      </c>
      <c r="M11" s="175">
        <f t="shared" ca="1" si="2"/>
        <v>0</v>
      </c>
      <c r="N11" s="175">
        <f t="shared" ca="1" si="2"/>
        <v>0</v>
      </c>
      <c r="O11" s="176">
        <f t="shared" ca="1" si="2"/>
        <v>0</v>
      </c>
      <c r="P11" s="854"/>
      <c r="Q11" s="854"/>
    </row>
    <row r="12" spans="1:56" ht="12.75" customHeight="1" outlineLevel="1" x14ac:dyDescent="0.25"/>
    <row r="13" spans="1:56" ht="12.75" customHeight="1" outlineLevel="1" x14ac:dyDescent="0.25">
      <c r="F13" s="857"/>
      <c r="I13" s="858"/>
    </row>
    <row r="14" spans="1:56" ht="12.75" customHeight="1" outlineLevel="1" x14ac:dyDescent="0.3">
      <c r="C14" s="892" t="s">
        <v>378</v>
      </c>
      <c r="D14" s="892"/>
      <c r="E14" s="890">
        <f>+'Monthly CF'!D2</f>
        <v>46081</v>
      </c>
      <c r="F14" s="890">
        <f>+'Monthly CF'!E2</f>
        <v>46109</v>
      </c>
      <c r="G14" s="890">
        <f>+'Monthly CF'!F2</f>
        <v>46140</v>
      </c>
      <c r="H14" s="890">
        <f>+'Monthly CF'!G2</f>
        <v>46170</v>
      </c>
      <c r="I14" s="890">
        <f>+'Monthly CF'!H2</f>
        <v>46201</v>
      </c>
      <c r="J14" s="890">
        <f>+'Monthly CF'!I2</f>
        <v>46231</v>
      </c>
      <c r="K14" s="890">
        <f>+'Monthly CF'!J2</f>
        <v>46262</v>
      </c>
      <c r="L14" s="890">
        <f>+'Monthly CF'!K2</f>
        <v>46293</v>
      </c>
      <c r="M14" s="890">
        <f>+'Monthly CF'!L2</f>
        <v>46323</v>
      </c>
      <c r="N14" s="890">
        <f>+'Monthly CF'!M2</f>
        <v>46354</v>
      </c>
      <c r="O14" s="890">
        <f>+'Monthly CF'!N2</f>
        <v>46384</v>
      </c>
      <c r="P14" s="890">
        <f>+'Monthly CF'!O2</f>
        <v>46415</v>
      </c>
      <c r="Q14" s="890">
        <f>+'Monthly CF'!P2</f>
        <v>46446</v>
      </c>
      <c r="R14" s="890">
        <f>+'Monthly CF'!Q2</f>
        <v>46474</v>
      </c>
      <c r="S14" s="890">
        <f>+'Monthly CF'!R2</f>
        <v>46505</v>
      </c>
      <c r="T14" s="890">
        <f>+'Monthly CF'!S2</f>
        <v>46535</v>
      </c>
      <c r="U14" s="890">
        <f>+'Monthly CF'!T2</f>
        <v>46566</v>
      </c>
      <c r="V14" s="890">
        <f>+'Monthly CF'!U2</f>
        <v>46596</v>
      </c>
      <c r="W14" s="890">
        <f>+'Monthly CF'!V2</f>
        <v>46627</v>
      </c>
      <c r="X14" s="890">
        <f>+'Monthly CF'!W2</f>
        <v>46658</v>
      </c>
      <c r="Y14" s="890">
        <f>+'Monthly CF'!X2</f>
        <v>46688</v>
      </c>
      <c r="Z14" s="890">
        <f>+'Monthly CF'!Y2</f>
        <v>46719</v>
      </c>
      <c r="AA14" s="890">
        <f>+'Monthly CF'!Z2</f>
        <v>46749</v>
      </c>
      <c r="AB14" s="890">
        <f>+'Monthly CF'!AA2</f>
        <v>46780</v>
      </c>
      <c r="AC14" s="890">
        <f>+'Monthly CF'!AB2</f>
        <v>46811</v>
      </c>
      <c r="AD14" s="890">
        <f>+'Monthly CF'!AC2</f>
        <v>0</v>
      </c>
      <c r="AE14" s="890">
        <f>+'Monthly CF'!AD2</f>
        <v>0</v>
      </c>
      <c r="AF14" s="890">
        <f>+'Monthly CF'!AE2</f>
        <v>0</v>
      </c>
      <c r="AG14" s="890">
        <f>+'Monthly CF'!AF2</f>
        <v>0</v>
      </c>
      <c r="AH14" s="890">
        <f>+'Monthly CF'!AG2</f>
        <v>0</v>
      </c>
      <c r="AI14" s="890">
        <f>+'Monthly CF'!AH2</f>
        <v>0</v>
      </c>
      <c r="AJ14" s="890">
        <f>+'Monthly CF'!AI2</f>
        <v>0</v>
      </c>
      <c r="AK14" s="890">
        <f>+'Monthly CF'!AJ2</f>
        <v>0</v>
      </c>
      <c r="AL14" s="890">
        <f>+'Monthly CF'!AK2</f>
        <v>0</v>
      </c>
      <c r="AM14" s="890">
        <f>+'Monthly CF'!AL2</f>
        <v>0</v>
      </c>
      <c r="AN14" s="890">
        <f>+'Monthly CF'!AM2</f>
        <v>0</v>
      </c>
      <c r="AO14" s="890">
        <f>+'Monthly CF'!AN2</f>
        <v>0</v>
      </c>
      <c r="AP14" s="890">
        <f>+'Monthly CF'!AO2</f>
        <v>0</v>
      </c>
      <c r="AQ14" s="890">
        <f>+'Monthly CF'!AP2</f>
        <v>0</v>
      </c>
      <c r="AR14" s="890">
        <f>+'Monthly CF'!AQ2</f>
        <v>0</v>
      </c>
      <c r="AS14" s="890">
        <f>+'Monthly CF'!AR2</f>
        <v>0</v>
      </c>
      <c r="AT14" s="890">
        <f>+'Monthly CF'!AS2</f>
        <v>0</v>
      </c>
      <c r="AU14" s="890">
        <f>+'Monthly CF'!AT2</f>
        <v>0</v>
      </c>
      <c r="AV14" s="890">
        <f>+'Monthly CF'!AU2</f>
        <v>0</v>
      </c>
      <c r="AW14" s="890">
        <f>+'Monthly CF'!AV2</f>
        <v>0</v>
      </c>
      <c r="AX14" s="890">
        <f>+'Monthly CF'!AW2</f>
        <v>0</v>
      </c>
      <c r="AY14" s="890">
        <f>+'Monthly CF'!AX2</f>
        <v>0</v>
      </c>
      <c r="AZ14" s="891">
        <v>47057</v>
      </c>
      <c r="BB14" s="859" t="s">
        <v>379</v>
      </c>
      <c r="BD14" s="860">
        <f>+SUMIFS(E14:Q14,E16:Q16,"&gt;0")</f>
        <v>0</v>
      </c>
    </row>
    <row r="15" spans="1:56" ht="12.75" customHeight="1" outlineLevel="1" x14ac:dyDescent="0.3">
      <c r="C15" s="177" t="s">
        <v>380</v>
      </c>
      <c r="D15" s="177"/>
      <c r="E15" s="861">
        <f ca="1">+'Monthly CF'!D45</f>
        <v>-48279.565332916682</v>
      </c>
      <c r="F15" s="861">
        <f ca="1">+'Monthly CF'!E45</f>
        <v>0</v>
      </c>
      <c r="G15" s="861">
        <f ca="1">+'Monthly CF'!F45</f>
        <v>0</v>
      </c>
      <c r="H15" s="861">
        <f ca="1">+'Monthly CF'!G45</f>
        <v>0</v>
      </c>
      <c r="I15" s="861">
        <f ca="1">+'Monthly CF'!H45</f>
        <v>0</v>
      </c>
      <c r="J15" s="861">
        <f ca="1">+'Monthly CF'!I45</f>
        <v>0</v>
      </c>
      <c r="K15" s="861">
        <f ca="1">+'Monthly CF'!J45</f>
        <v>0</v>
      </c>
      <c r="L15" s="861">
        <f ca="1">+'Monthly CF'!K45</f>
        <v>147521.12133333331</v>
      </c>
      <c r="M15" s="861">
        <f>+'Monthly CF'!L45</f>
        <v>0</v>
      </c>
      <c r="N15" s="861">
        <f>+'Monthly CF'!M45</f>
        <v>0</v>
      </c>
      <c r="O15" s="861">
        <f>+'Monthly CF'!N45</f>
        <v>0</v>
      </c>
      <c r="P15" s="861">
        <f>+'Monthly CF'!O45</f>
        <v>0</v>
      </c>
      <c r="Q15" s="861">
        <f>+'Monthly CF'!P45</f>
        <v>0</v>
      </c>
      <c r="R15" s="861">
        <f>+'Monthly CF'!Q45</f>
        <v>0</v>
      </c>
      <c r="S15" s="861">
        <f>+'Monthly CF'!R45</f>
        <v>0</v>
      </c>
      <c r="T15" s="861">
        <f>+'Monthly CF'!S45</f>
        <v>0</v>
      </c>
      <c r="U15" s="861">
        <f>+'Monthly CF'!T45</f>
        <v>0</v>
      </c>
      <c r="V15" s="861">
        <f>+'Monthly CF'!U45</f>
        <v>0</v>
      </c>
      <c r="W15" s="861">
        <f>+'Monthly CF'!V45</f>
        <v>0</v>
      </c>
      <c r="X15" s="861">
        <f>+'Monthly CF'!W45</f>
        <v>0</v>
      </c>
      <c r="Y15" s="861">
        <f>+'Monthly CF'!X45</f>
        <v>0</v>
      </c>
      <c r="Z15" s="861">
        <f>+'Monthly CF'!Y45</f>
        <v>0</v>
      </c>
      <c r="AA15" s="861">
        <f>+'Monthly CF'!Z45</f>
        <v>0</v>
      </c>
      <c r="AB15" s="861">
        <f>+'Monthly CF'!AA45</f>
        <v>0</v>
      </c>
      <c r="AC15" s="861">
        <f>+'Monthly CF'!AB45</f>
        <v>0</v>
      </c>
      <c r="AD15" s="861">
        <f>+'Monthly CF'!AC45</f>
        <v>0</v>
      </c>
      <c r="AE15" s="861">
        <f>+'Monthly CF'!AD45</f>
        <v>0</v>
      </c>
      <c r="AF15" s="861">
        <f>+'Monthly CF'!AE45</f>
        <v>0</v>
      </c>
      <c r="AG15" s="861">
        <f>+'Monthly CF'!AF45</f>
        <v>0</v>
      </c>
      <c r="AH15" s="861">
        <f>+'Monthly CF'!AG45</f>
        <v>0</v>
      </c>
      <c r="AI15" s="861">
        <f>+'Monthly CF'!AH45</f>
        <v>0</v>
      </c>
      <c r="AJ15" s="861">
        <f>+'Monthly CF'!AI45</f>
        <v>0</v>
      </c>
      <c r="AK15" s="861">
        <f>+'Monthly CF'!AJ45</f>
        <v>0</v>
      </c>
      <c r="AL15" s="861">
        <f>+'Monthly CF'!AK45</f>
        <v>0</v>
      </c>
      <c r="AM15" s="861">
        <f>+'Monthly CF'!AL45</f>
        <v>0</v>
      </c>
      <c r="AN15" s="861">
        <f>+'Monthly CF'!AM45</f>
        <v>0</v>
      </c>
      <c r="AO15" s="861">
        <f>+'Monthly CF'!AN45</f>
        <v>0</v>
      </c>
      <c r="AP15" s="861">
        <f>+'Monthly CF'!AO45</f>
        <v>0</v>
      </c>
      <c r="AQ15" s="861">
        <f>+'Monthly CF'!AP45</f>
        <v>0</v>
      </c>
      <c r="AR15" s="861">
        <f>+'Monthly CF'!AQ45</f>
        <v>0</v>
      </c>
      <c r="AS15" s="861">
        <f>+'Monthly CF'!AR45</f>
        <v>0</v>
      </c>
      <c r="AT15" s="861">
        <f>+'Monthly CF'!AS45</f>
        <v>0</v>
      </c>
      <c r="AU15" s="861">
        <f>+'Monthly CF'!AT45</f>
        <v>0</v>
      </c>
      <c r="AV15" s="861">
        <f>+'Monthly CF'!AU45</f>
        <v>0</v>
      </c>
      <c r="AW15" s="861">
        <f>+'Monthly CF'!AV45</f>
        <v>0</v>
      </c>
      <c r="AX15" s="861">
        <f>+'Monthly CF'!AW45</f>
        <v>0</v>
      </c>
      <c r="AY15" s="861">
        <f>+'Monthly CF'!AX45</f>
        <v>0</v>
      </c>
      <c r="AZ15" s="861">
        <f>+'Monthly CF'!AY45</f>
        <v>0</v>
      </c>
    </row>
    <row r="16" spans="1:56" ht="12.75" customHeight="1" outlineLevel="1" x14ac:dyDescent="0.3">
      <c r="C16" s="177"/>
      <c r="D16" s="177"/>
      <c r="E16" s="862"/>
      <c r="F16" s="863"/>
      <c r="G16" s="863"/>
      <c r="H16" s="863"/>
      <c r="I16" s="863"/>
      <c r="J16" s="863"/>
      <c r="K16" s="863"/>
      <c r="L16" s="863"/>
      <c r="M16" s="863"/>
      <c r="N16" s="863"/>
      <c r="O16" s="863"/>
      <c r="P16" s="863"/>
      <c r="Q16" s="863"/>
      <c r="R16" s="863"/>
      <c r="S16" s="863"/>
      <c r="T16" s="863"/>
      <c r="U16" s="863"/>
      <c r="V16" s="863"/>
      <c r="W16" s="863"/>
      <c r="X16" s="863"/>
      <c r="Y16" s="863"/>
      <c r="Z16" s="863"/>
      <c r="AA16" s="863"/>
      <c r="AB16" s="863"/>
      <c r="AC16" s="863"/>
      <c r="AD16" s="863"/>
      <c r="AE16" s="863"/>
      <c r="AF16" s="863"/>
      <c r="AG16" s="863"/>
      <c r="AH16" s="863"/>
      <c r="AI16" s="863"/>
      <c r="AJ16" s="863"/>
      <c r="AK16" s="863"/>
      <c r="AL16" s="863"/>
      <c r="AM16" s="863"/>
      <c r="AN16" s="863"/>
      <c r="AO16" s="863"/>
      <c r="AP16" s="863"/>
      <c r="AQ16" s="863"/>
      <c r="AR16" s="863"/>
      <c r="AS16" s="863"/>
      <c r="AT16" s="863"/>
      <c r="AU16" s="863"/>
      <c r="AV16" s="863"/>
      <c r="AW16" s="863"/>
      <c r="AX16" s="863"/>
      <c r="AY16" s="863"/>
      <c r="AZ16" s="863"/>
      <c r="BB16" s="843" t="s">
        <v>381</v>
      </c>
      <c r="BD16" s="864" t="e">
        <f>+HLOOKUP(BD14,E14:Q15,2,FALSE)</f>
        <v>#N/A</v>
      </c>
    </row>
    <row r="17" spans="2:56" ht="12.75" customHeight="1" outlineLevel="1" x14ac:dyDescent="0.3">
      <c r="B17" s="843" t="s">
        <v>382</v>
      </c>
      <c r="C17" s="178" t="s">
        <v>236</v>
      </c>
      <c r="D17" s="179"/>
      <c r="E17" s="865"/>
      <c r="F17" s="866"/>
      <c r="G17" s="850"/>
      <c r="H17" s="850"/>
      <c r="I17" s="850"/>
      <c r="J17" s="850"/>
      <c r="K17" s="850"/>
      <c r="L17" s="850"/>
      <c r="M17" s="850"/>
      <c r="N17" s="850"/>
      <c r="O17" s="850"/>
      <c r="P17" s="850"/>
      <c r="Q17" s="850"/>
      <c r="BB17" s="178" t="s">
        <v>236</v>
      </c>
    </row>
    <row r="18" spans="2:56" ht="12.75" customHeight="1" outlineLevel="1" x14ac:dyDescent="0.3">
      <c r="C18" s="177" t="s">
        <v>383</v>
      </c>
      <c r="D18" s="180"/>
      <c r="E18" s="865"/>
      <c r="F18" s="850">
        <f ca="1">E20</f>
        <v>-48279.565332916682</v>
      </c>
      <c r="G18" s="850">
        <f t="shared" ref="G18:AZ18" ca="1" si="3">F22</f>
        <v>-48923.292870688907</v>
      </c>
      <c r="H18" s="850">
        <f t="shared" ca="1" si="3"/>
        <v>-49575.603442298096</v>
      </c>
      <c r="I18" s="850">
        <f t="shared" ca="1" si="3"/>
        <v>-50236.611488195405</v>
      </c>
      <c r="J18" s="850">
        <f t="shared" ca="1" si="3"/>
        <v>-50906.43297470468</v>
      </c>
      <c r="K18" s="850">
        <f t="shared" ca="1" si="3"/>
        <v>-51585.185414367406</v>
      </c>
      <c r="L18" s="850">
        <f t="shared" ca="1" si="3"/>
        <v>-52272.987886558971</v>
      </c>
      <c r="M18" s="850">
        <f t="shared" ca="1" si="3"/>
        <v>0</v>
      </c>
      <c r="N18" s="850">
        <f t="shared" ca="1" si="3"/>
        <v>0</v>
      </c>
      <c r="O18" s="850">
        <f t="shared" ca="1" si="3"/>
        <v>0</v>
      </c>
      <c r="P18" s="850">
        <f t="shared" ca="1" si="3"/>
        <v>0</v>
      </c>
      <c r="Q18" s="850">
        <f t="shared" ca="1" si="3"/>
        <v>0</v>
      </c>
      <c r="R18" s="850">
        <f t="shared" ca="1" si="3"/>
        <v>0</v>
      </c>
      <c r="S18" s="850">
        <f t="shared" ca="1" si="3"/>
        <v>0</v>
      </c>
      <c r="T18" s="850">
        <f t="shared" ca="1" si="3"/>
        <v>0</v>
      </c>
      <c r="U18" s="850">
        <f t="shared" ca="1" si="3"/>
        <v>0</v>
      </c>
      <c r="V18" s="850">
        <f t="shared" ca="1" si="3"/>
        <v>0</v>
      </c>
      <c r="W18" s="850">
        <f t="shared" ca="1" si="3"/>
        <v>0</v>
      </c>
      <c r="X18" s="850">
        <f t="shared" ca="1" si="3"/>
        <v>0</v>
      </c>
      <c r="Y18" s="850">
        <f t="shared" ca="1" si="3"/>
        <v>0</v>
      </c>
      <c r="Z18" s="850">
        <f t="shared" ca="1" si="3"/>
        <v>0</v>
      </c>
      <c r="AA18" s="850">
        <f t="shared" ca="1" si="3"/>
        <v>0</v>
      </c>
      <c r="AB18" s="850">
        <f t="shared" ca="1" si="3"/>
        <v>0</v>
      </c>
      <c r="AC18" s="850">
        <f t="shared" ca="1" si="3"/>
        <v>0</v>
      </c>
      <c r="AD18" s="850">
        <f t="shared" ca="1" si="3"/>
        <v>0</v>
      </c>
      <c r="AE18" s="850">
        <f t="shared" ca="1" si="3"/>
        <v>0</v>
      </c>
      <c r="AF18" s="850">
        <f t="shared" ca="1" si="3"/>
        <v>0</v>
      </c>
      <c r="AG18" s="850">
        <f t="shared" ca="1" si="3"/>
        <v>0</v>
      </c>
      <c r="AH18" s="850">
        <f t="shared" ca="1" si="3"/>
        <v>0</v>
      </c>
      <c r="AI18" s="850">
        <f t="shared" ca="1" si="3"/>
        <v>0</v>
      </c>
      <c r="AJ18" s="850">
        <f t="shared" ca="1" si="3"/>
        <v>0</v>
      </c>
      <c r="AK18" s="850">
        <f t="shared" ca="1" si="3"/>
        <v>0</v>
      </c>
      <c r="AL18" s="850">
        <f t="shared" ca="1" si="3"/>
        <v>0</v>
      </c>
      <c r="AM18" s="850">
        <f t="shared" ca="1" si="3"/>
        <v>0</v>
      </c>
      <c r="AN18" s="850">
        <f t="shared" ca="1" si="3"/>
        <v>0</v>
      </c>
      <c r="AO18" s="850">
        <f t="shared" ca="1" si="3"/>
        <v>0</v>
      </c>
      <c r="AP18" s="850">
        <f t="shared" ca="1" si="3"/>
        <v>0</v>
      </c>
      <c r="AQ18" s="850">
        <f t="shared" ca="1" si="3"/>
        <v>0</v>
      </c>
      <c r="AR18" s="850">
        <f t="shared" ca="1" si="3"/>
        <v>0</v>
      </c>
      <c r="AS18" s="850">
        <f t="shared" ca="1" si="3"/>
        <v>0</v>
      </c>
      <c r="AT18" s="850">
        <f t="shared" ca="1" si="3"/>
        <v>0</v>
      </c>
      <c r="AU18" s="850">
        <f t="shared" ca="1" si="3"/>
        <v>0</v>
      </c>
      <c r="AV18" s="850">
        <f t="shared" ca="1" si="3"/>
        <v>0</v>
      </c>
      <c r="AW18" s="850">
        <f t="shared" ca="1" si="3"/>
        <v>0</v>
      </c>
      <c r="AX18" s="850">
        <f t="shared" ca="1" si="3"/>
        <v>0</v>
      </c>
      <c r="AY18" s="850">
        <f t="shared" ca="1" si="3"/>
        <v>0</v>
      </c>
      <c r="AZ18" s="850">
        <f t="shared" ca="1" si="3"/>
        <v>0</v>
      </c>
      <c r="BB18" s="177"/>
    </row>
    <row r="19" spans="2:56" ht="12.75" customHeight="1" outlineLevel="1" x14ac:dyDescent="0.25">
      <c r="C19" s="177" t="s">
        <v>384</v>
      </c>
      <c r="D19" s="177"/>
      <c r="E19" s="867"/>
      <c r="F19" s="850">
        <f ca="1">F18*'Acquisition Summary'!$J$53/12</f>
        <v>-643.72753777222249</v>
      </c>
      <c r="G19" s="850">
        <f ca="1">G18*'Acquisition Summary'!$J$53/12</f>
        <v>-652.31057160918544</v>
      </c>
      <c r="H19" s="850">
        <f ca="1">H18*'Acquisition Summary'!$J$53/12</f>
        <v>-661.00804589730797</v>
      </c>
      <c r="I19" s="850">
        <f ca="1">I18*'Acquisition Summary'!$J$53/12</f>
        <v>-669.82148650927206</v>
      </c>
      <c r="J19" s="850">
        <f ca="1">J18*'Acquisition Summary'!$J$53/12</f>
        <v>-678.7524396627291</v>
      </c>
      <c r="K19" s="850">
        <f ca="1">K18*'Acquisition Summary'!$J$53/12</f>
        <v>-687.80247219156536</v>
      </c>
      <c r="L19" s="850">
        <f ca="1">L18*'Acquisition Summary'!$J$53/12</f>
        <v>-696.97317182078632</v>
      </c>
      <c r="M19" s="850">
        <f ca="1">M18*'Acquisition Summary'!$J$53/12</f>
        <v>0</v>
      </c>
      <c r="N19" s="850">
        <f ca="1">N18*'Acquisition Summary'!$J$53/12</f>
        <v>0</v>
      </c>
      <c r="O19" s="850">
        <f ca="1">O18*'Acquisition Summary'!$J$53/12</f>
        <v>0</v>
      </c>
      <c r="P19" s="850">
        <f ca="1">P18*'Acquisition Summary'!$J$53/12</f>
        <v>0</v>
      </c>
      <c r="Q19" s="850">
        <f ca="1">Q18*'Acquisition Summary'!$J$53/12</f>
        <v>0</v>
      </c>
      <c r="R19" s="850">
        <f ca="1">R18*'Acquisition Summary'!$J$53/12</f>
        <v>0</v>
      </c>
      <c r="S19" s="850">
        <f ca="1">S18*'Acquisition Summary'!$J$53/12</f>
        <v>0</v>
      </c>
      <c r="T19" s="850">
        <f ca="1">T18*'Acquisition Summary'!$J$53/12</f>
        <v>0</v>
      </c>
      <c r="U19" s="850">
        <f ca="1">U18*'Acquisition Summary'!$J$53/12</f>
        <v>0</v>
      </c>
      <c r="V19" s="850">
        <f ca="1">V18*'Acquisition Summary'!$J$53/12</f>
        <v>0</v>
      </c>
      <c r="W19" s="850">
        <f ca="1">W18*'Acquisition Summary'!$J$53/12</f>
        <v>0</v>
      </c>
      <c r="X19" s="850">
        <f ca="1">X18*'Acquisition Summary'!$J$53/12</f>
        <v>0</v>
      </c>
      <c r="Y19" s="850">
        <f ca="1">Y18*'Acquisition Summary'!$J$53/12</f>
        <v>0</v>
      </c>
      <c r="Z19" s="850">
        <f ca="1">Z18*'Acquisition Summary'!$J$53/12</f>
        <v>0</v>
      </c>
      <c r="AA19" s="850">
        <f ca="1">AA18*'Acquisition Summary'!$J$53/12</f>
        <v>0</v>
      </c>
      <c r="AB19" s="850">
        <f ca="1">AB18*'Acquisition Summary'!$J$53/12</f>
        <v>0</v>
      </c>
      <c r="AC19" s="850">
        <f ca="1">AC18*'Acquisition Summary'!$J$53/12</f>
        <v>0</v>
      </c>
      <c r="AD19" s="850">
        <f ca="1">AD18*'Acquisition Summary'!$J$53/12</f>
        <v>0</v>
      </c>
      <c r="AE19" s="850">
        <f ca="1">AE18*'Acquisition Summary'!$J$53/12</f>
        <v>0</v>
      </c>
      <c r="AF19" s="850">
        <f ca="1">AF18*'Acquisition Summary'!$J$53/12</f>
        <v>0</v>
      </c>
      <c r="AG19" s="850">
        <f ca="1">AG18*'Acquisition Summary'!$J$53/12</f>
        <v>0</v>
      </c>
      <c r="AH19" s="850">
        <f ca="1">AH18*'Acquisition Summary'!$J$53/12</f>
        <v>0</v>
      </c>
      <c r="AI19" s="850">
        <f ca="1">AI18*'Acquisition Summary'!$J$53/12</f>
        <v>0</v>
      </c>
      <c r="AJ19" s="850">
        <f ca="1">AJ18*'Acquisition Summary'!$J$53/12</f>
        <v>0</v>
      </c>
      <c r="AK19" s="850">
        <f ca="1">AK18*'Acquisition Summary'!$J$53/12</f>
        <v>0</v>
      </c>
      <c r="AL19" s="850">
        <f ca="1">AL18*'Acquisition Summary'!$J$53/12</f>
        <v>0</v>
      </c>
      <c r="AM19" s="850">
        <f ca="1">AM18*'Acquisition Summary'!$J$53/12</f>
        <v>0</v>
      </c>
      <c r="AN19" s="850">
        <f ca="1">AN18*'Acquisition Summary'!$J$53/12</f>
        <v>0</v>
      </c>
      <c r="AO19" s="850">
        <f ca="1">AO18*'Acquisition Summary'!$J$53/12</f>
        <v>0</v>
      </c>
      <c r="AP19" s="850">
        <f ca="1">AP18*'Acquisition Summary'!$J$53/12</f>
        <v>0</v>
      </c>
      <c r="AQ19" s="850">
        <f ca="1">AQ18*'Acquisition Summary'!$J$53/12</f>
        <v>0</v>
      </c>
      <c r="AR19" s="850">
        <f ca="1">AR18*'Acquisition Summary'!$J$53/12</f>
        <v>0</v>
      </c>
      <c r="AS19" s="850">
        <f ca="1">AS18*'Acquisition Summary'!$J$53/12</f>
        <v>0</v>
      </c>
      <c r="AT19" s="850">
        <f ca="1">AT18*'Acquisition Summary'!$J$53/12</f>
        <v>0</v>
      </c>
      <c r="AU19" s="850">
        <f ca="1">AU18*'Acquisition Summary'!$J$53/12</f>
        <v>0</v>
      </c>
      <c r="AV19" s="850">
        <f ca="1">AV18*'Acquisition Summary'!$J$53/12</f>
        <v>0</v>
      </c>
      <c r="AW19" s="850">
        <f ca="1">AW18*'Acquisition Summary'!$J$53/12</f>
        <v>0</v>
      </c>
      <c r="AX19" s="850">
        <f ca="1">AX18*'Acquisition Summary'!$J$53/12</f>
        <v>0</v>
      </c>
      <c r="AY19" s="850">
        <f ca="1">AY18*'Acquisition Summary'!$J$53/12</f>
        <v>0</v>
      </c>
      <c r="AZ19" s="850">
        <f ca="1">AZ18*'Acquisition Summary'!$J$53/12</f>
        <v>0</v>
      </c>
      <c r="BB19" s="177" t="s">
        <v>384</v>
      </c>
      <c r="BD19" s="864">
        <f>+SUMIFS(F19:Q19,$F$14:$Q$14,$BD$14)</f>
        <v>0</v>
      </c>
    </row>
    <row r="20" spans="2:56" ht="12.75" customHeight="1" outlineLevel="1" x14ac:dyDescent="0.25">
      <c r="C20" s="181" t="s">
        <v>385</v>
      </c>
      <c r="D20" s="181"/>
      <c r="E20" s="867">
        <f ca="1">+E15</f>
        <v>-48279.565332916682</v>
      </c>
      <c r="F20" s="850">
        <f ca="1">+IF(F15&gt;0,MIN(-SUM(F19),F15),F15)</f>
        <v>0</v>
      </c>
      <c r="G20" s="850">
        <f t="shared" ref="G20:AZ20" ca="1" si="4">+IF(G15&gt;0,MIN(-SUM(G19),G15),G15)</f>
        <v>0</v>
      </c>
      <c r="H20" s="850">
        <f t="shared" ca="1" si="4"/>
        <v>0</v>
      </c>
      <c r="I20" s="850">
        <f t="shared" ca="1" si="4"/>
        <v>0</v>
      </c>
      <c r="J20" s="850">
        <f t="shared" ca="1" si="4"/>
        <v>0</v>
      </c>
      <c r="K20" s="850">
        <f t="shared" ca="1" si="4"/>
        <v>0</v>
      </c>
      <c r="L20" s="850">
        <f t="shared" ca="1" si="4"/>
        <v>696.97317182078632</v>
      </c>
      <c r="M20" s="850">
        <f t="shared" si="4"/>
        <v>0</v>
      </c>
      <c r="N20" s="850">
        <f t="shared" si="4"/>
        <v>0</v>
      </c>
      <c r="O20" s="850">
        <f t="shared" si="4"/>
        <v>0</v>
      </c>
      <c r="P20" s="850">
        <f t="shared" si="4"/>
        <v>0</v>
      </c>
      <c r="Q20" s="850">
        <f t="shared" si="4"/>
        <v>0</v>
      </c>
      <c r="R20" s="850">
        <f t="shared" si="4"/>
        <v>0</v>
      </c>
      <c r="S20" s="850">
        <f t="shared" si="4"/>
        <v>0</v>
      </c>
      <c r="T20" s="850">
        <f t="shared" si="4"/>
        <v>0</v>
      </c>
      <c r="U20" s="850">
        <f t="shared" si="4"/>
        <v>0</v>
      </c>
      <c r="V20" s="850">
        <f t="shared" si="4"/>
        <v>0</v>
      </c>
      <c r="W20" s="850">
        <f t="shared" si="4"/>
        <v>0</v>
      </c>
      <c r="X20" s="850">
        <f t="shared" si="4"/>
        <v>0</v>
      </c>
      <c r="Y20" s="850">
        <f t="shared" si="4"/>
        <v>0</v>
      </c>
      <c r="Z20" s="850">
        <f t="shared" si="4"/>
        <v>0</v>
      </c>
      <c r="AA20" s="850">
        <f t="shared" si="4"/>
        <v>0</v>
      </c>
      <c r="AB20" s="850">
        <f t="shared" si="4"/>
        <v>0</v>
      </c>
      <c r="AC20" s="850">
        <f t="shared" si="4"/>
        <v>0</v>
      </c>
      <c r="AD20" s="850">
        <f t="shared" si="4"/>
        <v>0</v>
      </c>
      <c r="AE20" s="850">
        <f t="shared" si="4"/>
        <v>0</v>
      </c>
      <c r="AF20" s="850">
        <f t="shared" si="4"/>
        <v>0</v>
      </c>
      <c r="AG20" s="850">
        <f t="shared" si="4"/>
        <v>0</v>
      </c>
      <c r="AH20" s="850">
        <f t="shared" si="4"/>
        <v>0</v>
      </c>
      <c r="AI20" s="850">
        <f t="shared" si="4"/>
        <v>0</v>
      </c>
      <c r="AJ20" s="850">
        <f t="shared" si="4"/>
        <v>0</v>
      </c>
      <c r="AK20" s="850">
        <f t="shared" si="4"/>
        <v>0</v>
      </c>
      <c r="AL20" s="850">
        <f t="shared" si="4"/>
        <v>0</v>
      </c>
      <c r="AM20" s="850">
        <f t="shared" si="4"/>
        <v>0</v>
      </c>
      <c r="AN20" s="850">
        <f t="shared" si="4"/>
        <v>0</v>
      </c>
      <c r="AO20" s="850">
        <f t="shared" si="4"/>
        <v>0</v>
      </c>
      <c r="AP20" s="850">
        <f t="shared" si="4"/>
        <v>0</v>
      </c>
      <c r="AQ20" s="850">
        <f t="shared" si="4"/>
        <v>0</v>
      </c>
      <c r="AR20" s="850">
        <f t="shared" si="4"/>
        <v>0</v>
      </c>
      <c r="AS20" s="850">
        <f t="shared" si="4"/>
        <v>0</v>
      </c>
      <c r="AT20" s="850">
        <f t="shared" si="4"/>
        <v>0</v>
      </c>
      <c r="AU20" s="850">
        <f t="shared" si="4"/>
        <v>0</v>
      </c>
      <c r="AV20" s="850">
        <f t="shared" si="4"/>
        <v>0</v>
      </c>
      <c r="AW20" s="850">
        <f t="shared" si="4"/>
        <v>0</v>
      </c>
      <c r="AX20" s="850">
        <f t="shared" si="4"/>
        <v>0</v>
      </c>
      <c r="AY20" s="850">
        <f t="shared" si="4"/>
        <v>0</v>
      </c>
      <c r="AZ20" s="850">
        <f t="shared" si="4"/>
        <v>0</v>
      </c>
      <c r="BB20" s="181" t="s">
        <v>385</v>
      </c>
      <c r="BD20" s="864" t="e">
        <v>#N/A</v>
      </c>
    </row>
    <row r="21" spans="2:56" ht="12.75" customHeight="1" outlineLevel="1" x14ac:dyDescent="0.25">
      <c r="C21" s="181" t="s">
        <v>386</v>
      </c>
      <c r="D21" s="181"/>
      <c r="E21" s="867"/>
      <c r="F21" s="850">
        <f ca="1">+IF(F15&gt;0,MIN(F15-F20,-SUM(F18:F20)),0)</f>
        <v>0</v>
      </c>
      <c r="G21" s="850">
        <f t="shared" ref="G21:AZ21" ca="1" si="5">+IF(G15&gt;0,MIN(G15-G20,-SUM(G18:G20)),0)</f>
        <v>0</v>
      </c>
      <c r="H21" s="850">
        <f t="shared" ca="1" si="5"/>
        <v>0</v>
      </c>
      <c r="I21" s="850">
        <f t="shared" ca="1" si="5"/>
        <v>0</v>
      </c>
      <c r="J21" s="850">
        <f t="shared" ca="1" si="5"/>
        <v>0</v>
      </c>
      <c r="K21" s="850">
        <f t="shared" ca="1" si="5"/>
        <v>0</v>
      </c>
      <c r="L21" s="850">
        <f t="shared" ca="1" si="5"/>
        <v>52272.987886558971</v>
      </c>
      <c r="M21" s="850">
        <f t="shared" si="5"/>
        <v>0</v>
      </c>
      <c r="N21" s="850">
        <f t="shared" si="5"/>
        <v>0</v>
      </c>
      <c r="O21" s="850">
        <f t="shared" si="5"/>
        <v>0</v>
      </c>
      <c r="P21" s="850">
        <f t="shared" si="5"/>
        <v>0</v>
      </c>
      <c r="Q21" s="850">
        <f t="shared" si="5"/>
        <v>0</v>
      </c>
      <c r="R21" s="850">
        <f t="shared" si="5"/>
        <v>0</v>
      </c>
      <c r="S21" s="850">
        <f t="shared" si="5"/>
        <v>0</v>
      </c>
      <c r="T21" s="850">
        <f t="shared" si="5"/>
        <v>0</v>
      </c>
      <c r="U21" s="850">
        <f t="shared" si="5"/>
        <v>0</v>
      </c>
      <c r="V21" s="850">
        <f t="shared" si="5"/>
        <v>0</v>
      </c>
      <c r="W21" s="850">
        <f t="shared" si="5"/>
        <v>0</v>
      </c>
      <c r="X21" s="850">
        <f t="shared" si="5"/>
        <v>0</v>
      </c>
      <c r="Y21" s="850">
        <f t="shared" si="5"/>
        <v>0</v>
      </c>
      <c r="Z21" s="850">
        <f t="shared" si="5"/>
        <v>0</v>
      </c>
      <c r="AA21" s="850">
        <f t="shared" si="5"/>
        <v>0</v>
      </c>
      <c r="AB21" s="850">
        <f t="shared" si="5"/>
        <v>0</v>
      </c>
      <c r="AC21" s="850">
        <f t="shared" si="5"/>
        <v>0</v>
      </c>
      <c r="AD21" s="850">
        <f t="shared" si="5"/>
        <v>0</v>
      </c>
      <c r="AE21" s="850">
        <f t="shared" si="5"/>
        <v>0</v>
      </c>
      <c r="AF21" s="850">
        <f t="shared" si="5"/>
        <v>0</v>
      </c>
      <c r="AG21" s="850">
        <f t="shared" si="5"/>
        <v>0</v>
      </c>
      <c r="AH21" s="850">
        <f t="shared" si="5"/>
        <v>0</v>
      </c>
      <c r="AI21" s="850">
        <f t="shared" si="5"/>
        <v>0</v>
      </c>
      <c r="AJ21" s="850">
        <f t="shared" si="5"/>
        <v>0</v>
      </c>
      <c r="AK21" s="850">
        <f t="shared" si="5"/>
        <v>0</v>
      </c>
      <c r="AL21" s="850">
        <f t="shared" si="5"/>
        <v>0</v>
      </c>
      <c r="AM21" s="850">
        <f t="shared" si="5"/>
        <v>0</v>
      </c>
      <c r="AN21" s="850">
        <f t="shared" si="5"/>
        <v>0</v>
      </c>
      <c r="AO21" s="850">
        <f t="shared" si="5"/>
        <v>0</v>
      </c>
      <c r="AP21" s="850">
        <f t="shared" si="5"/>
        <v>0</v>
      </c>
      <c r="AQ21" s="850">
        <f t="shared" si="5"/>
        <v>0</v>
      </c>
      <c r="AR21" s="850">
        <f t="shared" si="5"/>
        <v>0</v>
      </c>
      <c r="AS21" s="850">
        <f t="shared" si="5"/>
        <v>0</v>
      </c>
      <c r="AT21" s="850">
        <f t="shared" si="5"/>
        <v>0</v>
      </c>
      <c r="AU21" s="850">
        <f t="shared" si="5"/>
        <v>0</v>
      </c>
      <c r="AV21" s="850">
        <f t="shared" si="5"/>
        <v>0</v>
      </c>
      <c r="AW21" s="850">
        <f t="shared" si="5"/>
        <v>0</v>
      </c>
      <c r="AX21" s="850">
        <f t="shared" si="5"/>
        <v>0</v>
      </c>
      <c r="AY21" s="850">
        <f t="shared" si="5"/>
        <v>0</v>
      </c>
      <c r="AZ21" s="850">
        <f t="shared" si="5"/>
        <v>0</v>
      </c>
      <c r="BB21" s="181"/>
    </row>
    <row r="22" spans="2:56" ht="12.75" customHeight="1" outlineLevel="1" x14ac:dyDescent="0.25">
      <c r="C22" s="182" t="s">
        <v>387</v>
      </c>
      <c r="D22" s="182"/>
      <c r="E22" s="868"/>
      <c r="F22" s="869">
        <f t="shared" ref="F22:AZ22" ca="1" si="6">SUM(F18:F21)</f>
        <v>-48923.292870688907</v>
      </c>
      <c r="G22" s="869">
        <f t="shared" ca="1" si="6"/>
        <v>-49575.603442298096</v>
      </c>
      <c r="H22" s="869">
        <f t="shared" ca="1" si="6"/>
        <v>-50236.611488195405</v>
      </c>
      <c r="I22" s="869">
        <f t="shared" ca="1" si="6"/>
        <v>-50906.43297470468</v>
      </c>
      <c r="J22" s="869">
        <f t="shared" ca="1" si="6"/>
        <v>-51585.185414367406</v>
      </c>
      <c r="K22" s="869">
        <f t="shared" ca="1" si="6"/>
        <v>-52272.987886558971</v>
      </c>
      <c r="L22" s="869">
        <f t="shared" ca="1" si="6"/>
        <v>0</v>
      </c>
      <c r="M22" s="869">
        <f t="shared" ca="1" si="6"/>
        <v>0</v>
      </c>
      <c r="N22" s="869">
        <f t="shared" ca="1" si="6"/>
        <v>0</v>
      </c>
      <c r="O22" s="869">
        <f t="shared" ca="1" si="6"/>
        <v>0</v>
      </c>
      <c r="P22" s="869">
        <f t="shared" ca="1" si="6"/>
        <v>0</v>
      </c>
      <c r="Q22" s="869">
        <f t="shared" ca="1" si="6"/>
        <v>0</v>
      </c>
      <c r="R22" s="869">
        <f t="shared" ca="1" si="6"/>
        <v>0</v>
      </c>
      <c r="S22" s="869">
        <f t="shared" ca="1" si="6"/>
        <v>0</v>
      </c>
      <c r="T22" s="869">
        <f t="shared" ca="1" si="6"/>
        <v>0</v>
      </c>
      <c r="U22" s="869">
        <f t="shared" ca="1" si="6"/>
        <v>0</v>
      </c>
      <c r="V22" s="869">
        <f t="shared" ca="1" si="6"/>
        <v>0</v>
      </c>
      <c r="W22" s="869">
        <f t="shared" ca="1" si="6"/>
        <v>0</v>
      </c>
      <c r="X22" s="869">
        <f t="shared" ca="1" si="6"/>
        <v>0</v>
      </c>
      <c r="Y22" s="869">
        <f t="shared" ca="1" si="6"/>
        <v>0</v>
      </c>
      <c r="Z22" s="869">
        <f t="shared" ca="1" si="6"/>
        <v>0</v>
      </c>
      <c r="AA22" s="869">
        <f t="shared" ca="1" si="6"/>
        <v>0</v>
      </c>
      <c r="AB22" s="869">
        <f t="shared" ca="1" si="6"/>
        <v>0</v>
      </c>
      <c r="AC22" s="869">
        <f t="shared" ca="1" si="6"/>
        <v>0</v>
      </c>
      <c r="AD22" s="869">
        <f t="shared" ca="1" si="6"/>
        <v>0</v>
      </c>
      <c r="AE22" s="869">
        <f t="shared" ca="1" si="6"/>
        <v>0</v>
      </c>
      <c r="AF22" s="869">
        <f t="shared" ca="1" si="6"/>
        <v>0</v>
      </c>
      <c r="AG22" s="869">
        <f t="shared" ca="1" si="6"/>
        <v>0</v>
      </c>
      <c r="AH22" s="869">
        <f t="shared" ca="1" si="6"/>
        <v>0</v>
      </c>
      <c r="AI22" s="869">
        <f t="shared" ca="1" si="6"/>
        <v>0</v>
      </c>
      <c r="AJ22" s="869">
        <f t="shared" ca="1" si="6"/>
        <v>0</v>
      </c>
      <c r="AK22" s="869">
        <f t="shared" ca="1" si="6"/>
        <v>0</v>
      </c>
      <c r="AL22" s="869">
        <f t="shared" ca="1" si="6"/>
        <v>0</v>
      </c>
      <c r="AM22" s="869">
        <f t="shared" ca="1" si="6"/>
        <v>0</v>
      </c>
      <c r="AN22" s="869">
        <f t="shared" ca="1" si="6"/>
        <v>0</v>
      </c>
      <c r="AO22" s="869">
        <f t="shared" ca="1" si="6"/>
        <v>0</v>
      </c>
      <c r="AP22" s="869">
        <f t="shared" ca="1" si="6"/>
        <v>0</v>
      </c>
      <c r="AQ22" s="869">
        <f t="shared" ca="1" si="6"/>
        <v>0</v>
      </c>
      <c r="AR22" s="869">
        <f t="shared" ca="1" si="6"/>
        <v>0</v>
      </c>
      <c r="AS22" s="869">
        <f t="shared" ca="1" si="6"/>
        <v>0</v>
      </c>
      <c r="AT22" s="869">
        <f t="shared" ca="1" si="6"/>
        <v>0</v>
      </c>
      <c r="AU22" s="869">
        <f t="shared" ca="1" si="6"/>
        <v>0</v>
      </c>
      <c r="AV22" s="869">
        <f t="shared" ca="1" si="6"/>
        <v>0</v>
      </c>
      <c r="AW22" s="869">
        <f t="shared" ca="1" si="6"/>
        <v>0</v>
      </c>
      <c r="AX22" s="869">
        <f t="shared" ca="1" si="6"/>
        <v>0</v>
      </c>
      <c r="AY22" s="869">
        <f t="shared" ca="1" si="6"/>
        <v>0</v>
      </c>
      <c r="AZ22" s="869">
        <f t="shared" ca="1" si="6"/>
        <v>0</v>
      </c>
      <c r="BB22" s="177"/>
    </row>
    <row r="23" spans="2:56" ht="12.75" customHeight="1" outlineLevel="1" x14ac:dyDescent="0.3">
      <c r="C23" s="177"/>
      <c r="D23" s="177"/>
      <c r="E23" s="867"/>
      <c r="F23" s="850"/>
      <c r="G23" s="850"/>
      <c r="H23" s="850"/>
      <c r="I23" s="850"/>
      <c r="J23" s="850"/>
      <c r="K23" s="850"/>
      <c r="L23" s="850"/>
      <c r="M23" s="850"/>
      <c r="N23" s="850"/>
      <c r="O23" s="850"/>
      <c r="P23" s="850"/>
      <c r="Q23" s="850"/>
      <c r="R23" s="850"/>
      <c r="S23" s="850"/>
      <c r="T23" s="850"/>
      <c r="U23" s="850"/>
      <c r="V23" s="850"/>
      <c r="W23" s="850"/>
      <c r="X23" s="850"/>
      <c r="Y23" s="850"/>
      <c r="Z23" s="850"/>
      <c r="AA23" s="850"/>
      <c r="AB23" s="850"/>
      <c r="AC23" s="850"/>
      <c r="AD23" s="850"/>
      <c r="AE23" s="850"/>
      <c r="AF23" s="850"/>
      <c r="AG23" s="850"/>
      <c r="AH23" s="850"/>
      <c r="AI23" s="850"/>
      <c r="AJ23" s="850"/>
      <c r="AK23" s="850"/>
      <c r="AL23" s="850"/>
      <c r="AM23" s="850"/>
      <c r="AN23" s="850"/>
      <c r="AO23" s="850"/>
      <c r="AP23" s="850"/>
      <c r="AQ23" s="850"/>
      <c r="AR23" s="850"/>
      <c r="AS23" s="850"/>
      <c r="AT23" s="850"/>
      <c r="AU23" s="850"/>
      <c r="AV23" s="850"/>
      <c r="AW23" s="850"/>
      <c r="AX23" s="850"/>
      <c r="AY23" s="850"/>
      <c r="AZ23" s="850"/>
      <c r="BB23" s="178" t="s">
        <v>388</v>
      </c>
    </row>
    <row r="24" spans="2:56" ht="12.75" customHeight="1" x14ac:dyDescent="0.25">
      <c r="C24" s="843" t="s">
        <v>389</v>
      </c>
      <c r="E24" s="870"/>
      <c r="F24" s="871">
        <f t="shared" ref="F24:AZ24" ca="1" si="7">+F15+F16-F20-F21</f>
        <v>0</v>
      </c>
      <c r="G24" s="871">
        <f t="shared" ca="1" si="7"/>
        <v>0</v>
      </c>
      <c r="H24" s="871">
        <f t="shared" ca="1" si="7"/>
        <v>0</v>
      </c>
      <c r="I24" s="871">
        <f t="shared" ca="1" si="7"/>
        <v>0</v>
      </c>
      <c r="J24" s="871">
        <f t="shared" ca="1" si="7"/>
        <v>0</v>
      </c>
      <c r="K24" s="871">
        <f t="shared" ca="1" si="7"/>
        <v>0</v>
      </c>
      <c r="L24" s="871">
        <f t="shared" ca="1" si="7"/>
        <v>94551.160274953567</v>
      </c>
      <c r="M24" s="871">
        <f t="shared" si="7"/>
        <v>0</v>
      </c>
      <c r="N24" s="871">
        <f t="shared" si="7"/>
        <v>0</v>
      </c>
      <c r="O24" s="871">
        <f t="shared" si="7"/>
        <v>0</v>
      </c>
      <c r="P24" s="871">
        <f t="shared" si="7"/>
        <v>0</v>
      </c>
      <c r="Q24" s="871">
        <f t="shared" si="7"/>
        <v>0</v>
      </c>
      <c r="R24" s="871">
        <f t="shared" si="7"/>
        <v>0</v>
      </c>
      <c r="S24" s="871">
        <f t="shared" si="7"/>
        <v>0</v>
      </c>
      <c r="T24" s="871">
        <f t="shared" si="7"/>
        <v>0</v>
      </c>
      <c r="U24" s="871">
        <f t="shared" si="7"/>
        <v>0</v>
      </c>
      <c r="V24" s="871">
        <f t="shared" si="7"/>
        <v>0</v>
      </c>
      <c r="W24" s="871">
        <f t="shared" si="7"/>
        <v>0</v>
      </c>
      <c r="X24" s="871">
        <f t="shared" si="7"/>
        <v>0</v>
      </c>
      <c r="Y24" s="871">
        <f t="shared" si="7"/>
        <v>0</v>
      </c>
      <c r="Z24" s="871">
        <f t="shared" si="7"/>
        <v>0</v>
      </c>
      <c r="AA24" s="871">
        <f t="shared" si="7"/>
        <v>0</v>
      </c>
      <c r="AB24" s="871">
        <f t="shared" si="7"/>
        <v>0</v>
      </c>
      <c r="AC24" s="871">
        <f t="shared" si="7"/>
        <v>0</v>
      </c>
      <c r="AD24" s="871">
        <f t="shared" si="7"/>
        <v>0</v>
      </c>
      <c r="AE24" s="871">
        <f t="shared" si="7"/>
        <v>0</v>
      </c>
      <c r="AF24" s="871">
        <f t="shared" si="7"/>
        <v>0</v>
      </c>
      <c r="AG24" s="871">
        <f t="shared" si="7"/>
        <v>0</v>
      </c>
      <c r="AH24" s="871">
        <f t="shared" si="7"/>
        <v>0</v>
      </c>
      <c r="AI24" s="871">
        <f t="shared" si="7"/>
        <v>0</v>
      </c>
      <c r="AJ24" s="871">
        <f t="shared" si="7"/>
        <v>0</v>
      </c>
      <c r="AK24" s="871">
        <f t="shared" si="7"/>
        <v>0</v>
      </c>
      <c r="AL24" s="871">
        <f t="shared" si="7"/>
        <v>0</v>
      </c>
      <c r="AM24" s="871">
        <f t="shared" si="7"/>
        <v>0</v>
      </c>
      <c r="AN24" s="871">
        <f t="shared" si="7"/>
        <v>0</v>
      </c>
      <c r="AO24" s="871">
        <f t="shared" si="7"/>
        <v>0</v>
      </c>
      <c r="AP24" s="871">
        <f t="shared" si="7"/>
        <v>0</v>
      </c>
      <c r="AQ24" s="871">
        <f t="shared" si="7"/>
        <v>0</v>
      </c>
      <c r="AR24" s="871">
        <f t="shared" si="7"/>
        <v>0</v>
      </c>
      <c r="AS24" s="871">
        <f t="shared" si="7"/>
        <v>0</v>
      </c>
      <c r="AT24" s="871">
        <f t="shared" si="7"/>
        <v>0</v>
      </c>
      <c r="AU24" s="871">
        <f t="shared" si="7"/>
        <v>0</v>
      </c>
      <c r="AV24" s="871">
        <f t="shared" si="7"/>
        <v>0</v>
      </c>
      <c r="AW24" s="871">
        <f t="shared" si="7"/>
        <v>0</v>
      </c>
      <c r="AX24" s="871">
        <f t="shared" si="7"/>
        <v>0</v>
      </c>
      <c r="AY24" s="871">
        <f t="shared" si="7"/>
        <v>0</v>
      </c>
      <c r="AZ24" s="871">
        <f t="shared" si="7"/>
        <v>0</v>
      </c>
      <c r="BB24" s="177" t="s">
        <v>384</v>
      </c>
      <c r="BD24" s="864">
        <f>+SUMIFS(F28:Q28,$F$14:$Q$14,$BD$14)</f>
        <v>0</v>
      </c>
    </row>
    <row r="25" spans="2:56" ht="12.75" customHeight="1" outlineLevel="1" x14ac:dyDescent="0.3">
      <c r="B25" s="843" t="s">
        <v>382</v>
      </c>
      <c r="C25" s="178" t="s">
        <v>388</v>
      </c>
      <c r="D25" s="183" t="s">
        <v>390</v>
      </c>
      <c r="E25" s="872" t="s">
        <v>132</v>
      </c>
      <c r="F25" s="866"/>
      <c r="G25" s="850"/>
      <c r="H25" s="850"/>
      <c r="I25" s="850"/>
      <c r="J25" s="850"/>
      <c r="K25" s="850"/>
      <c r="L25" s="850"/>
      <c r="M25" s="850"/>
      <c r="N25" s="850"/>
      <c r="O25" s="850"/>
      <c r="P25" s="850"/>
      <c r="Q25" s="850"/>
      <c r="BB25" s="181" t="s">
        <v>385</v>
      </c>
      <c r="BD25" s="864" t="e">
        <f>+BD20</f>
        <v>#N/A</v>
      </c>
    </row>
    <row r="26" spans="2:56" ht="12.75" customHeight="1" outlineLevel="1" x14ac:dyDescent="0.3">
      <c r="C26" s="178"/>
      <c r="D26" s="179"/>
      <c r="E26" s="865"/>
      <c r="F26" s="866"/>
      <c r="G26" s="850"/>
      <c r="H26" s="850"/>
      <c r="I26" s="850"/>
      <c r="J26" s="850"/>
      <c r="K26" s="850"/>
      <c r="L26" s="850"/>
      <c r="M26" s="850"/>
      <c r="N26" s="850"/>
      <c r="O26" s="850"/>
      <c r="P26" s="850"/>
      <c r="Q26" s="850"/>
      <c r="BB26" s="181" t="s">
        <v>391</v>
      </c>
      <c r="BD26" s="864" t="e">
        <v>#REF!</v>
      </c>
    </row>
    <row r="27" spans="2:56" ht="12.75" customHeight="1" outlineLevel="1" x14ac:dyDescent="0.3">
      <c r="C27" s="177" t="s">
        <v>383</v>
      </c>
      <c r="D27" s="180"/>
      <c r="E27" s="865"/>
      <c r="F27" s="850">
        <f ca="1">E29</f>
        <v>-48279.565332916682</v>
      </c>
      <c r="G27" s="850">
        <f t="shared" ref="G27:AZ27" ca="1" si="8">F31</f>
        <v>-48923.292870688907</v>
      </c>
      <c r="H27" s="850">
        <f t="shared" ca="1" si="8"/>
        <v>-49575.603442298096</v>
      </c>
      <c r="I27" s="850">
        <f t="shared" ca="1" si="8"/>
        <v>-50236.611488195405</v>
      </c>
      <c r="J27" s="850">
        <f t="shared" ca="1" si="8"/>
        <v>-50906.43297470468</v>
      </c>
      <c r="K27" s="850">
        <f t="shared" ca="1" si="8"/>
        <v>-51585.185414367406</v>
      </c>
      <c r="L27" s="850">
        <f t="shared" ca="1" si="8"/>
        <v>-52272.987886558971</v>
      </c>
      <c r="M27" s="850">
        <f t="shared" ca="1" si="8"/>
        <v>0</v>
      </c>
      <c r="N27" s="850">
        <f t="shared" ca="1" si="8"/>
        <v>0</v>
      </c>
      <c r="O27" s="850">
        <f t="shared" ca="1" si="8"/>
        <v>0</v>
      </c>
      <c r="P27" s="850">
        <f t="shared" ca="1" si="8"/>
        <v>0</v>
      </c>
      <c r="Q27" s="850">
        <f t="shared" ca="1" si="8"/>
        <v>0</v>
      </c>
      <c r="R27" s="850">
        <f t="shared" ca="1" si="8"/>
        <v>0</v>
      </c>
      <c r="S27" s="850">
        <f t="shared" ca="1" si="8"/>
        <v>0</v>
      </c>
      <c r="T27" s="850">
        <f t="shared" ca="1" si="8"/>
        <v>0</v>
      </c>
      <c r="U27" s="850">
        <f t="shared" ca="1" si="8"/>
        <v>0</v>
      </c>
      <c r="V27" s="850">
        <f t="shared" ca="1" si="8"/>
        <v>0</v>
      </c>
      <c r="W27" s="850">
        <f t="shared" ca="1" si="8"/>
        <v>0</v>
      </c>
      <c r="X27" s="850">
        <f t="shared" ca="1" si="8"/>
        <v>0</v>
      </c>
      <c r="Y27" s="850">
        <f t="shared" ca="1" si="8"/>
        <v>0</v>
      </c>
      <c r="Z27" s="850">
        <f t="shared" ca="1" si="8"/>
        <v>0</v>
      </c>
      <c r="AA27" s="850">
        <f t="shared" ca="1" si="8"/>
        <v>0</v>
      </c>
      <c r="AB27" s="850">
        <f t="shared" ca="1" si="8"/>
        <v>0</v>
      </c>
      <c r="AC27" s="850">
        <f t="shared" ca="1" si="8"/>
        <v>0</v>
      </c>
      <c r="AD27" s="850">
        <f t="shared" ca="1" si="8"/>
        <v>0</v>
      </c>
      <c r="AE27" s="850">
        <f t="shared" ca="1" si="8"/>
        <v>0</v>
      </c>
      <c r="AF27" s="850">
        <f t="shared" ca="1" si="8"/>
        <v>0</v>
      </c>
      <c r="AG27" s="850">
        <f t="shared" ca="1" si="8"/>
        <v>0</v>
      </c>
      <c r="AH27" s="850">
        <f t="shared" ca="1" si="8"/>
        <v>0</v>
      </c>
      <c r="AI27" s="850">
        <f t="shared" ca="1" si="8"/>
        <v>0</v>
      </c>
      <c r="AJ27" s="850">
        <f t="shared" ca="1" si="8"/>
        <v>0</v>
      </c>
      <c r="AK27" s="850">
        <f t="shared" ca="1" si="8"/>
        <v>0</v>
      </c>
      <c r="AL27" s="850">
        <f t="shared" ca="1" si="8"/>
        <v>0</v>
      </c>
      <c r="AM27" s="850">
        <f t="shared" ca="1" si="8"/>
        <v>0</v>
      </c>
      <c r="AN27" s="850">
        <f t="shared" ca="1" si="8"/>
        <v>0</v>
      </c>
      <c r="AO27" s="850">
        <f t="shared" ca="1" si="8"/>
        <v>0</v>
      </c>
      <c r="AP27" s="850">
        <f t="shared" ca="1" si="8"/>
        <v>0</v>
      </c>
      <c r="AQ27" s="850">
        <f t="shared" ca="1" si="8"/>
        <v>0</v>
      </c>
      <c r="AR27" s="850">
        <f t="shared" ca="1" si="8"/>
        <v>0</v>
      </c>
      <c r="AS27" s="850">
        <f t="shared" ca="1" si="8"/>
        <v>0</v>
      </c>
      <c r="AT27" s="850">
        <f t="shared" ca="1" si="8"/>
        <v>0</v>
      </c>
      <c r="AU27" s="850">
        <f t="shared" ca="1" si="8"/>
        <v>0</v>
      </c>
      <c r="AV27" s="850">
        <f t="shared" ca="1" si="8"/>
        <v>0</v>
      </c>
      <c r="AW27" s="850">
        <f t="shared" ca="1" si="8"/>
        <v>0</v>
      </c>
      <c r="AX27" s="850">
        <f t="shared" ca="1" si="8"/>
        <v>0</v>
      </c>
      <c r="AY27" s="850">
        <f t="shared" ca="1" si="8"/>
        <v>0</v>
      </c>
      <c r="AZ27" s="850">
        <f t="shared" ca="1" si="8"/>
        <v>0</v>
      </c>
      <c r="BB27" s="177"/>
    </row>
    <row r="28" spans="2:56" ht="12.75" customHeight="1" outlineLevel="1" x14ac:dyDescent="0.25">
      <c r="C28" s="177" t="s">
        <v>384</v>
      </c>
      <c r="D28" s="177"/>
      <c r="E28" s="867"/>
      <c r="F28" s="850">
        <f ca="1">IF($E$25="YES",F27*100%,F27*'Acquisition Summary'!$J$53/12)</f>
        <v>-643.72753777222249</v>
      </c>
      <c r="G28" s="850">
        <f ca="1">IF($E$25="YES",G27*100%,G27*'Acquisition Summary'!$J$53/12)</f>
        <v>-652.31057160918544</v>
      </c>
      <c r="H28" s="850">
        <f ca="1">IF($E$25="YES",H27*100%,H27*'Acquisition Summary'!$J$53/12)</f>
        <v>-661.00804589730797</v>
      </c>
      <c r="I28" s="850">
        <f ca="1">IF($E$25="YES",I27*100%,I27*'Acquisition Summary'!$J$53/12)</f>
        <v>-669.82148650927206</v>
      </c>
      <c r="J28" s="850">
        <f ca="1">IF($E$25="YES",J27*100%,J27*'Acquisition Summary'!$J$53/12)</f>
        <v>-678.7524396627291</v>
      </c>
      <c r="K28" s="850">
        <f ca="1">IF($E$25="YES",K27*100%,K27*'Acquisition Summary'!$J$53/12)</f>
        <v>-687.80247219156536</v>
      </c>
      <c r="L28" s="850">
        <f ca="1">IF($E$25="YES",L27*100%,L27*'Acquisition Summary'!$J$53/12)</f>
        <v>-696.97317182078632</v>
      </c>
      <c r="M28" s="850">
        <f ca="1">IF($E$25="YES",M27*100%,M27*'Acquisition Summary'!$J$53/12)</f>
        <v>0</v>
      </c>
      <c r="N28" s="850">
        <f ca="1">IF($E$25="YES",N27*100%,N27*'Acquisition Summary'!$J$53/12)</f>
        <v>0</v>
      </c>
      <c r="O28" s="850">
        <f ca="1">IF($E$25="YES",O27*100%,O27*'Acquisition Summary'!$J$53/12)</f>
        <v>0</v>
      </c>
      <c r="P28" s="850">
        <f ca="1">IF($E$25="YES",P27*100%,P27*'Acquisition Summary'!$J$53/12)</f>
        <v>0</v>
      </c>
      <c r="Q28" s="850">
        <f ca="1">IF($E$25="YES",Q27*100%,Q27*'Acquisition Summary'!$J$53/12)</f>
        <v>0</v>
      </c>
      <c r="R28" s="850">
        <f ca="1">IF($E$25="YES",R27*100%,R27*'Acquisition Summary'!$J$53/12)</f>
        <v>0</v>
      </c>
      <c r="S28" s="850">
        <f ca="1">IF($E$25="YES",S27*100%,S27*'Acquisition Summary'!$J$53/12)</f>
        <v>0</v>
      </c>
      <c r="T28" s="850">
        <f ca="1">IF($E$25="YES",T27*100%,T27*'Acquisition Summary'!$J$53/12)</f>
        <v>0</v>
      </c>
      <c r="U28" s="850">
        <f ca="1">IF($E$25="YES",U27*100%,U27*'Acquisition Summary'!$J$53/12)</f>
        <v>0</v>
      </c>
      <c r="V28" s="850">
        <f ca="1">IF($E$25="YES",V27*100%,V27*'Acquisition Summary'!$J$53/12)</f>
        <v>0</v>
      </c>
      <c r="W28" s="850">
        <f ca="1">IF($E$25="YES",W27*100%,W27*'Acquisition Summary'!$J$53/12)</f>
        <v>0</v>
      </c>
      <c r="X28" s="850">
        <f ca="1">IF($E$25="YES",X27*100%,X27*'Acquisition Summary'!$J$53/12)</f>
        <v>0</v>
      </c>
      <c r="Y28" s="850">
        <f ca="1">IF($E$25="YES",Y27*100%,Y27*'Acquisition Summary'!$J$53/12)</f>
        <v>0</v>
      </c>
      <c r="Z28" s="850">
        <f ca="1">IF($E$25="YES",Z27*100%,Z27*'Acquisition Summary'!$J$53/12)</f>
        <v>0</v>
      </c>
      <c r="AA28" s="850">
        <f ca="1">IF($E$25="YES",AA27*100%,AA27*'Acquisition Summary'!$J$53/12)</f>
        <v>0</v>
      </c>
      <c r="AB28" s="850">
        <f ca="1">IF($E$25="YES",AB27*100%,AB27*'Acquisition Summary'!$J$53/12)</f>
        <v>0</v>
      </c>
      <c r="AC28" s="850">
        <f ca="1">IF($E$25="YES",AC27*100%,AC27*'Acquisition Summary'!$J$53/12)</f>
        <v>0</v>
      </c>
      <c r="AD28" s="850">
        <f ca="1">IF($E$25="YES",AD27*100%,AD27*'Acquisition Summary'!$J$53/12)</f>
        <v>0</v>
      </c>
      <c r="AE28" s="850">
        <f ca="1">IF($E$25="YES",AE27*100%,AE27*'Acquisition Summary'!$J$53/12)</f>
        <v>0</v>
      </c>
      <c r="AF28" s="850">
        <f ca="1">IF($E$25="YES",AF27*100%,AF27*'Acquisition Summary'!$J$53/12)</f>
        <v>0</v>
      </c>
      <c r="AG28" s="850">
        <f ca="1">IF($E$25="YES",AG27*100%,AG27*'Acquisition Summary'!$J$53/12)</f>
        <v>0</v>
      </c>
      <c r="AH28" s="850">
        <f ca="1">IF($E$25="YES",AH27*100%,AH27*'Acquisition Summary'!$J$53/12)</f>
        <v>0</v>
      </c>
      <c r="AI28" s="850">
        <f ca="1">IF($E$25="YES",AI27*100%,AI27*'Acquisition Summary'!$J$53/12)</f>
        <v>0</v>
      </c>
      <c r="AJ28" s="850">
        <f ca="1">IF($E$25="YES",AJ27*100%,AJ27*'Acquisition Summary'!$J$53/12)</f>
        <v>0</v>
      </c>
      <c r="AK28" s="850">
        <f ca="1">IF($E$25="YES",AK27*100%,AK27*'Acquisition Summary'!$J$53/12)</f>
        <v>0</v>
      </c>
      <c r="AL28" s="850">
        <f ca="1">IF($E$25="YES",AL27*100%,AL27*'Acquisition Summary'!$J$53/12)</f>
        <v>0</v>
      </c>
      <c r="AM28" s="850">
        <f ca="1">IF($E$25="YES",AM27*100%,AM27*'Acquisition Summary'!$J$53/12)</f>
        <v>0</v>
      </c>
      <c r="AN28" s="850">
        <f ca="1">IF($E$25="YES",AN27*100%,AN27*'Acquisition Summary'!$J$53/12)</f>
        <v>0</v>
      </c>
      <c r="AO28" s="850">
        <f ca="1">IF($E$25="YES",AO27*100%,AO27*'Acquisition Summary'!$J$53/12)</f>
        <v>0</v>
      </c>
      <c r="AP28" s="850">
        <f ca="1">IF($E$25="YES",AP27*100%,AP27*'Acquisition Summary'!$J$53/12)</f>
        <v>0</v>
      </c>
      <c r="AQ28" s="850">
        <f ca="1">IF($E$25="YES",AQ27*100%,AQ27*'Acquisition Summary'!$J$53/12)</f>
        <v>0</v>
      </c>
      <c r="AR28" s="850">
        <f ca="1">IF($E$25="YES",AR27*100%,AR27*'Acquisition Summary'!$J$53/12)</f>
        <v>0</v>
      </c>
      <c r="AS28" s="850">
        <f ca="1">IF($E$25="YES",AS27*100%,AS27*'Acquisition Summary'!$J$53/12)</f>
        <v>0</v>
      </c>
      <c r="AT28" s="850">
        <f ca="1">IF($E$25="YES",AT27*100%,AT27*'Acquisition Summary'!$J$53/12)</f>
        <v>0</v>
      </c>
      <c r="AU28" s="850">
        <f ca="1">IF($E$25="YES",AU27*100%,AU27*'Acquisition Summary'!$J$53/12)</f>
        <v>0</v>
      </c>
      <c r="AV28" s="850">
        <f ca="1">IF($E$25="YES",AV27*100%,AV27*'Acquisition Summary'!$J$53/12)</f>
        <v>0</v>
      </c>
      <c r="AW28" s="850">
        <f ca="1">IF($E$25="YES",AW27*100%,AW27*'Acquisition Summary'!$J$53/12)</f>
        <v>0</v>
      </c>
      <c r="AX28" s="850">
        <f ca="1">IF($E$25="YES",AX27*100%,AX27*'Acquisition Summary'!$J$53/12)</f>
        <v>0</v>
      </c>
      <c r="AY28" s="850">
        <f ca="1">IF($E$25="YES",AY27*100%,AY27*'Acquisition Summary'!$J$53/12)</f>
        <v>0</v>
      </c>
      <c r="AZ28" s="850">
        <f ca="1">IF($E$25="YES",AZ27*100%,AZ27*'Acquisition Summary'!$J$53/12)</f>
        <v>0</v>
      </c>
      <c r="BB28" s="843" t="s">
        <v>392</v>
      </c>
      <c r="BD28" s="864" t="e">
        <v>#REF!</v>
      </c>
    </row>
    <row r="29" spans="2:56" ht="12.75" customHeight="1" outlineLevel="1" x14ac:dyDescent="0.25">
      <c r="C29" s="181" t="s">
        <v>385</v>
      </c>
      <c r="D29" s="181"/>
      <c r="E29" s="867">
        <f ca="1">+E20</f>
        <v>-48279.565332916682</v>
      </c>
      <c r="F29" s="850">
        <f t="shared" ref="F29:AZ29" ca="1" si="9">+F20+F21</f>
        <v>0</v>
      </c>
      <c r="G29" s="850">
        <f t="shared" ca="1" si="9"/>
        <v>0</v>
      </c>
      <c r="H29" s="850">
        <f t="shared" ca="1" si="9"/>
        <v>0</v>
      </c>
      <c r="I29" s="850">
        <f t="shared" ca="1" si="9"/>
        <v>0</v>
      </c>
      <c r="J29" s="850">
        <f t="shared" ca="1" si="9"/>
        <v>0</v>
      </c>
      <c r="K29" s="850">
        <f t="shared" ca="1" si="9"/>
        <v>0</v>
      </c>
      <c r="L29" s="850">
        <f t="shared" ca="1" si="9"/>
        <v>52969.961058379755</v>
      </c>
      <c r="M29" s="850">
        <f t="shared" si="9"/>
        <v>0</v>
      </c>
      <c r="N29" s="850">
        <f t="shared" si="9"/>
        <v>0</v>
      </c>
      <c r="O29" s="850">
        <f t="shared" si="9"/>
        <v>0</v>
      </c>
      <c r="P29" s="850">
        <f t="shared" si="9"/>
        <v>0</v>
      </c>
      <c r="Q29" s="850">
        <f t="shared" si="9"/>
        <v>0</v>
      </c>
      <c r="R29" s="850">
        <f t="shared" si="9"/>
        <v>0</v>
      </c>
      <c r="S29" s="850">
        <f t="shared" si="9"/>
        <v>0</v>
      </c>
      <c r="T29" s="850">
        <f t="shared" si="9"/>
        <v>0</v>
      </c>
      <c r="U29" s="850">
        <f t="shared" si="9"/>
        <v>0</v>
      </c>
      <c r="V29" s="850">
        <f t="shared" si="9"/>
        <v>0</v>
      </c>
      <c r="W29" s="850">
        <f t="shared" si="9"/>
        <v>0</v>
      </c>
      <c r="X29" s="850">
        <f t="shared" si="9"/>
        <v>0</v>
      </c>
      <c r="Y29" s="850">
        <f t="shared" si="9"/>
        <v>0</v>
      </c>
      <c r="Z29" s="850">
        <f t="shared" si="9"/>
        <v>0</v>
      </c>
      <c r="AA29" s="850">
        <f t="shared" si="9"/>
        <v>0</v>
      </c>
      <c r="AB29" s="850">
        <f t="shared" si="9"/>
        <v>0</v>
      </c>
      <c r="AC29" s="850">
        <f t="shared" si="9"/>
        <v>0</v>
      </c>
      <c r="AD29" s="850">
        <f t="shared" si="9"/>
        <v>0</v>
      </c>
      <c r="AE29" s="850">
        <f t="shared" si="9"/>
        <v>0</v>
      </c>
      <c r="AF29" s="850">
        <f t="shared" si="9"/>
        <v>0</v>
      </c>
      <c r="AG29" s="850">
        <f t="shared" si="9"/>
        <v>0</v>
      </c>
      <c r="AH29" s="850">
        <f t="shared" si="9"/>
        <v>0</v>
      </c>
      <c r="AI29" s="850">
        <f t="shared" si="9"/>
        <v>0</v>
      </c>
      <c r="AJ29" s="850">
        <f t="shared" si="9"/>
        <v>0</v>
      </c>
      <c r="AK29" s="850">
        <f t="shared" si="9"/>
        <v>0</v>
      </c>
      <c r="AL29" s="850">
        <f t="shared" si="9"/>
        <v>0</v>
      </c>
      <c r="AM29" s="850">
        <f t="shared" si="9"/>
        <v>0</v>
      </c>
      <c r="AN29" s="850">
        <f t="shared" si="9"/>
        <v>0</v>
      </c>
      <c r="AO29" s="850">
        <f t="shared" si="9"/>
        <v>0</v>
      </c>
      <c r="AP29" s="850">
        <f t="shared" si="9"/>
        <v>0</v>
      </c>
      <c r="AQ29" s="850">
        <f t="shared" si="9"/>
        <v>0</v>
      </c>
      <c r="AR29" s="850">
        <f t="shared" si="9"/>
        <v>0</v>
      </c>
      <c r="AS29" s="850">
        <f t="shared" si="9"/>
        <v>0</v>
      </c>
      <c r="AT29" s="850">
        <f t="shared" si="9"/>
        <v>0</v>
      </c>
      <c r="AU29" s="850">
        <f t="shared" si="9"/>
        <v>0</v>
      </c>
      <c r="AV29" s="850">
        <f t="shared" si="9"/>
        <v>0</v>
      </c>
      <c r="AW29" s="850">
        <f t="shared" si="9"/>
        <v>0</v>
      </c>
      <c r="AX29" s="850">
        <f t="shared" si="9"/>
        <v>0</v>
      </c>
      <c r="AY29" s="850">
        <f t="shared" si="9"/>
        <v>0</v>
      </c>
      <c r="AZ29" s="850">
        <f t="shared" si="9"/>
        <v>0</v>
      </c>
      <c r="BB29" s="843" t="s">
        <v>393</v>
      </c>
      <c r="BD29" s="864" t="e">
        <f>+#REF!-BD26-BD28</f>
        <v>#REF!</v>
      </c>
    </row>
    <row r="30" spans="2:56" ht="12.75" customHeight="1" outlineLevel="1" x14ac:dyDescent="0.25">
      <c r="C30" s="181" t="s">
        <v>391</v>
      </c>
      <c r="D30" s="181"/>
      <c r="E30" s="867"/>
      <c r="F30" s="850">
        <f ca="1">+IFERROR(IF(F24&gt;0,MIN(F24*'Acquisition Summary'!$K$54,-SUM(F27:F29)/'Acquisition Summary'!$K$54,-SUM(F27:F29)),0),0)</f>
        <v>0</v>
      </c>
      <c r="G30" s="850">
        <f ca="1">+IFERROR(IF(G24&gt;0,MIN(G24*'Acquisition Summary'!$K$54,-SUM(G27:G29)/'Acquisition Summary'!$K$54,-SUM(G27:G29)),0),0)</f>
        <v>0</v>
      </c>
      <c r="H30" s="850">
        <f ca="1">+IFERROR(IF(H24&gt;0,MIN(H24*'Acquisition Summary'!$K$54,-SUM(H27:H29)/'Acquisition Summary'!$K$54,-SUM(H27:H29)),0),0)</f>
        <v>0</v>
      </c>
      <c r="I30" s="850">
        <f ca="1">+IFERROR(IF(I24&gt;0,MIN(I24*'Acquisition Summary'!$K$54,-SUM(I27:I29)/'Acquisition Summary'!$K$54,-SUM(I27:I29)),0),0)</f>
        <v>0</v>
      </c>
      <c r="J30" s="850">
        <f ca="1">+IFERROR(IF(J24&gt;0,MIN(J24*'Acquisition Summary'!$K$54,-SUM(J27:J29)/'Acquisition Summary'!$K$54,-SUM(J27:J29)),0),0)</f>
        <v>0</v>
      </c>
      <c r="K30" s="850">
        <f ca="1">+IFERROR(IF(K24&gt;0,MIN(K24*'Acquisition Summary'!$K$54,-SUM(K27:K29)/'Acquisition Summary'!$K$54,-SUM(K27:K29)),0),0)</f>
        <v>0</v>
      </c>
      <c r="L30" s="850">
        <f ca="1">+IFERROR(IF(L24&gt;0,MIN(L24*'Acquisition Summary'!$K$54,-SUM(L27:L29)/'Acquisition Summary'!$K$54,-SUM(L27:L29)),0),0)</f>
        <v>0</v>
      </c>
      <c r="M30" s="850">
        <f>+IFERROR(IF(M24&gt;0,MIN(M24*'Acquisition Summary'!$K$54,-SUM(M27:M29)/'Acquisition Summary'!$K$54,-SUM(M27:M29)),0),0)</f>
        <v>0</v>
      </c>
      <c r="N30" s="850">
        <f>+IFERROR(IF(N24&gt;0,MIN(N24*'Acquisition Summary'!$K$54,-SUM(N27:N29)/'Acquisition Summary'!$K$54,-SUM(N27:N29)),0),0)</f>
        <v>0</v>
      </c>
      <c r="O30" s="850">
        <f>+IFERROR(IF(O24&gt;0,MIN(O24*'Acquisition Summary'!$K$54,-SUM(O27:O29)/'Acquisition Summary'!$K$54,-SUM(O27:O29)),0),0)</f>
        <v>0</v>
      </c>
      <c r="P30" s="850">
        <f>+IFERROR(IF(P24&gt;0,MIN(P24*'Acquisition Summary'!$K$54,-SUM(P27:P29)/'Acquisition Summary'!$K$54,-SUM(P27:P29)),0),0)</f>
        <v>0</v>
      </c>
      <c r="Q30" s="850">
        <f>+IFERROR(IF(Q24&gt;0,MIN(Q24*'Acquisition Summary'!$K$54,-SUM(Q27:Q29)/'Acquisition Summary'!$K$54,-SUM(Q27:Q29)),0),0)</f>
        <v>0</v>
      </c>
      <c r="R30" s="850">
        <f>+IFERROR(IF(R24&gt;0,MIN(R24*'Acquisition Summary'!$K$54,-SUM(R27:R29)/'Acquisition Summary'!$K$54,-SUM(R27:R29)),0),0)</f>
        <v>0</v>
      </c>
      <c r="S30" s="850">
        <f>+IFERROR(IF(S24&gt;0,MIN(S24*'Acquisition Summary'!$K$54,-SUM(S27:S29)/'Acquisition Summary'!$K$54,-SUM(S27:S29)),0),0)</f>
        <v>0</v>
      </c>
      <c r="T30" s="850">
        <f>+IFERROR(IF(T24&gt;0,MIN(T24*'Acquisition Summary'!$K$54,-SUM(T27:T29)/'Acquisition Summary'!$K$54,-SUM(T27:T29)),0),0)</f>
        <v>0</v>
      </c>
      <c r="U30" s="850">
        <f>+IFERROR(IF(U24&gt;0,MIN(U24*'Acquisition Summary'!$K$54,-SUM(U27:U29)/'Acquisition Summary'!$K$54,-SUM(U27:U29)),0),0)</f>
        <v>0</v>
      </c>
      <c r="V30" s="850">
        <f>+IFERROR(IF(V24&gt;0,MIN(V24*'Acquisition Summary'!$K$54,-SUM(V27:V29)/'Acquisition Summary'!$K$54,-SUM(V27:V29)),0),0)</f>
        <v>0</v>
      </c>
      <c r="W30" s="850">
        <f>+IFERROR(IF(W24&gt;0,MIN(W24*'Acquisition Summary'!$K$54,-SUM(W27:W29)/'Acquisition Summary'!$K$54,-SUM(W27:W29)),0),0)</f>
        <v>0</v>
      </c>
      <c r="X30" s="850">
        <f>+IFERROR(IF(X24&gt;0,MIN(X24*'Acquisition Summary'!$K$54,-SUM(X27:X29)/'Acquisition Summary'!$K$54,-SUM(X27:X29)),0),0)</f>
        <v>0</v>
      </c>
      <c r="Y30" s="850">
        <f>+IFERROR(IF(Y24&gt;0,MIN(Y24*'Acquisition Summary'!$K$54,-SUM(Y27:Y29)/'Acquisition Summary'!$K$54,-SUM(Y27:Y29)),0),0)</f>
        <v>0</v>
      </c>
      <c r="Z30" s="850">
        <f>+IFERROR(IF(Z24&gt;0,MIN(Z24*'Acquisition Summary'!$K$54,-SUM(Z27:Z29)/'Acquisition Summary'!$K$54,-SUM(Z27:Z29)),0),0)</f>
        <v>0</v>
      </c>
      <c r="AA30" s="850">
        <f>+IFERROR(IF(AA24&gt;0,MIN(AA24*'Acquisition Summary'!$K$54,-SUM(AA27:AA29)/'Acquisition Summary'!$K$54,-SUM(AA27:AA29)),0),0)</f>
        <v>0</v>
      </c>
      <c r="AB30" s="850">
        <f>+IFERROR(IF(AB24&gt;0,MIN(AB24*'Acquisition Summary'!$K$54,-SUM(AB27:AB29)/'Acquisition Summary'!$K$54,-SUM(AB27:AB29)),0),0)</f>
        <v>0</v>
      </c>
      <c r="AC30" s="850">
        <f>+IFERROR(IF(AC24&gt;0,MIN(AC24*'Acquisition Summary'!$K$54,-SUM(AC27:AC29)/'Acquisition Summary'!$K$54,-SUM(AC27:AC29)),0),0)</f>
        <v>0</v>
      </c>
      <c r="AD30" s="850">
        <f>+IFERROR(IF(AD24&gt;0,MIN(AD24*'Acquisition Summary'!$K$54,-SUM(AD27:AD29)/'Acquisition Summary'!$K$54,-SUM(AD27:AD29)),0),0)</f>
        <v>0</v>
      </c>
      <c r="AE30" s="850">
        <f>+IFERROR(IF(AE24&gt;0,MIN(AE24*'Acquisition Summary'!$K$54,-SUM(AE27:AE29)/'Acquisition Summary'!$K$54,-SUM(AE27:AE29)),0),0)</f>
        <v>0</v>
      </c>
      <c r="AF30" s="850">
        <f>+IFERROR(IF(AF24&gt;0,MIN(AF24*'Acquisition Summary'!$K$54,-SUM(AF27:AF29)/'Acquisition Summary'!$K$54,-SUM(AF27:AF29)),0),0)</f>
        <v>0</v>
      </c>
      <c r="AG30" s="850">
        <f>+IFERROR(IF(AG24&gt;0,MIN(AG24*'Acquisition Summary'!$K$54,-SUM(AG27:AG29)/'Acquisition Summary'!$K$54,-SUM(AG27:AG29)),0),0)</f>
        <v>0</v>
      </c>
      <c r="AH30" s="850">
        <f>+IFERROR(IF(AH24&gt;0,MIN(AH24*'Acquisition Summary'!$K$54,-SUM(AH27:AH29)/'Acquisition Summary'!$K$54,-SUM(AH27:AH29)),0),0)</f>
        <v>0</v>
      </c>
      <c r="AI30" s="850">
        <f>+IFERROR(IF(AI24&gt;0,MIN(AI24*'Acquisition Summary'!$K$54,-SUM(AI27:AI29)/'Acquisition Summary'!$K$54,-SUM(AI27:AI29)),0),0)</f>
        <v>0</v>
      </c>
      <c r="AJ30" s="850">
        <f>+IFERROR(IF(AJ24&gt;0,MIN(AJ24*'Acquisition Summary'!$K$54,-SUM(AJ27:AJ29)/'Acquisition Summary'!$K$54,-SUM(AJ27:AJ29)),0),0)</f>
        <v>0</v>
      </c>
      <c r="AK30" s="850">
        <f>+IFERROR(IF(AK24&gt;0,MIN(AK24*'Acquisition Summary'!$K$54,-SUM(AK27:AK29)/'Acquisition Summary'!$K$54,-SUM(AK27:AK29)),0),0)</f>
        <v>0</v>
      </c>
      <c r="AL30" s="850">
        <f>+IFERROR(IF(AL24&gt;0,MIN(AL24*'Acquisition Summary'!$K$54,-SUM(AL27:AL29)/'Acquisition Summary'!$K$54,-SUM(AL27:AL29)),0),0)</f>
        <v>0</v>
      </c>
      <c r="AM30" s="850">
        <f>+IFERROR(IF(AM24&gt;0,MIN(AM24*'Acquisition Summary'!$K$54,-SUM(AM27:AM29)/'Acquisition Summary'!$K$54,-SUM(AM27:AM29)),0),0)</f>
        <v>0</v>
      </c>
      <c r="AN30" s="850">
        <f>+IFERROR(IF(AN24&gt;0,MIN(AN24*'Acquisition Summary'!$K$54,-SUM(AN27:AN29)/'Acquisition Summary'!$K$54,-SUM(AN27:AN29)),0),0)</f>
        <v>0</v>
      </c>
      <c r="AO30" s="850">
        <f>+IFERROR(IF(AO24&gt;0,MIN(AO24*'Acquisition Summary'!$K$54,-SUM(AO27:AO29)/'Acquisition Summary'!$K$54,-SUM(AO27:AO29)),0),0)</f>
        <v>0</v>
      </c>
      <c r="AP30" s="850">
        <f>+IFERROR(IF(AP24&gt;0,MIN(AP24*'Acquisition Summary'!$K$54,-SUM(AP27:AP29)/'Acquisition Summary'!$K$54,-SUM(AP27:AP29)),0),0)</f>
        <v>0</v>
      </c>
      <c r="AQ30" s="850">
        <f>+IFERROR(IF(AQ24&gt;0,MIN(AQ24*'Acquisition Summary'!$K$54,-SUM(AQ27:AQ29)/'Acquisition Summary'!$K$54,-SUM(AQ27:AQ29)),0),0)</f>
        <v>0</v>
      </c>
      <c r="AR30" s="850">
        <f>+IFERROR(IF(AR24&gt;0,MIN(AR24*'Acquisition Summary'!$K$54,-SUM(AR27:AR29)/'Acquisition Summary'!$K$54,-SUM(AR27:AR29)),0),0)</f>
        <v>0</v>
      </c>
      <c r="AS30" s="850">
        <f>+IFERROR(IF(AS24&gt;0,MIN(AS24*'Acquisition Summary'!$K$54,-SUM(AS27:AS29)/'Acquisition Summary'!$K$54,-SUM(AS27:AS29)),0),0)</f>
        <v>0</v>
      </c>
      <c r="AT30" s="850">
        <f>+IFERROR(IF(AT24&gt;0,MIN(AT24*'Acquisition Summary'!$K$54,-SUM(AT27:AT29)/'Acquisition Summary'!$K$54,-SUM(AT27:AT29)),0),0)</f>
        <v>0</v>
      </c>
      <c r="AU30" s="850">
        <f>+IFERROR(IF(AU24&gt;0,MIN(AU24*'Acquisition Summary'!$K$54,-SUM(AU27:AU29)/'Acquisition Summary'!$K$54,-SUM(AU27:AU29)),0),0)</f>
        <v>0</v>
      </c>
      <c r="AV30" s="850">
        <f>+IFERROR(IF(AV24&gt;0,MIN(AV24*'Acquisition Summary'!$K$54,-SUM(AV27:AV29)/'Acquisition Summary'!$K$54,-SUM(AV27:AV29)),0),0)</f>
        <v>0</v>
      </c>
      <c r="AW30" s="850">
        <f>+IFERROR(IF(AW24&gt;0,MIN(AW24*'Acquisition Summary'!$K$54,-SUM(AW27:AW29)/'Acquisition Summary'!$K$54,-SUM(AW27:AW29)),0),0)</f>
        <v>0</v>
      </c>
      <c r="AX30" s="850">
        <f>+IFERROR(IF(AX24&gt;0,MIN(AX24*'Acquisition Summary'!$K$54,-SUM(AX27:AX29)/'Acquisition Summary'!$K$54,-SUM(AX27:AX29)),0),0)</f>
        <v>0</v>
      </c>
      <c r="AY30" s="850">
        <f>+IFERROR(IF(AY24&gt;0,MIN(AY24*'Acquisition Summary'!$K$54,-SUM(AY27:AY29)/'Acquisition Summary'!$K$54,-SUM(AY27:AY29)),0),0)</f>
        <v>0</v>
      </c>
      <c r="AZ30" s="850">
        <f>+IFERROR(IF(AZ24&gt;0,MIN(AZ24*'Acquisition Summary'!$K$54,-SUM(AZ27:AZ29)/'Acquisition Summary'!$K$54,-SUM(AZ27:AZ29)),0),0)</f>
        <v>0</v>
      </c>
    </row>
    <row r="31" spans="2:56" ht="12.75" customHeight="1" outlineLevel="1" x14ac:dyDescent="0.25">
      <c r="C31" s="182" t="s">
        <v>387</v>
      </c>
      <c r="D31" s="182"/>
      <c r="E31" s="868"/>
      <c r="F31" s="869">
        <f t="shared" ref="F31:AZ31" ca="1" si="10">SUM(F27:F30)</f>
        <v>-48923.292870688907</v>
      </c>
      <c r="G31" s="869">
        <f t="shared" ca="1" si="10"/>
        <v>-49575.603442298096</v>
      </c>
      <c r="H31" s="869">
        <f t="shared" ca="1" si="10"/>
        <v>-50236.611488195405</v>
      </c>
      <c r="I31" s="869">
        <f t="shared" ca="1" si="10"/>
        <v>-50906.43297470468</v>
      </c>
      <c r="J31" s="869">
        <f t="shared" ca="1" si="10"/>
        <v>-51585.185414367406</v>
      </c>
      <c r="K31" s="869">
        <f t="shared" ca="1" si="10"/>
        <v>-52272.987886558971</v>
      </c>
      <c r="L31" s="869">
        <f t="shared" ca="1" si="10"/>
        <v>0</v>
      </c>
      <c r="M31" s="869">
        <f t="shared" ca="1" si="10"/>
        <v>0</v>
      </c>
      <c r="N31" s="869">
        <f t="shared" ca="1" si="10"/>
        <v>0</v>
      </c>
      <c r="O31" s="869">
        <f t="shared" ca="1" si="10"/>
        <v>0</v>
      </c>
      <c r="P31" s="869">
        <f t="shared" ca="1" si="10"/>
        <v>0</v>
      </c>
      <c r="Q31" s="869">
        <f t="shared" ca="1" si="10"/>
        <v>0</v>
      </c>
      <c r="R31" s="869">
        <f t="shared" ca="1" si="10"/>
        <v>0</v>
      </c>
      <c r="S31" s="869">
        <f t="shared" ca="1" si="10"/>
        <v>0</v>
      </c>
      <c r="T31" s="869">
        <f t="shared" ca="1" si="10"/>
        <v>0</v>
      </c>
      <c r="U31" s="869">
        <f t="shared" ca="1" si="10"/>
        <v>0</v>
      </c>
      <c r="V31" s="869">
        <f t="shared" ca="1" si="10"/>
        <v>0</v>
      </c>
      <c r="W31" s="869">
        <f t="shared" ca="1" si="10"/>
        <v>0</v>
      </c>
      <c r="X31" s="869">
        <f t="shared" ca="1" si="10"/>
        <v>0</v>
      </c>
      <c r="Y31" s="869">
        <f t="shared" ca="1" si="10"/>
        <v>0</v>
      </c>
      <c r="Z31" s="869">
        <f t="shared" ca="1" si="10"/>
        <v>0</v>
      </c>
      <c r="AA31" s="869">
        <f t="shared" ca="1" si="10"/>
        <v>0</v>
      </c>
      <c r="AB31" s="869">
        <f t="shared" ca="1" si="10"/>
        <v>0</v>
      </c>
      <c r="AC31" s="869">
        <f t="shared" ca="1" si="10"/>
        <v>0</v>
      </c>
      <c r="AD31" s="869">
        <f t="shared" ca="1" si="10"/>
        <v>0</v>
      </c>
      <c r="AE31" s="869">
        <f t="shared" ca="1" si="10"/>
        <v>0</v>
      </c>
      <c r="AF31" s="869">
        <f t="shared" ca="1" si="10"/>
        <v>0</v>
      </c>
      <c r="AG31" s="869">
        <f t="shared" ca="1" si="10"/>
        <v>0</v>
      </c>
      <c r="AH31" s="869">
        <f t="shared" ca="1" si="10"/>
        <v>0</v>
      </c>
      <c r="AI31" s="869">
        <f t="shared" ca="1" si="10"/>
        <v>0</v>
      </c>
      <c r="AJ31" s="869">
        <f t="shared" ca="1" si="10"/>
        <v>0</v>
      </c>
      <c r="AK31" s="869">
        <f t="shared" ca="1" si="10"/>
        <v>0</v>
      </c>
      <c r="AL31" s="869">
        <f t="shared" ca="1" si="10"/>
        <v>0</v>
      </c>
      <c r="AM31" s="869">
        <f t="shared" ca="1" si="10"/>
        <v>0</v>
      </c>
      <c r="AN31" s="869">
        <f t="shared" ca="1" si="10"/>
        <v>0</v>
      </c>
      <c r="AO31" s="869">
        <f t="shared" ca="1" si="10"/>
        <v>0</v>
      </c>
      <c r="AP31" s="869">
        <f t="shared" ca="1" si="10"/>
        <v>0</v>
      </c>
      <c r="AQ31" s="869">
        <f t="shared" ca="1" si="10"/>
        <v>0</v>
      </c>
      <c r="AR31" s="869">
        <f t="shared" ca="1" si="10"/>
        <v>0</v>
      </c>
      <c r="AS31" s="869">
        <f t="shared" ca="1" si="10"/>
        <v>0</v>
      </c>
      <c r="AT31" s="869">
        <f t="shared" ca="1" si="10"/>
        <v>0</v>
      </c>
      <c r="AU31" s="869">
        <f t="shared" ca="1" si="10"/>
        <v>0</v>
      </c>
      <c r="AV31" s="869">
        <f t="shared" ca="1" si="10"/>
        <v>0</v>
      </c>
      <c r="AW31" s="869">
        <f t="shared" ca="1" si="10"/>
        <v>0</v>
      </c>
      <c r="AX31" s="869">
        <f t="shared" ca="1" si="10"/>
        <v>0</v>
      </c>
      <c r="AY31" s="869">
        <f t="shared" ca="1" si="10"/>
        <v>0</v>
      </c>
      <c r="AZ31" s="869">
        <f t="shared" ca="1" si="10"/>
        <v>0</v>
      </c>
      <c r="BB31" s="177" t="s">
        <v>384</v>
      </c>
      <c r="BD31" s="864">
        <f>+SUMIFS(F38:Q38,$F$14:$Q$14,$BD$14)</f>
        <v>0</v>
      </c>
    </row>
    <row r="32" spans="2:56" ht="12.75" customHeight="1" x14ac:dyDescent="0.25">
      <c r="E32" s="870"/>
      <c r="BB32" s="181" t="s">
        <v>385</v>
      </c>
      <c r="BD32" s="864" t="e">
        <f>+BD25</f>
        <v>#N/A</v>
      </c>
    </row>
    <row r="33" spans="2:56" ht="12.75" customHeight="1" x14ac:dyDescent="0.25">
      <c r="C33" s="843" t="s">
        <v>394</v>
      </c>
      <c r="E33" s="870"/>
      <c r="F33" s="871">
        <f ca="1">+IFERROR(F30/'Acquisition Summary'!$K$54*'Acquisition Summary'!$L$54,F24-F30)</f>
        <v>0</v>
      </c>
      <c r="G33" s="871">
        <f ca="1">+IFERROR(G30/'Acquisition Summary'!$K$54*'Acquisition Summary'!$L$54,G24-G30)</f>
        <v>0</v>
      </c>
      <c r="H33" s="871">
        <f ca="1">+IFERROR(H30/'Acquisition Summary'!$K$54*'Acquisition Summary'!$L$54,H24-H30)</f>
        <v>0</v>
      </c>
      <c r="I33" s="871">
        <f ca="1">+IFERROR(I30/'Acquisition Summary'!$K$54*'Acquisition Summary'!$L$54,I24-I30)</f>
        <v>0</v>
      </c>
      <c r="J33" s="871">
        <f ca="1">+IFERROR(J30/'Acquisition Summary'!$K$54*'Acquisition Summary'!$L$54,J24-J30)</f>
        <v>0</v>
      </c>
      <c r="K33" s="871">
        <f ca="1">+IFERROR(K30/'Acquisition Summary'!$K$54*'Acquisition Summary'!$L$54,K24-K30)</f>
        <v>0</v>
      </c>
      <c r="L33" s="871">
        <f ca="1">+IFERROR(L30/'Acquisition Summary'!$K$54*'Acquisition Summary'!$L$54,L24-L30)</f>
        <v>94551.160274953567</v>
      </c>
      <c r="M33" s="871">
        <f>+IFERROR(M30/'Acquisition Summary'!$K$54*'Acquisition Summary'!$L$54,M24-M30)</f>
        <v>0</v>
      </c>
      <c r="N33" s="871">
        <f>+IFERROR(N30/'Acquisition Summary'!$K$54*'Acquisition Summary'!$L$54,N24-N30)</f>
        <v>0</v>
      </c>
      <c r="O33" s="871">
        <f>+IFERROR(O30/'Acquisition Summary'!$K$54*'Acquisition Summary'!$L$54,O24-O30)</f>
        <v>0</v>
      </c>
      <c r="P33" s="871">
        <f>+IFERROR(P30/'Acquisition Summary'!$K$54*'Acquisition Summary'!$L$54,P24-P30)</f>
        <v>0</v>
      </c>
      <c r="Q33" s="871">
        <f>+IFERROR(Q30/'Acquisition Summary'!$K$54*'Acquisition Summary'!$L$54,Q24-Q30)</f>
        <v>0</v>
      </c>
      <c r="R33" s="871">
        <f>+IFERROR(R30/'Acquisition Summary'!$K$54*'Acquisition Summary'!$L$54,R24-R30)</f>
        <v>0</v>
      </c>
      <c r="S33" s="871">
        <f>+IFERROR(S30/'Acquisition Summary'!$K$54*'Acquisition Summary'!$L$54,S24-S30)</f>
        <v>0</v>
      </c>
      <c r="T33" s="871">
        <f>+IFERROR(T30/'Acquisition Summary'!$K$54*'Acquisition Summary'!$L$54,T24-T30)</f>
        <v>0</v>
      </c>
      <c r="U33" s="871">
        <f>+IFERROR(U30/'Acquisition Summary'!$K$54*'Acquisition Summary'!$L$54,U24-U30)</f>
        <v>0</v>
      </c>
      <c r="V33" s="871">
        <f>+IFERROR(V30/'Acquisition Summary'!$K$54*'Acquisition Summary'!$L$54,V24-V30)</f>
        <v>0</v>
      </c>
      <c r="W33" s="871">
        <f>+IFERROR(W30/'Acquisition Summary'!$K$54*'Acquisition Summary'!$L$54,W24-W30)</f>
        <v>0</v>
      </c>
      <c r="X33" s="871">
        <f>+IFERROR(X30/'Acquisition Summary'!$K$54*'Acquisition Summary'!$L$54,X24-X30)</f>
        <v>0</v>
      </c>
      <c r="Y33" s="871">
        <f>+IFERROR(Y30/'Acquisition Summary'!$K$54*'Acquisition Summary'!$L$54,Y24-Y30)</f>
        <v>0</v>
      </c>
      <c r="Z33" s="871">
        <f>+IFERROR(Z30/'Acquisition Summary'!$K$54*'Acquisition Summary'!$L$54,Z24-Z30)</f>
        <v>0</v>
      </c>
      <c r="AA33" s="871">
        <f>+IFERROR(AA30/'Acquisition Summary'!$K$54*'Acquisition Summary'!$L$54,AA24-AA30)</f>
        <v>0</v>
      </c>
      <c r="AB33" s="871">
        <f>+IFERROR(AB30/'Acquisition Summary'!$K$54*'Acquisition Summary'!$L$54,AB24-AB30)</f>
        <v>0</v>
      </c>
      <c r="AC33" s="871">
        <f>+IFERROR(AC30/'Acquisition Summary'!$K$54*'Acquisition Summary'!$L$54,AC24-AC30)</f>
        <v>0</v>
      </c>
      <c r="AD33" s="871">
        <f>+IFERROR(AD30/'Acquisition Summary'!$K$54*'Acquisition Summary'!$L$54,AD24-AD30)</f>
        <v>0</v>
      </c>
      <c r="AE33" s="871">
        <f>+IFERROR(AE30/'Acquisition Summary'!$K$54*'Acquisition Summary'!$L$54,AE24-AE30)</f>
        <v>0</v>
      </c>
      <c r="AF33" s="871">
        <f>+IFERROR(AF30/'Acquisition Summary'!$K$54*'Acquisition Summary'!$L$54,AF24-AF30)</f>
        <v>0</v>
      </c>
      <c r="AG33" s="871">
        <f>+IFERROR(AG30/'Acquisition Summary'!$K$54*'Acquisition Summary'!$L$54,AG24-AG30)</f>
        <v>0</v>
      </c>
      <c r="AH33" s="871">
        <f>+IFERROR(AH30/'Acquisition Summary'!$K$54*'Acquisition Summary'!$L$54,AH24-AH30)</f>
        <v>0</v>
      </c>
      <c r="AI33" s="871">
        <f>+IFERROR(AI30/'Acquisition Summary'!$K$54*'Acquisition Summary'!$L$54,AI24-AI30)</f>
        <v>0</v>
      </c>
      <c r="AJ33" s="871">
        <f>+IFERROR(AJ30/'Acquisition Summary'!$K$54*'Acquisition Summary'!$L$54,AJ24-AJ30)</f>
        <v>0</v>
      </c>
      <c r="AK33" s="871">
        <f>+IFERROR(AK30/'Acquisition Summary'!$K$54*'Acquisition Summary'!$L$54,AK24-AK30)</f>
        <v>0</v>
      </c>
      <c r="AL33" s="871">
        <f>+IFERROR(AL30/'Acquisition Summary'!$K$54*'Acquisition Summary'!$L$54,AL24-AL30)</f>
        <v>0</v>
      </c>
      <c r="AM33" s="871">
        <f>+IFERROR(AM30/'Acquisition Summary'!$K$54*'Acquisition Summary'!$L$54,AM24-AM30)</f>
        <v>0</v>
      </c>
      <c r="AN33" s="871">
        <f>+IFERROR(AN30/'Acquisition Summary'!$K$54*'Acquisition Summary'!$L$54,AN24-AN30)</f>
        <v>0</v>
      </c>
      <c r="AO33" s="871">
        <f>+IFERROR(AO30/'Acquisition Summary'!$K$54*'Acquisition Summary'!$L$54,AO24-AO30)</f>
        <v>0</v>
      </c>
      <c r="AP33" s="871">
        <f>+IFERROR(AP30/'Acquisition Summary'!$K$54*'Acquisition Summary'!$L$54,AP24-AP30)</f>
        <v>0</v>
      </c>
      <c r="AQ33" s="871">
        <f>+IFERROR(AQ30/'Acquisition Summary'!$K$54*'Acquisition Summary'!$L$54,AQ24-AQ30)</f>
        <v>0</v>
      </c>
      <c r="AR33" s="871">
        <f>+IFERROR(AR30/'Acquisition Summary'!$K$54*'Acquisition Summary'!$L$54,AR24-AR30)</f>
        <v>0</v>
      </c>
      <c r="AS33" s="871">
        <f>+IFERROR(AS30/'Acquisition Summary'!$K$54*'Acquisition Summary'!$L$54,AS24-AS30)</f>
        <v>0</v>
      </c>
      <c r="AT33" s="871">
        <f>+IFERROR(AT30/'Acquisition Summary'!$K$54*'Acquisition Summary'!$L$54,AT24-AT30)</f>
        <v>0</v>
      </c>
      <c r="AU33" s="871">
        <f>+IFERROR(AU30/'Acquisition Summary'!$K$54*'Acquisition Summary'!$L$54,AU24-AU30)</f>
        <v>0</v>
      </c>
      <c r="AV33" s="871">
        <f>+IFERROR(AV30/'Acquisition Summary'!$K$54*'Acquisition Summary'!$L$54,AV24-AV30)</f>
        <v>0</v>
      </c>
      <c r="AW33" s="871">
        <f>+IFERROR(AW30/'Acquisition Summary'!$K$54*'Acquisition Summary'!$L$54,AW24-AW30)</f>
        <v>0</v>
      </c>
      <c r="AX33" s="871">
        <f>+IFERROR(AX30/'Acquisition Summary'!$K$54*'Acquisition Summary'!$L$54,AX24-AX30)</f>
        <v>0</v>
      </c>
      <c r="AY33" s="871">
        <f>+IFERROR(AY30/'Acquisition Summary'!$K$54*'Acquisition Summary'!$L$54,AY24-AY30)</f>
        <v>0</v>
      </c>
      <c r="AZ33" s="871">
        <f>+IFERROR(AZ30/'Acquisition Summary'!$K$54*'Acquisition Summary'!$L$54,AZ24-AZ30)</f>
        <v>0</v>
      </c>
      <c r="BB33" s="181" t="s">
        <v>391</v>
      </c>
      <c r="BD33" s="864" t="e">
        <f>+BD26</f>
        <v>#REF!</v>
      </c>
    </row>
    <row r="34" spans="2:56" ht="12.75" customHeight="1" x14ac:dyDescent="0.25">
      <c r="C34" s="843" t="s">
        <v>393</v>
      </c>
      <c r="E34" s="870"/>
      <c r="F34" s="871">
        <f t="shared" ref="F34:AZ34" ca="1" si="11">+F24-F30-F33</f>
        <v>0</v>
      </c>
      <c r="G34" s="871">
        <f t="shared" ca="1" si="11"/>
        <v>0</v>
      </c>
      <c r="H34" s="871">
        <f t="shared" ca="1" si="11"/>
        <v>0</v>
      </c>
      <c r="I34" s="871">
        <f t="shared" ca="1" si="11"/>
        <v>0</v>
      </c>
      <c r="J34" s="871">
        <f t="shared" ca="1" si="11"/>
        <v>0</v>
      </c>
      <c r="K34" s="871">
        <f t="shared" ca="1" si="11"/>
        <v>0</v>
      </c>
      <c r="L34" s="871">
        <f t="shared" ca="1" si="11"/>
        <v>0</v>
      </c>
      <c r="M34" s="871">
        <f t="shared" si="11"/>
        <v>0</v>
      </c>
      <c r="N34" s="871">
        <f t="shared" si="11"/>
        <v>0</v>
      </c>
      <c r="O34" s="871">
        <f t="shared" si="11"/>
        <v>0</v>
      </c>
      <c r="P34" s="871">
        <f t="shared" si="11"/>
        <v>0</v>
      </c>
      <c r="Q34" s="871">
        <f t="shared" si="11"/>
        <v>0</v>
      </c>
      <c r="R34" s="871">
        <f t="shared" si="11"/>
        <v>0</v>
      </c>
      <c r="S34" s="871">
        <f t="shared" si="11"/>
        <v>0</v>
      </c>
      <c r="T34" s="871">
        <f t="shared" si="11"/>
        <v>0</v>
      </c>
      <c r="U34" s="871">
        <f t="shared" si="11"/>
        <v>0</v>
      </c>
      <c r="V34" s="871">
        <f t="shared" si="11"/>
        <v>0</v>
      </c>
      <c r="W34" s="871">
        <f t="shared" si="11"/>
        <v>0</v>
      </c>
      <c r="X34" s="871">
        <f t="shared" si="11"/>
        <v>0</v>
      </c>
      <c r="Y34" s="871">
        <f t="shared" si="11"/>
        <v>0</v>
      </c>
      <c r="Z34" s="871">
        <f t="shared" si="11"/>
        <v>0</v>
      </c>
      <c r="AA34" s="871">
        <f t="shared" si="11"/>
        <v>0</v>
      </c>
      <c r="AB34" s="871">
        <f t="shared" si="11"/>
        <v>0</v>
      </c>
      <c r="AC34" s="871">
        <f t="shared" si="11"/>
        <v>0</v>
      </c>
      <c r="AD34" s="871">
        <f t="shared" si="11"/>
        <v>0</v>
      </c>
      <c r="AE34" s="871">
        <f t="shared" si="11"/>
        <v>0</v>
      </c>
      <c r="AF34" s="871">
        <f t="shared" si="11"/>
        <v>0</v>
      </c>
      <c r="AG34" s="871">
        <f t="shared" si="11"/>
        <v>0</v>
      </c>
      <c r="AH34" s="871">
        <f t="shared" si="11"/>
        <v>0</v>
      </c>
      <c r="AI34" s="871">
        <f t="shared" si="11"/>
        <v>0</v>
      </c>
      <c r="AJ34" s="871">
        <f t="shared" si="11"/>
        <v>0</v>
      </c>
      <c r="AK34" s="871">
        <f t="shared" si="11"/>
        <v>0</v>
      </c>
      <c r="AL34" s="871">
        <f t="shared" si="11"/>
        <v>0</v>
      </c>
      <c r="AM34" s="871">
        <f t="shared" si="11"/>
        <v>0</v>
      </c>
      <c r="AN34" s="871">
        <f t="shared" si="11"/>
        <v>0</v>
      </c>
      <c r="AO34" s="871">
        <f t="shared" si="11"/>
        <v>0</v>
      </c>
      <c r="AP34" s="871">
        <f t="shared" si="11"/>
        <v>0</v>
      </c>
      <c r="AQ34" s="871">
        <f t="shared" si="11"/>
        <v>0</v>
      </c>
      <c r="AR34" s="871">
        <f t="shared" si="11"/>
        <v>0</v>
      </c>
      <c r="AS34" s="871">
        <f t="shared" si="11"/>
        <v>0</v>
      </c>
      <c r="AT34" s="871">
        <f t="shared" si="11"/>
        <v>0</v>
      </c>
      <c r="AU34" s="871">
        <f t="shared" si="11"/>
        <v>0</v>
      </c>
      <c r="AV34" s="871">
        <f t="shared" si="11"/>
        <v>0</v>
      </c>
      <c r="AW34" s="871">
        <f t="shared" si="11"/>
        <v>0</v>
      </c>
      <c r="AX34" s="871">
        <f t="shared" si="11"/>
        <v>0</v>
      </c>
      <c r="AY34" s="871">
        <f t="shared" si="11"/>
        <v>0</v>
      </c>
      <c r="AZ34" s="871">
        <f t="shared" si="11"/>
        <v>0</v>
      </c>
      <c r="BB34" s="181" t="s">
        <v>395</v>
      </c>
      <c r="BD34" s="864" t="e">
        <v>#REF!</v>
      </c>
    </row>
    <row r="35" spans="2:56" ht="12.75" customHeight="1" outlineLevel="1" x14ac:dyDescent="0.3">
      <c r="B35" s="843" t="s">
        <v>382</v>
      </c>
      <c r="C35" s="178" t="s">
        <v>396</v>
      </c>
      <c r="D35" s="183" t="s">
        <v>390</v>
      </c>
      <c r="E35" s="872" t="s">
        <v>132</v>
      </c>
      <c r="F35" s="866"/>
      <c r="G35" s="850"/>
      <c r="H35" s="850"/>
      <c r="I35" s="850"/>
      <c r="J35" s="850"/>
      <c r="K35" s="850"/>
      <c r="L35" s="850"/>
      <c r="M35" s="850"/>
      <c r="N35" s="850"/>
      <c r="O35" s="850"/>
      <c r="P35" s="850"/>
      <c r="Q35" s="850"/>
      <c r="R35" s="850"/>
      <c r="S35" s="850"/>
      <c r="T35" s="850"/>
      <c r="U35" s="850"/>
      <c r="V35" s="850"/>
      <c r="W35" s="850"/>
      <c r="X35" s="850"/>
      <c r="Y35" s="850"/>
      <c r="Z35" s="850"/>
      <c r="AA35" s="850"/>
      <c r="AB35" s="850"/>
      <c r="AC35" s="850"/>
      <c r="AD35" s="850"/>
      <c r="AE35" s="850"/>
      <c r="AF35" s="850"/>
      <c r="AG35" s="850"/>
      <c r="AH35" s="850"/>
      <c r="AI35" s="850"/>
      <c r="AJ35" s="850"/>
      <c r="AK35" s="850"/>
      <c r="AL35" s="850"/>
      <c r="AM35" s="850"/>
      <c r="AN35" s="850"/>
      <c r="AO35" s="850"/>
      <c r="AP35" s="850"/>
      <c r="AQ35" s="850"/>
      <c r="AR35" s="850"/>
      <c r="AS35" s="850"/>
      <c r="AT35" s="850"/>
      <c r="AU35" s="850"/>
      <c r="AV35" s="850"/>
      <c r="AW35" s="850"/>
      <c r="AX35" s="850"/>
      <c r="AY35" s="850"/>
      <c r="AZ35" s="850"/>
    </row>
    <row r="36" spans="2:56" ht="12.75" customHeight="1" outlineLevel="1" x14ac:dyDescent="0.3">
      <c r="C36" s="178"/>
      <c r="D36" s="179"/>
      <c r="E36" s="865"/>
      <c r="F36" s="866"/>
      <c r="G36" s="850"/>
      <c r="H36" s="850"/>
      <c r="I36" s="850"/>
      <c r="J36" s="850"/>
      <c r="K36" s="850"/>
      <c r="L36" s="850"/>
      <c r="M36" s="850"/>
      <c r="N36" s="850"/>
      <c r="O36" s="850"/>
      <c r="P36" s="850"/>
      <c r="Q36" s="850"/>
      <c r="R36" s="850"/>
      <c r="S36" s="850"/>
      <c r="T36" s="850"/>
      <c r="U36" s="850"/>
      <c r="V36" s="850"/>
      <c r="W36" s="850"/>
      <c r="X36" s="850"/>
      <c r="Y36" s="850"/>
      <c r="Z36" s="850"/>
      <c r="AA36" s="850"/>
      <c r="AB36" s="850"/>
      <c r="AC36" s="850"/>
      <c r="AD36" s="850"/>
      <c r="AE36" s="850"/>
      <c r="AF36" s="850"/>
      <c r="AG36" s="850"/>
      <c r="AH36" s="850"/>
      <c r="AI36" s="850"/>
      <c r="AJ36" s="850"/>
      <c r="AK36" s="850"/>
      <c r="AL36" s="850"/>
      <c r="AM36" s="850"/>
      <c r="AN36" s="850"/>
      <c r="AO36" s="850"/>
      <c r="AP36" s="850"/>
      <c r="AQ36" s="850"/>
      <c r="AR36" s="850"/>
      <c r="AS36" s="850"/>
      <c r="AT36" s="850"/>
      <c r="AU36" s="850"/>
      <c r="AV36" s="850"/>
      <c r="AW36" s="850"/>
      <c r="AX36" s="850"/>
      <c r="AY36" s="850"/>
      <c r="AZ36" s="850"/>
      <c r="BB36" s="843" t="s">
        <v>392</v>
      </c>
      <c r="BD36" s="864" t="e">
        <v>#REF!</v>
      </c>
    </row>
    <row r="37" spans="2:56" ht="12.75" customHeight="1" outlineLevel="1" x14ac:dyDescent="0.3">
      <c r="C37" s="177" t="s">
        <v>383</v>
      </c>
      <c r="D37" s="180"/>
      <c r="E37" s="865"/>
      <c r="F37" s="850">
        <f ca="1">E39</f>
        <v>-48279.565332916682</v>
      </c>
      <c r="G37" s="850">
        <f t="shared" ref="G37:AZ37" ca="1" si="12">F42</f>
        <v>-50492.378744008696</v>
      </c>
      <c r="H37" s="850">
        <f t="shared" ca="1" si="12"/>
        <v>-52806.612769775762</v>
      </c>
      <c r="I37" s="850">
        <f t="shared" ca="1" si="12"/>
        <v>-55226.915855057152</v>
      </c>
      <c r="J37" s="850">
        <f t="shared" ca="1" si="12"/>
        <v>-57758.149498413935</v>
      </c>
      <c r="K37" s="850">
        <f t="shared" ca="1" si="12"/>
        <v>-60405.39801709124</v>
      </c>
      <c r="L37" s="850">
        <f t="shared" ca="1" si="12"/>
        <v>-63173.978759541256</v>
      </c>
      <c r="M37" s="850">
        <f t="shared" ca="1" si="12"/>
        <v>-13099.491727640481</v>
      </c>
      <c r="N37" s="850">
        <f t="shared" ca="1" si="12"/>
        <v>-13699.885098490669</v>
      </c>
      <c r="O37" s="850">
        <f t="shared" ca="1" si="12"/>
        <v>-14327.796498838159</v>
      </c>
      <c r="P37" s="850">
        <f t="shared" ca="1" si="12"/>
        <v>-14984.487171701574</v>
      </c>
      <c r="Q37" s="850">
        <f t="shared" ca="1" si="12"/>
        <v>-15671.27616707123</v>
      </c>
      <c r="R37" s="850">
        <f t="shared" ca="1" si="12"/>
        <v>-16389.542991395327</v>
      </c>
      <c r="S37" s="850">
        <f t="shared" ca="1" si="12"/>
        <v>-17140.730378500946</v>
      </c>
      <c r="T37" s="850">
        <f t="shared" ca="1" si="12"/>
        <v>-17926.347187515574</v>
      </c>
      <c r="U37" s="850">
        <f t="shared" ca="1" si="12"/>
        <v>-18747.971433610037</v>
      </c>
      <c r="V37" s="850">
        <f t="shared" ca="1" si="12"/>
        <v>-19607.253457650499</v>
      </c>
      <c r="W37" s="850">
        <f t="shared" ca="1" si="12"/>
        <v>-20505.919241126147</v>
      </c>
      <c r="X37" s="850">
        <f t="shared" ca="1" si="12"/>
        <v>-21445.773873011094</v>
      </c>
      <c r="Y37" s="850">
        <f t="shared" ca="1" si="12"/>
        <v>-22428.705175524105</v>
      </c>
      <c r="Z37" s="850">
        <f t="shared" ca="1" si="12"/>
        <v>-23456.68749606896</v>
      </c>
      <c r="AA37" s="850">
        <f t="shared" ca="1" si="12"/>
        <v>-24531.785672972121</v>
      </c>
      <c r="AB37" s="850">
        <f t="shared" ca="1" si="12"/>
        <v>-25656.159182983341</v>
      </c>
      <c r="AC37" s="850">
        <f t="shared" ca="1" si="12"/>
        <v>-26832.066478870078</v>
      </c>
      <c r="AD37" s="850">
        <f t="shared" ca="1" si="12"/>
        <v>-28061.869525818289</v>
      </c>
      <c r="AE37" s="850">
        <f t="shared" ca="1" si="12"/>
        <v>-29348.038545751628</v>
      </c>
      <c r="AF37" s="850">
        <f t="shared" ca="1" si="12"/>
        <v>-30693.156979098578</v>
      </c>
      <c r="AG37" s="850">
        <f t="shared" ca="1" si="12"/>
        <v>-32099.926673973929</v>
      </c>
      <c r="AH37" s="850">
        <f t="shared" ca="1" si="12"/>
        <v>-33571.173313197731</v>
      </c>
      <c r="AI37" s="850">
        <f t="shared" ca="1" si="12"/>
        <v>-35109.852090052627</v>
      </c>
      <c r="AJ37" s="850">
        <f t="shared" ca="1" si="12"/>
        <v>-36719.053644180036</v>
      </c>
      <c r="AK37" s="850">
        <f t="shared" ca="1" si="12"/>
        <v>-38402.010269538288</v>
      </c>
      <c r="AL37" s="850">
        <f t="shared" ca="1" si="12"/>
        <v>-40162.102406892125</v>
      </c>
      <c r="AM37" s="850">
        <f t="shared" ca="1" si="12"/>
        <v>-42002.865433874678</v>
      </c>
      <c r="AN37" s="850">
        <f t="shared" ca="1" si="12"/>
        <v>-43927.9967662606</v>
      </c>
      <c r="AO37" s="850">
        <f t="shared" ca="1" si="12"/>
        <v>-45941.363284714207</v>
      </c>
      <c r="AP37" s="850">
        <f t="shared" ca="1" si="12"/>
        <v>-48047.009101930278</v>
      </c>
      <c r="AQ37" s="850">
        <f t="shared" ca="1" si="12"/>
        <v>-50249.163685768748</v>
      </c>
      <c r="AR37" s="850">
        <f t="shared" ca="1" si="12"/>
        <v>-52552.25035469982</v>
      </c>
      <c r="AS37" s="850">
        <f t="shared" ca="1" si="12"/>
        <v>-54960.895162623565</v>
      </c>
      <c r="AT37" s="850">
        <f t="shared" ca="1" si="12"/>
        <v>-57479.936190910477</v>
      </c>
      <c r="AU37" s="850">
        <f t="shared" ca="1" si="12"/>
        <v>-60114.433266327207</v>
      </c>
      <c r="AV37" s="850">
        <f t="shared" ca="1" si="12"/>
        <v>-62869.678124367201</v>
      </c>
      <c r="AW37" s="850">
        <f t="shared" ca="1" si="12"/>
        <v>-65751.205038400702</v>
      </c>
      <c r="AX37" s="850">
        <f t="shared" ca="1" si="12"/>
        <v>-68764.801935994066</v>
      </c>
      <c r="AY37" s="850">
        <f t="shared" ca="1" si="12"/>
        <v>-71916.522024727135</v>
      </c>
      <c r="AZ37" s="850">
        <f t="shared" ca="1" si="12"/>
        <v>-75212.695950860463</v>
      </c>
      <c r="BB37" s="843" t="s">
        <v>397</v>
      </c>
      <c r="BD37" s="864" t="e">
        <f>+BD29-BD34-BD36</f>
        <v>#REF!</v>
      </c>
    </row>
    <row r="38" spans="2:56" ht="12.75" customHeight="1" outlineLevel="1" x14ac:dyDescent="0.25">
      <c r="C38" s="177" t="s">
        <v>384</v>
      </c>
      <c r="D38" s="177"/>
      <c r="E38" s="867"/>
      <c r="F38" s="850">
        <f ca="1">IF($E$35="YES",F37*100%,F37*'Acquisition Summary'!$J$55/12)</f>
        <v>-2212.813411092015</v>
      </c>
      <c r="G38" s="850">
        <f ca="1">IF($E$35="YES",G37*100%,G37*'Acquisition Summary'!$J$55/12)</f>
        <v>-2314.2340257670653</v>
      </c>
      <c r="H38" s="850">
        <f ca="1">IF($E$35="YES",H37*100%,H37*'Acquisition Summary'!$J$55/12)</f>
        <v>-2420.3030852813895</v>
      </c>
      <c r="I38" s="850">
        <f ca="1">IF($E$35="YES",I37*100%,I37*'Acquisition Summary'!$J$55/12)</f>
        <v>-2531.2336433567866</v>
      </c>
      <c r="J38" s="850">
        <f ca="1">IF($E$35="YES",J37*100%,J37*'Acquisition Summary'!$J$55/12)</f>
        <v>-2647.2485186773056</v>
      </c>
      <c r="K38" s="850">
        <f ca="1">IF($E$35="YES",K37*100%,K37*'Acquisition Summary'!$J$55/12)</f>
        <v>-2768.5807424500158</v>
      </c>
      <c r="L38" s="850">
        <f ca="1">IF($E$35="YES",L37*100%,L37*'Acquisition Summary'!$J$55/12)</f>
        <v>-2895.4740264789743</v>
      </c>
      <c r="M38" s="850">
        <f ca="1">IF($E$35="YES",M37*100%,M37*'Acquisition Summary'!$J$55/12)</f>
        <v>-600.39337085018872</v>
      </c>
      <c r="N38" s="850">
        <f ca="1">IF($E$35="YES",N37*100%,N37*'Acquisition Summary'!$J$55/12)</f>
        <v>-627.91140034748912</v>
      </c>
      <c r="O38" s="850">
        <f ca="1">IF($E$35="YES",O37*100%,O37*'Acquisition Summary'!$J$55/12)</f>
        <v>-656.69067286341567</v>
      </c>
      <c r="P38" s="850">
        <f ca="1">IF($E$35="YES",P37*100%,P37*'Acquisition Summary'!$J$55/12)</f>
        <v>-686.78899536965548</v>
      </c>
      <c r="Q38" s="850">
        <f ca="1">IF($E$35="YES",Q37*100%,Q37*'Acquisition Summary'!$J$55/12)</f>
        <v>-718.26682432409814</v>
      </c>
      <c r="R38" s="850">
        <f ca="1">IF($E$35="YES",R37*100%,R37*'Acquisition Summary'!$J$55/12)</f>
        <v>-751.18738710561922</v>
      </c>
      <c r="S38" s="850">
        <f ca="1">IF($E$35="YES",S37*100%,S37*'Acquisition Summary'!$J$55/12)</f>
        <v>-785.61680901462671</v>
      </c>
      <c r="T38" s="850">
        <f ca="1">IF($E$35="YES",T37*100%,T37*'Acquisition Summary'!$J$55/12)</f>
        <v>-821.62424609446396</v>
      </c>
      <c r="U38" s="850">
        <f ca="1">IF($E$35="YES",U37*100%,U37*'Acquisition Summary'!$J$55/12)</f>
        <v>-859.28202404045999</v>
      </c>
      <c r="V38" s="850">
        <f ca="1">IF($E$35="YES",V37*100%,V37*'Acquisition Summary'!$J$55/12)</f>
        <v>-898.66578347564791</v>
      </c>
      <c r="W38" s="850">
        <f ca="1">IF($E$35="YES",W37*100%,W37*'Acquisition Summary'!$J$55/12)</f>
        <v>-939.8546318849485</v>
      </c>
      <c r="X38" s="850">
        <f ca="1">IF($E$35="YES",X37*100%,X37*'Acquisition Summary'!$J$55/12)</f>
        <v>-982.93130251300863</v>
      </c>
      <c r="Y38" s="850">
        <f ca="1">IF($E$35="YES",Y37*100%,Y37*'Acquisition Summary'!$J$55/12)</f>
        <v>-1027.9823205448549</v>
      </c>
      <c r="Z38" s="850">
        <f ca="1">IF($E$35="YES",Z37*100%,Z37*'Acquisition Summary'!$J$55/12)</f>
        <v>-1075.0981769031607</v>
      </c>
      <c r="AA38" s="850">
        <f ca="1">IF($E$35="YES",AA37*100%,AA37*'Acquisition Summary'!$J$55/12)</f>
        <v>-1124.3735100112224</v>
      </c>
      <c r="AB38" s="850">
        <f ca="1">IF($E$35="YES",AB37*100%,AB37*'Acquisition Summary'!$J$55/12)</f>
        <v>-1175.9072958867366</v>
      </c>
      <c r="AC38" s="850">
        <f ca="1">IF($E$35="YES",AC37*100%,AC37*'Acquisition Summary'!$J$55/12)</f>
        <v>-1229.8030469482121</v>
      </c>
      <c r="AD38" s="850">
        <f ca="1">IF($E$35="YES",AD37*100%,AD37*'Acquisition Summary'!$J$55/12)</f>
        <v>-1286.1690199333384</v>
      </c>
      <c r="AE38" s="850">
        <f ca="1">IF($E$35="YES",AE37*100%,AE37*'Acquisition Summary'!$J$55/12)</f>
        <v>-1345.1184333469498</v>
      </c>
      <c r="AF38" s="850">
        <f ca="1">IF($E$35="YES",AF37*100%,AF37*'Acquisition Summary'!$J$55/12)</f>
        <v>-1406.7696948753517</v>
      </c>
      <c r="AG38" s="850">
        <f ca="1">IF($E$35="YES",AG37*100%,AG37*'Acquisition Summary'!$J$55/12)</f>
        <v>-1471.246639223805</v>
      </c>
      <c r="AH38" s="850">
        <f ca="1">IF($E$35="YES",AH37*100%,AH37*'Acquisition Summary'!$J$55/12)</f>
        <v>-1538.6787768548963</v>
      </c>
      <c r="AI38" s="850">
        <f ca="1">IF($E$35="YES",AI37*100%,AI37*'Acquisition Summary'!$J$55/12)</f>
        <v>-1609.2015541274122</v>
      </c>
      <c r="AJ38" s="850">
        <f ca="1">IF($E$35="YES",AJ37*100%,AJ37*'Acquisition Summary'!$J$55/12)</f>
        <v>-1682.9566253582518</v>
      </c>
      <c r="AK38" s="850">
        <f ca="1">IF($E$35="YES",AK37*100%,AK37*'Acquisition Summary'!$J$55/12)</f>
        <v>-1760.0921373538383</v>
      </c>
      <c r="AL38" s="850">
        <f ca="1">IF($E$35="YES",AL37*100%,AL37*'Acquisition Summary'!$J$55/12)</f>
        <v>-1840.7630269825559</v>
      </c>
      <c r="AM38" s="850">
        <f ca="1">IF($E$35="YES",AM37*100%,AM37*'Acquisition Summary'!$J$55/12)</f>
        <v>-1925.1313323859229</v>
      </c>
      <c r="AN38" s="850">
        <f ca="1">IF($E$35="YES",AN37*100%,AN37*'Acquisition Summary'!$J$55/12)</f>
        <v>-2013.366518453611</v>
      </c>
      <c r="AO38" s="850">
        <f ca="1">IF($E$35="YES",AO37*100%,AO37*'Acquisition Summary'!$J$55/12)</f>
        <v>-2105.6458172160678</v>
      </c>
      <c r="AP38" s="850">
        <f ca="1">IF($E$35="YES",AP37*100%,AP37*'Acquisition Summary'!$J$55/12)</f>
        <v>-2202.1545838384714</v>
      </c>
      <c r="AQ38" s="850">
        <f ca="1">IF($E$35="YES",AQ37*100%,AQ37*'Acquisition Summary'!$J$55/12)</f>
        <v>-2303.0866689310678</v>
      </c>
      <c r="AR38" s="850">
        <f ca="1">IF($E$35="YES",AR37*100%,AR37*'Acquisition Summary'!$J$55/12)</f>
        <v>-2408.6448079237421</v>
      </c>
      <c r="AS38" s="850">
        <f ca="1">IF($E$35="YES",AS37*100%,AS37*'Acquisition Summary'!$J$55/12)</f>
        <v>-2519.0410282869138</v>
      </c>
      <c r="AT38" s="850">
        <f ca="1">IF($E$35="YES",AT37*100%,AT37*'Acquisition Summary'!$J$55/12)</f>
        <v>-2634.4970754167302</v>
      </c>
      <c r="AU38" s="850">
        <f ca="1">IF($E$35="YES",AU37*100%,AU37*'Acquisition Summary'!$J$55/12)</f>
        <v>-2755.2448580399973</v>
      </c>
      <c r="AV38" s="850">
        <f ca="1">IF($E$35="YES",AV37*100%,AV37*'Acquisition Summary'!$J$55/12)</f>
        <v>-2881.5269140334967</v>
      </c>
      <c r="AW38" s="850">
        <f ca="1">IF($E$35="YES",AW37*100%,AW37*'Acquisition Summary'!$J$55/12)</f>
        <v>-3013.5968975933661</v>
      </c>
      <c r="AX38" s="850">
        <f ca="1">IF($E$35="YES",AX37*100%,AX37*'Acquisition Summary'!$J$55/12)</f>
        <v>-3151.7200887330619</v>
      </c>
      <c r="AY38" s="850">
        <f ca="1">IF($E$35="YES",AY37*100%,AY37*'Acquisition Summary'!$J$55/12)</f>
        <v>-3296.1739261333273</v>
      </c>
      <c r="AZ38" s="850">
        <f ca="1">IF($E$35="YES",AZ37*100%,AZ37*'Acquisition Summary'!$J$55/12)</f>
        <v>-3447.2485644144381</v>
      </c>
    </row>
    <row r="39" spans="2:56" ht="12.75" customHeight="1" outlineLevel="1" x14ac:dyDescent="0.3">
      <c r="C39" s="181" t="s">
        <v>385</v>
      </c>
      <c r="D39" s="181"/>
      <c r="E39" s="867">
        <f t="shared" ref="E39:AZ40" ca="1" si="13">+E29</f>
        <v>-48279.565332916682</v>
      </c>
      <c r="F39" s="850">
        <f t="shared" ca="1" si="13"/>
        <v>0</v>
      </c>
      <c r="G39" s="850">
        <f t="shared" ca="1" si="13"/>
        <v>0</v>
      </c>
      <c r="H39" s="850">
        <f t="shared" ca="1" si="13"/>
        <v>0</v>
      </c>
      <c r="I39" s="850">
        <f t="shared" ca="1" si="13"/>
        <v>0</v>
      </c>
      <c r="J39" s="850">
        <f t="shared" ca="1" si="13"/>
        <v>0</v>
      </c>
      <c r="K39" s="850">
        <f t="shared" ca="1" si="13"/>
        <v>0</v>
      </c>
      <c r="L39" s="850">
        <f t="shared" ca="1" si="13"/>
        <v>52969.961058379755</v>
      </c>
      <c r="M39" s="850">
        <f>+M29</f>
        <v>0</v>
      </c>
      <c r="N39" s="850">
        <f t="shared" si="13"/>
        <v>0</v>
      </c>
      <c r="O39" s="850">
        <f t="shared" si="13"/>
        <v>0</v>
      </c>
      <c r="P39" s="850">
        <f t="shared" si="13"/>
        <v>0</v>
      </c>
      <c r="Q39" s="850">
        <f t="shared" si="13"/>
        <v>0</v>
      </c>
      <c r="R39" s="850">
        <f t="shared" si="13"/>
        <v>0</v>
      </c>
      <c r="S39" s="850">
        <f t="shared" si="13"/>
        <v>0</v>
      </c>
      <c r="T39" s="850">
        <f t="shared" si="13"/>
        <v>0</v>
      </c>
      <c r="U39" s="850">
        <f t="shared" si="13"/>
        <v>0</v>
      </c>
      <c r="V39" s="850">
        <f t="shared" si="13"/>
        <v>0</v>
      </c>
      <c r="W39" s="850">
        <f t="shared" si="13"/>
        <v>0</v>
      </c>
      <c r="X39" s="850">
        <f t="shared" si="13"/>
        <v>0</v>
      </c>
      <c r="Y39" s="850">
        <f t="shared" si="13"/>
        <v>0</v>
      </c>
      <c r="Z39" s="850">
        <f t="shared" si="13"/>
        <v>0</v>
      </c>
      <c r="AA39" s="850">
        <f t="shared" si="13"/>
        <v>0</v>
      </c>
      <c r="AB39" s="850">
        <f t="shared" si="13"/>
        <v>0</v>
      </c>
      <c r="AC39" s="850">
        <f t="shared" si="13"/>
        <v>0</v>
      </c>
      <c r="AD39" s="850">
        <f t="shared" si="13"/>
        <v>0</v>
      </c>
      <c r="AE39" s="850">
        <f t="shared" si="13"/>
        <v>0</v>
      </c>
      <c r="AF39" s="850">
        <f t="shared" si="13"/>
        <v>0</v>
      </c>
      <c r="AG39" s="850">
        <f t="shared" si="13"/>
        <v>0</v>
      </c>
      <c r="AH39" s="850">
        <f t="shared" si="13"/>
        <v>0</v>
      </c>
      <c r="AI39" s="850">
        <f t="shared" si="13"/>
        <v>0</v>
      </c>
      <c r="AJ39" s="850">
        <f t="shared" si="13"/>
        <v>0</v>
      </c>
      <c r="AK39" s="850">
        <f t="shared" si="13"/>
        <v>0</v>
      </c>
      <c r="AL39" s="850">
        <f t="shared" si="13"/>
        <v>0</v>
      </c>
      <c r="AM39" s="850">
        <f t="shared" si="13"/>
        <v>0</v>
      </c>
      <c r="AN39" s="850">
        <f t="shared" si="13"/>
        <v>0</v>
      </c>
      <c r="AO39" s="850">
        <f t="shared" si="13"/>
        <v>0</v>
      </c>
      <c r="AP39" s="850">
        <f t="shared" si="13"/>
        <v>0</v>
      </c>
      <c r="AQ39" s="850">
        <f t="shared" si="13"/>
        <v>0</v>
      </c>
      <c r="AR39" s="850">
        <f t="shared" si="13"/>
        <v>0</v>
      </c>
      <c r="AS39" s="850">
        <f t="shared" si="13"/>
        <v>0</v>
      </c>
      <c r="AT39" s="850">
        <f t="shared" si="13"/>
        <v>0</v>
      </c>
      <c r="AU39" s="850">
        <f t="shared" si="13"/>
        <v>0</v>
      </c>
      <c r="AV39" s="850">
        <f t="shared" si="13"/>
        <v>0</v>
      </c>
      <c r="AW39" s="850">
        <f t="shared" si="13"/>
        <v>0</v>
      </c>
      <c r="AX39" s="850">
        <f t="shared" si="13"/>
        <v>0</v>
      </c>
      <c r="AY39" s="850">
        <f t="shared" si="13"/>
        <v>0</v>
      </c>
      <c r="AZ39" s="850">
        <f t="shared" si="13"/>
        <v>0</v>
      </c>
      <c r="BB39" s="178" t="s">
        <v>398</v>
      </c>
    </row>
    <row r="40" spans="2:56" ht="12.75" customHeight="1" outlineLevel="1" x14ac:dyDescent="0.25">
      <c r="C40" s="181" t="s">
        <v>391</v>
      </c>
      <c r="D40" s="181"/>
      <c r="E40" s="867"/>
      <c r="F40" s="850">
        <f t="shared" ca="1" si="13"/>
        <v>0</v>
      </c>
      <c r="G40" s="850">
        <f t="shared" ca="1" si="13"/>
        <v>0</v>
      </c>
      <c r="H40" s="850">
        <f t="shared" ca="1" si="13"/>
        <v>0</v>
      </c>
      <c r="I40" s="850">
        <f t="shared" ca="1" si="13"/>
        <v>0</v>
      </c>
      <c r="J40" s="850">
        <f t="shared" ca="1" si="13"/>
        <v>0</v>
      </c>
      <c r="K40" s="850">
        <f t="shared" ca="1" si="13"/>
        <v>0</v>
      </c>
      <c r="L40" s="850">
        <f t="shared" ca="1" si="13"/>
        <v>0</v>
      </c>
      <c r="M40" s="850">
        <f t="shared" si="13"/>
        <v>0</v>
      </c>
      <c r="N40" s="850">
        <f t="shared" si="13"/>
        <v>0</v>
      </c>
      <c r="O40" s="850">
        <f t="shared" si="13"/>
        <v>0</v>
      </c>
      <c r="P40" s="850">
        <f t="shared" si="13"/>
        <v>0</v>
      </c>
      <c r="Q40" s="850">
        <f t="shared" si="13"/>
        <v>0</v>
      </c>
      <c r="R40" s="850">
        <f t="shared" si="13"/>
        <v>0</v>
      </c>
      <c r="S40" s="850">
        <f t="shared" si="13"/>
        <v>0</v>
      </c>
      <c r="T40" s="850">
        <f t="shared" si="13"/>
        <v>0</v>
      </c>
      <c r="U40" s="850">
        <f t="shared" si="13"/>
        <v>0</v>
      </c>
      <c r="V40" s="850">
        <f t="shared" si="13"/>
        <v>0</v>
      </c>
      <c r="W40" s="850">
        <f t="shared" si="13"/>
        <v>0</v>
      </c>
      <c r="X40" s="850">
        <f t="shared" si="13"/>
        <v>0</v>
      </c>
      <c r="Y40" s="850">
        <f t="shared" si="13"/>
        <v>0</v>
      </c>
      <c r="Z40" s="850">
        <f t="shared" si="13"/>
        <v>0</v>
      </c>
      <c r="AA40" s="850">
        <f t="shared" si="13"/>
        <v>0</v>
      </c>
      <c r="AB40" s="850">
        <f t="shared" si="13"/>
        <v>0</v>
      </c>
      <c r="AC40" s="850">
        <f t="shared" si="13"/>
        <v>0</v>
      </c>
      <c r="AD40" s="850">
        <f t="shared" si="13"/>
        <v>0</v>
      </c>
      <c r="AE40" s="850">
        <f t="shared" si="13"/>
        <v>0</v>
      </c>
      <c r="AF40" s="850">
        <f t="shared" si="13"/>
        <v>0</v>
      </c>
      <c r="AG40" s="850">
        <f t="shared" si="13"/>
        <v>0</v>
      </c>
      <c r="AH40" s="850">
        <f t="shared" si="13"/>
        <v>0</v>
      </c>
      <c r="AI40" s="850">
        <f t="shared" si="13"/>
        <v>0</v>
      </c>
      <c r="AJ40" s="850">
        <f t="shared" si="13"/>
        <v>0</v>
      </c>
      <c r="AK40" s="850">
        <f t="shared" si="13"/>
        <v>0</v>
      </c>
      <c r="AL40" s="850">
        <f t="shared" si="13"/>
        <v>0</v>
      </c>
      <c r="AM40" s="850">
        <f t="shared" si="13"/>
        <v>0</v>
      </c>
      <c r="AN40" s="850">
        <f t="shared" si="13"/>
        <v>0</v>
      </c>
      <c r="AO40" s="850">
        <f t="shared" si="13"/>
        <v>0</v>
      </c>
      <c r="AP40" s="850">
        <f t="shared" si="13"/>
        <v>0</v>
      </c>
      <c r="AQ40" s="850">
        <f t="shared" si="13"/>
        <v>0</v>
      </c>
      <c r="AR40" s="850">
        <f t="shared" si="13"/>
        <v>0</v>
      </c>
      <c r="AS40" s="850">
        <f t="shared" si="13"/>
        <v>0</v>
      </c>
      <c r="AT40" s="850">
        <f t="shared" si="13"/>
        <v>0</v>
      </c>
      <c r="AU40" s="850">
        <f t="shared" si="13"/>
        <v>0</v>
      </c>
      <c r="AV40" s="850">
        <f t="shared" si="13"/>
        <v>0</v>
      </c>
      <c r="AW40" s="850">
        <f t="shared" si="13"/>
        <v>0</v>
      </c>
      <c r="AX40" s="850">
        <f t="shared" si="13"/>
        <v>0</v>
      </c>
      <c r="AY40" s="850">
        <f t="shared" si="13"/>
        <v>0</v>
      </c>
      <c r="AZ40" s="850">
        <f t="shared" si="13"/>
        <v>0</v>
      </c>
      <c r="BB40" s="177" t="s">
        <v>399</v>
      </c>
      <c r="BD40" s="864" t="e">
        <v>#REF!</v>
      </c>
    </row>
    <row r="41" spans="2:56" ht="12.75" customHeight="1" outlineLevel="1" x14ac:dyDescent="0.25">
      <c r="C41" s="181" t="s">
        <v>395</v>
      </c>
      <c r="D41" s="181"/>
      <c r="E41" s="867"/>
      <c r="F41" s="850">
        <f ca="1">+IF(F15&gt;0,MIN(F34*'Acquisition Summary'!$K$55,-SUM(F37:F40)/'Acquisition Summary'!$K$55,-SUM(F37:F40)),0)</f>
        <v>0</v>
      </c>
      <c r="G41" s="850">
        <f ca="1">+IF(G15&gt;0,MIN(G34*'Acquisition Summary'!$K$55,-SUM(G37:G40)/'Acquisition Summary'!$K$55,-SUM(G37:G40)),0)</f>
        <v>0</v>
      </c>
      <c r="H41" s="850">
        <f ca="1">+IF(H15&gt;0,MIN(H34*'Acquisition Summary'!$K$55,-SUM(H37:H40)/'Acquisition Summary'!$K$55,-SUM(H37:H40)),0)</f>
        <v>0</v>
      </c>
      <c r="I41" s="850">
        <f ca="1">+IF(I15&gt;0,MIN(I34*'Acquisition Summary'!$K$55,-SUM(I37:I40)/'Acquisition Summary'!$K$55,-SUM(I37:I40)),0)</f>
        <v>0</v>
      </c>
      <c r="J41" s="850">
        <f ca="1">+IF(J15&gt;0,MIN(J34*'Acquisition Summary'!$K$55,-SUM(J37:J40)/'Acquisition Summary'!$K$55,-SUM(J37:J40)),0)</f>
        <v>0</v>
      </c>
      <c r="K41" s="850">
        <f ca="1">+IF(K15&gt;0,MIN(K34*'Acquisition Summary'!$K$55,-SUM(K37:K40)/'Acquisition Summary'!$K$55,-SUM(K37:K40)),0)</f>
        <v>0</v>
      </c>
      <c r="L41" s="850">
        <f ca="1">+IF(L15&gt;0,MIN(L34*'Acquisition Summary'!$K$55,-SUM(L37:L40)/'Acquisition Summary'!$K$55,-SUM(L37:L40)),0)</f>
        <v>0</v>
      </c>
      <c r="M41" s="850">
        <f>+IF(M15&gt;0,MIN(M34*'Acquisition Summary'!$K$55,-SUM(M37:M40)/'Acquisition Summary'!$K$55,-SUM(M37:M40)),0)</f>
        <v>0</v>
      </c>
      <c r="N41" s="850">
        <f>+IF(N15&gt;0,MIN(N34*'Acquisition Summary'!$K$55,-SUM(N37:N40)/'Acquisition Summary'!$K$55,-SUM(N37:N40)),0)</f>
        <v>0</v>
      </c>
      <c r="O41" s="850">
        <f>+IF(O15&gt;0,MIN(O34*'Acquisition Summary'!$K$55,-SUM(O37:O40)/'Acquisition Summary'!$K$55,-SUM(O37:O40)),0)</f>
        <v>0</v>
      </c>
      <c r="P41" s="850">
        <f>+IF(P15&gt;0,MIN(P34*'Acquisition Summary'!$K$55,-SUM(P37:P40)/'Acquisition Summary'!$K$55,-SUM(P37:P40)),0)</f>
        <v>0</v>
      </c>
      <c r="Q41" s="850">
        <f>+IF(Q15&gt;0,MIN(Q34*'Acquisition Summary'!$K$55,-SUM(Q37:Q40)/'Acquisition Summary'!$K$55,-SUM(Q37:Q40)),0)</f>
        <v>0</v>
      </c>
      <c r="R41" s="850">
        <f>+IF(R15&gt;0,MIN(R34*'Acquisition Summary'!$K$55,-SUM(R37:R40)/'Acquisition Summary'!$K$55,-SUM(R37:R40)),0)</f>
        <v>0</v>
      </c>
      <c r="S41" s="850">
        <f>+IF(S15&gt;0,MIN(S34*'Acquisition Summary'!$K$55,-SUM(S37:S40)/'Acquisition Summary'!$K$55,-SUM(S37:S40)),0)</f>
        <v>0</v>
      </c>
      <c r="T41" s="850">
        <f>+IF(T15&gt;0,MIN(T34*'Acquisition Summary'!$K$55,-SUM(T37:T40)/'Acquisition Summary'!$K$55,-SUM(T37:T40)),0)</f>
        <v>0</v>
      </c>
      <c r="U41" s="850">
        <f>+IF(U15&gt;0,MIN(U34*'Acquisition Summary'!$K$55,-SUM(U37:U40)/'Acquisition Summary'!$K$55,-SUM(U37:U40)),0)</f>
        <v>0</v>
      </c>
      <c r="V41" s="850">
        <f>+IF(V15&gt;0,MIN(V34*'Acquisition Summary'!$K$55,-SUM(V37:V40)/'Acquisition Summary'!$K$55,-SUM(V37:V40)),0)</f>
        <v>0</v>
      </c>
      <c r="W41" s="850">
        <f>+IF(W15&gt;0,MIN(W34*'Acquisition Summary'!$K$55,-SUM(W37:W40)/'Acquisition Summary'!$K$55,-SUM(W37:W40)),0)</f>
        <v>0</v>
      </c>
      <c r="X41" s="850">
        <f>+IF(X15&gt;0,MIN(X34*'Acquisition Summary'!$K$55,-SUM(X37:X40)/'Acquisition Summary'!$K$55,-SUM(X37:X40)),0)</f>
        <v>0</v>
      </c>
      <c r="Y41" s="850">
        <f>+IF(Y15&gt;0,MIN(Y34*'Acquisition Summary'!$K$55,-SUM(Y37:Y40)/'Acquisition Summary'!$K$55,-SUM(Y37:Y40)),0)</f>
        <v>0</v>
      </c>
      <c r="Z41" s="850">
        <f>+IF(Z15&gt;0,MIN(Z34*'Acquisition Summary'!$K$55,-SUM(Z37:Z40)/'Acquisition Summary'!$K$55,-SUM(Z37:Z40)),0)</f>
        <v>0</v>
      </c>
      <c r="AA41" s="850">
        <f>+IF(AA15&gt;0,MIN(AA34*'Acquisition Summary'!$K$55,-SUM(AA37:AA40)/'Acquisition Summary'!$K$55,-SUM(AA37:AA40)),0)</f>
        <v>0</v>
      </c>
      <c r="AB41" s="850">
        <f>+IF(AB15&gt;0,MIN(AB34*'Acquisition Summary'!$K$55,-SUM(AB37:AB40)/'Acquisition Summary'!$K$55,-SUM(AB37:AB40)),0)</f>
        <v>0</v>
      </c>
      <c r="AC41" s="850">
        <f>+IF(AC15&gt;0,MIN(AC34*'Acquisition Summary'!$K$55,-SUM(AC37:AC40)/'Acquisition Summary'!$K$55,-SUM(AC37:AC40)),0)</f>
        <v>0</v>
      </c>
      <c r="AD41" s="850">
        <f>+IF(AD15&gt;0,MIN(AD34*'Acquisition Summary'!$K$55,-SUM(AD37:AD40)/'Acquisition Summary'!$K$55,-SUM(AD37:AD40)),0)</f>
        <v>0</v>
      </c>
      <c r="AE41" s="850">
        <f>+IF(AE15&gt;0,MIN(AE34*'Acquisition Summary'!$K$55,-SUM(AE37:AE40)/'Acquisition Summary'!$K$55,-SUM(AE37:AE40)),0)</f>
        <v>0</v>
      </c>
      <c r="AF41" s="850">
        <f>+IF(AF15&gt;0,MIN(AF34*'Acquisition Summary'!$K$55,-SUM(AF37:AF40)/'Acquisition Summary'!$K$55,-SUM(AF37:AF40)),0)</f>
        <v>0</v>
      </c>
      <c r="AG41" s="850">
        <f>+IF(AG15&gt;0,MIN(AG34*'Acquisition Summary'!$K$55,-SUM(AG37:AG40)/'Acquisition Summary'!$K$55,-SUM(AG37:AG40)),0)</f>
        <v>0</v>
      </c>
      <c r="AH41" s="850">
        <f>+IF(AH15&gt;0,MIN(AH34*'Acquisition Summary'!$K$55,-SUM(AH37:AH40)/'Acquisition Summary'!$K$55,-SUM(AH37:AH40)),0)</f>
        <v>0</v>
      </c>
      <c r="AI41" s="850">
        <f>+IF(AI15&gt;0,MIN(AI34*'Acquisition Summary'!$K$55,-SUM(AI37:AI40)/'Acquisition Summary'!$K$55,-SUM(AI37:AI40)),0)</f>
        <v>0</v>
      </c>
      <c r="AJ41" s="850">
        <f>+IF(AJ15&gt;0,MIN(AJ34*'Acquisition Summary'!$K$55,-SUM(AJ37:AJ40)/'Acquisition Summary'!$K$55,-SUM(AJ37:AJ40)),0)</f>
        <v>0</v>
      </c>
      <c r="AK41" s="850">
        <f>+IF(AK15&gt;0,MIN(AK34*'Acquisition Summary'!$K$55,-SUM(AK37:AK40)/'Acquisition Summary'!$K$55,-SUM(AK37:AK40)),0)</f>
        <v>0</v>
      </c>
      <c r="AL41" s="850">
        <f>+IF(AL15&gt;0,MIN(AL34*'Acquisition Summary'!$K$55,-SUM(AL37:AL40)/'Acquisition Summary'!$K$55,-SUM(AL37:AL40)),0)</f>
        <v>0</v>
      </c>
      <c r="AM41" s="850">
        <f>+IF(AM15&gt;0,MIN(AM34*'Acquisition Summary'!$K$55,-SUM(AM37:AM40)/'Acquisition Summary'!$K$55,-SUM(AM37:AM40)),0)</f>
        <v>0</v>
      </c>
      <c r="AN41" s="850">
        <f>+IF(AN15&gt;0,MIN(AN34*'Acquisition Summary'!$K$55,-SUM(AN37:AN40)/'Acquisition Summary'!$K$55,-SUM(AN37:AN40)),0)</f>
        <v>0</v>
      </c>
      <c r="AO41" s="850">
        <f>+IF(AO15&gt;0,MIN(AO34*'Acquisition Summary'!$K$55,-SUM(AO37:AO40)/'Acquisition Summary'!$K$55,-SUM(AO37:AO40)),0)</f>
        <v>0</v>
      </c>
      <c r="AP41" s="850">
        <f>+IF(AP15&gt;0,MIN(AP34*'Acquisition Summary'!$K$55,-SUM(AP37:AP40)/'Acquisition Summary'!$K$55,-SUM(AP37:AP40)),0)</f>
        <v>0</v>
      </c>
      <c r="AQ41" s="850">
        <f>+IF(AQ15&gt;0,MIN(AQ34*'Acquisition Summary'!$K$55,-SUM(AQ37:AQ40)/'Acquisition Summary'!$K$55,-SUM(AQ37:AQ40)),0)</f>
        <v>0</v>
      </c>
      <c r="AR41" s="850">
        <f>+IF(AR15&gt;0,MIN(AR34*'Acquisition Summary'!$K$55,-SUM(AR37:AR40)/'Acquisition Summary'!$K$55,-SUM(AR37:AR40)),0)</f>
        <v>0</v>
      </c>
      <c r="AS41" s="850">
        <f>+IF(AS15&gt;0,MIN(AS34*'Acquisition Summary'!$K$55,-SUM(AS37:AS40)/'Acquisition Summary'!$K$55,-SUM(AS37:AS40)),0)</f>
        <v>0</v>
      </c>
      <c r="AT41" s="850">
        <f>+IF(AT15&gt;0,MIN(AT34*'Acquisition Summary'!$K$55,-SUM(AT37:AT40)/'Acquisition Summary'!$K$55,-SUM(AT37:AT40)),0)</f>
        <v>0</v>
      </c>
      <c r="AU41" s="850">
        <f>+IF(AU15&gt;0,MIN(AU34*'Acquisition Summary'!$K$55,-SUM(AU37:AU40)/'Acquisition Summary'!$K$55,-SUM(AU37:AU40)),0)</f>
        <v>0</v>
      </c>
      <c r="AV41" s="850">
        <f>+IF(AV15&gt;0,MIN(AV34*'Acquisition Summary'!$K$55,-SUM(AV37:AV40)/'Acquisition Summary'!$K$55,-SUM(AV37:AV40)),0)</f>
        <v>0</v>
      </c>
      <c r="AW41" s="850">
        <f>+IF(AW15&gt;0,MIN(AW34*'Acquisition Summary'!$K$55,-SUM(AW37:AW40)/'Acquisition Summary'!$K$55,-SUM(AW37:AW40)),0)</f>
        <v>0</v>
      </c>
      <c r="AX41" s="850">
        <f>+IF(AX15&gt;0,MIN(AX34*'Acquisition Summary'!$K$55,-SUM(AX37:AX40)/'Acquisition Summary'!$K$55,-SUM(AX37:AX40)),0)</f>
        <v>0</v>
      </c>
      <c r="AY41" s="850">
        <f>+IF(AY15&gt;0,MIN(AY34*'Acquisition Summary'!$K$55,-SUM(AY37:AY40)/'Acquisition Summary'!$K$55,-SUM(AY37:AY40)),0)</f>
        <v>0</v>
      </c>
      <c r="AZ41" s="850">
        <f>+IF(AZ15&gt;0,MIN(AZ34*'Acquisition Summary'!$K$55,-SUM(AZ37:AZ40)/'Acquisition Summary'!$K$55,-SUM(AZ37:AZ40)),0)</f>
        <v>0</v>
      </c>
      <c r="BB41" s="177" t="s">
        <v>400</v>
      </c>
      <c r="BD41" s="864" t="e">
        <v>#REF!</v>
      </c>
    </row>
    <row r="42" spans="2:56" ht="12.75" customHeight="1" outlineLevel="1" x14ac:dyDescent="0.25">
      <c r="C42" s="182" t="s">
        <v>387</v>
      </c>
      <c r="D42" s="182"/>
      <c r="E42" s="868"/>
      <c r="F42" s="869">
        <f t="shared" ref="F42:AZ42" ca="1" si="14">SUM(F37:F41)</f>
        <v>-50492.378744008696</v>
      </c>
      <c r="G42" s="869">
        <f t="shared" ca="1" si="14"/>
        <v>-52806.612769775762</v>
      </c>
      <c r="H42" s="869">
        <f t="shared" ca="1" si="14"/>
        <v>-55226.915855057152</v>
      </c>
      <c r="I42" s="869">
        <f t="shared" ca="1" si="14"/>
        <v>-57758.149498413935</v>
      </c>
      <c r="J42" s="869">
        <f t="shared" ca="1" si="14"/>
        <v>-60405.39801709124</v>
      </c>
      <c r="K42" s="869">
        <f t="shared" ca="1" si="14"/>
        <v>-63173.978759541256</v>
      </c>
      <c r="L42" s="869">
        <f t="shared" ca="1" si="14"/>
        <v>-13099.491727640481</v>
      </c>
      <c r="M42" s="869">
        <f t="shared" ca="1" si="14"/>
        <v>-13699.885098490669</v>
      </c>
      <c r="N42" s="869">
        <f t="shared" ca="1" si="14"/>
        <v>-14327.796498838159</v>
      </c>
      <c r="O42" s="869">
        <f t="shared" ca="1" si="14"/>
        <v>-14984.487171701574</v>
      </c>
      <c r="P42" s="869">
        <f t="shared" ca="1" si="14"/>
        <v>-15671.27616707123</v>
      </c>
      <c r="Q42" s="869">
        <f t="shared" ca="1" si="14"/>
        <v>-16389.542991395327</v>
      </c>
      <c r="R42" s="869">
        <f t="shared" ca="1" si="14"/>
        <v>-17140.730378500946</v>
      </c>
      <c r="S42" s="869">
        <f t="shared" ca="1" si="14"/>
        <v>-17926.347187515574</v>
      </c>
      <c r="T42" s="869">
        <f t="shared" ca="1" si="14"/>
        <v>-18747.971433610037</v>
      </c>
      <c r="U42" s="869">
        <f t="shared" ca="1" si="14"/>
        <v>-19607.253457650499</v>
      </c>
      <c r="V42" s="869">
        <f t="shared" ca="1" si="14"/>
        <v>-20505.919241126147</v>
      </c>
      <c r="W42" s="869">
        <f t="shared" ca="1" si="14"/>
        <v>-21445.773873011094</v>
      </c>
      <c r="X42" s="869">
        <f t="shared" ca="1" si="14"/>
        <v>-22428.705175524105</v>
      </c>
      <c r="Y42" s="869">
        <f t="shared" ca="1" si="14"/>
        <v>-23456.68749606896</v>
      </c>
      <c r="Z42" s="869">
        <f t="shared" ca="1" si="14"/>
        <v>-24531.785672972121</v>
      </c>
      <c r="AA42" s="869">
        <f t="shared" ca="1" si="14"/>
        <v>-25656.159182983341</v>
      </c>
      <c r="AB42" s="869">
        <f t="shared" ca="1" si="14"/>
        <v>-26832.066478870078</v>
      </c>
      <c r="AC42" s="869">
        <f t="shared" ca="1" si="14"/>
        <v>-28061.869525818289</v>
      </c>
      <c r="AD42" s="869">
        <f t="shared" ca="1" si="14"/>
        <v>-29348.038545751628</v>
      </c>
      <c r="AE42" s="869">
        <f t="shared" ca="1" si="14"/>
        <v>-30693.156979098578</v>
      </c>
      <c r="AF42" s="869">
        <f t="shared" ca="1" si="14"/>
        <v>-32099.926673973929</v>
      </c>
      <c r="AG42" s="869">
        <f t="shared" ca="1" si="14"/>
        <v>-33571.173313197731</v>
      </c>
      <c r="AH42" s="869">
        <f t="shared" ca="1" si="14"/>
        <v>-35109.852090052627</v>
      </c>
      <c r="AI42" s="869">
        <f t="shared" ca="1" si="14"/>
        <v>-36719.053644180036</v>
      </c>
      <c r="AJ42" s="869">
        <f t="shared" ca="1" si="14"/>
        <v>-38402.010269538288</v>
      </c>
      <c r="AK42" s="869">
        <f t="shared" ca="1" si="14"/>
        <v>-40162.102406892125</v>
      </c>
      <c r="AL42" s="869">
        <f t="shared" ca="1" si="14"/>
        <v>-42002.865433874678</v>
      </c>
      <c r="AM42" s="869">
        <f t="shared" ca="1" si="14"/>
        <v>-43927.9967662606</v>
      </c>
      <c r="AN42" s="869">
        <f t="shared" ca="1" si="14"/>
        <v>-45941.363284714207</v>
      </c>
      <c r="AO42" s="869">
        <f t="shared" ca="1" si="14"/>
        <v>-48047.009101930278</v>
      </c>
      <c r="AP42" s="869">
        <f t="shared" ca="1" si="14"/>
        <v>-50249.163685768748</v>
      </c>
      <c r="AQ42" s="869">
        <f t="shared" ca="1" si="14"/>
        <v>-52552.25035469982</v>
      </c>
      <c r="AR42" s="869">
        <f t="shared" ca="1" si="14"/>
        <v>-54960.895162623565</v>
      </c>
      <c r="AS42" s="869">
        <f t="shared" ca="1" si="14"/>
        <v>-57479.936190910477</v>
      </c>
      <c r="AT42" s="869">
        <f t="shared" ca="1" si="14"/>
        <v>-60114.433266327207</v>
      </c>
      <c r="AU42" s="869">
        <f t="shared" ca="1" si="14"/>
        <v>-62869.678124367201</v>
      </c>
      <c r="AV42" s="869">
        <f t="shared" ca="1" si="14"/>
        <v>-65751.205038400702</v>
      </c>
      <c r="AW42" s="869">
        <f t="shared" ca="1" si="14"/>
        <v>-68764.801935994066</v>
      </c>
      <c r="AX42" s="869">
        <f t="shared" ca="1" si="14"/>
        <v>-71916.522024727135</v>
      </c>
      <c r="AY42" s="869">
        <f t="shared" ca="1" si="14"/>
        <v>-75212.695950860463</v>
      </c>
      <c r="AZ42" s="869">
        <f t="shared" ca="1" si="14"/>
        <v>-78659.944515274896</v>
      </c>
    </row>
    <row r="43" spans="2:56" ht="12.75" customHeight="1" outlineLevel="1" x14ac:dyDescent="0.25">
      <c r="C43" s="177"/>
      <c r="D43" s="177"/>
      <c r="E43" s="867"/>
      <c r="F43" s="850"/>
      <c r="G43" s="850"/>
      <c r="H43" s="850"/>
      <c r="I43" s="850"/>
      <c r="J43" s="850"/>
      <c r="K43" s="850"/>
      <c r="L43" s="850"/>
      <c r="M43" s="850"/>
      <c r="N43" s="850"/>
      <c r="O43" s="850"/>
      <c r="P43" s="850"/>
      <c r="Q43" s="850"/>
      <c r="R43" s="850"/>
      <c r="S43" s="850"/>
      <c r="T43" s="850"/>
      <c r="U43" s="850"/>
      <c r="V43" s="850"/>
      <c r="W43" s="850"/>
      <c r="X43" s="850"/>
      <c r="Y43" s="850"/>
      <c r="Z43" s="850"/>
      <c r="AA43" s="850"/>
      <c r="AB43" s="850"/>
      <c r="AC43" s="850"/>
      <c r="AD43" s="850"/>
      <c r="AE43" s="850"/>
      <c r="AF43" s="850"/>
      <c r="AG43" s="850"/>
      <c r="AH43" s="850"/>
      <c r="AI43" s="850"/>
      <c r="AJ43" s="850"/>
      <c r="AK43" s="850"/>
      <c r="AL43" s="850"/>
      <c r="AM43" s="850"/>
      <c r="AN43" s="850"/>
      <c r="AO43" s="850"/>
      <c r="AP43" s="850"/>
      <c r="AQ43" s="850"/>
      <c r="AR43" s="850"/>
      <c r="AS43" s="850"/>
      <c r="AT43" s="850"/>
      <c r="AU43" s="850"/>
      <c r="AV43" s="850"/>
      <c r="AW43" s="850"/>
      <c r="AX43" s="850"/>
      <c r="AY43" s="850"/>
      <c r="AZ43" s="850"/>
      <c r="BB43" s="843" t="s">
        <v>401</v>
      </c>
      <c r="BD43" s="864" t="e">
        <v>#N/A</v>
      </c>
    </row>
    <row r="44" spans="2:56" ht="12.75" customHeight="1" x14ac:dyDescent="0.25">
      <c r="C44" s="843" t="s">
        <v>394</v>
      </c>
      <c r="E44" s="870"/>
      <c r="F44" s="871">
        <f ca="1">+F41/'Acquisition Summary'!$K$55*'Acquisition Summary'!$L$55</f>
        <v>0</v>
      </c>
      <c r="G44" s="871">
        <v>0</v>
      </c>
      <c r="H44" s="871">
        <v>0</v>
      </c>
      <c r="I44" s="871">
        <v>0</v>
      </c>
      <c r="J44" s="871">
        <v>0</v>
      </c>
      <c r="K44" s="871">
        <v>0</v>
      </c>
      <c r="L44" s="871">
        <v>0</v>
      </c>
      <c r="M44" s="871">
        <v>0</v>
      </c>
      <c r="N44" s="871">
        <v>0</v>
      </c>
      <c r="O44" s="871">
        <v>0</v>
      </c>
      <c r="P44" s="871">
        <v>0</v>
      </c>
      <c r="Q44" s="871">
        <v>0</v>
      </c>
      <c r="R44" s="871">
        <v>0</v>
      </c>
      <c r="S44" s="871">
        <v>0</v>
      </c>
      <c r="T44" s="871">
        <v>0</v>
      </c>
      <c r="U44" s="871">
        <v>0</v>
      </c>
      <c r="V44" s="871">
        <v>0</v>
      </c>
      <c r="W44" s="871">
        <v>0</v>
      </c>
      <c r="X44" s="871">
        <v>0</v>
      </c>
      <c r="Y44" s="871">
        <v>0</v>
      </c>
      <c r="Z44" s="871">
        <v>0</v>
      </c>
      <c r="AA44" s="871">
        <v>0</v>
      </c>
      <c r="AB44" s="871">
        <v>0</v>
      </c>
      <c r="AC44" s="871">
        <v>0</v>
      </c>
      <c r="AD44" s="871">
        <v>0</v>
      </c>
      <c r="AE44" s="871">
        <v>0</v>
      </c>
      <c r="AF44" s="871">
        <v>0</v>
      </c>
      <c r="AG44" s="871">
        <v>0</v>
      </c>
      <c r="AH44" s="871">
        <v>0</v>
      </c>
      <c r="AI44" s="871">
        <v>0</v>
      </c>
      <c r="AJ44" s="871">
        <v>0</v>
      </c>
      <c r="AK44" s="871">
        <v>0</v>
      </c>
      <c r="AL44" s="871">
        <v>0</v>
      </c>
      <c r="AM44" s="871">
        <v>0</v>
      </c>
      <c r="AN44" s="871">
        <v>0</v>
      </c>
      <c r="AO44" s="871">
        <v>0</v>
      </c>
      <c r="AP44" s="871">
        <v>0</v>
      </c>
      <c r="AQ44" s="871">
        <v>0</v>
      </c>
      <c r="AR44" s="871">
        <v>0</v>
      </c>
      <c r="AS44" s="871">
        <v>0</v>
      </c>
      <c r="AT44" s="871">
        <v>0</v>
      </c>
      <c r="AU44" s="871">
        <v>0</v>
      </c>
      <c r="AV44" s="871">
        <v>0</v>
      </c>
      <c r="AW44" s="871">
        <v>0</v>
      </c>
      <c r="AX44" s="871">
        <v>0</v>
      </c>
      <c r="AY44" s="871">
        <v>0</v>
      </c>
      <c r="AZ44" s="871">
        <v>0</v>
      </c>
      <c r="BB44" s="843" t="s">
        <v>402</v>
      </c>
      <c r="BD44" s="864" t="e">
        <v>#N/A</v>
      </c>
    </row>
    <row r="45" spans="2:56" ht="12.75" customHeight="1" x14ac:dyDescent="0.25">
      <c r="C45" s="843" t="s">
        <v>397</v>
      </c>
      <c r="E45" s="870"/>
      <c r="F45" s="871">
        <f t="shared" ref="F45:AZ45" ca="1" si="15">+F34-F41-F44</f>
        <v>0</v>
      </c>
      <c r="G45" s="871">
        <f t="shared" ca="1" si="15"/>
        <v>0</v>
      </c>
      <c r="H45" s="871">
        <f t="shared" ca="1" si="15"/>
        <v>0</v>
      </c>
      <c r="I45" s="871">
        <f t="shared" ca="1" si="15"/>
        <v>0</v>
      </c>
      <c r="J45" s="871">
        <f t="shared" ca="1" si="15"/>
        <v>0</v>
      </c>
      <c r="K45" s="871">
        <f t="shared" ca="1" si="15"/>
        <v>0</v>
      </c>
      <c r="L45" s="871">
        <f t="shared" ca="1" si="15"/>
        <v>0</v>
      </c>
      <c r="M45" s="871">
        <f t="shared" si="15"/>
        <v>0</v>
      </c>
      <c r="N45" s="871">
        <f t="shared" si="15"/>
        <v>0</v>
      </c>
      <c r="O45" s="871">
        <f t="shared" si="15"/>
        <v>0</v>
      </c>
      <c r="P45" s="871">
        <f t="shared" si="15"/>
        <v>0</v>
      </c>
      <c r="Q45" s="871">
        <f t="shared" si="15"/>
        <v>0</v>
      </c>
      <c r="R45" s="871">
        <f t="shared" si="15"/>
        <v>0</v>
      </c>
      <c r="S45" s="871">
        <f t="shared" si="15"/>
        <v>0</v>
      </c>
      <c r="T45" s="871">
        <f t="shared" si="15"/>
        <v>0</v>
      </c>
      <c r="U45" s="871">
        <f t="shared" si="15"/>
        <v>0</v>
      </c>
      <c r="V45" s="871">
        <f t="shared" si="15"/>
        <v>0</v>
      </c>
      <c r="W45" s="871">
        <f t="shared" si="15"/>
        <v>0</v>
      </c>
      <c r="X45" s="871">
        <f t="shared" si="15"/>
        <v>0</v>
      </c>
      <c r="Y45" s="871">
        <f t="shared" si="15"/>
        <v>0</v>
      </c>
      <c r="Z45" s="871">
        <f t="shared" si="15"/>
        <v>0</v>
      </c>
      <c r="AA45" s="871">
        <f t="shared" si="15"/>
        <v>0</v>
      </c>
      <c r="AB45" s="871">
        <f t="shared" si="15"/>
        <v>0</v>
      </c>
      <c r="AC45" s="871">
        <f t="shared" si="15"/>
        <v>0</v>
      </c>
      <c r="AD45" s="871">
        <f t="shared" si="15"/>
        <v>0</v>
      </c>
      <c r="AE45" s="871">
        <f t="shared" si="15"/>
        <v>0</v>
      </c>
      <c r="AF45" s="871">
        <f t="shared" si="15"/>
        <v>0</v>
      </c>
      <c r="AG45" s="871">
        <f t="shared" si="15"/>
        <v>0</v>
      </c>
      <c r="AH45" s="871">
        <f t="shared" si="15"/>
        <v>0</v>
      </c>
      <c r="AI45" s="871">
        <f t="shared" si="15"/>
        <v>0</v>
      </c>
      <c r="AJ45" s="871">
        <f t="shared" si="15"/>
        <v>0</v>
      </c>
      <c r="AK45" s="871">
        <f t="shared" si="15"/>
        <v>0</v>
      </c>
      <c r="AL45" s="871">
        <f t="shared" si="15"/>
        <v>0</v>
      </c>
      <c r="AM45" s="871">
        <f t="shared" si="15"/>
        <v>0</v>
      </c>
      <c r="AN45" s="871">
        <f t="shared" si="15"/>
        <v>0</v>
      </c>
      <c r="AO45" s="871">
        <f t="shared" si="15"/>
        <v>0</v>
      </c>
      <c r="AP45" s="871">
        <f t="shared" si="15"/>
        <v>0</v>
      </c>
      <c r="AQ45" s="871">
        <f t="shared" si="15"/>
        <v>0</v>
      </c>
      <c r="AR45" s="871">
        <f t="shared" si="15"/>
        <v>0</v>
      </c>
      <c r="AS45" s="871">
        <f t="shared" si="15"/>
        <v>0</v>
      </c>
      <c r="AT45" s="871">
        <f t="shared" si="15"/>
        <v>0</v>
      </c>
      <c r="AU45" s="871">
        <f t="shared" si="15"/>
        <v>0</v>
      </c>
      <c r="AV45" s="871">
        <f t="shared" si="15"/>
        <v>0</v>
      </c>
      <c r="AW45" s="871">
        <f t="shared" si="15"/>
        <v>0</v>
      </c>
      <c r="AX45" s="871">
        <f t="shared" si="15"/>
        <v>0</v>
      </c>
      <c r="AY45" s="871">
        <f t="shared" si="15"/>
        <v>0</v>
      </c>
      <c r="AZ45" s="871">
        <f t="shared" si="15"/>
        <v>0</v>
      </c>
      <c r="BB45" s="843" t="s">
        <v>403</v>
      </c>
      <c r="BD45" s="864" t="e">
        <f>+SUM(BD28,BD36,BD41)</f>
        <v>#REF!</v>
      </c>
    </row>
    <row r="46" spans="2:56" ht="12.75" customHeight="1" outlineLevel="1" x14ac:dyDescent="0.3">
      <c r="B46" s="843" t="s">
        <v>382</v>
      </c>
      <c r="C46" s="178" t="s">
        <v>398</v>
      </c>
      <c r="D46" s="183"/>
      <c r="E46" s="872"/>
      <c r="F46" s="866"/>
      <c r="G46" s="850"/>
      <c r="H46" s="850"/>
      <c r="I46" s="850"/>
      <c r="J46" s="850"/>
      <c r="K46" s="850"/>
      <c r="L46" s="850"/>
      <c r="M46" s="850"/>
      <c r="N46" s="850"/>
      <c r="O46" s="850"/>
      <c r="P46" s="850"/>
      <c r="Q46" s="850"/>
      <c r="R46" s="850"/>
      <c r="S46" s="850"/>
      <c r="T46" s="850"/>
      <c r="U46" s="850"/>
      <c r="V46" s="850"/>
      <c r="W46" s="850"/>
      <c r="X46" s="850"/>
      <c r="Y46" s="850"/>
      <c r="Z46" s="850"/>
      <c r="AA46" s="850"/>
      <c r="AB46" s="850"/>
      <c r="AC46" s="850"/>
      <c r="AD46" s="850"/>
      <c r="AE46" s="850"/>
      <c r="AF46" s="850"/>
      <c r="AG46" s="850"/>
      <c r="AH46" s="850"/>
      <c r="AI46" s="850"/>
      <c r="AJ46" s="850"/>
      <c r="AK46" s="850"/>
      <c r="AL46" s="850"/>
      <c r="AM46" s="850"/>
      <c r="AN46" s="850"/>
      <c r="AO46" s="850"/>
      <c r="AP46" s="850"/>
      <c r="AQ46" s="850"/>
      <c r="AR46" s="850"/>
      <c r="AS46" s="850"/>
      <c r="AT46" s="850"/>
      <c r="AU46" s="850"/>
      <c r="AV46" s="850"/>
      <c r="AW46" s="850"/>
      <c r="AX46" s="850"/>
      <c r="AY46" s="850"/>
      <c r="AZ46" s="850"/>
    </row>
    <row r="47" spans="2:56" ht="12.75" customHeight="1" outlineLevel="1" x14ac:dyDescent="0.3">
      <c r="C47" s="178"/>
      <c r="D47" s="179"/>
      <c r="E47" s="865"/>
      <c r="F47" s="866"/>
      <c r="G47" s="850"/>
      <c r="H47" s="850"/>
      <c r="I47" s="850"/>
      <c r="J47" s="850"/>
      <c r="K47" s="850"/>
      <c r="L47" s="850"/>
      <c r="M47" s="850"/>
      <c r="N47" s="850"/>
      <c r="O47" s="850"/>
      <c r="P47" s="850"/>
      <c r="Q47" s="850"/>
      <c r="R47" s="850"/>
      <c r="S47" s="850"/>
      <c r="T47" s="850"/>
      <c r="U47" s="850"/>
      <c r="V47" s="850"/>
      <c r="W47" s="850"/>
      <c r="X47" s="850"/>
      <c r="Y47" s="850"/>
      <c r="Z47" s="850"/>
      <c r="AA47" s="850"/>
      <c r="AB47" s="850"/>
      <c r="AC47" s="850"/>
      <c r="AD47" s="850"/>
      <c r="AE47" s="850"/>
      <c r="AF47" s="850"/>
      <c r="AG47" s="850"/>
      <c r="AH47" s="850"/>
      <c r="AI47" s="850"/>
      <c r="AJ47" s="850"/>
      <c r="AK47" s="850"/>
      <c r="AL47" s="850"/>
      <c r="AM47" s="850"/>
      <c r="AN47" s="850"/>
      <c r="AO47" s="850"/>
      <c r="AP47" s="850"/>
      <c r="AQ47" s="850"/>
      <c r="AR47" s="850"/>
      <c r="AS47" s="850"/>
      <c r="AT47" s="850"/>
      <c r="AU47" s="850"/>
      <c r="AV47" s="850"/>
      <c r="AW47" s="850"/>
      <c r="AX47" s="850"/>
      <c r="AY47" s="850"/>
      <c r="AZ47" s="850"/>
    </row>
    <row r="48" spans="2:56" ht="12.75" customHeight="1" outlineLevel="1" x14ac:dyDescent="0.3">
      <c r="C48" s="177" t="s">
        <v>399</v>
      </c>
      <c r="D48" s="180"/>
      <c r="E48" s="865"/>
      <c r="F48" s="850">
        <f ca="1">+F45*'Acquisition Summary'!$K$56</f>
        <v>0</v>
      </c>
      <c r="G48" s="850">
        <f ca="1">+G45*'Acquisition Summary'!$K$56</f>
        <v>0</v>
      </c>
      <c r="H48" s="850">
        <f ca="1">+H45*'Acquisition Summary'!$K$56</f>
        <v>0</v>
      </c>
      <c r="I48" s="850">
        <f ca="1">+I45*'Acquisition Summary'!$K$56</f>
        <v>0</v>
      </c>
      <c r="J48" s="850">
        <f ca="1">+J45*'Acquisition Summary'!$K$56</f>
        <v>0</v>
      </c>
      <c r="K48" s="850">
        <f ca="1">+K45*'Acquisition Summary'!$K$56</f>
        <v>0</v>
      </c>
      <c r="L48" s="850">
        <f ca="1">+L45*'Acquisition Summary'!$K$56</f>
        <v>0</v>
      </c>
      <c r="M48" s="850">
        <f>+M45*'Acquisition Summary'!$K$56</f>
        <v>0</v>
      </c>
      <c r="N48" s="850">
        <f>+N45*'Acquisition Summary'!$K$56</f>
        <v>0</v>
      </c>
      <c r="O48" s="850">
        <f>+O45*'Acquisition Summary'!$K$56</f>
        <v>0</v>
      </c>
      <c r="P48" s="850">
        <f>+P45*'Acquisition Summary'!$K$56</f>
        <v>0</v>
      </c>
      <c r="Q48" s="850">
        <f>+Q45*'Acquisition Summary'!$K$56</f>
        <v>0</v>
      </c>
      <c r="R48" s="850">
        <f>+R45*'Acquisition Summary'!$K$56</f>
        <v>0</v>
      </c>
      <c r="S48" s="850">
        <f>+S45*'Acquisition Summary'!$K$56</f>
        <v>0</v>
      </c>
      <c r="T48" s="850">
        <f>+T45*'Acquisition Summary'!$K$56</f>
        <v>0</v>
      </c>
      <c r="U48" s="850">
        <f>+U45*'Acquisition Summary'!$K$56</f>
        <v>0</v>
      </c>
      <c r="V48" s="850">
        <f>+V45*'Acquisition Summary'!$K$56</f>
        <v>0</v>
      </c>
      <c r="W48" s="850">
        <f>+W45*'Acquisition Summary'!$K$56</f>
        <v>0</v>
      </c>
      <c r="X48" s="850">
        <f>+X45*'Acquisition Summary'!$K$56</f>
        <v>0</v>
      </c>
      <c r="Y48" s="850">
        <f>+Y45*'Acquisition Summary'!$K$56</f>
        <v>0</v>
      </c>
      <c r="Z48" s="850">
        <f>+Z45*'Acquisition Summary'!$K$56</f>
        <v>0</v>
      </c>
      <c r="AA48" s="850">
        <f>+AA45*'Acquisition Summary'!$K$56</f>
        <v>0</v>
      </c>
      <c r="AB48" s="850">
        <f>+AB45*'Acquisition Summary'!$K$56</f>
        <v>0</v>
      </c>
      <c r="AC48" s="850">
        <f>+AC45*'Acquisition Summary'!$K$56</f>
        <v>0</v>
      </c>
      <c r="AD48" s="850">
        <f>+AD45*'Acquisition Summary'!$K$56</f>
        <v>0</v>
      </c>
      <c r="AE48" s="850">
        <f>+AE45*'Acquisition Summary'!$K$56</f>
        <v>0</v>
      </c>
      <c r="AF48" s="850">
        <f>+AF45*'Acquisition Summary'!$K$56</f>
        <v>0</v>
      </c>
      <c r="AG48" s="850">
        <f>+AG45*'Acquisition Summary'!$K$56</f>
        <v>0</v>
      </c>
      <c r="AH48" s="850">
        <f>+AH45*'Acquisition Summary'!$K$56</f>
        <v>0</v>
      </c>
      <c r="AI48" s="850">
        <f>+AI45*'Acquisition Summary'!$K$56</f>
        <v>0</v>
      </c>
      <c r="AJ48" s="850">
        <f>+AJ45*'Acquisition Summary'!$K$56</f>
        <v>0</v>
      </c>
      <c r="AK48" s="850">
        <f>+AK45*'Acquisition Summary'!$K$56</f>
        <v>0</v>
      </c>
      <c r="AL48" s="850">
        <f>+AL45*'Acquisition Summary'!$K$56</f>
        <v>0</v>
      </c>
      <c r="AM48" s="850">
        <f>+AM45*'Acquisition Summary'!$K$56</f>
        <v>0</v>
      </c>
      <c r="AN48" s="850">
        <f>+AN45*'Acquisition Summary'!$K$56</f>
        <v>0</v>
      </c>
      <c r="AO48" s="850">
        <f>+AO45*'Acquisition Summary'!$K$56</f>
        <v>0</v>
      </c>
      <c r="AP48" s="850">
        <f>+AP45*'Acquisition Summary'!$K$56</f>
        <v>0</v>
      </c>
      <c r="AQ48" s="850">
        <f>+AQ45*'Acquisition Summary'!$K$56</f>
        <v>0</v>
      </c>
      <c r="AR48" s="850">
        <f>+AR45*'Acquisition Summary'!$K$56</f>
        <v>0</v>
      </c>
      <c r="AS48" s="850">
        <f>+AS45*'Acquisition Summary'!$K$56</f>
        <v>0</v>
      </c>
      <c r="AT48" s="850">
        <f>+AT45*'Acquisition Summary'!$K$56</f>
        <v>0</v>
      </c>
      <c r="AU48" s="850">
        <f>+AU45*'Acquisition Summary'!$K$56</f>
        <v>0</v>
      </c>
      <c r="AV48" s="850">
        <f>+AV45*'Acquisition Summary'!$K$56</f>
        <v>0</v>
      </c>
      <c r="AW48" s="850">
        <f>+AW45*'Acquisition Summary'!$K$56</f>
        <v>0</v>
      </c>
      <c r="AX48" s="850">
        <f>+AX45*'Acquisition Summary'!$K$56</f>
        <v>0</v>
      </c>
      <c r="AY48" s="850">
        <f>+AY45*'Acquisition Summary'!$K$56</f>
        <v>0</v>
      </c>
      <c r="AZ48" s="850">
        <f>+AZ45*'Acquisition Summary'!$K$56</f>
        <v>0</v>
      </c>
      <c r="BB48" s="843" t="s">
        <v>404</v>
      </c>
      <c r="BD48" s="873" t="e">
        <v>#N/A</v>
      </c>
    </row>
    <row r="49" spans="3:56" ht="12.75" customHeight="1" outlineLevel="1" x14ac:dyDescent="0.25">
      <c r="C49" s="177" t="s">
        <v>400</v>
      </c>
      <c r="D49" s="177"/>
      <c r="E49" s="867"/>
      <c r="F49" s="850">
        <f ca="1">+F45-F48</f>
        <v>0</v>
      </c>
      <c r="G49" s="850">
        <f t="shared" ref="G49:AZ49" ca="1" si="16">+G45-G48</f>
        <v>0</v>
      </c>
      <c r="H49" s="850">
        <f t="shared" ca="1" si="16"/>
        <v>0</v>
      </c>
      <c r="I49" s="850">
        <f t="shared" ca="1" si="16"/>
        <v>0</v>
      </c>
      <c r="J49" s="850">
        <f t="shared" ca="1" si="16"/>
        <v>0</v>
      </c>
      <c r="K49" s="850">
        <f t="shared" ca="1" si="16"/>
        <v>0</v>
      </c>
      <c r="L49" s="850">
        <f t="shared" ca="1" si="16"/>
        <v>0</v>
      </c>
      <c r="M49" s="850">
        <f t="shared" si="16"/>
        <v>0</v>
      </c>
      <c r="N49" s="850">
        <f t="shared" si="16"/>
        <v>0</v>
      </c>
      <c r="O49" s="850">
        <f t="shared" si="16"/>
        <v>0</v>
      </c>
      <c r="P49" s="850">
        <f t="shared" si="16"/>
        <v>0</v>
      </c>
      <c r="Q49" s="850">
        <f t="shared" si="16"/>
        <v>0</v>
      </c>
      <c r="R49" s="850">
        <f t="shared" si="16"/>
        <v>0</v>
      </c>
      <c r="S49" s="850">
        <f t="shared" si="16"/>
        <v>0</v>
      </c>
      <c r="T49" s="850">
        <f t="shared" si="16"/>
        <v>0</v>
      </c>
      <c r="U49" s="850">
        <f t="shared" si="16"/>
        <v>0</v>
      </c>
      <c r="V49" s="850">
        <f t="shared" si="16"/>
        <v>0</v>
      </c>
      <c r="W49" s="850">
        <f t="shared" si="16"/>
        <v>0</v>
      </c>
      <c r="X49" s="850">
        <f t="shared" si="16"/>
        <v>0</v>
      </c>
      <c r="Y49" s="850">
        <f t="shared" si="16"/>
        <v>0</v>
      </c>
      <c r="Z49" s="850">
        <f t="shared" si="16"/>
        <v>0</v>
      </c>
      <c r="AA49" s="850">
        <f t="shared" si="16"/>
        <v>0</v>
      </c>
      <c r="AB49" s="850">
        <f t="shared" si="16"/>
        <v>0</v>
      </c>
      <c r="AC49" s="850">
        <f t="shared" si="16"/>
        <v>0</v>
      </c>
      <c r="AD49" s="850">
        <f t="shared" si="16"/>
        <v>0</v>
      </c>
      <c r="AE49" s="850">
        <f t="shared" si="16"/>
        <v>0</v>
      </c>
      <c r="AF49" s="850">
        <f t="shared" si="16"/>
        <v>0</v>
      </c>
      <c r="AG49" s="850">
        <f t="shared" si="16"/>
        <v>0</v>
      </c>
      <c r="AH49" s="850">
        <f t="shared" si="16"/>
        <v>0</v>
      </c>
      <c r="AI49" s="850">
        <f t="shared" si="16"/>
        <v>0</v>
      </c>
      <c r="AJ49" s="850">
        <f t="shared" si="16"/>
        <v>0</v>
      </c>
      <c r="AK49" s="850">
        <f t="shared" si="16"/>
        <v>0</v>
      </c>
      <c r="AL49" s="850">
        <f t="shared" si="16"/>
        <v>0</v>
      </c>
      <c r="AM49" s="850">
        <f t="shared" si="16"/>
        <v>0</v>
      </c>
      <c r="AN49" s="850">
        <f t="shared" si="16"/>
        <v>0</v>
      </c>
      <c r="AO49" s="850">
        <f t="shared" si="16"/>
        <v>0</v>
      </c>
      <c r="AP49" s="850">
        <f t="shared" si="16"/>
        <v>0</v>
      </c>
      <c r="AQ49" s="850">
        <f t="shared" si="16"/>
        <v>0</v>
      </c>
      <c r="AR49" s="850">
        <f t="shared" si="16"/>
        <v>0</v>
      </c>
      <c r="AS49" s="850">
        <f t="shared" si="16"/>
        <v>0</v>
      </c>
      <c r="AT49" s="850">
        <f t="shared" si="16"/>
        <v>0</v>
      </c>
      <c r="AU49" s="850">
        <f t="shared" si="16"/>
        <v>0</v>
      </c>
      <c r="AV49" s="850">
        <f t="shared" si="16"/>
        <v>0</v>
      </c>
      <c r="AW49" s="850">
        <f t="shared" si="16"/>
        <v>0</v>
      </c>
      <c r="AX49" s="850">
        <f t="shared" si="16"/>
        <v>0</v>
      </c>
      <c r="AY49" s="850">
        <f t="shared" si="16"/>
        <v>0</v>
      </c>
      <c r="AZ49" s="850">
        <f t="shared" si="16"/>
        <v>0</v>
      </c>
      <c r="BB49" s="843" t="s">
        <v>405</v>
      </c>
      <c r="BD49" s="873" t="e">
        <v>#N/A</v>
      </c>
    </row>
    <row r="50" spans="3:56" ht="12.75" customHeight="1" x14ac:dyDescent="0.25">
      <c r="E50" s="870"/>
    </row>
    <row r="51" spans="3:56" ht="12.75" customHeight="1" x14ac:dyDescent="0.25">
      <c r="C51" s="843" t="s">
        <v>406</v>
      </c>
      <c r="E51" s="867">
        <f ca="1">+E15*'Acquisition Summary'!$J$59</f>
        <v>-48279.565332916682</v>
      </c>
      <c r="F51" s="871">
        <f ca="1">+(F$20+F$30+F$41+F$48+F$21)*'Acquisition Summary'!$J$59</f>
        <v>0</v>
      </c>
      <c r="G51" s="871">
        <f ca="1">+(G20+G30+G41+G48+G21)*'Acquisition Summary'!$J$59</f>
        <v>0</v>
      </c>
      <c r="H51" s="871">
        <f ca="1">+(H20+H30+H41+H48+H21)*'Acquisition Summary'!$J$59</f>
        <v>0</v>
      </c>
      <c r="I51" s="871">
        <f ca="1">+(I20+I30+I41+I48+I21)*'Acquisition Summary'!$J$59</f>
        <v>0</v>
      </c>
      <c r="J51" s="871">
        <f ca="1">+(J20+J30+J41+J48+J21)*'Acquisition Summary'!$J$59</f>
        <v>0</v>
      </c>
      <c r="K51" s="871">
        <f ca="1">+(K20+K30+K41+K48+K21)*'Acquisition Summary'!$J$59</f>
        <v>0</v>
      </c>
      <c r="L51" s="871">
        <f ca="1">+(L20+L30+L41+L48+L21)*'Acquisition Summary'!$J$59</f>
        <v>52969.961058379755</v>
      </c>
      <c r="M51" s="871">
        <f>+(M20+M30+M41+M48+M21)*'Acquisition Summary'!$J$59</f>
        <v>0</v>
      </c>
      <c r="N51" s="871">
        <f>+(N20+N30+N41+N48+N21)*'Acquisition Summary'!$J$59</f>
        <v>0</v>
      </c>
      <c r="O51" s="871">
        <f>+(O20+O30+O41+O48+O21)*'Acquisition Summary'!$J$59</f>
        <v>0</v>
      </c>
      <c r="P51" s="871">
        <f>+(P20+P30+P41+P48+P21)*'Acquisition Summary'!$J$59</f>
        <v>0</v>
      </c>
      <c r="Q51" s="871">
        <f>+(Q20+Q30+Q41+Q48+Q21)*'Acquisition Summary'!$J$59</f>
        <v>0</v>
      </c>
      <c r="R51" s="871">
        <f>+(R20+R30+R41+R48+R21)*'Acquisition Summary'!$J$59</f>
        <v>0</v>
      </c>
      <c r="S51" s="871">
        <f>+(S20+S30+S41+S48+S21)*'Acquisition Summary'!$J$59</f>
        <v>0</v>
      </c>
      <c r="T51" s="871">
        <f>+(T20+T30+T41+T48+T21)*'Acquisition Summary'!$J$59</f>
        <v>0</v>
      </c>
      <c r="U51" s="871">
        <f>+(U20+U30+U41+U48+U21)*'Acquisition Summary'!$J$59</f>
        <v>0</v>
      </c>
      <c r="V51" s="871">
        <f>+(V20+V30+V41+V48+V21)*'Acquisition Summary'!$J$59</f>
        <v>0</v>
      </c>
      <c r="W51" s="871">
        <f>+(W20+W30+W41+W48+W21)*'Acquisition Summary'!$J$59</f>
        <v>0</v>
      </c>
      <c r="X51" s="871">
        <f>+(X20+X30+X41+X48+X21)*'Acquisition Summary'!$J$59</f>
        <v>0</v>
      </c>
      <c r="Y51" s="871">
        <f>+(Y20+Y30+Y41+Y48+Y21)*'Acquisition Summary'!$J$59</f>
        <v>0</v>
      </c>
      <c r="Z51" s="871">
        <f>+(Z20+Z30+Z41+Z48+Z21)*'Acquisition Summary'!$J$59</f>
        <v>0</v>
      </c>
      <c r="AA51" s="871">
        <f>+(AA20+AA30+AA41+AA48+AA21)*'Acquisition Summary'!$J$59</f>
        <v>0</v>
      </c>
      <c r="AB51" s="871">
        <f>+(AB20+AB30+AB41+AB48+AB21)*'Acquisition Summary'!$J$59</f>
        <v>0</v>
      </c>
      <c r="AC51" s="871">
        <f>+(AC20+AC30+AC41+AC48+AC21)*'Acquisition Summary'!$J$59</f>
        <v>0</v>
      </c>
      <c r="AD51" s="871">
        <f>+(AD20+AD30+AD41+AD48+AD21)*'Acquisition Summary'!$J$59</f>
        <v>0</v>
      </c>
      <c r="AE51" s="871">
        <f>+(AE20+AE30+AE41+AE48+AE21)*'Acquisition Summary'!$J$59</f>
        <v>0</v>
      </c>
      <c r="AF51" s="871">
        <f>+(AF20+AF30+AF41+AF48+AF21)*'Acquisition Summary'!$J$59</f>
        <v>0</v>
      </c>
      <c r="AG51" s="871">
        <f>+(AG20+AG30+AG41+AG48+AG21)*'Acquisition Summary'!$J$59</f>
        <v>0</v>
      </c>
      <c r="AH51" s="871">
        <f>+(AH20+AH30+AH41+AH48+AH21)*'Acquisition Summary'!$J$59</f>
        <v>0</v>
      </c>
      <c r="AI51" s="871">
        <f>+(AI20+AI30+AI41+AI48+AI21)*'Acquisition Summary'!$J$59</f>
        <v>0</v>
      </c>
      <c r="AJ51" s="871">
        <f>+(AJ20+AJ30+AJ41+AJ48+AJ21)*'Acquisition Summary'!$J$59</f>
        <v>0</v>
      </c>
      <c r="AK51" s="871">
        <f>+(AK20+AK30+AK41+AK48+AK21)*'Acquisition Summary'!$J$59</f>
        <v>0</v>
      </c>
      <c r="AL51" s="871">
        <f>+(AL20+AL30+AL41+AL48+AL21)*'Acquisition Summary'!$J$59</f>
        <v>0</v>
      </c>
      <c r="AM51" s="871">
        <f>+(AM20+AM30+AM41+AM48+AM21)*'Acquisition Summary'!$J$59</f>
        <v>0</v>
      </c>
      <c r="AN51" s="871">
        <f>+(AN20+AN30+AN41+AN48+AN21)*'Acquisition Summary'!$J$59</f>
        <v>0</v>
      </c>
      <c r="AO51" s="871">
        <f>+(AO20+AO30+AO41+AO48+AO21)*'Acquisition Summary'!$J$59</f>
        <v>0</v>
      </c>
      <c r="AP51" s="871">
        <f>+(AP20+AP30+AP41+AP48+AP21)*'Acquisition Summary'!$J$59</f>
        <v>0</v>
      </c>
      <c r="AQ51" s="871">
        <f>+(AQ20+AQ30+AQ41+AQ48+AQ21)*'Acquisition Summary'!$J$59</f>
        <v>0</v>
      </c>
      <c r="AR51" s="871">
        <f>+(AR20+AR30+AR41+AR48+AR21)*'Acquisition Summary'!$J$59</f>
        <v>0</v>
      </c>
      <c r="AS51" s="871">
        <f>+(AS20+AS30+AS41+AS48+AS21)*'Acquisition Summary'!$J$59</f>
        <v>0</v>
      </c>
      <c r="AT51" s="871">
        <f>+(AT20+AT30+AT41+AT48+AT21)*'Acquisition Summary'!$J$59</f>
        <v>0</v>
      </c>
      <c r="AU51" s="871">
        <f>+(AU20+AU30+AU41+AU48+AU21)*'Acquisition Summary'!$J$59</f>
        <v>0</v>
      </c>
      <c r="AV51" s="871">
        <f>+(AV20+AV30+AV41+AV48+AV21)*'Acquisition Summary'!$J$59</f>
        <v>0</v>
      </c>
      <c r="AW51" s="871">
        <f>+(AW20+AW30+AW41+AW48+AW21)*'Acquisition Summary'!$J$59</f>
        <v>0</v>
      </c>
      <c r="AX51" s="871">
        <f>+(AX20+AX30+AX41+AX48+AX21)*'Acquisition Summary'!$J$59</f>
        <v>0</v>
      </c>
      <c r="AY51" s="871">
        <f>+(AY20+AY30+AY41+AY48+AY21)*'Acquisition Summary'!$J$59</f>
        <v>0</v>
      </c>
      <c r="AZ51" s="871">
        <f>+(AZ20+AZ30+AZ41+AZ48+AZ21)*'Acquisition Summary'!$J$59</f>
        <v>0</v>
      </c>
    </row>
    <row r="52" spans="3:56" ht="12.75" customHeight="1" x14ac:dyDescent="0.25">
      <c r="C52" s="843" t="s">
        <v>407</v>
      </c>
      <c r="E52" s="874">
        <f ca="1">+E15-E51</f>
        <v>0</v>
      </c>
      <c r="F52" s="871">
        <f ca="1">+(F$20+F$30+F$41+F$48+F$21)*'Acquisition Summary'!$J$60</f>
        <v>0</v>
      </c>
      <c r="G52" s="871">
        <f ca="1">+(G$20+G$30+G$41+G$48+G$21)*'Acquisition Summary'!$J$60</f>
        <v>0</v>
      </c>
      <c r="H52" s="871">
        <f ca="1">+(H$20+H$30+H$41+H$48+H$21)*'Acquisition Summary'!$J$60</f>
        <v>0</v>
      </c>
      <c r="I52" s="871">
        <f ca="1">+(I$20+I$30+I$41+I$48+I$21)*'Acquisition Summary'!$J$60</f>
        <v>0</v>
      </c>
      <c r="J52" s="871">
        <f ca="1">+(J$20+J$30+J$41+J$48+J$21)*'Acquisition Summary'!$J$60</f>
        <v>0</v>
      </c>
      <c r="K52" s="871">
        <f ca="1">+(K$20+K$30+K$41+K$48+K$21)*'Acquisition Summary'!$J$60</f>
        <v>0</v>
      </c>
      <c r="L52" s="871">
        <f ca="1">+(L$20+L$30+L$41+L$48+L$21)*'Acquisition Summary'!$J$60</f>
        <v>0</v>
      </c>
      <c r="M52" s="871">
        <f>+(M$20+M$30+M$41+M$48+M$21)*'Acquisition Summary'!$J$60</f>
        <v>0</v>
      </c>
      <c r="N52" s="871">
        <f>+(N$20+N$30+N$41+N$48+N$21)*'Acquisition Summary'!$J$60</f>
        <v>0</v>
      </c>
      <c r="O52" s="871">
        <f>+(O$20+O$30+O$41+O$48+O$21)*'Acquisition Summary'!$J$60</f>
        <v>0</v>
      </c>
      <c r="P52" s="871">
        <f>+(P$20+P$30+P$41+P$48+P$21)*'Acquisition Summary'!$J$60</f>
        <v>0</v>
      </c>
      <c r="Q52" s="871">
        <f>+(Q$20+Q$30+Q$41+Q$48+Q$21)*'Acquisition Summary'!$J$60</f>
        <v>0</v>
      </c>
      <c r="R52" s="871">
        <f>+(R$20+R$30+R$41+R$48+R$21)*'Acquisition Summary'!$J$60</f>
        <v>0</v>
      </c>
      <c r="S52" s="871">
        <f>+(S$20+S$30+S$41+S$48+S$21)*'Acquisition Summary'!$J$60</f>
        <v>0</v>
      </c>
      <c r="T52" s="871">
        <f>+(T$20+T$30+T$41+T$48+T$21)*'Acquisition Summary'!$J$60</f>
        <v>0</v>
      </c>
      <c r="U52" s="871">
        <f>+(U$20+U$30+U$41+U$48+U$21)*'Acquisition Summary'!$J$60</f>
        <v>0</v>
      </c>
      <c r="V52" s="871">
        <f>+(V$20+V$30+V$41+V$48+V$21)*'Acquisition Summary'!$J$60</f>
        <v>0</v>
      </c>
      <c r="W52" s="871">
        <f>+(W$20+W$30+W$41+W$48+W$21)*'Acquisition Summary'!$J$60</f>
        <v>0</v>
      </c>
      <c r="X52" s="871">
        <f>+(X$20+X$30+X$41+X$48+X$21)*'Acquisition Summary'!$J$60</f>
        <v>0</v>
      </c>
      <c r="Y52" s="871">
        <f>+(Y$20+Y$30+Y$41+Y$48+Y$21)*'Acquisition Summary'!$J$60</f>
        <v>0</v>
      </c>
      <c r="Z52" s="871">
        <f>+(Z$20+Z$30+Z$41+Z$48+Z$21)*'Acquisition Summary'!$J$60</f>
        <v>0</v>
      </c>
      <c r="AA52" s="871">
        <f>+(AA$20+AA$30+AA$41+AA$48+AA$21)*'Acquisition Summary'!$J$60</f>
        <v>0</v>
      </c>
      <c r="AB52" s="871">
        <f>+(AB$20+AB$30+AB$41+AB$48+AB$21)*'Acquisition Summary'!$J$60</f>
        <v>0</v>
      </c>
      <c r="AC52" s="871">
        <f>+(AC$20+AC$30+AC$41+AC$48+AC$21)*'Acquisition Summary'!$J$60</f>
        <v>0</v>
      </c>
      <c r="AD52" s="871">
        <f>+(AD$20+AD$30+AD$41+AD$48+AD$21)*'Acquisition Summary'!$J$60</f>
        <v>0</v>
      </c>
      <c r="AE52" s="871">
        <f>+(AE$20+AE$30+AE$41+AE$48+AE$21)*'Acquisition Summary'!$J$60</f>
        <v>0</v>
      </c>
      <c r="AF52" s="871">
        <f>+(AF$20+AF$30+AF$41+AF$48+AF$21)*'Acquisition Summary'!$J$60</f>
        <v>0</v>
      </c>
      <c r="AG52" s="871">
        <f>+(AG$20+AG$30+AG$41+AG$48+AG$21)*'Acquisition Summary'!$J$60</f>
        <v>0</v>
      </c>
      <c r="AH52" s="871">
        <f>+(AH$20+AH$30+AH$41+AH$48+AH$21)*'Acquisition Summary'!$J$60</f>
        <v>0</v>
      </c>
      <c r="AI52" s="871">
        <f>+(AI$20+AI$30+AI$41+AI$48+AI$21)*'Acquisition Summary'!$J$60</f>
        <v>0</v>
      </c>
      <c r="AJ52" s="871">
        <f>+(AJ$20+AJ$30+AJ$41+AJ$48+AJ$21)*'Acquisition Summary'!$J$60</f>
        <v>0</v>
      </c>
      <c r="AK52" s="871">
        <f>+(AK$20+AK$30+AK$41+AK$48+AK$21)*'Acquisition Summary'!$J$60</f>
        <v>0</v>
      </c>
      <c r="AL52" s="871">
        <f>+(AL$20+AL$30+AL$41+AL$48+AL$21)*'Acquisition Summary'!$J$60</f>
        <v>0</v>
      </c>
      <c r="AM52" s="871">
        <f>+(AM$20+AM$30+AM$41+AM$48+AM$21)*'Acquisition Summary'!$J$60</f>
        <v>0</v>
      </c>
      <c r="AN52" s="871">
        <f>+(AN$20+AN$30+AN$41+AN$48+AN$21)*'Acquisition Summary'!$J$60</f>
        <v>0</v>
      </c>
      <c r="AO52" s="871">
        <f>+(AO$20+AO$30+AO$41+AO$48+AO$21)*'Acquisition Summary'!$J$60</f>
        <v>0</v>
      </c>
      <c r="AP52" s="871">
        <f>+(AP$20+AP$30+AP$41+AP$48+AP$21)*'Acquisition Summary'!$J$60</f>
        <v>0</v>
      </c>
      <c r="AQ52" s="871">
        <f>+(AQ$20+AQ$30+AQ$41+AQ$48+AQ$21)*'Acquisition Summary'!$J$60</f>
        <v>0</v>
      </c>
      <c r="AR52" s="871">
        <f>+(AR$20+AR$30+AR$41+AR$48+AR$21)*'Acquisition Summary'!$J$60</f>
        <v>0</v>
      </c>
      <c r="AS52" s="871">
        <f>+(AS$20+AS$30+AS$41+AS$48+AS$21)*'Acquisition Summary'!$J$60</f>
        <v>0</v>
      </c>
      <c r="AT52" s="871">
        <f>+(AT$20+AT$30+AT$41+AT$48+AT$21)*'Acquisition Summary'!$J$60</f>
        <v>0</v>
      </c>
      <c r="AU52" s="871">
        <f>+(AU$20+AU$30+AU$41+AU$48+AU$21)*'Acquisition Summary'!$J$60</f>
        <v>0</v>
      </c>
      <c r="AV52" s="871">
        <f>+(AV$20+AV$30+AV$41+AV$48+AV$21)*'Acquisition Summary'!$J$60</f>
        <v>0</v>
      </c>
      <c r="AW52" s="871">
        <f>+(AW$20+AW$30+AW$41+AW$48+AW$21)*'Acquisition Summary'!$J$60</f>
        <v>0</v>
      </c>
      <c r="AX52" s="871">
        <f>+(AX$20+AX$30+AX$41+AX$48+AX$21)*'Acquisition Summary'!$J$60</f>
        <v>0</v>
      </c>
      <c r="AY52" s="871">
        <f>+(AY$20+AY$30+AY$41+AY$48+AY$21)*'Acquisition Summary'!$J$60</f>
        <v>0</v>
      </c>
      <c r="AZ52" s="871">
        <f>+(AZ$20+AZ$30+AZ$41+AZ$48+AZ$21)*'Acquisition Summary'!$J$60</f>
        <v>0</v>
      </c>
    </row>
    <row r="53" spans="3:56" ht="12.75" customHeight="1" x14ac:dyDescent="0.25">
      <c r="C53" s="875" t="s">
        <v>408</v>
      </c>
      <c r="D53" s="875"/>
      <c r="E53" s="875"/>
      <c r="F53" s="876">
        <f t="shared" ref="F53:AZ53" ca="1" si="17">+F33+F44+F49</f>
        <v>0</v>
      </c>
      <c r="G53" s="877">
        <f t="shared" ca="1" si="17"/>
        <v>0</v>
      </c>
      <c r="H53" s="877">
        <f t="shared" ca="1" si="17"/>
        <v>0</v>
      </c>
      <c r="I53" s="877">
        <f t="shared" ca="1" si="17"/>
        <v>0</v>
      </c>
      <c r="J53" s="877">
        <f t="shared" ca="1" si="17"/>
        <v>0</v>
      </c>
      <c r="K53" s="877">
        <f t="shared" ca="1" si="17"/>
        <v>0</v>
      </c>
      <c r="L53" s="877">
        <f ca="1">+L33+L44+L49</f>
        <v>94551.160274953567</v>
      </c>
      <c r="M53" s="877">
        <f t="shared" si="17"/>
        <v>0</v>
      </c>
      <c r="N53" s="877">
        <f t="shared" si="17"/>
        <v>0</v>
      </c>
      <c r="O53" s="877">
        <f t="shared" si="17"/>
        <v>0</v>
      </c>
      <c r="P53" s="877">
        <f t="shared" si="17"/>
        <v>0</v>
      </c>
      <c r="Q53" s="877">
        <f t="shared" si="17"/>
        <v>0</v>
      </c>
      <c r="R53" s="877">
        <f t="shared" si="17"/>
        <v>0</v>
      </c>
      <c r="S53" s="877">
        <f t="shared" si="17"/>
        <v>0</v>
      </c>
      <c r="T53" s="877">
        <f t="shared" si="17"/>
        <v>0</v>
      </c>
      <c r="U53" s="877">
        <f t="shared" si="17"/>
        <v>0</v>
      </c>
      <c r="V53" s="877">
        <f t="shared" si="17"/>
        <v>0</v>
      </c>
      <c r="W53" s="877">
        <f t="shared" si="17"/>
        <v>0</v>
      </c>
      <c r="X53" s="877">
        <f t="shared" si="17"/>
        <v>0</v>
      </c>
      <c r="Y53" s="877">
        <f t="shared" si="17"/>
        <v>0</v>
      </c>
      <c r="Z53" s="877">
        <f t="shared" si="17"/>
        <v>0</v>
      </c>
      <c r="AA53" s="877">
        <f t="shared" si="17"/>
        <v>0</v>
      </c>
      <c r="AB53" s="877">
        <f t="shared" si="17"/>
        <v>0</v>
      </c>
      <c r="AC53" s="877">
        <f t="shared" si="17"/>
        <v>0</v>
      </c>
      <c r="AD53" s="877">
        <f t="shared" si="17"/>
        <v>0</v>
      </c>
      <c r="AE53" s="877">
        <f t="shared" si="17"/>
        <v>0</v>
      </c>
      <c r="AF53" s="877">
        <f t="shared" si="17"/>
        <v>0</v>
      </c>
      <c r="AG53" s="877">
        <f t="shared" si="17"/>
        <v>0</v>
      </c>
      <c r="AH53" s="877">
        <f t="shared" si="17"/>
        <v>0</v>
      </c>
      <c r="AI53" s="877">
        <f t="shared" si="17"/>
        <v>0</v>
      </c>
      <c r="AJ53" s="877">
        <f t="shared" si="17"/>
        <v>0</v>
      </c>
      <c r="AK53" s="877">
        <f t="shared" si="17"/>
        <v>0</v>
      </c>
      <c r="AL53" s="877">
        <f t="shared" si="17"/>
        <v>0</v>
      </c>
      <c r="AM53" s="877">
        <f t="shared" si="17"/>
        <v>0</v>
      </c>
      <c r="AN53" s="877">
        <f t="shared" si="17"/>
        <v>0</v>
      </c>
      <c r="AO53" s="877">
        <f t="shared" si="17"/>
        <v>0</v>
      </c>
      <c r="AP53" s="877">
        <f t="shared" si="17"/>
        <v>0</v>
      </c>
      <c r="AQ53" s="877">
        <f t="shared" si="17"/>
        <v>0</v>
      </c>
      <c r="AR53" s="877">
        <f t="shared" si="17"/>
        <v>0</v>
      </c>
      <c r="AS53" s="877">
        <f t="shared" si="17"/>
        <v>0</v>
      </c>
      <c r="AT53" s="877">
        <f t="shared" si="17"/>
        <v>0</v>
      </c>
      <c r="AU53" s="877">
        <f t="shared" si="17"/>
        <v>0</v>
      </c>
      <c r="AV53" s="877">
        <f t="shared" si="17"/>
        <v>0</v>
      </c>
      <c r="AW53" s="877">
        <f t="shared" si="17"/>
        <v>0</v>
      </c>
      <c r="AX53" s="877">
        <f t="shared" si="17"/>
        <v>0</v>
      </c>
      <c r="AY53" s="877">
        <f t="shared" si="17"/>
        <v>0</v>
      </c>
      <c r="AZ53" s="877">
        <f t="shared" si="17"/>
        <v>0</v>
      </c>
    </row>
    <row r="54" spans="3:56" ht="12.75" customHeight="1" x14ac:dyDescent="0.25">
      <c r="E54" s="871">
        <f ca="1">+E52+E53</f>
        <v>0</v>
      </c>
      <c r="F54" s="871">
        <f t="shared" ref="F54:AZ54" ca="1" si="18">+F52+F53</f>
        <v>0</v>
      </c>
      <c r="G54" s="871">
        <f t="shared" ca="1" si="18"/>
        <v>0</v>
      </c>
      <c r="H54" s="871">
        <f t="shared" ca="1" si="18"/>
        <v>0</v>
      </c>
      <c r="I54" s="871">
        <f t="shared" ca="1" si="18"/>
        <v>0</v>
      </c>
      <c r="J54" s="871">
        <f t="shared" ca="1" si="18"/>
        <v>0</v>
      </c>
      <c r="K54" s="871">
        <f t="shared" ca="1" si="18"/>
        <v>0</v>
      </c>
      <c r="L54" s="871">
        <f t="shared" ca="1" si="18"/>
        <v>94551.160274953567</v>
      </c>
      <c r="M54" s="871">
        <f t="shared" si="18"/>
        <v>0</v>
      </c>
      <c r="N54" s="871">
        <f t="shared" si="18"/>
        <v>0</v>
      </c>
      <c r="O54" s="871">
        <f t="shared" si="18"/>
        <v>0</v>
      </c>
      <c r="P54" s="871">
        <f t="shared" si="18"/>
        <v>0</v>
      </c>
      <c r="Q54" s="871">
        <f t="shared" si="18"/>
        <v>0</v>
      </c>
      <c r="R54" s="871">
        <f t="shared" si="18"/>
        <v>0</v>
      </c>
      <c r="S54" s="871">
        <f t="shared" si="18"/>
        <v>0</v>
      </c>
      <c r="T54" s="871">
        <f t="shared" si="18"/>
        <v>0</v>
      </c>
      <c r="U54" s="871">
        <f t="shared" si="18"/>
        <v>0</v>
      </c>
      <c r="V54" s="871">
        <f t="shared" si="18"/>
        <v>0</v>
      </c>
      <c r="W54" s="871">
        <f t="shared" si="18"/>
        <v>0</v>
      </c>
      <c r="X54" s="871">
        <f t="shared" si="18"/>
        <v>0</v>
      </c>
      <c r="Y54" s="871">
        <f t="shared" si="18"/>
        <v>0</v>
      </c>
      <c r="Z54" s="871">
        <f t="shared" si="18"/>
        <v>0</v>
      </c>
      <c r="AA54" s="871">
        <f t="shared" si="18"/>
        <v>0</v>
      </c>
      <c r="AB54" s="871">
        <f t="shared" si="18"/>
        <v>0</v>
      </c>
      <c r="AC54" s="871">
        <f t="shared" si="18"/>
        <v>0</v>
      </c>
      <c r="AD54" s="871">
        <f t="shared" si="18"/>
        <v>0</v>
      </c>
      <c r="AE54" s="871">
        <f t="shared" si="18"/>
        <v>0</v>
      </c>
      <c r="AF54" s="871">
        <f t="shared" si="18"/>
        <v>0</v>
      </c>
      <c r="AG54" s="871">
        <f t="shared" si="18"/>
        <v>0</v>
      </c>
      <c r="AH54" s="871">
        <f t="shared" si="18"/>
        <v>0</v>
      </c>
      <c r="AI54" s="871">
        <f t="shared" si="18"/>
        <v>0</v>
      </c>
      <c r="AJ54" s="871">
        <f t="shared" si="18"/>
        <v>0</v>
      </c>
      <c r="AK54" s="871">
        <f t="shared" si="18"/>
        <v>0</v>
      </c>
      <c r="AL54" s="871">
        <f t="shared" si="18"/>
        <v>0</v>
      </c>
      <c r="AM54" s="871">
        <f t="shared" si="18"/>
        <v>0</v>
      </c>
      <c r="AN54" s="871">
        <f t="shared" si="18"/>
        <v>0</v>
      </c>
      <c r="AO54" s="871">
        <f t="shared" si="18"/>
        <v>0</v>
      </c>
      <c r="AP54" s="871">
        <f t="shared" si="18"/>
        <v>0</v>
      </c>
      <c r="AQ54" s="871">
        <f t="shared" si="18"/>
        <v>0</v>
      </c>
      <c r="AR54" s="871">
        <f t="shared" si="18"/>
        <v>0</v>
      </c>
      <c r="AS54" s="871">
        <f t="shared" si="18"/>
        <v>0</v>
      </c>
      <c r="AT54" s="871">
        <f t="shared" si="18"/>
        <v>0</v>
      </c>
      <c r="AU54" s="871">
        <f t="shared" si="18"/>
        <v>0</v>
      </c>
      <c r="AV54" s="871">
        <f t="shared" si="18"/>
        <v>0</v>
      </c>
      <c r="AW54" s="871">
        <f t="shared" si="18"/>
        <v>0</v>
      </c>
      <c r="AX54" s="871">
        <f t="shared" si="18"/>
        <v>0</v>
      </c>
      <c r="AY54" s="871">
        <f t="shared" si="18"/>
        <v>0</v>
      </c>
      <c r="AZ54" s="871">
        <f t="shared" si="18"/>
        <v>0</v>
      </c>
    </row>
    <row r="56" spans="3:56" ht="12.75" customHeight="1" x14ac:dyDescent="0.3">
      <c r="C56" s="878" t="s">
        <v>409</v>
      </c>
      <c r="E56" s="879">
        <f ca="1">SUM($E$51:E51)</f>
        <v>-48279.565332916682</v>
      </c>
      <c r="F56" s="879">
        <f ca="1">SUM($E$51:F51)</f>
        <v>-48279.565332916682</v>
      </c>
      <c r="G56" s="879">
        <f ca="1">SUM($E$51:G51)</f>
        <v>-48279.565332916682</v>
      </c>
      <c r="H56" s="879">
        <f ca="1">SUM($E$51:H51)</f>
        <v>-48279.565332916682</v>
      </c>
      <c r="I56" s="879">
        <f ca="1">SUM($E$51:I51)</f>
        <v>-48279.565332916682</v>
      </c>
      <c r="J56" s="879">
        <f ca="1">SUM($E$51:J51)</f>
        <v>-48279.565332916682</v>
      </c>
      <c r="K56" s="879">
        <f ca="1">SUM($E$51:K51)</f>
        <v>-48279.565332916682</v>
      </c>
      <c r="L56" s="879">
        <f ca="1">SUM($E$51:L51)</f>
        <v>4690.3957254630732</v>
      </c>
      <c r="M56" s="879">
        <f ca="1">SUM($E$51:M51)</f>
        <v>4690.3957254630732</v>
      </c>
      <c r="N56" s="879">
        <f ca="1">SUM($E$51:N51)</f>
        <v>4690.3957254630732</v>
      </c>
      <c r="O56" s="879">
        <f ca="1">SUM($E$51:O51)</f>
        <v>4690.3957254630732</v>
      </c>
      <c r="P56" s="879">
        <f ca="1">SUM($E$51:P51)</f>
        <v>4690.3957254630732</v>
      </c>
      <c r="Q56" s="879">
        <f ca="1">SUM($E$51:Q51)</f>
        <v>4690.3957254630732</v>
      </c>
      <c r="R56" s="879">
        <f ca="1">SUM($E$51:R51)</f>
        <v>4690.3957254630732</v>
      </c>
      <c r="S56" s="879">
        <f ca="1">SUM($E$51:S51)</f>
        <v>4690.3957254630732</v>
      </c>
      <c r="T56" s="879">
        <f ca="1">SUM($E$51:T51)</f>
        <v>4690.3957254630732</v>
      </c>
      <c r="U56" s="879">
        <f ca="1">SUM($E$51:U51)</f>
        <v>4690.3957254630732</v>
      </c>
      <c r="V56" s="879">
        <f ca="1">SUM($E$51:V51)</f>
        <v>4690.3957254630732</v>
      </c>
      <c r="W56" s="879">
        <f ca="1">SUM($E$51:W51)</f>
        <v>4690.3957254630732</v>
      </c>
      <c r="X56" s="879">
        <f ca="1">SUM($E$51:X51)</f>
        <v>4690.3957254630732</v>
      </c>
      <c r="Y56" s="879">
        <f ca="1">SUM($E$51:Y51)</f>
        <v>4690.3957254630732</v>
      </c>
      <c r="Z56" s="879">
        <f ca="1">SUM($E$51:Z51)</f>
        <v>4690.3957254630732</v>
      </c>
      <c r="AA56" s="879">
        <f ca="1">SUM($E$51:AA51)</f>
        <v>4690.3957254630732</v>
      </c>
      <c r="AB56" s="879">
        <f ca="1">SUM($E$51:AB51)</f>
        <v>4690.3957254630732</v>
      </c>
      <c r="AC56" s="879">
        <f ca="1">SUM($E$51:AC51)</f>
        <v>4690.3957254630732</v>
      </c>
      <c r="AD56" s="879">
        <f ca="1">SUM($E$51:AD51)</f>
        <v>4690.3957254630732</v>
      </c>
      <c r="AE56" s="879">
        <f ca="1">SUM($E$51:AE51)</f>
        <v>4690.3957254630732</v>
      </c>
      <c r="AF56" s="879">
        <f ca="1">SUM($E$51:AF51)</f>
        <v>4690.3957254630732</v>
      </c>
      <c r="AG56" s="879">
        <f ca="1">SUM($E$51:AG51)</f>
        <v>4690.3957254630732</v>
      </c>
      <c r="AH56" s="879">
        <f ca="1">SUM($E$51:AH51)</f>
        <v>4690.3957254630732</v>
      </c>
      <c r="AI56" s="879">
        <f ca="1">SUM($E$51:AI51)</f>
        <v>4690.3957254630732</v>
      </c>
      <c r="AJ56" s="879">
        <f ca="1">SUM($E$51:AJ51)</f>
        <v>4690.3957254630732</v>
      </c>
      <c r="AK56" s="879">
        <f ca="1">SUM($E$51:AK51)</f>
        <v>4690.3957254630732</v>
      </c>
      <c r="AL56" s="879">
        <f ca="1">SUM($E$51:AL51)</f>
        <v>4690.3957254630732</v>
      </c>
      <c r="AM56" s="879">
        <f ca="1">SUM($E$51:AM51)</f>
        <v>4690.3957254630732</v>
      </c>
      <c r="AN56" s="879">
        <f ca="1">SUM($E$51:AN51)</f>
        <v>4690.3957254630732</v>
      </c>
      <c r="AO56" s="879">
        <f ca="1">SUM($E$51:AO51)</f>
        <v>4690.3957254630732</v>
      </c>
      <c r="AP56" s="879">
        <f ca="1">SUM($E$51:AP51)</f>
        <v>4690.3957254630732</v>
      </c>
      <c r="AQ56" s="879">
        <f ca="1">SUM($E$51:AQ51)</f>
        <v>4690.3957254630732</v>
      </c>
      <c r="AR56" s="879">
        <f ca="1">SUM($E$51:AR51)</f>
        <v>4690.3957254630732</v>
      </c>
      <c r="AS56" s="879">
        <f ca="1">SUM($E$51:AS51)</f>
        <v>4690.3957254630732</v>
      </c>
      <c r="AT56" s="879">
        <f ca="1">SUM($E$51:AT51)</f>
        <v>4690.3957254630732</v>
      </c>
      <c r="AU56" s="879">
        <f ca="1">SUM($E$51:AU51)</f>
        <v>4690.3957254630732</v>
      </c>
      <c r="AV56" s="879">
        <f ca="1">SUM($E$51:AV51)</f>
        <v>4690.3957254630732</v>
      </c>
      <c r="AW56" s="879">
        <f ca="1">SUM($E$51:AW51)</f>
        <v>4690.3957254630732</v>
      </c>
      <c r="AX56" s="879">
        <f ca="1">SUM($E$51:AX51)</f>
        <v>4690.3957254630732</v>
      </c>
      <c r="AY56" s="879">
        <f ca="1">SUM($E$51:AY51)</f>
        <v>4690.3957254630732</v>
      </c>
      <c r="AZ56" s="879">
        <f ca="1">SUM($E$51:AZ51)</f>
        <v>4690.3957254630732</v>
      </c>
    </row>
    <row r="59" spans="3:56" ht="12.75" customHeight="1" x14ac:dyDescent="0.3">
      <c r="C59" s="859" t="s">
        <v>410</v>
      </c>
    </row>
    <row r="60" spans="3:56" ht="12.75" customHeight="1" x14ac:dyDescent="0.25">
      <c r="C60" s="880" t="s">
        <v>411</v>
      </c>
      <c r="D60" s="881"/>
      <c r="E60" s="882">
        <f ca="1">SUM(E51:AZ51)</f>
        <v>4690.3957254630732</v>
      </c>
    </row>
    <row r="61" spans="3:56" ht="12.75" customHeight="1" x14ac:dyDescent="0.25">
      <c r="C61" s="883" t="s">
        <v>412</v>
      </c>
      <c r="E61" s="884">
        <f ca="1">MIN(E56:AZ56)</f>
        <v>-48279.565332916682</v>
      </c>
    </row>
    <row r="62" spans="3:56" ht="12.75" customHeight="1" x14ac:dyDescent="0.25">
      <c r="C62" s="883" t="s">
        <v>413</v>
      </c>
      <c r="E62" s="885">
        <f ca="1">IFERROR(1+(-E60/E61),"N/A")</f>
        <v>1.0971507446912574</v>
      </c>
    </row>
    <row r="63" spans="3:56" ht="12.75" customHeight="1" x14ac:dyDescent="0.25">
      <c r="C63" s="886" t="s">
        <v>163</v>
      </c>
      <c r="D63" s="887"/>
      <c r="E63" s="888">
        <f ca="1">IFERROR(XIRR(E51:AZ51,E14:AZ14),"N/A")</f>
        <v>0.17307671904563904</v>
      </c>
    </row>
  </sheetData>
  <sheetProtection selectLockedCells="1"/>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9D21-4F39-4F41-9BA4-84E47E0968D5}">
  <sheetPr>
    <tabColor rgb="FFFF0000"/>
  </sheetPr>
  <dimension ref="A1:BH168"/>
  <sheetViews>
    <sheetView showGridLines="0" topLeftCell="A33" zoomScale="70" zoomScaleNormal="70" workbookViewId="0">
      <selection activeCell="R39" sqref="R39"/>
    </sheetView>
  </sheetViews>
  <sheetFormatPr defaultColWidth="9" defaultRowHeight="12" x14ac:dyDescent="0.3"/>
  <cols>
    <col min="1" max="1" width="15.44140625" bestFit="1" customWidth="1"/>
    <col min="2" max="2" width="37.109375" style="40" bestFit="1" customWidth="1"/>
    <col min="3" max="3" width="13.44140625" style="40" bestFit="1" customWidth="1"/>
    <col min="4" max="5" width="10.77734375" style="40" bestFit="1" customWidth="1"/>
    <col min="6" max="6" width="13.77734375" style="40" bestFit="1" customWidth="1"/>
    <col min="7" max="7" width="10.109375" style="40" bestFit="1" customWidth="1"/>
    <col min="8" max="8" width="18.44140625" style="40" bestFit="1" customWidth="1"/>
    <col min="9" max="9" width="10.77734375" style="40" bestFit="1" customWidth="1"/>
    <col min="10" max="10" width="11.44140625" style="40" bestFit="1" customWidth="1"/>
    <col min="11" max="11" width="11.44140625" style="40" customWidth="1"/>
    <col min="12" max="12" width="22" style="40" customWidth="1"/>
    <col min="13" max="13" width="11.44140625" style="40" bestFit="1" customWidth="1"/>
    <col min="14" max="14" width="12.33203125" style="40" bestFit="1" customWidth="1"/>
    <col min="15" max="16" width="12.33203125" style="40" customWidth="1"/>
    <col min="17" max="17" width="9.44140625" bestFit="1" customWidth="1"/>
    <col min="18" max="18" width="28.44140625" bestFit="1" customWidth="1"/>
    <col min="19" max="19" width="13.44140625" bestFit="1" customWidth="1"/>
    <col min="20" max="20" width="9.33203125" bestFit="1" customWidth="1"/>
    <col min="21" max="21" width="37" bestFit="1" customWidth="1"/>
    <col min="22" max="22" width="19.44140625" bestFit="1" customWidth="1"/>
    <col min="23" max="23" width="23.109375" bestFit="1" customWidth="1"/>
    <col min="24" max="25" width="17.44140625" customWidth="1"/>
    <col min="26" max="26" width="18.44140625" customWidth="1"/>
    <col min="27" max="27" width="17.44140625" customWidth="1"/>
    <col min="28" max="29" width="18.44140625" customWidth="1"/>
    <col min="30" max="30" width="17.44140625" customWidth="1"/>
    <col min="31" max="32" width="18.44140625" customWidth="1"/>
    <col min="33" max="33" width="17.44140625" customWidth="1"/>
    <col min="34" max="35" width="18.44140625" customWidth="1"/>
    <col min="36" max="36" width="17.109375" customWidth="1"/>
    <col min="37" max="41" width="18.44140625" customWidth="1"/>
    <col min="42" max="42" width="17.44140625" customWidth="1"/>
    <col min="43" max="44" width="18.44140625" customWidth="1"/>
    <col min="45" max="45" width="23.109375" bestFit="1" customWidth="1"/>
    <col min="46" max="46" width="23.109375" customWidth="1"/>
    <col min="47" max="48" width="18.44140625" bestFit="1" customWidth="1"/>
    <col min="49" max="49" width="23.109375" bestFit="1" customWidth="1"/>
    <col min="50" max="50" width="18.44140625" bestFit="1" customWidth="1"/>
    <col min="51" max="51" width="17.44140625" bestFit="1" customWidth="1"/>
    <col min="52" max="55" width="14.109375" bestFit="1" customWidth="1"/>
    <col min="56" max="56" width="17.6640625" bestFit="1" customWidth="1"/>
    <col min="57" max="59" width="14.109375" bestFit="1" customWidth="1"/>
    <col min="60" max="60" width="12.33203125" bestFit="1" customWidth="1"/>
  </cols>
  <sheetData>
    <row r="1" spans="1:60" ht="15.5" x14ac:dyDescent="0.35">
      <c r="G1" s="50" t="s">
        <v>0</v>
      </c>
      <c r="H1" s="1040" t="s">
        <v>414</v>
      </c>
      <c r="I1" s="50"/>
      <c r="J1" s="1039" t="s">
        <v>415</v>
      </c>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51"/>
      <c r="AV1" s="434"/>
    </row>
    <row r="2" spans="1:60" ht="16" thickBot="1" x14ac:dyDescent="0.4">
      <c r="B2" t="s">
        <v>416</v>
      </c>
      <c r="I2" s="50"/>
      <c r="J2" s="50"/>
      <c r="K2" s="50"/>
      <c r="U2" s="1339" t="s">
        <v>417</v>
      </c>
      <c r="V2" s="1339"/>
      <c r="W2" s="1339"/>
      <c r="X2" s="1339"/>
      <c r="Y2" s="1339"/>
      <c r="Z2" s="1339"/>
      <c r="AA2" s="1339"/>
      <c r="AB2" s="1339"/>
      <c r="AC2" s="1339"/>
      <c r="AD2" s="1339"/>
      <c r="AE2" s="1339"/>
      <c r="AF2" s="1339"/>
      <c r="AG2" s="1339"/>
      <c r="AH2" s="1339"/>
      <c r="AI2" s="1339"/>
      <c r="AJ2" s="1339"/>
      <c r="AK2" s="1339"/>
      <c r="AL2" s="1339"/>
      <c r="AM2" s="1339"/>
      <c r="AN2" s="1339"/>
      <c r="AO2" s="1339"/>
      <c r="AP2" s="1339"/>
      <c r="AQ2" s="1339"/>
      <c r="AR2" s="1339"/>
      <c r="AU2" s="434"/>
      <c r="AV2" s="434"/>
    </row>
    <row r="3" spans="1:60" ht="15" thickBot="1" x14ac:dyDescent="0.4">
      <c r="U3" s="382" t="s">
        <v>418</v>
      </c>
      <c r="V3" s="760" t="s">
        <v>419</v>
      </c>
      <c r="W3" s="760" t="s">
        <v>420</v>
      </c>
      <c r="X3" s="760" t="s">
        <v>421</v>
      </c>
      <c r="Y3" s="760" t="s">
        <v>422</v>
      </c>
      <c r="Z3" s="760" t="s">
        <v>423</v>
      </c>
      <c r="AA3" s="760" t="s">
        <v>424</v>
      </c>
      <c r="AB3" s="760" t="s">
        <v>425</v>
      </c>
      <c r="AC3" s="760" t="s">
        <v>426</v>
      </c>
      <c r="AD3" s="760" t="s">
        <v>427</v>
      </c>
      <c r="AE3" s="760" t="s">
        <v>428</v>
      </c>
      <c r="AF3" s="760" t="s">
        <v>429</v>
      </c>
      <c r="AG3" s="760" t="s">
        <v>430</v>
      </c>
      <c r="AH3" s="760" t="s">
        <v>431</v>
      </c>
      <c r="AI3" s="760" t="s">
        <v>432</v>
      </c>
      <c r="AJ3" s="760" t="s">
        <v>433</v>
      </c>
      <c r="AK3" s="760" t="s">
        <v>434</v>
      </c>
      <c r="AL3" s="760" t="s">
        <v>435</v>
      </c>
      <c r="AM3" s="760" t="s">
        <v>436</v>
      </c>
      <c r="AN3" s="760" t="s">
        <v>437</v>
      </c>
      <c r="AO3" s="760" t="s">
        <v>438</v>
      </c>
      <c r="AP3" s="760" t="s">
        <v>439</v>
      </c>
      <c r="AQ3" s="760" t="s">
        <v>440</v>
      </c>
      <c r="AR3" s="760" t="s">
        <v>441</v>
      </c>
      <c r="AS3" s="760" t="s">
        <v>442</v>
      </c>
      <c r="AT3" s="760" t="s">
        <v>443</v>
      </c>
      <c r="AU3" s="760" t="s">
        <v>444</v>
      </c>
      <c r="AV3" s="760" t="s">
        <v>445</v>
      </c>
      <c r="AW3" s="760" t="s">
        <v>446</v>
      </c>
      <c r="AX3" s="760" t="s">
        <v>447</v>
      </c>
      <c r="AY3" s="762" t="s">
        <v>448</v>
      </c>
      <c r="AZ3" s="762" t="s">
        <v>449</v>
      </c>
      <c r="BA3" s="762" t="s">
        <v>450</v>
      </c>
      <c r="BB3" s="762" t="s">
        <v>451</v>
      </c>
      <c r="BC3" s="762" t="s">
        <v>452</v>
      </c>
      <c r="BD3" s="762" t="s">
        <v>453</v>
      </c>
      <c r="BE3" s="762" t="s">
        <v>123</v>
      </c>
      <c r="BF3" s="762" t="s">
        <v>454</v>
      </c>
      <c r="BG3" s="762" t="s">
        <v>455</v>
      </c>
      <c r="BH3" s="762" t="s">
        <v>456</v>
      </c>
    </row>
    <row r="4" spans="1:60" ht="16" thickBot="1" x14ac:dyDescent="0.4">
      <c r="B4" s="383" t="s">
        <v>457</v>
      </c>
      <c r="C4" s="384" t="s">
        <v>458</v>
      </c>
      <c r="D4" s="385" t="s">
        <v>116</v>
      </c>
      <c r="E4" s="385" t="s">
        <v>459</v>
      </c>
      <c r="F4" s="385" t="s">
        <v>460</v>
      </c>
      <c r="G4" s="386" t="s">
        <v>461</v>
      </c>
      <c r="H4" s="387" t="s">
        <v>56</v>
      </c>
      <c r="I4" s="729" t="s">
        <v>462</v>
      </c>
      <c r="J4" s="729" t="s">
        <v>463</v>
      </c>
      <c r="K4" s="729" t="s">
        <v>464</v>
      </c>
      <c r="L4" s="388" t="s">
        <v>465</v>
      </c>
      <c r="M4" s="642" t="s">
        <v>466</v>
      </c>
      <c r="N4" s="397" t="s">
        <v>467</v>
      </c>
      <c r="O4" s="1057"/>
      <c r="P4" s="1057"/>
      <c r="R4" s="396" t="s">
        <v>93</v>
      </c>
      <c r="T4" s="40"/>
      <c r="U4" s="421" t="s">
        <v>468</v>
      </c>
      <c r="V4" s="422">
        <v>3000</v>
      </c>
      <c r="W4" s="422">
        <v>3000</v>
      </c>
      <c r="X4" s="422">
        <v>3000</v>
      </c>
      <c r="Y4" s="422">
        <v>3000</v>
      </c>
      <c r="Z4" s="422">
        <v>3000</v>
      </c>
      <c r="AA4" s="422">
        <v>3000</v>
      </c>
      <c r="AB4" s="422">
        <v>3000</v>
      </c>
      <c r="AC4" s="422">
        <v>3000</v>
      </c>
      <c r="AD4" s="422">
        <v>3000</v>
      </c>
      <c r="AE4" s="422">
        <v>3000</v>
      </c>
      <c r="AF4" s="422">
        <v>3000</v>
      </c>
      <c r="AG4" s="422">
        <v>3000</v>
      </c>
      <c r="AH4" s="422">
        <v>3000</v>
      </c>
      <c r="AI4" s="422">
        <v>3000</v>
      </c>
      <c r="AJ4" s="422">
        <v>3000</v>
      </c>
      <c r="AK4" s="422">
        <v>3000</v>
      </c>
      <c r="AL4" s="422">
        <v>3000</v>
      </c>
      <c r="AM4" s="422">
        <v>1500</v>
      </c>
      <c r="AN4" s="422">
        <v>1500</v>
      </c>
      <c r="AO4" s="422">
        <v>1500</v>
      </c>
      <c r="AP4" s="422">
        <v>1500</v>
      </c>
      <c r="AQ4" s="422">
        <v>1500</v>
      </c>
      <c r="AR4" s="422">
        <v>1500</v>
      </c>
      <c r="AS4" s="422">
        <v>1500</v>
      </c>
      <c r="AT4" s="761">
        <v>1500</v>
      </c>
      <c r="AU4" s="422">
        <v>1500</v>
      </c>
      <c r="AV4" s="422">
        <v>1500</v>
      </c>
      <c r="AW4" s="422">
        <v>1500</v>
      </c>
      <c r="AX4" s="422">
        <v>1500</v>
      </c>
      <c r="AY4" s="432">
        <v>1500</v>
      </c>
      <c r="AZ4" s="51">
        <v>1500</v>
      </c>
      <c r="BA4" s="51">
        <v>1500</v>
      </c>
      <c r="BB4" s="51">
        <v>1500</v>
      </c>
      <c r="BC4" s="51">
        <v>1500</v>
      </c>
      <c r="BD4" s="51">
        <v>3000</v>
      </c>
      <c r="BE4" s="51">
        <v>3000</v>
      </c>
      <c r="BF4" s="51">
        <v>3000</v>
      </c>
      <c r="BG4" s="51">
        <v>1500</v>
      </c>
      <c r="BH4" s="51">
        <v>1500</v>
      </c>
    </row>
    <row r="5" spans="1:60" ht="15.5" x14ac:dyDescent="0.35">
      <c r="A5" t="str" cm="1">
        <f t="array" ref="A5:A44">+_xlfn._xlws.SORT(B5:B44)</f>
        <v>Acacia</v>
      </c>
      <c r="B5" s="389" t="s">
        <v>419</v>
      </c>
      <c r="C5" s="47" t="s">
        <v>30</v>
      </c>
      <c r="D5" s="739">
        <v>2236</v>
      </c>
      <c r="E5" s="739">
        <v>4</v>
      </c>
      <c r="F5" s="739">
        <v>3</v>
      </c>
      <c r="G5" s="736">
        <v>2</v>
      </c>
      <c r="H5" s="43">
        <f>INDEX($V$58:$CA$58,MATCH(B5,$V$3:$CA$3,0))</f>
        <v>162510.13999999998</v>
      </c>
      <c r="I5" s="732">
        <v>4200</v>
      </c>
      <c r="J5" s="732">
        <v>10000</v>
      </c>
      <c r="K5" s="732" t="s">
        <v>469</v>
      </c>
      <c r="L5" s="390">
        <f>H5/D5</f>
        <v>72.678953488372088</v>
      </c>
      <c r="M5" s="638">
        <v>150</v>
      </c>
      <c r="N5" s="639" t="s">
        <v>419</v>
      </c>
      <c r="O5" s="1058"/>
      <c r="P5" s="1058"/>
      <c r="R5" s="1" t="s">
        <v>69</v>
      </c>
      <c r="S5" s="1041">
        <v>0</v>
      </c>
      <c r="T5" s="40"/>
      <c r="U5" s="421" t="s">
        <v>470</v>
      </c>
      <c r="V5" s="422">
        <v>300</v>
      </c>
      <c r="W5" s="422">
        <v>300</v>
      </c>
      <c r="X5" s="422">
        <v>300</v>
      </c>
      <c r="Y5" s="422">
        <v>300</v>
      </c>
      <c r="Z5" s="422">
        <v>300</v>
      </c>
      <c r="AA5" s="422">
        <v>300</v>
      </c>
      <c r="AB5" s="422">
        <v>300</v>
      </c>
      <c r="AC5" s="422">
        <v>300</v>
      </c>
      <c r="AD5" s="422">
        <v>300</v>
      </c>
      <c r="AE5" s="422">
        <v>300</v>
      </c>
      <c r="AF5" s="422">
        <v>300</v>
      </c>
      <c r="AG5" s="422">
        <v>300</v>
      </c>
      <c r="AH5" s="422">
        <v>300</v>
      </c>
      <c r="AI5" s="422">
        <v>300</v>
      </c>
      <c r="AJ5" s="422">
        <v>300</v>
      </c>
      <c r="AK5" s="422">
        <v>300</v>
      </c>
      <c r="AL5" s="422">
        <v>300</v>
      </c>
      <c r="AM5" s="422">
        <v>300</v>
      </c>
      <c r="AN5" s="422">
        <v>300</v>
      </c>
      <c r="AO5" s="422">
        <v>300</v>
      </c>
      <c r="AP5" s="422">
        <v>300</v>
      </c>
      <c r="AQ5" s="422">
        <v>300</v>
      </c>
      <c r="AR5" s="422">
        <v>300</v>
      </c>
      <c r="AS5" s="422">
        <v>300</v>
      </c>
      <c r="AT5" s="422">
        <v>300</v>
      </c>
      <c r="AU5" s="422">
        <v>300</v>
      </c>
      <c r="AV5" s="422">
        <v>300</v>
      </c>
      <c r="AW5" s="422">
        <v>300</v>
      </c>
      <c r="AX5" s="422">
        <v>300</v>
      </c>
      <c r="AY5" s="432">
        <v>300</v>
      </c>
      <c r="AZ5" s="51">
        <v>300</v>
      </c>
      <c r="BA5" s="51">
        <v>300</v>
      </c>
      <c r="BB5" s="51">
        <v>300</v>
      </c>
      <c r="BC5" s="51">
        <v>300</v>
      </c>
      <c r="BD5" s="51">
        <v>300</v>
      </c>
      <c r="BE5" s="51">
        <v>300</v>
      </c>
      <c r="BF5" s="51">
        <v>300</v>
      </c>
      <c r="BG5" s="51">
        <v>300</v>
      </c>
      <c r="BH5" s="51">
        <v>300</v>
      </c>
    </row>
    <row r="6" spans="1:60" ht="15.5" x14ac:dyDescent="0.35">
      <c r="A6" t="str">
        <v>Alder</v>
      </c>
      <c r="B6" s="389" t="s">
        <v>420</v>
      </c>
      <c r="C6" s="381" t="s">
        <v>30</v>
      </c>
      <c r="D6" s="738">
        <v>1788</v>
      </c>
      <c r="E6" s="738">
        <v>3</v>
      </c>
      <c r="F6" s="738">
        <v>2.5</v>
      </c>
      <c r="G6" s="734">
        <v>2</v>
      </c>
      <c r="H6" s="43">
        <f t="shared" ref="H6:H43" si="0">INDEX($V$58:$CA$58,MATCH(B6,$V$3:$CA$3,0))</f>
        <v>137618.63</v>
      </c>
      <c r="I6" s="732">
        <v>4750</v>
      </c>
      <c r="J6" s="732">
        <v>9600</v>
      </c>
      <c r="K6" s="732" t="s">
        <v>469</v>
      </c>
      <c r="L6" s="390">
        <f t="shared" ref="L6:L35" si="1">H6/D6</f>
        <v>76.967913870246093</v>
      </c>
      <c r="M6" s="638">
        <v>150</v>
      </c>
      <c r="N6" s="639" t="s">
        <v>471</v>
      </c>
      <c r="O6" s="1058"/>
      <c r="P6" s="1058"/>
      <c r="R6" s="392" t="s">
        <v>94</v>
      </c>
      <c r="S6" s="51">
        <f t="shared" ref="S6:S12" si="2">V59</f>
        <v>1185</v>
      </c>
      <c r="T6" s="40"/>
      <c r="U6" s="421" t="s">
        <v>472</v>
      </c>
      <c r="V6" s="422">
        <v>875</v>
      </c>
      <c r="W6" s="422">
        <v>875</v>
      </c>
      <c r="X6" s="422">
        <v>875</v>
      </c>
      <c r="Y6" s="422">
        <v>875</v>
      </c>
      <c r="Z6" s="422">
        <v>875</v>
      </c>
      <c r="AA6" s="422">
        <v>875</v>
      </c>
      <c r="AB6" s="422">
        <v>875</v>
      </c>
      <c r="AC6" s="422">
        <v>875</v>
      </c>
      <c r="AD6" s="422">
        <v>875</v>
      </c>
      <c r="AE6" s="422">
        <v>875</v>
      </c>
      <c r="AF6" s="422">
        <v>875</v>
      </c>
      <c r="AG6" s="422">
        <v>875</v>
      </c>
      <c r="AH6" s="422">
        <v>875</v>
      </c>
      <c r="AI6" s="422">
        <v>875</v>
      </c>
      <c r="AJ6" s="422">
        <v>875</v>
      </c>
      <c r="AK6" s="422">
        <v>875</v>
      </c>
      <c r="AL6" s="422">
        <v>875</v>
      </c>
      <c r="AM6" s="422">
        <v>437.5</v>
      </c>
      <c r="AN6" s="422">
        <v>437.5</v>
      </c>
      <c r="AO6" s="422">
        <v>437.5</v>
      </c>
      <c r="AP6" s="422">
        <v>437.5</v>
      </c>
      <c r="AQ6" s="422">
        <v>437.5</v>
      </c>
      <c r="AR6" s="422">
        <v>437.5</v>
      </c>
      <c r="AS6" s="422">
        <v>437.5</v>
      </c>
      <c r="AT6" s="422">
        <v>437.5</v>
      </c>
      <c r="AU6" s="422">
        <v>437.5</v>
      </c>
      <c r="AV6" s="422">
        <v>437.5</v>
      </c>
      <c r="AW6" s="422">
        <v>437.5</v>
      </c>
      <c r="AX6" s="422">
        <v>437.5</v>
      </c>
      <c r="AY6" s="432">
        <v>437.5</v>
      </c>
      <c r="AZ6" s="51">
        <v>437.5</v>
      </c>
      <c r="BA6" s="51">
        <v>437.5</v>
      </c>
      <c r="BB6" s="51">
        <v>437.5</v>
      </c>
      <c r="BC6" s="51">
        <v>437.5</v>
      </c>
      <c r="BD6" s="51">
        <v>875</v>
      </c>
      <c r="BE6" s="51">
        <v>875</v>
      </c>
      <c r="BF6" s="51">
        <v>875</v>
      </c>
      <c r="BG6" s="51">
        <v>437.5</v>
      </c>
      <c r="BH6" s="51">
        <v>437.5</v>
      </c>
    </row>
    <row r="7" spans="1:60" ht="15.5" x14ac:dyDescent="0.35">
      <c r="A7" t="str">
        <v>Aspen 2-Story</v>
      </c>
      <c r="B7" s="389" t="s">
        <v>453</v>
      </c>
      <c r="C7" s="381" t="s">
        <v>30</v>
      </c>
      <c r="D7" s="738">
        <v>2168</v>
      </c>
      <c r="E7" s="738">
        <v>3</v>
      </c>
      <c r="F7" s="738">
        <v>2.5</v>
      </c>
      <c r="G7" s="734">
        <v>2</v>
      </c>
      <c r="H7" s="43">
        <f t="shared" si="0"/>
        <v>158618.63</v>
      </c>
      <c r="I7" s="732">
        <v>5050</v>
      </c>
      <c r="J7" s="732">
        <v>10100</v>
      </c>
      <c r="K7" s="732" t="s">
        <v>469</v>
      </c>
      <c r="L7" s="390">
        <f t="shared" si="1"/>
        <v>73.163574723247237</v>
      </c>
      <c r="M7" s="638">
        <v>150</v>
      </c>
      <c r="N7" s="639" t="s">
        <v>471</v>
      </c>
      <c r="O7" s="1058"/>
      <c r="P7" s="1058"/>
      <c r="R7" s="392" t="s">
        <v>95</v>
      </c>
      <c r="S7" s="51">
        <f t="shared" si="2"/>
        <v>0</v>
      </c>
      <c r="T7" s="40"/>
      <c r="U7" s="421" t="s">
        <v>473</v>
      </c>
      <c r="V7" s="422">
        <v>50</v>
      </c>
      <c r="W7" s="422">
        <v>50</v>
      </c>
      <c r="X7" s="422">
        <v>50</v>
      </c>
      <c r="Y7" s="422">
        <v>50</v>
      </c>
      <c r="Z7" s="422">
        <v>50</v>
      </c>
      <c r="AA7" s="422">
        <v>50</v>
      </c>
      <c r="AB7" s="422">
        <v>50</v>
      </c>
      <c r="AC7" s="422">
        <v>50</v>
      </c>
      <c r="AD7" s="422">
        <v>50</v>
      </c>
      <c r="AE7" s="422">
        <v>50</v>
      </c>
      <c r="AF7" s="422">
        <v>50</v>
      </c>
      <c r="AG7" s="422">
        <v>50</v>
      </c>
      <c r="AH7" s="422">
        <v>50</v>
      </c>
      <c r="AI7" s="422">
        <v>50</v>
      </c>
      <c r="AJ7" s="422">
        <v>50</v>
      </c>
      <c r="AK7" s="422">
        <v>50</v>
      </c>
      <c r="AL7" s="422">
        <v>50</v>
      </c>
      <c r="AM7" s="422">
        <v>50</v>
      </c>
      <c r="AN7" s="422">
        <v>50</v>
      </c>
      <c r="AO7" s="422">
        <v>50</v>
      </c>
      <c r="AP7" s="422">
        <v>50</v>
      </c>
      <c r="AQ7" s="422">
        <v>50</v>
      </c>
      <c r="AR7" s="422">
        <v>50</v>
      </c>
      <c r="AS7" s="422">
        <v>50</v>
      </c>
      <c r="AT7" s="422">
        <v>50</v>
      </c>
      <c r="AU7" s="422">
        <v>50</v>
      </c>
      <c r="AV7" s="422">
        <v>50</v>
      </c>
      <c r="AW7" s="422">
        <v>50</v>
      </c>
      <c r="AX7" s="422">
        <v>50</v>
      </c>
      <c r="AY7" s="432">
        <v>50</v>
      </c>
      <c r="AZ7" s="51">
        <v>50</v>
      </c>
      <c r="BA7" s="51">
        <v>50</v>
      </c>
      <c r="BB7" s="51">
        <v>50</v>
      </c>
      <c r="BC7" s="51">
        <v>50</v>
      </c>
      <c r="BD7" s="51">
        <v>50</v>
      </c>
      <c r="BE7" s="51">
        <v>50</v>
      </c>
      <c r="BF7" s="51">
        <v>50</v>
      </c>
      <c r="BG7" s="51">
        <v>50</v>
      </c>
      <c r="BH7" s="51">
        <v>50</v>
      </c>
    </row>
    <row r="8" spans="1:60" ht="15.5" x14ac:dyDescent="0.35">
      <c r="A8" t="str">
        <v>Aspen 3-Story</v>
      </c>
      <c r="B8" s="389" t="s">
        <v>421</v>
      </c>
      <c r="C8" s="381" t="s">
        <v>30</v>
      </c>
      <c r="D8" s="738">
        <v>1554</v>
      </c>
      <c r="E8" s="738">
        <v>3</v>
      </c>
      <c r="F8" s="738">
        <v>2.5</v>
      </c>
      <c r="G8" s="734">
        <v>0</v>
      </c>
      <c r="H8" s="43">
        <f t="shared" si="0"/>
        <v>115967.93</v>
      </c>
      <c r="I8" s="732">
        <v>4200</v>
      </c>
      <c r="J8" s="732">
        <v>8800</v>
      </c>
      <c r="K8" s="732" t="s">
        <v>469</v>
      </c>
      <c r="L8" s="390">
        <f t="shared" si="1"/>
        <v>74.625437580437577</v>
      </c>
      <c r="M8" s="638">
        <v>150</v>
      </c>
      <c r="N8" s="1043" t="s">
        <v>474</v>
      </c>
      <c r="O8" s="1059"/>
      <c r="P8" s="1059"/>
      <c r="R8" s="392" t="s">
        <v>475</v>
      </c>
      <c r="S8" s="51">
        <f t="shared" si="2"/>
        <v>1700</v>
      </c>
      <c r="T8" s="40"/>
      <c r="U8" s="421" t="s">
        <v>476</v>
      </c>
      <c r="V8" s="422">
        <v>185</v>
      </c>
      <c r="W8" s="422">
        <v>185</v>
      </c>
      <c r="X8" s="422">
        <v>185</v>
      </c>
      <c r="Y8" s="422">
        <v>185</v>
      </c>
      <c r="Z8" s="422">
        <v>185</v>
      </c>
      <c r="AA8" s="422">
        <v>185</v>
      </c>
      <c r="AB8" s="422">
        <v>185</v>
      </c>
      <c r="AC8" s="422">
        <v>185</v>
      </c>
      <c r="AD8" s="422">
        <v>185</v>
      </c>
      <c r="AE8" s="422">
        <v>185</v>
      </c>
      <c r="AF8" s="422">
        <v>185</v>
      </c>
      <c r="AG8" s="422">
        <v>185</v>
      </c>
      <c r="AH8" s="422">
        <v>185</v>
      </c>
      <c r="AI8" s="422">
        <v>185</v>
      </c>
      <c r="AJ8" s="422">
        <v>185</v>
      </c>
      <c r="AK8" s="422">
        <v>185</v>
      </c>
      <c r="AL8" s="422">
        <v>185</v>
      </c>
      <c r="AM8" s="422">
        <v>100</v>
      </c>
      <c r="AN8" s="422">
        <v>100</v>
      </c>
      <c r="AO8" s="422">
        <v>100</v>
      </c>
      <c r="AP8" s="422">
        <v>100</v>
      </c>
      <c r="AQ8" s="422">
        <v>100</v>
      </c>
      <c r="AR8" s="422">
        <v>100</v>
      </c>
      <c r="AS8" s="422">
        <v>100</v>
      </c>
      <c r="AT8" s="422">
        <v>100</v>
      </c>
      <c r="AU8" s="422">
        <v>100</v>
      </c>
      <c r="AV8" s="422">
        <v>100</v>
      </c>
      <c r="AW8" s="422">
        <v>100</v>
      </c>
      <c r="AX8" s="422">
        <v>100</v>
      </c>
      <c r="AY8" s="432">
        <v>100</v>
      </c>
      <c r="AZ8" s="51">
        <v>100</v>
      </c>
      <c r="BA8" s="51">
        <v>100</v>
      </c>
      <c r="BB8" s="51">
        <v>100</v>
      </c>
      <c r="BC8" s="51">
        <v>100</v>
      </c>
      <c r="BD8" s="51">
        <v>185</v>
      </c>
      <c r="BE8" s="51">
        <v>225</v>
      </c>
      <c r="BF8" s="51">
        <v>225</v>
      </c>
      <c r="BG8" s="51">
        <v>100</v>
      </c>
      <c r="BH8" s="51">
        <v>100</v>
      </c>
    </row>
    <row r="9" spans="1:60" ht="15.5" x14ac:dyDescent="0.35">
      <c r="A9" t="str">
        <v>Atlas II</v>
      </c>
      <c r="B9" s="389" t="s">
        <v>422</v>
      </c>
      <c r="C9" s="381" t="s">
        <v>30</v>
      </c>
      <c r="D9" s="738">
        <v>1400</v>
      </c>
      <c r="E9" s="738">
        <v>3</v>
      </c>
      <c r="F9" s="738">
        <v>3</v>
      </c>
      <c r="G9" s="734">
        <v>2</v>
      </c>
      <c r="H9" s="43">
        <f t="shared" si="0"/>
        <v>132231.44999999998</v>
      </c>
      <c r="I9" s="732">
        <v>4600</v>
      </c>
      <c r="J9" s="732">
        <v>10300</v>
      </c>
      <c r="K9" s="732" t="s">
        <v>469</v>
      </c>
      <c r="L9" s="390">
        <f t="shared" si="1"/>
        <v>94.451035714285709</v>
      </c>
      <c r="M9" s="638">
        <v>150</v>
      </c>
      <c r="N9" s="639" t="s">
        <v>422</v>
      </c>
      <c r="O9" s="1058"/>
      <c r="P9" s="1058"/>
      <c r="R9" s="1071" t="s">
        <v>97</v>
      </c>
      <c r="S9" s="1072">
        <v>1000</v>
      </c>
      <c r="T9" s="40"/>
      <c r="U9" s="421" t="s">
        <v>477</v>
      </c>
      <c r="V9" s="422">
        <v>11104.49</v>
      </c>
      <c r="W9" s="422">
        <v>9431.9</v>
      </c>
      <c r="X9" s="422">
        <v>7728.8</v>
      </c>
      <c r="Y9" s="422">
        <v>12383.01</v>
      </c>
      <c r="Z9" s="422">
        <v>10656.85</v>
      </c>
      <c r="AA9" s="422">
        <v>8339.2099999999991</v>
      </c>
      <c r="AB9" s="422">
        <v>8613.02</v>
      </c>
      <c r="AC9" s="422">
        <v>10133.56</v>
      </c>
      <c r="AD9" s="422">
        <v>9144.7099999999991</v>
      </c>
      <c r="AE9" s="422">
        <v>5318.1</v>
      </c>
      <c r="AF9" s="422">
        <v>8587.7099999999991</v>
      </c>
      <c r="AG9" s="422">
        <v>13138.51</v>
      </c>
      <c r="AH9" s="422">
        <v>13115.47</v>
      </c>
      <c r="AI9" s="422">
        <v>7498.5</v>
      </c>
      <c r="AJ9" s="422">
        <v>6015.42</v>
      </c>
      <c r="AK9" s="422">
        <v>9755.2000000000007</v>
      </c>
      <c r="AL9" s="422">
        <v>8475.6</v>
      </c>
      <c r="AM9" s="422">
        <v>12617.8</v>
      </c>
      <c r="AN9" s="422">
        <v>10871.89</v>
      </c>
      <c r="AO9" s="422">
        <v>10894.93</v>
      </c>
      <c r="AP9" s="422">
        <v>11713.79</v>
      </c>
      <c r="AQ9" s="422">
        <v>14894.86</v>
      </c>
      <c r="AR9" s="422">
        <v>13804.66</v>
      </c>
      <c r="AS9" s="422">
        <v>10871.89</v>
      </c>
      <c r="AT9" s="422">
        <v>13804.63</v>
      </c>
      <c r="AU9" s="422">
        <v>12899.26</v>
      </c>
      <c r="AV9" s="422">
        <v>19880.189999999999</v>
      </c>
      <c r="AW9" s="422">
        <v>15866.78</v>
      </c>
      <c r="AX9" s="422">
        <v>18492.96</v>
      </c>
      <c r="AY9" s="432">
        <v>13255.91</v>
      </c>
      <c r="AZ9" s="51">
        <v>20740.060000000001</v>
      </c>
      <c r="BA9" s="51">
        <v>13594.11</v>
      </c>
      <c r="BB9" s="51">
        <v>16271.86</v>
      </c>
      <c r="BC9" s="51">
        <v>20446.27</v>
      </c>
      <c r="BD9" s="51">
        <v>12931.9</v>
      </c>
      <c r="BE9" s="51">
        <v>6661.73</v>
      </c>
      <c r="BF9" s="51">
        <v>14249.76</v>
      </c>
      <c r="BG9" s="51">
        <v>20404.240000000002</v>
      </c>
      <c r="BH9" s="51">
        <v>10551.74</v>
      </c>
    </row>
    <row r="10" spans="1:60" ht="15.5" x14ac:dyDescent="0.35">
      <c r="A10" t="str">
        <v>Atlas II - SC</v>
      </c>
      <c r="B10" s="389" t="s">
        <v>423</v>
      </c>
      <c r="C10" s="381" t="s">
        <v>30</v>
      </c>
      <c r="D10" s="738">
        <v>2214</v>
      </c>
      <c r="E10" s="738">
        <v>4</v>
      </c>
      <c r="F10" s="738">
        <v>3</v>
      </c>
      <c r="G10" s="734">
        <v>2</v>
      </c>
      <c r="H10" s="43">
        <f t="shared" si="0"/>
        <v>154828.83999999997</v>
      </c>
      <c r="I10" s="732">
        <v>5000</v>
      </c>
      <c r="J10" s="732">
        <v>11000</v>
      </c>
      <c r="K10" s="732" t="s">
        <v>469</v>
      </c>
      <c r="L10" s="390">
        <f t="shared" si="1"/>
        <v>69.931725383920494</v>
      </c>
      <c r="M10" s="638">
        <v>150</v>
      </c>
      <c r="N10" s="639" t="s">
        <v>423</v>
      </c>
      <c r="O10" s="1058"/>
      <c r="P10" s="1058"/>
      <c r="R10" s="392" t="s">
        <v>79</v>
      </c>
      <c r="S10" s="51">
        <f t="shared" si="2"/>
        <v>500</v>
      </c>
      <c r="T10" s="40"/>
      <c r="U10" s="421" t="s">
        <v>478</v>
      </c>
      <c r="V10" s="422">
        <v>11814</v>
      </c>
      <c r="W10" s="422">
        <v>9953.4</v>
      </c>
      <c r="X10" s="422">
        <v>7399.7999999999993</v>
      </c>
      <c r="Y10" s="422">
        <v>9775</v>
      </c>
      <c r="Z10" s="422">
        <v>11965.2</v>
      </c>
      <c r="AA10" s="422">
        <v>8890.8000000000011</v>
      </c>
      <c r="AB10" s="422">
        <v>9630</v>
      </c>
      <c r="AC10" s="422">
        <v>10848</v>
      </c>
      <c r="AD10" s="422">
        <v>9714</v>
      </c>
      <c r="AE10" s="422">
        <v>8378.4</v>
      </c>
      <c r="AF10" s="422">
        <v>8722.8000000000011</v>
      </c>
      <c r="AG10" s="422">
        <v>14014.8</v>
      </c>
      <c r="AH10" s="422">
        <v>9646.8000000000011</v>
      </c>
      <c r="AI10" s="422">
        <v>9272</v>
      </c>
      <c r="AJ10" s="422">
        <v>6936</v>
      </c>
      <c r="AK10" s="422">
        <v>10877.4</v>
      </c>
      <c r="AL10" s="422">
        <v>10244.799999999999</v>
      </c>
      <c r="AM10" s="422">
        <v>11125.6</v>
      </c>
      <c r="AN10" s="422">
        <v>12164</v>
      </c>
      <c r="AO10" s="422">
        <v>8399.64</v>
      </c>
      <c r="AP10" s="422">
        <v>10275.76</v>
      </c>
      <c r="AQ10" s="422">
        <v>16075.699999999999</v>
      </c>
      <c r="AR10" s="422">
        <v>11704</v>
      </c>
      <c r="AS10" s="422">
        <v>12164</v>
      </c>
      <c r="AT10" s="422">
        <v>13544.599999999999</v>
      </c>
      <c r="AU10" s="422">
        <v>12196.11</v>
      </c>
      <c r="AV10" s="422">
        <v>16850.16</v>
      </c>
      <c r="AW10" s="422">
        <v>16065.46</v>
      </c>
      <c r="AX10" s="422">
        <v>15790</v>
      </c>
      <c r="AY10" s="432">
        <v>12057.800000000001</v>
      </c>
      <c r="AZ10" s="51">
        <v>13539.9</v>
      </c>
      <c r="BA10" s="51">
        <v>14974.2</v>
      </c>
      <c r="BB10" s="51">
        <v>11939.8</v>
      </c>
      <c r="BC10" s="51">
        <v>14443.8</v>
      </c>
      <c r="BD10" s="51">
        <v>9953.4</v>
      </c>
      <c r="BE10" s="51">
        <v>7399.7999999999993</v>
      </c>
      <c r="BF10" s="51">
        <v>14014.8</v>
      </c>
      <c r="BG10" s="51">
        <v>16850.16</v>
      </c>
      <c r="BH10" s="51">
        <v>10275.76</v>
      </c>
    </row>
    <row r="11" spans="1:60" ht="15.5" x14ac:dyDescent="0.35">
      <c r="A11" t="str">
        <v>Banyan</v>
      </c>
      <c r="B11" s="389" t="s">
        <v>424</v>
      </c>
      <c r="C11" s="381" t="s">
        <v>30</v>
      </c>
      <c r="D11" s="738">
        <v>1541</v>
      </c>
      <c r="E11" s="738">
        <v>3</v>
      </c>
      <c r="F11" s="738">
        <v>2.5</v>
      </c>
      <c r="G11" s="734">
        <v>2</v>
      </c>
      <c r="H11" s="43">
        <f t="shared" si="0"/>
        <v>123366.66000000002</v>
      </c>
      <c r="I11" s="732">
        <v>4000</v>
      </c>
      <c r="J11" s="732">
        <v>8300</v>
      </c>
      <c r="K11" s="732" t="s">
        <v>469</v>
      </c>
      <c r="L11" s="390">
        <f t="shared" si="1"/>
        <v>80.05623621025309</v>
      </c>
      <c r="M11" s="638">
        <v>150</v>
      </c>
      <c r="N11" s="639" t="s">
        <v>424</v>
      </c>
      <c r="O11" s="1058"/>
      <c r="P11" s="1058"/>
      <c r="R11" s="392" t="s">
        <v>99</v>
      </c>
      <c r="S11" s="51">
        <f t="shared" si="2"/>
        <v>2500</v>
      </c>
      <c r="T11" s="40"/>
      <c r="U11" s="421" t="s">
        <v>479</v>
      </c>
      <c r="V11" s="422">
        <v>4155.9399999999996</v>
      </c>
      <c r="W11" s="422">
        <v>5696.33</v>
      </c>
      <c r="X11" s="422">
        <v>2669.74</v>
      </c>
      <c r="Y11" s="422">
        <v>6113.79</v>
      </c>
      <c r="Z11" s="422">
        <v>4821.04</v>
      </c>
      <c r="AA11" s="422">
        <v>4063.71</v>
      </c>
      <c r="AB11" s="422">
        <v>3755.36</v>
      </c>
      <c r="AC11" s="422">
        <v>5135.8999999999996</v>
      </c>
      <c r="AD11" s="422">
        <v>3981.09</v>
      </c>
      <c r="AE11" s="422">
        <v>3647.87</v>
      </c>
      <c r="AF11" s="422">
        <v>5616</v>
      </c>
      <c r="AG11" s="422">
        <v>5532.68</v>
      </c>
      <c r="AH11" s="422">
        <v>5428</v>
      </c>
      <c r="AI11" s="422">
        <v>0</v>
      </c>
      <c r="AJ11" s="422">
        <v>0</v>
      </c>
      <c r="AK11" s="422">
        <v>4905.78</v>
      </c>
      <c r="AL11" s="422">
        <v>3103.56</v>
      </c>
      <c r="AM11" s="422">
        <v>2858.58</v>
      </c>
      <c r="AN11" s="422">
        <v>3919.99</v>
      </c>
      <c r="AO11" s="422">
        <v>4152.7700000000004</v>
      </c>
      <c r="AP11" s="422">
        <v>2344.29</v>
      </c>
      <c r="AQ11" s="422">
        <v>3878.46</v>
      </c>
      <c r="AR11" s="422">
        <v>2168.84</v>
      </c>
      <c r="AS11" s="422">
        <v>3641.18</v>
      </c>
      <c r="AT11" s="422">
        <v>2168.84</v>
      </c>
      <c r="AU11" s="422">
        <v>3361</v>
      </c>
      <c r="AV11" s="422">
        <v>4405.2299999999996</v>
      </c>
      <c r="AW11" s="422">
        <v>6594.1399999999994</v>
      </c>
      <c r="AX11" s="422">
        <v>4405.2299999999996</v>
      </c>
      <c r="AY11" s="432">
        <v>2945.54</v>
      </c>
      <c r="AZ11" s="51">
        <v>3516.08</v>
      </c>
      <c r="BA11" s="51">
        <v>5207.47</v>
      </c>
      <c r="BB11" s="51">
        <v>3437.66</v>
      </c>
      <c r="BC11" s="51">
        <v>4698.6399999999994</v>
      </c>
      <c r="BD11" s="51">
        <v>5696.33</v>
      </c>
      <c r="BE11" s="51">
        <v>2616.73</v>
      </c>
      <c r="BF11" s="51">
        <v>5468.2</v>
      </c>
      <c r="BG11" s="51">
        <v>6863.5</v>
      </c>
      <c r="BH11" s="51">
        <v>3040.47</v>
      </c>
    </row>
    <row r="12" spans="1:60" ht="15.5" x14ac:dyDescent="0.35">
      <c r="A12" t="str">
        <v>Bayberry</v>
      </c>
      <c r="B12" s="389" t="s">
        <v>425</v>
      </c>
      <c r="C12" s="381" t="s">
        <v>30</v>
      </c>
      <c r="D12" s="738">
        <v>1713</v>
      </c>
      <c r="E12" s="738">
        <v>4</v>
      </c>
      <c r="F12" s="738">
        <v>2.5</v>
      </c>
      <c r="G12" s="734">
        <v>2</v>
      </c>
      <c r="H12" s="43">
        <f t="shared" si="0"/>
        <v>129651.84999999999</v>
      </c>
      <c r="I12" s="732">
        <v>4450</v>
      </c>
      <c r="J12" s="732">
        <v>9100</v>
      </c>
      <c r="K12" s="732" t="s">
        <v>469</v>
      </c>
      <c r="L12" s="390">
        <f t="shared" si="1"/>
        <v>75.687011091652067</v>
      </c>
      <c r="M12" s="638">
        <v>150</v>
      </c>
      <c r="N12" s="639" t="s">
        <v>425</v>
      </c>
      <c r="O12" s="1058"/>
      <c r="P12" s="1058"/>
      <c r="R12" s="392" t="s">
        <v>100</v>
      </c>
      <c r="S12" s="51">
        <f t="shared" si="2"/>
        <v>2475</v>
      </c>
      <c r="T12" s="40"/>
      <c r="U12" s="421" t="s">
        <v>480</v>
      </c>
      <c r="V12" s="422">
        <v>580.59</v>
      </c>
      <c r="W12" s="422">
        <v>580.59</v>
      </c>
      <c r="X12" s="422">
        <v>580.59</v>
      </c>
      <c r="Y12" s="422">
        <v>1161.17</v>
      </c>
      <c r="Z12" s="422">
        <v>580.59</v>
      </c>
      <c r="AA12" s="422">
        <v>580.59</v>
      </c>
      <c r="AB12" s="422">
        <v>580.59</v>
      </c>
      <c r="AC12" s="422">
        <v>580.59</v>
      </c>
      <c r="AD12" s="422">
        <v>580.59</v>
      </c>
      <c r="AE12" s="422">
        <v>580.59</v>
      </c>
      <c r="AF12" s="422">
        <v>1161.17</v>
      </c>
      <c r="AG12" s="422">
        <v>580.59</v>
      </c>
      <c r="AH12" s="422">
        <v>580.59</v>
      </c>
      <c r="AI12" s="422">
        <v>0</v>
      </c>
      <c r="AJ12" s="422">
        <v>0</v>
      </c>
      <c r="AK12" s="422">
        <v>580.59</v>
      </c>
      <c r="AL12" s="422">
        <v>580.59</v>
      </c>
      <c r="AM12" s="422">
        <v>580.59</v>
      </c>
      <c r="AN12" s="422">
        <v>580.59</v>
      </c>
      <c r="AO12" s="422">
        <v>580.59</v>
      </c>
      <c r="AP12" s="422">
        <v>580.59</v>
      </c>
      <c r="AQ12" s="422">
        <v>580.59</v>
      </c>
      <c r="AR12" s="422">
        <v>580.59</v>
      </c>
      <c r="AS12" s="422">
        <v>580.59</v>
      </c>
      <c r="AT12" s="422">
        <v>580.59</v>
      </c>
      <c r="AU12" s="422">
        <v>580.59</v>
      </c>
      <c r="AV12" s="422">
        <v>1161.17</v>
      </c>
      <c r="AW12" s="422">
        <v>1161.17</v>
      </c>
      <c r="AX12" s="422">
        <v>1741.76</v>
      </c>
      <c r="AY12" s="432">
        <v>580.59</v>
      </c>
      <c r="AZ12" s="51">
        <v>580.59</v>
      </c>
      <c r="BA12" s="51">
        <v>580.59</v>
      </c>
      <c r="BB12" s="51">
        <v>580.59</v>
      </c>
      <c r="BC12" s="51">
        <v>1161.17</v>
      </c>
      <c r="BD12" s="51">
        <v>580.59</v>
      </c>
      <c r="BE12" s="51">
        <v>573.82000000000005</v>
      </c>
      <c r="BF12" s="51">
        <v>573.82000000000005</v>
      </c>
      <c r="BG12" s="51">
        <v>1147.6400000000001</v>
      </c>
      <c r="BH12" s="51">
        <v>580.59</v>
      </c>
    </row>
    <row r="13" spans="1:60" ht="15.5" x14ac:dyDescent="0.35">
      <c r="A13" t="str">
        <v>Boxelder</v>
      </c>
      <c r="B13" s="389" t="s">
        <v>426</v>
      </c>
      <c r="C13" s="381" t="s">
        <v>30</v>
      </c>
      <c r="D13" s="738">
        <v>2000</v>
      </c>
      <c r="E13" s="738">
        <v>4</v>
      </c>
      <c r="F13" s="738">
        <v>2.5</v>
      </c>
      <c r="G13" s="734">
        <v>2</v>
      </c>
      <c r="H13" s="43">
        <f t="shared" si="0"/>
        <v>141925.87</v>
      </c>
      <c r="I13" s="732">
        <v>4000</v>
      </c>
      <c r="J13" s="732">
        <v>8500</v>
      </c>
      <c r="K13" s="732" t="s">
        <v>469</v>
      </c>
      <c r="L13" s="390">
        <f t="shared" si="1"/>
        <v>70.962935000000002</v>
      </c>
      <c r="M13" s="638">
        <v>150</v>
      </c>
      <c r="N13" s="639" t="s">
        <v>426</v>
      </c>
      <c r="O13" s="1058"/>
      <c r="P13" s="1058"/>
      <c r="R13" s="393"/>
      <c r="S13" s="394">
        <f>SUM(S5:S12)</f>
        <v>9360</v>
      </c>
      <c r="T13" s="40"/>
      <c r="U13" s="421" t="s">
        <v>481</v>
      </c>
      <c r="V13" s="422">
        <v>6556.27</v>
      </c>
      <c r="W13" s="422">
        <v>4606.55</v>
      </c>
      <c r="X13" s="422">
        <v>2810.98</v>
      </c>
      <c r="Y13" s="422">
        <v>1549.23</v>
      </c>
      <c r="Z13" s="422">
        <v>4835.45</v>
      </c>
      <c r="AA13" s="422">
        <v>3782.21</v>
      </c>
      <c r="AB13" s="422">
        <v>3152.9</v>
      </c>
      <c r="AC13" s="422">
        <v>4450.17</v>
      </c>
      <c r="AD13" s="422">
        <v>3523.21</v>
      </c>
      <c r="AE13" s="422">
        <v>4737.3900000000003</v>
      </c>
      <c r="AF13" s="422">
        <v>3966.85</v>
      </c>
      <c r="AG13" s="422">
        <v>5567.64</v>
      </c>
      <c r="AH13" s="422">
        <v>3414.36</v>
      </c>
      <c r="AI13" s="422">
        <v>6700.77</v>
      </c>
      <c r="AJ13" s="422">
        <v>4959.1000000000004</v>
      </c>
      <c r="AK13" s="422">
        <v>3392.32</v>
      </c>
      <c r="AL13" s="422">
        <v>3694.53</v>
      </c>
      <c r="AM13" s="422">
        <v>3252.72</v>
      </c>
      <c r="AN13" s="422">
        <v>3893.18</v>
      </c>
      <c r="AO13" s="422">
        <v>2966.77</v>
      </c>
      <c r="AP13" s="422">
        <v>2302.33</v>
      </c>
      <c r="AQ13" s="422">
        <v>6450.79</v>
      </c>
      <c r="AR13" s="422">
        <v>3050.07</v>
      </c>
      <c r="AS13" s="422">
        <v>3758</v>
      </c>
      <c r="AT13" s="422">
        <v>3050.07</v>
      </c>
      <c r="AU13" s="422">
        <v>2789.7</v>
      </c>
      <c r="AV13" s="422">
        <v>2700.52</v>
      </c>
      <c r="AW13" s="422">
        <v>2541.5700000000002</v>
      </c>
      <c r="AX13" s="422">
        <v>2975.45</v>
      </c>
      <c r="AY13" s="432">
        <v>3221.91</v>
      </c>
      <c r="AZ13" s="51">
        <v>3149.92</v>
      </c>
      <c r="BA13" s="51">
        <v>3869.3</v>
      </c>
      <c r="BB13" s="51">
        <v>2823.48</v>
      </c>
      <c r="BC13" s="51">
        <v>2464.5100000000002</v>
      </c>
      <c r="BD13" s="51">
        <v>4606.55</v>
      </c>
      <c r="BE13" s="51">
        <v>2458.39</v>
      </c>
      <c r="BF13" s="51">
        <v>6490.15</v>
      </c>
      <c r="BG13" s="51">
        <v>2660.6</v>
      </c>
      <c r="BH13" s="51">
        <v>2621.54</v>
      </c>
    </row>
    <row r="14" spans="1:60" ht="15.5" x14ac:dyDescent="0.35">
      <c r="A14" t="str">
        <v>Bur Oak</v>
      </c>
      <c r="B14" s="389" t="s">
        <v>427</v>
      </c>
      <c r="C14" s="381" t="s">
        <v>30</v>
      </c>
      <c r="D14" s="738">
        <v>1712</v>
      </c>
      <c r="E14" s="738">
        <v>4</v>
      </c>
      <c r="F14" s="738">
        <v>2.5</v>
      </c>
      <c r="G14" s="734">
        <v>2</v>
      </c>
      <c r="H14" s="43">
        <f t="shared" si="0"/>
        <v>130967.62000000001</v>
      </c>
      <c r="I14" s="732">
        <v>4300</v>
      </c>
      <c r="J14" s="732">
        <v>9000</v>
      </c>
      <c r="K14" s="732" t="s">
        <v>469</v>
      </c>
      <c r="L14" s="390">
        <f t="shared" si="1"/>
        <v>76.49977803738318</v>
      </c>
      <c r="M14" s="638">
        <v>150</v>
      </c>
      <c r="N14" s="639" t="s">
        <v>427</v>
      </c>
      <c r="O14" s="1058"/>
      <c r="P14" s="1058"/>
      <c r="R14" s="395" t="s">
        <v>103</v>
      </c>
      <c r="T14" s="40"/>
      <c r="U14" s="421" t="s">
        <v>482</v>
      </c>
      <c r="V14" s="422">
        <v>0</v>
      </c>
      <c r="W14" s="422">
        <v>0</v>
      </c>
      <c r="X14" s="422">
        <v>0</v>
      </c>
      <c r="Y14" s="422">
        <v>0</v>
      </c>
      <c r="Z14" s="422">
        <v>0</v>
      </c>
      <c r="AA14" s="422">
        <v>0</v>
      </c>
      <c r="AB14" s="422">
        <v>0</v>
      </c>
      <c r="AC14" s="422">
        <v>0</v>
      </c>
      <c r="AD14" s="422">
        <v>0</v>
      </c>
      <c r="AE14" s="422">
        <v>0</v>
      </c>
      <c r="AF14" s="422">
        <v>0</v>
      </c>
      <c r="AG14" s="422">
        <v>0</v>
      </c>
      <c r="AH14" s="422">
        <v>0</v>
      </c>
      <c r="AI14" s="422">
        <v>0</v>
      </c>
      <c r="AJ14" s="422">
        <v>0</v>
      </c>
      <c r="AK14" s="422">
        <v>0</v>
      </c>
      <c r="AL14" s="422">
        <v>0</v>
      </c>
      <c r="AM14" s="422">
        <v>0</v>
      </c>
      <c r="AN14" s="422">
        <v>0</v>
      </c>
      <c r="AO14" s="422">
        <v>0</v>
      </c>
      <c r="AP14" s="422">
        <v>0</v>
      </c>
      <c r="AQ14" s="422">
        <v>0</v>
      </c>
      <c r="AR14" s="422">
        <v>0</v>
      </c>
      <c r="AS14" s="422">
        <v>0</v>
      </c>
      <c r="AT14" s="422">
        <v>0</v>
      </c>
      <c r="AU14" s="422">
        <v>0</v>
      </c>
      <c r="AV14" s="422">
        <v>0</v>
      </c>
      <c r="AW14" s="422">
        <v>0</v>
      </c>
      <c r="AX14" s="422">
        <v>0</v>
      </c>
      <c r="AY14" s="432">
        <v>0</v>
      </c>
      <c r="AZ14" s="51">
        <v>0</v>
      </c>
      <c r="BA14" s="51">
        <v>0</v>
      </c>
      <c r="BB14" s="51">
        <v>0</v>
      </c>
      <c r="BC14" s="51">
        <v>0</v>
      </c>
      <c r="BD14" s="51">
        <v>0</v>
      </c>
      <c r="BE14" s="51">
        <v>0</v>
      </c>
      <c r="BF14" s="51">
        <v>0</v>
      </c>
      <c r="BG14" s="51">
        <v>0</v>
      </c>
      <c r="BH14" s="51">
        <v>0</v>
      </c>
    </row>
    <row r="15" spans="1:60" ht="15.5" x14ac:dyDescent="0.35">
      <c r="A15" t="str">
        <v>Cherry</v>
      </c>
      <c r="B15" s="389" t="s">
        <v>428</v>
      </c>
      <c r="C15" s="381" t="s">
        <v>30</v>
      </c>
      <c r="D15" s="738">
        <v>1382</v>
      </c>
      <c r="E15" s="738">
        <v>3</v>
      </c>
      <c r="F15" s="738">
        <v>3</v>
      </c>
      <c r="G15" s="734">
        <v>1</v>
      </c>
      <c r="H15" s="43">
        <f t="shared" si="0"/>
        <v>120703.39000000001</v>
      </c>
      <c r="I15" s="732">
        <v>4000</v>
      </c>
      <c r="J15" s="732">
        <v>9000</v>
      </c>
      <c r="K15" s="732" t="s">
        <v>469</v>
      </c>
      <c r="L15" s="390">
        <f t="shared" si="1"/>
        <v>87.339645441389294</v>
      </c>
      <c r="M15" s="638">
        <v>150</v>
      </c>
      <c r="N15" s="639" t="s">
        <v>428</v>
      </c>
      <c r="O15" s="1058"/>
      <c r="P15" s="1058"/>
      <c r="R15" s="392" t="s">
        <v>104</v>
      </c>
      <c r="S15" s="51">
        <f>V67</f>
        <v>2050</v>
      </c>
      <c r="T15" s="40"/>
      <c r="U15" s="421" t="s">
        <v>483</v>
      </c>
      <c r="V15" s="422">
        <v>0</v>
      </c>
      <c r="W15" s="422">
        <v>0</v>
      </c>
      <c r="X15" s="422">
        <v>0</v>
      </c>
      <c r="Y15" s="422">
        <v>0</v>
      </c>
      <c r="Z15" s="422">
        <v>0</v>
      </c>
      <c r="AA15" s="422">
        <v>0</v>
      </c>
      <c r="AB15" s="422">
        <v>0</v>
      </c>
      <c r="AC15" s="422">
        <v>0</v>
      </c>
      <c r="AD15" s="422">
        <v>0</v>
      </c>
      <c r="AE15" s="422">
        <v>0</v>
      </c>
      <c r="AF15" s="422">
        <v>0</v>
      </c>
      <c r="AG15" s="422">
        <v>0</v>
      </c>
      <c r="AH15" s="422">
        <v>0</v>
      </c>
      <c r="AI15" s="422">
        <v>0</v>
      </c>
      <c r="AJ15" s="422">
        <v>0</v>
      </c>
      <c r="AK15" s="422">
        <v>0</v>
      </c>
      <c r="AL15" s="422">
        <v>0</v>
      </c>
      <c r="AM15" s="422">
        <v>0</v>
      </c>
      <c r="AN15" s="422">
        <v>0</v>
      </c>
      <c r="AO15" s="422">
        <v>0</v>
      </c>
      <c r="AP15" s="422">
        <v>0</v>
      </c>
      <c r="AQ15" s="422">
        <v>0</v>
      </c>
      <c r="AR15" s="422">
        <v>0</v>
      </c>
      <c r="AS15" s="422">
        <v>0</v>
      </c>
      <c r="AT15" s="422">
        <v>0</v>
      </c>
      <c r="AU15" s="422">
        <v>0</v>
      </c>
      <c r="AV15" s="422">
        <v>0</v>
      </c>
      <c r="AW15" s="422">
        <v>0</v>
      </c>
      <c r="AX15" s="422">
        <v>0</v>
      </c>
      <c r="AY15" s="432">
        <v>0</v>
      </c>
      <c r="AZ15" s="51">
        <v>0</v>
      </c>
      <c r="BA15" s="51">
        <v>0</v>
      </c>
      <c r="BB15" s="51">
        <v>0</v>
      </c>
      <c r="BC15" s="51">
        <v>0</v>
      </c>
      <c r="BD15" s="51">
        <v>0</v>
      </c>
      <c r="BE15" s="51">
        <v>0</v>
      </c>
      <c r="BF15" s="51">
        <v>0</v>
      </c>
      <c r="BG15" s="51">
        <v>0</v>
      </c>
      <c r="BH15" s="51">
        <v>0</v>
      </c>
    </row>
    <row r="16" spans="1:60" ht="15.5" x14ac:dyDescent="0.35">
      <c r="A16" t="str">
        <v>Conifer</v>
      </c>
      <c r="B16" s="389" t="s">
        <v>429</v>
      </c>
      <c r="C16" s="381" t="s">
        <v>30</v>
      </c>
      <c r="D16" s="738">
        <v>2293</v>
      </c>
      <c r="E16" s="738">
        <v>4</v>
      </c>
      <c r="F16" s="738">
        <v>3.5</v>
      </c>
      <c r="G16" s="734">
        <v>0</v>
      </c>
      <c r="H16" s="43">
        <f t="shared" si="0"/>
        <v>158070.48999999996</v>
      </c>
      <c r="I16" s="732">
        <v>5400</v>
      </c>
      <c r="J16" s="732">
        <v>10700</v>
      </c>
      <c r="K16" s="732" t="s">
        <v>469</v>
      </c>
      <c r="L16" s="390">
        <f t="shared" si="1"/>
        <v>68.936105538595712</v>
      </c>
      <c r="M16" s="638">
        <v>150</v>
      </c>
      <c r="N16" s="639" t="s">
        <v>429</v>
      </c>
      <c r="O16" s="1058"/>
      <c r="P16" s="1058"/>
      <c r="R16" s="392" t="s">
        <v>105</v>
      </c>
      <c r="S16" s="51">
        <f>V70</f>
        <v>600</v>
      </c>
      <c r="T16" s="40"/>
      <c r="U16" s="421" t="s">
        <v>484</v>
      </c>
      <c r="V16" s="422">
        <v>0</v>
      </c>
      <c r="W16" s="422">
        <v>0</v>
      </c>
      <c r="X16" s="422">
        <v>0</v>
      </c>
      <c r="Y16" s="422">
        <v>0</v>
      </c>
      <c r="Z16" s="422">
        <v>0</v>
      </c>
      <c r="AA16" s="422">
        <v>0</v>
      </c>
      <c r="AB16" s="422">
        <v>0</v>
      </c>
      <c r="AC16" s="422">
        <v>0</v>
      </c>
      <c r="AD16" s="422">
        <v>0</v>
      </c>
      <c r="AE16" s="422">
        <v>0</v>
      </c>
      <c r="AF16" s="422">
        <v>0</v>
      </c>
      <c r="AG16" s="422">
        <v>0</v>
      </c>
      <c r="AH16" s="422">
        <v>0</v>
      </c>
      <c r="AI16" s="422">
        <v>0</v>
      </c>
      <c r="AJ16" s="422">
        <v>0</v>
      </c>
      <c r="AK16" s="422">
        <v>0</v>
      </c>
      <c r="AL16" s="422">
        <v>0</v>
      </c>
      <c r="AM16" s="422">
        <v>0</v>
      </c>
      <c r="AN16" s="422">
        <v>0</v>
      </c>
      <c r="AO16" s="422">
        <v>0</v>
      </c>
      <c r="AP16" s="422">
        <v>0</v>
      </c>
      <c r="AQ16" s="422">
        <v>0</v>
      </c>
      <c r="AR16" s="422">
        <v>0</v>
      </c>
      <c r="AS16" s="422">
        <v>0</v>
      </c>
      <c r="AT16" s="422">
        <v>0</v>
      </c>
      <c r="AU16" s="422">
        <v>0</v>
      </c>
      <c r="AV16" s="422">
        <v>0</v>
      </c>
      <c r="AW16" s="422">
        <v>0</v>
      </c>
      <c r="AX16" s="422">
        <v>0</v>
      </c>
      <c r="AY16" s="432">
        <v>0</v>
      </c>
      <c r="AZ16" s="51">
        <v>0</v>
      </c>
      <c r="BA16" s="51">
        <v>0</v>
      </c>
      <c r="BB16" s="51">
        <v>0</v>
      </c>
      <c r="BC16" s="51">
        <v>0</v>
      </c>
      <c r="BD16" s="51">
        <v>0</v>
      </c>
      <c r="BE16" s="51">
        <v>0</v>
      </c>
      <c r="BF16" s="51">
        <v>0</v>
      </c>
      <c r="BG16" s="51">
        <v>0</v>
      </c>
      <c r="BH16" s="51">
        <v>0</v>
      </c>
    </row>
    <row r="17" spans="1:60" ht="15.5" x14ac:dyDescent="0.35">
      <c r="A17" t="str">
        <v>Conifer - SC</v>
      </c>
      <c r="B17" s="389" t="s">
        <v>430</v>
      </c>
      <c r="C17" s="381" t="s">
        <v>30</v>
      </c>
      <c r="D17" s="738">
        <v>2771</v>
      </c>
      <c r="E17" s="738">
        <v>4</v>
      </c>
      <c r="F17" s="738">
        <v>3</v>
      </c>
      <c r="G17" s="734">
        <v>2</v>
      </c>
      <c r="H17" s="43">
        <f t="shared" si="0"/>
        <v>174241.94</v>
      </c>
      <c r="I17" s="732">
        <v>4600</v>
      </c>
      <c r="J17" s="732">
        <v>11100</v>
      </c>
      <c r="K17" s="732" t="s">
        <v>469</v>
      </c>
      <c r="L17" s="390">
        <f t="shared" si="1"/>
        <v>62.880526885600865</v>
      </c>
      <c r="M17" s="638">
        <v>150</v>
      </c>
      <c r="N17" s="639" t="s">
        <v>430</v>
      </c>
      <c r="O17" s="1058"/>
      <c r="P17" s="1058"/>
      <c r="R17" s="392"/>
      <c r="S17" s="394">
        <f>SUM(S15:S16)</f>
        <v>2650</v>
      </c>
      <c r="T17" s="40"/>
      <c r="U17" s="421" t="s">
        <v>485</v>
      </c>
      <c r="V17" s="422">
        <v>6424.32</v>
      </c>
      <c r="W17" s="422">
        <v>4236.58</v>
      </c>
      <c r="X17" s="422">
        <v>2920.44</v>
      </c>
      <c r="Y17" s="422">
        <v>2998.27</v>
      </c>
      <c r="Z17" s="422">
        <v>4800.84</v>
      </c>
      <c r="AA17" s="422">
        <v>3690.25</v>
      </c>
      <c r="AB17" s="422">
        <v>3672.91</v>
      </c>
      <c r="AC17" s="422">
        <v>4800.96</v>
      </c>
      <c r="AD17" s="422">
        <v>3536.45</v>
      </c>
      <c r="AE17" s="422">
        <v>4236.07</v>
      </c>
      <c r="AF17" s="422">
        <v>4236.3599999999997</v>
      </c>
      <c r="AG17" s="422">
        <v>5264.93</v>
      </c>
      <c r="AH17" s="422">
        <v>4712.8599999999997</v>
      </c>
      <c r="AI17" s="422">
        <v>5928.55</v>
      </c>
      <c r="AJ17" s="422">
        <v>4800.72</v>
      </c>
      <c r="AK17" s="422">
        <v>4612.8</v>
      </c>
      <c r="AL17" s="422">
        <v>4424.08</v>
      </c>
      <c r="AM17" s="422">
        <v>3337.32</v>
      </c>
      <c r="AN17" s="422">
        <v>3297.59</v>
      </c>
      <c r="AO17" s="422">
        <v>2433.06</v>
      </c>
      <c r="AP17" s="422">
        <v>4820.8</v>
      </c>
      <c r="AQ17" s="422">
        <v>4920.2</v>
      </c>
      <c r="AR17" s="422">
        <v>3381</v>
      </c>
      <c r="AS17" s="422">
        <v>3297.59</v>
      </c>
      <c r="AT17" s="422">
        <v>3184.04</v>
      </c>
      <c r="AU17" s="422">
        <v>3223.27</v>
      </c>
      <c r="AV17" s="422">
        <v>3939.4</v>
      </c>
      <c r="AW17" s="422">
        <v>2487.96</v>
      </c>
      <c r="AX17" s="422">
        <v>2214.15</v>
      </c>
      <c r="AY17" s="432">
        <v>2964.15</v>
      </c>
      <c r="AZ17" s="51">
        <v>4783.7</v>
      </c>
      <c r="BA17" s="51">
        <v>4066.01</v>
      </c>
      <c r="BB17" s="51">
        <v>3234.47</v>
      </c>
      <c r="BC17" s="51">
        <v>2523.36</v>
      </c>
      <c r="BD17" s="51">
        <v>4236.58</v>
      </c>
      <c r="BE17" s="51">
        <v>3070.51</v>
      </c>
      <c r="BF17" s="51">
        <v>5160.6099999999997</v>
      </c>
      <c r="BG17" s="51">
        <v>2162.6</v>
      </c>
      <c r="BH17" s="51">
        <v>2106.98</v>
      </c>
    </row>
    <row r="18" spans="1:60" ht="15.5" x14ac:dyDescent="0.35">
      <c r="A18" t="str">
        <v>Cottonwood</v>
      </c>
      <c r="B18" s="389" t="s">
        <v>431</v>
      </c>
      <c r="C18" s="381" t="s">
        <v>30</v>
      </c>
      <c r="D18" s="738">
        <v>1545</v>
      </c>
      <c r="E18" s="738">
        <v>3</v>
      </c>
      <c r="F18" s="738">
        <v>2</v>
      </c>
      <c r="G18" s="734">
        <v>0</v>
      </c>
      <c r="H18" s="43">
        <f t="shared" si="0"/>
        <v>145757.72999999998</v>
      </c>
      <c r="I18" s="732">
        <v>4100</v>
      </c>
      <c r="J18" s="732">
        <v>8800</v>
      </c>
      <c r="K18" s="732" t="s">
        <v>469</v>
      </c>
      <c r="L18" s="390">
        <f t="shared" si="1"/>
        <v>94.341572815533965</v>
      </c>
      <c r="M18" s="638">
        <v>150</v>
      </c>
      <c r="N18" s="639" t="s">
        <v>431</v>
      </c>
      <c r="O18" s="1058"/>
      <c r="P18" s="1058"/>
      <c r="T18" s="40"/>
      <c r="U18" s="421" t="s">
        <v>486</v>
      </c>
      <c r="V18" s="422">
        <v>5209.6400000000003</v>
      </c>
      <c r="W18" s="422">
        <v>5257.76</v>
      </c>
      <c r="X18" s="422">
        <v>3929.56</v>
      </c>
      <c r="Y18" s="422">
        <v>6327.34</v>
      </c>
      <c r="Z18" s="422">
        <v>5756.82</v>
      </c>
      <c r="AA18" s="422">
        <v>4091.57</v>
      </c>
      <c r="AB18" s="422">
        <v>5034.13</v>
      </c>
      <c r="AC18" s="422">
        <v>4829.82</v>
      </c>
      <c r="AD18" s="422">
        <v>5131.78</v>
      </c>
      <c r="AE18" s="422">
        <v>3937.59</v>
      </c>
      <c r="AF18" s="422">
        <v>7550.19</v>
      </c>
      <c r="AG18" s="422">
        <v>5588.56</v>
      </c>
      <c r="AH18" s="422">
        <v>7127.73</v>
      </c>
      <c r="AI18" s="422">
        <v>4302.3900000000003</v>
      </c>
      <c r="AJ18" s="422">
        <v>3613.36</v>
      </c>
      <c r="AK18" s="422">
        <v>4868.08</v>
      </c>
      <c r="AL18" s="422">
        <v>4875.1099999999997</v>
      </c>
      <c r="AM18" s="422">
        <v>4652.0600000000004</v>
      </c>
      <c r="AN18" s="422">
        <v>3797.77</v>
      </c>
      <c r="AO18" s="422">
        <v>3765.31</v>
      </c>
      <c r="AP18" s="422">
        <v>2508.62</v>
      </c>
      <c r="AQ18" s="422">
        <v>5996.56</v>
      </c>
      <c r="AR18" s="422">
        <v>4003.86</v>
      </c>
      <c r="AS18" s="422">
        <v>3769.91</v>
      </c>
      <c r="AT18" s="422">
        <v>3850.98</v>
      </c>
      <c r="AU18" s="422">
        <v>3126.61</v>
      </c>
      <c r="AV18" s="422">
        <v>4500.75</v>
      </c>
      <c r="AW18" s="422">
        <v>6899.6</v>
      </c>
      <c r="AX18" s="422">
        <v>2383.1999999999998</v>
      </c>
      <c r="AY18" s="432">
        <v>3692.4</v>
      </c>
      <c r="AZ18" s="51">
        <v>4119.71</v>
      </c>
      <c r="BA18" s="51">
        <v>5304.01</v>
      </c>
      <c r="BB18" s="51">
        <v>4559.5600000000004</v>
      </c>
      <c r="BC18" s="51">
        <v>4755.9799999999996</v>
      </c>
      <c r="BD18" s="51">
        <v>5257.76</v>
      </c>
      <c r="BE18" s="51">
        <v>3883.77</v>
      </c>
      <c r="BF18" s="51">
        <v>5523.41</v>
      </c>
      <c r="BG18" s="51">
        <v>4448.33</v>
      </c>
      <c r="BH18" s="51">
        <v>2479.36</v>
      </c>
    </row>
    <row r="19" spans="1:60" ht="15.5" x14ac:dyDescent="0.35">
      <c r="A19" t="str">
        <v>CUSTOM</v>
      </c>
      <c r="B19" s="389" t="s">
        <v>432</v>
      </c>
      <c r="C19" s="381" t="s">
        <v>30</v>
      </c>
      <c r="D19" s="738">
        <v>1545</v>
      </c>
      <c r="E19" s="738">
        <v>3</v>
      </c>
      <c r="F19" s="738">
        <v>2</v>
      </c>
      <c r="G19" s="734">
        <v>2</v>
      </c>
      <c r="H19" s="43">
        <f t="shared" si="0"/>
        <v>126615.36000000003</v>
      </c>
      <c r="I19" s="732">
        <v>2800</v>
      </c>
      <c r="J19" s="732">
        <v>7300</v>
      </c>
      <c r="K19" s="732" t="s">
        <v>469</v>
      </c>
      <c r="L19" s="390">
        <f t="shared" si="1"/>
        <v>81.951689320388368</v>
      </c>
      <c r="M19" s="638">
        <v>150</v>
      </c>
      <c r="N19" s="639" t="s">
        <v>432</v>
      </c>
      <c r="O19" s="1058"/>
      <c r="P19" s="1058"/>
      <c r="R19" s="393"/>
      <c r="S19" s="452"/>
      <c r="T19" s="40"/>
      <c r="U19" s="421" t="s">
        <v>487</v>
      </c>
      <c r="V19" s="422">
        <v>3485</v>
      </c>
      <c r="W19" s="422">
        <v>3550</v>
      </c>
      <c r="X19" s="422">
        <v>2340</v>
      </c>
      <c r="Y19" s="422">
        <v>4805</v>
      </c>
      <c r="Z19" s="422">
        <v>3855</v>
      </c>
      <c r="AA19" s="422">
        <v>2845</v>
      </c>
      <c r="AB19" s="422">
        <v>3140</v>
      </c>
      <c r="AC19" s="422">
        <v>3350</v>
      </c>
      <c r="AD19" s="422">
        <v>3460</v>
      </c>
      <c r="AE19" s="422">
        <v>2650</v>
      </c>
      <c r="AF19" s="422">
        <v>5500</v>
      </c>
      <c r="AG19" s="422">
        <v>3760</v>
      </c>
      <c r="AH19" s="422">
        <v>4820</v>
      </c>
      <c r="AI19" s="422">
        <v>2720</v>
      </c>
      <c r="AJ19" s="422">
        <v>2345</v>
      </c>
      <c r="AK19" s="422">
        <v>2900</v>
      </c>
      <c r="AL19" s="422">
        <v>2900</v>
      </c>
      <c r="AM19" s="422">
        <v>2473</v>
      </c>
      <c r="AN19" s="422">
        <v>2600</v>
      </c>
      <c r="AO19" s="422">
        <v>2390</v>
      </c>
      <c r="AP19" s="422">
        <v>1650</v>
      </c>
      <c r="AQ19" s="422">
        <v>3400</v>
      </c>
      <c r="AR19" s="422">
        <v>1720</v>
      </c>
      <c r="AS19" s="422">
        <v>2600</v>
      </c>
      <c r="AT19" s="422">
        <v>2550</v>
      </c>
      <c r="AU19" s="422">
        <v>1696</v>
      </c>
      <c r="AV19" s="422">
        <v>2482</v>
      </c>
      <c r="AW19" s="422">
        <v>3885</v>
      </c>
      <c r="AX19" s="422">
        <v>2712.5</v>
      </c>
      <c r="AY19" s="432">
        <v>2460</v>
      </c>
      <c r="AZ19" s="51">
        <v>2426</v>
      </c>
      <c r="BA19" s="51">
        <v>3400</v>
      </c>
      <c r="BB19" s="51">
        <v>3212.5</v>
      </c>
      <c r="BC19" s="51">
        <v>3885</v>
      </c>
      <c r="BD19" s="51">
        <v>3550</v>
      </c>
      <c r="BE19" s="51">
        <v>2128.6999999999998</v>
      </c>
      <c r="BF19" s="51">
        <v>3483.67</v>
      </c>
      <c r="BG19" s="51">
        <v>1373</v>
      </c>
      <c r="BH19" s="51">
        <v>1126.32</v>
      </c>
    </row>
    <row r="20" spans="1:60" ht="15.5" x14ac:dyDescent="0.35">
      <c r="A20" t="str">
        <v>Dogwood</v>
      </c>
      <c r="B20" s="389" t="s">
        <v>433</v>
      </c>
      <c r="C20" s="381" t="s">
        <v>30</v>
      </c>
      <c r="D20" s="738">
        <v>1170</v>
      </c>
      <c r="E20" s="738">
        <v>3</v>
      </c>
      <c r="F20" s="738">
        <v>2</v>
      </c>
      <c r="G20" s="734">
        <v>1</v>
      </c>
      <c r="H20" s="43">
        <f t="shared" si="0"/>
        <v>105321.66000000002</v>
      </c>
      <c r="I20" s="732">
        <v>3000</v>
      </c>
      <c r="J20" s="732">
        <v>6500</v>
      </c>
      <c r="K20" s="732" t="s">
        <v>469</v>
      </c>
      <c r="L20" s="390">
        <f t="shared" si="1"/>
        <v>90.018512820512839</v>
      </c>
      <c r="M20" s="638">
        <v>150</v>
      </c>
      <c r="N20" s="639" t="s">
        <v>433</v>
      </c>
      <c r="O20" s="1058"/>
      <c r="P20" s="1058"/>
      <c r="T20" s="40"/>
      <c r="U20" s="421" t="s">
        <v>488</v>
      </c>
      <c r="V20" s="422">
        <v>3023.13</v>
      </c>
      <c r="W20" s="422">
        <v>2477.66</v>
      </c>
      <c r="X20" s="422">
        <v>2761.95</v>
      </c>
      <c r="Y20" s="422">
        <v>3205.85</v>
      </c>
      <c r="Z20" s="422">
        <v>3121.99</v>
      </c>
      <c r="AA20" s="422">
        <v>2123.41</v>
      </c>
      <c r="AB20" s="422">
        <v>2506.13</v>
      </c>
      <c r="AC20" s="422">
        <v>3898.44</v>
      </c>
      <c r="AD20" s="422">
        <v>2547.19</v>
      </c>
      <c r="AE20" s="422">
        <v>2225.4</v>
      </c>
      <c r="AF20" s="422">
        <v>5281.01</v>
      </c>
      <c r="AG20" s="422">
        <v>3823.99</v>
      </c>
      <c r="AH20" s="422">
        <v>3725.69</v>
      </c>
      <c r="AI20" s="422">
        <v>2445.2199999999998</v>
      </c>
      <c r="AJ20" s="422">
        <v>1274.1099999999999</v>
      </c>
      <c r="AK20" s="422">
        <v>2936.09</v>
      </c>
      <c r="AL20" s="422">
        <v>2741.53</v>
      </c>
      <c r="AM20" s="422">
        <v>2330.9699999999998</v>
      </c>
      <c r="AN20" s="422">
        <v>2654.72</v>
      </c>
      <c r="AO20" s="422">
        <v>2177.34</v>
      </c>
      <c r="AP20" s="422">
        <v>1767.17</v>
      </c>
      <c r="AQ20" s="422">
        <v>2874.28</v>
      </c>
      <c r="AR20" s="422">
        <v>2098.92</v>
      </c>
      <c r="AS20" s="422">
        <v>1951.74</v>
      </c>
      <c r="AT20" s="422">
        <v>1954.83</v>
      </c>
      <c r="AU20" s="422">
        <v>2443.92</v>
      </c>
      <c r="AV20" s="422">
        <v>2209.9299999999998</v>
      </c>
      <c r="AW20" s="422">
        <v>2786.05</v>
      </c>
      <c r="AX20" s="422">
        <v>2193.9299999999998</v>
      </c>
      <c r="AY20" s="432">
        <v>2360.09</v>
      </c>
      <c r="AZ20" s="51">
        <v>2671.15</v>
      </c>
      <c r="BA20" s="51">
        <v>1742.92</v>
      </c>
      <c r="BB20" s="51">
        <v>1486.2</v>
      </c>
      <c r="BC20" s="51">
        <v>2132.9699999999998</v>
      </c>
      <c r="BD20" s="51">
        <v>5977.66</v>
      </c>
      <c r="BE20" s="51">
        <v>2729.75</v>
      </c>
      <c r="BF20" s="51">
        <v>3779.43</v>
      </c>
      <c r="BG20" s="51">
        <v>2184.17</v>
      </c>
      <c r="BH20" s="51">
        <v>1746.58</v>
      </c>
    </row>
    <row r="21" spans="1:60" ht="15.5" x14ac:dyDescent="0.35">
      <c r="A21" t="str">
        <v>Elm</v>
      </c>
      <c r="B21" s="389" t="s">
        <v>434</v>
      </c>
      <c r="C21" s="381" t="s">
        <v>30</v>
      </c>
      <c r="D21" s="738">
        <v>2005</v>
      </c>
      <c r="E21" s="738">
        <v>4</v>
      </c>
      <c r="F21" s="738">
        <v>2.5</v>
      </c>
      <c r="G21" s="734">
        <v>2</v>
      </c>
      <c r="H21" s="43">
        <f t="shared" si="0"/>
        <v>141504.81000000003</v>
      </c>
      <c r="I21" s="732">
        <v>4400</v>
      </c>
      <c r="J21" s="732">
        <v>6700</v>
      </c>
      <c r="K21" s="732" t="s">
        <v>469</v>
      </c>
      <c r="L21" s="390">
        <f t="shared" si="1"/>
        <v>70.575965087281816</v>
      </c>
      <c r="M21" s="638">
        <v>150</v>
      </c>
      <c r="N21" s="639" t="s">
        <v>434</v>
      </c>
      <c r="O21" s="1058"/>
      <c r="P21" s="1058"/>
      <c r="T21" s="40"/>
      <c r="U21" s="421" t="s">
        <v>489</v>
      </c>
      <c r="V21" s="422">
        <v>1682.73</v>
      </c>
      <c r="W21" s="422">
        <v>1682.73</v>
      </c>
      <c r="X21" s="422">
        <v>1125.51</v>
      </c>
      <c r="Y21" s="422">
        <v>2035.11</v>
      </c>
      <c r="Z21" s="422">
        <v>1644.95</v>
      </c>
      <c r="AA21" s="422">
        <v>1794.95</v>
      </c>
      <c r="AB21" s="422">
        <v>1682.73</v>
      </c>
      <c r="AC21" s="422">
        <v>1621.39</v>
      </c>
      <c r="AD21" s="422">
        <v>1682.73</v>
      </c>
      <c r="AE21" s="422">
        <v>1644.95</v>
      </c>
      <c r="AF21" s="422">
        <v>3270.39</v>
      </c>
      <c r="AG21" s="422">
        <v>1832.73</v>
      </c>
      <c r="AH21" s="422">
        <v>1817.2</v>
      </c>
      <c r="AI21" s="422">
        <v>1644.95</v>
      </c>
      <c r="AJ21" s="422">
        <v>1860.56</v>
      </c>
      <c r="AK21" s="422">
        <v>1832.73</v>
      </c>
      <c r="AL21" s="422">
        <v>1473.96</v>
      </c>
      <c r="AM21" s="422">
        <v>1794.95</v>
      </c>
      <c r="AN21" s="422">
        <v>1693.76</v>
      </c>
      <c r="AO21" s="422">
        <v>959.15</v>
      </c>
      <c r="AP21" s="422">
        <v>1167.6300000000001</v>
      </c>
      <c r="AQ21" s="422">
        <v>3656.14</v>
      </c>
      <c r="AR21" s="422">
        <v>1794.95</v>
      </c>
      <c r="AS21" s="422">
        <v>1644.95</v>
      </c>
      <c r="AT21" s="422">
        <v>2611</v>
      </c>
      <c r="AU21" s="422">
        <v>1843.76</v>
      </c>
      <c r="AV21" s="422">
        <v>2113.2199999999998</v>
      </c>
      <c r="AW21" s="422">
        <v>2461</v>
      </c>
      <c r="AX21" s="422">
        <v>1279.3800000000001</v>
      </c>
      <c r="AY21" s="432">
        <v>2674.05</v>
      </c>
      <c r="AZ21" s="51">
        <v>931.6</v>
      </c>
      <c r="BA21" s="51">
        <v>931.6</v>
      </c>
      <c r="BB21" s="51">
        <v>931.6</v>
      </c>
      <c r="BC21" s="51">
        <v>1705.76</v>
      </c>
      <c r="BD21" s="51">
        <v>1682.73</v>
      </c>
      <c r="BE21" s="51">
        <v>1112.3800000000001</v>
      </c>
      <c r="BF21" s="51">
        <v>1663.11</v>
      </c>
      <c r="BG21" s="51">
        <v>2088.59</v>
      </c>
      <c r="BH21" s="51">
        <v>1154.02</v>
      </c>
    </row>
    <row r="22" spans="1:60" ht="15.5" x14ac:dyDescent="0.35">
      <c r="A22" t="str">
        <v>Fig</v>
      </c>
      <c r="B22" s="389" t="s">
        <v>435</v>
      </c>
      <c r="C22" s="381" t="s">
        <v>30</v>
      </c>
      <c r="D22" s="738">
        <v>1857</v>
      </c>
      <c r="E22" s="738">
        <v>4</v>
      </c>
      <c r="F22" s="738">
        <v>2.5</v>
      </c>
      <c r="G22" s="734">
        <v>1</v>
      </c>
      <c r="H22" s="43">
        <f t="shared" si="0"/>
        <v>131392.95000000001</v>
      </c>
      <c r="I22" s="732">
        <v>4100</v>
      </c>
      <c r="J22" s="732">
        <v>9000</v>
      </c>
      <c r="K22" s="732" t="s">
        <v>469</v>
      </c>
      <c r="L22" s="390">
        <f t="shared" si="1"/>
        <v>70.755492730210023</v>
      </c>
      <c r="M22" s="638">
        <v>150</v>
      </c>
      <c r="N22" s="639" t="s">
        <v>435</v>
      </c>
      <c r="O22" s="1058"/>
      <c r="P22" s="1058"/>
      <c r="T22" s="40"/>
      <c r="U22" s="421" t="s">
        <v>490</v>
      </c>
      <c r="V22" s="422">
        <v>210</v>
      </c>
      <c r="W22" s="422">
        <v>173</v>
      </c>
      <c r="X22" s="422">
        <v>120</v>
      </c>
      <c r="Y22" s="422">
        <v>240</v>
      </c>
      <c r="Z22" s="422">
        <v>173</v>
      </c>
      <c r="AA22" s="422">
        <v>173</v>
      </c>
      <c r="AB22" s="422">
        <v>173</v>
      </c>
      <c r="AC22" s="422">
        <v>180</v>
      </c>
      <c r="AD22" s="422">
        <v>173</v>
      </c>
      <c r="AE22" s="422">
        <v>173</v>
      </c>
      <c r="AF22" s="422">
        <v>210</v>
      </c>
      <c r="AG22" s="422">
        <v>173</v>
      </c>
      <c r="AH22" s="422">
        <v>180</v>
      </c>
      <c r="AI22" s="422">
        <v>173</v>
      </c>
      <c r="AJ22" s="422">
        <v>256</v>
      </c>
      <c r="AK22" s="422">
        <v>173</v>
      </c>
      <c r="AL22" s="422">
        <v>180</v>
      </c>
      <c r="AM22" s="422">
        <v>173</v>
      </c>
      <c r="AN22" s="422">
        <v>173</v>
      </c>
      <c r="AO22" s="422">
        <v>180</v>
      </c>
      <c r="AP22" s="422">
        <v>120</v>
      </c>
      <c r="AQ22" s="422">
        <v>173</v>
      </c>
      <c r="AR22" s="422">
        <v>173</v>
      </c>
      <c r="AS22" s="422">
        <v>173</v>
      </c>
      <c r="AT22" s="422">
        <v>210</v>
      </c>
      <c r="AU22" s="422">
        <v>173</v>
      </c>
      <c r="AV22" s="422">
        <v>150</v>
      </c>
      <c r="AW22" s="422">
        <v>210</v>
      </c>
      <c r="AX22" s="422">
        <v>180</v>
      </c>
      <c r="AY22" s="432">
        <v>173</v>
      </c>
      <c r="AZ22" s="51">
        <v>120</v>
      </c>
      <c r="BA22" s="51">
        <v>120</v>
      </c>
      <c r="BB22" s="51">
        <v>120</v>
      </c>
      <c r="BC22" s="51">
        <v>173</v>
      </c>
      <c r="BD22" s="51">
        <v>173</v>
      </c>
      <c r="BE22" s="51">
        <v>120</v>
      </c>
      <c r="BF22" s="51">
        <v>173</v>
      </c>
      <c r="BG22" s="51">
        <v>150</v>
      </c>
      <c r="BH22" s="51">
        <v>120</v>
      </c>
    </row>
    <row r="23" spans="1:60" ht="15.5" x14ac:dyDescent="0.35">
      <c r="A23" t="str">
        <v>Fraser</v>
      </c>
      <c r="B23" s="389" t="s">
        <v>436</v>
      </c>
      <c r="C23" s="42" t="s">
        <v>285</v>
      </c>
      <c r="D23" s="738">
        <v>1500</v>
      </c>
      <c r="E23" s="738">
        <v>3</v>
      </c>
      <c r="F23" s="738">
        <v>2.5</v>
      </c>
      <c r="G23" s="734">
        <v>1</v>
      </c>
      <c r="H23" s="43">
        <f t="shared" si="0"/>
        <v>124245.50000000001</v>
      </c>
      <c r="I23" s="732">
        <v>3800</v>
      </c>
      <c r="J23" s="732">
        <v>8000</v>
      </c>
      <c r="K23" s="732">
        <v>4500</v>
      </c>
      <c r="L23" s="390">
        <f t="shared" si="1"/>
        <v>82.830333333333343</v>
      </c>
      <c r="M23" s="638">
        <v>150</v>
      </c>
      <c r="N23" s="639" t="s">
        <v>436</v>
      </c>
      <c r="O23" s="1058"/>
      <c r="P23" s="1058"/>
      <c r="T23" s="40"/>
      <c r="U23" s="421" t="s">
        <v>491</v>
      </c>
      <c r="V23" s="422">
        <v>277</v>
      </c>
      <c r="W23" s="422">
        <v>308</v>
      </c>
      <c r="X23" s="422">
        <v>330</v>
      </c>
      <c r="Y23" s="422">
        <v>525</v>
      </c>
      <c r="Z23" s="422">
        <v>304</v>
      </c>
      <c r="AA23" s="422">
        <v>242</v>
      </c>
      <c r="AB23" s="422">
        <v>286</v>
      </c>
      <c r="AC23" s="422">
        <v>370</v>
      </c>
      <c r="AD23" s="422">
        <v>286</v>
      </c>
      <c r="AE23" s="422">
        <v>204</v>
      </c>
      <c r="AF23" s="422">
        <v>915</v>
      </c>
      <c r="AG23" s="422">
        <v>440</v>
      </c>
      <c r="AH23" s="422">
        <v>370</v>
      </c>
      <c r="AI23" s="422">
        <v>226</v>
      </c>
      <c r="AJ23" s="422">
        <v>240</v>
      </c>
      <c r="AK23" s="422">
        <v>352</v>
      </c>
      <c r="AL23" s="422">
        <v>308</v>
      </c>
      <c r="AM23" s="422">
        <v>264</v>
      </c>
      <c r="AN23" s="422">
        <v>330</v>
      </c>
      <c r="AO23" s="422">
        <v>166</v>
      </c>
      <c r="AP23" s="422">
        <v>220</v>
      </c>
      <c r="AQ23" s="422">
        <v>277</v>
      </c>
      <c r="AR23" s="422">
        <v>242</v>
      </c>
      <c r="AS23" s="422">
        <v>242</v>
      </c>
      <c r="AT23" s="422">
        <v>220</v>
      </c>
      <c r="AU23" s="422">
        <v>254</v>
      </c>
      <c r="AV23" s="422">
        <v>420</v>
      </c>
      <c r="AW23" s="422">
        <v>525</v>
      </c>
      <c r="AX23" s="422">
        <v>420</v>
      </c>
      <c r="AY23" s="432">
        <v>264</v>
      </c>
      <c r="AZ23" s="51">
        <v>330</v>
      </c>
      <c r="BA23" s="51">
        <v>198</v>
      </c>
      <c r="BB23" s="51">
        <v>144</v>
      </c>
      <c r="BC23" s="51">
        <v>182</v>
      </c>
      <c r="BD23" s="51">
        <v>308</v>
      </c>
      <c r="BE23" s="51">
        <v>330</v>
      </c>
      <c r="BF23" s="51">
        <v>440</v>
      </c>
      <c r="BG23" s="51">
        <v>264</v>
      </c>
      <c r="BH23" s="51">
        <v>220</v>
      </c>
    </row>
    <row r="24" spans="1:60" ht="15.5" x14ac:dyDescent="0.35">
      <c r="A24" t="str">
        <v>Hazel</v>
      </c>
      <c r="B24" s="389" t="s">
        <v>441</v>
      </c>
      <c r="C24" s="42" t="s">
        <v>285</v>
      </c>
      <c r="D24" s="738">
        <v>1500</v>
      </c>
      <c r="E24" s="738">
        <v>3</v>
      </c>
      <c r="F24" s="738">
        <v>2.5</v>
      </c>
      <c r="G24" s="734" t="s">
        <v>492</v>
      </c>
      <c r="H24" s="43">
        <f t="shared" si="0"/>
        <v>123038.44999999998</v>
      </c>
      <c r="I24" s="732">
        <v>3600</v>
      </c>
      <c r="J24" s="732">
        <v>5500</v>
      </c>
      <c r="K24" s="732">
        <v>6100</v>
      </c>
      <c r="L24" s="390">
        <f t="shared" ref="L24:L26" si="3">H24/D24</f>
        <v>82.025633333333317</v>
      </c>
      <c r="M24" s="638">
        <v>150</v>
      </c>
      <c r="N24" s="639" t="s">
        <v>441</v>
      </c>
      <c r="O24" s="1058"/>
      <c r="P24" s="1058"/>
      <c r="T24" s="40"/>
      <c r="U24" s="421" t="s">
        <v>493</v>
      </c>
      <c r="V24" s="422">
        <v>1600</v>
      </c>
      <c r="W24" s="422">
        <v>1800</v>
      </c>
      <c r="X24" s="422">
        <v>0</v>
      </c>
      <c r="Y24" s="422">
        <v>1600</v>
      </c>
      <c r="Z24" s="422">
        <v>1600</v>
      </c>
      <c r="AA24" s="422">
        <v>1600</v>
      </c>
      <c r="AB24" s="422">
        <v>1600</v>
      </c>
      <c r="AC24" s="422">
        <v>1600</v>
      </c>
      <c r="AD24" s="422">
        <v>1600</v>
      </c>
      <c r="AE24" s="422">
        <v>1100</v>
      </c>
      <c r="AF24" s="422">
        <v>0</v>
      </c>
      <c r="AG24" s="422">
        <v>1600</v>
      </c>
      <c r="AH24" s="422">
        <v>0</v>
      </c>
      <c r="AI24" s="422">
        <v>1600</v>
      </c>
      <c r="AJ24" s="422">
        <v>1100</v>
      </c>
      <c r="AK24" s="422">
        <v>1600</v>
      </c>
      <c r="AL24" s="422">
        <v>1100</v>
      </c>
      <c r="AM24" s="422">
        <v>1100</v>
      </c>
      <c r="AN24" s="422">
        <v>1000</v>
      </c>
      <c r="AO24" s="422">
        <v>0</v>
      </c>
      <c r="AP24" s="422">
        <v>0</v>
      </c>
      <c r="AQ24" s="422">
        <v>1600</v>
      </c>
      <c r="AR24" s="422">
        <v>1100</v>
      </c>
      <c r="AS24" s="422">
        <v>1000</v>
      </c>
      <c r="AT24" s="422">
        <v>1600</v>
      </c>
      <c r="AU24" s="422">
        <v>1100</v>
      </c>
      <c r="AV24" s="422">
        <v>1600</v>
      </c>
      <c r="AW24" s="422">
        <v>1600</v>
      </c>
      <c r="AX24" s="422">
        <v>1000</v>
      </c>
      <c r="AY24" s="432">
        <v>1000</v>
      </c>
      <c r="AZ24" s="51">
        <v>1600</v>
      </c>
      <c r="BA24" s="51">
        <v>1600</v>
      </c>
      <c r="BB24" s="51">
        <v>1600</v>
      </c>
      <c r="BC24" s="51">
        <v>1100</v>
      </c>
      <c r="BD24" s="51">
        <v>1800</v>
      </c>
      <c r="BE24" s="51">
        <v>0</v>
      </c>
      <c r="BF24" s="51">
        <v>1600</v>
      </c>
      <c r="BG24" s="51">
        <v>1600</v>
      </c>
      <c r="BH24" s="51">
        <v>0</v>
      </c>
    </row>
    <row r="25" spans="1:60" ht="15.5" x14ac:dyDescent="0.35">
      <c r="A25" t="str">
        <v>Holly</v>
      </c>
      <c r="B25" s="389" t="s">
        <v>447</v>
      </c>
      <c r="C25" s="42" t="s">
        <v>285</v>
      </c>
      <c r="D25" s="738">
        <v>1729</v>
      </c>
      <c r="E25" s="738">
        <v>3</v>
      </c>
      <c r="F25" s="738">
        <v>2.5</v>
      </c>
      <c r="G25" s="734" t="s">
        <v>492</v>
      </c>
      <c r="H25" s="43">
        <f t="shared" si="0"/>
        <v>141829.36000000002</v>
      </c>
      <c r="I25" s="732">
        <v>6500</v>
      </c>
      <c r="J25" s="732">
        <v>7100</v>
      </c>
      <c r="K25" s="732" t="s">
        <v>469</v>
      </c>
      <c r="L25" s="390">
        <f t="shared" si="3"/>
        <v>82.029705031810309</v>
      </c>
      <c r="M25" s="638">
        <v>150</v>
      </c>
      <c r="N25" s="639" t="s">
        <v>447</v>
      </c>
      <c r="O25" s="1058"/>
      <c r="P25" s="1058"/>
      <c r="T25" s="40"/>
      <c r="U25" s="421" t="s">
        <v>494</v>
      </c>
      <c r="V25" s="422">
        <v>13635</v>
      </c>
      <c r="W25" s="422">
        <v>12373</v>
      </c>
      <c r="X25" s="422">
        <v>12123</v>
      </c>
      <c r="Y25" s="422">
        <v>13451</v>
      </c>
      <c r="Z25" s="422">
        <v>15022</v>
      </c>
      <c r="AA25" s="422">
        <v>12111</v>
      </c>
      <c r="AB25" s="422">
        <v>12337</v>
      </c>
      <c r="AC25" s="422">
        <v>12111</v>
      </c>
      <c r="AD25" s="422">
        <v>12111</v>
      </c>
      <c r="AE25" s="422">
        <v>13524</v>
      </c>
      <c r="AF25" s="422">
        <v>16119</v>
      </c>
      <c r="AG25" s="422">
        <v>15589</v>
      </c>
      <c r="AH25" s="422">
        <v>12560</v>
      </c>
      <c r="AI25" s="422">
        <v>10261</v>
      </c>
      <c r="AJ25" s="422">
        <v>10398</v>
      </c>
      <c r="AK25" s="422">
        <v>12631</v>
      </c>
      <c r="AL25" s="422">
        <v>12671</v>
      </c>
      <c r="AM25" s="422">
        <v>12504</v>
      </c>
      <c r="AN25" s="422">
        <v>13256</v>
      </c>
      <c r="AO25" s="422">
        <v>11949</v>
      </c>
      <c r="AP25" s="422">
        <v>12560</v>
      </c>
      <c r="AQ25" s="422">
        <v>12463</v>
      </c>
      <c r="AR25" s="422">
        <v>12567</v>
      </c>
      <c r="AS25" s="422">
        <v>13256</v>
      </c>
      <c r="AT25" s="422">
        <v>9830</v>
      </c>
      <c r="AU25" s="422">
        <v>10552</v>
      </c>
      <c r="AV25" s="422">
        <v>13782</v>
      </c>
      <c r="AW25" s="422">
        <v>13695</v>
      </c>
      <c r="AX25" s="422">
        <v>12755</v>
      </c>
      <c r="AY25" s="432">
        <v>12429</v>
      </c>
      <c r="AZ25" s="51">
        <v>12615</v>
      </c>
      <c r="BA25" s="51">
        <v>13258</v>
      </c>
      <c r="BB25" s="51">
        <v>12489</v>
      </c>
      <c r="BC25" s="51">
        <v>14692</v>
      </c>
      <c r="BD25" s="51">
        <v>15873</v>
      </c>
      <c r="BE25" s="51">
        <v>10115</v>
      </c>
      <c r="BF25" s="51">
        <v>12620</v>
      </c>
      <c r="BG25" s="51">
        <v>12740</v>
      </c>
      <c r="BH25" s="51">
        <v>10135</v>
      </c>
    </row>
    <row r="26" spans="1:60" ht="15.5" x14ac:dyDescent="0.35">
      <c r="A26" t="str">
        <v>Jasmine</v>
      </c>
      <c r="B26" s="389" t="s">
        <v>440</v>
      </c>
      <c r="C26" s="381" t="s">
        <v>285</v>
      </c>
      <c r="D26" s="738">
        <v>2188</v>
      </c>
      <c r="E26" s="738">
        <v>4</v>
      </c>
      <c r="F26" s="738">
        <v>2.5</v>
      </c>
      <c r="G26" s="1034" t="s">
        <v>495</v>
      </c>
      <c r="H26" s="43">
        <f t="shared" si="0"/>
        <v>158682.41999999998</v>
      </c>
      <c r="I26" s="732">
        <v>4700</v>
      </c>
      <c r="J26" s="732">
        <v>8900</v>
      </c>
      <c r="K26" s="732">
        <v>7300</v>
      </c>
      <c r="L26" s="390">
        <f t="shared" si="3"/>
        <v>72.523957952467995</v>
      </c>
      <c r="M26" s="638">
        <v>150</v>
      </c>
      <c r="N26" s="1043" t="s">
        <v>440</v>
      </c>
      <c r="O26" s="1059"/>
      <c r="P26" s="1059"/>
      <c r="T26" s="40"/>
      <c r="U26" s="421" t="s">
        <v>496</v>
      </c>
      <c r="V26" s="422">
        <v>10900</v>
      </c>
      <c r="W26" s="422">
        <v>10300</v>
      </c>
      <c r="X26" s="422">
        <v>10100</v>
      </c>
      <c r="Y26" s="422">
        <v>9600</v>
      </c>
      <c r="Z26" s="422">
        <v>10900</v>
      </c>
      <c r="AA26" s="422">
        <v>10200</v>
      </c>
      <c r="AB26" s="422">
        <v>10400</v>
      </c>
      <c r="AC26" s="422">
        <v>10400</v>
      </c>
      <c r="AD26" s="422">
        <v>10400</v>
      </c>
      <c r="AE26" s="422">
        <v>9200</v>
      </c>
      <c r="AF26" s="422">
        <v>14300</v>
      </c>
      <c r="AG26" s="422">
        <v>16500</v>
      </c>
      <c r="AH26" s="422">
        <v>10400</v>
      </c>
      <c r="AI26" s="422">
        <v>8700</v>
      </c>
      <c r="AJ26" s="422">
        <v>7200</v>
      </c>
      <c r="AK26" s="422">
        <v>10400</v>
      </c>
      <c r="AL26" s="422">
        <v>10400</v>
      </c>
      <c r="AM26" s="422">
        <v>9500</v>
      </c>
      <c r="AN26" s="422">
        <v>10400</v>
      </c>
      <c r="AO26" s="422">
        <v>9200</v>
      </c>
      <c r="AP26" s="422">
        <v>8470</v>
      </c>
      <c r="AQ26" s="422">
        <v>11300</v>
      </c>
      <c r="AR26" s="422">
        <v>9500</v>
      </c>
      <c r="AS26" s="422">
        <v>10200</v>
      </c>
      <c r="AT26" s="422">
        <v>10500</v>
      </c>
      <c r="AU26" s="422">
        <v>9900</v>
      </c>
      <c r="AV26" s="422">
        <v>11900</v>
      </c>
      <c r="AW26" s="422">
        <v>11700</v>
      </c>
      <c r="AX26" s="422">
        <v>11800</v>
      </c>
      <c r="AY26" s="432">
        <v>10100</v>
      </c>
      <c r="AZ26" s="51">
        <v>10200</v>
      </c>
      <c r="BA26" s="51">
        <v>10600</v>
      </c>
      <c r="BB26" s="51">
        <v>9700</v>
      </c>
      <c r="BC26" s="51">
        <v>13540</v>
      </c>
      <c r="BD26" s="51">
        <v>13800</v>
      </c>
      <c r="BE26" s="51">
        <v>8250</v>
      </c>
      <c r="BF26" s="51">
        <v>11950</v>
      </c>
      <c r="BG26" s="51">
        <v>8600</v>
      </c>
      <c r="BH26" s="51">
        <v>6250</v>
      </c>
    </row>
    <row r="27" spans="1:60" ht="15.5" x14ac:dyDescent="0.35">
      <c r="A27" t="str">
        <v>Lilac</v>
      </c>
      <c r="B27" s="389" t="s">
        <v>448</v>
      </c>
      <c r="C27" s="42" t="s">
        <v>285</v>
      </c>
      <c r="D27" s="738">
        <v>1700</v>
      </c>
      <c r="E27" s="738">
        <v>3</v>
      </c>
      <c r="F27" s="738">
        <v>2.5</v>
      </c>
      <c r="G27" s="734">
        <v>1</v>
      </c>
      <c r="H27" s="43">
        <f t="shared" si="0"/>
        <v>128788.11000000003</v>
      </c>
      <c r="I27" s="732">
        <v>4600</v>
      </c>
      <c r="J27" s="732">
        <v>7200</v>
      </c>
      <c r="K27" s="732" t="s">
        <v>469</v>
      </c>
      <c r="L27" s="390">
        <f t="shared" si="1"/>
        <v>75.757711764705903</v>
      </c>
      <c r="M27" s="638">
        <v>150</v>
      </c>
      <c r="N27" s="639" t="s">
        <v>448</v>
      </c>
      <c r="O27" s="1058"/>
      <c r="P27" s="1058"/>
      <c r="T27" s="40"/>
      <c r="U27" s="421" t="s">
        <v>497</v>
      </c>
      <c r="V27" s="422">
        <v>9475.9699999999993</v>
      </c>
      <c r="W27" s="422">
        <v>8397.7800000000007</v>
      </c>
      <c r="X27" s="422">
        <v>7191</v>
      </c>
      <c r="Y27" s="422">
        <v>6622.98</v>
      </c>
      <c r="Z27" s="422">
        <v>8947.9</v>
      </c>
      <c r="AA27" s="422">
        <v>6948.8799999999992</v>
      </c>
      <c r="AB27" s="422">
        <v>7859.7699999999995</v>
      </c>
      <c r="AC27" s="422">
        <v>8989.73</v>
      </c>
      <c r="AD27" s="422">
        <v>8022.68</v>
      </c>
      <c r="AE27" s="422">
        <v>8179.07</v>
      </c>
      <c r="AF27" s="422">
        <v>9830.34</v>
      </c>
      <c r="AG27" s="422">
        <v>9554.92</v>
      </c>
      <c r="AH27" s="422">
        <v>7197.3799999999992</v>
      </c>
      <c r="AI27" s="422">
        <v>6843.48</v>
      </c>
      <c r="AJ27" s="422">
        <v>5941.07</v>
      </c>
      <c r="AK27" s="422">
        <v>8876.69</v>
      </c>
      <c r="AL27" s="422">
        <v>8314.77</v>
      </c>
      <c r="AM27" s="422">
        <v>6878.46</v>
      </c>
      <c r="AN27" s="422">
        <v>8855</v>
      </c>
      <c r="AO27" s="422">
        <v>6120.79</v>
      </c>
      <c r="AP27" s="422">
        <v>8645</v>
      </c>
      <c r="AQ27" s="422">
        <v>9670</v>
      </c>
      <c r="AR27" s="422">
        <v>7510.5399999999991</v>
      </c>
      <c r="AS27" s="422">
        <v>9165</v>
      </c>
      <c r="AT27" s="422">
        <v>9035</v>
      </c>
      <c r="AU27" s="422">
        <v>8380</v>
      </c>
      <c r="AV27" s="422">
        <v>10435</v>
      </c>
      <c r="AW27" s="422">
        <v>9170</v>
      </c>
      <c r="AX27" s="422">
        <v>10802</v>
      </c>
      <c r="AY27" s="432">
        <v>7538.55</v>
      </c>
      <c r="AZ27" s="51">
        <v>7307.18</v>
      </c>
      <c r="BA27" s="51">
        <v>8632.36</v>
      </c>
      <c r="BB27" s="51">
        <v>9694</v>
      </c>
      <c r="BC27" s="51">
        <v>7050.01</v>
      </c>
      <c r="BD27" s="51">
        <v>11897.78</v>
      </c>
      <c r="BE27" s="51">
        <v>6270</v>
      </c>
      <c r="BF27" s="51">
        <v>8045</v>
      </c>
      <c r="BG27" s="51">
        <v>7900</v>
      </c>
      <c r="BH27" s="51">
        <v>6400</v>
      </c>
    </row>
    <row r="28" spans="1:60" ht="15.5" x14ac:dyDescent="0.35">
      <c r="A28" t="str">
        <v>Lily</v>
      </c>
      <c r="B28" s="389" t="s">
        <v>438</v>
      </c>
      <c r="C28" s="42" t="s">
        <v>285</v>
      </c>
      <c r="D28" s="738">
        <v>1304</v>
      </c>
      <c r="E28" s="738">
        <v>3</v>
      </c>
      <c r="F28" s="738">
        <v>2.5</v>
      </c>
      <c r="G28" s="734">
        <v>0</v>
      </c>
      <c r="H28" s="43">
        <f t="shared" si="0"/>
        <v>109770.74000000002</v>
      </c>
      <c r="I28" s="732">
        <v>3900</v>
      </c>
      <c r="J28" s="732">
        <v>8200</v>
      </c>
      <c r="K28" s="732" t="s">
        <v>469</v>
      </c>
      <c r="L28" s="390">
        <f t="shared" si="1"/>
        <v>84.180015337423328</v>
      </c>
      <c r="M28" s="638">
        <v>150</v>
      </c>
      <c r="N28" s="639" t="s">
        <v>438</v>
      </c>
      <c r="O28" s="1058"/>
      <c r="P28" s="1058"/>
      <c r="T28" s="40"/>
      <c r="U28" s="421" t="s">
        <v>498</v>
      </c>
      <c r="V28" s="422">
        <v>300.11</v>
      </c>
      <c r="W28" s="422">
        <v>300.11</v>
      </c>
      <c r="X28" s="422">
        <v>300.11</v>
      </c>
      <c r="Y28" s="422">
        <v>300.11</v>
      </c>
      <c r="Z28" s="422">
        <v>300.11</v>
      </c>
      <c r="AA28" s="422">
        <v>300.11</v>
      </c>
      <c r="AB28" s="422">
        <v>300.11</v>
      </c>
      <c r="AC28" s="422">
        <v>300.11</v>
      </c>
      <c r="AD28" s="422">
        <v>300.11</v>
      </c>
      <c r="AE28" s="422">
        <v>300.11</v>
      </c>
      <c r="AF28" s="422">
        <v>300.11</v>
      </c>
      <c r="AG28" s="422">
        <v>300.11</v>
      </c>
      <c r="AH28" s="422">
        <v>300.11</v>
      </c>
      <c r="AI28" s="422">
        <v>300.11</v>
      </c>
      <c r="AJ28" s="422">
        <v>300.11</v>
      </c>
      <c r="AK28" s="422">
        <v>300.11</v>
      </c>
      <c r="AL28" s="422">
        <v>300.11</v>
      </c>
      <c r="AM28" s="422">
        <v>300.11</v>
      </c>
      <c r="AN28" s="422">
        <v>300.11</v>
      </c>
      <c r="AO28" s="422">
        <v>300.11</v>
      </c>
      <c r="AP28" s="422">
        <v>300.11</v>
      </c>
      <c r="AQ28" s="422">
        <v>300</v>
      </c>
      <c r="AR28" s="422">
        <v>300.11</v>
      </c>
      <c r="AS28" s="422">
        <v>300.11</v>
      </c>
      <c r="AT28" s="422">
        <v>300.11</v>
      </c>
      <c r="AU28" s="422">
        <v>300.11</v>
      </c>
      <c r="AV28" s="422">
        <v>300.11</v>
      </c>
      <c r="AW28" s="422">
        <v>300.11</v>
      </c>
      <c r="AX28" s="422">
        <v>300.11</v>
      </c>
      <c r="AY28" s="432">
        <v>300.11</v>
      </c>
      <c r="AZ28" s="51">
        <v>300.11</v>
      </c>
      <c r="BA28" s="51">
        <v>300</v>
      </c>
      <c r="BB28" s="51">
        <v>300.11</v>
      </c>
      <c r="BC28" s="51">
        <v>300.11</v>
      </c>
      <c r="BD28" s="51">
        <v>300.11</v>
      </c>
      <c r="BE28" s="51">
        <v>275</v>
      </c>
      <c r="BF28" s="51">
        <v>275</v>
      </c>
      <c r="BG28" s="51">
        <v>275</v>
      </c>
      <c r="BH28" s="51">
        <v>275</v>
      </c>
    </row>
    <row r="29" spans="1:60" ht="15.5" x14ac:dyDescent="0.35">
      <c r="A29" t="str">
        <v>Linville</v>
      </c>
      <c r="B29" s="389" t="s">
        <v>439</v>
      </c>
      <c r="C29" s="381" t="s">
        <v>285</v>
      </c>
      <c r="D29" s="738">
        <v>1424</v>
      </c>
      <c r="E29" s="738">
        <v>3</v>
      </c>
      <c r="F29" s="738">
        <v>2.5</v>
      </c>
      <c r="G29" s="1034" t="s">
        <v>492</v>
      </c>
      <c r="H29" s="43">
        <f t="shared" si="0"/>
        <v>111483.39000000003</v>
      </c>
      <c r="I29" s="732">
        <v>4100</v>
      </c>
      <c r="J29" s="732">
        <v>7200</v>
      </c>
      <c r="K29" s="732">
        <v>5000</v>
      </c>
      <c r="L29" s="390">
        <f t="shared" si="1"/>
        <v>78.288897471910133</v>
      </c>
      <c r="M29" s="638">
        <v>150</v>
      </c>
      <c r="N29" s="639" t="s">
        <v>439</v>
      </c>
      <c r="O29" s="1058"/>
      <c r="P29" s="1058"/>
      <c r="T29" s="40"/>
      <c r="U29" s="421" t="s">
        <v>499</v>
      </c>
      <c r="V29" s="422">
        <v>0</v>
      </c>
      <c r="W29" s="422">
        <v>0</v>
      </c>
      <c r="X29" s="422">
        <v>0</v>
      </c>
      <c r="Y29" s="422">
        <v>0</v>
      </c>
      <c r="Z29" s="422">
        <v>0</v>
      </c>
      <c r="AA29" s="422">
        <v>0</v>
      </c>
      <c r="AB29" s="422">
        <v>0</v>
      </c>
      <c r="AC29" s="422">
        <v>0</v>
      </c>
      <c r="AD29" s="422">
        <v>0</v>
      </c>
      <c r="AE29" s="422">
        <v>0</v>
      </c>
      <c r="AF29" s="422">
        <v>0</v>
      </c>
      <c r="AG29" s="422">
        <v>0</v>
      </c>
      <c r="AH29" s="422">
        <v>0</v>
      </c>
      <c r="AI29" s="422">
        <v>0</v>
      </c>
      <c r="AJ29" s="422">
        <v>0</v>
      </c>
      <c r="AK29" s="422">
        <v>0</v>
      </c>
      <c r="AL29" s="422">
        <v>0</v>
      </c>
      <c r="AM29" s="422">
        <v>0</v>
      </c>
      <c r="AN29" s="422">
        <v>0</v>
      </c>
      <c r="AO29" s="422">
        <v>0</v>
      </c>
      <c r="AP29" s="422">
        <v>0</v>
      </c>
      <c r="AQ29" s="422">
        <v>0</v>
      </c>
      <c r="AR29" s="422">
        <v>0</v>
      </c>
      <c r="AS29" s="422">
        <v>0</v>
      </c>
      <c r="AT29" s="422">
        <v>0</v>
      </c>
      <c r="AU29" s="422">
        <v>0</v>
      </c>
      <c r="AV29" s="422">
        <v>0</v>
      </c>
      <c r="AW29" s="422">
        <v>0</v>
      </c>
      <c r="AX29" s="422">
        <v>0</v>
      </c>
      <c r="AY29" s="432">
        <v>0</v>
      </c>
      <c r="AZ29" s="51">
        <v>0</v>
      </c>
      <c r="BA29" s="51">
        <v>0</v>
      </c>
      <c r="BB29" s="51">
        <v>0</v>
      </c>
      <c r="BC29" s="51">
        <v>0</v>
      </c>
      <c r="BD29" s="51">
        <v>0</v>
      </c>
      <c r="BE29" s="51">
        <v>0</v>
      </c>
      <c r="BF29" s="51">
        <v>0</v>
      </c>
      <c r="BG29" s="51">
        <v>0</v>
      </c>
      <c r="BH29" s="51">
        <v>0</v>
      </c>
    </row>
    <row r="30" spans="1:60" ht="15.5" x14ac:dyDescent="0.35">
      <c r="A30" t="str">
        <v>Locust</v>
      </c>
      <c r="B30" s="389" t="s">
        <v>437</v>
      </c>
      <c r="C30" s="381" t="s">
        <v>285</v>
      </c>
      <c r="D30" s="738">
        <v>1689</v>
      </c>
      <c r="E30" s="738">
        <v>3</v>
      </c>
      <c r="F30" s="738">
        <v>2.5</v>
      </c>
      <c r="G30" s="1034" t="s">
        <v>492</v>
      </c>
      <c r="H30" s="43">
        <f t="shared" si="0"/>
        <v>130052.04</v>
      </c>
      <c r="I30" s="732">
        <v>5000</v>
      </c>
      <c r="J30" s="732">
        <v>8500</v>
      </c>
      <c r="K30" s="732" t="s">
        <v>469</v>
      </c>
      <c r="L30" s="390">
        <f t="shared" si="1"/>
        <v>76.999431616341028</v>
      </c>
      <c r="M30" s="638">
        <v>150</v>
      </c>
      <c r="N30" s="639" t="s">
        <v>437</v>
      </c>
      <c r="O30" s="1058"/>
      <c r="P30" s="1058"/>
      <c r="T30" s="40"/>
      <c r="U30" s="421" t="s">
        <v>500</v>
      </c>
      <c r="V30" s="422">
        <v>4067</v>
      </c>
      <c r="W30" s="422">
        <v>3356</v>
      </c>
      <c r="X30" s="422">
        <v>2890</v>
      </c>
      <c r="Y30" s="422">
        <v>2949</v>
      </c>
      <c r="Z30" s="422">
        <v>4139</v>
      </c>
      <c r="AA30" s="422">
        <v>3642</v>
      </c>
      <c r="AB30" s="422">
        <v>3671</v>
      </c>
      <c r="AC30" s="422">
        <v>3382</v>
      </c>
      <c r="AD30" s="422">
        <v>3535</v>
      </c>
      <c r="AE30" s="422">
        <v>3414</v>
      </c>
      <c r="AF30" s="422">
        <v>4640</v>
      </c>
      <c r="AG30" s="422">
        <v>4672</v>
      </c>
      <c r="AH30" s="422">
        <v>5523</v>
      </c>
      <c r="AI30" s="422">
        <v>2981</v>
      </c>
      <c r="AJ30" s="422">
        <v>2833</v>
      </c>
      <c r="AK30" s="422">
        <v>3698</v>
      </c>
      <c r="AL30" s="422">
        <v>3238</v>
      </c>
      <c r="AM30" s="422">
        <v>3784</v>
      </c>
      <c r="AN30" s="422">
        <v>4138.5</v>
      </c>
      <c r="AO30" s="422">
        <v>3872</v>
      </c>
      <c r="AP30" s="422">
        <v>2953</v>
      </c>
      <c r="AQ30" s="422">
        <v>5210</v>
      </c>
      <c r="AR30" s="422">
        <v>3588</v>
      </c>
      <c r="AS30" s="422">
        <v>3541</v>
      </c>
      <c r="AT30" s="422">
        <v>4245</v>
      </c>
      <c r="AU30" s="422">
        <v>3693</v>
      </c>
      <c r="AV30" s="422">
        <v>4227</v>
      </c>
      <c r="AW30" s="422">
        <v>3996</v>
      </c>
      <c r="AX30" s="422">
        <v>4560</v>
      </c>
      <c r="AY30" s="432">
        <v>3989</v>
      </c>
      <c r="AZ30" s="51">
        <v>3891</v>
      </c>
      <c r="BA30" s="51">
        <v>4098</v>
      </c>
      <c r="BB30" s="51">
        <v>3811</v>
      </c>
      <c r="BC30" s="51">
        <v>4939</v>
      </c>
      <c r="BD30" s="51">
        <v>3356</v>
      </c>
      <c r="BE30" s="51">
        <v>2800</v>
      </c>
      <c r="BF30" s="51">
        <v>4725</v>
      </c>
      <c r="BG30" s="51">
        <v>3975</v>
      </c>
      <c r="BH30" s="51">
        <v>3155</v>
      </c>
    </row>
    <row r="31" spans="1:60" ht="15.5" x14ac:dyDescent="0.35">
      <c r="A31" t="str">
        <v>Magnolia</v>
      </c>
      <c r="B31" s="389" t="s">
        <v>452</v>
      </c>
      <c r="C31" s="42" t="s">
        <v>285</v>
      </c>
      <c r="D31" s="739">
        <v>1798</v>
      </c>
      <c r="E31" s="739">
        <v>3</v>
      </c>
      <c r="F31" s="739">
        <v>3.5</v>
      </c>
      <c r="G31" s="735">
        <v>1</v>
      </c>
      <c r="H31" s="43">
        <f t="shared" si="0"/>
        <v>151578.79</v>
      </c>
      <c r="I31" s="732">
        <v>3900</v>
      </c>
      <c r="J31" s="732">
        <v>8200</v>
      </c>
      <c r="K31" s="732">
        <v>9000</v>
      </c>
      <c r="L31" s="390">
        <f t="shared" si="1"/>
        <v>84.304110122358182</v>
      </c>
      <c r="M31" s="638">
        <v>150</v>
      </c>
      <c r="N31" s="639" t="s">
        <v>452</v>
      </c>
      <c r="O31" s="1058"/>
      <c r="P31" s="1058"/>
      <c r="T31" s="40"/>
      <c r="U31" s="421" t="s">
        <v>501</v>
      </c>
      <c r="V31" s="422">
        <v>5765.79</v>
      </c>
      <c r="W31" s="422">
        <v>4501.41</v>
      </c>
      <c r="X31" s="422">
        <v>3724.58</v>
      </c>
      <c r="Y31" s="422">
        <v>3908.31</v>
      </c>
      <c r="Z31" s="422">
        <v>5393.62</v>
      </c>
      <c r="AA31" s="422">
        <v>4177.97</v>
      </c>
      <c r="AB31" s="422">
        <v>4637.3999999999996</v>
      </c>
      <c r="AC31" s="422">
        <v>4800.1400000000003</v>
      </c>
      <c r="AD31" s="422">
        <v>5153.13</v>
      </c>
      <c r="AE31" s="422">
        <v>3767.81</v>
      </c>
      <c r="AF31" s="422">
        <v>5046.53</v>
      </c>
      <c r="AG31" s="422">
        <v>5787.86</v>
      </c>
      <c r="AH31" s="422">
        <v>4058.81</v>
      </c>
      <c r="AI31" s="422">
        <v>4161.8599999999997</v>
      </c>
      <c r="AJ31" s="422">
        <v>3308.57</v>
      </c>
      <c r="AK31" s="422">
        <v>4923.9399999999996</v>
      </c>
      <c r="AL31" s="422">
        <v>4434.24</v>
      </c>
      <c r="AM31" s="422">
        <v>4417.93</v>
      </c>
      <c r="AN31" s="422">
        <v>3826.35</v>
      </c>
      <c r="AO31" s="422">
        <v>3390.09</v>
      </c>
      <c r="AP31" s="422">
        <v>2842.2</v>
      </c>
      <c r="AQ31" s="422">
        <v>4861.95</v>
      </c>
      <c r="AR31" s="422">
        <v>3531.73</v>
      </c>
      <c r="AS31" s="422">
        <v>3800.3</v>
      </c>
      <c r="AT31" s="422">
        <v>4658.49</v>
      </c>
      <c r="AU31" s="422">
        <v>4184.09</v>
      </c>
      <c r="AV31" s="422">
        <v>4766.57</v>
      </c>
      <c r="AW31" s="422">
        <v>4546.58</v>
      </c>
      <c r="AX31" s="422">
        <v>4370.54</v>
      </c>
      <c r="AY31" s="432">
        <v>4086.44</v>
      </c>
      <c r="AZ31" s="51">
        <v>3855.28</v>
      </c>
      <c r="BA31" s="51">
        <v>4605.6099999999997</v>
      </c>
      <c r="BB31" s="51">
        <v>3741.76</v>
      </c>
      <c r="BC31" s="51">
        <v>4724.6899999999996</v>
      </c>
      <c r="BD31" s="51">
        <v>4501.41</v>
      </c>
      <c r="BE31" s="51">
        <v>3181.59</v>
      </c>
      <c r="BF31" s="51">
        <v>4964.07</v>
      </c>
      <c r="BG31" s="51">
        <v>4151.93</v>
      </c>
      <c r="BH31" s="51">
        <v>2488.79</v>
      </c>
    </row>
    <row r="32" spans="1:60" ht="15.5" x14ac:dyDescent="0.35">
      <c r="A32" t="str">
        <v>Magnolia - SC</v>
      </c>
      <c r="B32" s="389" t="s">
        <v>451</v>
      </c>
      <c r="C32" s="47" t="s">
        <v>285</v>
      </c>
      <c r="D32" s="739">
        <v>1483</v>
      </c>
      <c r="E32" s="739">
        <v>3</v>
      </c>
      <c r="F32" s="739">
        <v>2.5</v>
      </c>
      <c r="G32" s="736" t="s">
        <v>502</v>
      </c>
      <c r="H32" s="43">
        <f t="shared" si="0"/>
        <v>129532.09</v>
      </c>
      <c r="I32" s="732">
        <v>3900</v>
      </c>
      <c r="J32" s="732">
        <v>8200</v>
      </c>
      <c r="K32" s="732">
        <v>3600</v>
      </c>
      <c r="L32" s="390">
        <f t="shared" si="1"/>
        <v>87.344632501685766</v>
      </c>
      <c r="M32" s="638">
        <v>150</v>
      </c>
      <c r="N32" s="639" t="s">
        <v>451</v>
      </c>
      <c r="O32" s="1058"/>
      <c r="P32" s="1058"/>
      <c r="T32" s="40"/>
      <c r="U32" s="421" t="s">
        <v>503</v>
      </c>
      <c r="V32" s="422">
        <v>5700.78</v>
      </c>
      <c r="W32" s="422">
        <v>4709.34</v>
      </c>
      <c r="X32" s="422">
        <v>4195.26</v>
      </c>
      <c r="Y32" s="422">
        <v>4305.42</v>
      </c>
      <c r="Z32" s="422">
        <v>5777.28</v>
      </c>
      <c r="AA32" s="422">
        <v>4244.22</v>
      </c>
      <c r="AB32" s="422">
        <v>4684.8599999999997</v>
      </c>
      <c r="AC32" s="422">
        <v>4779.72</v>
      </c>
      <c r="AD32" s="422">
        <v>4580.82</v>
      </c>
      <c r="AE32" s="422">
        <v>3607.74</v>
      </c>
      <c r="AF32" s="422">
        <v>5437.62</v>
      </c>
      <c r="AG32" s="422">
        <v>6156.72</v>
      </c>
      <c r="AH32" s="422">
        <v>4559.3999999999996</v>
      </c>
      <c r="AI32" s="422">
        <v>4075.92</v>
      </c>
      <c r="AJ32" s="422">
        <v>3225.24</v>
      </c>
      <c r="AK32" s="422">
        <v>5088.78</v>
      </c>
      <c r="AL32" s="422">
        <v>4681.8</v>
      </c>
      <c r="AM32" s="422">
        <v>4189.1400000000003</v>
      </c>
      <c r="AN32" s="422">
        <v>4360.5</v>
      </c>
      <c r="AO32" s="422">
        <v>3167.1</v>
      </c>
      <c r="AP32" s="422">
        <v>3408.84</v>
      </c>
      <c r="AQ32" s="422">
        <v>5474.34</v>
      </c>
      <c r="AR32" s="422">
        <v>3962.7</v>
      </c>
      <c r="AS32" s="422">
        <v>4161.6000000000004</v>
      </c>
      <c r="AT32" s="422">
        <v>5027.58</v>
      </c>
      <c r="AU32" s="422">
        <v>4397.22</v>
      </c>
      <c r="AV32" s="422">
        <v>5254.02</v>
      </c>
      <c r="AW32" s="422">
        <v>4905.18</v>
      </c>
      <c r="AX32" s="422">
        <v>4617.54</v>
      </c>
      <c r="AY32" s="432">
        <v>4235.04</v>
      </c>
      <c r="AZ32" s="51">
        <v>4329.8999999999996</v>
      </c>
      <c r="BA32" s="51">
        <v>4850.1000000000004</v>
      </c>
      <c r="BB32" s="51">
        <v>4155.4799999999996</v>
      </c>
      <c r="BC32" s="51">
        <v>4571.6400000000003</v>
      </c>
      <c r="BD32" s="51">
        <v>4709.34</v>
      </c>
      <c r="BE32" s="51">
        <v>3783.96</v>
      </c>
      <c r="BF32" s="51">
        <v>5553.12</v>
      </c>
      <c r="BG32" s="51">
        <v>4738.92</v>
      </c>
      <c r="BH32" s="51">
        <v>3074.64</v>
      </c>
    </row>
    <row r="33" spans="1:60" ht="15.5" x14ac:dyDescent="0.35">
      <c r="A33" t="str">
        <v>Palm II</v>
      </c>
      <c r="B33" s="389" t="s">
        <v>449</v>
      </c>
      <c r="C33" s="47" t="s">
        <v>285</v>
      </c>
      <c r="D33" s="739">
        <v>1689</v>
      </c>
      <c r="E33" s="739">
        <v>3</v>
      </c>
      <c r="F33" s="739">
        <v>2.5</v>
      </c>
      <c r="G33" s="736" t="s">
        <v>502</v>
      </c>
      <c r="H33" s="43">
        <f t="shared" si="0"/>
        <v>137916.71</v>
      </c>
      <c r="I33" s="732">
        <v>3300</v>
      </c>
      <c r="J33" s="732">
        <v>2700</v>
      </c>
      <c r="K33" s="732" t="s">
        <v>469</v>
      </c>
      <c r="L33" s="390">
        <f t="shared" si="1"/>
        <v>81.655837773830669</v>
      </c>
      <c r="M33" s="638">
        <v>150</v>
      </c>
      <c r="N33" s="640"/>
      <c r="O33" s="1060"/>
      <c r="P33" s="1060"/>
      <c r="T33" s="40"/>
      <c r="U33" s="421" t="s">
        <v>504</v>
      </c>
      <c r="V33" s="422">
        <v>25</v>
      </c>
      <c r="W33" s="422">
        <v>50</v>
      </c>
      <c r="X33" s="422">
        <v>50</v>
      </c>
      <c r="Y33" s="422">
        <v>400</v>
      </c>
      <c r="Z33" s="422">
        <v>275</v>
      </c>
      <c r="AA33" s="422">
        <v>100</v>
      </c>
      <c r="AB33" s="422">
        <v>75</v>
      </c>
      <c r="AC33" s="422">
        <v>100</v>
      </c>
      <c r="AD33" s="422">
        <v>75</v>
      </c>
      <c r="AE33" s="422">
        <v>50</v>
      </c>
      <c r="AF33" s="422">
        <v>25</v>
      </c>
      <c r="AG33" s="422">
        <v>250</v>
      </c>
      <c r="AH33" s="422">
        <v>200</v>
      </c>
      <c r="AI33" s="422">
        <v>75</v>
      </c>
      <c r="AJ33" s="422">
        <v>100</v>
      </c>
      <c r="AK33" s="422">
        <v>75</v>
      </c>
      <c r="AL33" s="422">
        <v>125</v>
      </c>
      <c r="AM33" s="422">
        <v>100</v>
      </c>
      <c r="AN33" s="422">
        <v>25</v>
      </c>
      <c r="AO33" s="422">
        <v>100</v>
      </c>
      <c r="AP33" s="422">
        <v>0</v>
      </c>
      <c r="AQ33" s="422">
        <v>50</v>
      </c>
      <c r="AR33" s="422">
        <v>75</v>
      </c>
      <c r="AS33" s="422">
        <v>0</v>
      </c>
      <c r="AT33" s="422">
        <v>275</v>
      </c>
      <c r="AU33" s="422">
        <v>330</v>
      </c>
      <c r="AV33" s="422">
        <v>0</v>
      </c>
      <c r="AW33" s="422">
        <v>0</v>
      </c>
      <c r="AX33" s="422">
        <v>350</v>
      </c>
      <c r="AY33" s="432">
        <v>100</v>
      </c>
      <c r="AZ33" s="51">
        <v>350</v>
      </c>
      <c r="BA33" s="51">
        <v>0</v>
      </c>
      <c r="BB33" s="51">
        <v>50</v>
      </c>
      <c r="BC33" s="51">
        <v>100</v>
      </c>
      <c r="BD33" s="51">
        <v>50</v>
      </c>
      <c r="BE33" s="51">
        <v>45</v>
      </c>
      <c r="BF33" s="51">
        <v>360</v>
      </c>
      <c r="BG33" s="51">
        <v>0</v>
      </c>
      <c r="BH33" s="51">
        <v>0</v>
      </c>
    </row>
    <row r="34" spans="1:60" ht="15.5" x14ac:dyDescent="0.35">
      <c r="A34" t="str">
        <v>Palmetto</v>
      </c>
      <c r="B34" s="389" t="s">
        <v>450</v>
      </c>
      <c r="C34" s="47" t="s">
        <v>285</v>
      </c>
      <c r="D34" s="739">
        <v>1993</v>
      </c>
      <c r="E34" s="739">
        <v>3</v>
      </c>
      <c r="F34" s="739">
        <v>2.5</v>
      </c>
      <c r="G34" s="736" t="s">
        <v>502</v>
      </c>
      <c r="H34" s="43">
        <f t="shared" si="0"/>
        <v>144637.37999999998</v>
      </c>
      <c r="I34" s="732">
        <v>5500</v>
      </c>
      <c r="J34" s="732">
        <v>8600</v>
      </c>
      <c r="K34" s="732">
        <v>4400</v>
      </c>
      <c r="L34" s="390">
        <f t="shared" si="1"/>
        <v>72.572694430506758</v>
      </c>
      <c r="M34" s="638">
        <v>150</v>
      </c>
      <c r="N34" s="639" t="s">
        <v>450</v>
      </c>
      <c r="O34" s="1058"/>
      <c r="P34" s="1058"/>
      <c r="U34" s="421" t="s">
        <v>505</v>
      </c>
      <c r="V34" s="422">
        <v>4114.24</v>
      </c>
      <c r="W34" s="422">
        <v>3289.92</v>
      </c>
      <c r="X34" s="422">
        <v>2923.28</v>
      </c>
      <c r="Y34" s="422">
        <v>2576</v>
      </c>
      <c r="Z34" s="422">
        <v>4073.76</v>
      </c>
      <c r="AA34" s="422">
        <v>2835.44</v>
      </c>
      <c r="AB34" s="422">
        <v>3151.92</v>
      </c>
      <c r="AC34" s="422">
        <v>3680</v>
      </c>
      <c r="AD34" s="422">
        <v>3150.08</v>
      </c>
      <c r="AE34" s="422">
        <v>2545.1999999999998</v>
      </c>
      <c r="AF34" s="422">
        <v>4219.12</v>
      </c>
      <c r="AG34" s="422">
        <v>5098.6400000000003</v>
      </c>
      <c r="AH34" s="422">
        <v>3601.8</v>
      </c>
      <c r="AI34" s="422">
        <v>2842.8</v>
      </c>
      <c r="AJ34" s="422">
        <v>2152.8000000000002</v>
      </c>
      <c r="AK34" s="422">
        <v>3689.2</v>
      </c>
      <c r="AL34" s="422">
        <v>3416.88</v>
      </c>
      <c r="AM34" s="422">
        <v>2760</v>
      </c>
      <c r="AN34" s="422">
        <v>3107.76</v>
      </c>
      <c r="AO34" s="422">
        <v>2399.36</v>
      </c>
      <c r="AP34" s="422">
        <v>2620.16</v>
      </c>
      <c r="AQ34" s="422">
        <v>4025.92</v>
      </c>
      <c r="AR34" s="422">
        <v>2760</v>
      </c>
      <c r="AS34" s="422">
        <v>3128</v>
      </c>
      <c r="AT34" s="422">
        <v>3304.64</v>
      </c>
      <c r="AU34" s="422">
        <v>2848.32</v>
      </c>
      <c r="AV34" s="422">
        <v>3481.28</v>
      </c>
      <c r="AW34" s="422">
        <v>3216.32</v>
      </c>
      <c r="AX34" s="422">
        <v>3387.44</v>
      </c>
      <c r="AY34" s="432">
        <v>3070.96</v>
      </c>
      <c r="AZ34" s="51">
        <v>3107.76</v>
      </c>
      <c r="BA34" s="51">
        <v>3667.12</v>
      </c>
      <c r="BB34" s="51">
        <v>2728.72</v>
      </c>
      <c r="BC34" s="51">
        <v>3236.4</v>
      </c>
      <c r="BD34" s="51">
        <v>3289.92</v>
      </c>
      <c r="BE34" s="51">
        <v>2786</v>
      </c>
      <c r="BF34" s="51">
        <v>4849.26</v>
      </c>
      <c r="BG34" s="51">
        <v>3311</v>
      </c>
      <c r="BH34" s="51">
        <v>2492</v>
      </c>
    </row>
    <row r="35" spans="1:60" ht="15.5" x14ac:dyDescent="0.35">
      <c r="A35" t="str">
        <v>Palmetto II</v>
      </c>
      <c r="B35" s="389" t="s">
        <v>442</v>
      </c>
      <c r="C35" s="47" t="s">
        <v>285</v>
      </c>
      <c r="D35" s="739">
        <v>1700</v>
      </c>
      <c r="E35" s="739">
        <v>3</v>
      </c>
      <c r="F35" s="739">
        <v>2.5</v>
      </c>
      <c r="G35" s="1042" t="s">
        <v>506</v>
      </c>
      <c r="H35" s="43">
        <f t="shared" si="0"/>
        <v>127244.34000000001</v>
      </c>
      <c r="I35" s="732">
        <v>4600</v>
      </c>
      <c r="J35" s="732">
        <v>8800</v>
      </c>
      <c r="K35" s="732">
        <v>5900</v>
      </c>
      <c r="L35" s="390">
        <f t="shared" si="1"/>
        <v>74.849611764705884</v>
      </c>
      <c r="M35" s="638">
        <v>150</v>
      </c>
      <c r="N35" s="639" t="s">
        <v>442</v>
      </c>
      <c r="O35" s="1058"/>
      <c r="P35" s="1058"/>
      <c r="U35" s="421" t="s">
        <v>507</v>
      </c>
      <c r="V35" s="422">
        <v>0</v>
      </c>
      <c r="W35" s="422">
        <v>0</v>
      </c>
      <c r="X35" s="422">
        <v>0</v>
      </c>
      <c r="Y35" s="422">
        <v>0</v>
      </c>
      <c r="Z35" s="422">
        <v>0</v>
      </c>
      <c r="AA35" s="422">
        <v>0</v>
      </c>
      <c r="AB35" s="422">
        <v>0</v>
      </c>
      <c r="AC35" s="422">
        <v>0</v>
      </c>
      <c r="AD35" s="422">
        <v>0</v>
      </c>
      <c r="AE35" s="422">
        <v>0</v>
      </c>
      <c r="AF35" s="422">
        <v>0</v>
      </c>
      <c r="AG35" s="422">
        <v>0</v>
      </c>
      <c r="AH35" s="422">
        <v>0</v>
      </c>
      <c r="AI35" s="422">
        <v>0</v>
      </c>
      <c r="AJ35" s="422">
        <v>0</v>
      </c>
      <c r="AK35" s="422">
        <v>0</v>
      </c>
      <c r="AL35" s="422">
        <v>0</v>
      </c>
      <c r="AM35" s="422">
        <v>0</v>
      </c>
      <c r="AN35" s="422">
        <v>0</v>
      </c>
      <c r="AO35" s="422">
        <v>0</v>
      </c>
      <c r="AP35" s="422">
        <v>0</v>
      </c>
      <c r="AQ35" s="422">
        <v>0</v>
      </c>
      <c r="AR35" s="422">
        <v>0</v>
      </c>
      <c r="AS35" s="422">
        <v>0</v>
      </c>
      <c r="AT35" s="422">
        <v>0</v>
      </c>
      <c r="AU35" s="422">
        <v>0</v>
      </c>
      <c r="AV35" s="422">
        <v>0</v>
      </c>
      <c r="AW35" s="422">
        <v>0</v>
      </c>
      <c r="AX35" s="422">
        <v>0</v>
      </c>
      <c r="AY35" s="432">
        <v>0</v>
      </c>
      <c r="AZ35" s="51">
        <v>0</v>
      </c>
      <c r="BA35" s="51">
        <v>0</v>
      </c>
      <c r="BB35" s="51">
        <v>0</v>
      </c>
      <c r="BC35" s="51">
        <v>0</v>
      </c>
      <c r="BD35" s="51">
        <v>0</v>
      </c>
      <c r="BE35" s="51">
        <v>0</v>
      </c>
      <c r="BF35" s="51">
        <v>0</v>
      </c>
      <c r="BG35" s="51">
        <v>0</v>
      </c>
      <c r="BH35" s="51">
        <v>0</v>
      </c>
    </row>
    <row r="36" spans="1:60" ht="15.5" x14ac:dyDescent="0.35">
      <c r="A36" t="str">
        <v>Palmetto II - SC</v>
      </c>
      <c r="B36" s="389" t="s">
        <v>443</v>
      </c>
      <c r="C36" s="47" t="s">
        <v>285</v>
      </c>
      <c r="D36" s="739">
        <v>1796</v>
      </c>
      <c r="E36" s="739">
        <v>4</v>
      </c>
      <c r="F36" s="739">
        <v>2.5</v>
      </c>
      <c r="G36" s="1042">
        <v>2</v>
      </c>
      <c r="H36" s="43">
        <f t="shared" si="0"/>
        <v>131296.41999999998</v>
      </c>
      <c r="I36" s="732">
        <v>6300</v>
      </c>
      <c r="J36" s="732">
        <v>9200</v>
      </c>
      <c r="K36" s="732">
        <v>4800</v>
      </c>
      <c r="L36" s="390">
        <f t="shared" ref="L36:L43" si="4">H36/D36</f>
        <v>73.104910913140301</v>
      </c>
      <c r="M36" s="638">
        <v>150</v>
      </c>
      <c r="N36" s="639"/>
      <c r="O36" s="1058"/>
      <c r="P36" s="1058"/>
      <c r="U36" s="421" t="s">
        <v>508</v>
      </c>
      <c r="V36" s="422">
        <v>6581.37</v>
      </c>
      <c r="W36" s="422">
        <v>4352</v>
      </c>
      <c r="X36" s="422">
        <v>4068</v>
      </c>
      <c r="Y36" s="422">
        <v>4455</v>
      </c>
      <c r="Z36" s="422">
        <v>5005</v>
      </c>
      <c r="AA36" s="422">
        <v>3740</v>
      </c>
      <c r="AB36" s="422">
        <v>4384</v>
      </c>
      <c r="AC36" s="422">
        <v>4645</v>
      </c>
      <c r="AD36" s="422">
        <v>4243</v>
      </c>
      <c r="AE36" s="422">
        <v>3969</v>
      </c>
      <c r="AF36" s="422">
        <v>6600</v>
      </c>
      <c r="AG36" s="422">
        <v>5193</v>
      </c>
      <c r="AH36" s="422">
        <v>4604</v>
      </c>
      <c r="AI36" s="422">
        <v>3593</v>
      </c>
      <c r="AJ36" s="422">
        <v>2903</v>
      </c>
      <c r="AK36" s="422">
        <v>4637</v>
      </c>
      <c r="AL36" s="422">
        <v>4255</v>
      </c>
      <c r="AM36" s="422">
        <v>4176</v>
      </c>
      <c r="AN36" s="422">
        <v>4431</v>
      </c>
      <c r="AO36" s="422">
        <v>3775</v>
      </c>
      <c r="AP36" s="422">
        <v>4008</v>
      </c>
      <c r="AQ36" s="422">
        <v>4827</v>
      </c>
      <c r="AR36" s="422">
        <v>4718</v>
      </c>
      <c r="AS36" s="422">
        <v>4400</v>
      </c>
      <c r="AT36" s="422">
        <v>4333</v>
      </c>
      <c r="AU36" s="422">
        <v>5176</v>
      </c>
      <c r="AV36" s="422">
        <v>5492</v>
      </c>
      <c r="AW36" s="422">
        <v>4451</v>
      </c>
      <c r="AX36" s="422">
        <v>6562.49</v>
      </c>
      <c r="AY36" s="432">
        <v>4934.83</v>
      </c>
      <c r="AZ36" s="51">
        <v>3363.7200000000003</v>
      </c>
      <c r="BA36" s="51">
        <v>4939.7299999999996</v>
      </c>
      <c r="BB36" s="51">
        <v>4545.92</v>
      </c>
      <c r="BC36" s="51">
        <v>4250</v>
      </c>
      <c r="BD36" s="51">
        <v>4352</v>
      </c>
      <c r="BE36" s="51">
        <v>4068</v>
      </c>
      <c r="BF36" s="51">
        <v>5193</v>
      </c>
      <c r="BG36" s="51">
        <v>5492</v>
      </c>
      <c r="BH36" s="51">
        <v>4008</v>
      </c>
    </row>
    <row r="37" spans="1:60" ht="15.5" x14ac:dyDescent="0.35">
      <c r="A37" t="str">
        <v>Pinyon</v>
      </c>
      <c r="B37" s="389" t="s">
        <v>444</v>
      </c>
      <c r="C37" s="47" t="s">
        <v>285</v>
      </c>
      <c r="D37" s="739">
        <v>1548</v>
      </c>
      <c r="E37" s="739">
        <v>3</v>
      </c>
      <c r="F37" s="739">
        <v>2.5</v>
      </c>
      <c r="G37" s="1042">
        <v>1</v>
      </c>
      <c r="H37" s="43">
        <f t="shared" si="0"/>
        <v>123507.16</v>
      </c>
      <c r="I37" s="732">
        <v>5700</v>
      </c>
      <c r="J37" s="732">
        <v>8500</v>
      </c>
      <c r="K37" s="732">
        <v>5200</v>
      </c>
      <c r="L37" s="390">
        <f t="shared" si="4"/>
        <v>79.784987080103363</v>
      </c>
      <c r="M37" s="638">
        <v>150</v>
      </c>
      <c r="N37" s="639"/>
      <c r="O37" s="1058"/>
      <c r="P37" s="1058"/>
      <c r="U37" s="421" t="s">
        <v>509</v>
      </c>
      <c r="V37" s="422">
        <v>546.91</v>
      </c>
      <c r="W37" s="422">
        <v>454.35</v>
      </c>
      <c r="X37" s="422">
        <v>451.21</v>
      </c>
      <c r="Y37" s="422">
        <v>570.95000000000005</v>
      </c>
      <c r="Z37" s="422">
        <v>528.23</v>
      </c>
      <c r="AA37" s="422">
        <v>449.17</v>
      </c>
      <c r="AB37" s="422">
        <v>506.7</v>
      </c>
      <c r="AC37" s="422">
        <v>567.04</v>
      </c>
      <c r="AD37" s="422">
        <v>506.15</v>
      </c>
      <c r="AE37" s="422">
        <v>439.7</v>
      </c>
      <c r="AF37" s="422">
        <v>489.04</v>
      </c>
      <c r="AG37" s="422">
        <v>508.4</v>
      </c>
      <c r="AH37" s="422">
        <v>512.99</v>
      </c>
      <c r="AI37" s="422">
        <v>437.71</v>
      </c>
      <c r="AJ37" s="422">
        <v>394.23</v>
      </c>
      <c r="AK37" s="422">
        <v>507.85</v>
      </c>
      <c r="AL37" s="422">
        <v>510.06</v>
      </c>
      <c r="AM37" s="422">
        <v>456.94</v>
      </c>
      <c r="AN37" s="422">
        <v>508.53</v>
      </c>
      <c r="AO37" s="422">
        <v>471.89</v>
      </c>
      <c r="AP37" s="422">
        <v>619.39</v>
      </c>
      <c r="AQ37" s="422">
        <v>567.04</v>
      </c>
      <c r="AR37" s="422">
        <v>456.94</v>
      </c>
      <c r="AS37" s="422">
        <v>508.53</v>
      </c>
      <c r="AT37" s="422">
        <v>545.42999999999995</v>
      </c>
      <c r="AU37" s="422">
        <v>473.84</v>
      </c>
      <c r="AV37" s="422">
        <v>567.59</v>
      </c>
      <c r="AW37" s="422">
        <v>527.16999999999996</v>
      </c>
      <c r="AX37" s="422">
        <v>512.52</v>
      </c>
      <c r="AY37" s="432">
        <v>454.35</v>
      </c>
      <c r="AZ37" s="51">
        <v>409.3</v>
      </c>
      <c r="BA37" s="51">
        <v>449.17</v>
      </c>
      <c r="BB37" s="51">
        <v>449.17</v>
      </c>
      <c r="BC37" s="51">
        <v>471.12</v>
      </c>
      <c r="BD37" s="51">
        <v>454.35</v>
      </c>
      <c r="BE37" s="51">
        <v>451.21</v>
      </c>
      <c r="BF37" s="51">
        <v>508.4</v>
      </c>
      <c r="BG37" s="51">
        <v>567.59</v>
      </c>
      <c r="BH37" s="51">
        <v>432.4</v>
      </c>
    </row>
    <row r="38" spans="1:60" ht="15.5" x14ac:dyDescent="0.35">
      <c r="A38" t="str">
        <v>Poplar</v>
      </c>
      <c r="B38" s="389" t="s">
        <v>445</v>
      </c>
      <c r="C38" s="47" t="s">
        <v>285</v>
      </c>
      <c r="D38" s="739">
        <v>1892</v>
      </c>
      <c r="E38" s="739">
        <v>0</v>
      </c>
      <c r="F38" s="739">
        <v>0</v>
      </c>
      <c r="G38" s="1042">
        <v>2</v>
      </c>
      <c r="H38" s="43">
        <f t="shared" si="0"/>
        <v>159080.34</v>
      </c>
      <c r="I38" s="732">
        <v>4700</v>
      </c>
      <c r="J38" s="732">
        <v>5900</v>
      </c>
      <c r="K38" s="732">
        <v>7700</v>
      </c>
      <c r="L38" s="390">
        <f t="shared" si="4"/>
        <v>84.080517970401687</v>
      </c>
      <c r="M38" s="638">
        <v>150</v>
      </c>
      <c r="N38" s="639"/>
      <c r="O38" s="1058"/>
      <c r="P38" s="1058"/>
      <c r="U38" s="421" t="s">
        <v>510</v>
      </c>
      <c r="V38" s="422">
        <v>703.6</v>
      </c>
      <c r="W38" s="422">
        <v>248.4</v>
      </c>
      <c r="X38" s="422">
        <v>464.2</v>
      </c>
      <c r="Y38" s="422">
        <v>396.65</v>
      </c>
      <c r="Z38" s="422">
        <v>583.6</v>
      </c>
      <c r="AA38" s="422">
        <v>535.6</v>
      </c>
      <c r="AB38" s="422">
        <v>511.6</v>
      </c>
      <c r="AC38" s="422">
        <v>607.29999999999995</v>
      </c>
      <c r="AD38" s="422">
        <v>559</v>
      </c>
      <c r="AE38" s="422">
        <v>607.6</v>
      </c>
      <c r="AF38" s="422">
        <v>301.2</v>
      </c>
      <c r="AG38" s="422">
        <v>158</v>
      </c>
      <c r="AH38" s="422">
        <v>747.95</v>
      </c>
      <c r="AI38" s="422">
        <v>503.6</v>
      </c>
      <c r="AJ38" s="422">
        <v>440.8</v>
      </c>
      <c r="AK38" s="422">
        <v>726.7</v>
      </c>
      <c r="AL38" s="422">
        <v>560.20000000000005</v>
      </c>
      <c r="AM38" s="422">
        <v>255.6</v>
      </c>
      <c r="AN38" s="422">
        <v>295.2</v>
      </c>
      <c r="AO38" s="422">
        <v>416.2</v>
      </c>
      <c r="AP38" s="422">
        <v>464.5</v>
      </c>
      <c r="AQ38" s="422">
        <v>320.39999999999998</v>
      </c>
      <c r="AR38" s="422">
        <v>252</v>
      </c>
      <c r="AS38" s="422">
        <v>259.2</v>
      </c>
      <c r="AT38" s="422">
        <v>270</v>
      </c>
      <c r="AU38" s="422">
        <v>241.2</v>
      </c>
      <c r="AV38" s="422">
        <v>198</v>
      </c>
      <c r="AW38" s="422">
        <v>255.6</v>
      </c>
      <c r="AX38" s="422">
        <v>259.2</v>
      </c>
      <c r="AY38" s="432">
        <v>267</v>
      </c>
      <c r="AZ38" s="51">
        <v>147.6</v>
      </c>
      <c r="BA38" s="51">
        <v>259.2</v>
      </c>
      <c r="BB38" s="51">
        <v>511</v>
      </c>
      <c r="BC38" s="51">
        <v>543.35</v>
      </c>
      <c r="BD38" s="51">
        <v>248.4</v>
      </c>
      <c r="BE38" s="51">
        <v>259.2</v>
      </c>
      <c r="BF38" s="51">
        <v>432</v>
      </c>
      <c r="BG38" s="51">
        <v>198</v>
      </c>
      <c r="BH38" s="51">
        <v>316.8</v>
      </c>
    </row>
    <row r="39" spans="1:60" ht="15.5" x14ac:dyDescent="0.35">
      <c r="A39" t="str">
        <v>Spindle</v>
      </c>
      <c r="B39" s="389" t="s">
        <v>446</v>
      </c>
      <c r="C39" s="47" t="s">
        <v>285</v>
      </c>
      <c r="D39" s="739">
        <v>1748</v>
      </c>
      <c r="E39" s="739">
        <v>3</v>
      </c>
      <c r="F39" s="739">
        <v>3.5</v>
      </c>
      <c r="G39" s="1042">
        <v>2</v>
      </c>
      <c r="H39" s="43">
        <f t="shared" si="0"/>
        <v>149923.33000000002</v>
      </c>
      <c r="I39" s="732">
        <v>6600</v>
      </c>
      <c r="J39" s="732">
        <v>11200</v>
      </c>
      <c r="K39" s="732">
        <v>6200</v>
      </c>
      <c r="L39" s="390">
        <f t="shared" si="4"/>
        <v>85.768495423340966</v>
      </c>
      <c r="M39" s="638">
        <v>150</v>
      </c>
      <c r="N39" s="639"/>
      <c r="O39" s="1058"/>
      <c r="P39" s="1058"/>
      <c r="U39" s="421" t="s">
        <v>511</v>
      </c>
      <c r="V39" s="422">
        <v>0</v>
      </c>
      <c r="W39" s="422">
        <v>0</v>
      </c>
      <c r="X39" s="422">
        <v>0</v>
      </c>
      <c r="Y39" s="422">
        <v>0</v>
      </c>
      <c r="Z39" s="422">
        <v>0</v>
      </c>
      <c r="AA39" s="422">
        <v>0</v>
      </c>
      <c r="AB39" s="422">
        <v>0</v>
      </c>
      <c r="AC39" s="422">
        <v>0</v>
      </c>
      <c r="AD39" s="422">
        <v>0</v>
      </c>
      <c r="AE39" s="422">
        <v>0</v>
      </c>
      <c r="AF39" s="422">
        <v>0</v>
      </c>
      <c r="AG39" s="422">
        <v>0</v>
      </c>
      <c r="AH39" s="422">
        <v>0</v>
      </c>
      <c r="AI39" s="422">
        <v>0</v>
      </c>
      <c r="AJ39" s="422">
        <v>0</v>
      </c>
      <c r="AK39" s="422">
        <v>0</v>
      </c>
      <c r="AL39" s="422">
        <v>0</v>
      </c>
      <c r="AM39" s="422">
        <v>0</v>
      </c>
      <c r="AN39" s="422">
        <v>0</v>
      </c>
      <c r="AO39" s="422">
        <v>0</v>
      </c>
      <c r="AP39" s="422">
        <v>0</v>
      </c>
      <c r="AQ39" s="422">
        <v>0</v>
      </c>
      <c r="AR39" s="422">
        <v>0</v>
      </c>
      <c r="AS39" s="422">
        <v>0</v>
      </c>
      <c r="AT39" s="422">
        <v>0</v>
      </c>
      <c r="AU39" s="422">
        <v>0</v>
      </c>
      <c r="AV39" s="422">
        <v>0</v>
      </c>
      <c r="AW39" s="422">
        <v>0</v>
      </c>
      <c r="AX39" s="422">
        <v>0</v>
      </c>
      <c r="AY39" s="432">
        <v>0</v>
      </c>
      <c r="AZ39" s="51">
        <v>0</v>
      </c>
      <c r="BA39" s="51">
        <v>0</v>
      </c>
      <c r="BB39" s="51">
        <v>0</v>
      </c>
      <c r="BC39" s="51">
        <v>0</v>
      </c>
      <c r="BD39" s="51">
        <v>0</v>
      </c>
      <c r="BE39" s="51">
        <v>0</v>
      </c>
      <c r="BF39" s="51">
        <v>0</v>
      </c>
      <c r="BG39" s="51">
        <v>0</v>
      </c>
      <c r="BH39" s="51">
        <v>0</v>
      </c>
    </row>
    <row r="40" spans="1:60" ht="15.5" x14ac:dyDescent="0.35">
      <c r="A40" t="str">
        <v>Spruce</v>
      </c>
      <c r="B40" s="389" t="s">
        <v>123</v>
      </c>
      <c r="C40" s="1180" t="s">
        <v>30</v>
      </c>
      <c r="D40" s="739">
        <v>1554</v>
      </c>
      <c r="E40" s="739">
        <v>3</v>
      </c>
      <c r="F40" s="739">
        <v>2.5</v>
      </c>
      <c r="G40" s="1042">
        <v>0</v>
      </c>
      <c r="H40" s="43">
        <f t="shared" si="0"/>
        <v>106047.85</v>
      </c>
      <c r="I40" s="732">
        <v>4900</v>
      </c>
      <c r="J40" s="732">
        <v>9200</v>
      </c>
      <c r="K40" s="732" t="s">
        <v>469</v>
      </c>
      <c r="L40" s="390">
        <f t="shared" si="4"/>
        <v>68.241859716859722</v>
      </c>
      <c r="M40" s="638">
        <v>150</v>
      </c>
      <c r="N40" s="639"/>
      <c r="O40" s="1058"/>
      <c r="P40" s="1058"/>
      <c r="U40" s="421" t="s">
        <v>512</v>
      </c>
      <c r="V40" s="422">
        <v>689.96</v>
      </c>
      <c r="W40" s="422">
        <v>689.96</v>
      </c>
      <c r="X40" s="422">
        <v>689.96</v>
      </c>
      <c r="Y40" s="422">
        <v>689.96</v>
      </c>
      <c r="Z40" s="422">
        <v>689.96</v>
      </c>
      <c r="AA40" s="422">
        <v>689.96</v>
      </c>
      <c r="AB40" s="422">
        <v>689.96</v>
      </c>
      <c r="AC40" s="422">
        <v>689.96</v>
      </c>
      <c r="AD40" s="422">
        <v>689.96</v>
      </c>
      <c r="AE40" s="422">
        <v>689.96</v>
      </c>
      <c r="AF40" s="422">
        <v>909.94</v>
      </c>
      <c r="AG40" s="422">
        <v>799.95</v>
      </c>
      <c r="AH40" s="422">
        <v>689.06</v>
      </c>
      <c r="AI40" s="422">
        <v>579.97</v>
      </c>
      <c r="AJ40" s="422">
        <v>579.97</v>
      </c>
      <c r="AK40" s="422">
        <v>689.96</v>
      </c>
      <c r="AL40" s="422">
        <v>689.96</v>
      </c>
      <c r="AM40" s="422">
        <v>689.96</v>
      </c>
      <c r="AN40" s="422">
        <v>799.95</v>
      </c>
      <c r="AO40" s="422">
        <v>689.96</v>
      </c>
      <c r="AP40" s="422">
        <v>689.96</v>
      </c>
      <c r="AQ40" s="422">
        <v>799.95</v>
      </c>
      <c r="AR40" s="422">
        <v>689.96</v>
      </c>
      <c r="AS40" s="422">
        <v>799.95</v>
      </c>
      <c r="AT40" s="422">
        <v>799.95</v>
      </c>
      <c r="AU40" s="422">
        <v>686</v>
      </c>
      <c r="AV40" s="422">
        <v>799.95</v>
      </c>
      <c r="AW40" s="422">
        <v>799.95</v>
      </c>
      <c r="AX40" s="422">
        <v>689.96</v>
      </c>
      <c r="AY40" s="432">
        <v>689.96</v>
      </c>
      <c r="AZ40" s="51">
        <v>689.96</v>
      </c>
      <c r="BA40" s="51">
        <v>799.95</v>
      </c>
      <c r="BB40" s="51">
        <v>689.96</v>
      </c>
      <c r="BC40" s="51">
        <v>689.96</v>
      </c>
      <c r="BD40" s="51">
        <v>689.96</v>
      </c>
      <c r="BE40" s="51">
        <v>689.96</v>
      </c>
      <c r="BF40" s="51">
        <v>799.95</v>
      </c>
      <c r="BG40" s="51">
        <v>799.95</v>
      </c>
      <c r="BH40" s="51">
        <v>689.96</v>
      </c>
    </row>
    <row r="41" spans="1:60" ht="15.5" x14ac:dyDescent="0.35">
      <c r="A41" t="str">
        <v>Sycamore</v>
      </c>
      <c r="B41" s="389" t="s">
        <v>454</v>
      </c>
      <c r="C41" s="1180" t="s">
        <v>30</v>
      </c>
      <c r="D41" s="739">
        <v>2771</v>
      </c>
      <c r="E41" s="739">
        <v>4</v>
      </c>
      <c r="F41" s="739">
        <v>3</v>
      </c>
      <c r="G41" s="1042">
        <v>2</v>
      </c>
      <c r="H41" s="43">
        <f t="shared" si="0"/>
        <v>162911.79999999999</v>
      </c>
      <c r="I41" s="732">
        <v>5000</v>
      </c>
      <c r="J41" s="732">
        <v>11700</v>
      </c>
      <c r="K41" s="732" t="s">
        <v>469</v>
      </c>
      <c r="L41" s="390">
        <f t="shared" si="4"/>
        <v>58.79169974738361</v>
      </c>
      <c r="M41" s="638">
        <v>150</v>
      </c>
      <c r="N41" s="639"/>
      <c r="O41" s="1058"/>
      <c r="P41" s="1058"/>
      <c r="U41" s="421" t="s">
        <v>513</v>
      </c>
      <c r="V41" s="422">
        <v>422.8</v>
      </c>
      <c r="W41" s="422">
        <v>161.41</v>
      </c>
      <c r="X41" s="422">
        <v>133.49</v>
      </c>
      <c r="Y41" s="422">
        <v>471.07</v>
      </c>
      <c r="Z41" s="422">
        <v>484.58</v>
      </c>
      <c r="AA41" s="422">
        <v>161.41</v>
      </c>
      <c r="AB41" s="422">
        <v>133.49</v>
      </c>
      <c r="AC41" s="422">
        <v>452.2</v>
      </c>
      <c r="AD41" s="422">
        <v>161.41</v>
      </c>
      <c r="AE41" s="422">
        <v>189.33</v>
      </c>
      <c r="AF41" s="422">
        <v>229.91</v>
      </c>
      <c r="AG41" s="422">
        <v>202.41</v>
      </c>
      <c r="AH41" s="422">
        <v>405.06</v>
      </c>
      <c r="AI41" s="422">
        <v>133.91</v>
      </c>
      <c r="AJ41" s="422">
        <v>133.91</v>
      </c>
      <c r="AK41" s="422">
        <v>428.63</v>
      </c>
      <c r="AL41" s="422">
        <v>161.41</v>
      </c>
      <c r="AM41" s="422">
        <v>161.41</v>
      </c>
      <c r="AN41" s="422">
        <v>174.49</v>
      </c>
      <c r="AO41" s="422">
        <v>405.06</v>
      </c>
      <c r="AP41" s="422">
        <v>418.57</v>
      </c>
      <c r="AQ41" s="422">
        <v>174.49</v>
      </c>
      <c r="AR41" s="422">
        <v>161.41</v>
      </c>
      <c r="AS41" s="422">
        <v>174.49</v>
      </c>
      <c r="AT41" s="422">
        <v>161.41</v>
      </c>
      <c r="AU41" s="422">
        <v>161.41</v>
      </c>
      <c r="AV41" s="422">
        <v>198.9</v>
      </c>
      <c r="AW41" s="422">
        <v>473.39</v>
      </c>
      <c r="AX41" s="422">
        <v>203.75</v>
      </c>
      <c r="AY41" s="432">
        <v>161.41</v>
      </c>
      <c r="AZ41" s="51">
        <v>161.41</v>
      </c>
      <c r="BA41" s="51">
        <v>174.49</v>
      </c>
      <c r="BB41" s="51">
        <v>428.63</v>
      </c>
      <c r="BC41" s="51">
        <v>203.75</v>
      </c>
      <c r="BD41" s="51">
        <v>161.41</v>
      </c>
      <c r="BE41" s="51">
        <v>133.49</v>
      </c>
      <c r="BF41" s="51">
        <v>202.41</v>
      </c>
      <c r="BG41" s="51">
        <v>198.9</v>
      </c>
      <c r="BH41" s="51">
        <v>161.41</v>
      </c>
    </row>
    <row r="42" spans="1:60" ht="15.5" x14ac:dyDescent="0.35">
      <c r="A42" t="str">
        <v>Tulip</v>
      </c>
      <c r="B42" s="389" t="s">
        <v>455</v>
      </c>
      <c r="C42" s="1180" t="s">
        <v>285</v>
      </c>
      <c r="D42" s="739">
        <v>1892</v>
      </c>
      <c r="E42" s="739">
        <v>4</v>
      </c>
      <c r="F42" s="739">
        <v>3.5</v>
      </c>
      <c r="G42" s="1042">
        <v>2</v>
      </c>
      <c r="H42" s="43">
        <f t="shared" si="0"/>
        <v>149921.84999999998</v>
      </c>
      <c r="I42" s="732">
        <v>5900</v>
      </c>
      <c r="J42" s="732">
        <v>11100</v>
      </c>
      <c r="K42" s="732">
        <v>6500</v>
      </c>
      <c r="L42" s="390">
        <f t="shared" si="4"/>
        <v>79.239878435517952</v>
      </c>
      <c r="M42" s="638">
        <v>150</v>
      </c>
      <c r="N42" s="639"/>
      <c r="O42" s="1058"/>
      <c r="P42" s="1058"/>
      <c r="U42" s="421" t="s">
        <v>514</v>
      </c>
      <c r="V42" s="422">
        <v>1320</v>
      </c>
      <c r="W42" s="422">
        <v>690</v>
      </c>
      <c r="X42" s="422">
        <v>690</v>
      </c>
      <c r="Y42" s="422">
        <v>0</v>
      </c>
      <c r="Z42" s="422">
        <v>1260</v>
      </c>
      <c r="AA42" s="422">
        <v>630</v>
      </c>
      <c r="AB42" s="422">
        <v>630</v>
      </c>
      <c r="AC42" s="422">
        <v>630</v>
      </c>
      <c r="AD42" s="422">
        <v>630</v>
      </c>
      <c r="AE42" s="422">
        <v>630</v>
      </c>
      <c r="AF42" s="422">
        <v>630</v>
      </c>
      <c r="AG42" s="422">
        <v>630</v>
      </c>
      <c r="AH42" s="422">
        <v>690</v>
      </c>
      <c r="AI42" s="422">
        <v>630</v>
      </c>
      <c r="AJ42" s="422">
        <v>695.9</v>
      </c>
      <c r="AK42" s="422">
        <v>690</v>
      </c>
      <c r="AL42" s="422">
        <v>690</v>
      </c>
      <c r="AM42" s="422">
        <v>630</v>
      </c>
      <c r="AN42" s="422">
        <v>690</v>
      </c>
      <c r="AO42" s="422">
        <v>787.07</v>
      </c>
      <c r="AP42" s="422">
        <v>690</v>
      </c>
      <c r="AQ42" s="422">
        <v>630</v>
      </c>
      <c r="AR42" s="422">
        <v>690</v>
      </c>
      <c r="AS42" s="422">
        <v>690</v>
      </c>
      <c r="AT42" s="422">
        <v>690</v>
      </c>
      <c r="AU42" s="422">
        <v>690</v>
      </c>
      <c r="AV42" s="422">
        <v>1380</v>
      </c>
      <c r="AW42" s="422">
        <v>1232.97</v>
      </c>
      <c r="AX42" s="422">
        <v>690</v>
      </c>
      <c r="AY42" s="432">
        <v>690</v>
      </c>
      <c r="AZ42" s="51">
        <v>690</v>
      </c>
      <c r="BA42" s="51">
        <v>690</v>
      </c>
      <c r="BB42" s="51">
        <v>630</v>
      </c>
      <c r="BC42" s="51">
        <v>1380</v>
      </c>
      <c r="BD42" s="51">
        <v>690</v>
      </c>
      <c r="BE42" s="51">
        <v>690</v>
      </c>
      <c r="BF42" s="51">
        <v>630</v>
      </c>
      <c r="BG42" s="51">
        <v>1380</v>
      </c>
      <c r="BH42" s="51">
        <v>690</v>
      </c>
    </row>
    <row r="43" spans="1:60" ht="15.5" x14ac:dyDescent="0.35">
      <c r="A43" t="str">
        <v>White Oak</v>
      </c>
      <c r="B43" s="389" t="s">
        <v>456</v>
      </c>
      <c r="C43" s="1180" t="s">
        <v>285</v>
      </c>
      <c r="D43" s="739">
        <v>1424</v>
      </c>
      <c r="E43" s="739">
        <v>3</v>
      </c>
      <c r="F43" s="739">
        <v>2.5</v>
      </c>
      <c r="G43" s="1042">
        <v>0</v>
      </c>
      <c r="H43" s="43">
        <f t="shared" si="0"/>
        <v>99333.169999999984</v>
      </c>
      <c r="I43" s="732">
        <v>4100</v>
      </c>
      <c r="J43" s="732">
        <v>7700</v>
      </c>
      <c r="K43" s="732">
        <v>4600</v>
      </c>
      <c r="L43" s="390">
        <f t="shared" si="4"/>
        <v>69.756439606741566</v>
      </c>
      <c r="M43" s="638">
        <v>150</v>
      </c>
      <c r="N43" s="639"/>
      <c r="O43" s="1058"/>
      <c r="P43" s="1058"/>
      <c r="U43" s="421" t="s">
        <v>515</v>
      </c>
      <c r="V43" s="422">
        <v>3773</v>
      </c>
      <c r="W43" s="422">
        <v>3690</v>
      </c>
      <c r="X43" s="422">
        <v>4110</v>
      </c>
      <c r="Y43" s="422">
        <v>3243</v>
      </c>
      <c r="Z43" s="422">
        <v>4239</v>
      </c>
      <c r="AA43" s="422">
        <v>2680</v>
      </c>
      <c r="AB43" s="422">
        <v>3588</v>
      </c>
      <c r="AC43" s="422">
        <v>3530</v>
      </c>
      <c r="AD43" s="422">
        <v>3354</v>
      </c>
      <c r="AE43" s="422">
        <v>2680</v>
      </c>
      <c r="AF43" s="422">
        <v>4632</v>
      </c>
      <c r="AG43" s="422">
        <v>3960</v>
      </c>
      <c r="AH43" s="422">
        <v>4169</v>
      </c>
      <c r="AI43" s="422">
        <v>3310</v>
      </c>
      <c r="AJ43" s="422">
        <v>2604</v>
      </c>
      <c r="AK43" s="422">
        <v>3808</v>
      </c>
      <c r="AL43" s="422">
        <v>3050</v>
      </c>
      <c r="AM43" s="422">
        <v>2950</v>
      </c>
      <c r="AN43" s="422">
        <v>3201</v>
      </c>
      <c r="AO43" s="422">
        <v>3536</v>
      </c>
      <c r="AP43" s="422">
        <v>2948</v>
      </c>
      <c r="AQ43" s="422">
        <v>3698</v>
      </c>
      <c r="AR43" s="422">
        <v>2966</v>
      </c>
      <c r="AS43" s="422">
        <v>3235</v>
      </c>
      <c r="AT43" s="422">
        <v>3446</v>
      </c>
      <c r="AU43" s="422">
        <v>2882</v>
      </c>
      <c r="AV43" s="422">
        <v>4453</v>
      </c>
      <c r="AW43" s="422">
        <v>3423</v>
      </c>
      <c r="AX43" s="422">
        <v>3147</v>
      </c>
      <c r="AY43" s="432">
        <v>2966</v>
      </c>
      <c r="AZ43" s="51">
        <v>3134</v>
      </c>
      <c r="BA43" s="51">
        <v>3607</v>
      </c>
      <c r="BB43" s="51">
        <v>3068</v>
      </c>
      <c r="BC43" s="51">
        <v>3588</v>
      </c>
      <c r="BD43" s="51">
        <v>3690</v>
      </c>
      <c r="BE43" s="51">
        <v>4110</v>
      </c>
      <c r="BF43" s="51">
        <v>3960</v>
      </c>
      <c r="BG43" s="51">
        <v>4453</v>
      </c>
      <c r="BH43" s="51">
        <v>2948</v>
      </c>
    </row>
    <row r="44" spans="1:60" ht="16" thickBot="1" x14ac:dyDescent="0.4">
      <c r="A44" t="str">
        <v>Willow</v>
      </c>
      <c r="B44" s="391" t="s">
        <v>516</v>
      </c>
      <c r="C44" s="1035"/>
      <c r="D44" s="1036"/>
      <c r="E44" s="740"/>
      <c r="F44" s="740"/>
      <c r="G44" s="737"/>
      <c r="H44" s="1037"/>
      <c r="I44" s="1038"/>
      <c r="J44" s="1038"/>
      <c r="K44" s="1038"/>
      <c r="L44" s="748" t="e">
        <f>H44/D44</f>
        <v>#DIV/0!</v>
      </c>
      <c r="M44" s="1044">
        <v>150</v>
      </c>
      <c r="N44" s="641"/>
      <c r="O44" s="1060"/>
      <c r="P44" s="1060"/>
      <c r="U44" s="421" t="s">
        <v>517</v>
      </c>
      <c r="V44" s="422">
        <v>5840.6</v>
      </c>
      <c r="W44" s="422">
        <v>5613.79</v>
      </c>
      <c r="X44" s="422">
        <v>5788.54</v>
      </c>
      <c r="Y44" s="422">
        <v>5080.17</v>
      </c>
      <c r="Z44" s="422">
        <v>5704.65</v>
      </c>
      <c r="AA44" s="422">
        <v>4976.59</v>
      </c>
      <c r="AB44" s="422">
        <v>5682.59</v>
      </c>
      <c r="AC44" s="422">
        <v>4720</v>
      </c>
      <c r="AD44" s="422">
        <v>5174.96</v>
      </c>
      <c r="AE44" s="422">
        <v>4315</v>
      </c>
      <c r="AF44" s="422">
        <v>5980</v>
      </c>
      <c r="AG44" s="422">
        <v>6030.27</v>
      </c>
      <c r="AH44" s="422">
        <v>5414</v>
      </c>
      <c r="AI44" s="422">
        <v>4885</v>
      </c>
      <c r="AJ44" s="422">
        <v>4175</v>
      </c>
      <c r="AK44" s="422">
        <v>5380</v>
      </c>
      <c r="AL44" s="422">
        <v>5425.1900000000005</v>
      </c>
      <c r="AM44" s="422">
        <v>4889.41</v>
      </c>
      <c r="AN44" s="422">
        <v>5200</v>
      </c>
      <c r="AO44" s="422">
        <v>3500.12</v>
      </c>
      <c r="AP44" s="422">
        <v>3628</v>
      </c>
      <c r="AQ44" s="422">
        <v>4386</v>
      </c>
      <c r="AR44" s="422">
        <v>4971.04</v>
      </c>
      <c r="AS44" s="422">
        <v>3833</v>
      </c>
      <c r="AT44" s="422">
        <v>4362</v>
      </c>
      <c r="AU44" s="422">
        <v>4563</v>
      </c>
      <c r="AV44" s="422">
        <v>4718</v>
      </c>
      <c r="AW44" s="422">
        <v>4188</v>
      </c>
      <c r="AX44" s="422">
        <v>3925</v>
      </c>
      <c r="AY44" s="432">
        <v>4633.41</v>
      </c>
      <c r="AZ44" s="51">
        <v>4644.09</v>
      </c>
      <c r="BA44" s="51">
        <v>5257.95</v>
      </c>
      <c r="BB44" s="51">
        <v>4008.42</v>
      </c>
      <c r="BC44" s="51">
        <v>5632.32</v>
      </c>
      <c r="BD44" s="51">
        <v>9113.7900000000009</v>
      </c>
      <c r="BE44" s="51">
        <v>5788.54</v>
      </c>
      <c r="BF44" s="51">
        <v>6030.27</v>
      </c>
      <c r="BG44" s="51">
        <v>4718</v>
      </c>
      <c r="BH44" s="51">
        <v>3628</v>
      </c>
    </row>
    <row r="45" spans="1:60" ht="15.5" x14ac:dyDescent="0.35">
      <c r="B45" s="1"/>
      <c r="F45" s="1"/>
      <c r="G45" s="1"/>
      <c r="H45" s="1"/>
      <c r="I45" s="1"/>
      <c r="J45" s="1"/>
      <c r="K45" s="1"/>
      <c r="L45" s="731"/>
      <c r="M45" s="1"/>
      <c r="N45" s="1"/>
      <c r="O45" s="1"/>
      <c r="P45" s="1"/>
      <c r="U45" s="421" t="s">
        <v>518</v>
      </c>
      <c r="V45" s="422">
        <v>0</v>
      </c>
      <c r="W45" s="422">
        <v>0</v>
      </c>
      <c r="X45" s="422">
        <v>0</v>
      </c>
      <c r="Y45" s="422">
        <v>0</v>
      </c>
      <c r="Z45" s="422">
        <v>0</v>
      </c>
      <c r="AA45" s="422">
        <v>0</v>
      </c>
      <c r="AB45" s="422">
        <v>0</v>
      </c>
      <c r="AC45" s="422">
        <v>0</v>
      </c>
      <c r="AD45" s="422">
        <v>0</v>
      </c>
      <c r="AE45" s="422">
        <v>0</v>
      </c>
      <c r="AF45" s="422">
        <v>0</v>
      </c>
      <c r="AG45" s="422">
        <v>0</v>
      </c>
      <c r="AH45" s="422">
        <v>0</v>
      </c>
      <c r="AI45" s="422">
        <v>0</v>
      </c>
      <c r="AJ45" s="422">
        <v>0</v>
      </c>
      <c r="AK45" s="422">
        <v>0</v>
      </c>
      <c r="AL45" s="422">
        <v>0</v>
      </c>
      <c r="AM45" s="422">
        <v>0</v>
      </c>
      <c r="AN45" s="422">
        <v>0</v>
      </c>
      <c r="AO45" s="422">
        <v>0</v>
      </c>
      <c r="AP45" s="422">
        <v>0</v>
      </c>
      <c r="AQ45" s="422">
        <v>0</v>
      </c>
      <c r="AR45" s="422">
        <v>0</v>
      </c>
      <c r="AS45" s="422">
        <v>0</v>
      </c>
      <c r="AT45" s="422">
        <v>0</v>
      </c>
      <c r="AU45" s="422">
        <v>0</v>
      </c>
      <c r="AV45" s="422">
        <v>0</v>
      </c>
      <c r="AW45" s="422">
        <v>0</v>
      </c>
      <c r="AX45" s="422">
        <v>0</v>
      </c>
      <c r="AY45" s="432">
        <v>0</v>
      </c>
      <c r="AZ45" s="51">
        <v>0</v>
      </c>
      <c r="BA45" s="51">
        <v>0</v>
      </c>
      <c r="BB45" s="51">
        <v>0</v>
      </c>
      <c r="BC45" s="51">
        <v>0</v>
      </c>
      <c r="BD45" s="51">
        <v>0</v>
      </c>
      <c r="BE45" s="51">
        <v>0</v>
      </c>
      <c r="BF45" s="51">
        <v>0</v>
      </c>
      <c r="BG45" s="51">
        <v>0</v>
      </c>
      <c r="BH45" s="51">
        <v>0</v>
      </c>
    </row>
    <row r="46" spans="1:60" ht="15.5" x14ac:dyDescent="0.35">
      <c r="B46" s="1"/>
      <c r="F46" s="1"/>
      <c r="G46" s="1"/>
      <c r="H46" s="1"/>
      <c r="I46" s="1"/>
      <c r="J46" s="1"/>
      <c r="K46" s="1"/>
      <c r="L46" s="1"/>
      <c r="M46" s="1"/>
      <c r="N46" s="1"/>
      <c r="O46" s="1"/>
      <c r="P46" s="1"/>
      <c r="U46" s="421" t="s">
        <v>519</v>
      </c>
      <c r="V46" s="422">
        <v>652.11</v>
      </c>
      <c r="W46" s="422">
        <v>731.35</v>
      </c>
      <c r="X46" s="422">
        <v>540.12</v>
      </c>
      <c r="Y46" s="422">
        <v>589.64</v>
      </c>
      <c r="Z46" s="422">
        <v>626.34</v>
      </c>
      <c r="AA46" s="422">
        <v>656.54</v>
      </c>
      <c r="AB46" s="422">
        <v>624.04</v>
      </c>
      <c r="AC46" s="422">
        <v>614.82000000000005</v>
      </c>
      <c r="AD46" s="422">
        <v>689.11</v>
      </c>
      <c r="AE46" s="422">
        <v>482.16</v>
      </c>
      <c r="AF46" s="422">
        <v>591.11</v>
      </c>
      <c r="AG46" s="422">
        <v>754.88</v>
      </c>
      <c r="AH46" s="422">
        <v>520.82000000000005</v>
      </c>
      <c r="AI46" s="422">
        <v>446.08</v>
      </c>
      <c r="AJ46" s="422">
        <v>411.73</v>
      </c>
      <c r="AK46" s="422">
        <v>652.30999999999995</v>
      </c>
      <c r="AL46" s="422">
        <v>633.08000000000004</v>
      </c>
      <c r="AM46" s="422">
        <v>574.99</v>
      </c>
      <c r="AN46" s="422">
        <v>726.81</v>
      </c>
      <c r="AO46" s="422">
        <v>494.92</v>
      </c>
      <c r="AP46" s="422">
        <v>502.19</v>
      </c>
      <c r="AQ46" s="422">
        <v>759.7</v>
      </c>
      <c r="AR46" s="422">
        <v>614.70000000000005</v>
      </c>
      <c r="AS46" s="422">
        <v>703.59</v>
      </c>
      <c r="AT46" s="422">
        <v>581.79</v>
      </c>
      <c r="AU46" s="422">
        <v>609.85</v>
      </c>
      <c r="AV46" s="422">
        <v>642.98</v>
      </c>
      <c r="AW46" s="422">
        <v>671.01</v>
      </c>
      <c r="AX46" s="422">
        <v>626.5</v>
      </c>
      <c r="AY46" s="432">
        <v>616.91</v>
      </c>
      <c r="AZ46" s="51">
        <v>672.34</v>
      </c>
      <c r="BA46" s="51">
        <v>774.42</v>
      </c>
      <c r="BB46" s="51">
        <v>617.67999999999995</v>
      </c>
      <c r="BC46" s="51">
        <v>635.85</v>
      </c>
      <c r="BD46" s="51">
        <v>731.35</v>
      </c>
      <c r="BE46" s="51">
        <v>538.01</v>
      </c>
      <c r="BF46" s="51">
        <v>753.39</v>
      </c>
      <c r="BG46" s="51">
        <v>665.64</v>
      </c>
      <c r="BH46" s="51">
        <v>502.34</v>
      </c>
    </row>
    <row r="47" spans="1:60" ht="15.5" x14ac:dyDescent="0.35">
      <c r="B47" s="1"/>
      <c r="F47" s="1"/>
      <c r="G47" s="1"/>
      <c r="H47" s="1"/>
      <c r="I47" s="1"/>
      <c r="J47" s="1"/>
      <c r="K47" s="1"/>
      <c r="L47" s="1"/>
      <c r="M47" s="1"/>
      <c r="N47" s="1"/>
      <c r="O47" s="1"/>
      <c r="P47" s="1"/>
      <c r="U47" s="421" t="s">
        <v>520</v>
      </c>
      <c r="V47" s="422">
        <v>1586.06</v>
      </c>
      <c r="W47" s="422">
        <v>1586.06</v>
      </c>
      <c r="X47" s="422">
        <v>1586.06</v>
      </c>
      <c r="Y47" s="422">
        <v>1586.06</v>
      </c>
      <c r="Z47" s="422">
        <v>1586.06</v>
      </c>
      <c r="AA47" s="422">
        <v>1586.06</v>
      </c>
      <c r="AB47" s="422">
        <v>1586.06</v>
      </c>
      <c r="AC47" s="422">
        <v>1586.06</v>
      </c>
      <c r="AD47" s="422">
        <v>1586.06</v>
      </c>
      <c r="AE47" s="422">
        <v>1586.06</v>
      </c>
      <c r="AF47" s="422">
        <v>1586.06</v>
      </c>
      <c r="AG47" s="422">
        <v>1586.06</v>
      </c>
      <c r="AH47" s="422">
        <v>1586.06</v>
      </c>
      <c r="AI47" s="422">
        <v>1586.06</v>
      </c>
      <c r="AJ47" s="422">
        <v>1586.06</v>
      </c>
      <c r="AK47" s="422">
        <v>1586.06</v>
      </c>
      <c r="AL47" s="422">
        <v>1586.06</v>
      </c>
      <c r="AM47" s="422">
        <v>1586.06</v>
      </c>
      <c r="AN47" s="422">
        <v>1586.06</v>
      </c>
      <c r="AO47" s="422">
        <v>1586.06</v>
      </c>
      <c r="AP47" s="422">
        <v>1586.06</v>
      </c>
      <c r="AQ47" s="422">
        <v>1586.06</v>
      </c>
      <c r="AR47" s="422">
        <v>1586.06</v>
      </c>
      <c r="AS47" s="422">
        <v>1586.06</v>
      </c>
      <c r="AT47" s="422">
        <v>1586.06</v>
      </c>
      <c r="AU47" s="422">
        <v>1586.06</v>
      </c>
      <c r="AV47" s="422">
        <v>1586.06</v>
      </c>
      <c r="AW47" s="422">
        <v>1586.06</v>
      </c>
      <c r="AX47" s="422">
        <v>1586.06</v>
      </c>
      <c r="AY47" s="432">
        <v>1586.06</v>
      </c>
      <c r="AZ47" s="51">
        <v>1586.06</v>
      </c>
      <c r="BA47" s="51">
        <v>1586.06</v>
      </c>
      <c r="BB47" s="51">
        <v>1586.06</v>
      </c>
      <c r="BC47" s="51">
        <v>1586.06</v>
      </c>
      <c r="BD47" s="51">
        <v>1586.06</v>
      </c>
      <c r="BE47" s="51">
        <v>1616.06</v>
      </c>
      <c r="BF47" s="51">
        <v>1616.06</v>
      </c>
      <c r="BG47" s="51">
        <v>1616.06</v>
      </c>
      <c r="BH47" s="51">
        <v>1616.06</v>
      </c>
    </row>
    <row r="48" spans="1:60" ht="15.5" x14ac:dyDescent="0.35">
      <c r="B48" s="1"/>
      <c r="F48" s="1"/>
      <c r="G48" s="1"/>
      <c r="H48" s="1"/>
      <c r="I48" s="1"/>
      <c r="J48" s="1"/>
      <c r="K48" s="1"/>
      <c r="L48" s="1"/>
      <c r="M48" s="1"/>
      <c r="N48" s="49" t="s">
        <v>123</v>
      </c>
      <c r="O48" s="1"/>
      <c r="P48" s="1"/>
      <c r="U48" s="421" t="s">
        <v>521</v>
      </c>
      <c r="V48" s="422">
        <v>1658.63</v>
      </c>
      <c r="W48" s="422">
        <v>1850.38</v>
      </c>
      <c r="X48" s="422">
        <v>1398</v>
      </c>
      <c r="Y48" s="422">
        <v>1535.62</v>
      </c>
      <c r="Z48" s="422">
        <v>2056.88</v>
      </c>
      <c r="AA48" s="422">
        <v>1707.75</v>
      </c>
      <c r="AB48" s="422">
        <v>1899.5</v>
      </c>
      <c r="AC48" s="422">
        <v>2194.5</v>
      </c>
      <c r="AD48" s="422">
        <v>1899.5</v>
      </c>
      <c r="AE48" s="422">
        <v>1412.75</v>
      </c>
      <c r="AF48" s="422">
        <v>1619.25</v>
      </c>
      <c r="AG48" s="422">
        <v>2681.25</v>
      </c>
      <c r="AH48" s="422">
        <v>1786.37</v>
      </c>
      <c r="AI48" s="422">
        <v>1411.13</v>
      </c>
      <c r="AJ48" s="422">
        <v>953.88</v>
      </c>
      <c r="AK48" s="422">
        <v>2110.87</v>
      </c>
      <c r="AL48" s="422">
        <v>1929</v>
      </c>
      <c r="AM48" s="422">
        <v>1579.87</v>
      </c>
      <c r="AN48" s="422">
        <v>1643.88</v>
      </c>
      <c r="AO48" s="422">
        <v>1422.63</v>
      </c>
      <c r="AP48" s="422">
        <v>1402.87</v>
      </c>
      <c r="AQ48" s="422">
        <v>2283</v>
      </c>
      <c r="AR48" s="422">
        <v>1486.5</v>
      </c>
      <c r="AS48" s="422">
        <v>1678.25</v>
      </c>
      <c r="AT48" s="422">
        <v>1706</v>
      </c>
      <c r="AU48" s="422">
        <v>1737.25</v>
      </c>
      <c r="AV48" s="422">
        <v>1683</v>
      </c>
      <c r="AW48" s="422">
        <v>1432.37</v>
      </c>
      <c r="AX48" s="422">
        <v>1750</v>
      </c>
      <c r="AY48" s="432">
        <v>1742.12</v>
      </c>
      <c r="AZ48" s="51">
        <v>1855.25</v>
      </c>
      <c r="BA48" s="51">
        <v>2145.38</v>
      </c>
      <c r="BB48" s="51">
        <v>1663.5</v>
      </c>
      <c r="BC48" s="51">
        <v>1637.25</v>
      </c>
      <c r="BD48" s="51">
        <v>1850.38</v>
      </c>
      <c r="BE48" s="51">
        <v>1616</v>
      </c>
      <c r="BF48" s="51">
        <v>2681.25</v>
      </c>
      <c r="BG48" s="51">
        <v>1683.12</v>
      </c>
      <c r="BH48" s="51">
        <v>1402.87</v>
      </c>
    </row>
    <row r="49" spans="2:60" ht="15.5" x14ac:dyDescent="0.35">
      <c r="B49" s="1"/>
      <c r="F49" s="1"/>
      <c r="G49" s="1"/>
      <c r="H49" s="1"/>
      <c r="I49" s="1"/>
      <c r="J49" s="1"/>
      <c r="K49" s="1"/>
      <c r="L49" s="1"/>
      <c r="M49" s="1"/>
      <c r="N49" s="49" t="s">
        <v>454</v>
      </c>
      <c r="O49" s="1"/>
      <c r="P49" s="1"/>
      <c r="U49" s="421" t="s">
        <v>522</v>
      </c>
      <c r="V49" s="422">
        <v>0</v>
      </c>
      <c r="W49" s="422">
        <v>0</v>
      </c>
      <c r="X49" s="422">
        <v>0</v>
      </c>
      <c r="Y49" s="422">
        <v>0</v>
      </c>
      <c r="Z49" s="422">
        <v>0</v>
      </c>
      <c r="AA49" s="422">
        <v>0</v>
      </c>
      <c r="AB49" s="422">
        <v>0</v>
      </c>
      <c r="AC49" s="422">
        <v>0</v>
      </c>
      <c r="AD49" s="422">
        <v>0</v>
      </c>
      <c r="AE49" s="422">
        <v>0</v>
      </c>
      <c r="AF49" s="422">
        <v>0</v>
      </c>
      <c r="AG49" s="422">
        <v>0</v>
      </c>
      <c r="AH49" s="422">
        <v>0</v>
      </c>
      <c r="AI49" s="422">
        <v>0</v>
      </c>
      <c r="AJ49" s="422">
        <v>0</v>
      </c>
      <c r="AK49" s="422">
        <v>0</v>
      </c>
      <c r="AL49" s="422">
        <v>0</v>
      </c>
      <c r="AM49" s="422">
        <v>0</v>
      </c>
      <c r="AN49" s="422">
        <v>0</v>
      </c>
      <c r="AO49" s="422">
        <v>0</v>
      </c>
      <c r="AP49" s="422">
        <v>0</v>
      </c>
      <c r="AQ49" s="422">
        <v>0</v>
      </c>
      <c r="AR49" s="422">
        <v>0</v>
      </c>
      <c r="AS49" s="422">
        <v>0</v>
      </c>
      <c r="AT49" s="422">
        <v>0</v>
      </c>
      <c r="AU49" s="422">
        <v>0</v>
      </c>
      <c r="AV49" s="422">
        <v>0</v>
      </c>
      <c r="AW49" s="422">
        <v>0</v>
      </c>
      <c r="AX49" s="422">
        <v>0</v>
      </c>
      <c r="AY49" s="432">
        <v>0</v>
      </c>
      <c r="AZ49" s="51">
        <v>0</v>
      </c>
      <c r="BA49" s="51">
        <v>0</v>
      </c>
      <c r="BB49" s="51">
        <v>0</v>
      </c>
      <c r="BC49" s="51">
        <v>0</v>
      </c>
      <c r="BD49" s="51">
        <v>0</v>
      </c>
      <c r="BE49" s="51">
        <v>0</v>
      </c>
      <c r="BF49" s="51">
        <v>0</v>
      </c>
      <c r="BG49" s="51">
        <v>0</v>
      </c>
      <c r="BH49" s="51">
        <v>0</v>
      </c>
    </row>
    <row r="50" spans="2:60" ht="15.5" x14ac:dyDescent="0.35">
      <c r="B50" s="1"/>
      <c r="F50" s="1"/>
      <c r="G50" s="1"/>
      <c r="H50" s="1"/>
      <c r="I50" s="1"/>
      <c r="J50" s="1"/>
      <c r="K50" s="1"/>
      <c r="L50" s="1"/>
      <c r="M50" s="1"/>
      <c r="N50" s="49" t="s">
        <v>455</v>
      </c>
      <c r="O50" s="1"/>
      <c r="P50" s="1"/>
      <c r="U50" s="421" t="s">
        <v>523</v>
      </c>
      <c r="V50" s="422">
        <v>4991.12</v>
      </c>
      <c r="W50" s="422">
        <v>3225.0299999999997</v>
      </c>
      <c r="X50" s="422">
        <v>3225.0299999999997</v>
      </c>
      <c r="Y50" s="422">
        <v>3660.74</v>
      </c>
      <c r="Z50" s="422">
        <v>3589.62</v>
      </c>
      <c r="AA50" s="422">
        <v>2380.38</v>
      </c>
      <c r="AB50" s="422">
        <v>2610.7399999999998</v>
      </c>
      <c r="AC50" s="422">
        <v>3281.46</v>
      </c>
      <c r="AD50" s="422">
        <v>2610.7399999999998</v>
      </c>
      <c r="AE50" s="422">
        <v>2583.6</v>
      </c>
      <c r="AF50" s="422">
        <v>4112.54</v>
      </c>
      <c r="AG50" s="422">
        <v>5040.76</v>
      </c>
      <c r="AH50" s="422">
        <v>3972.54</v>
      </c>
      <c r="AI50" s="422">
        <v>3303.25</v>
      </c>
      <c r="AJ50" s="422">
        <v>2430.02</v>
      </c>
      <c r="AK50" s="422">
        <v>3301.8199999999997</v>
      </c>
      <c r="AL50" s="422">
        <v>3274.67</v>
      </c>
      <c r="AM50" s="422">
        <v>2687.5299999999997</v>
      </c>
      <c r="AN50" s="422">
        <v>2917.8900000000003</v>
      </c>
      <c r="AO50" s="422">
        <v>2443.6</v>
      </c>
      <c r="AP50" s="422">
        <v>2610.7399999999998</v>
      </c>
      <c r="AQ50" s="422">
        <v>3916.11</v>
      </c>
      <c r="AR50" s="422">
        <v>2457.17</v>
      </c>
      <c r="AS50" s="422">
        <v>2917.8900000000003</v>
      </c>
      <c r="AT50" s="422">
        <v>2841.1</v>
      </c>
      <c r="AU50" s="422">
        <v>2533.9499999999998</v>
      </c>
      <c r="AV50" s="422">
        <v>4805.75</v>
      </c>
      <c r="AW50" s="422">
        <v>4268.25</v>
      </c>
      <c r="AX50" s="422">
        <v>2764.31</v>
      </c>
      <c r="AY50" s="432">
        <v>3584.6</v>
      </c>
      <c r="AZ50" s="51">
        <v>2197.52</v>
      </c>
      <c r="BA50" s="51">
        <v>2917.8900000000003</v>
      </c>
      <c r="BB50" s="51">
        <v>2150.02</v>
      </c>
      <c r="BC50" s="51">
        <v>4722.18</v>
      </c>
      <c r="BD50" s="51">
        <v>3225.0299999999997</v>
      </c>
      <c r="BE50" s="51">
        <v>3237.29</v>
      </c>
      <c r="BF50" s="51">
        <v>5294.87</v>
      </c>
      <c r="BG50" s="51">
        <v>4909.58</v>
      </c>
      <c r="BH50" s="51">
        <v>2684.2799999999997</v>
      </c>
    </row>
    <row r="51" spans="2:60" ht="15.5" x14ac:dyDescent="0.35">
      <c r="B51" s="1"/>
      <c r="F51" s="1"/>
      <c r="G51" s="1"/>
      <c r="H51" s="1"/>
      <c r="I51" s="1"/>
      <c r="J51" s="1"/>
      <c r="K51" s="1"/>
      <c r="L51" s="1"/>
      <c r="M51" s="1"/>
      <c r="N51" s="49" t="s">
        <v>456</v>
      </c>
      <c r="O51" s="1"/>
      <c r="P51" s="1"/>
      <c r="U51" s="421" t="s">
        <v>524</v>
      </c>
      <c r="V51" s="422">
        <v>602.48</v>
      </c>
      <c r="W51" s="422">
        <v>521.83999999999992</v>
      </c>
      <c r="X51" s="422">
        <v>479.72</v>
      </c>
      <c r="Y51" s="422">
        <v>452</v>
      </c>
      <c r="Z51" s="422">
        <v>598.52</v>
      </c>
      <c r="AA51" s="422">
        <v>477.38</v>
      </c>
      <c r="AB51" s="422">
        <v>328.34</v>
      </c>
      <c r="AC51" s="422">
        <v>560</v>
      </c>
      <c r="AD51" s="422">
        <v>508.16</v>
      </c>
      <c r="AE51" s="422">
        <v>448.94</v>
      </c>
      <c r="AF51" s="422">
        <v>612.74</v>
      </c>
      <c r="AG51" s="422">
        <v>698.78</v>
      </c>
      <c r="AH51" s="422">
        <v>560.18000000000006</v>
      </c>
      <c r="AI51" s="422">
        <v>478.1</v>
      </c>
      <c r="AJ51" s="422">
        <v>410.6</v>
      </c>
      <c r="AK51" s="422">
        <v>560.9</v>
      </c>
      <c r="AL51" s="422">
        <v>534.26</v>
      </c>
      <c r="AM51" s="422">
        <v>470</v>
      </c>
      <c r="AN51" s="422">
        <v>504.02</v>
      </c>
      <c r="AO51" s="422">
        <v>434.72</v>
      </c>
      <c r="AP51" s="422">
        <v>456.32</v>
      </c>
      <c r="AQ51" s="422">
        <v>593.88</v>
      </c>
      <c r="AR51" s="422">
        <v>470</v>
      </c>
      <c r="AS51" s="422">
        <v>504.02</v>
      </c>
      <c r="AT51" s="422">
        <v>523.28</v>
      </c>
      <c r="AU51" s="422">
        <v>478.64</v>
      </c>
      <c r="AV51" s="422">
        <v>540.55999999999995</v>
      </c>
      <c r="AW51" s="422">
        <v>514.64</v>
      </c>
      <c r="AX51" s="422">
        <v>531.38</v>
      </c>
      <c r="AY51" s="432">
        <v>500.42</v>
      </c>
      <c r="AZ51" s="51">
        <v>504.02</v>
      </c>
      <c r="BA51" s="51">
        <v>558.74</v>
      </c>
      <c r="BB51" s="51">
        <v>466.94</v>
      </c>
      <c r="BC51" s="51">
        <v>523.64</v>
      </c>
      <c r="BD51" s="51">
        <v>521.83999999999992</v>
      </c>
      <c r="BE51" s="51">
        <v>577.96</v>
      </c>
      <c r="BF51" s="51">
        <v>870.04</v>
      </c>
      <c r="BG51" s="51">
        <v>659.07999999999993</v>
      </c>
      <c r="BH51" s="51">
        <v>546.76</v>
      </c>
    </row>
    <row r="52" spans="2:60" ht="15.5" x14ac:dyDescent="0.35">
      <c r="B52" s="1"/>
      <c r="C52" s="1"/>
      <c r="D52" s="1"/>
      <c r="E52" s="1"/>
      <c r="F52" s="1"/>
      <c r="G52" s="1"/>
      <c r="H52" s="1"/>
      <c r="I52" s="1"/>
      <c r="J52" s="1"/>
      <c r="K52" s="1"/>
      <c r="L52" s="1"/>
      <c r="M52" s="1"/>
      <c r="N52" s="1"/>
      <c r="O52" s="1"/>
      <c r="P52" s="1"/>
      <c r="U52" s="421" t="s">
        <v>525</v>
      </c>
      <c r="V52" s="422">
        <v>882</v>
      </c>
      <c r="W52" s="422">
        <v>522</v>
      </c>
      <c r="X52" s="422">
        <v>1034</v>
      </c>
      <c r="Y52" s="422">
        <v>936</v>
      </c>
      <c r="Z52" s="422">
        <v>957</v>
      </c>
      <c r="AA52" s="422">
        <v>1212</v>
      </c>
      <c r="AB52" s="422">
        <v>858</v>
      </c>
      <c r="AC52" s="422">
        <v>1396</v>
      </c>
      <c r="AD52" s="422">
        <v>652</v>
      </c>
      <c r="AE52" s="422">
        <v>501</v>
      </c>
      <c r="AF52" s="422">
        <v>659</v>
      </c>
      <c r="AG52" s="422">
        <v>934</v>
      </c>
      <c r="AH52" s="422">
        <v>1243</v>
      </c>
      <c r="AI52" s="422">
        <v>657</v>
      </c>
      <c r="AJ52" s="422">
        <v>896</v>
      </c>
      <c r="AK52" s="422">
        <v>866</v>
      </c>
      <c r="AL52" s="422">
        <v>788</v>
      </c>
      <c r="AM52" s="422">
        <v>793.5</v>
      </c>
      <c r="AN52" s="422">
        <v>580</v>
      </c>
      <c r="AO52" s="422">
        <v>691</v>
      </c>
      <c r="AP52" s="422">
        <v>366</v>
      </c>
      <c r="AQ52" s="422">
        <v>976</v>
      </c>
      <c r="AR52" s="422">
        <v>519.20000000000005</v>
      </c>
      <c r="AS52" s="422">
        <v>1160</v>
      </c>
      <c r="AT52" s="422">
        <v>622</v>
      </c>
      <c r="AU52" s="422">
        <v>791</v>
      </c>
      <c r="AV52" s="422">
        <v>630</v>
      </c>
      <c r="AW52" s="422">
        <v>543</v>
      </c>
      <c r="AX52" s="422">
        <v>530</v>
      </c>
      <c r="AY52" s="432">
        <v>550</v>
      </c>
      <c r="AZ52" s="51">
        <v>784</v>
      </c>
      <c r="BA52" s="51">
        <v>848</v>
      </c>
      <c r="BB52" s="51">
        <v>532.5</v>
      </c>
      <c r="BC52" s="51">
        <v>438</v>
      </c>
      <c r="BD52" s="51">
        <v>522</v>
      </c>
      <c r="BE52" s="51">
        <v>920</v>
      </c>
      <c r="BF52" s="51">
        <v>700</v>
      </c>
      <c r="BG52" s="51">
        <v>805</v>
      </c>
      <c r="BH52" s="51">
        <v>455</v>
      </c>
    </row>
    <row r="53" spans="2:60" ht="15.5" x14ac:dyDescent="0.35">
      <c r="B53" s="1"/>
      <c r="C53" s="1"/>
      <c r="D53" s="1"/>
      <c r="E53" s="1"/>
      <c r="F53" s="1"/>
      <c r="G53" s="1"/>
      <c r="H53" s="1"/>
      <c r="I53" s="1"/>
      <c r="J53" s="1"/>
      <c r="K53" s="1"/>
      <c r="L53" s="1"/>
      <c r="M53" s="1"/>
      <c r="N53" s="1"/>
      <c r="O53" s="1"/>
      <c r="P53" s="1"/>
      <c r="U53" s="421" t="s">
        <v>526</v>
      </c>
      <c r="V53" s="422">
        <v>310</v>
      </c>
      <c r="W53" s="422">
        <v>310</v>
      </c>
      <c r="X53" s="422">
        <v>310</v>
      </c>
      <c r="Y53" s="422">
        <v>310</v>
      </c>
      <c r="Z53" s="422">
        <v>310</v>
      </c>
      <c r="AA53" s="422">
        <v>310</v>
      </c>
      <c r="AB53" s="422">
        <v>0</v>
      </c>
      <c r="AC53" s="422">
        <v>310</v>
      </c>
      <c r="AD53" s="422">
        <v>310</v>
      </c>
      <c r="AE53" s="422">
        <v>310</v>
      </c>
      <c r="AF53" s="422">
        <v>310</v>
      </c>
      <c r="AG53" s="422">
        <v>310</v>
      </c>
      <c r="AH53" s="422">
        <v>310</v>
      </c>
      <c r="AI53" s="422">
        <v>310</v>
      </c>
      <c r="AJ53" s="422">
        <v>310</v>
      </c>
      <c r="AK53" s="422">
        <v>310</v>
      </c>
      <c r="AL53" s="422">
        <v>310</v>
      </c>
      <c r="AM53" s="422">
        <v>310</v>
      </c>
      <c r="AN53" s="422">
        <v>310</v>
      </c>
      <c r="AO53" s="422">
        <v>310</v>
      </c>
      <c r="AP53" s="422">
        <v>310</v>
      </c>
      <c r="AQ53" s="422">
        <v>310</v>
      </c>
      <c r="AR53" s="422">
        <v>310</v>
      </c>
      <c r="AS53" s="422">
        <v>310</v>
      </c>
      <c r="AT53" s="422">
        <v>310</v>
      </c>
      <c r="AU53" s="422">
        <v>310</v>
      </c>
      <c r="AV53" s="422">
        <v>310</v>
      </c>
      <c r="AW53" s="422">
        <v>310</v>
      </c>
      <c r="AX53" s="422">
        <v>310</v>
      </c>
      <c r="AY53" s="432">
        <v>310</v>
      </c>
      <c r="AZ53" s="51">
        <v>310</v>
      </c>
      <c r="BA53" s="51">
        <v>310</v>
      </c>
      <c r="BB53" s="51">
        <v>310</v>
      </c>
      <c r="BC53" s="51">
        <v>310</v>
      </c>
      <c r="BD53" s="51">
        <v>310</v>
      </c>
      <c r="BE53" s="51">
        <v>310</v>
      </c>
      <c r="BF53" s="51">
        <v>310</v>
      </c>
      <c r="BG53" s="51">
        <v>310</v>
      </c>
      <c r="BH53" s="51">
        <v>310</v>
      </c>
    </row>
    <row r="54" spans="2:60" ht="15.5" x14ac:dyDescent="0.35">
      <c r="B54" s="1"/>
      <c r="C54" s="4"/>
      <c r="D54" s="4"/>
      <c r="E54" s="5"/>
      <c r="F54" s="5"/>
      <c r="G54" s="1"/>
      <c r="H54" s="1"/>
      <c r="I54" s="1"/>
      <c r="J54" s="1"/>
      <c r="K54" s="1"/>
      <c r="L54" s="1"/>
      <c r="M54" s="1"/>
      <c r="N54" s="1"/>
      <c r="O54" s="1"/>
      <c r="P54" s="1"/>
      <c r="U54" s="421" t="s">
        <v>527</v>
      </c>
      <c r="V54" s="422">
        <v>0</v>
      </c>
      <c r="W54" s="422">
        <v>0</v>
      </c>
      <c r="X54" s="422">
        <v>0</v>
      </c>
      <c r="Y54" s="422">
        <v>0</v>
      </c>
      <c r="Z54" s="422">
        <v>0</v>
      </c>
      <c r="AA54" s="422">
        <v>0</v>
      </c>
      <c r="AB54" s="422">
        <v>0</v>
      </c>
      <c r="AC54" s="422">
        <v>0</v>
      </c>
      <c r="AD54" s="422">
        <v>0</v>
      </c>
      <c r="AE54" s="422">
        <v>0</v>
      </c>
      <c r="AF54" s="422">
        <v>0</v>
      </c>
      <c r="AG54" s="422">
        <v>0</v>
      </c>
      <c r="AH54" s="422">
        <v>0</v>
      </c>
      <c r="AI54" s="422">
        <v>0</v>
      </c>
      <c r="AJ54" s="422">
        <v>90</v>
      </c>
      <c r="AK54" s="422">
        <v>0</v>
      </c>
      <c r="AL54" s="422">
        <v>0</v>
      </c>
      <c r="AM54" s="422">
        <v>0</v>
      </c>
      <c r="AN54" s="422">
        <v>0</v>
      </c>
      <c r="AO54" s="422">
        <v>0</v>
      </c>
      <c r="AP54" s="422">
        <v>0</v>
      </c>
      <c r="AQ54" s="422">
        <v>0</v>
      </c>
      <c r="AR54" s="422">
        <v>0</v>
      </c>
      <c r="AS54" s="422">
        <v>0</v>
      </c>
      <c r="AT54" s="422">
        <v>0</v>
      </c>
      <c r="AU54" s="422">
        <v>0</v>
      </c>
      <c r="AV54" s="422">
        <v>0</v>
      </c>
      <c r="AW54" s="422">
        <v>1234</v>
      </c>
      <c r="AX54" s="422">
        <v>0</v>
      </c>
      <c r="AY54" s="432">
        <v>0</v>
      </c>
      <c r="AZ54" s="51">
        <v>0</v>
      </c>
      <c r="BA54" s="51">
        <v>0</v>
      </c>
      <c r="BB54" s="51">
        <v>0</v>
      </c>
      <c r="BC54" s="51">
        <v>3146</v>
      </c>
      <c r="BD54" s="51">
        <v>0</v>
      </c>
      <c r="BE54" s="51">
        <v>0</v>
      </c>
      <c r="BF54" s="51">
        <v>0</v>
      </c>
      <c r="BG54" s="51">
        <v>0</v>
      </c>
      <c r="BH54" s="51">
        <v>0</v>
      </c>
    </row>
    <row r="55" spans="2:60" ht="15.5" x14ac:dyDescent="0.35">
      <c r="B55" s="30"/>
      <c r="C55" s="259" t="s">
        <v>145</v>
      </c>
      <c r="D55" s="259" t="s">
        <v>146</v>
      </c>
      <c r="E55" s="259" t="s">
        <v>273</v>
      </c>
      <c r="F55" s="259" t="s">
        <v>150</v>
      </c>
      <c r="G55" s="259" t="s">
        <v>274</v>
      </c>
      <c r="H55" s="259" t="s">
        <v>528</v>
      </c>
      <c r="I55" s="730"/>
      <c r="J55" s="730"/>
      <c r="K55" s="730"/>
      <c r="L55" s="1"/>
      <c r="M55" s="1"/>
      <c r="N55" s="1"/>
      <c r="O55" s="1"/>
      <c r="P55" s="1"/>
      <c r="U55" s="423" t="s">
        <v>529</v>
      </c>
      <c r="V55" s="422">
        <v>90</v>
      </c>
      <c r="W55" s="422">
        <v>90</v>
      </c>
      <c r="X55" s="422">
        <v>90</v>
      </c>
      <c r="Y55" s="422">
        <v>90</v>
      </c>
      <c r="Z55" s="422">
        <v>90</v>
      </c>
      <c r="AA55" s="422">
        <v>90</v>
      </c>
      <c r="AB55" s="422">
        <v>90</v>
      </c>
      <c r="AC55" s="422">
        <v>90</v>
      </c>
      <c r="AD55" s="422">
        <v>90</v>
      </c>
      <c r="AE55" s="422">
        <v>90</v>
      </c>
      <c r="AF55" s="422">
        <v>90</v>
      </c>
      <c r="AG55" s="422">
        <v>90</v>
      </c>
      <c r="AH55" s="422">
        <v>90</v>
      </c>
      <c r="AI55" s="422">
        <v>90</v>
      </c>
      <c r="AJ55" s="422">
        <v>0</v>
      </c>
      <c r="AK55" s="422">
        <v>90</v>
      </c>
      <c r="AL55" s="422">
        <v>90</v>
      </c>
      <c r="AM55" s="422">
        <v>0</v>
      </c>
      <c r="AN55" s="422">
        <v>0</v>
      </c>
      <c r="AO55" s="422">
        <v>0</v>
      </c>
      <c r="AP55" s="422">
        <v>0</v>
      </c>
      <c r="AQ55" s="422">
        <v>0</v>
      </c>
      <c r="AR55" s="422">
        <v>0</v>
      </c>
      <c r="AS55" s="422">
        <v>0</v>
      </c>
      <c r="AT55" s="422">
        <v>0</v>
      </c>
      <c r="AU55" s="422">
        <v>0</v>
      </c>
      <c r="AV55" s="422">
        <v>5026</v>
      </c>
      <c r="AW55" s="422">
        <v>0</v>
      </c>
      <c r="AX55" s="422">
        <v>0</v>
      </c>
      <c r="AY55" s="432">
        <v>0</v>
      </c>
      <c r="AZ55" s="51">
        <v>0</v>
      </c>
      <c r="BA55" s="51">
        <v>0</v>
      </c>
      <c r="BB55" s="51">
        <v>0</v>
      </c>
      <c r="BC55" s="51">
        <v>0</v>
      </c>
      <c r="BD55" s="51">
        <v>90</v>
      </c>
      <c r="BE55" s="51">
        <v>90</v>
      </c>
      <c r="BF55" s="51">
        <v>90</v>
      </c>
      <c r="BG55" s="51">
        <v>5026</v>
      </c>
      <c r="BH55" s="51">
        <v>0</v>
      </c>
    </row>
    <row r="56" spans="2:60" ht="15.5" x14ac:dyDescent="0.35">
      <c r="B56" s="20" t="s">
        <v>530</v>
      </c>
      <c r="C56" s="260">
        <v>0.01</v>
      </c>
      <c r="D56" s="260">
        <v>0.105</v>
      </c>
      <c r="E56" s="257">
        <v>1</v>
      </c>
      <c r="F56" s="257">
        <v>0.7</v>
      </c>
      <c r="G56" s="257">
        <v>1</v>
      </c>
      <c r="H56" s="45" t="s">
        <v>132</v>
      </c>
      <c r="I56" s="730"/>
      <c r="J56" s="730"/>
      <c r="K56" s="730"/>
      <c r="L56" s="1"/>
      <c r="M56" s="1"/>
      <c r="N56" s="1"/>
      <c r="O56" s="1"/>
      <c r="P56" s="1"/>
      <c r="U56" s="423" t="s">
        <v>531</v>
      </c>
      <c r="V56" s="422">
        <v>235</v>
      </c>
      <c r="W56" s="422">
        <v>235</v>
      </c>
      <c r="X56" s="422">
        <v>235</v>
      </c>
      <c r="Y56" s="422">
        <v>235</v>
      </c>
      <c r="Z56" s="422">
        <v>235</v>
      </c>
      <c r="AA56" s="422">
        <v>235</v>
      </c>
      <c r="AB56" s="422">
        <v>235</v>
      </c>
      <c r="AC56" s="422">
        <v>235</v>
      </c>
      <c r="AD56" s="422">
        <v>235</v>
      </c>
      <c r="AE56" s="422">
        <v>235</v>
      </c>
      <c r="AF56" s="422">
        <v>235</v>
      </c>
      <c r="AG56" s="422">
        <v>235</v>
      </c>
      <c r="AH56" s="422">
        <v>235</v>
      </c>
      <c r="AI56" s="422">
        <v>235</v>
      </c>
      <c r="AJ56" s="422">
        <v>235</v>
      </c>
      <c r="AK56" s="422">
        <v>235</v>
      </c>
      <c r="AL56" s="422">
        <v>235</v>
      </c>
      <c r="AM56" s="422">
        <v>235</v>
      </c>
      <c r="AN56" s="422">
        <v>235</v>
      </c>
      <c r="AO56" s="422">
        <v>235</v>
      </c>
      <c r="AP56" s="422">
        <v>235</v>
      </c>
      <c r="AQ56" s="422">
        <v>310</v>
      </c>
      <c r="AR56" s="422">
        <v>235</v>
      </c>
      <c r="AS56" s="422">
        <v>235</v>
      </c>
      <c r="AT56" s="422">
        <v>310</v>
      </c>
      <c r="AU56" s="422">
        <v>235</v>
      </c>
      <c r="AV56" s="422">
        <v>310</v>
      </c>
      <c r="AW56" s="422">
        <v>310</v>
      </c>
      <c r="AX56" s="422">
        <v>310</v>
      </c>
      <c r="AY56" s="432">
        <v>235</v>
      </c>
      <c r="AZ56" s="51">
        <v>235</v>
      </c>
      <c r="BA56" s="51">
        <v>310</v>
      </c>
      <c r="BB56" s="51">
        <v>235</v>
      </c>
      <c r="BC56" s="51">
        <v>310</v>
      </c>
      <c r="BD56" s="51">
        <v>235</v>
      </c>
      <c r="BE56" s="51">
        <v>270</v>
      </c>
      <c r="BF56" s="51">
        <v>270</v>
      </c>
      <c r="BG56" s="51">
        <v>270</v>
      </c>
      <c r="BH56" s="51">
        <v>270</v>
      </c>
    </row>
    <row r="57" spans="2:60" ht="16" thickBot="1" x14ac:dyDescent="0.4">
      <c r="B57" s="20" t="s">
        <v>532</v>
      </c>
      <c r="C57" s="260">
        <v>0</v>
      </c>
      <c r="D57" s="260">
        <v>0.15</v>
      </c>
      <c r="E57" s="257">
        <v>1</v>
      </c>
      <c r="F57" s="257">
        <v>0.7</v>
      </c>
      <c r="G57" s="257">
        <v>1</v>
      </c>
      <c r="H57" s="45" t="s">
        <v>132</v>
      </c>
      <c r="I57" s="730"/>
      <c r="J57" s="730"/>
      <c r="K57" s="730"/>
      <c r="L57" s="1"/>
      <c r="M57" s="1"/>
      <c r="N57" s="1"/>
      <c r="O57" s="1"/>
      <c r="P57" s="1"/>
      <c r="T57" s="1"/>
      <c r="U57" s="423" t="s">
        <v>533</v>
      </c>
      <c r="V57" s="422">
        <v>17107.5</v>
      </c>
      <c r="W57" s="422">
        <v>11205</v>
      </c>
      <c r="X57" s="422">
        <v>8050</v>
      </c>
      <c r="Y57" s="422">
        <v>6688</v>
      </c>
      <c r="Z57" s="422">
        <v>12930</v>
      </c>
      <c r="AA57" s="422">
        <v>9662.5</v>
      </c>
      <c r="AB57" s="422">
        <v>9940</v>
      </c>
      <c r="AC57" s="422">
        <v>11065</v>
      </c>
      <c r="AD57" s="422">
        <v>9970</v>
      </c>
      <c r="AE57" s="422">
        <v>11702</v>
      </c>
      <c r="AF57" s="422">
        <v>9137.5</v>
      </c>
      <c r="AG57" s="422">
        <v>14792.5</v>
      </c>
      <c r="AH57" s="422">
        <v>10472.5</v>
      </c>
      <c r="AI57" s="422">
        <v>16863</v>
      </c>
      <c r="AJ57" s="422">
        <v>12802.5</v>
      </c>
      <c r="AK57" s="422">
        <v>12045</v>
      </c>
      <c r="AL57" s="422">
        <v>10577.5</v>
      </c>
      <c r="AM57" s="422">
        <v>8417.5</v>
      </c>
      <c r="AN57" s="422">
        <v>8615</v>
      </c>
      <c r="AO57" s="422">
        <v>6620</v>
      </c>
      <c r="AP57" s="422">
        <v>6890</v>
      </c>
      <c r="AQ57" s="422">
        <v>12024.5</v>
      </c>
      <c r="AR57" s="422">
        <v>8450</v>
      </c>
      <c r="AS57" s="422">
        <v>8615</v>
      </c>
      <c r="AT57" s="422">
        <v>9315.5</v>
      </c>
      <c r="AU57" s="422">
        <v>7692.5</v>
      </c>
      <c r="AV57" s="422">
        <v>6792.5</v>
      </c>
      <c r="AW57" s="422">
        <v>6702.5</v>
      </c>
      <c r="AX57" s="422">
        <v>6312.5</v>
      </c>
      <c r="AY57" s="432">
        <v>8980</v>
      </c>
      <c r="AZ57" s="51">
        <v>9680</v>
      </c>
      <c r="BA57" s="51">
        <v>11022.5</v>
      </c>
      <c r="BB57" s="51">
        <v>8240</v>
      </c>
      <c r="BC57" s="51">
        <v>6297.5</v>
      </c>
      <c r="BD57" s="51">
        <v>11205</v>
      </c>
      <c r="BE57" s="51">
        <v>5640</v>
      </c>
      <c r="BF57" s="51">
        <v>12158.75</v>
      </c>
      <c r="BG57" s="51">
        <v>5893.75</v>
      </c>
      <c r="BH57" s="51">
        <v>5990</v>
      </c>
    </row>
    <row r="58" spans="2:60" ht="19" thickBot="1" x14ac:dyDescent="0.5">
      <c r="B58" s="20" t="s">
        <v>534</v>
      </c>
      <c r="C58" s="260">
        <v>0</v>
      </c>
      <c r="D58" s="260">
        <v>0.18</v>
      </c>
      <c r="E58" s="257">
        <v>1</v>
      </c>
      <c r="F58" s="257">
        <v>0.7</v>
      </c>
      <c r="G58" s="257">
        <v>1</v>
      </c>
      <c r="H58" s="45" t="s">
        <v>132</v>
      </c>
      <c r="I58" s="730"/>
      <c r="J58" s="730"/>
      <c r="K58" s="730"/>
      <c r="L58" s="1"/>
      <c r="M58" s="1"/>
      <c r="N58" s="1"/>
      <c r="O58" s="1"/>
      <c r="P58" s="1"/>
      <c r="Q58" s="1"/>
      <c r="T58" s="1"/>
      <c r="U58" s="424" t="s">
        <v>535</v>
      </c>
      <c r="V58" s="425">
        <v>162510.13999999998</v>
      </c>
      <c r="W58" s="425">
        <v>137618.63</v>
      </c>
      <c r="X58" s="425">
        <v>115967.93</v>
      </c>
      <c r="Y58" s="425">
        <v>132231.44999999998</v>
      </c>
      <c r="Z58" s="425">
        <v>154828.83999999997</v>
      </c>
      <c r="AA58" s="425">
        <v>123366.66000000002</v>
      </c>
      <c r="AB58" s="425">
        <v>129651.84999999999</v>
      </c>
      <c r="AC58" s="425">
        <v>141925.87</v>
      </c>
      <c r="AD58" s="425">
        <v>130967.62000000001</v>
      </c>
      <c r="AE58" s="425">
        <v>120703.39000000001</v>
      </c>
      <c r="AF58" s="425">
        <v>158070.48999999996</v>
      </c>
      <c r="AG58" s="425">
        <v>174241.94</v>
      </c>
      <c r="AH58" s="425">
        <v>145757.72999999998</v>
      </c>
      <c r="AI58" s="425">
        <v>126615.36000000003</v>
      </c>
      <c r="AJ58" s="425">
        <v>105321.66000000002</v>
      </c>
      <c r="AK58" s="425">
        <v>141504.81000000003</v>
      </c>
      <c r="AL58" s="425">
        <v>131392.95000000001</v>
      </c>
      <c r="AM58" s="425">
        <v>124245.50000000001</v>
      </c>
      <c r="AN58" s="425">
        <v>130052.04</v>
      </c>
      <c r="AO58" s="425">
        <v>109770.74000000002</v>
      </c>
      <c r="AP58" s="425">
        <v>111483.39000000003</v>
      </c>
      <c r="AQ58" s="425">
        <v>158682.41999999998</v>
      </c>
      <c r="AR58" s="425">
        <v>123038.44999999998</v>
      </c>
      <c r="AS58" s="425">
        <v>127244.34000000001</v>
      </c>
      <c r="AT58" s="425">
        <v>131296.41999999998</v>
      </c>
      <c r="AU58" s="425">
        <v>123507.16</v>
      </c>
      <c r="AV58" s="425">
        <v>159080.34</v>
      </c>
      <c r="AW58" s="425">
        <v>149923.33000000002</v>
      </c>
      <c r="AX58" s="425">
        <v>141829.36000000002</v>
      </c>
      <c r="AY58" s="433">
        <v>128788.11000000003</v>
      </c>
      <c r="AZ58" s="433">
        <v>137916.71</v>
      </c>
      <c r="BA58" s="433">
        <v>144637.37999999998</v>
      </c>
      <c r="BB58" s="433">
        <v>129532.09</v>
      </c>
      <c r="BC58" s="433">
        <v>151578.79</v>
      </c>
      <c r="BD58" s="433">
        <v>158618.63</v>
      </c>
      <c r="BE58" s="433">
        <v>106047.85</v>
      </c>
      <c r="BF58" s="433">
        <v>162911.79999999999</v>
      </c>
      <c r="BG58" s="433">
        <v>149921.84999999998</v>
      </c>
      <c r="BH58" s="433">
        <v>99333.169999999984</v>
      </c>
    </row>
    <row r="59" spans="2:60" ht="15.5" x14ac:dyDescent="0.35">
      <c r="B59" s="20"/>
      <c r="C59" s="260"/>
      <c r="D59" s="260"/>
      <c r="E59" s="257"/>
      <c r="F59" s="257"/>
      <c r="G59" s="257"/>
      <c r="H59" s="45"/>
      <c r="I59" s="730"/>
      <c r="J59" s="730"/>
      <c r="K59" s="730"/>
      <c r="L59" s="1"/>
      <c r="M59" s="1"/>
      <c r="N59" s="1"/>
      <c r="O59" s="1"/>
      <c r="P59" s="1"/>
      <c r="Q59" s="1"/>
      <c r="T59" s="2"/>
      <c r="U59" s="423" t="s">
        <v>536</v>
      </c>
      <c r="V59" s="422">
        <v>1185</v>
      </c>
      <c r="W59" s="422">
        <v>1185</v>
      </c>
      <c r="X59" s="422">
        <v>1185</v>
      </c>
      <c r="Y59" s="422">
        <v>1185</v>
      </c>
      <c r="Z59" s="422">
        <v>1185</v>
      </c>
      <c r="AA59" s="422">
        <v>1185</v>
      </c>
      <c r="AB59" s="422">
        <v>1185</v>
      </c>
      <c r="AC59" s="422">
        <v>1185</v>
      </c>
      <c r="AD59" s="422">
        <v>1185</v>
      </c>
      <c r="AE59" s="422">
        <v>1185</v>
      </c>
      <c r="AF59" s="422">
        <v>1185</v>
      </c>
      <c r="AG59" s="422">
        <v>1185</v>
      </c>
      <c r="AH59" s="422">
        <v>1185</v>
      </c>
      <c r="AI59" s="422">
        <v>1185</v>
      </c>
      <c r="AJ59" s="422">
        <v>1185</v>
      </c>
      <c r="AK59" s="422">
        <v>1185</v>
      </c>
      <c r="AL59" s="422">
        <v>1185</v>
      </c>
      <c r="AM59" s="422">
        <v>1185</v>
      </c>
      <c r="AN59" s="422">
        <v>1185</v>
      </c>
      <c r="AO59" s="422">
        <v>1185</v>
      </c>
      <c r="AP59" s="422">
        <v>1185</v>
      </c>
      <c r="AQ59" s="422">
        <v>1185</v>
      </c>
      <c r="AR59" s="422">
        <v>1185</v>
      </c>
      <c r="AS59" s="422">
        <v>1185</v>
      </c>
      <c r="AT59" s="422">
        <v>1185</v>
      </c>
      <c r="AU59" s="422">
        <v>1185</v>
      </c>
      <c r="AV59" s="422">
        <v>1185</v>
      </c>
      <c r="AW59" s="422">
        <v>1185</v>
      </c>
      <c r="AX59" s="422">
        <v>1185</v>
      </c>
      <c r="AY59" s="432">
        <v>1185</v>
      </c>
      <c r="AZ59" s="51">
        <v>1185</v>
      </c>
      <c r="BA59" s="51">
        <v>1185</v>
      </c>
      <c r="BB59" s="51">
        <v>1185</v>
      </c>
      <c r="BC59" s="51">
        <v>1185</v>
      </c>
      <c r="BD59" s="51">
        <v>1185</v>
      </c>
      <c r="BE59" s="51">
        <v>1100</v>
      </c>
      <c r="BF59" s="51">
        <v>1100</v>
      </c>
      <c r="BG59" s="51">
        <v>1100</v>
      </c>
      <c r="BH59" s="51">
        <v>1100</v>
      </c>
    </row>
    <row r="60" spans="2:60" ht="15.5" x14ac:dyDescent="0.35">
      <c r="B60" s="20" t="s">
        <v>537</v>
      </c>
      <c r="C60" s="260">
        <v>1.2500000000000001E-2</v>
      </c>
      <c r="D60" s="260">
        <v>0.10299999999999999</v>
      </c>
      <c r="E60" s="257">
        <v>0.9</v>
      </c>
      <c r="F60" s="257">
        <v>0.75</v>
      </c>
      <c r="G60" s="257">
        <v>0.75</v>
      </c>
      <c r="H60" s="45" t="s">
        <v>144</v>
      </c>
      <c r="I60" s="730"/>
      <c r="J60" s="730"/>
      <c r="K60" s="730"/>
      <c r="L60" s="1"/>
      <c r="M60" s="1"/>
      <c r="N60" s="1"/>
      <c r="O60" s="1"/>
      <c r="P60" s="1"/>
      <c r="Q60" s="1"/>
      <c r="R60" s="1"/>
      <c r="T60" s="2"/>
      <c r="U60" s="423" t="s">
        <v>95</v>
      </c>
      <c r="V60" s="422">
        <v>0</v>
      </c>
      <c r="W60" s="422">
        <v>0</v>
      </c>
      <c r="X60" s="422">
        <v>0</v>
      </c>
      <c r="Y60" s="422">
        <v>0</v>
      </c>
      <c r="Z60" s="422">
        <v>0</v>
      </c>
      <c r="AA60" s="422">
        <v>0</v>
      </c>
      <c r="AB60" s="422">
        <v>0</v>
      </c>
      <c r="AC60" s="422">
        <v>0</v>
      </c>
      <c r="AD60" s="422">
        <v>0</v>
      </c>
      <c r="AE60" s="422">
        <v>0</v>
      </c>
      <c r="AF60" s="422">
        <v>0</v>
      </c>
      <c r="AG60" s="422">
        <v>0</v>
      </c>
      <c r="AH60" s="422">
        <v>0</v>
      </c>
      <c r="AI60" s="422">
        <v>0</v>
      </c>
      <c r="AJ60" s="422">
        <v>0</v>
      </c>
      <c r="AK60" s="422">
        <v>0</v>
      </c>
      <c r="AL60" s="422">
        <v>0</v>
      </c>
      <c r="AM60" s="422">
        <v>0</v>
      </c>
      <c r="AN60" s="422">
        <v>0</v>
      </c>
      <c r="AO60" s="422">
        <v>0</v>
      </c>
      <c r="AP60" s="422">
        <v>0</v>
      </c>
      <c r="AQ60" s="422">
        <v>0</v>
      </c>
      <c r="AR60" s="422">
        <v>0</v>
      </c>
      <c r="AS60" s="422">
        <v>0</v>
      </c>
      <c r="AT60" s="422">
        <v>0</v>
      </c>
      <c r="AU60" s="422">
        <v>0</v>
      </c>
      <c r="AV60" s="422">
        <v>0</v>
      </c>
      <c r="AW60" s="422">
        <v>0</v>
      </c>
      <c r="AX60" s="422">
        <v>0</v>
      </c>
      <c r="AY60" s="432">
        <v>0</v>
      </c>
      <c r="AZ60" s="51">
        <v>0</v>
      </c>
      <c r="BA60" s="51">
        <v>0</v>
      </c>
      <c r="BB60" s="51">
        <v>0</v>
      </c>
      <c r="BC60" s="51">
        <v>0</v>
      </c>
      <c r="BD60" s="51">
        <v>0</v>
      </c>
      <c r="BE60" s="51">
        <v>0</v>
      </c>
      <c r="BF60" s="51">
        <v>0</v>
      </c>
      <c r="BG60" s="51">
        <v>0</v>
      </c>
      <c r="BH60" s="51">
        <v>0</v>
      </c>
    </row>
    <row r="61" spans="2:60" ht="15.5" x14ac:dyDescent="0.35">
      <c r="B61" s="20" t="s">
        <v>538</v>
      </c>
      <c r="C61" s="260">
        <v>1.2500000000000001E-2</v>
      </c>
      <c r="D61" s="260">
        <v>9.7500000000000003E-2</v>
      </c>
      <c r="E61" s="257">
        <v>0.9</v>
      </c>
      <c r="F61" s="257">
        <v>0.7</v>
      </c>
      <c r="G61" s="257">
        <v>0.7</v>
      </c>
      <c r="H61" s="45" t="s">
        <v>144</v>
      </c>
      <c r="I61" s="730"/>
      <c r="J61" s="730"/>
      <c r="K61" s="730"/>
      <c r="L61" s="1"/>
      <c r="M61" s="2"/>
      <c r="N61" s="2"/>
      <c r="O61" s="2"/>
      <c r="P61" s="2"/>
      <c r="Q61" s="1"/>
      <c r="R61" s="1"/>
      <c r="T61" s="2"/>
      <c r="U61" s="423" t="s">
        <v>475</v>
      </c>
      <c r="V61" s="422">
        <v>1700</v>
      </c>
      <c r="W61" s="422">
        <v>1700</v>
      </c>
      <c r="X61" s="422">
        <v>1700</v>
      </c>
      <c r="Y61" s="422">
        <v>1700</v>
      </c>
      <c r="Z61" s="422">
        <v>1700</v>
      </c>
      <c r="AA61" s="422">
        <v>1700</v>
      </c>
      <c r="AB61" s="422">
        <v>1700</v>
      </c>
      <c r="AC61" s="422">
        <v>1700</v>
      </c>
      <c r="AD61" s="422">
        <v>1700</v>
      </c>
      <c r="AE61" s="422">
        <v>1700</v>
      </c>
      <c r="AF61" s="422">
        <v>1700</v>
      </c>
      <c r="AG61" s="422">
        <v>1700</v>
      </c>
      <c r="AH61" s="422">
        <v>1700</v>
      </c>
      <c r="AI61" s="422">
        <v>1700</v>
      </c>
      <c r="AJ61" s="422">
        <v>1700</v>
      </c>
      <c r="AK61" s="422">
        <v>1700</v>
      </c>
      <c r="AL61" s="422">
        <v>1700</v>
      </c>
      <c r="AM61" s="422">
        <v>1700</v>
      </c>
      <c r="AN61" s="422">
        <v>1700</v>
      </c>
      <c r="AO61" s="422">
        <v>1700</v>
      </c>
      <c r="AP61" s="422">
        <v>1700</v>
      </c>
      <c r="AQ61" s="422">
        <v>1700</v>
      </c>
      <c r="AR61" s="422">
        <v>1700</v>
      </c>
      <c r="AS61" s="422">
        <v>1700</v>
      </c>
      <c r="AT61" s="422">
        <v>1700</v>
      </c>
      <c r="AU61" s="422">
        <v>1700</v>
      </c>
      <c r="AV61" s="422">
        <v>1700</v>
      </c>
      <c r="AW61" s="422">
        <v>1700</v>
      </c>
      <c r="AX61" s="422">
        <v>1700</v>
      </c>
      <c r="AY61" s="432">
        <v>1700</v>
      </c>
      <c r="AZ61" s="51">
        <v>1700</v>
      </c>
      <c r="BA61" s="51">
        <v>1700</v>
      </c>
      <c r="BB61" s="51">
        <v>1700</v>
      </c>
      <c r="BC61" s="51">
        <v>1700</v>
      </c>
      <c r="BD61" s="51">
        <v>1700</v>
      </c>
      <c r="BE61" s="51">
        <v>1700</v>
      </c>
      <c r="BF61" s="51">
        <v>1700</v>
      </c>
      <c r="BG61" s="51">
        <v>1700</v>
      </c>
      <c r="BH61" s="51">
        <v>1700</v>
      </c>
    </row>
    <row r="62" spans="2:60" ht="15.5" x14ac:dyDescent="0.35">
      <c r="B62" s="20" t="s">
        <v>142</v>
      </c>
      <c r="C62" s="260">
        <v>0.01</v>
      </c>
      <c r="D62" s="260">
        <v>0.10249999999999999</v>
      </c>
      <c r="E62" s="257">
        <v>0.9</v>
      </c>
      <c r="F62" s="257">
        <v>0.7</v>
      </c>
      <c r="G62" s="257">
        <v>0.7</v>
      </c>
      <c r="H62" s="45" t="s">
        <v>144</v>
      </c>
      <c r="I62" s="730"/>
      <c r="J62" s="730"/>
      <c r="K62" s="730"/>
      <c r="L62" s="1"/>
      <c r="M62" s="2"/>
      <c r="N62" s="2"/>
      <c r="O62" s="2"/>
      <c r="P62" s="2"/>
      <c r="Q62" s="1"/>
      <c r="R62" s="1"/>
      <c r="S62" s="1"/>
      <c r="T62" s="450"/>
      <c r="U62" s="423" t="s">
        <v>539</v>
      </c>
      <c r="V62" s="422">
        <v>2000</v>
      </c>
      <c r="W62" s="422">
        <v>2000</v>
      </c>
      <c r="X62" s="422">
        <v>2000</v>
      </c>
      <c r="Y62" s="422">
        <v>2000</v>
      </c>
      <c r="Z62" s="422">
        <v>2000</v>
      </c>
      <c r="AA62" s="422">
        <v>2000</v>
      </c>
      <c r="AB62" s="422">
        <v>2000</v>
      </c>
      <c r="AC62" s="422">
        <v>2000</v>
      </c>
      <c r="AD62" s="422">
        <v>2000</v>
      </c>
      <c r="AE62" s="422">
        <v>2000</v>
      </c>
      <c r="AF62" s="422">
        <v>2000</v>
      </c>
      <c r="AG62" s="422">
        <v>2000</v>
      </c>
      <c r="AH62" s="422">
        <v>2000</v>
      </c>
      <c r="AI62" s="422">
        <v>2000</v>
      </c>
      <c r="AJ62" s="422">
        <v>2000</v>
      </c>
      <c r="AK62" s="422">
        <v>2000</v>
      </c>
      <c r="AL62" s="422">
        <v>2000</v>
      </c>
      <c r="AM62" s="422">
        <v>2000</v>
      </c>
      <c r="AN62" s="422">
        <v>2000</v>
      </c>
      <c r="AO62" s="422">
        <v>2000</v>
      </c>
      <c r="AP62" s="422">
        <v>2000</v>
      </c>
      <c r="AQ62" s="422">
        <v>2000</v>
      </c>
      <c r="AR62" s="422">
        <v>2000</v>
      </c>
      <c r="AS62" s="422">
        <v>2000</v>
      </c>
      <c r="AT62" s="422">
        <v>2000</v>
      </c>
      <c r="AU62" s="422">
        <v>2000</v>
      </c>
      <c r="AV62" s="422">
        <v>2000</v>
      </c>
      <c r="AW62" s="422">
        <v>2000</v>
      </c>
      <c r="AX62" s="422">
        <v>2000</v>
      </c>
      <c r="AY62" s="432">
        <v>2000</v>
      </c>
      <c r="AZ62" s="51">
        <v>2000</v>
      </c>
      <c r="BA62" s="51">
        <v>2000</v>
      </c>
      <c r="BB62" s="51">
        <v>2000</v>
      </c>
      <c r="BC62" s="51">
        <v>2000</v>
      </c>
      <c r="BD62" s="51">
        <v>2000</v>
      </c>
      <c r="BE62" s="51">
        <v>2000</v>
      </c>
      <c r="BF62" s="51">
        <v>2000</v>
      </c>
      <c r="BG62" s="51">
        <v>2000</v>
      </c>
      <c r="BH62" s="51">
        <v>2000</v>
      </c>
    </row>
    <row r="63" spans="2:60" ht="15.5" x14ac:dyDescent="0.35">
      <c r="B63" s="20" t="s">
        <v>540</v>
      </c>
      <c r="C63" s="260">
        <v>1.4999999999999999E-2</v>
      </c>
      <c r="D63" s="260">
        <v>0.1125</v>
      </c>
      <c r="E63" s="257">
        <v>0.9</v>
      </c>
      <c r="F63" s="257">
        <v>0.7</v>
      </c>
      <c r="G63" s="257">
        <v>0.7</v>
      </c>
      <c r="H63" s="45" t="s">
        <v>144</v>
      </c>
      <c r="I63" s="730"/>
      <c r="J63" s="730"/>
      <c r="K63" s="730"/>
      <c r="L63" s="2"/>
      <c r="M63" s="2"/>
      <c r="N63" s="2"/>
      <c r="O63" s="2"/>
      <c r="P63" s="2"/>
      <c r="Q63" s="1"/>
      <c r="R63" s="1"/>
      <c r="S63" s="1"/>
      <c r="T63" s="450"/>
      <c r="U63" s="423" t="s">
        <v>79</v>
      </c>
      <c r="V63" s="422">
        <v>500</v>
      </c>
      <c r="W63" s="422">
        <v>500</v>
      </c>
      <c r="X63" s="422">
        <v>500</v>
      </c>
      <c r="Y63" s="422">
        <v>500</v>
      </c>
      <c r="Z63" s="422">
        <v>500</v>
      </c>
      <c r="AA63" s="422">
        <v>500</v>
      </c>
      <c r="AB63" s="422">
        <v>500</v>
      </c>
      <c r="AC63" s="422">
        <v>500</v>
      </c>
      <c r="AD63" s="422">
        <v>500</v>
      </c>
      <c r="AE63" s="422">
        <v>500</v>
      </c>
      <c r="AF63" s="422">
        <v>500</v>
      </c>
      <c r="AG63" s="422">
        <v>500</v>
      </c>
      <c r="AH63" s="422">
        <v>500</v>
      </c>
      <c r="AI63" s="422">
        <v>500</v>
      </c>
      <c r="AJ63" s="422">
        <v>500</v>
      </c>
      <c r="AK63" s="422">
        <v>500</v>
      </c>
      <c r="AL63" s="422">
        <v>500</v>
      </c>
      <c r="AM63" s="422">
        <v>500</v>
      </c>
      <c r="AN63" s="422">
        <v>500</v>
      </c>
      <c r="AO63" s="422">
        <v>500</v>
      </c>
      <c r="AP63" s="422">
        <v>500</v>
      </c>
      <c r="AQ63" s="422">
        <v>500</v>
      </c>
      <c r="AR63" s="422">
        <v>500</v>
      </c>
      <c r="AS63" s="422">
        <v>500</v>
      </c>
      <c r="AT63" s="422">
        <v>500</v>
      </c>
      <c r="AU63" s="422">
        <v>500</v>
      </c>
      <c r="AV63" s="422">
        <v>500</v>
      </c>
      <c r="AW63" s="422">
        <v>500</v>
      </c>
      <c r="AX63" s="422">
        <v>500</v>
      </c>
      <c r="AY63" s="422">
        <v>500</v>
      </c>
      <c r="AZ63" s="51">
        <v>500</v>
      </c>
      <c r="BA63" s="51">
        <v>500</v>
      </c>
      <c r="BB63" s="51">
        <v>500</v>
      </c>
      <c r="BC63" s="51">
        <v>500</v>
      </c>
      <c r="BD63" s="51">
        <v>500</v>
      </c>
      <c r="BE63" s="51">
        <v>500</v>
      </c>
      <c r="BF63" s="51">
        <v>500</v>
      </c>
      <c r="BG63" s="51">
        <v>500</v>
      </c>
      <c r="BH63" s="51">
        <v>500</v>
      </c>
    </row>
    <row r="64" spans="2:60" ht="15.5" x14ac:dyDescent="0.35">
      <c r="B64" s="20" t="s">
        <v>541</v>
      </c>
      <c r="C64" s="260">
        <v>1.4999999999999999E-2</v>
      </c>
      <c r="D64" s="260">
        <v>0.1099</v>
      </c>
      <c r="E64" s="257">
        <v>0.9</v>
      </c>
      <c r="F64" s="257">
        <v>0.7</v>
      </c>
      <c r="G64" s="257">
        <v>0.7</v>
      </c>
      <c r="H64" s="45" t="s">
        <v>144</v>
      </c>
      <c r="I64" s="730"/>
      <c r="J64" s="730"/>
      <c r="K64" s="730"/>
      <c r="L64" s="2"/>
      <c r="M64" s="2"/>
      <c r="N64" s="2"/>
      <c r="O64" s="2"/>
      <c r="P64" s="2"/>
      <c r="Q64" s="1"/>
      <c r="R64" s="2"/>
      <c r="S64" s="2"/>
      <c r="T64" s="2"/>
      <c r="U64" s="423" t="s">
        <v>99</v>
      </c>
      <c r="V64" s="422">
        <v>2500</v>
      </c>
      <c r="W64" s="422">
        <v>2500</v>
      </c>
      <c r="X64" s="422">
        <v>2500</v>
      </c>
      <c r="Y64" s="422">
        <v>2500</v>
      </c>
      <c r="Z64" s="422">
        <v>2500</v>
      </c>
      <c r="AA64" s="422">
        <v>2500</v>
      </c>
      <c r="AB64" s="422">
        <v>2500</v>
      </c>
      <c r="AC64" s="422">
        <v>2500</v>
      </c>
      <c r="AD64" s="422">
        <v>2500</v>
      </c>
      <c r="AE64" s="422">
        <v>2500</v>
      </c>
      <c r="AF64" s="422">
        <v>2500</v>
      </c>
      <c r="AG64" s="422">
        <v>2500</v>
      </c>
      <c r="AH64" s="422">
        <v>2500</v>
      </c>
      <c r="AI64" s="422">
        <v>2500</v>
      </c>
      <c r="AJ64" s="422">
        <v>2500</v>
      </c>
      <c r="AK64" s="422">
        <v>2500</v>
      </c>
      <c r="AL64" s="422">
        <v>2500</v>
      </c>
      <c r="AM64" s="422">
        <v>2500</v>
      </c>
      <c r="AN64" s="422">
        <v>2500</v>
      </c>
      <c r="AO64" s="422">
        <v>2500</v>
      </c>
      <c r="AP64" s="422">
        <v>2500</v>
      </c>
      <c r="AQ64" s="422">
        <v>2500</v>
      </c>
      <c r="AR64" s="422">
        <v>2500</v>
      </c>
      <c r="AS64" s="422">
        <v>2500</v>
      </c>
      <c r="AT64" s="422">
        <v>2500</v>
      </c>
      <c r="AU64" s="422">
        <v>2500</v>
      </c>
      <c r="AV64" s="422">
        <v>2500</v>
      </c>
      <c r="AW64" s="422">
        <v>2500</v>
      </c>
      <c r="AX64" s="422">
        <v>2500</v>
      </c>
      <c r="AY64" s="432">
        <v>2500</v>
      </c>
      <c r="AZ64" s="51">
        <v>2500</v>
      </c>
      <c r="BA64" s="51">
        <v>2500</v>
      </c>
      <c r="BB64" s="51">
        <v>2500</v>
      </c>
      <c r="BC64" s="51">
        <v>2500</v>
      </c>
      <c r="BD64" s="51">
        <v>2500</v>
      </c>
      <c r="BE64" s="51">
        <v>2500</v>
      </c>
      <c r="BF64" s="51">
        <v>2500</v>
      </c>
      <c r="BG64" s="51">
        <v>2500</v>
      </c>
      <c r="BH64" s="51">
        <v>2500</v>
      </c>
    </row>
    <row r="65" spans="2:60" ht="16" thickBot="1" x14ac:dyDescent="0.4">
      <c r="B65" s="20" t="s">
        <v>542</v>
      </c>
      <c r="C65" s="260">
        <v>1.4999999999999999E-2</v>
      </c>
      <c r="D65" s="260">
        <v>0.1099</v>
      </c>
      <c r="E65" s="257">
        <v>0.9</v>
      </c>
      <c r="F65" s="257">
        <v>0.65</v>
      </c>
      <c r="G65" s="257">
        <v>0.7</v>
      </c>
      <c r="H65" s="45" t="s">
        <v>144</v>
      </c>
      <c r="I65" s="730"/>
      <c r="J65" s="730"/>
      <c r="K65" s="730"/>
      <c r="L65" s="2"/>
      <c r="M65" s="2"/>
      <c r="N65" s="2"/>
      <c r="O65" s="2"/>
      <c r="P65" s="2"/>
      <c r="Q65" s="2"/>
      <c r="R65" s="2"/>
      <c r="S65" s="2"/>
      <c r="T65" s="2"/>
      <c r="U65" s="423" t="s">
        <v>100</v>
      </c>
      <c r="V65" s="422">
        <v>2475</v>
      </c>
      <c r="W65" s="422">
        <v>2475</v>
      </c>
      <c r="X65" s="422">
        <v>2475</v>
      </c>
      <c r="Y65" s="422">
        <v>2475</v>
      </c>
      <c r="Z65" s="422">
        <v>2475</v>
      </c>
      <c r="AA65" s="422">
        <v>2475</v>
      </c>
      <c r="AB65" s="422">
        <v>2475</v>
      </c>
      <c r="AC65" s="422">
        <v>2475</v>
      </c>
      <c r="AD65" s="422">
        <v>2475</v>
      </c>
      <c r="AE65" s="422">
        <v>2475</v>
      </c>
      <c r="AF65" s="422">
        <v>2475</v>
      </c>
      <c r="AG65" s="422">
        <v>2475</v>
      </c>
      <c r="AH65" s="422">
        <v>2475</v>
      </c>
      <c r="AI65" s="422">
        <v>2475</v>
      </c>
      <c r="AJ65" s="422">
        <v>2475</v>
      </c>
      <c r="AK65" s="422">
        <v>2475</v>
      </c>
      <c r="AL65" s="422">
        <v>2475</v>
      </c>
      <c r="AM65" s="422">
        <v>2475</v>
      </c>
      <c r="AN65" s="422">
        <v>2475</v>
      </c>
      <c r="AO65" s="422">
        <v>2475</v>
      </c>
      <c r="AP65" s="422">
        <v>2475</v>
      </c>
      <c r="AQ65" s="422">
        <v>2475</v>
      </c>
      <c r="AR65" s="422">
        <v>2475</v>
      </c>
      <c r="AS65" s="422">
        <v>2475</v>
      </c>
      <c r="AT65" s="422">
        <v>2475</v>
      </c>
      <c r="AU65" s="422">
        <v>2475</v>
      </c>
      <c r="AV65" s="422">
        <v>2475</v>
      </c>
      <c r="AW65" s="422">
        <v>2475</v>
      </c>
      <c r="AX65" s="422">
        <v>2475</v>
      </c>
      <c r="AY65" s="432">
        <v>2475</v>
      </c>
      <c r="AZ65" s="51">
        <v>2475</v>
      </c>
      <c r="BA65" s="51">
        <v>2475</v>
      </c>
      <c r="BB65" s="51">
        <v>2475</v>
      </c>
      <c r="BC65" s="51">
        <v>2475</v>
      </c>
      <c r="BD65" s="51">
        <v>2475</v>
      </c>
      <c r="BE65" s="51">
        <v>2475</v>
      </c>
      <c r="BF65" s="51">
        <v>2475</v>
      </c>
      <c r="BG65" s="51">
        <v>2475</v>
      </c>
      <c r="BH65" s="51">
        <v>2475</v>
      </c>
    </row>
    <row r="66" spans="2:60" ht="19" thickBot="1" x14ac:dyDescent="0.5">
      <c r="B66" s="20" t="s">
        <v>543</v>
      </c>
      <c r="C66" s="260">
        <v>0.02</v>
      </c>
      <c r="D66" s="260">
        <v>0.1115</v>
      </c>
      <c r="E66" s="257">
        <v>0.8</v>
      </c>
      <c r="F66" s="257">
        <v>0.7</v>
      </c>
      <c r="G66" s="257">
        <v>0.7</v>
      </c>
      <c r="H66" s="45" t="s">
        <v>144</v>
      </c>
      <c r="I66" s="730"/>
      <c r="J66" s="730"/>
      <c r="K66" s="730"/>
      <c r="L66" s="2"/>
      <c r="M66" s="2"/>
      <c r="N66" s="2"/>
      <c r="O66" s="2"/>
      <c r="P66" s="2"/>
      <c r="Q66" s="2"/>
      <c r="R66" s="2"/>
      <c r="S66" s="2"/>
      <c r="T66" s="2"/>
      <c r="U66" s="424" t="s">
        <v>544</v>
      </c>
      <c r="V66" s="425">
        <v>10360</v>
      </c>
      <c r="W66" s="425">
        <v>10360</v>
      </c>
      <c r="X66" s="425">
        <v>10360</v>
      </c>
      <c r="Y66" s="425">
        <v>10360</v>
      </c>
      <c r="Z66" s="425">
        <v>10360</v>
      </c>
      <c r="AA66" s="425">
        <v>10360</v>
      </c>
      <c r="AB66" s="425">
        <v>10360</v>
      </c>
      <c r="AC66" s="425">
        <v>10360</v>
      </c>
      <c r="AD66" s="425">
        <v>10360</v>
      </c>
      <c r="AE66" s="425">
        <v>10360</v>
      </c>
      <c r="AF66" s="425">
        <v>10360</v>
      </c>
      <c r="AG66" s="425">
        <v>10360</v>
      </c>
      <c r="AH66" s="425">
        <v>10360</v>
      </c>
      <c r="AI66" s="425">
        <v>10360</v>
      </c>
      <c r="AJ66" s="425">
        <v>10360</v>
      </c>
      <c r="AK66" s="425">
        <v>10360</v>
      </c>
      <c r="AL66" s="425">
        <v>10360</v>
      </c>
      <c r="AM66" s="425">
        <v>10360</v>
      </c>
      <c r="AN66" s="425">
        <v>10360</v>
      </c>
      <c r="AO66" s="425">
        <v>10360</v>
      </c>
      <c r="AP66" s="425">
        <v>10360</v>
      </c>
      <c r="AQ66" s="425">
        <v>10360</v>
      </c>
      <c r="AR66" s="425">
        <v>10360</v>
      </c>
      <c r="AS66" s="425">
        <v>10360</v>
      </c>
      <c r="AT66" s="425">
        <v>10360</v>
      </c>
      <c r="AU66" s="425">
        <v>10360</v>
      </c>
      <c r="AV66" s="425">
        <v>10360</v>
      </c>
      <c r="AW66" s="425">
        <v>10360</v>
      </c>
      <c r="AX66" s="425">
        <v>10360</v>
      </c>
      <c r="AY66" s="433">
        <v>10360</v>
      </c>
      <c r="AZ66" s="433">
        <v>10360</v>
      </c>
      <c r="BA66" s="433">
        <v>10360</v>
      </c>
      <c r="BB66" s="433">
        <v>10360</v>
      </c>
      <c r="BC66" s="433">
        <v>10360</v>
      </c>
      <c r="BD66" s="433">
        <v>10360</v>
      </c>
      <c r="BE66" s="433">
        <v>10275</v>
      </c>
      <c r="BF66" s="433">
        <v>10275</v>
      </c>
      <c r="BG66" s="433">
        <v>10275</v>
      </c>
      <c r="BH66" s="433">
        <v>10275</v>
      </c>
    </row>
    <row r="67" spans="2:60" ht="15.5" x14ac:dyDescent="0.35">
      <c r="B67" s="20" t="s">
        <v>545</v>
      </c>
      <c r="C67" s="260">
        <v>0.02</v>
      </c>
      <c r="D67" s="260">
        <v>0.12</v>
      </c>
      <c r="E67" s="257">
        <v>0.9</v>
      </c>
      <c r="F67" s="257">
        <v>0.7</v>
      </c>
      <c r="G67" s="257">
        <v>0.7</v>
      </c>
      <c r="H67" s="45" t="s">
        <v>144</v>
      </c>
      <c r="I67" s="730"/>
      <c r="J67" s="730"/>
      <c r="K67" s="730"/>
      <c r="L67" s="2"/>
      <c r="M67" s="2"/>
      <c r="N67" s="2"/>
      <c r="O67" s="2"/>
      <c r="P67" s="2"/>
      <c r="Q67" s="2"/>
      <c r="R67" s="2"/>
      <c r="S67" s="2"/>
      <c r="T67" s="2"/>
      <c r="U67" s="423" t="s">
        <v>104</v>
      </c>
      <c r="V67" s="422">
        <v>2050</v>
      </c>
      <c r="W67" s="422">
        <v>2050</v>
      </c>
      <c r="X67" s="422">
        <v>2050</v>
      </c>
      <c r="Y67" s="422">
        <v>2050</v>
      </c>
      <c r="Z67" s="422">
        <v>2050</v>
      </c>
      <c r="AA67" s="422">
        <v>2050</v>
      </c>
      <c r="AB67" s="422">
        <v>2050</v>
      </c>
      <c r="AC67" s="422">
        <v>2050</v>
      </c>
      <c r="AD67" s="422">
        <v>2050</v>
      </c>
      <c r="AE67" s="422">
        <v>2050</v>
      </c>
      <c r="AF67" s="422">
        <v>2050</v>
      </c>
      <c r="AG67" s="422">
        <v>2050</v>
      </c>
      <c r="AH67" s="422">
        <v>2050</v>
      </c>
      <c r="AI67" s="422">
        <v>2050</v>
      </c>
      <c r="AJ67" s="422">
        <v>2050</v>
      </c>
      <c r="AK67" s="422">
        <v>2050</v>
      </c>
      <c r="AL67" s="422">
        <v>2050</v>
      </c>
      <c r="AM67" s="422">
        <v>2050</v>
      </c>
      <c r="AN67" s="422">
        <v>2050</v>
      </c>
      <c r="AO67" s="422">
        <v>2050</v>
      </c>
      <c r="AP67" s="422">
        <v>2050</v>
      </c>
      <c r="AQ67" s="422">
        <v>2050</v>
      </c>
      <c r="AR67" s="422">
        <v>2050</v>
      </c>
      <c r="AS67" s="422">
        <v>2050</v>
      </c>
      <c r="AT67" s="422">
        <v>2050</v>
      </c>
      <c r="AU67" s="422">
        <v>2050</v>
      </c>
      <c r="AV67" s="422">
        <v>2050</v>
      </c>
      <c r="AW67" s="422">
        <v>2050</v>
      </c>
      <c r="AX67" s="422">
        <v>2050</v>
      </c>
      <c r="AY67" s="432">
        <v>2050</v>
      </c>
      <c r="AZ67" s="51">
        <v>2050</v>
      </c>
      <c r="BA67" s="51">
        <v>2050</v>
      </c>
      <c r="BB67" s="51">
        <v>2050</v>
      </c>
      <c r="BC67" s="51">
        <v>2050</v>
      </c>
      <c r="BD67" s="51">
        <v>2050</v>
      </c>
      <c r="BE67" s="51">
        <v>2100</v>
      </c>
      <c r="BF67" s="51">
        <v>2100</v>
      </c>
      <c r="BG67" s="51">
        <v>2100</v>
      </c>
      <c r="BH67" s="51">
        <v>2100</v>
      </c>
    </row>
    <row r="68" spans="2:60" ht="15.5" x14ac:dyDescent="0.35">
      <c r="B68" s="20" t="s">
        <v>546</v>
      </c>
      <c r="C68" s="260">
        <v>0.02</v>
      </c>
      <c r="D68" s="260">
        <v>0.1075</v>
      </c>
      <c r="E68" s="257">
        <v>0.95</v>
      </c>
      <c r="F68" s="257">
        <v>0.7</v>
      </c>
      <c r="G68" s="257">
        <v>0.7</v>
      </c>
      <c r="H68" s="45" t="s">
        <v>144</v>
      </c>
      <c r="I68" s="730"/>
      <c r="J68" s="730"/>
      <c r="K68" s="730"/>
      <c r="L68" s="2"/>
      <c r="M68" s="2"/>
      <c r="N68" s="2"/>
      <c r="O68" s="2"/>
      <c r="P68" s="2"/>
      <c r="Q68" s="2"/>
      <c r="R68" s="2"/>
      <c r="S68" s="2"/>
      <c r="T68" s="2"/>
      <c r="U68" s="423" t="s">
        <v>547</v>
      </c>
      <c r="V68" s="422">
        <v>0</v>
      </c>
      <c r="W68" s="422">
        <v>0</v>
      </c>
      <c r="X68" s="422">
        <v>0</v>
      </c>
      <c r="Y68" s="422">
        <v>0</v>
      </c>
      <c r="Z68" s="422">
        <v>0</v>
      </c>
      <c r="AA68" s="422">
        <v>0</v>
      </c>
      <c r="AB68" s="422">
        <v>0</v>
      </c>
      <c r="AC68" s="422">
        <v>0</v>
      </c>
      <c r="AD68" s="422">
        <v>0</v>
      </c>
      <c r="AE68" s="422">
        <v>0</v>
      </c>
      <c r="AF68" s="422">
        <v>0</v>
      </c>
      <c r="AG68" s="422">
        <v>0</v>
      </c>
      <c r="AH68" s="422">
        <v>0</v>
      </c>
      <c r="AI68" s="422">
        <v>0</v>
      </c>
      <c r="AJ68" s="422">
        <v>0</v>
      </c>
      <c r="AK68" s="422">
        <v>0</v>
      </c>
      <c r="AL68" s="422">
        <v>0</v>
      </c>
      <c r="AM68" s="422">
        <v>0</v>
      </c>
      <c r="AN68" s="422">
        <v>0</v>
      </c>
      <c r="AO68" s="422">
        <v>0</v>
      </c>
      <c r="AP68" s="422">
        <v>0</v>
      </c>
      <c r="AQ68" s="422">
        <v>0</v>
      </c>
      <c r="AR68" s="422">
        <v>0</v>
      </c>
      <c r="AS68" s="422">
        <v>0</v>
      </c>
      <c r="AT68" s="422">
        <v>0</v>
      </c>
      <c r="AU68" s="422">
        <v>0</v>
      </c>
      <c r="AV68" s="422">
        <v>0</v>
      </c>
      <c r="AW68" s="422">
        <v>0</v>
      </c>
      <c r="AX68" s="422">
        <v>0</v>
      </c>
      <c r="AY68" s="432">
        <v>0</v>
      </c>
      <c r="AZ68" s="51">
        <v>0</v>
      </c>
      <c r="BA68" s="51">
        <v>0</v>
      </c>
      <c r="BB68" s="51">
        <v>0</v>
      </c>
      <c r="BC68" s="51">
        <v>0</v>
      </c>
      <c r="BD68" s="51">
        <v>0</v>
      </c>
      <c r="BE68" s="51">
        <v>0</v>
      </c>
      <c r="BF68" s="51">
        <v>0</v>
      </c>
      <c r="BG68" s="51">
        <v>0</v>
      </c>
      <c r="BH68" s="51">
        <v>0</v>
      </c>
    </row>
    <row r="69" spans="2:60" ht="16" thickBot="1" x14ac:dyDescent="0.4">
      <c r="B69" s="913" t="s">
        <v>548</v>
      </c>
      <c r="C69" s="914">
        <v>0.01</v>
      </c>
      <c r="D69" s="914">
        <v>9.5000000000000001E-2</v>
      </c>
      <c r="E69" s="915">
        <v>0.75</v>
      </c>
      <c r="F69" s="915">
        <v>0.7</v>
      </c>
      <c r="G69" s="915">
        <v>0.75</v>
      </c>
      <c r="H69" s="916" t="s">
        <v>144</v>
      </c>
      <c r="I69" s="730"/>
      <c r="J69" s="730"/>
      <c r="K69" s="730"/>
      <c r="L69" s="2"/>
      <c r="M69" s="2"/>
      <c r="N69" s="2"/>
      <c r="O69" s="2"/>
      <c r="P69" s="2"/>
      <c r="Q69" s="2"/>
      <c r="R69" s="2"/>
      <c r="S69" s="2"/>
      <c r="T69" s="2"/>
      <c r="U69" s="423" t="s">
        <v>549</v>
      </c>
      <c r="V69" s="422">
        <v>0</v>
      </c>
      <c r="W69" s="422">
        <v>0</v>
      </c>
      <c r="X69" s="422">
        <v>0</v>
      </c>
      <c r="Y69" s="422">
        <v>0</v>
      </c>
      <c r="Z69" s="422">
        <v>0</v>
      </c>
      <c r="AA69" s="422">
        <v>0</v>
      </c>
      <c r="AB69" s="422">
        <v>0</v>
      </c>
      <c r="AC69" s="422">
        <v>0</v>
      </c>
      <c r="AD69" s="422">
        <v>0</v>
      </c>
      <c r="AE69" s="422">
        <v>0</v>
      </c>
      <c r="AF69" s="422">
        <v>0</v>
      </c>
      <c r="AG69" s="422">
        <v>0</v>
      </c>
      <c r="AH69" s="422">
        <v>0</v>
      </c>
      <c r="AI69" s="422">
        <v>0</v>
      </c>
      <c r="AJ69" s="422">
        <v>0</v>
      </c>
      <c r="AK69" s="422">
        <v>0</v>
      </c>
      <c r="AL69" s="422">
        <v>0</v>
      </c>
      <c r="AM69" s="422">
        <v>0</v>
      </c>
      <c r="AN69" s="422">
        <v>0</v>
      </c>
      <c r="AO69" s="422">
        <v>0</v>
      </c>
      <c r="AP69" s="422">
        <v>0</v>
      </c>
      <c r="AQ69" s="422">
        <v>0</v>
      </c>
      <c r="AR69" s="422">
        <v>0</v>
      </c>
      <c r="AS69" s="422">
        <v>0</v>
      </c>
      <c r="AT69" s="422">
        <v>0</v>
      </c>
      <c r="AU69" s="422">
        <v>0</v>
      </c>
      <c r="AV69" s="422">
        <v>0</v>
      </c>
      <c r="AW69" s="422">
        <v>0</v>
      </c>
      <c r="AX69" s="422">
        <v>0</v>
      </c>
      <c r="AY69" s="432">
        <v>0</v>
      </c>
      <c r="AZ69" s="51">
        <v>0</v>
      </c>
      <c r="BA69" s="51">
        <v>0</v>
      </c>
      <c r="BB69" s="51">
        <v>0</v>
      </c>
      <c r="BC69" s="51">
        <v>0</v>
      </c>
      <c r="BD69" s="51">
        <v>0</v>
      </c>
      <c r="BE69" s="51">
        <v>0</v>
      </c>
      <c r="BF69" s="51">
        <v>0</v>
      </c>
      <c r="BG69" s="51">
        <v>0</v>
      </c>
      <c r="BH69" s="51">
        <v>0</v>
      </c>
    </row>
    <row r="70" spans="2:60" ht="16" thickBot="1" x14ac:dyDescent="0.4">
      <c r="B70" s="909" t="s">
        <v>550</v>
      </c>
      <c r="C70" s="910">
        <v>2.5000000000000001E-2</v>
      </c>
      <c r="D70" s="910">
        <v>0.09</v>
      </c>
      <c r="E70" s="911">
        <v>0.9</v>
      </c>
      <c r="F70" s="911">
        <v>0.7</v>
      </c>
      <c r="G70" s="911">
        <v>0.75</v>
      </c>
      <c r="H70" s="912" t="s">
        <v>144</v>
      </c>
      <c r="I70" s="730"/>
      <c r="J70" s="730"/>
      <c r="K70" s="730"/>
      <c r="L70" s="2"/>
      <c r="M70" s="2"/>
      <c r="N70" s="2"/>
      <c r="O70" s="2"/>
      <c r="P70" s="2"/>
      <c r="Q70" s="2"/>
      <c r="R70" s="2"/>
      <c r="S70" s="2"/>
      <c r="T70" s="2"/>
      <c r="U70" s="423" t="s">
        <v>105</v>
      </c>
      <c r="V70" s="422">
        <v>600</v>
      </c>
      <c r="W70" s="422">
        <v>600</v>
      </c>
      <c r="X70" s="422">
        <v>600</v>
      </c>
      <c r="Y70" s="422">
        <v>600</v>
      </c>
      <c r="Z70" s="422">
        <v>600</v>
      </c>
      <c r="AA70" s="422">
        <v>600</v>
      </c>
      <c r="AB70" s="422">
        <v>600</v>
      </c>
      <c r="AC70" s="422">
        <v>600</v>
      </c>
      <c r="AD70" s="422">
        <v>600</v>
      </c>
      <c r="AE70" s="422">
        <v>600</v>
      </c>
      <c r="AF70" s="422">
        <v>600</v>
      </c>
      <c r="AG70" s="422">
        <v>600</v>
      </c>
      <c r="AH70" s="422">
        <v>600</v>
      </c>
      <c r="AI70" s="422">
        <v>600</v>
      </c>
      <c r="AJ70" s="422">
        <v>600</v>
      </c>
      <c r="AK70" s="422">
        <v>600</v>
      </c>
      <c r="AL70" s="422">
        <v>600</v>
      </c>
      <c r="AM70" s="422">
        <v>600</v>
      </c>
      <c r="AN70" s="422">
        <v>600</v>
      </c>
      <c r="AO70" s="422">
        <v>600</v>
      </c>
      <c r="AP70" s="422">
        <v>600</v>
      </c>
      <c r="AQ70" s="422">
        <v>600</v>
      </c>
      <c r="AR70" s="422">
        <v>600</v>
      </c>
      <c r="AS70" s="422">
        <v>600</v>
      </c>
      <c r="AT70" s="422">
        <v>600</v>
      </c>
      <c r="AU70" s="422">
        <v>600</v>
      </c>
      <c r="AV70" s="422">
        <v>600</v>
      </c>
      <c r="AW70" s="422">
        <v>600</v>
      </c>
      <c r="AX70" s="422">
        <v>600</v>
      </c>
      <c r="AY70" s="432">
        <v>600</v>
      </c>
      <c r="AZ70" s="51">
        <v>600</v>
      </c>
      <c r="BA70" s="51">
        <v>600</v>
      </c>
      <c r="BB70" s="51">
        <v>600</v>
      </c>
      <c r="BC70" s="51">
        <v>600</v>
      </c>
      <c r="BD70" s="51">
        <v>600</v>
      </c>
      <c r="BE70" s="51">
        <v>600</v>
      </c>
      <c r="BF70" s="51">
        <v>600</v>
      </c>
      <c r="BG70" s="51">
        <v>600</v>
      </c>
      <c r="BH70" s="51">
        <v>600</v>
      </c>
    </row>
    <row r="71" spans="2:60" ht="19" thickBot="1" x14ac:dyDescent="0.5">
      <c r="B71" s="20" t="s">
        <v>551</v>
      </c>
      <c r="C71" s="260">
        <v>1.7500000000000002E-2</v>
      </c>
      <c r="D71" s="260">
        <v>0.105</v>
      </c>
      <c r="E71" s="257">
        <v>0.85</v>
      </c>
      <c r="F71" s="257">
        <v>0.7</v>
      </c>
      <c r="G71" s="257">
        <v>0.7</v>
      </c>
      <c r="H71" s="45" t="s">
        <v>144</v>
      </c>
      <c r="I71" s="730"/>
      <c r="J71" s="730"/>
      <c r="K71" s="730"/>
      <c r="L71" s="2"/>
      <c r="M71" s="2"/>
      <c r="N71" s="2"/>
      <c r="O71" s="2"/>
      <c r="P71" s="2"/>
      <c r="Q71" s="2"/>
      <c r="R71" s="2"/>
      <c r="S71" s="2"/>
      <c r="T71" s="2"/>
      <c r="U71" s="424" t="s">
        <v>552</v>
      </c>
      <c r="V71" s="425">
        <v>2650</v>
      </c>
      <c r="W71" s="425">
        <v>2650</v>
      </c>
      <c r="X71" s="425">
        <v>2650</v>
      </c>
      <c r="Y71" s="425">
        <v>2650</v>
      </c>
      <c r="Z71" s="425">
        <v>2650</v>
      </c>
      <c r="AA71" s="425">
        <v>2650</v>
      </c>
      <c r="AB71" s="425">
        <v>2650</v>
      </c>
      <c r="AC71" s="425">
        <v>2650</v>
      </c>
      <c r="AD71" s="425">
        <v>2650</v>
      </c>
      <c r="AE71" s="425">
        <v>2650</v>
      </c>
      <c r="AF71" s="425">
        <v>2650</v>
      </c>
      <c r="AG71" s="425">
        <v>2650</v>
      </c>
      <c r="AH71" s="425">
        <v>2650</v>
      </c>
      <c r="AI71" s="425">
        <v>2650</v>
      </c>
      <c r="AJ71" s="425">
        <v>2650</v>
      </c>
      <c r="AK71" s="425">
        <v>2650</v>
      </c>
      <c r="AL71" s="425">
        <v>2650</v>
      </c>
      <c r="AM71" s="425">
        <v>2650</v>
      </c>
      <c r="AN71" s="425">
        <v>2650</v>
      </c>
      <c r="AO71" s="425">
        <v>2650</v>
      </c>
      <c r="AP71" s="425">
        <v>2650</v>
      </c>
      <c r="AQ71" s="425">
        <v>2650</v>
      </c>
      <c r="AR71" s="425">
        <v>2650</v>
      </c>
      <c r="AS71" s="425">
        <v>2650</v>
      </c>
      <c r="AT71" s="425">
        <v>2650</v>
      </c>
      <c r="AU71" s="425">
        <v>2650</v>
      </c>
      <c r="AV71" s="425">
        <v>2650</v>
      </c>
      <c r="AW71" s="425">
        <v>2650</v>
      </c>
      <c r="AX71" s="425">
        <v>2650</v>
      </c>
      <c r="AY71" s="433">
        <v>2650</v>
      </c>
      <c r="AZ71" s="433">
        <v>2650</v>
      </c>
      <c r="BA71" s="433">
        <v>2650</v>
      </c>
      <c r="BB71" s="433">
        <v>2650</v>
      </c>
      <c r="BC71" s="433">
        <v>2650</v>
      </c>
      <c r="BD71" s="433">
        <v>2650</v>
      </c>
      <c r="BE71" s="433">
        <v>2700</v>
      </c>
      <c r="BF71" s="433">
        <v>2700</v>
      </c>
      <c r="BG71" s="433">
        <v>2700</v>
      </c>
      <c r="BH71" s="433">
        <v>2700</v>
      </c>
    </row>
    <row r="72" spans="2:60" ht="15.5" x14ac:dyDescent="0.35">
      <c r="B72" s="20" t="s">
        <v>553</v>
      </c>
      <c r="C72" s="260">
        <v>0.01</v>
      </c>
      <c r="D72" s="260">
        <v>9.9900000000000003E-2</v>
      </c>
      <c r="E72" s="258">
        <v>1</v>
      </c>
      <c r="F72" s="257">
        <v>0.7</v>
      </c>
      <c r="G72" s="257">
        <v>0.77</v>
      </c>
      <c r="H72" s="45" t="s">
        <v>144</v>
      </c>
      <c r="I72" s="730"/>
      <c r="J72" s="730"/>
      <c r="K72" s="730"/>
      <c r="L72" s="2"/>
      <c r="M72" s="2"/>
      <c r="N72" s="2"/>
      <c r="O72" s="2"/>
      <c r="P72" s="2"/>
      <c r="Q72" s="2"/>
      <c r="R72" s="2"/>
      <c r="S72" s="2"/>
      <c r="T72" s="2"/>
      <c r="AT72" s="435"/>
    </row>
    <row r="73" spans="2:60" ht="18.5" x14ac:dyDescent="0.45">
      <c r="B73" s="20" t="s">
        <v>554</v>
      </c>
      <c r="C73" s="260">
        <v>0.02</v>
      </c>
      <c r="D73" s="260">
        <v>0.115</v>
      </c>
      <c r="E73" s="257">
        <v>0.9</v>
      </c>
      <c r="F73" s="257">
        <v>0.7</v>
      </c>
      <c r="G73" s="257">
        <v>0.75</v>
      </c>
      <c r="H73" s="45" t="s">
        <v>144</v>
      </c>
      <c r="I73" s="730"/>
      <c r="J73" s="730"/>
      <c r="K73" s="730"/>
      <c r="L73" s="2"/>
      <c r="M73"/>
      <c r="N73"/>
      <c r="O73"/>
      <c r="P73"/>
      <c r="Q73" s="2"/>
      <c r="R73" s="2"/>
      <c r="S73" s="2"/>
      <c r="T73" s="2"/>
      <c r="AT73" s="436"/>
    </row>
    <row r="74" spans="2:60" x14ac:dyDescent="0.3">
      <c r="B74" s="20" t="s">
        <v>555</v>
      </c>
      <c r="C74" s="19"/>
      <c r="D74" s="19"/>
      <c r="E74" s="3"/>
      <c r="F74" s="3"/>
      <c r="G74" s="3"/>
      <c r="H74" s="3"/>
      <c r="I74" s="731"/>
      <c r="J74" s="731"/>
      <c r="K74" s="730"/>
      <c r="L74" s="2"/>
      <c r="M74"/>
      <c r="N74"/>
      <c r="O74"/>
      <c r="P74"/>
      <c r="Q74" s="2"/>
      <c r="R74" s="2"/>
      <c r="S74" s="2"/>
      <c r="T74" s="2"/>
    </row>
    <row r="75" spans="2:60" x14ac:dyDescent="0.3">
      <c r="B75" s="20" t="s">
        <v>556</v>
      </c>
      <c r="C75" s="19"/>
      <c r="D75" s="19"/>
      <c r="E75" s="3"/>
      <c r="F75" s="3"/>
      <c r="G75" s="3"/>
      <c r="H75" s="16"/>
      <c r="I75" s="731"/>
      <c r="J75" s="731"/>
      <c r="K75" s="730"/>
      <c r="L75"/>
      <c r="M75"/>
      <c r="N75"/>
      <c r="O75"/>
      <c r="P75"/>
      <c r="Q75" s="2"/>
      <c r="R75" s="2"/>
      <c r="S75" s="2"/>
      <c r="T75" s="2"/>
    </row>
    <row r="76" spans="2:60" x14ac:dyDescent="0.3">
      <c r="B76" s="20" t="s">
        <v>557</v>
      </c>
      <c r="C76" s="19"/>
      <c r="D76" s="19"/>
      <c r="E76" s="3"/>
      <c r="F76" s="3"/>
      <c r="G76" s="15"/>
      <c r="H76" s="17"/>
      <c r="I76" s="731"/>
      <c r="J76" s="731"/>
      <c r="K76" s="730"/>
      <c r="L76"/>
      <c r="M76"/>
      <c r="N76"/>
      <c r="O76"/>
      <c r="P76"/>
      <c r="Q76" s="2"/>
      <c r="R76" s="2"/>
      <c r="S76" s="2"/>
    </row>
    <row r="77" spans="2:60" x14ac:dyDescent="0.3">
      <c r="B77" s="20" t="s">
        <v>558</v>
      </c>
      <c r="C77" s="19"/>
      <c r="D77" s="19"/>
      <c r="E77" s="3"/>
      <c r="F77" s="3"/>
      <c r="G77" s="15"/>
      <c r="H77" s="17"/>
      <c r="I77" s="731"/>
      <c r="J77" s="731"/>
      <c r="K77" s="730"/>
      <c r="L77"/>
      <c r="M77"/>
      <c r="N77"/>
      <c r="O77"/>
      <c r="P77"/>
      <c r="R77" s="2"/>
      <c r="S77" s="2"/>
    </row>
    <row r="78" spans="2:60" x14ac:dyDescent="0.3">
      <c r="B78" s="20"/>
      <c r="C78" s="19"/>
      <c r="D78" s="19"/>
      <c r="E78" s="3"/>
      <c r="F78" s="3"/>
      <c r="G78" s="15"/>
      <c r="H78" s="17"/>
      <c r="I78" s="731"/>
      <c r="J78" s="731"/>
      <c r="K78" s="731"/>
      <c r="L78"/>
      <c r="M78"/>
      <c r="N78"/>
      <c r="O78"/>
      <c r="P78"/>
      <c r="R78" s="2"/>
      <c r="S78" s="2"/>
    </row>
    <row r="79" spans="2:60" x14ac:dyDescent="0.3">
      <c r="B79" s="1"/>
      <c r="C79" s="9"/>
      <c r="D79" s="9"/>
      <c r="E79" s="1"/>
      <c r="F79" s="1"/>
      <c r="G79" s="5"/>
      <c r="H79"/>
      <c r="I79"/>
      <c r="J79"/>
      <c r="K79" s="731"/>
      <c r="L79"/>
      <c r="M79"/>
      <c r="N79"/>
      <c r="O79"/>
      <c r="P79"/>
      <c r="S79" s="2"/>
    </row>
    <row r="80" spans="2:60" x14ac:dyDescent="0.3">
      <c r="B80" s="1" t="s">
        <v>559</v>
      </c>
      <c r="C80" s="9"/>
      <c r="D80" s="9"/>
      <c r="E80" s="5"/>
      <c r="F80" s="5"/>
      <c r="G80" s="5"/>
      <c r="H80"/>
      <c r="I80"/>
      <c r="J80"/>
      <c r="K80" s="731"/>
      <c r="L80"/>
      <c r="M80"/>
      <c r="N80"/>
      <c r="O80"/>
      <c r="P80"/>
      <c r="S80" s="2"/>
    </row>
    <row r="81" spans="2:16" x14ac:dyDescent="0.3">
      <c r="B81" s="30"/>
      <c r="C81" s="30" t="s">
        <v>145</v>
      </c>
      <c r="D81" s="31" t="s">
        <v>560</v>
      </c>
      <c r="E81" s="31" t="s">
        <v>561</v>
      </c>
      <c r="F81" s="5"/>
      <c r="G81" s="1"/>
      <c r="H81"/>
      <c r="I81"/>
      <c r="J81"/>
      <c r="K81" s="731"/>
      <c r="L81"/>
      <c r="M81"/>
      <c r="N81"/>
      <c r="O81"/>
      <c r="P81"/>
    </row>
    <row r="82" spans="2:16" x14ac:dyDescent="0.3">
      <c r="B82" s="3" t="s">
        <v>562</v>
      </c>
      <c r="C82" s="7">
        <v>0</v>
      </c>
      <c r="D82" s="6">
        <v>0.12</v>
      </c>
      <c r="E82" s="6">
        <v>0.2</v>
      </c>
      <c r="F82" s="5"/>
      <c r="G82" s="1"/>
      <c r="H82"/>
      <c r="I82"/>
      <c r="J82"/>
      <c r="K82" s="731"/>
      <c r="L82"/>
      <c r="M82"/>
      <c r="N82"/>
      <c r="O82"/>
      <c r="P82"/>
    </row>
    <row r="83" spans="2:16" x14ac:dyDescent="0.3">
      <c r="B83" s="3" t="s">
        <v>153</v>
      </c>
      <c r="C83" s="7">
        <v>0</v>
      </c>
      <c r="D83" s="6">
        <v>0.16</v>
      </c>
      <c r="E83" s="6">
        <v>0</v>
      </c>
      <c r="F83" s="5"/>
      <c r="G83" s="1"/>
      <c r="H83"/>
      <c r="I83"/>
      <c r="J83"/>
      <c r="K83" s="731"/>
      <c r="L83"/>
      <c r="M83"/>
      <c r="N83"/>
      <c r="O83"/>
      <c r="P83"/>
    </row>
    <row r="84" spans="2:16" x14ac:dyDescent="0.3">
      <c r="B84" s="3" t="s">
        <v>563</v>
      </c>
      <c r="C84" s="7">
        <v>0</v>
      </c>
      <c r="D84" s="6">
        <v>0.12</v>
      </c>
      <c r="E84" s="6">
        <v>0.3</v>
      </c>
      <c r="F84" s="5"/>
      <c r="G84" s="5"/>
      <c r="H84"/>
      <c r="I84"/>
      <c r="J84"/>
      <c r="K84"/>
      <c r="L84"/>
      <c r="M84"/>
      <c r="N84"/>
      <c r="O84"/>
      <c r="P84"/>
    </row>
    <row r="85" spans="2:16" x14ac:dyDescent="0.3">
      <c r="B85" s="3" t="s">
        <v>564</v>
      </c>
      <c r="C85" s="7">
        <v>0</v>
      </c>
      <c r="D85" s="663">
        <v>0.18</v>
      </c>
      <c r="E85" s="6">
        <v>0</v>
      </c>
      <c r="F85" s="5" t="s">
        <v>565</v>
      </c>
      <c r="G85" s="5"/>
      <c r="H85"/>
      <c r="I85"/>
      <c r="J85"/>
      <c r="K85"/>
      <c r="L85"/>
      <c r="M85"/>
      <c r="N85"/>
      <c r="O85"/>
      <c r="P85"/>
    </row>
    <row r="86" spans="2:16" x14ac:dyDescent="0.3">
      <c r="B86" s="3" t="s">
        <v>566</v>
      </c>
      <c r="C86" s="7">
        <v>0</v>
      </c>
      <c r="D86" s="6">
        <v>0.12</v>
      </c>
      <c r="E86" s="6">
        <v>0.2</v>
      </c>
      <c r="F86" s="5"/>
      <c r="G86" s="5"/>
      <c r="H86"/>
      <c r="I86"/>
      <c r="J86"/>
      <c r="K86"/>
      <c r="L86"/>
      <c r="M86"/>
      <c r="N86"/>
      <c r="O86"/>
      <c r="P86"/>
    </row>
    <row r="87" spans="2:16" x14ac:dyDescent="0.3">
      <c r="B87" s="3" t="s">
        <v>567</v>
      </c>
      <c r="C87" s="7">
        <v>0</v>
      </c>
      <c r="D87" s="6">
        <v>0.2</v>
      </c>
      <c r="E87" s="6">
        <v>0</v>
      </c>
      <c r="F87" s="5"/>
      <c r="G87" s="5"/>
      <c r="H87"/>
      <c r="I87"/>
      <c r="J87"/>
      <c r="K87"/>
      <c r="L87"/>
      <c r="M87"/>
      <c r="N87"/>
      <c r="O87"/>
      <c r="P87"/>
    </row>
    <row r="88" spans="2:16" x14ac:dyDescent="0.3">
      <c r="B88" s="3" t="s">
        <v>568</v>
      </c>
      <c r="C88" s="7"/>
      <c r="D88" s="6">
        <v>0</v>
      </c>
      <c r="E88" s="6">
        <v>0.5</v>
      </c>
      <c r="F88" s="5"/>
      <c r="G88" s="5"/>
      <c r="H88"/>
      <c r="I88"/>
      <c r="J88"/>
      <c r="K88"/>
      <c r="L88"/>
      <c r="M88"/>
      <c r="N88"/>
      <c r="O88"/>
      <c r="P88"/>
    </row>
    <row r="89" spans="2:16" x14ac:dyDescent="0.3">
      <c r="B89" s="3" t="s">
        <v>569</v>
      </c>
      <c r="C89" s="7"/>
      <c r="D89" s="6">
        <v>0.2</v>
      </c>
      <c r="E89" s="6">
        <v>0</v>
      </c>
      <c r="F89" s="5"/>
      <c r="G89" s="2"/>
      <c r="H89"/>
      <c r="I89"/>
      <c r="J89"/>
      <c r="K89"/>
      <c r="L89"/>
      <c r="M89"/>
      <c r="N89"/>
      <c r="O89"/>
      <c r="P89"/>
    </row>
    <row r="90" spans="2:16" x14ac:dyDescent="0.3">
      <c r="B90" s="3" t="s">
        <v>235</v>
      </c>
      <c r="C90" s="7"/>
      <c r="D90" s="6">
        <v>0</v>
      </c>
      <c r="E90" s="6">
        <v>0</v>
      </c>
      <c r="F90" s="5"/>
      <c r="G90" s="2"/>
      <c r="H90"/>
      <c r="I90"/>
      <c r="J90"/>
      <c r="K90"/>
      <c r="L90"/>
      <c r="M90"/>
      <c r="N90"/>
      <c r="O90"/>
      <c r="P90"/>
    </row>
    <row r="91" spans="2:16" x14ac:dyDescent="0.3">
      <c r="B91" s="3"/>
      <c r="C91" s="3"/>
      <c r="D91" s="3"/>
      <c r="E91" s="3"/>
      <c r="F91" s="2"/>
      <c r="G91" s="5"/>
      <c r="H91"/>
      <c r="I91"/>
      <c r="J91"/>
      <c r="K91"/>
      <c r="L91"/>
      <c r="M91"/>
      <c r="N91"/>
      <c r="O91"/>
      <c r="P91"/>
    </row>
    <row r="92" spans="2:16" x14ac:dyDescent="0.3">
      <c r="B92" s="3"/>
      <c r="C92" s="3"/>
      <c r="D92" s="3"/>
      <c r="E92" s="3"/>
      <c r="F92" s="2"/>
      <c r="G92" s="5"/>
      <c r="H92"/>
      <c r="I92"/>
      <c r="J92"/>
      <c r="K92"/>
      <c r="L92"/>
      <c r="M92"/>
      <c r="N92"/>
      <c r="O92"/>
      <c r="P92"/>
    </row>
    <row r="93" spans="2:16" x14ac:dyDescent="0.3">
      <c r="B93" s="3"/>
      <c r="C93" s="3"/>
      <c r="D93" s="3"/>
      <c r="E93" s="3"/>
      <c r="F93" s="5"/>
      <c r="G93" s="5"/>
      <c r="H93"/>
      <c r="I93"/>
      <c r="J93"/>
      <c r="K93"/>
      <c r="L93"/>
      <c r="M93"/>
      <c r="N93"/>
      <c r="O93"/>
      <c r="P93"/>
    </row>
    <row r="94" spans="2:16" x14ac:dyDescent="0.3">
      <c r="B94" s="3"/>
      <c r="C94" s="3"/>
      <c r="D94" s="3"/>
      <c r="E94" s="3"/>
      <c r="F94" s="5"/>
      <c r="G94" s="5"/>
      <c r="H94"/>
      <c r="I94"/>
      <c r="J94"/>
      <c r="K94"/>
      <c r="L94"/>
      <c r="M94"/>
      <c r="N94"/>
      <c r="O94"/>
      <c r="P94"/>
    </row>
    <row r="95" spans="2:16" x14ac:dyDescent="0.3">
      <c r="B95" s="3"/>
      <c r="C95" s="3"/>
      <c r="D95" s="3"/>
      <c r="E95" s="3"/>
      <c r="F95" s="5"/>
      <c r="G95" s="1"/>
      <c r="H95"/>
      <c r="I95"/>
      <c r="J95"/>
      <c r="K95"/>
      <c r="L95"/>
      <c r="M95"/>
      <c r="N95"/>
      <c r="O95"/>
      <c r="P95"/>
    </row>
    <row r="96" spans="2:16" x14ac:dyDescent="0.3">
      <c r="B96" s="3"/>
      <c r="C96" s="3"/>
      <c r="D96" s="3"/>
      <c r="E96" s="3"/>
      <c r="F96" s="5"/>
      <c r="G96" s="1"/>
      <c r="H96"/>
      <c r="I96"/>
      <c r="J96"/>
      <c r="K96"/>
      <c r="L96"/>
      <c r="M96"/>
      <c r="N96"/>
      <c r="O96"/>
      <c r="P96"/>
    </row>
    <row r="97" spans="2:16" x14ac:dyDescent="0.3">
      <c r="B97" s="1"/>
      <c r="C97" s="1"/>
      <c r="D97" s="1"/>
      <c r="E97" s="5"/>
      <c r="F97" s="5"/>
      <c r="G97" s="2"/>
      <c r="H97"/>
      <c r="I97"/>
      <c r="J97"/>
      <c r="K97"/>
      <c r="L97"/>
      <c r="M97"/>
      <c r="N97"/>
      <c r="O97"/>
      <c r="P97"/>
    </row>
    <row r="98" spans="2:16" x14ac:dyDescent="0.3">
      <c r="B98" s="1"/>
      <c r="C98" s="1"/>
      <c r="D98" s="1"/>
      <c r="E98" s="5"/>
      <c r="F98" s="5"/>
      <c r="G98" s="2"/>
      <c r="H98"/>
      <c r="I98"/>
      <c r="J98"/>
      <c r="K98"/>
      <c r="L98"/>
      <c r="M98"/>
      <c r="N98"/>
      <c r="O98"/>
      <c r="P98"/>
    </row>
    <row r="99" spans="2:16" x14ac:dyDescent="0.3">
      <c r="B99" s="2" t="s">
        <v>570</v>
      </c>
      <c r="C99" s="2"/>
      <c r="D99" s="2"/>
      <c r="E99" s="10"/>
      <c r="F99" s="10"/>
      <c r="G99" s="2"/>
      <c r="H99"/>
      <c r="I99"/>
      <c r="J99"/>
      <c r="K99"/>
      <c r="L99"/>
      <c r="M99"/>
      <c r="N99"/>
      <c r="O99"/>
      <c r="P99"/>
    </row>
    <row r="100" spans="2:16" x14ac:dyDescent="0.3">
      <c r="B100" s="11"/>
      <c r="C100" s="12" t="s">
        <v>571</v>
      </c>
      <c r="D100" s="2"/>
      <c r="E100" s="2"/>
      <c r="F100" s="2"/>
      <c r="G100" s="2"/>
      <c r="H100"/>
      <c r="I100"/>
      <c r="J100"/>
      <c r="K100"/>
      <c r="L100"/>
      <c r="M100"/>
      <c r="N100"/>
      <c r="O100"/>
      <c r="P100"/>
    </row>
    <row r="101" spans="2:16" x14ac:dyDescent="0.3">
      <c r="B101" s="11" t="s">
        <v>572</v>
      </c>
      <c r="C101" s="13">
        <v>5000</v>
      </c>
      <c r="D101" s="2"/>
      <c r="E101" s="2"/>
      <c r="F101" s="2"/>
      <c r="G101" s="2"/>
      <c r="H101"/>
      <c r="I101"/>
      <c r="J101"/>
      <c r="K101"/>
      <c r="L101"/>
      <c r="M101"/>
      <c r="N101"/>
      <c r="O101"/>
      <c r="P101"/>
    </row>
    <row r="102" spans="2:16" x14ac:dyDescent="0.3">
      <c r="B102" s="11" t="s">
        <v>573</v>
      </c>
      <c r="C102" s="13">
        <v>1000</v>
      </c>
      <c r="D102" s="2"/>
      <c r="E102" s="2"/>
      <c r="F102" s="2"/>
      <c r="G102" s="2"/>
      <c r="H102"/>
      <c r="I102"/>
      <c r="J102"/>
      <c r="K102"/>
      <c r="L102"/>
      <c r="M102"/>
      <c r="N102"/>
      <c r="O102"/>
      <c r="P102"/>
    </row>
    <row r="103" spans="2:16" x14ac:dyDescent="0.3">
      <c r="B103" s="11" t="s">
        <v>69</v>
      </c>
      <c r="C103" s="13">
        <v>12000</v>
      </c>
      <c r="D103" s="2"/>
      <c r="E103" s="2"/>
      <c r="F103" s="2"/>
      <c r="G103" s="2"/>
      <c r="H103"/>
      <c r="I103"/>
      <c r="J103"/>
      <c r="K103"/>
      <c r="L103"/>
      <c r="M103"/>
      <c r="N103"/>
      <c r="O103"/>
      <c r="P103"/>
    </row>
    <row r="104" spans="2:16" x14ac:dyDescent="0.3">
      <c r="B104" s="11"/>
      <c r="C104" s="14"/>
      <c r="D104" s="2"/>
      <c r="E104" s="2"/>
      <c r="F104" s="2"/>
      <c r="G104" s="2"/>
      <c r="H104"/>
      <c r="I104"/>
      <c r="J104"/>
      <c r="K104"/>
      <c r="L104"/>
      <c r="M104"/>
      <c r="N104"/>
      <c r="O104"/>
      <c r="P104"/>
    </row>
    <row r="105" spans="2:16" x14ac:dyDescent="0.3">
      <c r="B105" s="11"/>
      <c r="C105" s="14"/>
      <c r="D105" s="2"/>
      <c r="E105" s="2"/>
      <c r="F105" s="2"/>
      <c r="G105" s="2"/>
      <c r="H105"/>
      <c r="I105"/>
      <c r="J105"/>
      <c r="K105"/>
      <c r="L105"/>
      <c r="M105"/>
      <c r="N105"/>
      <c r="O105"/>
      <c r="P105"/>
    </row>
    <row r="106" spans="2:16" x14ac:dyDescent="0.3">
      <c r="B106" s="11"/>
      <c r="C106" s="14"/>
      <c r="D106" s="2"/>
      <c r="E106" s="2"/>
      <c r="F106" s="2"/>
      <c r="G106" s="2"/>
      <c r="H106"/>
      <c r="I106"/>
      <c r="J106"/>
      <c r="K106"/>
      <c r="L106"/>
      <c r="M106"/>
      <c r="N106"/>
      <c r="O106"/>
      <c r="P106"/>
    </row>
    <row r="107" spans="2:16" x14ac:dyDescent="0.3">
      <c r="B107" s="35"/>
      <c r="C107" s="36"/>
      <c r="D107" s="2"/>
      <c r="E107" s="2"/>
      <c r="F107" s="2"/>
      <c r="G107" s="2"/>
      <c r="H107"/>
      <c r="I107"/>
      <c r="J107"/>
      <c r="K107"/>
      <c r="L107"/>
      <c r="M107"/>
      <c r="N107"/>
      <c r="O107"/>
      <c r="P107"/>
    </row>
    <row r="108" spans="2:16" x14ac:dyDescent="0.3">
      <c r="B108" s="37" t="s">
        <v>144</v>
      </c>
      <c r="C108" s="37" t="s">
        <v>536</v>
      </c>
      <c r="D108" s="38">
        <v>5000</v>
      </c>
      <c r="E108"/>
      <c r="F108"/>
      <c r="G108"/>
      <c r="H108"/>
      <c r="I108"/>
      <c r="J108"/>
      <c r="K108"/>
      <c r="L108"/>
      <c r="M108"/>
      <c r="N108"/>
      <c r="O108"/>
      <c r="P108"/>
    </row>
    <row r="109" spans="2:16" x14ac:dyDescent="0.3">
      <c r="B109" s="27" t="s">
        <v>132</v>
      </c>
      <c r="C109" s="37" t="s">
        <v>536</v>
      </c>
      <c r="D109" s="38">
        <v>0</v>
      </c>
      <c r="E109"/>
      <c r="F109"/>
      <c r="G109"/>
      <c r="H109"/>
      <c r="I109"/>
      <c r="J109"/>
      <c r="K109"/>
      <c r="L109"/>
      <c r="M109"/>
      <c r="N109"/>
      <c r="O109"/>
      <c r="P109"/>
    </row>
    <row r="110" spans="2:16" x14ac:dyDescent="0.3">
      <c r="B110" s="17" t="s">
        <v>144</v>
      </c>
      <c r="C110" s="17" t="s">
        <v>131</v>
      </c>
      <c r="D110" s="39">
        <v>0</v>
      </c>
      <c r="E110"/>
      <c r="F110"/>
      <c r="G110"/>
      <c r="H110"/>
      <c r="I110"/>
      <c r="J110"/>
      <c r="K110"/>
      <c r="L110"/>
      <c r="M110"/>
      <c r="N110"/>
      <c r="O110"/>
      <c r="P110"/>
    </row>
    <row r="111" spans="2:16" x14ac:dyDescent="0.3">
      <c r="B111" s="17" t="s">
        <v>132</v>
      </c>
      <c r="C111" s="17" t="s">
        <v>574</v>
      </c>
      <c r="D111" s="18">
        <v>20000</v>
      </c>
      <c r="E111"/>
      <c r="F111"/>
      <c r="G111"/>
      <c r="H111"/>
      <c r="I111"/>
      <c r="J111"/>
      <c r="K111"/>
      <c r="L111"/>
      <c r="M111"/>
      <c r="N111"/>
      <c r="O111"/>
      <c r="P111"/>
    </row>
    <row r="112" spans="2:16" x14ac:dyDescent="0.3">
      <c r="B112" s="2"/>
      <c r="C112" s="2"/>
      <c r="D112" s="2"/>
      <c r="E112"/>
      <c r="F112"/>
      <c r="G112"/>
      <c r="H112"/>
      <c r="I112"/>
      <c r="J112"/>
      <c r="K112"/>
      <c r="L112"/>
      <c r="M112"/>
      <c r="N112"/>
      <c r="O112"/>
      <c r="P112"/>
    </row>
    <row r="113" spans="2:16" ht="43.5" x14ac:dyDescent="0.35">
      <c r="B113" s="28" t="s">
        <v>575</v>
      </c>
      <c r="C113" s="28" t="s">
        <v>576</v>
      </c>
      <c r="D113" s="29" t="s">
        <v>577</v>
      </c>
      <c r="E113" s="29" t="s">
        <v>578</v>
      </c>
      <c r="F113" s="34" t="s">
        <v>579</v>
      </c>
      <c r="G113" s="29" t="s">
        <v>580</v>
      </c>
      <c r="H113"/>
      <c r="I113"/>
      <c r="J113"/>
      <c r="K113"/>
      <c r="L113"/>
      <c r="M113"/>
      <c r="N113"/>
      <c r="O113"/>
      <c r="P113"/>
    </row>
    <row r="114" spans="2:16" ht="14.5" x14ac:dyDescent="0.3">
      <c r="B114" s="32" t="s">
        <v>581</v>
      </c>
      <c r="C114" s="21"/>
      <c r="D114" s="22">
        <v>0</v>
      </c>
      <c r="E114" s="22">
        <v>0</v>
      </c>
      <c r="F114" s="33">
        <f t="shared" ref="F114:F139" si="5">D114+E114</f>
        <v>0</v>
      </c>
      <c r="G114" s="22">
        <v>0</v>
      </c>
      <c r="H114"/>
      <c r="I114"/>
      <c r="J114"/>
      <c r="K114"/>
      <c r="L114"/>
      <c r="M114"/>
      <c r="N114"/>
      <c r="O114"/>
      <c r="P114"/>
    </row>
    <row r="115" spans="2:16" ht="14.5" x14ac:dyDescent="0.3">
      <c r="B115" s="32" t="s">
        <v>569</v>
      </c>
      <c r="C115" s="21"/>
      <c r="D115" s="22"/>
      <c r="E115" s="22"/>
      <c r="F115" s="33">
        <f t="shared" si="5"/>
        <v>0</v>
      </c>
      <c r="G115" s="22"/>
      <c r="H115"/>
      <c r="I115"/>
      <c r="J115"/>
      <c r="K115"/>
      <c r="L115"/>
      <c r="M115"/>
      <c r="N115"/>
      <c r="O115"/>
      <c r="P115"/>
    </row>
    <row r="116" spans="2:16" x14ac:dyDescent="0.3">
      <c r="B116" s="27" t="s">
        <v>582</v>
      </c>
      <c r="C116" s="24" t="s">
        <v>583</v>
      </c>
      <c r="D116" s="25">
        <v>2300</v>
      </c>
      <c r="E116" s="25">
        <v>1695</v>
      </c>
      <c r="F116" s="33">
        <f t="shared" si="5"/>
        <v>3995</v>
      </c>
      <c r="G116" s="25"/>
      <c r="H116"/>
      <c r="I116"/>
      <c r="J116"/>
      <c r="K116"/>
      <c r="L116"/>
      <c r="M116"/>
      <c r="N116"/>
      <c r="O116"/>
      <c r="P116"/>
    </row>
    <row r="117" spans="2:16" x14ac:dyDescent="0.3">
      <c r="B117" s="27" t="s">
        <v>584</v>
      </c>
      <c r="C117" s="24" t="s">
        <v>585</v>
      </c>
      <c r="D117" s="25"/>
      <c r="E117" s="25">
        <v>2968</v>
      </c>
      <c r="F117" s="33">
        <f t="shared" si="5"/>
        <v>2968</v>
      </c>
      <c r="G117" s="25"/>
      <c r="H117"/>
      <c r="I117"/>
      <c r="J117"/>
      <c r="K117"/>
      <c r="L117"/>
      <c r="M117"/>
      <c r="N117"/>
      <c r="O117"/>
      <c r="P117"/>
    </row>
    <row r="118" spans="2:16" x14ac:dyDescent="0.3">
      <c r="B118" s="27" t="s">
        <v>586</v>
      </c>
      <c r="C118" s="24" t="s">
        <v>587</v>
      </c>
      <c r="D118" s="25"/>
      <c r="E118" s="25">
        <v>1660</v>
      </c>
      <c r="F118" s="33">
        <f t="shared" si="5"/>
        <v>1660</v>
      </c>
      <c r="G118" s="25"/>
      <c r="H118"/>
      <c r="I118"/>
      <c r="J118"/>
      <c r="K118"/>
      <c r="L118"/>
      <c r="M118"/>
      <c r="N118"/>
      <c r="O118"/>
      <c r="P118"/>
    </row>
    <row r="119" spans="2:16" x14ac:dyDescent="0.3">
      <c r="B119" s="27" t="s">
        <v>588</v>
      </c>
      <c r="C119" s="24" t="s">
        <v>583</v>
      </c>
      <c r="D119" s="25">
        <v>950</v>
      </c>
      <c r="E119" s="25"/>
      <c r="F119" s="33">
        <f t="shared" si="5"/>
        <v>950</v>
      </c>
      <c r="G119" s="25">
        <v>350</v>
      </c>
      <c r="H119"/>
      <c r="I119"/>
      <c r="J119"/>
      <c r="K119"/>
      <c r="L119"/>
      <c r="M119"/>
      <c r="N119"/>
      <c r="O119"/>
      <c r="P119"/>
    </row>
    <row r="120" spans="2:16" x14ac:dyDescent="0.3">
      <c r="B120" s="27" t="s">
        <v>589</v>
      </c>
      <c r="C120" s="24" t="s">
        <v>583</v>
      </c>
      <c r="D120" s="25">
        <v>1700</v>
      </c>
      <c r="E120" s="25"/>
      <c r="F120" s="33">
        <f t="shared" si="5"/>
        <v>1700</v>
      </c>
      <c r="G120" s="25">
        <v>350</v>
      </c>
      <c r="H120"/>
      <c r="I120"/>
      <c r="J120"/>
      <c r="K120"/>
      <c r="L120"/>
      <c r="M120"/>
      <c r="N120"/>
      <c r="O120"/>
      <c r="P120"/>
    </row>
    <row r="121" spans="2:16" x14ac:dyDescent="0.3">
      <c r="B121" s="27" t="s">
        <v>590</v>
      </c>
      <c r="C121" s="24" t="s">
        <v>583</v>
      </c>
      <c r="D121" s="25">
        <v>2150</v>
      </c>
      <c r="E121" s="25"/>
      <c r="F121" s="33">
        <f t="shared" si="5"/>
        <v>2150</v>
      </c>
      <c r="G121" s="25"/>
      <c r="H121"/>
      <c r="I121"/>
      <c r="J121"/>
      <c r="K121"/>
      <c r="L121"/>
      <c r="M121"/>
      <c r="N121"/>
      <c r="O121"/>
      <c r="P121"/>
    </row>
    <row r="122" spans="2:16" x14ac:dyDescent="0.3">
      <c r="B122" s="27" t="s">
        <v>591</v>
      </c>
      <c r="C122" s="24" t="s">
        <v>583</v>
      </c>
      <c r="D122" s="25">
        <v>1650</v>
      </c>
      <c r="E122" s="25"/>
      <c r="F122" s="33">
        <f t="shared" si="5"/>
        <v>1650</v>
      </c>
      <c r="G122" s="25"/>
      <c r="H122"/>
      <c r="I122"/>
      <c r="J122"/>
      <c r="K122"/>
      <c r="L122"/>
      <c r="M122"/>
      <c r="N122"/>
      <c r="O122"/>
      <c r="P122"/>
    </row>
    <row r="123" spans="2:16" x14ac:dyDescent="0.3">
      <c r="B123" s="23" t="s">
        <v>592</v>
      </c>
      <c r="C123" s="24" t="s">
        <v>583</v>
      </c>
      <c r="D123" s="25">
        <v>816</v>
      </c>
      <c r="E123" s="25"/>
      <c r="F123" s="33">
        <f t="shared" si="5"/>
        <v>816</v>
      </c>
      <c r="G123" s="25">
        <v>159</v>
      </c>
      <c r="H123"/>
      <c r="I123"/>
      <c r="J123"/>
      <c r="K123"/>
      <c r="L123"/>
      <c r="M123"/>
      <c r="N123"/>
      <c r="O123"/>
      <c r="P123"/>
    </row>
    <row r="124" spans="2:16" x14ac:dyDescent="0.3">
      <c r="B124" s="23" t="s">
        <v>593</v>
      </c>
      <c r="C124" s="24" t="s">
        <v>583</v>
      </c>
      <c r="D124" s="25">
        <v>2577</v>
      </c>
      <c r="E124" s="25">
        <v>2120</v>
      </c>
      <c r="F124" s="33">
        <f t="shared" si="5"/>
        <v>4697</v>
      </c>
      <c r="G124" s="25"/>
      <c r="H124"/>
      <c r="I124"/>
      <c r="J124"/>
      <c r="K124"/>
      <c r="L124"/>
      <c r="M124"/>
      <c r="N124"/>
      <c r="O124"/>
      <c r="P124"/>
    </row>
    <row r="125" spans="2:16" x14ac:dyDescent="0.3">
      <c r="B125" s="23" t="s">
        <v>594</v>
      </c>
      <c r="C125" s="24" t="s">
        <v>583</v>
      </c>
      <c r="D125" s="25">
        <v>1782</v>
      </c>
      <c r="E125" s="25"/>
      <c r="F125" s="33">
        <f t="shared" si="5"/>
        <v>1782</v>
      </c>
      <c r="G125" s="25"/>
      <c r="H125"/>
      <c r="I125"/>
      <c r="J125"/>
      <c r="K125"/>
      <c r="L125"/>
      <c r="M125"/>
      <c r="N125"/>
      <c r="O125"/>
      <c r="P125"/>
    </row>
    <row r="126" spans="2:16" x14ac:dyDescent="0.3">
      <c r="B126" s="23" t="s">
        <v>595</v>
      </c>
      <c r="C126" s="24" t="s">
        <v>585</v>
      </c>
      <c r="D126" s="25">
        <v>2800</v>
      </c>
      <c r="E126" s="25">
        <v>652</v>
      </c>
      <c r="F126" s="33">
        <f t="shared" si="5"/>
        <v>3452</v>
      </c>
      <c r="G126" s="25"/>
      <c r="H126"/>
      <c r="I126"/>
      <c r="J126"/>
      <c r="K126"/>
      <c r="L126"/>
      <c r="M126"/>
      <c r="N126"/>
      <c r="O126"/>
      <c r="P126"/>
    </row>
    <row r="127" spans="2:16" x14ac:dyDescent="0.3">
      <c r="B127" s="23" t="s">
        <v>596</v>
      </c>
      <c r="C127" s="24" t="s">
        <v>585</v>
      </c>
      <c r="D127" s="25">
        <v>2400</v>
      </c>
      <c r="E127" s="25"/>
      <c r="F127" s="33">
        <f t="shared" si="5"/>
        <v>2400</v>
      </c>
      <c r="G127" s="25"/>
      <c r="H127"/>
      <c r="I127"/>
      <c r="J127"/>
      <c r="K127"/>
      <c r="L127"/>
      <c r="M127"/>
      <c r="N127"/>
      <c r="O127"/>
      <c r="P127"/>
    </row>
    <row r="128" spans="2:16" x14ac:dyDescent="0.3">
      <c r="B128" s="23" t="s">
        <v>597</v>
      </c>
      <c r="C128" s="24" t="s">
        <v>583</v>
      </c>
      <c r="D128" s="25">
        <v>1725</v>
      </c>
      <c r="E128" s="25">
        <v>1250</v>
      </c>
      <c r="F128" s="33">
        <f t="shared" si="5"/>
        <v>2975</v>
      </c>
      <c r="G128" s="25">
        <v>450</v>
      </c>
      <c r="H128"/>
      <c r="I128"/>
      <c r="J128"/>
      <c r="K128"/>
      <c r="L128"/>
      <c r="M128"/>
      <c r="N128"/>
      <c r="O128"/>
      <c r="P128"/>
    </row>
    <row r="129" spans="2:16" x14ac:dyDescent="0.3">
      <c r="B129" s="23" t="s">
        <v>598</v>
      </c>
      <c r="C129" s="24" t="s">
        <v>583</v>
      </c>
      <c r="D129" s="25">
        <v>1280</v>
      </c>
      <c r="E129" s="25">
        <v>3102</v>
      </c>
      <c r="F129" s="33">
        <f t="shared" si="5"/>
        <v>4382</v>
      </c>
      <c r="G129" s="25">
        <v>265</v>
      </c>
      <c r="H129"/>
      <c r="I129"/>
      <c r="J129"/>
      <c r="K129"/>
      <c r="L129"/>
      <c r="M129"/>
      <c r="N129"/>
      <c r="O129"/>
      <c r="P129"/>
    </row>
    <row r="130" spans="2:16" x14ac:dyDescent="0.3">
      <c r="B130" s="23" t="s">
        <v>599</v>
      </c>
      <c r="C130" s="24" t="s">
        <v>600</v>
      </c>
      <c r="D130" s="25">
        <v>4421</v>
      </c>
      <c r="E130" s="25">
        <v>1398</v>
      </c>
      <c r="F130" s="33">
        <f t="shared" si="5"/>
        <v>5819</v>
      </c>
      <c r="G130" s="25">
        <v>182</v>
      </c>
      <c r="H130"/>
      <c r="I130"/>
      <c r="J130"/>
      <c r="K130"/>
      <c r="L130"/>
      <c r="M130"/>
      <c r="N130"/>
      <c r="O130"/>
      <c r="P130"/>
    </row>
    <row r="131" spans="2:16" x14ac:dyDescent="0.3">
      <c r="B131" s="23" t="s">
        <v>601</v>
      </c>
      <c r="C131" s="24" t="s">
        <v>583</v>
      </c>
      <c r="D131" s="25">
        <v>2675</v>
      </c>
      <c r="E131" s="25"/>
      <c r="F131" s="33">
        <f t="shared" si="5"/>
        <v>2675</v>
      </c>
      <c r="G131" s="25">
        <v>730</v>
      </c>
      <c r="H131"/>
      <c r="I131"/>
      <c r="J131"/>
      <c r="K131"/>
      <c r="L131"/>
      <c r="M131"/>
      <c r="N131"/>
      <c r="O131"/>
      <c r="P131"/>
    </row>
    <row r="132" spans="2:16" x14ac:dyDescent="0.3">
      <c r="B132" s="23" t="s">
        <v>602</v>
      </c>
      <c r="C132" s="24" t="s">
        <v>583</v>
      </c>
      <c r="D132" s="25">
        <v>1300</v>
      </c>
      <c r="E132" s="25"/>
      <c r="F132" s="33">
        <f t="shared" si="5"/>
        <v>1300</v>
      </c>
      <c r="G132" s="25">
        <v>540</v>
      </c>
      <c r="H132"/>
      <c r="I132"/>
      <c r="J132"/>
      <c r="K132"/>
      <c r="L132"/>
      <c r="M132"/>
      <c r="N132"/>
      <c r="O132"/>
      <c r="P132"/>
    </row>
    <row r="133" spans="2:16" x14ac:dyDescent="0.3">
      <c r="B133" s="23" t="s">
        <v>603</v>
      </c>
      <c r="C133" s="24" t="s">
        <v>583</v>
      </c>
      <c r="D133" s="25">
        <v>1740</v>
      </c>
      <c r="E133" s="25">
        <v>1678</v>
      </c>
      <c r="F133" s="33">
        <f t="shared" si="5"/>
        <v>3418</v>
      </c>
      <c r="G133" s="25">
        <v>360</v>
      </c>
      <c r="H133"/>
      <c r="I133"/>
      <c r="J133"/>
      <c r="K133"/>
      <c r="L133"/>
      <c r="M133"/>
      <c r="N133"/>
      <c r="O133"/>
      <c r="P133"/>
    </row>
    <row r="134" spans="2:16" x14ac:dyDescent="0.3">
      <c r="B134" s="23" t="s">
        <v>604</v>
      </c>
      <c r="C134" s="24" t="s">
        <v>583</v>
      </c>
      <c r="D134" s="25">
        <v>1725</v>
      </c>
      <c r="E134" s="25">
        <v>1250</v>
      </c>
      <c r="F134" s="33">
        <f t="shared" si="5"/>
        <v>2975</v>
      </c>
      <c r="G134" s="25">
        <v>450</v>
      </c>
      <c r="H134"/>
      <c r="I134"/>
      <c r="J134"/>
      <c r="K134"/>
      <c r="L134"/>
      <c r="M134"/>
      <c r="N134"/>
      <c r="O134"/>
      <c r="P134"/>
    </row>
    <row r="135" spans="2:16" x14ac:dyDescent="0.3">
      <c r="B135" s="23" t="s">
        <v>605</v>
      </c>
      <c r="C135" s="24" t="s">
        <v>583</v>
      </c>
      <c r="D135" s="25">
        <v>1500</v>
      </c>
      <c r="E135" s="25"/>
      <c r="F135" s="33">
        <f t="shared" si="5"/>
        <v>1500</v>
      </c>
      <c r="G135" s="25">
        <v>150</v>
      </c>
      <c r="H135"/>
      <c r="I135"/>
      <c r="J135"/>
      <c r="K135"/>
      <c r="L135"/>
      <c r="M135"/>
      <c r="N135"/>
      <c r="O135"/>
      <c r="P135"/>
    </row>
    <row r="136" spans="2:16" x14ac:dyDescent="0.3">
      <c r="B136" s="23" t="s">
        <v>606</v>
      </c>
      <c r="C136" s="23"/>
      <c r="D136" s="25">
        <v>593</v>
      </c>
      <c r="E136" s="25"/>
      <c r="F136" s="33">
        <f t="shared" si="5"/>
        <v>593</v>
      </c>
      <c r="G136" s="25"/>
      <c r="H136"/>
      <c r="I136"/>
      <c r="J136"/>
      <c r="K136"/>
      <c r="L136"/>
      <c r="M136"/>
      <c r="N136"/>
      <c r="O136"/>
      <c r="P136"/>
    </row>
    <row r="137" spans="2:16" x14ac:dyDescent="0.3">
      <c r="B137" s="23" t="s">
        <v>108</v>
      </c>
      <c r="C137" s="23" t="s">
        <v>585</v>
      </c>
      <c r="D137" s="25">
        <v>4500</v>
      </c>
      <c r="E137" s="25">
        <v>1500</v>
      </c>
      <c r="F137" s="33">
        <f t="shared" si="5"/>
        <v>6000</v>
      </c>
      <c r="G137" s="25"/>
      <c r="H137"/>
      <c r="I137"/>
      <c r="J137"/>
      <c r="K137"/>
      <c r="L137"/>
      <c r="M137"/>
      <c r="N137"/>
      <c r="O137"/>
      <c r="P137"/>
    </row>
    <row r="138" spans="2:16" x14ac:dyDescent="0.3">
      <c r="B138" s="23" t="s">
        <v>607</v>
      </c>
      <c r="C138" s="23"/>
      <c r="D138" s="25"/>
      <c r="E138" s="25"/>
      <c r="F138" s="33"/>
      <c r="G138" s="25"/>
      <c r="H138"/>
      <c r="I138"/>
      <c r="J138"/>
      <c r="K138"/>
      <c r="L138"/>
      <c r="M138"/>
      <c r="N138"/>
      <c r="O138"/>
      <c r="P138"/>
    </row>
    <row r="139" spans="2:16" x14ac:dyDescent="0.3">
      <c r="B139" s="23" t="s">
        <v>608</v>
      </c>
      <c r="C139" s="23"/>
      <c r="D139" s="25">
        <v>2500</v>
      </c>
      <c r="E139" s="25"/>
      <c r="F139" s="33">
        <f t="shared" si="5"/>
        <v>2500</v>
      </c>
      <c r="G139" s="25"/>
      <c r="H139"/>
      <c r="I139"/>
      <c r="J139"/>
      <c r="K139"/>
      <c r="L139"/>
      <c r="M139"/>
      <c r="N139"/>
      <c r="O139"/>
      <c r="P139"/>
    </row>
    <row r="140" spans="2:16" x14ac:dyDescent="0.3">
      <c r="B140" s="26"/>
      <c r="C140" s="26"/>
      <c r="D140" s="741"/>
      <c r="E140" s="741"/>
      <c r="F140" s="742"/>
      <c r="G140" s="741"/>
      <c r="H140"/>
      <c r="I140"/>
      <c r="J140"/>
      <c r="K140"/>
      <c r="L140"/>
      <c r="M140"/>
      <c r="N140"/>
      <c r="O140"/>
      <c r="P140"/>
    </row>
    <row r="141" spans="2:16" x14ac:dyDescent="0.3">
      <c r="B141" s="26"/>
      <c r="C141" s="26"/>
      <c r="D141" s="741"/>
      <c r="E141" s="741"/>
      <c r="F141" s="742"/>
      <c r="G141" s="741"/>
      <c r="H141"/>
      <c r="I141"/>
      <c r="J141"/>
      <c r="K141"/>
      <c r="L141"/>
      <c r="M141"/>
      <c r="N141"/>
      <c r="O141"/>
      <c r="P141"/>
    </row>
    <row r="142" spans="2:16" x14ac:dyDescent="0.3">
      <c r="B142"/>
      <c r="C142"/>
      <c r="D142"/>
      <c r="E142"/>
      <c r="F142"/>
      <c r="G142" s="26"/>
      <c r="H142"/>
      <c r="I142"/>
      <c r="J142"/>
      <c r="K142"/>
      <c r="L142"/>
      <c r="M142"/>
      <c r="N142"/>
      <c r="O142"/>
      <c r="P142"/>
    </row>
    <row r="143" spans="2:16" ht="43.5" x14ac:dyDescent="0.35">
      <c r="B143" s="28" t="s">
        <v>575</v>
      </c>
      <c r="C143" s="29" t="s">
        <v>609</v>
      </c>
      <c r="D143" s="29" t="s">
        <v>610</v>
      </c>
      <c r="E143" s="34" t="s">
        <v>611</v>
      </c>
      <c r="F143"/>
      <c r="G143"/>
      <c r="H143"/>
      <c r="I143"/>
      <c r="J143"/>
      <c r="K143"/>
      <c r="L143"/>
      <c r="M143"/>
      <c r="N143"/>
      <c r="O143"/>
      <c r="P143"/>
    </row>
    <row r="144" spans="2:16" ht="14.5" x14ac:dyDescent="0.3">
      <c r="B144" s="32" t="s">
        <v>581</v>
      </c>
      <c r="C144" s="22">
        <v>0</v>
      </c>
      <c r="D144" s="22">
        <v>0</v>
      </c>
      <c r="E144" s="33">
        <f t="shared" ref="E144:E166" si="6">C144+D144</f>
        <v>0</v>
      </c>
      <c r="F144"/>
      <c r="G144"/>
      <c r="H144"/>
      <c r="I144"/>
      <c r="J144"/>
      <c r="K144"/>
      <c r="L144"/>
      <c r="M144"/>
      <c r="N144"/>
      <c r="O144"/>
      <c r="P144"/>
    </row>
    <row r="145" spans="2:16" ht="14.5" x14ac:dyDescent="0.3">
      <c r="B145" s="32" t="s">
        <v>569</v>
      </c>
      <c r="C145" s="22"/>
      <c r="D145" s="22"/>
      <c r="E145" s="33">
        <f t="shared" si="6"/>
        <v>0</v>
      </c>
      <c r="F145"/>
      <c r="G145"/>
      <c r="H145"/>
      <c r="I145"/>
      <c r="J145"/>
      <c r="K145"/>
      <c r="L145"/>
      <c r="M145"/>
      <c r="N145"/>
      <c r="O145"/>
      <c r="P145"/>
    </row>
    <row r="146" spans="2:16" x14ac:dyDescent="0.3">
      <c r="B146" s="23" t="s">
        <v>582</v>
      </c>
      <c r="C146" s="25"/>
      <c r="D146" s="25"/>
      <c r="E146" s="33">
        <f t="shared" si="6"/>
        <v>0</v>
      </c>
      <c r="F146"/>
      <c r="G146"/>
      <c r="H146"/>
      <c r="I146"/>
      <c r="J146"/>
      <c r="K146"/>
      <c r="L146"/>
      <c r="M146"/>
      <c r="N146"/>
      <c r="O146"/>
      <c r="P146"/>
    </row>
    <row r="147" spans="2:16" x14ac:dyDescent="0.3">
      <c r="B147" s="23" t="s">
        <v>584</v>
      </c>
      <c r="C147" s="25"/>
      <c r="D147" s="25"/>
      <c r="E147" s="33">
        <f t="shared" si="6"/>
        <v>0</v>
      </c>
      <c r="F147"/>
      <c r="G147"/>
      <c r="H147"/>
      <c r="I147"/>
      <c r="J147"/>
      <c r="K147"/>
      <c r="L147"/>
      <c r="M147"/>
      <c r="N147"/>
      <c r="O147"/>
      <c r="P147"/>
    </row>
    <row r="148" spans="2:16" x14ac:dyDescent="0.3">
      <c r="B148" s="23" t="s">
        <v>586</v>
      </c>
      <c r="C148" s="25"/>
      <c r="D148" s="25">
        <v>5691</v>
      </c>
      <c r="E148" s="33">
        <f t="shared" si="6"/>
        <v>5691</v>
      </c>
      <c r="F148"/>
      <c r="G148"/>
      <c r="H148"/>
      <c r="I148"/>
      <c r="J148"/>
      <c r="K148"/>
      <c r="L148"/>
      <c r="M148"/>
      <c r="N148"/>
      <c r="O148"/>
      <c r="P148"/>
    </row>
    <row r="149" spans="2:16" x14ac:dyDescent="0.3">
      <c r="B149" s="23" t="s">
        <v>588</v>
      </c>
      <c r="C149" s="25"/>
      <c r="D149" s="25"/>
      <c r="E149" s="33">
        <f t="shared" si="6"/>
        <v>0</v>
      </c>
      <c r="F149"/>
      <c r="G149"/>
      <c r="H149"/>
      <c r="I149"/>
      <c r="J149"/>
      <c r="K149"/>
      <c r="L149"/>
      <c r="M149"/>
      <c r="N149"/>
      <c r="O149"/>
      <c r="P149"/>
    </row>
    <row r="150" spans="2:16" x14ac:dyDescent="0.3">
      <c r="B150" s="23" t="s">
        <v>589</v>
      </c>
      <c r="C150" s="25"/>
      <c r="D150" s="25"/>
      <c r="E150" s="33">
        <f t="shared" si="6"/>
        <v>0</v>
      </c>
      <c r="F150"/>
      <c r="G150"/>
      <c r="H150"/>
      <c r="I150"/>
      <c r="J150"/>
      <c r="K150"/>
      <c r="L150"/>
      <c r="M150"/>
      <c r="N150"/>
      <c r="O150"/>
      <c r="P150"/>
    </row>
    <row r="151" spans="2:16" x14ac:dyDescent="0.3">
      <c r="B151" s="23" t="s">
        <v>590</v>
      </c>
      <c r="C151" s="25"/>
      <c r="D151" s="25"/>
      <c r="E151" s="33">
        <f t="shared" si="6"/>
        <v>0</v>
      </c>
      <c r="F151"/>
      <c r="G151"/>
      <c r="H151"/>
      <c r="I151"/>
      <c r="J151"/>
      <c r="K151"/>
      <c r="L151"/>
      <c r="M151"/>
      <c r="N151"/>
      <c r="O151"/>
      <c r="P151"/>
    </row>
    <row r="152" spans="2:16" x14ac:dyDescent="0.3">
      <c r="B152" s="23" t="s">
        <v>591</v>
      </c>
      <c r="C152" s="25"/>
      <c r="D152" s="25"/>
      <c r="E152" s="33">
        <f t="shared" si="6"/>
        <v>0</v>
      </c>
      <c r="F152"/>
      <c r="G152"/>
      <c r="H152"/>
      <c r="I152"/>
      <c r="J152"/>
      <c r="K152"/>
      <c r="L152"/>
      <c r="M152"/>
      <c r="N152"/>
      <c r="O152"/>
      <c r="P152"/>
    </row>
    <row r="153" spans="2:16" x14ac:dyDescent="0.3">
      <c r="B153" s="23" t="s">
        <v>592</v>
      </c>
      <c r="C153" s="25">
        <v>2861</v>
      </c>
      <c r="D153" s="25"/>
      <c r="E153" s="33">
        <f t="shared" si="6"/>
        <v>2861</v>
      </c>
      <c r="F153"/>
      <c r="G153"/>
      <c r="H153"/>
      <c r="I153"/>
      <c r="J153"/>
      <c r="K153"/>
      <c r="L153"/>
      <c r="M153"/>
      <c r="N153"/>
      <c r="O153"/>
      <c r="P153"/>
    </row>
    <row r="154" spans="2:16" x14ac:dyDescent="0.3">
      <c r="B154" s="23" t="s">
        <v>593</v>
      </c>
      <c r="C154" s="25">
        <v>1380</v>
      </c>
      <c r="D154" s="25">
        <v>2412</v>
      </c>
      <c r="E154" s="33">
        <f t="shared" si="6"/>
        <v>3792</v>
      </c>
      <c r="F154"/>
      <c r="G154"/>
      <c r="H154"/>
      <c r="I154"/>
      <c r="J154"/>
      <c r="K154"/>
      <c r="L154"/>
      <c r="M154"/>
      <c r="N154"/>
      <c r="O154"/>
      <c r="P154"/>
    </row>
    <row r="155" spans="2:16" x14ac:dyDescent="0.3">
      <c r="B155" s="23" t="s">
        <v>594</v>
      </c>
      <c r="C155" s="25">
        <v>1516</v>
      </c>
      <c r="D155" s="25"/>
      <c r="E155" s="33">
        <f t="shared" si="6"/>
        <v>1516</v>
      </c>
      <c r="F155"/>
      <c r="G155"/>
      <c r="H155"/>
      <c r="I155"/>
      <c r="J155"/>
      <c r="K155"/>
      <c r="L155"/>
      <c r="M155"/>
      <c r="N155"/>
      <c r="O155"/>
      <c r="P155"/>
    </row>
    <row r="156" spans="2:16" x14ac:dyDescent="0.3">
      <c r="B156" s="23" t="s">
        <v>595</v>
      </c>
      <c r="C156" s="25">
        <v>2100</v>
      </c>
      <c r="D156" s="25">
        <v>2705</v>
      </c>
      <c r="E156" s="33">
        <f t="shared" si="6"/>
        <v>4805</v>
      </c>
      <c r="F156"/>
      <c r="G156"/>
      <c r="H156"/>
      <c r="I156"/>
      <c r="J156"/>
      <c r="K156"/>
      <c r="L156"/>
      <c r="M156"/>
      <c r="N156"/>
      <c r="O156"/>
      <c r="P156"/>
    </row>
    <row r="157" spans="2:16" x14ac:dyDescent="0.3">
      <c r="B157" s="23" t="s">
        <v>596</v>
      </c>
      <c r="C157" s="25">
        <v>3800</v>
      </c>
      <c r="D157" s="25"/>
      <c r="E157" s="33">
        <f t="shared" si="6"/>
        <v>3800</v>
      </c>
      <c r="F157"/>
      <c r="G157"/>
      <c r="H157"/>
      <c r="I157"/>
      <c r="J157"/>
      <c r="K157"/>
      <c r="L157"/>
      <c r="M157"/>
      <c r="N157"/>
      <c r="O157"/>
      <c r="P157"/>
    </row>
    <row r="158" spans="2:16" x14ac:dyDescent="0.3">
      <c r="B158" s="23" t="s">
        <v>597</v>
      </c>
      <c r="C158" s="25">
        <v>2000</v>
      </c>
      <c r="D158" s="25"/>
      <c r="E158" s="33">
        <f t="shared" si="6"/>
        <v>2000</v>
      </c>
      <c r="F158"/>
      <c r="G158"/>
      <c r="H158"/>
      <c r="I158"/>
      <c r="J158"/>
      <c r="K158"/>
      <c r="L158"/>
      <c r="M158"/>
      <c r="N158"/>
      <c r="O158"/>
      <c r="P158"/>
    </row>
    <row r="159" spans="2:16" x14ac:dyDescent="0.3">
      <c r="B159" s="23" t="s">
        <v>598</v>
      </c>
      <c r="C159" s="25">
        <v>3000</v>
      </c>
      <c r="D159" s="25">
        <v>1621</v>
      </c>
      <c r="E159" s="33">
        <f t="shared" si="6"/>
        <v>4621</v>
      </c>
      <c r="F159"/>
      <c r="G159"/>
      <c r="H159"/>
      <c r="I159"/>
      <c r="J159"/>
      <c r="K159"/>
      <c r="L159"/>
      <c r="M159"/>
      <c r="N159"/>
      <c r="O159"/>
      <c r="P159"/>
    </row>
    <row r="160" spans="2:16" x14ac:dyDescent="0.3">
      <c r="B160" s="23" t="s">
        <v>599</v>
      </c>
      <c r="C160" s="25">
        <v>6132</v>
      </c>
      <c r="D160" s="25">
        <v>5389</v>
      </c>
      <c r="E160" s="33">
        <f t="shared" si="6"/>
        <v>11521</v>
      </c>
      <c r="F160"/>
      <c r="G160"/>
      <c r="H160"/>
      <c r="I160"/>
      <c r="J160"/>
      <c r="K160"/>
      <c r="L160"/>
      <c r="M160"/>
      <c r="N160"/>
      <c r="O160"/>
      <c r="P160"/>
    </row>
    <row r="161" spans="2:16" x14ac:dyDescent="0.3">
      <c r="B161" s="23" t="s">
        <v>601</v>
      </c>
      <c r="C161" s="25">
        <v>1975</v>
      </c>
      <c r="D161" s="25"/>
      <c r="E161" s="33">
        <f t="shared" si="6"/>
        <v>1975</v>
      </c>
      <c r="F161"/>
      <c r="G161" s="46"/>
      <c r="H161"/>
      <c r="I161"/>
      <c r="J161"/>
      <c r="K161"/>
      <c r="L161"/>
      <c r="M161"/>
      <c r="N161"/>
      <c r="O161"/>
      <c r="P161"/>
    </row>
    <row r="162" spans="2:16" x14ac:dyDescent="0.3">
      <c r="B162" s="23" t="s">
        <v>602</v>
      </c>
      <c r="C162" s="25">
        <v>1250</v>
      </c>
      <c r="D162" s="25"/>
      <c r="E162" s="33">
        <f t="shared" si="6"/>
        <v>1250</v>
      </c>
      <c r="F162"/>
      <c r="G162"/>
      <c r="H162"/>
      <c r="I162"/>
      <c r="J162"/>
      <c r="K162"/>
      <c r="L162"/>
    </row>
    <row r="163" spans="2:16" x14ac:dyDescent="0.3">
      <c r="B163" s="23" t="s">
        <v>603</v>
      </c>
      <c r="C163" s="25">
        <v>3080</v>
      </c>
      <c r="D163" s="25">
        <v>6412</v>
      </c>
      <c r="E163" s="33">
        <f t="shared" si="6"/>
        <v>9492</v>
      </c>
      <c r="F163"/>
      <c r="G163"/>
      <c r="H163"/>
      <c r="I163"/>
      <c r="J163"/>
      <c r="K163"/>
      <c r="L163"/>
    </row>
    <row r="164" spans="2:16" x14ac:dyDescent="0.3">
      <c r="B164" s="23" t="s">
        <v>604</v>
      </c>
      <c r="C164" s="25">
        <v>1500</v>
      </c>
      <c r="D164" s="25">
        <v>2000</v>
      </c>
      <c r="E164" s="33">
        <f t="shared" si="6"/>
        <v>3500</v>
      </c>
      <c r="F164"/>
      <c r="G164"/>
      <c r="H164"/>
      <c r="I164"/>
      <c r="J164"/>
      <c r="K164"/>
    </row>
    <row r="165" spans="2:16" x14ac:dyDescent="0.3">
      <c r="B165" s="23" t="s">
        <v>605</v>
      </c>
      <c r="C165" s="25">
        <v>2230</v>
      </c>
      <c r="D165" s="25"/>
      <c r="E165" s="33">
        <f t="shared" si="6"/>
        <v>2230</v>
      </c>
      <c r="F165"/>
      <c r="G165"/>
      <c r="K165"/>
    </row>
    <row r="166" spans="2:16" x14ac:dyDescent="0.3">
      <c r="B166" s="23" t="s">
        <v>606</v>
      </c>
      <c r="C166" s="25"/>
      <c r="D166" s="25"/>
      <c r="E166" s="33">
        <f t="shared" si="6"/>
        <v>0</v>
      </c>
      <c r="F166"/>
      <c r="G166"/>
      <c r="K166"/>
    </row>
    <row r="167" spans="2:16" x14ac:dyDescent="0.3">
      <c r="B167" s="23" t="s">
        <v>108</v>
      </c>
      <c r="C167" s="25">
        <v>1500</v>
      </c>
      <c r="D167" s="25"/>
      <c r="E167" s="33">
        <f t="shared" ref="E167:E168" si="7">C167+D167</f>
        <v>1500</v>
      </c>
      <c r="K167"/>
    </row>
    <row r="168" spans="2:16" x14ac:dyDescent="0.3">
      <c r="B168" s="23" t="s">
        <v>608</v>
      </c>
      <c r="C168" s="25">
        <v>1500</v>
      </c>
      <c r="D168" s="25"/>
      <c r="E168" s="33">
        <f t="shared" si="7"/>
        <v>1500</v>
      </c>
      <c r="K168"/>
    </row>
  </sheetData>
  <mergeCells count="1">
    <mergeCell ref="U2:AR2"/>
  </mergeCells>
  <phoneticPr fontId="13" type="noConversion"/>
  <hyperlinks>
    <hyperlink ref="N5" r:id="rId1" xr:uid="{7A0E0BB1-ABC7-492D-AC62-906822F14563}"/>
    <hyperlink ref="N6" r:id="rId2" xr:uid="{B5C1B663-02D2-4CEE-A144-965B1D0FE199}"/>
    <hyperlink ref="N7" r:id="rId3" xr:uid="{18E1E456-8B07-4AFA-80B2-F2E5372A80F2}"/>
    <hyperlink ref="N8" r:id="rId4" xr:uid="{F714A00F-048C-4236-8B3A-4D794160548E}"/>
    <hyperlink ref="N9" r:id="rId5" xr:uid="{E41B3635-8F47-4B98-8790-02D50491E4DD}"/>
    <hyperlink ref="N10" r:id="rId6" xr:uid="{8D5D466A-78F3-407D-854A-03A40EAC7AE5}"/>
    <hyperlink ref="N11" r:id="rId7" xr:uid="{05CE6C50-2249-428D-956F-3B0B99F2E6FF}"/>
    <hyperlink ref="N14" r:id="rId8" xr:uid="{CFB52760-F9D6-4ACB-955B-C81E36023E87}"/>
    <hyperlink ref="N12" r:id="rId9" xr:uid="{66B7336E-974A-4144-8116-AADD0B2F4E7C}"/>
    <hyperlink ref="N13" r:id="rId10" xr:uid="{1C7DFDF5-59AC-4AC3-9325-2E2692135BF6}"/>
    <hyperlink ref="N15" r:id="rId11" xr:uid="{FAD4F713-F675-4116-9CDD-0803C98B3EB4}"/>
    <hyperlink ref="N16" r:id="rId12" xr:uid="{B95C291B-7399-4B25-9832-4353D6006DFA}"/>
    <hyperlink ref="N17" r:id="rId13" xr:uid="{66ED2BF3-6227-4507-A857-D659168D3B88}"/>
    <hyperlink ref="N18" r:id="rId14" xr:uid="{D88E0470-13FB-47F2-8A72-08E69FB69D3F}"/>
    <hyperlink ref="N19" r:id="rId15" xr:uid="{C3B1D55A-F633-40FB-A352-ED8785603ED8}"/>
    <hyperlink ref="N20" r:id="rId16" xr:uid="{808277D6-2A8B-46CF-8241-C737171B1E47}"/>
    <hyperlink ref="N21" r:id="rId17" xr:uid="{81E9DBDF-6A12-49EA-BEA4-C9C4D23B666A}"/>
    <hyperlink ref="N22" r:id="rId18" xr:uid="{3F4BB8B1-ECE2-4A7B-AA4E-B2417A55742D}"/>
    <hyperlink ref="N35" r:id="rId19" xr:uid="{46965046-6CC2-44FA-B981-4AA0C6DEEB9C}"/>
    <hyperlink ref="N24" r:id="rId20" xr:uid="{F99DAC2F-B444-4671-9CD3-343536E51066}"/>
    <hyperlink ref="N25" r:id="rId21" xr:uid="{C1FDA7D6-0FDE-4FF8-95D1-02F42E5A5265}"/>
    <hyperlink ref="N26" r:id="rId22" xr:uid="{5D14B1C2-D275-4F11-9582-985FF37C9208}"/>
    <hyperlink ref="N27" r:id="rId23" xr:uid="{2FF9CAB9-F6E9-4E02-8925-2203B65FC17B}"/>
    <hyperlink ref="N32" r:id="rId24" xr:uid="{5D43A085-6A1D-4303-86D4-C03684882D2B}"/>
    <hyperlink ref="N34" r:id="rId25" xr:uid="{97092C6A-8B33-47E4-ADE5-A2FAB78A570B}"/>
    <hyperlink ref="N29" r:id="rId26" xr:uid="{198DEADB-D1B4-4E17-B53C-513A87FE0C40}"/>
    <hyperlink ref="N28" r:id="rId27" xr:uid="{44AC0723-49D2-44EA-9DF6-05CD9175A1EB}"/>
    <hyperlink ref="N23" r:id="rId28" xr:uid="{E9489506-7400-4793-94D4-945EEEA8473A}"/>
    <hyperlink ref="N31" r:id="rId29" xr:uid="{4E509A16-C1FE-4DF7-8EB4-1D927D85D66B}"/>
    <hyperlink ref="N30" r:id="rId30" xr:uid="{E8D78D84-9AC3-4219-9703-99EA2205D325}"/>
  </hyperlinks>
  <pageMargins left="0.7" right="0.7" top="0.75" bottom="0.75" header="0.3" footer="0.3"/>
  <pageSetup scale="160" orientation="landscape" r:id="rId31"/>
  <legacyDrawing r:id="rId3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A1ABA-BE82-424F-BECB-90768017CE59}">
  <sheetPr>
    <tabColor rgb="FFF0AAAA"/>
    <pageSetUpPr fitToPage="1"/>
  </sheetPr>
  <dimension ref="A4:BA62"/>
  <sheetViews>
    <sheetView workbookViewId="0">
      <selection activeCell="R23" sqref="R23"/>
    </sheetView>
  </sheetViews>
  <sheetFormatPr defaultColWidth="10.44140625" defaultRowHeight="13" x14ac:dyDescent="0.3"/>
  <cols>
    <col min="1" max="1" width="12.44140625" style="53" customWidth="1"/>
    <col min="2" max="2" width="16.77734375" style="53" customWidth="1"/>
    <col min="3" max="38" width="9.44140625" style="53" customWidth="1"/>
    <col min="39" max="59" width="12.77734375" style="53" bestFit="1" customWidth="1"/>
    <col min="60" max="60" width="13.44140625" style="53" bestFit="1" customWidth="1"/>
    <col min="61" max="70" width="12.77734375" style="53" bestFit="1" customWidth="1"/>
    <col min="71" max="71" width="13.44140625" style="53" bestFit="1" customWidth="1"/>
    <col min="72" max="77" width="12.77734375" style="53" bestFit="1" customWidth="1"/>
    <col min="78" max="16384" width="10.44140625" style="53"/>
  </cols>
  <sheetData>
    <row r="4" spans="1:39" ht="18" x14ac:dyDescent="0.4">
      <c r="B4" s="54" t="s">
        <v>612</v>
      </c>
    </row>
    <row r="6" spans="1:39" x14ac:dyDescent="0.3">
      <c r="B6" s="55"/>
      <c r="C6" s="56" t="s">
        <v>613</v>
      </c>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row>
    <row r="7" spans="1:39" ht="46.5" customHeight="1" thickBot="1" x14ac:dyDescent="0.35">
      <c r="A7" s="58" t="s">
        <v>614</v>
      </c>
      <c r="B7" s="59" t="s">
        <v>615</v>
      </c>
      <c r="C7" s="60">
        <v>1</v>
      </c>
      <c r="D7" s="60">
        <f>C7+1</f>
        <v>2</v>
      </c>
      <c r="E7" s="60">
        <f t="shared" ref="E7:AL7" si="0">D7+1</f>
        <v>3</v>
      </c>
      <c r="F7" s="60">
        <f t="shared" si="0"/>
        <v>4</v>
      </c>
      <c r="G7" s="60">
        <f t="shared" si="0"/>
        <v>5</v>
      </c>
      <c r="H7" s="60">
        <f t="shared" si="0"/>
        <v>6</v>
      </c>
      <c r="I7" s="60">
        <f t="shared" si="0"/>
        <v>7</v>
      </c>
      <c r="J7" s="60">
        <f t="shared" si="0"/>
        <v>8</v>
      </c>
      <c r="K7" s="60">
        <f t="shared" si="0"/>
        <v>9</v>
      </c>
      <c r="L7" s="60">
        <f t="shared" si="0"/>
        <v>10</v>
      </c>
      <c r="M7" s="60">
        <f t="shared" si="0"/>
        <v>11</v>
      </c>
      <c r="N7" s="60">
        <f t="shared" si="0"/>
        <v>12</v>
      </c>
      <c r="O7" s="60">
        <f t="shared" si="0"/>
        <v>13</v>
      </c>
      <c r="P7" s="60">
        <f t="shared" si="0"/>
        <v>14</v>
      </c>
      <c r="Q7" s="60">
        <f t="shared" si="0"/>
        <v>15</v>
      </c>
      <c r="R7" s="60">
        <f t="shared" si="0"/>
        <v>16</v>
      </c>
      <c r="S7" s="60">
        <f t="shared" si="0"/>
        <v>17</v>
      </c>
      <c r="T7" s="60">
        <f t="shared" si="0"/>
        <v>18</v>
      </c>
      <c r="U7" s="60">
        <f t="shared" si="0"/>
        <v>19</v>
      </c>
      <c r="V7" s="60">
        <f t="shared" si="0"/>
        <v>20</v>
      </c>
      <c r="W7" s="60">
        <f t="shared" si="0"/>
        <v>21</v>
      </c>
      <c r="X7" s="60">
        <f t="shared" si="0"/>
        <v>22</v>
      </c>
      <c r="Y7" s="60">
        <f t="shared" si="0"/>
        <v>23</v>
      </c>
      <c r="Z7" s="60">
        <f t="shared" si="0"/>
        <v>24</v>
      </c>
      <c r="AA7" s="60">
        <f t="shared" si="0"/>
        <v>25</v>
      </c>
      <c r="AB7" s="60">
        <f t="shared" si="0"/>
        <v>26</v>
      </c>
      <c r="AC7" s="60">
        <f t="shared" si="0"/>
        <v>27</v>
      </c>
      <c r="AD7" s="60">
        <f t="shared" si="0"/>
        <v>28</v>
      </c>
      <c r="AE7" s="60">
        <f t="shared" si="0"/>
        <v>29</v>
      </c>
      <c r="AF7" s="60">
        <f t="shared" si="0"/>
        <v>30</v>
      </c>
      <c r="AG7" s="60">
        <f t="shared" si="0"/>
        <v>31</v>
      </c>
      <c r="AH7" s="60">
        <f t="shared" si="0"/>
        <v>32</v>
      </c>
      <c r="AI7" s="60">
        <f t="shared" si="0"/>
        <v>33</v>
      </c>
      <c r="AJ7" s="60">
        <f t="shared" si="0"/>
        <v>34</v>
      </c>
      <c r="AK7" s="60">
        <f t="shared" si="0"/>
        <v>35</v>
      </c>
      <c r="AL7" s="60">
        <f t="shared" si="0"/>
        <v>36</v>
      </c>
      <c r="AM7" s="61"/>
    </row>
    <row r="8" spans="1:39" ht="18.75" customHeight="1" x14ac:dyDescent="0.3">
      <c r="A8" s="62">
        <f>SUM(C8:AL8)</f>
        <v>1</v>
      </c>
      <c r="B8" s="63">
        <v>4</v>
      </c>
      <c r="C8" s="64">
        <v>0.2</v>
      </c>
      <c r="D8" s="64">
        <v>0.3</v>
      </c>
      <c r="E8" s="64">
        <v>0.3</v>
      </c>
      <c r="F8" s="64">
        <v>0.2</v>
      </c>
      <c r="G8" s="64"/>
      <c r="H8" s="64"/>
      <c r="I8" s="64"/>
      <c r="J8" s="64"/>
      <c r="K8" s="64"/>
      <c r="L8" s="64"/>
      <c r="M8" s="64"/>
      <c r="N8" s="64"/>
      <c r="O8" s="64"/>
      <c r="P8" s="64"/>
      <c r="Q8" s="64"/>
      <c r="R8" s="64"/>
      <c r="S8" s="64"/>
      <c r="T8" s="64"/>
      <c r="U8" s="64"/>
      <c r="V8" s="64"/>
      <c r="W8" s="64"/>
      <c r="X8" s="64"/>
      <c r="Y8" s="64"/>
      <c r="Z8" s="64"/>
      <c r="AA8" s="65"/>
      <c r="AB8" s="65"/>
      <c r="AC8" s="65"/>
      <c r="AD8" s="65"/>
      <c r="AE8" s="65"/>
      <c r="AF8" s="65"/>
      <c r="AG8" s="65"/>
      <c r="AH8" s="65"/>
      <c r="AI8" s="65"/>
      <c r="AJ8" s="65"/>
      <c r="AK8" s="65"/>
      <c r="AL8" s="66"/>
    </row>
    <row r="9" spans="1:39" x14ac:dyDescent="0.3">
      <c r="A9" s="62">
        <f t="shared" ref="A9:A40" si="1">SUM(C9:AL9)</f>
        <v>0.99999999999999989</v>
      </c>
      <c r="B9" s="67">
        <f t="shared" ref="B9:B40" si="2">+B8+1</f>
        <v>5</v>
      </c>
      <c r="C9" s="68">
        <v>0.15</v>
      </c>
      <c r="D9" s="68">
        <v>0.2</v>
      </c>
      <c r="E9" s="68">
        <v>0.3</v>
      </c>
      <c r="F9" s="68">
        <v>0.2</v>
      </c>
      <c r="G9" s="68">
        <v>0.15</v>
      </c>
      <c r="H9" s="68"/>
      <c r="I9" s="68"/>
      <c r="J9" s="68"/>
      <c r="K9" s="68"/>
      <c r="L9" s="68"/>
      <c r="M9" s="68"/>
      <c r="N9" s="68"/>
      <c r="O9" s="68"/>
      <c r="P9" s="68"/>
      <c r="Q9" s="68"/>
      <c r="R9" s="68"/>
      <c r="S9" s="68"/>
      <c r="T9" s="68"/>
      <c r="U9" s="68"/>
      <c r="V9" s="68"/>
      <c r="W9" s="68"/>
      <c r="X9" s="68"/>
      <c r="Y9" s="68"/>
      <c r="Z9" s="68"/>
      <c r="AA9" s="69"/>
      <c r="AB9" s="69"/>
      <c r="AC9" s="69"/>
      <c r="AD9" s="69"/>
      <c r="AE9" s="69"/>
      <c r="AF9" s="69"/>
      <c r="AG9" s="69"/>
      <c r="AH9" s="69"/>
      <c r="AI9" s="69"/>
      <c r="AJ9" s="69"/>
      <c r="AK9" s="69"/>
      <c r="AL9" s="70"/>
    </row>
    <row r="10" spans="1:39" x14ac:dyDescent="0.3">
      <c r="A10" s="62">
        <f t="shared" si="1"/>
        <v>1</v>
      </c>
      <c r="B10" s="67">
        <f t="shared" si="2"/>
        <v>6</v>
      </c>
      <c r="C10" s="68">
        <v>0.1</v>
      </c>
      <c r="D10" s="68">
        <v>0.15</v>
      </c>
      <c r="E10" s="68">
        <v>0.25</v>
      </c>
      <c r="F10" s="68">
        <v>0.25</v>
      </c>
      <c r="G10" s="68">
        <v>0.15</v>
      </c>
      <c r="H10" s="68">
        <v>0.1</v>
      </c>
      <c r="I10" s="68"/>
      <c r="J10" s="68"/>
      <c r="K10" s="68"/>
      <c r="L10" s="68"/>
      <c r="M10" s="68"/>
      <c r="N10" s="68"/>
      <c r="O10" s="68"/>
      <c r="P10" s="68"/>
      <c r="Q10" s="68"/>
      <c r="R10" s="68"/>
      <c r="S10" s="68"/>
      <c r="T10" s="68"/>
      <c r="U10" s="68"/>
      <c r="V10" s="68"/>
      <c r="W10" s="68"/>
      <c r="X10" s="68"/>
      <c r="Y10" s="68"/>
      <c r="Z10" s="68"/>
      <c r="AA10" s="69"/>
      <c r="AB10" s="69"/>
      <c r="AC10" s="69"/>
      <c r="AD10" s="69"/>
      <c r="AE10" s="69"/>
      <c r="AF10" s="69"/>
      <c r="AG10" s="69"/>
      <c r="AH10" s="69"/>
      <c r="AI10" s="69"/>
      <c r="AJ10" s="69"/>
      <c r="AK10" s="69"/>
      <c r="AL10" s="70"/>
    </row>
    <row r="11" spans="1:39" x14ac:dyDescent="0.3">
      <c r="A11" s="62">
        <f t="shared" si="1"/>
        <v>1</v>
      </c>
      <c r="B11" s="67">
        <f t="shared" si="2"/>
        <v>7</v>
      </c>
      <c r="C11" s="68">
        <v>7.4999999999999997E-2</v>
      </c>
      <c r="D11" s="68">
        <v>0.125</v>
      </c>
      <c r="E11" s="68">
        <v>0.17499999999999999</v>
      </c>
      <c r="F11" s="68">
        <v>0.25</v>
      </c>
      <c r="G11" s="68">
        <v>0.17499999999999999</v>
      </c>
      <c r="H11" s="68">
        <v>0.125</v>
      </c>
      <c r="I11" s="68">
        <v>7.4999999999999997E-2</v>
      </c>
      <c r="J11" s="68"/>
      <c r="K11" s="68"/>
      <c r="L11" s="68"/>
      <c r="M11" s="68"/>
      <c r="N11" s="68"/>
      <c r="O11" s="68"/>
      <c r="P11" s="68"/>
      <c r="Q11" s="68"/>
      <c r="R11" s="68"/>
      <c r="S11" s="68"/>
      <c r="T11" s="68"/>
      <c r="U11" s="68"/>
      <c r="V11" s="68"/>
      <c r="W11" s="68"/>
      <c r="X11" s="68"/>
      <c r="Y11" s="68"/>
      <c r="Z11" s="68"/>
      <c r="AA11" s="69"/>
      <c r="AB11" s="69"/>
      <c r="AC11" s="69"/>
      <c r="AD11" s="69"/>
      <c r="AE11" s="69"/>
      <c r="AF11" s="69"/>
      <c r="AG11" s="69"/>
      <c r="AH11" s="69"/>
      <c r="AI11" s="69"/>
      <c r="AJ11" s="69"/>
      <c r="AK11" s="69"/>
      <c r="AL11" s="70"/>
    </row>
    <row r="12" spans="1:39" x14ac:dyDescent="0.3">
      <c r="A12" s="62">
        <f t="shared" si="1"/>
        <v>1</v>
      </c>
      <c r="B12" s="67">
        <f t="shared" si="2"/>
        <v>8</v>
      </c>
      <c r="C12" s="68">
        <v>0.05</v>
      </c>
      <c r="D12" s="68">
        <v>0.1</v>
      </c>
      <c r="E12" s="68">
        <v>0.15</v>
      </c>
      <c r="F12" s="68">
        <v>0.2</v>
      </c>
      <c r="G12" s="68">
        <v>0.2</v>
      </c>
      <c r="H12" s="68">
        <v>0.15</v>
      </c>
      <c r="I12" s="68">
        <v>0.1</v>
      </c>
      <c r="J12" s="68">
        <v>0.05</v>
      </c>
      <c r="K12" s="68"/>
      <c r="L12" s="68"/>
      <c r="M12" s="68"/>
      <c r="N12" s="68"/>
      <c r="O12" s="68"/>
      <c r="P12" s="68"/>
      <c r="Q12" s="68"/>
      <c r="R12" s="68"/>
      <c r="S12" s="68"/>
      <c r="T12" s="68"/>
      <c r="U12" s="68"/>
      <c r="V12" s="68"/>
      <c r="W12" s="68"/>
      <c r="X12" s="68"/>
      <c r="Y12" s="68"/>
      <c r="Z12" s="68"/>
      <c r="AA12" s="69"/>
      <c r="AB12" s="69"/>
      <c r="AC12" s="69"/>
      <c r="AD12" s="69"/>
      <c r="AE12" s="69"/>
      <c r="AF12" s="69"/>
      <c r="AG12" s="69"/>
      <c r="AH12" s="69"/>
      <c r="AI12" s="69"/>
      <c r="AJ12" s="69"/>
      <c r="AK12" s="69"/>
      <c r="AL12" s="70"/>
    </row>
    <row r="13" spans="1:39" x14ac:dyDescent="0.3">
      <c r="A13" s="62">
        <f t="shared" si="1"/>
        <v>1</v>
      </c>
      <c r="B13" s="67">
        <f t="shared" si="2"/>
        <v>9</v>
      </c>
      <c r="C13" s="68">
        <v>0.05</v>
      </c>
      <c r="D13" s="68">
        <v>7.4999999999999997E-2</v>
      </c>
      <c r="E13" s="68">
        <v>0.125</v>
      </c>
      <c r="F13" s="68">
        <v>0.15</v>
      </c>
      <c r="G13" s="68">
        <v>0.2</v>
      </c>
      <c r="H13" s="68">
        <v>0.15</v>
      </c>
      <c r="I13" s="68">
        <v>0.125</v>
      </c>
      <c r="J13" s="68">
        <v>7.4999999999999997E-2</v>
      </c>
      <c r="K13" s="68">
        <v>0.05</v>
      </c>
      <c r="L13" s="68"/>
      <c r="M13" s="68"/>
      <c r="N13" s="68"/>
      <c r="O13" s="68"/>
      <c r="P13" s="68"/>
      <c r="Q13" s="68"/>
      <c r="R13" s="68"/>
      <c r="S13" s="68"/>
      <c r="T13" s="68"/>
      <c r="U13" s="68"/>
      <c r="V13" s="68"/>
      <c r="W13" s="68"/>
      <c r="X13" s="68"/>
      <c r="Y13" s="68"/>
      <c r="Z13" s="68"/>
      <c r="AA13" s="69"/>
      <c r="AB13" s="69"/>
      <c r="AC13" s="69"/>
      <c r="AD13" s="69"/>
      <c r="AE13" s="69"/>
      <c r="AF13" s="69"/>
      <c r="AG13" s="69"/>
      <c r="AH13" s="69"/>
      <c r="AI13" s="69"/>
      <c r="AJ13" s="69"/>
      <c r="AK13" s="69"/>
      <c r="AL13" s="70"/>
    </row>
    <row r="14" spans="1:39" x14ac:dyDescent="0.3">
      <c r="A14" s="62">
        <f t="shared" si="1"/>
        <v>1</v>
      </c>
      <c r="B14" s="67">
        <f t="shared" si="2"/>
        <v>10</v>
      </c>
      <c r="C14" s="68">
        <v>0.04</v>
      </c>
      <c r="D14" s="68">
        <v>6.5000000000000002E-2</v>
      </c>
      <c r="E14" s="68">
        <v>0.1</v>
      </c>
      <c r="F14" s="68">
        <v>0.125</v>
      </c>
      <c r="G14" s="68">
        <v>0.17</v>
      </c>
      <c r="H14" s="68">
        <v>0.17</v>
      </c>
      <c r="I14" s="68">
        <v>0.125</v>
      </c>
      <c r="J14" s="68">
        <v>0.1</v>
      </c>
      <c r="K14" s="68">
        <v>6.5000000000000002E-2</v>
      </c>
      <c r="L14" s="68">
        <v>0.04</v>
      </c>
      <c r="M14" s="68"/>
      <c r="N14" s="68"/>
      <c r="O14" s="68"/>
      <c r="P14" s="68"/>
      <c r="Q14" s="68"/>
      <c r="R14" s="68"/>
      <c r="S14" s="68"/>
      <c r="T14" s="68"/>
      <c r="U14" s="68"/>
      <c r="V14" s="68"/>
      <c r="W14" s="68"/>
      <c r="X14" s="68"/>
      <c r="Y14" s="68"/>
      <c r="Z14" s="68"/>
      <c r="AA14" s="69"/>
      <c r="AB14" s="69"/>
      <c r="AC14" s="69"/>
      <c r="AD14" s="69"/>
      <c r="AE14" s="69"/>
      <c r="AF14" s="69"/>
      <c r="AG14" s="69"/>
      <c r="AH14" s="69"/>
      <c r="AI14" s="69"/>
      <c r="AJ14" s="69"/>
      <c r="AK14" s="69"/>
      <c r="AL14" s="70"/>
    </row>
    <row r="15" spans="1:39" x14ac:dyDescent="0.3">
      <c r="A15" s="62">
        <f t="shared" si="1"/>
        <v>1</v>
      </c>
      <c r="B15" s="67">
        <f t="shared" si="2"/>
        <v>11</v>
      </c>
      <c r="C15" s="68">
        <v>3.5000000000000003E-2</v>
      </c>
      <c r="D15" s="68">
        <v>0.05</v>
      </c>
      <c r="E15" s="68">
        <v>0.09</v>
      </c>
      <c r="F15" s="68">
        <v>0.12</v>
      </c>
      <c r="G15" s="68">
        <v>0.13</v>
      </c>
      <c r="H15" s="68">
        <v>0.15</v>
      </c>
      <c r="I15" s="68">
        <v>0.13</v>
      </c>
      <c r="J15" s="68">
        <v>0.12</v>
      </c>
      <c r="K15" s="68">
        <v>0.09</v>
      </c>
      <c r="L15" s="68">
        <v>0.05</v>
      </c>
      <c r="M15" s="68">
        <v>3.5000000000000003E-2</v>
      </c>
      <c r="N15" s="68"/>
      <c r="O15" s="68"/>
      <c r="P15" s="68"/>
      <c r="Q15" s="68"/>
      <c r="R15" s="68"/>
      <c r="S15" s="68"/>
      <c r="T15" s="68"/>
      <c r="U15" s="68"/>
      <c r="V15" s="68"/>
      <c r="W15" s="68"/>
      <c r="X15" s="68"/>
      <c r="Y15" s="68"/>
      <c r="Z15" s="68"/>
      <c r="AA15" s="69"/>
      <c r="AB15" s="69"/>
      <c r="AC15" s="69"/>
      <c r="AD15" s="69"/>
      <c r="AE15" s="69"/>
      <c r="AF15" s="69"/>
      <c r="AG15" s="69"/>
      <c r="AH15" s="69"/>
      <c r="AI15" s="69"/>
      <c r="AJ15" s="69"/>
      <c r="AK15" s="69"/>
      <c r="AL15" s="70"/>
    </row>
    <row r="16" spans="1:39" x14ac:dyDescent="0.3">
      <c r="A16" s="62">
        <f t="shared" si="1"/>
        <v>1</v>
      </c>
      <c r="B16" s="67">
        <f t="shared" si="2"/>
        <v>12</v>
      </c>
      <c r="C16" s="68">
        <v>0.03</v>
      </c>
      <c r="D16" s="68">
        <v>0.05</v>
      </c>
      <c r="E16" s="68">
        <v>7.0000000000000007E-2</v>
      </c>
      <c r="F16" s="68">
        <v>0.1</v>
      </c>
      <c r="G16" s="68">
        <v>0.12</v>
      </c>
      <c r="H16" s="68">
        <v>0.13</v>
      </c>
      <c r="I16" s="68">
        <v>0.13</v>
      </c>
      <c r="J16" s="68">
        <v>0.12</v>
      </c>
      <c r="K16" s="68">
        <v>0.1</v>
      </c>
      <c r="L16" s="68">
        <v>7.0000000000000007E-2</v>
      </c>
      <c r="M16" s="68">
        <v>0.05</v>
      </c>
      <c r="N16" s="68">
        <v>0.03</v>
      </c>
      <c r="O16" s="68"/>
      <c r="P16" s="68"/>
      <c r="Q16" s="68"/>
      <c r="R16" s="68"/>
      <c r="S16" s="68"/>
      <c r="T16" s="68"/>
      <c r="U16" s="68"/>
      <c r="V16" s="68"/>
      <c r="W16" s="68"/>
      <c r="X16" s="68"/>
      <c r="Y16" s="68"/>
      <c r="Z16" s="68"/>
      <c r="AA16" s="69"/>
      <c r="AB16" s="69"/>
      <c r="AC16" s="69"/>
      <c r="AD16" s="69"/>
      <c r="AE16" s="69"/>
      <c r="AF16" s="69"/>
      <c r="AG16" s="69"/>
      <c r="AH16" s="69"/>
      <c r="AI16" s="69"/>
      <c r="AJ16" s="69"/>
      <c r="AK16" s="69"/>
      <c r="AL16" s="70"/>
    </row>
    <row r="17" spans="1:53" x14ac:dyDescent="0.3">
      <c r="A17" s="62">
        <f t="shared" si="1"/>
        <v>0.99999999999999989</v>
      </c>
      <c r="B17" s="67">
        <f t="shared" si="2"/>
        <v>13</v>
      </c>
      <c r="C17" s="68">
        <v>2.5000000000000001E-2</v>
      </c>
      <c r="D17" s="68">
        <v>0.04</v>
      </c>
      <c r="E17" s="68">
        <v>0.06</v>
      </c>
      <c r="F17" s="68">
        <v>0.09</v>
      </c>
      <c r="G17" s="68">
        <v>0.11</v>
      </c>
      <c r="H17" s="68">
        <v>0.11</v>
      </c>
      <c r="I17" s="68">
        <v>0.13</v>
      </c>
      <c r="J17" s="68">
        <v>0.11</v>
      </c>
      <c r="K17" s="68">
        <v>0.11</v>
      </c>
      <c r="L17" s="68">
        <v>0.09</v>
      </c>
      <c r="M17" s="68">
        <v>0.06</v>
      </c>
      <c r="N17" s="68">
        <v>0.04</v>
      </c>
      <c r="O17" s="68">
        <v>2.5000000000000001E-2</v>
      </c>
      <c r="P17" s="68"/>
      <c r="Q17" s="68"/>
      <c r="R17" s="68"/>
      <c r="S17" s="68"/>
      <c r="T17" s="68"/>
      <c r="U17" s="68"/>
      <c r="V17" s="68"/>
      <c r="W17" s="68"/>
      <c r="X17" s="68"/>
      <c r="Y17" s="68"/>
      <c r="Z17" s="68"/>
      <c r="AA17" s="69"/>
      <c r="AB17" s="69"/>
      <c r="AC17" s="69"/>
      <c r="AD17" s="69"/>
      <c r="AE17" s="69"/>
      <c r="AF17" s="69"/>
      <c r="AG17" s="69"/>
      <c r="AH17" s="69"/>
      <c r="AI17" s="69"/>
      <c r="AJ17" s="69"/>
      <c r="AK17" s="69"/>
      <c r="AL17" s="70"/>
    </row>
    <row r="18" spans="1:53" x14ac:dyDescent="0.3">
      <c r="A18" s="62">
        <f t="shared" si="1"/>
        <v>1</v>
      </c>
      <c r="B18" s="67">
        <f t="shared" si="2"/>
        <v>14</v>
      </c>
      <c r="C18" s="68">
        <v>0.02</v>
      </c>
      <c r="D18" s="68">
        <v>0.04</v>
      </c>
      <c r="E18" s="68">
        <v>0.06</v>
      </c>
      <c r="F18" s="68">
        <v>0.08</v>
      </c>
      <c r="G18" s="68">
        <v>0.08</v>
      </c>
      <c r="H18" s="68">
        <v>0.1</v>
      </c>
      <c r="I18" s="68">
        <v>0.12</v>
      </c>
      <c r="J18" s="68">
        <v>0.12</v>
      </c>
      <c r="K18" s="68">
        <v>0.1</v>
      </c>
      <c r="L18" s="68">
        <v>0.08</v>
      </c>
      <c r="M18" s="68">
        <v>0.08</v>
      </c>
      <c r="N18" s="68">
        <v>0.06</v>
      </c>
      <c r="O18" s="68">
        <v>0.04</v>
      </c>
      <c r="P18" s="68">
        <v>0.02</v>
      </c>
      <c r="Q18" s="68"/>
      <c r="R18" s="68"/>
      <c r="S18" s="68"/>
      <c r="T18" s="68"/>
      <c r="U18" s="68"/>
      <c r="V18" s="68"/>
      <c r="W18" s="68"/>
      <c r="X18" s="68"/>
      <c r="Y18" s="68"/>
      <c r="Z18" s="68"/>
      <c r="AA18" s="69"/>
      <c r="AB18" s="69"/>
      <c r="AC18" s="69"/>
      <c r="AD18" s="69"/>
      <c r="AE18" s="69"/>
      <c r="AF18" s="69"/>
      <c r="AG18" s="69"/>
      <c r="AH18" s="69"/>
      <c r="AI18" s="69"/>
      <c r="AJ18" s="69"/>
      <c r="AK18" s="69"/>
      <c r="AL18" s="70"/>
    </row>
    <row r="19" spans="1:53" x14ac:dyDescent="0.3">
      <c r="A19" s="62">
        <f t="shared" si="1"/>
        <v>1</v>
      </c>
      <c r="B19" s="67">
        <f t="shared" si="2"/>
        <v>15</v>
      </c>
      <c r="C19" s="68">
        <v>0.02</v>
      </c>
      <c r="D19" s="68">
        <v>0.03</v>
      </c>
      <c r="E19" s="68">
        <v>0.05</v>
      </c>
      <c r="F19" s="68">
        <v>7.0000000000000007E-2</v>
      </c>
      <c r="G19" s="68">
        <v>0.08</v>
      </c>
      <c r="H19" s="68">
        <v>0.09</v>
      </c>
      <c r="I19" s="68">
        <v>0.1</v>
      </c>
      <c r="J19" s="68">
        <v>0.12</v>
      </c>
      <c r="K19" s="68">
        <v>0.1</v>
      </c>
      <c r="L19" s="68">
        <v>0.09</v>
      </c>
      <c r="M19" s="68">
        <v>0.08</v>
      </c>
      <c r="N19" s="68">
        <v>7.0000000000000007E-2</v>
      </c>
      <c r="O19" s="68">
        <v>0.05</v>
      </c>
      <c r="P19" s="68">
        <v>0.03</v>
      </c>
      <c r="Q19" s="68">
        <v>0.02</v>
      </c>
      <c r="R19" s="68"/>
      <c r="S19" s="68"/>
      <c r="T19" s="68"/>
      <c r="U19" s="68"/>
      <c r="V19" s="68"/>
      <c r="W19" s="68"/>
      <c r="X19" s="68"/>
      <c r="Y19" s="68"/>
      <c r="Z19" s="68"/>
      <c r="AA19" s="69"/>
      <c r="AB19" s="69"/>
      <c r="AC19" s="69"/>
      <c r="AD19" s="69"/>
      <c r="AE19" s="69"/>
      <c r="AF19" s="69"/>
      <c r="AG19" s="69"/>
      <c r="AH19" s="69"/>
      <c r="AI19" s="69"/>
      <c r="AJ19" s="69"/>
      <c r="AK19" s="69"/>
      <c r="AL19" s="70"/>
    </row>
    <row r="20" spans="1:53" x14ac:dyDescent="0.3">
      <c r="A20" s="62">
        <f t="shared" si="1"/>
        <v>1</v>
      </c>
      <c r="B20" s="67">
        <f t="shared" si="2"/>
        <v>16</v>
      </c>
      <c r="C20" s="68">
        <v>0.02</v>
      </c>
      <c r="D20" s="68">
        <v>0.03</v>
      </c>
      <c r="E20" s="68">
        <v>0.05</v>
      </c>
      <c r="F20" s="68">
        <v>0.06</v>
      </c>
      <c r="G20" s="68">
        <v>7.0000000000000007E-2</v>
      </c>
      <c r="H20" s="68">
        <v>0.08</v>
      </c>
      <c r="I20" s="68">
        <v>0.09</v>
      </c>
      <c r="J20" s="68">
        <v>0.1</v>
      </c>
      <c r="K20" s="68">
        <v>0.1</v>
      </c>
      <c r="L20" s="68">
        <v>0.09</v>
      </c>
      <c r="M20" s="68">
        <v>0.08</v>
      </c>
      <c r="N20" s="68">
        <v>7.0000000000000007E-2</v>
      </c>
      <c r="O20" s="68">
        <v>0.06</v>
      </c>
      <c r="P20" s="68">
        <v>0.05</v>
      </c>
      <c r="Q20" s="68">
        <v>0.03</v>
      </c>
      <c r="R20" s="68">
        <v>0.02</v>
      </c>
      <c r="S20" s="68"/>
      <c r="T20" s="68"/>
      <c r="U20" s="68"/>
      <c r="V20" s="68"/>
      <c r="W20" s="68"/>
      <c r="X20" s="68"/>
      <c r="Y20" s="68"/>
      <c r="Z20" s="68"/>
      <c r="AA20" s="69"/>
      <c r="AB20" s="69"/>
      <c r="AC20" s="69"/>
      <c r="AD20" s="69"/>
      <c r="AE20" s="69"/>
      <c r="AF20" s="69"/>
      <c r="AG20" s="69"/>
      <c r="AH20" s="69"/>
      <c r="AI20" s="69"/>
      <c r="AJ20" s="69"/>
      <c r="AK20" s="69"/>
      <c r="AL20" s="70"/>
    </row>
    <row r="21" spans="1:53" x14ac:dyDescent="0.3">
      <c r="A21" s="62">
        <f t="shared" si="1"/>
        <v>1</v>
      </c>
      <c r="B21" s="67">
        <f t="shared" si="2"/>
        <v>17</v>
      </c>
      <c r="C21" s="68">
        <v>0.02</v>
      </c>
      <c r="D21" s="68">
        <v>0.03</v>
      </c>
      <c r="E21" s="68">
        <v>0.04</v>
      </c>
      <c r="F21" s="68">
        <v>0.05</v>
      </c>
      <c r="G21" s="68">
        <v>0.06</v>
      </c>
      <c r="H21" s="68">
        <v>7.0000000000000007E-2</v>
      </c>
      <c r="I21" s="68">
        <v>0.09</v>
      </c>
      <c r="J21" s="68">
        <v>0.09</v>
      </c>
      <c r="K21" s="68">
        <v>0.1</v>
      </c>
      <c r="L21" s="68">
        <v>0.09</v>
      </c>
      <c r="M21" s="68">
        <v>0.09</v>
      </c>
      <c r="N21" s="68">
        <v>7.0000000000000007E-2</v>
      </c>
      <c r="O21" s="68">
        <v>0.06</v>
      </c>
      <c r="P21" s="68">
        <v>0.05</v>
      </c>
      <c r="Q21" s="68">
        <v>0.04</v>
      </c>
      <c r="R21" s="68">
        <v>0.03</v>
      </c>
      <c r="S21" s="68">
        <v>0.02</v>
      </c>
      <c r="T21" s="68"/>
      <c r="U21" s="68"/>
      <c r="V21" s="68"/>
      <c r="W21" s="68"/>
      <c r="X21" s="68"/>
      <c r="Y21" s="68"/>
      <c r="Z21" s="68"/>
      <c r="AA21" s="69"/>
      <c r="AB21" s="69"/>
      <c r="AC21" s="69"/>
      <c r="AD21" s="69"/>
      <c r="AE21" s="69"/>
      <c r="AF21" s="69"/>
      <c r="AG21" s="69"/>
      <c r="AH21" s="69"/>
      <c r="AI21" s="69"/>
      <c r="AJ21" s="69"/>
      <c r="AK21" s="69"/>
      <c r="AL21" s="70"/>
    </row>
    <row r="22" spans="1:53" x14ac:dyDescent="0.3">
      <c r="A22" s="62">
        <f t="shared" si="1"/>
        <v>1</v>
      </c>
      <c r="B22" s="67">
        <f t="shared" si="2"/>
        <v>18</v>
      </c>
      <c r="C22" s="68">
        <v>1.4999999999999999E-2</v>
      </c>
      <c r="D22" s="68">
        <v>2.5000000000000001E-2</v>
      </c>
      <c r="E22" s="68">
        <v>2.5000000000000001E-2</v>
      </c>
      <c r="F22" s="68">
        <v>2.5000000000000001E-2</v>
      </c>
      <c r="G22" s="68">
        <v>0.03</v>
      </c>
      <c r="H22" s="68">
        <v>0.04</v>
      </c>
      <c r="I22" s="68">
        <v>0.05</v>
      </c>
      <c r="J22" s="68">
        <v>0.08</v>
      </c>
      <c r="K22" s="68">
        <v>0.1</v>
      </c>
      <c r="L22" s="68">
        <v>0.1</v>
      </c>
      <c r="M22" s="68">
        <v>0.09</v>
      </c>
      <c r="N22" s="68">
        <v>0.09</v>
      </c>
      <c r="O22" s="68">
        <v>0.09</v>
      </c>
      <c r="P22" s="68">
        <v>0.08</v>
      </c>
      <c r="Q22" s="68">
        <v>7.0000000000000007E-2</v>
      </c>
      <c r="R22" s="68">
        <v>0.05</v>
      </c>
      <c r="S22" s="68">
        <v>0.02</v>
      </c>
      <c r="T22" s="68">
        <v>0.02</v>
      </c>
      <c r="U22" s="68"/>
      <c r="V22" s="68"/>
      <c r="W22" s="68"/>
      <c r="X22" s="68"/>
      <c r="Y22" s="68"/>
      <c r="Z22" s="68"/>
      <c r="AA22" s="69"/>
      <c r="AB22" s="69"/>
      <c r="AC22" s="69"/>
      <c r="AD22" s="69"/>
      <c r="AE22" s="69"/>
      <c r="AF22" s="69"/>
      <c r="AG22" s="69"/>
      <c r="AH22" s="69"/>
      <c r="AI22" s="69"/>
      <c r="AJ22" s="69"/>
      <c r="AK22" s="69"/>
      <c r="AL22" s="70"/>
    </row>
    <row r="23" spans="1:53" x14ac:dyDescent="0.3">
      <c r="A23" s="62">
        <f t="shared" si="1"/>
        <v>0.99999999999999978</v>
      </c>
      <c r="B23" s="67">
        <f t="shared" si="2"/>
        <v>19</v>
      </c>
      <c r="C23" s="68">
        <v>1.4999999999999999E-2</v>
      </c>
      <c r="D23" s="68">
        <v>2.5000000000000001E-2</v>
      </c>
      <c r="E23" s="68">
        <v>2.5000000000000001E-2</v>
      </c>
      <c r="F23" s="68">
        <v>2.5000000000000001E-2</v>
      </c>
      <c r="G23" s="68">
        <v>2.5000000000000001E-2</v>
      </c>
      <c r="H23" s="68">
        <v>0.03</v>
      </c>
      <c r="I23" s="68">
        <v>0.05</v>
      </c>
      <c r="J23" s="68">
        <v>6.5000000000000002E-2</v>
      </c>
      <c r="K23" s="68">
        <v>0.08</v>
      </c>
      <c r="L23" s="68">
        <v>0.08</v>
      </c>
      <c r="M23" s="68">
        <v>0.08</v>
      </c>
      <c r="N23" s="68">
        <v>0.08</v>
      </c>
      <c r="O23" s="68">
        <v>0.08</v>
      </c>
      <c r="P23" s="68">
        <v>0.08</v>
      </c>
      <c r="Q23" s="68">
        <v>0.08</v>
      </c>
      <c r="R23" s="68">
        <v>0.08</v>
      </c>
      <c r="S23" s="68">
        <v>0.06</v>
      </c>
      <c r="T23" s="68">
        <v>0.03</v>
      </c>
      <c r="U23" s="68">
        <v>0.01</v>
      </c>
      <c r="V23" s="68"/>
      <c r="W23" s="68"/>
      <c r="X23" s="68"/>
      <c r="Y23" s="68"/>
      <c r="Z23" s="68"/>
      <c r="AA23" s="69"/>
      <c r="AB23" s="69"/>
      <c r="AC23" s="69"/>
      <c r="AD23" s="69"/>
      <c r="AE23" s="69"/>
      <c r="AF23" s="69"/>
      <c r="AG23" s="69"/>
      <c r="AH23" s="69"/>
      <c r="AI23" s="69"/>
      <c r="AJ23" s="69"/>
      <c r="AK23" s="69"/>
      <c r="AL23" s="70"/>
    </row>
    <row r="24" spans="1:53" x14ac:dyDescent="0.3">
      <c r="A24" s="62">
        <f t="shared" si="1"/>
        <v>1</v>
      </c>
      <c r="B24" s="67">
        <f t="shared" si="2"/>
        <v>20</v>
      </c>
      <c r="C24" s="68">
        <v>1.4999999999999999E-2</v>
      </c>
      <c r="D24" s="68">
        <v>1.4999999999999999E-2</v>
      </c>
      <c r="E24" s="68">
        <v>2.5000000000000001E-2</v>
      </c>
      <c r="F24" s="68">
        <v>2.5000000000000001E-2</v>
      </c>
      <c r="G24" s="68">
        <v>0.03</v>
      </c>
      <c r="H24" s="68">
        <v>0.03</v>
      </c>
      <c r="I24" s="68">
        <v>0.04</v>
      </c>
      <c r="J24" s="68">
        <v>0.05</v>
      </c>
      <c r="K24" s="68">
        <v>7.0000000000000007E-2</v>
      </c>
      <c r="L24" s="68">
        <v>7.0000000000000007E-2</v>
      </c>
      <c r="M24" s="68">
        <v>0.08</v>
      </c>
      <c r="N24" s="68">
        <v>0.08</v>
      </c>
      <c r="O24" s="68">
        <v>0.08</v>
      </c>
      <c r="P24" s="68">
        <v>0.08</v>
      </c>
      <c r="Q24" s="68">
        <v>0.08</v>
      </c>
      <c r="R24" s="68">
        <v>0.08</v>
      </c>
      <c r="S24" s="68">
        <v>7.0000000000000007E-2</v>
      </c>
      <c r="T24" s="68">
        <v>0.05</v>
      </c>
      <c r="U24" s="68">
        <v>0.02</v>
      </c>
      <c r="V24" s="68">
        <v>0.01</v>
      </c>
      <c r="W24" s="68"/>
      <c r="X24" s="68"/>
      <c r="Y24" s="68"/>
      <c r="Z24" s="68"/>
      <c r="AA24" s="69"/>
      <c r="AB24" s="69"/>
      <c r="AC24" s="69"/>
      <c r="AD24" s="69"/>
      <c r="AE24" s="69"/>
      <c r="AF24" s="69"/>
      <c r="AG24" s="69"/>
      <c r="AH24" s="69"/>
      <c r="AI24" s="69"/>
      <c r="AJ24" s="69"/>
      <c r="AK24" s="69"/>
      <c r="AL24" s="70"/>
    </row>
    <row r="25" spans="1:53" x14ac:dyDescent="0.3">
      <c r="A25" s="62">
        <f t="shared" si="1"/>
        <v>1</v>
      </c>
      <c r="B25" s="67">
        <f t="shared" si="2"/>
        <v>21</v>
      </c>
      <c r="C25" s="68">
        <v>0.01</v>
      </c>
      <c r="D25" s="68">
        <v>0.01</v>
      </c>
      <c r="E25" s="68">
        <v>0.02</v>
      </c>
      <c r="F25" s="68">
        <v>0.02</v>
      </c>
      <c r="G25" s="68">
        <v>0.02</v>
      </c>
      <c r="H25" s="68">
        <v>0.03</v>
      </c>
      <c r="I25" s="68">
        <v>0.04</v>
      </c>
      <c r="J25" s="68">
        <v>0.05</v>
      </c>
      <c r="K25" s="68">
        <v>7.0000000000000007E-2</v>
      </c>
      <c r="L25" s="68">
        <v>7.0000000000000007E-2</v>
      </c>
      <c r="M25" s="68">
        <v>7.0000000000000007E-2</v>
      </c>
      <c r="N25" s="68">
        <v>0.08</v>
      </c>
      <c r="O25" s="68">
        <v>0.08</v>
      </c>
      <c r="P25" s="68">
        <v>0.08</v>
      </c>
      <c r="Q25" s="68">
        <v>0.08</v>
      </c>
      <c r="R25" s="68">
        <v>0.08</v>
      </c>
      <c r="S25" s="68">
        <v>0.08</v>
      </c>
      <c r="T25" s="68">
        <v>0.05</v>
      </c>
      <c r="U25" s="68">
        <v>0.03</v>
      </c>
      <c r="V25" s="68">
        <v>0.02</v>
      </c>
      <c r="W25" s="68">
        <v>0.01</v>
      </c>
      <c r="X25" s="68"/>
      <c r="Y25" s="68"/>
      <c r="Z25" s="68"/>
      <c r="AA25" s="69"/>
      <c r="AB25" s="69"/>
      <c r="AC25" s="69"/>
      <c r="AD25" s="69"/>
      <c r="AE25" s="69"/>
      <c r="AF25" s="69"/>
      <c r="AG25" s="69"/>
      <c r="AH25" s="69"/>
      <c r="AI25" s="69"/>
      <c r="AJ25" s="69"/>
      <c r="AK25" s="69"/>
      <c r="AL25" s="70"/>
    </row>
    <row r="26" spans="1:53" x14ac:dyDescent="0.3">
      <c r="A26" s="62">
        <f t="shared" si="1"/>
        <v>0.99999999999999989</v>
      </c>
      <c r="B26" s="67">
        <f t="shared" si="2"/>
        <v>22</v>
      </c>
      <c r="C26" s="68">
        <v>0.01</v>
      </c>
      <c r="D26" s="68">
        <v>0.01</v>
      </c>
      <c r="E26" s="68">
        <v>0.01</v>
      </c>
      <c r="F26" s="68">
        <v>0.02</v>
      </c>
      <c r="G26" s="68">
        <v>0.02</v>
      </c>
      <c r="H26" s="68">
        <v>0.02</v>
      </c>
      <c r="I26" s="68">
        <v>0.03</v>
      </c>
      <c r="J26" s="68">
        <v>0.04</v>
      </c>
      <c r="K26" s="68">
        <v>0.05</v>
      </c>
      <c r="L26" s="68">
        <v>7.0000000000000007E-2</v>
      </c>
      <c r="M26" s="68">
        <v>7.0000000000000007E-2</v>
      </c>
      <c r="N26" s="68">
        <v>0.08</v>
      </c>
      <c r="O26" s="68">
        <v>0.08</v>
      </c>
      <c r="P26" s="68">
        <v>0.08</v>
      </c>
      <c r="Q26" s="68">
        <v>0.08</v>
      </c>
      <c r="R26" s="68">
        <v>0.08</v>
      </c>
      <c r="S26" s="68">
        <v>0.08</v>
      </c>
      <c r="T26" s="68">
        <v>0.08</v>
      </c>
      <c r="U26" s="68">
        <v>0.05</v>
      </c>
      <c r="V26" s="68">
        <v>0.02</v>
      </c>
      <c r="W26" s="68">
        <v>0.01</v>
      </c>
      <c r="X26" s="68">
        <v>0.01</v>
      </c>
      <c r="Y26" s="68"/>
      <c r="Z26" s="68"/>
      <c r="AA26" s="69"/>
      <c r="AB26" s="69"/>
      <c r="AC26" s="69"/>
      <c r="AD26" s="69"/>
      <c r="AE26" s="69"/>
      <c r="AF26" s="69"/>
      <c r="AG26" s="69"/>
      <c r="AH26" s="69"/>
      <c r="AI26" s="69"/>
      <c r="AJ26" s="69"/>
      <c r="AK26" s="69"/>
      <c r="AL26" s="70"/>
    </row>
    <row r="27" spans="1:53" x14ac:dyDescent="0.3">
      <c r="A27" s="62">
        <f t="shared" si="1"/>
        <v>1</v>
      </c>
      <c r="B27" s="67">
        <f t="shared" si="2"/>
        <v>23</v>
      </c>
      <c r="C27" s="68">
        <v>0.01</v>
      </c>
      <c r="D27" s="68">
        <v>0.01</v>
      </c>
      <c r="E27" s="68">
        <v>0.01</v>
      </c>
      <c r="F27" s="68">
        <v>0.01</v>
      </c>
      <c r="G27" s="68">
        <v>0.02</v>
      </c>
      <c r="H27" s="68">
        <v>0.02</v>
      </c>
      <c r="I27" s="68">
        <v>0.02</v>
      </c>
      <c r="J27" s="68">
        <v>0.03</v>
      </c>
      <c r="K27" s="68">
        <v>0.04</v>
      </c>
      <c r="L27" s="68">
        <v>0.06</v>
      </c>
      <c r="M27" s="68">
        <v>7.0000000000000007E-2</v>
      </c>
      <c r="N27" s="68">
        <v>7.0000000000000007E-2</v>
      </c>
      <c r="O27" s="68">
        <v>0.08</v>
      </c>
      <c r="P27" s="68">
        <v>0.08</v>
      </c>
      <c r="Q27" s="68">
        <v>0.08</v>
      </c>
      <c r="R27" s="68">
        <v>0.08</v>
      </c>
      <c r="S27" s="68">
        <v>0.08</v>
      </c>
      <c r="T27" s="68">
        <v>0.08</v>
      </c>
      <c r="U27" s="68">
        <v>0.06</v>
      </c>
      <c r="V27" s="68">
        <v>0.03</v>
      </c>
      <c r="W27" s="68">
        <v>0.03</v>
      </c>
      <c r="X27" s="68">
        <v>0.02</v>
      </c>
      <c r="Y27" s="68">
        <v>0.01</v>
      </c>
      <c r="Z27" s="68"/>
      <c r="AA27" s="69"/>
      <c r="AB27" s="69"/>
      <c r="AC27" s="69"/>
      <c r="AD27" s="69"/>
      <c r="AE27" s="69"/>
      <c r="AF27" s="69"/>
      <c r="AG27" s="69"/>
      <c r="AH27" s="69"/>
      <c r="AI27" s="69"/>
      <c r="AJ27" s="69"/>
      <c r="AK27" s="69"/>
      <c r="AL27" s="70"/>
    </row>
    <row r="28" spans="1:53" x14ac:dyDescent="0.3">
      <c r="A28" s="62">
        <f t="shared" si="1"/>
        <v>1</v>
      </c>
      <c r="B28" s="67">
        <f t="shared" si="2"/>
        <v>24</v>
      </c>
      <c r="C28" s="68">
        <v>0.01</v>
      </c>
      <c r="D28" s="68">
        <v>0.01</v>
      </c>
      <c r="E28" s="68">
        <v>0.01</v>
      </c>
      <c r="F28" s="68">
        <v>0.01</v>
      </c>
      <c r="G28" s="68">
        <v>0.01</v>
      </c>
      <c r="H28" s="68">
        <v>0.02</v>
      </c>
      <c r="I28" s="68">
        <v>0.02</v>
      </c>
      <c r="J28" s="68">
        <v>0.02</v>
      </c>
      <c r="K28" s="68">
        <v>0.03</v>
      </c>
      <c r="L28" s="68">
        <v>0.05</v>
      </c>
      <c r="M28" s="68">
        <v>0.06</v>
      </c>
      <c r="N28" s="68">
        <v>7.0000000000000007E-2</v>
      </c>
      <c r="O28" s="68">
        <v>7.0000000000000007E-2</v>
      </c>
      <c r="P28" s="68">
        <v>0.08</v>
      </c>
      <c r="Q28" s="68">
        <v>0.08</v>
      </c>
      <c r="R28" s="68">
        <v>0.08</v>
      </c>
      <c r="S28" s="68">
        <v>0.08</v>
      </c>
      <c r="T28" s="68">
        <v>0.08</v>
      </c>
      <c r="U28" s="68">
        <v>0.08</v>
      </c>
      <c r="V28" s="68">
        <v>0.05</v>
      </c>
      <c r="W28" s="68">
        <v>0.03</v>
      </c>
      <c r="X28" s="68">
        <v>0.02</v>
      </c>
      <c r="Y28" s="68">
        <v>0.02</v>
      </c>
      <c r="Z28" s="68">
        <v>0.01</v>
      </c>
      <c r="AA28" s="69"/>
      <c r="AB28" s="69"/>
      <c r="AC28" s="69"/>
      <c r="AD28" s="69"/>
      <c r="AE28" s="69"/>
      <c r="AF28" s="69"/>
      <c r="AG28" s="69"/>
      <c r="AH28" s="69"/>
      <c r="AI28" s="69"/>
      <c r="AJ28" s="69"/>
      <c r="AK28" s="69"/>
      <c r="AL28" s="70"/>
    </row>
    <row r="29" spans="1:53" x14ac:dyDescent="0.3">
      <c r="A29" s="62">
        <f t="shared" si="1"/>
        <v>0.99999999999999978</v>
      </c>
      <c r="B29" s="67">
        <f t="shared" si="2"/>
        <v>25</v>
      </c>
      <c r="C29" s="68">
        <v>3.205128205128205E-3</v>
      </c>
      <c r="D29" s="68">
        <v>9.6153846153846159E-3</v>
      </c>
      <c r="E29" s="68">
        <v>1.6025641025641024E-2</v>
      </c>
      <c r="F29" s="68">
        <v>2.2435897435897436E-2</v>
      </c>
      <c r="G29" s="68">
        <v>2.8846153846153844E-2</v>
      </c>
      <c r="H29" s="68">
        <v>3.5256410256410256E-2</v>
      </c>
      <c r="I29" s="68">
        <v>4.1666666666666671E-2</v>
      </c>
      <c r="J29" s="68">
        <v>4.8076923076923073E-2</v>
      </c>
      <c r="K29" s="68">
        <v>5.4487179487179488E-2</v>
      </c>
      <c r="L29" s="68">
        <v>6.0897435897435889E-2</v>
      </c>
      <c r="M29" s="68">
        <v>6.7307692307692304E-2</v>
      </c>
      <c r="N29" s="68">
        <v>7.371794871794872E-2</v>
      </c>
      <c r="O29" s="68">
        <v>7.6923076923076927E-2</v>
      </c>
      <c r="P29" s="68">
        <v>7.371794871794872E-2</v>
      </c>
      <c r="Q29" s="68">
        <v>6.7307692307692304E-2</v>
      </c>
      <c r="R29" s="68">
        <v>6.0897435897435889E-2</v>
      </c>
      <c r="S29" s="68">
        <v>5.4487179487179488E-2</v>
      </c>
      <c r="T29" s="68">
        <v>4.8076923076923073E-2</v>
      </c>
      <c r="U29" s="68">
        <v>4.1666666666666671E-2</v>
      </c>
      <c r="V29" s="68">
        <v>3.5256410256410256E-2</v>
      </c>
      <c r="W29" s="68">
        <v>2.8846153846153844E-2</v>
      </c>
      <c r="X29" s="68">
        <v>2.2435897435897436E-2</v>
      </c>
      <c r="Y29" s="68">
        <v>1.6025641025641024E-2</v>
      </c>
      <c r="Z29" s="68">
        <v>9.6153846153846159E-3</v>
      </c>
      <c r="AA29" s="68">
        <v>3.205128205128205E-3</v>
      </c>
      <c r="AB29" s="69"/>
      <c r="AC29" s="69"/>
      <c r="AD29" s="69"/>
      <c r="AE29" s="69"/>
      <c r="AF29" s="69"/>
      <c r="AG29" s="69"/>
      <c r="AH29" s="69"/>
      <c r="AI29" s="69"/>
      <c r="AJ29" s="69"/>
      <c r="AK29" s="69"/>
      <c r="AL29" s="70"/>
    </row>
    <row r="30" spans="1:53" x14ac:dyDescent="0.3">
      <c r="A30" s="62">
        <f t="shared" si="1"/>
        <v>1</v>
      </c>
      <c r="B30" s="67">
        <f t="shared" si="2"/>
        <v>26</v>
      </c>
      <c r="C30" s="68">
        <v>5.4945054945054949E-3</v>
      </c>
      <c r="D30" s="68">
        <v>1.098901098901099E-2</v>
      </c>
      <c r="E30" s="68">
        <v>1.6483516483516484E-2</v>
      </c>
      <c r="F30" s="68">
        <v>2.197802197802198E-2</v>
      </c>
      <c r="G30" s="68">
        <v>2.7472527472527476E-2</v>
      </c>
      <c r="H30" s="68">
        <v>3.2967032967032968E-2</v>
      </c>
      <c r="I30" s="68">
        <v>3.8461538461538464E-2</v>
      </c>
      <c r="J30" s="68">
        <v>4.3956043956043959E-2</v>
      </c>
      <c r="K30" s="68">
        <v>4.9450549450549455E-2</v>
      </c>
      <c r="L30" s="68">
        <v>5.4945054945054951E-2</v>
      </c>
      <c r="M30" s="68">
        <v>6.0439560439560447E-2</v>
      </c>
      <c r="N30" s="68">
        <v>6.5934065934065936E-2</v>
      </c>
      <c r="O30" s="68">
        <v>7.1428571428571438E-2</v>
      </c>
      <c r="P30" s="68">
        <v>7.1428571428571438E-2</v>
      </c>
      <c r="Q30" s="68">
        <v>6.5934065934065936E-2</v>
      </c>
      <c r="R30" s="68">
        <v>6.0439560439560447E-2</v>
      </c>
      <c r="S30" s="68">
        <v>5.4945054945054951E-2</v>
      </c>
      <c r="T30" s="68">
        <v>4.9450549450549455E-2</v>
      </c>
      <c r="U30" s="68">
        <v>4.3956043956043959E-2</v>
      </c>
      <c r="V30" s="68">
        <v>3.8461538461538464E-2</v>
      </c>
      <c r="W30" s="68">
        <v>3.2967032967032968E-2</v>
      </c>
      <c r="X30" s="68">
        <v>2.7472527472527476E-2</v>
      </c>
      <c r="Y30" s="68">
        <v>2.197802197802198E-2</v>
      </c>
      <c r="Z30" s="68">
        <v>1.6483516483516484E-2</v>
      </c>
      <c r="AA30" s="68">
        <v>1.098901098901099E-2</v>
      </c>
      <c r="AB30" s="68">
        <v>5.4945054945054949E-3</v>
      </c>
      <c r="AC30" s="68"/>
      <c r="AD30" s="68"/>
      <c r="AE30" s="68"/>
      <c r="AF30" s="68"/>
      <c r="AG30" s="68"/>
      <c r="AH30" s="68"/>
      <c r="AI30" s="68"/>
      <c r="AJ30" s="68"/>
      <c r="AK30" s="68"/>
      <c r="AL30" s="71"/>
      <c r="AM30" s="72"/>
      <c r="AN30" s="72"/>
      <c r="AO30" s="72"/>
      <c r="AP30" s="72"/>
      <c r="AQ30" s="72"/>
      <c r="AR30" s="72"/>
      <c r="AS30" s="72"/>
      <c r="AT30" s="72"/>
      <c r="AU30" s="72"/>
      <c r="AV30" s="72"/>
      <c r="AW30" s="72"/>
      <c r="AX30" s="72"/>
      <c r="AY30" s="72"/>
      <c r="AZ30" s="72"/>
    </row>
    <row r="31" spans="1:53" x14ac:dyDescent="0.3">
      <c r="A31" s="62">
        <f t="shared" si="1"/>
        <v>0.99999999999999989</v>
      </c>
      <c r="B31" s="67">
        <f t="shared" si="2"/>
        <v>27</v>
      </c>
      <c r="C31" s="68">
        <v>2.7472527472527475E-3</v>
      </c>
      <c r="D31" s="68">
        <v>8.241758241758242E-3</v>
      </c>
      <c r="E31" s="68">
        <v>1.3736263736263736E-2</v>
      </c>
      <c r="F31" s="68">
        <v>1.9230769230769232E-2</v>
      </c>
      <c r="G31" s="68">
        <v>2.4725274725274728E-2</v>
      </c>
      <c r="H31" s="68">
        <v>3.0219780219780223E-2</v>
      </c>
      <c r="I31" s="68">
        <v>3.5714285714285712E-2</v>
      </c>
      <c r="J31" s="68">
        <v>4.1208791208791215E-2</v>
      </c>
      <c r="K31" s="68">
        <v>4.6703296703296704E-2</v>
      </c>
      <c r="L31" s="68">
        <v>5.2197802197802207E-2</v>
      </c>
      <c r="M31" s="68">
        <v>5.7692307692307696E-2</v>
      </c>
      <c r="N31" s="68">
        <v>6.3186813186813184E-2</v>
      </c>
      <c r="O31" s="68">
        <v>6.8681318681318687E-2</v>
      </c>
      <c r="P31" s="68">
        <v>7.1428571428571438E-2</v>
      </c>
      <c r="Q31" s="68">
        <v>6.8681318681318687E-2</v>
      </c>
      <c r="R31" s="68">
        <v>6.3186813186813184E-2</v>
      </c>
      <c r="S31" s="68">
        <v>5.7692307692307696E-2</v>
      </c>
      <c r="T31" s="68">
        <v>5.2197802197802207E-2</v>
      </c>
      <c r="U31" s="68">
        <v>4.6703296703296704E-2</v>
      </c>
      <c r="V31" s="68">
        <v>4.1208791208791215E-2</v>
      </c>
      <c r="W31" s="68">
        <v>3.5714285714285712E-2</v>
      </c>
      <c r="X31" s="68">
        <v>3.0219780219780223E-2</v>
      </c>
      <c r="Y31" s="68">
        <v>2.4725274725274728E-2</v>
      </c>
      <c r="Z31" s="68">
        <v>1.9230769230769232E-2</v>
      </c>
      <c r="AA31" s="68">
        <v>1.3736263736263736E-2</v>
      </c>
      <c r="AB31" s="68">
        <v>8.241758241758242E-3</v>
      </c>
      <c r="AC31" s="68">
        <v>2.7472527472527475E-3</v>
      </c>
      <c r="AD31" s="68"/>
      <c r="AE31" s="68"/>
      <c r="AF31" s="68"/>
      <c r="AG31" s="68"/>
      <c r="AH31" s="68"/>
      <c r="AI31" s="68"/>
      <c r="AJ31" s="68"/>
      <c r="AK31" s="68"/>
      <c r="AL31" s="71"/>
      <c r="AM31" s="72"/>
      <c r="AN31" s="72"/>
      <c r="AO31" s="72"/>
      <c r="AP31" s="72"/>
      <c r="AQ31" s="72"/>
      <c r="AR31" s="72"/>
      <c r="AS31" s="72"/>
      <c r="AT31" s="72"/>
      <c r="AU31" s="72"/>
      <c r="AV31" s="72"/>
      <c r="AW31" s="72"/>
      <c r="AX31" s="72"/>
      <c r="AY31" s="72"/>
      <c r="AZ31" s="72"/>
      <c r="BA31" s="72"/>
    </row>
    <row r="32" spans="1:53" x14ac:dyDescent="0.3">
      <c r="A32" s="62">
        <f t="shared" si="1"/>
        <v>1</v>
      </c>
      <c r="B32" s="67">
        <f t="shared" si="2"/>
        <v>28</v>
      </c>
      <c r="C32" s="68">
        <v>4.7619047619047623E-3</v>
      </c>
      <c r="D32" s="68">
        <v>9.5238095238095247E-3</v>
      </c>
      <c r="E32" s="68">
        <v>1.4285714285714287E-2</v>
      </c>
      <c r="F32" s="68">
        <v>1.9047619047619049E-2</v>
      </c>
      <c r="G32" s="68">
        <v>2.3809523809523812E-2</v>
      </c>
      <c r="H32" s="68">
        <v>2.8571428571428574E-2</v>
      </c>
      <c r="I32" s="68">
        <v>3.333333333333334E-2</v>
      </c>
      <c r="J32" s="68">
        <v>3.8095238095238099E-2</v>
      </c>
      <c r="K32" s="68">
        <v>4.2857142857142858E-2</v>
      </c>
      <c r="L32" s="68">
        <v>4.7619047619047623E-2</v>
      </c>
      <c r="M32" s="68">
        <v>5.2380952380952389E-2</v>
      </c>
      <c r="N32" s="68">
        <v>5.7142857142857148E-2</v>
      </c>
      <c r="O32" s="68">
        <v>6.1904761904761907E-2</v>
      </c>
      <c r="P32" s="68">
        <v>6.666666666666668E-2</v>
      </c>
      <c r="Q32" s="68">
        <v>6.666666666666668E-2</v>
      </c>
      <c r="R32" s="68">
        <v>6.1904761904761907E-2</v>
      </c>
      <c r="S32" s="68">
        <v>5.7142857142857148E-2</v>
      </c>
      <c r="T32" s="68">
        <v>5.2380952380952389E-2</v>
      </c>
      <c r="U32" s="68">
        <v>4.7619047619047623E-2</v>
      </c>
      <c r="V32" s="68">
        <v>4.2857142857142858E-2</v>
      </c>
      <c r="W32" s="68">
        <v>3.8095238095238099E-2</v>
      </c>
      <c r="X32" s="68">
        <v>3.333333333333334E-2</v>
      </c>
      <c r="Y32" s="68">
        <v>2.8571428571428574E-2</v>
      </c>
      <c r="Z32" s="68">
        <v>2.3809523809523812E-2</v>
      </c>
      <c r="AA32" s="68">
        <v>1.9047619047619049E-2</v>
      </c>
      <c r="AB32" s="68">
        <v>1.4285714285714287E-2</v>
      </c>
      <c r="AC32" s="68">
        <v>9.5238095238095247E-3</v>
      </c>
      <c r="AD32" s="68">
        <v>4.7619047619047623E-3</v>
      </c>
      <c r="AE32" s="68"/>
      <c r="AF32" s="68"/>
      <c r="AG32" s="68"/>
      <c r="AH32" s="68"/>
      <c r="AI32" s="68"/>
      <c r="AJ32" s="68"/>
      <c r="AK32" s="68"/>
      <c r="AL32" s="71"/>
      <c r="AM32" s="72"/>
      <c r="AN32" s="72"/>
      <c r="AO32" s="72"/>
      <c r="AP32" s="72"/>
      <c r="AQ32" s="72"/>
      <c r="AR32" s="72"/>
      <c r="AS32" s="72"/>
      <c r="AT32" s="72"/>
      <c r="AU32" s="72"/>
      <c r="AV32" s="72"/>
      <c r="AW32" s="72"/>
      <c r="AX32" s="72"/>
      <c r="AY32" s="72"/>
      <c r="AZ32" s="72"/>
      <c r="BA32" s="72"/>
    </row>
    <row r="33" spans="1:53" x14ac:dyDescent="0.3">
      <c r="A33" s="62">
        <f t="shared" si="1"/>
        <v>1.0000000000000002</v>
      </c>
      <c r="B33" s="67">
        <f t="shared" si="2"/>
        <v>29</v>
      </c>
      <c r="C33" s="68">
        <v>2.3809523809523812E-3</v>
      </c>
      <c r="D33" s="68">
        <v>7.1428571428571435E-3</v>
      </c>
      <c r="E33" s="68">
        <v>1.1904761904761906E-2</v>
      </c>
      <c r="F33" s="68">
        <v>1.666666666666667E-2</v>
      </c>
      <c r="G33" s="68">
        <v>2.1428571428571429E-2</v>
      </c>
      <c r="H33" s="68">
        <v>2.6190476190476195E-2</v>
      </c>
      <c r="I33" s="68">
        <v>3.0952380952380957E-2</v>
      </c>
      <c r="J33" s="68">
        <v>3.5714285714285719E-2</v>
      </c>
      <c r="K33" s="68">
        <v>4.0476190476190478E-2</v>
      </c>
      <c r="L33" s="68">
        <v>4.5238095238095244E-2</v>
      </c>
      <c r="M33" s="68">
        <v>0.05</v>
      </c>
      <c r="N33" s="68">
        <v>5.4761904761904769E-2</v>
      </c>
      <c r="O33" s="68">
        <v>5.9523809523809527E-2</v>
      </c>
      <c r="P33" s="68">
        <v>6.4285714285714293E-2</v>
      </c>
      <c r="Q33" s="68">
        <v>6.666666666666668E-2</v>
      </c>
      <c r="R33" s="68">
        <v>6.4285714285714293E-2</v>
      </c>
      <c r="S33" s="68">
        <v>5.9523809523809527E-2</v>
      </c>
      <c r="T33" s="68">
        <v>5.4761904761904769E-2</v>
      </c>
      <c r="U33" s="68">
        <v>0.05</v>
      </c>
      <c r="V33" s="68">
        <v>4.5238095238095244E-2</v>
      </c>
      <c r="W33" s="68">
        <v>4.0476190476190478E-2</v>
      </c>
      <c r="X33" s="68">
        <v>3.5714285714285719E-2</v>
      </c>
      <c r="Y33" s="68">
        <v>3.0952380952380957E-2</v>
      </c>
      <c r="Z33" s="68">
        <v>2.6190476190476195E-2</v>
      </c>
      <c r="AA33" s="68">
        <v>2.1428571428571429E-2</v>
      </c>
      <c r="AB33" s="68">
        <v>1.666666666666667E-2</v>
      </c>
      <c r="AC33" s="68">
        <v>1.1904761904761906E-2</v>
      </c>
      <c r="AD33" s="68">
        <v>7.1428571428571435E-3</v>
      </c>
      <c r="AE33" s="68">
        <v>2.3809523809523812E-3</v>
      </c>
      <c r="AF33" s="68"/>
      <c r="AG33" s="68"/>
      <c r="AH33" s="68"/>
      <c r="AI33" s="68"/>
      <c r="AJ33" s="68"/>
      <c r="AK33" s="68"/>
      <c r="AL33" s="71"/>
      <c r="AM33" s="72"/>
      <c r="AN33" s="72"/>
      <c r="AO33" s="72"/>
      <c r="AP33" s="72"/>
      <c r="AQ33" s="72"/>
      <c r="AR33" s="72"/>
      <c r="AS33" s="72"/>
      <c r="AT33" s="72"/>
      <c r="AU33" s="72"/>
      <c r="AV33" s="72"/>
      <c r="AW33" s="72"/>
      <c r="AX33" s="72"/>
      <c r="AY33" s="72"/>
      <c r="AZ33" s="72"/>
      <c r="BA33" s="72"/>
    </row>
    <row r="34" spans="1:53" x14ac:dyDescent="0.3">
      <c r="A34" s="62">
        <f t="shared" si="1"/>
        <v>1</v>
      </c>
      <c r="B34" s="67">
        <f t="shared" si="2"/>
        <v>30</v>
      </c>
      <c r="C34" s="68">
        <v>4.1666666666666666E-3</v>
      </c>
      <c r="D34" s="68">
        <v>8.3333333333333332E-3</v>
      </c>
      <c r="E34" s="68">
        <v>1.2500000000000001E-2</v>
      </c>
      <c r="F34" s="68">
        <v>1.6666666666666666E-2</v>
      </c>
      <c r="G34" s="68">
        <v>2.0833333333333332E-2</v>
      </c>
      <c r="H34" s="68">
        <v>2.5000000000000001E-2</v>
      </c>
      <c r="I34" s="68">
        <v>2.9166666666666667E-2</v>
      </c>
      <c r="J34" s="68">
        <v>3.3333333333333333E-2</v>
      </c>
      <c r="K34" s="68">
        <v>3.7499999999999999E-2</v>
      </c>
      <c r="L34" s="68">
        <v>4.1666666666666664E-2</v>
      </c>
      <c r="M34" s="68">
        <v>4.583333333333333E-2</v>
      </c>
      <c r="N34" s="68">
        <v>0.05</v>
      </c>
      <c r="O34" s="68">
        <v>5.4166666666666669E-2</v>
      </c>
      <c r="P34" s="68">
        <v>5.8333333333333334E-2</v>
      </c>
      <c r="Q34" s="68">
        <v>6.25E-2</v>
      </c>
      <c r="R34" s="68">
        <v>6.25E-2</v>
      </c>
      <c r="S34" s="68">
        <v>5.8333333333333334E-2</v>
      </c>
      <c r="T34" s="68">
        <v>5.4166666666666669E-2</v>
      </c>
      <c r="U34" s="68">
        <v>0.05</v>
      </c>
      <c r="V34" s="68">
        <v>4.583333333333333E-2</v>
      </c>
      <c r="W34" s="68">
        <v>4.1666666666666664E-2</v>
      </c>
      <c r="X34" s="68">
        <v>3.7499999999999999E-2</v>
      </c>
      <c r="Y34" s="68">
        <v>3.3333333333333333E-2</v>
      </c>
      <c r="Z34" s="68">
        <v>2.9166666666666667E-2</v>
      </c>
      <c r="AA34" s="68">
        <v>2.5000000000000001E-2</v>
      </c>
      <c r="AB34" s="68">
        <v>2.0833333333333332E-2</v>
      </c>
      <c r="AC34" s="68">
        <v>1.6666666666666666E-2</v>
      </c>
      <c r="AD34" s="68">
        <v>1.2500000000000001E-2</v>
      </c>
      <c r="AE34" s="68">
        <v>8.3333333333333332E-3</v>
      </c>
      <c r="AF34" s="68">
        <v>4.1666666666666666E-3</v>
      </c>
      <c r="AG34" s="68"/>
      <c r="AH34" s="68"/>
      <c r="AI34" s="68"/>
      <c r="AJ34" s="68"/>
      <c r="AK34" s="68"/>
      <c r="AL34" s="71"/>
      <c r="AM34" s="72"/>
      <c r="AN34" s="72"/>
      <c r="AO34" s="72"/>
      <c r="AP34" s="72"/>
      <c r="AQ34" s="72"/>
      <c r="AR34" s="72"/>
      <c r="AS34" s="72"/>
      <c r="AT34" s="72"/>
      <c r="AU34" s="72"/>
      <c r="AV34" s="72"/>
      <c r="AW34" s="72"/>
      <c r="AX34" s="72"/>
      <c r="AY34" s="72"/>
      <c r="AZ34" s="72"/>
      <c r="BA34" s="72"/>
    </row>
    <row r="35" spans="1:53" x14ac:dyDescent="0.3">
      <c r="A35" s="62">
        <f t="shared" si="1"/>
        <v>1</v>
      </c>
      <c r="B35" s="67">
        <f t="shared" si="2"/>
        <v>31</v>
      </c>
      <c r="C35" s="68">
        <v>2.0833333333333333E-3</v>
      </c>
      <c r="D35" s="68">
        <v>6.2500000000000003E-3</v>
      </c>
      <c r="E35" s="68">
        <v>1.0416666666666668E-2</v>
      </c>
      <c r="F35" s="68">
        <v>1.4583333333333334E-2</v>
      </c>
      <c r="G35" s="68">
        <v>1.8749999999999999E-2</v>
      </c>
      <c r="H35" s="68">
        <v>2.2916666666666669E-2</v>
      </c>
      <c r="I35" s="68">
        <v>2.7083333333333334E-2</v>
      </c>
      <c r="J35" s="68">
        <v>3.125E-2</v>
      </c>
      <c r="K35" s="68">
        <v>3.5416666666666666E-2</v>
      </c>
      <c r="L35" s="68">
        <v>3.9583333333333331E-2</v>
      </c>
      <c r="M35" s="68">
        <v>4.3749999999999997E-2</v>
      </c>
      <c r="N35" s="68">
        <v>4.7916666666666663E-2</v>
      </c>
      <c r="O35" s="68">
        <v>5.2083333333333336E-2</v>
      </c>
      <c r="P35" s="68">
        <v>5.6250000000000001E-2</v>
      </c>
      <c r="Q35" s="68">
        <v>6.0416666666666667E-2</v>
      </c>
      <c r="R35" s="68">
        <v>6.25E-2</v>
      </c>
      <c r="S35" s="68">
        <v>6.0416666666666667E-2</v>
      </c>
      <c r="T35" s="68">
        <v>5.6250000000000001E-2</v>
      </c>
      <c r="U35" s="68">
        <v>5.2083333333333336E-2</v>
      </c>
      <c r="V35" s="68">
        <v>4.7916666666666663E-2</v>
      </c>
      <c r="W35" s="68">
        <v>4.3749999999999997E-2</v>
      </c>
      <c r="X35" s="68">
        <v>3.9583333333333331E-2</v>
      </c>
      <c r="Y35" s="68">
        <v>3.5416666666666666E-2</v>
      </c>
      <c r="Z35" s="68">
        <v>3.125E-2</v>
      </c>
      <c r="AA35" s="68">
        <v>2.7083333333333334E-2</v>
      </c>
      <c r="AB35" s="68">
        <v>2.2916666666666669E-2</v>
      </c>
      <c r="AC35" s="68">
        <v>1.8749999999999999E-2</v>
      </c>
      <c r="AD35" s="68">
        <v>1.4583333333333334E-2</v>
      </c>
      <c r="AE35" s="68">
        <v>1.0416666666666668E-2</v>
      </c>
      <c r="AF35" s="68">
        <v>6.2500000000000003E-3</v>
      </c>
      <c r="AG35" s="68">
        <v>2.0833333333333333E-3</v>
      </c>
      <c r="AH35" s="68"/>
      <c r="AI35" s="68"/>
      <c r="AJ35" s="68"/>
      <c r="AK35" s="68"/>
      <c r="AL35" s="71"/>
      <c r="AM35" s="72"/>
      <c r="AN35" s="72"/>
      <c r="AO35" s="72"/>
      <c r="AP35" s="72"/>
      <c r="AQ35" s="72"/>
      <c r="AR35" s="72"/>
      <c r="AS35" s="72"/>
      <c r="AT35" s="72"/>
      <c r="AU35" s="72"/>
      <c r="AV35" s="72"/>
      <c r="AW35" s="72"/>
      <c r="AX35" s="72"/>
      <c r="AY35" s="72"/>
      <c r="AZ35" s="72"/>
      <c r="BA35" s="72"/>
    </row>
    <row r="36" spans="1:53" x14ac:dyDescent="0.3">
      <c r="A36" s="62">
        <f t="shared" si="1"/>
        <v>1</v>
      </c>
      <c r="B36" s="67">
        <f t="shared" si="2"/>
        <v>32</v>
      </c>
      <c r="C36" s="68">
        <v>3.6764705882352941E-3</v>
      </c>
      <c r="D36" s="68">
        <v>7.3529411764705881E-3</v>
      </c>
      <c r="E36" s="68">
        <v>1.1029411764705881E-2</v>
      </c>
      <c r="F36" s="68">
        <v>1.4705882352941176E-2</v>
      </c>
      <c r="G36" s="68">
        <v>1.8382352941176471E-2</v>
      </c>
      <c r="H36" s="68">
        <v>2.2058823529411763E-2</v>
      </c>
      <c r="I36" s="68">
        <v>2.5735294117647058E-2</v>
      </c>
      <c r="J36" s="68">
        <v>2.9411764705882353E-2</v>
      </c>
      <c r="K36" s="68">
        <v>3.3088235294117647E-2</v>
      </c>
      <c r="L36" s="68">
        <v>3.6764705882352942E-2</v>
      </c>
      <c r="M36" s="68">
        <v>4.0441176470588237E-2</v>
      </c>
      <c r="N36" s="68">
        <v>4.4117647058823525E-2</v>
      </c>
      <c r="O36" s="68">
        <v>4.779411764705882E-2</v>
      </c>
      <c r="P36" s="68">
        <v>5.1470588235294115E-2</v>
      </c>
      <c r="Q36" s="68">
        <v>5.514705882352941E-2</v>
      </c>
      <c r="R36" s="68">
        <v>5.8823529411764705E-2</v>
      </c>
      <c r="S36" s="68">
        <v>5.8823529411764705E-2</v>
      </c>
      <c r="T36" s="68">
        <v>5.514705882352941E-2</v>
      </c>
      <c r="U36" s="68">
        <v>5.1470588235294115E-2</v>
      </c>
      <c r="V36" s="68">
        <v>4.779411764705882E-2</v>
      </c>
      <c r="W36" s="68">
        <v>4.4117647058823525E-2</v>
      </c>
      <c r="X36" s="68">
        <v>4.0441176470588237E-2</v>
      </c>
      <c r="Y36" s="68">
        <v>3.6764705882352942E-2</v>
      </c>
      <c r="Z36" s="68">
        <v>3.3088235294117647E-2</v>
      </c>
      <c r="AA36" s="68">
        <v>2.9411764705882353E-2</v>
      </c>
      <c r="AB36" s="68">
        <v>2.5735294117647058E-2</v>
      </c>
      <c r="AC36" s="68">
        <v>2.2058823529411763E-2</v>
      </c>
      <c r="AD36" s="68">
        <v>1.8382352941176471E-2</v>
      </c>
      <c r="AE36" s="68">
        <v>1.4705882352941176E-2</v>
      </c>
      <c r="AF36" s="68">
        <v>1.1029411764705881E-2</v>
      </c>
      <c r="AG36" s="68">
        <v>7.3529411764705881E-3</v>
      </c>
      <c r="AH36" s="68">
        <v>3.6764705882352941E-3</v>
      </c>
      <c r="AI36" s="68"/>
      <c r="AJ36" s="68"/>
      <c r="AK36" s="68"/>
      <c r="AL36" s="71"/>
      <c r="AM36" s="72"/>
      <c r="AN36" s="72"/>
      <c r="AO36" s="72"/>
      <c r="AP36" s="72"/>
      <c r="AQ36" s="72"/>
      <c r="AR36" s="72"/>
      <c r="AS36" s="72"/>
      <c r="AT36" s="72"/>
      <c r="AU36" s="72"/>
      <c r="AV36" s="72"/>
      <c r="AW36" s="72"/>
      <c r="AX36" s="72"/>
      <c r="AY36" s="72"/>
      <c r="AZ36" s="72"/>
      <c r="BA36" s="72"/>
    </row>
    <row r="37" spans="1:53" x14ac:dyDescent="0.3">
      <c r="A37" s="62">
        <f t="shared" si="1"/>
        <v>0.99999999999999989</v>
      </c>
      <c r="B37" s="67">
        <f t="shared" si="2"/>
        <v>33</v>
      </c>
      <c r="C37" s="68">
        <v>1.838235294117647E-3</v>
      </c>
      <c r="D37" s="68">
        <v>5.5147058823529407E-3</v>
      </c>
      <c r="E37" s="68">
        <v>9.1911764705882339E-3</v>
      </c>
      <c r="F37" s="68">
        <v>1.2867647058823529E-2</v>
      </c>
      <c r="G37" s="68">
        <v>1.6544117647058824E-2</v>
      </c>
      <c r="H37" s="68">
        <v>2.0220588235294115E-2</v>
      </c>
      <c r="I37" s="68">
        <v>2.389705882352941E-2</v>
      </c>
      <c r="J37" s="68">
        <v>2.7573529411764705E-2</v>
      </c>
      <c r="K37" s="68">
        <v>3.125E-2</v>
      </c>
      <c r="L37" s="68">
        <v>3.4926470588235295E-2</v>
      </c>
      <c r="M37" s="68">
        <v>3.860294117647059E-2</v>
      </c>
      <c r="N37" s="68">
        <v>4.2279411764705885E-2</v>
      </c>
      <c r="O37" s="68">
        <v>4.5955882352941173E-2</v>
      </c>
      <c r="P37" s="68">
        <v>4.9632352941176468E-2</v>
      </c>
      <c r="Q37" s="68">
        <v>5.3308823529411763E-2</v>
      </c>
      <c r="R37" s="68">
        <v>5.6985294117647058E-2</v>
      </c>
      <c r="S37" s="68">
        <v>5.8823529411764705E-2</v>
      </c>
      <c r="T37" s="68">
        <v>5.6985294117647058E-2</v>
      </c>
      <c r="U37" s="68">
        <v>5.3308823529411763E-2</v>
      </c>
      <c r="V37" s="68">
        <v>4.9632352941176468E-2</v>
      </c>
      <c r="W37" s="68">
        <v>4.5955882352941173E-2</v>
      </c>
      <c r="X37" s="68">
        <v>4.2279411764705885E-2</v>
      </c>
      <c r="Y37" s="68">
        <v>3.860294117647059E-2</v>
      </c>
      <c r="Z37" s="68">
        <v>3.4926470588235295E-2</v>
      </c>
      <c r="AA37" s="68">
        <v>3.125E-2</v>
      </c>
      <c r="AB37" s="68">
        <v>2.7573529411764705E-2</v>
      </c>
      <c r="AC37" s="68">
        <v>2.389705882352941E-2</v>
      </c>
      <c r="AD37" s="68">
        <v>2.0220588235294115E-2</v>
      </c>
      <c r="AE37" s="68">
        <v>1.6544117647058824E-2</v>
      </c>
      <c r="AF37" s="68">
        <v>1.2867647058823529E-2</v>
      </c>
      <c r="AG37" s="68">
        <v>9.1911764705882339E-3</v>
      </c>
      <c r="AH37" s="68">
        <v>5.5147058823529407E-3</v>
      </c>
      <c r="AI37" s="68">
        <v>1.838235294117647E-3</v>
      </c>
      <c r="AJ37" s="68"/>
      <c r="AK37" s="68"/>
      <c r="AL37" s="71"/>
      <c r="AM37" s="72"/>
      <c r="AN37" s="72"/>
      <c r="AO37" s="72"/>
      <c r="AP37" s="72"/>
      <c r="AQ37" s="72"/>
      <c r="AR37" s="72"/>
      <c r="AS37" s="72"/>
      <c r="AT37" s="72"/>
      <c r="AU37" s="72"/>
      <c r="AV37" s="72"/>
      <c r="AW37" s="72"/>
      <c r="AX37" s="72"/>
      <c r="AY37" s="72"/>
      <c r="AZ37" s="72"/>
      <c r="BA37" s="72"/>
    </row>
    <row r="38" spans="1:53" x14ac:dyDescent="0.3">
      <c r="A38" s="62">
        <f t="shared" si="1"/>
        <v>1.0000000000000002</v>
      </c>
      <c r="B38" s="67">
        <f t="shared" si="2"/>
        <v>34</v>
      </c>
      <c r="C38" s="68">
        <v>3.2679738562091504E-3</v>
      </c>
      <c r="D38" s="68">
        <v>6.5359477124183009E-3</v>
      </c>
      <c r="E38" s="68">
        <v>9.8039215686274508E-3</v>
      </c>
      <c r="F38" s="68">
        <v>1.3071895424836602E-2</v>
      </c>
      <c r="G38" s="68">
        <v>1.6339869281045753E-2</v>
      </c>
      <c r="H38" s="68">
        <v>1.9607843137254902E-2</v>
      </c>
      <c r="I38" s="68">
        <v>2.2875816993464054E-2</v>
      </c>
      <c r="J38" s="68">
        <v>2.6143790849673203E-2</v>
      </c>
      <c r="K38" s="68">
        <v>2.9411764705882353E-2</v>
      </c>
      <c r="L38" s="68">
        <v>3.2679738562091505E-2</v>
      </c>
      <c r="M38" s="68">
        <v>3.5947712418300658E-2</v>
      </c>
      <c r="N38" s="68">
        <v>3.9215686274509803E-2</v>
      </c>
      <c r="O38" s="68">
        <v>4.2483660130718956E-2</v>
      </c>
      <c r="P38" s="68">
        <v>4.5751633986928109E-2</v>
      </c>
      <c r="Q38" s="68">
        <v>4.9019607843137254E-2</v>
      </c>
      <c r="R38" s="68">
        <v>5.2287581699346407E-2</v>
      </c>
      <c r="S38" s="68">
        <v>5.5555555555555559E-2</v>
      </c>
      <c r="T38" s="68">
        <v>5.5555555555555559E-2</v>
      </c>
      <c r="U38" s="68">
        <v>5.2287581699346407E-2</v>
      </c>
      <c r="V38" s="68">
        <v>4.9019607843137254E-2</v>
      </c>
      <c r="W38" s="68">
        <v>4.5751633986928109E-2</v>
      </c>
      <c r="X38" s="68">
        <v>4.2483660130718956E-2</v>
      </c>
      <c r="Y38" s="68">
        <v>3.9215686274509803E-2</v>
      </c>
      <c r="Z38" s="68">
        <v>3.5947712418300658E-2</v>
      </c>
      <c r="AA38" s="68">
        <v>3.2679738562091505E-2</v>
      </c>
      <c r="AB38" s="68">
        <v>2.9411764705882353E-2</v>
      </c>
      <c r="AC38" s="68">
        <v>2.6143790849673203E-2</v>
      </c>
      <c r="AD38" s="68">
        <v>2.2875816993464054E-2</v>
      </c>
      <c r="AE38" s="68">
        <v>1.9607843137254902E-2</v>
      </c>
      <c r="AF38" s="68">
        <v>1.6339869281045753E-2</v>
      </c>
      <c r="AG38" s="68">
        <v>1.3071895424836602E-2</v>
      </c>
      <c r="AH38" s="68">
        <v>9.8039215686274508E-3</v>
      </c>
      <c r="AI38" s="68">
        <v>6.5359477124183009E-3</v>
      </c>
      <c r="AJ38" s="68">
        <v>3.2679738562091504E-3</v>
      </c>
      <c r="AK38" s="68"/>
      <c r="AL38" s="71"/>
      <c r="AM38" s="72"/>
      <c r="AN38" s="72"/>
      <c r="AO38" s="72"/>
      <c r="AP38" s="72"/>
      <c r="AQ38" s="72"/>
      <c r="AR38" s="72"/>
      <c r="AS38" s="72"/>
      <c r="AT38" s="72"/>
      <c r="AU38" s="72"/>
      <c r="AV38" s="72"/>
      <c r="AW38" s="72"/>
      <c r="AX38" s="72"/>
      <c r="AY38" s="72"/>
      <c r="AZ38" s="72"/>
      <c r="BA38" s="72"/>
    </row>
    <row r="39" spans="1:53" x14ac:dyDescent="0.3">
      <c r="A39" s="62">
        <f t="shared" si="1"/>
        <v>0.99999999999999989</v>
      </c>
      <c r="B39" s="67">
        <f t="shared" si="2"/>
        <v>35</v>
      </c>
      <c r="C39" s="68">
        <v>1.6339869281045752E-3</v>
      </c>
      <c r="D39" s="68">
        <v>4.9019607843137254E-3</v>
      </c>
      <c r="E39" s="68">
        <v>8.1699346405228763E-3</v>
      </c>
      <c r="F39" s="68">
        <v>1.1437908496732027E-2</v>
      </c>
      <c r="G39" s="68">
        <v>1.4705882352941176E-2</v>
      </c>
      <c r="H39" s="68">
        <v>1.7973856209150325E-2</v>
      </c>
      <c r="I39" s="68">
        <v>2.1241830065359478E-2</v>
      </c>
      <c r="J39" s="68">
        <v>2.4509803921568631E-2</v>
      </c>
      <c r="K39" s="68">
        <v>2.7777777777777776E-2</v>
      </c>
      <c r="L39" s="68">
        <v>3.1045751633986929E-2</v>
      </c>
      <c r="M39" s="68">
        <v>3.4313725490196081E-2</v>
      </c>
      <c r="N39" s="68">
        <v>3.7581699346405234E-2</v>
      </c>
      <c r="O39" s="68">
        <v>4.084967320261438E-2</v>
      </c>
      <c r="P39" s="68">
        <v>4.4117647058823532E-2</v>
      </c>
      <c r="Q39" s="68">
        <v>4.7385620915032678E-2</v>
      </c>
      <c r="R39" s="68">
        <v>5.0653594771241831E-2</v>
      </c>
      <c r="S39" s="68">
        <v>5.3921568627450983E-2</v>
      </c>
      <c r="T39" s="68">
        <v>5.5555555555555559E-2</v>
      </c>
      <c r="U39" s="68">
        <v>5.3921568627450983E-2</v>
      </c>
      <c r="V39" s="68">
        <v>5.0653594771241831E-2</v>
      </c>
      <c r="W39" s="68">
        <v>4.7385620915032678E-2</v>
      </c>
      <c r="X39" s="68">
        <v>4.4117647058823532E-2</v>
      </c>
      <c r="Y39" s="68">
        <v>4.084967320261438E-2</v>
      </c>
      <c r="Z39" s="68">
        <v>3.7581699346405234E-2</v>
      </c>
      <c r="AA39" s="68">
        <v>3.4313725490196081E-2</v>
      </c>
      <c r="AB39" s="68">
        <v>3.1045751633986929E-2</v>
      </c>
      <c r="AC39" s="68">
        <v>2.7777777777777776E-2</v>
      </c>
      <c r="AD39" s="68">
        <v>2.4509803921568631E-2</v>
      </c>
      <c r="AE39" s="68">
        <v>2.1241830065359478E-2</v>
      </c>
      <c r="AF39" s="68">
        <v>1.7973856209150325E-2</v>
      </c>
      <c r="AG39" s="68">
        <v>1.4705882352941176E-2</v>
      </c>
      <c r="AH39" s="68">
        <v>1.1437908496732027E-2</v>
      </c>
      <c r="AI39" s="68">
        <v>8.1699346405228763E-3</v>
      </c>
      <c r="AJ39" s="68">
        <v>4.9019607843137254E-3</v>
      </c>
      <c r="AK39" s="68">
        <v>1.6339869281045752E-3</v>
      </c>
      <c r="AL39" s="71"/>
      <c r="AM39" s="72"/>
      <c r="AN39" s="72"/>
      <c r="AO39" s="72"/>
      <c r="AP39" s="72"/>
      <c r="AQ39" s="72"/>
      <c r="AR39" s="72"/>
      <c r="AS39" s="72"/>
      <c r="AT39" s="72"/>
      <c r="AU39" s="72"/>
      <c r="AV39" s="72"/>
      <c r="AW39" s="72"/>
      <c r="AX39" s="72"/>
      <c r="AY39" s="72"/>
      <c r="AZ39" s="72"/>
      <c r="BA39" s="72"/>
    </row>
    <row r="40" spans="1:53" ht="13.5" thickBot="1" x14ac:dyDescent="0.35">
      <c r="A40" s="62">
        <f t="shared" si="1"/>
        <v>1.0000000000000002</v>
      </c>
      <c r="B40" s="73">
        <f t="shared" si="2"/>
        <v>36</v>
      </c>
      <c r="C40" s="74">
        <v>2.9239766081871343E-3</v>
      </c>
      <c r="D40" s="74">
        <v>5.8479532163742687E-3</v>
      </c>
      <c r="E40" s="74">
        <v>8.771929824561403E-3</v>
      </c>
      <c r="F40" s="74">
        <v>1.1695906432748537E-2</v>
      </c>
      <c r="G40" s="74">
        <v>1.4619883040935672E-2</v>
      </c>
      <c r="H40" s="74">
        <v>1.7543859649122806E-2</v>
      </c>
      <c r="I40" s="74">
        <v>2.046783625730994E-2</v>
      </c>
      <c r="J40" s="74">
        <v>2.3391812865497075E-2</v>
      </c>
      <c r="K40" s="74">
        <v>2.6315789473684209E-2</v>
      </c>
      <c r="L40" s="74">
        <v>2.9239766081871343E-2</v>
      </c>
      <c r="M40" s="74">
        <v>3.2163742690058478E-2</v>
      </c>
      <c r="N40" s="74">
        <v>3.5087719298245612E-2</v>
      </c>
      <c r="O40" s="74">
        <v>3.8011695906432746E-2</v>
      </c>
      <c r="P40" s="74">
        <v>4.0935672514619881E-2</v>
      </c>
      <c r="Q40" s="74">
        <v>4.3859649122807015E-2</v>
      </c>
      <c r="R40" s="74">
        <v>4.6783625730994149E-2</v>
      </c>
      <c r="S40" s="74">
        <v>4.9707602339181284E-2</v>
      </c>
      <c r="T40" s="74">
        <v>5.2631578947368418E-2</v>
      </c>
      <c r="U40" s="74">
        <v>5.2631578947368418E-2</v>
      </c>
      <c r="V40" s="74">
        <v>4.9707602339181284E-2</v>
      </c>
      <c r="W40" s="74">
        <v>4.6783625730994149E-2</v>
      </c>
      <c r="X40" s="74">
        <v>4.3859649122807015E-2</v>
      </c>
      <c r="Y40" s="74">
        <v>4.0935672514619881E-2</v>
      </c>
      <c r="Z40" s="74">
        <v>3.8011695906432746E-2</v>
      </c>
      <c r="AA40" s="74">
        <v>3.5087719298245612E-2</v>
      </c>
      <c r="AB40" s="74">
        <v>3.2163742690058478E-2</v>
      </c>
      <c r="AC40" s="74">
        <v>2.9239766081871343E-2</v>
      </c>
      <c r="AD40" s="74">
        <v>2.6315789473684209E-2</v>
      </c>
      <c r="AE40" s="74">
        <v>2.3391812865497075E-2</v>
      </c>
      <c r="AF40" s="74">
        <v>2.046783625730994E-2</v>
      </c>
      <c r="AG40" s="74">
        <v>1.7543859649122806E-2</v>
      </c>
      <c r="AH40" s="74">
        <v>1.4619883040935672E-2</v>
      </c>
      <c r="AI40" s="74">
        <v>1.1695906432748537E-2</v>
      </c>
      <c r="AJ40" s="74">
        <v>8.771929824561403E-3</v>
      </c>
      <c r="AK40" s="74">
        <v>5.8479532163742687E-3</v>
      </c>
      <c r="AL40" s="75">
        <v>2.9239766081871343E-3</v>
      </c>
      <c r="AM40" s="72"/>
      <c r="AN40" s="72"/>
      <c r="AO40" s="72"/>
      <c r="AP40" s="72"/>
      <c r="AQ40" s="72"/>
      <c r="AR40" s="72"/>
      <c r="AS40" s="72"/>
      <c r="AT40" s="72"/>
      <c r="AU40" s="72"/>
      <c r="AV40" s="72"/>
      <c r="AW40" s="72"/>
      <c r="AX40" s="72"/>
      <c r="AY40" s="72"/>
      <c r="AZ40" s="72"/>
      <c r="BA40" s="72"/>
    </row>
    <row r="41" spans="1:53" x14ac:dyDescent="0.3">
      <c r="B41" s="76"/>
    </row>
    <row r="62" spans="2:2" ht="26" x14ac:dyDescent="0.6">
      <c r="B62" s="77"/>
    </row>
  </sheetData>
  <conditionalFormatting sqref="A8:A40">
    <cfRule type="cellIs" dxfId="4" priority="1" stopIfTrue="1" operator="greaterThan">
      <formula>1</formula>
    </cfRule>
    <cfRule type="cellIs" dxfId="3" priority="2" stopIfTrue="1" operator="lessThan">
      <formula>1</formula>
    </cfRule>
  </conditionalFormatting>
  <pageMargins left="0.39" right="0.28000000000000003" top="0.81" bottom="0.65" header="0.5" footer="0.39"/>
  <pageSetup paperSize="5" scale="22" orientation="landscape" horizontalDpi="1200" verticalDpi="1200" r:id="rId1"/>
  <headerFooter alignWithMargins="0">
    <oddFooter xml:space="preserve">&amp;C&amp;"Garamond,Regular"All Contents Copyright 2009 by BK Investment, Development and Consulting, LLC. All rights reserved.&amp;"Arial,Regular"
</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Q1000"/>
  <sheetViews>
    <sheetView showGridLines="0" zoomScale="70" zoomScaleNormal="70" workbookViewId="0">
      <selection activeCell="S57" sqref="S57"/>
    </sheetView>
  </sheetViews>
  <sheetFormatPr defaultColWidth="14.44140625" defaultRowHeight="15" customHeight="1" x14ac:dyDescent="0.3"/>
  <cols>
    <col min="1" max="2" width="8.44140625" customWidth="1"/>
    <col min="3" max="3" width="24.44140625" customWidth="1"/>
    <col min="4" max="26" width="8.44140625" customWidth="1"/>
  </cols>
  <sheetData>
    <row r="1" spans="2:17" ht="12" customHeight="1" x14ac:dyDescent="0.3">
      <c r="C1" s="2"/>
      <c r="D1" s="2"/>
      <c r="Q1" s="378" t="s">
        <v>616</v>
      </c>
    </row>
    <row r="2" spans="2:17" ht="12" customHeight="1" x14ac:dyDescent="0.3">
      <c r="C2" s="2"/>
      <c r="D2" s="2"/>
      <c r="Q2" s="379" t="s">
        <v>617</v>
      </c>
    </row>
    <row r="3" spans="2:17" ht="12" customHeight="1" x14ac:dyDescent="0.3">
      <c r="B3">
        <v>1</v>
      </c>
      <c r="C3" s="269" t="s">
        <v>618</v>
      </c>
      <c r="D3" s="8"/>
      <c r="Q3" s="379" t="s">
        <v>619</v>
      </c>
    </row>
    <row r="4" spans="2:17" ht="12" customHeight="1" x14ac:dyDescent="0.3">
      <c r="B4">
        <v>2</v>
      </c>
      <c r="C4" s="269" t="s">
        <v>620</v>
      </c>
      <c r="D4" s="2"/>
      <c r="Q4" s="379" t="s">
        <v>621</v>
      </c>
    </row>
    <row r="5" spans="2:17" ht="12" customHeight="1" x14ac:dyDescent="0.3">
      <c r="B5">
        <v>3</v>
      </c>
      <c r="C5" s="269" t="s">
        <v>622</v>
      </c>
      <c r="D5" s="2"/>
    </row>
    <row r="6" spans="2:17" ht="12" customHeight="1" x14ac:dyDescent="0.3">
      <c r="B6">
        <v>4</v>
      </c>
      <c r="C6" s="269" t="s">
        <v>623</v>
      </c>
      <c r="D6" s="2"/>
      <c r="Q6" s="378" t="s">
        <v>624</v>
      </c>
    </row>
    <row r="7" spans="2:17" ht="12" customHeight="1" x14ac:dyDescent="0.3">
      <c r="B7">
        <v>5</v>
      </c>
      <c r="C7" s="269" t="s">
        <v>625</v>
      </c>
      <c r="D7" s="2"/>
      <c r="Q7" s="379" t="s">
        <v>626</v>
      </c>
    </row>
    <row r="8" spans="2:17" ht="12" customHeight="1" x14ac:dyDescent="0.3">
      <c r="B8">
        <v>6</v>
      </c>
      <c r="C8" s="269" t="s">
        <v>627</v>
      </c>
      <c r="D8" s="2"/>
      <c r="Q8" s="379" t="s">
        <v>628</v>
      </c>
    </row>
    <row r="9" spans="2:17" ht="12" customHeight="1" x14ac:dyDescent="0.3">
      <c r="B9">
        <v>7</v>
      </c>
      <c r="C9" s="269" t="s">
        <v>629</v>
      </c>
      <c r="D9" s="2"/>
      <c r="Q9" s="379" t="s">
        <v>630</v>
      </c>
    </row>
    <row r="10" spans="2:17" ht="12" customHeight="1" x14ac:dyDescent="0.3">
      <c r="B10">
        <v>8</v>
      </c>
      <c r="C10" s="269" t="s">
        <v>631</v>
      </c>
      <c r="D10" s="2"/>
      <c r="Q10" s="379" t="s">
        <v>632</v>
      </c>
    </row>
    <row r="11" spans="2:17" ht="12" customHeight="1" x14ac:dyDescent="0.3">
      <c r="B11">
        <v>9</v>
      </c>
      <c r="C11" s="269" t="s">
        <v>633</v>
      </c>
      <c r="D11" s="2"/>
    </row>
    <row r="12" spans="2:17" ht="12" customHeight="1" x14ac:dyDescent="0.3">
      <c r="C12" s="2"/>
      <c r="D12" s="2"/>
      <c r="Q12" s="378" t="s">
        <v>634</v>
      </c>
    </row>
    <row r="13" spans="2:17" ht="12" customHeight="1" x14ac:dyDescent="0.3">
      <c r="C13" s="2"/>
      <c r="D13" s="2"/>
      <c r="Q13" s="379" t="s">
        <v>635</v>
      </c>
    </row>
    <row r="14" spans="2:17" ht="12" customHeight="1" x14ac:dyDescent="0.3">
      <c r="C14" s="2"/>
      <c r="D14" s="2"/>
    </row>
    <row r="15" spans="2:17" ht="12" customHeight="1" x14ac:dyDescent="0.3">
      <c r="C15" s="2"/>
      <c r="D15" s="2"/>
      <c r="Q15" s="378" t="s">
        <v>636</v>
      </c>
    </row>
    <row r="16" spans="2:17" ht="12" customHeight="1" x14ac:dyDescent="0.3">
      <c r="C16" s="2"/>
      <c r="D16" s="2"/>
      <c r="Q16" s="379" t="s">
        <v>637</v>
      </c>
    </row>
    <row r="17" spans="17:17" ht="12" customHeight="1" x14ac:dyDescent="0.3"/>
    <row r="18" spans="17:17" ht="12" customHeight="1" x14ac:dyDescent="0.3">
      <c r="Q18" s="378" t="s">
        <v>638</v>
      </c>
    </row>
    <row r="19" spans="17:17" ht="12" customHeight="1" x14ac:dyDescent="0.3">
      <c r="Q19" s="379" t="s">
        <v>639</v>
      </c>
    </row>
    <row r="20" spans="17:17" ht="12" customHeight="1" x14ac:dyDescent="0.3">
      <c r="Q20" s="379" t="s">
        <v>640</v>
      </c>
    </row>
    <row r="21" spans="17:17" ht="12" customHeight="1" x14ac:dyDescent="0.3">
      <c r="Q21" s="379" t="s">
        <v>641</v>
      </c>
    </row>
    <row r="22" spans="17:17" ht="12" customHeight="1" x14ac:dyDescent="0.3"/>
    <row r="23" spans="17:17" ht="12" customHeight="1" x14ac:dyDescent="0.3">
      <c r="Q23" s="378" t="s">
        <v>642</v>
      </c>
    </row>
    <row r="24" spans="17:17" ht="12" customHeight="1" x14ac:dyDescent="0.3">
      <c r="Q24" s="379" t="s">
        <v>643</v>
      </c>
    </row>
    <row r="25" spans="17:17" ht="12" customHeight="1" x14ac:dyDescent="0.3">
      <c r="Q25" s="379"/>
    </row>
    <row r="26" spans="17:17" ht="12" customHeight="1" x14ac:dyDescent="0.3">
      <c r="Q26" s="378" t="s">
        <v>644</v>
      </c>
    </row>
    <row r="27" spans="17:17" ht="12" customHeight="1" x14ac:dyDescent="0.3">
      <c r="Q27" s="379" t="s">
        <v>645</v>
      </c>
    </row>
    <row r="28" spans="17:17" ht="12" customHeight="1" x14ac:dyDescent="0.3"/>
    <row r="29" spans="17:17" ht="12" customHeight="1" x14ac:dyDescent="0.3">
      <c r="Q29" s="378" t="s">
        <v>646</v>
      </c>
    </row>
    <row r="30" spans="17:17" ht="12" customHeight="1" x14ac:dyDescent="0.3">
      <c r="Q30" s="379" t="s">
        <v>647</v>
      </c>
    </row>
    <row r="31" spans="17:17" ht="12" customHeight="1" x14ac:dyDescent="0.3"/>
    <row r="32" spans="17:17" ht="12" customHeight="1" x14ac:dyDescent="0.3">
      <c r="Q32" s="378" t="s">
        <v>648</v>
      </c>
    </row>
    <row r="33" spans="17:17" ht="12" customHeight="1" x14ac:dyDescent="0.3">
      <c r="Q33" s="379" t="s">
        <v>649</v>
      </c>
    </row>
    <row r="34" spans="17:17" ht="12" customHeight="1" x14ac:dyDescent="0.3"/>
    <row r="35" spans="17:17" ht="12" customHeight="1" x14ac:dyDescent="0.3">
      <c r="Q35" s="378" t="s">
        <v>650</v>
      </c>
    </row>
    <row r="36" spans="17:17" ht="12" customHeight="1" x14ac:dyDescent="0.3">
      <c r="Q36" s="379" t="s">
        <v>651</v>
      </c>
    </row>
    <row r="37" spans="17:17" ht="12" customHeight="1" x14ac:dyDescent="0.3">
      <c r="Q37" s="379" t="s">
        <v>652</v>
      </c>
    </row>
    <row r="38" spans="17:17" ht="12" customHeight="1" x14ac:dyDescent="0.3">
      <c r="Q38" s="379" t="s">
        <v>653</v>
      </c>
    </row>
    <row r="39" spans="17:17" ht="12" customHeight="1" x14ac:dyDescent="0.3">
      <c r="Q39" s="379" t="s">
        <v>654</v>
      </c>
    </row>
    <row r="40" spans="17:17" ht="12" customHeight="1" x14ac:dyDescent="0.3">
      <c r="Q40" s="379" t="s">
        <v>655</v>
      </c>
    </row>
    <row r="41" spans="17:17" ht="12" customHeight="1" x14ac:dyDescent="0.3"/>
    <row r="42" spans="17:17" ht="12" customHeight="1" x14ac:dyDescent="0.3">
      <c r="Q42" s="378" t="s">
        <v>656</v>
      </c>
    </row>
    <row r="43" spans="17:17" ht="12" customHeight="1" x14ac:dyDescent="0.3">
      <c r="Q43" s="379" t="s">
        <v>657</v>
      </c>
    </row>
    <row r="44" spans="17:17" ht="12" customHeight="1" x14ac:dyDescent="0.3">
      <c r="Q44" s="379" t="s">
        <v>658</v>
      </c>
    </row>
    <row r="45" spans="17:17" ht="12" customHeight="1" x14ac:dyDescent="0.3">
      <c r="Q45" s="379" t="s">
        <v>659</v>
      </c>
    </row>
    <row r="46" spans="17:17" ht="12" customHeight="1" x14ac:dyDescent="0.3">
      <c r="Q46" s="379" t="s">
        <v>660</v>
      </c>
    </row>
    <row r="47" spans="17:17" ht="12" customHeight="1" x14ac:dyDescent="0.3"/>
    <row r="48" spans="17:17" ht="12" customHeight="1" x14ac:dyDescent="0.3">
      <c r="Q48" s="378" t="s">
        <v>661</v>
      </c>
    </row>
    <row r="49" spans="17:17" ht="12" customHeight="1" x14ac:dyDescent="0.3">
      <c r="Q49" s="379" t="s">
        <v>662</v>
      </c>
    </row>
    <row r="50" spans="17:17" ht="12" customHeight="1" x14ac:dyDescent="0.3"/>
    <row r="51" spans="17:17" ht="12" customHeight="1" x14ac:dyDescent="0.3"/>
    <row r="52" spans="17:17" ht="12" customHeight="1" x14ac:dyDescent="0.3"/>
    <row r="53" spans="17:17" ht="12" customHeight="1" x14ac:dyDescent="0.3"/>
    <row r="54" spans="17:17" ht="12" customHeight="1" x14ac:dyDescent="0.3"/>
    <row r="55" spans="17:17" ht="12" customHeight="1" x14ac:dyDescent="0.3"/>
    <row r="56" spans="17:17" ht="12" customHeight="1" x14ac:dyDescent="0.3"/>
    <row r="57" spans="17:17" ht="12" customHeight="1" x14ac:dyDescent="0.3"/>
    <row r="58" spans="17:17" ht="12" customHeight="1" x14ac:dyDescent="0.3"/>
    <row r="59" spans="17:17" ht="12" customHeight="1" x14ac:dyDescent="0.3"/>
    <row r="60" spans="17:17" ht="12" customHeight="1" x14ac:dyDescent="0.3"/>
    <row r="61" spans="17:17" ht="12" customHeight="1" x14ac:dyDescent="0.3"/>
    <row r="62" spans="17:17" ht="12" customHeight="1" x14ac:dyDescent="0.3"/>
    <row r="63" spans="17:17" ht="12" customHeight="1" x14ac:dyDescent="0.3"/>
    <row r="64" spans="17:17" ht="12" customHeight="1" x14ac:dyDescent="0.3"/>
    <row r="65" ht="12" customHeight="1" x14ac:dyDescent="0.3"/>
    <row r="66" ht="12" customHeight="1" x14ac:dyDescent="0.3"/>
    <row r="67" ht="12" customHeight="1" x14ac:dyDescent="0.3"/>
    <row r="68" ht="12" customHeight="1" x14ac:dyDescent="0.3"/>
    <row r="69" ht="12" customHeight="1" x14ac:dyDescent="0.3"/>
    <row r="70" ht="12" customHeight="1" x14ac:dyDescent="0.3"/>
    <row r="71" ht="12" customHeight="1" x14ac:dyDescent="0.3"/>
    <row r="72" ht="12" customHeight="1" x14ac:dyDescent="0.3"/>
    <row r="73" ht="12" customHeight="1" x14ac:dyDescent="0.3"/>
    <row r="74" ht="12" customHeight="1" x14ac:dyDescent="0.3"/>
    <row r="75" ht="12" customHeight="1" x14ac:dyDescent="0.3"/>
    <row r="76" ht="12" customHeight="1" x14ac:dyDescent="0.3"/>
    <row r="77" ht="12" customHeight="1" x14ac:dyDescent="0.3"/>
    <row r="78" ht="12" customHeight="1" x14ac:dyDescent="0.3"/>
    <row r="79" ht="12" customHeight="1" x14ac:dyDescent="0.3"/>
    <row r="80" ht="12" customHeight="1" x14ac:dyDescent="0.3"/>
    <row r="81" ht="12" customHeight="1" x14ac:dyDescent="0.3"/>
    <row r="82" ht="12" customHeight="1" x14ac:dyDescent="0.3"/>
    <row r="83" ht="12" customHeight="1" x14ac:dyDescent="0.3"/>
    <row r="84" ht="12" customHeight="1" x14ac:dyDescent="0.3"/>
    <row r="85" ht="12" customHeight="1" x14ac:dyDescent="0.3"/>
    <row r="86" ht="12" customHeight="1" x14ac:dyDescent="0.3"/>
    <row r="87" ht="12" customHeight="1" x14ac:dyDescent="0.3"/>
    <row r="88" ht="12" customHeight="1" x14ac:dyDescent="0.3"/>
    <row r="89" ht="12" customHeight="1" x14ac:dyDescent="0.3"/>
    <row r="90" ht="12" customHeight="1" x14ac:dyDescent="0.3"/>
    <row r="91" ht="12" customHeight="1" x14ac:dyDescent="0.3"/>
    <row r="92" ht="12" customHeight="1" x14ac:dyDescent="0.3"/>
    <row r="93" ht="12" customHeight="1" x14ac:dyDescent="0.3"/>
    <row r="94" ht="12" customHeight="1" x14ac:dyDescent="0.3"/>
    <row r="95" ht="12" customHeight="1" x14ac:dyDescent="0.3"/>
    <row r="96" ht="12" customHeight="1" x14ac:dyDescent="0.3"/>
    <row r="97" ht="12" customHeight="1" x14ac:dyDescent="0.3"/>
    <row r="98" ht="12" customHeight="1" x14ac:dyDescent="0.3"/>
    <row r="99" ht="12" customHeight="1" x14ac:dyDescent="0.3"/>
    <row r="100" ht="12" customHeight="1" x14ac:dyDescent="0.3"/>
    <row r="101" ht="12" customHeight="1" x14ac:dyDescent="0.3"/>
    <row r="102" ht="12" customHeight="1" x14ac:dyDescent="0.3"/>
    <row r="103" ht="12" customHeight="1" x14ac:dyDescent="0.3"/>
    <row r="104" ht="12" customHeight="1" x14ac:dyDescent="0.3"/>
    <row r="105" ht="12" customHeight="1" x14ac:dyDescent="0.3"/>
    <row r="106" ht="12" customHeight="1" x14ac:dyDescent="0.3"/>
    <row r="107" ht="12" customHeight="1" x14ac:dyDescent="0.3"/>
    <row r="108" ht="12" customHeight="1" x14ac:dyDescent="0.3"/>
    <row r="109" ht="12" customHeight="1" x14ac:dyDescent="0.3"/>
    <row r="110" ht="12" customHeight="1" x14ac:dyDescent="0.3"/>
    <row r="111" ht="12" customHeight="1" x14ac:dyDescent="0.3"/>
    <row r="112" ht="12" customHeight="1" x14ac:dyDescent="0.3"/>
    <row r="113" ht="12" customHeight="1" x14ac:dyDescent="0.3"/>
    <row r="114" ht="12" customHeight="1" x14ac:dyDescent="0.3"/>
    <row r="115" ht="12" customHeight="1" x14ac:dyDescent="0.3"/>
    <row r="116" ht="12" customHeight="1" x14ac:dyDescent="0.3"/>
    <row r="117" ht="12" customHeight="1" x14ac:dyDescent="0.3"/>
    <row r="118" ht="12" customHeight="1" x14ac:dyDescent="0.3"/>
    <row r="119" ht="12" customHeight="1" x14ac:dyDescent="0.3"/>
    <row r="120" ht="12" customHeight="1" x14ac:dyDescent="0.3"/>
    <row r="121" ht="12" customHeight="1" x14ac:dyDescent="0.3"/>
    <row r="122" ht="12" customHeight="1" x14ac:dyDescent="0.3"/>
    <row r="123" ht="12" customHeight="1" x14ac:dyDescent="0.3"/>
    <row r="124" ht="12" customHeight="1" x14ac:dyDescent="0.3"/>
    <row r="125" ht="12" customHeight="1" x14ac:dyDescent="0.3"/>
    <row r="126" ht="12" customHeight="1" x14ac:dyDescent="0.3"/>
    <row r="127" ht="12" customHeight="1" x14ac:dyDescent="0.3"/>
    <row r="128" ht="12" customHeight="1" x14ac:dyDescent="0.3"/>
    <row r="129" ht="12" customHeight="1" x14ac:dyDescent="0.3"/>
    <row r="130" ht="12" customHeight="1" x14ac:dyDescent="0.3"/>
    <row r="131" ht="12" customHeight="1" x14ac:dyDescent="0.3"/>
    <row r="132" ht="12" customHeight="1" x14ac:dyDescent="0.3"/>
    <row r="133" ht="12" customHeight="1" x14ac:dyDescent="0.3"/>
    <row r="134" ht="12" customHeight="1" x14ac:dyDescent="0.3"/>
    <row r="135" ht="12" customHeight="1" x14ac:dyDescent="0.3"/>
    <row r="136" ht="12" customHeight="1" x14ac:dyDescent="0.3"/>
    <row r="137" ht="12" customHeight="1" x14ac:dyDescent="0.3"/>
    <row r="138" ht="12" customHeight="1" x14ac:dyDescent="0.3"/>
    <row r="139" ht="12" customHeight="1" x14ac:dyDescent="0.3"/>
    <row r="140" ht="12" customHeight="1" x14ac:dyDescent="0.3"/>
    <row r="141" ht="12" customHeight="1" x14ac:dyDescent="0.3"/>
    <row r="142" ht="12" customHeight="1" x14ac:dyDescent="0.3"/>
    <row r="143" ht="12" customHeight="1" x14ac:dyDescent="0.3"/>
    <row r="144" ht="12" customHeight="1" x14ac:dyDescent="0.3"/>
    <row r="145" ht="12" customHeight="1" x14ac:dyDescent="0.3"/>
    <row r="146" ht="12" customHeight="1" x14ac:dyDescent="0.3"/>
    <row r="147" ht="12" customHeight="1" x14ac:dyDescent="0.3"/>
    <row r="148" ht="12" customHeight="1" x14ac:dyDescent="0.3"/>
    <row r="149" ht="12" customHeight="1" x14ac:dyDescent="0.3"/>
    <row r="150" ht="12" customHeight="1" x14ac:dyDescent="0.3"/>
    <row r="151" ht="12" customHeight="1" x14ac:dyDescent="0.3"/>
    <row r="152" ht="12" customHeight="1" x14ac:dyDescent="0.3"/>
    <row r="153" ht="12" customHeight="1" x14ac:dyDescent="0.3"/>
    <row r="154" ht="12" customHeight="1" x14ac:dyDescent="0.3"/>
    <row r="155" ht="12" customHeight="1" x14ac:dyDescent="0.3"/>
    <row r="156" ht="12" customHeight="1" x14ac:dyDescent="0.3"/>
    <row r="157" ht="12" customHeight="1" x14ac:dyDescent="0.3"/>
    <row r="158" ht="12" customHeight="1" x14ac:dyDescent="0.3"/>
    <row r="159" ht="12" customHeight="1" x14ac:dyDescent="0.3"/>
    <row r="160" ht="12" customHeight="1" x14ac:dyDescent="0.3"/>
    <row r="161" ht="12" customHeight="1" x14ac:dyDescent="0.3"/>
    <row r="162" ht="12" customHeight="1" x14ac:dyDescent="0.3"/>
    <row r="163" ht="12" customHeight="1" x14ac:dyDescent="0.3"/>
    <row r="164" ht="12" customHeight="1" x14ac:dyDescent="0.3"/>
    <row r="165" ht="12" customHeight="1" x14ac:dyDescent="0.3"/>
    <row r="166" ht="12" customHeight="1" x14ac:dyDescent="0.3"/>
    <row r="167" ht="12" customHeight="1" x14ac:dyDescent="0.3"/>
    <row r="168" ht="12" customHeight="1" x14ac:dyDescent="0.3"/>
    <row r="169" ht="12" customHeight="1" x14ac:dyDescent="0.3"/>
    <row r="170" ht="12" customHeight="1" x14ac:dyDescent="0.3"/>
    <row r="171" ht="12" customHeight="1" x14ac:dyDescent="0.3"/>
    <row r="172" ht="12" customHeight="1" x14ac:dyDescent="0.3"/>
    <row r="173" ht="12" customHeight="1" x14ac:dyDescent="0.3"/>
    <row r="174" ht="12" customHeight="1" x14ac:dyDescent="0.3"/>
    <row r="175" ht="12" customHeight="1" x14ac:dyDescent="0.3"/>
    <row r="176" ht="12" customHeight="1" x14ac:dyDescent="0.3"/>
    <row r="177" ht="12" customHeight="1" x14ac:dyDescent="0.3"/>
    <row r="178" ht="12" customHeight="1" x14ac:dyDescent="0.3"/>
    <row r="179" ht="12" customHeight="1" x14ac:dyDescent="0.3"/>
    <row r="180" ht="12" customHeight="1" x14ac:dyDescent="0.3"/>
    <row r="181" ht="12" customHeight="1" x14ac:dyDescent="0.3"/>
    <row r="182" ht="12" customHeight="1" x14ac:dyDescent="0.3"/>
    <row r="183" ht="12" customHeight="1" x14ac:dyDescent="0.3"/>
    <row r="184" ht="12" customHeight="1" x14ac:dyDescent="0.3"/>
    <row r="185" ht="12" customHeight="1" x14ac:dyDescent="0.3"/>
    <row r="186" ht="12" customHeight="1" x14ac:dyDescent="0.3"/>
    <row r="187" ht="12" customHeight="1" x14ac:dyDescent="0.3"/>
    <row r="188" ht="12" customHeight="1" x14ac:dyDescent="0.3"/>
    <row r="189" ht="12" customHeight="1" x14ac:dyDescent="0.3"/>
    <row r="190" ht="12" customHeight="1" x14ac:dyDescent="0.3"/>
    <row r="191" ht="12" customHeight="1" x14ac:dyDescent="0.3"/>
    <row r="192" ht="12" customHeight="1" x14ac:dyDescent="0.3"/>
    <row r="193" ht="12" customHeight="1" x14ac:dyDescent="0.3"/>
    <row r="194" ht="12" customHeight="1" x14ac:dyDescent="0.3"/>
    <row r="195" ht="12" customHeight="1" x14ac:dyDescent="0.3"/>
    <row r="196" ht="12" customHeight="1" x14ac:dyDescent="0.3"/>
    <row r="197" ht="12" customHeight="1" x14ac:dyDescent="0.3"/>
    <row r="198" ht="12" customHeight="1" x14ac:dyDescent="0.3"/>
    <row r="199" ht="12" customHeight="1" x14ac:dyDescent="0.3"/>
    <row r="200" ht="12" customHeight="1" x14ac:dyDescent="0.3"/>
    <row r="201" ht="12" customHeight="1" x14ac:dyDescent="0.3"/>
    <row r="202" ht="12" customHeight="1" x14ac:dyDescent="0.3"/>
    <row r="203" ht="12" customHeight="1" x14ac:dyDescent="0.3"/>
    <row r="204" ht="12" customHeight="1" x14ac:dyDescent="0.3"/>
    <row r="205" ht="12" customHeight="1" x14ac:dyDescent="0.3"/>
    <row r="206" ht="12" customHeight="1" x14ac:dyDescent="0.3"/>
    <row r="207" ht="12" customHeight="1" x14ac:dyDescent="0.3"/>
    <row r="208" ht="12" customHeight="1" x14ac:dyDescent="0.3"/>
    <row r="209" ht="12" customHeight="1" x14ac:dyDescent="0.3"/>
    <row r="210" ht="12" customHeight="1" x14ac:dyDescent="0.3"/>
    <row r="211" ht="12" customHeight="1" x14ac:dyDescent="0.3"/>
    <row r="212" ht="12" customHeight="1" x14ac:dyDescent="0.3"/>
    <row r="213" ht="12" customHeight="1" x14ac:dyDescent="0.3"/>
    <row r="214" ht="12" customHeight="1" x14ac:dyDescent="0.3"/>
    <row r="215" ht="12" customHeight="1" x14ac:dyDescent="0.3"/>
    <row r="216" ht="12" customHeight="1" x14ac:dyDescent="0.3"/>
    <row r="217" ht="12" customHeight="1" x14ac:dyDescent="0.3"/>
    <row r="218" ht="12" customHeight="1" x14ac:dyDescent="0.3"/>
    <row r="219" ht="12" customHeight="1" x14ac:dyDescent="0.3"/>
    <row r="220" ht="12" customHeight="1" x14ac:dyDescent="0.3"/>
    <row r="221" ht="12" customHeight="1" x14ac:dyDescent="0.3"/>
    <row r="222" ht="12" customHeight="1" x14ac:dyDescent="0.3"/>
    <row r="223" ht="12" customHeight="1" x14ac:dyDescent="0.3"/>
    <row r="224" ht="12" customHeight="1" x14ac:dyDescent="0.3"/>
    <row r="225" ht="12" customHeight="1" x14ac:dyDescent="0.3"/>
    <row r="226" ht="12" customHeight="1" x14ac:dyDescent="0.3"/>
    <row r="227" ht="12" customHeight="1" x14ac:dyDescent="0.3"/>
    <row r="228" ht="12" customHeight="1" x14ac:dyDescent="0.3"/>
    <row r="229" ht="12" customHeight="1" x14ac:dyDescent="0.3"/>
    <row r="230" ht="12" customHeight="1" x14ac:dyDescent="0.3"/>
    <row r="231" ht="12" customHeight="1" x14ac:dyDescent="0.3"/>
    <row r="232" ht="12" customHeight="1" x14ac:dyDescent="0.3"/>
    <row r="233" ht="12" customHeight="1" x14ac:dyDescent="0.3"/>
    <row r="234" ht="12" customHeight="1" x14ac:dyDescent="0.3"/>
    <row r="235" ht="12" customHeight="1" x14ac:dyDescent="0.3"/>
    <row r="236" ht="12" customHeight="1" x14ac:dyDescent="0.3"/>
    <row r="237" ht="12" customHeight="1" x14ac:dyDescent="0.3"/>
    <row r="238" ht="12" customHeight="1" x14ac:dyDescent="0.3"/>
    <row r="239" ht="12" customHeight="1" x14ac:dyDescent="0.3"/>
    <row r="240" ht="12" customHeight="1" x14ac:dyDescent="0.3"/>
    <row r="241" ht="12" customHeight="1" x14ac:dyDescent="0.3"/>
    <row r="242" ht="12" customHeight="1" x14ac:dyDescent="0.3"/>
    <row r="243" ht="12" customHeight="1" x14ac:dyDescent="0.3"/>
    <row r="244" ht="12" customHeight="1" x14ac:dyDescent="0.3"/>
    <row r="245" ht="12" customHeight="1" x14ac:dyDescent="0.3"/>
    <row r="246" ht="12" customHeight="1" x14ac:dyDescent="0.3"/>
    <row r="247" ht="12" customHeight="1" x14ac:dyDescent="0.3"/>
    <row r="248" ht="12" customHeight="1" x14ac:dyDescent="0.3"/>
    <row r="249" ht="12" customHeight="1" x14ac:dyDescent="0.3"/>
    <row r="250" ht="12" customHeight="1" x14ac:dyDescent="0.3"/>
    <row r="251" ht="12" customHeight="1" x14ac:dyDescent="0.3"/>
    <row r="252" ht="12" customHeight="1" x14ac:dyDescent="0.3"/>
    <row r="253" ht="12" customHeight="1" x14ac:dyDescent="0.3"/>
    <row r="254" ht="12" customHeight="1" x14ac:dyDescent="0.3"/>
    <row r="255" ht="12" customHeight="1" x14ac:dyDescent="0.3"/>
    <row r="256" ht="12" customHeight="1" x14ac:dyDescent="0.3"/>
    <row r="257" ht="12" customHeight="1" x14ac:dyDescent="0.3"/>
    <row r="258" ht="12" customHeight="1" x14ac:dyDescent="0.3"/>
    <row r="259" ht="12" customHeight="1" x14ac:dyDescent="0.3"/>
    <row r="260" ht="12" customHeight="1" x14ac:dyDescent="0.3"/>
    <row r="261" ht="12" customHeight="1" x14ac:dyDescent="0.3"/>
    <row r="262" ht="12" customHeight="1" x14ac:dyDescent="0.3"/>
    <row r="263" ht="12" customHeight="1" x14ac:dyDescent="0.3"/>
    <row r="264" ht="12" customHeight="1" x14ac:dyDescent="0.3"/>
    <row r="265" ht="12" customHeight="1" x14ac:dyDescent="0.3"/>
    <row r="266" ht="12" customHeight="1" x14ac:dyDescent="0.3"/>
    <row r="267" ht="12" customHeight="1" x14ac:dyDescent="0.3"/>
    <row r="268" ht="12" customHeight="1" x14ac:dyDescent="0.3"/>
    <row r="269" ht="12" customHeight="1" x14ac:dyDescent="0.3"/>
    <row r="270" ht="12" customHeight="1" x14ac:dyDescent="0.3"/>
    <row r="271" ht="12" customHeight="1" x14ac:dyDescent="0.3"/>
    <row r="272" ht="12" customHeight="1" x14ac:dyDescent="0.3"/>
    <row r="273" ht="12" customHeight="1" x14ac:dyDescent="0.3"/>
    <row r="274" ht="12" customHeight="1" x14ac:dyDescent="0.3"/>
    <row r="275" ht="12" customHeight="1" x14ac:dyDescent="0.3"/>
    <row r="276" ht="12" customHeight="1" x14ac:dyDescent="0.3"/>
    <row r="277" ht="12" customHeight="1" x14ac:dyDescent="0.3"/>
    <row r="278" ht="12" customHeight="1" x14ac:dyDescent="0.3"/>
    <row r="279" ht="12" customHeight="1" x14ac:dyDescent="0.3"/>
    <row r="280" ht="12" customHeight="1" x14ac:dyDescent="0.3"/>
    <row r="281" ht="12" customHeight="1" x14ac:dyDescent="0.3"/>
    <row r="282" ht="12" customHeight="1" x14ac:dyDescent="0.3"/>
    <row r="283" ht="12" customHeight="1" x14ac:dyDescent="0.3"/>
    <row r="284" ht="12" customHeight="1" x14ac:dyDescent="0.3"/>
    <row r="285" ht="12" customHeight="1" x14ac:dyDescent="0.3"/>
    <row r="286" ht="12" customHeight="1" x14ac:dyDescent="0.3"/>
    <row r="287" ht="12" customHeight="1" x14ac:dyDescent="0.3"/>
    <row r="288" ht="12" customHeight="1" x14ac:dyDescent="0.3"/>
    <row r="289" ht="12" customHeight="1" x14ac:dyDescent="0.3"/>
    <row r="290" ht="12" customHeight="1" x14ac:dyDescent="0.3"/>
    <row r="291" ht="12" customHeight="1" x14ac:dyDescent="0.3"/>
    <row r="292" ht="12" customHeight="1" x14ac:dyDescent="0.3"/>
    <row r="293" ht="12" customHeight="1" x14ac:dyDescent="0.3"/>
    <row r="294" ht="12" customHeight="1" x14ac:dyDescent="0.3"/>
    <row r="295" ht="12" customHeight="1" x14ac:dyDescent="0.3"/>
    <row r="296" ht="12" customHeight="1" x14ac:dyDescent="0.3"/>
    <row r="297" ht="12" customHeight="1" x14ac:dyDescent="0.3"/>
    <row r="298" ht="12" customHeight="1" x14ac:dyDescent="0.3"/>
    <row r="299" ht="12" customHeight="1" x14ac:dyDescent="0.3"/>
    <row r="300" ht="12" customHeight="1" x14ac:dyDescent="0.3"/>
    <row r="301" ht="12" customHeight="1" x14ac:dyDescent="0.3"/>
    <row r="302" ht="12" customHeight="1" x14ac:dyDescent="0.3"/>
    <row r="303" ht="12" customHeight="1" x14ac:dyDescent="0.3"/>
    <row r="304" ht="12" customHeight="1" x14ac:dyDescent="0.3"/>
    <row r="305" ht="12" customHeight="1" x14ac:dyDescent="0.3"/>
    <row r="306" ht="12" customHeight="1" x14ac:dyDescent="0.3"/>
    <row r="307" ht="12" customHeight="1" x14ac:dyDescent="0.3"/>
    <row r="308" ht="12" customHeight="1" x14ac:dyDescent="0.3"/>
    <row r="309" ht="12" customHeight="1" x14ac:dyDescent="0.3"/>
    <row r="310" ht="12" customHeight="1" x14ac:dyDescent="0.3"/>
    <row r="311" ht="12" customHeight="1" x14ac:dyDescent="0.3"/>
    <row r="312" ht="12" customHeight="1" x14ac:dyDescent="0.3"/>
    <row r="313" ht="12" customHeight="1" x14ac:dyDescent="0.3"/>
    <row r="314" ht="12" customHeight="1" x14ac:dyDescent="0.3"/>
    <row r="315" ht="12" customHeight="1" x14ac:dyDescent="0.3"/>
    <row r="316" ht="12" customHeight="1" x14ac:dyDescent="0.3"/>
    <row r="317" ht="12" customHeight="1" x14ac:dyDescent="0.3"/>
    <row r="318" ht="12" customHeight="1" x14ac:dyDescent="0.3"/>
    <row r="319" ht="12" customHeight="1" x14ac:dyDescent="0.3"/>
    <row r="320" ht="12" customHeight="1" x14ac:dyDescent="0.3"/>
    <row r="321" ht="12" customHeight="1" x14ac:dyDescent="0.3"/>
    <row r="322" ht="12" customHeight="1" x14ac:dyDescent="0.3"/>
    <row r="323" ht="12" customHeight="1" x14ac:dyDescent="0.3"/>
    <row r="324" ht="12" customHeight="1" x14ac:dyDescent="0.3"/>
    <row r="325" ht="12" customHeight="1" x14ac:dyDescent="0.3"/>
    <row r="326" ht="12" customHeight="1" x14ac:dyDescent="0.3"/>
    <row r="327" ht="12" customHeight="1" x14ac:dyDescent="0.3"/>
    <row r="328" ht="12" customHeight="1" x14ac:dyDescent="0.3"/>
    <row r="329" ht="12" customHeight="1" x14ac:dyDescent="0.3"/>
    <row r="330" ht="12" customHeight="1" x14ac:dyDescent="0.3"/>
    <row r="331" ht="12" customHeight="1" x14ac:dyDescent="0.3"/>
    <row r="332" ht="12" customHeight="1" x14ac:dyDescent="0.3"/>
    <row r="333" ht="12" customHeight="1" x14ac:dyDescent="0.3"/>
    <row r="334" ht="12" customHeight="1" x14ac:dyDescent="0.3"/>
    <row r="335" ht="12" customHeight="1" x14ac:dyDescent="0.3"/>
    <row r="336" ht="12" customHeight="1" x14ac:dyDescent="0.3"/>
    <row r="337" ht="12" customHeight="1" x14ac:dyDescent="0.3"/>
    <row r="338" ht="12" customHeight="1" x14ac:dyDescent="0.3"/>
    <row r="339" ht="12" customHeight="1" x14ac:dyDescent="0.3"/>
    <row r="340" ht="12" customHeight="1" x14ac:dyDescent="0.3"/>
    <row r="341" ht="12" customHeight="1" x14ac:dyDescent="0.3"/>
    <row r="342" ht="12" customHeight="1" x14ac:dyDescent="0.3"/>
    <row r="343" ht="12" customHeight="1" x14ac:dyDescent="0.3"/>
    <row r="344" ht="12" customHeight="1" x14ac:dyDescent="0.3"/>
    <row r="345" ht="12" customHeight="1" x14ac:dyDescent="0.3"/>
    <row r="346" ht="12" customHeight="1" x14ac:dyDescent="0.3"/>
    <row r="347" ht="12" customHeight="1" x14ac:dyDescent="0.3"/>
    <row r="348" ht="12" customHeight="1" x14ac:dyDescent="0.3"/>
    <row r="349" ht="12" customHeight="1" x14ac:dyDescent="0.3"/>
    <row r="350" ht="12" customHeight="1" x14ac:dyDescent="0.3"/>
    <row r="351" ht="12" customHeight="1" x14ac:dyDescent="0.3"/>
    <row r="352" ht="12" customHeight="1" x14ac:dyDescent="0.3"/>
    <row r="353" ht="12" customHeight="1" x14ac:dyDescent="0.3"/>
    <row r="354" ht="12" customHeight="1" x14ac:dyDescent="0.3"/>
    <row r="355" ht="12" customHeight="1" x14ac:dyDescent="0.3"/>
    <row r="356" ht="12" customHeight="1" x14ac:dyDescent="0.3"/>
    <row r="357" ht="12" customHeight="1" x14ac:dyDescent="0.3"/>
    <row r="358" ht="12" customHeight="1" x14ac:dyDescent="0.3"/>
    <row r="359" ht="12" customHeight="1" x14ac:dyDescent="0.3"/>
    <row r="360" ht="12" customHeight="1" x14ac:dyDescent="0.3"/>
    <row r="361" ht="12" customHeight="1" x14ac:dyDescent="0.3"/>
    <row r="362" ht="12" customHeight="1" x14ac:dyDescent="0.3"/>
    <row r="363" ht="12" customHeight="1" x14ac:dyDescent="0.3"/>
    <row r="364" ht="12" customHeight="1" x14ac:dyDescent="0.3"/>
    <row r="365" ht="12" customHeight="1" x14ac:dyDescent="0.3"/>
    <row r="366" ht="12" customHeight="1" x14ac:dyDescent="0.3"/>
    <row r="367" ht="12" customHeight="1" x14ac:dyDescent="0.3"/>
    <row r="368" ht="12" customHeight="1" x14ac:dyDescent="0.3"/>
    <row r="369" ht="12" customHeight="1" x14ac:dyDescent="0.3"/>
    <row r="370" ht="12" customHeight="1" x14ac:dyDescent="0.3"/>
    <row r="371" ht="12" customHeight="1" x14ac:dyDescent="0.3"/>
    <row r="372" ht="12" customHeight="1" x14ac:dyDescent="0.3"/>
    <row r="373" ht="12" customHeight="1" x14ac:dyDescent="0.3"/>
    <row r="374" ht="12" customHeight="1" x14ac:dyDescent="0.3"/>
    <row r="375" ht="12" customHeight="1" x14ac:dyDescent="0.3"/>
    <row r="376" ht="12" customHeight="1" x14ac:dyDescent="0.3"/>
    <row r="377" ht="12" customHeight="1" x14ac:dyDescent="0.3"/>
    <row r="378" ht="12" customHeight="1" x14ac:dyDescent="0.3"/>
    <row r="379" ht="12" customHeight="1" x14ac:dyDescent="0.3"/>
    <row r="380" ht="12" customHeight="1" x14ac:dyDescent="0.3"/>
    <row r="381" ht="12" customHeight="1" x14ac:dyDescent="0.3"/>
    <row r="382" ht="12" customHeight="1" x14ac:dyDescent="0.3"/>
    <row r="383" ht="12" customHeight="1" x14ac:dyDescent="0.3"/>
    <row r="384" ht="12" customHeight="1" x14ac:dyDescent="0.3"/>
    <row r="385" ht="12" customHeight="1" x14ac:dyDescent="0.3"/>
    <row r="386" ht="12" customHeight="1" x14ac:dyDescent="0.3"/>
    <row r="387" ht="12" customHeight="1" x14ac:dyDescent="0.3"/>
    <row r="388" ht="12" customHeight="1" x14ac:dyDescent="0.3"/>
    <row r="389" ht="12" customHeight="1" x14ac:dyDescent="0.3"/>
    <row r="390" ht="12" customHeight="1" x14ac:dyDescent="0.3"/>
    <row r="391" ht="12" customHeight="1" x14ac:dyDescent="0.3"/>
    <row r="392" ht="12" customHeight="1" x14ac:dyDescent="0.3"/>
    <row r="393" ht="12" customHeight="1" x14ac:dyDescent="0.3"/>
    <row r="394" ht="12" customHeight="1" x14ac:dyDescent="0.3"/>
    <row r="395" ht="12" customHeight="1" x14ac:dyDescent="0.3"/>
    <row r="396" ht="12" customHeight="1" x14ac:dyDescent="0.3"/>
    <row r="397" ht="12" customHeight="1" x14ac:dyDescent="0.3"/>
    <row r="398" ht="12" customHeight="1" x14ac:dyDescent="0.3"/>
    <row r="399" ht="12" customHeight="1" x14ac:dyDescent="0.3"/>
    <row r="400" ht="12" customHeight="1" x14ac:dyDescent="0.3"/>
    <row r="401" ht="12" customHeight="1" x14ac:dyDescent="0.3"/>
    <row r="402" ht="12" customHeight="1" x14ac:dyDescent="0.3"/>
    <row r="403" ht="12" customHeight="1" x14ac:dyDescent="0.3"/>
    <row r="404" ht="12" customHeight="1" x14ac:dyDescent="0.3"/>
    <row r="405" ht="12" customHeight="1" x14ac:dyDescent="0.3"/>
    <row r="406" ht="12" customHeight="1" x14ac:dyDescent="0.3"/>
    <row r="407" ht="12" customHeight="1" x14ac:dyDescent="0.3"/>
    <row r="408" ht="12" customHeight="1" x14ac:dyDescent="0.3"/>
    <row r="409" ht="12" customHeight="1" x14ac:dyDescent="0.3"/>
    <row r="410" ht="12" customHeight="1" x14ac:dyDescent="0.3"/>
    <row r="411" ht="12" customHeight="1" x14ac:dyDescent="0.3"/>
    <row r="412" ht="12" customHeight="1" x14ac:dyDescent="0.3"/>
    <row r="413" ht="12" customHeight="1" x14ac:dyDescent="0.3"/>
    <row r="414" ht="12" customHeight="1" x14ac:dyDescent="0.3"/>
    <row r="415" ht="12" customHeight="1" x14ac:dyDescent="0.3"/>
    <row r="416" ht="12" customHeight="1" x14ac:dyDescent="0.3"/>
    <row r="417" ht="12" customHeight="1" x14ac:dyDescent="0.3"/>
    <row r="418" ht="12" customHeight="1" x14ac:dyDescent="0.3"/>
    <row r="419" ht="12" customHeight="1" x14ac:dyDescent="0.3"/>
    <row r="420" ht="12" customHeight="1" x14ac:dyDescent="0.3"/>
    <row r="421" ht="12" customHeight="1" x14ac:dyDescent="0.3"/>
    <row r="422" ht="12" customHeight="1" x14ac:dyDescent="0.3"/>
    <row r="423" ht="12" customHeight="1" x14ac:dyDescent="0.3"/>
    <row r="424" ht="12" customHeight="1" x14ac:dyDescent="0.3"/>
    <row r="425" ht="12" customHeight="1" x14ac:dyDescent="0.3"/>
    <row r="426" ht="12" customHeight="1" x14ac:dyDescent="0.3"/>
    <row r="427" ht="12" customHeight="1" x14ac:dyDescent="0.3"/>
    <row r="428" ht="12" customHeight="1" x14ac:dyDescent="0.3"/>
    <row r="429" ht="12" customHeight="1" x14ac:dyDescent="0.3"/>
    <row r="430" ht="12" customHeight="1" x14ac:dyDescent="0.3"/>
    <row r="431" ht="12" customHeight="1" x14ac:dyDescent="0.3"/>
    <row r="432" ht="12" customHeight="1" x14ac:dyDescent="0.3"/>
    <row r="433" ht="12" customHeight="1" x14ac:dyDescent="0.3"/>
    <row r="434" ht="12" customHeight="1" x14ac:dyDescent="0.3"/>
    <row r="435" ht="12" customHeight="1" x14ac:dyDescent="0.3"/>
    <row r="436" ht="12" customHeight="1" x14ac:dyDescent="0.3"/>
    <row r="437" ht="12" customHeight="1" x14ac:dyDescent="0.3"/>
    <row r="438" ht="12" customHeight="1" x14ac:dyDescent="0.3"/>
    <row r="439" ht="12" customHeight="1" x14ac:dyDescent="0.3"/>
    <row r="440" ht="12" customHeight="1" x14ac:dyDescent="0.3"/>
    <row r="441" ht="12" customHeight="1" x14ac:dyDescent="0.3"/>
    <row r="442" ht="12" customHeight="1" x14ac:dyDescent="0.3"/>
    <row r="443" ht="12" customHeight="1" x14ac:dyDescent="0.3"/>
    <row r="444" ht="12" customHeight="1" x14ac:dyDescent="0.3"/>
    <row r="445" ht="12" customHeight="1" x14ac:dyDescent="0.3"/>
    <row r="446" ht="12" customHeight="1" x14ac:dyDescent="0.3"/>
    <row r="447" ht="12" customHeight="1" x14ac:dyDescent="0.3"/>
    <row r="448" ht="12" customHeight="1" x14ac:dyDescent="0.3"/>
    <row r="449" ht="12" customHeight="1" x14ac:dyDescent="0.3"/>
    <row r="450" ht="12" customHeight="1" x14ac:dyDescent="0.3"/>
    <row r="451" ht="12" customHeight="1" x14ac:dyDescent="0.3"/>
    <row r="452" ht="12" customHeight="1" x14ac:dyDescent="0.3"/>
    <row r="453" ht="12" customHeight="1" x14ac:dyDescent="0.3"/>
    <row r="454" ht="12" customHeight="1" x14ac:dyDescent="0.3"/>
    <row r="455" ht="12" customHeight="1" x14ac:dyDescent="0.3"/>
    <row r="456" ht="12" customHeight="1" x14ac:dyDescent="0.3"/>
    <row r="457" ht="12" customHeight="1" x14ac:dyDescent="0.3"/>
    <row r="458" ht="12" customHeight="1" x14ac:dyDescent="0.3"/>
    <row r="459" ht="12" customHeight="1" x14ac:dyDescent="0.3"/>
    <row r="460" ht="12" customHeight="1" x14ac:dyDescent="0.3"/>
    <row r="461" ht="12" customHeight="1" x14ac:dyDescent="0.3"/>
    <row r="462" ht="12" customHeight="1" x14ac:dyDescent="0.3"/>
    <row r="463" ht="12" customHeight="1" x14ac:dyDescent="0.3"/>
    <row r="464" ht="12" customHeight="1" x14ac:dyDescent="0.3"/>
    <row r="465" ht="12" customHeight="1" x14ac:dyDescent="0.3"/>
    <row r="466" ht="12" customHeight="1" x14ac:dyDescent="0.3"/>
    <row r="467" ht="12" customHeight="1" x14ac:dyDescent="0.3"/>
    <row r="468" ht="12" customHeight="1" x14ac:dyDescent="0.3"/>
    <row r="469" ht="12" customHeight="1" x14ac:dyDescent="0.3"/>
    <row r="470" ht="12" customHeight="1" x14ac:dyDescent="0.3"/>
    <row r="471" ht="12" customHeight="1" x14ac:dyDescent="0.3"/>
    <row r="472" ht="12" customHeight="1" x14ac:dyDescent="0.3"/>
    <row r="473" ht="12" customHeight="1" x14ac:dyDescent="0.3"/>
    <row r="474" ht="12" customHeight="1" x14ac:dyDescent="0.3"/>
    <row r="475" ht="12" customHeight="1" x14ac:dyDescent="0.3"/>
    <row r="476" ht="12" customHeight="1" x14ac:dyDescent="0.3"/>
    <row r="477" ht="12" customHeight="1" x14ac:dyDescent="0.3"/>
    <row r="478" ht="12" customHeight="1" x14ac:dyDescent="0.3"/>
    <row r="479" ht="12" customHeight="1" x14ac:dyDescent="0.3"/>
    <row r="480" ht="12" customHeight="1" x14ac:dyDescent="0.3"/>
    <row r="481" ht="12" customHeight="1" x14ac:dyDescent="0.3"/>
    <row r="482" ht="12" customHeight="1" x14ac:dyDescent="0.3"/>
    <row r="483" ht="12" customHeight="1" x14ac:dyDescent="0.3"/>
    <row r="484" ht="12" customHeight="1" x14ac:dyDescent="0.3"/>
    <row r="485" ht="12" customHeight="1" x14ac:dyDescent="0.3"/>
    <row r="486" ht="12" customHeight="1" x14ac:dyDescent="0.3"/>
    <row r="487" ht="12" customHeight="1" x14ac:dyDescent="0.3"/>
    <row r="488" ht="12" customHeight="1" x14ac:dyDescent="0.3"/>
    <row r="489" ht="12" customHeight="1" x14ac:dyDescent="0.3"/>
    <row r="490" ht="12" customHeight="1" x14ac:dyDescent="0.3"/>
    <row r="491" ht="12" customHeight="1" x14ac:dyDescent="0.3"/>
    <row r="492" ht="12" customHeight="1" x14ac:dyDescent="0.3"/>
    <row r="493" ht="12" customHeight="1" x14ac:dyDescent="0.3"/>
    <row r="494" ht="12" customHeight="1" x14ac:dyDescent="0.3"/>
    <row r="495" ht="12" customHeight="1" x14ac:dyDescent="0.3"/>
    <row r="496" ht="12" customHeight="1" x14ac:dyDescent="0.3"/>
    <row r="497" ht="12" customHeight="1" x14ac:dyDescent="0.3"/>
    <row r="498" ht="12" customHeight="1" x14ac:dyDescent="0.3"/>
    <row r="499" ht="12" customHeight="1" x14ac:dyDescent="0.3"/>
    <row r="500" ht="12" customHeight="1" x14ac:dyDescent="0.3"/>
    <row r="501" ht="12" customHeight="1" x14ac:dyDescent="0.3"/>
    <row r="502" ht="12" customHeight="1" x14ac:dyDescent="0.3"/>
    <row r="503" ht="12" customHeight="1" x14ac:dyDescent="0.3"/>
    <row r="504" ht="12" customHeight="1" x14ac:dyDescent="0.3"/>
    <row r="505" ht="12" customHeight="1" x14ac:dyDescent="0.3"/>
    <row r="506" ht="12" customHeight="1" x14ac:dyDescent="0.3"/>
    <row r="507" ht="12" customHeight="1" x14ac:dyDescent="0.3"/>
    <row r="508" ht="12" customHeight="1" x14ac:dyDescent="0.3"/>
    <row r="509" ht="12" customHeight="1" x14ac:dyDescent="0.3"/>
    <row r="510" ht="12" customHeight="1" x14ac:dyDescent="0.3"/>
    <row r="511" ht="12" customHeight="1" x14ac:dyDescent="0.3"/>
    <row r="512" ht="12" customHeight="1" x14ac:dyDescent="0.3"/>
    <row r="513" ht="12" customHeight="1" x14ac:dyDescent="0.3"/>
    <row r="514" ht="12" customHeight="1" x14ac:dyDescent="0.3"/>
    <row r="515" ht="12" customHeight="1" x14ac:dyDescent="0.3"/>
    <row r="516" ht="12" customHeight="1" x14ac:dyDescent="0.3"/>
    <row r="517" ht="12" customHeight="1" x14ac:dyDescent="0.3"/>
    <row r="518" ht="12" customHeight="1" x14ac:dyDescent="0.3"/>
    <row r="519" ht="12" customHeight="1" x14ac:dyDescent="0.3"/>
    <row r="520" ht="12" customHeight="1" x14ac:dyDescent="0.3"/>
    <row r="521" ht="12" customHeight="1" x14ac:dyDescent="0.3"/>
    <row r="522" ht="12" customHeight="1" x14ac:dyDescent="0.3"/>
    <row r="523" ht="12" customHeight="1" x14ac:dyDescent="0.3"/>
    <row r="524" ht="12" customHeight="1" x14ac:dyDescent="0.3"/>
    <row r="525" ht="12" customHeight="1" x14ac:dyDescent="0.3"/>
    <row r="526" ht="12" customHeight="1" x14ac:dyDescent="0.3"/>
    <row r="527" ht="12" customHeight="1" x14ac:dyDescent="0.3"/>
    <row r="528" ht="12" customHeight="1" x14ac:dyDescent="0.3"/>
    <row r="529" ht="12" customHeight="1" x14ac:dyDescent="0.3"/>
    <row r="530" ht="12" customHeight="1" x14ac:dyDescent="0.3"/>
    <row r="531" ht="12" customHeight="1" x14ac:dyDescent="0.3"/>
    <row r="532" ht="12" customHeight="1" x14ac:dyDescent="0.3"/>
    <row r="533" ht="12" customHeight="1" x14ac:dyDescent="0.3"/>
    <row r="534" ht="12" customHeight="1" x14ac:dyDescent="0.3"/>
    <row r="535" ht="12" customHeight="1" x14ac:dyDescent="0.3"/>
    <row r="536" ht="12" customHeight="1" x14ac:dyDescent="0.3"/>
    <row r="537" ht="12" customHeight="1" x14ac:dyDescent="0.3"/>
    <row r="538" ht="12" customHeight="1" x14ac:dyDescent="0.3"/>
    <row r="539" ht="12" customHeight="1" x14ac:dyDescent="0.3"/>
    <row r="540" ht="12" customHeight="1" x14ac:dyDescent="0.3"/>
    <row r="541" ht="12" customHeight="1" x14ac:dyDescent="0.3"/>
    <row r="542" ht="12" customHeight="1" x14ac:dyDescent="0.3"/>
    <row r="543" ht="12" customHeight="1" x14ac:dyDescent="0.3"/>
    <row r="544" ht="12" customHeight="1" x14ac:dyDescent="0.3"/>
    <row r="545" ht="12" customHeight="1" x14ac:dyDescent="0.3"/>
    <row r="546" ht="12" customHeight="1" x14ac:dyDescent="0.3"/>
    <row r="547" ht="12" customHeight="1" x14ac:dyDescent="0.3"/>
    <row r="548" ht="12" customHeight="1" x14ac:dyDescent="0.3"/>
    <row r="549" ht="12" customHeight="1" x14ac:dyDescent="0.3"/>
    <row r="550" ht="12" customHeight="1" x14ac:dyDescent="0.3"/>
    <row r="551" ht="12" customHeight="1" x14ac:dyDescent="0.3"/>
    <row r="552" ht="12" customHeight="1" x14ac:dyDescent="0.3"/>
    <row r="553" ht="12" customHeight="1" x14ac:dyDescent="0.3"/>
    <row r="554" ht="12" customHeight="1" x14ac:dyDescent="0.3"/>
    <row r="555" ht="12" customHeight="1" x14ac:dyDescent="0.3"/>
    <row r="556" ht="12" customHeight="1" x14ac:dyDescent="0.3"/>
    <row r="557" ht="12" customHeight="1" x14ac:dyDescent="0.3"/>
    <row r="558" ht="12" customHeight="1" x14ac:dyDescent="0.3"/>
    <row r="559" ht="12" customHeight="1" x14ac:dyDescent="0.3"/>
    <row r="560" ht="12" customHeight="1" x14ac:dyDescent="0.3"/>
    <row r="561" ht="12" customHeight="1" x14ac:dyDescent="0.3"/>
    <row r="562" ht="12" customHeight="1" x14ac:dyDescent="0.3"/>
    <row r="563" ht="12" customHeight="1" x14ac:dyDescent="0.3"/>
    <row r="564" ht="12" customHeight="1" x14ac:dyDescent="0.3"/>
    <row r="565" ht="12" customHeight="1" x14ac:dyDescent="0.3"/>
    <row r="566" ht="12" customHeight="1" x14ac:dyDescent="0.3"/>
    <row r="567" ht="12" customHeight="1" x14ac:dyDescent="0.3"/>
    <row r="568" ht="12" customHeight="1" x14ac:dyDescent="0.3"/>
    <row r="569" ht="12" customHeight="1" x14ac:dyDescent="0.3"/>
    <row r="570" ht="12" customHeight="1" x14ac:dyDescent="0.3"/>
    <row r="571" ht="12" customHeight="1" x14ac:dyDescent="0.3"/>
    <row r="572" ht="12" customHeight="1" x14ac:dyDescent="0.3"/>
    <row r="573" ht="12" customHeight="1" x14ac:dyDescent="0.3"/>
    <row r="574" ht="12" customHeight="1" x14ac:dyDescent="0.3"/>
    <row r="575" ht="12" customHeight="1" x14ac:dyDescent="0.3"/>
    <row r="576" ht="12" customHeight="1" x14ac:dyDescent="0.3"/>
    <row r="577" ht="12" customHeight="1" x14ac:dyDescent="0.3"/>
    <row r="578" ht="12" customHeight="1" x14ac:dyDescent="0.3"/>
    <row r="579" ht="12" customHeight="1" x14ac:dyDescent="0.3"/>
    <row r="580" ht="12" customHeight="1" x14ac:dyDescent="0.3"/>
    <row r="581" ht="12" customHeight="1" x14ac:dyDescent="0.3"/>
    <row r="582" ht="12" customHeight="1" x14ac:dyDescent="0.3"/>
    <row r="583" ht="12" customHeight="1" x14ac:dyDescent="0.3"/>
    <row r="584" ht="12" customHeight="1" x14ac:dyDescent="0.3"/>
    <row r="585" ht="12" customHeight="1" x14ac:dyDescent="0.3"/>
    <row r="586" ht="12" customHeight="1" x14ac:dyDescent="0.3"/>
    <row r="587" ht="12" customHeight="1" x14ac:dyDescent="0.3"/>
    <row r="588" ht="12" customHeight="1" x14ac:dyDescent="0.3"/>
    <row r="589" ht="12" customHeight="1" x14ac:dyDescent="0.3"/>
    <row r="590" ht="12" customHeight="1" x14ac:dyDescent="0.3"/>
    <row r="591" ht="12" customHeight="1" x14ac:dyDescent="0.3"/>
    <row r="592" ht="12" customHeight="1" x14ac:dyDescent="0.3"/>
    <row r="593" ht="12" customHeight="1" x14ac:dyDescent="0.3"/>
    <row r="594" ht="12" customHeight="1" x14ac:dyDescent="0.3"/>
    <row r="595" ht="12" customHeight="1" x14ac:dyDescent="0.3"/>
    <row r="596" ht="12" customHeight="1" x14ac:dyDescent="0.3"/>
    <row r="597" ht="12" customHeight="1" x14ac:dyDescent="0.3"/>
    <row r="598" ht="12" customHeight="1" x14ac:dyDescent="0.3"/>
    <row r="599" ht="12" customHeight="1" x14ac:dyDescent="0.3"/>
    <row r="600" ht="12" customHeight="1" x14ac:dyDescent="0.3"/>
    <row r="601" ht="12" customHeight="1" x14ac:dyDescent="0.3"/>
    <row r="602" ht="12" customHeight="1" x14ac:dyDescent="0.3"/>
    <row r="603" ht="12" customHeight="1" x14ac:dyDescent="0.3"/>
    <row r="604" ht="12" customHeight="1" x14ac:dyDescent="0.3"/>
    <row r="605" ht="12" customHeight="1" x14ac:dyDescent="0.3"/>
    <row r="606" ht="12" customHeight="1" x14ac:dyDescent="0.3"/>
    <row r="607" ht="12" customHeight="1" x14ac:dyDescent="0.3"/>
    <row r="608" ht="12" customHeight="1" x14ac:dyDescent="0.3"/>
    <row r="609" ht="12" customHeight="1" x14ac:dyDescent="0.3"/>
    <row r="610" ht="12" customHeight="1" x14ac:dyDescent="0.3"/>
    <row r="611" ht="12" customHeight="1" x14ac:dyDescent="0.3"/>
    <row r="612" ht="12" customHeight="1" x14ac:dyDescent="0.3"/>
    <row r="613" ht="12" customHeight="1" x14ac:dyDescent="0.3"/>
    <row r="614" ht="12" customHeight="1" x14ac:dyDescent="0.3"/>
    <row r="615" ht="12" customHeight="1" x14ac:dyDescent="0.3"/>
    <row r="616" ht="12" customHeight="1" x14ac:dyDescent="0.3"/>
    <row r="617" ht="12" customHeight="1" x14ac:dyDescent="0.3"/>
    <row r="618" ht="12" customHeight="1" x14ac:dyDescent="0.3"/>
    <row r="619" ht="12" customHeight="1" x14ac:dyDescent="0.3"/>
    <row r="620" ht="12" customHeight="1" x14ac:dyDescent="0.3"/>
    <row r="621" ht="12" customHeight="1" x14ac:dyDescent="0.3"/>
    <row r="622" ht="12" customHeight="1" x14ac:dyDescent="0.3"/>
    <row r="623" ht="12" customHeight="1" x14ac:dyDescent="0.3"/>
    <row r="624" ht="12" customHeight="1" x14ac:dyDescent="0.3"/>
    <row r="625" ht="12" customHeight="1" x14ac:dyDescent="0.3"/>
    <row r="626" ht="12" customHeight="1" x14ac:dyDescent="0.3"/>
    <row r="627" ht="12" customHeight="1" x14ac:dyDescent="0.3"/>
    <row r="628" ht="12" customHeight="1" x14ac:dyDescent="0.3"/>
    <row r="629" ht="12" customHeight="1" x14ac:dyDescent="0.3"/>
    <row r="630" ht="12" customHeight="1" x14ac:dyDescent="0.3"/>
    <row r="631" ht="12" customHeight="1" x14ac:dyDescent="0.3"/>
    <row r="632" ht="12" customHeight="1" x14ac:dyDescent="0.3"/>
    <row r="633" ht="12" customHeight="1" x14ac:dyDescent="0.3"/>
    <row r="634" ht="12" customHeight="1" x14ac:dyDescent="0.3"/>
    <row r="635" ht="12" customHeight="1" x14ac:dyDescent="0.3"/>
    <row r="636" ht="12" customHeight="1" x14ac:dyDescent="0.3"/>
    <row r="637" ht="12" customHeight="1" x14ac:dyDescent="0.3"/>
    <row r="638" ht="12" customHeight="1" x14ac:dyDescent="0.3"/>
    <row r="639" ht="12" customHeight="1" x14ac:dyDescent="0.3"/>
    <row r="640" ht="12" customHeight="1" x14ac:dyDescent="0.3"/>
    <row r="641" ht="12" customHeight="1" x14ac:dyDescent="0.3"/>
    <row r="642" ht="12" customHeight="1" x14ac:dyDescent="0.3"/>
    <row r="643" ht="12" customHeight="1" x14ac:dyDescent="0.3"/>
    <row r="644" ht="12" customHeight="1" x14ac:dyDescent="0.3"/>
    <row r="645" ht="12" customHeight="1" x14ac:dyDescent="0.3"/>
    <row r="646" ht="12" customHeight="1" x14ac:dyDescent="0.3"/>
    <row r="647" ht="12" customHeight="1" x14ac:dyDescent="0.3"/>
    <row r="648" ht="12" customHeight="1" x14ac:dyDescent="0.3"/>
    <row r="649" ht="12" customHeight="1" x14ac:dyDescent="0.3"/>
    <row r="650" ht="12" customHeight="1" x14ac:dyDescent="0.3"/>
    <row r="651" ht="12" customHeight="1" x14ac:dyDescent="0.3"/>
    <row r="652" ht="12" customHeight="1" x14ac:dyDescent="0.3"/>
    <row r="653" ht="12" customHeight="1" x14ac:dyDescent="0.3"/>
    <row r="654" ht="12" customHeight="1" x14ac:dyDescent="0.3"/>
    <row r="655" ht="12" customHeight="1" x14ac:dyDescent="0.3"/>
    <row r="656" ht="12" customHeight="1" x14ac:dyDescent="0.3"/>
    <row r="657" ht="12" customHeight="1" x14ac:dyDescent="0.3"/>
    <row r="658" ht="12" customHeight="1" x14ac:dyDescent="0.3"/>
    <row r="659" ht="12" customHeight="1" x14ac:dyDescent="0.3"/>
    <row r="660" ht="12" customHeight="1" x14ac:dyDescent="0.3"/>
    <row r="661" ht="12" customHeight="1" x14ac:dyDescent="0.3"/>
    <row r="662" ht="12" customHeight="1" x14ac:dyDescent="0.3"/>
    <row r="663" ht="12" customHeight="1" x14ac:dyDescent="0.3"/>
    <row r="664" ht="12" customHeight="1" x14ac:dyDescent="0.3"/>
    <row r="665" ht="12" customHeight="1" x14ac:dyDescent="0.3"/>
    <row r="666" ht="12" customHeight="1" x14ac:dyDescent="0.3"/>
    <row r="667" ht="12" customHeight="1" x14ac:dyDescent="0.3"/>
    <row r="668" ht="12" customHeight="1" x14ac:dyDescent="0.3"/>
    <row r="669" ht="12" customHeight="1" x14ac:dyDescent="0.3"/>
    <row r="670" ht="12" customHeight="1" x14ac:dyDescent="0.3"/>
    <row r="671" ht="12" customHeight="1" x14ac:dyDescent="0.3"/>
    <row r="672" ht="12" customHeight="1" x14ac:dyDescent="0.3"/>
    <row r="673" ht="12" customHeight="1" x14ac:dyDescent="0.3"/>
    <row r="674" ht="12" customHeight="1" x14ac:dyDescent="0.3"/>
    <row r="675" ht="12" customHeight="1" x14ac:dyDescent="0.3"/>
    <row r="676" ht="12" customHeight="1" x14ac:dyDescent="0.3"/>
    <row r="677" ht="12" customHeight="1" x14ac:dyDescent="0.3"/>
    <row r="678" ht="12" customHeight="1" x14ac:dyDescent="0.3"/>
    <row r="679" ht="12" customHeight="1" x14ac:dyDescent="0.3"/>
    <row r="680" ht="12" customHeight="1" x14ac:dyDescent="0.3"/>
    <row r="681" ht="12" customHeight="1" x14ac:dyDescent="0.3"/>
    <row r="682" ht="12" customHeight="1" x14ac:dyDescent="0.3"/>
    <row r="683" ht="12" customHeight="1" x14ac:dyDescent="0.3"/>
    <row r="684" ht="12" customHeight="1" x14ac:dyDescent="0.3"/>
    <row r="685" ht="12" customHeight="1" x14ac:dyDescent="0.3"/>
    <row r="686" ht="12" customHeight="1" x14ac:dyDescent="0.3"/>
    <row r="687" ht="12" customHeight="1" x14ac:dyDescent="0.3"/>
    <row r="688" ht="12" customHeight="1" x14ac:dyDescent="0.3"/>
    <row r="689" ht="12" customHeight="1" x14ac:dyDescent="0.3"/>
    <row r="690" ht="12" customHeight="1" x14ac:dyDescent="0.3"/>
    <row r="691" ht="12" customHeight="1" x14ac:dyDescent="0.3"/>
    <row r="692" ht="12" customHeight="1" x14ac:dyDescent="0.3"/>
    <row r="693" ht="12" customHeight="1" x14ac:dyDescent="0.3"/>
    <row r="694" ht="12" customHeight="1" x14ac:dyDescent="0.3"/>
    <row r="695" ht="12" customHeight="1" x14ac:dyDescent="0.3"/>
    <row r="696" ht="12" customHeight="1" x14ac:dyDescent="0.3"/>
    <row r="697" ht="12" customHeight="1" x14ac:dyDescent="0.3"/>
    <row r="698" ht="12" customHeight="1" x14ac:dyDescent="0.3"/>
    <row r="699" ht="12" customHeight="1" x14ac:dyDescent="0.3"/>
    <row r="700" ht="12" customHeight="1" x14ac:dyDescent="0.3"/>
    <row r="701" ht="12" customHeight="1" x14ac:dyDescent="0.3"/>
    <row r="702" ht="12" customHeight="1" x14ac:dyDescent="0.3"/>
    <row r="703" ht="12" customHeight="1" x14ac:dyDescent="0.3"/>
    <row r="704" ht="12" customHeight="1" x14ac:dyDescent="0.3"/>
    <row r="705" ht="12" customHeight="1" x14ac:dyDescent="0.3"/>
    <row r="706" ht="12" customHeight="1" x14ac:dyDescent="0.3"/>
    <row r="707" ht="12" customHeight="1" x14ac:dyDescent="0.3"/>
    <row r="708" ht="12" customHeight="1" x14ac:dyDescent="0.3"/>
    <row r="709" ht="12" customHeight="1" x14ac:dyDescent="0.3"/>
    <row r="710" ht="12" customHeight="1" x14ac:dyDescent="0.3"/>
    <row r="711" ht="12" customHeight="1" x14ac:dyDescent="0.3"/>
    <row r="712" ht="12" customHeight="1" x14ac:dyDescent="0.3"/>
    <row r="713" ht="12" customHeight="1" x14ac:dyDescent="0.3"/>
    <row r="714" ht="12" customHeight="1" x14ac:dyDescent="0.3"/>
    <row r="715" ht="12" customHeight="1" x14ac:dyDescent="0.3"/>
    <row r="716" ht="12" customHeight="1" x14ac:dyDescent="0.3"/>
    <row r="717" ht="12" customHeight="1" x14ac:dyDescent="0.3"/>
    <row r="718" ht="12" customHeight="1" x14ac:dyDescent="0.3"/>
    <row r="719" ht="12" customHeight="1" x14ac:dyDescent="0.3"/>
    <row r="720" ht="12" customHeight="1" x14ac:dyDescent="0.3"/>
    <row r="721" ht="12" customHeight="1" x14ac:dyDescent="0.3"/>
    <row r="722" ht="12" customHeight="1" x14ac:dyDescent="0.3"/>
    <row r="723" ht="12" customHeight="1" x14ac:dyDescent="0.3"/>
    <row r="724" ht="12" customHeight="1" x14ac:dyDescent="0.3"/>
    <row r="725" ht="12" customHeight="1" x14ac:dyDescent="0.3"/>
    <row r="726" ht="12" customHeight="1" x14ac:dyDescent="0.3"/>
    <row r="727" ht="12" customHeight="1" x14ac:dyDescent="0.3"/>
    <row r="728" ht="12" customHeight="1" x14ac:dyDescent="0.3"/>
    <row r="729" ht="12" customHeight="1" x14ac:dyDescent="0.3"/>
    <row r="730" ht="12" customHeight="1" x14ac:dyDescent="0.3"/>
    <row r="731" ht="12" customHeight="1" x14ac:dyDescent="0.3"/>
    <row r="732" ht="12" customHeight="1" x14ac:dyDescent="0.3"/>
    <row r="733" ht="12" customHeight="1" x14ac:dyDescent="0.3"/>
    <row r="734" ht="12" customHeight="1" x14ac:dyDescent="0.3"/>
    <row r="735" ht="12" customHeight="1" x14ac:dyDescent="0.3"/>
    <row r="736" ht="12" customHeight="1" x14ac:dyDescent="0.3"/>
    <row r="737" ht="12" customHeight="1" x14ac:dyDescent="0.3"/>
    <row r="738" ht="12" customHeight="1" x14ac:dyDescent="0.3"/>
    <row r="739" ht="12" customHeight="1" x14ac:dyDescent="0.3"/>
    <row r="740" ht="12" customHeight="1" x14ac:dyDescent="0.3"/>
    <row r="741" ht="12" customHeight="1" x14ac:dyDescent="0.3"/>
    <row r="742" ht="12" customHeight="1" x14ac:dyDescent="0.3"/>
    <row r="743" ht="12" customHeight="1" x14ac:dyDescent="0.3"/>
    <row r="744" ht="12" customHeight="1" x14ac:dyDescent="0.3"/>
    <row r="745" ht="12" customHeight="1" x14ac:dyDescent="0.3"/>
    <row r="746" ht="12" customHeight="1" x14ac:dyDescent="0.3"/>
    <row r="747" ht="12" customHeight="1" x14ac:dyDescent="0.3"/>
    <row r="748" ht="12" customHeight="1" x14ac:dyDescent="0.3"/>
    <row r="749" ht="12" customHeight="1" x14ac:dyDescent="0.3"/>
    <row r="750" ht="12" customHeight="1" x14ac:dyDescent="0.3"/>
    <row r="751" ht="12" customHeight="1" x14ac:dyDescent="0.3"/>
    <row r="752" ht="12" customHeight="1" x14ac:dyDescent="0.3"/>
    <row r="753" ht="12" customHeight="1" x14ac:dyDescent="0.3"/>
    <row r="754" ht="12" customHeight="1" x14ac:dyDescent="0.3"/>
    <row r="755" ht="12" customHeight="1" x14ac:dyDescent="0.3"/>
    <row r="756" ht="12" customHeight="1" x14ac:dyDescent="0.3"/>
    <row r="757" ht="12" customHeight="1" x14ac:dyDescent="0.3"/>
    <row r="758" ht="12" customHeight="1" x14ac:dyDescent="0.3"/>
    <row r="759" ht="12" customHeight="1" x14ac:dyDescent="0.3"/>
    <row r="760" ht="12" customHeight="1" x14ac:dyDescent="0.3"/>
    <row r="761" ht="12" customHeight="1" x14ac:dyDescent="0.3"/>
    <row r="762" ht="12" customHeight="1" x14ac:dyDescent="0.3"/>
    <row r="763" ht="12" customHeight="1" x14ac:dyDescent="0.3"/>
    <row r="764" ht="12" customHeight="1" x14ac:dyDescent="0.3"/>
    <row r="765" ht="12" customHeight="1" x14ac:dyDescent="0.3"/>
    <row r="766" ht="12" customHeight="1" x14ac:dyDescent="0.3"/>
    <row r="767" ht="12" customHeight="1" x14ac:dyDescent="0.3"/>
    <row r="768" ht="12" customHeight="1" x14ac:dyDescent="0.3"/>
    <row r="769" ht="12" customHeight="1" x14ac:dyDescent="0.3"/>
    <row r="770" ht="12" customHeight="1" x14ac:dyDescent="0.3"/>
    <row r="771" ht="12" customHeight="1" x14ac:dyDescent="0.3"/>
    <row r="772" ht="12" customHeight="1" x14ac:dyDescent="0.3"/>
    <row r="773" ht="12" customHeight="1" x14ac:dyDescent="0.3"/>
    <row r="774" ht="12" customHeight="1" x14ac:dyDescent="0.3"/>
    <row r="775" ht="12" customHeight="1" x14ac:dyDescent="0.3"/>
    <row r="776" ht="12" customHeight="1" x14ac:dyDescent="0.3"/>
    <row r="777" ht="12" customHeight="1" x14ac:dyDescent="0.3"/>
    <row r="778" ht="12" customHeight="1" x14ac:dyDescent="0.3"/>
    <row r="779" ht="12" customHeight="1" x14ac:dyDescent="0.3"/>
    <row r="780" ht="12" customHeight="1" x14ac:dyDescent="0.3"/>
    <row r="781" ht="12" customHeight="1" x14ac:dyDescent="0.3"/>
    <row r="782" ht="12" customHeight="1" x14ac:dyDescent="0.3"/>
    <row r="783" ht="12" customHeight="1" x14ac:dyDescent="0.3"/>
    <row r="784" ht="12" customHeight="1" x14ac:dyDescent="0.3"/>
    <row r="785" ht="12" customHeight="1" x14ac:dyDescent="0.3"/>
    <row r="786" ht="12" customHeight="1" x14ac:dyDescent="0.3"/>
    <row r="787" ht="12" customHeight="1" x14ac:dyDescent="0.3"/>
    <row r="788" ht="12" customHeight="1" x14ac:dyDescent="0.3"/>
    <row r="789" ht="12" customHeight="1" x14ac:dyDescent="0.3"/>
    <row r="790" ht="12" customHeight="1" x14ac:dyDescent="0.3"/>
    <row r="791" ht="12" customHeight="1" x14ac:dyDescent="0.3"/>
    <row r="792" ht="12" customHeight="1" x14ac:dyDescent="0.3"/>
    <row r="793" ht="12" customHeight="1" x14ac:dyDescent="0.3"/>
    <row r="794" ht="12" customHeight="1" x14ac:dyDescent="0.3"/>
    <row r="795" ht="12" customHeight="1" x14ac:dyDescent="0.3"/>
    <row r="796" ht="12" customHeight="1" x14ac:dyDescent="0.3"/>
    <row r="797" ht="12" customHeight="1" x14ac:dyDescent="0.3"/>
    <row r="798" ht="12" customHeight="1" x14ac:dyDescent="0.3"/>
    <row r="799" ht="12" customHeight="1" x14ac:dyDescent="0.3"/>
    <row r="800" ht="12" customHeight="1" x14ac:dyDescent="0.3"/>
    <row r="801" ht="12" customHeight="1" x14ac:dyDescent="0.3"/>
    <row r="802" ht="12" customHeight="1" x14ac:dyDescent="0.3"/>
    <row r="803" ht="12" customHeight="1" x14ac:dyDescent="0.3"/>
    <row r="804" ht="12" customHeight="1" x14ac:dyDescent="0.3"/>
    <row r="805" ht="12" customHeight="1" x14ac:dyDescent="0.3"/>
    <row r="806" ht="12" customHeight="1" x14ac:dyDescent="0.3"/>
    <row r="807" ht="12" customHeight="1" x14ac:dyDescent="0.3"/>
    <row r="808" ht="12" customHeight="1" x14ac:dyDescent="0.3"/>
    <row r="809" ht="12" customHeight="1" x14ac:dyDescent="0.3"/>
    <row r="810" ht="12" customHeight="1" x14ac:dyDescent="0.3"/>
    <row r="811" ht="12" customHeight="1" x14ac:dyDescent="0.3"/>
    <row r="812" ht="12" customHeight="1" x14ac:dyDescent="0.3"/>
    <row r="813" ht="12" customHeight="1" x14ac:dyDescent="0.3"/>
    <row r="814" ht="12" customHeight="1" x14ac:dyDescent="0.3"/>
    <row r="815" ht="12" customHeight="1" x14ac:dyDescent="0.3"/>
    <row r="816" ht="12" customHeight="1" x14ac:dyDescent="0.3"/>
    <row r="817" ht="12" customHeight="1" x14ac:dyDescent="0.3"/>
    <row r="818" ht="12" customHeight="1" x14ac:dyDescent="0.3"/>
    <row r="819" ht="12" customHeight="1" x14ac:dyDescent="0.3"/>
    <row r="820" ht="12" customHeight="1" x14ac:dyDescent="0.3"/>
    <row r="821" ht="12" customHeight="1" x14ac:dyDescent="0.3"/>
    <row r="822" ht="12" customHeight="1" x14ac:dyDescent="0.3"/>
    <row r="823" ht="12" customHeight="1" x14ac:dyDescent="0.3"/>
    <row r="824" ht="12" customHeight="1" x14ac:dyDescent="0.3"/>
    <row r="825" ht="12" customHeight="1" x14ac:dyDescent="0.3"/>
    <row r="826" ht="12" customHeight="1" x14ac:dyDescent="0.3"/>
    <row r="827" ht="12" customHeight="1" x14ac:dyDescent="0.3"/>
    <row r="828" ht="12" customHeight="1" x14ac:dyDescent="0.3"/>
    <row r="829" ht="12" customHeight="1" x14ac:dyDescent="0.3"/>
    <row r="830" ht="12" customHeight="1" x14ac:dyDescent="0.3"/>
    <row r="831" ht="12" customHeight="1" x14ac:dyDescent="0.3"/>
    <row r="832" ht="12" customHeight="1" x14ac:dyDescent="0.3"/>
    <row r="833" ht="12" customHeight="1" x14ac:dyDescent="0.3"/>
    <row r="834" ht="12" customHeight="1" x14ac:dyDescent="0.3"/>
    <row r="835" ht="12" customHeight="1" x14ac:dyDescent="0.3"/>
    <row r="836" ht="12" customHeight="1" x14ac:dyDescent="0.3"/>
    <row r="837" ht="12" customHeight="1" x14ac:dyDescent="0.3"/>
    <row r="838" ht="12" customHeight="1" x14ac:dyDescent="0.3"/>
    <row r="839" ht="12" customHeight="1" x14ac:dyDescent="0.3"/>
    <row r="840" ht="12" customHeight="1" x14ac:dyDescent="0.3"/>
    <row r="841" ht="12" customHeight="1" x14ac:dyDescent="0.3"/>
    <row r="842" ht="12" customHeight="1" x14ac:dyDescent="0.3"/>
    <row r="843" ht="12" customHeight="1" x14ac:dyDescent="0.3"/>
    <row r="844" ht="12" customHeight="1" x14ac:dyDescent="0.3"/>
    <row r="845" ht="12" customHeight="1" x14ac:dyDescent="0.3"/>
    <row r="846" ht="12" customHeight="1" x14ac:dyDescent="0.3"/>
    <row r="847" ht="12" customHeight="1" x14ac:dyDescent="0.3"/>
    <row r="848" ht="12" customHeight="1" x14ac:dyDescent="0.3"/>
    <row r="849" ht="12" customHeight="1" x14ac:dyDescent="0.3"/>
    <row r="850" ht="12" customHeight="1" x14ac:dyDescent="0.3"/>
    <row r="851" ht="12" customHeight="1" x14ac:dyDescent="0.3"/>
    <row r="852" ht="12" customHeight="1" x14ac:dyDescent="0.3"/>
    <row r="853" ht="12" customHeight="1" x14ac:dyDescent="0.3"/>
    <row r="854" ht="12" customHeight="1" x14ac:dyDescent="0.3"/>
    <row r="855" ht="12" customHeight="1" x14ac:dyDescent="0.3"/>
    <row r="856" ht="12" customHeight="1" x14ac:dyDescent="0.3"/>
    <row r="857" ht="12" customHeight="1" x14ac:dyDescent="0.3"/>
    <row r="858" ht="12" customHeight="1" x14ac:dyDescent="0.3"/>
    <row r="859" ht="12" customHeight="1" x14ac:dyDescent="0.3"/>
    <row r="860" ht="12" customHeight="1" x14ac:dyDescent="0.3"/>
    <row r="861" ht="12" customHeight="1" x14ac:dyDescent="0.3"/>
    <row r="862" ht="12" customHeight="1" x14ac:dyDescent="0.3"/>
    <row r="863" ht="12" customHeight="1" x14ac:dyDescent="0.3"/>
    <row r="864" ht="12" customHeight="1" x14ac:dyDescent="0.3"/>
    <row r="865" ht="12" customHeight="1" x14ac:dyDescent="0.3"/>
    <row r="866" ht="12" customHeight="1" x14ac:dyDescent="0.3"/>
    <row r="867" ht="12" customHeight="1" x14ac:dyDescent="0.3"/>
    <row r="868" ht="12" customHeight="1" x14ac:dyDescent="0.3"/>
    <row r="869" ht="12" customHeight="1" x14ac:dyDescent="0.3"/>
    <row r="870" ht="12" customHeight="1" x14ac:dyDescent="0.3"/>
    <row r="871" ht="12" customHeight="1" x14ac:dyDescent="0.3"/>
    <row r="872" ht="12" customHeight="1" x14ac:dyDescent="0.3"/>
    <row r="873" ht="12" customHeight="1" x14ac:dyDescent="0.3"/>
    <row r="874" ht="12" customHeight="1" x14ac:dyDescent="0.3"/>
    <row r="875" ht="12" customHeight="1" x14ac:dyDescent="0.3"/>
    <row r="876" ht="12" customHeight="1" x14ac:dyDescent="0.3"/>
    <row r="877" ht="12" customHeight="1" x14ac:dyDescent="0.3"/>
    <row r="878" ht="12" customHeight="1" x14ac:dyDescent="0.3"/>
    <row r="879" ht="12" customHeight="1" x14ac:dyDescent="0.3"/>
    <row r="880" ht="12" customHeight="1" x14ac:dyDescent="0.3"/>
    <row r="881" ht="12" customHeight="1" x14ac:dyDescent="0.3"/>
    <row r="882" ht="12" customHeight="1" x14ac:dyDescent="0.3"/>
    <row r="883" ht="12" customHeight="1" x14ac:dyDescent="0.3"/>
    <row r="884" ht="12" customHeight="1" x14ac:dyDescent="0.3"/>
    <row r="885" ht="12" customHeight="1" x14ac:dyDescent="0.3"/>
    <row r="886" ht="12" customHeight="1" x14ac:dyDescent="0.3"/>
    <row r="887" ht="12" customHeight="1" x14ac:dyDescent="0.3"/>
    <row r="888" ht="12" customHeight="1" x14ac:dyDescent="0.3"/>
    <row r="889" ht="12" customHeight="1" x14ac:dyDescent="0.3"/>
    <row r="890" ht="12" customHeight="1" x14ac:dyDescent="0.3"/>
    <row r="891" ht="12" customHeight="1" x14ac:dyDescent="0.3"/>
    <row r="892" ht="12" customHeight="1" x14ac:dyDescent="0.3"/>
    <row r="893" ht="12" customHeight="1" x14ac:dyDescent="0.3"/>
    <row r="894" ht="12" customHeight="1" x14ac:dyDescent="0.3"/>
    <row r="895" ht="12" customHeight="1" x14ac:dyDescent="0.3"/>
    <row r="896" ht="12" customHeight="1" x14ac:dyDescent="0.3"/>
    <row r="897" ht="12" customHeight="1" x14ac:dyDescent="0.3"/>
    <row r="898" ht="12" customHeight="1" x14ac:dyDescent="0.3"/>
    <row r="899" ht="12" customHeight="1" x14ac:dyDescent="0.3"/>
    <row r="900" ht="12" customHeight="1" x14ac:dyDescent="0.3"/>
    <row r="901" ht="12" customHeight="1" x14ac:dyDescent="0.3"/>
    <row r="902" ht="12" customHeight="1" x14ac:dyDescent="0.3"/>
    <row r="903" ht="12" customHeight="1" x14ac:dyDescent="0.3"/>
    <row r="904" ht="12" customHeight="1" x14ac:dyDescent="0.3"/>
    <row r="905" ht="12" customHeight="1" x14ac:dyDescent="0.3"/>
    <row r="906" ht="12" customHeight="1" x14ac:dyDescent="0.3"/>
    <row r="907" ht="12" customHeight="1" x14ac:dyDescent="0.3"/>
    <row r="908" ht="12" customHeight="1" x14ac:dyDescent="0.3"/>
    <row r="909" ht="12" customHeight="1" x14ac:dyDescent="0.3"/>
    <row r="910" ht="12" customHeight="1" x14ac:dyDescent="0.3"/>
    <row r="911" ht="12" customHeight="1" x14ac:dyDescent="0.3"/>
    <row r="912" ht="12" customHeight="1" x14ac:dyDescent="0.3"/>
    <row r="913" ht="12" customHeight="1" x14ac:dyDescent="0.3"/>
    <row r="914" ht="12" customHeight="1" x14ac:dyDescent="0.3"/>
    <row r="915" ht="12" customHeight="1" x14ac:dyDescent="0.3"/>
    <row r="916" ht="12" customHeight="1" x14ac:dyDescent="0.3"/>
    <row r="917" ht="12" customHeight="1" x14ac:dyDescent="0.3"/>
    <row r="918" ht="12" customHeight="1" x14ac:dyDescent="0.3"/>
    <row r="919" ht="12" customHeight="1" x14ac:dyDescent="0.3"/>
    <row r="920" ht="12" customHeight="1" x14ac:dyDescent="0.3"/>
    <row r="921" ht="12" customHeight="1" x14ac:dyDescent="0.3"/>
    <row r="922" ht="12" customHeight="1" x14ac:dyDescent="0.3"/>
    <row r="923" ht="12" customHeight="1" x14ac:dyDescent="0.3"/>
    <row r="924" ht="12" customHeight="1" x14ac:dyDescent="0.3"/>
    <row r="925" ht="12" customHeight="1" x14ac:dyDescent="0.3"/>
    <row r="926" ht="12" customHeight="1" x14ac:dyDescent="0.3"/>
    <row r="927" ht="12" customHeight="1" x14ac:dyDescent="0.3"/>
    <row r="928" ht="12" customHeight="1" x14ac:dyDescent="0.3"/>
    <row r="929" ht="12" customHeight="1" x14ac:dyDescent="0.3"/>
    <row r="930" ht="12" customHeight="1" x14ac:dyDescent="0.3"/>
    <row r="931" ht="12" customHeight="1" x14ac:dyDescent="0.3"/>
    <row r="932" ht="12" customHeight="1" x14ac:dyDescent="0.3"/>
    <row r="933" ht="12" customHeight="1" x14ac:dyDescent="0.3"/>
    <row r="934" ht="12" customHeight="1" x14ac:dyDescent="0.3"/>
    <row r="935" ht="12" customHeight="1" x14ac:dyDescent="0.3"/>
    <row r="936" ht="12" customHeight="1" x14ac:dyDescent="0.3"/>
    <row r="937" ht="12" customHeight="1" x14ac:dyDescent="0.3"/>
    <row r="938" ht="12" customHeight="1" x14ac:dyDescent="0.3"/>
    <row r="939" ht="12" customHeight="1" x14ac:dyDescent="0.3"/>
    <row r="940" ht="12" customHeight="1" x14ac:dyDescent="0.3"/>
    <row r="941" ht="12" customHeight="1" x14ac:dyDescent="0.3"/>
    <row r="942" ht="12" customHeight="1" x14ac:dyDescent="0.3"/>
    <row r="943" ht="12" customHeight="1" x14ac:dyDescent="0.3"/>
    <row r="944" ht="12" customHeight="1" x14ac:dyDescent="0.3"/>
    <row r="945" ht="12" customHeight="1" x14ac:dyDescent="0.3"/>
    <row r="946" ht="12" customHeight="1" x14ac:dyDescent="0.3"/>
    <row r="947" ht="12" customHeight="1" x14ac:dyDescent="0.3"/>
    <row r="948" ht="12" customHeight="1" x14ac:dyDescent="0.3"/>
    <row r="949" ht="12" customHeight="1" x14ac:dyDescent="0.3"/>
    <row r="950" ht="12" customHeight="1" x14ac:dyDescent="0.3"/>
    <row r="951" ht="12" customHeight="1" x14ac:dyDescent="0.3"/>
    <row r="952" ht="12" customHeight="1" x14ac:dyDescent="0.3"/>
    <row r="953" ht="12" customHeight="1" x14ac:dyDescent="0.3"/>
    <row r="954" ht="12" customHeight="1" x14ac:dyDescent="0.3"/>
    <row r="955" ht="12" customHeight="1" x14ac:dyDescent="0.3"/>
    <row r="956" ht="12" customHeight="1" x14ac:dyDescent="0.3"/>
    <row r="957" ht="12" customHeight="1" x14ac:dyDescent="0.3"/>
    <row r="958" ht="12" customHeight="1" x14ac:dyDescent="0.3"/>
    <row r="959" ht="12" customHeight="1" x14ac:dyDescent="0.3"/>
    <row r="960" ht="12" customHeight="1" x14ac:dyDescent="0.3"/>
    <row r="961" ht="12" customHeight="1" x14ac:dyDescent="0.3"/>
    <row r="962" ht="12" customHeight="1" x14ac:dyDescent="0.3"/>
    <row r="963" ht="12" customHeight="1" x14ac:dyDescent="0.3"/>
    <row r="964" ht="12" customHeight="1" x14ac:dyDescent="0.3"/>
    <row r="965" ht="12" customHeight="1" x14ac:dyDescent="0.3"/>
    <row r="966" ht="12" customHeight="1" x14ac:dyDescent="0.3"/>
    <row r="967" ht="12" customHeight="1" x14ac:dyDescent="0.3"/>
    <row r="968" ht="12" customHeight="1" x14ac:dyDescent="0.3"/>
    <row r="969" ht="12" customHeight="1" x14ac:dyDescent="0.3"/>
    <row r="970" ht="12" customHeight="1" x14ac:dyDescent="0.3"/>
    <row r="971" ht="12" customHeight="1" x14ac:dyDescent="0.3"/>
    <row r="972" ht="12" customHeight="1" x14ac:dyDescent="0.3"/>
    <row r="973" ht="12" customHeight="1" x14ac:dyDescent="0.3"/>
    <row r="974" ht="12" customHeight="1" x14ac:dyDescent="0.3"/>
    <row r="975" ht="12" customHeight="1" x14ac:dyDescent="0.3"/>
    <row r="976" ht="12" customHeight="1" x14ac:dyDescent="0.3"/>
    <row r="977" ht="12" customHeight="1" x14ac:dyDescent="0.3"/>
    <row r="978" ht="12" customHeight="1" x14ac:dyDescent="0.3"/>
    <row r="979" ht="12" customHeight="1" x14ac:dyDescent="0.3"/>
    <row r="980" ht="12" customHeight="1" x14ac:dyDescent="0.3"/>
    <row r="981" ht="12" customHeight="1" x14ac:dyDescent="0.3"/>
    <row r="982" ht="12" customHeight="1" x14ac:dyDescent="0.3"/>
    <row r="983" ht="12" customHeight="1" x14ac:dyDescent="0.3"/>
    <row r="984" ht="12" customHeight="1" x14ac:dyDescent="0.3"/>
    <row r="985" ht="12" customHeight="1" x14ac:dyDescent="0.3"/>
    <row r="986" ht="12" customHeight="1" x14ac:dyDescent="0.3"/>
    <row r="987" ht="12" customHeight="1" x14ac:dyDescent="0.3"/>
    <row r="988" ht="12" customHeight="1" x14ac:dyDescent="0.3"/>
    <row r="989" ht="12" customHeight="1" x14ac:dyDescent="0.3"/>
    <row r="990" ht="12" customHeight="1" x14ac:dyDescent="0.3"/>
    <row r="991" ht="12" customHeight="1" x14ac:dyDescent="0.3"/>
    <row r="992" ht="12" customHeight="1" x14ac:dyDescent="0.3"/>
    <row r="993" ht="12" customHeight="1" x14ac:dyDescent="0.3"/>
    <row r="994" ht="12" customHeight="1" x14ac:dyDescent="0.3"/>
    <row r="995" ht="12" customHeight="1" x14ac:dyDescent="0.3"/>
    <row r="996" ht="12" customHeight="1" x14ac:dyDescent="0.3"/>
    <row r="997" ht="12" customHeight="1" x14ac:dyDescent="0.3"/>
    <row r="998" ht="12" customHeight="1" x14ac:dyDescent="0.3"/>
    <row r="999" ht="12" customHeight="1" x14ac:dyDescent="0.3"/>
    <row r="1000" ht="12" customHeight="1" x14ac:dyDescent="0.3"/>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6CBCC-C8F1-4F7B-8983-D5813E4A2277}">
  <dimension ref="A1:AA111"/>
  <sheetViews>
    <sheetView showGridLines="0" zoomScale="85" zoomScaleNormal="85" workbookViewId="0">
      <selection activeCell="G7" sqref="G7"/>
    </sheetView>
  </sheetViews>
  <sheetFormatPr defaultColWidth="9" defaultRowHeight="12" x14ac:dyDescent="0.3"/>
  <cols>
    <col min="1" max="1" width="22.33203125" customWidth="1"/>
    <col min="5" max="5" width="2.44140625" bestFit="1" customWidth="1"/>
    <col min="6" max="6" width="44.44140625" bestFit="1" customWidth="1"/>
    <col min="7" max="7" width="14.44140625" bestFit="1" customWidth="1"/>
    <col min="8" max="8" width="13.44140625" style="40" bestFit="1" customWidth="1"/>
    <col min="9" max="9" width="21.44140625" bestFit="1" customWidth="1"/>
    <col min="10" max="10" width="14.44140625" style="40" bestFit="1" customWidth="1"/>
    <col min="11" max="11" width="15.109375" bestFit="1" customWidth="1"/>
    <col min="12" max="12" width="14.44140625" bestFit="1" customWidth="1"/>
    <col min="13" max="13" width="15.6640625" bestFit="1" customWidth="1"/>
    <col min="14" max="14" width="14.44140625" style="40" bestFit="1" customWidth="1"/>
    <col min="15" max="15" width="6.77734375" customWidth="1"/>
    <col min="16" max="16" width="15.44140625" bestFit="1" customWidth="1"/>
    <col min="17" max="17" width="11.44140625" bestFit="1" customWidth="1"/>
    <col min="18" max="18" width="21.44140625" bestFit="1" customWidth="1"/>
    <col min="19" max="19" width="11.44140625" bestFit="1" customWidth="1"/>
    <col min="20" max="20" width="15" bestFit="1" customWidth="1"/>
    <col min="21" max="21" width="11.44140625" bestFit="1" customWidth="1"/>
    <col min="22" max="22" width="15.109375" bestFit="1" customWidth="1"/>
    <col min="23" max="23" width="11.44140625" style="40" bestFit="1" customWidth="1"/>
    <col min="24" max="24" width="7.44140625" bestFit="1" customWidth="1"/>
    <col min="25" max="25" width="11.44140625" bestFit="1" customWidth="1"/>
    <col min="26" max="26" width="10.33203125" bestFit="1" customWidth="1"/>
    <col min="27" max="27" width="13.33203125" bestFit="1" customWidth="1"/>
  </cols>
  <sheetData>
    <row r="1" spans="5:27" ht="12.5" thickBot="1" x14ac:dyDescent="0.35">
      <c r="E1" t="s">
        <v>118</v>
      </c>
      <c r="F1" s="443">
        <f>Inputs!$O$23</f>
        <v>26743.702000000005</v>
      </c>
      <c r="G1" s="657"/>
      <c r="H1" s="431">
        <f>Inputs!F72</f>
        <v>26743.702000000005</v>
      </c>
      <c r="I1" s="449"/>
      <c r="J1" s="431">
        <f>Inputs!F73</f>
        <v>0</v>
      </c>
      <c r="K1" s="449"/>
      <c r="L1" s="657">
        <f>Inputs!F74</f>
        <v>0</v>
      </c>
      <c r="M1" s="449"/>
      <c r="N1" s="719">
        <f>Inputs!F75</f>
        <v>0</v>
      </c>
    </row>
    <row r="2" spans="5:27" ht="12.5" thickBot="1" x14ac:dyDescent="0.35">
      <c r="E2" s="378"/>
      <c r="F2" s="40"/>
      <c r="G2" s="1341" t="s">
        <v>663</v>
      </c>
      <c r="H2" s="1342"/>
      <c r="I2" s="1342"/>
      <c r="J2" s="1342"/>
      <c r="K2" s="1342"/>
      <c r="L2" s="1342"/>
      <c r="M2" s="1342"/>
      <c r="N2" s="1343"/>
      <c r="O2" s="453"/>
      <c r="P2" s="1341" t="s">
        <v>664</v>
      </c>
      <c r="Q2" s="1342"/>
      <c r="R2" s="1342"/>
      <c r="S2" s="1342"/>
      <c r="T2" s="1342"/>
      <c r="U2" s="1342"/>
      <c r="V2" s="1342"/>
      <c r="W2" s="1343"/>
      <c r="Z2" s="723" t="s">
        <v>20</v>
      </c>
      <c r="AA2" s="724"/>
    </row>
    <row r="3" spans="5:27" x14ac:dyDescent="0.3">
      <c r="F3" s="48"/>
      <c r="G3" s="48"/>
      <c r="H3" s="656"/>
      <c r="I3" s="48"/>
      <c r="J3" s="656"/>
      <c r="K3" s="48"/>
      <c r="L3" s="371"/>
      <c r="M3" s="48"/>
      <c r="N3" s="656"/>
      <c r="O3" s="453"/>
      <c r="P3" s="26"/>
      <c r="Q3" s="26"/>
      <c r="R3" s="26"/>
      <c r="S3" s="26"/>
      <c r="T3" s="26"/>
      <c r="U3" s="26"/>
      <c r="V3" s="48"/>
      <c r="W3" s="48"/>
      <c r="Z3" s="694" t="str">
        <f>G5</f>
        <v>Atlas II - SC</v>
      </c>
      <c r="AA3" s="720">
        <f>IF(Z3="","",Inputs!C72)</f>
        <v>1</v>
      </c>
    </row>
    <row r="4" spans="5:27" x14ac:dyDescent="0.3">
      <c r="F4" s="48" t="s">
        <v>665</v>
      </c>
      <c r="G4" s="26"/>
      <c r="H4" s="656">
        <f>H1/AA3</f>
        <v>26743.702000000005</v>
      </c>
      <c r="I4" s="429"/>
      <c r="J4" s="656">
        <f>IFERROR(J1/AA4,0)</f>
        <v>0</v>
      </c>
      <c r="K4" s="429"/>
      <c r="L4" s="656">
        <f>IFERROR(L1/AA5,0)</f>
        <v>0</v>
      </c>
      <c r="M4" s="429"/>
      <c r="N4" s="656">
        <f>IFERROR(N1/AA6,0)</f>
        <v>0</v>
      </c>
      <c r="O4" s="453"/>
      <c r="P4" s="48"/>
      <c r="Q4" s="48"/>
      <c r="R4" s="48"/>
      <c r="S4" s="48"/>
      <c r="T4" s="48"/>
      <c r="U4" s="48"/>
      <c r="V4" s="48" t="s">
        <v>457</v>
      </c>
      <c r="W4" s="48"/>
      <c r="Z4" s="721" t="str">
        <f>IF(I5=0,"",I5)</f>
        <v/>
      </c>
      <c r="AA4" s="720" t="str">
        <f>IF(Z4="","",Inputs!C73)</f>
        <v/>
      </c>
    </row>
    <row r="5" spans="5:27" ht="12.5" thickBot="1" x14ac:dyDescent="0.35">
      <c r="F5" s="26" t="s">
        <v>418</v>
      </c>
      <c r="G5" s="441" t="str">
        <f>Inputs!B72</f>
        <v>Atlas II - SC</v>
      </c>
      <c r="H5" s="655">
        <f>SUM(H6:H88)</f>
        <v>1</v>
      </c>
      <c r="I5" s="441">
        <f>Inputs!B73</f>
        <v>0</v>
      </c>
      <c r="J5" s="655">
        <f>SUM(J6:J88)</f>
        <v>1</v>
      </c>
      <c r="K5" s="441">
        <f>Inputs!B74</f>
        <v>0</v>
      </c>
      <c r="L5" s="655">
        <f>SUM(L6:L88)</f>
        <v>1</v>
      </c>
      <c r="M5" s="441">
        <f>Inputs!B75</f>
        <v>0</v>
      </c>
      <c r="N5" s="655">
        <f>SUM(N6:N88)</f>
        <v>1</v>
      </c>
      <c r="O5" s="453"/>
      <c r="P5" s="441" t="str">
        <f>IF(ISBLANK(G5),"--",G5)</f>
        <v>Atlas II - SC</v>
      </c>
      <c r="Q5" s="442" t="s">
        <v>666</v>
      </c>
      <c r="R5" s="441">
        <f>I5</f>
        <v>0</v>
      </c>
      <c r="S5" s="442" t="s">
        <v>666</v>
      </c>
      <c r="T5" s="441">
        <f>K5</f>
        <v>0</v>
      </c>
      <c r="U5" s="442" t="s">
        <v>666</v>
      </c>
      <c r="V5" s="441">
        <f>M5</f>
        <v>0</v>
      </c>
      <c r="W5" s="442" t="s">
        <v>666</v>
      </c>
      <c r="Z5" s="721" t="str">
        <f>IF(K5=0,"",K5)</f>
        <v/>
      </c>
      <c r="AA5" s="720" t="str">
        <f>IF(Z5="","",Inputs!C74)</f>
        <v/>
      </c>
    </row>
    <row r="6" spans="5:27" x14ac:dyDescent="0.3">
      <c r="E6">
        <v>1</v>
      </c>
      <c r="F6" s="26" t="s">
        <v>468</v>
      </c>
      <c r="G6" s="429">
        <f>INDEX('Reference Tab'!$V$4:$CA$74, MATCH('Internal Budget'!F6, 'Reference Tab'!$U$4:$U$71, 0), MATCH('Internal Budget'!$G$5, 'Reference Tab'!$V$3:$CA$3, 0))</f>
        <v>3000</v>
      </c>
      <c r="H6" s="459"/>
      <c r="I6" s="429">
        <f>IFERROR(IF(Inputs!$B$73="",0,INDEX('Reference Tab'!$V$4:$CA$74,MATCH('Internal Budget'!F6,'Reference Tab'!$U$4:$U$71,0),MATCH('Internal Budget'!$I$5,'Reference Tab'!$V$3:$CA$3,0))),)</f>
        <v>0</v>
      </c>
      <c r="J6" s="459"/>
      <c r="K6" s="429">
        <f>IFERROR(IF(Inputs!$B$74="",0,INDEX('Reference Tab'!$V$4:$CA$74,MATCH('Internal Budget'!F6,'Reference Tab'!$U$4:$U$71,0),MATCH('Internal Budget'!$K$5,'Reference Tab'!$V$3:$CA$3,0))),)</f>
        <v>0</v>
      </c>
      <c r="L6" s="459"/>
      <c r="M6" s="429">
        <f>IFERROR(IF(Inputs!$B$75="",0,INDEX('Reference Tab'!$V$4:$CA$74,MATCH('Internal Budget'!F6,'Reference Tab'!$U$4:$U$71,0),MATCH('Internal Budget'!$M$5,'Reference Tab'!$V$3:$CA$3,0))),)</f>
        <v>0</v>
      </c>
      <c r="N6" s="661"/>
      <c r="O6" s="453"/>
      <c r="P6" s="428">
        <f>G6+($H$4*$H6)</f>
        <v>3000</v>
      </c>
      <c r="Q6" s="439">
        <f t="shared" ref="Q6:Q37" si="0">P6-G6</f>
        <v>0</v>
      </c>
      <c r="R6" s="428">
        <f>IF(I6=0,0,I6+($J$4*$J6))</f>
        <v>0</v>
      </c>
      <c r="S6" s="439">
        <f t="shared" ref="S6:S37" si="1">R6-I6</f>
        <v>0</v>
      </c>
      <c r="T6" s="428">
        <f>IF(K6=0,0,K6+($L$4*$L6))</f>
        <v>0</v>
      </c>
      <c r="U6" s="439">
        <f t="shared" ref="U6:U37" si="2">T6-K6</f>
        <v>0</v>
      </c>
      <c r="V6" s="428">
        <f>IF(M6=0,0,M6+($N$4*$N6))</f>
        <v>0</v>
      </c>
      <c r="W6" s="439">
        <f t="shared" ref="W6:W37" si="3">V6-M6</f>
        <v>0</v>
      </c>
      <c r="Z6" s="694" t="str">
        <f>IF(M5=0,"",M5)</f>
        <v/>
      </c>
      <c r="AA6" s="720" t="str">
        <f>IF(Z6="","",Inputs!C75)</f>
        <v/>
      </c>
    </row>
    <row r="7" spans="5:27" ht="12.5" thickBot="1" x14ac:dyDescent="0.35">
      <c r="E7">
        <v>1</v>
      </c>
      <c r="F7" s="26" t="s">
        <v>470</v>
      </c>
      <c r="G7" s="429">
        <f>INDEX('Reference Tab'!$V$4:$CA$74, MATCH('Internal Budget'!F7, 'Reference Tab'!$U$4:$U$71, 0), MATCH('Internal Budget'!$G$5, 'Reference Tab'!$V$3:$CA$3, 0))</f>
        <v>300</v>
      </c>
      <c r="H7" s="459"/>
      <c r="I7" s="429">
        <f>IFERROR(IF(Inputs!$B$73="",0,INDEX('Reference Tab'!$V$4:$CA$74,MATCH('Internal Budget'!F7,'Reference Tab'!$U$4:$U$71,0),MATCH('Internal Budget'!$I$5,'Reference Tab'!$V$3:$CA$3,0))),)</f>
        <v>0</v>
      </c>
      <c r="J7" s="459"/>
      <c r="K7" s="429">
        <f>IFERROR(IF(Inputs!$B$74="",0,INDEX('Reference Tab'!$V$4:$CA$74,MATCH('Internal Budget'!F7,'Reference Tab'!$U$4:$U$71,0),MATCH('Internal Budget'!$K$5,'Reference Tab'!$V$3:$CA$3,0))),)</f>
        <v>0</v>
      </c>
      <c r="L7" s="459"/>
      <c r="M7" s="429">
        <f>IFERROR(IF(Inputs!$B$75="",0,INDEX('Reference Tab'!$V$4:$AY$71,MATCH('Internal Budget'!F7,'Reference Tab'!$U$4:$U$71,0),MATCH('Internal Budget'!$M$5,'Reference Tab'!$V$3:$AY$3,0))),)</f>
        <v>0</v>
      </c>
      <c r="N7" s="661"/>
      <c r="O7" s="453"/>
      <c r="P7" s="428">
        <f>G7+($H$4*$H7)</f>
        <v>300</v>
      </c>
      <c r="Q7" s="440">
        <f t="shared" si="0"/>
        <v>0</v>
      </c>
      <c r="R7" s="428">
        <f t="shared" ref="R7:R62" si="4">IF(I7=0,0,I7+($J$4*$J7))</f>
        <v>0</v>
      </c>
      <c r="S7" s="440">
        <f t="shared" si="1"/>
        <v>0</v>
      </c>
      <c r="T7" s="428">
        <f t="shared" ref="T7:T62" si="5">IF(K7=0,0,K7+($L$4*$L7))</f>
        <v>0</v>
      </c>
      <c r="U7" s="440">
        <f t="shared" si="2"/>
        <v>0</v>
      </c>
      <c r="V7" s="428">
        <f t="shared" ref="V7:V62" si="6">IF(M7=0,0,M7+($N$4*$N7))</f>
        <v>0</v>
      </c>
      <c r="W7" s="440">
        <f t="shared" si="3"/>
        <v>0</v>
      </c>
      <c r="Z7" s="743" t="s">
        <v>20</v>
      </c>
      <c r="AA7" s="722">
        <f>H1+J1+L1+N1</f>
        <v>26743.702000000005</v>
      </c>
    </row>
    <row r="8" spans="5:27" x14ac:dyDescent="0.3">
      <c r="E8">
        <v>1</v>
      </c>
      <c r="F8" s="26" t="s">
        <v>472</v>
      </c>
      <c r="G8" s="429">
        <f>INDEX('Reference Tab'!$V$4:$CA$74, MATCH('Internal Budget'!F8, 'Reference Tab'!$U$4:$U$71, 0), MATCH('Internal Budget'!$G$5, 'Reference Tab'!$V$3:$CA$3, 0))</f>
        <v>875</v>
      </c>
      <c r="H8" s="459"/>
      <c r="I8" s="429">
        <f>IFERROR(IF(Inputs!$B$73="",0,INDEX('Reference Tab'!$V$4:$CA$74,MATCH('Internal Budget'!F8,'Reference Tab'!$U$4:$U$71,0),MATCH('Internal Budget'!$I$5,'Reference Tab'!$V$3:$CA$3,0))),)</f>
        <v>0</v>
      </c>
      <c r="J8" s="459"/>
      <c r="K8" s="429">
        <f>IFERROR(IF(Inputs!$B$74="",0,INDEX('Reference Tab'!$V$4:$CA$74,MATCH('Internal Budget'!F8,'Reference Tab'!$U$4:$U$71,0),MATCH('Internal Budget'!$K$5,'Reference Tab'!$V$3:$CA$3,0))),)</f>
        <v>0</v>
      </c>
      <c r="L8" s="459"/>
      <c r="M8" s="429">
        <f>IFERROR(IF(Inputs!$B$75="",0,INDEX('Reference Tab'!$V$4:$AY$71,MATCH('Internal Budget'!F8,'Reference Tab'!$U$4:$U$71,0),MATCH('Internal Budget'!$M$5,'Reference Tab'!$V$3:$AY$3,0))),)</f>
        <v>0</v>
      </c>
      <c r="N8" s="661"/>
      <c r="O8" s="453"/>
      <c r="P8" s="428">
        <f t="shared" ref="P8:P62" si="7">G8+($H$4*$H8)</f>
        <v>875</v>
      </c>
      <c r="Q8" s="440">
        <f t="shared" si="0"/>
        <v>0</v>
      </c>
      <c r="R8" s="428">
        <f t="shared" si="4"/>
        <v>0</v>
      </c>
      <c r="S8" s="440">
        <f t="shared" si="1"/>
        <v>0</v>
      </c>
      <c r="T8" s="428">
        <f t="shared" si="5"/>
        <v>0</v>
      </c>
      <c r="U8" s="440">
        <f t="shared" si="2"/>
        <v>0</v>
      </c>
      <c r="V8" s="428">
        <f t="shared" si="6"/>
        <v>0</v>
      </c>
      <c r="W8" s="440">
        <f t="shared" si="3"/>
        <v>0</v>
      </c>
    </row>
    <row r="9" spans="5:27" x14ac:dyDescent="0.3">
      <c r="E9">
        <v>1</v>
      </c>
      <c r="F9" s="26" t="s">
        <v>473</v>
      </c>
      <c r="G9" s="429">
        <f>INDEX('Reference Tab'!$V$4:$CA$74, MATCH('Internal Budget'!F9, 'Reference Tab'!$U$4:$U$71, 0), MATCH('Internal Budget'!$G$5, 'Reference Tab'!$V$3:$CA$3, 0))</f>
        <v>50</v>
      </c>
      <c r="H9" s="459"/>
      <c r="I9" s="429">
        <f>IFERROR(IF(Inputs!$B$73="",0,INDEX('Reference Tab'!$V$4:$CA$74,MATCH('Internal Budget'!F9,'Reference Tab'!$U$4:$U$71,0),MATCH('Internal Budget'!$I$5,'Reference Tab'!$V$3:$CA$3,0))),)</f>
        <v>0</v>
      </c>
      <c r="J9" s="459"/>
      <c r="K9" s="429">
        <f>IFERROR(IF(Inputs!$B$74="",0,INDEX('Reference Tab'!$V$4:$CA$74,MATCH('Internal Budget'!F9,'Reference Tab'!$U$4:$U$71,0),MATCH('Internal Budget'!$K$5,'Reference Tab'!$V$3:$CA$3,0))),)</f>
        <v>0</v>
      </c>
      <c r="L9" s="459"/>
      <c r="M9" s="429">
        <f>IFERROR(IF(Inputs!$B$75="",0,INDEX('Reference Tab'!$V$4:$AY$71,MATCH('Internal Budget'!F9,'Reference Tab'!$U$4:$U$71,0),MATCH('Internal Budget'!$M$5,'Reference Tab'!$V$3:$AY$3,0))),)</f>
        <v>0</v>
      </c>
      <c r="N9" s="661"/>
      <c r="O9" s="453"/>
      <c r="P9" s="428">
        <f t="shared" si="7"/>
        <v>50</v>
      </c>
      <c r="Q9" s="440">
        <f t="shared" si="0"/>
        <v>0</v>
      </c>
      <c r="R9" s="428">
        <f t="shared" si="4"/>
        <v>0</v>
      </c>
      <c r="S9" s="440">
        <f t="shared" si="1"/>
        <v>0</v>
      </c>
      <c r="T9" s="428">
        <f t="shared" si="5"/>
        <v>0</v>
      </c>
      <c r="U9" s="440">
        <f t="shared" si="2"/>
        <v>0</v>
      </c>
      <c r="V9" s="428">
        <f t="shared" si="6"/>
        <v>0</v>
      </c>
      <c r="W9" s="440">
        <f t="shared" si="3"/>
        <v>0</v>
      </c>
    </row>
    <row r="10" spans="5:27" x14ac:dyDescent="0.3">
      <c r="E10">
        <v>1</v>
      </c>
      <c r="F10" s="26" t="s">
        <v>476</v>
      </c>
      <c r="G10" s="429">
        <f>INDEX('Reference Tab'!$V$4:$CA$74, MATCH('Internal Budget'!F10, 'Reference Tab'!$U$4:$U$71, 0), MATCH('Internal Budget'!$G$5, 'Reference Tab'!$V$3:$CA$3, 0))</f>
        <v>225</v>
      </c>
      <c r="H10" s="459"/>
      <c r="I10" s="429">
        <f>IFERROR(IF(Inputs!$B$73="",0,INDEX('Reference Tab'!$V$4:$CA$74,MATCH('Internal Budget'!F10,'Reference Tab'!$U$4:$U$71,0),MATCH('Internal Budget'!$I$5,'Reference Tab'!$V$3:$CA$3,0))),)</f>
        <v>0</v>
      </c>
      <c r="J10" s="459"/>
      <c r="K10" s="429">
        <f>IFERROR(IF(Inputs!$B$74="",0,INDEX('Reference Tab'!$V$4:$CA$74,MATCH('Internal Budget'!F10,'Reference Tab'!$U$4:$U$71,0),MATCH('Internal Budget'!$K$5,'Reference Tab'!$V$3:$CA$3,0))),)</f>
        <v>0</v>
      </c>
      <c r="L10" s="459"/>
      <c r="M10" s="429">
        <f>IFERROR(IF(Inputs!$B$75="",0,INDEX('Reference Tab'!$V$4:$AY$71,MATCH('Internal Budget'!F10,'Reference Tab'!$U$4:$U$71,0),MATCH('Internal Budget'!$M$5,'Reference Tab'!$V$3:$AY$3,0))),)</f>
        <v>0</v>
      </c>
      <c r="N10" s="661"/>
      <c r="O10" s="453"/>
      <c r="P10" s="428">
        <f t="shared" si="7"/>
        <v>225</v>
      </c>
      <c r="Q10" s="440">
        <f t="shared" si="0"/>
        <v>0</v>
      </c>
      <c r="R10" s="428">
        <f t="shared" si="4"/>
        <v>0</v>
      </c>
      <c r="S10" s="440">
        <f t="shared" si="1"/>
        <v>0</v>
      </c>
      <c r="T10" s="428">
        <f t="shared" si="5"/>
        <v>0</v>
      </c>
      <c r="U10" s="440">
        <f t="shared" si="2"/>
        <v>0</v>
      </c>
      <c r="V10" s="428">
        <f t="shared" si="6"/>
        <v>0</v>
      </c>
      <c r="W10" s="440">
        <f t="shared" si="3"/>
        <v>0</v>
      </c>
    </row>
    <row r="11" spans="5:27" x14ac:dyDescent="0.3">
      <c r="E11">
        <v>2</v>
      </c>
      <c r="F11" s="26" t="s">
        <v>477</v>
      </c>
      <c r="G11" s="429">
        <f>INDEX('Reference Tab'!$V$4:$CA$74, MATCH('Internal Budget'!F11, 'Reference Tab'!$U$4:$U$71, 0), MATCH('Internal Budget'!$G$5, 'Reference Tab'!$V$3:$CA$3, 0))</f>
        <v>6661.73</v>
      </c>
      <c r="H11" s="459"/>
      <c r="I11" s="429">
        <f>IFERROR(IF(Inputs!$B$73="",0,INDEX('Reference Tab'!$V$4:$CA$74,MATCH('Internal Budget'!F11,'Reference Tab'!$U$4:$U$71,0),MATCH('Internal Budget'!$I$5,'Reference Tab'!$V$3:$CA$3,0))),)</f>
        <v>0</v>
      </c>
      <c r="J11" s="459"/>
      <c r="K11" s="429">
        <f>IFERROR(IF(Inputs!$B$74="",0,INDEX('Reference Tab'!$V$4:$CA$74,MATCH('Internal Budget'!F11,'Reference Tab'!$U$4:$U$71,0),MATCH('Internal Budget'!$K$5,'Reference Tab'!$V$3:$CA$3,0))),)</f>
        <v>0</v>
      </c>
      <c r="L11" s="459"/>
      <c r="M11" s="429">
        <f>IFERROR(IF(Inputs!$B$75="",0,INDEX('Reference Tab'!$V$4:$AY$71,MATCH('Internal Budget'!F11,'Reference Tab'!$U$4:$U$71,0),MATCH('Internal Budget'!$M$5,'Reference Tab'!$V$3:$AY$3,0))),)</f>
        <v>0</v>
      </c>
      <c r="N11" s="661"/>
      <c r="O11" s="453"/>
      <c r="P11" s="428">
        <f t="shared" si="7"/>
        <v>6661.73</v>
      </c>
      <c r="Q11" s="440">
        <f t="shared" si="0"/>
        <v>0</v>
      </c>
      <c r="R11" s="428">
        <f t="shared" si="4"/>
        <v>0</v>
      </c>
      <c r="S11" s="440">
        <f t="shared" si="1"/>
        <v>0</v>
      </c>
      <c r="T11" s="428">
        <f t="shared" si="5"/>
        <v>0</v>
      </c>
      <c r="U11" s="440">
        <f t="shared" si="2"/>
        <v>0</v>
      </c>
      <c r="V11" s="428">
        <f t="shared" si="6"/>
        <v>0</v>
      </c>
      <c r="W11" s="440">
        <f t="shared" si="3"/>
        <v>0</v>
      </c>
    </row>
    <row r="12" spans="5:27" x14ac:dyDescent="0.3">
      <c r="E12">
        <v>2</v>
      </c>
      <c r="F12" s="26" t="s">
        <v>478</v>
      </c>
      <c r="G12" s="429">
        <f>INDEX('Reference Tab'!$V$4:$CA$74, MATCH('Internal Budget'!F12, 'Reference Tab'!$U$4:$U$71, 0), MATCH('Internal Budget'!$G$5, 'Reference Tab'!$V$3:$CA$3, 0))</f>
        <v>7399.7999999999993</v>
      </c>
      <c r="H12" s="459"/>
      <c r="I12" s="429">
        <f>IFERROR(IF(Inputs!$B$73="",0,INDEX('Reference Tab'!$V$4:$CA$74,MATCH('Internal Budget'!F12,'Reference Tab'!$U$4:$U$71,0),MATCH('Internal Budget'!$I$5,'Reference Tab'!$V$3:$CA$3,0))),)</f>
        <v>0</v>
      </c>
      <c r="J12" s="459"/>
      <c r="K12" s="429">
        <f>IFERROR(IF(Inputs!$B$74="",0,INDEX('Reference Tab'!$V$4:$CA$74,MATCH('Internal Budget'!F12,'Reference Tab'!$U$4:$U$71,0),MATCH('Internal Budget'!$K$5,'Reference Tab'!$V$3:$CA$3,0))),)</f>
        <v>0</v>
      </c>
      <c r="L12" s="459"/>
      <c r="M12" s="429">
        <f>IFERROR(IF(Inputs!$B$75="",0,INDEX('Reference Tab'!$V$4:$AY$71,MATCH('Internal Budget'!F12,'Reference Tab'!$U$4:$U$71,0),MATCH('Internal Budget'!$M$5,'Reference Tab'!$V$3:$AY$3,0))),)</f>
        <v>0</v>
      </c>
      <c r="N12" s="661"/>
      <c r="O12" s="453"/>
      <c r="P12" s="428">
        <f t="shared" si="7"/>
        <v>7399.7999999999993</v>
      </c>
      <c r="Q12" s="440">
        <f t="shared" si="0"/>
        <v>0</v>
      </c>
      <c r="R12" s="428">
        <f t="shared" si="4"/>
        <v>0</v>
      </c>
      <c r="S12" s="440">
        <f t="shared" si="1"/>
        <v>0</v>
      </c>
      <c r="T12" s="428">
        <f>IF(K12=0,0,K12+($L$4*$L12))</f>
        <v>0</v>
      </c>
      <c r="U12" s="440">
        <f t="shared" si="2"/>
        <v>0</v>
      </c>
      <c r="V12" s="428">
        <f t="shared" si="6"/>
        <v>0</v>
      </c>
      <c r="W12" s="440">
        <f t="shared" si="3"/>
        <v>0</v>
      </c>
    </row>
    <row r="13" spans="5:27" x14ac:dyDescent="0.3">
      <c r="E13">
        <v>2</v>
      </c>
      <c r="F13" s="26" t="s">
        <v>479</v>
      </c>
      <c r="G13" s="429">
        <f>INDEX('Reference Tab'!$V$4:$CA$74, MATCH('Internal Budget'!F13, 'Reference Tab'!$U$4:$U$71, 0), MATCH('Internal Budget'!$G$5, 'Reference Tab'!$V$3:$CA$3, 0))</f>
        <v>2616.73</v>
      </c>
      <c r="H13" s="459"/>
      <c r="I13" s="429">
        <f>IFERROR(IF(Inputs!$B$73="",0,INDEX('Reference Tab'!$V$4:$CA$74,MATCH('Internal Budget'!F13,'Reference Tab'!$U$4:$U$71,0),MATCH('Internal Budget'!$I$5,'Reference Tab'!$V$3:$CA$3,0))),)</f>
        <v>0</v>
      </c>
      <c r="J13" s="459"/>
      <c r="K13" s="429">
        <f>IFERROR(IF(Inputs!$B$74="",0,INDEX('Reference Tab'!$V$4:$CA$74,MATCH('Internal Budget'!F13,'Reference Tab'!$U$4:$U$71,0),MATCH('Internal Budget'!$K$5,'Reference Tab'!$V$3:$CA$3,0))),)</f>
        <v>0</v>
      </c>
      <c r="L13" s="459"/>
      <c r="M13" s="429">
        <f>IFERROR(IF(Inputs!$B$75="",0,INDEX('Reference Tab'!$V$4:$AY$71,MATCH('Internal Budget'!F13,'Reference Tab'!$U$4:$U$71,0),MATCH('Internal Budget'!$M$5,'Reference Tab'!$V$3:$AY$3,0))),)</f>
        <v>0</v>
      </c>
      <c r="N13" s="661"/>
      <c r="O13" s="453"/>
      <c r="P13" s="428">
        <f t="shared" si="7"/>
        <v>2616.73</v>
      </c>
      <c r="Q13" s="440">
        <f t="shared" si="0"/>
        <v>0</v>
      </c>
      <c r="R13" s="428">
        <f t="shared" si="4"/>
        <v>0</v>
      </c>
      <c r="S13" s="440">
        <f t="shared" si="1"/>
        <v>0</v>
      </c>
      <c r="T13" s="428">
        <f t="shared" si="5"/>
        <v>0</v>
      </c>
      <c r="U13" s="440">
        <f t="shared" si="2"/>
        <v>0</v>
      </c>
      <c r="V13" s="428">
        <f t="shared" si="6"/>
        <v>0</v>
      </c>
      <c r="W13" s="440">
        <f t="shared" si="3"/>
        <v>0</v>
      </c>
    </row>
    <row r="14" spans="5:27" x14ac:dyDescent="0.3">
      <c r="E14">
        <v>2</v>
      </c>
      <c r="F14" s="26" t="s">
        <v>480</v>
      </c>
      <c r="G14" s="429">
        <f>INDEX('Reference Tab'!$V$4:$CA$74, MATCH('Internal Budget'!F14, 'Reference Tab'!$U$4:$U$71, 0), MATCH('Internal Budget'!$G$5, 'Reference Tab'!$V$3:$CA$3, 0))</f>
        <v>573.82000000000005</v>
      </c>
      <c r="H14" s="459"/>
      <c r="I14" s="429">
        <f>IFERROR(IF(Inputs!$B$73="",0,INDEX('Reference Tab'!$V$4:$CA$74,MATCH('Internal Budget'!F14,'Reference Tab'!$U$4:$U$71,0),MATCH('Internal Budget'!$I$5,'Reference Tab'!$V$3:$CA$3,0))),)</f>
        <v>0</v>
      </c>
      <c r="J14" s="459"/>
      <c r="K14" s="429">
        <f>IFERROR(IF(Inputs!$B$74="",0,INDEX('Reference Tab'!$V$4:$CA$74,MATCH('Internal Budget'!F14,'Reference Tab'!$U$4:$U$71,0),MATCH('Internal Budget'!$K$5,'Reference Tab'!$V$3:$CA$3,0))),)</f>
        <v>0</v>
      </c>
      <c r="L14" s="459"/>
      <c r="M14" s="429">
        <f>IFERROR(IF(Inputs!$B$75="",0,INDEX('Reference Tab'!$V$4:$AY$71,MATCH('Internal Budget'!F14,'Reference Tab'!$U$4:$U$71,0),MATCH('Internal Budget'!$M$5,'Reference Tab'!$V$3:$AY$3,0))),)</f>
        <v>0</v>
      </c>
      <c r="N14" s="661"/>
      <c r="O14" s="453"/>
      <c r="P14" s="428">
        <f t="shared" si="7"/>
        <v>573.82000000000005</v>
      </c>
      <c r="Q14" s="440">
        <f t="shared" si="0"/>
        <v>0</v>
      </c>
      <c r="R14" s="428">
        <f t="shared" si="4"/>
        <v>0</v>
      </c>
      <c r="S14" s="440">
        <f t="shared" si="1"/>
        <v>0</v>
      </c>
      <c r="T14" s="428">
        <f t="shared" si="5"/>
        <v>0</v>
      </c>
      <c r="U14" s="440">
        <f t="shared" si="2"/>
        <v>0</v>
      </c>
      <c r="V14" s="428">
        <f t="shared" si="6"/>
        <v>0</v>
      </c>
      <c r="W14" s="440">
        <f t="shared" si="3"/>
        <v>0</v>
      </c>
    </row>
    <row r="15" spans="5:27" x14ac:dyDescent="0.3">
      <c r="E15">
        <v>2</v>
      </c>
      <c r="F15" s="26" t="s">
        <v>481</v>
      </c>
      <c r="G15" s="429">
        <f>INDEX('Reference Tab'!$V$4:$CA$74, MATCH('Internal Budget'!F15, 'Reference Tab'!$U$4:$U$71, 0), MATCH('Internal Budget'!$G$5, 'Reference Tab'!$V$3:$CA$3, 0))</f>
        <v>2458.39</v>
      </c>
      <c r="H15" s="459"/>
      <c r="I15" s="429">
        <f>IFERROR(IF(Inputs!$B$73="",0,INDEX('Reference Tab'!$V$4:$CA$74,MATCH('Internal Budget'!F15,'Reference Tab'!$U$4:$U$71,0),MATCH('Internal Budget'!$I$5,'Reference Tab'!$V$3:$CA$3,0))),)</f>
        <v>0</v>
      </c>
      <c r="J15" s="459"/>
      <c r="K15" s="429">
        <f>IFERROR(IF(Inputs!$B$74="",0,INDEX('Reference Tab'!$V$4:$CA$74,MATCH('Internal Budget'!F15,'Reference Tab'!$U$4:$U$71,0),MATCH('Internal Budget'!$K$5,'Reference Tab'!$V$3:$CA$3,0))),)</f>
        <v>0</v>
      </c>
      <c r="L15" s="459"/>
      <c r="M15" s="429">
        <f>IFERROR(IF(Inputs!$B$75="",0,INDEX('Reference Tab'!$V$4:$AY$71,MATCH('Internal Budget'!F15,'Reference Tab'!$U$4:$U$71,0),MATCH('Internal Budget'!$M$5,'Reference Tab'!$V$3:$AY$3,0))),)</f>
        <v>0</v>
      </c>
      <c r="N15" s="661"/>
      <c r="O15" s="453"/>
      <c r="P15" s="428">
        <f t="shared" si="7"/>
        <v>2458.39</v>
      </c>
      <c r="Q15" s="440">
        <f t="shared" si="0"/>
        <v>0</v>
      </c>
      <c r="R15" s="428">
        <f t="shared" si="4"/>
        <v>0</v>
      </c>
      <c r="S15" s="440">
        <f t="shared" si="1"/>
        <v>0</v>
      </c>
      <c r="T15" s="428">
        <f t="shared" si="5"/>
        <v>0</v>
      </c>
      <c r="U15" s="440">
        <f t="shared" si="2"/>
        <v>0</v>
      </c>
      <c r="V15" s="428">
        <f t="shared" si="6"/>
        <v>0</v>
      </c>
      <c r="W15" s="440">
        <f t="shared" si="3"/>
        <v>0</v>
      </c>
    </row>
    <row r="16" spans="5:27" x14ac:dyDescent="0.3">
      <c r="E16">
        <v>2</v>
      </c>
      <c r="F16" s="26" t="s">
        <v>482</v>
      </c>
      <c r="G16" s="429">
        <f>INDEX('Reference Tab'!$V$4:$CA$74, MATCH('Internal Budget'!F16, 'Reference Tab'!$U$4:$U$71, 0), MATCH('Internal Budget'!$G$5, 'Reference Tab'!$V$3:$CA$3, 0))</f>
        <v>0</v>
      </c>
      <c r="H16" s="459"/>
      <c r="I16" s="429">
        <f>IFERROR(IF(Inputs!$B$73="",0,INDEX('Reference Tab'!$V$4:$CA$74,MATCH('Internal Budget'!F16,'Reference Tab'!$U$4:$U$71,0),MATCH('Internal Budget'!$I$5,'Reference Tab'!$V$3:$CA$3,0))),)</f>
        <v>0</v>
      </c>
      <c r="J16" s="459"/>
      <c r="K16" s="429">
        <f>IFERROR(IF(Inputs!$B$74="",0,INDEX('Reference Tab'!$V$4:$CA$74,MATCH('Internal Budget'!F16,'Reference Tab'!$U$4:$U$71,0),MATCH('Internal Budget'!$K$5,'Reference Tab'!$V$3:$CA$3,0))),)</f>
        <v>0</v>
      </c>
      <c r="L16" s="459"/>
      <c r="M16" s="429">
        <f>IFERROR(IF(Inputs!$B$75="",0,INDEX('Reference Tab'!$V$4:$AY$71,MATCH('Internal Budget'!F16,'Reference Tab'!$U$4:$U$71,0),MATCH('Internal Budget'!$M$5,'Reference Tab'!$V$3:$AY$3,0))),)</f>
        <v>0</v>
      </c>
      <c r="N16" s="661"/>
      <c r="O16" s="453"/>
      <c r="P16" s="428">
        <f t="shared" si="7"/>
        <v>0</v>
      </c>
      <c r="Q16" s="440">
        <f t="shared" si="0"/>
        <v>0</v>
      </c>
      <c r="R16" s="428">
        <f t="shared" si="4"/>
        <v>0</v>
      </c>
      <c r="S16" s="440">
        <f t="shared" si="1"/>
        <v>0</v>
      </c>
      <c r="T16" s="428">
        <f t="shared" si="5"/>
        <v>0</v>
      </c>
      <c r="U16" s="440">
        <f t="shared" si="2"/>
        <v>0</v>
      </c>
      <c r="V16" s="428">
        <f t="shared" si="6"/>
        <v>0</v>
      </c>
      <c r="W16" s="440">
        <f t="shared" si="3"/>
        <v>0</v>
      </c>
    </row>
    <row r="17" spans="1:23" x14ac:dyDescent="0.3">
      <c r="E17">
        <v>2</v>
      </c>
      <c r="F17" s="26" t="s">
        <v>483</v>
      </c>
      <c r="G17" s="429">
        <f>INDEX('Reference Tab'!$V$4:$CA$74, MATCH('Internal Budget'!F17, 'Reference Tab'!$U$4:$U$71, 0), MATCH('Internal Budget'!$G$5, 'Reference Tab'!$V$3:$CA$3, 0))</f>
        <v>0</v>
      </c>
      <c r="H17" s="459"/>
      <c r="I17" s="429">
        <f>IFERROR(IF(Inputs!$B$73="",0,INDEX('Reference Tab'!$V$4:$CA$74,MATCH('Internal Budget'!F17,'Reference Tab'!$U$4:$U$71,0),MATCH('Internal Budget'!$I$5,'Reference Tab'!$V$3:$CA$3,0))),)</f>
        <v>0</v>
      </c>
      <c r="J17" s="459"/>
      <c r="K17" s="429">
        <f>IFERROR(IF(Inputs!$B$74="",0,INDEX('Reference Tab'!$V$4:$CA$74,MATCH('Internal Budget'!F17,'Reference Tab'!$U$4:$U$71,0),MATCH('Internal Budget'!$K$5,'Reference Tab'!$V$3:$CA$3,0))),)</f>
        <v>0</v>
      </c>
      <c r="L17" s="459"/>
      <c r="M17" s="429">
        <f>IFERROR(IF(Inputs!$B$75="",0,INDEX('Reference Tab'!$V$4:$AY$71,MATCH('Internal Budget'!F17,'Reference Tab'!$U$4:$U$71,0),MATCH('Internal Budget'!$M$5,'Reference Tab'!$V$3:$AY$3,0))),)</f>
        <v>0</v>
      </c>
      <c r="N17" s="661"/>
      <c r="O17" s="453"/>
      <c r="P17" s="428">
        <f t="shared" si="7"/>
        <v>0</v>
      </c>
      <c r="Q17" s="440">
        <f t="shared" si="0"/>
        <v>0</v>
      </c>
      <c r="R17" s="428">
        <f t="shared" si="4"/>
        <v>0</v>
      </c>
      <c r="S17" s="440">
        <f t="shared" si="1"/>
        <v>0</v>
      </c>
      <c r="T17" s="428">
        <f t="shared" si="5"/>
        <v>0</v>
      </c>
      <c r="U17" s="440">
        <f t="shared" si="2"/>
        <v>0</v>
      </c>
      <c r="V17" s="428">
        <f t="shared" si="6"/>
        <v>0</v>
      </c>
      <c r="W17" s="440">
        <f t="shared" si="3"/>
        <v>0</v>
      </c>
    </row>
    <row r="18" spans="1:23" x14ac:dyDescent="0.3">
      <c r="E18">
        <v>2</v>
      </c>
      <c r="F18" s="26" t="s">
        <v>484</v>
      </c>
      <c r="G18" s="429">
        <f>INDEX('Reference Tab'!$V$4:$CA$74, MATCH('Internal Budget'!F18, 'Reference Tab'!$U$4:$U$71, 0), MATCH('Internal Budget'!$G$5, 'Reference Tab'!$V$3:$CA$3, 0))</f>
        <v>0</v>
      </c>
      <c r="H18" s="459"/>
      <c r="I18" s="429">
        <f>IFERROR(IF(Inputs!$B$73="",0,INDEX('Reference Tab'!$V$4:$CA$74,MATCH('Internal Budget'!F18,'Reference Tab'!$U$4:$U$71,0),MATCH('Internal Budget'!$I$5,'Reference Tab'!$V$3:$CA$3,0))),)</f>
        <v>0</v>
      </c>
      <c r="J18" s="459"/>
      <c r="K18" s="429">
        <f>IFERROR(IF(Inputs!$B$74="",0,INDEX('Reference Tab'!$V$4:$CA$74,MATCH('Internal Budget'!F18,'Reference Tab'!$U$4:$U$71,0),MATCH('Internal Budget'!$K$5,'Reference Tab'!$V$3:$CA$3,0))),)</f>
        <v>0</v>
      </c>
      <c r="L18" s="459"/>
      <c r="M18" s="429">
        <f>IFERROR(IF(Inputs!$B$75="",0,INDEX('Reference Tab'!$V$4:$AY$71,MATCH('Internal Budget'!F18,'Reference Tab'!$U$4:$U$71,0),MATCH('Internal Budget'!$M$5,'Reference Tab'!$V$3:$AY$3,0))),)</f>
        <v>0</v>
      </c>
      <c r="N18" s="661"/>
      <c r="O18" s="453"/>
      <c r="P18" s="428">
        <f t="shared" si="7"/>
        <v>0</v>
      </c>
      <c r="Q18" s="440">
        <f t="shared" si="0"/>
        <v>0</v>
      </c>
      <c r="R18" s="428">
        <f t="shared" si="4"/>
        <v>0</v>
      </c>
      <c r="S18" s="440">
        <f t="shared" si="1"/>
        <v>0</v>
      </c>
      <c r="T18" s="428">
        <f t="shared" si="5"/>
        <v>0</v>
      </c>
      <c r="U18" s="440">
        <f t="shared" si="2"/>
        <v>0</v>
      </c>
      <c r="V18" s="428">
        <f t="shared" si="6"/>
        <v>0</v>
      </c>
      <c r="W18" s="440">
        <f t="shared" si="3"/>
        <v>0</v>
      </c>
    </row>
    <row r="19" spans="1:23" x14ac:dyDescent="0.3">
      <c r="E19">
        <v>2</v>
      </c>
      <c r="F19" s="26" t="s">
        <v>485</v>
      </c>
      <c r="G19" s="429">
        <f>INDEX('Reference Tab'!$V$4:$CA$74, MATCH('Internal Budget'!F19, 'Reference Tab'!$U$4:$U$71, 0), MATCH('Internal Budget'!$G$5, 'Reference Tab'!$V$3:$CA$3, 0))</f>
        <v>3070.51</v>
      </c>
      <c r="H19" s="459"/>
      <c r="I19" s="429">
        <f>IFERROR(IF(Inputs!$B$73="",0,INDEX('Reference Tab'!$V$4:$CA$74,MATCH('Internal Budget'!F19,'Reference Tab'!$U$4:$U$71,0),MATCH('Internal Budget'!$I$5,'Reference Tab'!$V$3:$CA$3,0))),)</f>
        <v>0</v>
      </c>
      <c r="J19" s="459"/>
      <c r="K19" s="429">
        <f>IFERROR(IF(Inputs!$B$74="",0,INDEX('Reference Tab'!$V$4:$CA$74,MATCH('Internal Budget'!F19,'Reference Tab'!$U$4:$U$71,0),MATCH('Internal Budget'!$K$5,'Reference Tab'!$V$3:$CA$3,0))),)</f>
        <v>0</v>
      </c>
      <c r="L19" s="459"/>
      <c r="M19" s="429">
        <f>IFERROR(IF(Inputs!$B$75="",0,INDEX('Reference Tab'!$V$4:$AY$71,MATCH('Internal Budget'!F19,'Reference Tab'!$U$4:$U$71,0),MATCH('Internal Budget'!$M$5,'Reference Tab'!$V$3:$AY$3,0))),)</f>
        <v>0</v>
      </c>
      <c r="N19" s="661"/>
      <c r="O19" s="453"/>
      <c r="P19" s="428">
        <f t="shared" si="7"/>
        <v>3070.51</v>
      </c>
      <c r="Q19" s="440">
        <f t="shared" si="0"/>
        <v>0</v>
      </c>
      <c r="R19" s="428">
        <f t="shared" si="4"/>
        <v>0</v>
      </c>
      <c r="S19" s="440">
        <f t="shared" si="1"/>
        <v>0</v>
      </c>
      <c r="T19" s="428">
        <f t="shared" si="5"/>
        <v>0</v>
      </c>
      <c r="U19" s="440">
        <f t="shared" si="2"/>
        <v>0</v>
      </c>
      <c r="V19" s="428">
        <f t="shared" si="6"/>
        <v>0</v>
      </c>
      <c r="W19" s="440">
        <f t="shared" si="3"/>
        <v>0</v>
      </c>
    </row>
    <row r="20" spans="1:23" x14ac:dyDescent="0.3">
      <c r="E20">
        <v>3</v>
      </c>
      <c r="F20" s="26" t="s">
        <v>486</v>
      </c>
      <c r="G20" s="429">
        <f>INDEX('Reference Tab'!$V$4:$CA$74, MATCH('Internal Budget'!F20, 'Reference Tab'!$U$4:$U$71, 0), MATCH('Internal Budget'!$G$5, 'Reference Tab'!$V$3:$CA$3, 0))</f>
        <v>3883.77</v>
      </c>
      <c r="H20" s="459"/>
      <c r="I20" s="429">
        <f>IFERROR(IF(Inputs!$B$73="",0,INDEX('Reference Tab'!$V$4:$CA$74,MATCH('Internal Budget'!F20,'Reference Tab'!$U$4:$U$71,0),MATCH('Internal Budget'!$I$5,'Reference Tab'!$V$3:$CA$3,0))),)</f>
        <v>0</v>
      </c>
      <c r="J20" s="459"/>
      <c r="K20" s="429">
        <f>IFERROR(IF(Inputs!$B$74="",0,INDEX('Reference Tab'!$V$4:$CA$74,MATCH('Internal Budget'!F20,'Reference Tab'!$U$4:$U$71,0),MATCH('Internal Budget'!$K$5,'Reference Tab'!$V$3:$CA$3,0))),)</f>
        <v>0</v>
      </c>
      <c r="L20" s="459"/>
      <c r="M20" s="429">
        <f>IFERROR(IF(Inputs!$B$75="",0,INDEX('Reference Tab'!$V$4:$AY$71,MATCH('Internal Budget'!F20,'Reference Tab'!$U$4:$U$71,0),MATCH('Internal Budget'!$M$5,'Reference Tab'!$V$3:$AY$3,0))),)</f>
        <v>0</v>
      </c>
      <c r="N20" s="661"/>
      <c r="O20" s="453"/>
      <c r="P20" s="428">
        <f t="shared" si="7"/>
        <v>3883.77</v>
      </c>
      <c r="Q20" s="440">
        <f t="shared" si="0"/>
        <v>0</v>
      </c>
      <c r="R20" s="428">
        <f t="shared" si="4"/>
        <v>0</v>
      </c>
      <c r="S20" s="440">
        <f t="shared" si="1"/>
        <v>0</v>
      </c>
      <c r="T20" s="428">
        <f t="shared" si="5"/>
        <v>0</v>
      </c>
      <c r="U20" s="440">
        <f t="shared" si="2"/>
        <v>0</v>
      </c>
      <c r="V20" s="428">
        <f t="shared" si="6"/>
        <v>0</v>
      </c>
      <c r="W20" s="440">
        <f t="shared" si="3"/>
        <v>0</v>
      </c>
    </row>
    <row r="21" spans="1:23" x14ac:dyDescent="0.3">
      <c r="E21">
        <v>3</v>
      </c>
      <c r="F21" s="26" t="s">
        <v>487</v>
      </c>
      <c r="G21" s="429">
        <f>INDEX('Reference Tab'!$V$4:$CA$74, MATCH('Internal Budget'!F21, 'Reference Tab'!$U$4:$U$71, 0), MATCH('Internal Budget'!$G$5, 'Reference Tab'!$V$3:$CA$3, 0))</f>
        <v>2128.6999999999998</v>
      </c>
      <c r="H21" s="459"/>
      <c r="I21" s="429">
        <f>IFERROR(IF(Inputs!$B$73="",0,INDEX('Reference Tab'!$V$4:$CA$74,MATCH('Internal Budget'!F21,'Reference Tab'!$U$4:$U$71,0),MATCH('Internal Budget'!$I$5,'Reference Tab'!$V$3:$CA$3,0))),)</f>
        <v>0</v>
      </c>
      <c r="J21" s="459"/>
      <c r="K21" s="429">
        <f>IFERROR(IF(Inputs!$B$74="",0,INDEX('Reference Tab'!$V$4:$CA$74,MATCH('Internal Budget'!F21,'Reference Tab'!$U$4:$U$71,0),MATCH('Internal Budget'!$K$5,'Reference Tab'!$V$3:$CA$3,0))),)</f>
        <v>0</v>
      </c>
      <c r="L21" s="459"/>
      <c r="M21" s="429">
        <f>IFERROR(IF(Inputs!$B$75="",0,INDEX('Reference Tab'!$V$4:$AY$71,MATCH('Internal Budget'!F21,'Reference Tab'!$U$4:$U$71,0),MATCH('Internal Budget'!$M$5,'Reference Tab'!$V$3:$AY$3,0))),)</f>
        <v>0</v>
      </c>
      <c r="N21" s="661"/>
      <c r="O21" s="453"/>
      <c r="P21" s="428">
        <f t="shared" si="7"/>
        <v>2128.6999999999998</v>
      </c>
      <c r="Q21" s="440">
        <f t="shared" si="0"/>
        <v>0</v>
      </c>
      <c r="R21" s="428">
        <f t="shared" si="4"/>
        <v>0</v>
      </c>
      <c r="S21" s="440">
        <f t="shared" si="1"/>
        <v>0</v>
      </c>
      <c r="T21" s="428">
        <f t="shared" si="5"/>
        <v>0</v>
      </c>
      <c r="U21" s="440">
        <f t="shared" si="2"/>
        <v>0</v>
      </c>
      <c r="V21" s="428">
        <f t="shared" si="6"/>
        <v>0</v>
      </c>
      <c r="W21" s="440">
        <f t="shared" si="3"/>
        <v>0</v>
      </c>
    </row>
    <row r="22" spans="1:23" x14ac:dyDescent="0.3">
      <c r="E22">
        <v>2</v>
      </c>
      <c r="F22" s="26" t="s">
        <v>488</v>
      </c>
      <c r="G22" s="429">
        <f>INDEX('Reference Tab'!$V$4:$CA$74, MATCH('Internal Budget'!F22, 'Reference Tab'!$U$4:$U$71, 0), MATCH('Internal Budget'!$G$5, 'Reference Tab'!$V$3:$CA$3, 0))</f>
        <v>2729.75</v>
      </c>
      <c r="H22" s="459"/>
      <c r="I22" s="429">
        <f>IFERROR(IF(Inputs!$B$73="",0,INDEX('Reference Tab'!$V$4:$CA$74,MATCH('Internal Budget'!F22,'Reference Tab'!$U$4:$U$71,0),MATCH('Internal Budget'!$I$5,'Reference Tab'!$V$3:$CA$3,0))),)</f>
        <v>0</v>
      </c>
      <c r="J22" s="459"/>
      <c r="K22" s="429">
        <f>IFERROR(IF(Inputs!$B$74="",0,INDEX('Reference Tab'!$V$4:$CA$74,MATCH('Internal Budget'!F22,'Reference Tab'!$U$4:$U$71,0),MATCH('Internal Budget'!$K$5,'Reference Tab'!$V$3:$CA$3,0))),)</f>
        <v>0</v>
      </c>
      <c r="L22" s="459"/>
      <c r="M22" s="429">
        <f>IFERROR(IF(Inputs!$B$75="",0,INDEX('Reference Tab'!$V$4:$AY$71,MATCH('Internal Budget'!F22,'Reference Tab'!$U$4:$U$71,0),MATCH('Internal Budget'!$M$5,'Reference Tab'!$V$3:$AY$3,0))),)</f>
        <v>0</v>
      </c>
      <c r="N22" s="661"/>
      <c r="O22" s="453"/>
      <c r="P22" s="428">
        <f t="shared" si="7"/>
        <v>2729.75</v>
      </c>
      <c r="Q22" s="440">
        <f t="shared" si="0"/>
        <v>0</v>
      </c>
      <c r="R22" s="428">
        <f t="shared" si="4"/>
        <v>0</v>
      </c>
      <c r="S22" s="440">
        <f t="shared" si="1"/>
        <v>0</v>
      </c>
      <c r="T22" s="428">
        <f t="shared" si="5"/>
        <v>0</v>
      </c>
      <c r="U22" s="440">
        <f t="shared" si="2"/>
        <v>0</v>
      </c>
      <c r="V22" s="428">
        <f t="shared" si="6"/>
        <v>0</v>
      </c>
      <c r="W22" s="440">
        <f t="shared" si="3"/>
        <v>0</v>
      </c>
    </row>
    <row r="23" spans="1:23" x14ac:dyDescent="0.3">
      <c r="E23">
        <v>2</v>
      </c>
      <c r="F23" s="26" t="s">
        <v>489</v>
      </c>
      <c r="G23" s="429">
        <f>INDEX('Reference Tab'!$V$4:$CA$74, MATCH('Internal Budget'!F23, 'Reference Tab'!$U$4:$U$71, 0), MATCH('Internal Budget'!$G$5, 'Reference Tab'!$V$3:$CA$3, 0))</f>
        <v>1112.3800000000001</v>
      </c>
      <c r="H23" s="459"/>
      <c r="I23" s="429">
        <f>IFERROR(IF(Inputs!$B$73="",0,INDEX('Reference Tab'!$V$4:$CA$74,MATCH('Internal Budget'!F23,'Reference Tab'!$U$4:$U$71,0),MATCH('Internal Budget'!$I$5,'Reference Tab'!$V$3:$CA$3,0))),)</f>
        <v>0</v>
      </c>
      <c r="J23" s="459"/>
      <c r="K23" s="429">
        <f>IFERROR(IF(Inputs!$B$74="",0,INDEX('Reference Tab'!$V$4:$CA$74,MATCH('Internal Budget'!F23,'Reference Tab'!$U$4:$U$71,0),MATCH('Internal Budget'!$K$5,'Reference Tab'!$V$3:$CA$3,0))),)</f>
        <v>0</v>
      </c>
      <c r="L23" s="459"/>
      <c r="M23" s="429">
        <f>IFERROR(IF(Inputs!$B$75="",0,INDEX('Reference Tab'!$V$4:$AY$71,MATCH('Internal Budget'!F23,'Reference Tab'!$U$4:$U$71,0),MATCH('Internal Budget'!$M$5,'Reference Tab'!$V$3:$AY$3,0))),)</f>
        <v>0</v>
      </c>
      <c r="N23" s="661"/>
      <c r="O23" s="453"/>
      <c r="P23" s="428">
        <f t="shared" si="7"/>
        <v>1112.3800000000001</v>
      </c>
      <c r="Q23" s="440">
        <f t="shared" si="0"/>
        <v>0</v>
      </c>
      <c r="R23" s="428">
        <f t="shared" si="4"/>
        <v>0</v>
      </c>
      <c r="S23" s="440">
        <f t="shared" si="1"/>
        <v>0</v>
      </c>
      <c r="T23" s="428">
        <f t="shared" si="5"/>
        <v>0</v>
      </c>
      <c r="U23" s="440">
        <f t="shared" si="2"/>
        <v>0</v>
      </c>
      <c r="V23" s="428">
        <f t="shared" si="6"/>
        <v>0</v>
      </c>
      <c r="W23" s="440">
        <f t="shared" si="3"/>
        <v>0</v>
      </c>
    </row>
    <row r="24" spans="1:23" x14ac:dyDescent="0.3">
      <c r="E24">
        <v>2</v>
      </c>
      <c r="F24" s="26" t="s">
        <v>490</v>
      </c>
      <c r="G24" s="429">
        <f>INDEX('Reference Tab'!$V$4:$CA$74, MATCH('Internal Budget'!F24, 'Reference Tab'!$U$4:$U$71, 0), MATCH('Internal Budget'!$G$5, 'Reference Tab'!$V$3:$CA$3, 0))</f>
        <v>120</v>
      </c>
      <c r="H24" s="459"/>
      <c r="I24" s="429">
        <f>IFERROR(IF(Inputs!$B$73="",0,INDEX('Reference Tab'!$V$4:$CA$74,MATCH('Internal Budget'!F24,'Reference Tab'!$U$4:$U$71,0),MATCH('Internal Budget'!$I$5,'Reference Tab'!$V$3:$CA$3,0))),)</f>
        <v>0</v>
      </c>
      <c r="J24" s="459"/>
      <c r="K24" s="429">
        <f>IFERROR(IF(Inputs!$B$74="",0,INDEX('Reference Tab'!$V$4:$CA$74,MATCH('Internal Budget'!F24,'Reference Tab'!$U$4:$U$71,0),MATCH('Internal Budget'!$K$5,'Reference Tab'!$V$3:$CA$3,0))),)</f>
        <v>0</v>
      </c>
      <c r="L24" s="459"/>
      <c r="M24" s="429">
        <f>IFERROR(IF(Inputs!$B$75="",0,INDEX('Reference Tab'!$V$4:$AY$71,MATCH('Internal Budget'!F24,'Reference Tab'!$U$4:$U$71,0),MATCH('Internal Budget'!$M$5,'Reference Tab'!$V$3:$AY$3,0))),)</f>
        <v>0</v>
      </c>
      <c r="N24" s="661"/>
      <c r="O24" s="453"/>
      <c r="P24" s="428">
        <f t="shared" si="7"/>
        <v>120</v>
      </c>
      <c r="Q24" s="440">
        <f t="shared" si="0"/>
        <v>0</v>
      </c>
      <c r="R24" s="428">
        <f t="shared" si="4"/>
        <v>0</v>
      </c>
      <c r="S24" s="440">
        <f t="shared" si="1"/>
        <v>0</v>
      </c>
      <c r="T24" s="428">
        <f t="shared" si="5"/>
        <v>0</v>
      </c>
      <c r="U24" s="440">
        <f t="shared" si="2"/>
        <v>0</v>
      </c>
      <c r="V24" s="428">
        <f t="shared" si="6"/>
        <v>0</v>
      </c>
      <c r="W24" s="440">
        <f t="shared" si="3"/>
        <v>0</v>
      </c>
    </row>
    <row r="25" spans="1:23" x14ac:dyDescent="0.3">
      <c r="E25">
        <v>2</v>
      </c>
      <c r="F25" s="26" t="s">
        <v>491</v>
      </c>
      <c r="G25" s="429">
        <f>INDEX('Reference Tab'!$V$4:$CA$74, MATCH('Internal Budget'!F25, 'Reference Tab'!$U$4:$U$71, 0), MATCH('Internal Budget'!$G$5, 'Reference Tab'!$V$3:$CA$3, 0))</f>
        <v>330</v>
      </c>
      <c r="H25" s="459"/>
      <c r="I25" s="429">
        <f>IFERROR(IF(Inputs!$B$73="",0,INDEX('Reference Tab'!$V$4:$CA$74,MATCH('Internal Budget'!F25,'Reference Tab'!$U$4:$U$71,0),MATCH('Internal Budget'!$I$5,'Reference Tab'!$V$3:$CA$3,0))),)</f>
        <v>0</v>
      </c>
      <c r="J25" s="459"/>
      <c r="K25" s="429">
        <f>IFERROR(IF(Inputs!$B$74="",0,INDEX('Reference Tab'!$V$4:$CA$74,MATCH('Internal Budget'!F25,'Reference Tab'!$U$4:$U$71,0),MATCH('Internal Budget'!$K$5,'Reference Tab'!$V$3:$CA$3,0))),)</f>
        <v>0</v>
      </c>
      <c r="L25" s="459"/>
      <c r="M25" s="429">
        <f>IFERROR(IF(Inputs!$B$75="",0,INDEX('Reference Tab'!$V$4:$AY$71,MATCH('Internal Budget'!F25,'Reference Tab'!$U$4:$U$71,0),MATCH('Internal Budget'!$M$5,'Reference Tab'!$V$3:$AY$3,0))),)</f>
        <v>0</v>
      </c>
      <c r="N25" s="661"/>
      <c r="O25" s="453"/>
      <c r="P25" s="428">
        <f t="shared" si="7"/>
        <v>330</v>
      </c>
      <c r="Q25" s="440">
        <f t="shared" si="0"/>
        <v>0</v>
      </c>
      <c r="R25" s="428">
        <f t="shared" si="4"/>
        <v>0</v>
      </c>
      <c r="S25" s="440">
        <f t="shared" si="1"/>
        <v>0</v>
      </c>
      <c r="T25" s="428">
        <f t="shared" si="5"/>
        <v>0</v>
      </c>
      <c r="U25" s="440">
        <f t="shared" si="2"/>
        <v>0</v>
      </c>
      <c r="V25" s="428">
        <f t="shared" si="6"/>
        <v>0</v>
      </c>
      <c r="W25" s="440">
        <f t="shared" si="3"/>
        <v>0</v>
      </c>
    </row>
    <row r="26" spans="1:23" x14ac:dyDescent="0.3">
      <c r="E26">
        <v>2</v>
      </c>
      <c r="F26" s="26" t="s">
        <v>493</v>
      </c>
      <c r="G26" s="429">
        <f>INDEX('Reference Tab'!$V$4:$CA$74, MATCH('Internal Budget'!F26, 'Reference Tab'!$U$4:$U$71, 0), MATCH('Internal Budget'!$G$5, 'Reference Tab'!$V$3:$CA$3, 0))</f>
        <v>0</v>
      </c>
      <c r="H26" s="459"/>
      <c r="I26" s="429">
        <f>IFERROR(IF(Inputs!$B$73="",0,INDEX('Reference Tab'!$V$4:$CA$74,MATCH('Internal Budget'!F26,'Reference Tab'!$U$4:$U$71,0),MATCH('Internal Budget'!$I$5,'Reference Tab'!$V$3:$CA$3,0))),)</f>
        <v>0</v>
      </c>
      <c r="J26" s="459"/>
      <c r="K26" s="429">
        <f>IFERROR(IF(Inputs!$B$74="",0,INDEX('Reference Tab'!$V$4:$CA$74,MATCH('Internal Budget'!F26,'Reference Tab'!$U$4:$U$71,0),MATCH('Internal Budget'!$K$5,'Reference Tab'!$V$3:$CA$3,0))),)</f>
        <v>0</v>
      </c>
      <c r="L26" s="459"/>
      <c r="M26" s="429">
        <f>IFERROR(IF(Inputs!$B$75="",0,INDEX('Reference Tab'!$V$4:$AY$71,MATCH('Internal Budget'!F26,'Reference Tab'!$U$4:$U$71,0),MATCH('Internal Budget'!$M$5,'Reference Tab'!$V$3:$AY$3,0))),)</f>
        <v>0</v>
      </c>
      <c r="N26" s="661"/>
      <c r="O26" s="453"/>
      <c r="P26" s="428">
        <f t="shared" si="7"/>
        <v>0</v>
      </c>
      <c r="Q26" s="440">
        <f t="shared" si="0"/>
        <v>0</v>
      </c>
      <c r="R26" s="428">
        <f t="shared" si="4"/>
        <v>0</v>
      </c>
      <c r="S26" s="440">
        <f t="shared" si="1"/>
        <v>0</v>
      </c>
      <c r="T26" s="428">
        <f t="shared" si="5"/>
        <v>0</v>
      </c>
      <c r="U26" s="440">
        <f t="shared" si="2"/>
        <v>0</v>
      </c>
      <c r="V26" s="428">
        <f t="shared" si="6"/>
        <v>0</v>
      </c>
      <c r="W26" s="440">
        <f t="shared" si="3"/>
        <v>0</v>
      </c>
    </row>
    <row r="27" spans="1:23" x14ac:dyDescent="0.3">
      <c r="A27" s="1181" t="s">
        <v>494</v>
      </c>
      <c r="B27" s="1182">
        <v>0.3</v>
      </c>
      <c r="C27" s="1183"/>
      <c r="D27" s="1183"/>
      <c r="E27">
        <v>3</v>
      </c>
      <c r="F27" s="48" t="s">
        <v>667</v>
      </c>
      <c r="G27" s="429">
        <f>INDEX('Reference Tab'!$V$4:$CA$74, MATCH(A27, 'Reference Tab'!$U$4:$U$71, 0), MATCH('Internal Budget'!$G$5, 'Reference Tab'!$V$3:$CA$3, 0))*B27</f>
        <v>3034.5</v>
      </c>
      <c r="H27" s="459"/>
      <c r="I27" s="429">
        <f>IFERROR(IF(Inputs!$B$73="",0,INDEX('Reference Tab'!$V$4:$CA$74,MATCH('Internal Budget'!F27,'Reference Tab'!$U$4:$U$71,0),MATCH('Internal Budget'!$I$5,'Reference Tab'!$V$3:$CA$3,0))),)</f>
        <v>0</v>
      </c>
      <c r="J27" s="459"/>
      <c r="K27" s="429">
        <f>IFERROR(IF(Inputs!$B$74="",0,INDEX('Reference Tab'!$V$4:$CA$74,MATCH('Internal Budget'!F27,'Reference Tab'!$U$4:$U$71,0),MATCH('Internal Budget'!$K$5,'Reference Tab'!$V$3:$CA$3,0))),)</f>
        <v>0</v>
      </c>
      <c r="L27" s="459"/>
      <c r="M27" s="429">
        <f>IFERROR(IF(Inputs!$B$75="",0,INDEX('Reference Tab'!$V$4:$AY$71,MATCH('Internal Budget'!F27,'Reference Tab'!$U$4:$U$71,0),MATCH('Internal Budget'!$M$5,'Reference Tab'!$V$3:$AY$3,0))),)</f>
        <v>0</v>
      </c>
      <c r="N27" s="661"/>
      <c r="O27" s="453"/>
      <c r="P27" s="428">
        <f t="shared" si="7"/>
        <v>3034.5</v>
      </c>
      <c r="Q27" s="440">
        <f t="shared" si="0"/>
        <v>0</v>
      </c>
      <c r="R27" s="428">
        <f t="shared" si="4"/>
        <v>0</v>
      </c>
      <c r="S27" s="440">
        <f t="shared" si="1"/>
        <v>0</v>
      </c>
      <c r="T27" s="428">
        <f t="shared" si="5"/>
        <v>0</v>
      </c>
      <c r="U27" s="440">
        <f t="shared" si="2"/>
        <v>0</v>
      </c>
      <c r="V27" s="428">
        <f t="shared" si="6"/>
        <v>0</v>
      </c>
      <c r="W27" s="440">
        <f t="shared" si="3"/>
        <v>0</v>
      </c>
    </row>
    <row r="28" spans="1:23" x14ac:dyDescent="0.3">
      <c r="A28" s="1181" t="s">
        <v>494</v>
      </c>
      <c r="B28" s="1182">
        <v>0.4</v>
      </c>
      <c r="C28" s="1183"/>
      <c r="D28" s="1183"/>
      <c r="E28">
        <v>3</v>
      </c>
      <c r="F28" s="48" t="s">
        <v>668</v>
      </c>
      <c r="G28" s="429">
        <f>INDEX('Reference Tab'!$V$4:$CA$74, MATCH(A28, 'Reference Tab'!$U$4:$U$71, 0), MATCH('Internal Budget'!$G$5, 'Reference Tab'!$V$3:$CA$3, 0))*B28</f>
        <v>4046</v>
      </c>
      <c r="H28" s="459"/>
      <c r="I28" s="429">
        <f>IFERROR(IF(Inputs!$B$73="",0,INDEX('Reference Tab'!$V$4:$CA$74,MATCH('Internal Budget'!F28,'Reference Tab'!$U$4:$U$71,0),MATCH('Internal Budget'!$I$5,'Reference Tab'!$V$3:$CA$3,0))),)</f>
        <v>0</v>
      </c>
      <c r="J28" s="459"/>
      <c r="K28" s="429">
        <f>IFERROR(IF(Inputs!$B$74="",0,INDEX('Reference Tab'!$V$4:$CA$74,MATCH('Internal Budget'!F28,'Reference Tab'!$U$4:$U$71,0),MATCH('Internal Budget'!$K$5,'Reference Tab'!$V$3:$CA$3,0))),)</f>
        <v>0</v>
      </c>
      <c r="L28" s="459"/>
      <c r="M28" s="429">
        <f>IFERROR(IF(Inputs!$B$75="",0,INDEX('Reference Tab'!$V$4:$AY$71,MATCH('Internal Budget'!F28,'Reference Tab'!$U$4:$U$71,0),MATCH('Internal Budget'!$M$5,'Reference Tab'!$V$3:$AY$3,0))),)</f>
        <v>0</v>
      </c>
      <c r="N28" s="661"/>
      <c r="O28" s="453"/>
      <c r="P28" s="428">
        <f t="shared" si="7"/>
        <v>4046</v>
      </c>
      <c r="Q28" s="440">
        <f t="shared" si="0"/>
        <v>0</v>
      </c>
      <c r="R28" s="428">
        <f t="shared" si="4"/>
        <v>0</v>
      </c>
      <c r="S28" s="440">
        <f t="shared" si="1"/>
        <v>0</v>
      </c>
      <c r="T28" s="428">
        <f t="shared" si="5"/>
        <v>0</v>
      </c>
      <c r="U28" s="440">
        <f t="shared" si="2"/>
        <v>0</v>
      </c>
      <c r="V28" s="428">
        <f t="shared" si="6"/>
        <v>0</v>
      </c>
      <c r="W28" s="440">
        <f t="shared" si="3"/>
        <v>0</v>
      </c>
    </row>
    <row r="29" spans="1:23" x14ac:dyDescent="0.3">
      <c r="A29" s="1181" t="s">
        <v>496</v>
      </c>
      <c r="B29" s="1182">
        <v>0.7</v>
      </c>
      <c r="C29" s="1183"/>
      <c r="D29" s="1183"/>
      <c r="E29">
        <v>3</v>
      </c>
      <c r="F29" s="48" t="s">
        <v>669</v>
      </c>
      <c r="G29" s="429">
        <f>INDEX('Reference Tab'!$V$4:$CA$74, MATCH(A29, 'Reference Tab'!$U$4:$U$71, 0), MATCH('Internal Budget'!$G$5, 'Reference Tab'!$V$3:$CA$3, 0))*B29</f>
        <v>5775</v>
      </c>
      <c r="H29" s="459"/>
      <c r="I29" s="429">
        <f>IFERROR(IF(Inputs!$B$73="",0,INDEX('Reference Tab'!$V$4:$CA$74,MATCH('Internal Budget'!F29,'Reference Tab'!$U$4:$U$71,0),MATCH('Internal Budget'!$I$5,'Reference Tab'!$V$3:$CA$3,0))),)</f>
        <v>0</v>
      </c>
      <c r="J29" s="459"/>
      <c r="K29" s="429">
        <f>IFERROR(IF(Inputs!$B$74="",0,INDEX('Reference Tab'!$V$4:$CA$74,MATCH('Internal Budget'!F29,'Reference Tab'!$U$4:$U$71,0),MATCH('Internal Budget'!$K$5,'Reference Tab'!$V$3:$CA$3,0))),)</f>
        <v>0</v>
      </c>
      <c r="L29" s="459"/>
      <c r="M29" s="429">
        <f>IFERROR(IF(Inputs!$B$75="",0,INDEX('Reference Tab'!$V$4:$AY$71,MATCH('Internal Budget'!F29,'Reference Tab'!$U$4:$U$71,0),MATCH('Internal Budget'!$M$5,'Reference Tab'!$V$3:$AY$3,0))),)</f>
        <v>0</v>
      </c>
      <c r="N29" s="661"/>
      <c r="O29" s="453"/>
      <c r="P29" s="428">
        <f t="shared" si="7"/>
        <v>5775</v>
      </c>
      <c r="Q29" s="440">
        <f t="shared" si="0"/>
        <v>0</v>
      </c>
      <c r="R29" s="428">
        <f t="shared" si="4"/>
        <v>0</v>
      </c>
      <c r="S29" s="440">
        <f t="shared" si="1"/>
        <v>0</v>
      </c>
      <c r="T29" s="428">
        <f t="shared" si="5"/>
        <v>0</v>
      </c>
      <c r="U29" s="440">
        <f t="shared" si="2"/>
        <v>0</v>
      </c>
      <c r="V29" s="428">
        <f t="shared" si="6"/>
        <v>0</v>
      </c>
      <c r="W29" s="440">
        <f t="shared" si="3"/>
        <v>0</v>
      </c>
    </row>
    <row r="30" spans="1:23" x14ac:dyDescent="0.3">
      <c r="A30" s="1181" t="s">
        <v>496</v>
      </c>
      <c r="B30" s="1182">
        <v>0.3</v>
      </c>
      <c r="C30" s="1183"/>
      <c r="D30" s="1183"/>
      <c r="E30">
        <v>3</v>
      </c>
      <c r="F30" s="48" t="s">
        <v>670</v>
      </c>
      <c r="G30" s="429">
        <f>INDEX('Reference Tab'!$V$4:$CA$74, MATCH(A30, 'Reference Tab'!$U$4:$U$71, 0), MATCH('Internal Budget'!$G$5, 'Reference Tab'!$V$3:$CA$3, 0))*B30</f>
        <v>2475</v>
      </c>
      <c r="H30" s="459"/>
      <c r="I30" s="429">
        <f>IFERROR(IF(Inputs!$B$73="",0,INDEX('Reference Tab'!$V$4:$CA$74,MATCH('Internal Budget'!F30,'Reference Tab'!$U$4:$U$71,0),MATCH('Internal Budget'!$I$5,'Reference Tab'!$V$3:$CA$3,0))),)</f>
        <v>0</v>
      </c>
      <c r="J30" s="459"/>
      <c r="K30" s="429">
        <f>IFERROR(IF(Inputs!$B$74="",0,INDEX('Reference Tab'!$V$4:$CA$74,MATCH('Internal Budget'!F30,'Reference Tab'!$U$4:$U$71,0),MATCH('Internal Budget'!$K$5,'Reference Tab'!$V$3:$CA$3,0))),)</f>
        <v>0</v>
      </c>
      <c r="L30" s="459"/>
      <c r="M30" s="429">
        <f>IFERROR(IF(Inputs!$B$75="",0,INDEX('Reference Tab'!$V$4:$AY$71,MATCH('Internal Budget'!F30,'Reference Tab'!$U$4:$U$71,0),MATCH('Internal Budget'!$M$5,'Reference Tab'!$V$3:$AY$3,0))),)</f>
        <v>0</v>
      </c>
      <c r="N30" s="661"/>
      <c r="O30" s="453"/>
      <c r="P30" s="428">
        <f t="shared" si="7"/>
        <v>2475</v>
      </c>
      <c r="Q30" s="440">
        <f t="shared" si="0"/>
        <v>0</v>
      </c>
      <c r="R30" s="428">
        <f t="shared" si="4"/>
        <v>0</v>
      </c>
      <c r="S30" s="440">
        <f t="shared" si="1"/>
        <v>0</v>
      </c>
      <c r="T30" s="428">
        <f t="shared" si="5"/>
        <v>0</v>
      </c>
      <c r="U30" s="440">
        <f t="shared" si="2"/>
        <v>0</v>
      </c>
      <c r="V30" s="428">
        <f t="shared" si="6"/>
        <v>0</v>
      </c>
      <c r="W30" s="440">
        <f t="shared" si="3"/>
        <v>0</v>
      </c>
    </row>
    <row r="31" spans="1:23" x14ac:dyDescent="0.3">
      <c r="A31" s="1181" t="s">
        <v>497</v>
      </c>
      <c r="B31" s="1182">
        <v>0.6</v>
      </c>
      <c r="C31" s="1183"/>
      <c r="D31" s="1183"/>
      <c r="E31">
        <v>3</v>
      </c>
      <c r="F31" s="48" t="s">
        <v>671</v>
      </c>
      <c r="G31" s="429">
        <f>INDEX('Reference Tab'!$V$4:$CA$74, MATCH(A31, 'Reference Tab'!$U$4:$U$71, 0), MATCH('Internal Budget'!$G$5, 'Reference Tab'!$V$3:$CA$3, 0))*B31</f>
        <v>3762</v>
      </c>
      <c r="H31" s="459"/>
      <c r="I31" s="429">
        <f>IFERROR(IF(Inputs!$B$73="",0,INDEX('Reference Tab'!$V$4:$CA$74,MATCH('Internal Budget'!F31,'Reference Tab'!$U$4:$U$71,0),MATCH('Internal Budget'!$I$5,'Reference Tab'!$V$3:$CA$3,0))),)</f>
        <v>0</v>
      </c>
      <c r="J31" s="459"/>
      <c r="K31" s="429">
        <f>IFERROR(IF(Inputs!$B$74="",0,INDEX('Reference Tab'!$V$4:$CA$74,MATCH('Internal Budget'!F31,'Reference Tab'!$U$4:$U$71,0),MATCH('Internal Budget'!$K$5,'Reference Tab'!$V$3:$CA$3,0))),)</f>
        <v>0</v>
      </c>
      <c r="L31" s="459"/>
      <c r="M31" s="429">
        <f>IFERROR(IF(Inputs!$B$75="",0,INDEX('Reference Tab'!$V$4:$AY$71,MATCH('Internal Budget'!F31,'Reference Tab'!$U$4:$U$71,0),MATCH('Internal Budget'!$M$5,'Reference Tab'!$V$3:$AY$3,0))),)</f>
        <v>0</v>
      </c>
      <c r="N31" s="661"/>
      <c r="O31" s="453"/>
      <c r="P31" s="428">
        <f t="shared" si="7"/>
        <v>3762</v>
      </c>
      <c r="Q31" s="440">
        <f t="shared" si="0"/>
        <v>0</v>
      </c>
      <c r="R31" s="428">
        <f t="shared" si="4"/>
        <v>0</v>
      </c>
      <c r="S31" s="440">
        <f t="shared" si="1"/>
        <v>0</v>
      </c>
      <c r="T31" s="428">
        <f t="shared" si="5"/>
        <v>0</v>
      </c>
      <c r="U31" s="440">
        <f t="shared" si="2"/>
        <v>0</v>
      </c>
      <c r="V31" s="428">
        <f t="shared" si="6"/>
        <v>0</v>
      </c>
      <c r="W31" s="440">
        <f t="shared" si="3"/>
        <v>0</v>
      </c>
    </row>
    <row r="32" spans="1:23" x14ac:dyDescent="0.3">
      <c r="A32" s="1181" t="s">
        <v>497</v>
      </c>
      <c r="B32" s="1182">
        <v>0.4</v>
      </c>
      <c r="C32" s="1183"/>
      <c r="D32" s="1183"/>
      <c r="E32">
        <v>3</v>
      </c>
      <c r="F32" s="48" t="s">
        <v>672</v>
      </c>
      <c r="G32" s="429">
        <f>INDEX('Reference Tab'!$V$4:$CA$74, MATCH(A32, 'Reference Tab'!$U$4:$U$71, 0), MATCH('Internal Budget'!$G$5, 'Reference Tab'!$V$3:$CA$3, 0))*B32</f>
        <v>2508</v>
      </c>
      <c r="H32" s="459"/>
      <c r="I32" s="429">
        <f>IFERROR(IF(Inputs!$B$73="",0,INDEX('Reference Tab'!$V$4:$CA$74,MATCH('Internal Budget'!F32,'Reference Tab'!$U$4:$U$71,0),MATCH('Internal Budget'!$I$5,'Reference Tab'!$V$3:$CA$3,0))),)</f>
        <v>0</v>
      </c>
      <c r="J32" s="459"/>
      <c r="K32" s="429">
        <f>IFERROR(IF(Inputs!$B$74="",0,INDEX('Reference Tab'!$V$4:$CA$74,MATCH('Internal Budget'!F32,'Reference Tab'!$U$4:$U$71,0),MATCH('Internal Budget'!$K$5,'Reference Tab'!$V$3:$CA$3,0))),)</f>
        <v>0</v>
      </c>
      <c r="L32" s="459"/>
      <c r="M32" s="429">
        <f>IFERROR(IF(Inputs!$B$75="",0,INDEX('Reference Tab'!$V$4:$AY$71,MATCH('Internal Budget'!F32,'Reference Tab'!$U$4:$U$71,0),MATCH('Internal Budget'!$M$5,'Reference Tab'!$V$3:$AY$3,0))),)</f>
        <v>0</v>
      </c>
      <c r="N32" s="661"/>
      <c r="O32" s="453"/>
      <c r="P32" s="428">
        <f t="shared" si="7"/>
        <v>2508</v>
      </c>
      <c r="Q32" s="440">
        <f t="shared" si="0"/>
        <v>0</v>
      </c>
      <c r="R32" s="428">
        <f t="shared" si="4"/>
        <v>0</v>
      </c>
      <c r="S32" s="440">
        <f t="shared" si="1"/>
        <v>0</v>
      </c>
      <c r="T32" s="428">
        <f t="shared" si="5"/>
        <v>0</v>
      </c>
      <c r="U32" s="440">
        <f t="shared" si="2"/>
        <v>0</v>
      </c>
      <c r="V32" s="428">
        <f t="shared" si="6"/>
        <v>0</v>
      </c>
      <c r="W32" s="440">
        <f t="shared" si="3"/>
        <v>0</v>
      </c>
    </row>
    <row r="33" spans="5:23" x14ac:dyDescent="0.3">
      <c r="E33">
        <v>3</v>
      </c>
      <c r="F33" s="26" t="s">
        <v>498</v>
      </c>
      <c r="G33" s="429">
        <f>INDEX('Reference Tab'!$V$4:$CA$74, MATCH('Internal Budget'!F33, 'Reference Tab'!$U$4:$U$71, 0), MATCH('Internal Budget'!$G$5, 'Reference Tab'!$V$3:$CA$3, 0))</f>
        <v>275</v>
      </c>
      <c r="H33" s="459"/>
      <c r="I33" s="429">
        <f>IFERROR(IF(Inputs!$B$73="",0,INDEX('Reference Tab'!$V$4:$CA$74,MATCH('Internal Budget'!F33,'Reference Tab'!$U$4:$U$71,0),MATCH('Internal Budget'!$I$5,'Reference Tab'!$V$3:$CA$3,0))),)</f>
        <v>0</v>
      </c>
      <c r="J33" s="459"/>
      <c r="K33" s="429">
        <f>IFERROR(IF(Inputs!$B$74="",0,INDEX('Reference Tab'!$V$4:$CA$74,MATCH('Internal Budget'!F33,'Reference Tab'!$U$4:$U$71,0),MATCH('Internal Budget'!$K$5,'Reference Tab'!$V$3:$CA$3,0))),)</f>
        <v>0</v>
      </c>
      <c r="L33" s="459"/>
      <c r="M33" s="429">
        <f>IFERROR(IF(Inputs!$B$75="",0,INDEX('Reference Tab'!$V$4:$AY$71,MATCH('Internal Budget'!F33,'Reference Tab'!$U$4:$U$71,0),MATCH('Internal Budget'!$M$5,'Reference Tab'!$V$3:$AY$3,0))),)</f>
        <v>0</v>
      </c>
      <c r="N33" s="661"/>
      <c r="O33" s="453"/>
      <c r="P33" s="428">
        <f t="shared" si="7"/>
        <v>275</v>
      </c>
      <c r="Q33" s="440">
        <f t="shared" si="0"/>
        <v>0</v>
      </c>
      <c r="R33" s="428">
        <f t="shared" si="4"/>
        <v>0</v>
      </c>
      <c r="S33" s="440">
        <f t="shared" si="1"/>
        <v>0</v>
      </c>
      <c r="T33" s="428">
        <f t="shared" si="5"/>
        <v>0</v>
      </c>
      <c r="U33" s="440">
        <f t="shared" si="2"/>
        <v>0</v>
      </c>
      <c r="V33" s="428">
        <f t="shared" si="6"/>
        <v>0</v>
      </c>
      <c r="W33" s="440">
        <f t="shared" si="3"/>
        <v>0</v>
      </c>
    </row>
    <row r="34" spans="5:23" x14ac:dyDescent="0.3">
      <c r="E34">
        <v>3</v>
      </c>
      <c r="F34" s="26" t="s">
        <v>499</v>
      </c>
      <c r="G34" s="429">
        <f>INDEX('Reference Tab'!$V$4:$CA$74, MATCH('Internal Budget'!F34, 'Reference Tab'!$U$4:$U$71, 0), MATCH('Internal Budget'!$G$5, 'Reference Tab'!$V$3:$CA$3, 0))</f>
        <v>0</v>
      </c>
      <c r="H34" s="459"/>
      <c r="I34" s="429">
        <f>IFERROR(IF(Inputs!$B$73="",0,INDEX('Reference Tab'!$V$4:$CA$74,MATCH('Internal Budget'!F34,'Reference Tab'!$U$4:$U$71,0),MATCH('Internal Budget'!$I$5,'Reference Tab'!$V$3:$CA$3,0))),)</f>
        <v>0</v>
      </c>
      <c r="J34" s="459"/>
      <c r="K34" s="429">
        <f>IFERROR(IF(Inputs!$B$74="",0,INDEX('Reference Tab'!$V$4:$CA$74,MATCH('Internal Budget'!F34,'Reference Tab'!$U$4:$U$71,0),MATCH('Internal Budget'!$K$5,'Reference Tab'!$V$3:$CA$3,0))),)</f>
        <v>0</v>
      </c>
      <c r="L34" s="459"/>
      <c r="M34" s="429">
        <f>IFERROR(IF(Inputs!$B$75="",0,INDEX('Reference Tab'!$V$4:$AY$71,MATCH('Internal Budget'!F34,'Reference Tab'!$U$4:$U$71,0),MATCH('Internal Budget'!$M$5,'Reference Tab'!$V$3:$AY$3,0))),)</f>
        <v>0</v>
      </c>
      <c r="N34" s="661"/>
      <c r="O34" s="453"/>
      <c r="P34" s="428">
        <f t="shared" si="7"/>
        <v>0</v>
      </c>
      <c r="Q34" s="440">
        <f t="shared" si="0"/>
        <v>0</v>
      </c>
      <c r="R34" s="428">
        <f t="shared" si="4"/>
        <v>0</v>
      </c>
      <c r="S34" s="440">
        <f t="shared" si="1"/>
        <v>0</v>
      </c>
      <c r="T34" s="428">
        <f t="shared" si="5"/>
        <v>0</v>
      </c>
      <c r="U34" s="440">
        <f t="shared" si="2"/>
        <v>0</v>
      </c>
      <c r="V34" s="428">
        <f t="shared" si="6"/>
        <v>0</v>
      </c>
      <c r="W34" s="440">
        <f t="shared" si="3"/>
        <v>0</v>
      </c>
    </row>
    <row r="35" spans="5:23" x14ac:dyDescent="0.3">
      <c r="E35">
        <v>3</v>
      </c>
      <c r="F35" s="26" t="s">
        <v>500</v>
      </c>
      <c r="G35" s="429">
        <f>INDEX('Reference Tab'!$V$4:$CA$74, MATCH('Internal Budget'!F35, 'Reference Tab'!$U$4:$U$71, 0), MATCH('Internal Budget'!$G$5, 'Reference Tab'!$V$3:$CA$3, 0))</f>
        <v>2800</v>
      </c>
      <c r="H35" s="459"/>
      <c r="I35" s="429">
        <f>IFERROR(IF(Inputs!$B$73="",0,INDEX('Reference Tab'!$V$4:$CA$74,MATCH('Internal Budget'!F35,'Reference Tab'!$U$4:$U$71,0),MATCH('Internal Budget'!$I$5,'Reference Tab'!$V$3:$CA$3,0))),)</f>
        <v>0</v>
      </c>
      <c r="J35" s="459"/>
      <c r="K35" s="429">
        <f>IFERROR(IF(Inputs!$B$74="",0,INDEX('Reference Tab'!$V$4:$CA$74,MATCH('Internal Budget'!F35,'Reference Tab'!$U$4:$U$71,0),MATCH('Internal Budget'!$K$5,'Reference Tab'!$V$3:$CA$3,0))),)</f>
        <v>0</v>
      </c>
      <c r="L35" s="459"/>
      <c r="M35" s="429">
        <f>IFERROR(IF(Inputs!$B$75="",0,INDEX('Reference Tab'!$V$4:$AY$71,MATCH('Internal Budget'!F35,'Reference Tab'!$U$4:$U$71,0),MATCH('Internal Budget'!$M$5,'Reference Tab'!$V$3:$AY$3,0))),)</f>
        <v>0</v>
      </c>
      <c r="N35" s="661"/>
      <c r="O35" s="453"/>
      <c r="P35" s="428">
        <f t="shared" si="7"/>
        <v>2800</v>
      </c>
      <c r="Q35" s="440">
        <f t="shared" si="0"/>
        <v>0</v>
      </c>
      <c r="R35" s="428">
        <f t="shared" si="4"/>
        <v>0</v>
      </c>
      <c r="S35" s="440">
        <f t="shared" si="1"/>
        <v>0</v>
      </c>
      <c r="T35" s="428">
        <f t="shared" si="5"/>
        <v>0</v>
      </c>
      <c r="U35" s="440">
        <f t="shared" si="2"/>
        <v>0</v>
      </c>
      <c r="V35" s="428">
        <f t="shared" si="6"/>
        <v>0</v>
      </c>
      <c r="W35" s="440">
        <f t="shared" si="3"/>
        <v>0</v>
      </c>
    </row>
    <row r="36" spans="5:23" x14ac:dyDescent="0.3">
      <c r="E36">
        <v>3</v>
      </c>
      <c r="F36" s="26" t="s">
        <v>501</v>
      </c>
      <c r="G36" s="429">
        <f>INDEX('Reference Tab'!$V$4:$CA$74, MATCH('Internal Budget'!F36, 'Reference Tab'!$U$4:$U$71, 0), MATCH('Internal Budget'!$G$5, 'Reference Tab'!$V$3:$CA$3, 0))</f>
        <v>3181.59</v>
      </c>
      <c r="H36" s="459"/>
      <c r="I36" s="429">
        <f>IFERROR(IF(Inputs!$B$73="",0,INDEX('Reference Tab'!$V$4:$CA$74,MATCH('Internal Budget'!F36,'Reference Tab'!$U$4:$U$71,0),MATCH('Internal Budget'!$I$5,'Reference Tab'!$V$3:$CA$3,0))),)</f>
        <v>0</v>
      </c>
      <c r="J36" s="459"/>
      <c r="K36" s="429">
        <f>IFERROR(IF(Inputs!$B$74="",0,INDEX('Reference Tab'!$V$4:$CA$74,MATCH('Internal Budget'!F36,'Reference Tab'!$U$4:$U$71,0),MATCH('Internal Budget'!$K$5,'Reference Tab'!$V$3:$CA$3,0))),)</f>
        <v>0</v>
      </c>
      <c r="L36" s="459"/>
      <c r="M36" s="429">
        <f>IFERROR(IF(Inputs!$B$75="",0,INDEX('Reference Tab'!$V$4:$AY$71,MATCH('Internal Budget'!F36,'Reference Tab'!$U$4:$U$71,0),MATCH('Internal Budget'!$M$5,'Reference Tab'!$V$3:$AY$3,0))),)</f>
        <v>0</v>
      </c>
      <c r="N36" s="661"/>
      <c r="O36" s="453"/>
      <c r="P36" s="428">
        <f t="shared" si="7"/>
        <v>3181.59</v>
      </c>
      <c r="Q36" s="440">
        <f t="shared" si="0"/>
        <v>0</v>
      </c>
      <c r="R36" s="428">
        <f t="shared" si="4"/>
        <v>0</v>
      </c>
      <c r="S36" s="440">
        <f t="shared" si="1"/>
        <v>0</v>
      </c>
      <c r="T36" s="428">
        <f t="shared" si="5"/>
        <v>0</v>
      </c>
      <c r="U36" s="440">
        <f t="shared" si="2"/>
        <v>0</v>
      </c>
      <c r="V36" s="428">
        <f t="shared" si="6"/>
        <v>0</v>
      </c>
      <c r="W36" s="440">
        <f t="shared" si="3"/>
        <v>0</v>
      </c>
    </row>
    <row r="37" spans="5:23" x14ac:dyDescent="0.3">
      <c r="E37">
        <v>3</v>
      </c>
      <c r="F37" s="26" t="s">
        <v>503</v>
      </c>
      <c r="G37" s="429">
        <f>INDEX('Reference Tab'!$V$4:$CA$74, MATCH('Internal Budget'!F37, 'Reference Tab'!$U$4:$U$71, 0), MATCH('Internal Budget'!$G$5, 'Reference Tab'!$V$3:$CA$3, 0))</f>
        <v>3783.96</v>
      </c>
      <c r="H37" s="459"/>
      <c r="I37" s="429">
        <f>IFERROR(IF(Inputs!$B$73="",0,INDEX('Reference Tab'!$V$4:$CA$74,MATCH('Internal Budget'!F37,'Reference Tab'!$U$4:$U$71,0),MATCH('Internal Budget'!$I$5,'Reference Tab'!$V$3:$CA$3,0))),)</f>
        <v>0</v>
      </c>
      <c r="J37" s="459"/>
      <c r="K37" s="429">
        <f>IFERROR(IF(Inputs!$B$74="",0,INDEX('Reference Tab'!$V$4:$CA$74,MATCH('Internal Budget'!F37,'Reference Tab'!$U$4:$U$71,0),MATCH('Internal Budget'!$K$5,'Reference Tab'!$V$3:$CA$3,0))),)</f>
        <v>0</v>
      </c>
      <c r="L37" s="459"/>
      <c r="M37" s="429">
        <f>IFERROR(IF(Inputs!$B$75="",0,INDEX('Reference Tab'!$V$4:$AY$71,MATCH('Internal Budget'!F37,'Reference Tab'!$U$4:$U$71,0),MATCH('Internal Budget'!$M$5,'Reference Tab'!$V$3:$AY$3,0))),)</f>
        <v>0</v>
      </c>
      <c r="N37" s="661"/>
      <c r="O37" s="453"/>
      <c r="P37" s="428">
        <f t="shared" si="7"/>
        <v>3783.96</v>
      </c>
      <c r="Q37" s="440">
        <f t="shared" si="0"/>
        <v>0</v>
      </c>
      <c r="R37" s="428">
        <f t="shared" si="4"/>
        <v>0</v>
      </c>
      <c r="S37" s="440">
        <f t="shared" si="1"/>
        <v>0</v>
      </c>
      <c r="T37" s="428">
        <f t="shared" si="5"/>
        <v>0</v>
      </c>
      <c r="U37" s="440">
        <f t="shared" si="2"/>
        <v>0</v>
      </c>
      <c r="V37" s="428">
        <f t="shared" si="6"/>
        <v>0</v>
      </c>
      <c r="W37" s="440">
        <f t="shared" si="3"/>
        <v>0</v>
      </c>
    </row>
    <row r="38" spans="5:23" x14ac:dyDescent="0.3">
      <c r="E38">
        <v>4</v>
      </c>
      <c r="F38" s="26" t="s">
        <v>504</v>
      </c>
      <c r="G38" s="429">
        <f>INDEX('Reference Tab'!$V$4:$CA$74, MATCH('Internal Budget'!F38, 'Reference Tab'!$U$4:$U$71, 0), MATCH('Internal Budget'!$G$5, 'Reference Tab'!$V$3:$CA$3, 0))</f>
        <v>45</v>
      </c>
      <c r="H38" s="459"/>
      <c r="I38" s="429">
        <f>IFERROR(IF(Inputs!$B$73="",0,INDEX('Reference Tab'!$V$4:$CA$74,MATCH('Internal Budget'!F38,'Reference Tab'!$U$4:$U$71,0),MATCH('Internal Budget'!$I$5,'Reference Tab'!$V$3:$CA$3,0))),)</f>
        <v>0</v>
      </c>
      <c r="J38" s="459"/>
      <c r="K38" s="429">
        <f>IFERROR(IF(Inputs!$B$74="",0,INDEX('Reference Tab'!$V$4:$CA$74,MATCH('Internal Budget'!F38,'Reference Tab'!$U$4:$U$71,0),MATCH('Internal Budget'!$K$5,'Reference Tab'!$V$3:$CA$3,0))),)</f>
        <v>0</v>
      </c>
      <c r="L38" s="459"/>
      <c r="M38" s="429">
        <f>IFERROR(IF(Inputs!$B$75="",0,INDEX('Reference Tab'!$V$4:$AY$71,MATCH('Internal Budget'!F38,'Reference Tab'!$U$4:$U$71,0),MATCH('Internal Budget'!$M$5,'Reference Tab'!$V$3:$AY$3,0))),)</f>
        <v>0</v>
      </c>
      <c r="N38" s="661"/>
      <c r="O38" s="453"/>
      <c r="P38" s="428">
        <f t="shared" si="7"/>
        <v>45</v>
      </c>
      <c r="Q38" s="440">
        <f t="shared" ref="Q38:Q62" si="8">P38-G38</f>
        <v>0</v>
      </c>
      <c r="R38" s="428">
        <f t="shared" si="4"/>
        <v>0</v>
      </c>
      <c r="S38" s="440">
        <f t="shared" ref="S38:S62" si="9">R38-I38</f>
        <v>0</v>
      </c>
      <c r="T38" s="428">
        <f t="shared" si="5"/>
        <v>0</v>
      </c>
      <c r="U38" s="440">
        <f t="shared" ref="U38:U62" si="10">T38-K38</f>
        <v>0</v>
      </c>
      <c r="V38" s="428">
        <f t="shared" si="6"/>
        <v>0</v>
      </c>
      <c r="W38" s="440">
        <f t="shared" ref="W38:W62" si="11">V38-M38</f>
        <v>0</v>
      </c>
    </row>
    <row r="39" spans="5:23" x14ac:dyDescent="0.3">
      <c r="E39">
        <v>4</v>
      </c>
      <c r="F39" s="26" t="s">
        <v>505</v>
      </c>
      <c r="G39" s="429">
        <f>INDEX('Reference Tab'!$V$4:$CA$74, MATCH('Internal Budget'!F39, 'Reference Tab'!$U$4:$U$71, 0), MATCH('Internal Budget'!$G$5, 'Reference Tab'!$V$3:$CA$3, 0))</f>
        <v>2786</v>
      </c>
      <c r="H39" s="459"/>
      <c r="I39" s="429">
        <f>IFERROR(IF(Inputs!$B$73="",0,INDEX('Reference Tab'!$V$4:$CA$74,MATCH('Internal Budget'!F39,'Reference Tab'!$U$4:$U$71,0),MATCH('Internal Budget'!$I$5,'Reference Tab'!$V$3:$CA$3,0))),)</f>
        <v>0</v>
      </c>
      <c r="J39" s="459"/>
      <c r="K39" s="429">
        <f>IFERROR(IF(Inputs!$B$74="",0,INDEX('Reference Tab'!$V$4:$CA$74,MATCH('Internal Budget'!F39,'Reference Tab'!$U$4:$U$71,0),MATCH('Internal Budget'!$K$5,'Reference Tab'!$V$3:$CA$3,0))),)</f>
        <v>0</v>
      </c>
      <c r="L39" s="459"/>
      <c r="M39" s="429">
        <f>IFERROR(IF(Inputs!$B$75="",0,INDEX('Reference Tab'!$V$4:$AY$71,MATCH('Internal Budget'!F39,'Reference Tab'!$U$4:$U$71,0),MATCH('Internal Budget'!$M$5,'Reference Tab'!$V$3:$AY$3,0))),)</f>
        <v>0</v>
      </c>
      <c r="N39" s="661"/>
      <c r="O39" s="453"/>
      <c r="P39" s="428">
        <f t="shared" si="7"/>
        <v>2786</v>
      </c>
      <c r="Q39" s="440">
        <f t="shared" si="8"/>
        <v>0</v>
      </c>
      <c r="R39" s="428">
        <f t="shared" si="4"/>
        <v>0</v>
      </c>
      <c r="S39" s="440">
        <f t="shared" si="9"/>
        <v>0</v>
      </c>
      <c r="T39" s="428">
        <f t="shared" si="5"/>
        <v>0</v>
      </c>
      <c r="U39" s="440">
        <f t="shared" si="10"/>
        <v>0</v>
      </c>
      <c r="V39" s="428">
        <f t="shared" si="6"/>
        <v>0</v>
      </c>
      <c r="W39" s="440">
        <f t="shared" si="11"/>
        <v>0</v>
      </c>
    </row>
    <row r="40" spans="5:23" x14ac:dyDescent="0.3">
      <c r="E40">
        <v>4</v>
      </c>
      <c r="F40" s="26" t="s">
        <v>507</v>
      </c>
      <c r="G40" s="429">
        <f>INDEX('Reference Tab'!$V$4:$CA$74, MATCH('Internal Budget'!F40, 'Reference Tab'!$U$4:$U$71, 0), MATCH('Internal Budget'!$G$5, 'Reference Tab'!$V$3:$CA$3, 0))</f>
        <v>0</v>
      </c>
      <c r="H40" s="459"/>
      <c r="I40" s="429">
        <f>IFERROR(IF(Inputs!$B$73="",0,INDEX('Reference Tab'!$V$4:$CA$74,MATCH('Internal Budget'!F40,'Reference Tab'!$U$4:$U$71,0),MATCH('Internal Budget'!$I$5,'Reference Tab'!$V$3:$CA$3,0))),)</f>
        <v>0</v>
      </c>
      <c r="J40" s="459"/>
      <c r="K40" s="429">
        <f>IFERROR(IF(Inputs!$B$74="",0,INDEX('Reference Tab'!$V$4:$CA$74,MATCH('Internal Budget'!F40,'Reference Tab'!$U$4:$U$71,0),MATCH('Internal Budget'!$K$5,'Reference Tab'!$V$3:$CA$3,0))),)</f>
        <v>0</v>
      </c>
      <c r="L40" s="459"/>
      <c r="M40" s="429">
        <f>IFERROR(IF(Inputs!$B$75="",0,INDEX('Reference Tab'!$V$4:$AY$71,MATCH('Internal Budget'!F40,'Reference Tab'!$U$4:$U$71,0),MATCH('Internal Budget'!$M$5,'Reference Tab'!$V$3:$AY$3,0))),)</f>
        <v>0</v>
      </c>
      <c r="N40" s="661"/>
      <c r="O40" s="453"/>
      <c r="P40" s="428">
        <f t="shared" si="7"/>
        <v>0</v>
      </c>
      <c r="Q40" s="440">
        <f t="shared" si="8"/>
        <v>0</v>
      </c>
      <c r="R40" s="428">
        <f t="shared" si="4"/>
        <v>0</v>
      </c>
      <c r="S40" s="440">
        <f t="shared" si="9"/>
        <v>0</v>
      </c>
      <c r="T40" s="428">
        <f t="shared" si="5"/>
        <v>0</v>
      </c>
      <c r="U40" s="440">
        <f t="shared" si="10"/>
        <v>0</v>
      </c>
      <c r="V40" s="428">
        <f t="shared" si="6"/>
        <v>0</v>
      </c>
      <c r="W40" s="440">
        <f t="shared" si="11"/>
        <v>0</v>
      </c>
    </row>
    <row r="41" spans="5:23" x14ac:dyDescent="0.3">
      <c r="E41">
        <v>4</v>
      </c>
      <c r="F41" t="s">
        <v>508</v>
      </c>
      <c r="G41" s="429">
        <f>INDEX('Reference Tab'!$V$4:$CA$74, MATCH('Internal Budget'!F41, 'Reference Tab'!$U$4:$U$71, 0), MATCH('Internal Budget'!$G$5, 'Reference Tab'!$V$3:$CA$3, 0))</f>
        <v>4068</v>
      </c>
      <c r="H41" s="459"/>
      <c r="I41" s="429">
        <f>IFERROR(IF(Inputs!$B$73="",0,INDEX('Reference Tab'!$V$4:$CA$74,MATCH('Internal Budget'!F41,'Reference Tab'!$U$4:$U$71,0),MATCH('Internal Budget'!$I$5,'Reference Tab'!$V$3:$CA$3,0))),)</f>
        <v>0</v>
      </c>
      <c r="J41" s="459"/>
      <c r="K41" s="429">
        <f>IFERROR(IF(Inputs!$B$74="",0,INDEX('Reference Tab'!$V$4:$CA$74,MATCH('Internal Budget'!F41,'Reference Tab'!$U$4:$U$71,0),MATCH('Internal Budget'!$K$5,'Reference Tab'!$V$3:$CA$3,0))),)</f>
        <v>0</v>
      </c>
      <c r="L41" s="459"/>
      <c r="M41" s="429">
        <f>IFERROR(IF(Inputs!$B$75="",0,INDEX('Reference Tab'!$V$4:$AY$71,MATCH('Internal Budget'!F41,'Reference Tab'!$U$4:$U$71,0),MATCH('Internal Budget'!$M$5,'Reference Tab'!$V$3:$AY$3,0))),)</f>
        <v>0</v>
      </c>
      <c r="N41" s="661"/>
      <c r="O41" s="453"/>
      <c r="P41" s="428">
        <f t="shared" si="7"/>
        <v>4068</v>
      </c>
      <c r="Q41" s="440">
        <f t="shared" si="8"/>
        <v>0</v>
      </c>
      <c r="R41" s="428">
        <f t="shared" ref="R41" si="12">IF(I41=0,0,I41+($J$4*$J41))</f>
        <v>0</v>
      </c>
      <c r="S41" s="440">
        <f t="shared" ref="S41" si="13">R41-I41</f>
        <v>0</v>
      </c>
      <c r="T41" s="428">
        <f t="shared" ref="T41" si="14">IF(K41=0,0,K41+($L$4*$L41))</f>
        <v>0</v>
      </c>
      <c r="U41" s="440">
        <f t="shared" ref="U41" si="15">T41-K41</f>
        <v>0</v>
      </c>
      <c r="V41" s="428">
        <f t="shared" ref="V41" si="16">IF(M41=0,0,M41+($N$4*$N41))</f>
        <v>0</v>
      </c>
      <c r="W41" s="440">
        <f t="shared" ref="W41" si="17">V41-M41</f>
        <v>0</v>
      </c>
    </row>
    <row r="42" spans="5:23" x14ac:dyDescent="0.3">
      <c r="E42">
        <v>5</v>
      </c>
      <c r="F42" s="26" t="s">
        <v>509</v>
      </c>
      <c r="G42" s="429">
        <f>INDEX('Reference Tab'!$V$4:$CA$74, MATCH('Internal Budget'!F42, 'Reference Tab'!$U$4:$U$71, 0), MATCH('Internal Budget'!$G$5, 'Reference Tab'!$V$3:$CA$3, 0))</f>
        <v>451.21</v>
      </c>
      <c r="H42" s="459"/>
      <c r="I42" s="429">
        <f>IFERROR(IF(Inputs!$B$73="",0,INDEX('Reference Tab'!$V$4:$CA$74,MATCH('Internal Budget'!F42,'Reference Tab'!$U$4:$U$71,0),MATCH('Internal Budget'!$I$5,'Reference Tab'!$V$3:$CA$3,0))),)</f>
        <v>0</v>
      </c>
      <c r="J42" s="459"/>
      <c r="K42" s="429">
        <f>IFERROR(IF(Inputs!$B$74="",0,INDEX('Reference Tab'!$V$4:$CA$74,MATCH('Internal Budget'!F42,'Reference Tab'!$U$4:$U$71,0),MATCH('Internal Budget'!$K$5,'Reference Tab'!$V$3:$CA$3,0))),)</f>
        <v>0</v>
      </c>
      <c r="L42" s="459"/>
      <c r="M42" s="429">
        <f>IFERROR(IF(Inputs!$B$75="",0,INDEX('Reference Tab'!$V$4:$AY$71,MATCH('Internal Budget'!F42,'Reference Tab'!$U$4:$U$71,0),MATCH('Internal Budget'!$M$5,'Reference Tab'!$V$3:$AY$3,0))),)</f>
        <v>0</v>
      </c>
      <c r="N42" s="661"/>
      <c r="O42" s="453"/>
      <c r="P42" s="428">
        <f t="shared" si="7"/>
        <v>451.21</v>
      </c>
      <c r="Q42" s="440">
        <f t="shared" si="8"/>
        <v>0</v>
      </c>
      <c r="R42" s="428">
        <f t="shared" si="4"/>
        <v>0</v>
      </c>
      <c r="S42" s="440">
        <f t="shared" si="9"/>
        <v>0</v>
      </c>
      <c r="T42" s="428">
        <f t="shared" si="5"/>
        <v>0</v>
      </c>
      <c r="U42" s="440">
        <f t="shared" si="10"/>
        <v>0</v>
      </c>
      <c r="V42" s="428">
        <f t="shared" si="6"/>
        <v>0</v>
      </c>
      <c r="W42" s="440">
        <f t="shared" si="11"/>
        <v>0</v>
      </c>
    </row>
    <row r="43" spans="5:23" x14ac:dyDescent="0.3">
      <c r="E43">
        <v>5</v>
      </c>
      <c r="F43" s="26" t="s">
        <v>510</v>
      </c>
      <c r="G43" s="429">
        <f>INDEX('Reference Tab'!$V$4:$CA$74, MATCH('Internal Budget'!F43, 'Reference Tab'!$U$4:$U$71, 0), MATCH('Internal Budget'!$G$5, 'Reference Tab'!$V$3:$CA$3, 0))</f>
        <v>259.2</v>
      </c>
      <c r="H43" s="459"/>
      <c r="I43" s="429">
        <f>IFERROR(IF(Inputs!$B$73="",0,INDEX('Reference Tab'!$V$4:$CA$74,MATCH('Internal Budget'!F43,'Reference Tab'!$U$4:$U$71,0),MATCH('Internal Budget'!$I$5,'Reference Tab'!$V$3:$CA$3,0))),)</f>
        <v>0</v>
      </c>
      <c r="J43" s="459"/>
      <c r="K43" s="429">
        <f>IFERROR(IF(Inputs!$B$74="",0,INDEX('Reference Tab'!$V$4:$CA$74,MATCH('Internal Budget'!F43,'Reference Tab'!$U$4:$U$71,0),MATCH('Internal Budget'!$K$5,'Reference Tab'!$V$3:$CA$3,0))),)</f>
        <v>0</v>
      </c>
      <c r="L43" s="459"/>
      <c r="M43" s="429">
        <f>IFERROR(IF(Inputs!$B$75="",0,INDEX('Reference Tab'!$V$4:$AY$71,MATCH('Internal Budget'!F43,'Reference Tab'!$U$4:$U$71,0),MATCH('Internal Budget'!$M$5,'Reference Tab'!$V$3:$AY$3,0))),)</f>
        <v>0</v>
      </c>
      <c r="N43" s="661"/>
      <c r="O43" s="453"/>
      <c r="P43" s="428">
        <f t="shared" si="7"/>
        <v>259.2</v>
      </c>
      <c r="Q43" s="440">
        <f t="shared" si="8"/>
        <v>0</v>
      </c>
      <c r="R43" s="428">
        <f t="shared" si="4"/>
        <v>0</v>
      </c>
      <c r="S43" s="440">
        <f t="shared" si="9"/>
        <v>0</v>
      </c>
      <c r="T43" s="428">
        <f t="shared" si="5"/>
        <v>0</v>
      </c>
      <c r="U43" s="440">
        <f t="shared" si="10"/>
        <v>0</v>
      </c>
      <c r="V43" s="428">
        <f t="shared" si="6"/>
        <v>0</v>
      </c>
      <c r="W43" s="440">
        <f t="shared" si="11"/>
        <v>0</v>
      </c>
    </row>
    <row r="44" spans="5:23" x14ac:dyDescent="0.3">
      <c r="E44">
        <v>4</v>
      </c>
      <c r="F44" s="26" t="s">
        <v>511</v>
      </c>
      <c r="G44" s="429">
        <f>INDEX('Reference Tab'!$V$4:$CA$74, MATCH('Internal Budget'!F44, 'Reference Tab'!$U$4:$U$71, 0), MATCH('Internal Budget'!$G$5, 'Reference Tab'!$V$3:$CA$3, 0))</f>
        <v>0</v>
      </c>
      <c r="H44" s="459"/>
      <c r="I44" s="429">
        <f>IFERROR(IF(Inputs!$B$73="",0,INDEX('Reference Tab'!$V$4:$CA$74,MATCH('Internal Budget'!F44,'Reference Tab'!$U$4:$U$71,0),MATCH('Internal Budget'!$I$5,'Reference Tab'!$V$3:$CA$3,0))),)</f>
        <v>0</v>
      </c>
      <c r="J44" s="459"/>
      <c r="K44" s="429">
        <f>IFERROR(IF(Inputs!$B$74="",0,INDEX('Reference Tab'!$V$4:$CA$74,MATCH('Internal Budget'!F44,'Reference Tab'!$U$4:$U$71,0),MATCH('Internal Budget'!$K$5,'Reference Tab'!$V$3:$CA$3,0))),)</f>
        <v>0</v>
      </c>
      <c r="L44" s="459"/>
      <c r="M44" s="429">
        <f>IFERROR(IF(Inputs!$B$75="",0,INDEX('Reference Tab'!$V$4:$AY$71,MATCH('Internal Budget'!F44,'Reference Tab'!$U$4:$U$71,0),MATCH('Internal Budget'!$M$5,'Reference Tab'!$V$3:$AY$3,0))),)</f>
        <v>0</v>
      </c>
      <c r="N44" s="661"/>
      <c r="O44" s="453"/>
      <c r="P44" s="428">
        <f t="shared" si="7"/>
        <v>0</v>
      </c>
      <c r="Q44" s="440">
        <f t="shared" si="8"/>
        <v>0</v>
      </c>
      <c r="R44" s="428">
        <f t="shared" si="4"/>
        <v>0</v>
      </c>
      <c r="S44" s="440">
        <f t="shared" si="9"/>
        <v>0</v>
      </c>
      <c r="T44" s="428">
        <f t="shared" si="5"/>
        <v>0</v>
      </c>
      <c r="U44" s="440">
        <f t="shared" si="10"/>
        <v>0</v>
      </c>
      <c r="V44" s="428">
        <f t="shared" si="6"/>
        <v>0</v>
      </c>
      <c r="W44" s="440">
        <f t="shared" si="11"/>
        <v>0</v>
      </c>
    </row>
    <row r="45" spans="5:23" x14ac:dyDescent="0.3">
      <c r="E45">
        <v>5</v>
      </c>
      <c r="F45" s="26" t="s">
        <v>512</v>
      </c>
      <c r="G45" s="429">
        <f>INDEX('Reference Tab'!$V$4:$CA$74, MATCH('Internal Budget'!F45, 'Reference Tab'!$U$4:$U$71, 0), MATCH('Internal Budget'!$G$5, 'Reference Tab'!$V$3:$CA$3, 0))</f>
        <v>689.96</v>
      </c>
      <c r="H45" s="459"/>
      <c r="I45" s="429">
        <f>IFERROR(IF(Inputs!$B$73="",0,INDEX('Reference Tab'!$V$4:$CA$74,MATCH('Internal Budget'!F45,'Reference Tab'!$U$4:$U$71,0),MATCH('Internal Budget'!$I$5,'Reference Tab'!$V$3:$CA$3,0))),)</f>
        <v>0</v>
      </c>
      <c r="J45" s="459"/>
      <c r="K45" s="429">
        <f>IFERROR(IF(Inputs!$B$74="",0,INDEX('Reference Tab'!$V$4:$CA$74,MATCH('Internal Budget'!F45,'Reference Tab'!$U$4:$U$71,0),MATCH('Internal Budget'!$K$5,'Reference Tab'!$V$3:$CA$3,0))),)</f>
        <v>0</v>
      </c>
      <c r="L45" s="459"/>
      <c r="M45" s="429">
        <f>IFERROR(IF(Inputs!$B$75="",0,INDEX('Reference Tab'!$V$4:$AY$71,MATCH('Internal Budget'!F45,'Reference Tab'!$U$4:$U$71,0),MATCH('Internal Budget'!$M$5,'Reference Tab'!$V$3:$AY$3,0))),)</f>
        <v>0</v>
      </c>
      <c r="N45" s="661"/>
      <c r="O45" s="453"/>
      <c r="P45" s="428">
        <f t="shared" si="7"/>
        <v>689.96</v>
      </c>
      <c r="Q45" s="440">
        <f t="shared" si="8"/>
        <v>0</v>
      </c>
      <c r="R45" s="428">
        <f t="shared" si="4"/>
        <v>0</v>
      </c>
      <c r="S45" s="440">
        <f t="shared" si="9"/>
        <v>0</v>
      </c>
      <c r="T45" s="428">
        <f t="shared" si="5"/>
        <v>0</v>
      </c>
      <c r="U45" s="440">
        <f t="shared" si="10"/>
        <v>0</v>
      </c>
      <c r="V45" s="428">
        <f t="shared" si="6"/>
        <v>0</v>
      </c>
      <c r="W45" s="440">
        <f t="shared" si="11"/>
        <v>0</v>
      </c>
    </row>
    <row r="46" spans="5:23" x14ac:dyDescent="0.3">
      <c r="E46">
        <v>5</v>
      </c>
      <c r="F46" s="26" t="s">
        <v>513</v>
      </c>
      <c r="G46" s="429">
        <f>INDEX('Reference Tab'!$V$4:$CA$74, MATCH('Internal Budget'!F46, 'Reference Tab'!$U$4:$U$71, 0), MATCH('Internal Budget'!$G$5, 'Reference Tab'!$V$3:$CA$3, 0))</f>
        <v>133.49</v>
      </c>
      <c r="H46" s="459"/>
      <c r="I46" s="429">
        <f>IFERROR(IF(Inputs!$B$73="",0,INDEX('Reference Tab'!$V$4:$CA$74,MATCH('Internal Budget'!F46,'Reference Tab'!$U$4:$U$71,0),MATCH('Internal Budget'!$I$5,'Reference Tab'!$V$3:$CA$3,0))),)</f>
        <v>0</v>
      </c>
      <c r="J46" s="459"/>
      <c r="K46" s="429">
        <f>IFERROR(IF(Inputs!$B$74="",0,INDEX('Reference Tab'!$V$4:$CA$74,MATCH('Internal Budget'!F46,'Reference Tab'!$U$4:$U$71,0),MATCH('Internal Budget'!$K$5,'Reference Tab'!$V$3:$CA$3,0))),)</f>
        <v>0</v>
      </c>
      <c r="L46" s="459"/>
      <c r="M46" s="429">
        <f>IFERROR(IF(Inputs!$B$75="",0,INDEX('Reference Tab'!$V$4:$AY$71,MATCH('Internal Budget'!F46,'Reference Tab'!$U$4:$U$71,0),MATCH('Internal Budget'!$M$5,'Reference Tab'!$V$3:$AY$3,0))),)</f>
        <v>0</v>
      </c>
      <c r="N46" s="661"/>
      <c r="O46" s="453"/>
      <c r="P46" s="428">
        <f t="shared" si="7"/>
        <v>133.49</v>
      </c>
      <c r="Q46" s="440">
        <f t="shared" si="8"/>
        <v>0</v>
      </c>
      <c r="R46" s="428">
        <f t="shared" si="4"/>
        <v>0</v>
      </c>
      <c r="S46" s="440">
        <f t="shared" si="9"/>
        <v>0</v>
      </c>
      <c r="T46" s="428">
        <f t="shared" si="5"/>
        <v>0</v>
      </c>
      <c r="U46" s="440">
        <f t="shared" si="10"/>
        <v>0</v>
      </c>
      <c r="V46" s="428">
        <f t="shared" si="6"/>
        <v>0</v>
      </c>
      <c r="W46" s="440">
        <f t="shared" si="11"/>
        <v>0</v>
      </c>
    </row>
    <row r="47" spans="5:23" x14ac:dyDescent="0.3">
      <c r="E47">
        <v>5</v>
      </c>
      <c r="F47" s="26" t="s">
        <v>514</v>
      </c>
      <c r="G47" s="429">
        <f>INDEX('Reference Tab'!$V$4:$CA$74, MATCH('Internal Budget'!F47, 'Reference Tab'!$U$4:$U$71, 0), MATCH('Internal Budget'!$G$5, 'Reference Tab'!$V$3:$CA$3, 0))</f>
        <v>690</v>
      </c>
      <c r="H47" s="459"/>
      <c r="I47" s="429">
        <f>IFERROR(IF(Inputs!$B$73="",0,INDEX('Reference Tab'!$V$4:$CA$74,MATCH('Internal Budget'!F47,'Reference Tab'!$U$4:$U$71,0),MATCH('Internal Budget'!$I$5,'Reference Tab'!$V$3:$CA$3,0))),)</f>
        <v>0</v>
      </c>
      <c r="J47" s="459"/>
      <c r="K47" s="429">
        <f>IFERROR(IF(Inputs!$B$74="",0,INDEX('Reference Tab'!$V$4:$CA$74,MATCH('Internal Budget'!F47,'Reference Tab'!$U$4:$U$71,0),MATCH('Internal Budget'!$K$5,'Reference Tab'!$V$3:$CA$3,0))),)</f>
        <v>0</v>
      </c>
      <c r="L47" s="459"/>
      <c r="M47" s="429">
        <f>IFERROR(IF(Inputs!$B$75="",0,INDEX('Reference Tab'!$V$4:$AY$71,MATCH('Internal Budget'!F47,'Reference Tab'!$U$4:$U$71,0),MATCH('Internal Budget'!$M$5,'Reference Tab'!$V$3:$AY$3,0))),)</f>
        <v>0</v>
      </c>
      <c r="N47" s="661"/>
      <c r="O47" s="453"/>
      <c r="P47" s="428">
        <f t="shared" si="7"/>
        <v>690</v>
      </c>
      <c r="Q47" s="440">
        <f t="shared" si="8"/>
        <v>0</v>
      </c>
      <c r="R47" s="428">
        <f t="shared" si="4"/>
        <v>0</v>
      </c>
      <c r="S47" s="440">
        <f t="shared" si="9"/>
        <v>0</v>
      </c>
      <c r="T47" s="428">
        <f t="shared" si="5"/>
        <v>0</v>
      </c>
      <c r="U47" s="440">
        <f t="shared" si="10"/>
        <v>0</v>
      </c>
      <c r="V47" s="428">
        <f t="shared" si="6"/>
        <v>0</v>
      </c>
      <c r="W47" s="440">
        <f t="shared" si="11"/>
        <v>0</v>
      </c>
    </row>
    <row r="48" spans="5:23" x14ac:dyDescent="0.3">
      <c r="E48">
        <v>5</v>
      </c>
      <c r="F48" s="26" t="s">
        <v>515</v>
      </c>
      <c r="G48" s="429">
        <f>INDEX('Reference Tab'!$V$4:$CA$74, MATCH('Internal Budget'!F48, 'Reference Tab'!$U$4:$U$71, 0), MATCH('Internal Budget'!$G$5, 'Reference Tab'!$V$3:$CA$3, 0))</f>
        <v>4110</v>
      </c>
      <c r="H48" s="459"/>
      <c r="I48" s="429">
        <f>IFERROR(IF(Inputs!$B$73="",0,INDEX('Reference Tab'!$V$4:$CA$74,MATCH('Internal Budget'!F48,'Reference Tab'!$U$4:$U$71,0),MATCH('Internal Budget'!$I$5,'Reference Tab'!$V$3:$CA$3,0))),)</f>
        <v>0</v>
      </c>
      <c r="J48" s="459"/>
      <c r="K48" s="429">
        <f>IFERROR(IF(Inputs!$B$74="",0,INDEX('Reference Tab'!$V$4:$CA$74,MATCH('Internal Budget'!F48,'Reference Tab'!$U$4:$U$71,0),MATCH('Internal Budget'!$K$5,'Reference Tab'!$V$3:$CA$3,0))),)</f>
        <v>0</v>
      </c>
      <c r="L48" s="459"/>
      <c r="M48" s="429">
        <f>IFERROR(IF(Inputs!$B$75="",0,INDEX('Reference Tab'!$V$4:$AY$71,MATCH('Internal Budget'!F48,'Reference Tab'!$U$4:$U$71,0),MATCH('Internal Budget'!$M$5,'Reference Tab'!$V$3:$AY$3,0))),)</f>
        <v>0</v>
      </c>
      <c r="N48" s="661"/>
      <c r="O48" s="453"/>
      <c r="P48" s="428">
        <f t="shared" si="7"/>
        <v>4110</v>
      </c>
      <c r="Q48" s="440">
        <f t="shared" si="8"/>
        <v>0</v>
      </c>
      <c r="R48" s="428">
        <f t="shared" si="4"/>
        <v>0</v>
      </c>
      <c r="S48" s="440">
        <f t="shared" si="9"/>
        <v>0</v>
      </c>
      <c r="T48" s="428">
        <f t="shared" si="5"/>
        <v>0</v>
      </c>
      <c r="U48" s="440">
        <f t="shared" si="10"/>
        <v>0</v>
      </c>
      <c r="V48" s="428">
        <f t="shared" si="6"/>
        <v>0</v>
      </c>
      <c r="W48" s="440">
        <f t="shared" si="11"/>
        <v>0</v>
      </c>
    </row>
    <row r="49" spans="1:23" x14ac:dyDescent="0.3">
      <c r="E49">
        <v>5</v>
      </c>
      <c r="F49" s="26" t="s">
        <v>517</v>
      </c>
      <c r="G49" s="429">
        <f>INDEX('Reference Tab'!$V$4:$CA$74, MATCH('Internal Budget'!F49, 'Reference Tab'!$U$4:$U$71, 0), MATCH('Internal Budget'!$G$5, 'Reference Tab'!$V$3:$CA$3, 0))</f>
        <v>5788.54</v>
      </c>
      <c r="H49" s="459"/>
      <c r="I49" s="429">
        <f>IFERROR(IF(Inputs!$B$73="",0,INDEX('Reference Tab'!$V$4:$CA$74,MATCH('Internal Budget'!F49,'Reference Tab'!$U$4:$U$71,0),MATCH('Internal Budget'!$I$5,'Reference Tab'!$V$3:$CA$3,0))),)</f>
        <v>0</v>
      </c>
      <c r="J49" s="459"/>
      <c r="K49" s="429">
        <f>IFERROR(IF(Inputs!$B$74="",0,INDEX('Reference Tab'!$V$4:$CA$74,MATCH('Internal Budget'!F49,'Reference Tab'!$U$4:$U$71,0),MATCH('Internal Budget'!$K$5,'Reference Tab'!$V$3:$CA$3,0))),)</f>
        <v>0</v>
      </c>
      <c r="L49" s="459"/>
      <c r="M49" s="429">
        <f>IFERROR(IF(Inputs!$B$75="",0,INDEX('Reference Tab'!$V$4:$AY$71,MATCH('Internal Budget'!F49,'Reference Tab'!$U$4:$U$71,0),MATCH('Internal Budget'!$M$5,'Reference Tab'!$V$3:$AY$3,0))),)</f>
        <v>0</v>
      </c>
      <c r="N49" s="661"/>
      <c r="O49" s="453"/>
      <c r="P49" s="428">
        <f t="shared" si="7"/>
        <v>5788.54</v>
      </c>
      <c r="Q49" s="440">
        <f t="shared" si="8"/>
        <v>0</v>
      </c>
      <c r="R49" s="428">
        <f t="shared" si="4"/>
        <v>0</v>
      </c>
      <c r="S49" s="440">
        <f t="shared" si="9"/>
        <v>0</v>
      </c>
      <c r="T49" s="428">
        <f t="shared" si="5"/>
        <v>0</v>
      </c>
      <c r="U49" s="440">
        <f t="shared" si="10"/>
        <v>0</v>
      </c>
      <c r="V49" s="428">
        <f t="shared" si="6"/>
        <v>0</v>
      </c>
      <c r="W49" s="440">
        <f t="shared" si="11"/>
        <v>0</v>
      </c>
    </row>
    <row r="50" spans="1:23" x14ac:dyDescent="0.3">
      <c r="E50">
        <v>5</v>
      </c>
      <c r="F50" s="26" t="s">
        <v>518</v>
      </c>
      <c r="G50" s="429">
        <f>INDEX('Reference Tab'!$V$4:$CA$74, MATCH('Internal Budget'!F50, 'Reference Tab'!$U$4:$U$71, 0), MATCH('Internal Budget'!$G$5, 'Reference Tab'!$V$3:$CA$3, 0))</f>
        <v>0</v>
      </c>
      <c r="H50" s="459"/>
      <c r="I50" s="429">
        <f>IFERROR(IF(Inputs!$B$73="",0,INDEX('Reference Tab'!$V$4:$CA$74,MATCH('Internal Budget'!F50,'Reference Tab'!$U$4:$U$71,0),MATCH('Internal Budget'!$I$5,'Reference Tab'!$V$3:$CA$3,0))),)</f>
        <v>0</v>
      </c>
      <c r="J50" s="459"/>
      <c r="K50" s="429">
        <f>IFERROR(IF(Inputs!$B$74="",0,INDEX('Reference Tab'!$V$4:$CA$74,MATCH('Internal Budget'!F50,'Reference Tab'!$U$4:$U$71,0),MATCH('Internal Budget'!$K$5,'Reference Tab'!$V$3:$CA$3,0))),)</f>
        <v>0</v>
      </c>
      <c r="L50" s="459"/>
      <c r="M50" s="429">
        <f>IFERROR(IF(Inputs!$B$75="",0,INDEX('Reference Tab'!$V$4:$AY$71,MATCH('Internal Budget'!F50,'Reference Tab'!$U$4:$U$71,0),MATCH('Internal Budget'!$M$5,'Reference Tab'!$V$3:$AY$3,0))),)</f>
        <v>0</v>
      </c>
      <c r="N50" s="661"/>
      <c r="O50" s="453"/>
      <c r="P50" s="428">
        <f t="shared" si="7"/>
        <v>0</v>
      </c>
      <c r="Q50" s="440">
        <f t="shared" si="8"/>
        <v>0</v>
      </c>
      <c r="R50" s="428">
        <f t="shared" si="4"/>
        <v>0</v>
      </c>
      <c r="S50" s="440">
        <f t="shared" si="9"/>
        <v>0</v>
      </c>
      <c r="T50" s="428">
        <f t="shared" si="5"/>
        <v>0</v>
      </c>
      <c r="U50" s="440">
        <f t="shared" si="10"/>
        <v>0</v>
      </c>
      <c r="V50" s="428">
        <f t="shared" si="6"/>
        <v>0</v>
      </c>
      <c r="W50" s="440">
        <f t="shared" si="11"/>
        <v>0</v>
      </c>
    </row>
    <row r="51" spans="1:23" x14ac:dyDescent="0.3">
      <c r="E51">
        <v>4</v>
      </c>
      <c r="F51" s="26" t="s">
        <v>519</v>
      </c>
      <c r="G51" s="429">
        <f>INDEX('Reference Tab'!$V$4:$CA$74, MATCH('Internal Budget'!F51, 'Reference Tab'!$U$4:$U$71, 0), MATCH('Internal Budget'!$G$5, 'Reference Tab'!$V$3:$CA$3, 0))</f>
        <v>538.01</v>
      </c>
      <c r="H51" s="459"/>
      <c r="I51" s="429">
        <f>IFERROR(IF(Inputs!$B$73="",0,INDEX('Reference Tab'!$V$4:$CA$74,MATCH('Internal Budget'!F51,'Reference Tab'!$U$4:$U$71,0),MATCH('Internal Budget'!$I$5,'Reference Tab'!$V$3:$CA$3,0))),)</f>
        <v>0</v>
      </c>
      <c r="J51" s="459"/>
      <c r="K51" s="429">
        <f>IFERROR(IF(Inputs!$B$74="",0,INDEX('Reference Tab'!$V$4:$CA$74,MATCH('Internal Budget'!F51,'Reference Tab'!$U$4:$U$71,0),MATCH('Internal Budget'!$K$5,'Reference Tab'!$V$3:$CA$3,0))),)</f>
        <v>0</v>
      </c>
      <c r="L51" s="459"/>
      <c r="M51" s="429">
        <f>IFERROR(IF(Inputs!$B$75="",0,INDEX('Reference Tab'!$V$4:$AY$71,MATCH('Internal Budget'!F51,'Reference Tab'!$U$4:$U$71,0),MATCH('Internal Budget'!$M$5,'Reference Tab'!$V$3:$AY$3,0))),)</f>
        <v>0</v>
      </c>
      <c r="N51" s="661"/>
      <c r="O51" s="453"/>
      <c r="P51" s="428">
        <f t="shared" si="7"/>
        <v>538.01</v>
      </c>
      <c r="Q51" s="440">
        <f t="shared" si="8"/>
        <v>0</v>
      </c>
      <c r="R51" s="428">
        <f t="shared" si="4"/>
        <v>0</v>
      </c>
      <c r="S51" s="440">
        <f t="shared" si="9"/>
        <v>0</v>
      </c>
      <c r="T51" s="428">
        <f t="shared" si="5"/>
        <v>0</v>
      </c>
      <c r="U51" s="440">
        <f t="shared" si="10"/>
        <v>0</v>
      </c>
      <c r="V51" s="428">
        <f t="shared" si="6"/>
        <v>0</v>
      </c>
      <c r="W51" s="440">
        <f t="shared" si="11"/>
        <v>0</v>
      </c>
    </row>
    <row r="52" spans="1:23" x14ac:dyDescent="0.3">
      <c r="E52">
        <v>4</v>
      </c>
      <c r="F52" s="26" t="s">
        <v>520</v>
      </c>
      <c r="G52" s="429">
        <f>INDEX('Reference Tab'!$V$4:$CA$74, MATCH('Internal Budget'!F52, 'Reference Tab'!$U$4:$U$71, 0), MATCH('Internal Budget'!$G$5, 'Reference Tab'!$V$3:$CA$3, 0))</f>
        <v>1616.06</v>
      </c>
      <c r="H52" s="459"/>
      <c r="I52" s="429">
        <f>IFERROR(IF(Inputs!$B$73="",0,INDEX('Reference Tab'!$V$4:$CA$74,MATCH('Internal Budget'!F52,'Reference Tab'!$U$4:$U$71,0),MATCH('Internal Budget'!$I$5,'Reference Tab'!$V$3:$CA$3,0))),)</f>
        <v>0</v>
      </c>
      <c r="J52" s="459"/>
      <c r="K52" s="429">
        <f>IFERROR(IF(Inputs!$B$74="",0,INDEX('Reference Tab'!$V$4:$CA$74,MATCH('Internal Budget'!F52,'Reference Tab'!$U$4:$U$71,0),MATCH('Internal Budget'!$K$5,'Reference Tab'!$V$3:$CA$3,0))),)</f>
        <v>0</v>
      </c>
      <c r="L52" s="459"/>
      <c r="M52" s="429">
        <f>IFERROR(IF(Inputs!$B$75="",0,INDEX('Reference Tab'!$V$4:$AY$71,MATCH('Internal Budget'!F52,'Reference Tab'!$U$4:$U$71,0),MATCH('Internal Budget'!$M$5,'Reference Tab'!$V$3:$AY$3,0))),)</f>
        <v>0</v>
      </c>
      <c r="N52" s="661"/>
      <c r="O52" s="453"/>
      <c r="P52" s="428">
        <f t="shared" si="7"/>
        <v>1616.06</v>
      </c>
      <c r="Q52" s="440">
        <f t="shared" si="8"/>
        <v>0</v>
      </c>
      <c r="R52" s="428">
        <f t="shared" si="4"/>
        <v>0</v>
      </c>
      <c r="S52" s="440">
        <f t="shared" si="9"/>
        <v>0</v>
      </c>
      <c r="T52" s="428">
        <f t="shared" si="5"/>
        <v>0</v>
      </c>
      <c r="U52" s="440">
        <f t="shared" si="10"/>
        <v>0</v>
      </c>
      <c r="V52" s="428">
        <f t="shared" si="6"/>
        <v>0</v>
      </c>
      <c r="W52" s="440">
        <f t="shared" si="11"/>
        <v>0</v>
      </c>
    </row>
    <row r="53" spans="1:23" x14ac:dyDescent="0.3">
      <c r="E53">
        <v>4</v>
      </c>
      <c r="F53" s="26" t="s">
        <v>521</v>
      </c>
      <c r="G53" s="429">
        <f>INDEX('Reference Tab'!$V$4:$CA$74, MATCH('Internal Budget'!F53, 'Reference Tab'!$U$4:$U$71, 0), MATCH('Internal Budget'!$G$5, 'Reference Tab'!$V$3:$CA$3, 0))</f>
        <v>1616</v>
      </c>
      <c r="H53" s="459"/>
      <c r="I53" s="429">
        <f>IFERROR(IF(Inputs!$B$73="",0,INDEX('Reference Tab'!$V$4:$CA$74,MATCH('Internal Budget'!F53,'Reference Tab'!$U$4:$U$71,0),MATCH('Internal Budget'!$I$5,'Reference Tab'!$V$3:$CA$3,0))),)</f>
        <v>0</v>
      </c>
      <c r="J53" s="459"/>
      <c r="K53" s="429">
        <f>IFERROR(IF(Inputs!$B$74="",0,INDEX('Reference Tab'!$V$4:$CA$74,MATCH('Internal Budget'!F53,'Reference Tab'!$U$4:$U$71,0),MATCH('Internal Budget'!$K$5,'Reference Tab'!$V$3:$CA$3,0))),)</f>
        <v>0</v>
      </c>
      <c r="L53" s="459"/>
      <c r="M53" s="429">
        <f>IFERROR(IF(Inputs!$B$75="",0,INDEX('Reference Tab'!$V$4:$AY$71,MATCH('Internal Budget'!F53,'Reference Tab'!$U$4:$U$71,0),MATCH('Internal Budget'!$M$5,'Reference Tab'!$V$3:$AY$3,0))),)</f>
        <v>0</v>
      </c>
      <c r="N53" s="661"/>
      <c r="O53" s="453"/>
      <c r="P53" s="428">
        <f t="shared" si="7"/>
        <v>1616</v>
      </c>
      <c r="Q53" s="440">
        <f t="shared" si="8"/>
        <v>0</v>
      </c>
      <c r="R53" s="428">
        <f t="shared" si="4"/>
        <v>0</v>
      </c>
      <c r="S53" s="440">
        <f t="shared" si="9"/>
        <v>0</v>
      </c>
      <c r="T53" s="428">
        <f t="shared" si="5"/>
        <v>0</v>
      </c>
      <c r="U53" s="440">
        <f t="shared" si="10"/>
        <v>0</v>
      </c>
      <c r="V53" s="428">
        <f t="shared" si="6"/>
        <v>0</v>
      </c>
      <c r="W53" s="440">
        <f t="shared" si="11"/>
        <v>0</v>
      </c>
    </row>
    <row r="54" spans="1:23" x14ac:dyDescent="0.3">
      <c r="E54">
        <v>4</v>
      </c>
      <c r="F54" s="26" t="s">
        <v>522</v>
      </c>
      <c r="G54" s="429">
        <f>INDEX('Reference Tab'!$V$4:$CA$74, MATCH('Internal Budget'!F54, 'Reference Tab'!$U$4:$U$71, 0), MATCH('Internal Budget'!$G$5, 'Reference Tab'!$V$3:$CA$3, 0))</f>
        <v>0</v>
      </c>
      <c r="H54" s="459"/>
      <c r="I54" s="429">
        <f>IFERROR(IF(Inputs!$B$73="",0,INDEX('Reference Tab'!$V$4:$CA$74,MATCH('Internal Budget'!F54,'Reference Tab'!$U$4:$U$71,0),MATCH('Internal Budget'!$I$5,'Reference Tab'!$V$3:$CA$3,0))),)</f>
        <v>0</v>
      </c>
      <c r="J54" s="459"/>
      <c r="K54" s="429">
        <f>IFERROR(IF(Inputs!$B$74="",0,INDEX('Reference Tab'!$V$4:$CA$74,MATCH('Internal Budget'!F54,'Reference Tab'!$U$4:$U$71,0),MATCH('Internal Budget'!$K$5,'Reference Tab'!$V$3:$CA$3,0))),)</f>
        <v>0</v>
      </c>
      <c r="L54" s="459"/>
      <c r="M54" s="429">
        <f>IFERROR(IF(Inputs!$B$75="",0,INDEX('Reference Tab'!$V$4:$AY$71,MATCH('Internal Budget'!F54,'Reference Tab'!$U$4:$U$71,0),MATCH('Internal Budget'!$M$5,'Reference Tab'!$V$3:$AY$3,0))),)</f>
        <v>0</v>
      </c>
      <c r="N54" s="661"/>
      <c r="O54" s="453"/>
      <c r="P54" s="428">
        <f t="shared" si="7"/>
        <v>0</v>
      </c>
      <c r="Q54" s="440">
        <f t="shared" si="8"/>
        <v>0</v>
      </c>
      <c r="R54" s="428">
        <f t="shared" si="4"/>
        <v>0</v>
      </c>
      <c r="S54" s="440">
        <f t="shared" si="9"/>
        <v>0</v>
      </c>
      <c r="T54" s="428">
        <f t="shared" si="5"/>
        <v>0</v>
      </c>
      <c r="U54" s="440">
        <f t="shared" si="10"/>
        <v>0</v>
      </c>
      <c r="V54" s="428">
        <f t="shared" si="6"/>
        <v>0</v>
      </c>
      <c r="W54" s="440">
        <f t="shared" si="11"/>
        <v>0</v>
      </c>
    </row>
    <row r="55" spans="1:23" x14ac:dyDescent="0.3">
      <c r="E55">
        <v>4</v>
      </c>
      <c r="F55" s="26" t="s">
        <v>523</v>
      </c>
      <c r="G55" s="429">
        <f>INDEX('Reference Tab'!$V$4:$CA$74, MATCH('Internal Budget'!F55, 'Reference Tab'!$U$4:$U$71, 0), MATCH('Internal Budget'!$G$5, 'Reference Tab'!$V$3:$CA$3, 0))</f>
        <v>3237.29</v>
      </c>
      <c r="H55" s="459"/>
      <c r="I55" s="429">
        <f>IFERROR(IF(Inputs!$B$73="",0,INDEX('Reference Tab'!$V$4:$CA$74,MATCH('Internal Budget'!F55,'Reference Tab'!$U$4:$U$71,0),MATCH('Internal Budget'!$I$5,'Reference Tab'!$V$3:$CA$3,0))),)</f>
        <v>0</v>
      </c>
      <c r="J55" s="459"/>
      <c r="K55" s="429">
        <f>IFERROR(IF(Inputs!$B$74="",0,INDEX('Reference Tab'!$V$4:$CA$74,MATCH('Internal Budget'!F55,'Reference Tab'!$U$4:$U$71,0),MATCH('Internal Budget'!$K$5,'Reference Tab'!$V$3:$CA$3,0))),)</f>
        <v>0</v>
      </c>
      <c r="L55" s="459"/>
      <c r="M55" s="429">
        <f>IFERROR(IF(Inputs!$B$75="",0,INDEX('Reference Tab'!$V$4:$AY$71,MATCH('Internal Budget'!F55,'Reference Tab'!$U$4:$U$71,0),MATCH('Internal Budget'!$M$5,'Reference Tab'!$V$3:$AY$3,0))),)</f>
        <v>0</v>
      </c>
      <c r="N55" s="661"/>
      <c r="O55" s="453"/>
      <c r="P55" s="428">
        <f t="shared" si="7"/>
        <v>3237.29</v>
      </c>
      <c r="Q55" s="440">
        <f t="shared" si="8"/>
        <v>0</v>
      </c>
      <c r="R55" s="428">
        <f t="shared" si="4"/>
        <v>0</v>
      </c>
      <c r="S55" s="440">
        <f t="shared" si="9"/>
        <v>0</v>
      </c>
      <c r="T55" s="428">
        <f t="shared" si="5"/>
        <v>0</v>
      </c>
      <c r="U55" s="440">
        <f t="shared" si="10"/>
        <v>0</v>
      </c>
      <c r="V55" s="428">
        <f t="shared" si="6"/>
        <v>0</v>
      </c>
      <c r="W55" s="440">
        <f t="shared" si="11"/>
        <v>0</v>
      </c>
    </row>
    <row r="56" spans="1:23" x14ac:dyDescent="0.3">
      <c r="E56">
        <v>5</v>
      </c>
      <c r="F56" s="26" t="s">
        <v>524</v>
      </c>
      <c r="G56" s="429">
        <f>INDEX('Reference Tab'!$V$4:$CA$74, MATCH('Internal Budget'!F56, 'Reference Tab'!$U$4:$U$71, 0), MATCH('Internal Budget'!$G$5, 'Reference Tab'!$V$3:$CA$3, 0))</f>
        <v>577.96</v>
      </c>
      <c r="H56" s="459"/>
      <c r="I56" s="429">
        <f>IFERROR(IF(Inputs!$B$73="",0,INDEX('Reference Tab'!$V$4:$CA$74,MATCH('Internal Budget'!F56,'Reference Tab'!$U$4:$U$71,0),MATCH('Internal Budget'!$I$5,'Reference Tab'!$V$3:$CA$3,0))),)</f>
        <v>0</v>
      </c>
      <c r="J56" s="459"/>
      <c r="K56" s="429">
        <f>IFERROR(IF(Inputs!$B$74="",0,INDEX('Reference Tab'!$V$4:$CA$74,MATCH('Internal Budget'!F56,'Reference Tab'!$U$4:$U$71,0),MATCH('Internal Budget'!$K$5,'Reference Tab'!$V$3:$CA$3,0))),)</f>
        <v>0</v>
      </c>
      <c r="L56" s="459"/>
      <c r="M56" s="429">
        <f>IFERROR(IF(Inputs!$B$75="",0,INDEX('Reference Tab'!$V$4:$AY$71,MATCH('Internal Budget'!F56,'Reference Tab'!$U$4:$U$71,0),MATCH('Internal Budget'!$M$5,'Reference Tab'!$V$3:$AY$3,0))),)</f>
        <v>0</v>
      </c>
      <c r="N56" s="661"/>
      <c r="O56" s="453"/>
      <c r="P56" s="428">
        <f t="shared" si="7"/>
        <v>577.96</v>
      </c>
      <c r="Q56" s="440">
        <f t="shared" si="8"/>
        <v>0</v>
      </c>
      <c r="R56" s="428">
        <f t="shared" si="4"/>
        <v>0</v>
      </c>
      <c r="S56" s="440">
        <f t="shared" si="9"/>
        <v>0</v>
      </c>
      <c r="T56" s="428">
        <f t="shared" si="5"/>
        <v>0</v>
      </c>
      <c r="U56" s="440">
        <f t="shared" si="10"/>
        <v>0</v>
      </c>
      <c r="V56" s="428">
        <f t="shared" si="6"/>
        <v>0</v>
      </c>
      <c r="W56" s="440">
        <f t="shared" si="11"/>
        <v>0</v>
      </c>
    </row>
    <row r="57" spans="1:23" x14ac:dyDescent="0.3">
      <c r="E57">
        <v>1</v>
      </c>
      <c r="F57" s="26" t="s">
        <v>525</v>
      </c>
      <c r="G57" s="429">
        <f>INDEX('Reference Tab'!$V$4:$CA$74, MATCH('Internal Budget'!F57, 'Reference Tab'!$U$4:$U$71, 0), MATCH('Internal Budget'!$G$5, 'Reference Tab'!$V$3:$CA$3, 0))</f>
        <v>920</v>
      </c>
      <c r="H57" s="459"/>
      <c r="I57" s="429">
        <f>IFERROR(IF(Inputs!$B$73="",0,INDEX('Reference Tab'!$V$4:$CA$74,MATCH('Internal Budget'!F57,'Reference Tab'!$U$4:$U$71,0),MATCH('Internal Budget'!$I$5,'Reference Tab'!$V$3:$CA$3,0))),)</f>
        <v>0</v>
      </c>
      <c r="J57" s="459"/>
      <c r="K57" s="429">
        <f>IFERROR(IF(Inputs!$B$74="",0,INDEX('Reference Tab'!$V$4:$CA$74,MATCH('Internal Budget'!F57,'Reference Tab'!$U$4:$U$71,0),MATCH('Internal Budget'!$K$5,'Reference Tab'!$V$3:$CA$3,0))),)</f>
        <v>0</v>
      </c>
      <c r="L57" s="459"/>
      <c r="M57" s="429">
        <f>IFERROR(IF(Inputs!$B$75="",0,INDEX('Reference Tab'!$V$4:$AY$71,MATCH('Internal Budget'!F57,'Reference Tab'!$U$4:$U$71,0),MATCH('Internal Budget'!$M$5,'Reference Tab'!$V$3:$AY$3,0))),)</f>
        <v>0</v>
      </c>
      <c r="N57" s="661"/>
      <c r="O57" s="453"/>
      <c r="P57" s="428">
        <f t="shared" si="7"/>
        <v>920</v>
      </c>
      <c r="Q57" s="440">
        <f t="shared" si="8"/>
        <v>0</v>
      </c>
      <c r="R57" s="428">
        <f t="shared" si="4"/>
        <v>0</v>
      </c>
      <c r="S57" s="440">
        <f t="shared" si="9"/>
        <v>0</v>
      </c>
      <c r="T57" s="428">
        <f t="shared" si="5"/>
        <v>0</v>
      </c>
      <c r="U57" s="440">
        <f t="shared" si="10"/>
        <v>0</v>
      </c>
      <c r="V57" s="428">
        <f t="shared" si="6"/>
        <v>0</v>
      </c>
      <c r="W57" s="440">
        <f t="shared" si="11"/>
        <v>0</v>
      </c>
    </row>
    <row r="58" spans="1:23" x14ac:dyDescent="0.3">
      <c r="E58">
        <v>5</v>
      </c>
      <c r="F58" s="48" t="s">
        <v>526</v>
      </c>
      <c r="G58" s="429">
        <f>INDEX('Reference Tab'!$V$4:$CA$74, MATCH('Internal Budget'!F58, 'Reference Tab'!$U$4:$U$71, 0), MATCH('Internal Budget'!$G$5, 'Reference Tab'!$V$3:$CA$3, 0))</f>
        <v>310</v>
      </c>
      <c r="H58" s="459"/>
      <c r="I58" s="429">
        <f>IFERROR(IF(Inputs!$B$73="",0,INDEX('Reference Tab'!$V$4:$CA$74,MATCH('Internal Budget'!F58,'Reference Tab'!$U$4:$U$71,0),MATCH('Internal Budget'!$I$5,'Reference Tab'!$V$3:$CA$3,0))),)</f>
        <v>0</v>
      </c>
      <c r="J58" s="459"/>
      <c r="K58" s="429">
        <f>IFERROR(IF(Inputs!$B$74="",0,INDEX('Reference Tab'!$V$4:$CA$74,MATCH('Internal Budget'!F58,'Reference Tab'!$U$4:$U$71,0),MATCH('Internal Budget'!$K$5,'Reference Tab'!$V$3:$CA$3,0))),)</f>
        <v>0</v>
      </c>
      <c r="L58" s="459"/>
      <c r="M58" s="429">
        <f>IFERROR(IF(Inputs!$B$75="",0,INDEX('Reference Tab'!$V$4:$AY$71,MATCH('Internal Budget'!F58,'Reference Tab'!$U$4:$U$71,0),MATCH('Internal Budget'!$M$5,'Reference Tab'!$V$3:$AY$3,0))),)</f>
        <v>0</v>
      </c>
      <c r="N58" s="661"/>
      <c r="O58" s="453"/>
      <c r="P58" s="428">
        <f t="shared" si="7"/>
        <v>310</v>
      </c>
      <c r="Q58" s="440"/>
      <c r="R58" s="428">
        <f t="shared" si="4"/>
        <v>0</v>
      </c>
      <c r="S58" s="440"/>
      <c r="T58" s="428">
        <f t="shared" si="5"/>
        <v>0</v>
      </c>
      <c r="U58" s="440"/>
      <c r="V58" s="428">
        <f t="shared" si="6"/>
        <v>0</v>
      </c>
      <c r="W58" s="440"/>
    </row>
    <row r="59" spans="1:23" x14ac:dyDescent="0.3">
      <c r="E59">
        <v>5</v>
      </c>
      <c r="F59" s="48" t="s">
        <v>527</v>
      </c>
      <c r="G59" s="429">
        <f>INDEX('Reference Tab'!$V$4:$CA$74, MATCH('Internal Budget'!F59, 'Reference Tab'!$U$4:$U$71, 0), MATCH('Internal Budget'!$G$5, 'Reference Tab'!$V$3:$CA$3, 0))</f>
        <v>0</v>
      </c>
      <c r="H59" s="459"/>
      <c r="I59" s="429">
        <f>IFERROR(IF(Inputs!$B$73="",0,INDEX('Reference Tab'!$V$4:$CA$74,MATCH('Internal Budget'!F59,'Reference Tab'!$U$4:$U$71,0),MATCH('Internal Budget'!$I$5,'Reference Tab'!$V$3:$CA$3,0))),)</f>
        <v>0</v>
      </c>
      <c r="J59" s="459"/>
      <c r="K59" s="429">
        <f>IFERROR(IF(Inputs!$B$74="",0,INDEX('Reference Tab'!$V$4:$CA$74,MATCH('Internal Budget'!F59,'Reference Tab'!$U$4:$U$71,0),MATCH('Internal Budget'!$K$5,'Reference Tab'!$V$3:$CA$3,0))),)</f>
        <v>0</v>
      </c>
      <c r="L59" s="459"/>
      <c r="M59" s="429">
        <f>IFERROR(IF(Inputs!$B$75="",0,INDEX('Reference Tab'!$V$4:$AY$71,MATCH('Internal Budget'!F59,'Reference Tab'!$U$4:$U$71,0),MATCH('Internal Budget'!$M$5,'Reference Tab'!$V$3:$AY$3,0))),)</f>
        <v>0</v>
      </c>
      <c r="N59" s="661"/>
      <c r="O59" s="453"/>
      <c r="P59" s="428">
        <f t="shared" si="7"/>
        <v>0</v>
      </c>
      <c r="Q59" s="440"/>
      <c r="R59" s="428">
        <f t="shared" si="4"/>
        <v>0</v>
      </c>
      <c r="S59" s="440"/>
      <c r="T59" s="428">
        <f t="shared" si="5"/>
        <v>0</v>
      </c>
      <c r="U59" s="440"/>
      <c r="V59" s="428">
        <f t="shared" si="6"/>
        <v>0</v>
      </c>
      <c r="W59" s="440"/>
    </row>
    <row r="60" spans="1:23" x14ac:dyDescent="0.3">
      <c r="E60">
        <v>5</v>
      </c>
      <c r="F60" s="26" t="s">
        <v>529</v>
      </c>
      <c r="G60" s="429">
        <f>INDEX('Reference Tab'!$V$4:$CA$74, MATCH('Internal Budget'!F60, 'Reference Tab'!$U$4:$U$71, 0), MATCH('Internal Budget'!$G$5, 'Reference Tab'!$V$3:$CA$3, 0))</f>
        <v>90</v>
      </c>
      <c r="H60" s="459"/>
      <c r="I60" s="429">
        <f>IFERROR(IF(Inputs!$B$73="",0,INDEX('Reference Tab'!$V$4:$CA$74,MATCH('Internal Budget'!F60,'Reference Tab'!$U$4:$U$71,0),MATCH('Internal Budget'!$I$5,'Reference Tab'!$V$3:$CA$3,0))),)</f>
        <v>0</v>
      </c>
      <c r="J60" s="459"/>
      <c r="K60" s="429">
        <f>IFERROR(IF(Inputs!$B$74="",0,INDEX('Reference Tab'!$V$4:$CA$74,MATCH('Internal Budget'!F60,'Reference Tab'!$U$4:$U$71,0),MATCH('Internal Budget'!$K$5,'Reference Tab'!$V$3:$CA$3,0))),)</f>
        <v>0</v>
      </c>
      <c r="L60" s="459"/>
      <c r="M60" s="429">
        <f>IFERROR(IF(Inputs!$B$75="",0,INDEX('Reference Tab'!$V$4:$AY$71,MATCH('Internal Budget'!F60,'Reference Tab'!$U$4:$U$71,0),MATCH('Internal Budget'!$M$5,'Reference Tab'!$V$3:$AY$3,0))),)</f>
        <v>0</v>
      </c>
      <c r="N60" s="661"/>
      <c r="O60" s="453"/>
      <c r="P60" s="428">
        <f t="shared" si="7"/>
        <v>90</v>
      </c>
      <c r="Q60" s="440">
        <f t="shared" si="8"/>
        <v>0</v>
      </c>
      <c r="R60" s="428">
        <f t="shared" si="4"/>
        <v>0</v>
      </c>
      <c r="S60" s="440">
        <f t="shared" si="9"/>
        <v>0</v>
      </c>
      <c r="T60" s="428">
        <f t="shared" si="5"/>
        <v>0</v>
      </c>
      <c r="U60" s="440">
        <f t="shared" si="10"/>
        <v>0</v>
      </c>
      <c r="V60" s="428">
        <f t="shared" si="6"/>
        <v>0</v>
      </c>
      <c r="W60" s="440">
        <f t="shared" si="11"/>
        <v>0</v>
      </c>
    </row>
    <row r="61" spans="1:23" x14ac:dyDescent="0.3">
      <c r="E61">
        <v>5</v>
      </c>
      <c r="F61" s="26" t="s">
        <v>531</v>
      </c>
      <c r="G61" s="429">
        <f>INDEX('Reference Tab'!$V$4:$CA$74, MATCH('Internal Budget'!F61, 'Reference Tab'!$U$4:$U$71, 0), MATCH('Internal Budget'!$G$5, 'Reference Tab'!$V$3:$CA$3, 0))</f>
        <v>270</v>
      </c>
      <c r="H61" s="459"/>
      <c r="I61" s="429">
        <f>IFERROR(IF(Inputs!$B$73="",0,INDEX('Reference Tab'!$V$4:$CA$74,MATCH('Internal Budget'!F61,'Reference Tab'!$U$4:$U$71,0),MATCH('Internal Budget'!$I$5,'Reference Tab'!$V$3:$CA$3,0))),)</f>
        <v>0</v>
      </c>
      <c r="J61" s="459"/>
      <c r="K61" s="429">
        <f>IFERROR(IF(Inputs!$B$74="",0,INDEX('Reference Tab'!$V$4:$CA$74,MATCH('Internal Budget'!F61,'Reference Tab'!$U$4:$U$71,0),MATCH('Internal Budget'!$K$5,'Reference Tab'!$V$3:$CA$3,0))),)</f>
        <v>0</v>
      </c>
      <c r="L61" s="459"/>
      <c r="M61" s="429">
        <f>IFERROR(IF(Inputs!$B$75="",0,INDEX('Reference Tab'!$V$4:$AY$71,MATCH('Internal Budget'!F61,'Reference Tab'!$U$4:$U$71,0),MATCH('Internal Budget'!$M$5,'Reference Tab'!$V$3:$AY$3,0))),)</f>
        <v>0</v>
      </c>
      <c r="N61" s="661"/>
      <c r="O61" s="453"/>
      <c r="P61" s="428">
        <f t="shared" si="7"/>
        <v>270</v>
      </c>
      <c r="Q61" s="440">
        <f t="shared" si="8"/>
        <v>0</v>
      </c>
      <c r="R61" s="428">
        <f t="shared" si="4"/>
        <v>0</v>
      </c>
      <c r="S61" s="440">
        <f t="shared" si="9"/>
        <v>0</v>
      </c>
      <c r="T61" s="428">
        <f t="shared" si="5"/>
        <v>0</v>
      </c>
      <c r="U61" s="440">
        <f t="shared" si="10"/>
        <v>0</v>
      </c>
      <c r="V61" s="428">
        <f t="shared" si="6"/>
        <v>0</v>
      </c>
      <c r="W61" s="440">
        <f t="shared" si="11"/>
        <v>0</v>
      </c>
    </row>
    <row r="62" spans="1:23" x14ac:dyDescent="0.3">
      <c r="A62" s="1181" t="s">
        <v>494</v>
      </c>
      <c r="B62" s="1182">
        <v>0.3</v>
      </c>
      <c r="E62">
        <v>1</v>
      </c>
      <c r="F62" s="1112" t="s">
        <v>533</v>
      </c>
      <c r="G62" s="1113">
        <f>INDEX('Reference Tab'!$V$4:$CA$74, MATCH('Internal Budget'!F62, 'Reference Tab'!$U$4:$U$71, 0), MATCH('Internal Budget'!$G$5, 'Reference Tab'!$V$3:$CA$3, 0))+INDEX('Reference Tab'!$V$4:$CA$74, MATCH(A62, 'Reference Tab'!$U$4:$U$71, 0), MATCH('Internal Budget'!$G$5, 'Reference Tab'!$V$3:$CA$3, 0))*B62</f>
        <v>8674.5</v>
      </c>
      <c r="H62" s="1114">
        <v>1</v>
      </c>
      <c r="I62" s="1113">
        <f>IFERROR(IF(Inputs!$B$73="",0,INDEX('Reference Tab'!$V$4:$CA$74,MATCH('Internal Budget'!F62,'Reference Tab'!$U$4:$U$71,0),MATCH('Internal Budget'!$I$5,'Reference Tab'!$V$3:$CA$3,0))),)</f>
        <v>0</v>
      </c>
      <c r="J62" s="1114">
        <v>1</v>
      </c>
      <c r="K62" s="1113">
        <f>IFERROR(IF(Inputs!$B$74="",0,INDEX('Reference Tab'!$V$4:$CA$74,MATCH('Internal Budget'!F62,'Reference Tab'!$U$4:$U$71,0),MATCH('Internal Budget'!$K$5,'Reference Tab'!$V$3:$CA$3,0))),)</f>
        <v>0</v>
      </c>
      <c r="L62" s="1114">
        <v>1</v>
      </c>
      <c r="M62" s="1113">
        <f>IFERROR(IF(Inputs!$B$75="",0,INDEX('Reference Tab'!$V$4:$AY$71,MATCH('Internal Budget'!F62,'Reference Tab'!$U$4:$U$71,0),MATCH('Internal Budget'!$M$5,'Reference Tab'!$V$3:$AY$3,0))),)</f>
        <v>0</v>
      </c>
      <c r="N62" s="1114">
        <v>1</v>
      </c>
      <c r="O62" s="1115"/>
      <c r="P62" s="1116">
        <f t="shared" si="7"/>
        <v>35418.202000000005</v>
      </c>
      <c r="Q62" s="1117">
        <f t="shared" si="8"/>
        <v>26743.702000000005</v>
      </c>
      <c r="R62" s="1116">
        <f t="shared" si="4"/>
        <v>0</v>
      </c>
      <c r="S62" s="1117">
        <f t="shared" si="9"/>
        <v>0</v>
      </c>
      <c r="T62" s="1116">
        <f t="shared" si="5"/>
        <v>0</v>
      </c>
      <c r="U62" s="1117">
        <f t="shared" si="10"/>
        <v>0</v>
      </c>
      <c r="V62" s="1116">
        <f t="shared" si="6"/>
        <v>0</v>
      </c>
      <c r="W62" s="1117">
        <f t="shared" si="11"/>
        <v>0</v>
      </c>
    </row>
    <row r="63" spans="1:23" x14ac:dyDescent="0.3">
      <c r="F63" s="430" t="s">
        <v>535</v>
      </c>
      <c r="G63" s="431">
        <f>SUBTOTAL(9,G6:G62)</f>
        <v>106047.85</v>
      </c>
      <c r="H63" s="658"/>
      <c r="I63" s="431">
        <f t="shared" ref="I63:M63" si="18">SUBTOTAL(9,I6:I62)</f>
        <v>0</v>
      </c>
      <c r="J63" s="431"/>
      <c r="K63" s="431">
        <f t="shared" si="18"/>
        <v>0</v>
      </c>
      <c r="L63" s="431"/>
      <c r="M63" s="431">
        <f t="shared" si="18"/>
        <v>0</v>
      </c>
      <c r="O63" s="453"/>
      <c r="P63" s="437">
        <f>SUM(P6:P62)</f>
        <v>132791.55200000003</v>
      </c>
      <c r="Q63" s="457"/>
      <c r="R63" s="437">
        <f>SUM(R6:R62)</f>
        <v>0</v>
      </c>
      <c r="S63" s="457"/>
      <c r="T63" s="437">
        <f>SUM(T6:T62)</f>
        <v>0</v>
      </c>
      <c r="U63" s="457"/>
      <c r="V63" s="437">
        <f>SUM(V6:V62)</f>
        <v>0</v>
      </c>
      <c r="W63" s="457"/>
    </row>
    <row r="64" spans="1:23" x14ac:dyDescent="0.3">
      <c r="E64">
        <v>1</v>
      </c>
      <c r="F64" s="26" t="s">
        <v>100</v>
      </c>
      <c r="G64" s="429">
        <f>Inputs!$D$55</f>
        <v>0</v>
      </c>
      <c r="H64" s="658"/>
      <c r="I64" s="429">
        <f>IF(ISBLANK(Inputs!$B$73),0,Inputs!$D$55)</f>
        <v>0</v>
      </c>
      <c r="J64" s="429"/>
      <c r="K64" s="429">
        <f>IF(ISBLANK(Inputs!$B$74),0,Inputs!$D$55)</f>
        <v>0</v>
      </c>
      <c r="L64" s="429"/>
      <c r="M64" s="429">
        <f>IF(ISBLANK(Inputs!$B$75),0,Inputs!$D$55)</f>
        <v>0</v>
      </c>
      <c r="O64" s="453"/>
      <c r="P64" s="428">
        <f>G64</f>
        <v>0</v>
      </c>
      <c r="Q64" s="458"/>
      <c r="R64" s="428">
        <f>IF(I64=0,0,I64)</f>
        <v>0</v>
      </c>
      <c r="S64" s="458"/>
      <c r="T64" s="428">
        <f>IF(K64=0,0,K64)</f>
        <v>0</v>
      </c>
      <c r="U64" s="458"/>
      <c r="V64" s="428">
        <f>IF(M64=0,0,M64)</f>
        <v>0</v>
      </c>
      <c r="W64" s="458"/>
    </row>
    <row r="65" spans="5:25" x14ac:dyDescent="0.3">
      <c r="E65">
        <v>1</v>
      </c>
      <c r="F65" s="26" t="s">
        <v>536</v>
      </c>
      <c r="G65" s="429">
        <f>Inputs!$D$49</f>
        <v>0</v>
      </c>
      <c r="H65" s="658"/>
      <c r="I65" s="429">
        <f>IF(ISBLANK(Inputs!$B$73),0,Inputs!$D$49)</f>
        <v>0</v>
      </c>
      <c r="J65" s="429"/>
      <c r="K65" s="429">
        <f>IF(ISBLANK(Inputs!$B$74),0,Inputs!$D$49)</f>
        <v>0</v>
      </c>
      <c r="L65" s="429"/>
      <c r="M65" s="429">
        <f>IF(ISBLANK(Inputs!$B$75),0,Inputs!$D$49)</f>
        <v>0</v>
      </c>
      <c r="O65" s="453"/>
      <c r="P65" s="428">
        <f>G65</f>
        <v>0</v>
      </c>
      <c r="Q65" s="458"/>
      <c r="R65" s="428">
        <f>IF(I65=0,0,I65)</f>
        <v>0</v>
      </c>
      <c r="S65" s="458"/>
      <c r="T65" s="428">
        <f>IF(K65=0,0,K65)</f>
        <v>0</v>
      </c>
      <c r="U65" s="458"/>
      <c r="V65" s="428">
        <f>IF(M65=0,0,M65)</f>
        <v>0</v>
      </c>
      <c r="W65" s="458"/>
    </row>
    <row r="66" spans="5:25" x14ac:dyDescent="0.3">
      <c r="E66">
        <v>1</v>
      </c>
      <c r="F66" s="26" t="s">
        <v>95</v>
      </c>
      <c r="G66" s="429">
        <f>Inputs!$D$50</f>
        <v>0</v>
      </c>
      <c r="H66" s="658"/>
      <c r="I66" s="429">
        <f>IF(ISBLANK(Inputs!$B$73),0,Inputs!$D$50)</f>
        <v>0</v>
      </c>
      <c r="J66" s="429"/>
      <c r="K66" s="429">
        <f>IF(ISBLANK(Inputs!$B$74),0,Inputs!$D$50)</f>
        <v>0</v>
      </c>
      <c r="L66" s="429"/>
      <c r="M66" s="429">
        <f>IF(ISBLANK(Inputs!$B$75),0,Inputs!$D$50)</f>
        <v>0</v>
      </c>
      <c r="O66" s="453"/>
      <c r="P66" s="428">
        <f t="shared" ref="P66:P87" si="19">G66</f>
        <v>0</v>
      </c>
      <c r="Q66" s="458"/>
      <c r="R66" s="428">
        <f t="shared" ref="R66:R86" si="20">IF(I66=0,0,I66)</f>
        <v>0</v>
      </c>
      <c r="S66" s="458"/>
      <c r="T66" s="428">
        <f t="shared" ref="T66:T86" si="21">IF(K66=0,0,K66)</f>
        <v>0</v>
      </c>
      <c r="U66" s="458"/>
      <c r="V66" s="428">
        <f t="shared" ref="V66:V72" si="22">IF(M66=0,0,M66)</f>
        <v>0</v>
      </c>
      <c r="W66" s="458"/>
    </row>
    <row r="67" spans="5:25" x14ac:dyDescent="0.3">
      <c r="E67">
        <v>1</v>
      </c>
      <c r="F67" s="26" t="s">
        <v>475</v>
      </c>
      <c r="G67" s="429">
        <f>Inputs!$D$51</f>
        <v>1700</v>
      </c>
      <c r="H67" s="658"/>
      <c r="I67" s="429">
        <f>IF(ISBLANK(Inputs!$B$73),0,Inputs!$D$51)</f>
        <v>0</v>
      </c>
      <c r="J67" s="429"/>
      <c r="K67" s="429">
        <f>IF(ISBLANK(Inputs!$B$74),0,Inputs!$D$51)</f>
        <v>0</v>
      </c>
      <c r="L67" s="429"/>
      <c r="M67" s="429">
        <f>IF(ISBLANK(Inputs!$B$75),0,Inputs!$D$51)</f>
        <v>0</v>
      </c>
      <c r="O67" s="453"/>
      <c r="P67" s="428">
        <f t="shared" si="19"/>
        <v>1700</v>
      </c>
      <c r="Q67" s="458"/>
      <c r="R67" s="428">
        <f t="shared" si="20"/>
        <v>0</v>
      </c>
      <c r="S67" s="458"/>
      <c r="T67" s="428">
        <f t="shared" si="21"/>
        <v>0</v>
      </c>
      <c r="U67" s="458"/>
      <c r="V67" s="428">
        <f t="shared" si="22"/>
        <v>0</v>
      </c>
      <c r="W67" s="458"/>
    </row>
    <row r="68" spans="5:25" x14ac:dyDescent="0.3">
      <c r="E68">
        <v>1</v>
      </c>
      <c r="F68" s="26" t="s">
        <v>539</v>
      </c>
      <c r="G68" s="429">
        <f>Inputs!$D$52</f>
        <v>0</v>
      </c>
      <c r="H68" s="658"/>
      <c r="I68" s="429">
        <f>IF(ISBLANK(Inputs!$B$73),0,Inputs!$D$52)</f>
        <v>0</v>
      </c>
      <c r="J68" s="429"/>
      <c r="K68" s="429">
        <f>IF(ISBLANK(Inputs!$B$74),0,Inputs!$D$52)</f>
        <v>0</v>
      </c>
      <c r="L68" s="429"/>
      <c r="M68" s="429">
        <f>IF(ISBLANK(Inputs!$B$75),0,Inputs!$D$52)</f>
        <v>0</v>
      </c>
      <c r="O68" s="453"/>
      <c r="P68" s="428">
        <f t="shared" si="19"/>
        <v>0</v>
      </c>
      <c r="Q68" s="458"/>
      <c r="R68" s="428">
        <f t="shared" si="20"/>
        <v>0</v>
      </c>
      <c r="S68" s="458"/>
      <c r="T68" s="428">
        <f t="shared" si="21"/>
        <v>0</v>
      </c>
      <c r="U68" s="458"/>
      <c r="V68" s="428">
        <f t="shared" si="22"/>
        <v>0</v>
      </c>
      <c r="W68" s="458"/>
    </row>
    <row r="69" spans="5:25" x14ac:dyDescent="0.3">
      <c r="E69">
        <v>1</v>
      </c>
      <c r="F69" s="26" t="s">
        <v>79</v>
      </c>
      <c r="G69" s="429">
        <f>Inputs!$D$53</f>
        <v>0</v>
      </c>
      <c r="H69" s="658"/>
      <c r="I69" s="429">
        <f>IF(ISBLANK(Inputs!$B$73),0,Inputs!$D$53)</f>
        <v>0</v>
      </c>
      <c r="J69" s="429"/>
      <c r="K69" s="429">
        <f>IF(ISBLANK(Inputs!$B$74),0,Inputs!$D$53)</f>
        <v>0</v>
      </c>
      <c r="L69" s="429"/>
      <c r="M69" s="429">
        <f>IF(ISBLANK(Inputs!$B$75),0,Inputs!$D$53)</f>
        <v>0</v>
      </c>
      <c r="O69" s="453"/>
      <c r="P69" s="428">
        <f t="shared" si="19"/>
        <v>0</v>
      </c>
      <c r="Q69" s="458"/>
      <c r="R69" s="428">
        <f t="shared" si="20"/>
        <v>0</v>
      </c>
      <c r="S69" s="458"/>
      <c r="T69" s="428">
        <f t="shared" si="21"/>
        <v>0</v>
      </c>
      <c r="U69" s="458"/>
      <c r="V69" s="428">
        <f t="shared" si="22"/>
        <v>0</v>
      </c>
      <c r="W69" s="458"/>
    </row>
    <row r="70" spans="5:25" x14ac:dyDescent="0.3">
      <c r="E70">
        <v>1</v>
      </c>
      <c r="F70" s="26" t="s">
        <v>99</v>
      </c>
      <c r="G70" s="429">
        <f>Inputs!$D$54</f>
        <v>2500</v>
      </c>
      <c r="H70" s="658"/>
      <c r="I70" s="429">
        <f>IF(ISBLANK(Inputs!$B$73),0,Inputs!$D$54)</f>
        <v>0</v>
      </c>
      <c r="J70" s="429"/>
      <c r="K70" s="429">
        <f>IF(ISBLANK(Inputs!$B$74),0,Inputs!$D$54)</f>
        <v>0</v>
      </c>
      <c r="L70" s="429"/>
      <c r="M70" s="429">
        <f>IF(ISBLANK(Inputs!$B$75),0,Inputs!$D$54)</f>
        <v>0</v>
      </c>
      <c r="O70" s="453"/>
      <c r="P70" s="428">
        <f t="shared" si="19"/>
        <v>2500</v>
      </c>
      <c r="Q70" s="458"/>
      <c r="R70" s="428">
        <f t="shared" si="20"/>
        <v>0</v>
      </c>
      <c r="S70" s="458"/>
      <c r="T70" s="428">
        <f t="shared" si="21"/>
        <v>0</v>
      </c>
      <c r="U70" s="458"/>
      <c r="V70" s="428">
        <f t="shared" si="22"/>
        <v>0</v>
      </c>
      <c r="W70" s="458"/>
    </row>
    <row r="71" spans="5:25" x14ac:dyDescent="0.3">
      <c r="E71">
        <v>1</v>
      </c>
      <c r="F71" s="26" t="s">
        <v>101</v>
      </c>
      <c r="G71" s="429">
        <f>Inputs!$D$56</f>
        <v>8000</v>
      </c>
      <c r="I71" s="429">
        <f>IF(Inputs!$B$73="",0,Inputs!D56)</f>
        <v>0</v>
      </c>
      <c r="J71" s="429"/>
      <c r="K71" s="429">
        <f>IF(Inputs!$B$74="",0,Inputs!D56)</f>
        <v>0</v>
      </c>
      <c r="L71" s="429"/>
      <c r="M71" s="429">
        <f>IF(Inputs!$B$75="",0,Inputs!D56)</f>
        <v>0</v>
      </c>
      <c r="O71" s="1126"/>
      <c r="P71" s="428">
        <f>G71</f>
        <v>8000</v>
      </c>
      <c r="Q71" s="458"/>
      <c r="R71" s="428">
        <f>I71</f>
        <v>0</v>
      </c>
      <c r="S71" s="458"/>
      <c r="T71" s="428">
        <f>K71</f>
        <v>0</v>
      </c>
      <c r="U71" s="458"/>
      <c r="V71" s="428">
        <f>M71</f>
        <v>0</v>
      </c>
      <c r="W71" s="458"/>
    </row>
    <row r="72" spans="5:25" x14ac:dyDescent="0.3">
      <c r="E72">
        <v>1</v>
      </c>
      <c r="F72" s="1118" t="s">
        <v>673</v>
      </c>
      <c r="G72" s="1113">
        <f>Inputs!$D$57</f>
        <v>0</v>
      </c>
      <c r="H72" s="1119"/>
      <c r="I72" s="1113">
        <f>IF(ISBLANK(Inputs!$B$73),0,Inputs!$D$57)</f>
        <v>0</v>
      </c>
      <c r="J72" s="1113"/>
      <c r="K72" s="1113">
        <f>IF(ISBLANK(Inputs!$B$74),0,Inputs!$D$57)</f>
        <v>0</v>
      </c>
      <c r="L72" s="1113"/>
      <c r="M72" s="1113">
        <f>IF(ISBLANK(Inputs!$B$75),0,Inputs!$D$57)</f>
        <v>0</v>
      </c>
      <c r="N72" s="212"/>
      <c r="O72" s="1115"/>
      <c r="P72" s="1116">
        <f t="shared" si="19"/>
        <v>0</v>
      </c>
      <c r="Q72" s="1120"/>
      <c r="R72" s="1116">
        <f t="shared" si="20"/>
        <v>0</v>
      </c>
      <c r="S72" s="1120"/>
      <c r="T72" s="1116">
        <f t="shared" si="21"/>
        <v>0</v>
      </c>
      <c r="U72" s="1120"/>
      <c r="V72" s="1116">
        <f t="shared" si="22"/>
        <v>0</v>
      </c>
      <c r="W72" s="1120"/>
      <c r="Y72" s="426"/>
    </row>
    <row r="73" spans="5:25" x14ac:dyDescent="0.3">
      <c r="F73" s="430" t="s">
        <v>544</v>
      </c>
      <c r="G73" s="431">
        <f>SUBTOTAL(9,G64:G72)</f>
        <v>12200</v>
      </c>
      <c r="H73" s="658"/>
      <c r="I73" s="431">
        <f>SUBTOTAL(9,I64:I72)</f>
        <v>0</v>
      </c>
      <c r="J73" s="431"/>
      <c r="K73" s="431">
        <f>SUBTOTAL(9,K64:K72)</f>
        <v>0</v>
      </c>
      <c r="L73" s="431"/>
      <c r="M73" s="431">
        <f>SUBTOTAL(9,M64:M72)</f>
        <v>0</v>
      </c>
      <c r="O73" s="453"/>
      <c r="P73" s="437">
        <f t="shared" si="19"/>
        <v>12200</v>
      </c>
      <c r="Q73" s="457"/>
      <c r="R73" s="437">
        <f t="shared" ref="R73:R87" si="23">I73</f>
        <v>0</v>
      </c>
      <c r="S73" s="457"/>
      <c r="T73" s="437">
        <f t="shared" ref="T73:T87" si="24">K73</f>
        <v>0</v>
      </c>
      <c r="U73" s="457"/>
      <c r="V73" s="437">
        <f t="shared" ref="V73:V87" si="25">M73</f>
        <v>0</v>
      </c>
      <c r="W73" s="457"/>
      <c r="X73" t="b">
        <f>G73=Inputs!D58</f>
        <v>1</v>
      </c>
      <c r="Y73" s="426">
        <f>R73*4</f>
        <v>0</v>
      </c>
    </row>
    <row r="74" spans="5:25" x14ac:dyDescent="0.3">
      <c r="E74">
        <v>1</v>
      </c>
      <c r="F74" s="26" t="s">
        <v>104</v>
      </c>
      <c r="G74" s="429">
        <f>Inputs!$D61</f>
        <v>2050</v>
      </c>
      <c r="H74" s="658"/>
      <c r="I74" s="429">
        <f>IF(ISBLANK(Inputs!$B$73),0,Inputs!D61)</f>
        <v>0</v>
      </c>
      <c r="J74" s="429"/>
      <c r="K74" s="429">
        <f>IF(ISBLANK(Inputs!$B$74),0,Inputs!D61)</f>
        <v>0</v>
      </c>
      <c r="L74" s="429"/>
      <c r="M74" s="429">
        <f>IF(ISBLANK(Inputs!$B$75),0,Inputs!D61)</f>
        <v>0</v>
      </c>
      <c r="O74" s="453"/>
      <c r="P74" s="428">
        <f t="shared" si="19"/>
        <v>2050</v>
      </c>
      <c r="Q74" s="458"/>
      <c r="R74" s="428">
        <f t="shared" si="20"/>
        <v>0</v>
      </c>
      <c r="S74" s="458"/>
      <c r="T74" s="428">
        <f t="shared" si="21"/>
        <v>0</v>
      </c>
      <c r="U74" s="458"/>
      <c r="V74" s="428">
        <f t="shared" si="25"/>
        <v>0</v>
      </c>
      <c r="W74" s="458"/>
    </row>
    <row r="75" spans="5:25" x14ac:dyDescent="0.3">
      <c r="E75">
        <v>1</v>
      </c>
      <c r="F75" s="26" t="s">
        <v>547</v>
      </c>
      <c r="G75" s="444">
        <f>Inputs!$E65</f>
        <v>1500</v>
      </c>
      <c r="H75" s="658"/>
      <c r="I75" s="429">
        <f>IF(ISBLANK(Inputs!$B$73),0,Inputs!E65)</f>
        <v>0</v>
      </c>
      <c r="J75" s="444"/>
      <c r="K75" s="429">
        <f>IF(ISBLANK(Inputs!$B$74),0,Inputs!E65)</f>
        <v>0</v>
      </c>
      <c r="L75" s="444"/>
      <c r="M75" s="429">
        <f>IF(ISBLANK(Inputs!$B$75),0,Inputs!E65)</f>
        <v>0</v>
      </c>
      <c r="O75" s="453"/>
      <c r="P75" s="428">
        <f t="shared" si="19"/>
        <v>1500</v>
      </c>
      <c r="Q75" s="458"/>
      <c r="R75" s="428">
        <f t="shared" si="20"/>
        <v>0</v>
      </c>
      <c r="S75" s="458"/>
      <c r="T75" s="428">
        <f t="shared" si="21"/>
        <v>0</v>
      </c>
      <c r="U75" s="458"/>
      <c r="V75" s="428">
        <f t="shared" si="25"/>
        <v>0</v>
      </c>
      <c r="W75" s="458"/>
    </row>
    <row r="76" spans="5:25" x14ac:dyDescent="0.3">
      <c r="E76">
        <v>1</v>
      </c>
      <c r="F76" s="26" t="s">
        <v>549</v>
      </c>
      <c r="G76" s="444">
        <f>Inputs!$E64</f>
        <v>6000</v>
      </c>
      <c r="H76" s="658"/>
      <c r="I76" s="429">
        <f>IF(ISBLANK(Inputs!$B$73),0,Inputs!E64)</f>
        <v>0</v>
      </c>
      <c r="J76" s="444"/>
      <c r="K76" s="429">
        <f>IF(ISBLANK(Inputs!$B$74),0,Inputs!E64)</f>
        <v>0</v>
      </c>
      <c r="L76" s="444"/>
      <c r="M76" s="429">
        <f>IF(ISBLANK(Inputs!$B$75),0,Inputs!E64)</f>
        <v>0</v>
      </c>
      <c r="O76" s="453"/>
      <c r="P76" s="428">
        <f t="shared" si="19"/>
        <v>6000</v>
      </c>
      <c r="Q76" s="458"/>
      <c r="R76" s="428">
        <f t="shared" si="20"/>
        <v>0</v>
      </c>
      <c r="S76" s="458"/>
      <c r="T76" s="428">
        <f t="shared" si="21"/>
        <v>0</v>
      </c>
      <c r="U76" s="458"/>
      <c r="V76" s="428">
        <f t="shared" si="25"/>
        <v>0</v>
      </c>
      <c r="W76" s="458"/>
    </row>
    <row r="77" spans="5:25" x14ac:dyDescent="0.3">
      <c r="E77">
        <v>1</v>
      </c>
      <c r="F77" s="26" t="s">
        <v>105</v>
      </c>
      <c r="G77" s="429">
        <f>Inputs!$D62</f>
        <v>1000</v>
      </c>
      <c r="H77" s="658"/>
      <c r="I77" s="429">
        <f>IF(ISBLANK(Inputs!$B$73),0,Inputs!D62)</f>
        <v>0</v>
      </c>
      <c r="J77" s="429"/>
      <c r="K77" s="429">
        <f>IF(ISBLANK(Inputs!$B$74),0,Inputs!D62)</f>
        <v>0</v>
      </c>
      <c r="L77" s="429"/>
      <c r="M77" s="429">
        <f>IF(ISBLANK(Inputs!$B$75),0,Inputs!D62)</f>
        <v>0</v>
      </c>
      <c r="O77" s="453"/>
      <c r="P77" s="428">
        <f t="shared" si="19"/>
        <v>1000</v>
      </c>
      <c r="Q77" s="458"/>
      <c r="R77" s="428">
        <f t="shared" si="20"/>
        <v>0</v>
      </c>
      <c r="S77" s="458"/>
      <c r="T77" s="428">
        <f t="shared" si="21"/>
        <v>0</v>
      </c>
      <c r="U77" s="458"/>
      <c r="V77" s="428">
        <f t="shared" si="25"/>
        <v>0</v>
      </c>
      <c r="W77" s="458"/>
    </row>
    <row r="78" spans="5:25" x14ac:dyDescent="0.3">
      <c r="F78" s="447" t="s">
        <v>674</v>
      </c>
      <c r="G78" s="448">
        <f>SUBTOTAL(9,G74:G77)</f>
        <v>10550</v>
      </c>
      <c r="H78" s="659"/>
      <c r="I78" s="764">
        <f t="shared" ref="I78:M78" si="26">SUBTOTAL(9,I74:I77)</f>
        <v>0</v>
      </c>
      <c r="J78" s="448"/>
      <c r="K78" s="448">
        <f t="shared" si="26"/>
        <v>0</v>
      </c>
      <c r="L78" s="448"/>
      <c r="M78" s="448">
        <f t="shared" si="26"/>
        <v>0</v>
      </c>
      <c r="O78" s="453"/>
      <c r="P78" s="437">
        <f t="shared" si="19"/>
        <v>10550</v>
      </c>
      <c r="Q78" s="458"/>
      <c r="R78" s="437">
        <f t="shared" si="23"/>
        <v>0</v>
      </c>
      <c r="S78" s="458"/>
      <c r="T78" s="437">
        <f t="shared" si="24"/>
        <v>0</v>
      </c>
      <c r="U78" s="458"/>
      <c r="V78" s="437">
        <f t="shared" si="25"/>
        <v>0</v>
      </c>
      <c r="W78" s="458"/>
    </row>
    <row r="79" spans="5:25" x14ac:dyDescent="0.3">
      <c r="E79">
        <v>1</v>
      </c>
      <c r="F79" s="26" t="s">
        <v>110</v>
      </c>
      <c r="G79" s="429">
        <f>Inputs!$E$66</f>
        <v>333.33333333333331</v>
      </c>
      <c r="H79" s="658"/>
      <c r="I79" s="429">
        <f>IF(ISBLANK(Inputs!$B$73),0,Inputs!$E$66)</f>
        <v>0</v>
      </c>
      <c r="J79" s="429"/>
      <c r="K79" s="429">
        <f>IF(ISBLANK(Inputs!$B$74),0,Inputs!$E$66)</f>
        <v>0</v>
      </c>
      <c r="L79" s="429"/>
      <c r="M79" s="429">
        <f>IF(ISBLANK(Inputs!$B$75),0,Inputs!$E$66)</f>
        <v>0</v>
      </c>
      <c r="O79" s="453"/>
      <c r="P79" s="428">
        <f t="shared" si="19"/>
        <v>333.33333333333331</v>
      </c>
      <c r="Q79" s="458"/>
      <c r="R79" s="428">
        <f t="shared" si="20"/>
        <v>0</v>
      </c>
      <c r="S79" s="458"/>
      <c r="T79" s="428">
        <f t="shared" si="21"/>
        <v>0</v>
      </c>
      <c r="U79" s="458"/>
      <c r="V79" s="428">
        <f t="shared" si="25"/>
        <v>0</v>
      </c>
      <c r="W79" s="458"/>
      <c r="Y79" s="427"/>
    </row>
    <row r="80" spans="5:25" x14ac:dyDescent="0.3">
      <c r="E80">
        <v>1</v>
      </c>
      <c r="F80" s="26" t="s">
        <v>111</v>
      </c>
      <c r="G80" s="429">
        <f>Inputs!$E$67</f>
        <v>333.33333333333331</v>
      </c>
      <c r="H80" s="658"/>
      <c r="I80" s="429">
        <f>IF(ISBLANK(Inputs!$B$73),0,Inputs!$E$66)</f>
        <v>0</v>
      </c>
      <c r="J80" s="429"/>
      <c r="K80" s="429">
        <f>IF(ISBLANK(Inputs!$B$74),0,Inputs!$E$66)</f>
        <v>0</v>
      </c>
      <c r="L80" s="429"/>
      <c r="M80" s="429">
        <f>IF(ISBLANK(Inputs!$B$75),0,Inputs!$E$66)</f>
        <v>0</v>
      </c>
      <c r="O80" s="453"/>
      <c r="P80" s="428">
        <f t="shared" si="19"/>
        <v>333.33333333333331</v>
      </c>
      <c r="Q80" s="458"/>
      <c r="R80" s="428">
        <f t="shared" si="20"/>
        <v>0</v>
      </c>
      <c r="S80" s="458"/>
      <c r="T80" s="428">
        <f t="shared" si="21"/>
        <v>0</v>
      </c>
      <c r="U80" s="458"/>
      <c r="V80" s="428">
        <f t="shared" si="25"/>
        <v>0</v>
      </c>
      <c r="W80" s="458"/>
      <c r="Y80" s="426"/>
    </row>
    <row r="81" spans="5:25" x14ac:dyDescent="0.3">
      <c r="E81">
        <v>1</v>
      </c>
      <c r="F81" s="48" t="s">
        <v>69</v>
      </c>
      <c r="G81" s="429">
        <f>Inputs!$D48</f>
        <v>0</v>
      </c>
      <c r="H81" s="658"/>
      <c r="I81" s="429">
        <f>IF(ISBLANK(Inputs!B73),0,Inputs!$D48)</f>
        <v>0</v>
      </c>
      <c r="J81" s="429"/>
      <c r="K81" s="429">
        <f>IF(ISBLANK(Inputs!B74),0,Inputs!$D48)</f>
        <v>0</v>
      </c>
      <c r="L81" s="429"/>
      <c r="M81" s="429">
        <f>IF(ISBLANK(Inputs!B75),0,Inputs!$D48)</f>
        <v>0</v>
      </c>
      <c r="O81" s="453"/>
      <c r="P81" s="428">
        <f t="shared" si="19"/>
        <v>0</v>
      </c>
      <c r="Q81" s="458"/>
      <c r="R81" s="428">
        <f t="shared" si="20"/>
        <v>0</v>
      </c>
      <c r="S81" s="458"/>
      <c r="T81" s="428">
        <f t="shared" si="21"/>
        <v>0</v>
      </c>
      <c r="U81" s="458"/>
      <c r="V81" s="428">
        <f t="shared" si="25"/>
        <v>0</v>
      </c>
      <c r="W81" s="458"/>
      <c r="Y81" s="426"/>
    </row>
    <row r="82" spans="5:25" x14ac:dyDescent="0.3">
      <c r="E82">
        <v>1</v>
      </c>
      <c r="F82" s="48" t="s">
        <v>106</v>
      </c>
      <c r="G82" s="429">
        <f>Inputs!$D63</f>
        <v>0</v>
      </c>
      <c r="H82" s="658"/>
      <c r="I82" s="429">
        <f>IF(ISBLANK(Inputs!B74),0,Inputs!$D63)</f>
        <v>0</v>
      </c>
      <c r="J82" s="429"/>
      <c r="K82" s="429">
        <f>IF(ISBLANK(Inputs!D75),0,Inputs!$D63)</f>
        <v>0</v>
      </c>
      <c r="L82" s="429"/>
      <c r="M82" s="429">
        <f>IF(ISBLANK(Inputs!B75),0,Inputs!$D63)</f>
        <v>0</v>
      </c>
      <c r="O82" s="453"/>
      <c r="P82" s="428">
        <f t="shared" si="19"/>
        <v>0</v>
      </c>
      <c r="Q82" s="458"/>
      <c r="R82" s="428">
        <f t="shared" si="20"/>
        <v>0</v>
      </c>
      <c r="S82" s="458"/>
      <c r="T82" s="428">
        <f t="shared" si="21"/>
        <v>0</v>
      </c>
      <c r="U82" s="458"/>
      <c r="V82" s="428">
        <f t="shared" si="25"/>
        <v>0</v>
      </c>
      <c r="W82" s="458"/>
      <c r="Y82" s="426"/>
    </row>
    <row r="83" spans="5:25" x14ac:dyDescent="0.3">
      <c r="F83" s="1121" t="s">
        <v>675</v>
      </c>
      <c r="G83" s="1122">
        <f>SUM(G79:G82)+G78</f>
        <v>11216.666666666666</v>
      </c>
      <c r="H83" s="1123"/>
      <c r="I83" s="1122">
        <f t="shared" ref="I83:M83" si="27">SUM(I79:I82)+I78</f>
        <v>0</v>
      </c>
      <c r="J83" s="1122"/>
      <c r="K83" s="1122">
        <f t="shared" si="27"/>
        <v>0</v>
      </c>
      <c r="L83" s="1122"/>
      <c r="M83" s="1122">
        <f t="shared" si="27"/>
        <v>0</v>
      </c>
      <c r="N83" s="212"/>
      <c r="O83" s="1115"/>
      <c r="P83" s="1124">
        <f t="shared" si="19"/>
        <v>11216.666666666666</v>
      </c>
      <c r="Q83" s="1113"/>
      <c r="R83" s="1124">
        <f t="shared" si="23"/>
        <v>0</v>
      </c>
      <c r="S83" s="1113"/>
      <c r="T83" s="1124">
        <f t="shared" si="24"/>
        <v>0</v>
      </c>
      <c r="U83" s="1113"/>
      <c r="V83" s="1124">
        <f t="shared" si="25"/>
        <v>0</v>
      </c>
      <c r="W83" s="1113"/>
      <c r="X83" t="b">
        <f>G83=Inputs!O24/buildcount</f>
        <v>1</v>
      </c>
      <c r="Y83" s="426">
        <f>R83*4</f>
        <v>0</v>
      </c>
    </row>
    <row r="84" spans="5:25" x14ac:dyDescent="0.3">
      <c r="E84">
        <v>4</v>
      </c>
      <c r="F84" s="48" t="s">
        <v>676</v>
      </c>
      <c r="G84" s="446">
        <f>Inputs!G79</f>
        <v>0</v>
      </c>
      <c r="H84" s="658"/>
      <c r="I84" s="446">
        <f>Inputs!G80</f>
        <v>0</v>
      </c>
      <c r="J84" s="446"/>
      <c r="K84" s="446">
        <f>Inputs!G81</f>
        <v>0</v>
      </c>
      <c r="L84" s="446"/>
      <c r="M84" s="446">
        <f>Inputs!G82</f>
        <v>0</v>
      </c>
      <c r="O84" s="453"/>
      <c r="P84" s="428">
        <f t="shared" si="19"/>
        <v>0</v>
      </c>
      <c r="Q84" s="458"/>
      <c r="R84" s="428">
        <f t="shared" si="20"/>
        <v>0</v>
      </c>
      <c r="S84" s="458"/>
      <c r="T84" s="428">
        <f t="shared" si="21"/>
        <v>0</v>
      </c>
      <c r="U84" s="458"/>
      <c r="V84" s="428">
        <f t="shared" si="25"/>
        <v>0</v>
      </c>
      <c r="W84" s="458"/>
    </row>
    <row r="85" spans="5:25" x14ac:dyDescent="0.3">
      <c r="E85">
        <v>1</v>
      </c>
      <c r="F85" s="48" t="s">
        <v>677</v>
      </c>
      <c r="G85" s="446">
        <f>Inputs!H79</f>
        <v>0</v>
      </c>
      <c r="H85" s="660"/>
      <c r="I85" s="446">
        <f>Inputs!H80</f>
        <v>0</v>
      </c>
      <c r="J85" s="446"/>
      <c r="K85" s="446">
        <f>Inputs!H81</f>
        <v>0</v>
      </c>
      <c r="L85" s="446"/>
      <c r="M85" s="446">
        <f>Inputs!H82</f>
        <v>0</v>
      </c>
      <c r="O85" s="453"/>
      <c r="P85" s="428">
        <f t="shared" si="19"/>
        <v>0</v>
      </c>
      <c r="Q85" s="458"/>
      <c r="R85" s="428">
        <f t="shared" si="20"/>
        <v>0</v>
      </c>
      <c r="S85" s="458"/>
      <c r="T85" s="428">
        <f t="shared" si="21"/>
        <v>0</v>
      </c>
      <c r="U85" s="458"/>
      <c r="V85" s="428">
        <f t="shared" si="25"/>
        <v>0</v>
      </c>
      <c r="W85" s="458"/>
    </row>
    <row r="86" spans="5:25" x14ac:dyDescent="0.3">
      <c r="E86">
        <v>1</v>
      </c>
      <c r="F86" s="48" t="s">
        <v>128</v>
      </c>
      <c r="G86" s="446">
        <f>Inputs!I79</f>
        <v>0</v>
      </c>
      <c r="H86" s="660"/>
      <c r="I86" s="446">
        <f>Inputs!I80</f>
        <v>0</v>
      </c>
      <c r="J86" s="446"/>
      <c r="K86" s="446">
        <f>Inputs!I81</f>
        <v>0</v>
      </c>
      <c r="L86" s="446"/>
      <c r="M86" s="446">
        <f>Inputs!I82</f>
        <v>0</v>
      </c>
      <c r="O86" s="453"/>
      <c r="P86" s="428">
        <f t="shared" si="19"/>
        <v>0</v>
      </c>
      <c r="Q86" s="458"/>
      <c r="R86" s="428">
        <f t="shared" si="20"/>
        <v>0</v>
      </c>
      <c r="S86" s="458"/>
      <c r="T86" s="428">
        <f t="shared" si="21"/>
        <v>0</v>
      </c>
      <c r="U86" s="458"/>
      <c r="V86" s="428">
        <f t="shared" si="25"/>
        <v>0</v>
      </c>
      <c r="W86" s="458"/>
    </row>
    <row r="87" spans="5:25" x14ac:dyDescent="0.3">
      <c r="F87" s="1121" t="s">
        <v>678</v>
      </c>
      <c r="G87" s="1125">
        <f>SUM(G84:G86)</f>
        <v>0</v>
      </c>
      <c r="H87" s="1123"/>
      <c r="I87" s="1125">
        <f t="shared" ref="I87:M87" si="28">SUM(I84:I86)</f>
        <v>0</v>
      </c>
      <c r="J87" s="1125"/>
      <c r="K87" s="1125">
        <f t="shared" si="28"/>
        <v>0</v>
      </c>
      <c r="L87" s="1125"/>
      <c r="M87" s="1125">
        <f t="shared" si="28"/>
        <v>0</v>
      </c>
      <c r="N87" s="212"/>
      <c r="O87" s="1115"/>
      <c r="P87" s="1124">
        <f t="shared" si="19"/>
        <v>0</v>
      </c>
      <c r="Q87" s="1120"/>
      <c r="R87" s="1124">
        <f t="shared" si="23"/>
        <v>0</v>
      </c>
      <c r="S87" s="1120"/>
      <c r="T87" s="1124">
        <f t="shared" si="24"/>
        <v>0</v>
      </c>
      <c r="U87" s="1120"/>
      <c r="V87" s="1124">
        <f t="shared" si="25"/>
        <v>0</v>
      </c>
      <c r="W87" s="1120"/>
    </row>
    <row r="88" spans="5:25" x14ac:dyDescent="0.3">
      <c r="F88" s="454" t="s">
        <v>679</v>
      </c>
      <c r="G88" s="455">
        <f>SUM(G79:G82)+G111</f>
        <v>7516.666666666667</v>
      </c>
      <c r="H88" s="460"/>
      <c r="I88" s="455">
        <f>SUM(I79:I82)+I111</f>
        <v>0</v>
      </c>
      <c r="J88" s="460"/>
      <c r="K88" s="455">
        <f>SUM(K79:K82)+K111</f>
        <v>0</v>
      </c>
      <c r="L88" s="460"/>
      <c r="M88" s="455">
        <f>SUM(M79:M82)+M111</f>
        <v>0</v>
      </c>
      <c r="O88" s="453"/>
      <c r="P88" s="666">
        <f>G88+($H$4*$H88)</f>
        <v>7516.666666666667</v>
      </c>
      <c r="Q88" s="438"/>
      <c r="R88" s="666">
        <f>I88+($J$4*$J88)</f>
        <v>0</v>
      </c>
      <c r="S88" s="438"/>
      <c r="T88" s="666">
        <f>K88+($L$4*$L88)</f>
        <v>0</v>
      </c>
      <c r="U88" s="438"/>
      <c r="V88" s="666">
        <f>M88+($N$4*$N88)</f>
        <v>0</v>
      </c>
      <c r="W88" s="438"/>
      <c r="X88" s="378"/>
    </row>
    <row r="89" spans="5:25" x14ac:dyDescent="0.3">
      <c r="F89" s="430" t="s">
        <v>23</v>
      </c>
      <c r="G89" s="437">
        <f>G63+G73+G83+G87</f>
        <v>129464.51666666668</v>
      </c>
      <c r="H89" s="445"/>
      <c r="I89" s="437">
        <f>I63+I73+I83+I87</f>
        <v>0</v>
      </c>
      <c r="J89" s="445"/>
      <c r="K89" s="437">
        <f>K63+K73+K83+K87</f>
        <v>0</v>
      </c>
      <c r="L89" s="445"/>
      <c r="M89" s="437">
        <f>M63+M73+M83+M87</f>
        <v>0</v>
      </c>
      <c r="N89" s="445"/>
      <c r="O89" s="453"/>
      <c r="P89" s="437">
        <f>G89+($H$4*$H5)</f>
        <v>156208.21866666668</v>
      </c>
      <c r="Q89" s="443">
        <f>SUM(Q6:Q80)</f>
        <v>26743.702000000005</v>
      </c>
      <c r="R89" s="437">
        <f>I89+($J$4*$J5)</f>
        <v>0</v>
      </c>
      <c r="S89" s="443">
        <f>SUM(S6:S80)</f>
        <v>0</v>
      </c>
      <c r="T89" s="437">
        <f>K89+($L$4*$L5)</f>
        <v>0</v>
      </c>
      <c r="U89" s="443">
        <f>SUM(U6:U80)</f>
        <v>0</v>
      </c>
      <c r="V89" s="437">
        <f>M89+($N$4*$N5)</f>
        <v>0</v>
      </c>
      <c r="W89" s="443">
        <f>SUM(W6:W80)</f>
        <v>0</v>
      </c>
      <c r="X89" s="426"/>
      <c r="Y89" s="426"/>
    </row>
    <row r="90" spans="5:25" x14ac:dyDescent="0.3">
      <c r="O90" s="1340" t="s">
        <v>20</v>
      </c>
      <c r="P90" s="461">
        <f>P63+P73+P83+P87</f>
        <v>156208.21866666668</v>
      </c>
      <c r="Q90" s="462"/>
      <c r="R90" s="461">
        <f>R63+R73+R83+R87</f>
        <v>0</v>
      </c>
      <c r="S90" s="462"/>
      <c r="T90" s="461">
        <f>T63+T73+T83+T87</f>
        <v>0</v>
      </c>
      <c r="U90" s="462"/>
      <c r="V90" s="461">
        <f>V63+V73+V83+V87</f>
        <v>0</v>
      </c>
      <c r="W90" s="463"/>
    </row>
    <row r="91" spans="5:25" x14ac:dyDescent="0.3">
      <c r="G91" s="378"/>
      <c r="H91" s="50"/>
      <c r="I91" s="378"/>
      <c r="J91" s="50"/>
      <c r="K91" s="378"/>
      <c r="L91" s="378"/>
      <c r="M91" s="378"/>
      <c r="N91" s="50"/>
      <c r="O91" s="1340"/>
      <c r="P91" s="462" t="b">
        <f>P90=P89</f>
        <v>1</v>
      </c>
      <c r="Q91" s="462"/>
      <c r="R91" s="462" t="b">
        <f>R90=R89</f>
        <v>1</v>
      </c>
      <c r="S91" s="462"/>
      <c r="T91" s="462" t="b">
        <f>T90=T89</f>
        <v>1</v>
      </c>
      <c r="U91" s="462"/>
      <c r="V91" s="462" t="b">
        <f>V90=V89</f>
        <v>1</v>
      </c>
      <c r="W91" s="463"/>
    </row>
    <row r="92" spans="5:25" ht="12.5" thickBot="1" x14ac:dyDescent="0.35">
      <c r="G92" s="378"/>
      <c r="H92" s="50"/>
      <c r="I92" s="378"/>
      <c r="J92" s="50"/>
      <c r="K92" s="378"/>
      <c r="L92" s="378"/>
      <c r="M92" s="378"/>
      <c r="N92" s="50"/>
      <c r="O92" s="1068"/>
      <c r="P92" s="426">
        <f>P90+P111</f>
        <v>163058.21866666668</v>
      </c>
      <c r="R92" s="426">
        <f>R90+R111</f>
        <v>0</v>
      </c>
      <c r="T92" s="426">
        <f>T90+T111</f>
        <v>0</v>
      </c>
      <c r="V92" s="426">
        <f>V90+V111</f>
        <v>0</v>
      </c>
    </row>
    <row r="93" spans="5:25" x14ac:dyDescent="0.3">
      <c r="F93" s="1099" t="s">
        <v>50</v>
      </c>
      <c r="G93" s="1100"/>
      <c r="H93" s="219"/>
      <c r="I93" s="1100"/>
      <c r="J93" s="219"/>
      <c r="K93" s="1100"/>
      <c r="L93" s="1100"/>
      <c r="M93" s="1100"/>
      <c r="N93" s="219"/>
      <c r="O93" s="1100"/>
      <c r="P93" s="1101">
        <f>'SOV - External'!K11</f>
        <v>163058.21866666665</v>
      </c>
      <c r="Q93" s="1100"/>
      <c r="R93" s="1101">
        <f>'SOV - External'!L11</f>
        <v>0</v>
      </c>
      <c r="S93" s="1100"/>
      <c r="T93" s="1101">
        <f>'SOV - External'!M11</f>
        <v>0</v>
      </c>
      <c r="U93" s="1100"/>
      <c r="V93" s="1101">
        <f>'SOV - External'!N11</f>
        <v>0</v>
      </c>
      <c r="W93" s="220"/>
    </row>
    <row r="94" spans="5:25" ht="13" x14ac:dyDescent="0.3">
      <c r="F94" s="484" t="s">
        <v>65</v>
      </c>
      <c r="G94" s="429">
        <f>Inputs!$D$28</f>
        <v>0</v>
      </c>
      <c r="H94" s="658"/>
      <c r="I94" s="429">
        <f>IF(Inputs!$B$73="",0,Inputs!D28)</f>
        <v>0</v>
      </c>
      <c r="J94" s="429"/>
      <c r="K94" s="429">
        <f>IF(Inputs!$B$74="",0,Inputs!D28)</f>
        <v>0</v>
      </c>
      <c r="L94" s="429"/>
      <c r="M94" s="429">
        <f>IF(Inputs!$B$75="",0,Inputs!D28)</f>
        <v>0</v>
      </c>
      <c r="N94" s="222"/>
      <c r="O94" s="26"/>
      <c r="P94" s="428">
        <f>G94</f>
        <v>0</v>
      </c>
      <c r="Q94" s="458"/>
      <c r="R94" s="428">
        <f>I94</f>
        <v>0</v>
      </c>
      <c r="S94" s="458"/>
      <c r="T94" s="428">
        <f>K94</f>
        <v>0</v>
      </c>
      <c r="U94" s="458"/>
      <c r="V94" s="428">
        <f>M94</f>
        <v>0</v>
      </c>
      <c r="W94" s="1102"/>
      <c r="Y94" s="426"/>
    </row>
    <row r="95" spans="5:25" ht="13" x14ac:dyDescent="0.3">
      <c r="F95" s="484" t="s">
        <v>96</v>
      </c>
      <c r="G95" s="429">
        <f>Inputs!D29</f>
        <v>1500</v>
      </c>
      <c r="H95" s="429"/>
      <c r="I95" s="429">
        <f>IF(Inputs!$B$73="",0,Inputs!D29)</f>
        <v>0</v>
      </c>
      <c r="J95" s="429"/>
      <c r="K95" s="429">
        <f>IF(Inputs!$B$74="",0,Inputs!D29)</f>
        <v>0</v>
      </c>
      <c r="L95" s="429"/>
      <c r="M95" s="429">
        <f>IF(Inputs!$B$75="",0,Inputs!D29)</f>
        <v>0</v>
      </c>
      <c r="N95" s="222"/>
      <c r="O95" s="26"/>
      <c r="P95" s="428">
        <f t="shared" ref="P95" si="29">G95</f>
        <v>1500</v>
      </c>
      <c r="Q95" s="458"/>
      <c r="R95" s="428">
        <f t="shared" ref="R95" si="30">I95</f>
        <v>0</v>
      </c>
      <c r="S95" s="458"/>
      <c r="T95" s="428">
        <f t="shared" ref="T95" si="31">K95</f>
        <v>0</v>
      </c>
      <c r="U95" s="458"/>
      <c r="V95" s="428">
        <f t="shared" ref="V95" si="32">M95</f>
        <v>0</v>
      </c>
      <c r="W95" s="1102"/>
      <c r="Y95" s="426"/>
    </row>
    <row r="96" spans="5:25" ht="13" x14ac:dyDescent="0.3">
      <c r="F96" s="484" t="s">
        <v>69</v>
      </c>
      <c r="G96" s="429">
        <f>Inputs!D30</f>
        <v>0</v>
      </c>
      <c r="H96" s="429"/>
      <c r="I96" s="429">
        <f>IF(Inputs!$B$73="",0,Inputs!D30)</f>
        <v>0</v>
      </c>
      <c r="J96" s="429"/>
      <c r="K96" s="429">
        <f>IF(Inputs!$B$74="",0,Inputs!D30)</f>
        <v>0</v>
      </c>
      <c r="L96" s="429"/>
      <c r="M96" s="429">
        <f>IF(Inputs!$B$75="",0,Inputs!D30)</f>
        <v>0</v>
      </c>
      <c r="N96" s="222"/>
      <c r="O96" s="26"/>
      <c r="P96" s="428">
        <f t="shared" ref="P96:P110" si="33">G96</f>
        <v>0</v>
      </c>
      <c r="Q96" s="458"/>
      <c r="R96" s="428">
        <f t="shared" ref="R96:R110" si="34">I96</f>
        <v>0</v>
      </c>
      <c r="S96" s="458"/>
      <c r="T96" s="428">
        <f t="shared" ref="T96:T110" si="35">K96</f>
        <v>0</v>
      </c>
      <c r="U96" s="458"/>
      <c r="V96" s="428">
        <f t="shared" ref="V96:V110" si="36">M96</f>
        <v>0</v>
      </c>
      <c r="W96" s="1102"/>
    </row>
    <row r="97" spans="5:23" ht="13" x14ac:dyDescent="0.3">
      <c r="F97" s="1065" t="s">
        <v>71</v>
      </c>
      <c r="G97" s="429">
        <f>Inputs!$D$31</f>
        <v>1800</v>
      </c>
      <c r="H97" s="429"/>
      <c r="I97" s="429">
        <f>IF(Inputs!$B$73="",0,Inputs!D31)</f>
        <v>0</v>
      </c>
      <c r="J97" s="429"/>
      <c r="K97" s="429">
        <f>IF(Inputs!$B$74="",0,Inputs!D31)</f>
        <v>0</v>
      </c>
      <c r="L97" s="429"/>
      <c r="M97" s="429">
        <f>IF(Inputs!$B$75="",0,Inputs!D31)</f>
        <v>0</v>
      </c>
      <c r="N97" s="222"/>
      <c r="O97" s="26"/>
      <c r="P97" s="428">
        <f t="shared" si="33"/>
        <v>1800</v>
      </c>
      <c r="Q97" s="458"/>
      <c r="R97" s="428">
        <f t="shared" si="34"/>
        <v>0</v>
      </c>
      <c r="S97" s="458"/>
      <c r="T97" s="428">
        <f t="shared" si="35"/>
        <v>0</v>
      </c>
      <c r="U97" s="458"/>
      <c r="V97" s="428">
        <f t="shared" si="36"/>
        <v>0</v>
      </c>
      <c r="W97" s="1102"/>
    </row>
    <row r="98" spans="5:23" ht="13" x14ac:dyDescent="0.3">
      <c r="F98" s="1065" t="s">
        <v>72</v>
      </c>
      <c r="G98" s="429">
        <f>Inputs!$D$32</f>
        <v>400</v>
      </c>
      <c r="H98" s="222"/>
      <c r="I98" s="429">
        <f>IF(Inputs!$B$73="",0,Inputs!D32)</f>
        <v>0</v>
      </c>
      <c r="J98" s="429"/>
      <c r="K98" s="429">
        <f>IF(Inputs!$B$74="",0,Inputs!D32)</f>
        <v>0</v>
      </c>
      <c r="L98" s="429"/>
      <c r="M98" s="429">
        <f>IF(Inputs!$B$75="",0,Inputs!D32)</f>
        <v>0</v>
      </c>
      <c r="N98" s="222"/>
      <c r="O98" s="26"/>
      <c r="P98" s="428">
        <f t="shared" si="33"/>
        <v>400</v>
      </c>
      <c r="Q98" s="458"/>
      <c r="R98" s="428">
        <f t="shared" si="34"/>
        <v>0</v>
      </c>
      <c r="S98" s="458"/>
      <c r="T98" s="428">
        <f t="shared" si="35"/>
        <v>0</v>
      </c>
      <c r="U98" s="458"/>
      <c r="V98" s="428">
        <f t="shared" si="36"/>
        <v>0</v>
      </c>
      <c r="W98" s="1102"/>
    </row>
    <row r="99" spans="5:23" ht="13" x14ac:dyDescent="0.3">
      <c r="F99" s="1065" t="s">
        <v>74</v>
      </c>
      <c r="G99" s="429">
        <f>Inputs!$D$33</f>
        <v>450</v>
      </c>
      <c r="H99" s="222"/>
      <c r="I99" s="429">
        <f>IF(Inputs!$B$73="",0,Inputs!D33)</f>
        <v>0</v>
      </c>
      <c r="J99" s="429"/>
      <c r="K99" s="429">
        <f>IF(Inputs!$B$74="",0,Inputs!D33)</f>
        <v>0</v>
      </c>
      <c r="L99" s="429"/>
      <c r="M99" s="429">
        <f>IF(Inputs!$B$75="",0,Inputs!D33)</f>
        <v>0</v>
      </c>
      <c r="N99" s="222"/>
      <c r="O99" s="26"/>
      <c r="P99" s="428">
        <f t="shared" si="33"/>
        <v>450</v>
      </c>
      <c r="Q99" s="458"/>
      <c r="R99" s="428">
        <f t="shared" si="34"/>
        <v>0</v>
      </c>
      <c r="S99" s="458"/>
      <c r="T99" s="428">
        <f t="shared" si="35"/>
        <v>0</v>
      </c>
      <c r="U99" s="458"/>
      <c r="V99" s="428">
        <f t="shared" si="36"/>
        <v>0</v>
      </c>
      <c r="W99" s="1102"/>
    </row>
    <row r="100" spans="5:23" ht="13" x14ac:dyDescent="0.3">
      <c r="F100" s="1065" t="s">
        <v>76</v>
      </c>
      <c r="G100" s="429">
        <f>Inputs!$D$34</f>
        <v>0</v>
      </c>
      <c r="H100" s="222"/>
      <c r="I100" s="429">
        <f>IF(Inputs!$B$73="",0,Inputs!D34)</f>
        <v>0</v>
      </c>
      <c r="J100" s="429"/>
      <c r="K100" s="429">
        <f>IF(Inputs!$B$74="",0,Inputs!D34)</f>
        <v>0</v>
      </c>
      <c r="L100" s="429"/>
      <c r="M100" s="429">
        <f>IF(Inputs!$B$75="",0,Inputs!D34)</f>
        <v>0</v>
      </c>
      <c r="N100" s="222"/>
      <c r="O100" s="26"/>
      <c r="P100" s="428">
        <f t="shared" si="33"/>
        <v>0</v>
      </c>
      <c r="Q100" s="458"/>
      <c r="R100" s="428">
        <f t="shared" si="34"/>
        <v>0</v>
      </c>
      <c r="S100" s="458"/>
      <c r="T100" s="428">
        <f t="shared" si="35"/>
        <v>0</v>
      </c>
      <c r="U100" s="458"/>
      <c r="V100" s="428">
        <f t="shared" si="36"/>
        <v>0</v>
      </c>
      <c r="W100" s="1102"/>
    </row>
    <row r="101" spans="5:23" ht="13" x14ac:dyDescent="0.3">
      <c r="F101" s="1065" t="s">
        <v>77</v>
      </c>
      <c r="G101" s="429">
        <f>Inputs!$D$35</f>
        <v>0</v>
      </c>
      <c r="H101" s="222"/>
      <c r="I101" s="429">
        <f>IF(Inputs!$B$73="",0,Inputs!D35)</f>
        <v>0</v>
      </c>
      <c r="J101" s="429"/>
      <c r="K101" s="429">
        <f>IF(Inputs!$B$74="",0,Inputs!D35)</f>
        <v>0</v>
      </c>
      <c r="L101" s="429"/>
      <c r="M101" s="429">
        <f>IF(Inputs!$B$75="",0,Inputs!D35)</f>
        <v>0</v>
      </c>
      <c r="N101" s="222"/>
      <c r="O101" s="26"/>
      <c r="P101" s="428">
        <f t="shared" si="33"/>
        <v>0</v>
      </c>
      <c r="Q101" s="458"/>
      <c r="R101" s="428">
        <f t="shared" si="34"/>
        <v>0</v>
      </c>
      <c r="S101" s="458"/>
      <c r="T101" s="428">
        <f t="shared" si="35"/>
        <v>0</v>
      </c>
      <c r="U101" s="458"/>
      <c r="V101" s="428">
        <f t="shared" si="36"/>
        <v>0</v>
      </c>
      <c r="W101" s="1102"/>
    </row>
    <row r="102" spans="5:23" ht="13" x14ac:dyDescent="0.3">
      <c r="F102" s="1065" t="s">
        <v>79</v>
      </c>
      <c r="G102" s="429">
        <f>Inputs!$D$36</f>
        <v>500</v>
      </c>
      <c r="H102" s="222"/>
      <c r="I102" s="429">
        <f>IF(Inputs!$B$73="",0,Inputs!D36)</f>
        <v>0</v>
      </c>
      <c r="J102" s="429"/>
      <c r="K102" s="429">
        <f>IF(Inputs!$B$74="",0,Inputs!D36)</f>
        <v>0</v>
      </c>
      <c r="L102" s="429"/>
      <c r="M102" s="429">
        <f>IF(Inputs!$B$75="",0,Inputs!D36)</f>
        <v>0</v>
      </c>
      <c r="N102" s="222"/>
      <c r="O102" s="26"/>
      <c r="P102" s="428">
        <f t="shared" si="33"/>
        <v>500</v>
      </c>
      <c r="Q102" s="458"/>
      <c r="R102" s="428">
        <f t="shared" si="34"/>
        <v>0</v>
      </c>
      <c r="S102" s="458"/>
      <c r="T102" s="428">
        <f t="shared" si="35"/>
        <v>0</v>
      </c>
      <c r="U102" s="458"/>
      <c r="V102" s="428">
        <f t="shared" si="36"/>
        <v>0</v>
      </c>
      <c r="W102" s="1102"/>
    </row>
    <row r="103" spans="5:23" ht="13" x14ac:dyDescent="0.3">
      <c r="F103" s="1065" t="s">
        <v>82</v>
      </c>
      <c r="G103" s="429">
        <f>Inputs!$D$37</f>
        <v>2000</v>
      </c>
      <c r="H103" s="222"/>
      <c r="I103" s="429">
        <f>IF(Inputs!$B$73="",0,Inputs!D37)</f>
        <v>0</v>
      </c>
      <c r="J103" s="429"/>
      <c r="K103" s="429">
        <f>IF(Inputs!$B$74="",0,Inputs!D37)</f>
        <v>0</v>
      </c>
      <c r="L103" s="429"/>
      <c r="M103" s="429">
        <f>IF(Inputs!$B$75="",0,Inputs!D37)</f>
        <v>0</v>
      </c>
      <c r="N103" s="222"/>
      <c r="O103" s="26"/>
      <c r="P103" s="428">
        <f t="shared" si="33"/>
        <v>2000</v>
      </c>
      <c r="Q103" s="458"/>
      <c r="R103" s="428">
        <f t="shared" si="34"/>
        <v>0</v>
      </c>
      <c r="S103" s="458"/>
      <c r="T103" s="428">
        <f t="shared" si="35"/>
        <v>0</v>
      </c>
      <c r="U103" s="458"/>
      <c r="V103" s="428">
        <f t="shared" si="36"/>
        <v>0</v>
      </c>
      <c r="W103" s="1102"/>
    </row>
    <row r="104" spans="5:23" ht="13" x14ac:dyDescent="0.3">
      <c r="F104" s="1065" t="s">
        <v>84</v>
      </c>
      <c r="G104" s="429">
        <f>Inputs!$D$38</f>
        <v>0</v>
      </c>
      <c r="H104" s="222"/>
      <c r="I104" s="429">
        <f>IF(Inputs!$B$73="",0,Inputs!D38)</f>
        <v>0</v>
      </c>
      <c r="J104" s="429"/>
      <c r="K104" s="429">
        <f>IF(Inputs!$B$74="",0,Inputs!D38)</f>
        <v>0</v>
      </c>
      <c r="L104" s="429"/>
      <c r="M104" s="429">
        <f>IF(Inputs!$B$75="",0,Inputs!D38)</f>
        <v>0</v>
      </c>
      <c r="N104" s="222"/>
      <c r="O104" s="26"/>
      <c r="P104" s="428">
        <f t="shared" si="33"/>
        <v>0</v>
      </c>
      <c r="Q104" s="458"/>
      <c r="R104" s="428">
        <f t="shared" si="34"/>
        <v>0</v>
      </c>
      <c r="S104" s="458"/>
      <c r="T104" s="428">
        <f t="shared" si="35"/>
        <v>0</v>
      </c>
      <c r="U104" s="458"/>
      <c r="V104" s="428">
        <f t="shared" si="36"/>
        <v>0</v>
      </c>
      <c r="W104" s="1102"/>
    </row>
    <row r="105" spans="5:23" ht="13" x14ac:dyDescent="0.3">
      <c r="F105" s="1065" t="s">
        <v>86</v>
      </c>
      <c r="G105" s="429">
        <f>Inputs!$D$39</f>
        <v>0</v>
      </c>
      <c r="H105" s="222"/>
      <c r="I105" s="429">
        <f>IF(Inputs!$B$73="",0,Inputs!D39)</f>
        <v>0</v>
      </c>
      <c r="J105" s="429"/>
      <c r="K105" s="429">
        <f>IF(Inputs!$B$74="",0,Inputs!D39)</f>
        <v>0</v>
      </c>
      <c r="L105" s="429"/>
      <c r="M105" s="429">
        <f>IF(Inputs!$B$75="",0,Inputs!D39)</f>
        <v>0</v>
      </c>
      <c r="N105" s="222"/>
      <c r="O105" s="26"/>
      <c r="P105" s="428">
        <f t="shared" si="33"/>
        <v>0</v>
      </c>
      <c r="Q105" s="458"/>
      <c r="R105" s="428">
        <f t="shared" si="34"/>
        <v>0</v>
      </c>
      <c r="S105" s="458"/>
      <c r="T105" s="428">
        <f t="shared" si="35"/>
        <v>0</v>
      </c>
      <c r="U105" s="458"/>
      <c r="V105" s="428">
        <f t="shared" si="36"/>
        <v>0</v>
      </c>
      <c r="W105" s="1102"/>
    </row>
    <row r="106" spans="5:23" ht="13" x14ac:dyDescent="0.3">
      <c r="F106" s="1065" t="s">
        <v>88</v>
      </c>
      <c r="G106" s="429">
        <f>Inputs!$D$40</f>
        <v>200</v>
      </c>
      <c r="H106" s="222"/>
      <c r="I106" s="429">
        <f>IF(Inputs!$B$73="",0,Inputs!D40)</f>
        <v>0</v>
      </c>
      <c r="J106" s="429"/>
      <c r="K106" s="429">
        <f>IF(Inputs!$B$74="",0,Inputs!D40)</f>
        <v>0</v>
      </c>
      <c r="L106" s="429"/>
      <c r="M106" s="429">
        <f>IF(Inputs!$B$75="",0,Inputs!D40)</f>
        <v>0</v>
      </c>
      <c r="N106" s="222"/>
      <c r="O106" s="26"/>
      <c r="P106" s="428">
        <f t="shared" si="33"/>
        <v>200</v>
      </c>
      <c r="Q106" s="458"/>
      <c r="R106" s="428">
        <f t="shared" si="34"/>
        <v>0</v>
      </c>
      <c r="S106" s="458"/>
      <c r="T106" s="428">
        <f t="shared" si="35"/>
        <v>0</v>
      </c>
      <c r="U106" s="458"/>
      <c r="V106" s="428">
        <f t="shared" si="36"/>
        <v>0</v>
      </c>
      <c r="W106" s="1102"/>
    </row>
    <row r="107" spans="5:23" ht="13" x14ac:dyDescent="0.3">
      <c r="F107" s="1065" t="s">
        <v>90</v>
      </c>
      <c r="G107" s="429">
        <f>Inputs!$D$41</f>
        <v>0</v>
      </c>
      <c r="H107" s="222"/>
      <c r="I107" s="429">
        <f>IF(Inputs!$B$73="",0,Inputs!D41)</f>
        <v>0</v>
      </c>
      <c r="J107" s="429"/>
      <c r="K107" s="429">
        <f>IF(Inputs!$B$74="",0,Inputs!D41)</f>
        <v>0</v>
      </c>
      <c r="L107" s="429"/>
      <c r="M107" s="429">
        <f>IF(Inputs!$B$75="",0,Inputs!D41)</f>
        <v>0</v>
      </c>
      <c r="N107" s="222"/>
      <c r="O107" s="26"/>
      <c r="P107" s="428">
        <f t="shared" si="33"/>
        <v>0</v>
      </c>
      <c r="Q107" s="458"/>
      <c r="R107" s="428">
        <f t="shared" si="34"/>
        <v>0</v>
      </c>
      <c r="S107" s="458"/>
      <c r="T107" s="428">
        <f t="shared" si="35"/>
        <v>0</v>
      </c>
      <c r="U107" s="458"/>
      <c r="V107" s="428">
        <f t="shared" si="36"/>
        <v>0</v>
      </c>
      <c r="W107" s="1102"/>
    </row>
    <row r="108" spans="5:23" ht="13" x14ac:dyDescent="0.3">
      <c r="F108" s="1065" t="s">
        <v>91</v>
      </c>
      <c r="G108" s="429">
        <f>Inputs!$D$42</f>
        <v>0</v>
      </c>
      <c r="H108" s="222"/>
      <c r="I108" s="429">
        <f>IF(Inputs!$B$73="",0,Inputs!D42)</f>
        <v>0</v>
      </c>
      <c r="J108" s="429"/>
      <c r="K108" s="429">
        <f>IF(Inputs!$B$74="",0,Inputs!D42)</f>
        <v>0</v>
      </c>
      <c r="L108" s="429"/>
      <c r="M108" s="429">
        <f>IF(Inputs!$B$75="",0,Inputs!D42)</f>
        <v>0</v>
      </c>
      <c r="N108" s="222"/>
      <c r="O108" s="26"/>
      <c r="P108" s="428">
        <f t="shared" si="33"/>
        <v>0</v>
      </c>
      <c r="Q108" s="458"/>
      <c r="R108" s="428">
        <f t="shared" si="34"/>
        <v>0</v>
      </c>
      <c r="S108" s="458"/>
      <c r="T108" s="428">
        <f t="shared" si="35"/>
        <v>0</v>
      </c>
      <c r="U108" s="458"/>
      <c r="V108" s="428">
        <f t="shared" si="36"/>
        <v>0</v>
      </c>
      <c r="W108" s="1102"/>
    </row>
    <row r="109" spans="5:23" x14ac:dyDescent="0.3">
      <c r="F109" s="721" t="str">
        <f>IF(Inputs!D64="Gaston Co. (NC)","As-Built Survey (Gaston County Only)","")</f>
        <v/>
      </c>
      <c r="G109" s="429">
        <f>Inputs!$D$43</f>
        <v>0</v>
      </c>
      <c r="H109" s="222"/>
      <c r="I109" s="429">
        <f>IF(Inputs!$B$73="",0,Inputs!D43)</f>
        <v>0</v>
      </c>
      <c r="J109" s="429"/>
      <c r="K109" s="429">
        <f>IF(Inputs!$B$74="",0,Inputs!D43)</f>
        <v>0</v>
      </c>
      <c r="L109" s="429"/>
      <c r="M109" s="429">
        <f>IF(Inputs!$B$75="",0,Inputs!D43)</f>
        <v>0</v>
      </c>
      <c r="N109" s="222"/>
      <c r="O109" s="26"/>
      <c r="P109" s="428">
        <f t="shared" si="33"/>
        <v>0</v>
      </c>
      <c r="Q109" s="458"/>
      <c r="R109" s="428">
        <f t="shared" si="34"/>
        <v>0</v>
      </c>
      <c r="S109" s="458"/>
      <c r="T109" s="428">
        <f t="shared" si="35"/>
        <v>0</v>
      </c>
      <c r="U109" s="458"/>
      <c r="V109" s="428">
        <f t="shared" si="36"/>
        <v>0</v>
      </c>
      <c r="W109" s="1102"/>
    </row>
    <row r="110" spans="5:23" ht="12.5" thickBot="1" x14ac:dyDescent="0.35">
      <c r="F110" s="1103" t="s">
        <v>92</v>
      </c>
      <c r="G110" s="1069">
        <f>Inputs!$D$44</f>
        <v>0</v>
      </c>
      <c r="H110" s="1070"/>
      <c r="I110" s="1069">
        <f>IF(Inputs!$B$73="",0,Inputs!D44)</f>
        <v>0</v>
      </c>
      <c r="J110" s="1069"/>
      <c r="K110" s="1069">
        <f>IF(Inputs!$B$74="",0,Inputs!D44)</f>
        <v>0</v>
      </c>
      <c r="L110" s="1069"/>
      <c r="M110" s="1069">
        <f>IF(Inputs!$B$75="",0,Inputs!D44)</f>
        <v>0</v>
      </c>
      <c r="N110" s="1070"/>
      <c r="O110" s="1110"/>
      <c r="P110" s="1107">
        <f t="shared" si="33"/>
        <v>0</v>
      </c>
      <c r="Q110" s="1108"/>
      <c r="R110" s="1107">
        <f t="shared" si="34"/>
        <v>0</v>
      </c>
      <c r="S110" s="1108"/>
      <c r="T110" s="1107">
        <f t="shared" si="35"/>
        <v>0</v>
      </c>
      <c r="U110" s="1108"/>
      <c r="V110" s="1109">
        <f t="shared" si="36"/>
        <v>0</v>
      </c>
      <c r="W110" s="1111"/>
    </row>
    <row r="111" spans="5:23" ht="13" thickTop="1" thickBot="1" x14ac:dyDescent="0.35">
      <c r="E111">
        <v>1</v>
      </c>
      <c r="F111" s="1104" t="s">
        <v>680</v>
      </c>
      <c r="G111" s="1105">
        <f>SUM(G94:G110)</f>
        <v>6850</v>
      </c>
      <c r="H111" s="996"/>
      <c r="I111" s="1105">
        <f>SUM(I94:I110)</f>
        <v>0</v>
      </c>
      <c r="J111" s="996"/>
      <c r="K111" s="1105">
        <f>SUM(K94:K110)</f>
        <v>0</v>
      </c>
      <c r="L111" s="409"/>
      <c r="M111" s="1105">
        <f>SUM(M94:M110)</f>
        <v>0</v>
      </c>
      <c r="N111" s="996"/>
      <c r="O111" s="409"/>
      <c r="P111" s="1106">
        <f>SUM(P94:P110)</f>
        <v>6850</v>
      </c>
      <c r="Q111" s="409"/>
      <c r="R111" s="1106">
        <f>SUM(R94:R110)</f>
        <v>0</v>
      </c>
      <c r="S111" s="409"/>
      <c r="T111" s="1106">
        <f>SUM(T94:T110)</f>
        <v>0</v>
      </c>
      <c r="U111" s="409"/>
      <c r="V111" s="1106">
        <f>SUM(V94:V110)</f>
        <v>0</v>
      </c>
      <c r="W111" s="1005"/>
    </row>
  </sheetData>
  <mergeCells count="3">
    <mergeCell ref="O90:O91"/>
    <mergeCell ref="P2:W2"/>
    <mergeCell ref="G2:N2"/>
  </mergeCells>
  <conditionalFormatting sqref="F2">
    <cfRule type="expression" dxfId="2" priority="2">
      <formula>$F$2="Margin Allocation Complete"</formula>
    </cfRule>
    <cfRule type="expression" dxfId="1" priority="3">
      <formula>$F$2="FIX"</formula>
    </cfRule>
  </conditionalFormatting>
  <conditionalFormatting sqref="AA7">
    <cfRule type="cellIs" dxfId="0" priority="1" operator="equal">
      <formula>$F$1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D7D6837-D25A-492F-8CD1-17F3FBE6DFB9}">
          <x14:formula1>
            <xm:f>'Reference Tab'!$B$6:$B$31</xm:f>
          </x14:formula1>
          <xm:sqref>I5 K5 G5 M5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54BFC-8CC0-4A7E-8993-DC16A4D17A38}">
  <dimension ref="A2:N80"/>
  <sheetViews>
    <sheetView showGridLines="0" zoomScaleNormal="100" workbookViewId="0">
      <selection activeCell="G7" sqref="G7"/>
    </sheetView>
  </sheetViews>
  <sheetFormatPr defaultColWidth="9" defaultRowHeight="12" x14ac:dyDescent="0.3"/>
  <cols>
    <col min="1" max="1" width="9.77734375" bestFit="1" customWidth="1"/>
    <col min="2" max="2" width="37" bestFit="1" customWidth="1"/>
    <col min="3" max="3" width="17.77734375" style="40" bestFit="1" customWidth="1"/>
    <col min="4" max="5" width="13.77734375" bestFit="1" customWidth="1"/>
    <col min="6" max="6" width="13.44140625" customWidth="1"/>
    <col min="7" max="7" width="11.109375" bestFit="1" customWidth="1"/>
    <col min="9" max="9" width="34.44140625" customWidth="1"/>
    <col min="10" max="10" width="16.109375" bestFit="1" customWidth="1"/>
    <col min="11" max="11" width="13.44140625" bestFit="1" customWidth="1"/>
    <col min="12" max="12" width="12.77734375" customWidth="1"/>
    <col min="13" max="14" width="12.77734375" bestFit="1" customWidth="1"/>
  </cols>
  <sheetData>
    <row r="2" spans="1:14" ht="12.5" thickBot="1" x14ac:dyDescent="0.35">
      <c r="B2" s="26"/>
      <c r="C2" s="222"/>
      <c r="D2" s="26"/>
      <c r="E2" s="26"/>
      <c r="F2" s="26"/>
      <c r="I2" s="26"/>
      <c r="J2" s="26"/>
      <c r="K2" s="26"/>
      <c r="L2" s="26"/>
      <c r="M2" s="26"/>
    </row>
    <row r="3" spans="1:14" ht="19" thickBot="1" x14ac:dyDescent="0.5">
      <c r="A3" s="26"/>
      <c r="B3" s="1344" t="str">
        <f>Inputs!D5 &amp; " (" &amp; C6 &amp; " LOTS) BUDGET"</f>
        <v>241 Willard Street (1 LOTS) BUDGET</v>
      </c>
      <c r="C3" s="1345"/>
      <c r="D3" s="1345"/>
      <c r="E3" s="1345"/>
      <c r="F3" s="1345"/>
      <c r="G3" s="1346"/>
      <c r="H3" s="26"/>
      <c r="I3" s="1344" t="str">
        <f>Inputs!D5 &amp; " (" &amp; C6 &amp; " LOTS) BUDGET"</f>
        <v>241 Willard Street (1 LOTS) BUDGET</v>
      </c>
      <c r="J3" s="1345"/>
      <c r="K3" s="1345"/>
      <c r="L3" s="1345"/>
      <c r="M3" s="1345"/>
      <c r="N3" s="1346"/>
    </row>
    <row r="4" spans="1:14" ht="12.5" thickBot="1" x14ac:dyDescent="0.35">
      <c r="A4" s="26"/>
      <c r="B4" s="703" t="s">
        <v>7</v>
      </c>
      <c r="C4" s="704"/>
      <c r="D4" s="702"/>
      <c r="E4" s="702"/>
      <c r="F4" s="702"/>
      <c r="G4" s="705"/>
      <c r="H4" s="26"/>
      <c r="I4" s="706" t="s">
        <v>681</v>
      </c>
      <c r="J4" s="669" t="s">
        <v>682</v>
      </c>
      <c r="K4" s="670" t="str">
        <f>D5</f>
        <v>Atlas II - SC</v>
      </c>
      <c r="L4" s="670">
        <f>E5</f>
        <v>0</v>
      </c>
      <c r="M4" s="670">
        <f t="shared" ref="M4:N5" si="0">F5</f>
        <v>0</v>
      </c>
      <c r="N4" s="707">
        <f t="shared" si="0"/>
        <v>0</v>
      </c>
    </row>
    <row r="5" spans="1:14" ht="16.5" customHeight="1" x14ac:dyDescent="0.3">
      <c r="A5" s="26"/>
      <c r="B5" s="688" t="s">
        <v>418</v>
      </c>
      <c r="C5" s="644" t="s">
        <v>682</v>
      </c>
      <c r="D5" s="645" t="str">
        <f>'Internal Budget'!G5</f>
        <v>Atlas II - SC</v>
      </c>
      <c r="E5" s="645">
        <f>'Internal Budget'!I5</f>
        <v>0</v>
      </c>
      <c r="F5" s="687">
        <f>'Internal Budget'!K5</f>
        <v>0</v>
      </c>
      <c r="G5" s="689">
        <f>'Internal Budget'!M5</f>
        <v>0</v>
      </c>
      <c r="H5" s="26"/>
      <c r="I5" s="708" t="s">
        <v>115</v>
      </c>
      <c r="J5" s="651">
        <f>C6</f>
        <v>1</v>
      </c>
      <c r="K5" s="650">
        <f>D6</f>
        <v>1</v>
      </c>
      <c r="L5" s="650">
        <f t="shared" ref="L5" si="1">E6</f>
        <v>0</v>
      </c>
      <c r="M5" s="650">
        <f t="shared" si="0"/>
        <v>0</v>
      </c>
      <c r="N5" s="709">
        <f t="shared" si="0"/>
        <v>0</v>
      </c>
    </row>
    <row r="6" spans="1:14" x14ac:dyDescent="0.3">
      <c r="A6" s="26"/>
      <c r="B6" s="690" t="s">
        <v>115</v>
      </c>
      <c r="C6" s="646">
        <f>SUM(D6:G6)</f>
        <v>1</v>
      </c>
      <c r="D6" s="647">
        <f>Inputs!C72</f>
        <v>1</v>
      </c>
      <c r="E6" s="647">
        <f>Inputs!C73</f>
        <v>0</v>
      </c>
      <c r="F6" s="647">
        <f>Inputs!C74</f>
        <v>0</v>
      </c>
      <c r="G6" s="691">
        <f>Inputs!C75</f>
        <v>0</v>
      </c>
      <c r="H6" s="686">
        <v>1</v>
      </c>
      <c r="I6" s="710" t="s">
        <v>683</v>
      </c>
      <c r="J6" s="652">
        <f>(K6*$K$5)+(L6*$L$5)+(M6*$M$5)+(N6*$N$5)</f>
        <v>71054.868666666676</v>
      </c>
      <c r="K6" s="446">
        <f>SUMIF('Internal Budget'!$E:$E,'SOV - External'!$H6,'Internal Budget'!P:P)</f>
        <v>71054.868666666676</v>
      </c>
      <c r="L6" s="446">
        <f>SUMIF('Internal Budget'!$E:$E,'SOV - External'!$H6,'Internal Budget'!R:R)</f>
        <v>0</v>
      </c>
      <c r="M6" s="446">
        <f>SUMIF('Internal Budget'!$E:$E,'SOV - External'!$H6,'Internal Budget'!T:T)</f>
        <v>0</v>
      </c>
      <c r="N6" s="711">
        <f>IFERROR(SUMIF('Internal Budget'!$E:$E,'SOV - External'!$H6,'Internal Budget'!V:V),0)</f>
        <v>0</v>
      </c>
    </row>
    <row r="7" spans="1:14" x14ac:dyDescent="0.3">
      <c r="A7" s="26"/>
      <c r="B7" s="692" t="s">
        <v>684</v>
      </c>
      <c r="C7" s="648">
        <f>SUM(D7:G7)</f>
        <v>1554</v>
      </c>
      <c r="D7" s="649">
        <f>_xlfn.XLOOKUP(D$5,'Reference Tab'!$B:$B,'Reference Tab'!$D:$D)</f>
        <v>1554</v>
      </c>
      <c r="E7" s="649">
        <f>IFERROR(_xlfn.XLOOKUP(E$5,'Reference Tab'!$B:$B,'Reference Tab'!$D:$D),0)</f>
        <v>0</v>
      </c>
      <c r="F7" s="649">
        <f>IFERROR(_xlfn.XLOOKUP(F$5,'Reference Tab'!$B:$B,'Reference Tab'!$D:$D),0)</f>
        <v>0</v>
      </c>
      <c r="G7" s="693">
        <f>IFERROR(_xlfn.XLOOKUP(G$5,'Reference Tab'!$B:$B,'Reference Tab'!$D:$D),0)</f>
        <v>0</v>
      </c>
      <c r="H7" s="686">
        <v>2</v>
      </c>
      <c r="I7" s="710" t="s">
        <v>685</v>
      </c>
      <c r="J7" s="652">
        <f t="shared" ref="J7:J10" si="2">(K7*$K$5)+(L7*$L$5)+(M7*$M$5)+(N7*$N$5)</f>
        <v>27073.109999999997</v>
      </c>
      <c r="K7" s="446">
        <f>SUMIF('Internal Budget'!$E:$E,'SOV - External'!$H7,'Internal Budget'!P:P)</f>
        <v>27073.109999999997</v>
      </c>
      <c r="L7" s="446">
        <f>SUMIF('Internal Budget'!$E:$E,'SOV - External'!$H7,'Internal Budget'!R:R)</f>
        <v>0</v>
      </c>
      <c r="M7" s="446">
        <f>SUMIF('Internal Budget'!$E:$E,'SOV - External'!$H7,'Internal Budget'!T:T)</f>
        <v>0</v>
      </c>
      <c r="N7" s="711">
        <f>IFERROR(SUMIF('Internal Budget'!$E:$E,'SOV - External'!$H7,'Internal Budget'!V:V),0)</f>
        <v>0</v>
      </c>
    </row>
    <row r="8" spans="1:14" x14ac:dyDescent="0.3">
      <c r="A8" s="26"/>
      <c r="B8" s="694" t="s">
        <v>468</v>
      </c>
      <c r="C8" s="465">
        <f>(D8*$D$6)+(E8*$E$6)+(F8*$F$6)+(G8*$G$6)</f>
        <v>3000</v>
      </c>
      <c r="D8" s="207">
        <f>_xlfn.XLOOKUP($B8,'Internal Budget'!$F:$F,'Internal Budget'!$P:$P)</f>
        <v>3000</v>
      </c>
      <c r="E8" s="207">
        <f>_xlfn.XLOOKUP($B8,'Internal Budget'!$F:$F,'Internal Budget'!$R:$R)</f>
        <v>0</v>
      </c>
      <c r="F8" s="207">
        <f>_xlfn.XLOOKUP($B8,'Internal Budget'!$F:$F,'Internal Budget'!$T:$T)</f>
        <v>0</v>
      </c>
      <c r="G8" s="225">
        <f>IFERROR(_xlfn.XLOOKUP($B8,'Internal Budget'!$F:$F,'Internal Budget'!$V:$V),0)</f>
        <v>0</v>
      </c>
      <c r="H8" s="686">
        <v>3</v>
      </c>
      <c r="I8" s="710" t="s">
        <v>686</v>
      </c>
      <c r="J8" s="652">
        <f t="shared" si="2"/>
        <v>37653.519999999997</v>
      </c>
      <c r="K8" s="446">
        <f>SUMIF('Internal Budget'!$E:$E,'SOV - External'!$H8,'Internal Budget'!P:P)</f>
        <v>37653.519999999997</v>
      </c>
      <c r="L8" s="446">
        <f>SUMIF('Internal Budget'!$E:$E,'SOV - External'!$H8,'Internal Budget'!R:R)</f>
        <v>0</v>
      </c>
      <c r="M8" s="446">
        <f>SUMIF('Internal Budget'!$E:$E,'SOV - External'!$H8,'Internal Budget'!T:T)</f>
        <v>0</v>
      </c>
      <c r="N8" s="711">
        <f>IFERROR(SUMIF('Internal Budget'!$E:$E,'SOV - External'!$H8,'Internal Budget'!V:V),0)</f>
        <v>0</v>
      </c>
    </row>
    <row r="9" spans="1:14" x14ac:dyDescent="0.3">
      <c r="A9" s="26"/>
      <c r="B9" s="694" t="s">
        <v>470</v>
      </c>
      <c r="C9" s="465">
        <f t="shared" ref="C9:C74" si="3">(D9*$D$6)+(E9*$E$6)+(F9*$F$6)+(G9*$G$6)</f>
        <v>300</v>
      </c>
      <c r="D9" s="207">
        <f>_xlfn.XLOOKUP(B9,'Internal Budget'!$F:$F,'Internal Budget'!$P:$P)</f>
        <v>300</v>
      </c>
      <c r="E9" s="207">
        <f>_xlfn.XLOOKUP($B9,'Internal Budget'!$F:$F,'Internal Budget'!$R:$R)</f>
        <v>0</v>
      </c>
      <c r="F9" s="207">
        <f>_xlfn.XLOOKUP($B9,'Internal Budget'!$F:$F,'Internal Budget'!$T:$T)</f>
        <v>0</v>
      </c>
      <c r="G9" s="225">
        <f>IFERROR(_xlfn.XLOOKUP($B9,'Internal Budget'!$F:$F,'Internal Budget'!$V:$V),0)</f>
        <v>0</v>
      </c>
      <c r="H9" s="686">
        <v>4</v>
      </c>
      <c r="I9" s="710" t="s">
        <v>687</v>
      </c>
      <c r="J9" s="652">
        <f t="shared" si="2"/>
        <v>13906.36</v>
      </c>
      <c r="K9" s="446">
        <f>SUMIF('Internal Budget'!$E:$E,'SOV - External'!$H9,'Internal Budget'!P:P)</f>
        <v>13906.36</v>
      </c>
      <c r="L9" s="446">
        <f>SUMIF('Internal Budget'!$E:$E,'SOV - External'!$H9,'Internal Budget'!R:R)</f>
        <v>0</v>
      </c>
      <c r="M9" s="446">
        <f>SUMIF('Internal Budget'!$E:$E,'SOV - External'!$H9,'Internal Budget'!T:T)</f>
        <v>0</v>
      </c>
      <c r="N9" s="711">
        <f>IFERROR(SUMIF('Internal Budget'!$E:$E,'SOV - External'!$H9,'Internal Budget'!V:V),0)</f>
        <v>0</v>
      </c>
    </row>
    <row r="10" spans="1:14" ht="12.5" thickBot="1" x14ac:dyDescent="0.35">
      <c r="A10" s="26"/>
      <c r="B10" s="694" t="s">
        <v>472</v>
      </c>
      <c r="C10" s="465">
        <f t="shared" si="3"/>
        <v>875</v>
      </c>
      <c r="D10" s="207">
        <f>_xlfn.XLOOKUP(B10,'Internal Budget'!$F:$F,'Internal Budget'!$P:$P)</f>
        <v>875</v>
      </c>
      <c r="E10" s="207">
        <f>_xlfn.XLOOKUP($B10,'Internal Budget'!$F:$F,'Internal Budget'!$R:$R)</f>
        <v>0</v>
      </c>
      <c r="F10" s="207">
        <f>_xlfn.XLOOKUP($B10,'Internal Budget'!$F:$F,'Internal Budget'!$T:$T)</f>
        <v>0</v>
      </c>
      <c r="G10" s="225">
        <f>IFERROR(_xlfn.XLOOKUP($B10,'Internal Budget'!$F:$F,'Internal Budget'!$V:$V),0)</f>
        <v>0</v>
      </c>
      <c r="H10" s="686">
        <v>5</v>
      </c>
      <c r="I10" s="712" t="s">
        <v>688</v>
      </c>
      <c r="J10" s="653">
        <f t="shared" si="2"/>
        <v>13370.36</v>
      </c>
      <c r="K10" s="654">
        <f>SUMIF('Internal Budget'!$E:$E,'SOV - External'!$H10,'Internal Budget'!P:P)</f>
        <v>13370.36</v>
      </c>
      <c r="L10" s="654">
        <f>SUMIF('Internal Budget'!$E:$E,'SOV - External'!$H10,'Internal Budget'!R:R)</f>
        <v>0</v>
      </c>
      <c r="M10" s="654">
        <f>SUMIF('Internal Budget'!$E:$E,'SOV - External'!$H10,'Internal Budget'!T:T)</f>
        <v>0</v>
      </c>
      <c r="N10" s="717">
        <f>IFERROR(SUMIF('Internal Budget'!$E:$E,'SOV - External'!$H10,'Internal Budget'!V:V),0)</f>
        <v>0</v>
      </c>
    </row>
    <row r="11" spans="1:14" ht="13" thickTop="1" thickBot="1" x14ac:dyDescent="0.35">
      <c r="A11" s="26"/>
      <c r="B11" s="694" t="s">
        <v>473</v>
      </c>
      <c r="C11" s="465">
        <f t="shared" si="3"/>
        <v>50</v>
      </c>
      <c r="D11" s="207">
        <f>_xlfn.XLOOKUP(B11,'Internal Budget'!$F:$F,'Internal Budget'!$P:$P)</f>
        <v>50</v>
      </c>
      <c r="E11" s="207">
        <f>_xlfn.XLOOKUP($B11,'Internal Budget'!$F:$F,'Internal Budget'!$R:$R)</f>
        <v>0</v>
      </c>
      <c r="F11" s="207">
        <f>_xlfn.XLOOKUP($B11,'Internal Budget'!$F:$F,'Internal Budget'!$T:$T)</f>
        <v>0</v>
      </c>
      <c r="G11" s="225">
        <f>IFERROR(_xlfn.XLOOKUP($B11,'Internal Budget'!$F:$F,'Internal Budget'!$V:$V),0)</f>
        <v>0</v>
      </c>
      <c r="H11" s="665"/>
      <c r="I11" s="713" t="s">
        <v>23</v>
      </c>
      <c r="J11" s="714">
        <f>SUM(J6:J10)</f>
        <v>163058.21866666665</v>
      </c>
      <c r="K11" s="715">
        <f t="shared" ref="K11:M11" si="4">SUM(K6:K10)</f>
        <v>163058.21866666665</v>
      </c>
      <c r="L11" s="715">
        <f t="shared" si="4"/>
        <v>0</v>
      </c>
      <c r="M11" s="718">
        <f t="shared" si="4"/>
        <v>0</v>
      </c>
      <c r="N11" s="716">
        <f t="shared" ref="N11" si="5">SUM(N6:N10)</f>
        <v>0</v>
      </c>
    </row>
    <row r="12" spans="1:14" x14ac:dyDescent="0.3">
      <c r="A12" s="26"/>
      <c r="B12" s="694" t="s">
        <v>476</v>
      </c>
      <c r="C12" s="465">
        <f t="shared" si="3"/>
        <v>225</v>
      </c>
      <c r="D12" s="207">
        <f>_xlfn.XLOOKUP(B12,'Internal Budget'!$F:$F,'Internal Budget'!$P:$P)</f>
        <v>225</v>
      </c>
      <c r="E12" s="207">
        <f>_xlfn.XLOOKUP($B12,'Internal Budget'!$F:$F,'Internal Budget'!$R:$R)</f>
        <v>0</v>
      </c>
      <c r="F12" s="207">
        <f>_xlfn.XLOOKUP($B12,'Internal Budget'!$F:$F,'Internal Budget'!$T:$T)</f>
        <v>0</v>
      </c>
      <c r="G12" s="225">
        <f>IFERROR(_xlfn.XLOOKUP($B12,'Internal Budget'!$F:$F,'Internal Budget'!$V:$V),0)</f>
        <v>0</v>
      </c>
      <c r="H12" s="26"/>
      <c r="I12" s="26"/>
      <c r="J12" s="26"/>
      <c r="K12" s="26"/>
      <c r="L12" s="26"/>
      <c r="M12" s="26"/>
    </row>
    <row r="13" spans="1:14" ht="14" x14ac:dyDescent="0.3">
      <c r="A13" s="26"/>
      <c r="B13" s="694" t="s">
        <v>477</v>
      </c>
      <c r="C13" s="465">
        <f t="shared" si="3"/>
        <v>6661.73</v>
      </c>
      <c r="D13" s="207">
        <f>_xlfn.XLOOKUP(B13,'Internal Budget'!$F:$F,'Internal Budget'!$P:$P)</f>
        <v>6661.73</v>
      </c>
      <c r="E13" s="207">
        <f>_xlfn.XLOOKUP($B13,'Internal Budget'!$F:$F,'Internal Budget'!$R:$R)</f>
        <v>0</v>
      </c>
      <c r="F13" s="207">
        <f>_xlfn.XLOOKUP($B13,'Internal Budget'!$F:$F,'Internal Budget'!$T:$T)</f>
        <v>0</v>
      </c>
      <c r="G13" s="225">
        <f>IFERROR(_xlfn.XLOOKUP($B13,'Internal Budget'!$F:$F,'Internal Budget'!$V:$V),0)</f>
        <v>0</v>
      </c>
      <c r="I13" s="643"/>
      <c r="J13" s="666"/>
      <c r="K13" s="26"/>
      <c r="L13" s="26"/>
    </row>
    <row r="14" spans="1:14" x14ac:dyDescent="0.3">
      <c r="A14" s="26"/>
      <c r="B14" s="694" t="s">
        <v>478</v>
      </c>
      <c r="C14" s="465">
        <f t="shared" si="3"/>
        <v>7399.7999999999993</v>
      </c>
      <c r="D14" s="207">
        <f>_xlfn.XLOOKUP(B14,'Internal Budget'!$F:$F,'Internal Budget'!$P:$P)</f>
        <v>7399.7999999999993</v>
      </c>
      <c r="E14" s="207">
        <f>_xlfn.XLOOKUP($B14,'Internal Budget'!$F:$F,'Internal Budget'!$R:$R)</f>
        <v>0</v>
      </c>
      <c r="F14" s="207">
        <f>_xlfn.XLOOKUP($B14,'Internal Budget'!$F:$F,'Internal Budget'!$T:$T)</f>
        <v>0</v>
      </c>
      <c r="G14" s="225">
        <f>IFERROR(_xlfn.XLOOKUP($B14,'Internal Budget'!$F:$F,'Internal Budget'!$V:$V),0)</f>
        <v>0</v>
      </c>
    </row>
    <row r="15" spans="1:14" x14ac:dyDescent="0.3">
      <c r="A15" s="26"/>
      <c r="B15" s="694" t="s">
        <v>479</v>
      </c>
      <c r="C15" s="465">
        <f t="shared" si="3"/>
        <v>2616.73</v>
      </c>
      <c r="D15" s="207">
        <f>_xlfn.XLOOKUP(B15,'Internal Budget'!$F:$F,'Internal Budget'!$P:$P)</f>
        <v>2616.73</v>
      </c>
      <c r="E15" s="207">
        <f>_xlfn.XLOOKUP($B15,'Internal Budget'!$F:$F,'Internal Budget'!$R:$R)</f>
        <v>0</v>
      </c>
      <c r="F15" s="207">
        <f>_xlfn.XLOOKUP($B15,'Internal Budget'!$F:$F,'Internal Budget'!$T:$T)</f>
        <v>0</v>
      </c>
      <c r="G15" s="225">
        <f>IFERROR(_xlfn.XLOOKUP($B15,'Internal Budget'!$F:$F,'Internal Budget'!$V:$V),0)</f>
        <v>0</v>
      </c>
    </row>
    <row r="16" spans="1:14" x14ac:dyDescent="0.3">
      <c r="A16" s="26"/>
      <c r="B16" s="694" t="s">
        <v>480</v>
      </c>
      <c r="C16" s="465">
        <f t="shared" si="3"/>
        <v>573.82000000000005</v>
      </c>
      <c r="D16" s="207">
        <f>_xlfn.XLOOKUP(B16,'Internal Budget'!$F:$F,'Internal Budget'!$P:$P)</f>
        <v>573.82000000000005</v>
      </c>
      <c r="E16" s="207">
        <f>_xlfn.XLOOKUP($B16,'Internal Budget'!$F:$F,'Internal Budget'!$R:$R)</f>
        <v>0</v>
      </c>
      <c r="F16" s="207">
        <f>_xlfn.XLOOKUP($B16,'Internal Budget'!$F:$F,'Internal Budget'!$T:$T)</f>
        <v>0</v>
      </c>
      <c r="G16" s="225">
        <f>IFERROR(_xlfn.XLOOKUP($B16,'Internal Budget'!$F:$F,'Internal Budget'!$V:$V),0)</f>
        <v>0</v>
      </c>
    </row>
    <row r="17" spans="1:10" x14ac:dyDescent="0.3">
      <c r="A17" s="26"/>
      <c r="B17" s="694" t="s">
        <v>481</v>
      </c>
      <c r="C17" s="465">
        <f t="shared" si="3"/>
        <v>2458.39</v>
      </c>
      <c r="D17" s="207">
        <f>_xlfn.XLOOKUP(B17,'Internal Budget'!$F:$F,'Internal Budget'!$P:$P)</f>
        <v>2458.39</v>
      </c>
      <c r="E17" s="207">
        <f>_xlfn.XLOOKUP($B17,'Internal Budget'!$F:$F,'Internal Budget'!$R:$R)</f>
        <v>0</v>
      </c>
      <c r="F17" s="207">
        <f>_xlfn.XLOOKUP($B17,'Internal Budget'!$F:$F,'Internal Budget'!$T:$T)</f>
        <v>0</v>
      </c>
      <c r="G17" s="225">
        <f>IFERROR(_xlfn.XLOOKUP($B17,'Internal Budget'!$F:$F,'Internal Budget'!$V:$V),0)</f>
        <v>0</v>
      </c>
    </row>
    <row r="18" spans="1:10" ht="16" x14ac:dyDescent="0.4">
      <c r="A18" s="26"/>
      <c r="B18" s="694" t="s">
        <v>482</v>
      </c>
      <c r="C18" s="465">
        <f t="shared" si="3"/>
        <v>0</v>
      </c>
      <c r="D18" s="207">
        <f>_xlfn.XLOOKUP(B18,'Internal Budget'!$F:$F,'Internal Budget'!$P:$P)</f>
        <v>0</v>
      </c>
      <c r="E18" s="207">
        <f>_xlfn.XLOOKUP($B18,'Internal Budget'!$F:$F,'Internal Budget'!$R:$R)</f>
        <v>0</v>
      </c>
      <c r="F18" s="207">
        <f>_xlfn.XLOOKUP($B18,'Internal Budget'!$F:$F,'Internal Budget'!$T:$T)</f>
        <v>0</v>
      </c>
      <c r="G18" s="225">
        <f>IFERROR(_xlfn.XLOOKUP($B18,'Internal Budget'!$F:$F,'Internal Budget'!$V:$V),0)</f>
        <v>0</v>
      </c>
      <c r="I18" s="378"/>
      <c r="J18" s="456"/>
    </row>
    <row r="19" spans="1:10" x14ac:dyDescent="0.3">
      <c r="A19" s="26"/>
      <c r="B19" s="694" t="s">
        <v>483</v>
      </c>
      <c r="C19" s="465">
        <f t="shared" si="3"/>
        <v>0</v>
      </c>
      <c r="D19" s="207">
        <f>_xlfn.XLOOKUP(B19,'Internal Budget'!$F:$F,'Internal Budget'!$P:$P)</f>
        <v>0</v>
      </c>
      <c r="E19" s="207">
        <f>_xlfn.XLOOKUP($B19,'Internal Budget'!$F:$F,'Internal Budget'!$R:$R)</f>
        <v>0</v>
      </c>
      <c r="F19" s="207">
        <f>_xlfn.XLOOKUP($B19,'Internal Budget'!$F:$F,'Internal Budget'!$T:$T)</f>
        <v>0</v>
      </c>
      <c r="G19" s="225">
        <f>IFERROR(_xlfn.XLOOKUP($B19,'Internal Budget'!$F:$F,'Internal Budget'!$V:$V),0)</f>
        <v>0</v>
      </c>
    </row>
    <row r="20" spans="1:10" x14ac:dyDescent="0.3">
      <c r="A20" s="26"/>
      <c r="B20" s="694" t="s">
        <v>484</v>
      </c>
      <c r="C20" s="465">
        <f t="shared" si="3"/>
        <v>0</v>
      </c>
      <c r="D20" s="207">
        <f>_xlfn.XLOOKUP(B20,'Internal Budget'!$F:$F,'Internal Budget'!$P:$P)</f>
        <v>0</v>
      </c>
      <c r="E20" s="207">
        <f>_xlfn.XLOOKUP($B20,'Internal Budget'!$F:$F,'Internal Budget'!$R:$R)</f>
        <v>0</v>
      </c>
      <c r="F20" s="207">
        <f>_xlfn.XLOOKUP($B20,'Internal Budget'!$F:$F,'Internal Budget'!$T:$T)</f>
        <v>0</v>
      </c>
      <c r="G20" s="225">
        <f>IFERROR(_xlfn.XLOOKUP($B20,'Internal Budget'!$F:$F,'Internal Budget'!$V:$V),0)</f>
        <v>0</v>
      </c>
    </row>
    <row r="21" spans="1:10" x14ac:dyDescent="0.3">
      <c r="A21" s="26"/>
      <c r="B21" s="694" t="s">
        <v>485</v>
      </c>
      <c r="C21" s="465">
        <f t="shared" si="3"/>
        <v>3070.51</v>
      </c>
      <c r="D21" s="207">
        <f>_xlfn.XLOOKUP(B21,'Internal Budget'!$F:$F,'Internal Budget'!$P:$P)</f>
        <v>3070.51</v>
      </c>
      <c r="E21" s="207">
        <f>_xlfn.XLOOKUP($B21,'Internal Budget'!$F:$F,'Internal Budget'!$R:$R)</f>
        <v>0</v>
      </c>
      <c r="F21" s="207">
        <f>_xlfn.XLOOKUP($B21,'Internal Budget'!$F:$F,'Internal Budget'!$T:$T)</f>
        <v>0</v>
      </c>
      <c r="G21" s="225">
        <f>IFERROR(_xlfn.XLOOKUP($B21,'Internal Budget'!$F:$F,'Internal Budget'!$V:$V),0)</f>
        <v>0</v>
      </c>
    </row>
    <row r="22" spans="1:10" x14ac:dyDescent="0.3">
      <c r="A22" s="26"/>
      <c r="B22" s="694" t="s">
        <v>486</v>
      </c>
      <c r="C22" s="465">
        <f t="shared" si="3"/>
        <v>3883.77</v>
      </c>
      <c r="D22" s="207">
        <f>_xlfn.XLOOKUP(B22,'Internal Budget'!$F:$F,'Internal Budget'!$P:$P)</f>
        <v>3883.77</v>
      </c>
      <c r="E22" s="207">
        <f>_xlfn.XLOOKUP($B22,'Internal Budget'!$F:$F,'Internal Budget'!$R:$R)</f>
        <v>0</v>
      </c>
      <c r="F22" s="207">
        <f>_xlfn.XLOOKUP($B22,'Internal Budget'!$F:$F,'Internal Budget'!$T:$T)</f>
        <v>0</v>
      </c>
      <c r="G22" s="225">
        <f>IFERROR(_xlfn.XLOOKUP($B22,'Internal Budget'!$F:$F,'Internal Budget'!$V:$V),0)</f>
        <v>0</v>
      </c>
    </row>
    <row r="23" spans="1:10" x14ac:dyDescent="0.3">
      <c r="A23" s="26"/>
      <c r="B23" s="694" t="s">
        <v>487</v>
      </c>
      <c r="C23" s="465">
        <f t="shared" si="3"/>
        <v>2128.6999999999998</v>
      </c>
      <c r="D23" s="207">
        <f>_xlfn.XLOOKUP(B23,'Internal Budget'!$F:$F,'Internal Budget'!$P:$P)</f>
        <v>2128.6999999999998</v>
      </c>
      <c r="E23" s="207">
        <f>_xlfn.XLOOKUP($B23,'Internal Budget'!$F:$F,'Internal Budget'!$R:$R)</f>
        <v>0</v>
      </c>
      <c r="F23" s="207">
        <f>_xlfn.XLOOKUP($B23,'Internal Budget'!$F:$F,'Internal Budget'!$T:$T)</f>
        <v>0</v>
      </c>
      <c r="G23" s="225">
        <f>IFERROR(_xlfn.XLOOKUP($B23,'Internal Budget'!$F:$F,'Internal Budget'!$V:$V),0)</f>
        <v>0</v>
      </c>
    </row>
    <row r="24" spans="1:10" x14ac:dyDescent="0.3">
      <c r="A24" s="26"/>
      <c r="B24" s="694" t="s">
        <v>488</v>
      </c>
      <c r="C24" s="465">
        <f t="shared" si="3"/>
        <v>2729.75</v>
      </c>
      <c r="D24" s="207">
        <f>_xlfn.XLOOKUP(B24,'Internal Budget'!$F:$F,'Internal Budget'!$P:$P)</f>
        <v>2729.75</v>
      </c>
      <c r="E24" s="207">
        <f>_xlfn.XLOOKUP($B24,'Internal Budget'!$F:$F,'Internal Budget'!$R:$R)</f>
        <v>0</v>
      </c>
      <c r="F24" s="207">
        <f>_xlfn.XLOOKUP($B24,'Internal Budget'!$F:$F,'Internal Budget'!$T:$T)</f>
        <v>0</v>
      </c>
      <c r="G24" s="225">
        <f>IFERROR(_xlfn.XLOOKUP($B24,'Internal Budget'!$F:$F,'Internal Budget'!$V:$V),0)</f>
        <v>0</v>
      </c>
    </row>
    <row r="25" spans="1:10" x14ac:dyDescent="0.3">
      <c r="A25" s="26"/>
      <c r="B25" s="694" t="s">
        <v>489</v>
      </c>
      <c r="C25" s="465">
        <f t="shared" si="3"/>
        <v>1112.3800000000001</v>
      </c>
      <c r="D25" s="207">
        <f>_xlfn.XLOOKUP(B25,'Internal Budget'!$F:$F,'Internal Budget'!$P:$P)</f>
        <v>1112.3800000000001</v>
      </c>
      <c r="E25" s="207">
        <f>_xlfn.XLOOKUP($B25,'Internal Budget'!$F:$F,'Internal Budget'!$R:$R)</f>
        <v>0</v>
      </c>
      <c r="F25" s="207">
        <f>_xlfn.XLOOKUP($B25,'Internal Budget'!$F:$F,'Internal Budget'!$T:$T)</f>
        <v>0</v>
      </c>
      <c r="G25" s="225">
        <f>IFERROR(_xlfn.XLOOKUP($B25,'Internal Budget'!$F:$F,'Internal Budget'!$V:$V),0)</f>
        <v>0</v>
      </c>
    </row>
    <row r="26" spans="1:10" x14ac:dyDescent="0.3">
      <c r="A26" s="26"/>
      <c r="B26" s="694" t="s">
        <v>490</v>
      </c>
      <c r="C26" s="465">
        <f t="shared" si="3"/>
        <v>120</v>
      </c>
      <c r="D26" s="207">
        <f>_xlfn.XLOOKUP(B26,'Internal Budget'!$F:$F,'Internal Budget'!$P:$P)</f>
        <v>120</v>
      </c>
      <c r="E26" s="207">
        <f>_xlfn.XLOOKUP($B26,'Internal Budget'!$F:$F,'Internal Budget'!$R:$R)</f>
        <v>0</v>
      </c>
      <c r="F26" s="207">
        <f>_xlfn.XLOOKUP($B26,'Internal Budget'!$F:$F,'Internal Budget'!$T:$T)</f>
        <v>0</v>
      </c>
      <c r="G26" s="225">
        <f>IFERROR(_xlfn.XLOOKUP($B26,'Internal Budget'!$F:$F,'Internal Budget'!$V:$V),0)</f>
        <v>0</v>
      </c>
    </row>
    <row r="27" spans="1:10" x14ac:dyDescent="0.3">
      <c r="A27" s="26"/>
      <c r="B27" s="694" t="s">
        <v>491</v>
      </c>
      <c r="C27" s="465">
        <f t="shared" si="3"/>
        <v>330</v>
      </c>
      <c r="D27" s="207">
        <f>_xlfn.XLOOKUP(B27,'Internal Budget'!$F:$F,'Internal Budget'!$P:$P)</f>
        <v>330</v>
      </c>
      <c r="E27" s="207">
        <f>_xlfn.XLOOKUP($B27,'Internal Budget'!$F:$F,'Internal Budget'!$R:$R)</f>
        <v>0</v>
      </c>
      <c r="F27" s="207">
        <f>_xlfn.XLOOKUP($B27,'Internal Budget'!$F:$F,'Internal Budget'!$T:$T)</f>
        <v>0</v>
      </c>
      <c r="G27" s="225">
        <f>IFERROR(_xlfn.XLOOKUP($B27,'Internal Budget'!$F:$F,'Internal Budget'!$V:$V),0)</f>
        <v>0</v>
      </c>
    </row>
    <row r="28" spans="1:10" x14ac:dyDescent="0.3">
      <c r="A28" s="26"/>
      <c r="B28" s="694" t="s">
        <v>493</v>
      </c>
      <c r="C28" s="465">
        <f t="shared" si="3"/>
        <v>0</v>
      </c>
      <c r="D28" s="207">
        <f>_xlfn.XLOOKUP(B28,'Internal Budget'!$F:$F,'Internal Budget'!$P:$P)</f>
        <v>0</v>
      </c>
      <c r="E28" s="207">
        <f>_xlfn.XLOOKUP($B28,'Internal Budget'!$F:$F,'Internal Budget'!$R:$R)</f>
        <v>0</v>
      </c>
      <c r="F28" s="207">
        <f>_xlfn.XLOOKUP($B28,'Internal Budget'!$F:$F,'Internal Budget'!$T:$T)</f>
        <v>0</v>
      </c>
      <c r="G28" s="225">
        <f>IFERROR(_xlfn.XLOOKUP($B28,'Internal Budget'!$F:$F,'Internal Budget'!$V:$V),0)</f>
        <v>0</v>
      </c>
    </row>
    <row r="29" spans="1:10" x14ac:dyDescent="0.3">
      <c r="A29" s="48"/>
      <c r="B29" s="695" t="s">
        <v>667</v>
      </c>
      <c r="C29" s="465">
        <f t="shared" si="3"/>
        <v>3034.5</v>
      </c>
      <c r="D29" s="207">
        <f>_xlfn.XLOOKUP(B29,'Internal Budget'!$F:$F,'Internal Budget'!$P:$P)</f>
        <v>3034.5</v>
      </c>
      <c r="E29" s="207">
        <f>_xlfn.XLOOKUP($B29,'Internal Budget'!$F:$F,'Internal Budget'!$R:$R)</f>
        <v>0</v>
      </c>
      <c r="F29" s="207">
        <f>_xlfn.XLOOKUP($B29,'Internal Budget'!$F:$F,'Internal Budget'!$T:$T)</f>
        <v>0</v>
      </c>
      <c r="G29" s="225">
        <f>IFERROR(_xlfn.XLOOKUP($B29,'Internal Budget'!$F:$F,'Internal Budget'!$V:$V),0)</f>
        <v>0</v>
      </c>
    </row>
    <row r="30" spans="1:10" x14ac:dyDescent="0.3">
      <c r="A30" s="48"/>
      <c r="B30" s="695" t="s">
        <v>668</v>
      </c>
      <c r="C30" s="465">
        <f t="shared" si="3"/>
        <v>4046</v>
      </c>
      <c r="D30" s="207">
        <f>_xlfn.XLOOKUP(B30,'Internal Budget'!$F:$F,'Internal Budget'!$P:$P)</f>
        <v>4046</v>
      </c>
      <c r="E30" s="207">
        <f>_xlfn.XLOOKUP($B30,'Internal Budget'!$F:$F,'Internal Budget'!$R:$R)</f>
        <v>0</v>
      </c>
      <c r="F30" s="207">
        <f>_xlfn.XLOOKUP($B30,'Internal Budget'!$F:$F,'Internal Budget'!$T:$T)</f>
        <v>0</v>
      </c>
      <c r="G30" s="225">
        <f>IFERROR(_xlfn.XLOOKUP($B30,'Internal Budget'!$F:$F,'Internal Budget'!$V:$V),0)</f>
        <v>0</v>
      </c>
    </row>
    <row r="31" spans="1:10" x14ac:dyDescent="0.3">
      <c r="A31" s="48"/>
      <c r="B31" s="695" t="s">
        <v>669</v>
      </c>
      <c r="C31" s="465">
        <f t="shared" si="3"/>
        <v>5775</v>
      </c>
      <c r="D31" s="207">
        <f>_xlfn.XLOOKUP(B31,'Internal Budget'!$F:$F,'Internal Budget'!$P:$P)</f>
        <v>5775</v>
      </c>
      <c r="E31" s="207">
        <f>_xlfn.XLOOKUP($B31,'Internal Budget'!$F:$F,'Internal Budget'!$R:$R)</f>
        <v>0</v>
      </c>
      <c r="F31" s="207">
        <f>_xlfn.XLOOKUP($B31,'Internal Budget'!$F:$F,'Internal Budget'!$T:$T)</f>
        <v>0</v>
      </c>
      <c r="G31" s="225">
        <f>IFERROR(_xlfn.XLOOKUP($B31,'Internal Budget'!$F:$F,'Internal Budget'!$V:$V),0)</f>
        <v>0</v>
      </c>
    </row>
    <row r="32" spans="1:10" x14ac:dyDescent="0.3">
      <c r="A32" s="48"/>
      <c r="B32" s="695" t="s">
        <v>670</v>
      </c>
      <c r="C32" s="465">
        <f t="shared" si="3"/>
        <v>2475</v>
      </c>
      <c r="D32" s="207">
        <f>_xlfn.XLOOKUP(B32,'Internal Budget'!$F:$F,'Internal Budget'!$P:$P)</f>
        <v>2475</v>
      </c>
      <c r="E32" s="207">
        <f>_xlfn.XLOOKUP($B32,'Internal Budget'!$F:$F,'Internal Budget'!$R:$R)</f>
        <v>0</v>
      </c>
      <c r="F32" s="207">
        <f>_xlfn.XLOOKUP($B32,'Internal Budget'!$F:$F,'Internal Budget'!$T:$T)</f>
        <v>0</v>
      </c>
      <c r="G32" s="225">
        <f>IFERROR(_xlfn.XLOOKUP($B32,'Internal Budget'!$F:$F,'Internal Budget'!$V:$V),0)</f>
        <v>0</v>
      </c>
    </row>
    <row r="33" spans="1:7" x14ac:dyDescent="0.3">
      <c r="A33" s="48"/>
      <c r="B33" s="695" t="s">
        <v>671</v>
      </c>
      <c r="C33" s="465">
        <f t="shared" si="3"/>
        <v>3762</v>
      </c>
      <c r="D33" s="207">
        <f>_xlfn.XLOOKUP(B33,'Internal Budget'!$F:$F,'Internal Budget'!$P:$P)</f>
        <v>3762</v>
      </c>
      <c r="E33" s="207">
        <f>_xlfn.XLOOKUP($B33,'Internal Budget'!$F:$F,'Internal Budget'!$R:$R)</f>
        <v>0</v>
      </c>
      <c r="F33" s="207">
        <f>_xlfn.XLOOKUP($B33,'Internal Budget'!$F:$F,'Internal Budget'!$T:$T)</f>
        <v>0</v>
      </c>
      <c r="G33" s="225">
        <f>IFERROR(_xlfn.XLOOKUP($B33,'Internal Budget'!$F:$F,'Internal Budget'!$V:$V),0)</f>
        <v>0</v>
      </c>
    </row>
    <row r="34" spans="1:7" x14ac:dyDescent="0.3">
      <c r="A34" s="48"/>
      <c r="B34" s="695" t="s">
        <v>672</v>
      </c>
      <c r="C34" s="465">
        <f t="shared" si="3"/>
        <v>2508</v>
      </c>
      <c r="D34" s="207">
        <f>_xlfn.XLOOKUP(B34,'Internal Budget'!$F:$F,'Internal Budget'!$P:$P)</f>
        <v>2508</v>
      </c>
      <c r="E34" s="207">
        <f>_xlfn.XLOOKUP($B34,'Internal Budget'!$F:$F,'Internal Budget'!$R:$R)</f>
        <v>0</v>
      </c>
      <c r="F34" s="207">
        <f>_xlfn.XLOOKUP($B34,'Internal Budget'!$F:$F,'Internal Budget'!$T:$T)</f>
        <v>0</v>
      </c>
      <c r="G34" s="225">
        <f>IFERROR(_xlfn.XLOOKUP($B34,'Internal Budget'!$F:$F,'Internal Budget'!$V:$V),0)</f>
        <v>0</v>
      </c>
    </row>
    <row r="35" spans="1:7" x14ac:dyDescent="0.3">
      <c r="A35" s="26"/>
      <c r="B35" s="694" t="s">
        <v>498</v>
      </c>
      <c r="C35" s="465">
        <f t="shared" si="3"/>
        <v>275</v>
      </c>
      <c r="D35" s="207">
        <f>_xlfn.XLOOKUP(B35,'Internal Budget'!$F:$F,'Internal Budget'!$P:$P)</f>
        <v>275</v>
      </c>
      <c r="E35" s="207">
        <f>_xlfn.XLOOKUP($B35,'Internal Budget'!$F:$F,'Internal Budget'!$R:$R)</f>
        <v>0</v>
      </c>
      <c r="F35" s="207">
        <f>_xlfn.XLOOKUP($B35,'Internal Budget'!$F:$F,'Internal Budget'!$T:$T)</f>
        <v>0</v>
      </c>
      <c r="G35" s="225">
        <f>IFERROR(_xlfn.XLOOKUP($B35,'Internal Budget'!$F:$F,'Internal Budget'!$V:$V),0)</f>
        <v>0</v>
      </c>
    </row>
    <row r="36" spans="1:7" x14ac:dyDescent="0.3">
      <c r="A36" s="26"/>
      <c r="B36" s="694" t="s">
        <v>499</v>
      </c>
      <c r="C36" s="465">
        <f t="shared" si="3"/>
        <v>0</v>
      </c>
      <c r="D36" s="207">
        <f>_xlfn.XLOOKUP(B36,'Internal Budget'!$F:$F,'Internal Budget'!$P:$P)</f>
        <v>0</v>
      </c>
      <c r="E36" s="207">
        <f>_xlfn.XLOOKUP($B36,'Internal Budget'!$F:$F,'Internal Budget'!$R:$R)</f>
        <v>0</v>
      </c>
      <c r="F36" s="207">
        <f>_xlfn.XLOOKUP($B36,'Internal Budget'!$F:$F,'Internal Budget'!$T:$T)</f>
        <v>0</v>
      </c>
      <c r="G36" s="225">
        <f>IFERROR(_xlfn.XLOOKUP($B36,'Internal Budget'!$F:$F,'Internal Budget'!$V:$V),0)</f>
        <v>0</v>
      </c>
    </row>
    <row r="37" spans="1:7" x14ac:dyDescent="0.3">
      <c r="A37" s="26"/>
      <c r="B37" s="694" t="s">
        <v>500</v>
      </c>
      <c r="C37" s="465">
        <f t="shared" si="3"/>
        <v>2800</v>
      </c>
      <c r="D37" s="207">
        <f>_xlfn.XLOOKUP(B37,'Internal Budget'!$F:$F,'Internal Budget'!$P:$P)</f>
        <v>2800</v>
      </c>
      <c r="E37" s="207">
        <f>_xlfn.XLOOKUP($B37,'Internal Budget'!$F:$F,'Internal Budget'!$R:$R)</f>
        <v>0</v>
      </c>
      <c r="F37" s="207">
        <f>_xlfn.XLOOKUP($B37,'Internal Budget'!$F:$F,'Internal Budget'!$T:$T)</f>
        <v>0</v>
      </c>
      <c r="G37" s="225">
        <f>IFERROR(_xlfn.XLOOKUP($B37,'Internal Budget'!$F:$F,'Internal Budget'!$V:$V),0)</f>
        <v>0</v>
      </c>
    </row>
    <row r="38" spans="1:7" x14ac:dyDescent="0.3">
      <c r="A38" s="26"/>
      <c r="B38" s="694" t="s">
        <v>501</v>
      </c>
      <c r="C38" s="465">
        <f t="shared" si="3"/>
        <v>3181.59</v>
      </c>
      <c r="D38" s="207">
        <f>_xlfn.XLOOKUP(B38,'Internal Budget'!$F:$F,'Internal Budget'!$P:$P)</f>
        <v>3181.59</v>
      </c>
      <c r="E38" s="207">
        <f>_xlfn.XLOOKUP($B38,'Internal Budget'!$F:$F,'Internal Budget'!$R:$R)</f>
        <v>0</v>
      </c>
      <c r="F38" s="207">
        <f>_xlfn.XLOOKUP($B38,'Internal Budget'!$F:$F,'Internal Budget'!$T:$T)</f>
        <v>0</v>
      </c>
      <c r="G38" s="225">
        <f>IFERROR(_xlfn.XLOOKUP($B38,'Internal Budget'!$F:$F,'Internal Budget'!$V:$V),0)</f>
        <v>0</v>
      </c>
    </row>
    <row r="39" spans="1:7" x14ac:dyDescent="0.3">
      <c r="A39" s="26"/>
      <c r="B39" s="694" t="s">
        <v>503</v>
      </c>
      <c r="C39" s="465">
        <f t="shared" si="3"/>
        <v>3783.96</v>
      </c>
      <c r="D39" s="207">
        <f>_xlfn.XLOOKUP(B39,'Internal Budget'!$F:$F,'Internal Budget'!$P:$P)</f>
        <v>3783.96</v>
      </c>
      <c r="E39" s="207">
        <f>_xlfn.XLOOKUP($B39,'Internal Budget'!$F:$F,'Internal Budget'!$R:$R)</f>
        <v>0</v>
      </c>
      <c r="F39" s="207">
        <f>_xlfn.XLOOKUP($B39,'Internal Budget'!$F:$F,'Internal Budget'!$T:$T)</f>
        <v>0</v>
      </c>
      <c r="G39" s="225">
        <f>IFERROR(_xlfn.XLOOKUP($B39,'Internal Budget'!$F:$F,'Internal Budget'!$V:$V),0)</f>
        <v>0</v>
      </c>
    </row>
    <row r="40" spans="1:7" x14ac:dyDescent="0.3">
      <c r="A40" s="26"/>
      <c r="B40" s="694" t="s">
        <v>504</v>
      </c>
      <c r="C40" s="465">
        <f t="shared" si="3"/>
        <v>45</v>
      </c>
      <c r="D40" s="207">
        <f>_xlfn.XLOOKUP(B40,'Internal Budget'!$F:$F,'Internal Budget'!$P:$P)</f>
        <v>45</v>
      </c>
      <c r="E40" s="207">
        <f>_xlfn.XLOOKUP($B40,'Internal Budget'!$F:$F,'Internal Budget'!$R:$R)</f>
        <v>0</v>
      </c>
      <c r="F40" s="207">
        <f>_xlfn.XLOOKUP($B40,'Internal Budget'!$F:$F,'Internal Budget'!$T:$T)</f>
        <v>0</v>
      </c>
      <c r="G40" s="225">
        <f>IFERROR(_xlfn.XLOOKUP($B40,'Internal Budget'!$F:$F,'Internal Budget'!$V:$V),0)</f>
        <v>0</v>
      </c>
    </row>
    <row r="41" spans="1:7" x14ac:dyDescent="0.3">
      <c r="A41" s="26"/>
      <c r="B41" s="694" t="s">
        <v>505</v>
      </c>
      <c r="C41" s="465">
        <f t="shared" si="3"/>
        <v>2786</v>
      </c>
      <c r="D41" s="207">
        <f>_xlfn.XLOOKUP(B41,'Internal Budget'!$F:$F,'Internal Budget'!$P:$P)</f>
        <v>2786</v>
      </c>
      <c r="E41" s="207">
        <f>_xlfn.XLOOKUP($B41,'Internal Budget'!$F:$F,'Internal Budget'!$R:$R)</f>
        <v>0</v>
      </c>
      <c r="F41" s="207">
        <f>_xlfn.XLOOKUP($B41,'Internal Budget'!$F:$F,'Internal Budget'!$T:$T)</f>
        <v>0</v>
      </c>
      <c r="G41" s="225">
        <f>IFERROR(_xlfn.XLOOKUP($B41,'Internal Budget'!$F:$F,'Internal Budget'!$V:$V),0)</f>
        <v>0</v>
      </c>
    </row>
    <row r="42" spans="1:7" x14ac:dyDescent="0.3">
      <c r="A42" s="26"/>
      <c r="B42" s="695" t="s">
        <v>508</v>
      </c>
      <c r="C42" s="465">
        <f t="shared" ref="C42" si="6">(D42*$D$6)+(E42*$E$6)+(F42*$F$6)+(G42*$G$6)</f>
        <v>4068</v>
      </c>
      <c r="D42" s="207">
        <f>_xlfn.XLOOKUP(B42,'Internal Budget'!$F:$F,'Internal Budget'!$P:$P)+'Internal Budget'!$G$87</f>
        <v>4068</v>
      </c>
      <c r="E42" s="207">
        <f>_xlfn.XLOOKUP($B42,'Internal Budget'!$F:$F,'Internal Budget'!$R:$R)+'Internal Budget'!$I$87</f>
        <v>0</v>
      </c>
      <c r="F42" s="207">
        <f>_xlfn.XLOOKUP($B42,'Internal Budget'!$F:$F,'Internal Budget'!$T:$T)+'Internal Budget'!$K$87</f>
        <v>0</v>
      </c>
      <c r="G42" s="225">
        <f>IFERROR(_xlfn.XLOOKUP($B42,'Internal Budget'!$F:$F,'Internal Budget'!$V:$V),0)+'Internal Budget'!$M$87</f>
        <v>0</v>
      </c>
    </row>
    <row r="43" spans="1:7" x14ac:dyDescent="0.3">
      <c r="A43" s="26"/>
      <c r="B43" s="694" t="s">
        <v>509</v>
      </c>
      <c r="C43" s="465">
        <f t="shared" si="3"/>
        <v>451.21</v>
      </c>
      <c r="D43" s="207">
        <f>_xlfn.XLOOKUP(B43,'Internal Budget'!$F:$F,'Internal Budget'!$P:$P)</f>
        <v>451.21</v>
      </c>
      <c r="E43" s="207">
        <f>_xlfn.XLOOKUP($B43,'Internal Budget'!$F:$F,'Internal Budget'!$R:$R)</f>
        <v>0</v>
      </c>
      <c r="F43" s="207">
        <f>_xlfn.XLOOKUP($B43,'Internal Budget'!$F:$F,'Internal Budget'!$T:$T)</f>
        <v>0</v>
      </c>
      <c r="G43" s="225">
        <f>IFERROR(_xlfn.XLOOKUP($B43,'Internal Budget'!$F:$F,'Internal Budget'!$V:$V),0)</f>
        <v>0</v>
      </c>
    </row>
    <row r="44" spans="1:7" x14ac:dyDescent="0.3">
      <c r="A44" s="26"/>
      <c r="B44" s="694" t="s">
        <v>510</v>
      </c>
      <c r="C44" s="465">
        <f t="shared" si="3"/>
        <v>259.2</v>
      </c>
      <c r="D44" s="207">
        <f>_xlfn.XLOOKUP(B44,'Internal Budget'!$F:$F,'Internal Budget'!$P:$P)</f>
        <v>259.2</v>
      </c>
      <c r="E44" s="207">
        <f>_xlfn.XLOOKUP($B44,'Internal Budget'!$F:$F,'Internal Budget'!$R:$R)</f>
        <v>0</v>
      </c>
      <c r="F44" s="207">
        <f>_xlfn.XLOOKUP($B44,'Internal Budget'!$F:$F,'Internal Budget'!$T:$T)</f>
        <v>0</v>
      </c>
      <c r="G44" s="225">
        <f>IFERROR(_xlfn.XLOOKUP($B44,'Internal Budget'!$F:$F,'Internal Budget'!$V:$V),0)</f>
        <v>0</v>
      </c>
    </row>
    <row r="45" spans="1:7" x14ac:dyDescent="0.3">
      <c r="A45" s="26"/>
      <c r="B45" s="694" t="s">
        <v>511</v>
      </c>
      <c r="C45" s="465">
        <f t="shared" si="3"/>
        <v>0</v>
      </c>
      <c r="D45" s="207">
        <f>_xlfn.XLOOKUP(B45,'Internal Budget'!$F:$F,'Internal Budget'!$P:$P)</f>
        <v>0</v>
      </c>
      <c r="E45" s="207">
        <f>_xlfn.XLOOKUP($B45,'Internal Budget'!$F:$F,'Internal Budget'!$R:$R)</f>
        <v>0</v>
      </c>
      <c r="F45" s="207">
        <f>_xlfn.XLOOKUP($B45,'Internal Budget'!$F:$F,'Internal Budget'!$T:$T)</f>
        <v>0</v>
      </c>
      <c r="G45" s="225">
        <f>IFERROR(_xlfn.XLOOKUP($B45,'Internal Budget'!$F:$F,'Internal Budget'!$V:$V),0)</f>
        <v>0</v>
      </c>
    </row>
    <row r="46" spans="1:7" x14ac:dyDescent="0.3">
      <c r="A46" s="26"/>
      <c r="B46" s="694" t="s">
        <v>512</v>
      </c>
      <c r="C46" s="465">
        <f t="shared" si="3"/>
        <v>689.96</v>
      </c>
      <c r="D46" s="207">
        <f>_xlfn.XLOOKUP(B46,'Internal Budget'!$F:$F,'Internal Budget'!$P:$P)</f>
        <v>689.96</v>
      </c>
      <c r="E46" s="207">
        <f>_xlfn.XLOOKUP($B46,'Internal Budget'!$F:$F,'Internal Budget'!$R:$R)</f>
        <v>0</v>
      </c>
      <c r="F46" s="207">
        <f>_xlfn.XLOOKUP($B46,'Internal Budget'!$F:$F,'Internal Budget'!$T:$T)</f>
        <v>0</v>
      </c>
      <c r="G46" s="225">
        <f>IFERROR(_xlfn.XLOOKUP($B46,'Internal Budget'!$F:$F,'Internal Budget'!$V:$V),0)</f>
        <v>0</v>
      </c>
    </row>
    <row r="47" spans="1:7" x14ac:dyDescent="0.3">
      <c r="A47" s="26"/>
      <c r="B47" s="694" t="s">
        <v>513</v>
      </c>
      <c r="C47" s="465">
        <f t="shared" si="3"/>
        <v>133.49</v>
      </c>
      <c r="D47" s="207">
        <f>_xlfn.XLOOKUP(B47,'Internal Budget'!$F:$F,'Internal Budget'!$P:$P)</f>
        <v>133.49</v>
      </c>
      <c r="E47" s="207">
        <f>_xlfn.XLOOKUP($B47,'Internal Budget'!$F:$F,'Internal Budget'!$R:$R)</f>
        <v>0</v>
      </c>
      <c r="F47" s="207">
        <f>_xlfn.XLOOKUP($B47,'Internal Budget'!$F:$F,'Internal Budget'!$T:$T)</f>
        <v>0</v>
      </c>
      <c r="G47" s="225">
        <f>IFERROR(_xlfn.XLOOKUP($B47,'Internal Budget'!$F:$F,'Internal Budget'!$V:$V),0)</f>
        <v>0</v>
      </c>
    </row>
    <row r="48" spans="1:7" x14ac:dyDescent="0.3">
      <c r="A48" s="26"/>
      <c r="B48" s="694" t="s">
        <v>514</v>
      </c>
      <c r="C48" s="465">
        <f t="shared" si="3"/>
        <v>690</v>
      </c>
      <c r="D48" s="207">
        <f>_xlfn.XLOOKUP(B48,'Internal Budget'!$F:$F,'Internal Budget'!$P:$P)</f>
        <v>690</v>
      </c>
      <c r="E48" s="207">
        <f>_xlfn.XLOOKUP($B48,'Internal Budget'!$F:$F,'Internal Budget'!$R:$R)</f>
        <v>0</v>
      </c>
      <c r="F48" s="207">
        <f>_xlfn.XLOOKUP($B48,'Internal Budget'!$F:$F,'Internal Budget'!$T:$T)</f>
        <v>0</v>
      </c>
      <c r="G48" s="225">
        <f>IFERROR(_xlfn.XLOOKUP($B48,'Internal Budget'!$F:$F,'Internal Budget'!$V:$V),0)</f>
        <v>0</v>
      </c>
    </row>
    <row r="49" spans="1:7" x14ac:dyDescent="0.3">
      <c r="A49" s="26"/>
      <c r="B49" s="694" t="s">
        <v>515</v>
      </c>
      <c r="C49" s="465">
        <f t="shared" si="3"/>
        <v>4110</v>
      </c>
      <c r="D49" s="207">
        <f>_xlfn.XLOOKUP(B49,'Internal Budget'!$F:$F,'Internal Budget'!$P:$P)</f>
        <v>4110</v>
      </c>
      <c r="E49" s="207">
        <f>_xlfn.XLOOKUP($B49,'Internal Budget'!$F:$F,'Internal Budget'!$R:$R)</f>
        <v>0</v>
      </c>
      <c r="F49" s="207">
        <f>_xlfn.XLOOKUP($B49,'Internal Budget'!$F:$F,'Internal Budget'!$T:$T)</f>
        <v>0</v>
      </c>
      <c r="G49" s="225">
        <f>IFERROR(_xlfn.XLOOKUP($B49,'Internal Budget'!$F:$F,'Internal Budget'!$V:$V),0)</f>
        <v>0</v>
      </c>
    </row>
    <row r="50" spans="1:7" x14ac:dyDescent="0.3">
      <c r="A50" s="26"/>
      <c r="B50" s="694" t="s">
        <v>517</v>
      </c>
      <c r="C50" s="465">
        <f t="shared" si="3"/>
        <v>5788.54</v>
      </c>
      <c r="D50" s="207">
        <f>_xlfn.XLOOKUP(B50,'Internal Budget'!$F:$F,'Internal Budget'!$P:$P)</f>
        <v>5788.54</v>
      </c>
      <c r="E50" s="207">
        <f>_xlfn.XLOOKUP($B50,'Internal Budget'!$F:$F,'Internal Budget'!$R:$R)</f>
        <v>0</v>
      </c>
      <c r="F50" s="207">
        <f>_xlfn.XLOOKUP($B50,'Internal Budget'!$F:$F,'Internal Budget'!$T:$T)</f>
        <v>0</v>
      </c>
      <c r="G50" s="225">
        <f>IFERROR(_xlfn.XLOOKUP($B50,'Internal Budget'!$F:$F,'Internal Budget'!$V:$V),0)</f>
        <v>0</v>
      </c>
    </row>
    <row r="51" spans="1:7" x14ac:dyDescent="0.3">
      <c r="A51" s="26"/>
      <c r="B51" s="694" t="s">
        <v>518</v>
      </c>
      <c r="C51" s="465">
        <f t="shared" si="3"/>
        <v>0</v>
      </c>
      <c r="D51" s="207">
        <f>_xlfn.XLOOKUP(B51,'Internal Budget'!$F:$F,'Internal Budget'!$P:$P)</f>
        <v>0</v>
      </c>
      <c r="E51" s="207">
        <f>_xlfn.XLOOKUP($B51,'Internal Budget'!$F:$F,'Internal Budget'!$R:$R)</f>
        <v>0</v>
      </c>
      <c r="F51" s="207">
        <f>_xlfn.XLOOKUP($B51,'Internal Budget'!$F:$F,'Internal Budget'!$T:$T)</f>
        <v>0</v>
      </c>
      <c r="G51" s="225">
        <f>IFERROR(_xlfn.XLOOKUP($B51,'Internal Budget'!$F:$F,'Internal Budget'!$V:$V),0)</f>
        <v>0</v>
      </c>
    </row>
    <row r="52" spans="1:7" x14ac:dyDescent="0.3">
      <c r="A52" s="26"/>
      <c r="B52" s="694" t="s">
        <v>519</v>
      </c>
      <c r="C52" s="465">
        <f t="shared" si="3"/>
        <v>538.01</v>
      </c>
      <c r="D52" s="207">
        <f>_xlfn.XLOOKUP(B52,'Internal Budget'!$F:$F,'Internal Budget'!$P:$P)</f>
        <v>538.01</v>
      </c>
      <c r="E52" s="207">
        <f>_xlfn.XLOOKUP($B52,'Internal Budget'!$F:$F,'Internal Budget'!$R:$R)</f>
        <v>0</v>
      </c>
      <c r="F52" s="207">
        <f>_xlfn.XLOOKUP($B52,'Internal Budget'!$F:$F,'Internal Budget'!$T:$T)</f>
        <v>0</v>
      </c>
      <c r="G52" s="225">
        <f>IFERROR(_xlfn.XLOOKUP($B52,'Internal Budget'!$F:$F,'Internal Budget'!$V:$V),0)</f>
        <v>0</v>
      </c>
    </row>
    <row r="53" spans="1:7" x14ac:dyDescent="0.3">
      <c r="A53" s="26"/>
      <c r="B53" s="694" t="s">
        <v>520</v>
      </c>
      <c r="C53" s="465">
        <f t="shared" si="3"/>
        <v>1616.06</v>
      </c>
      <c r="D53" s="207">
        <f>_xlfn.XLOOKUP(B53,'Internal Budget'!$F:$F,'Internal Budget'!$P:$P)</f>
        <v>1616.06</v>
      </c>
      <c r="E53" s="207">
        <f>_xlfn.XLOOKUP($B53,'Internal Budget'!$F:$F,'Internal Budget'!$R:$R)</f>
        <v>0</v>
      </c>
      <c r="F53" s="207">
        <f>_xlfn.XLOOKUP($B53,'Internal Budget'!$F:$F,'Internal Budget'!$T:$T)</f>
        <v>0</v>
      </c>
      <c r="G53" s="225">
        <f>IFERROR(_xlfn.XLOOKUP($B53,'Internal Budget'!$F:$F,'Internal Budget'!$V:$V),0)</f>
        <v>0</v>
      </c>
    </row>
    <row r="54" spans="1:7" x14ac:dyDescent="0.3">
      <c r="A54" s="26"/>
      <c r="B54" s="694" t="s">
        <v>521</v>
      </c>
      <c r="C54" s="465">
        <f t="shared" si="3"/>
        <v>1616</v>
      </c>
      <c r="D54" s="207">
        <f>_xlfn.XLOOKUP(B54,'Internal Budget'!$F:$F,'Internal Budget'!$P:$P)</f>
        <v>1616</v>
      </c>
      <c r="E54" s="207">
        <f>_xlfn.XLOOKUP($B54,'Internal Budget'!$F:$F,'Internal Budget'!$R:$R)</f>
        <v>0</v>
      </c>
      <c r="F54" s="207">
        <f>_xlfn.XLOOKUP($B54,'Internal Budget'!$F:$F,'Internal Budget'!$T:$T)</f>
        <v>0</v>
      </c>
      <c r="G54" s="225">
        <f>IFERROR(_xlfn.XLOOKUP($B54,'Internal Budget'!$F:$F,'Internal Budget'!$V:$V),0)</f>
        <v>0</v>
      </c>
    </row>
    <row r="55" spans="1:7" x14ac:dyDescent="0.3">
      <c r="A55" s="26"/>
      <c r="B55" s="694" t="s">
        <v>522</v>
      </c>
      <c r="C55" s="465">
        <f t="shared" si="3"/>
        <v>0</v>
      </c>
      <c r="D55" s="207">
        <f>_xlfn.XLOOKUP(B55,'Internal Budget'!$F:$F,'Internal Budget'!$P:$P)</f>
        <v>0</v>
      </c>
      <c r="E55" s="207">
        <f>_xlfn.XLOOKUP($B55,'Internal Budget'!$F:$F,'Internal Budget'!$R:$R)</f>
        <v>0</v>
      </c>
      <c r="F55" s="207">
        <f>_xlfn.XLOOKUP($B55,'Internal Budget'!$F:$F,'Internal Budget'!$T:$T)</f>
        <v>0</v>
      </c>
      <c r="G55" s="225">
        <f>IFERROR(_xlfn.XLOOKUP($B55,'Internal Budget'!$F:$F,'Internal Budget'!$V:$V),0)</f>
        <v>0</v>
      </c>
    </row>
    <row r="56" spans="1:7" x14ac:dyDescent="0.3">
      <c r="A56" s="26"/>
      <c r="B56" s="694" t="s">
        <v>523</v>
      </c>
      <c r="C56" s="465">
        <f t="shared" si="3"/>
        <v>3237.29</v>
      </c>
      <c r="D56" s="207">
        <f>_xlfn.XLOOKUP(B56,'Internal Budget'!$F:$F,'Internal Budget'!$P:$P)</f>
        <v>3237.29</v>
      </c>
      <c r="E56" s="207">
        <f>_xlfn.XLOOKUP($B56,'Internal Budget'!$F:$F,'Internal Budget'!$R:$R)</f>
        <v>0</v>
      </c>
      <c r="F56" s="207">
        <f>_xlfn.XLOOKUP($B56,'Internal Budget'!$F:$F,'Internal Budget'!$T:$T)</f>
        <v>0</v>
      </c>
      <c r="G56" s="225">
        <f>IFERROR(_xlfn.XLOOKUP($B56,'Internal Budget'!$F:$F,'Internal Budget'!$V:$V),0)</f>
        <v>0</v>
      </c>
    </row>
    <row r="57" spans="1:7" x14ac:dyDescent="0.3">
      <c r="A57" s="26"/>
      <c r="B57" s="694" t="s">
        <v>524</v>
      </c>
      <c r="C57" s="465">
        <f t="shared" si="3"/>
        <v>577.96</v>
      </c>
      <c r="D57" s="207">
        <f>_xlfn.XLOOKUP(B57,'Internal Budget'!$F:$F,'Internal Budget'!$P:$P)</f>
        <v>577.96</v>
      </c>
      <c r="E57" s="207">
        <f>_xlfn.XLOOKUP($B57,'Internal Budget'!$F:$F,'Internal Budget'!$R:$R)</f>
        <v>0</v>
      </c>
      <c r="F57" s="207">
        <f>_xlfn.XLOOKUP($B57,'Internal Budget'!$F:$F,'Internal Budget'!$T:$T)</f>
        <v>0</v>
      </c>
      <c r="G57" s="225">
        <f>IFERROR(_xlfn.XLOOKUP($B57,'Internal Budget'!$F:$F,'Internal Budget'!$V:$V),0)</f>
        <v>0</v>
      </c>
    </row>
    <row r="58" spans="1:7" x14ac:dyDescent="0.3">
      <c r="A58" s="26"/>
      <c r="B58" s="694" t="s">
        <v>525</v>
      </c>
      <c r="C58" s="465">
        <f t="shared" si="3"/>
        <v>920</v>
      </c>
      <c r="D58" s="207">
        <f>_xlfn.XLOOKUP(B58,'Internal Budget'!$F:$F,'Internal Budget'!$P:$P)</f>
        <v>920</v>
      </c>
      <c r="E58" s="207">
        <f>_xlfn.XLOOKUP($B58,'Internal Budget'!$F:$F,'Internal Budget'!$R:$R)</f>
        <v>0</v>
      </c>
      <c r="F58" s="207">
        <f>_xlfn.XLOOKUP($B58,'Internal Budget'!$F:$F,'Internal Budget'!$T:$T)</f>
        <v>0</v>
      </c>
      <c r="G58" s="225">
        <f>IFERROR(_xlfn.XLOOKUP($B58,'Internal Budget'!$F:$F,'Internal Budget'!$V:$V),0)</f>
        <v>0</v>
      </c>
    </row>
    <row r="59" spans="1:7" x14ac:dyDescent="0.3">
      <c r="A59" s="26"/>
      <c r="B59" s="695" t="s">
        <v>526</v>
      </c>
      <c r="C59" s="465">
        <f t="shared" si="3"/>
        <v>310</v>
      </c>
      <c r="D59" s="207">
        <f>_xlfn.XLOOKUP(B59,'Internal Budget'!$F:$F,'Internal Budget'!$P:$P)</f>
        <v>310</v>
      </c>
      <c r="E59" s="207">
        <f>_xlfn.XLOOKUP($B59,'Internal Budget'!$F:$F,'Internal Budget'!$R:$R)</f>
        <v>0</v>
      </c>
      <c r="F59" s="207">
        <f>_xlfn.XLOOKUP($B59,'Internal Budget'!$F:$F,'Internal Budget'!$T:$T)</f>
        <v>0</v>
      </c>
      <c r="G59" s="225">
        <f>IFERROR(_xlfn.XLOOKUP($B59,'Internal Budget'!$F:$F,'Internal Budget'!$V:$V),0)</f>
        <v>0</v>
      </c>
    </row>
    <row r="60" spans="1:7" x14ac:dyDescent="0.3">
      <c r="A60" s="26"/>
      <c r="B60" s="695" t="s">
        <v>527</v>
      </c>
      <c r="C60" s="465">
        <f>(D60*$D$6)+(E60*$E$6)+(F60*$F$6)+(G60*$G$6)</f>
        <v>0</v>
      </c>
      <c r="D60" s="207">
        <f>_xlfn.XLOOKUP(B60,'Internal Budget'!$F:$F,'Internal Budget'!$P:$P)</f>
        <v>0</v>
      </c>
      <c r="E60" s="207">
        <f>_xlfn.XLOOKUP($B60,'Internal Budget'!$F:$F,'Internal Budget'!$R:$R)</f>
        <v>0</v>
      </c>
      <c r="F60" s="207">
        <f>_xlfn.XLOOKUP($B60,'Internal Budget'!$F:$F,'Internal Budget'!$T:$T)</f>
        <v>0</v>
      </c>
      <c r="G60" s="225">
        <f>IFERROR(_xlfn.XLOOKUP($B60,'Internal Budget'!$F:$F,'Internal Budget'!$V:$V),0)</f>
        <v>0</v>
      </c>
    </row>
    <row r="61" spans="1:7" x14ac:dyDescent="0.3">
      <c r="A61" s="26"/>
      <c r="B61" s="694" t="s">
        <v>529</v>
      </c>
      <c r="C61" s="465">
        <f t="shared" si="3"/>
        <v>90</v>
      </c>
      <c r="D61" s="207">
        <f>_xlfn.XLOOKUP(B61,'Internal Budget'!$F:$F,'Internal Budget'!$P:$P)</f>
        <v>90</v>
      </c>
      <c r="E61" s="207">
        <f>_xlfn.XLOOKUP($B61,'Internal Budget'!$F:$F,'Internal Budget'!$R:$R)</f>
        <v>0</v>
      </c>
      <c r="F61" s="207">
        <f>_xlfn.XLOOKUP($B61,'Internal Budget'!$F:$F,'Internal Budget'!$T:$T)</f>
        <v>0</v>
      </c>
      <c r="G61" s="225">
        <f>IFERROR(_xlfn.XLOOKUP($B61,'Internal Budget'!$F:$F,'Internal Budget'!$V:$V),0)</f>
        <v>0</v>
      </c>
    </row>
    <row r="62" spans="1:7" x14ac:dyDescent="0.3">
      <c r="A62" s="26"/>
      <c r="B62" s="694" t="s">
        <v>531</v>
      </c>
      <c r="C62" s="465">
        <f t="shared" si="3"/>
        <v>270</v>
      </c>
      <c r="D62" s="207">
        <f>_xlfn.XLOOKUP(B62,'Internal Budget'!$F:$F,'Internal Budget'!$P:$P)</f>
        <v>270</v>
      </c>
      <c r="E62" s="207">
        <f>_xlfn.XLOOKUP($B62,'Internal Budget'!$F:$F,'Internal Budget'!$R:$R)</f>
        <v>0</v>
      </c>
      <c r="F62" s="207">
        <f>_xlfn.XLOOKUP($B62,'Internal Budget'!$F:$F,'Internal Budget'!$T:$T)</f>
        <v>0</v>
      </c>
      <c r="G62" s="225">
        <f>IFERROR(_xlfn.XLOOKUP($B62,'Internal Budget'!$F:$F,'Internal Budget'!$V:$V),0)</f>
        <v>0</v>
      </c>
    </row>
    <row r="63" spans="1:7" x14ac:dyDescent="0.3">
      <c r="A63" s="26"/>
      <c r="B63" s="694" t="s">
        <v>533</v>
      </c>
      <c r="C63" s="465">
        <f t="shared" si="3"/>
        <v>35418.202000000005</v>
      </c>
      <c r="D63" s="207">
        <f>_xlfn.XLOOKUP(B63,'Internal Budget'!$F:$F,'Internal Budget'!$P:$P)</f>
        <v>35418.202000000005</v>
      </c>
      <c r="E63" s="207">
        <f>_xlfn.XLOOKUP($B63,'Internal Budget'!$F:$F,'Internal Budget'!$R:$R)</f>
        <v>0</v>
      </c>
      <c r="F63" s="207">
        <f>_xlfn.XLOOKUP($B63,'Internal Budget'!$F:$F,'Internal Budget'!$T:$T)</f>
        <v>0</v>
      </c>
      <c r="G63" s="225">
        <f>IFERROR(_xlfn.XLOOKUP($B63,'Internal Budget'!$F:$F,'Internal Budget'!$V:$V),0)</f>
        <v>0</v>
      </c>
    </row>
    <row r="64" spans="1:7" x14ac:dyDescent="0.3">
      <c r="A64" s="26"/>
      <c r="B64" s="694" t="s">
        <v>536</v>
      </c>
      <c r="C64" s="465">
        <f t="shared" si="3"/>
        <v>0</v>
      </c>
      <c r="D64" s="207">
        <f>_xlfn.XLOOKUP(B64,'Internal Budget'!$F:$F,'Internal Budget'!$P:$P)</f>
        <v>0</v>
      </c>
      <c r="E64" s="207">
        <f>_xlfn.XLOOKUP($B64,'Internal Budget'!$F:$F,'Internal Budget'!$R:$R)</f>
        <v>0</v>
      </c>
      <c r="F64" s="207">
        <f>_xlfn.XLOOKUP($B64,'Internal Budget'!$F:$F,'Internal Budget'!$T:$T)</f>
        <v>0</v>
      </c>
      <c r="G64" s="225">
        <f>_xlfn.XLOOKUP($B64,'Internal Budget'!$F:$F,'Internal Budget'!$V:$V)</f>
        <v>0</v>
      </c>
    </row>
    <row r="65" spans="1:7" x14ac:dyDescent="0.3">
      <c r="A65" s="26"/>
      <c r="B65" s="694" t="s">
        <v>95</v>
      </c>
      <c r="C65" s="465">
        <f t="shared" si="3"/>
        <v>0</v>
      </c>
      <c r="D65" s="207">
        <f>_xlfn.XLOOKUP(B65,'Internal Budget'!$F:$F,'Internal Budget'!$P:$P)</f>
        <v>0</v>
      </c>
      <c r="E65" s="207">
        <f>_xlfn.XLOOKUP($B65,'Internal Budget'!$F:$F,'Internal Budget'!$R:$R)</f>
        <v>0</v>
      </c>
      <c r="F65" s="207">
        <f>_xlfn.XLOOKUP($B65,'Internal Budget'!$F:$F,'Internal Budget'!$T:$T)</f>
        <v>0</v>
      </c>
      <c r="G65" s="225">
        <f>_xlfn.XLOOKUP($B65,'Internal Budget'!$F:$F,'Internal Budget'!$V:$V)</f>
        <v>0</v>
      </c>
    </row>
    <row r="66" spans="1:7" x14ac:dyDescent="0.3">
      <c r="A66" s="26"/>
      <c r="B66" s="694" t="s">
        <v>475</v>
      </c>
      <c r="C66" s="465">
        <f t="shared" si="3"/>
        <v>1700</v>
      </c>
      <c r="D66" s="207">
        <f>_xlfn.XLOOKUP(B66,'Internal Budget'!$F:$F,'Internal Budget'!$P:$P)</f>
        <v>1700</v>
      </c>
      <c r="E66" s="207">
        <f>_xlfn.XLOOKUP($B66,'Internal Budget'!$F:$F,'Internal Budget'!$R:$R)</f>
        <v>0</v>
      </c>
      <c r="F66" s="207">
        <f>_xlfn.XLOOKUP($B66,'Internal Budget'!$F:$F,'Internal Budget'!$T:$T)</f>
        <v>0</v>
      </c>
      <c r="G66" s="225">
        <f>_xlfn.XLOOKUP($B66,'Internal Budget'!$F:$F,'Internal Budget'!$V:$V)</f>
        <v>0</v>
      </c>
    </row>
    <row r="67" spans="1:7" x14ac:dyDescent="0.3">
      <c r="A67" s="26"/>
      <c r="B67" s="694" t="s">
        <v>539</v>
      </c>
      <c r="C67" s="465">
        <f t="shared" si="3"/>
        <v>0</v>
      </c>
      <c r="D67" s="207">
        <f>_xlfn.XLOOKUP(B67,'Internal Budget'!$F:$F,'Internal Budget'!$P:$P)</f>
        <v>0</v>
      </c>
      <c r="E67" s="207">
        <f>_xlfn.XLOOKUP($B67,'Internal Budget'!$F:$F,'Internal Budget'!$R:$R)</f>
        <v>0</v>
      </c>
      <c r="F67" s="207">
        <f>_xlfn.XLOOKUP($B67,'Internal Budget'!$F:$F,'Internal Budget'!$T:$T)</f>
        <v>0</v>
      </c>
      <c r="G67" s="225">
        <f>_xlfn.XLOOKUP($B67,'Internal Budget'!$F:$F,'Internal Budget'!$V:$V)</f>
        <v>0</v>
      </c>
    </row>
    <row r="68" spans="1:7" x14ac:dyDescent="0.3">
      <c r="A68" s="26"/>
      <c r="B68" s="694" t="s">
        <v>79</v>
      </c>
      <c r="C68" s="465">
        <f t="shared" si="3"/>
        <v>0</v>
      </c>
      <c r="D68" s="207">
        <f>_xlfn.XLOOKUP(B68,'Internal Budget'!$F:$F,'Internal Budget'!$P:$P)</f>
        <v>0</v>
      </c>
      <c r="E68" s="207">
        <f>_xlfn.XLOOKUP($B68,'Internal Budget'!$F:$F,'Internal Budget'!$R:$R)</f>
        <v>0</v>
      </c>
      <c r="F68" s="207">
        <f>_xlfn.XLOOKUP($B68,'Internal Budget'!$F:$F,'Internal Budget'!$T:$T)</f>
        <v>0</v>
      </c>
      <c r="G68" s="225">
        <f>_xlfn.XLOOKUP($B68,'Internal Budget'!$F:$F,'Internal Budget'!$V:$V)</f>
        <v>0</v>
      </c>
    </row>
    <row r="69" spans="1:7" x14ac:dyDescent="0.3">
      <c r="A69" s="26"/>
      <c r="B69" s="694" t="s">
        <v>99</v>
      </c>
      <c r="C69" s="465">
        <f t="shared" si="3"/>
        <v>2500</v>
      </c>
      <c r="D69" s="207">
        <f>_xlfn.XLOOKUP(B69,'Internal Budget'!$F:$F,'Internal Budget'!$P:$P)</f>
        <v>2500</v>
      </c>
      <c r="E69" s="207">
        <f>_xlfn.XLOOKUP($B69,'Internal Budget'!$F:$F,'Internal Budget'!$R:$R)</f>
        <v>0</v>
      </c>
      <c r="F69" s="207">
        <f>_xlfn.XLOOKUP($B69,'Internal Budget'!$F:$F,'Internal Budget'!$T:$T)</f>
        <v>0</v>
      </c>
      <c r="G69" s="225">
        <f>_xlfn.XLOOKUP($B69,'Internal Budget'!$F:$F,'Internal Budget'!$V:$V)</f>
        <v>0</v>
      </c>
    </row>
    <row r="70" spans="1:7" x14ac:dyDescent="0.3">
      <c r="A70" s="26"/>
      <c r="B70" s="694" t="s">
        <v>100</v>
      </c>
      <c r="C70" s="465">
        <f t="shared" si="3"/>
        <v>0</v>
      </c>
      <c r="D70" s="207">
        <f>_xlfn.XLOOKUP(B70,'Internal Budget'!$F:$F,'Internal Budget'!$P:$P)</f>
        <v>0</v>
      </c>
      <c r="E70" s="207">
        <f>_xlfn.XLOOKUP($B70,'Internal Budget'!$F:$F,'Internal Budget'!$R:$R)</f>
        <v>0</v>
      </c>
      <c r="F70" s="207">
        <f>_xlfn.XLOOKUP($B70,'Internal Budget'!$F:$F,'Internal Budget'!$T:$T)</f>
        <v>0</v>
      </c>
      <c r="G70" s="225">
        <f>_xlfn.XLOOKUP($B70,'Internal Budget'!$F:$F,'Internal Budget'!$V:$V)</f>
        <v>0</v>
      </c>
    </row>
    <row r="71" spans="1:7" x14ac:dyDescent="0.3">
      <c r="A71" s="26"/>
      <c r="B71" s="694" t="s">
        <v>679</v>
      </c>
      <c r="C71" s="465">
        <f t="shared" si="3"/>
        <v>7516.666666666667</v>
      </c>
      <c r="D71" s="207">
        <f>_xlfn.XLOOKUP(B71,'Internal Budget'!$F:$F,'Internal Budget'!$P:$P)</f>
        <v>7516.666666666667</v>
      </c>
      <c r="E71" s="207">
        <f>_xlfn.XLOOKUP($B71,'Internal Budget'!$F:$F,'Internal Budget'!$R:$R)</f>
        <v>0</v>
      </c>
      <c r="F71" s="207">
        <f>_xlfn.XLOOKUP($B71,'Internal Budget'!$F:$F,'Internal Budget'!$T:$T)</f>
        <v>0</v>
      </c>
      <c r="G71" s="225">
        <f>_xlfn.XLOOKUP($B71,'Internal Budget'!$F:$F,'Internal Budget'!$V:$V)</f>
        <v>0</v>
      </c>
    </row>
    <row r="72" spans="1:7" x14ac:dyDescent="0.3">
      <c r="A72" s="26"/>
      <c r="B72" s="694" t="s">
        <v>104</v>
      </c>
      <c r="C72" s="465">
        <f t="shared" si="3"/>
        <v>2050</v>
      </c>
      <c r="D72" s="207">
        <f>_xlfn.XLOOKUP(B72,'Internal Budget'!$F:$F,'Internal Budget'!$P:$P)</f>
        <v>2050</v>
      </c>
      <c r="E72" s="207">
        <f>_xlfn.XLOOKUP($B72,'Internal Budget'!$F:$F,'Internal Budget'!$R:$R)</f>
        <v>0</v>
      </c>
      <c r="F72" s="207">
        <f>_xlfn.XLOOKUP($B72,'Internal Budget'!$F:$F,'Internal Budget'!$T:$T)</f>
        <v>0</v>
      </c>
      <c r="G72" s="225">
        <f>_xlfn.XLOOKUP($B72,'Internal Budget'!$F:$F,'Internal Budget'!$V:$V)</f>
        <v>0</v>
      </c>
    </row>
    <row r="73" spans="1:7" x14ac:dyDescent="0.3">
      <c r="A73" s="26"/>
      <c r="B73" s="694" t="s">
        <v>547</v>
      </c>
      <c r="C73" s="465">
        <f t="shared" si="3"/>
        <v>1500</v>
      </c>
      <c r="D73" s="207">
        <f>_xlfn.XLOOKUP(B73,'Internal Budget'!$F:$F,'Internal Budget'!$P:$P)</f>
        <v>1500</v>
      </c>
      <c r="E73" s="207">
        <f>_xlfn.XLOOKUP($B73,'Internal Budget'!$F:$F,'Internal Budget'!$R:$R)</f>
        <v>0</v>
      </c>
      <c r="F73" s="207">
        <f>_xlfn.XLOOKUP($B73,'Internal Budget'!$F:$F,'Internal Budget'!$T:$T)</f>
        <v>0</v>
      </c>
      <c r="G73" s="225">
        <f>_xlfn.XLOOKUP($B73,'Internal Budget'!$F:$F,'Internal Budget'!$V:$V)</f>
        <v>0</v>
      </c>
    </row>
    <row r="74" spans="1:7" x14ac:dyDescent="0.3">
      <c r="A74" s="26"/>
      <c r="B74" s="694" t="s">
        <v>549</v>
      </c>
      <c r="C74" s="465">
        <f t="shared" si="3"/>
        <v>6000</v>
      </c>
      <c r="D74" s="207">
        <f>_xlfn.XLOOKUP(B74,'Internal Budget'!$F:$F,'Internal Budget'!$P:$P)</f>
        <v>6000</v>
      </c>
      <c r="E74" s="207">
        <f>_xlfn.XLOOKUP($B74,'Internal Budget'!$F:$F,'Internal Budget'!$R:$R)</f>
        <v>0</v>
      </c>
      <c r="F74" s="207">
        <f>_xlfn.XLOOKUP($B74,'Internal Budget'!$F:$F,'Internal Budget'!$T:$T)</f>
        <v>0</v>
      </c>
      <c r="G74" s="225">
        <f>_xlfn.XLOOKUP($B74,'Internal Budget'!$F:$F,'Internal Budget'!$V:$V)</f>
        <v>0</v>
      </c>
    </row>
    <row r="75" spans="1:7" ht="12.5" thickBot="1" x14ac:dyDescent="0.35">
      <c r="A75" s="26"/>
      <c r="B75" s="696" t="s">
        <v>105</v>
      </c>
      <c r="C75" s="684">
        <f t="shared" ref="C75" si="7">(D75*$D$6)+(E75*$E$6)+(F75*$F$6)+(G75*$G$6)</f>
        <v>1000</v>
      </c>
      <c r="D75" s="685">
        <f>_xlfn.XLOOKUP(B75,'Internal Budget'!$F:$F,'Internal Budget'!$P:$P)</f>
        <v>1000</v>
      </c>
      <c r="E75" s="685">
        <f>_xlfn.XLOOKUP($B75,'Internal Budget'!$F:$F,'Internal Budget'!$R:$R)</f>
        <v>0</v>
      </c>
      <c r="F75" s="685">
        <f>_xlfn.XLOOKUP($B75,'Internal Budget'!$F:$F,'Internal Budget'!$T:$T)</f>
        <v>0</v>
      </c>
      <c r="G75" s="697">
        <f>_xlfn.XLOOKUP($B75,'Internal Budget'!$F:$F,'Internal Budget'!$V:$V)</f>
        <v>0</v>
      </c>
    </row>
    <row r="76" spans="1:7" ht="16.5" thickTop="1" thickBot="1" x14ac:dyDescent="0.4">
      <c r="A76" s="26"/>
      <c r="B76" s="698" t="s">
        <v>689</v>
      </c>
      <c r="C76" s="699">
        <f>SUM(C8:C75)</f>
        <v>155058.21866666668</v>
      </c>
      <c r="D76" s="700">
        <f>SUM(D8:D75)</f>
        <v>155058.21866666668</v>
      </c>
      <c r="E76" s="700">
        <f>SUM(E8:E75)</f>
        <v>0</v>
      </c>
      <c r="F76" s="700">
        <f>SUM(F8:F75)</f>
        <v>0</v>
      </c>
      <c r="G76" s="701">
        <f t="shared" ref="G76" si="8">SUM(G8:G75)</f>
        <v>0</v>
      </c>
    </row>
    <row r="77" spans="1:7" x14ac:dyDescent="0.3">
      <c r="B77" s="26"/>
      <c r="C77" s="222"/>
      <c r="D77" s="48"/>
      <c r="E77" s="48"/>
      <c r="F77" s="48"/>
    </row>
    <row r="78" spans="1:7" x14ac:dyDescent="0.3">
      <c r="C78" s="51"/>
      <c r="D78" s="426"/>
    </row>
    <row r="80" spans="1:7" x14ac:dyDescent="0.3">
      <c r="D80" s="466"/>
      <c r="E80" s="466"/>
    </row>
  </sheetData>
  <mergeCells count="2">
    <mergeCell ref="B3:G3"/>
    <mergeCell ref="I3:N3"/>
  </mergeCells>
  <phoneticPr fontId="1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71623-19CD-4579-90CB-88BDA4A65400}">
  <dimension ref="A3:N18"/>
  <sheetViews>
    <sheetView showGridLines="0" workbookViewId="0">
      <selection activeCell="G7" sqref="G7"/>
    </sheetView>
  </sheetViews>
  <sheetFormatPr defaultColWidth="9" defaultRowHeight="12" outlineLevelCol="1" x14ac:dyDescent="0.3"/>
  <cols>
    <col min="1" max="1" width="10.109375" bestFit="1" customWidth="1"/>
    <col min="3" max="3" width="31.44140625" customWidth="1"/>
    <col min="4" max="5" width="13.44140625" bestFit="1" customWidth="1"/>
    <col min="6" max="6" width="13.44140625" customWidth="1"/>
    <col min="7" max="7" width="13.44140625" bestFit="1" customWidth="1" outlineLevel="1"/>
    <col min="8" max="8" width="11.109375" bestFit="1" customWidth="1"/>
    <col min="10" max="10" width="14.44140625" bestFit="1" customWidth="1"/>
    <col min="11" max="11" width="10.77734375" bestFit="1" customWidth="1"/>
  </cols>
  <sheetData>
    <row r="3" spans="1:14" x14ac:dyDescent="0.3">
      <c r="C3" s="26"/>
      <c r="D3" s="26"/>
      <c r="E3" s="26"/>
      <c r="F3" s="26"/>
      <c r="G3" s="26"/>
    </row>
    <row r="4" spans="1:14" ht="16.5" thickBot="1" x14ac:dyDescent="0.45">
      <c r="B4" s="26"/>
      <c r="C4" s="1347" t="str">
        <f>Inputs!D5 &amp;" Project Synopsis"</f>
        <v>241 Willard Street Project Synopsis</v>
      </c>
      <c r="D4" s="1348"/>
      <c r="E4" s="1348"/>
      <c r="F4" s="1348"/>
      <c r="G4" s="1348"/>
      <c r="H4" s="1348"/>
      <c r="I4" s="26"/>
    </row>
    <row r="5" spans="1:14" ht="13.5" thickBot="1" x14ac:dyDescent="0.35">
      <c r="B5" s="26"/>
      <c r="C5" s="679"/>
      <c r="D5" s="680" t="s">
        <v>23</v>
      </c>
      <c r="E5" s="681" t="str">
        <f>'SOV - External'!D5</f>
        <v>Atlas II - SC</v>
      </c>
      <c r="F5" s="681">
        <f>'SOV - External'!E5</f>
        <v>0</v>
      </c>
      <c r="G5" s="464">
        <f>'SOV - External'!F5</f>
        <v>0</v>
      </c>
      <c r="H5" s="682">
        <f>'SOV - External'!G5</f>
        <v>0</v>
      </c>
      <c r="I5" s="26"/>
    </row>
    <row r="6" spans="1:14" ht="16" x14ac:dyDescent="0.4">
      <c r="B6" s="26"/>
      <c r="C6" s="800" t="s">
        <v>115</v>
      </c>
      <c r="D6" s="797">
        <f>SUM(E6:H6)</f>
        <v>1</v>
      </c>
      <c r="E6" s="795">
        <f>Inputs!C72</f>
        <v>1</v>
      </c>
      <c r="F6" s="795">
        <f>Inputs!C73</f>
        <v>0</v>
      </c>
      <c r="G6" s="795">
        <f>Inputs!C74</f>
        <v>0</v>
      </c>
      <c r="H6" s="796">
        <f>Inputs!C75</f>
        <v>0</v>
      </c>
      <c r="I6" s="26"/>
    </row>
    <row r="7" spans="1:14" ht="16.5" thickBot="1" x14ac:dyDescent="0.45">
      <c r="B7" s="26"/>
      <c r="C7" s="799" t="s">
        <v>690</v>
      </c>
      <c r="D7" s="798" cm="1">
        <f t="array" ref="D7">SUMPRODUCT(E7:H7,E6:H6/SUM(E6:H6))</f>
        <v>450000</v>
      </c>
      <c r="E7" s="793">
        <f>Inputs!I72</f>
        <v>450000</v>
      </c>
      <c r="F7" s="793">
        <f>Inputs!I73</f>
        <v>0</v>
      </c>
      <c r="G7" s="793">
        <f>Inputs!I74</f>
        <v>0</v>
      </c>
      <c r="H7" s="794">
        <f>Inputs!I75</f>
        <v>0</v>
      </c>
      <c r="I7" s="26"/>
    </row>
    <row r="8" spans="1:14" ht="16" x14ac:dyDescent="0.4">
      <c r="B8" s="26"/>
      <c r="C8" s="671"/>
      <c r="D8" s="667"/>
      <c r="E8" s="456"/>
      <c r="F8" s="456"/>
      <c r="G8" s="26"/>
      <c r="H8" s="637"/>
      <c r="I8" s="26"/>
    </row>
    <row r="9" spans="1:14" ht="16" x14ac:dyDescent="0.4">
      <c r="B9" s="26"/>
      <c r="C9" s="671" t="s">
        <v>691</v>
      </c>
      <c r="D9" s="667">
        <f>(E9*Inputs!$C$72)+(Synopsis!F9*Inputs!$C$73)</f>
        <v>110000</v>
      </c>
      <c r="E9" s="456">
        <f>IFERROR(Inputs!$D$16/buildcount,0)</f>
        <v>110000</v>
      </c>
      <c r="F9" s="456">
        <f>IFERROR(Inputs!$D$16/buildcount,0)</f>
        <v>110000</v>
      </c>
      <c r="G9" s="456">
        <f>IFERROR(Inputs!$D$16/buildcount,0)</f>
        <v>110000</v>
      </c>
      <c r="H9" s="672">
        <f>IFERROR(Inputs!$D$16/buildcount,0)</f>
        <v>110000</v>
      </c>
      <c r="I9" s="26"/>
      <c r="J9" s="427"/>
    </row>
    <row r="10" spans="1:14" ht="16" x14ac:dyDescent="0.4">
      <c r="B10" s="26"/>
      <c r="C10" s="671"/>
      <c r="D10" s="667"/>
      <c r="E10" s="456"/>
      <c r="F10" s="456"/>
      <c r="G10" s="26"/>
      <c r="H10" s="637"/>
      <c r="I10" s="26"/>
      <c r="J10" s="427"/>
      <c r="K10" s="427"/>
    </row>
    <row r="11" spans="1:14" ht="16.5" thickBot="1" x14ac:dyDescent="0.45">
      <c r="A11" s="427"/>
      <c r="B11" s="26"/>
      <c r="C11" s="671" t="s">
        <v>692</v>
      </c>
      <c r="D11" s="668">
        <f ca="1">(E11*Inputs!$C$72)+(Synopsis!F11*Inputs!$C$73)+(G11*Inputs!C74)+(H11*Inputs!$C$75)</f>
        <v>232058.21866666665</v>
      </c>
      <c r="E11" s="664">
        <f ca="1">IFERROR(E12+E13,0)</f>
        <v>232058.21866666665</v>
      </c>
      <c r="F11" s="664">
        <f t="shared" ref="F11:H11" ca="1" si="0">IFERROR(F12+F13,0)</f>
        <v>76999.999999999985</v>
      </c>
      <c r="G11" s="664">
        <f t="shared" ca="1" si="0"/>
        <v>76999.999999999985</v>
      </c>
      <c r="H11" s="673">
        <f t="shared" ca="1" si="0"/>
        <v>76999.999999999985</v>
      </c>
      <c r="I11" s="26"/>
      <c r="J11" s="427">
        <f>Inputs!O6</f>
        <v>267728.87866666669</v>
      </c>
      <c r="K11" s="427">
        <f ca="1">D11-J11</f>
        <v>-35670.660000000033</v>
      </c>
      <c r="N11" s="427"/>
    </row>
    <row r="12" spans="1:14" ht="16" x14ac:dyDescent="0.4">
      <c r="B12" s="26"/>
      <c r="C12" s="671" t="s">
        <v>693</v>
      </c>
      <c r="D12" s="667">
        <f>(E12*Inputs!$C$72)+(Synopsis!F12*Inputs!$C$73)+(G12*Inputs!C74)+(H12*Inputs!$C$75)</f>
        <v>155058.21866666668</v>
      </c>
      <c r="E12" s="456">
        <f>IFERROR('SOV - External'!D76,0)</f>
        <v>155058.21866666668</v>
      </c>
      <c r="F12" s="456">
        <f>IFERROR('SOV - External'!E76,0)</f>
        <v>0</v>
      </c>
      <c r="G12" s="422">
        <f>IFERROR('SOV - External'!F76,0)</f>
        <v>0</v>
      </c>
      <c r="H12" s="683">
        <f>IFERROR('SOV - External'!G76,0)</f>
        <v>0</v>
      </c>
      <c r="I12" s="26"/>
      <c r="J12" s="427">
        <f>Inputs!O26</f>
        <v>190728.87866666666</v>
      </c>
      <c r="K12" s="427">
        <f>D12-J12</f>
        <v>-35670.659999999974</v>
      </c>
      <c r="N12" s="427"/>
    </row>
    <row r="13" spans="1:14" ht="16" x14ac:dyDescent="0.4">
      <c r="B13" s="26"/>
      <c r="C13" s="671" t="s">
        <v>694</v>
      </c>
      <c r="D13" s="667">
        <f ca="1">(E13*Inputs!$C$72)+(Synopsis!F13*Inputs!$C$73)+(G13*Inputs!C74)+(H13*Inputs!$C$75)</f>
        <v>76999.999999999985</v>
      </c>
      <c r="E13" s="456">
        <f ca="1">IFERROR(Inputs!$P$6/buildcount,0)</f>
        <v>76999.999999999985</v>
      </c>
      <c r="F13" s="456">
        <f ca="1">IFERROR(Inputs!$P$6/buildcount,0)</f>
        <v>76999.999999999985</v>
      </c>
      <c r="G13" s="422">
        <f ca="1">IFERROR(Inputs!$P$6/buildcount,0)</f>
        <v>76999.999999999985</v>
      </c>
      <c r="H13" s="683">
        <f ca="1">IFERROR(Inputs!$P$6/buildcount,0)</f>
        <v>76999.999999999985</v>
      </c>
      <c r="I13" s="26"/>
      <c r="J13" s="427">
        <f ca="1">Inputs!P6</f>
        <v>76999.999999999985</v>
      </c>
      <c r="K13" s="427">
        <f ca="1">D13-J13</f>
        <v>0</v>
      </c>
    </row>
    <row r="14" spans="1:14" ht="16" x14ac:dyDescent="0.4">
      <c r="B14" s="26"/>
      <c r="C14" s="671"/>
      <c r="D14" s="667"/>
      <c r="E14" s="456"/>
      <c r="F14" s="456"/>
      <c r="G14" s="26"/>
      <c r="H14" s="637"/>
      <c r="I14" s="26"/>
      <c r="J14" s="427"/>
      <c r="K14" s="427"/>
    </row>
    <row r="15" spans="1:14" ht="16" x14ac:dyDescent="0.4">
      <c r="B15" s="26"/>
      <c r="C15" s="671" t="s">
        <v>695</v>
      </c>
      <c r="D15" s="667">
        <f ca="1">(E15*Inputs!$C$72)+(Synopsis!F15*Inputs!$C$73)+(G15*Inputs!$C$74)+(H15*Inputs!$C$75)</f>
        <v>10952.276546249999</v>
      </c>
      <c r="E15" s="456">
        <f ca="1">IFERROR(Inputs!$R$29,0)</f>
        <v>10952.276546249999</v>
      </c>
      <c r="F15" s="456">
        <f ca="1">IFERROR(Inputs!$R$29,0)</f>
        <v>10952.276546249999</v>
      </c>
      <c r="G15" s="456">
        <f ca="1">IFERROR(Inputs!$R$29,0)</f>
        <v>10952.276546249999</v>
      </c>
      <c r="H15" s="672">
        <f ca="1">IFERROR(Inputs!$R$29,0)</f>
        <v>10952.276546249999</v>
      </c>
      <c r="I15" s="26"/>
      <c r="J15" s="427">
        <f ca="1">Inputs!O29</f>
        <v>10952.276546249999</v>
      </c>
      <c r="K15" s="427">
        <f ca="1">D15-J15</f>
        <v>0</v>
      </c>
    </row>
    <row r="16" spans="1:14" ht="16" x14ac:dyDescent="0.4">
      <c r="B16" s="26"/>
      <c r="C16" s="671"/>
      <c r="D16" s="667"/>
      <c r="E16" s="456"/>
      <c r="F16" s="456"/>
      <c r="G16" s="26"/>
      <c r="H16" s="637"/>
      <c r="I16" s="26"/>
      <c r="J16" s="427"/>
      <c r="K16" s="427"/>
    </row>
    <row r="17" spans="2:11" ht="16.5" thickBot="1" x14ac:dyDescent="0.45">
      <c r="B17" s="26"/>
      <c r="C17" s="674" t="s">
        <v>696</v>
      </c>
      <c r="D17" s="675">
        <f ca="1">(E17*Inputs!$C$72)+(Synopsis!F17*Inputs!$C$73)+(G17*Inputs!C74)+(H17*Inputs!$C$75)</f>
        <v>48279.565332916682</v>
      </c>
      <c r="E17" s="676">
        <f ca="1">IFERROR('Acquisition Summary'!$F$14/buildcount,0)</f>
        <v>48279.565332916682</v>
      </c>
      <c r="F17" s="676">
        <f ca="1">IFERROR('Acquisition Summary'!$F$14/buildcount,0)</f>
        <v>48279.565332916682</v>
      </c>
      <c r="G17" s="676">
        <f ca="1">IFERROR('Acquisition Summary'!$F$14/buildcount,0)</f>
        <v>48279.565332916682</v>
      </c>
      <c r="H17" s="677">
        <f ca="1">IFERROR('Acquisition Summary'!$F$14/buildcount,0)</f>
        <v>48279.565332916682</v>
      </c>
      <c r="I17" s="26"/>
      <c r="J17" s="427">
        <f ca="1">Inputs!P7</f>
        <v>48279.565332916682</v>
      </c>
      <c r="K17" s="427">
        <f ca="1">D17-J17</f>
        <v>0</v>
      </c>
    </row>
    <row r="18" spans="2:11" x14ac:dyDescent="0.3">
      <c r="C18" s="26"/>
      <c r="D18" s="26"/>
      <c r="E18" s="26"/>
      <c r="F18" s="26"/>
      <c r="G18" s="26"/>
    </row>
  </sheetData>
  <mergeCells count="1">
    <mergeCell ref="C4:H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4CCD4-3D69-4F95-B31F-CD43D05FE6F6}">
  <dimension ref="B4:AE107"/>
  <sheetViews>
    <sheetView showGridLines="0" topLeftCell="A4" zoomScale="85" zoomScaleNormal="85" workbookViewId="0">
      <selection activeCell="Y8" sqref="Y8"/>
    </sheetView>
  </sheetViews>
  <sheetFormatPr defaultColWidth="9" defaultRowHeight="12" x14ac:dyDescent="0.3"/>
  <cols>
    <col min="1" max="3" width="9" style="1074"/>
    <col min="4" max="4" width="26.109375" style="1074" customWidth="1"/>
    <col min="5" max="5" width="9" style="1074"/>
    <col min="6" max="6" width="15.44140625" style="1074" customWidth="1"/>
    <col min="7" max="7" width="11.109375" style="1074" bestFit="1" customWidth="1"/>
    <col min="8" max="8" width="10.77734375" style="1074" bestFit="1" customWidth="1"/>
    <col min="9" max="9" width="9" style="1074"/>
    <col min="10" max="10" width="22.44140625" style="1074" customWidth="1"/>
    <col min="11" max="12" width="9" style="1074"/>
    <col min="13" max="13" width="11.109375" style="1074" bestFit="1" customWidth="1"/>
    <col min="14" max="14" width="11.77734375" style="1074" bestFit="1" customWidth="1"/>
    <col min="15" max="15" width="9" style="1074"/>
    <col min="16" max="16" width="21" style="1074" customWidth="1"/>
    <col min="17" max="17" width="10.33203125" style="1074" customWidth="1"/>
    <col min="18" max="18" width="23.6640625" style="1074" customWidth="1"/>
    <col min="19" max="20" width="12.33203125" style="1074" bestFit="1" customWidth="1"/>
    <col min="21" max="25" width="9" style="1074"/>
    <col min="26" max="26" width="45.109375" style="1074" customWidth="1"/>
    <col min="27" max="27" width="19.77734375" style="1074" customWidth="1"/>
    <col min="28" max="28" width="14.77734375" style="1074" bestFit="1" customWidth="1"/>
    <col min="29" max="29" width="15.33203125" style="1074" bestFit="1" customWidth="1"/>
    <col min="30" max="30" width="12.109375" style="1074" bestFit="1" customWidth="1"/>
    <col min="31" max="31" width="14.77734375" style="1074" bestFit="1" customWidth="1"/>
    <col min="32" max="16384" width="9" style="1074"/>
  </cols>
  <sheetData>
    <row r="4" spans="2:31" ht="12.5" thickBot="1" x14ac:dyDescent="0.35">
      <c r="Z4" s="378" t="s">
        <v>697</v>
      </c>
      <c r="AA4" s="378"/>
    </row>
    <row r="5" spans="2:31" ht="16.5" thickBot="1" x14ac:dyDescent="0.45">
      <c r="B5" s="1088"/>
      <c r="C5" s="1088"/>
      <c r="D5" s="1088"/>
      <c r="E5" s="1088"/>
      <c r="F5" s="1088"/>
      <c r="G5" s="1088"/>
      <c r="H5" s="1088"/>
      <c r="I5" s="1088"/>
      <c r="J5" s="1088"/>
      <c r="K5" s="1089"/>
      <c r="L5" s="1089"/>
      <c r="M5" s="1089"/>
      <c r="N5" s="1089"/>
      <c r="O5" s="1089"/>
      <c r="P5" s="1089"/>
      <c r="Q5" s="1089"/>
      <c r="R5" s="1089"/>
      <c r="S5" s="1089"/>
      <c r="T5" s="1089"/>
      <c r="U5" s="1089"/>
      <c r="V5" s="1089"/>
      <c r="Z5" s="1134" t="s">
        <v>698</v>
      </c>
      <c r="AA5" s="1133" t="s">
        <v>23</v>
      </c>
      <c r="AB5" s="1127" t="str">
        <f>Inputs!B72</f>
        <v>Atlas II - SC</v>
      </c>
      <c r="AC5" s="1127" t="str">
        <f>IF(ISBLANK(Inputs!B73),"",Inputs!B73)</f>
        <v/>
      </c>
      <c r="AD5" s="1127" t="str">
        <f>IF(ISBLANK(Inputs!B74),"",Inputs!B74)</f>
        <v/>
      </c>
      <c r="AE5" s="1128" t="str">
        <f>IF(ISBLANK(Inputs!B75),"",Inputs!B75)</f>
        <v/>
      </c>
    </row>
    <row r="6" spans="2:31" ht="16" x14ac:dyDescent="0.4">
      <c r="B6" s="1088"/>
      <c r="C6" s="1088"/>
      <c r="D6" s="1088"/>
      <c r="E6" s="1088"/>
      <c r="F6" s="1088"/>
      <c r="G6" s="1088"/>
      <c r="H6" s="1088"/>
      <c r="I6" s="1088"/>
      <c r="J6" s="1088"/>
      <c r="K6" s="1089"/>
      <c r="L6" s="1089"/>
      <c r="M6" s="1089"/>
      <c r="N6" s="1089"/>
      <c r="O6" s="1089"/>
      <c r="P6" s="1089"/>
      <c r="Q6" s="1089"/>
      <c r="R6" s="1089"/>
      <c r="S6" s="1089"/>
      <c r="T6" s="1089"/>
      <c r="U6" s="1089"/>
      <c r="V6" s="1089"/>
      <c r="Z6" s="1135" t="s">
        <v>684</v>
      </c>
      <c r="AA6" s="1139">
        <f>SUM(AB6:AE6)</f>
        <v>1554</v>
      </c>
      <c r="AB6" s="1129">
        <f>_xlfn.XLOOKUP(AB5,'Reference Tab'!$B:$B,'Reference Tab'!$D:$D)</f>
        <v>1554</v>
      </c>
      <c r="AC6" s="1129">
        <f>IF(AC5="",0,_xlfn.XLOOKUP(AC5,'Reference Tab'!$B:$B,'Reference Tab'!$D:$D))</f>
        <v>0</v>
      </c>
      <c r="AD6" s="1129">
        <f>IF(AD5="",0,_xlfn.XLOOKUP(AD5,'Reference Tab'!$B:$B,'Reference Tab'!$D:$D))</f>
        <v>0</v>
      </c>
      <c r="AE6" s="1130">
        <f>IF(AE5="",0,_xlfn.XLOOKUP(AE5,'Reference Tab'!$B:$B,'Reference Tab'!$D:$D))</f>
        <v>0</v>
      </c>
    </row>
    <row r="7" spans="2:31" ht="16.5" thickBot="1" x14ac:dyDescent="0.45">
      <c r="B7" s="1088"/>
      <c r="C7" s="1076"/>
      <c r="D7" s="1076"/>
      <c r="E7" s="1076"/>
      <c r="F7" s="1076"/>
      <c r="G7" s="1076"/>
      <c r="H7" s="1076"/>
      <c r="I7" s="1076"/>
      <c r="J7" s="1075"/>
      <c r="V7" s="1089"/>
      <c r="Z7" s="1135" t="s">
        <v>699</v>
      </c>
      <c r="AA7" s="1139">
        <f t="shared" ref="AA7:AA8" si="0">SUM(AB7:AE7)</f>
        <v>86.753228228228224</v>
      </c>
      <c r="AB7" s="1129">
        <f>AB104/AB6</f>
        <v>86.753228228228224</v>
      </c>
      <c r="AC7" s="1129">
        <f>IFERROR(AC104/AC6,0)</f>
        <v>0</v>
      </c>
      <c r="AD7" s="1129">
        <f>IFERROR(AD104/AD6,0)</f>
        <v>0</v>
      </c>
      <c r="AE7" s="1130">
        <f>IFERROR(AE104/AE6,0)</f>
        <v>0</v>
      </c>
    </row>
    <row r="8" spans="2:31" ht="16" x14ac:dyDescent="0.4">
      <c r="B8" s="1088"/>
      <c r="D8" s="1077" t="str">
        <f>"Address: " &amp; Inputs!D5</f>
        <v>Address: 241 Willard Street</v>
      </c>
      <c r="E8" s="1078"/>
      <c r="F8" s="1078"/>
      <c r="G8" s="1078"/>
      <c r="H8" s="1079"/>
      <c r="J8" s="1075"/>
      <c r="V8" s="1089"/>
      <c r="Z8" s="1136" t="s">
        <v>115</v>
      </c>
      <c r="AA8" s="1140">
        <f t="shared" si="0"/>
        <v>1</v>
      </c>
      <c r="AB8" s="1131">
        <f>Inputs!C72</f>
        <v>1</v>
      </c>
      <c r="AC8" s="1131">
        <f>IF(AC5="",0,Inputs!C73)</f>
        <v>0</v>
      </c>
      <c r="AD8" s="1131">
        <f>IF(AD5="",0,Inputs!C74)</f>
        <v>0</v>
      </c>
      <c r="AE8" s="1132">
        <f>IF(AE5="",0,Inputs!C75)</f>
        <v>0</v>
      </c>
    </row>
    <row r="9" spans="2:31" ht="16.5" thickBot="1" x14ac:dyDescent="0.45">
      <c r="B9" s="1088"/>
      <c r="D9" s="1080" t="str">
        <f>"Model(s): " &amp; Inputs!B72 &amp; " | " &amp; Inputs!B73 &amp; " | " &amp; Inputs!B74 &amp; " | " &amp; Inputs!B75</f>
        <v xml:space="preserve">Model(s): Atlas II - SC |  |  | </v>
      </c>
      <c r="E9" s="1081"/>
      <c r="F9" s="1081"/>
      <c r="G9" s="1081"/>
      <c r="H9" s="1082"/>
      <c r="J9" s="1075"/>
      <c r="V9" s="1089"/>
      <c r="Z9" s="1137" t="str">
        <f>D13</f>
        <v>Subdivision Costs?</v>
      </c>
      <c r="AA9" s="1142">
        <f>(AB9*$AB$8)+(AC9*$AC$8)+(AD9*$AD$8)+(AE9*$AE$8)</f>
        <v>0</v>
      </c>
      <c r="AB9" s="1144">
        <f>G13</f>
        <v>0</v>
      </c>
      <c r="AC9" s="1144">
        <f>IF(AC$5="",0,$G13)</f>
        <v>0</v>
      </c>
      <c r="AD9" s="1144">
        <f t="shared" ref="AD9:AE9" si="1">IF(AD$5="",0,$G13)</f>
        <v>0</v>
      </c>
      <c r="AE9" s="1151">
        <f t="shared" si="1"/>
        <v>0</v>
      </c>
    </row>
    <row r="10" spans="2:31" ht="16.5" thickBot="1" x14ac:dyDescent="0.45">
      <c r="B10" s="1088"/>
      <c r="J10" s="1075"/>
      <c r="V10" s="1089"/>
      <c r="Z10" s="1137" t="str">
        <f t="shared" ref="Z10:Z25" si="2">D14</f>
        <v>Demolition</v>
      </c>
      <c r="AA10" s="1142">
        <f t="shared" ref="AA10:AA70" si="3">(AB10*$AB$8)+(AC10*$AC$8)+(AD10*$AD$8)+(AE10*$AE$8)</f>
        <v>0</v>
      </c>
      <c r="AB10" s="1144">
        <f t="shared" ref="AB10:AB25" si="4">G14</f>
        <v>0</v>
      </c>
      <c r="AC10" s="1144">
        <f t="shared" ref="AC10:AE10" si="5">IF(AC$5="",0,$G14)</f>
        <v>0</v>
      </c>
      <c r="AD10" s="1144">
        <f t="shared" si="5"/>
        <v>0</v>
      </c>
      <c r="AE10" s="1151">
        <f t="shared" si="5"/>
        <v>0</v>
      </c>
    </row>
    <row r="11" spans="2:31" ht="16.5" thickBot="1" x14ac:dyDescent="0.45">
      <c r="B11" s="1088"/>
      <c r="D11" s="1349" t="str">
        <f>Inputs!B27</f>
        <v>Acquisitions Due Dilligence &amp; Horizontal Costs</v>
      </c>
      <c r="E11" s="1350"/>
      <c r="F11" s="1350"/>
      <c r="G11" s="1350"/>
      <c r="H11" s="1351"/>
      <c r="J11" s="1349" t="s">
        <v>93</v>
      </c>
      <c r="K11" s="1350"/>
      <c r="L11" s="1350"/>
      <c r="M11" s="1350"/>
      <c r="N11" s="1351"/>
      <c r="P11" s="1349" t="s">
        <v>103</v>
      </c>
      <c r="Q11" s="1350"/>
      <c r="R11" s="1350"/>
      <c r="S11" s="1350"/>
      <c r="T11" s="1351"/>
      <c r="V11" s="1089"/>
      <c r="Z11" s="1137" t="str">
        <f t="shared" si="2"/>
        <v>Survey - Initial Physical + Plot Plans</v>
      </c>
      <c r="AA11" s="1142">
        <f t="shared" si="3"/>
        <v>1800</v>
      </c>
      <c r="AB11" s="1144">
        <f t="shared" si="4"/>
        <v>1800</v>
      </c>
      <c r="AC11" s="1144">
        <f t="shared" ref="AC11:AE11" si="6">IF(AC$5="",0,$G15)</f>
        <v>0</v>
      </c>
      <c r="AD11" s="1144">
        <f t="shared" si="6"/>
        <v>0</v>
      </c>
      <c r="AE11" s="1151">
        <f t="shared" si="6"/>
        <v>0</v>
      </c>
    </row>
    <row r="12" spans="2:31" ht="16.5" thickBot="1" x14ac:dyDescent="0.45">
      <c r="B12" s="1088"/>
      <c r="D12" s="727"/>
      <c r="E12" s="728"/>
      <c r="F12" s="728"/>
      <c r="G12" s="1090" t="s">
        <v>700</v>
      </c>
      <c r="H12" s="1091" t="s">
        <v>23</v>
      </c>
      <c r="J12" s="727"/>
      <c r="K12" s="728"/>
      <c r="L12" s="728"/>
      <c r="M12" s="1090" t="s">
        <v>700</v>
      </c>
      <c r="N12" s="1091" t="s">
        <v>23</v>
      </c>
      <c r="P12" s="727"/>
      <c r="Q12" s="728"/>
      <c r="R12" s="728"/>
      <c r="S12" s="1090" t="s">
        <v>700</v>
      </c>
      <c r="T12" s="1091" t="s">
        <v>23</v>
      </c>
      <c r="V12" s="1089"/>
      <c r="Z12" s="1137" t="str">
        <f t="shared" si="2"/>
        <v>Survey - Set Pins (Rough Stake)</v>
      </c>
      <c r="AA12" s="1142">
        <f t="shared" si="3"/>
        <v>400</v>
      </c>
      <c r="AB12" s="1144">
        <f t="shared" si="4"/>
        <v>400</v>
      </c>
      <c r="AC12" s="1144">
        <f t="shared" ref="AC12:AE12" si="7">IF(AC$5="",0,$G16)</f>
        <v>0</v>
      </c>
      <c r="AD12" s="1144">
        <f t="shared" si="7"/>
        <v>0</v>
      </c>
      <c r="AE12" s="1151">
        <f t="shared" si="7"/>
        <v>0</v>
      </c>
    </row>
    <row r="13" spans="2:31" ht="16" x14ac:dyDescent="0.4">
      <c r="B13" s="1088"/>
      <c r="D13" s="694" t="str">
        <f>Inputs!B28</f>
        <v>Subdivision Costs?</v>
      </c>
      <c r="E13" s="1076"/>
      <c r="F13" s="1076"/>
      <c r="G13" s="1092">
        <f>Inputs!D28</f>
        <v>0</v>
      </c>
      <c r="H13" s="1093">
        <f t="shared" ref="H13:H29" si="8">G13*buildcount</f>
        <v>0</v>
      </c>
      <c r="J13" s="1085" t="s">
        <v>69</v>
      </c>
      <c r="K13" s="485"/>
      <c r="L13" s="485"/>
      <c r="M13" s="1092">
        <f>Inputs!D48</f>
        <v>0</v>
      </c>
      <c r="N13" s="1093">
        <f t="shared" ref="N13:N22" si="9">M13*buildcount</f>
        <v>0</v>
      </c>
      <c r="P13" s="484" t="s">
        <v>104</v>
      </c>
      <c r="Q13" s="485"/>
      <c r="S13" s="1092">
        <f>Inputs!D61</f>
        <v>2050</v>
      </c>
      <c r="T13" s="1093">
        <f t="shared" ref="T13:T19" si="10">S13*buildcount</f>
        <v>2050</v>
      </c>
      <c r="V13" s="1089"/>
      <c r="Z13" s="1137" t="str">
        <f t="shared" si="2"/>
        <v>Survey - Stake Footings</v>
      </c>
      <c r="AA13" s="1142">
        <f t="shared" si="3"/>
        <v>450</v>
      </c>
      <c r="AB13" s="1144">
        <f t="shared" si="4"/>
        <v>450</v>
      </c>
      <c r="AC13" s="1144">
        <f t="shared" ref="AC13:AE13" si="11">IF(AC$5="",0,$G17)</f>
        <v>0</v>
      </c>
      <c r="AD13" s="1144">
        <f t="shared" si="11"/>
        <v>0</v>
      </c>
      <c r="AE13" s="1151">
        <f t="shared" si="11"/>
        <v>0</v>
      </c>
    </row>
    <row r="14" spans="2:31" ht="16" x14ac:dyDescent="0.4">
      <c r="B14" s="1088"/>
      <c r="D14" s="694" t="str">
        <f>Inputs!B30</f>
        <v>Demolition</v>
      </c>
      <c r="E14" s="1076"/>
      <c r="F14" s="1076"/>
      <c r="G14" s="1092">
        <f>Inputs!D30</f>
        <v>0</v>
      </c>
      <c r="H14" s="1093">
        <f t="shared" si="8"/>
        <v>0</v>
      </c>
      <c r="J14" s="1085" t="s">
        <v>65</v>
      </c>
      <c r="K14" s="494"/>
      <c r="L14" s="494"/>
      <c r="M14" s="1092">
        <f>Inputs!D28</f>
        <v>0</v>
      </c>
      <c r="N14" s="1093">
        <f t="shared" si="9"/>
        <v>0</v>
      </c>
      <c r="P14" s="484" t="s">
        <v>105</v>
      </c>
      <c r="Q14" s="1083"/>
      <c r="S14" s="1092">
        <f>Inputs!D62</f>
        <v>1000</v>
      </c>
      <c r="T14" s="1093">
        <f t="shared" si="10"/>
        <v>1000</v>
      </c>
      <c r="V14" s="1089"/>
      <c r="Z14" s="1137" t="str">
        <f t="shared" si="2"/>
        <v>UDO Requiremenets</v>
      </c>
      <c r="AA14" s="1142">
        <f t="shared" si="3"/>
        <v>0</v>
      </c>
      <c r="AB14" s="1144">
        <f t="shared" si="4"/>
        <v>0</v>
      </c>
      <c r="AC14" s="1144">
        <f t="shared" ref="AC14:AE14" si="12">IF(AC$5="",0,$G18)</f>
        <v>0</v>
      </c>
      <c r="AD14" s="1144">
        <f t="shared" si="12"/>
        <v>0</v>
      </c>
      <c r="AE14" s="1151">
        <f t="shared" si="12"/>
        <v>0</v>
      </c>
    </row>
    <row r="15" spans="2:31" ht="16" x14ac:dyDescent="0.4">
      <c r="B15" s="1088"/>
      <c r="D15" s="694" t="str">
        <f>Inputs!B31</f>
        <v>Survey - Initial Physical + Plot Plans</v>
      </c>
      <c r="E15" s="1076"/>
      <c r="F15" s="1076"/>
      <c r="G15" s="1092">
        <f>Inputs!D31</f>
        <v>1800</v>
      </c>
      <c r="H15" s="1093">
        <f t="shared" si="8"/>
        <v>1800</v>
      </c>
      <c r="J15" s="1085" t="s">
        <v>94</v>
      </c>
      <c r="K15" s="485"/>
      <c r="L15" s="485"/>
      <c r="M15" s="1092">
        <f>Inputs!D49</f>
        <v>0</v>
      </c>
      <c r="N15" s="1093">
        <f t="shared" si="9"/>
        <v>0</v>
      </c>
      <c r="P15" s="484" t="s">
        <v>106</v>
      </c>
      <c r="Q15" s="485"/>
      <c r="S15" s="1098">
        <f>Inputs!D63</f>
        <v>0</v>
      </c>
      <c r="T15" s="1093">
        <f t="shared" si="10"/>
        <v>0</v>
      </c>
      <c r="V15" s="1089"/>
      <c r="Z15" s="1137" t="str">
        <f t="shared" si="2"/>
        <v>LDIRL</v>
      </c>
      <c r="AA15" s="1142">
        <f t="shared" si="3"/>
        <v>0</v>
      </c>
      <c r="AB15" s="1144">
        <f t="shared" si="4"/>
        <v>0</v>
      </c>
      <c r="AC15" s="1144">
        <f t="shared" ref="AC15:AE15" si="13">IF(AC$5="",0,$G19)</f>
        <v>0</v>
      </c>
      <c r="AD15" s="1144">
        <f t="shared" si="13"/>
        <v>0</v>
      </c>
      <c r="AE15" s="1151">
        <f t="shared" si="13"/>
        <v>0</v>
      </c>
    </row>
    <row r="16" spans="2:31" ht="16" x14ac:dyDescent="0.4">
      <c r="B16" s="1088"/>
      <c r="D16" s="694" t="str">
        <f>Inputs!B32</f>
        <v>Survey - Set Pins (Rough Stake)</v>
      </c>
      <c r="E16" s="1076"/>
      <c r="F16" s="1076"/>
      <c r="G16" s="1092">
        <f>Inputs!D32</f>
        <v>400</v>
      </c>
      <c r="H16" s="1093">
        <f t="shared" si="8"/>
        <v>400</v>
      </c>
      <c r="J16" s="1085" t="s">
        <v>95</v>
      </c>
      <c r="K16" s="485"/>
      <c r="L16" s="485"/>
      <c r="M16" s="1092">
        <f>Inputs!D50</f>
        <v>0</v>
      </c>
      <c r="N16" s="1093">
        <f t="shared" si="9"/>
        <v>0</v>
      </c>
      <c r="P16" s="484" t="s">
        <v>107</v>
      </c>
      <c r="Q16" s="725">
        <f>Inputs!C64</f>
        <v>1</v>
      </c>
      <c r="R16" s="726" t="str">
        <f>Inputs!D64</f>
        <v>Greenville, SC</v>
      </c>
      <c r="S16" s="574">
        <f>Inputs!E64</f>
        <v>6000</v>
      </c>
      <c r="T16" s="1093">
        <f t="shared" si="10"/>
        <v>6000</v>
      </c>
      <c r="V16" s="1089"/>
      <c r="Z16" s="1137" t="str">
        <f t="shared" si="2"/>
        <v>Temp Drive</v>
      </c>
      <c r="AA16" s="1142">
        <f t="shared" si="3"/>
        <v>500</v>
      </c>
      <c r="AB16" s="1144">
        <f t="shared" si="4"/>
        <v>500</v>
      </c>
      <c r="AC16" s="1144">
        <f t="shared" ref="AC16:AE16" si="14">IF(AC$5="",0,$G20)</f>
        <v>0</v>
      </c>
      <c r="AD16" s="1144">
        <f t="shared" si="14"/>
        <v>0</v>
      </c>
      <c r="AE16" s="1151">
        <f t="shared" si="14"/>
        <v>0</v>
      </c>
    </row>
    <row r="17" spans="2:31" ht="16" x14ac:dyDescent="0.4">
      <c r="B17" s="1088"/>
      <c r="D17" s="694" t="str">
        <f>Inputs!B33</f>
        <v>Survey - Stake Footings</v>
      </c>
      <c r="E17" s="1076"/>
      <c r="F17" s="1076"/>
      <c r="G17" s="1092">
        <f>Inputs!D33</f>
        <v>450</v>
      </c>
      <c r="H17" s="1093">
        <f t="shared" si="8"/>
        <v>450</v>
      </c>
      <c r="J17" s="1085" t="s">
        <v>67</v>
      </c>
      <c r="K17" s="485"/>
      <c r="L17" s="485"/>
      <c r="M17" s="1092">
        <f>Inputs!D51</f>
        <v>1700</v>
      </c>
      <c r="N17" s="1093">
        <f t="shared" si="9"/>
        <v>1700</v>
      </c>
      <c r="P17" s="484" t="s">
        <v>109</v>
      </c>
      <c r="Q17" s="725">
        <f>Inputs!C65</f>
        <v>1</v>
      </c>
      <c r="R17" s="726" t="str">
        <f>Inputs!D65</f>
        <v>Greenville, SC</v>
      </c>
      <c r="S17" s="574">
        <f>Inputs!E65</f>
        <v>1500</v>
      </c>
      <c r="T17" s="1093">
        <f t="shared" si="10"/>
        <v>1500</v>
      </c>
      <c r="V17" s="1089"/>
      <c r="Z17" s="1137" t="str">
        <f t="shared" si="2"/>
        <v>Erosion Control</v>
      </c>
      <c r="AA17" s="1142">
        <f t="shared" si="3"/>
        <v>2000</v>
      </c>
      <c r="AB17" s="1144">
        <f t="shared" si="4"/>
        <v>2000</v>
      </c>
      <c r="AC17" s="1144">
        <f t="shared" ref="AC17:AE17" si="15">IF(AC$5="",0,$G21)</f>
        <v>0</v>
      </c>
      <c r="AD17" s="1144">
        <f t="shared" si="15"/>
        <v>0</v>
      </c>
      <c r="AE17" s="1151">
        <f t="shared" si="15"/>
        <v>0</v>
      </c>
    </row>
    <row r="18" spans="2:31" ht="16" x14ac:dyDescent="0.4">
      <c r="B18" s="1088"/>
      <c r="D18" s="694" t="str">
        <f>Inputs!B34</f>
        <v>UDO Requiremenets</v>
      </c>
      <c r="E18" s="1076"/>
      <c r="F18" s="1076"/>
      <c r="G18" s="1092">
        <f>Inputs!D34</f>
        <v>0</v>
      </c>
      <c r="H18" s="1093">
        <f t="shared" si="8"/>
        <v>0</v>
      </c>
      <c r="J18" s="1085" t="s">
        <v>539</v>
      </c>
      <c r="K18" s="485"/>
      <c r="L18" s="485"/>
      <c r="M18" s="1092">
        <f>Inputs!D52</f>
        <v>0</v>
      </c>
      <c r="N18" s="1093">
        <f t="shared" si="9"/>
        <v>0</v>
      </c>
      <c r="P18" s="484" t="s">
        <v>110</v>
      </c>
      <c r="Q18" s="485"/>
      <c r="S18" s="1098">
        <f>Inputs!E66</f>
        <v>333.33333333333331</v>
      </c>
      <c r="T18" s="1093">
        <f t="shared" si="10"/>
        <v>333.33333333333331</v>
      </c>
      <c r="V18" s="1089"/>
      <c r="Z18" s="1137" t="str">
        <f t="shared" si="2"/>
        <v>Additional Driveway</v>
      </c>
      <c r="AA18" s="1142">
        <f t="shared" si="3"/>
        <v>0</v>
      </c>
      <c r="AB18" s="1144">
        <f t="shared" si="4"/>
        <v>0</v>
      </c>
      <c r="AC18" s="1144">
        <f t="shared" ref="AC18:AE18" si="16">IF(AC$5="",0,$G22)</f>
        <v>0</v>
      </c>
      <c r="AD18" s="1144">
        <f t="shared" si="16"/>
        <v>0</v>
      </c>
      <c r="AE18" s="1151">
        <f t="shared" si="16"/>
        <v>0</v>
      </c>
    </row>
    <row r="19" spans="2:31" ht="26.5" thickBot="1" x14ac:dyDescent="0.45">
      <c r="B19" s="1088"/>
      <c r="D19" s="694" t="str">
        <f>Inputs!B35</f>
        <v>LDIRL</v>
      </c>
      <c r="E19" s="1076"/>
      <c r="F19" s="1076"/>
      <c r="G19" s="1092">
        <f>Inputs!D35</f>
        <v>0</v>
      </c>
      <c r="H19" s="1093">
        <f t="shared" si="8"/>
        <v>0</v>
      </c>
      <c r="J19" s="1085" t="s">
        <v>79</v>
      </c>
      <c r="K19" s="485"/>
      <c r="L19" s="485"/>
      <c r="M19" s="1092">
        <f>Inputs!D53</f>
        <v>0</v>
      </c>
      <c r="N19" s="1093">
        <f t="shared" si="9"/>
        <v>0</v>
      </c>
      <c r="P19" s="548" t="s">
        <v>111</v>
      </c>
      <c r="Q19" s="549"/>
      <c r="S19" s="1098">
        <f>Inputs!E67</f>
        <v>333.33333333333331</v>
      </c>
      <c r="T19" s="1096">
        <f t="shared" si="10"/>
        <v>333.33333333333331</v>
      </c>
      <c r="V19" s="1089"/>
      <c r="Z19" s="1137" t="str">
        <f t="shared" si="2"/>
        <v>Driveway Culvert</v>
      </c>
      <c r="AA19" s="1142">
        <f t="shared" si="3"/>
        <v>0</v>
      </c>
      <c r="AB19" s="1144">
        <f t="shared" si="4"/>
        <v>0</v>
      </c>
      <c r="AC19" s="1144">
        <f t="shared" ref="AC19:AE19" si="17">IF(AC$5="",0,$G23)</f>
        <v>0</v>
      </c>
      <c r="AD19" s="1144">
        <f t="shared" si="17"/>
        <v>0</v>
      </c>
      <c r="AE19" s="1151">
        <f t="shared" si="17"/>
        <v>0</v>
      </c>
    </row>
    <row r="20" spans="2:31" ht="17" thickTop="1" thickBot="1" x14ac:dyDescent="0.45">
      <c r="B20" s="1088"/>
      <c r="D20" s="694" t="str">
        <f>Inputs!B36</f>
        <v>Temp Drive</v>
      </c>
      <c r="E20" s="1076"/>
      <c r="F20" s="1076"/>
      <c r="G20" s="1092">
        <f>Inputs!D36</f>
        <v>500</v>
      </c>
      <c r="H20" s="1093">
        <f t="shared" si="8"/>
        <v>500</v>
      </c>
      <c r="J20" s="1085" t="s">
        <v>99</v>
      </c>
      <c r="K20" s="485"/>
      <c r="L20" s="485"/>
      <c r="M20" s="1092">
        <f>Inputs!D54</f>
        <v>2500</v>
      </c>
      <c r="N20" s="1093">
        <f t="shared" si="9"/>
        <v>2500</v>
      </c>
      <c r="P20" s="1087" t="s">
        <v>112</v>
      </c>
      <c r="Q20" s="728"/>
      <c r="R20" s="763"/>
      <c r="S20" s="1097">
        <f>SUM(S13:S19)</f>
        <v>11216.666666666668</v>
      </c>
      <c r="T20" s="1095">
        <f>SUM(T13:T19)</f>
        <v>11216.666666666668</v>
      </c>
      <c r="V20" s="1089"/>
      <c r="Z20" s="1137" t="str">
        <f t="shared" si="2"/>
        <v>Soil Testing</v>
      </c>
      <c r="AA20" s="1142">
        <f t="shared" si="3"/>
        <v>200</v>
      </c>
      <c r="AB20" s="1144">
        <f t="shared" si="4"/>
        <v>200</v>
      </c>
      <c r="AC20" s="1144">
        <f t="shared" ref="AC20:AE20" si="18">IF(AC$5="",0,$G24)</f>
        <v>0</v>
      </c>
      <c r="AD20" s="1144">
        <f t="shared" si="18"/>
        <v>0</v>
      </c>
      <c r="AE20" s="1151">
        <f t="shared" si="18"/>
        <v>0</v>
      </c>
    </row>
    <row r="21" spans="2:31" ht="16" x14ac:dyDescent="0.4">
      <c r="B21" s="1088"/>
      <c r="D21" s="694" t="str">
        <f>Inputs!B37</f>
        <v>Erosion Control</v>
      </c>
      <c r="E21" s="1076"/>
      <c r="F21" s="1076"/>
      <c r="G21" s="1092">
        <f>Inputs!D37</f>
        <v>2000</v>
      </c>
      <c r="H21" s="1093">
        <f t="shared" si="8"/>
        <v>2000</v>
      </c>
      <c r="J21" s="1085" t="s">
        <v>100</v>
      </c>
      <c r="K21" s="485"/>
      <c r="L21" s="485"/>
      <c r="M21" s="1092">
        <f>Inputs!D55</f>
        <v>0</v>
      </c>
      <c r="N21" s="1093">
        <f t="shared" si="9"/>
        <v>0</v>
      </c>
      <c r="V21" s="1089"/>
      <c r="Z21" s="1137" t="str">
        <f t="shared" si="2"/>
        <v>Heritage Tree Mitigation</v>
      </c>
      <c r="AA21" s="1142">
        <f t="shared" si="3"/>
        <v>0</v>
      </c>
      <c r="AB21" s="1144">
        <f t="shared" si="4"/>
        <v>0</v>
      </c>
      <c r="AC21" s="1144">
        <f t="shared" ref="AC21:AE21" si="19">IF(AC$5="",0,$G25)</f>
        <v>0</v>
      </c>
      <c r="AD21" s="1144">
        <f t="shared" si="19"/>
        <v>0</v>
      </c>
      <c r="AE21" s="1151">
        <f t="shared" si="19"/>
        <v>0</v>
      </c>
    </row>
    <row r="22" spans="2:31" ht="16.5" thickBot="1" x14ac:dyDescent="0.45">
      <c r="B22" s="1088"/>
      <c r="D22" s="694" t="str">
        <f>Inputs!B38</f>
        <v>Additional Driveway</v>
      </c>
      <c r="E22" s="1076"/>
      <c r="F22" s="1076"/>
      <c r="G22" s="1092">
        <f>Inputs!D38</f>
        <v>0</v>
      </c>
      <c r="H22" s="1093">
        <f t="shared" si="8"/>
        <v>0</v>
      </c>
      <c r="J22" s="1086" t="s">
        <v>92</v>
      </c>
      <c r="K22" s="549"/>
      <c r="L22" s="549"/>
      <c r="M22" s="1094">
        <f>Inputs!D57</f>
        <v>0</v>
      </c>
      <c r="N22" s="1096">
        <f t="shared" si="9"/>
        <v>0</v>
      </c>
      <c r="V22" s="1089"/>
      <c r="Z22" s="1137" t="str">
        <f t="shared" si="2"/>
        <v>Portable Toilet</v>
      </c>
      <c r="AA22" s="1142">
        <f t="shared" si="3"/>
        <v>0</v>
      </c>
      <c r="AB22" s="1144">
        <f t="shared" si="4"/>
        <v>0</v>
      </c>
      <c r="AC22" s="1144">
        <f t="shared" ref="AC22:AE22" si="20">IF(AC$5="",0,$G26)</f>
        <v>0</v>
      </c>
      <c r="AD22" s="1144">
        <f t="shared" si="20"/>
        <v>0</v>
      </c>
      <c r="AE22" s="1151">
        <f t="shared" si="20"/>
        <v>0</v>
      </c>
    </row>
    <row r="23" spans="2:31" ht="17" thickTop="1" thickBot="1" x14ac:dyDescent="0.45">
      <c r="B23" s="1088"/>
      <c r="D23" s="694" t="str">
        <f>Inputs!B39</f>
        <v>Driveway Culvert</v>
      </c>
      <c r="E23" s="1076"/>
      <c r="F23" s="1076"/>
      <c r="G23" s="1092">
        <f>Inputs!D39</f>
        <v>0</v>
      </c>
      <c r="H23" s="1093">
        <f t="shared" si="8"/>
        <v>0</v>
      </c>
      <c r="J23" s="1087" t="s">
        <v>102</v>
      </c>
      <c r="K23" s="728"/>
      <c r="L23" s="728"/>
      <c r="M23" s="1097">
        <f>Inputs!D58</f>
        <v>12200</v>
      </c>
      <c r="N23" s="1095">
        <f>SUM(N13:N22)</f>
        <v>4200</v>
      </c>
      <c r="V23" s="1089"/>
      <c r="Z23" s="1137" t="str">
        <f t="shared" si="2"/>
        <v>Privacy Fence</v>
      </c>
      <c r="AA23" s="1142">
        <f t="shared" si="3"/>
        <v>8000</v>
      </c>
      <c r="AB23" s="1144">
        <f t="shared" si="4"/>
        <v>8000</v>
      </c>
      <c r="AC23" s="1144">
        <f t="shared" ref="AC23:AE23" si="21">IF(AC$5="",0,$G27)</f>
        <v>0</v>
      </c>
      <c r="AD23" s="1144">
        <f t="shared" si="21"/>
        <v>0</v>
      </c>
      <c r="AE23" s="1151">
        <f t="shared" si="21"/>
        <v>0</v>
      </c>
    </row>
    <row r="24" spans="2:31" ht="16" x14ac:dyDescent="0.4">
      <c r="B24" s="1088"/>
      <c r="D24" s="694" t="str">
        <f>Inputs!B40</f>
        <v>Soil Testing</v>
      </c>
      <c r="E24" s="1076"/>
      <c r="F24" s="1076"/>
      <c r="G24" s="1092">
        <f>Inputs!D40</f>
        <v>200</v>
      </c>
      <c r="H24" s="1093">
        <f t="shared" si="8"/>
        <v>200</v>
      </c>
      <c r="J24" s="1075"/>
      <c r="V24" s="1089"/>
      <c r="Z24" s="1137" t="str">
        <f t="shared" si="2"/>
        <v/>
      </c>
      <c r="AA24" s="1142">
        <f t="shared" si="3"/>
        <v>0</v>
      </c>
      <c r="AB24" s="1144">
        <f t="shared" si="4"/>
        <v>0</v>
      </c>
      <c r="AC24" s="1144">
        <f t="shared" ref="AC24:AE24" si="22">IF(AC$5="",0,$G28)</f>
        <v>0</v>
      </c>
      <c r="AD24" s="1144">
        <f t="shared" si="22"/>
        <v>0</v>
      </c>
      <c r="AE24" s="1151">
        <f t="shared" si="22"/>
        <v>0</v>
      </c>
    </row>
    <row r="25" spans="2:31" ht="16" x14ac:dyDescent="0.4">
      <c r="B25" s="1088"/>
      <c r="D25" s="694" t="str">
        <f>Inputs!B41</f>
        <v>Heritage Tree Mitigation</v>
      </c>
      <c r="E25" s="1076"/>
      <c r="F25" s="1076"/>
      <c r="G25" s="1092">
        <f>Inputs!D41</f>
        <v>0</v>
      </c>
      <c r="H25" s="1093">
        <f t="shared" si="8"/>
        <v>0</v>
      </c>
      <c r="J25" s="1075"/>
      <c r="V25" s="1089"/>
      <c r="Z25" s="1138" t="str">
        <f t="shared" si="2"/>
        <v>Miscellaneous</v>
      </c>
      <c r="AA25" s="1143">
        <f t="shared" si="3"/>
        <v>0</v>
      </c>
      <c r="AB25" s="1145">
        <f t="shared" si="4"/>
        <v>0</v>
      </c>
      <c r="AC25" s="1146">
        <f t="shared" ref="AC25:AE25" si="23">IF(AC$5="",0,$G29)</f>
        <v>0</v>
      </c>
      <c r="AD25" s="1146">
        <f t="shared" si="23"/>
        <v>0</v>
      </c>
      <c r="AE25" s="1152">
        <f t="shared" si="23"/>
        <v>0</v>
      </c>
    </row>
    <row r="26" spans="2:31" ht="16" x14ac:dyDescent="0.4">
      <c r="B26" s="1088"/>
      <c r="D26" s="694" t="str">
        <f>Inputs!B42</f>
        <v>Portable Toilet</v>
      </c>
      <c r="E26" s="1076"/>
      <c r="F26" s="1076"/>
      <c r="G26" s="1092">
        <f>Inputs!D42</f>
        <v>0</v>
      </c>
      <c r="H26" s="1093">
        <f t="shared" si="8"/>
        <v>0</v>
      </c>
      <c r="J26" s="1075"/>
      <c r="V26" s="1089"/>
      <c r="Z26" s="1158" t="s">
        <v>50</v>
      </c>
      <c r="AA26" s="1143">
        <f t="shared" si="3"/>
        <v>13350</v>
      </c>
      <c r="AB26" s="1148">
        <f>SUBTOTAL(9,AB9:AB25)</f>
        <v>13350</v>
      </c>
      <c r="AC26" s="1148">
        <f t="shared" ref="AC26:AE26" si="24">SUBTOTAL(9,AC9:AC25)</f>
        <v>0</v>
      </c>
      <c r="AD26" s="1148">
        <f t="shared" si="24"/>
        <v>0</v>
      </c>
      <c r="AE26" s="1153">
        <f t="shared" si="24"/>
        <v>0</v>
      </c>
    </row>
    <row r="27" spans="2:31" ht="16" x14ac:dyDescent="0.4">
      <c r="B27" s="1088"/>
      <c r="D27" s="694" t="str">
        <f>Inputs!B56</f>
        <v>Privacy Fence</v>
      </c>
      <c r="E27" s="1076"/>
      <c r="F27" s="1076"/>
      <c r="G27" s="1092">
        <f>Inputs!D56</f>
        <v>8000</v>
      </c>
      <c r="H27" s="1093">
        <f t="shared" si="8"/>
        <v>8000</v>
      </c>
      <c r="J27" s="1075"/>
      <c r="V27" s="1089"/>
      <c r="Z27" s="232" t="str">
        <f>J13</f>
        <v>Demolition</v>
      </c>
      <c r="AA27" s="1142">
        <f t="shared" si="3"/>
        <v>0</v>
      </c>
      <c r="AB27" s="1144">
        <f>M13</f>
        <v>0</v>
      </c>
      <c r="AC27" s="1144">
        <f>IF(AC$5="",0,$M13)</f>
        <v>0</v>
      </c>
      <c r="AD27" s="1144">
        <f t="shared" ref="AD27:AE27" si="25">IF(AD$5="",0,$M13)</f>
        <v>0</v>
      </c>
      <c r="AE27" s="1151">
        <f t="shared" si="25"/>
        <v>0</v>
      </c>
    </row>
    <row r="28" spans="2:31" ht="16" x14ac:dyDescent="0.4">
      <c r="B28" s="1088"/>
      <c r="D28" s="694" t="str">
        <f>Inputs!B43</f>
        <v/>
      </c>
      <c r="E28" s="1076"/>
      <c r="F28" s="1076"/>
      <c r="G28" s="1092">
        <f>Inputs!D43</f>
        <v>0</v>
      </c>
      <c r="H28" s="1093">
        <f t="shared" si="8"/>
        <v>0</v>
      </c>
      <c r="J28" s="1075"/>
      <c r="V28" s="1089"/>
      <c r="Z28" s="232" t="str">
        <f t="shared" ref="Z28:Z36" si="26">J14</f>
        <v>Subdivision Costs?</v>
      </c>
      <c r="AA28" s="1142">
        <f t="shared" si="3"/>
        <v>0</v>
      </c>
      <c r="AB28" s="1144">
        <f t="shared" ref="AB28:AB36" si="27">M14</f>
        <v>0</v>
      </c>
      <c r="AC28" s="1144">
        <f t="shared" ref="AC28:AE28" si="28">IF(AC$5="",0,$M14)</f>
        <v>0</v>
      </c>
      <c r="AD28" s="1144">
        <f t="shared" si="28"/>
        <v>0</v>
      </c>
      <c r="AE28" s="1151">
        <f t="shared" si="28"/>
        <v>0</v>
      </c>
    </row>
    <row r="29" spans="2:31" ht="16.5" thickBot="1" x14ac:dyDescent="0.45">
      <c r="B29" s="1088"/>
      <c r="D29" s="696" t="str">
        <f>Inputs!B44</f>
        <v>Miscellaneous</v>
      </c>
      <c r="E29" s="1084"/>
      <c r="F29" s="1084"/>
      <c r="G29" s="1094">
        <f>Inputs!D44</f>
        <v>0</v>
      </c>
      <c r="H29" s="1093">
        <f t="shared" si="8"/>
        <v>0</v>
      </c>
      <c r="J29" s="1075"/>
      <c r="V29" s="1089"/>
      <c r="Z29" s="232" t="str">
        <f t="shared" si="26"/>
        <v>Survey Set Pins</v>
      </c>
      <c r="AA29" s="1142">
        <f t="shared" si="3"/>
        <v>0</v>
      </c>
      <c r="AB29" s="1144">
        <f t="shared" si="27"/>
        <v>0</v>
      </c>
      <c r="AC29" s="1144">
        <f t="shared" ref="AC29:AE29" si="29">IF(AC$5="",0,$M15)</f>
        <v>0</v>
      </c>
      <c r="AD29" s="1144">
        <f t="shared" si="29"/>
        <v>0</v>
      </c>
      <c r="AE29" s="1151">
        <f t="shared" si="29"/>
        <v>0</v>
      </c>
    </row>
    <row r="30" spans="2:31" ht="17" thickTop="1" thickBot="1" x14ac:dyDescent="0.45">
      <c r="B30" s="1088"/>
      <c r="D30" s="727" t="str">
        <f>Inputs!B45</f>
        <v>Total</v>
      </c>
      <c r="E30" s="728"/>
      <c r="F30" s="728"/>
      <c r="G30" s="1090">
        <f>SUM(G13:G29)</f>
        <v>13350</v>
      </c>
      <c r="H30" s="1095">
        <f>SUM(H13:H29)</f>
        <v>13350</v>
      </c>
      <c r="J30" s="1075"/>
      <c r="V30" s="1089"/>
      <c r="Z30" s="232" t="str">
        <f t="shared" si="26"/>
        <v>Stake House</v>
      </c>
      <c r="AA30" s="1142">
        <f t="shared" si="3"/>
        <v>0</v>
      </c>
      <c r="AB30" s="1144">
        <f t="shared" si="27"/>
        <v>0</v>
      </c>
      <c r="AC30" s="1144">
        <f t="shared" ref="AC30:AE30" si="30">IF(AC$5="",0,$M16)</f>
        <v>0</v>
      </c>
      <c r="AD30" s="1144">
        <f t="shared" si="30"/>
        <v>0</v>
      </c>
      <c r="AE30" s="1151">
        <f t="shared" si="30"/>
        <v>0</v>
      </c>
    </row>
    <row r="31" spans="2:31" ht="16" x14ac:dyDescent="0.4">
      <c r="B31" s="1088"/>
      <c r="J31" s="1075"/>
      <c r="V31" s="1089"/>
      <c r="Z31" s="232" t="str">
        <f t="shared" si="26"/>
        <v>Grading Lot / Clearing &amp; Hauling</v>
      </c>
      <c r="AA31" s="1142">
        <f t="shared" si="3"/>
        <v>1700</v>
      </c>
      <c r="AB31" s="1144">
        <f t="shared" si="27"/>
        <v>1700</v>
      </c>
      <c r="AC31" s="1144">
        <f t="shared" ref="AC31:AE31" si="31">IF(AC$5="",0,$M17)</f>
        <v>0</v>
      </c>
      <c r="AD31" s="1144">
        <f t="shared" si="31"/>
        <v>0</v>
      </c>
      <c r="AE31" s="1151">
        <f t="shared" si="31"/>
        <v>0</v>
      </c>
    </row>
    <row r="32" spans="2:31" ht="16" x14ac:dyDescent="0.4">
      <c r="B32" s="1088"/>
      <c r="J32" s="1075"/>
      <c r="V32" s="1089"/>
      <c r="Z32" s="232" t="str">
        <f t="shared" si="26"/>
        <v>Silt Fence</v>
      </c>
      <c r="AA32" s="1142">
        <f t="shared" si="3"/>
        <v>0</v>
      </c>
      <c r="AB32" s="1144">
        <f t="shared" si="27"/>
        <v>0</v>
      </c>
      <c r="AC32" s="1144">
        <f t="shared" ref="AC32:AE32" si="32">IF(AC$5="",0,$M18)</f>
        <v>0</v>
      </c>
      <c r="AD32" s="1144">
        <f t="shared" si="32"/>
        <v>0</v>
      </c>
      <c r="AE32" s="1151">
        <f t="shared" si="32"/>
        <v>0</v>
      </c>
    </row>
    <row r="33" spans="2:31" ht="16" x14ac:dyDescent="0.4">
      <c r="B33" s="1088"/>
      <c r="C33" s="1089"/>
      <c r="D33" s="1089"/>
      <c r="E33" s="1089"/>
      <c r="F33" s="1089"/>
      <c r="G33" s="1089"/>
      <c r="H33" s="1089"/>
      <c r="I33" s="1089"/>
      <c r="J33" s="1088"/>
      <c r="K33" s="1089"/>
      <c r="L33" s="1089"/>
      <c r="M33" s="1089"/>
      <c r="N33" s="1089"/>
      <c r="O33" s="1089"/>
      <c r="P33" s="1089"/>
      <c r="Q33" s="1089"/>
      <c r="R33" s="1089"/>
      <c r="S33" s="1089"/>
      <c r="T33" s="1089"/>
      <c r="U33" s="1089"/>
      <c r="V33" s="1089"/>
      <c r="Z33" s="232" t="str">
        <f t="shared" si="26"/>
        <v>Temp Drive</v>
      </c>
      <c r="AA33" s="1142">
        <f t="shared" si="3"/>
        <v>0</v>
      </c>
      <c r="AB33" s="1144">
        <f t="shared" si="27"/>
        <v>0</v>
      </c>
      <c r="AC33" s="1144">
        <f t="shared" ref="AC33:AE33" si="33">IF(AC$5="",0,$M19)</f>
        <v>0</v>
      </c>
      <c r="AD33" s="1144">
        <f t="shared" si="33"/>
        <v>0</v>
      </c>
      <c r="AE33" s="1151">
        <f t="shared" si="33"/>
        <v>0</v>
      </c>
    </row>
    <row r="34" spans="2:31" ht="16" x14ac:dyDescent="0.4">
      <c r="B34" s="1088"/>
      <c r="C34" s="1089"/>
      <c r="D34" s="1089"/>
      <c r="E34" s="1089"/>
      <c r="F34" s="1089"/>
      <c r="G34" s="1089"/>
      <c r="H34" s="1089"/>
      <c r="I34" s="1089"/>
      <c r="J34" s="1088"/>
      <c r="K34" s="1089"/>
      <c r="L34" s="1089"/>
      <c r="M34" s="1089"/>
      <c r="N34" s="1089"/>
      <c r="O34" s="1089"/>
      <c r="P34" s="1089"/>
      <c r="Q34" s="1089"/>
      <c r="R34" s="1089"/>
      <c r="S34" s="1089"/>
      <c r="T34" s="1089"/>
      <c r="U34" s="1089"/>
      <c r="V34" s="1089"/>
      <c r="Z34" s="232" t="str">
        <f t="shared" si="26"/>
        <v>Landscaping</v>
      </c>
      <c r="AA34" s="1142">
        <f t="shared" si="3"/>
        <v>2500</v>
      </c>
      <c r="AB34" s="1144">
        <f t="shared" si="27"/>
        <v>2500</v>
      </c>
      <c r="AC34" s="1144">
        <f t="shared" ref="AC34:AE34" si="34">IF(AC$5="",0,$M20)</f>
        <v>0</v>
      </c>
      <c r="AD34" s="1144">
        <f t="shared" si="34"/>
        <v>0</v>
      </c>
      <c r="AE34" s="1151">
        <f t="shared" si="34"/>
        <v>0</v>
      </c>
    </row>
    <row r="35" spans="2:31" ht="16" x14ac:dyDescent="0.4">
      <c r="B35" s="1075"/>
      <c r="J35" s="1075"/>
      <c r="Z35" s="232" t="str">
        <f t="shared" si="26"/>
        <v>Flatwork</v>
      </c>
      <c r="AA35" s="1142">
        <f t="shared" si="3"/>
        <v>0</v>
      </c>
      <c r="AB35" s="1144">
        <f t="shared" si="27"/>
        <v>0</v>
      </c>
      <c r="AC35" s="1144">
        <f t="shared" ref="AC35:AE35" si="35">IF(AC$5="",0,$M21)</f>
        <v>0</v>
      </c>
      <c r="AD35" s="1144">
        <f t="shared" si="35"/>
        <v>0</v>
      </c>
      <c r="AE35" s="1151">
        <f t="shared" si="35"/>
        <v>0</v>
      </c>
    </row>
    <row r="36" spans="2:31" ht="16" x14ac:dyDescent="0.4">
      <c r="B36" s="1075"/>
      <c r="J36" s="1075"/>
      <c r="Z36" s="1159" t="str">
        <f t="shared" si="26"/>
        <v>Miscellaneous</v>
      </c>
      <c r="AA36" s="1143">
        <f t="shared" si="3"/>
        <v>0</v>
      </c>
      <c r="AB36" s="1145">
        <f t="shared" si="27"/>
        <v>0</v>
      </c>
      <c r="AC36" s="1146">
        <f t="shared" ref="AC36:AE36" si="36">IF(AC$5="",0,$M22)</f>
        <v>0</v>
      </c>
      <c r="AD36" s="1146">
        <f t="shared" si="36"/>
        <v>0</v>
      </c>
      <c r="AE36" s="1152">
        <f t="shared" si="36"/>
        <v>0</v>
      </c>
    </row>
    <row r="37" spans="2:31" ht="16" x14ac:dyDescent="0.4">
      <c r="B37" s="1075"/>
      <c r="J37" s="1075"/>
      <c r="Z37" s="1160" t="s">
        <v>93</v>
      </c>
      <c r="AA37" s="1142">
        <f t="shared" si="3"/>
        <v>4200</v>
      </c>
      <c r="AB37" s="455">
        <f>SUBTOTAL(9,AB27:AB36)</f>
        <v>4200</v>
      </c>
      <c r="AC37" s="455">
        <f t="shared" ref="AC37:AE37" si="37">SUBTOTAL(9,AC27:AC36)</f>
        <v>0</v>
      </c>
      <c r="AD37" s="455">
        <f t="shared" si="37"/>
        <v>0</v>
      </c>
      <c r="AE37" s="1154">
        <f t="shared" si="37"/>
        <v>0</v>
      </c>
    </row>
    <row r="38" spans="2:31" ht="16" x14ac:dyDescent="0.4">
      <c r="B38" s="1075"/>
      <c r="J38" s="1075"/>
      <c r="Z38" s="1161" t="str">
        <f>P13</f>
        <v>Building Permits</v>
      </c>
      <c r="AA38" s="1142">
        <f t="shared" si="3"/>
        <v>2050</v>
      </c>
      <c r="AB38" s="446">
        <f>S13</f>
        <v>2050</v>
      </c>
      <c r="AC38" s="446">
        <f>IF(AC$5="",0,S13)</f>
        <v>0</v>
      </c>
      <c r="AD38" s="446">
        <f t="shared" ref="AD38:AE38" si="38">IF(AD$5="",0,T13)</f>
        <v>0</v>
      </c>
      <c r="AE38" s="711">
        <f t="shared" si="38"/>
        <v>0</v>
      </c>
    </row>
    <row r="39" spans="2:31" ht="16" x14ac:dyDescent="0.4">
      <c r="B39" s="1075"/>
      <c r="J39" s="1075"/>
      <c r="Z39" s="1161" t="str">
        <f t="shared" ref="Z39:Z44" si="39">P14</f>
        <v>Engineering</v>
      </c>
      <c r="AA39" s="1142">
        <f t="shared" si="3"/>
        <v>1000</v>
      </c>
      <c r="AB39" s="446">
        <f t="shared" ref="AB39:AB44" si="40">S14</f>
        <v>1000</v>
      </c>
      <c r="AC39" s="446">
        <f t="shared" ref="AC39:AC44" si="41">IF(AC$5="",0,S14)</f>
        <v>0</v>
      </c>
      <c r="AD39" s="446">
        <f t="shared" ref="AD39:AD44" si="42">IF(AD$5="",0,T14)</f>
        <v>0</v>
      </c>
      <c r="AE39" s="711">
        <f t="shared" ref="AE39:AE44" si="43">IF(AE$5="",0,U14)</f>
        <v>0</v>
      </c>
    </row>
    <row r="40" spans="2:31" ht="16" x14ac:dyDescent="0.4">
      <c r="B40" s="1075"/>
      <c r="J40" s="1075"/>
      <c r="Z40" s="1161" t="str">
        <f t="shared" si="39"/>
        <v>Draw Fees</v>
      </c>
      <c r="AA40" s="1142">
        <f t="shared" si="3"/>
        <v>0</v>
      </c>
      <c r="AB40" s="446">
        <f t="shared" si="40"/>
        <v>0</v>
      </c>
      <c r="AC40" s="446">
        <f t="shared" si="41"/>
        <v>0</v>
      </c>
      <c r="AD40" s="446">
        <f t="shared" si="42"/>
        <v>0</v>
      </c>
      <c r="AE40" s="711">
        <f t="shared" si="43"/>
        <v>0</v>
      </c>
    </row>
    <row r="41" spans="2:31" ht="16" x14ac:dyDescent="0.4">
      <c r="B41" s="1075"/>
      <c r="J41" s="1075"/>
      <c r="Z41" s="1161" t="str">
        <f t="shared" si="39"/>
        <v>Water Tap</v>
      </c>
      <c r="AA41" s="1142">
        <f t="shared" si="3"/>
        <v>6000</v>
      </c>
      <c r="AB41" s="446">
        <f t="shared" si="40"/>
        <v>6000</v>
      </c>
      <c r="AC41" s="446">
        <f t="shared" si="41"/>
        <v>0</v>
      </c>
      <c r="AD41" s="446">
        <f t="shared" si="42"/>
        <v>0</v>
      </c>
      <c r="AE41" s="711">
        <f t="shared" si="43"/>
        <v>0</v>
      </c>
    </row>
    <row r="42" spans="2:31" ht="16" x14ac:dyDescent="0.4">
      <c r="B42" s="1075"/>
      <c r="J42" s="1075"/>
      <c r="Z42" s="1161" t="str">
        <f t="shared" si="39"/>
        <v>Sewer Tap</v>
      </c>
      <c r="AA42" s="1142">
        <f t="shared" si="3"/>
        <v>1500</v>
      </c>
      <c r="AB42" s="446">
        <f t="shared" si="40"/>
        <v>1500</v>
      </c>
      <c r="AC42" s="446">
        <f t="shared" si="41"/>
        <v>0</v>
      </c>
      <c r="AD42" s="446">
        <f t="shared" si="42"/>
        <v>0</v>
      </c>
      <c r="AE42" s="711">
        <f t="shared" si="43"/>
        <v>0</v>
      </c>
    </row>
    <row r="43" spans="2:31" ht="16" x14ac:dyDescent="0.4">
      <c r="B43" s="1075"/>
      <c r="J43" s="1075"/>
      <c r="Z43" s="1161" t="str">
        <f t="shared" si="39"/>
        <v>Annual Insurance</v>
      </c>
      <c r="AA43" s="1142">
        <f t="shared" si="3"/>
        <v>333.33333333333331</v>
      </c>
      <c r="AB43" s="446">
        <f t="shared" si="40"/>
        <v>333.33333333333331</v>
      </c>
      <c r="AC43" s="446">
        <f t="shared" si="41"/>
        <v>0</v>
      </c>
      <c r="AD43" s="446">
        <f t="shared" si="42"/>
        <v>0</v>
      </c>
      <c r="AE43" s="711">
        <f t="shared" si="43"/>
        <v>0</v>
      </c>
    </row>
    <row r="44" spans="2:31" ht="16" x14ac:dyDescent="0.4">
      <c r="B44" s="1075"/>
      <c r="J44" s="1075"/>
      <c r="Z44" s="1162" t="str">
        <f t="shared" si="39"/>
        <v>Annual Property Taxes</v>
      </c>
      <c r="AA44" s="1143">
        <f t="shared" si="3"/>
        <v>333.33333333333331</v>
      </c>
      <c r="AB44" s="446">
        <f t="shared" si="40"/>
        <v>333.33333333333331</v>
      </c>
      <c r="AC44" s="446">
        <f t="shared" si="41"/>
        <v>0</v>
      </c>
      <c r="AD44" s="446">
        <f t="shared" si="42"/>
        <v>0</v>
      </c>
      <c r="AE44" s="711">
        <f t="shared" si="43"/>
        <v>0</v>
      </c>
    </row>
    <row r="45" spans="2:31" ht="16.5" thickBot="1" x14ac:dyDescent="0.45">
      <c r="B45" s="1075"/>
      <c r="C45" s="1076"/>
      <c r="D45" s="1073"/>
      <c r="E45" s="562"/>
      <c r="F45" s="563"/>
      <c r="G45" s="563"/>
      <c r="H45" s="564"/>
      <c r="J45" s="1075"/>
      <c r="Z45" s="1163" t="s">
        <v>103</v>
      </c>
      <c r="AA45" s="1168">
        <f t="shared" si="3"/>
        <v>11216.666666666668</v>
      </c>
      <c r="AB45" s="1147">
        <f>SUBTOTAL(9,AB38:AB44)</f>
        <v>11216.666666666668</v>
      </c>
      <c r="AC45" s="1147">
        <f t="shared" ref="AC45:AE45" si="44">SUBTOTAL(9,AC38:AC44)</f>
        <v>0</v>
      </c>
      <c r="AD45" s="1147">
        <f t="shared" si="44"/>
        <v>0</v>
      </c>
      <c r="AE45" s="1155">
        <f t="shared" si="44"/>
        <v>0</v>
      </c>
    </row>
    <row r="46" spans="2:31" ht="16" x14ac:dyDescent="0.4">
      <c r="B46" s="1075"/>
      <c r="J46" s="1075"/>
      <c r="Z46" s="1164" t="s">
        <v>468</v>
      </c>
      <c r="AA46" s="1142">
        <f t="shared" si="3"/>
        <v>3000</v>
      </c>
      <c r="AB46" s="207">
        <f>IFERROR(INDEX('Reference Tab'!$V$4:$CA$74, MATCH($Z46, 'Reference Tab'!$U$4:$U$71, 0), MATCH(AB$5, 'Reference Tab'!$V$3:$CA$3, 0)),0)</f>
        <v>3000</v>
      </c>
      <c r="AC46" s="207">
        <f>IFERROR(INDEX('Reference Tab'!$V$4:$CA$74, MATCH($Z46, 'Reference Tab'!$U$4:$U$71, 0), MATCH(AC$5, 'Reference Tab'!$V$3:$CA$3, 0)),0)</f>
        <v>0</v>
      </c>
      <c r="AD46" s="207">
        <f>IFERROR(INDEX('Reference Tab'!$V$4:$CA$74, MATCH($Z46, 'Reference Tab'!$U$4:$U$71, 0), MATCH(AD$5, 'Reference Tab'!$V$3:$CA$3, 0)),0)</f>
        <v>0</v>
      </c>
      <c r="AE46" s="225">
        <f>IFERROR(INDEX('Reference Tab'!$V$4:$CA$74, MATCH($Z46, 'Reference Tab'!$U$4:$U$71, 0), MATCH(AE$5, 'Reference Tab'!$V$3:$CA$3, 0)),0)</f>
        <v>0</v>
      </c>
    </row>
    <row r="47" spans="2:31" ht="16" x14ac:dyDescent="0.4">
      <c r="B47" s="1075"/>
      <c r="J47" s="1075"/>
      <c r="Z47" s="1164" t="s">
        <v>470</v>
      </c>
      <c r="AA47" s="1142">
        <f t="shared" si="3"/>
        <v>300</v>
      </c>
      <c r="AB47" s="207">
        <f>IFERROR(INDEX('Reference Tab'!$V$4:$CA$74, MATCH($Z47, 'Reference Tab'!$U$4:$U$71, 0), MATCH(AB$5, 'Reference Tab'!$V$3:$CA$3, 0)),0)</f>
        <v>300</v>
      </c>
      <c r="AC47" s="207">
        <f>IFERROR(INDEX('Reference Tab'!$V$4:$CA$74, MATCH($Z47, 'Reference Tab'!$U$4:$U$71, 0), MATCH(AC$5, 'Reference Tab'!$V$3:$CA$3, 0)),0)</f>
        <v>0</v>
      </c>
      <c r="AD47" s="207">
        <f>IFERROR(INDEX('Reference Tab'!$V$4:$CA$74, MATCH($Z47, 'Reference Tab'!$U$4:$U$71, 0), MATCH(AD$5, 'Reference Tab'!$V$3:$CA$3, 0)),0)</f>
        <v>0</v>
      </c>
      <c r="AE47" s="225">
        <f>IFERROR(INDEX('Reference Tab'!$V$4:$CA$74, MATCH($Z47, 'Reference Tab'!$U$4:$U$71, 0), MATCH(AE$5, 'Reference Tab'!$V$3:$CA$3, 0)),0)</f>
        <v>0</v>
      </c>
    </row>
    <row r="48" spans="2:31" ht="16" x14ac:dyDescent="0.4">
      <c r="B48" s="1075"/>
      <c r="J48" s="1075"/>
      <c r="Z48" s="1164" t="s">
        <v>472</v>
      </c>
      <c r="AA48" s="1142">
        <f t="shared" si="3"/>
        <v>875</v>
      </c>
      <c r="AB48" s="207">
        <f>IFERROR(INDEX('Reference Tab'!$V$4:$CA$74, MATCH($Z48, 'Reference Tab'!$U$4:$U$71, 0), MATCH(AB$5, 'Reference Tab'!$V$3:$CA$3, 0)),0)</f>
        <v>875</v>
      </c>
      <c r="AC48" s="207">
        <f>IFERROR(INDEX('Reference Tab'!$V$4:$CA$74, MATCH($Z48, 'Reference Tab'!$U$4:$U$71, 0), MATCH(AC$5, 'Reference Tab'!$V$3:$CA$3, 0)),0)</f>
        <v>0</v>
      </c>
      <c r="AD48" s="207">
        <f>IFERROR(INDEX('Reference Tab'!$V$4:$CA$74, MATCH($Z48, 'Reference Tab'!$U$4:$U$71, 0), MATCH(AD$5, 'Reference Tab'!$V$3:$CA$3, 0)),0)</f>
        <v>0</v>
      </c>
      <c r="AE48" s="225">
        <f>IFERROR(INDEX('Reference Tab'!$V$4:$CA$74, MATCH($Z48, 'Reference Tab'!$U$4:$U$71, 0), MATCH(AE$5, 'Reference Tab'!$V$3:$CA$3, 0)),0)</f>
        <v>0</v>
      </c>
    </row>
    <row r="49" spans="2:31" ht="16" x14ac:dyDescent="0.4">
      <c r="B49" s="1075"/>
      <c r="J49" s="1075"/>
      <c r="Z49" s="1164" t="s">
        <v>473</v>
      </c>
      <c r="AA49" s="1142">
        <f t="shared" si="3"/>
        <v>50</v>
      </c>
      <c r="AB49" s="207">
        <f>IFERROR(INDEX('Reference Tab'!$V$4:$CA$74, MATCH($Z49, 'Reference Tab'!$U$4:$U$71, 0), MATCH(AB$5, 'Reference Tab'!$V$3:$CA$3, 0)),0)</f>
        <v>50</v>
      </c>
      <c r="AC49" s="207">
        <f>IFERROR(INDEX('Reference Tab'!$V$4:$CA$74, MATCH($Z49, 'Reference Tab'!$U$4:$U$71, 0), MATCH(AC$5, 'Reference Tab'!$V$3:$CA$3, 0)),0)</f>
        <v>0</v>
      </c>
      <c r="AD49" s="207">
        <f>IFERROR(INDEX('Reference Tab'!$V$4:$CA$74, MATCH($Z49, 'Reference Tab'!$U$4:$U$71, 0), MATCH(AD$5, 'Reference Tab'!$V$3:$CA$3, 0)),0)</f>
        <v>0</v>
      </c>
      <c r="AE49" s="225">
        <f>IFERROR(INDEX('Reference Tab'!$V$4:$CA$74, MATCH($Z49, 'Reference Tab'!$U$4:$U$71, 0), MATCH(AE$5, 'Reference Tab'!$V$3:$CA$3, 0)),0)</f>
        <v>0</v>
      </c>
    </row>
    <row r="50" spans="2:31" ht="16" x14ac:dyDescent="0.4">
      <c r="B50" s="1075"/>
      <c r="J50" s="1075"/>
      <c r="Z50" s="1164" t="s">
        <v>476</v>
      </c>
      <c r="AA50" s="1142">
        <f t="shared" si="3"/>
        <v>225</v>
      </c>
      <c r="AB50" s="207">
        <f>IFERROR(INDEX('Reference Tab'!$V$4:$CA$74, MATCH($Z50, 'Reference Tab'!$U$4:$U$71, 0), MATCH(AB$5, 'Reference Tab'!$V$3:$CA$3, 0)),0)</f>
        <v>225</v>
      </c>
      <c r="AC50" s="207">
        <f>IFERROR(INDEX('Reference Tab'!$V$4:$CA$74, MATCH($Z50, 'Reference Tab'!$U$4:$U$71, 0), MATCH(AC$5, 'Reference Tab'!$V$3:$CA$3, 0)),0)</f>
        <v>0</v>
      </c>
      <c r="AD50" s="207">
        <f>IFERROR(INDEX('Reference Tab'!$V$4:$CA$74, MATCH($Z50, 'Reference Tab'!$U$4:$U$71, 0), MATCH(AD$5, 'Reference Tab'!$V$3:$CA$3, 0)),0)</f>
        <v>0</v>
      </c>
      <c r="AE50" s="225">
        <f>IFERROR(INDEX('Reference Tab'!$V$4:$CA$74, MATCH($Z50, 'Reference Tab'!$U$4:$U$71, 0), MATCH(AE$5, 'Reference Tab'!$V$3:$CA$3, 0)),0)</f>
        <v>0</v>
      </c>
    </row>
    <row r="51" spans="2:31" ht="16" x14ac:dyDescent="0.4">
      <c r="B51" s="1075"/>
      <c r="J51" s="1075"/>
      <c r="Z51" s="1164" t="s">
        <v>477</v>
      </c>
      <c r="AA51" s="1142">
        <f t="shared" si="3"/>
        <v>6661.73</v>
      </c>
      <c r="AB51" s="207">
        <f>IFERROR(INDEX('Reference Tab'!$V$4:$CA$74, MATCH($Z51, 'Reference Tab'!$U$4:$U$71, 0), MATCH(AB$5, 'Reference Tab'!$V$3:$CA$3, 0)),0)</f>
        <v>6661.73</v>
      </c>
      <c r="AC51" s="207">
        <f>IFERROR(INDEX('Reference Tab'!$V$4:$CA$74, MATCH($Z51, 'Reference Tab'!$U$4:$U$71, 0), MATCH(AC$5, 'Reference Tab'!$V$3:$CA$3, 0)),0)</f>
        <v>0</v>
      </c>
      <c r="AD51" s="207">
        <f>IFERROR(INDEX('Reference Tab'!$V$4:$CA$74, MATCH($Z51, 'Reference Tab'!$U$4:$U$71, 0), MATCH(AD$5, 'Reference Tab'!$V$3:$CA$3, 0)),0)</f>
        <v>0</v>
      </c>
      <c r="AE51" s="225">
        <f>IFERROR(INDEX('Reference Tab'!$V$4:$CA$74, MATCH($Z51, 'Reference Tab'!$U$4:$U$71, 0), MATCH(AE$5, 'Reference Tab'!$V$3:$CA$3, 0)),0)</f>
        <v>0</v>
      </c>
    </row>
    <row r="52" spans="2:31" ht="16" x14ac:dyDescent="0.4">
      <c r="B52" s="1075"/>
      <c r="J52" s="1075"/>
      <c r="Z52" s="1164" t="s">
        <v>478</v>
      </c>
      <c r="AA52" s="1142">
        <f t="shared" si="3"/>
        <v>7399.7999999999993</v>
      </c>
      <c r="AB52" s="207">
        <f>IFERROR(INDEX('Reference Tab'!$V$4:$CA$74, MATCH($Z52, 'Reference Tab'!$U$4:$U$71, 0), MATCH(AB$5, 'Reference Tab'!$V$3:$CA$3, 0)),0)</f>
        <v>7399.7999999999993</v>
      </c>
      <c r="AC52" s="207">
        <f>IFERROR(INDEX('Reference Tab'!$V$4:$CA$74, MATCH($Z52, 'Reference Tab'!$U$4:$U$71, 0), MATCH(AC$5, 'Reference Tab'!$V$3:$CA$3, 0)),0)</f>
        <v>0</v>
      </c>
      <c r="AD52" s="207">
        <f>IFERROR(INDEX('Reference Tab'!$V$4:$CA$74, MATCH($Z52, 'Reference Tab'!$U$4:$U$71, 0), MATCH(AD$5, 'Reference Tab'!$V$3:$CA$3, 0)),0)</f>
        <v>0</v>
      </c>
      <c r="AE52" s="225">
        <f>IFERROR(INDEX('Reference Tab'!$V$4:$CA$74, MATCH($Z52, 'Reference Tab'!$U$4:$U$71, 0), MATCH(AE$5, 'Reference Tab'!$V$3:$CA$3, 0)),0)</f>
        <v>0</v>
      </c>
    </row>
    <row r="53" spans="2:31" ht="16" x14ac:dyDescent="0.4">
      <c r="B53" s="1075"/>
      <c r="J53" s="1075"/>
      <c r="Z53" s="1164" t="s">
        <v>479</v>
      </c>
      <c r="AA53" s="1142">
        <f t="shared" si="3"/>
        <v>2616.73</v>
      </c>
      <c r="AB53" s="207">
        <f>IFERROR(INDEX('Reference Tab'!$V$4:$CA$74, MATCH($Z53, 'Reference Tab'!$U$4:$U$71, 0), MATCH(AB$5, 'Reference Tab'!$V$3:$CA$3, 0)),0)</f>
        <v>2616.73</v>
      </c>
      <c r="AC53" s="207">
        <f>IFERROR(INDEX('Reference Tab'!$V$4:$CA$74, MATCH($Z53, 'Reference Tab'!$U$4:$U$71, 0), MATCH(AC$5, 'Reference Tab'!$V$3:$CA$3, 0)),0)</f>
        <v>0</v>
      </c>
      <c r="AD53" s="207">
        <f>IFERROR(INDEX('Reference Tab'!$V$4:$CA$74, MATCH($Z53, 'Reference Tab'!$U$4:$U$71, 0), MATCH(AD$5, 'Reference Tab'!$V$3:$CA$3, 0)),0)</f>
        <v>0</v>
      </c>
      <c r="AE53" s="225">
        <f>IFERROR(INDEX('Reference Tab'!$V$4:$CA$74, MATCH($Z53, 'Reference Tab'!$U$4:$U$71, 0), MATCH(AE$5, 'Reference Tab'!$V$3:$CA$3, 0)),0)</f>
        <v>0</v>
      </c>
    </row>
    <row r="54" spans="2:31" ht="16" x14ac:dyDescent="0.4">
      <c r="B54" s="1075"/>
      <c r="J54" s="1075"/>
      <c r="Z54" s="1164" t="s">
        <v>480</v>
      </c>
      <c r="AA54" s="1142">
        <f t="shared" si="3"/>
        <v>573.82000000000005</v>
      </c>
      <c r="AB54" s="207">
        <f>IFERROR(INDEX('Reference Tab'!$V$4:$CA$74, MATCH($Z54, 'Reference Tab'!$U$4:$U$71, 0), MATCH(AB$5, 'Reference Tab'!$V$3:$CA$3, 0)),0)</f>
        <v>573.82000000000005</v>
      </c>
      <c r="AC54" s="207">
        <f>IFERROR(INDEX('Reference Tab'!$V$4:$CA$74, MATCH($Z54, 'Reference Tab'!$U$4:$U$71, 0), MATCH(AC$5, 'Reference Tab'!$V$3:$CA$3, 0)),0)</f>
        <v>0</v>
      </c>
      <c r="AD54" s="207">
        <f>IFERROR(INDEX('Reference Tab'!$V$4:$CA$74, MATCH($Z54, 'Reference Tab'!$U$4:$U$71, 0), MATCH(AD$5, 'Reference Tab'!$V$3:$CA$3, 0)),0)</f>
        <v>0</v>
      </c>
      <c r="AE54" s="225">
        <f>IFERROR(INDEX('Reference Tab'!$V$4:$CA$74, MATCH($Z54, 'Reference Tab'!$U$4:$U$71, 0), MATCH(AE$5, 'Reference Tab'!$V$3:$CA$3, 0)),0)</f>
        <v>0</v>
      </c>
    </row>
    <row r="55" spans="2:31" ht="16" x14ac:dyDescent="0.4">
      <c r="B55" s="1075"/>
      <c r="J55" s="1075"/>
      <c r="Z55" s="1164" t="s">
        <v>481</v>
      </c>
      <c r="AA55" s="1142">
        <f t="shared" si="3"/>
        <v>2458.39</v>
      </c>
      <c r="AB55" s="207">
        <f>IFERROR(INDEX('Reference Tab'!$V$4:$CA$74, MATCH($Z55, 'Reference Tab'!$U$4:$U$71, 0), MATCH(AB$5, 'Reference Tab'!$V$3:$CA$3, 0)),0)</f>
        <v>2458.39</v>
      </c>
      <c r="AC55" s="207">
        <f>IFERROR(INDEX('Reference Tab'!$V$4:$CA$74, MATCH($Z55, 'Reference Tab'!$U$4:$U$71, 0), MATCH(AC$5, 'Reference Tab'!$V$3:$CA$3, 0)),0)</f>
        <v>0</v>
      </c>
      <c r="AD55" s="207">
        <f>IFERROR(INDEX('Reference Tab'!$V$4:$CA$74, MATCH($Z55, 'Reference Tab'!$U$4:$U$71, 0), MATCH(AD$5, 'Reference Tab'!$V$3:$CA$3, 0)),0)</f>
        <v>0</v>
      </c>
      <c r="AE55" s="225">
        <f>IFERROR(INDEX('Reference Tab'!$V$4:$CA$74, MATCH($Z55, 'Reference Tab'!$U$4:$U$71, 0), MATCH(AE$5, 'Reference Tab'!$V$3:$CA$3, 0)),0)</f>
        <v>0</v>
      </c>
    </row>
    <row r="56" spans="2:31" ht="16" x14ac:dyDescent="0.4">
      <c r="B56" s="1075"/>
      <c r="C56" s="1075"/>
      <c r="D56" s="1075"/>
      <c r="E56" s="1075"/>
      <c r="F56" s="1075"/>
      <c r="G56" s="1075"/>
      <c r="H56" s="1075"/>
      <c r="I56" s="1075"/>
      <c r="J56" s="1075"/>
      <c r="Z56" s="1164" t="s">
        <v>482</v>
      </c>
      <c r="AA56" s="1142">
        <f t="shared" si="3"/>
        <v>0</v>
      </c>
      <c r="AB56" s="207">
        <f>IFERROR(INDEX('Reference Tab'!$V$4:$CA$74, MATCH($Z56, 'Reference Tab'!$U$4:$U$71, 0), MATCH(AB$5, 'Reference Tab'!$V$3:$CA$3, 0)),0)</f>
        <v>0</v>
      </c>
      <c r="AC56" s="207">
        <f>IFERROR(INDEX('Reference Tab'!$V$4:$CA$74, MATCH($Z56, 'Reference Tab'!$U$4:$U$71, 0), MATCH(AC$5, 'Reference Tab'!$V$3:$CA$3, 0)),0)</f>
        <v>0</v>
      </c>
      <c r="AD56" s="207">
        <f>IFERROR(INDEX('Reference Tab'!$V$4:$CA$74, MATCH($Z56, 'Reference Tab'!$U$4:$U$71, 0), MATCH(AD$5, 'Reference Tab'!$V$3:$CA$3, 0)),0)</f>
        <v>0</v>
      </c>
      <c r="AE56" s="225">
        <f>IFERROR(INDEX('Reference Tab'!$V$4:$CA$74, MATCH($Z56, 'Reference Tab'!$U$4:$U$71, 0), MATCH(AE$5, 'Reference Tab'!$V$3:$CA$3, 0)),0)</f>
        <v>0</v>
      </c>
    </row>
    <row r="57" spans="2:31" ht="16" x14ac:dyDescent="0.4">
      <c r="B57" s="1075"/>
      <c r="C57" s="1075"/>
      <c r="D57" s="1075"/>
      <c r="E57" s="1075"/>
      <c r="F57" s="1075"/>
      <c r="G57" s="1075"/>
      <c r="H57" s="1075"/>
      <c r="I57" s="1075"/>
      <c r="J57" s="1075"/>
      <c r="Z57" s="1164" t="s">
        <v>483</v>
      </c>
      <c r="AA57" s="1142">
        <f t="shared" si="3"/>
        <v>0</v>
      </c>
      <c r="AB57" s="207">
        <f>IFERROR(INDEX('Reference Tab'!$V$4:$CA$74, MATCH($Z57, 'Reference Tab'!$U$4:$U$71, 0), MATCH(AB$5, 'Reference Tab'!$V$3:$CA$3, 0)),0)</f>
        <v>0</v>
      </c>
      <c r="AC57" s="207">
        <f>IFERROR(INDEX('Reference Tab'!$V$4:$CA$74, MATCH($Z57, 'Reference Tab'!$U$4:$U$71, 0), MATCH(AC$5, 'Reference Tab'!$V$3:$CA$3, 0)),0)</f>
        <v>0</v>
      </c>
      <c r="AD57" s="207">
        <f>IFERROR(INDEX('Reference Tab'!$V$4:$CA$74, MATCH($Z57, 'Reference Tab'!$U$4:$U$71, 0), MATCH(AD$5, 'Reference Tab'!$V$3:$CA$3, 0)),0)</f>
        <v>0</v>
      </c>
      <c r="AE57" s="225">
        <f>IFERROR(INDEX('Reference Tab'!$V$4:$CA$74, MATCH($Z57, 'Reference Tab'!$U$4:$U$71, 0), MATCH(AE$5, 'Reference Tab'!$V$3:$CA$3, 0)),0)</f>
        <v>0</v>
      </c>
    </row>
    <row r="58" spans="2:31" ht="13" x14ac:dyDescent="0.3">
      <c r="Z58" s="1164" t="s">
        <v>484</v>
      </c>
      <c r="AA58" s="1142">
        <f t="shared" si="3"/>
        <v>0</v>
      </c>
      <c r="AB58" s="207">
        <f>IFERROR(INDEX('Reference Tab'!$V$4:$CA$74, MATCH($Z58, 'Reference Tab'!$U$4:$U$71, 0), MATCH(AB$5, 'Reference Tab'!$V$3:$CA$3, 0)),0)</f>
        <v>0</v>
      </c>
      <c r="AC58" s="207">
        <f>IFERROR(INDEX('Reference Tab'!$V$4:$CA$74, MATCH($Z58, 'Reference Tab'!$U$4:$U$71, 0), MATCH(AC$5, 'Reference Tab'!$V$3:$CA$3, 0)),0)</f>
        <v>0</v>
      </c>
      <c r="AD58" s="207">
        <f>IFERROR(INDEX('Reference Tab'!$V$4:$CA$74, MATCH($Z58, 'Reference Tab'!$U$4:$U$71, 0), MATCH(AD$5, 'Reference Tab'!$V$3:$CA$3, 0)),0)</f>
        <v>0</v>
      </c>
      <c r="AE58" s="225">
        <f>IFERROR(INDEX('Reference Tab'!$V$4:$CA$74, MATCH($Z58, 'Reference Tab'!$U$4:$U$71, 0), MATCH(AE$5, 'Reference Tab'!$V$3:$CA$3, 0)),0)</f>
        <v>0</v>
      </c>
    </row>
    <row r="59" spans="2:31" ht="13" x14ac:dyDescent="0.3">
      <c r="Z59" s="1164" t="s">
        <v>485</v>
      </c>
      <c r="AA59" s="1142">
        <f t="shared" si="3"/>
        <v>3070.51</v>
      </c>
      <c r="AB59" s="207">
        <f>IFERROR(INDEX('Reference Tab'!$V$4:$CA$74, MATCH($Z59, 'Reference Tab'!$U$4:$U$71, 0), MATCH(AB$5, 'Reference Tab'!$V$3:$CA$3, 0)),0)</f>
        <v>3070.51</v>
      </c>
      <c r="AC59" s="207">
        <f>IFERROR(INDEX('Reference Tab'!$V$4:$CA$74, MATCH($Z59, 'Reference Tab'!$U$4:$U$71, 0), MATCH(AC$5, 'Reference Tab'!$V$3:$CA$3, 0)),0)</f>
        <v>0</v>
      </c>
      <c r="AD59" s="207">
        <f>IFERROR(INDEX('Reference Tab'!$V$4:$CA$74, MATCH($Z59, 'Reference Tab'!$U$4:$U$71, 0), MATCH(AD$5, 'Reference Tab'!$V$3:$CA$3, 0)),0)</f>
        <v>0</v>
      </c>
      <c r="AE59" s="225">
        <f>IFERROR(INDEX('Reference Tab'!$V$4:$CA$74, MATCH($Z59, 'Reference Tab'!$U$4:$U$71, 0), MATCH(AE$5, 'Reference Tab'!$V$3:$CA$3, 0)),0)</f>
        <v>0</v>
      </c>
    </row>
    <row r="60" spans="2:31" ht="13" x14ac:dyDescent="0.3">
      <c r="Z60" s="1164" t="s">
        <v>486</v>
      </c>
      <c r="AA60" s="1142">
        <f t="shared" si="3"/>
        <v>3883.77</v>
      </c>
      <c r="AB60" s="207">
        <f>IFERROR(INDEX('Reference Tab'!$V$4:$CA$74, MATCH($Z60, 'Reference Tab'!$U$4:$U$71, 0), MATCH(AB$5, 'Reference Tab'!$V$3:$CA$3, 0)),0)</f>
        <v>3883.77</v>
      </c>
      <c r="AC60" s="207">
        <f>IFERROR(INDEX('Reference Tab'!$V$4:$CA$74, MATCH($Z60, 'Reference Tab'!$U$4:$U$71, 0), MATCH(AC$5, 'Reference Tab'!$V$3:$CA$3, 0)),0)</f>
        <v>0</v>
      </c>
      <c r="AD60" s="207">
        <f>IFERROR(INDEX('Reference Tab'!$V$4:$CA$74, MATCH($Z60, 'Reference Tab'!$U$4:$U$71, 0), MATCH(AD$5, 'Reference Tab'!$V$3:$CA$3, 0)),0)</f>
        <v>0</v>
      </c>
      <c r="AE60" s="225">
        <f>IFERROR(INDEX('Reference Tab'!$V$4:$CA$74, MATCH($Z60, 'Reference Tab'!$U$4:$U$71, 0), MATCH(AE$5, 'Reference Tab'!$V$3:$CA$3, 0)),0)</f>
        <v>0</v>
      </c>
    </row>
    <row r="61" spans="2:31" ht="13" x14ac:dyDescent="0.3">
      <c r="Z61" s="1164" t="s">
        <v>487</v>
      </c>
      <c r="AA61" s="1142">
        <f t="shared" si="3"/>
        <v>2128.6999999999998</v>
      </c>
      <c r="AB61" s="207">
        <f>IFERROR(INDEX('Reference Tab'!$V$4:$CA$74, MATCH($Z61, 'Reference Tab'!$U$4:$U$71, 0), MATCH(AB$5, 'Reference Tab'!$V$3:$CA$3, 0)),0)</f>
        <v>2128.6999999999998</v>
      </c>
      <c r="AC61" s="207">
        <f>IFERROR(INDEX('Reference Tab'!$V$4:$CA$74, MATCH($Z61, 'Reference Tab'!$U$4:$U$71, 0), MATCH(AC$5, 'Reference Tab'!$V$3:$CA$3, 0)),0)</f>
        <v>0</v>
      </c>
      <c r="AD61" s="207">
        <f>IFERROR(INDEX('Reference Tab'!$V$4:$CA$74, MATCH($Z61, 'Reference Tab'!$U$4:$U$71, 0), MATCH(AD$5, 'Reference Tab'!$V$3:$CA$3, 0)),0)</f>
        <v>0</v>
      </c>
      <c r="AE61" s="225">
        <f>IFERROR(INDEX('Reference Tab'!$V$4:$CA$74, MATCH($Z61, 'Reference Tab'!$U$4:$U$71, 0), MATCH(AE$5, 'Reference Tab'!$V$3:$CA$3, 0)),0)</f>
        <v>0</v>
      </c>
    </row>
    <row r="62" spans="2:31" ht="13" x14ac:dyDescent="0.3">
      <c r="Z62" s="1164" t="s">
        <v>488</v>
      </c>
      <c r="AA62" s="1142">
        <f t="shared" si="3"/>
        <v>2729.75</v>
      </c>
      <c r="AB62" s="207">
        <f>IFERROR(INDEX('Reference Tab'!$V$4:$CA$74, MATCH($Z62, 'Reference Tab'!$U$4:$U$71, 0), MATCH(AB$5, 'Reference Tab'!$V$3:$CA$3, 0)),0)</f>
        <v>2729.75</v>
      </c>
      <c r="AC62" s="207">
        <f>IFERROR(INDEX('Reference Tab'!$V$4:$CA$74, MATCH($Z62, 'Reference Tab'!$U$4:$U$71, 0), MATCH(AC$5, 'Reference Tab'!$V$3:$CA$3, 0)),0)</f>
        <v>0</v>
      </c>
      <c r="AD62" s="207">
        <f>IFERROR(INDEX('Reference Tab'!$V$4:$CA$74, MATCH($Z62, 'Reference Tab'!$U$4:$U$71, 0), MATCH(AD$5, 'Reference Tab'!$V$3:$CA$3, 0)),0)</f>
        <v>0</v>
      </c>
      <c r="AE62" s="225">
        <f>IFERROR(INDEX('Reference Tab'!$V$4:$CA$74, MATCH($Z62, 'Reference Tab'!$U$4:$U$71, 0), MATCH(AE$5, 'Reference Tab'!$V$3:$CA$3, 0)),0)</f>
        <v>0</v>
      </c>
    </row>
    <row r="63" spans="2:31" ht="13" x14ac:dyDescent="0.3">
      <c r="Z63" s="1164" t="s">
        <v>489</v>
      </c>
      <c r="AA63" s="1142">
        <f t="shared" si="3"/>
        <v>1112.3800000000001</v>
      </c>
      <c r="AB63" s="207">
        <f>IFERROR(INDEX('Reference Tab'!$V$4:$CA$74, MATCH($Z63, 'Reference Tab'!$U$4:$U$71, 0), MATCH(AB$5, 'Reference Tab'!$V$3:$CA$3, 0)),0)</f>
        <v>1112.3800000000001</v>
      </c>
      <c r="AC63" s="207">
        <f>IFERROR(INDEX('Reference Tab'!$V$4:$CA$74, MATCH($Z63, 'Reference Tab'!$U$4:$U$71, 0), MATCH(AC$5, 'Reference Tab'!$V$3:$CA$3, 0)),0)</f>
        <v>0</v>
      </c>
      <c r="AD63" s="207">
        <f>IFERROR(INDEX('Reference Tab'!$V$4:$CA$74, MATCH($Z63, 'Reference Tab'!$U$4:$U$71, 0), MATCH(AD$5, 'Reference Tab'!$V$3:$CA$3, 0)),0)</f>
        <v>0</v>
      </c>
      <c r="AE63" s="225">
        <f>IFERROR(INDEX('Reference Tab'!$V$4:$CA$74, MATCH($Z63, 'Reference Tab'!$U$4:$U$71, 0), MATCH(AE$5, 'Reference Tab'!$V$3:$CA$3, 0)),0)</f>
        <v>0</v>
      </c>
    </row>
    <row r="64" spans="2:31" ht="13" x14ac:dyDescent="0.3">
      <c r="Z64" s="1164" t="s">
        <v>490</v>
      </c>
      <c r="AA64" s="1142">
        <f t="shared" si="3"/>
        <v>120</v>
      </c>
      <c r="AB64" s="207">
        <f>IFERROR(INDEX('Reference Tab'!$V$4:$CA$74, MATCH($Z64, 'Reference Tab'!$U$4:$U$71, 0), MATCH(AB$5, 'Reference Tab'!$V$3:$CA$3, 0)),0)</f>
        <v>120</v>
      </c>
      <c r="AC64" s="207">
        <f>IFERROR(INDEX('Reference Tab'!$V$4:$CA$74, MATCH($Z64, 'Reference Tab'!$U$4:$U$71, 0), MATCH(AC$5, 'Reference Tab'!$V$3:$CA$3, 0)),0)</f>
        <v>0</v>
      </c>
      <c r="AD64" s="207">
        <f>IFERROR(INDEX('Reference Tab'!$V$4:$CA$74, MATCH($Z64, 'Reference Tab'!$U$4:$U$71, 0), MATCH(AD$5, 'Reference Tab'!$V$3:$CA$3, 0)),0)</f>
        <v>0</v>
      </c>
      <c r="AE64" s="225">
        <f>IFERROR(INDEX('Reference Tab'!$V$4:$CA$74, MATCH($Z64, 'Reference Tab'!$U$4:$U$71, 0), MATCH(AE$5, 'Reference Tab'!$V$3:$CA$3, 0)),0)</f>
        <v>0</v>
      </c>
    </row>
    <row r="65" spans="26:31" ht="13" x14ac:dyDescent="0.3">
      <c r="Z65" s="1164" t="s">
        <v>491</v>
      </c>
      <c r="AA65" s="1142">
        <f t="shared" si="3"/>
        <v>330</v>
      </c>
      <c r="AB65" s="207">
        <f>IFERROR(INDEX('Reference Tab'!$V$4:$CA$74, MATCH($Z65, 'Reference Tab'!$U$4:$U$71, 0), MATCH(AB$5, 'Reference Tab'!$V$3:$CA$3, 0)),0)</f>
        <v>330</v>
      </c>
      <c r="AC65" s="207">
        <f>IFERROR(INDEX('Reference Tab'!$V$4:$CA$74, MATCH($Z65, 'Reference Tab'!$U$4:$U$71, 0), MATCH(AC$5, 'Reference Tab'!$V$3:$CA$3, 0)),0)</f>
        <v>0</v>
      </c>
      <c r="AD65" s="207">
        <f>IFERROR(INDEX('Reference Tab'!$V$4:$CA$74, MATCH($Z65, 'Reference Tab'!$U$4:$U$71, 0), MATCH(AD$5, 'Reference Tab'!$V$3:$CA$3, 0)),0)</f>
        <v>0</v>
      </c>
      <c r="AE65" s="225">
        <f>IFERROR(INDEX('Reference Tab'!$V$4:$CA$74, MATCH($Z65, 'Reference Tab'!$U$4:$U$71, 0), MATCH(AE$5, 'Reference Tab'!$V$3:$CA$3, 0)),0)</f>
        <v>0</v>
      </c>
    </row>
    <row r="66" spans="26:31" ht="13" x14ac:dyDescent="0.3">
      <c r="Z66" s="1164" t="s">
        <v>493</v>
      </c>
      <c r="AA66" s="1142">
        <f t="shared" si="3"/>
        <v>0</v>
      </c>
      <c r="AB66" s="207">
        <f>IFERROR(INDEX('Reference Tab'!$V$4:$CA$74, MATCH($Z66, 'Reference Tab'!$U$4:$U$71, 0), MATCH(AB$5, 'Reference Tab'!$V$3:$CA$3, 0)),0)</f>
        <v>0</v>
      </c>
      <c r="AC66" s="207">
        <f>IFERROR(INDEX('Reference Tab'!$V$4:$CA$74, MATCH($Z66, 'Reference Tab'!$U$4:$U$71, 0), MATCH(AC$5, 'Reference Tab'!$V$3:$CA$3, 0)),0)</f>
        <v>0</v>
      </c>
      <c r="AD66" s="207">
        <f>IFERROR(INDEX('Reference Tab'!$V$4:$CA$74, MATCH($Z66, 'Reference Tab'!$U$4:$U$71, 0), MATCH(AD$5, 'Reference Tab'!$V$3:$CA$3, 0)),0)</f>
        <v>0</v>
      </c>
      <c r="AE66" s="225">
        <f>IFERROR(INDEX('Reference Tab'!$V$4:$CA$74, MATCH($Z66, 'Reference Tab'!$U$4:$U$71, 0), MATCH(AE$5, 'Reference Tab'!$V$3:$CA$3, 0)),0)</f>
        <v>0</v>
      </c>
    </row>
    <row r="67" spans="26:31" ht="13" x14ac:dyDescent="0.3">
      <c r="Z67" s="1164" t="s">
        <v>494</v>
      </c>
      <c r="AA67" s="1142">
        <f t="shared" si="3"/>
        <v>10115</v>
      </c>
      <c r="AB67" s="207">
        <f>IFERROR(INDEX('Reference Tab'!$V$4:$CA$74, MATCH($Z67, 'Reference Tab'!$U$4:$U$71, 0), MATCH(AB$5, 'Reference Tab'!$V$3:$CA$3, 0)),0)</f>
        <v>10115</v>
      </c>
      <c r="AC67" s="207">
        <f>IFERROR(INDEX('Reference Tab'!$V$4:$CA$74, MATCH($Z67, 'Reference Tab'!$U$4:$U$71, 0), MATCH(AC$5, 'Reference Tab'!$V$3:$CA$3, 0)),0)</f>
        <v>0</v>
      </c>
      <c r="AD67" s="207">
        <f>IFERROR(INDEX('Reference Tab'!$V$4:$CA$74, MATCH($Z67, 'Reference Tab'!$U$4:$U$71, 0), MATCH(AD$5, 'Reference Tab'!$V$3:$CA$3, 0)),0)</f>
        <v>0</v>
      </c>
      <c r="AE67" s="225">
        <f>IFERROR(INDEX('Reference Tab'!$V$4:$CA$74, MATCH($Z67, 'Reference Tab'!$U$4:$U$71, 0), MATCH(AE$5, 'Reference Tab'!$V$3:$CA$3, 0)),0)</f>
        <v>0</v>
      </c>
    </row>
    <row r="68" spans="26:31" ht="13" x14ac:dyDescent="0.3">
      <c r="Z68" s="1164" t="s">
        <v>496</v>
      </c>
      <c r="AA68" s="1142">
        <f t="shared" si="3"/>
        <v>8250</v>
      </c>
      <c r="AB68" s="207">
        <f>IFERROR(INDEX('Reference Tab'!$V$4:$CA$74, MATCH($Z68, 'Reference Tab'!$U$4:$U$71, 0), MATCH(AB$5, 'Reference Tab'!$V$3:$CA$3, 0)),0)</f>
        <v>8250</v>
      </c>
      <c r="AC68" s="207">
        <f>IFERROR(INDEX('Reference Tab'!$V$4:$CA$74, MATCH($Z68, 'Reference Tab'!$U$4:$U$71, 0), MATCH(AC$5, 'Reference Tab'!$V$3:$CA$3, 0)),0)</f>
        <v>0</v>
      </c>
      <c r="AD68" s="207">
        <f>IFERROR(INDEX('Reference Tab'!$V$4:$CA$74, MATCH($Z68, 'Reference Tab'!$U$4:$U$71, 0), MATCH(AD$5, 'Reference Tab'!$V$3:$CA$3, 0)),0)</f>
        <v>0</v>
      </c>
      <c r="AE68" s="225">
        <f>IFERROR(INDEX('Reference Tab'!$V$4:$CA$74, MATCH($Z68, 'Reference Tab'!$U$4:$U$71, 0), MATCH(AE$5, 'Reference Tab'!$V$3:$CA$3, 0)),0)</f>
        <v>0</v>
      </c>
    </row>
    <row r="69" spans="26:31" ht="13" x14ac:dyDescent="0.3">
      <c r="Z69" s="1164" t="s">
        <v>497</v>
      </c>
      <c r="AA69" s="1142">
        <f t="shared" si="3"/>
        <v>6270</v>
      </c>
      <c r="AB69" s="207">
        <f>IFERROR(INDEX('Reference Tab'!$V$4:$CA$74, MATCH($Z69, 'Reference Tab'!$U$4:$U$71, 0), MATCH(AB$5, 'Reference Tab'!$V$3:$CA$3, 0)),0)</f>
        <v>6270</v>
      </c>
      <c r="AC69" s="207">
        <f>IFERROR(INDEX('Reference Tab'!$V$4:$CA$74, MATCH($Z69, 'Reference Tab'!$U$4:$U$71, 0), MATCH(AC$5, 'Reference Tab'!$V$3:$CA$3, 0)),0)</f>
        <v>0</v>
      </c>
      <c r="AD69" s="207">
        <f>IFERROR(INDEX('Reference Tab'!$V$4:$CA$74, MATCH($Z69, 'Reference Tab'!$U$4:$U$71, 0), MATCH(AD$5, 'Reference Tab'!$V$3:$CA$3, 0)),0)</f>
        <v>0</v>
      </c>
      <c r="AE69" s="225">
        <f>IFERROR(INDEX('Reference Tab'!$V$4:$CA$74, MATCH($Z69, 'Reference Tab'!$U$4:$U$71, 0), MATCH(AE$5, 'Reference Tab'!$V$3:$CA$3, 0)),0)</f>
        <v>0</v>
      </c>
    </row>
    <row r="70" spans="26:31" ht="13" x14ac:dyDescent="0.3">
      <c r="Z70" s="1164" t="s">
        <v>498</v>
      </c>
      <c r="AA70" s="1142">
        <f t="shared" si="3"/>
        <v>275</v>
      </c>
      <c r="AB70" s="207">
        <f>IFERROR(INDEX('Reference Tab'!$V$4:$CA$74, MATCH($Z70, 'Reference Tab'!$U$4:$U$71, 0), MATCH(AB$5, 'Reference Tab'!$V$3:$CA$3, 0)),0)</f>
        <v>275</v>
      </c>
      <c r="AC70" s="207">
        <f>IFERROR(INDEX('Reference Tab'!$V$4:$CA$74, MATCH($Z70, 'Reference Tab'!$U$4:$U$71, 0), MATCH(AC$5, 'Reference Tab'!$V$3:$CA$3, 0)),0)</f>
        <v>0</v>
      </c>
      <c r="AD70" s="207">
        <f>IFERROR(INDEX('Reference Tab'!$V$4:$CA$74, MATCH($Z70, 'Reference Tab'!$U$4:$U$71, 0), MATCH(AD$5, 'Reference Tab'!$V$3:$CA$3, 0)),0)</f>
        <v>0</v>
      </c>
      <c r="AE70" s="225">
        <f>IFERROR(INDEX('Reference Tab'!$V$4:$CA$74, MATCH($Z70, 'Reference Tab'!$U$4:$U$71, 0), MATCH(AE$5, 'Reference Tab'!$V$3:$CA$3, 0)),0)</f>
        <v>0</v>
      </c>
    </row>
    <row r="71" spans="26:31" ht="13" x14ac:dyDescent="0.3">
      <c r="Z71" s="1164" t="s">
        <v>499</v>
      </c>
      <c r="AA71" s="1142">
        <f t="shared" ref="AA71:AA103" si="45">(AB71*$AB$8)+(AC71*$AC$8)+(AD71*$AD$8)+(AE71*$AE$8)</f>
        <v>0</v>
      </c>
      <c r="AB71" s="207">
        <f>IFERROR(INDEX('Reference Tab'!$V$4:$CA$74, MATCH($Z71, 'Reference Tab'!$U$4:$U$71, 0), MATCH(AB$5, 'Reference Tab'!$V$3:$CA$3, 0)),0)</f>
        <v>0</v>
      </c>
      <c r="AC71" s="207">
        <f>IFERROR(INDEX('Reference Tab'!$V$4:$CA$74, MATCH($Z71, 'Reference Tab'!$U$4:$U$71, 0), MATCH(AC$5, 'Reference Tab'!$V$3:$CA$3, 0)),0)</f>
        <v>0</v>
      </c>
      <c r="AD71" s="207">
        <f>IFERROR(INDEX('Reference Tab'!$V$4:$CA$74, MATCH($Z71, 'Reference Tab'!$U$4:$U$71, 0), MATCH(AD$5, 'Reference Tab'!$V$3:$CA$3, 0)),0)</f>
        <v>0</v>
      </c>
      <c r="AE71" s="225">
        <f>IFERROR(INDEX('Reference Tab'!$V$4:$CA$74, MATCH($Z71, 'Reference Tab'!$U$4:$U$71, 0), MATCH(AE$5, 'Reference Tab'!$V$3:$CA$3, 0)),0)</f>
        <v>0</v>
      </c>
    </row>
    <row r="72" spans="26:31" ht="13" x14ac:dyDescent="0.3">
      <c r="Z72" s="1164" t="s">
        <v>500</v>
      </c>
      <c r="AA72" s="1142">
        <f t="shared" si="45"/>
        <v>2800</v>
      </c>
      <c r="AB72" s="207">
        <f>IFERROR(INDEX('Reference Tab'!$V$4:$CA$74, MATCH($Z72, 'Reference Tab'!$U$4:$U$71, 0), MATCH(AB$5, 'Reference Tab'!$V$3:$CA$3, 0)),0)</f>
        <v>2800</v>
      </c>
      <c r="AC72" s="207">
        <f>IFERROR(INDEX('Reference Tab'!$V$4:$CA$74, MATCH($Z72, 'Reference Tab'!$U$4:$U$71, 0), MATCH(AC$5, 'Reference Tab'!$V$3:$CA$3, 0)),0)</f>
        <v>0</v>
      </c>
      <c r="AD72" s="207">
        <f>IFERROR(INDEX('Reference Tab'!$V$4:$CA$74, MATCH($Z72, 'Reference Tab'!$U$4:$U$71, 0), MATCH(AD$5, 'Reference Tab'!$V$3:$CA$3, 0)),0)</f>
        <v>0</v>
      </c>
      <c r="AE72" s="225">
        <f>IFERROR(INDEX('Reference Tab'!$V$4:$CA$74, MATCH($Z72, 'Reference Tab'!$U$4:$U$71, 0), MATCH(AE$5, 'Reference Tab'!$V$3:$CA$3, 0)),0)</f>
        <v>0</v>
      </c>
    </row>
    <row r="73" spans="26:31" ht="13" x14ac:dyDescent="0.3">
      <c r="Z73" s="1164" t="s">
        <v>501</v>
      </c>
      <c r="AA73" s="1142">
        <f t="shared" si="45"/>
        <v>3181.59</v>
      </c>
      <c r="AB73" s="207">
        <f>IFERROR(INDEX('Reference Tab'!$V$4:$CA$74, MATCH($Z73, 'Reference Tab'!$U$4:$U$71, 0), MATCH(AB$5, 'Reference Tab'!$V$3:$CA$3, 0)),0)</f>
        <v>3181.59</v>
      </c>
      <c r="AC73" s="207">
        <f>IFERROR(INDEX('Reference Tab'!$V$4:$CA$74, MATCH($Z73, 'Reference Tab'!$U$4:$U$71, 0), MATCH(AC$5, 'Reference Tab'!$V$3:$CA$3, 0)),0)</f>
        <v>0</v>
      </c>
      <c r="AD73" s="207">
        <f>IFERROR(INDEX('Reference Tab'!$V$4:$CA$74, MATCH($Z73, 'Reference Tab'!$U$4:$U$71, 0), MATCH(AD$5, 'Reference Tab'!$V$3:$CA$3, 0)),0)</f>
        <v>0</v>
      </c>
      <c r="AE73" s="225">
        <f>IFERROR(INDEX('Reference Tab'!$V$4:$CA$74, MATCH($Z73, 'Reference Tab'!$U$4:$U$71, 0), MATCH(AE$5, 'Reference Tab'!$V$3:$CA$3, 0)),0)</f>
        <v>0</v>
      </c>
    </row>
    <row r="74" spans="26:31" ht="13" x14ac:dyDescent="0.3">
      <c r="Z74" s="1164" t="s">
        <v>503</v>
      </c>
      <c r="AA74" s="1142">
        <f t="shared" si="45"/>
        <v>3783.96</v>
      </c>
      <c r="AB74" s="207">
        <f>IFERROR(INDEX('Reference Tab'!$V$4:$CA$74, MATCH($Z74, 'Reference Tab'!$U$4:$U$71, 0), MATCH(AB$5, 'Reference Tab'!$V$3:$CA$3, 0)),0)</f>
        <v>3783.96</v>
      </c>
      <c r="AC74" s="207">
        <f>IFERROR(INDEX('Reference Tab'!$V$4:$CA$74, MATCH($Z74, 'Reference Tab'!$U$4:$U$71, 0), MATCH(AC$5, 'Reference Tab'!$V$3:$CA$3, 0)),0)</f>
        <v>0</v>
      </c>
      <c r="AD74" s="207">
        <f>IFERROR(INDEX('Reference Tab'!$V$4:$CA$74, MATCH($Z74, 'Reference Tab'!$U$4:$U$71, 0), MATCH(AD$5, 'Reference Tab'!$V$3:$CA$3, 0)),0)</f>
        <v>0</v>
      </c>
      <c r="AE74" s="225">
        <f>IFERROR(INDEX('Reference Tab'!$V$4:$CA$74, MATCH($Z74, 'Reference Tab'!$U$4:$U$71, 0), MATCH(AE$5, 'Reference Tab'!$V$3:$CA$3, 0)),0)</f>
        <v>0</v>
      </c>
    </row>
    <row r="75" spans="26:31" ht="13" x14ac:dyDescent="0.3">
      <c r="Z75" s="1164" t="s">
        <v>504</v>
      </c>
      <c r="AA75" s="1142">
        <f t="shared" si="45"/>
        <v>45</v>
      </c>
      <c r="AB75" s="207">
        <f>IFERROR(INDEX('Reference Tab'!$V$4:$CA$74, MATCH($Z75, 'Reference Tab'!$U$4:$U$71, 0), MATCH(AB$5, 'Reference Tab'!$V$3:$CA$3, 0)),0)</f>
        <v>45</v>
      </c>
      <c r="AC75" s="207">
        <f>IFERROR(INDEX('Reference Tab'!$V$4:$CA$74, MATCH($Z75, 'Reference Tab'!$U$4:$U$71, 0), MATCH(AC$5, 'Reference Tab'!$V$3:$CA$3, 0)),0)</f>
        <v>0</v>
      </c>
      <c r="AD75" s="207">
        <f>IFERROR(INDEX('Reference Tab'!$V$4:$CA$74, MATCH($Z75, 'Reference Tab'!$U$4:$U$71, 0), MATCH(AD$5, 'Reference Tab'!$V$3:$CA$3, 0)),0)</f>
        <v>0</v>
      </c>
      <c r="AE75" s="225">
        <f>IFERROR(INDEX('Reference Tab'!$V$4:$CA$74, MATCH($Z75, 'Reference Tab'!$U$4:$U$71, 0), MATCH(AE$5, 'Reference Tab'!$V$3:$CA$3, 0)),0)</f>
        <v>0</v>
      </c>
    </row>
    <row r="76" spans="26:31" ht="13" x14ac:dyDescent="0.3">
      <c r="Z76" s="1164" t="s">
        <v>505</v>
      </c>
      <c r="AA76" s="1142">
        <f t="shared" si="45"/>
        <v>2786</v>
      </c>
      <c r="AB76" s="207">
        <f>IFERROR(INDEX('Reference Tab'!$V$4:$CA$74, MATCH($Z76, 'Reference Tab'!$U$4:$U$71, 0), MATCH(AB$5, 'Reference Tab'!$V$3:$CA$3, 0)),0)</f>
        <v>2786</v>
      </c>
      <c r="AC76" s="207">
        <f>IFERROR(INDEX('Reference Tab'!$V$4:$CA$74, MATCH($Z76, 'Reference Tab'!$U$4:$U$71, 0), MATCH(AC$5, 'Reference Tab'!$V$3:$CA$3, 0)),0)</f>
        <v>0</v>
      </c>
      <c r="AD76" s="207">
        <f>IFERROR(INDEX('Reference Tab'!$V$4:$CA$74, MATCH($Z76, 'Reference Tab'!$U$4:$U$71, 0), MATCH(AD$5, 'Reference Tab'!$V$3:$CA$3, 0)),0)</f>
        <v>0</v>
      </c>
      <c r="AE76" s="225">
        <f>IFERROR(INDEX('Reference Tab'!$V$4:$CA$74, MATCH($Z76, 'Reference Tab'!$U$4:$U$71, 0), MATCH(AE$5, 'Reference Tab'!$V$3:$CA$3, 0)),0)</f>
        <v>0</v>
      </c>
    </row>
    <row r="77" spans="26:31" ht="13" x14ac:dyDescent="0.3">
      <c r="Z77" s="1164" t="s">
        <v>507</v>
      </c>
      <c r="AA77" s="1142">
        <f t="shared" si="45"/>
        <v>0</v>
      </c>
      <c r="AB77" s="207">
        <f>IFERROR(INDEX('Reference Tab'!$V$4:$CA$74, MATCH($Z77, 'Reference Tab'!$U$4:$U$71, 0), MATCH(AB$5, 'Reference Tab'!$V$3:$CA$3, 0)),0)</f>
        <v>0</v>
      </c>
      <c r="AC77" s="207">
        <f>IFERROR(INDEX('Reference Tab'!$V$4:$CA$74, MATCH($Z77, 'Reference Tab'!$U$4:$U$71, 0), MATCH(AC$5, 'Reference Tab'!$V$3:$CA$3, 0)),0)</f>
        <v>0</v>
      </c>
      <c r="AD77" s="207">
        <f>IFERROR(INDEX('Reference Tab'!$V$4:$CA$74, MATCH($Z77, 'Reference Tab'!$U$4:$U$71, 0), MATCH(AD$5, 'Reference Tab'!$V$3:$CA$3, 0)),0)</f>
        <v>0</v>
      </c>
      <c r="AE77" s="225">
        <f>IFERROR(INDEX('Reference Tab'!$V$4:$CA$74, MATCH($Z77, 'Reference Tab'!$U$4:$U$71, 0), MATCH(AE$5, 'Reference Tab'!$V$3:$CA$3, 0)),0)</f>
        <v>0</v>
      </c>
    </row>
    <row r="78" spans="26:31" ht="13" x14ac:dyDescent="0.3">
      <c r="Z78" s="1164" t="s">
        <v>508</v>
      </c>
      <c r="AA78" s="1142">
        <f t="shared" si="45"/>
        <v>4068</v>
      </c>
      <c r="AB78" s="207">
        <f>IFERROR(INDEX('Reference Tab'!$V$4:$CA$74, MATCH($Z78, 'Reference Tab'!$U$4:$U$71, 0), MATCH(AB$5, 'Reference Tab'!$V$3:$CA$3, 0)),0)</f>
        <v>4068</v>
      </c>
      <c r="AC78" s="207">
        <f>IFERROR(INDEX('Reference Tab'!$V$4:$CA$74, MATCH($Z78, 'Reference Tab'!$U$4:$U$71, 0), MATCH(AC$5, 'Reference Tab'!$V$3:$CA$3, 0)),0)</f>
        <v>0</v>
      </c>
      <c r="AD78" s="207">
        <f>IFERROR(INDEX('Reference Tab'!$V$4:$CA$74, MATCH($Z78, 'Reference Tab'!$U$4:$U$71, 0), MATCH(AD$5, 'Reference Tab'!$V$3:$CA$3, 0)),0)</f>
        <v>0</v>
      </c>
      <c r="AE78" s="225">
        <f>IFERROR(INDEX('Reference Tab'!$V$4:$CA$74, MATCH($Z78, 'Reference Tab'!$U$4:$U$71, 0), MATCH(AE$5, 'Reference Tab'!$V$3:$CA$3, 0)),0)</f>
        <v>0</v>
      </c>
    </row>
    <row r="79" spans="26:31" ht="13" x14ac:dyDescent="0.3">
      <c r="Z79" s="1164" t="s">
        <v>509</v>
      </c>
      <c r="AA79" s="1142">
        <f t="shared" si="45"/>
        <v>451.21</v>
      </c>
      <c r="AB79" s="207">
        <f>IFERROR(INDEX('Reference Tab'!$V$4:$CA$74, MATCH($Z79, 'Reference Tab'!$U$4:$U$71, 0), MATCH(AB$5, 'Reference Tab'!$V$3:$CA$3, 0)),0)</f>
        <v>451.21</v>
      </c>
      <c r="AC79" s="207">
        <f>IFERROR(INDEX('Reference Tab'!$V$4:$CA$74, MATCH($Z79, 'Reference Tab'!$U$4:$U$71, 0), MATCH(AC$5, 'Reference Tab'!$V$3:$CA$3, 0)),0)</f>
        <v>0</v>
      </c>
      <c r="AD79" s="207">
        <f>IFERROR(INDEX('Reference Tab'!$V$4:$CA$74, MATCH($Z79, 'Reference Tab'!$U$4:$U$71, 0), MATCH(AD$5, 'Reference Tab'!$V$3:$CA$3, 0)),0)</f>
        <v>0</v>
      </c>
      <c r="AE79" s="225">
        <f>IFERROR(INDEX('Reference Tab'!$V$4:$CA$74, MATCH($Z79, 'Reference Tab'!$U$4:$U$71, 0), MATCH(AE$5, 'Reference Tab'!$V$3:$CA$3, 0)),0)</f>
        <v>0</v>
      </c>
    </row>
    <row r="80" spans="26:31" ht="13" x14ac:dyDescent="0.3">
      <c r="Z80" s="1164" t="s">
        <v>510</v>
      </c>
      <c r="AA80" s="1142">
        <f t="shared" si="45"/>
        <v>259.2</v>
      </c>
      <c r="AB80" s="207">
        <f>IFERROR(INDEX('Reference Tab'!$V$4:$CA$74, MATCH($Z80, 'Reference Tab'!$U$4:$U$71, 0), MATCH(AB$5, 'Reference Tab'!$V$3:$CA$3, 0)),0)</f>
        <v>259.2</v>
      </c>
      <c r="AC80" s="207">
        <f>IFERROR(INDEX('Reference Tab'!$V$4:$CA$74, MATCH($Z80, 'Reference Tab'!$U$4:$U$71, 0), MATCH(AC$5, 'Reference Tab'!$V$3:$CA$3, 0)),0)</f>
        <v>0</v>
      </c>
      <c r="AD80" s="207">
        <f>IFERROR(INDEX('Reference Tab'!$V$4:$CA$74, MATCH($Z80, 'Reference Tab'!$U$4:$U$71, 0), MATCH(AD$5, 'Reference Tab'!$V$3:$CA$3, 0)),0)</f>
        <v>0</v>
      </c>
      <c r="AE80" s="225">
        <f>IFERROR(INDEX('Reference Tab'!$V$4:$CA$74, MATCH($Z80, 'Reference Tab'!$U$4:$U$71, 0), MATCH(AE$5, 'Reference Tab'!$V$3:$CA$3, 0)),0)</f>
        <v>0</v>
      </c>
    </row>
    <row r="81" spans="26:31" ht="13" x14ac:dyDescent="0.3">
      <c r="Z81" s="1164" t="s">
        <v>511</v>
      </c>
      <c r="AA81" s="1142">
        <f t="shared" si="45"/>
        <v>0</v>
      </c>
      <c r="AB81" s="207">
        <f>IFERROR(INDEX('Reference Tab'!$V$4:$CA$74, MATCH($Z81, 'Reference Tab'!$U$4:$U$71, 0), MATCH(AB$5, 'Reference Tab'!$V$3:$CA$3, 0)),0)</f>
        <v>0</v>
      </c>
      <c r="AC81" s="207">
        <f>IFERROR(INDEX('Reference Tab'!$V$4:$CA$74, MATCH($Z81, 'Reference Tab'!$U$4:$U$71, 0), MATCH(AC$5, 'Reference Tab'!$V$3:$CA$3, 0)),0)</f>
        <v>0</v>
      </c>
      <c r="AD81" s="207">
        <f>IFERROR(INDEX('Reference Tab'!$V$4:$CA$74, MATCH($Z81, 'Reference Tab'!$U$4:$U$71, 0), MATCH(AD$5, 'Reference Tab'!$V$3:$CA$3, 0)),0)</f>
        <v>0</v>
      </c>
      <c r="AE81" s="225">
        <f>IFERROR(INDEX('Reference Tab'!$V$4:$CA$74, MATCH($Z81, 'Reference Tab'!$U$4:$U$71, 0), MATCH(AE$5, 'Reference Tab'!$V$3:$CA$3, 0)),0)</f>
        <v>0</v>
      </c>
    </row>
    <row r="82" spans="26:31" ht="13" x14ac:dyDescent="0.3">
      <c r="Z82" s="1164" t="s">
        <v>512</v>
      </c>
      <c r="AA82" s="1142">
        <f t="shared" si="45"/>
        <v>689.96</v>
      </c>
      <c r="AB82" s="207">
        <f>IFERROR(INDEX('Reference Tab'!$V$4:$CA$74, MATCH($Z82, 'Reference Tab'!$U$4:$U$71, 0), MATCH(AB$5, 'Reference Tab'!$V$3:$CA$3, 0)),0)</f>
        <v>689.96</v>
      </c>
      <c r="AC82" s="207">
        <f>IFERROR(INDEX('Reference Tab'!$V$4:$CA$74, MATCH($Z82, 'Reference Tab'!$U$4:$U$71, 0), MATCH(AC$5, 'Reference Tab'!$V$3:$CA$3, 0)),0)</f>
        <v>0</v>
      </c>
      <c r="AD82" s="207">
        <f>IFERROR(INDEX('Reference Tab'!$V$4:$CA$74, MATCH($Z82, 'Reference Tab'!$U$4:$U$71, 0), MATCH(AD$5, 'Reference Tab'!$V$3:$CA$3, 0)),0)</f>
        <v>0</v>
      </c>
      <c r="AE82" s="225">
        <f>IFERROR(INDEX('Reference Tab'!$V$4:$CA$74, MATCH($Z82, 'Reference Tab'!$U$4:$U$71, 0), MATCH(AE$5, 'Reference Tab'!$V$3:$CA$3, 0)),0)</f>
        <v>0</v>
      </c>
    </row>
    <row r="83" spans="26:31" ht="13" x14ac:dyDescent="0.3">
      <c r="Z83" s="1164" t="s">
        <v>513</v>
      </c>
      <c r="AA83" s="1142">
        <f t="shared" si="45"/>
        <v>133.49</v>
      </c>
      <c r="AB83" s="207">
        <f>IFERROR(INDEX('Reference Tab'!$V$4:$CA$74, MATCH($Z83, 'Reference Tab'!$U$4:$U$71, 0), MATCH(AB$5, 'Reference Tab'!$V$3:$CA$3, 0)),0)</f>
        <v>133.49</v>
      </c>
      <c r="AC83" s="207">
        <f>IFERROR(INDEX('Reference Tab'!$V$4:$CA$74, MATCH($Z83, 'Reference Tab'!$U$4:$U$71, 0), MATCH(AC$5, 'Reference Tab'!$V$3:$CA$3, 0)),0)</f>
        <v>0</v>
      </c>
      <c r="AD83" s="207">
        <f>IFERROR(INDEX('Reference Tab'!$V$4:$CA$74, MATCH($Z83, 'Reference Tab'!$U$4:$U$71, 0), MATCH(AD$5, 'Reference Tab'!$V$3:$CA$3, 0)),0)</f>
        <v>0</v>
      </c>
      <c r="AE83" s="225">
        <f>IFERROR(INDEX('Reference Tab'!$V$4:$CA$74, MATCH($Z83, 'Reference Tab'!$U$4:$U$71, 0), MATCH(AE$5, 'Reference Tab'!$V$3:$CA$3, 0)),0)</f>
        <v>0</v>
      </c>
    </row>
    <row r="84" spans="26:31" ht="13" x14ac:dyDescent="0.3">
      <c r="Z84" s="1164" t="s">
        <v>514</v>
      </c>
      <c r="AA84" s="1142">
        <f t="shared" si="45"/>
        <v>690</v>
      </c>
      <c r="AB84" s="207">
        <f>IFERROR(INDEX('Reference Tab'!$V$4:$CA$74, MATCH($Z84, 'Reference Tab'!$U$4:$U$71, 0), MATCH(AB$5, 'Reference Tab'!$V$3:$CA$3, 0)),0)</f>
        <v>690</v>
      </c>
      <c r="AC84" s="207">
        <f>IFERROR(INDEX('Reference Tab'!$V$4:$CA$74, MATCH($Z84, 'Reference Tab'!$U$4:$U$71, 0), MATCH(AC$5, 'Reference Tab'!$V$3:$CA$3, 0)),0)</f>
        <v>0</v>
      </c>
      <c r="AD84" s="207">
        <f>IFERROR(INDEX('Reference Tab'!$V$4:$CA$74, MATCH($Z84, 'Reference Tab'!$U$4:$U$71, 0), MATCH(AD$5, 'Reference Tab'!$V$3:$CA$3, 0)),0)</f>
        <v>0</v>
      </c>
      <c r="AE84" s="225">
        <f>IFERROR(INDEX('Reference Tab'!$V$4:$CA$74, MATCH($Z84, 'Reference Tab'!$U$4:$U$71, 0), MATCH(AE$5, 'Reference Tab'!$V$3:$CA$3, 0)),0)</f>
        <v>0</v>
      </c>
    </row>
    <row r="85" spans="26:31" ht="13" x14ac:dyDescent="0.3">
      <c r="Z85" s="1164" t="s">
        <v>515</v>
      </c>
      <c r="AA85" s="1142">
        <f t="shared" si="45"/>
        <v>4110</v>
      </c>
      <c r="AB85" s="207">
        <f>IFERROR(INDEX('Reference Tab'!$V$4:$CA$74, MATCH($Z85, 'Reference Tab'!$U$4:$U$71, 0), MATCH(AB$5, 'Reference Tab'!$V$3:$CA$3, 0)),0)</f>
        <v>4110</v>
      </c>
      <c r="AC85" s="207">
        <f>IFERROR(INDEX('Reference Tab'!$V$4:$CA$74, MATCH($Z85, 'Reference Tab'!$U$4:$U$71, 0), MATCH(AC$5, 'Reference Tab'!$V$3:$CA$3, 0)),0)</f>
        <v>0</v>
      </c>
      <c r="AD85" s="207">
        <f>IFERROR(INDEX('Reference Tab'!$V$4:$CA$74, MATCH($Z85, 'Reference Tab'!$U$4:$U$71, 0), MATCH(AD$5, 'Reference Tab'!$V$3:$CA$3, 0)),0)</f>
        <v>0</v>
      </c>
      <c r="AE85" s="225">
        <f>IFERROR(INDEX('Reference Tab'!$V$4:$CA$74, MATCH($Z85, 'Reference Tab'!$U$4:$U$71, 0), MATCH(AE$5, 'Reference Tab'!$V$3:$CA$3, 0)),0)</f>
        <v>0</v>
      </c>
    </row>
    <row r="86" spans="26:31" ht="13" x14ac:dyDescent="0.3">
      <c r="Z86" s="1164" t="s">
        <v>517</v>
      </c>
      <c r="AA86" s="1142">
        <f t="shared" si="45"/>
        <v>5788.54</v>
      </c>
      <c r="AB86" s="207">
        <f>IFERROR(INDEX('Reference Tab'!$V$4:$CA$74, MATCH($Z86, 'Reference Tab'!$U$4:$U$71, 0), MATCH(AB$5, 'Reference Tab'!$V$3:$CA$3, 0)),0)</f>
        <v>5788.54</v>
      </c>
      <c r="AC86" s="207">
        <f>IFERROR(INDEX('Reference Tab'!$V$4:$CA$74, MATCH($Z86, 'Reference Tab'!$U$4:$U$71, 0), MATCH(AC$5, 'Reference Tab'!$V$3:$CA$3, 0)),0)</f>
        <v>0</v>
      </c>
      <c r="AD86" s="207">
        <f>IFERROR(INDEX('Reference Tab'!$V$4:$CA$74, MATCH($Z86, 'Reference Tab'!$U$4:$U$71, 0), MATCH(AD$5, 'Reference Tab'!$V$3:$CA$3, 0)),0)</f>
        <v>0</v>
      </c>
      <c r="AE86" s="225">
        <f>IFERROR(INDEX('Reference Tab'!$V$4:$CA$74, MATCH($Z86, 'Reference Tab'!$U$4:$U$71, 0), MATCH(AE$5, 'Reference Tab'!$V$3:$CA$3, 0)),0)</f>
        <v>0</v>
      </c>
    </row>
    <row r="87" spans="26:31" ht="13" x14ac:dyDescent="0.3">
      <c r="Z87" s="1164" t="s">
        <v>518</v>
      </c>
      <c r="AA87" s="1142">
        <f t="shared" si="45"/>
        <v>0</v>
      </c>
      <c r="AB87" s="207">
        <f>IFERROR(INDEX('Reference Tab'!$V$4:$CA$74, MATCH($Z87, 'Reference Tab'!$U$4:$U$71, 0), MATCH(AB$5, 'Reference Tab'!$V$3:$CA$3, 0)),0)</f>
        <v>0</v>
      </c>
      <c r="AC87" s="207">
        <f>IFERROR(INDEX('Reference Tab'!$V$4:$CA$74, MATCH($Z87, 'Reference Tab'!$U$4:$U$71, 0), MATCH(AC$5, 'Reference Tab'!$V$3:$CA$3, 0)),0)</f>
        <v>0</v>
      </c>
      <c r="AD87" s="207">
        <f>IFERROR(INDEX('Reference Tab'!$V$4:$CA$74, MATCH($Z87, 'Reference Tab'!$U$4:$U$71, 0), MATCH(AD$5, 'Reference Tab'!$V$3:$CA$3, 0)),0)</f>
        <v>0</v>
      </c>
      <c r="AE87" s="225">
        <f>IFERROR(INDEX('Reference Tab'!$V$4:$CA$74, MATCH($Z87, 'Reference Tab'!$U$4:$U$71, 0), MATCH(AE$5, 'Reference Tab'!$V$3:$CA$3, 0)),0)</f>
        <v>0</v>
      </c>
    </row>
    <row r="88" spans="26:31" ht="13" x14ac:dyDescent="0.3">
      <c r="Z88" s="1164" t="s">
        <v>519</v>
      </c>
      <c r="AA88" s="1142">
        <f t="shared" si="45"/>
        <v>538.01</v>
      </c>
      <c r="AB88" s="207">
        <f>IFERROR(INDEX('Reference Tab'!$V$4:$CA$74, MATCH($Z88, 'Reference Tab'!$U$4:$U$71, 0), MATCH(AB$5, 'Reference Tab'!$V$3:$CA$3, 0)),0)</f>
        <v>538.01</v>
      </c>
      <c r="AC88" s="207">
        <f>IFERROR(INDEX('Reference Tab'!$V$4:$CA$74, MATCH($Z88, 'Reference Tab'!$U$4:$U$71, 0), MATCH(AC$5, 'Reference Tab'!$V$3:$CA$3, 0)),0)</f>
        <v>0</v>
      </c>
      <c r="AD88" s="207">
        <f>IFERROR(INDEX('Reference Tab'!$V$4:$CA$74, MATCH($Z88, 'Reference Tab'!$U$4:$U$71, 0), MATCH(AD$5, 'Reference Tab'!$V$3:$CA$3, 0)),0)</f>
        <v>0</v>
      </c>
      <c r="AE88" s="225">
        <f>IFERROR(INDEX('Reference Tab'!$V$4:$CA$74, MATCH($Z88, 'Reference Tab'!$U$4:$U$71, 0), MATCH(AE$5, 'Reference Tab'!$V$3:$CA$3, 0)),0)</f>
        <v>0</v>
      </c>
    </row>
    <row r="89" spans="26:31" ht="13" x14ac:dyDescent="0.3">
      <c r="Z89" s="1164" t="s">
        <v>520</v>
      </c>
      <c r="AA89" s="1142">
        <f t="shared" si="45"/>
        <v>1616.06</v>
      </c>
      <c r="AB89" s="207">
        <f>IFERROR(INDEX('Reference Tab'!$V$4:$CA$74, MATCH($Z89, 'Reference Tab'!$U$4:$U$71, 0), MATCH(AB$5, 'Reference Tab'!$V$3:$CA$3, 0)),0)</f>
        <v>1616.06</v>
      </c>
      <c r="AC89" s="207">
        <f>IFERROR(INDEX('Reference Tab'!$V$4:$CA$74, MATCH($Z89, 'Reference Tab'!$U$4:$U$71, 0), MATCH(AC$5, 'Reference Tab'!$V$3:$CA$3, 0)),0)</f>
        <v>0</v>
      </c>
      <c r="AD89" s="207">
        <f>IFERROR(INDEX('Reference Tab'!$V$4:$CA$74, MATCH($Z89, 'Reference Tab'!$U$4:$U$71, 0), MATCH(AD$5, 'Reference Tab'!$V$3:$CA$3, 0)),0)</f>
        <v>0</v>
      </c>
      <c r="AE89" s="225">
        <f>IFERROR(INDEX('Reference Tab'!$V$4:$CA$74, MATCH($Z89, 'Reference Tab'!$U$4:$U$71, 0), MATCH(AE$5, 'Reference Tab'!$V$3:$CA$3, 0)),0)</f>
        <v>0</v>
      </c>
    </row>
    <row r="90" spans="26:31" ht="13" x14ac:dyDescent="0.3">
      <c r="Z90" s="1164" t="s">
        <v>521</v>
      </c>
      <c r="AA90" s="1142">
        <f t="shared" si="45"/>
        <v>1616</v>
      </c>
      <c r="AB90" s="207">
        <f>IFERROR(INDEX('Reference Tab'!$V$4:$CA$74, MATCH($Z90, 'Reference Tab'!$U$4:$U$71, 0), MATCH(AB$5, 'Reference Tab'!$V$3:$CA$3, 0)),0)</f>
        <v>1616</v>
      </c>
      <c r="AC90" s="207">
        <f>IFERROR(INDEX('Reference Tab'!$V$4:$CA$74, MATCH($Z90, 'Reference Tab'!$U$4:$U$71, 0), MATCH(AC$5, 'Reference Tab'!$V$3:$CA$3, 0)),0)</f>
        <v>0</v>
      </c>
      <c r="AD90" s="207">
        <f>IFERROR(INDEX('Reference Tab'!$V$4:$CA$74, MATCH($Z90, 'Reference Tab'!$U$4:$U$71, 0), MATCH(AD$5, 'Reference Tab'!$V$3:$CA$3, 0)),0)</f>
        <v>0</v>
      </c>
      <c r="AE90" s="225">
        <f>IFERROR(INDEX('Reference Tab'!$V$4:$CA$74, MATCH($Z90, 'Reference Tab'!$U$4:$U$71, 0), MATCH(AE$5, 'Reference Tab'!$V$3:$CA$3, 0)),0)</f>
        <v>0</v>
      </c>
    </row>
    <row r="91" spans="26:31" ht="13" x14ac:dyDescent="0.3">
      <c r="Z91" s="1164" t="s">
        <v>522</v>
      </c>
      <c r="AA91" s="1142">
        <f t="shared" si="45"/>
        <v>0</v>
      </c>
      <c r="AB91" s="207">
        <f>IFERROR(INDEX('Reference Tab'!$V$4:$CA$74, MATCH($Z91, 'Reference Tab'!$U$4:$U$71, 0), MATCH(AB$5, 'Reference Tab'!$V$3:$CA$3, 0)),0)</f>
        <v>0</v>
      </c>
      <c r="AC91" s="207">
        <f>IFERROR(INDEX('Reference Tab'!$V$4:$CA$74, MATCH($Z91, 'Reference Tab'!$U$4:$U$71, 0), MATCH(AC$5, 'Reference Tab'!$V$3:$CA$3, 0)),0)</f>
        <v>0</v>
      </c>
      <c r="AD91" s="207">
        <f>IFERROR(INDEX('Reference Tab'!$V$4:$CA$74, MATCH($Z91, 'Reference Tab'!$U$4:$U$71, 0), MATCH(AD$5, 'Reference Tab'!$V$3:$CA$3, 0)),0)</f>
        <v>0</v>
      </c>
      <c r="AE91" s="225">
        <f>IFERROR(INDEX('Reference Tab'!$V$4:$CA$74, MATCH($Z91, 'Reference Tab'!$U$4:$U$71, 0), MATCH(AE$5, 'Reference Tab'!$V$3:$CA$3, 0)),0)</f>
        <v>0</v>
      </c>
    </row>
    <row r="92" spans="26:31" ht="13" x14ac:dyDescent="0.3">
      <c r="Z92" s="1164" t="s">
        <v>523</v>
      </c>
      <c r="AA92" s="1142">
        <f t="shared" si="45"/>
        <v>3237.29</v>
      </c>
      <c r="AB92" s="207">
        <f>IFERROR(INDEX('Reference Tab'!$V$4:$CA$74, MATCH($Z92, 'Reference Tab'!$U$4:$U$71, 0), MATCH(AB$5, 'Reference Tab'!$V$3:$CA$3, 0)),0)</f>
        <v>3237.29</v>
      </c>
      <c r="AC92" s="207">
        <f>IFERROR(INDEX('Reference Tab'!$V$4:$CA$74, MATCH($Z92, 'Reference Tab'!$U$4:$U$71, 0), MATCH(AC$5, 'Reference Tab'!$V$3:$CA$3, 0)),0)</f>
        <v>0</v>
      </c>
      <c r="AD92" s="207">
        <f>IFERROR(INDEX('Reference Tab'!$V$4:$CA$74, MATCH($Z92, 'Reference Tab'!$U$4:$U$71, 0), MATCH(AD$5, 'Reference Tab'!$V$3:$CA$3, 0)),0)</f>
        <v>0</v>
      </c>
      <c r="AE92" s="225">
        <f>IFERROR(INDEX('Reference Tab'!$V$4:$CA$74, MATCH($Z92, 'Reference Tab'!$U$4:$U$71, 0), MATCH(AE$5, 'Reference Tab'!$V$3:$CA$3, 0)),0)</f>
        <v>0</v>
      </c>
    </row>
    <row r="93" spans="26:31" ht="13" x14ac:dyDescent="0.3">
      <c r="Z93" s="1164" t="s">
        <v>524</v>
      </c>
      <c r="AA93" s="1142">
        <f t="shared" si="45"/>
        <v>577.96</v>
      </c>
      <c r="AB93" s="207">
        <f>IFERROR(INDEX('Reference Tab'!$V$4:$CA$74, MATCH($Z93, 'Reference Tab'!$U$4:$U$71, 0), MATCH(AB$5, 'Reference Tab'!$V$3:$CA$3, 0)),0)</f>
        <v>577.96</v>
      </c>
      <c r="AC93" s="207">
        <f>IFERROR(INDEX('Reference Tab'!$V$4:$CA$74, MATCH($Z93, 'Reference Tab'!$U$4:$U$71, 0), MATCH(AC$5, 'Reference Tab'!$V$3:$CA$3, 0)),0)</f>
        <v>0</v>
      </c>
      <c r="AD93" s="207">
        <f>IFERROR(INDEX('Reference Tab'!$V$4:$CA$74, MATCH($Z93, 'Reference Tab'!$U$4:$U$71, 0), MATCH(AD$5, 'Reference Tab'!$V$3:$CA$3, 0)),0)</f>
        <v>0</v>
      </c>
      <c r="AE93" s="225">
        <f>IFERROR(INDEX('Reference Tab'!$V$4:$CA$74, MATCH($Z93, 'Reference Tab'!$U$4:$U$71, 0), MATCH(AE$5, 'Reference Tab'!$V$3:$CA$3, 0)),0)</f>
        <v>0</v>
      </c>
    </row>
    <row r="94" spans="26:31" ht="13" x14ac:dyDescent="0.3">
      <c r="Z94" s="1164" t="s">
        <v>525</v>
      </c>
      <c r="AA94" s="1142">
        <f t="shared" si="45"/>
        <v>920</v>
      </c>
      <c r="AB94" s="207">
        <f>IFERROR(INDEX('Reference Tab'!$V$4:$CA$74, MATCH($Z94, 'Reference Tab'!$U$4:$U$71, 0), MATCH(AB$5, 'Reference Tab'!$V$3:$CA$3, 0)),0)</f>
        <v>920</v>
      </c>
      <c r="AC94" s="207">
        <f>IFERROR(INDEX('Reference Tab'!$V$4:$CA$74, MATCH($Z94, 'Reference Tab'!$U$4:$U$71, 0), MATCH(AC$5, 'Reference Tab'!$V$3:$CA$3, 0)),0)</f>
        <v>0</v>
      </c>
      <c r="AD94" s="207">
        <f>IFERROR(INDEX('Reference Tab'!$V$4:$CA$74, MATCH($Z94, 'Reference Tab'!$U$4:$U$71, 0), MATCH(AD$5, 'Reference Tab'!$V$3:$CA$3, 0)),0)</f>
        <v>0</v>
      </c>
      <c r="AE94" s="225">
        <f>IFERROR(INDEX('Reference Tab'!$V$4:$CA$74, MATCH($Z94, 'Reference Tab'!$U$4:$U$71, 0), MATCH(AE$5, 'Reference Tab'!$V$3:$CA$3, 0)),0)</f>
        <v>0</v>
      </c>
    </row>
    <row r="95" spans="26:31" ht="13" x14ac:dyDescent="0.3">
      <c r="Z95" s="1164" t="s">
        <v>526</v>
      </c>
      <c r="AA95" s="1142">
        <f t="shared" si="45"/>
        <v>310</v>
      </c>
      <c r="AB95" s="207">
        <f>IFERROR(INDEX('Reference Tab'!$V$4:$CA$74, MATCH($Z95, 'Reference Tab'!$U$4:$U$71, 0), MATCH(AB$5, 'Reference Tab'!$V$3:$CA$3, 0)),0)</f>
        <v>310</v>
      </c>
      <c r="AC95" s="207">
        <f>IFERROR(INDEX('Reference Tab'!$V$4:$CA$74, MATCH($Z95, 'Reference Tab'!$U$4:$U$71, 0), MATCH(AC$5, 'Reference Tab'!$V$3:$CA$3, 0)),0)</f>
        <v>0</v>
      </c>
      <c r="AD95" s="207">
        <f>IFERROR(INDEX('Reference Tab'!$V$4:$CA$74, MATCH($Z95, 'Reference Tab'!$U$4:$U$71, 0), MATCH(AD$5, 'Reference Tab'!$V$3:$CA$3, 0)),0)</f>
        <v>0</v>
      </c>
      <c r="AE95" s="225">
        <f>IFERROR(INDEX('Reference Tab'!$V$4:$CA$74, MATCH($Z95, 'Reference Tab'!$U$4:$U$71, 0), MATCH(AE$5, 'Reference Tab'!$V$3:$CA$3, 0)),0)</f>
        <v>0</v>
      </c>
    </row>
    <row r="96" spans="26:31" ht="13" x14ac:dyDescent="0.3">
      <c r="Z96" s="1164" t="s">
        <v>527</v>
      </c>
      <c r="AA96" s="1142">
        <f t="shared" si="45"/>
        <v>0</v>
      </c>
      <c r="AB96" s="207">
        <f>IFERROR(INDEX('Reference Tab'!$V$4:$CA$74, MATCH($Z96, 'Reference Tab'!$U$4:$U$71, 0), MATCH(AB$5, 'Reference Tab'!$V$3:$CA$3, 0)),0)</f>
        <v>0</v>
      </c>
      <c r="AC96" s="207">
        <f>IFERROR(INDEX('Reference Tab'!$V$4:$CA$74, MATCH($Z96, 'Reference Tab'!$U$4:$U$71, 0), MATCH(AC$5, 'Reference Tab'!$V$3:$CA$3, 0)),0)</f>
        <v>0</v>
      </c>
      <c r="AD96" s="207">
        <f>IFERROR(INDEX('Reference Tab'!$V$4:$CA$74, MATCH($Z96, 'Reference Tab'!$U$4:$U$71, 0), MATCH(AD$5, 'Reference Tab'!$V$3:$CA$3, 0)),0)</f>
        <v>0</v>
      </c>
      <c r="AE96" s="225">
        <f>IFERROR(INDEX('Reference Tab'!$V$4:$CA$74, MATCH($Z96, 'Reference Tab'!$U$4:$U$71, 0), MATCH(AE$5, 'Reference Tab'!$V$3:$CA$3, 0)),0)</f>
        <v>0</v>
      </c>
    </row>
    <row r="97" spans="26:31" ht="13" x14ac:dyDescent="0.3">
      <c r="Z97" s="1164" t="s">
        <v>529</v>
      </c>
      <c r="AA97" s="1142">
        <f t="shared" si="45"/>
        <v>90</v>
      </c>
      <c r="AB97" s="207">
        <f>IFERROR(INDEX('Reference Tab'!$V$4:$CA$74, MATCH($Z97, 'Reference Tab'!$U$4:$U$71, 0), MATCH(AB$5, 'Reference Tab'!$V$3:$CA$3, 0)),0)</f>
        <v>90</v>
      </c>
      <c r="AC97" s="207">
        <f>IFERROR(INDEX('Reference Tab'!$V$4:$CA$74, MATCH($Z97, 'Reference Tab'!$U$4:$U$71, 0), MATCH(AC$5, 'Reference Tab'!$V$3:$CA$3, 0)),0)</f>
        <v>0</v>
      </c>
      <c r="AD97" s="207">
        <f>IFERROR(INDEX('Reference Tab'!$V$4:$CA$74, MATCH($Z97, 'Reference Tab'!$U$4:$U$71, 0), MATCH(AD$5, 'Reference Tab'!$V$3:$CA$3, 0)),0)</f>
        <v>0</v>
      </c>
      <c r="AE97" s="225">
        <f>IFERROR(INDEX('Reference Tab'!$V$4:$CA$74, MATCH($Z97, 'Reference Tab'!$U$4:$U$71, 0), MATCH(AE$5, 'Reference Tab'!$V$3:$CA$3, 0)),0)</f>
        <v>0</v>
      </c>
    </row>
    <row r="98" spans="26:31" ht="13" x14ac:dyDescent="0.3">
      <c r="Z98" s="1164" t="s">
        <v>531</v>
      </c>
      <c r="AA98" s="1142">
        <f t="shared" si="45"/>
        <v>270</v>
      </c>
      <c r="AB98" s="207">
        <f>IFERROR(INDEX('Reference Tab'!$V$4:$CA$74, MATCH($Z98, 'Reference Tab'!$U$4:$U$71, 0), MATCH(AB$5, 'Reference Tab'!$V$3:$CA$3, 0)),0)</f>
        <v>270</v>
      </c>
      <c r="AC98" s="207">
        <f>IFERROR(INDEX('Reference Tab'!$V$4:$CA$74, MATCH($Z98, 'Reference Tab'!$U$4:$U$71, 0), MATCH(AC$5, 'Reference Tab'!$V$3:$CA$3, 0)),0)</f>
        <v>0</v>
      </c>
      <c r="AD98" s="207">
        <f>IFERROR(INDEX('Reference Tab'!$V$4:$CA$74, MATCH($Z98, 'Reference Tab'!$U$4:$U$71, 0), MATCH(AD$5, 'Reference Tab'!$V$3:$CA$3, 0)),0)</f>
        <v>0</v>
      </c>
      <c r="AE98" s="225">
        <f>IFERROR(INDEX('Reference Tab'!$V$4:$CA$74, MATCH($Z98, 'Reference Tab'!$U$4:$U$71, 0), MATCH(AE$5, 'Reference Tab'!$V$3:$CA$3, 0)),0)</f>
        <v>0</v>
      </c>
    </row>
    <row r="99" spans="26:31" ht="13" x14ac:dyDescent="0.3">
      <c r="Z99" s="1164" t="s">
        <v>533</v>
      </c>
      <c r="AA99" s="1142">
        <f t="shared" ref="AA99" si="46">(AB99*$AB$8)+(AC99*$AC$8)+(AD99*$AD$8)+(AE99*$AE$8)</f>
        <v>5640</v>
      </c>
      <c r="AB99" s="207">
        <f>IFERROR(INDEX('Reference Tab'!$V$4:$CA$74, MATCH($Z99, 'Reference Tab'!$U$4:$U$71, 0), MATCH(AB$5, 'Reference Tab'!$V$3:$CA$3, 0)),0)</f>
        <v>5640</v>
      </c>
      <c r="AC99" s="207">
        <f>IFERROR(INDEX('Reference Tab'!$V$4:$CA$74, MATCH($Z99, 'Reference Tab'!$U$4:$U$71, 0), MATCH(AC$5, 'Reference Tab'!$V$3:$CA$3, 0)),0)</f>
        <v>0</v>
      </c>
      <c r="AD99" s="207">
        <f>IFERROR(INDEX('Reference Tab'!$V$4:$CA$74, MATCH($Z99, 'Reference Tab'!$U$4:$U$71, 0), MATCH(AD$5, 'Reference Tab'!$V$3:$CA$3, 0)),0)</f>
        <v>0</v>
      </c>
      <c r="AE99" s="225">
        <f>IFERROR(INDEX('Reference Tab'!$V$4:$CA$74, MATCH($Z99, 'Reference Tab'!$U$4:$U$71, 0), MATCH(AE$5, 'Reference Tab'!$V$3:$CA$3, 0)),0)</f>
        <v>0</v>
      </c>
    </row>
    <row r="100" spans="26:31" ht="13" x14ac:dyDescent="0.3">
      <c r="Z100" s="1161" t="s">
        <v>126</v>
      </c>
      <c r="AA100" s="1142">
        <f>(AB100*$AB$8)+(AC100*$AC$8)+(AD100*$AD$8)+(AE100*$AE$8)</f>
        <v>0</v>
      </c>
      <c r="AB100" s="446">
        <f>Inputs!G79</f>
        <v>0</v>
      </c>
      <c r="AC100" s="446">
        <f>Inputs!G80</f>
        <v>0</v>
      </c>
      <c r="AD100" s="446">
        <f>Inputs!G81</f>
        <v>0</v>
      </c>
      <c r="AE100" s="711">
        <f>Inputs!G82</f>
        <v>0</v>
      </c>
    </row>
    <row r="101" spans="26:31" ht="13" x14ac:dyDescent="0.3">
      <c r="Z101" s="1161" t="s">
        <v>127</v>
      </c>
      <c r="AA101" s="1142">
        <f>(AB101*$AB$8)+(AC101*$AC$8)+(AD101*$AD$8)+(AE101*$AE$8)</f>
        <v>0</v>
      </c>
      <c r="AB101" s="446">
        <f>Inputs!H79</f>
        <v>0</v>
      </c>
      <c r="AC101" s="446">
        <f>Inputs!H80</f>
        <v>0</v>
      </c>
      <c r="AD101" s="446">
        <f>Inputs!H81</f>
        <v>0</v>
      </c>
      <c r="AE101" s="711">
        <f>Inputs!H82</f>
        <v>0</v>
      </c>
    </row>
    <row r="102" spans="26:31" ht="13" x14ac:dyDescent="0.3">
      <c r="Z102" s="1162" t="s">
        <v>128</v>
      </c>
      <c r="AA102" s="1143">
        <f>(AB102*$AB$8)+(AC102*$AC$8)+(AD102*$AD$8)+(AE102*$AE$8)</f>
        <v>0</v>
      </c>
      <c r="AB102" s="745">
        <f>Inputs!I79</f>
        <v>0</v>
      </c>
      <c r="AC102" s="745">
        <f>Inputs!I80</f>
        <v>0</v>
      </c>
      <c r="AD102" s="745">
        <f>Inputs!I81</f>
        <v>0</v>
      </c>
      <c r="AE102" s="746">
        <f>Inputs!I82</f>
        <v>0</v>
      </c>
    </row>
    <row r="103" spans="26:31" ht="13.5" thickBot="1" x14ac:dyDescent="0.35">
      <c r="Z103" s="1163" t="s">
        <v>701</v>
      </c>
      <c r="AA103" s="1168">
        <f t="shared" si="45"/>
        <v>106047.85</v>
      </c>
      <c r="AB103" s="1147">
        <f>SUBTOTAL(9,AB46:AB102)</f>
        <v>106047.85</v>
      </c>
      <c r="AC103" s="1147">
        <f>SUBTOTAL(9,AC46:AC102)</f>
        <v>0</v>
      </c>
      <c r="AD103" s="1147">
        <f>SUBTOTAL(9,AD46:AD102)</f>
        <v>0</v>
      </c>
      <c r="AE103" s="1184">
        <f>SUBTOTAL(9,AE8:AE102)</f>
        <v>0</v>
      </c>
    </row>
    <row r="104" spans="26:31" ht="12.5" thickBot="1" x14ac:dyDescent="0.35">
      <c r="Z104" s="1165" t="s">
        <v>702</v>
      </c>
      <c r="AA104" s="1166">
        <f>AA26+AA37+AA45+AA103</f>
        <v>134814.51666666666</v>
      </c>
      <c r="AB104" s="1149">
        <f>SUBTOTAL(9,AB9:AB103)</f>
        <v>134814.51666666666</v>
      </c>
      <c r="AC104" s="1149">
        <f>SUBTOTAL(9,AC9:AC103)</f>
        <v>0</v>
      </c>
      <c r="AD104" s="1149">
        <f>SUBTOTAL(9,AD9:AD103)</f>
        <v>0</v>
      </c>
      <c r="AE104" s="1150">
        <f>SUBTOTAL(9,AE9:AE103)</f>
        <v>0</v>
      </c>
    </row>
    <row r="105" spans="26:31" ht="12.5" thickBot="1" x14ac:dyDescent="0.35">
      <c r="Z105" s="1167" t="s">
        <v>703</v>
      </c>
      <c r="AA105" s="1169">
        <f>SUM(AB105:AE105)</f>
        <v>134814.51666666666</v>
      </c>
      <c r="AB105" s="1156">
        <f>AB104*AB8</f>
        <v>134814.51666666666</v>
      </c>
      <c r="AC105" s="1156">
        <f>IFERROR(AC104*AC8,"")</f>
        <v>0</v>
      </c>
      <c r="AD105" s="1156">
        <f>IFERROR(AD104*AD8,"")</f>
        <v>0</v>
      </c>
      <c r="AE105" s="1157">
        <f>IFERROR(AE104*AE8,"")</f>
        <v>0</v>
      </c>
    </row>
    <row r="106" spans="26:31" x14ac:dyDescent="0.3">
      <c r="AA106" s="378"/>
      <c r="AB106"/>
      <c r="AC106"/>
      <c r="AD106"/>
      <c r="AE106"/>
    </row>
    <row r="107" spans="26:31" x14ac:dyDescent="0.3">
      <c r="AB107" s="1141"/>
    </row>
  </sheetData>
  <mergeCells count="3">
    <mergeCell ref="P11:T11"/>
    <mergeCell ref="J11:N11"/>
    <mergeCell ref="D11:H1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CD032-C976-4149-98D4-B8AC8C536752}">
  <dimension ref="A1:D67"/>
  <sheetViews>
    <sheetView topLeftCell="A17" zoomScale="144" zoomScaleNormal="90" workbookViewId="0">
      <selection activeCell="A32" sqref="A32"/>
    </sheetView>
  </sheetViews>
  <sheetFormatPr defaultColWidth="11" defaultRowHeight="14.5" x14ac:dyDescent="0.35"/>
  <cols>
    <col min="1" max="1" width="52.109375" style="275" customWidth="1"/>
    <col min="2" max="2" width="53.77734375" style="275" customWidth="1"/>
    <col min="3" max="3" width="88.109375" style="275" customWidth="1"/>
    <col min="4" max="4" width="56.44140625" style="275" customWidth="1"/>
    <col min="5" max="16384" width="11" style="275"/>
  </cols>
  <sheetData>
    <row r="1" spans="1:2" ht="18.5" x14ac:dyDescent="0.35">
      <c r="A1" s="274" t="s">
        <v>704</v>
      </c>
    </row>
    <row r="3" spans="1:2" x14ac:dyDescent="0.35">
      <c r="A3" s="276" t="s">
        <v>705</v>
      </c>
    </row>
    <row r="4" spans="1:2" x14ac:dyDescent="0.35">
      <c r="A4" s="277" t="s">
        <v>706</v>
      </c>
      <c r="B4" s="275" t="str">
        <f>+Inputs!D5</f>
        <v>241 Willard Street</v>
      </c>
    </row>
    <row r="5" spans="1:2" x14ac:dyDescent="0.35">
      <c r="A5" s="277" t="s">
        <v>707</v>
      </c>
      <c r="B5" s="275" t="s">
        <v>708</v>
      </c>
    </row>
    <row r="6" spans="1:2" x14ac:dyDescent="0.35">
      <c r="A6" s="277" t="s">
        <v>709</v>
      </c>
      <c r="B6" s="275" t="s">
        <v>710</v>
      </c>
    </row>
    <row r="7" spans="1:2" x14ac:dyDescent="0.35">
      <c r="A7" s="277" t="s">
        <v>711</v>
      </c>
      <c r="B7" s="275" t="s">
        <v>712</v>
      </c>
    </row>
    <row r="8" spans="1:2" x14ac:dyDescent="0.35">
      <c r="A8" s="277" t="s">
        <v>713</v>
      </c>
      <c r="B8" s="275" t="s">
        <v>714</v>
      </c>
    </row>
    <row r="9" spans="1:2" x14ac:dyDescent="0.35">
      <c r="A9" s="277"/>
    </row>
    <row r="10" spans="1:2" x14ac:dyDescent="0.35">
      <c r="A10" s="275" t="s">
        <v>715</v>
      </c>
    </row>
    <row r="11" spans="1:2" x14ac:dyDescent="0.35">
      <c r="A11" s="278" t="s">
        <v>716</v>
      </c>
    </row>
    <row r="12" spans="1:2" x14ac:dyDescent="0.35">
      <c r="A12" s="278" t="s">
        <v>717</v>
      </c>
    </row>
    <row r="13" spans="1:2" x14ac:dyDescent="0.35">
      <c r="A13" s="278" t="s">
        <v>718</v>
      </c>
    </row>
    <row r="14" spans="1:2" x14ac:dyDescent="0.35">
      <c r="A14" s="278" t="s">
        <v>719</v>
      </c>
    </row>
    <row r="15" spans="1:2" x14ac:dyDescent="0.35">
      <c r="A15" s="278" t="s">
        <v>720</v>
      </c>
    </row>
    <row r="17" spans="1:4" x14ac:dyDescent="0.35">
      <c r="A17" s="279" t="s">
        <v>721</v>
      </c>
      <c r="B17" s="280"/>
      <c r="C17" s="280"/>
    </row>
    <row r="18" spans="1:4" ht="13" customHeight="1" x14ac:dyDescent="0.35">
      <c r="A18" s="1352" t="s">
        <v>722</v>
      </c>
      <c r="B18" s="1352"/>
      <c r="C18" s="1352"/>
    </row>
    <row r="19" spans="1:4" x14ac:dyDescent="0.35">
      <c r="A19" s="1352"/>
      <c r="B19" s="1352"/>
      <c r="C19" s="1352"/>
    </row>
    <row r="20" spans="1:4" x14ac:dyDescent="0.35">
      <c r="A20" s="1352"/>
      <c r="B20" s="1352"/>
      <c r="C20" s="1352"/>
    </row>
    <row r="21" spans="1:4" x14ac:dyDescent="0.35">
      <c r="A21" s="1352"/>
      <c r="B21" s="1352"/>
      <c r="C21" s="1352"/>
    </row>
    <row r="22" spans="1:4" x14ac:dyDescent="0.35">
      <c r="A22" s="281" t="s">
        <v>723</v>
      </c>
      <c r="B22" s="280"/>
      <c r="C22" s="280"/>
    </row>
    <row r="23" spans="1:4" x14ac:dyDescent="0.35">
      <c r="A23" s="276" t="s">
        <v>724</v>
      </c>
      <c r="B23" s="276" t="s">
        <v>725</v>
      </c>
      <c r="C23" s="282" t="s">
        <v>726</v>
      </c>
    </row>
    <row r="24" spans="1:4" x14ac:dyDescent="0.35">
      <c r="A24" s="277" t="s">
        <v>727</v>
      </c>
      <c r="B24" s="277" t="s">
        <v>728</v>
      </c>
    </row>
    <row r="25" spans="1:4" x14ac:dyDescent="0.35">
      <c r="A25" s="283" t="s">
        <v>729</v>
      </c>
      <c r="B25" s="283" t="s">
        <v>729</v>
      </c>
      <c r="C25" s="283" t="s">
        <v>730</v>
      </c>
    </row>
    <row r="26" spans="1:4" x14ac:dyDescent="0.35">
      <c r="A26" s="283" t="s">
        <v>731</v>
      </c>
      <c r="B26" s="283" t="s">
        <v>732</v>
      </c>
      <c r="C26" s="283" t="s">
        <v>733</v>
      </c>
    </row>
    <row r="27" spans="1:4" x14ac:dyDescent="0.35">
      <c r="A27" s="284" t="s">
        <v>734</v>
      </c>
      <c r="B27" s="284" t="s">
        <v>735</v>
      </c>
      <c r="C27" s="284" t="s">
        <v>736</v>
      </c>
    </row>
    <row r="30" spans="1:4" x14ac:dyDescent="0.35">
      <c r="A30" s="285" t="s">
        <v>737</v>
      </c>
      <c r="B30" s="280"/>
      <c r="C30" s="280"/>
    </row>
    <row r="31" spans="1:4" x14ac:dyDescent="0.35">
      <c r="A31" s="286" t="s">
        <v>229</v>
      </c>
      <c r="B31" s="286" t="s">
        <v>738</v>
      </c>
      <c r="C31" s="287" t="s">
        <v>739</v>
      </c>
      <c r="D31" s="288"/>
    </row>
    <row r="32" spans="1:4" x14ac:dyDescent="0.35">
      <c r="A32" s="289" t="s">
        <v>740</v>
      </c>
      <c r="B32" s="289" t="s">
        <v>741</v>
      </c>
      <c r="C32" s="277" t="s">
        <v>742</v>
      </c>
      <c r="D32" s="289"/>
    </row>
    <row r="33" spans="1:3" x14ac:dyDescent="0.35">
      <c r="A33" s="277" t="s">
        <v>743</v>
      </c>
      <c r="B33" s="277" t="s">
        <v>744</v>
      </c>
      <c r="C33" s="277" t="s">
        <v>745</v>
      </c>
    </row>
    <row r="34" spans="1:3" x14ac:dyDescent="0.35">
      <c r="A34" s="277" t="s">
        <v>746</v>
      </c>
      <c r="B34" s="277"/>
      <c r="C34" s="283" t="s">
        <v>747</v>
      </c>
    </row>
    <row r="35" spans="1:3" x14ac:dyDescent="0.35">
      <c r="A35" s="277" t="s">
        <v>748</v>
      </c>
      <c r="B35" s="277" t="s">
        <v>748</v>
      </c>
      <c r="C35" s="283" t="s">
        <v>749</v>
      </c>
    </row>
    <row r="36" spans="1:3" x14ac:dyDescent="0.35">
      <c r="A36" s="283" t="s">
        <v>740</v>
      </c>
      <c r="B36" s="283" t="s">
        <v>741</v>
      </c>
      <c r="C36" s="283" t="s">
        <v>750</v>
      </c>
    </row>
    <row r="37" spans="1:3" x14ac:dyDescent="0.35">
      <c r="A37" s="283" t="s">
        <v>751</v>
      </c>
      <c r="B37" s="283" t="s">
        <v>751</v>
      </c>
      <c r="C37" s="277" t="s">
        <v>752</v>
      </c>
    </row>
    <row r="38" spans="1:3" x14ac:dyDescent="0.35">
      <c r="A38" s="283" t="s">
        <v>753</v>
      </c>
      <c r="B38" s="283" t="s">
        <v>754</v>
      </c>
      <c r="C38" s="283" t="s">
        <v>747</v>
      </c>
    </row>
    <row r="39" spans="1:3" x14ac:dyDescent="0.35">
      <c r="A39" s="277" t="s">
        <v>755</v>
      </c>
      <c r="B39" s="277"/>
      <c r="C39" s="283" t="s">
        <v>756</v>
      </c>
    </row>
    <row r="40" spans="1:3" x14ac:dyDescent="0.35">
      <c r="C40" s="283" t="s">
        <v>757</v>
      </c>
    </row>
    <row r="42" spans="1:3" x14ac:dyDescent="0.35">
      <c r="A42" s="290" t="s">
        <v>758</v>
      </c>
      <c r="C42" s="288" t="s">
        <v>759</v>
      </c>
    </row>
    <row r="43" spans="1:3" x14ac:dyDescent="0.35">
      <c r="A43" s="291" t="s">
        <v>760</v>
      </c>
      <c r="C43" s="277" t="s">
        <v>761</v>
      </c>
    </row>
    <row r="44" spans="1:3" x14ac:dyDescent="0.35">
      <c r="A44" s="291" t="s">
        <v>762</v>
      </c>
      <c r="C44" s="277" t="s">
        <v>763</v>
      </c>
    </row>
    <row r="45" spans="1:3" x14ac:dyDescent="0.35">
      <c r="A45" s="291" t="s">
        <v>764</v>
      </c>
      <c r="C45" s="283" t="s">
        <v>765</v>
      </c>
    </row>
    <row r="46" spans="1:3" x14ac:dyDescent="0.35">
      <c r="A46" s="291" t="s">
        <v>766</v>
      </c>
      <c r="C46" s="283" t="s">
        <v>767</v>
      </c>
    </row>
    <row r="47" spans="1:3" x14ac:dyDescent="0.35">
      <c r="A47" s="291" t="s">
        <v>768</v>
      </c>
      <c r="C47" s="277" t="s">
        <v>769</v>
      </c>
    </row>
    <row r="48" spans="1:3" x14ac:dyDescent="0.35">
      <c r="A48" s="291" t="s">
        <v>770</v>
      </c>
      <c r="C48" s="283" t="s">
        <v>771</v>
      </c>
    </row>
    <row r="49" spans="1:3" x14ac:dyDescent="0.35">
      <c r="A49" s="291" t="s">
        <v>772</v>
      </c>
      <c r="C49" s="283" t="s">
        <v>773</v>
      </c>
    </row>
    <row r="50" spans="1:3" x14ac:dyDescent="0.35">
      <c r="A50" s="291" t="s">
        <v>774</v>
      </c>
      <c r="C50" s="277" t="s">
        <v>775</v>
      </c>
    </row>
    <row r="51" spans="1:3" x14ac:dyDescent="0.35">
      <c r="A51" s="292" t="s">
        <v>776</v>
      </c>
    </row>
    <row r="52" spans="1:3" x14ac:dyDescent="0.35">
      <c r="A52" s="276"/>
    </row>
    <row r="56" spans="1:3" x14ac:dyDescent="0.35">
      <c r="C56" s="288"/>
    </row>
    <row r="58" spans="1:3" x14ac:dyDescent="0.35">
      <c r="C58" s="277"/>
    </row>
    <row r="59" spans="1:3" x14ac:dyDescent="0.35">
      <c r="A59" s="288"/>
      <c r="C59" s="283"/>
    </row>
    <row r="60" spans="1:3" x14ac:dyDescent="0.35">
      <c r="C60" s="293"/>
    </row>
    <row r="61" spans="1:3" x14ac:dyDescent="0.35">
      <c r="C61" s="293"/>
    </row>
    <row r="62" spans="1:3" x14ac:dyDescent="0.35">
      <c r="C62" s="293"/>
    </row>
    <row r="63" spans="1:3" x14ac:dyDescent="0.35">
      <c r="C63" s="283"/>
    </row>
    <row r="64" spans="1:3" x14ac:dyDescent="0.35">
      <c r="C64" s="293"/>
    </row>
    <row r="65" spans="3:3" x14ac:dyDescent="0.35">
      <c r="C65" s="293"/>
    </row>
    <row r="66" spans="3:3" x14ac:dyDescent="0.35">
      <c r="C66" s="293"/>
    </row>
    <row r="67" spans="3:3" x14ac:dyDescent="0.35">
      <c r="C67" s="277"/>
    </row>
  </sheetData>
  <mergeCells count="1">
    <mergeCell ref="A18:C21"/>
  </mergeCells>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DD003-BDAD-4FFF-B3C6-04573F9D67EE}">
  <dimension ref="C3:Q20"/>
  <sheetViews>
    <sheetView workbookViewId="0">
      <selection activeCell="A3" sqref="A3:B17"/>
    </sheetView>
  </sheetViews>
  <sheetFormatPr defaultRowHeight="12" x14ac:dyDescent="0.3"/>
  <cols>
    <col min="1" max="1" width="29.6640625" bestFit="1" customWidth="1"/>
    <col min="2" max="2" width="12.44140625" bestFit="1" customWidth="1"/>
  </cols>
  <sheetData>
    <row r="3" spans="3:17" x14ac:dyDescent="0.3">
      <c r="F3" t="s">
        <v>65</v>
      </c>
      <c r="G3" t="s">
        <v>66</v>
      </c>
      <c r="H3">
        <v>0</v>
      </c>
      <c r="J3" t="s">
        <v>69</v>
      </c>
      <c r="L3">
        <v>0</v>
      </c>
      <c r="N3" t="s">
        <v>104</v>
      </c>
      <c r="P3">
        <v>2050</v>
      </c>
    </row>
    <row r="4" spans="3:17" x14ac:dyDescent="0.3">
      <c r="C4" t="s">
        <v>382</v>
      </c>
      <c r="F4" t="s">
        <v>67</v>
      </c>
      <c r="H4">
        <v>1500</v>
      </c>
      <c r="J4" t="s">
        <v>94</v>
      </c>
      <c r="L4">
        <v>0</v>
      </c>
      <c r="N4" t="s">
        <v>105</v>
      </c>
      <c r="P4">
        <v>1000</v>
      </c>
    </row>
    <row r="5" spans="3:17" x14ac:dyDescent="0.3">
      <c r="C5" t="s">
        <v>382</v>
      </c>
      <c r="F5" t="s">
        <v>69</v>
      </c>
      <c r="H5">
        <v>0</v>
      </c>
      <c r="J5" t="s">
        <v>95</v>
      </c>
      <c r="L5">
        <v>0</v>
      </c>
      <c r="N5" t="s">
        <v>106</v>
      </c>
      <c r="P5">
        <v>0</v>
      </c>
    </row>
    <row r="6" spans="3:17" x14ac:dyDescent="0.3">
      <c r="C6" t="s">
        <v>382</v>
      </c>
      <c r="F6" t="s">
        <v>71</v>
      </c>
      <c r="H6">
        <v>1800</v>
      </c>
      <c r="J6" t="s">
        <v>96</v>
      </c>
      <c r="L6">
        <v>1700</v>
      </c>
      <c r="N6" t="s">
        <v>107</v>
      </c>
      <c r="O6">
        <v>1</v>
      </c>
      <c r="P6" t="s">
        <v>108</v>
      </c>
      <c r="Q6">
        <v>6000</v>
      </c>
    </row>
    <row r="7" spans="3:17" x14ac:dyDescent="0.3">
      <c r="C7" t="s">
        <v>382</v>
      </c>
      <c r="F7" t="s">
        <v>72</v>
      </c>
      <c r="H7">
        <v>400</v>
      </c>
      <c r="J7" t="s">
        <v>97</v>
      </c>
      <c r="L7">
        <v>0</v>
      </c>
      <c r="N7" t="s">
        <v>109</v>
      </c>
      <c r="O7">
        <v>1</v>
      </c>
      <c r="P7" t="s">
        <v>108</v>
      </c>
      <c r="Q7">
        <v>1500</v>
      </c>
    </row>
    <row r="8" spans="3:17" x14ac:dyDescent="0.3">
      <c r="C8" t="s">
        <v>382</v>
      </c>
      <c r="F8" t="s">
        <v>74</v>
      </c>
      <c r="H8">
        <v>450</v>
      </c>
      <c r="J8" t="s">
        <v>98</v>
      </c>
      <c r="L8">
        <v>0</v>
      </c>
      <c r="N8" t="s">
        <v>110</v>
      </c>
      <c r="P8">
        <v>500</v>
      </c>
      <c r="Q8">
        <v>333.33333333333331</v>
      </c>
    </row>
    <row r="9" spans="3:17" x14ac:dyDescent="0.3">
      <c r="C9" t="s">
        <v>382</v>
      </c>
      <c r="F9" t="s">
        <v>76</v>
      </c>
      <c r="H9">
        <v>0</v>
      </c>
      <c r="J9" t="s">
        <v>99</v>
      </c>
      <c r="L9">
        <v>2500</v>
      </c>
      <c r="N9" t="s">
        <v>111</v>
      </c>
      <c r="P9">
        <v>500</v>
      </c>
      <c r="Q9">
        <v>333.33333333333331</v>
      </c>
    </row>
    <row r="10" spans="3:17" x14ac:dyDescent="0.3">
      <c r="F10" t="s">
        <v>77</v>
      </c>
      <c r="H10">
        <v>0</v>
      </c>
      <c r="J10" t="s">
        <v>100</v>
      </c>
      <c r="L10">
        <v>0</v>
      </c>
    </row>
    <row r="11" spans="3:17" x14ac:dyDescent="0.3">
      <c r="C11" t="s">
        <v>382</v>
      </c>
      <c r="F11" t="s">
        <v>79</v>
      </c>
      <c r="H11">
        <v>500</v>
      </c>
      <c r="J11" t="s">
        <v>101</v>
      </c>
      <c r="L11">
        <v>8000</v>
      </c>
    </row>
    <row r="12" spans="3:17" x14ac:dyDescent="0.3">
      <c r="C12" t="s">
        <v>382</v>
      </c>
      <c r="F12" t="s">
        <v>82</v>
      </c>
      <c r="H12">
        <v>2000</v>
      </c>
      <c r="J12" t="s">
        <v>92</v>
      </c>
      <c r="L12">
        <v>0</v>
      </c>
    </row>
    <row r="13" spans="3:17" x14ac:dyDescent="0.3">
      <c r="C13" t="s">
        <v>382</v>
      </c>
      <c r="F13" t="s">
        <v>84</v>
      </c>
      <c r="H13">
        <v>0</v>
      </c>
    </row>
    <row r="14" spans="3:17" x14ac:dyDescent="0.3">
      <c r="C14" t="s">
        <v>382</v>
      </c>
      <c r="F14" t="s">
        <v>86</v>
      </c>
      <c r="H14">
        <v>0</v>
      </c>
    </row>
    <row r="15" spans="3:17" x14ac:dyDescent="0.3">
      <c r="C15" t="s">
        <v>382</v>
      </c>
      <c r="F15" t="s">
        <v>88</v>
      </c>
      <c r="H15">
        <v>200</v>
      </c>
    </row>
    <row r="16" spans="3:17" x14ac:dyDescent="0.3">
      <c r="C16" t="s">
        <v>382</v>
      </c>
      <c r="F16" t="s">
        <v>90</v>
      </c>
      <c r="H16">
        <v>0</v>
      </c>
    </row>
    <row r="17" spans="6:8" x14ac:dyDescent="0.3">
      <c r="F17" t="s">
        <v>91</v>
      </c>
      <c r="H17">
        <v>0</v>
      </c>
    </row>
    <row r="18" spans="6:8" x14ac:dyDescent="0.3">
      <c r="F18" t="s">
        <v>777</v>
      </c>
    </row>
    <row r="19" spans="6:8" x14ac:dyDescent="0.3">
      <c r="F19" t="s">
        <v>92</v>
      </c>
    </row>
    <row r="20" spans="6:8" x14ac:dyDescent="0.3">
      <c r="F20" t="s">
        <v>23</v>
      </c>
      <c r="H20">
        <v>6850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BCC1E-CC8B-431F-B09A-11EADD962A4C}">
  <dimension ref="A1:J103"/>
  <sheetViews>
    <sheetView topLeftCell="A6" workbookViewId="0">
      <selection activeCell="J11" sqref="J11:J16"/>
    </sheetView>
  </sheetViews>
  <sheetFormatPr defaultRowHeight="12" x14ac:dyDescent="0.3"/>
  <cols>
    <col min="1" max="1" width="17.109375" customWidth="1"/>
    <col min="2" max="2" width="25.33203125" customWidth="1"/>
    <col min="3" max="3" width="18.77734375" bestFit="1" customWidth="1"/>
    <col min="4" max="4" width="8.77734375" style="1195"/>
    <col min="9" max="9" width="17" customWidth="1"/>
    <col min="10" max="10" width="17.6640625" customWidth="1"/>
  </cols>
  <sheetData>
    <row r="1" spans="1:10" ht="13" x14ac:dyDescent="0.3">
      <c r="A1" s="1186" t="s">
        <v>778</v>
      </c>
      <c r="C1" s="466"/>
    </row>
    <row r="2" spans="1:10" ht="13" x14ac:dyDescent="0.3">
      <c r="A2" s="1186" t="s">
        <v>779</v>
      </c>
      <c r="C2" s="466"/>
    </row>
    <row r="3" spans="1:10" ht="13" x14ac:dyDescent="0.3">
      <c r="A3" s="1186" t="s">
        <v>780</v>
      </c>
      <c r="C3" s="466"/>
    </row>
    <row r="4" spans="1:10" x14ac:dyDescent="0.3">
      <c r="C4" s="466"/>
    </row>
    <row r="5" spans="1:10" x14ac:dyDescent="0.3">
      <c r="C5" s="466"/>
    </row>
    <row r="6" spans="1:10" ht="13" x14ac:dyDescent="0.3">
      <c r="C6" s="1187" t="s">
        <v>781</v>
      </c>
    </row>
    <row r="7" spans="1:10" ht="13" x14ac:dyDescent="0.3">
      <c r="C7" s="1187" t="s">
        <v>782</v>
      </c>
    </row>
    <row r="8" spans="1:10" ht="13" x14ac:dyDescent="0.3">
      <c r="C8" s="1187" t="s">
        <v>783</v>
      </c>
    </row>
    <row r="9" spans="1:10" ht="13" x14ac:dyDescent="0.3">
      <c r="A9" s="1186" t="s">
        <v>784</v>
      </c>
      <c r="C9" s="1187" t="s">
        <v>785</v>
      </c>
    </row>
    <row r="10" spans="1:10" ht="13.5" thickBot="1" x14ac:dyDescent="0.35">
      <c r="A10" s="1188" t="s">
        <v>786</v>
      </c>
      <c r="B10" s="1188" t="s">
        <v>787</v>
      </c>
      <c r="C10" s="1189" t="s">
        <v>788</v>
      </c>
      <c r="D10" s="1195" t="s">
        <v>789</v>
      </c>
      <c r="I10" s="1194" t="s">
        <v>790</v>
      </c>
      <c r="J10" t="s">
        <v>791</v>
      </c>
    </row>
    <row r="11" spans="1:10" x14ac:dyDescent="0.3">
      <c r="A11" t="s">
        <v>792</v>
      </c>
      <c r="B11" t="s">
        <v>793</v>
      </c>
      <c r="C11" s="466">
        <v>2050</v>
      </c>
      <c r="D11" s="1195" t="s">
        <v>104</v>
      </c>
      <c r="I11" s="392" t="s">
        <v>104</v>
      </c>
      <c r="J11" s="466">
        <v>2050</v>
      </c>
    </row>
    <row r="12" spans="1:10" x14ac:dyDescent="0.3">
      <c r="A12" t="s">
        <v>794</v>
      </c>
      <c r="B12" t="s">
        <v>795</v>
      </c>
      <c r="C12" s="466">
        <v>1000</v>
      </c>
      <c r="D12" s="1195" t="s">
        <v>105</v>
      </c>
      <c r="I12" s="392" t="s">
        <v>105</v>
      </c>
      <c r="J12" s="466">
        <v>1000</v>
      </c>
    </row>
    <row r="13" spans="1:10" x14ac:dyDescent="0.3">
      <c r="A13" t="s">
        <v>796</v>
      </c>
      <c r="B13" t="s">
        <v>797</v>
      </c>
      <c r="C13" s="466">
        <v>200</v>
      </c>
      <c r="D13" s="1195" t="s">
        <v>71</v>
      </c>
      <c r="I13" s="392" t="s">
        <v>82</v>
      </c>
      <c r="J13" s="466">
        <v>2000</v>
      </c>
    </row>
    <row r="14" spans="1:10" x14ac:dyDescent="0.3">
      <c r="A14" t="s">
        <v>798</v>
      </c>
      <c r="B14" t="s">
        <v>799</v>
      </c>
      <c r="C14" s="466">
        <v>450</v>
      </c>
      <c r="D14" s="1195" t="s">
        <v>74</v>
      </c>
      <c r="I14" s="392" t="s">
        <v>99</v>
      </c>
      <c r="J14" s="466">
        <v>2500</v>
      </c>
    </row>
    <row r="15" spans="1:10" x14ac:dyDescent="0.3">
      <c r="A15" t="s">
        <v>800</v>
      </c>
      <c r="B15" t="s">
        <v>801</v>
      </c>
      <c r="C15" s="466">
        <v>400</v>
      </c>
      <c r="D15" s="1195" t="s">
        <v>72</v>
      </c>
      <c r="I15" s="392" t="s">
        <v>101</v>
      </c>
      <c r="J15" s="466">
        <v>8000</v>
      </c>
    </row>
    <row r="16" spans="1:10" x14ac:dyDescent="0.3">
      <c r="A16" t="s">
        <v>802</v>
      </c>
      <c r="B16" t="s">
        <v>803</v>
      </c>
      <c r="C16" s="466">
        <v>425</v>
      </c>
      <c r="D16" s="1195" t="s">
        <v>71</v>
      </c>
      <c r="I16" s="392" t="s">
        <v>96</v>
      </c>
      <c r="J16" s="466">
        <v>1700</v>
      </c>
    </row>
    <row r="17" spans="1:10" x14ac:dyDescent="0.3">
      <c r="A17" t="s">
        <v>804</v>
      </c>
      <c r="B17" t="s">
        <v>805</v>
      </c>
      <c r="C17" s="466">
        <v>525</v>
      </c>
      <c r="D17" s="1195" t="s">
        <v>71</v>
      </c>
      <c r="I17" s="392" t="s">
        <v>124</v>
      </c>
      <c r="J17" s="466">
        <v>133718.51</v>
      </c>
    </row>
    <row r="18" spans="1:10" x14ac:dyDescent="0.3">
      <c r="A18" t="s">
        <v>806</v>
      </c>
      <c r="B18" t="s">
        <v>807</v>
      </c>
      <c r="C18" s="466">
        <v>650</v>
      </c>
      <c r="D18" s="1195" t="s">
        <v>71</v>
      </c>
      <c r="I18" s="392" t="s">
        <v>88</v>
      </c>
      <c r="J18" s="466">
        <v>200</v>
      </c>
    </row>
    <row r="19" spans="1:10" x14ac:dyDescent="0.3">
      <c r="A19" t="s">
        <v>808</v>
      </c>
      <c r="B19" t="s">
        <v>88</v>
      </c>
      <c r="C19" s="466">
        <v>200</v>
      </c>
      <c r="D19" s="1195" t="s">
        <v>88</v>
      </c>
      <c r="I19" s="392" t="s">
        <v>71</v>
      </c>
      <c r="J19" s="466">
        <v>1800</v>
      </c>
    </row>
    <row r="20" spans="1:10" x14ac:dyDescent="0.3">
      <c r="A20" t="s">
        <v>809</v>
      </c>
      <c r="B20" t="s">
        <v>810</v>
      </c>
      <c r="C20" s="1196">
        <v>7500</v>
      </c>
      <c r="E20" t="s">
        <v>811</v>
      </c>
      <c r="I20" s="392" t="s">
        <v>72</v>
      </c>
      <c r="J20" s="466">
        <v>400</v>
      </c>
    </row>
    <row r="21" spans="1:10" x14ac:dyDescent="0.3">
      <c r="A21" t="s">
        <v>812</v>
      </c>
      <c r="B21" t="s">
        <v>813</v>
      </c>
      <c r="C21" s="466">
        <v>200</v>
      </c>
      <c r="D21" s="1195" t="s">
        <v>124</v>
      </c>
      <c r="I21" s="392" t="s">
        <v>74</v>
      </c>
      <c r="J21" s="466">
        <v>450</v>
      </c>
    </row>
    <row r="22" spans="1:10" x14ac:dyDescent="0.3">
      <c r="A22" t="s">
        <v>814</v>
      </c>
      <c r="B22" t="s">
        <v>815</v>
      </c>
      <c r="C22" s="466">
        <v>200</v>
      </c>
      <c r="D22" s="1195" t="s">
        <v>124</v>
      </c>
      <c r="I22" s="392" t="s">
        <v>79</v>
      </c>
      <c r="J22" s="466">
        <v>500</v>
      </c>
    </row>
    <row r="23" spans="1:10" x14ac:dyDescent="0.3">
      <c r="A23" t="s">
        <v>816</v>
      </c>
      <c r="B23" t="s">
        <v>817</v>
      </c>
      <c r="C23" s="466">
        <v>200</v>
      </c>
      <c r="D23" s="1195" t="s">
        <v>124</v>
      </c>
      <c r="I23" s="392" t="s">
        <v>818</v>
      </c>
      <c r="J23" s="466">
        <v>7500</v>
      </c>
    </row>
    <row r="24" spans="1:10" x14ac:dyDescent="0.3">
      <c r="A24" t="s">
        <v>819</v>
      </c>
      <c r="B24" t="s">
        <v>468</v>
      </c>
      <c r="C24" s="466">
        <v>3500</v>
      </c>
      <c r="D24" s="1195" t="s">
        <v>124</v>
      </c>
      <c r="I24" s="392" t="s">
        <v>820</v>
      </c>
      <c r="J24" s="466">
        <v>161818.51</v>
      </c>
    </row>
    <row r="25" spans="1:10" x14ac:dyDescent="0.3">
      <c r="A25" t="s">
        <v>821</v>
      </c>
      <c r="B25" t="s">
        <v>822</v>
      </c>
      <c r="C25" s="466">
        <v>875</v>
      </c>
      <c r="D25" s="1195" t="s">
        <v>124</v>
      </c>
    </row>
    <row r="26" spans="1:10" x14ac:dyDescent="0.3">
      <c r="A26" t="s">
        <v>823</v>
      </c>
      <c r="B26" t="s">
        <v>824</v>
      </c>
      <c r="C26" s="466">
        <v>450</v>
      </c>
      <c r="D26" s="1195" t="s">
        <v>96</v>
      </c>
    </row>
    <row r="27" spans="1:10" x14ac:dyDescent="0.3">
      <c r="A27" t="s">
        <v>825</v>
      </c>
      <c r="B27" t="s">
        <v>826</v>
      </c>
      <c r="C27" s="466">
        <v>400</v>
      </c>
      <c r="D27" s="1195" t="s">
        <v>96</v>
      </c>
    </row>
    <row r="28" spans="1:10" x14ac:dyDescent="0.3">
      <c r="A28" t="s">
        <v>827</v>
      </c>
      <c r="B28" t="s">
        <v>828</v>
      </c>
      <c r="C28" s="466">
        <v>400</v>
      </c>
      <c r="D28" s="1195" t="s">
        <v>96</v>
      </c>
    </row>
    <row r="29" spans="1:10" x14ac:dyDescent="0.3">
      <c r="A29" t="s">
        <v>829</v>
      </c>
      <c r="B29" t="s">
        <v>830</v>
      </c>
      <c r="C29" s="466">
        <v>450</v>
      </c>
      <c r="D29" s="1195" t="s">
        <v>96</v>
      </c>
    </row>
    <row r="30" spans="1:10" x14ac:dyDescent="0.3">
      <c r="A30" t="s">
        <v>831</v>
      </c>
      <c r="B30" t="s">
        <v>79</v>
      </c>
      <c r="C30" s="466">
        <v>500</v>
      </c>
      <c r="D30" s="1195" t="s">
        <v>79</v>
      </c>
    </row>
    <row r="31" spans="1:10" x14ac:dyDescent="0.3">
      <c r="A31" t="s">
        <v>832</v>
      </c>
      <c r="B31" t="s">
        <v>82</v>
      </c>
      <c r="C31" s="466">
        <v>2000</v>
      </c>
      <c r="D31" s="1195" t="s">
        <v>82</v>
      </c>
    </row>
    <row r="32" spans="1:10" x14ac:dyDescent="0.3">
      <c r="A32" t="s">
        <v>833</v>
      </c>
      <c r="B32" t="s">
        <v>533</v>
      </c>
      <c r="C32" s="466">
        <v>11548.75</v>
      </c>
      <c r="D32" s="1195" t="s">
        <v>124</v>
      </c>
    </row>
    <row r="33" spans="1:4" x14ac:dyDescent="0.3">
      <c r="A33" t="s">
        <v>834</v>
      </c>
      <c r="B33" t="s">
        <v>835</v>
      </c>
      <c r="C33" s="466">
        <v>185</v>
      </c>
      <c r="D33" s="1195" t="s">
        <v>124</v>
      </c>
    </row>
    <row r="34" spans="1:4" x14ac:dyDescent="0.3">
      <c r="A34" t="s">
        <v>836</v>
      </c>
      <c r="B34" t="s">
        <v>837</v>
      </c>
      <c r="C34" s="466">
        <v>7638.72</v>
      </c>
      <c r="D34" s="1195" t="s">
        <v>124</v>
      </c>
    </row>
    <row r="35" spans="1:4" x14ac:dyDescent="0.3">
      <c r="A35" t="s">
        <v>838</v>
      </c>
      <c r="B35" t="s">
        <v>839</v>
      </c>
      <c r="C35" s="466">
        <v>0</v>
      </c>
      <c r="D35" s="1195" t="s">
        <v>124</v>
      </c>
    </row>
    <row r="36" spans="1:4" x14ac:dyDescent="0.3">
      <c r="A36" t="s">
        <v>840</v>
      </c>
      <c r="B36" t="s">
        <v>841</v>
      </c>
      <c r="C36" s="466">
        <v>0</v>
      </c>
      <c r="D36" s="1195" t="s">
        <v>124</v>
      </c>
    </row>
    <row r="37" spans="1:4" x14ac:dyDescent="0.3">
      <c r="A37" t="s">
        <v>842</v>
      </c>
      <c r="B37" t="s">
        <v>481</v>
      </c>
      <c r="C37" s="466">
        <v>2392.25</v>
      </c>
      <c r="D37" s="1195" t="s">
        <v>124</v>
      </c>
    </row>
    <row r="38" spans="1:4" x14ac:dyDescent="0.3">
      <c r="A38" t="s">
        <v>843</v>
      </c>
      <c r="B38" t="s">
        <v>844</v>
      </c>
      <c r="C38" s="466">
        <v>2756.72</v>
      </c>
      <c r="D38" s="1195" t="s">
        <v>124</v>
      </c>
    </row>
    <row r="39" spans="1:4" x14ac:dyDescent="0.3">
      <c r="A39" t="s">
        <v>845</v>
      </c>
      <c r="B39" t="s">
        <v>480</v>
      </c>
      <c r="C39" s="466">
        <v>573.82000000000005</v>
      </c>
      <c r="D39" s="1195" t="s">
        <v>124</v>
      </c>
    </row>
    <row r="40" spans="1:4" x14ac:dyDescent="0.3">
      <c r="A40" t="s">
        <v>846</v>
      </c>
      <c r="B40" t="s">
        <v>847</v>
      </c>
      <c r="C40" s="466">
        <v>6720.3</v>
      </c>
      <c r="D40" s="1195" t="s">
        <v>124</v>
      </c>
    </row>
    <row r="41" spans="1:4" x14ac:dyDescent="0.3">
      <c r="A41" t="s">
        <v>848</v>
      </c>
      <c r="B41" t="s">
        <v>849</v>
      </c>
      <c r="C41" s="466">
        <v>746.7</v>
      </c>
      <c r="D41" s="1195" t="s">
        <v>124</v>
      </c>
    </row>
    <row r="42" spans="1:4" x14ac:dyDescent="0.3">
      <c r="A42" t="s">
        <v>850</v>
      </c>
      <c r="B42" t="s">
        <v>491</v>
      </c>
      <c r="C42" s="466">
        <v>330</v>
      </c>
      <c r="D42" s="1195" t="s">
        <v>124</v>
      </c>
    </row>
    <row r="43" spans="1:4" x14ac:dyDescent="0.3">
      <c r="A43" t="s">
        <v>851</v>
      </c>
      <c r="B43" t="s">
        <v>488</v>
      </c>
      <c r="C43" s="466">
        <v>2729.75</v>
      </c>
      <c r="D43" s="1195" t="s">
        <v>124</v>
      </c>
    </row>
    <row r="44" spans="1:4" x14ac:dyDescent="0.3">
      <c r="A44" t="s">
        <v>852</v>
      </c>
      <c r="B44" t="s">
        <v>485</v>
      </c>
      <c r="C44" s="466">
        <v>3270.45</v>
      </c>
      <c r="D44" s="1195" t="s">
        <v>124</v>
      </c>
    </row>
    <row r="45" spans="1:4" x14ac:dyDescent="0.3">
      <c r="A45" t="s">
        <v>853</v>
      </c>
      <c r="B45" t="s">
        <v>854</v>
      </c>
      <c r="C45" s="466">
        <v>120</v>
      </c>
      <c r="D45" s="1195" t="s">
        <v>124</v>
      </c>
    </row>
    <row r="46" spans="1:4" x14ac:dyDescent="0.3">
      <c r="A46" t="s">
        <v>855</v>
      </c>
      <c r="B46" t="s">
        <v>489</v>
      </c>
      <c r="C46" s="466">
        <v>1112.3900000000001</v>
      </c>
      <c r="D46" s="1195" t="s">
        <v>124</v>
      </c>
    </row>
    <row r="47" spans="1:4" x14ac:dyDescent="0.3">
      <c r="A47" t="s">
        <v>856</v>
      </c>
      <c r="B47" t="s">
        <v>857</v>
      </c>
      <c r="C47" s="466">
        <v>9501.3799999999992</v>
      </c>
      <c r="D47" s="1195" t="s">
        <v>124</v>
      </c>
    </row>
    <row r="48" spans="1:4" x14ac:dyDescent="0.3">
      <c r="A48" t="s">
        <v>858</v>
      </c>
      <c r="B48" t="s">
        <v>859</v>
      </c>
      <c r="C48" s="466">
        <v>5400.91</v>
      </c>
      <c r="D48" s="1195" t="s">
        <v>124</v>
      </c>
    </row>
    <row r="49" spans="1:4" x14ac:dyDescent="0.3">
      <c r="A49" t="s">
        <v>860</v>
      </c>
      <c r="B49" t="s">
        <v>861</v>
      </c>
      <c r="C49" s="466">
        <v>5775</v>
      </c>
      <c r="D49" s="1195" t="s">
        <v>124</v>
      </c>
    </row>
    <row r="50" spans="1:4" x14ac:dyDescent="0.3">
      <c r="A50" t="s">
        <v>862</v>
      </c>
      <c r="B50" t="s">
        <v>863</v>
      </c>
      <c r="C50" s="466">
        <v>2475</v>
      </c>
      <c r="D50" s="1195" t="s">
        <v>124</v>
      </c>
    </row>
    <row r="51" spans="1:4" x14ac:dyDescent="0.3">
      <c r="A51" t="s">
        <v>864</v>
      </c>
      <c r="B51" t="s">
        <v>865</v>
      </c>
      <c r="C51" s="466">
        <v>275</v>
      </c>
      <c r="D51" s="1195" t="s">
        <v>124</v>
      </c>
    </row>
    <row r="52" spans="1:4" x14ac:dyDescent="0.3">
      <c r="A52" t="s">
        <v>866</v>
      </c>
      <c r="B52" t="s">
        <v>867</v>
      </c>
      <c r="C52" s="466">
        <v>150</v>
      </c>
      <c r="D52" s="1195" t="s">
        <v>124</v>
      </c>
    </row>
    <row r="53" spans="1:4" x14ac:dyDescent="0.3">
      <c r="A53" t="s">
        <v>868</v>
      </c>
      <c r="B53" t="s">
        <v>869</v>
      </c>
      <c r="C53" s="466">
        <v>3672</v>
      </c>
      <c r="D53" s="1195" t="s">
        <v>124</v>
      </c>
    </row>
    <row r="54" spans="1:4" x14ac:dyDescent="0.3">
      <c r="A54" t="s">
        <v>870</v>
      </c>
      <c r="B54" t="s">
        <v>871</v>
      </c>
      <c r="C54" s="466">
        <v>2518</v>
      </c>
      <c r="D54" s="1195" t="s">
        <v>124</v>
      </c>
    </row>
    <row r="55" spans="1:4" x14ac:dyDescent="0.3">
      <c r="A55" t="s">
        <v>872</v>
      </c>
      <c r="B55" t="s">
        <v>873</v>
      </c>
      <c r="C55" s="466">
        <v>1087.43</v>
      </c>
      <c r="D55" s="1195" t="s">
        <v>124</v>
      </c>
    </row>
    <row r="56" spans="1:4" x14ac:dyDescent="0.3">
      <c r="A56" t="s">
        <v>874</v>
      </c>
      <c r="B56" t="s">
        <v>875</v>
      </c>
      <c r="C56" s="466">
        <v>3294.6</v>
      </c>
      <c r="D56" s="1195" t="s">
        <v>124</v>
      </c>
    </row>
    <row r="57" spans="1:4" x14ac:dyDescent="0.3">
      <c r="A57" t="s">
        <v>876</v>
      </c>
      <c r="B57" t="s">
        <v>877</v>
      </c>
      <c r="C57" s="466">
        <v>3294.6</v>
      </c>
      <c r="D57" s="1195" t="s">
        <v>124</v>
      </c>
    </row>
    <row r="58" spans="1:4" x14ac:dyDescent="0.3">
      <c r="A58" t="s">
        <v>878</v>
      </c>
      <c r="B58" t="s">
        <v>879</v>
      </c>
      <c r="C58" s="466">
        <v>4392.8</v>
      </c>
      <c r="D58" s="1195" t="s">
        <v>124</v>
      </c>
    </row>
    <row r="59" spans="1:4" x14ac:dyDescent="0.3">
      <c r="A59" t="s">
        <v>880</v>
      </c>
      <c r="B59" t="s">
        <v>881</v>
      </c>
      <c r="C59" s="466">
        <v>150</v>
      </c>
      <c r="D59" s="1195" t="s">
        <v>124</v>
      </c>
    </row>
    <row r="60" spans="1:4" x14ac:dyDescent="0.3">
      <c r="A60" t="s">
        <v>882</v>
      </c>
      <c r="B60" t="s">
        <v>883</v>
      </c>
      <c r="C60" s="466">
        <v>1850</v>
      </c>
      <c r="D60" s="1195" t="s">
        <v>124</v>
      </c>
    </row>
    <row r="61" spans="1:4" x14ac:dyDescent="0.3">
      <c r="A61" t="s">
        <v>884</v>
      </c>
      <c r="B61" t="s">
        <v>885</v>
      </c>
      <c r="C61" s="466">
        <v>800</v>
      </c>
      <c r="D61" s="1195" t="s">
        <v>124</v>
      </c>
    </row>
    <row r="62" spans="1:4" x14ac:dyDescent="0.3">
      <c r="A62" t="s">
        <v>886</v>
      </c>
      <c r="B62" t="s">
        <v>887</v>
      </c>
      <c r="C62" s="466">
        <v>3181.59</v>
      </c>
      <c r="D62" s="1195" t="s">
        <v>124</v>
      </c>
    </row>
    <row r="63" spans="1:4" x14ac:dyDescent="0.3">
      <c r="A63" t="s">
        <v>888</v>
      </c>
      <c r="B63" t="s">
        <v>889</v>
      </c>
      <c r="C63" s="466">
        <v>3783.96</v>
      </c>
      <c r="D63" s="1195" t="s">
        <v>124</v>
      </c>
    </row>
    <row r="64" spans="1:4" x14ac:dyDescent="0.3">
      <c r="A64" t="s">
        <v>890</v>
      </c>
      <c r="B64" t="s">
        <v>100</v>
      </c>
      <c r="C64" s="466">
        <v>2145</v>
      </c>
      <c r="D64" s="1195" t="s">
        <v>124</v>
      </c>
    </row>
    <row r="65" spans="1:4" x14ac:dyDescent="0.3">
      <c r="A65" t="s">
        <v>891</v>
      </c>
      <c r="B65" t="s">
        <v>892</v>
      </c>
      <c r="C65" s="466">
        <v>3037.5</v>
      </c>
      <c r="D65" s="1195" t="s">
        <v>124</v>
      </c>
    </row>
    <row r="66" spans="1:4" x14ac:dyDescent="0.3">
      <c r="A66" t="s">
        <v>893</v>
      </c>
      <c r="B66" t="s">
        <v>894</v>
      </c>
      <c r="C66" s="466">
        <v>658</v>
      </c>
      <c r="D66" s="1195" t="s">
        <v>124</v>
      </c>
    </row>
    <row r="67" spans="1:4" x14ac:dyDescent="0.3">
      <c r="A67" t="s">
        <v>895</v>
      </c>
      <c r="B67" t="s">
        <v>896</v>
      </c>
      <c r="C67" s="466">
        <v>2400</v>
      </c>
      <c r="D67" s="1195" t="s">
        <v>124</v>
      </c>
    </row>
    <row r="68" spans="1:4" x14ac:dyDescent="0.3">
      <c r="A68" t="s">
        <v>897</v>
      </c>
      <c r="B68" t="s">
        <v>898</v>
      </c>
      <c r="C68" s="466">
        <v>4378.54</v>
      </c>
      <c r="D68" s="1195" t="s">
        <v>124</v>
      </c>
    </row>
    <row r="69" spans="1:4" x14ac:dyDescent="0.3">
      <c r="A69" t="s">
        <v>899</v>
      </c>
      <c r="B69" t="s">
        <v>511</v>
      </c>
      <c r="C69" s="466">
        <v>5451</v>
      </c>
      <c r="D69" s="1195" t="s">
        <v>124</v>
      </c>
    </row>
    <row r="70" spans="1:4" x14ac:dyDescent="0.3">
      <c r="A70" t="s">
        <v>900</v>
      </c>
      <c r="B70" t="s">
        <v>901</v>
      </c>
      <c r="C70" s="466">
        <v>1418.38</v>
      </c>
      <c r="D70" s="1195" t="s">
        <v>124</v>
      </c>
    </row>
    <row r="71" spans="1:4" x14ac:dyDescent="0.3">
      <c r="A71" t="s">
        <v>902</v>
      </c>
      <c r="B71" t="s">
        <v>903</v>
      </c>
      <c r="C71" s="466">
        <v>1418.38</v>
      </c>
      <c r="D71" s="1195" t="s">
        <v>124</v>
      </c>
    </row>
    <row r="72" spans="1:4" x14ac:dyDescent="0.3">
      <c r="A72" t="s">
        <v>904</v>
      </c>
      <c r="B72" t="s">
        <v>905</v>
      </c>
      <c r="C72" s="466">
        <v>180</v>
      </c>
      <c r="D72" s="1195" t="s">
        <v>124</v>
      </c>
    </row>
    <row r="73" spans="1:4" x14ac:dyDescent="0.3">
      <c r="A73" t="s">
        <v>906</v>
      </c>
      <c r="B73" t="s">
        <v>515</v>
      </c>
      <c r="C73" s="466">
        <v>4414</v>
      </c>
      <c r="D73" s="1195" t="s">
        <v>124</v>
      </c>
    </row>
    <row r="74" spans="1:4" x14ac:dyDescent="0.3">
      <c r="A74" t="s">
        <v>907</v>
      </c>
      <c r="B74" t="s">
        <v>510</v>
      </c>
      <c r="C74" s="466">
        <v>259.2</v>
      </c>
      <c r="D74" s="1195" t="s">
        <v>124</v>
      </c>
    </row>
    <row r="75" spans="1:4" x14ac:dyDescent="0.3">
      <c r="A75" t="s">
        <v>908</v>
      </c>
      <c r="B75" t="s">
        <v>512</v>
      </c>
      <c r="C75" s="466">
        <v>689.96</v>
      </c>
      <c r="D75" s="1195" t="s">
        <v>124</v>
      </c>
    </row>
    <row r="76" spans="1:4" x14ac:dyDescent="0.3">
      <c r="A76" t="s">
        <v>909</v>
      </c>
      <c r="B76" t="s">
        <v>513</v>
      </c>
      <c r="C76" s="466">
        <v>228.18</v>
      </c>
      <c r="D76" s="1195" t="s">
        <v>124</v>
      </c>
    </row>
    <row r="77" spans="1:4" x14ac:dyDescent="0.3">
      <c r="A77" t="s">
        <v>910</v>
      </c>
      <c r="B77" t="s">
        <v>911</v>
      </c>
      <c r="C77" s="466">
        <v>451.21</v>
      </c>
      <c r="D77" s="1195" t="s">
        <v>124</v>
      </c>
    </row>
    <row r="78" spans="1:4" x14ac:dyDescent="0.3">
      <c r="A78" t="s">
        <v>912</v>
      </c>
      <c r="B78" t="s">
        <v>514</v>
      </c>
      <c r="C78" s="466">
        <v>690</v>
      </c>
      <c r="D78" s="1195" t="s">
        <v>124</v>
      </c>
    </row>
    <row r="79" spans="1:4" x14ac:dyDescent="0.3">
      <c r="A79" t="s">
        <v>913</v>
      </c>
      <c r="B79" t="s">
        <v>914</v>
      </c>
      <c r="C79" s="466">
        <v>1700</v>
      </c>
      <c r="D79" s="1195" t="s">
        <v>124</v>
      </c>
    </row>
    <row r="80" spans="1:4" x14ac:dyDescent="0.3">
      <c r="A80" t="s">
        <v>915</v>
      </c>
      <c r="B80" t="s">
        <v>916</v>
      </c>
      <c r="C80" s="466">
        <v>3853.27</v>
      </c>
      <c r="D80" s="1195" t="s">
        <v>124</v>
      </c>
    </row>
    <row r="81" spans="1:4" x14ac:dyDescent="0.3">
      <c r="A81" t="s">
        <v>917</v>
      </c>
      <c r="B81" t="s">
        <v>918</v>
      </c>
      <c r="C81" s="466">
        <v>472</v>
      </c>
      <c r="D81" s="1195" t="s">
        <v>124</v>
      </c>
    </row>
    <row r="82" spans="1:4" x14ac:dyDescent="0.3">
      <c r="A82" t="s">
        <v>919</v>
      </c>
      <c r="B82" t="s">
        <v>920</v>
      </c>
      <c r="C82" s="466">
        <v>826.41</v>
      </c>
      <c r="D82" s="1195" t="s">
        <v>124</v>
      </c>
    </row>
    <row r="83" spans="1:4" x14ac:dyDescent="0.3">
      <c r="A83" t="s">
        <v>921</v>
      </c>
      <c r="B83" t="s">
        <v>922</v>
      </c>
      <c r="C83" s="466">
        <v>773.56</v>
      </c>
      <c r="D83" s="1195" t="s">
        <v>124</v>
      </c>
    </row>
    <row r="84" spans="1:4" x14ac:dyDescent="0.3">
      <c r="A84" t="s">
        <v>923</v>
      </c>
      <c r="B84" t="s">
        <v>924</v>
      </c>
      <c r="C84" s="466">
        <v>157</v>
      </c>
      <c r="D84" s="1195" t="s">
        <v>124</v>
      </c>
    </row>
    <row r="85" spans="1:4" x14ac:dyDescent="0.3">
      <c r="A85" t="s">
        <v>925</v>
      </c>
      <c r="B85" t="s">
        <v>926</v>
      </c>
      <c r="C85" s="466">
        <v>219.8</v>
      </c>
      <c r="D85" s="1195" t="s">
        <v>124</v>
      </c>
    </row>
    <row r="86" spans="1:4" x14ac:dyDescent="0.3">
      <c r="A86" t="s">
        <v>927</v>
      </c>
      <c r="B86" t="s">
        <v>928</v>
      </c>
      <c r="C86" s="466">
        <v>90</v>
      </c>
      <c r="D86" s="1195" t="s">
        <v>124</v>
      </c>
    </row>
    <row r="87" spans="1:4" x14ac:dyDescent="0.3">
      <c r="A87" t="s">
        <v>929</v>
      </c>
      <c r="B87" t="s">
        <v>930</v>
      </c>
      <c r="C87" s="466">
        <v>115</v>
      </c>
      <c r="D87" s="1195" t="s">
        <v>124</v>
      </c>
    </row>
    <row r="88" spans="1:4" x14ac:dyDescent="0.3">
      <c r="A88" t="s">
        <v>931</v>
      </c>
      <c r="B88" t="s">
        <v>932</v>
      </c>
      <c r="C88" s="466">
        <v>175</v>
      </c>
      <c r="D88" s="1195" t="s">
        <v>124</v>
      </c>
    </row>
    <row r="89" spans="1:4" x14ac:dyDescent="0.3">
      <c r="A89" t="s">
        <v>933</v>
      </c>
      <c r="B89" t="s">
        <v>934</v>
      </c>
      <c r="C89" s="466">
        <v>95</v>
      </c>
      <c r="D89" s="1195" t="s">
        <v>124</v>
      </c>
    </row>
    <row r="90" spans="1:4" x14ac:dyDescent="0.3">
      <c r="A90" t="s">
        <v>935</v>
      </c>
      <c r="B90" t="s">
        <v>99</v>
      </c>
      <c r="C90" s="466">
        <v>2500</v>
      </c>
      <c r="D90" s="1195" t="s">
        <v>99</v>
      </c>
    </row>
    <row r="91" spans="1:4" x14ac:dyDescent="0.3">
      <c r="A91" t="s">
        <v>936</v>
      </c>
      <c r="B91" t="s">
        <v>937</v>
      </c>
      <c r="C91" s="466">
        <v>720</v>
      </c>
      <c r="D91" s="1195" t="s">
        <v>124</v>
      </c>
    </row>
    <row r="92" spans="1:4" ht="12.5" thickBot="1" x14ac:dyDescent="0.35">
      <c r="B92" t="s">
        <v>938</v>
      </c>
      <c r="C92" s="466">
        <v>8000</v>
      </c>
      <c r="D92" s="1195" t="s">
        <v>101</v>
      </c>
    </row>
    <row r="93" spans="1:4" ht="13" x14ac:dyDescent="0.3">
      <c r="A93" s="1190"/>
      <c r="B93" s="1190" t="s">
        <v>939</v>
      </c>
      <c r="C93" s="1191">
        <f>SUM(C11:C92)</f>
        <v>161818.50999999998</v>
      </c>
    </row>
    <row r="94" spans="1:4" ht="13.5" thickBot="1" x14ac:dyDescent="0.35">
      <c r="A94" s="1186"/>
      <c r="B94" s="1186"/>
      <c r="C94" s="1187"/>
    </row>
    <row r="95" spans="1:4" ht="13.5" thickTop="1" x14ac:dyDescent="0.3">
      <c r="A95" s="1192"/>
      <c r="B95" s="1192"/>
      <c r="C95" s="1193"/>
    </row>
    <row r="96" spans="1:4" ht="13" x14ac:dyDescent="0.3">
      <c r="A96" s="1186"/>
      <c r="B96" s="1186" t="s">
        <v>940</v>
      </c>
      <c r="C96" s="1187"/>
    </row>
    <row r="97" spans="1:3" ht="13" x14ac:dyDescent="0.3">
      <c r="A97" s="1186"/>
      <c r="B97" s="1186" t="s">
        <v>941</v>
      </c>
      <c r="C97" s="1187"/>
    </row>
    <row r="98" spans="1:3" ht="13" x14ac:dyDescent="0.3">
      <c r="A98" s="1186"/>
      <c r="B98" s="1186" t="s">
        <v>942</v>
      </c>
      <c r="C98" s="1187"/>
    </row>
    <row r="99" spans="1:3" ht="13" x14ac:dyDescent="0.3">
      <c r="A99" s="1186"/>
      <c r="B99" s="1186" t="s">
        <v>943</v>
      </c>
      <c r="C99" s="1187"/>
    </row>
    <row r="100" spans="1:3" ht="13" x14ac:dyDescent="0.3">
      <c r="A100" s="1186"/>
      <c r="B100" s="1186" t="s">
        <v>944</v>
      </c>
      <c r="C100" s="1187"/>
    </row>
    <row r="101" spans="1:3" ht="13" x14ac:dyDescent="0.3">
      <c r="A101" s="1186"/>
      <c r="B101" s="1186" t="s">
        <v>945</v>
      </c>
      <c r="C101" s="1187"/>
    </row>
    <row r="102" spans="1:3" ht="13" x14ac:dyDescent="0.3">
      <c r="A102" s="1186"/>
      <c r="B102" s="1186" t="s">
        <v>946</v>
      </c>
      <c r="C102" s="1187"/>
    </row>
    <row r="103" spans="1:3" ht="13" x14ac:dyDescent="0.3">
      <c r="A103" s="1186"/>
      <c r="B103" s="1186" t="s">
        <v>947</v>
      </c>
      <c r="C103" s="118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0a1b2ee-f2b7-4066-91a1-5f7788ce1b22" xsi:nil="true"/>
    <lcf76f155ced4ddcb4097134ff3c332f xmlns="5c29b4f3-eb99-4e81-8679-fa1333def8cf">
      <Terms xmlns="http://schemas.microsoft.com/office/infopath/2007/PartnerControls"/>
    </lcf76f155ced4ddcb4097134ff3c332f>
    <Hidden xmlns="5c29b4f3-eb99-4e81-8679-fa1333def8cf">Enter Choice #1</Hidden>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2D9B70EE884834BADD1040C486F5AE3" ma:contentTypeVersion="15" ma:contentTypeDescription="Create a new document." ma:contentTypeScope="" ma:versionID="e7edf089d39dee150496da16c399993b">
  <xsd:schema xmlns:xsd="http://www.w3.org/2001/XMLSchema" xmlns:xs="http://www.w3.org/2001/XMLSchema" xmlns:p="http://schemas.microsoft.com/office/2006/metadata/properties" xmlns:ns2="5c29b4f3-eb99-4e81-8679-fa1333def8cf" xmlns:ns3="50a1b2ee-f2b7-4066-91a1-5f7788ce1b22" targetNamespace="http://schemas.microsoft.com/office/2006/metadata/properties" ma:root="true" ma:fieldsID="34e51ae0036692206a6312ea80a7e291" ns2:_="" ns3:_="">
    <xsd:import namespace="5c29b4f3-eb99-4e81-8679-fa1333def8cf"/>
    <xsd:import namespace="50a1b2ee-f2b7-4066-91a1-5f7788ce1b2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BillingMetadata" minOccurs="0"/>
                <xsd:element ref="ns2:Hidd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29b4f3-eb99-4e81-8679-fa1333def8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ObjectDetectorVersions" ma:index="12"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descrip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089ebe9d-626c-4f98-b6a9-91df6504bb0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Hidden" ma:index="22" nillable="true" ma:displayName="Hidden" ma:default="Enter Choice #1" ma:format="Dropdown" ma:internalName="Hidden">
      <xsd:simpleType>
        <xsd:restriction base="dms:Choice">
          <xsd:enumeration value="Enter Choice #1"/>
          <xsd:enumeration value="Enter Choice #2"/>
          <xsd:enumeration value="Enter Choice #3"/>
        </xsd:restriction>
      </xsd:simpleType>
    </xsd:element>
  </xsd:schema>
  <xsd:schema xmlns:xsd="http://www.w3.org/2001/XMLSchema" xmlns:xs="http://www.w3.org/2001/XMLSchema" xmlns:dms="http://schemas.microsoft.com/office/2006/documentManagement/types" xmlns:pc="http://schemas.microsoft.com/office/infopath/2007/PartnerControls" targetNamespace="50a1b2ee-f2b7-4066-91a1-5f7788ce1b2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27c1725-9446-4acf-8d54-2c2c79f5ddcf}" ma:internalName="TaxCatchAll" ma:showField="CatchAllData" ma:web="50a1b2ee-f2b7-4066-91a1-5f7788ce1b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656856-034A-4E73-8D53-795B2A6F5DAA}">
  <ds:schemaRefs>
    <ds:schemaRef ds:uri="http://schemas.microsoft.com/office/2006/metadata/properties"/>
    <ds:schemaRef ds:uri="http://schemas.microsoft.com/office/infopath/2007/PartnerControls"/>
    <ds:schemaRef ds:uri="50a1b2ee-f2b7-4066-91a1-5f7788ce1b22"/>
    <ds:schemaRef ds:uri="5c29b4f3-eb99-4e81-8679-fa1333def8cf"/>
  </ds:schemaRefs>
</ds:datastoreItem>
</file>

<file path=customXml/itemProps2.xml><?xml version="1.0" encoding="utf-8"?>
<ds:datastoreItem xmlns:ds="http://schemas.openxmlformats.org/officeDocument/2006/customXml" ds:itemID="{99CEBF36-E45E-47FC-B3FF-F962E3AD37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29b4f3-eb99-4e81-8679-fa1333def8cf"/>
    <ds:schemaRef ds:uri="50a1b2ee-f2b7-4066-91a1-5f7788ce1b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8EB9B94-BC51-4AAD-9878-70F7EA03C04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11</vt:i4>
      </vt:variant>
    </vt:vector>
  </HeadingPairs>
  <TitlesOfParts>
    <vt:vector size="31" baseType="lpstr">
      <vt:lpstr>LENDER</vt:lpstr>
      <vt:lpstr>Inputs</vt:lpstr>
      <vt:lpstr>Fee Build Dashboard</vt:lpstr>
      <vt:lpstr>Acquisition Summary</vt:lpstr>
      <vt:lpstr>Investor Summary</vt:lpstr>
      <vt:lpstr>Financing Summary</vt:lpstr>
      <vt:lpstr>CFO Summary</vt:lpstr>
      <vt:lpstr>Monthly CF</vt:lpstr>
      <vt:lpstr>Comps</vt:lpstr>
      <vt:lpstr>Common Eq. WF</vt:lpstr>
      <vt:lpstr>Reference Tab</vt:lpstr>
      <vt:lpstr>Construction Bell-Shaped Curve</vt:lpstr>
      <vt:lpstr>Process</vt:lpstr>
      <vt:lpstr>Internal Budget</vt:lpstr>
      <vt:lpstr>SOV - External</vt:lpstr>
      <vt:lpstr>Synopsis</vt:lpstr>
      <vt:lpstr>Construction Details</vt:lpstr>
      <vt:lpstr>Deal Abstract</vt:lpstr>
      <vt:lpstr>Sheet1</vt:lpstr>
      <vt:lpstr>Brix Actual Budget</vt:lpstr>
      <vt:lpstr>buildcount</vt:lpstr>
      <vt:lpstr>LOTS</vt:lpstr>
      <vt:lpstr>PlanName</vt:lpstr>
      <vt:lpstr>'Acquisition Summary'!Print_Area</vt:lpstr>
      <vt:lpstr>'Fee Build Dashboard'!Print_Area</vt:lpstr>
      <vt:lpstr>Inputs!Print_Area</vt:lpstr>
      <vt:lpstr>'Investor Summary'!Print_Area</vt:lpstr>
      <vt:lpstr>SalesPrice</vt:lpstr>
      <vt:lpstr>'Fee Build Dashboard'!totallots</vt:lpstr>
      <vt:lpstr>'Investor Summary'!totallots</vt:lpstr>
      <vt:lpstr>totallots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Jenny Reyes</dc:creator>
  <cp:keywords/>
  <dc:description/>
  <cp:lastModifiedBy>Damon Jotham</cp:lastModifiedBy>
  <cp:revision/>
  <dcterms:created xsi:type="dcterms:W3CDTF">2016-02-26T17:29:35Z</dcterms:created>
  <dcterms:modified xsi:type="dcterms:W3CDTF">2026-02-03T19:56:56Z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occupancy" linkTarget="prop_occupancy">
    <vt:lpwstr>#REF!</vt:lpwstr>
  </property>
  <property fmtid="{D5CDD505-2E9C-101B-9397-08002B2CF9AE}" pid="5" name="year" linkTarget="prop_year">
    <vt:lpwstr>#REF!</vt:lpwstr>
  </property>
  <property fmtid="{D5CDD505-2E9C-101B-9397-08002B2CF9AE}" pid="6" name="ContentTypeId">
    <vt:lpwstr>0x01010092D9B70EE884834BADD1040C486F5AE3</vt:lpwstr>
  </property>
  <property fmtid="{D5CDD505-2E9C-101B-9397-08002B2CF9AE}" pid="7" name="Order">
    <vt:r8>5000</vt:r8>
  </property>
  <property fmtid="{D5CDD505-2E9C-101B-9397-08002B2CF9AE}" pid="8" name="MediaServiceImageTags">
    <vt:lpwstr/>
  </property>
  <property fmtid="{D5CDD505-2E9C-101B-9397-08002B2CF9AE}" pid="9" name="Name" linkTarget="Prop_Name">
    <vt:lpwstr>#REF!</vt:lpwstr>
  </property>
  <property fmtid="{D5CDD505-2E9C-101B-9397-08002B2CF9AE}" pid="10" name="Num" linkTarget="Prop_Num">
    <vt:lpwstr>#REF!</vt:lpwstr>
  </property>
</Properties>
</file>